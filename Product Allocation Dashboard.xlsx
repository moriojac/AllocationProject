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orio\Downloads\Allocation DB\"/>
    </mc:Choice>
  </mc:AlternateContent>
  <xr:revisionPtr revIDLastSave="0" documentId="8_{C519A5F7-FACB-43DF-9AA4-0BBCE763FE14}" xr6:coauthVersionLast="47" xr6:coauthVersionMax="47" xr10:uidLastSave="{00000000-0000-0000-0000-000000000000}"/>
  <bookViews>
    <workbookView xWindow="-120" yWindow="-16320" windowWidth="29040" windowHeight="15720" firstSheet="1" activeTab="3" xr2:uid="{00000000-000D-0000-FFFF-FFFF00000000}"/>
  </bookViews>
  <sheets>
    <sheet name="SKU'S" sheetId="10" state="hidden" r:id="rId1"/>
    <sheet name="Allocation Dashboard (Take)" sheetId="11" r:id="rId2"/>
    <sheet name="Allocation Dashboard (Give)" sheetId="9" r:id="rId3"/>
    <sheet name="2026 Orders" sheetId="13" r:id="rId4"/>
  </sheets>
  <definedNames>
    <definedName name="_xlnm._FilterDatabase" localSheetId="1" hidden="1">'Allocation Dashboard (Take)'!$A$2:$AE$652</definedName>
    <definedName name="ExternalData_1" localSheetId="2" hidden="1">'Allocation Dashboard (Give)'!#REF!</definedName>
    <definedName name="ExternalData_1" localSheetId="1" hidden="1">'Allocation Dashboard (Take)'!#REF!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2" i="13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500" i="9"/>
  <c r="N501" i="9"/>
  <c r="N502" i="9"/>
  <c r="N503" i="9"/>
  <c r="N504" i="9"/>
  <c r="N505" i="9"/>
  <c r="N506" i="9"/>
  <c r="N507" i="9"/>
  <c r="N508" i="9"/>
  <c r="N509" i="9"/>
  <c r="N510" i="9"/>
  <c r="N511" i="9"/>
  <c r="N512" i="9"/>
  <c r="N513" i="9"/>
  <c r="N514" i="9"/>
  <c r="N515" i="9"/>
  <c r="N516" i="9"/>
  <c r="N517" i="9"/>
  <c r="N518" i="9"/>
  <c r="N519" i="9"/>
  <c r="N520" i="9"/>
  <c r="N521" i="9"/>
  <c r="N522" i="9"/>
  <c r="N523" i="9"/>
  <c r="N524" i="9"/>
  <c r="N525" i="9"/>
  <c r="N526" i="9"/>
  <c r="N527" i="9"/>
  <c r="N528" i="9"/>
  <c r="N529" i="9"/>
  <c r="N530" i="9"/>
  <c r="N531" i="9"/>
  <c r="N532" i="9"/>
  <c r="N533" i="9"/>
  <c r="N534" i="9"/>
  <c r="N535" i="9"/>
  <c r="N536" i="9"/>
  <c r="N537" i="9"/>
  <c r="N538" i="9"/>
  <c r="N539" i="9"/>
  <c r="N540" i="9"/>
  <c r="N541" i="9"/>
  <c r="N542" i="9"/>
  <c r="N543" i="9"/>
  <c r="N544" i="9"/>
  <c r="N545" i="9"/>
  <c r="N546" i="9"/>
  <c r="N547" i="9"/>
  <c r="N548" i="9"/>
  <c r="N549" i="9"/>
  <c r="N550" i="9"/>
  <c r="N551" i="9"/>
  <c r="N552" i="9"/>
  <c r="N553" i="9"/>
  <c r="N554" i="9"/>
  <c r="N555" i="9"/>
  <c r="N556" i="9"/>
  <c r="N557" i="9"/>
  <c r="N558" i="9"/>
  <c r="N559" i="9"/>
  <c r="N560" i="9"/>
  <c r="N561" i="9"/>
  <c r="N562" i="9"/>
  <c r="N563" i="9"/>
  <c r="N564" i="9"/>
  <c r="N565" i="9"/>
  <c r="N566" i="9"/>
  <c r="N567" i="9"/>
  <c r="N568" i="9"/>
  <c r="N569" i="9"/>
  <c r="N570" i="9"/>
  <c r="N571" i="9"/>
  <c r="N572" i="9"/>
  <c r="N573" i="9"/>
  <c r="N574" i="9"/>
  <c r="N575" i="9"/>
  <c r="N576" i="9"/>
  <c r="N577" i="9"/>
  <c r="N578" i="9"/>
  <c r="N579" i="9"/>
  <c r="N580" i="9"/>
  <c r="N581" i="9"/>
  <c r="N582" i="9"/>
  <c r="N583" i="9"/>
  <c r="N584" i="9"/>
  <c r="N585" i="9"/>
  <c r="N586" i="9"/>
  <c r="N587" i="9"/>
  <c r="N588" i="9"/>
  <c r="N589" i="9"/>
  <c r="N590" i="9"/>
  <c r="N591" i="9"/>
  <c r="N592" i="9"/>
  <c r="N593" i="9"/>
  <c r="N594" i="9"/>
  <c r="N595" i="9"/>
  <c r="N596" i="9"/>
  <c r="N597" i="9"/>
  <c r="N598" i="9"/>
  <c r="N599" i="9"/>
  <c r="N600" i="9"/>
  <c r="N601" i="9"/>
  <c r="N602" i="9"/>
  <c r="N603" i="9"/>
  <c r="N604" i="9"/>
  <c r="N605" i="9"/>
  <c r="N606" i="9"/>
  <c r="N607" i="9"/>
  <c r="N608" i="9"/>
  <c r="N609" i="9"/>
  <c r="N610" i="9"/>
  <c r="N611" i="9"/>
  <c r="N612" i="9"/>
  <c r="N613" i="9"/>
  <c r="N614" i="9"/>
  <c r="N615" i="9"/>
  <c r="N616" i="9"/>
  <c r="N617" i="9"/>
  <c r="N618" i="9"/>
  <c r="N619" i="9"/>
  <c r="N620" i="9"/>
  <c r="N621" i="9"/>
  <c r="N622" i="9"/>
  <c r="N623" i="9"/>
  <c r="N624" i="9"/>
  <c r="N625" i="9"/>
  <c r="N626" i="9"/>
  <c r="N627" i="9"/>
  <c r="N628" i="9"/>
  <c r="N629" i="9"/>
  <c r="N630" i="9"/>
  <c r="N631" i="9"/>
  <c r="N632" i="9"/>
  <c r="N633" i="9"/>
  <c r="N634" i="9"/>
  <c r="N635" i="9"/>
  <c r="N636" i="9"/>
  <c r="N637" i="9"/>
  <c r="N638" i="9"/>
  <c r="N639" i="9"/>
  <c r="N640" i="9"/>
  <c r="N641" i="9"/>
  <c r="N642" i="9"/>
  <c r="N643" i="9"/>
  <c r="N644" i="9"/>
  <c r="N645" i="9"/>
  <c r="N646" i="9"/>
  <c r="N647" i="9"/>
  <c r="N648" i="9"/>
  <c r="N649" i="9"/>
  <c r="N650" i="9"/>
  <c r="N651" i="9"/>
  <c r="N65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AD477" i="9" s="1"/>
  <c r="J478" i="9"/>
  <c r="AD478" i="9" s="1"/>
  <c r="J479" i="9"/>
  <c r="AD479" i="9" s="1"/>
  <c r="J480" i="9"/>
  <c r="AD480" i="9" s="1"/>
  <c r="J481" i="9"/>
  <c r="AD481" i="9" s="1"/>
  <c r="J482" i="9"/>
  <c r="AD482" i="9" s="1"/>
  <c r="J483" i="9"/>
  <c r="AD483" i="9" s="1"/>
  <c r="J484" i="9"/>
  <c r="AD484" i="9" s="1"/>
  <c r="J485" i="9"/>
  <c r="AD485" i="9" s="1"/>
  <c r="J486" i="9"/>
  <c r="AD486" i="9" s="1"/>
  <c r="J487" i="9"/>
  <c r="AD487" i="9" s="1"/>
  <c r="J488" i="9"/>
  <c r="AD488" i="9" s="1"/>
  <c r="J489" i="9"/>
  <c r="AD489" i="9" s="1"/>
  <c r="J490" i="9"/>
  <c r="AD490" i="9" s="1"/>
  <c r="J491" i="9"/>
  <c r="AD491" i="9" s="1"/>
  <c r="J492" i="9"/>
  <c r="AD492" i="9" s="1"/>
  <c r="J493" i="9"/>
  <c r="AD493" i="9" s="1"/>
  <c r="J494" i="9"/>
  <c r="AD494" i="9" s="1"/>
  <c r="J495" i="9"/>
  <c r="AD495" i="9" s="1"/>
  <c r="J496" i="9"/>
  <c r="AD496" i="9" s="1"/>
  <c r="J497" i="9"/>
  <c r="AD497" i="9" s="1"/>
  <c r="J498" i="9"/>
  <c r="AD498" i="9" s="1"/>
  <c r="J499" i="9"/>
  <c r="AD499" i="9" s="1"/>
  <c r="J500" i="9"/>
  <c r="AD500" i="9" s="1"/>
  <c r="J501" i="9"/>
  <c r="AD501" i="9" s="1"/>
  <c r="J502" i="9"/>
  <c r="AD502" i="9" s="1"/>
  <c r="J503" i="9"/>
  <c r="AD503" i="9" s="1"/>
  <c r="J504" i="9"/>
  <c r="AD504" i="9" s="1"/>
  <c r="J505" i="9"/>
  <c r="AD505" i="9" s="1"/>
  <c r="J506" i="9"/>
  <c r="AD506" i="9" s="1"/>
  <c r="J507" i="9"/>
  <c r="AD507" i="9" s="1"/>
  <c r="J508" i="9"/>
  <c r="AD508" i="9" s="1"/>
  <c r="J509" i="9"/>
  <c r="AD509" i="9" s="1"/>
  <c r="J510" i="9"/>
  <c r="AD510" i="9" s="1"/>
  <c r="J511" i="9"/>
  <c r="AD511" i="9" s="1"/>
  <c r="J512" i="9"/>
  <c r="AD512" i="9" s="1"/>
  <c r="J513" i="9"/>
  <c r="AD513" i="9" s="1"/>
  <c r="J514" i="9"/>
  <c r="AD514" i="9" s="1"/>
  <c r="J515" i="9"/>
  <c r="AD515" i="9" s="1"/>
  <c r="J516" i="9"/>
  <c r="AD516" i="9" s="1"/>
  <c r="J517" i="9"/>
  <c r="AD517" i="9" s="1"/>
  <c r="J518" i="9"/>
  <c r="AD518" i="9" s="1"/>
  <c r="J519" i="9"/>
  <c r="AD519" i="9" s="1"/>
  <c r="J520" i="9"/>
  <c r="AD520" i="9" s="1"/>
  <c r="J521" i="9"/>
  <c r="AD521" i="9" s="1"/>
  <c r="J522" i="9"/>
  <c r="AD522" i="9" s="1"/>
  <c r="J523" i="9"/>
  <c r="AD523" i="9" s="1"/>
  <c r="J524" i="9"/>
  <c r="AD524" i="9" s="1"/>
  <c r="J525" i="9"/>
  <c r="AD525" i="9" s="1"/>
  <c r="J526" i="9"/>
  <c r="AD526" i="9" s="1"/>
  <c r="J527" i="9"/>
  <c r="AD527" i="9" s="1"/>
  <c r="J528" i="9"/>
  <c r="AD528" i="9" s="1"/>
  <c r="J529" i="9"/>
  <c r="AD529" i="9" s="1"/>
  <c r="J530" i="9"/>
  <c r="AD530" i="9" s="1"/>
  <c r="J531" i="9"/>
  <c r="AD531" i="9" s="1"/>
  <c r="J532" i="9"/>
  <c r="AD532" i="9" s="1"/>
  <c r="J533" i="9"/>
  <c r="AD533" i="9" s="1"/>
  <c r="J534" i="9"/>
  <c r="AD534" i="9" s="1"/>
  <c r="J535" i="9"/>
  <c r="AD535" i="9" s="1"/>
  <c r="J536" i="9"/>
  <c r="AD536" i="9" s="1"/>
  <c r="J537" i="9"/>
  <c r="AD537" i="9" s="1"/>
  <c r="J538" i="9"/>
  <c r="AD538" i="9" s="1"/>
  <c r="J539" i="9"/>
  <c r="AD539" i="9" s="1"/>
  <c r="J540" i="9"/>
  <c r="AD540" i="9" s="1"/>
  <c r="J541" i="9"/>
  <c r="AD541" i="9" s="1"/>
  <c r="J542" i="9"/>
  <c r="AD542" i="9" s="1"/>
  <c r="J543" i="9"/>
  <c r="AD543" i="9" s="1"/>
  <c r="J544" i="9"/>
  <c r="AD544" i="9" s="1"/>
  <c r="J545" i="9"/>
  <c r="AD545" i="9" s="1"/>
  <c r="J546" i="9"/>
  <c r="AD546" i="9" s="1"/>
  <c r="J547" i="9"/>
  <c r="AD547" i="9" s="1"/>
  <c r="J548" i="9"/>
  <c r="AD548" i="9" s="1"/>
  <c r="J549" i="9"/>
  <c r="AD549" i="9" s="1"/>
  <c r="J550" i="9"/>
  <c r="AD550" i="9" s="1"/>
  <c r="J551" i="9"/>
  <c r="AD551" i="9" s="1"/>
  <c r="J552" i="9"/>
  <c r="AD552" i="9" s="1"/>
  <c r="J553" i="9"/>
  <c r="AD553" i="9" s="1"/>
  <c r="J554" i="9"/>
  <c r="AD554" i="9" s="1"/>
  <c r="J555" i="9"/>
  <c r="AD555" i="9" s="1"/>
  <c r="J556" i="9"/>
  <c r="AD556" i="9" s="1"/>
  <c r="J557" i="9"/>
  <c r="AD557" i="9" s="1"/>
  <c r="J558" i="9"/>
  <c r="AD558" i="9" s="1"/>
  <c r="J559" i="9"/>
  <c r="AD559" i="9" s="1"/>
  <c r="J560" i="9"/>
  <c r="AD560" i="9" s="1"/>
  <c r="J561" i="9"/>
  <c r="AD561" i="9" s="1"/>
  <c r="J562" i="9"/>
  <c r="AD562" i="9" s="1"/>
  <c r="J563" i="9"/>
  <c r="AD563" i="9" s="1"/>
  <c r="J564" i="9"/>
  <c r="AD564" i="9" s="1"/>
  <c r="J565" i="9"/>
  <c r="AD565" i="9" s="1"/>
  <c r="J566" i="9"/>
  <c r="AD566" i="9" s="1"/>
  <c r="J567" i="9"/>
  <c r="AD567" i="9" s="1"/>
  <c r="J568" i="9"/>
  <c r="AD568" i="9" s="1"/>
  <c r="J569" i="9"/>
  <c r="AD569" i="9" s="1"/>
  <c r="J570" i="9"/>
  <c r="AD570" i="9" s="1"/>
  <c r="J571" i="9"/>
  <c r="AD571" i="9" s="1"/>
  <c r="J572" i="9"/>
  <c r="AD572" i="9" s="1"/>
  <c r="J573" i="9"/>
  <c r="AD573" i="9" s="1"/>
  <c r="J574" i="9"/>
  <c r="AD574" i="9" s="1"/>
  <c r="J575" i="9"/>
  <c r="AD575" i="9" s="1"/>
  <c r="J576" i="9"/>
  <c r="AD576" i="9" s="1"/>
  <c r="J577" i="9"/>
  <c r="AD577" i="9" s="1"/>
  <c r="J578" i="9"/>
  <c r="AD578" i="9" s="1"/>
  <c r="J579" i="9"/>
  <c r="AD579" i="9" s="1"/>
  <c r="J580" i="9"/>
  <c r="AD580" i="9" s="1"/>
  <c r="J581" i="9"/>
  <c r="AD581" i="9" s="1"/>
  <c r="J582" i="9"/>
  <c r="AD582" i="9" s="1"/>
  <c r="J583" i="9"/>
  <c r="AD583" i="9" s="1"/>
  <c r="J584" i="9"/>
  <c r="AD584" i="9" s="1"/>
  <c r="J585" i="9"/>
  <c r="AD585" i="9" s="1"/>
  <c r="J586" i="9"/>
  <c r="AD586" i="9" s="1"/>
  <c r="J587" i="9"/>
  <c r="AD587" i="9" s="1"/>
  <c r="J588" i="9"/>
  <c r="AD588" i="9" s="1"/>
  <c r="J589" i="9"/>
  <c r="AD589" i="9" s="1"/>
  <c r="J590" i="9"/>
  <c r="AD590" i="9" s="1"/>
  <c r="J591" i="9"/>
  <c r="AD591" i="9" s="1"/>
  <c r="J592" i="9"/>
  <c r="AD592" i="9" s="1"/>
  <c r="J593" i="9"/>
  <c r="AD593" i="9" s="1"/>
  <c r="J594" i="9"/>
  <c r="AD594" i="9" s="1"/>
  <c r="J595" i="9"/>
  <c r="AD595" i="9" s="1"/>
  <c r="J596" i="9"/>
  <c r="AD596" i="9" s="1"/>
  <c r="J597" i="9"/>
  <c r="AD597" i="9" s="1"/>
  <c r="J598" i="9"/>
  <c r="AD598" i="9" s="1"/>
  <c r="J599" i="9"/>
  <c r="AD599" i="9" s="1"/>
  <c r="J600" i="9"/>
  <c r="AD600" i="9" s="1"/>
  <c r="J601" i="9"/>
  <c r="AD601" i="9" s="1"/>
  <c r="J602" i="9"/>
  <c r="AD602" i="9" s="1"/>
  <c r="J603" i="9"/>
  <c r="AD603" i="9" s="1"/>
  <c r="J604" i="9"/>
  <c r="AD604" i="9" s="1"/>
  <c r="J605" i="9"/>
  <c r="AD605" i="9" s="1"/>
  <c r="J606" i="9"/>
  <c r="AD606" i="9" s="1"/>
  <c r="J607" i="9"/>
  <c r="AD607" i="9" s="1"/>
  <c r="J608" i="9"/>
  <c r="AD608" i="9" s="1"/>
  <c r="J609" i="9"/>
  <c r="AD609" i="9" s="1"/>
  <c r="J610" i="9"/>
  <c r="AD610" i="9" s="1"/>
  <c r="J611" i="9"/>
  <c r="AD611" i="9" s="1"/>
  <c r="J612" i="9"/>
  <c r="AD612" i="9" s="1"/>
  <c r="J613" i="9"/>
  <c r="AD613" i="9" s="1"/>
  <c r="J614" i="9"/>
  <c r="AD614" i="9" s="1"/>
  <c r="J615" i="9"/>
  <c r="AD615" i="9" s="1"/>
  <c r="J616" i="9"/>
  <c r="AD616" i="9" s="1"/>
  <c r="J617" i="9"/>
  <c r="AD617" i="9" s="1"/>
  <c r="J618" i="9"/>
  <c r="AD618" i="9" s="1"/>
  <c r="J619" i="9"/>
  <c r="AD619" i="9" s="1"/>
  <c r="J620" i="9"/>
  <c r="AD620" i="9" s="1"/>
  <c r="J621" i="9"/>
  <c r="AD621" i="9" s="1"/>
  <c r="J622" i="9"/>
  <c r="AD622" i="9" s="1"/>
  <c r="J623" i="9"/>
  <c r="AD623" i="9" s="1"/>
  <c r="J624" i="9"/>
  <c r="AD624" i="9" s="1"/>
  <c r="J625" i="9"/>
  <c r="AD625" i="9" s="1"/>
  <c r="J626" i="9"/>
  <c r="AD626" i="9" s="1"/>
  <c r="J627" i="9"/>
  <c r="AD627" i="9" s="1"/>
  <c r="J628" i="9"/>
  <c r="AD628" i="9" s="1"/>
  <c r="J629" i="9"/>
  <c r="AD629" i="9" s="1"/>
  <c r="J630" i="9"/>
  <c r="AD630" i="9" s="1"/>
  <c r="J631" i="9"/>
  <c r="AD631" i="9" s="1"/>
  <c r="J632" i="9"/>
  <c r="AD632" i="9" s="1"/>
  <c r="J633" i="9"/>
  <c r="AD633" i="9" s="1"/>
  <c r="J634" i="9"/>
  <c r="AD634" i="9" s="1"/>
  <c r="J635" i="9"/>
  <c r="AD635" i="9" s="1"/>
  <c r="J636" i="9"/>
  <c r="AD636" i="9" s="1"/>
  <c r="J637" i="9"/>
  <c r="AD637" i="9" s="1"/>
  <c r="J638" i="9"/>
  <c r="AD638" i="9" s="1"/>
  <c r="J639" i="9"/>
  <c r="AD639" i="9" s="1"/>
  <c r="J640" i="9"/>
  <c r="AD640" i="9" s="1"/>
  <c r="J641" i="9"/>
  <c r="AD641" i="9" s="1"/>
  <c r="J642" i="9"/>
  <c r="AD642" i="9" s="1"/>
  <c r="J643" i="9"/>
  <c r="AD643" i="9" s="1"/>
  <c r="J644" i="9"/>
  <c r="AD644" i="9" s="1"/>
  <c r="J645" i="9"/>
  <c r="AD645" i="9" s="1"/>
  <c r="J646" i="9"/>
  <c r="AD646" i="9" s="1"/>
  <c r="J647" i="9"/>
  <c r="AD647" i="9" s="1"/>
  <c r="J648" i="9"/>
  <c r="AD648" i="9" s="1"/>
  <c r="J649" i="9"/>
  <c r="AD649" i="9" s="1"/>
  <c r="J650" i="9"/>
  <c r="AD650" i="9" s="1"/>
  <c r="J651" i="9"/>
  <c r="AD651" i="9" s="1"/>
  <c r="J652" i="9"/>
  <c r="AD652" i="9" s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C3" i="9"/>
  <c r="E3" i="9" s="1" a="1"/>
  <c r="C4" i="9"/>
  <c r="E4" i="9" s="1" a="1"/>
  <c r="C5" i="9"/>
  <c r="E5" i="9" s="1" a="1"/>
  <c r="C6" i="9"/>
  <c r="E6" i="9" s="1" a="1"/>
  <c r="C7" i="9"/>
  <c r="E7" i="9" s="1" a="1"/>
  <c r="C8" i="9"/>
  <c r="E8" i="9" s="1" a="1"/>
  <c r="C9" i="9"/>
  <c r="E9" i="9" s="1" a="1"/>
  <c r="C10" i="9"/>
  <c r="E10" i="9" s="1" a="1"/>
  <c r="C11" i="9"/>
  <c r="E11" i="9" s="1" a="1"/>
  <c r="C12" i="9"/>
  <c r="E12" i="9" s="1" a="1"/>
  <c r="C13" i="9"/>
  <c r="E13" i="9" s="1" a="1"/>
  <c r="C14" i="9"/>
  <c r="E14" i="9" s="1" a="1"/>
  <c r="C15" i="9"/>
  <c r="E15" i="9" s="1" a="1"/>
  <c r="C16" i="9"/>
  <c r="E16" i="9" s="1" a="1"/>
  <c r="C17" i="9"/>
  <c r="E17" i="9" s="1" a="1"/>
  <c r="C18" i="9"/>
  <c r="E18" i="9" s="1" a="1"/>
  <c r="C19" i="9"/>
  <c r="E19" i="9" s="1" a="1"/>
  <c r="C20" i="9"/>
  <c r="E20" i="9" s="1" a="1"/>
  <c r="C21" i="9"/>
  <c r="E21" i="9" s="1" a="1"/>
  <c r="C22" i="9"/>
  <c r="E22" i="9" s="1" a="1"/>
  <c r="C23" i="9"/>
  <c r="E23" i="9" s="1" a="1"/>
  <c r="C24" i="9"/>
  <c r="E24" i="9" s="1" a="1"/>
  <c r="C25" i="9"/>
  <c r="E25" i="9" s="1" a="1"/>
  <c r="C26" i="9"/>
  <c r="E26" i="9" s="1" a="1"/>
  <c r="C27" i="9"/>
  <c r="E27" i="9" s="1" a="1"/>
  <c r="C28" i="9"/>
  <c r="E28" i="9" s="1" a="1"/>
  <c r="C29" i="9"/>
  <c r="E29" i="9" s="1" a="1"/>
  <c r="C30" i="9"/>
  <c r="E30" i="9" s="1" a="1"/>
  <c r="C31" i="9"/>
  <c r="E31" i="9" s="1" a="1"/>
  <c r="C32" i="9"/>
  <c r="E32" i="9" s="1" a="1"/>
  <c r="C33" i="9"/>
  <c r="E33" i="9" s="1" a="1"/>
  <c r="C34" i="9"/>
  <c r="E34" i="9" s="1" a="1"/>
  <c r="C35" i="9"/>
  <c r="E35" i="9" s="1" a="1"/>
  <c r="C36" i="9"/>
  <c r="E36" i="9" s="1" a="1"/>
  <c r="C37" i="9"/>
  <c r="E37" i="9" s="1" a="1"/>
  <c r="C38" i="9"/>
  <c r="E38" i="9" s="1" a="1"/>
  <c r="C39" i="9"/>
  <c r="E39" i="9" s="1" a="1"/>
  <c r="C40" i="9"/>
  <c r="E40" i="9" s="1" a="1"/>
  <c r="C41" i="9"/>
  <c r="E41" i="9" s="1" a="1"/>
  <c r="C42" i="9"/>
  <c r="E42" i="9" s="1" a="1"/>
  <c r="C43" i="9"/>
  <c r="E43" i="9" s="1" a="1"/>
  <c r="C44" i="9"/>
  <c r="E44" i="9" s="1" a="1"/>
  <c r="C45" i="9"/>
  <c r="E45" i="9" s="1" a="1"/>
  <c r="C46" i="9"/>
  <c r="E46" i="9" s="1" a="1"/>
  <c r="C47" i="9"/>
  <c r="E47" i="9" s="1" a="1"/>
  <c r="C48" i="9"/>
  <c r="E48" i="9" s="1" a="1"/>
  <c r="C49" i="9"/>
  <c r="E49" i="9" s="1" a="1"/>
  <c r="C50" i="9"/>
  <c r="E50" i="9" s="1" a="1"/>
  <c r="C51" i="9"/>
  <c r="E51" i="9" s="1" a="1"/>
  <c r="C52" i="9"/>
  <c r="E52" i="9" s="1" a="1"/>
  <c r="C53" i="9"/>
  <c r="E53" i="9" s="1" a="1"/>
  <c r="C54" i="9"/>
  <c r="E54" i="9" s="1" a="1"/>
  <c r="C55" i="9"/>
  <c r="E55" i="9" s="1" a="1"/>
  <c r="C56" i="9"/>
  <c r="E56" i="9" s="1" a="1"/>
  <c r="C57" i="9"/>
  <c r="E57" i="9" s="1" a="1"/>
  <c r="C58" i="9"/>
  <c r="E58" i="9" s="1" a="1"/>
  <c r="C59" i="9"/>
  <c r="E59" i="9" s="1" a="1"/>
  <c r="C60" i="9"/>
  <c r="E60" i="9" s="1" a="1"/>
  <c r="C61" i="9"/>
  <c r="E61" i="9" s="1" a="1"/>
  <c r="C62" i="9"/>
  <c r="E62" i="9" s="1" a="1"/>
  <c r="C63" i="9"/>
  <c r="E63" i="9" s="1" a="1"/>
  <c r="C64" i="9"/>
  <c r="E64" i="9" s="1" a="1"/>
  <c r="C65" i="9"/>
  <c r="E65" i="9" s="1" a="1"/>
  <c r="C66" i="9"/>
  <c r="E66" i="9" s="1" a="1"/>
  <c r="C67" i="9"/>
  <c r="E67" i="9" s="1" a="1"/>
  <c r="C68" i="9"/>
  <c r="E68" i="9" s="1" a="1"/>
  <c r="C69" i="9"/>
  <c r="E69" i="9" s="1" a="1"/>
  <c r="C70" i="9"/>
  <c r="E70" i="9" s="1" a="1"/>
  <c r="C71" i="9"/>
  <c r="E71" i="9" s="1" a="1"/>
  <c r="C72" i="9"/>
  <c r="E72" i="9" s="1" a="1"/>
  <c r="C73" i="9"/>
  <c r="E73" i="9" s="1" a="1"/>
  <c r="C74" i="9"/>
  <c r="E74" i="9" s="1" a="1"/>
  <c r="C75" i="9"/>
  <c r="E75" i="9" s="1" a="1"/>
  <c r="C76" i="9"/>
  <c r="E76" i="9" s="1" a="1"/>
  <c r="C77" i="9"/>
  <c r="E77" i="9" s="1" a="1"/>
  <c r="C78" i="9"/>
  <c r="E78" i="9" s="1" a="1"/>
  <c r="C79" i="9"/>
  <c r="E79" i="9" s="1" a="1"/>
  <c r="C80" i="9"/>
  <c r="E80" i="9" s="1" a="1"/>
  <c r="C81" i="9"/>
  <c r="E81" i="9" s="1" a="1"/>
  <c r="C82" i="9"/>
  <c r="E82" i="9" s="1" a="1"/>
  <c r="C83" i="9"/>
  <c r="E83" i="9" s="1" a="1"/>
  <c r="C84" i="9"/>
  <c r="E84" i="9" s="1" a="1"/>
  <c r="C85" i="9"/>
  <c r="E85" i="9" s="1" a="1"/>
  <c r="C86" i="9"/>
  <c r="E86" i="9" s="1" a="1"/>
  <c r="C87" i="9"/>
  <c r="E87" i="9" s="1" a="1"/>
  <c r="C88" i="9"/>
  <c r="E88" i="9" s="1" a="1"/>
  <c r="C89" i="9"/>
  <c r="E89" i="9" s="1" a="1"/>
  <c r="C90" i="9"/>
  <c r="E90" i="9" s="1" a="1"/>
  <c r="C91" i="9"/>
  <c r="E91" i="9" s="1" a="1"/>
  <c r="C92" i="9"/>
  <c r="E92" i="9" s="1" a="1"/>
  <c r="C93" i="9"/>
  <c r="E93" i="9" s="1" a="1"/>
  <c r="C94" i="9"/>
  <c r="E94" i="9" s="1" a="1"/>
  <c r="C95" i="9"/>
  <c r="E95" i="9" s="1" a="1"/>
  <c r="C96" i="9"/>
  <c r="E96" i="9" s="1" a="1"/>
  <c r="C97" i="9"/>
  <c r="E97" i="9" s="1" a="1"/>
  <c r="C98" i="9"/>
  <c r="E98" i="9" s="1" a="1"/>
  <c r="C99" i="9"/>
  <c r="E99" i="9" s="1" a="1"/>
  <c r="C100" i="9"/>
  <c r="E100" i="9" s="1" a="1"/>
  <c r="C101" i="9"/>
  <c r="E101" i="9" s="1" a="1"/>
  <c r="C102" i="9"/>
  <c r="E102" i="9" s="1" a="1"/>
  <c r="C103" i="9"/>
  <c r="E103" i="9" s="1" a="1"/>
  <c r="C104" i="9"/>
  <c r="E104" i="9" s="1" a="1"/>
  <c r="C105" i="9"/>
  <c r="E105" i="9" s="1" a="1"/>
  <c r="C106" i="9"/>
  <c r="E106" i="9" s="1" a="1"/>
  <c r="C107" i="9"/>
  <c r="E107" i="9" s="1" a="1"/>
  <c r="C108" i="9"/>
  <c r="E108" i="9" s="1" a="1"/>
  <c r="C109" i="9"/>
  <c r="E109" i="9" s="1" a="1"/>
  <c r="C110" i="9"/>
  <c r="E110" i="9" s="1" a="1"/>
  <c r="C111" i="9"/>
  <c r="E111" i="9" s="1" a="1"/>
  <c r="C112" i="9"/>
  <c r="E112" i="9" s="1" a="1"/>
  <c r="C113" i="9"/>
  <c r="E113" i="9" s="1" a="1"/>
  <c r="C114" i="9"/>
  <c r="E114" i="9" s="1" a="1"/>
  <c r="C115" i="9"/>
  <c r="E115" i="9" s="1" a="1"/>
  <c r="C116" i="9"/>
  <c r="E116" i="9" s="1" a="1"/>
  <c r="C117" i="9"/>
  <c r="E117" i="9" s="1" a="1"/>
  <c r="C118" i="9"/>
  <c r="E118" i="9" s="1" a="1"/>
  <c r="C119" i="9"/>
  <c r="E119" i="9" s="1" a="1"/>
  <c r="C120" i="9"/>
  <c r="E120" i="9" s="1" a="1"/>
  <c r="C121" i="9"/>
  <c r="E121" i="9" s="1" a="1"/>
  <c r="C122" i="9"/>
  <c r="E122" i="9" s="1" a="1"/>
  <c r="C123" i="9"/>
  <c r="E123" i="9" s="1" a="1"/>
  <c r="C124" i="9"/>
  <c r="E124" i="9" s="1" a="1"/>
  <c r="C125" i="9"/>
  <c r="E125" i="9" s="1" a="1"/>
  <c r="C126" i="9"/>
  <c r="E126" i="9" s="1" a="1"/>
  <c r="C127" i="9"/>
  <c r="E127" i="9" s="1" a="1"/>
  <c r="C128" i="9"/>
  <c r="E128" i="9" s="1" a="1"/>
  <c r="C129" i="9"/>
  <c r="E129" i="9" s="1" a="1"/>
  <c r="C130" i="9"/>
  <c r="E130" i="9" s="1" a="1"/>
  <c r="C131" i="9"/>
  <c r="E131" i="9" s="1" a="1"/>
  <c r="C132" i="9"/>
  <c r="E132" i="9" s="1" a="1"/>
  <c r="C133" i="9"/>
  <c r="E133" i="9" s="1" a="1"/>
  <c r="C134" i="9"/>
  <c r="E134" i="9" s="1" a="1"/>
  <c r="C135" i="9"/>
  <c r="E135" i="9" s="1" a="1"/>
  <c r="C136" i="9"/>
  <c r="E136" i="9" s="1" a="1"/>
  <c r="C137" i="9"/>
  <c r="E137" i="9" s="1" a="1"/>
  <c r="C138" i="9"/>
  <c r="E138" i="9" s="1" a="1"/>
  <c r="C139" i="9"/>
  <c r="E139" i="9" s="1" a="1"/>
  <c r="C140" i="9"/>
  <c r="E140" i="9" s="1" a="1"/>
  <c r="C141" i="9"/>
  <c r="E141" i="9" s="1" a="1"/>
  <c r="C142" i="9"/>
  <c r="E142" i="9" s="1" a="1"/>
  <c r="C143" i="9"/>
  <c r="E143" i="9" s="1" a="1"/>
  <c r="C144" i="9"/>
  <c r="E144" i="9" s="1" a="1"/>
  <c r="C145" i="9"/>
  <c r="E145" i="9" s="1" a="1"/>
  <c r="C146" i="9"/>
  <c r="E146" i="9" s="1" a="1"/>
  <c r="C147" i="9"/>
  <c r="E147" i="9" s="1" a="1"/>
  <c r="C148" i="9"/>
  <c r="E148" i="9" s="1" a="1"/>
  <c r="C149" i="9"/>
  <c r="E149" i="9" s="1" a="1"/>
  <c r="C150" i="9"/>
  <c r="E150" i="9" s="1" a="1"/>
  <c r="C151" i="9"/>
  <c r="E151" i="9" s="1" a="1"/>
  <c r="C152" i="9"/>
  <c r="E152" i="9" s="1" a="1"/>
  <c r="C153" i="9"/>
  <c r="E153" i="9" s="1" a="1"/>
  <c r="C154" i="9"/>
  <c r="E154" i="9" s="1" a="1"/>
  <c r="C155" i="9"/>
  <c r="E155" i="9" s="1" a="1"/>
  <c r="C156" i="9"/>
  <c r="E156" i="9" s="1" a="1"/>
  <c r="C157" i="9"/>
  <c r="E157" i="9" s="1" a="1"/>
  <c r="C158" i="9"/>
  <c r="E158" i="9" s="1" a="1"/>
  <c r="C159" i="9"/>
  <c r="E159" i="9" s="1" a="1"/>
  <c r="C160" i="9"/>
  <c r="E160" i="9" s="1" a="1"/>
  <c r="C161" i="9"/>
  <c r="E161" i="9" s="1" a="1"/>
  <c r="C162" i="9"/>
  <c r="E162" i="9" s="1" a="1"/>
  <c r="C163" i="9"/>
  <c r="E163" i="9" s="1" a="1"/>
  <c r="C164" i="9"/>
  <c r="E164" i="9" s="1" a="1"/>
  <c r="C165" i="9"/>
  <c r="E165" i="9" s="1" a="1"/>
  <c r="C166" i="9"/>
  <c r="E166" i="9" s="1" a="1"/>
  <c r="C167" i="9"/>
  <c r="E167" i="9" s="1" a="1"/>
  <c r="C168" i="9"/>
  <c r="E168" i="9" s="1" a="1"/>
  <c r="C169" i="9"/>
  <c r="E169" i="9" s="1" a="1"/>
  <c r="C170" i="9"/>
  <c r="E170" i="9" s="1" a="1"/>
  <c r="C171" i="9"/>
  <c r="E171" i="9" s="1" a="1"/>
  <c r="C172" i="9"/>
  <c r="E172" i="9" s="1" a="1"/>
  <c r="C173" i="9"/>
  <c r="E173" i="9" s="1" a="1"/>
  <c r="C174" i="9"/>
  <c r="E174" i="9" s="1" a="1"/>
  <c r="C175" i="9"/>
  <c r="E175" i="9" s="1" a="1"/>
  <c r="C176" i="9"/>
  <c r="E176" i="9" s="1" a="1"/>
  <c r="C177" i="9"/>
  <c r="E177" i="9" s="1" a="1"/>
  <c r="C178" i="9"/>
  <c r="E178" i="9" s="1" a="1"/>
  <c r="C179" i="9"/>
  <c r="E179" i="9" s="1" a="1"/>
  <c r="C180" i="9"/>
  <c r="E180" i="9" s="1" a="1"/>
  <c r="C181" i="9"/>
  <c r="E181" i="9" s="1" a="1"/>
  <c r="C182" i="9"/>
  <c r="E182" i="9" s="1" a="1"/>
  <c r="C183" i="9"/>
  <c r="E183" i="9" s="1" a="1"/>
  <c r="C184" i="9"/>
  <c r="E184" i="9" s="1" a="1"/>
  <c r="C185" i="9"/>
  <c r="E185" i="9" s="1" a="1"/>
  <c r="C186" i="9"/>
  <c r="E186" i="9" s="1" a="1"/>
  <c r="C187" i="9"/>
  <c r="E187" i="9" s="1" a="1"/>
  <c r="C188" i="9"/>
  <c r="E188" i="9" s="1" a="1"/>
  <c r="C189" i="9"/>
  <c r="E189" i="9" s="1" a="1"/>
  <c r="C190" i="9"/>
  <c r="E190" i="9" s="1" a="1"/>
  <c r="C191" i="9"/>
  <c r="E191" i="9" s="1" a="1"/>
  <c r="C192" i="9"/>
  <c r="E192" i="9" s="1" a="1"/>
  <c r="C193" i="9"/>
  <c r="E193" i="9" s="1" a="1"/>
  <c r="C194" i="9"/>
  <c r="E194" i="9" s="1" a="1"/>
  <c r="C195" i="9"/>
  <c r="E195" i="9" s="1" a="1"/>
  <c r="C196" i="9"/>
  <c r="E196" i="9" s="1" a="1"/>
  <c r="C197" i="9"/>
  <c r="E197" i="9" s="1" a="1"/>
  <c r="C198" i="9"/>
  <c r="E198" i="9" s="1" a="1"/>
  <c r="C199" i="9"/>
  <c r="E199" i="9" s="1" a="1"/>
  <c r="C200" i="9"/>
  <c r="E200" i="9" s="1" a="1"/>
  <c r="C201" i="9"/>
  <c r="E201" i="9" s="1" a="1"/>
  <c r="C202" i="9"/>
  <c r="E202" i="9" s="1" a="1"/>
  <c r="C203" i="9"/>
  <c r="E203" i="9" s="1" a="1"/>
  <c r="C204" i="9"/>
  <c r="E204" i="9" s="1" a="1"/>
  <c r="C205" i="9"/>
  <c r="E205" i="9" s="1" a="1"/>
  <c r="C206" i="9"/>
  <c r="E206" i="9" s="1" a="1"/>
  <c r="C207" i="9"/>
  <c r="E207" i="9" s="1" a="1"/>
  <c r="C208" i="9"/>
  <c r="E208" i="9" s="1" a="1"/>
  <c r="C209" i="9"/>
  <c r="E209" i="9" s="1" a="1"/>
  <c r="C210" i="9"/>
  <c r="E210" i="9" s="1" a="1"/>
  <c r="C211" i="9"/>
  <c r="E211" i="9" s="1" a="1"/>
  <c r="C212" i="9"/>
  <c r="E212" i="9" s="1" a="1"/>
  <c r="C213" i="9"/>
  <c r="E213" i="9" s="1" a="1"/>
  <c r="C214" i="9"/>
  <c r="E214" i="9" s="1" a="1"/>
  <c r="C215" i="9"/>
  <c r="E215" i="9" s="1" a="1"/>
  <c r="C216" i="9"/>
  <c r="E216" i="9" s="1" a="1"/>
  <c r="C217" i="9"/>
  <c r="E217" i="9" s="1" a="1"/>
  <c r="C218" i="9"/>
  <c r="E218" i="9" s="1" a="1"/>
  <c r="C219" i="9"/>
  <c r="E219" i="9" s="1" a="1"/>
  <c r="C220" i="9"/>
  <c r="E220" i="9" s="1" a="1"/>
  <c r="C221" i="9"/>
  <c r="E221" i="9" s="1" a="1"/>
  <c r="C222" i="9"/>
  <c r="E222" i="9" s="1" a="1"/>
  <c r="C223" i="9"/>
  <c r="E223" i="9" s="1" a="1"/>
  <c r="C224" i="9"/>
  <c r="E224" i="9" s="1" a="1"/>
  <c r="C225" i="9"/>
  <c r="E225" i="9" s="1" a="1"/>
  <c r="C226" i="9"/>
  <c r="E226" i="9" s="1" a="1"/>
  <c r="C227" i="9"/>
  <c r="E227" i="9" s="1" a="1"/>
  <c r="C228" i="9"/>
  <c r="E228" i="9" s="1" a="1"/>
  <c r="C229" i="9"/>
  <c r="E229" i="9" s="1" a="1"/>
  <c r="C230" i="9"/>
  <c r="E230" i="9" s="1" a="1"/>
  <c r="C231" i="9"/>
  <c r="E231" i="9" s="1" a="1"/>
  <c r="C232" i="9"/>
  <c r="E232" i="9" s="1" a="1"/>
  <c r="C233" i="9"/>
  <c r="E233" i="9" s="1" a="1"/>
  <c r="C234" i="9"/>
  <c r="E234" i="9" s="1" a="1"/>
  <c r="C235" i="9"/>
  <c r="E235" i="9" s="1" a="1"/>
  <c r="C236" i="9"/>
  <c r="E236" i="9" s="1" a="1"/>
  <c r="C237" i="9"/>
  <c r="E237" i="9" s="1" a="1"/>
  <c r="C238" i="9"/>
  <c r="E238" i="9" s="1" a="1"/>
  <c r="C239" i="9"/>
  <c r="E239" i="9" s="1" a="1"/>
  <c r="C240" i="9"/>
  <c r="E240" i="9" s="1" a="1"/>
  <c r="C241" i="9"/>
  <c r="E241" i="9" s="1" a="1"/>
  <c r="C242" i="9"/>
  <c r="E242" i="9" s="1" a="1"/>
  <c r="C243" i="9"/>
  <c r="E243" i="9" s="1" a="1"/>
  <c r="C244" i="9"/>
  <c r="E244" i="9" s="1" a="1"/>
  <c r="C245" i="9"/>
  <c r="E245" i="9" s="1" a="1"/>
  <c r="C246" i="9"/>
  <c r="E246" i="9" s="1" a="1"/>
  <c r="C247" i="9"/>
  <c r="E247" i="9" s="1" a="1"/>
  <c r="C248" i="9"/>
  <c r="E248" i="9" s="1" a="1"/>
  <c r="C249" i="9"/>
  <c r="E249" i="9" s="1" a="1"/>
  <c r="C250" i="9"/>
  <c r="E250" i="9" s="1" a="1"/>
  <c r="C251" i="9"/>
  <c r="E251" i="9" s="1" a="1"/>
  <c r="C252" i="9"/>
  <c r="E252" i="9" s="1" a="1"/>
  <c r="C253" i="9"/>
  <c r="E253" i="9" s="1" a="1"/>
  <c r="C254" i="9"/>
  <c r="E254" i="9" s="1" a="1"/>
  <c r="C255" i="9"/>
  <c r="E255" i="9" s="1" a="1"/>
  <c r="C256" i="9"/>
  <c r="E256" i="9" s="1" a="1"/>
  <c r="C257" i="9"/>
  <c r="E257" i="9" s="1" a="1"/>
  <c r="C258" i="9"/>
  <c r="E258" i="9" s="1" a="1"/>
  <c r="C259" i="9"/>
  <c r="E259" i="9" s="1" a="1"/>
  <c r="C260" i="9"/>
  <c r="E260" i="9" s="1" a="1"/>
  <c r="C261" i="9"/>
  <c r="E261" i="9" s="1" a="1"/>
  <c r="C262" i="9"/>
  <c r="E262" i="9" s="1" a="1"/>
  <c r="C263" i="9"/>
  <c r="E263" i="9" s="1" a="1"/>
  <c r="C264" i="9"/>
  <c r="E264" i="9" s="1" a="1"/>
  <c r="C265" i="9"/>
  <c r="E265" i="9" s="1" a="1"/>
  <c r="C266" i="9"/>
  <c r="E266" i="9" s="1" a="1"/>
  <c r="C267" i="9"/>
  <c r="E267" i="9" s="1" a="1"/>
  <c r="C268" i="9"/>
  <c r="E268" i="9" s="1" a="1"/>
  <c r="C269" i="9"/>
  <c r="E269" i="9" s="1" a="1"/>
  <c r="C270" i="9"/>
  <c r="E270" i="9" s="1" a="1"/>
  <c r="C271" i="9"/>
  <c r="E271" i="9" s="1" a="1"/>
  <c r="C272" i="9"/>
  <c r="E272" i="9" s="1" a="1"/>
  <c r="C273" i="9"/>
  <c r="E273" i="9" s="1" a="1"/>
  <c r="C274" i="9"/>
  <c r="E274" i="9" s="1" a="1"/>
  <c r="C275" i="9"/>
  <c r="E275" i="9" s="1" a="1"/>
  <c r="C276" i="9"/>
  <c r="E276" i="9" s="1" a="1"/>
  <c r="C277" i="9"/>
  <c r="E277" i="9" s="1" a="1"/>
  <c r="C278" i="9"/>
  <c r="E278" i="9" s="1" a="1"/>
  <c r="C279" i="9"/>
  <c r="E279" i="9" s="1" a="1"/>
  <c r="C280" i="9"/>
  <c r="E280" i="9" s="1" a="1"/>
  <c r="C281" i="9"/>
  <c r="E281" i="9" s="1" a="1"/>
  <c r="C282" i="9"/>
  <c r="E282" i="9" s="1" a="1"/>
  <c r="C283" i="9"/>
  <c r="E283" i="9" s="1" a="1"/>
  <c r="C284" i="9"/>
  <c r="E284" i="9" s="1" a="1"/>
  <c r="C285" i="9"/>
  <c r="E285" i="9" s="1" a="1"/>
  <c r="C286" i="9"/>
  <c r="E286" i="9" s="1" a="1"/>
  <c r="C287" i="9"/>
  <c r="E287" i="9" s="1" a="1"/>
  <c r="C288" i="9"/>
  <c r="E288" i="9" s="1" a="1"/>
  <c r="C289" i="9"/>
  <c r="E289" i="9" s="1" a="1"/>
  <c r="C290" i="9"/>
  <c r="E290" i="9" s="1" a="1"/>
  <c r="C291" i="9"/>
  <c r="E291" i="9" s="1" a="1"/>
  <c r="C292" i="9"/>
  <c r="E292" i="9" s="1" a="1"/>
  <c r="C293" i="9"/>
  <c r="E293" i="9" s="1" a="1"/>
  <c r="C294" i="9"/>
  <c r="E294" i="9" s="1" a="1"/>
  <c r="C295" i="9"/>
  <c r="E295" i="9" s="1" a="1"/>
  <c r="C296" i="9"/>
  <c r="E296" i="9" s="1" a="1"/>
  <c r="C297" i="9"/>
  <c r="E297" i="9" s="1" a="1"/>
  <c r="C298" i="9"/>
  <c r="E298" i="9" s="1" a="1"/>
  <c r="C299" i="9"/>
  <c r="E299" i="9" s="1" a="1"/>
  <c r="C300" i="9"/>
  <c r="E300" i="9" s="1" a="1"/>
  <c r="C301" i="9"/>
  <c r="E301" i="9" s="1" a="1"/>
  <c r="C302" i="9"/>
  <c r="E302" i="9" s="1" a="1"/>
  <c r="C303" i="9"/>
  <c r="E303" i="9" s="1" a="1"/>
  <c r="C304" i="9"/>
  <c r="E304" i="9" s="1" a="1"/>
  <c r="C305" i="9"/>
  <c r="E305" i="9" s="1" a="1"/>
  <c r="C306" i="9"/>
  <c r="E306" i="9" s="1" a="1"/>
  <c r="C307" i="9"/>
  <c r="E307" i="9" s="1" a="1"/>
  <c r="C308" i="9"/>
  <c r="E308" i="9" s="1" a="1"/>
  <c r="C309" i="9"/>
  <c r="E309" i="9" s="1" a="1"/>
  <c r="C310" i="9"/>
  <c r="E310" i="9" s="1" a="1"/>
  <c r="C311" i="9"/>
  <c r="E311" i="9" s="1" a="1"/>
  <c r="C312" i="9"/>
  <c r="E312" i="9" s="1" a="1"/>
  <c r="C313" i="9"/>
  <c r="E313" i="9" s="1" a="1"/>
  <c r="C314" i="9"/>
  <c r="E314" i="9" s="1" a="1"/>
  <c r="C315" i="9"/>
  <c r="E315" i="9" s="1" a="1"/>
  <c r="C316" i="9"/>
  <c r="E316" i="9" s="1" a="1"/>
  <c r="C317" i="9"/>
  <c r="E317" i="9" s="1" a="1"/>
  <c r="C318" i="9"/>
  <c r="E318" i="9" s="1" a="1"/>
  <c r="C319" i="9"/>
  <c r="E319" i="9" s="1" a="1"/>
  <c r="C320" i="9"/>
  <c r="E320" i="9" s="1" a="1"/>
  <c r="C321" i="9"/>
  <c r="E321" i="9" s="1" a="1"/>
  <c r="C322" i="9"/>
  <c r="E322" i="9" s="1" a="1"/>
  <c r="C323" i="9"/>
  <c r="E323" i="9" s="1" a="1"/>
  <c r="C324" i="9"/>
  <c r="E324" i="9" s="1" a="1"/>
  <c r="C325" i="9"/>
  <c r="E325" i="9" s="1" a="1"/>
  <c r="C326" i="9"/>
  <c r="E326" i="9" s="1" a="1"/>
  <c r="C327" i="9"/>
  <c r="E327" i="9" s="1" a="1"/>
  <c r="C328" i="9"/>
  <c r="E328" i="9" s="1" a="1"/>
  <c r="C329" i="9"/>
  <c r="E329" i="9" s="1" a="1"/>
  <c r="C330" i="9"/>
  <c r="E330" i="9" s="1" a="1"/>
  <c r="C331" i="9"/>
  <c r="E331" i="9" s="1" a="1"/>
  <c r="C332" i="9"/>
  <c r="E332" i="9" s="1" a="1"/>
  <c r="C333" i="9"/>
  <c r="E333" i="9" s="1" a="1"/>
  <c r="C334" i="9"/>
  <c r="E334" i="9" s="1" a="1"/>
  <c r="C335" i="9"/>
  <c r="E335" i="9" s="1" a="1"/>
  <c r="C336" i="9"/>
  <c r="E336" i="9" s="1" a="1"/>
  <c r="C337" i="9"/>
  <c r="E337" i="9" s="1" a="1"/>
  <c r="C338" i="9"/>
  <c r="E338" i="9" s="1" a="1"/>
  <c r="C339" i="9"/>
  <c r="E339" i="9" s="1" a="1"/>
  <c r="C340" i="9"/>
  <c r="E340" i="9" s="1" a="1"/>
  <c r="C341" i="9"/>
  <c r="E341" i="9" s="1" a="1"/>
  <c r="C342" i="9"/>
  <c r="E342" i="9" s="1" a="1"/>
  <c r="C343" i="9"/>
  <c r="E343" i="9" s="1" a="1"/>
  <c r="C344" i="9"/>
  <c r="E344" i="9" s="1" a="1"/>
  <c r="C345" i="9"/>
  <c r="E345" i="9" s="1" a="1"/>
  <c r="C346" i="9"/>
  <c r="E346" i="9" s="1" a="1"/>
  <c r="C347" i="9"/>
  <c r="E347" i="9" s="1" a="1"/>
  <c r="C348" i="9"/>
  <c r="E348" i="9" s="1" a="1"/>
  <c r="C349" i="9"/>
  <c r="E349" i="9" s="1" a="1"/>
  <c r="C350" i="9"/>
  <c r="E350" i="9" s="1" a="1"/>
  <c r="C351" i="9"/>
  <c r="E351" i="9" s="1" a="1"/>
  <c r="C352" i="9"/>
  <c r="E352" i="9" s="1" a="1"/>
  <c r="C353" i="9"/>
  <c r="E353" i="9" s="1" a="1"/>
  <c r="C354" i="9"/>
  <c r="E354" i="9" s="1" a="1"/>
  <c r="C355" i="9"/>
  <c r="E355" i="9" s="1" a="1"/>
  <c r="C356" i="9"/>
  <c r="E356" i="9" s="1" a="1"/>
  <c r="C357" i="9"/>
  <c r="E357" i="9" s="1" a="1"/>
  <c r="C358" i="9"/>
  <c r="E358" i="9" s="1" a="1"/>
  <c r="C359" i="9"/>
  <c r="E359" i="9" s="1" a="1"/>
  <c r="C360" i="9"/>
  <c r="E360" i="9" s="1" a="1"/>
  <c r="C361" i="9"/>
  <c r="E361" i="9" s="1" a="1"/>
  <c r="C362" i="9"/>
  <c r="E362" i="9" s="1" a="1"/>
  <c r="C363" i="9"/>
  <c r="E363" i="9" s="1" a="1"/>
  <c r="C364" i="9"/>
  <c r="E364" i="9" s="1" a="1"/>
  <c r="C365" i="9"/>
  <c r="E365" i="9" s="1" a="1"/>
  <c r="C366" i="9"/>
  <c r="E366" i="9" s="1" a="1"/>
  <c r="C367" i="9"/>
  <c r="E367" i="9" s="1" a="1"/>
  <c r="C368" i="9"/>
  <c r="E368" i="9" s="1" a="1"/>
  <c r="C369" i="9"/>
  <c r="E369" i="9" s="1" a="1"/>
  <c r="C370" i="9"/>
  <c r="E370" i="9" s="1" a="1"/>
  <c r="C371" i="9"/>
  <c r="E371" i="9" s="1" a="1"/>
  <c r="C372" i="9"/>
  <c r="E372" i="9" s="1" a="1"/>
  <c r="C373" i="9"/>
  <c r="E373" i="9" s="1" a="1"/>
  <c r="C374" i="9"/>
  <c r="E374" i="9" s="1" a="1"/>
  <c r="C375" i="9"/>
  <c r="E375" i="9" s="1" a="1"/>
  <c r="C376" i="9"/>
  <c r="E376" i="9" s="1" a="1"/>
  <c r="C377" i="9"/>
  <c r="E377" i="9" s="1" a="1"/>
  <c r="C378" i="9"/>
  <c r="E378" i="9" s="1" a="1"/>
  <c r="C379" i="9"/>
  <c r="E379" i="9" s="1" a="1"/>
  <c r="C380" i="9"/>
  <c r="E380" i="9" s="1" a="1"/>
  <c r="C381" i="9"/>
  <c r="E381" i="9" s="1" a="1"/>
  <c r="C382" i="9"/>
  <c r="E382" i="9" s="1" a="1"/>
  <c r="C383" i="9"/>
  <c r="E383" i="9" s="1" a="1"/>
  <c r="C384" i="9"/>
  <c r="E384" i="9" s="1" a="1"/>
  <c r="C385" i="9"/>
  <c r="E385" i="9" s="1" a="1"/>
  <c r="C386" i="9"/>
  <c r="E386" i="9" s="1" a="1"/>
  <c r="C387" i="9"/>
  <c r="E387" i="9" s="1" a="1"/>
  <c r="C388" i="9"/>
  <c r="E388" i="9" s="1" a="1"/>
  <c r="C389" i="9"/>
  <c r="E389" i="9" s="1" a="1"/>
  <c r="C390" i="9"/>
  <c r="E390" i="9" s="1" a="1"/>
  <c r="C391" i="9"/>
  <c r="E391" i="9" s="1" a="1"/>
  <c r="C392" i="9"/>
  <c r="E392" i="9" s="1" a="1"/>
  <c r="C393" i="9"/>
  <c r="E393" i="9" s="1" a="1"/>
  <c r="C394" i="9"/>
  <c r="E394" i="9" s="1" a="1"/>
  <c r="C395" i="9"/>
  <c r="E395" i="9" s="1" a="1"/>
  <c r="C396" i="9"/>
  <c r="E396" i="9" s="1" a="1"/>
  <c r="C397" i="9"/>
  <c r="E397" i="9" s="1" a="1"/>
  <c r="C398" i="9"/>
  <c r="E398" i="9" s="1" a="1"/>
  <c r="C399" i="9"/>
  <c r="E399" i="9" s="1" a="1"/>
  <c r="C400" i="9"/>
  <c r="E400" i="9" s="1" a="1"/>
  <c r="C401" i="9"/>
  <c r="E401" i="9" s="1" a="1"/>
  <c r="C402" i="9"/>
  <c r="E402" i="9" s="1" a="1"/>
  <c r="C403" i="9"/>
  <c r="E403" i="9" s="1" a="1"/>
  <c r="C404" i="9"/>
  <c r="E404" i="9" s="1" a="1"/>
  <c r="C405" i="9"/>
  <c r="E405" i="9" s="1" a="1"/>
  <c r="C406" i="9"/>
  <c r="E406" i="9" s="1" a="1"/>
  <c r="C407" i="9"/>
  <c r="E407" i="9" s="1" a="1"/>
  <c r="C408" i="9"/>
  <c r="E408" i="9" s="1" a="1"/>
  <c r="C409" i="9"/>
  <c r="E409" i="9" s="1" a="1"/>
  <c r="C410" i="9"/>
  <c r="E410" i="9" s="1" a="1"/>
  <c r="C411" i="9"/>
  <c r="E411" i="9" s="1" a="1"/>
  <c r="C412" i="9"/>
  <c r="E412" i="9" s="1" a="1"/>
  <c r="C413" i="9"/>
  <c r="E413" i="9" s="1" a="1"/>
  <c r="C414" i="9"/>
  <c r="E414" i="9" s="1" a="1"/>
  <c r="C415" i="9"/>
  <c r="E415" i="9" s="1" a="1"/>
  <c r="C416" i="9"/>
  <c r="E416" i="9" s="1" a="1"/>
  <c r="C417" i="9"/>
  <c r="E417" i="9" s="1" a="1"/>
  <c r="C418" i="9"/>
  <c r="E418" i="9" s="1" a="1"/>
  <c r="C419" i="9"/>
  <c r="E419" i="9" s="1" a="1"/>
  <c r="C420" i="9"/>
  <c r="E420" i="9" s="1" a="1"/>
  <c r="C421" i="9"/>
  <c r="E421" i="9" s="1" a="1"/>
  <c r="C422" i="9"/>
  <c r="E422" i="9" s="1" a="1"/>
  <c r="C423" i="9"/>
  <c r="E423" i="9" s="1" a="1"/>
  <c r="C424" i="9"/>
  <c r="E424" i="9" s="1" a="1"/>
  <c r="C425" i="9"/>
  <c r="E425" i="9" s="1" a="1"/>
  <c r="C426" i="9"/>
  <c r="E426" i="9" s="1" a="1"/>
  <c r="C427" i="9"/>
  <c r="E427" i="9" s="1" a="1"/>
  <c r="C428" i="9"/>
  <c r="E428" i="9" s="1" a="1"/>
  <c r="C429" i="9"/>
  <c r="E429" i="9" s="1" a="1"/>
  <c r="C430" i="9"/>
  <c r="E430" i="9" s="1" a="1"/>
  <c r="C431" i="9"/>
  <c r="E431" i="9" s="1" a="1"/>
  <c r="C432" i="9"/>
  <c r="E432" i="9" s="1" a="1"/>
  <c r="C433" i="9"/>
  <c r="E433" i="9" s="1" a="1"/>
  <c r="C434" i="9"/>
  <c r="E434" i="9" s="1" a="1"/>
  <c r="C435" i="9"/>
  <c r="E435" i="9" s="1" a="1"/>
  <c r="C436" i="9"/>
  <c r="E436" i="9" s="1" a="1"/>
  <c r="C437" i="9"/>
  <c r="E437" i="9" s="1" a="1"/>
  <c r="C438" i="9"/>
  <c r="E438" i="9" s="1" a="1"/>
  <c r="C439" i="9"/>
  <c r="E439" i="9" s="1" a="1"/>
  <c r="C440" i="9"/>
  <c r="E440" i="9" s="1" a="1"/>
  <c r="C441" i="9"/>
  <c r="E441" i="9" s="1" a="1"/>
  <c r="C442" i="9"/>
  <c r="E442" i="9" s="1" a="1"/>
  <c r="C443" i="9"/>
  <c r="E443" i="9" s="1" a="1"/>
  <c r="C444" i="9"/>
  <c r="E444" i="9" s="1" a="1"/>
  <c r="C445" i="9"/>
  <c r="E445" i="9" s="1" a="1"/>
  <c r="C446" i="9"/>
  <c r="E446" i="9" s="1" a="1"/>
  <c r="C447" i="9"/>
  <c r="E447" i="9" s="1" a="1"/>
  <c r="C448" i="9"/>
  <c r="E448" i="9" s="1" a="1"/>
  <c r="C449" i="9"/>
  <c r="E449" i="9" s="1" a="1"/>
  <c r="C450" i="9"/>
  <c r="E450" i="9" s="1" a="1"/>
  <c r="C451" i="9"/>
  <c r="E451" i="9" s="1" a="1"/>
  <c r="C452" i="9"/>
  <c r="E452" i="9" s="1" a="1"/>
  <c r="C453" i="9"/>
  <c r="E453" i="9" s="1" a="1"/>
  <c r="C454" i="9"/>
  <c r="E454" i="9" s="1" a="1"/>
  <c r="C455" i="9"/>
  <c r="E455" i="9" s="1" a="1"/>
  <c r="C456" i="9"/>
  <c r="E456" i="9" s="1" a="1"/>
  <c r="C457" i="9"/>
  <c r="E457" i="9" s="1" a="1"/>
  <c r="C458" i="9"/>
  <c r="E458" i="9" s="1" a="1"/>
  <c r="C459" i="9"/>
  <c r="E459" i="9" s="1" a="1"/>
  <c r="C460" i="9"/>
  <c r="E460" i="9" s="1" a="1"/>
  <c r="C461" i="9"/>
  <c r="E461" i="9" s="1" a="1"/>
  <c r="C462" i="9"/>
  <c r="E462" i="9" s="1" a="1"/>
  <c r="C463" i="9"/>
  <c r="E463" i="9" s="1" a="1"/>
  <c r="C464" i="9"/>
  <c r="E464" i="9" s="1" a="1"/>
  <c r="C465" i="9"/>
  <c r="E465" i="9" s="1" a="1"/>
  <c r="C466" i="9"/>
  <c r="E466" i="9" s="1" a="1"/>
  <c r="C467" i="9"/>
  <c r="E467" i="9" s="1" a="1"/>
  <c r="C468" i="9"/>
  <c r="E468" i="9" s="1" a="1"/>
  <c r="C469" i="9"/>
  <c r="E469" i="9" s="1" a="1"/>
  <c r="C470" i="9"/>
  <c r="E470" i="9" s="1" a="1"/>
  <c r="C471" i="9"/>
  <c r="E471" i="9" s="1" a="1"/>
  <c r="C472" i="9"/>
  <c r="E472" i="9" s="1" a="1"/>
  <c r="C473" i="9"/>
  <c r="E473" i="9" s="1" a="1"/>
  <c r="C474" i="9"/>
  <c r="E474" i="9" s="1" a="1"/>
  <c r="C475" i="9"/>
  <c r="E475" i="9" s="1" a="1"/>
  <c r="C476" i="9"/>
  <c r="E476" i="9" s="1" a="1"/>
  <c r="C477" i="9"/>
  <c r="E477" i="9" s="1" a="1"/>
  <c r="C478" i="9"/>
  <c r="E478" i="9" s="1" a="1"/>
  <c r="C479" i="9"/>
  <c r="E479" i="9" s="1" a="1"/>
  <c r="C480" i="9"/>
  <c r="E480" i="9" s="1" a="1"/>
  <c r="C481" i="9"/>
  <c r="E481" i="9" s="1" a="1"/>
  <c r="C482" i="9"/>
  <c r="E482" i="9" s="1" a="1"/>
  <c r="C483" i="9"/>
  <c r="E483" i="9" s="1" a="1"/>
  <c r="C484" i="9"/>
  <c r="E484" i="9" s="1" a="1"/>
  <c r="C485" i="9"/>
  <c r="E485" i="9" s="1" a="1"/>
  <c r="C486" i="9"/>
  <c r="E486" i="9" s="1" a="1"/>
  <c r="C487" i="9"/>
  <c r="E487" i="9" s="1" a="1"/>
  <c r="C488" i="9"/>
  <c r="E488" i="9" s="1" a="1"/>
  <c r="C489" i="9"/>
  <c r="E489" i="9" s="1" a="1"/>
  <c r="C490" i="9"/>
  <c r="E490" i="9" s="1" a="1"/>
  <c r="C491" i="9"/>
  <c r="E491" i="9" s="1" a="1"/>
  <c r="C492" i="9"/>
  <c r="E492" i="9" s="1" a="1"/>
  <c r="C493" i="9"/>
  <c r="E493" i="9" s="1" a="1"/>
  <c r="C494" i="9"/>
  <c r="E494" i="9" s="1" a="1"/>
  <c r="C495" i="9"/>
  <c r="E495" i="9" s="1" a="1"/>
  <c r="C496" i="9"/>
  <c r="E496" i="9" s="1" a="1"/>
  <c r="C497" i="9"/>
  <c r="E497" i="9" s="1" a="1"/>
  <c r="C498" i="9"/>
  <c r="E498" i="9" s="1" a="1"/>
  <c r="C499" i="9"/>
  <c r="E499" i="9" s="1" a="1"/>
  <c r="C500" i="9"/>
  <c r="E500" i="9" s="1" a="1"/>
  <c r="C501" i="9"/>
  <c r="E501" i="9" s="1" a="1"/>
  <c r="C502" i="9"/>
  <c r="E502" i="9" s="1" a="1"/>
  <c r="C503" i="9"/>
  <c r="E503" i="9" s="1" a="1"/>
  <c r="C504" i="9"/>
  <c r="E504" i="9" s="1" a="1"/>
  <c r="C505" i="9"/>
  <c r="E505" i="9" s="1" a="1"/>
  <c r="C506" i="9"/>
  <c r="E506" i="9" s="1" a="1"/>
  <c r="C507" i="9"/>
  <c r="E507" i="9" s="1" a="1"/>
  <c r="C508" i="9"/>
  <c r="E508" i="9" s="1" a="1"/>
  <c r="C509" i="9"/>
  <c r="E509" i="9" s="1" a="1"/>
  <c r="C510" i="9"/>
  <c r="E510" i="9" s="1" a="1"/>
  <c r="C511" i="9"/>
  <c r="E511" i="9" s="1" a="1"/>
  <c r="C512" i="9"/>
  <c r="E512" i="9" s="1" a="1"/>
  <c r="C513" i="9"/>
  <c r="E513" i="9" s="1" a="1"/>
  <c r="C514" i="9"/>
  <c r="E514" i="9" s="1" a="1"/>
  <c r="C515" i="9"/>
  <c r="E515" i="9" s="1" a="1"/>
  <c r="C516" i="9"/>
  <c r="E516" i="9" s="1" a="1"/>
  <c r="C517" i="9"/>
  <c r="E517" i="9" s="1" a="1"/>
  <c r="C518" i="9"/>
  <c r="E518" i="9" s="1" a="1"/>
  <c r="C519" i="9"/>
  <c r="E519" i="9" s="1" a="1"/>
  <c r="C520" i="9"/>
  <c r="E520" i="9" s="1" a="1"/>
  <c r="C521" i="9"/>
  <c r="E521" i="9" s="1" a="1"/>
  <c r="C522" i="9"/>
  <c r="E522" i="9" s="1" a="1"/>
  <c r="C523" i="9"/>
  <c r="E523" i="9" s="1" a="1"/>
  <c r="C524" i="9"/>
  <c r="E524" i="9" s="1" a="1"/>
  <c r="C525" i="9"/>
  <c r="E525" i="9" s="1" a="1"/>
  <c r="C526" i="9"/>
  <c r="E526" i="9" s="1" a="1"/>
  <c r="C527" i="9"/>
  <c r="E527" i="9" s="1" a="1"/>
  <c r="C528" i="9"/>
  <c r="E528" i="9" s="1" a="1"/>
  <c r="C529" i="9"/>
  <c r="E529" i="9" s="1" a="1"/>
  <c r="C530" i="9"/>
  <c r="E530" i="9" s="1" a="1"/>
  <c r="C531" i="9"/>
  <c r="E531" i="9" s="1" a="1"/>
  <c r="C532" i="9"/>
  <c r="E532" i="9" s="1" a="1"/>
  <c r="C533" i="9"/>
  <c r="E533" i="9" s="1" a="1"/>
  <c r="C534" i="9"/>
  <c r="E534" i="9" s="1" a="1"/>
  <c r="C535" i="9"/>
  <c r="E535" i="9" s="1" a="1"/>
  <c r="C536" i="9"/>
  <c r="E536" i="9" s="1" a="1"/>
  <c r="C537" i="9"/>
  <c r="E537" i="9" s="1" a="1"/>
  <c r="C538" i="9"/>
  <c r="E538" i="9" s="1" a="1"/>
  <c r="C539" i="9"/>
  <c r="E539" i="9" s="1" a="1"/>
  <c r="C540" i="9"/>
  <c r="E540" i="9" s="1" a="1"/>
  <c r="C541" i="9"/>
  <c r="E541" i="9" s="1" a="1"/>
  <c r="C542" i="9"/>
  <c r="E542" i="9" s="1" a="1"/>
  <c r="C543" i="9"/>
  <c r="E543" i="9" s="1" a="1"/>
  <c r="C544" i="9"/>
  <c r="E544" i="9" s="1" a="1"/>
  <c r="C545" i="9"/>
  <c r="E545" i="9" s="1" a="1"/>
  <c r="C546" i="9"/>
  <c r="E546" i="9" s="1" a="1"/>
  <c r="C547" i="9"/>
  <c r="E547" i="9" s="1" a="1"/>
  <c r="C548" i="9"/>
  <c r="E548" i="9" s="1" a="1"/>
  <c r="C549" i="9"/>
  <c r="E549" i="9" s="1" a="1"/>
  <c r="C550" i="9"/>
  <c r="E550" i="9" s="1" a="1"/>
  <c r="C551" i="9"/>
  <c r="E551" i="9" s="1" a="1"/>
  <c r="C552" i="9"/>
  <c r="E552" i="9" s="1" a="1"/>
  <c r="C553" i="9"/>
  <c r="E553" i="9" s="1" a="1"/>
  <c r="C554" i="9"/>
  <c r="E554" i="9" s="1" a="1"/>
  <c r="C555" i="9"/>
  <c r="E555" i="9" s="1" a="1"/>
  <c r="C556" i="9"/>
  <c r="E556" i="9" s="1" a="1"/>
  <c r="C557" i="9"/>
  <c r="E557" i="9" s="1" a="1"/>
  <c r="C558" i="9"/>
  <c r="E558" i="9" s="1" a="1"/>
  <c r="C559" i="9"/>
  <c r="E559" i="9" s="1" a="1"/>
  <c r="C560" i="9"/>
  <c r="E560" i="9" s="1" a="1"/>
  <c r="C561" i="9"/>
  <c r="E561" i="9" s="1" a="1"/>
  <c r="C562" i="9"/>
  <c r="E562" i="9" s="1" a="1"/>
  <c r="C563" i="9"/>
  <c r="E563" i="9" s="1" a="1"/>
  <c r="C564" i="9"/>
  <c r="E564" i="9" s="1" a="1"/>
  <c r="C565" i="9"/>
  <c r="E565" i="9" s="1" a="1"/>
  <c r="C566" i="9"/>
  <c r="E566" i="9" s="1" a="1"/>
  <c r="C567" i="9"/>
  <c r="E567" i="9" s="1" a="1"/>
  <c r="C568" i="9"/>
  <c r="E568" i="9" s="1" a="1"/>
  <c r="C569" i="9"/>
  <c r="E569" i="9" s="1" a="1"/>
  <c r="C570" i="9"/>
  <c r="E570" i="9" s="1" a="1"/>
  <c r="C571" i="9"/>
  <c r="E571" i="9" s="1" a="1"/>
  <c r="C572" i="9"/>
  <c r="E572" i="9" s="1" a="1"/>
  <c r="C573" i="9"/>
  <c r="E573" i="9" s="1" a="1"/>
  <c r="C574" i="9"/>
  <c r="E574" i="9" s="1" a="1"/>
  <c r="C575" i="9"/>
  <c r="E575" i="9" s="1" a="1"/>
  <c r="C576" i="9"/>
  <c r="E576" i="9" s="1" a="1"/>
  <c r="C577" i="9"/>
  <c r="E577" i="9" s="1" a="1"/>
  <c r="C578" i="9"/>
  <c r="E578" i="9" s="1" a="1"/>
  <c r="C579" i="9"/>
  <c r="E579" i="9" s="1" a="1"/>
  <c r="C580" i="9"/>
  <c r="E580" i="9" s="1" a="1"/>
  <c r="C581" i="9"/>
  <c r="E581" i="9" s="1" a="1"/>
  <c r="C582" i="9"/>
  <c r="E582" i="9" s="1" a="1"/>
  <c r="C583" i="9"/>
  <c r="E583" i="9" s="1" a="1"/>
  <c r="C584" i="9"/>
  <c r="E584" i="9" s="1" a="1"/>
  <c r="C585" i="9"/>
  <c r="E585" i="9" s="1" a="1"/>
  <c r="C586" i="9"/>
  <c r="E586" i="9" s="1" a="1"/>
  <c r="C587" i="9"/>
  <c r="E587" i="9" s="1" a="1"/>
  <c r="C588" i="9"/>
  <c r="E588" i="9" s="1" a="1"/>
  <c r="C589" i="9"/>
  <c r="E589" i="9" s="1" a="1"/>
  <c r="C590" i="9"/>
  <c r="E590" i="9" s="1" a="1"/>
  <c r="C591" i="9"/>
  <c r="E591" i="9" s="1" a="1"/>
  <c r="C592" i="9"/>
  <c r="E592" i="9" s="1" a="1"/>
  <c r="C593" i="9"/>
  <c r="E593" i="9" s="1" a="1"/>
  <c r="C594" i="9"/>
  <c r="E594" i="9" s="1" a="1"/>
  <c r="C595" i="9"/>
  <c r="E595" i="9" s="1" a="1"/>
  <c r="C596" i="9"/>
  <c r="E596" i="9" s="1" a="1"/>
  <c r="C597" i="9"/>
  <c r="E597" i="9" s="1" a="1"/>
  <c r="C598" i="9"/>
  <c r="E598" i="9" s="1" a="1"/>
  <c r="C599" i="9"/>
  <c r="E599" i="9" s="1" a="1"/>
  <c r="C600" i="9"/>
  <c r="E600" i="9" s="1" a="1"/>
  <c r="C601" i="9"/>
  <c r="E601" i="9" s="1" a="1"/>
  <c r="C602" i="9"/>
  <c r="E602" i="9" s="1" a="1"/>
  <c r="C603" i="9"/>
  <c r="E603" i="9" s="1" a="1"/>
  <c r="C604" i="9"/>
  <c r="E604" i="9" s="1" a="1"/>
  <c r="C605" i="9"/>
  <c r="E605" i="9" s="1" a="1"/>
  <c r="C606" i="9"/>
  <c r="E606" i="9" s="1" a="1"/>
  <c r="C607" i="9"/>
  <c r="E607" i="9" s="1" a="1"/>
  <c r="C608" i="9"/>
  <c r="E608" i="9" s="1" a="1"/>
  <c r="C609" i="9"/>
  <c r="E609" i="9" s="1" a="1"/>
  <c r="C610" i="9"/>
  <c r="E610" i="9" s="1" a="1"/>
  <c r="C611" i="9"/>
  <c r="E611" i="9" s="1" a="1"/>
  <c r="C612" i="9"/>
  <c r="E612" i="9" s="1" a="1"/>
  <c r="C613" i="9"/>
  <c r="E613" i="9" s="1" a="1"/>
  <c r="C614" i="9"/>
  <c r="E614" i="9" s="1" a="1"/>
  <c r="C615" i="9"/>
  <c r="E615" i="9" s="1" a="1"/>
  <c r="C616" i="9"/>
  <c r="E616" i="9" s="1" a="1"/>
  <c r="C617" i="9"/>
  <c r="E617" i="9" s="1" a="1"/>
  <c r="C618" i="9"/>
  <c r="E618" i="9" s="1" a="1"/>
  <c r="C619" i="9"/>
  <c r="E619" i="9" s="1" a="1"/>
  <c r="C620" i="9"/>
  <c r="E620" i="9" s="1" a="1"/>
  <c r="C621" i="9"/>
  <c r="E621" i="9" s="1" a="1"/>
  <c r="C622" i="9"/>
  <c r="E622" i="9" s="1" a="1"/>
  <c r="C623" i="9"/>
  <c r="E623" i="9" s="1" a="1"/>
  <c r="C624" i="9"/>
  <c r="E624" i="9" s="1" a="1"/>
  <c r="C625" i="9"/>
  <c r="E625" i="9" s="1" a="1"/>
  <c r="C626" i="9"/>
  <c r="E626" i="9" s="1" a="1"/>
  <c r="C627" i="9"/>
  <c r="E627" i="9" s="1" a="1"/>
  <c r="C628" i="9"/>
  <c r="E628" i="9" s="1" a="1"/>
  <c r="C629" i="9"/>
  <c r="E629" i="9" s="1" a="1"/>
  <c r="C630" i="9"/>
  <c r="E630" i="9" s="1" a="1"/>
  <c r="C631" i="9"/>
  <c r="E631" i="9" s="1" a="1"/>
  <c r="C632" i="9"/>
  <c r="E632" i="9" s="1" a="1"/>
  <c r="C633" i="9"/>
  <c r="E633" i="9" s="1" a="1"/>
  <c r="C634" i="9"/>
  <c r="E634" i="9" s="1" a="1"/>
  <c r="C635" i="9"/>
  <c r="E635" i="9" s="1" a="1"/>
  <c r="C636" i="9"/>
  <c r="E636" i="9" s="1" a="1"/>
  <c r="C637" i="9"/>
  <c r="E637" i="9" s="1" a="1"/>
  <c r="C638" i="9"/>
  <c r="E638" i="9" s="1" a="1"/>
  <c r="C639" i="9"/>
  <c r="E639" i="9" s="1" a="1"/>
  <c r="C640" i="9"/>
  <c r="E640" i="9" s="1" a="1"/>
  <c r="C641" i="9"/>
  <c r="E641" i="9" s="1" a="1"/>
  <c r="C642" i="9"/>
  <c r="E642" i="9" s="1" a="1"/>
  <c r="C643" i="9"/>
  <c r="E643" i="9" s="1" a="1"/>
  <c r="C644" i="9"/>
  <c r="E644" i="9" s="1" a="1"/>
  <c r="C645" i="9"/>
  <c r="E645" i="9" s="1" a="1"/>
  <c r="C646" i="9"/>
  <c r="E646" i="9" s="1" a="1"/>
  <c r="C647" i="9"/>
  <c r="E647" i="9" s="1" a="1"/>
  <c r="C648" i="9"/>
  <c r="E648" i="9" s="1" a="1"/>
  <c r="C649" i="9"/>
  <c r="E649" i="9" s="1" a="1"/>
  <c r="C650" i="9"/>
  <c r="E650" i="9" s="1" a="1"/>
  <c r="C651" i="9"/>
  <c r="E651" i="9" s="1" a="1"/>
  <c r="C652" i="9"/>
  <c r="E652" i="9" s="1" a="1"/>
  <c r="B3" i="9"/>
  <c r="B4" i="9"/>
  <c r="AC4" i="9" s="1"/>
  <c r="B5" i="9"/>
  <c r="B6" i="9"/>
  <c r="AC6" i="9" s="1"/>
  <c r="B7" i="9"/>
  <c r="B8" i="9"/>
  <c r="B9" i="9"/>
  <c r="B10" i="9"/>
  <c r="B11" i="9"/>
  <c r="B12" i="9"/>
  <c r="B13" i="9"/>
  <c r="B14" i="9"/>
  <c r="AC14" i="9" s="1"/>
  <c r="B15" i="9"/>
  <c r="B16" i="9"/>
  <c r="AC16" i="9" s="1"/>
  <c r="B17" i="9"/>
  <c r="B18" i="9"/>
  <c r="AC18" i="9" s="1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AC33" i="9" s="1"/>
  <c r="B34" i="9"/>
  <c r="B35" i="9"/>
  <c r="B36" i="9"/>
  <c r="B37" i="9"/>
  <c r="B38" i="9"/>
  <c r="B39" i="9"/>
  <c r="B40" i="9"/>
  <c r="B41" i="9"/>
  <c r="B42" i="9"/>
  <c r="AC42" i="9" s="1"/>
  <c r="B43" i="9"/>
  <c r="B44" i="9"/>
  <c r="AC44" i="9" s="1"/>
  <c r="B45" i="9"/>
  <c r="B46" i="9"/>
  <c r="B47" i="9"/>
  <c r="B48" i="9"/>
  <c r="B49" i="9"/>
  <c r="AC49" i="9" s="1"/>
  <c r="B50" i="9"/>
  <c r="B51" i="9"/>
  <c r="B52" i="9"/>
  <c r="B53" i="9"/>
  <c r="B54" i="9"/>
  <c r="B55" i="9"/>
  <c r="B56" i="9"/>
  <c r="B57" i="9"/>
  <c r="B58" i="9"/>
  <c r="B59" i="9"/>
  <c r="AC59" i="9" s="1"/>
  <c r="B60" i="9"/>
  <c r="B61" i="9"/>
  <c r="B62" i="9"/>
  <c r="AC62" i="9" s="1"/>
  <c r="B63" i="9"/>
  <c r="B64" i="9"/>
  <c r="AC64" i="9" s="1"/>
  <c r="B65" i="9"/>
  <c r="B66" i="9"/>
  <c r="B67" i="9"/>
  <c r="B68" i="9"/>
  <c r="B69" i="9"/>
  <c r="B70" i="9"/>
  <c r="B71" i="9"/>
  <c r="AC71" i="9" s="1"/>
  <c r="B72" i="9"/>
  <c r="B73" i="9"/>
  <c r="AC73" i="9" s="1"/>
  <c r="B74" i="9"/>
  <c r="B75" i="9"/>
  <c r="AC75" i="9" s="1"/>
  <c r="B76" i="9"/>
  <c r="B77" i="9"/>
  <c r="B78" i="9"/>
  <c r="B79" i="9"/>
  <c r="B80" i="9"/>
  <c r="B81" i="9"/>
  <c r="B82" i="9"/>
  <c r="AC82" i="9" s="1"/>
  <c r="B83" i="9"/>
  <c r="B84" i="9"/>
  <c r="B85" i="9"/>
  <c r="B86" i="9"/>
  <c r="B87" i="9"/>
  <c r="B88" i="9"/>
  <c r="AC88" i="9" s="1"/>
  <c r="B89" i="9"/>
  <c r="B90" i="9"/>
  <c r="B91" i="9"/>
  <c r="B92" i="9"/>
  <c r="B93" i="9"/>
  <c r="AC93" i="9" s="1"/>
  <c r="B94" i="9"/>
  <c r="B95" i="9"/>
  <c r="B96" i="9"/>
  <c r="B97" i="9"/>
  <c r="B98" i="9"/>
  <c r="B99" i="9"/>
  <c r="B100" i="9"/>
  <c r="B101" i="9"/>
  <c r="B102" i="9"/>
  <c r="AC102" i="9" s="1"/>
  <c r="B103" i="9"/>
  <c r="B104" i="9"/>
  <c r="B105" i="9"/>
  <c r="B106" i="9"/>
  <c r="B107" i="9"/>
  <c r="B108" i="9"/>
  <c r="B109" i="9"/>
  <c r="B110" i="9"/>
  <c r="B111" i="9"/>
  <c r="B112" i="9"/>
  <c r="B113" i="9"/>
  <c r="B114" i="9"/>
  <c r="AC114" i="9" s="1"/>
  <c r="B115" i="9"/>
  <c r="B116" i="9"/>
  <c r="B117" i="9"/>
  <c r="AC117" i="9" s="1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AC136" i="9" s="1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AC149" i="9" s="1"/>
  <c r="B150" i="9"/>
  <c r="B151" i="9"/>
  <c r="B152" i="9"/>
  <c r="B153" i="9"/>
  <c r="B154" i="9"/>
  <c r="B155" i="9"/>
  <c r="B156" i="9"/>
  <c r="B157" i="9"/>
  <c r="B158" i="9"/>
  <c r="B159" i="9"/>
  <c r="AC159" i="9" s="1"/>
  <c r="B160" i="9"/>
  <c r="B161" i="9"/>
  <c r="B162" i="9"/>
  <c r="B163" i="9"/>
  <c r="B164" i="9"/>
  <c r="B165" i="9"/>
  <c r="B166" i="9"/>
  <c r="B167" i="9"/>
  <c r="B168" i="9"/>
  <c r="B169" i="9"/>
  <c r="AC169" i="9" s="1"/>
  <c r="B170" i="9"/>
  <c r="B171" i="9"/>
  <c r="B172" i="9"/>
  <c r="AC172" i="9" s="1"/>
  <c r="B173" i="9"/>
  <c r="B174" i="9"/>
  <c r="B175" i="9"/>
  <c r="B176" i="9"/>
  <c r="B177" i="9"/>
  <c r="AC177" i="9" s="1"/>
  <c r="B178" i="9"/>
  <c r="B179" i="9"/>
  <c r="B180" i="9"/>
  <c r="B181" i="9"/>
  <c r="B182" i="9"/>
  <c r="B183" i="9"/>
  <c r="B184" i="9"/>
  <c r="B185" i="9"/>
  <c r="B186" i="9"/>
  <c r="B187" i="9"/>
  <c r="B188" i="9"/>
  <c r="AC188" i="9" s="1"/>
  <c r="B189" i="9"/>
  <c r="B190" i="9"/>
  <c r="AC190" i="9" s="1"/>
  <c r="B191" i="9"/>
  <c r="B192" i="9"/>
  <c r="AC192" i="9" s="1"/>
  <c r="B193" i="9"/>
  <c r="B194" i="9"/>
  <c r="B195" i="9"/>
  <c r="AC195" i="9" s="1"/>
  <c r="B196" i="9"/>
  <c r="B197" i="9"/>
  <c r="B198" i="9"/>
  <c r="B199" i="9"/>
  <c r="B200" i="9"/>
  <c r="B201" i="9"/>
  <c r="B202" i="9"/>
  <c r="B203" i="9"/>
  <c r="B204" i="9"/>
  <c r="B205" i="9"/>
  <c r="B206" i="9"/>
  <c r="AC206" i="9" s="1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AC225" i="9" s="1"/>
  <c r="B226" i="9"/>
  <c r="B227" i="9"/>
  <c r="B228" i="9"/>
  <c r="B229" i="9"/>
  <c r="B230" i="9"/>
  <c r="B231" i="9"/>
  <c r="B232" i="9"/>
  <c r="B233" i="9"/>
  <c r="B234" i="9"/>
  <c r="AC234" i="9" s="1"/>
  <c r="B235" i="9"/>
  <c r="B236" i="9"/>
  <c r="B237" i="9"/>
  <c r="B238" i="9"/>
  <c r="B239" i="9"/>
  <c r="B240" i="9"/>
  <c r="AC240" i="9" s="1"/>
  <c r="B241" i="9"/>
  <c r="B242" i="9"/>
  <c r="AC242" i="9" s="1"/>
  <c r="B243" i="9"/>
  <c r="B244" i="9"/>
  <c r="AC244" i="9" s="1"/>
  <c r="B245" i="9"/>
  <c r="B246" i="9"/>
  <c r="AC246" i="9" s="1"/>
  <c r="B247" i="9"/>
  <c r="B248" i="9"/>
  <c r="AC248" i="9" s="1"/>
  <c r="B249" i="9"/>
  <c r="B250" i="9"/>
  <c r="AC250" i="9" s="1"/>
  <c r="B251" i="9"/>
  <c r="B252" i="9"/>
  <c r="AC252" i="9" s="1"/>
  <c r="B253" i="9"/>
  <c r="B254" i="9"/>
  <c r="B255" i="9"/>
  <c r="B256" i="9"/>
  <c r="AC256" i="9" s="1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AC273" i="9" s="1"/>
  <c r="B274" i="9"/>
  <c r="B275" i="9"/>
  <c r="B276" i="9"/>
  <c r="B277" i="9"/>
  <c r="B278" i="9"/>
  <c r="B279" i="9"/>
  <c r="B280" i="9"/>
  <c r="B281" i="9"/>
  <c r="AC281" i="9" s="1"/>
  <c r="B282" i="9"/>
  <c r="B283" i="9"/>
  <c r="B284" i="9"/>
  <c r="B285" i="9"/>
  <c r="B286" i="9"/>
  <c r="AC286" i="9" s="1"/>
  <c r="B287" i="9"/>
  <c r="B288" i="9"/>
  <c r="B289" i="9"/>
  <c r="B290" i="9"/>
  <c r="AC290" i="9" s="1"/>
  <c r="B291" i="9"/>
  <c r="B292" i="9"/>
  <c r="B293" i="9"/>
  <c r="B294" i="9"/>
  <c r="B295" i="9"/>
  <c r="B296" i="9"/>
  <c r="B297" i="9"/>
  <c r="B298" i="9"/>
  <c r="B299" i="9"/>
  <c r="B300" i="9"/>
  <c r="AC300" i="9" s="1"/>
  <c r="B301" i="9"/>
  <c r="B302" i="9"/>
  <c r="B303" i="9"/>
  <c r="AC303" i="9" s="1"/>
  <c r="B304" i="9"/>
  <c r="B305" i="9"/>
  <c r="B306" i="9"/>
  <c r="B307" i="9"/>
  <c r="B308" i="9"/>
  <c r="B309" i="9"/>
  <c r="B310" i="9"/>
  <c r="B311" i="9"/>
  <c r="B312" i="9"/>
  <c r="B313" i="9"/>
  <c r="AC313" i="9" s="1"/>
  <c r="B314" i="9"/>
  <c r="B315" i="9"/>
  <c r="B316" i="9"/>
  <c r="B317" i="9"/>
  <c r="B318" i="9"/>
  <c r="AC318" i="9" s="1"/>
  <c r="B319" i="9"/>
  <c r="B320" i="9"/>
  <c r="B321" i="9"/>
  <c r="B322" i="9"/>
  <c r="B323" i="9"/>
  <c r="AC323" i="9" s="1"/>
  <c r="B324" i="9"/>
  <c r="B325" i="9"/>
  <c r="B326" i="9"/>
  <c r="B327" i="9"/>
  <c r="AC327" i="9" s="1"/>
  <c r="B328" i="9"/>
  <c r="B329" i="9"/>
  <c r="B330" i="9"/>
  <c r="B331" i="9"/>
  <c r="B332" i="9"/>
  <c r="B333" i="9"/>
  <c r="B334" i="9"/>
  <c r="B335" i="9"/>
  <c r="B336" i="9"/>
  <c r="AC336" i="9" s="1"/>
  <c r="B337" i="9"/>
  <c r="B338" i="9"/>
  <c r="AC338" i="9" s="1"/>
  <c r="B339" i="9"/>
  <c r="B340" i="9"/>
  <c r="B341" i="9"/>
  <c r="B342" i="9"/>
  <c r="B343" i="9"/>
  <c r="B344" i="9"/>
  <c r="B345" i="9"/>
  <c r="B346" i="9"/>
  <c r="B347" i="9"/>
  <c r="B348" i="9"/>
  <c r="B349" i="9"/>
  <c r="B350" i="9"/>
  <c r="AC350" i="9" s="1"/>
  <c r="B351" i="9"/>
  <c r="B352" i="9"/>
  <c r="AC352" i="9" s="1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AC371" i="9" s="1"/>
  <c r="B372" i="9"/>
  <c r="B373" i="9"/>
  <c r="B374" i="9"/>
  <c r="AC374" i="9" s="1"/>
  <c r="B375" i="9"/>
  <c r="B376" i="9"/>
  <c r="B377" i="9"/>
  <c r="AC377" i="9" s="1"/>
  <c r="B378" i="9"/>
  <c r="B379" i="9"/>
  <c r="B380" i="9"/>
  <c r="B381" i="9"/>
  <c r="B382" i="9"/>
  <c r="B383" i="9"/>
  <c r="B384" i="9"/>
  <c r="AC384" i="9" s="1"/>
  <c r="B385" i="9"/>
  <c r="B386" i="9"/>
  <c r="B387" i="9"/>
  <c r="AC387" i="9" s="1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AC401" i="9" s="1"/>
  <c r="B402" i="9"/>
  <c r="B403" i="9"/>
  <c r="AC403" i="9" s="1"/>
  <c r="B404" i="9"/>
  <c r="B405" i="9"/>
  <c r="B406" i="9"/>
  <c r="AC406" i="9" s="1"/>
  <c r="B407" i="9"/>
  <c r="B408" i="9"/>
  <c r="B409" i="9"/>
  <c r="B410" i="9"/>
  <c r="B411" i="9"/>
  <c r="B412" i="9"/>
  <c r="B413" i="9"/>
  <c r="B414" i="9"/>
  <c r="AC414" i="9" s="1"/>
  <c r="B415" i="9"/>
  <c r="B416" i="9"/>
  <c r="AC416" i="9" s="1"/>
  <c r="B417" i="9"/>
  <c r="B418" i="9"/>
  <c r="B419" i="9"/>
  <c r="B420" i="9"/>
  <c r="B421" i="9"/>
  <c r="B422" i="9"/>
  <c r="B423" i="9"/>
  <c r="B424" i="9"/>
  <c r="B425" i="9"/>
  <c r="AC425" i="9" s="1"/>
  <c r="B426" i="9"/>
  <c r="B427" i="9"/>
  <c r="B428" i="9"/>
  <c r="B429" i="9"/>
  <c r="B430" i="9"/>
  <c r="B431" i="9"/>
  <c r="B432" i="9"/>
  <c r="B433" i="9"/>
  <c r="AC433" i="9" s="1"/>
  <c r="B434" i="9"/>
  <c r="B435" i="9"/>
  <c r="AC435" i="9" s="1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AC450" i="9" s="1"/>
  <c r="B451" i="9"/>
  <c r="B452" i="9"/>
  <c r="B453" i="9"/>
  <c r="B454" i="9"/>
  <c r="B455" i="9"/>
  <c r="B456" i="9"/>
  <c r="AC456" i="9" s="1"/>
  <c r="B457" i="9"/>
  <c r="B458" i="9"/>
  <c r="B459" i="9"/>
  <c r="B460" i="9"/>
  <c r="B461" i="9"/>
  <c r="B462" i="9"/>
  <c r="B463" i="9"/>
  <c r="B464" i="9"/>
  <c r="B465" i="9"/>
  <c r="B466" i="9"/>
  <c r="B467" i="9"/>
  <c r="AC467" i="9" s="1"/>
  <c r="B468" i="9"/>
  <c r="AC468" i="9" s="1"/>
  <c r="B469" i="9"/>
  <c r="AC469" i="9" s="1"/>
  <c r="B470" i="9"/>
  <c r="AC470" i="9" s="1"/>
  <c r="B471" i="9"/>
  <c r="AC471" i="9" s="1"/>
  <c r="B472" i="9"/>
  <c r="AC472" i="9" s="1"/>
  <c r="B473" i="9"/>
  <c r="AC473" i="9" s="1"/>
  <c r="B474" i="9"/>
  <c r="AC474" i="9" s="1"/>
  <c r="B475" i="9"/>
  <c r="AC475" i="9" s="1"/>
  <c r="B476" i="9"/>
  <c r="AC476" i="9" s="1"/>
  <c r="B477" i="9"/>
  <c r="AC477" i="9" s="1"/>
  <c r="B478" i="9"/>
  <c r="AC478" i="9" s="1"/>
  <c r="B479" i="9"/>
  <c r="AC479" i="9" s="1"/>
  <c r="B480" i="9"/>
  <c r="AC480" i="9" s="1"/>
  <c r="B481" i="9"/>
  <c r="AC481" i="9" s="1"/>
  <c r="B482" i="9"/>
  <c r="AC482" i="9" s="1"/>
  <c r="B483" i="9"/>
  <c r="AC483" i="9" s="1"/>
  <c r="B484" i="9"/>
  <c r="AC484" i="9" s="1"/>
  <c r="B485" i="9"/>
  <c r="AC485" i="9" s="1"/>
  <c r="B486" i="9"/>
  <c r="AC486" i="9" s="1"/>
  <c r="B487" i="9"/>
  <c r="AC487" i="9" s="1"/>
  <c r="B488" i="9"/>
  <c r="AC488" i="9" s="1"/>
  <c r="B489" i="9"/>
  <c r="AC489" i="9" s="1"/>
  <c r="B490" i="9"/>
  <c r="AC490" i="9" s="1"/>
  <c r="B491" i="9"/>
  <c r="AC491" i="9" s="1"/>
  <c r="B492" i="9"/>
  <c r="AC492" i="9" s="1"/>
  <c r="B493" i="9"/>
  <c r="AC493" i="9" s="1"/>
  <c r="B494" i="9"/>
  <c r="AC494" i="9" s="1"/>
  <c r="B495" i="9"/>
  <c r="AC495" i="9" s="1"/>
  <c r="B496" i="9"/>
  <c r="AC496" i="9" s="1"/>
  <c r="B497" i="9"/>
  <c r="AC497" i="9" s="1"/>
  <c r="B498" i="9"/>
  <c r="AC498" i="9" s="1"/>
  <c r="B499" i="9"/>
  <c r="AC499" i="9" s="1"/>
  <c r="B500" i="9"/>
  <c r="AC500" i="9" s="1"/>
  <c r="B501" i="9"/>
  <c r="AC501" i="9" s="1"/>
  <c r="B502" i="9"/>
  <c r="AC502" i="9" s="1"/>
  <c r="B503" i="9"/>
  <c r="AC503" i="9" s="1"/>
  <c r="B504" i="9"/>
  <c r="AC504" i="9" s="1"/>
  <c r="B505" i="9"/>
  <c r="AC505" i="9" s="1"/>
  <c r="B506" i="9"/>
  <c r="AC506" i="9" s="1"/>
  <c r="B507" i="9"/>
  <c r="AC507" i="9" s="1"/>
  <c r="B508" i="9"/>
  <c r="AC508" i="9" s="1"/>
  <c r="B509" i="9"/>
  <c r="AC509" i="9" s="1"/>
  <c r="B510" i="9"/>
  <c r="AC510" i="9" s="1"/>
  <c r="B511" i="9"/>
  <c r="AC511" i="9" s="1"/>
  <c r="B512" i="9"/>
  <c r="AC512" i="9" s="1"/>
  <c r="B513" i="9"/>
  <c r="AC513" i="9" s="1"/>
  <c r="B514" i="9"/>
  <c r="AC514" i="9" s="1"/>
  <c r="B515" i="9"/>
  <c r="AC515" i="9" s="1"/>
  <c r="B516" i="9"/>
  <c r="AC516" i="9" s="1"/>
  <c r="B517" i="9"/>
  <c r="AC517" i="9" s="1"/>
  <c r="B518" i="9"/>
  <c r="AC518" i="9" s="1"/>
  <c r="B519" i="9"/>
  <c r="AC519" i="9" s="1"/>
  <c r="B520" i="9"/>
  <c r="AC520" i="9" s="1"/>
  <c r="B521" i="9"/>
  <c r="AC521" i="9" s="1"/>
  <c r="B522" i="9"/>
  <c r="AC522" i="9" s="1"/>
  <c r="B523" i="9"/>
  <c r="AC523" i="9" s="1"/>
  <c r="B524" i="9"/>
  <c r="AC524" i="9" s="1"/>
  <c r="B525" i="9"/>
  <c r="AC525" i="9" s="1"/>
  <c r="B526" i="9"/>
  <c r="AC526" i="9" s="1"/>
  <c r="B527" i="9"/>
  <c r="AC527" i="9" s="1"/>
  <c r="B528" i="9"/>
  <c r="AC528" i="9" s="1"/>
  <c r="B529" i="9"/>
  <c r="AC529" i="9" s="1"/>
  <c r="B530" i="9"/>
  <c r="AC530" i="9" s="1"/>
  <c r="B531" i="9"/>
  <c r="AC531" i="9" s="1"/>
  <c r="B532" i="9"/>
  <c r="AC532" i="9" s="1"/>
  <c r="B533" i="9"/>
  <c r="AC533" i="9" s="1"/>
  <c r="B534" i="9"/>
  <c r="AC534" i="9" s="1"/>
  <c r="B535" i="9"/>
  <c r="AC535" i="9" s="1"/>
  <c r="B536" i="9"/>
  <c r="AC536" i="9" s="1"/>
  <c r="B537" i="9"/>
  <c r="AC537" i="9" s="1"/>
  <c r="B538" i="9"/>
  <c r="AC538" i="9" s="1"/>
  <c r="B539" i="9"/>
  <c r="AC539" i="9" s="1"/>
  <c r="B540" i="9"/>
  <c r="AC540" i="9" s="1"/>
  <c r="B541" i="9"/>
  <c r="AC541" i="9" s="1"/>
  <c r="B542" i="9"/>
  <c r="AC542" i="9" s="1"/>
  <c r="B543" i="9"/>
  <c r="AC543" i="9" s="1"/>
  <c r="B544" i="9"/>
  <c r="AC544" i="9" s="1"/>
  <c r="B545" i="9"/>
  <c r="AC545" i="9" s="1"/>
  <c r="B546" i="9"/>
  <c r="AC546" i="9" s="1"/>
  <c r="B547" i="9"/>
  <c r="AC547" i="9" s="1"/>
  <c r="B548" i="9"/>
  <c r="AC548" i="9" s="1"/>
  <c r="B549" i="9"/>
  <c r="AC549" i="9" s="1"/>
  <c r="B550" i="9"/>
  <c r="AC550" i="9" s="1"/>
  <c r="B551" i="9"/>
  <c r="AC551" i="9" s="1"/>
  <c r="B552" i="9"/>
  <c r="AC552" i="9" s="1"/>
  <c r="B553" i="9"/>
  <c r="AC553" i="9" s="1"/>
  <c r="B554" i="9"/>
  <c r="AC554" i="9" s="1"/>
  <c r="B555" i="9"/>
  <c r="AC555" i="9" s="1"/>
  <c r="B556" i="9"/>
  <c r="AC556" i="9" s="1"/>
  <c r="B557" i="9"/>
  <c r="AC557" i="9" s="1"/>
  <c r="B558" i="9"/>
  <c r="AC558" i="9" s="1"/>
  <c r="B559" i="9"/>
  <c r="AC559" i="9" s="1"/>
  <c r="B560" i="9"/>
  <c r="AC560" i="9" s="1"/>
  <c r="B561" i="9"/>
  <c r="AC561" i="9" s="1"/>
  <c r="B562" i="9"/>
  <c r="AC562" i="9" s="1"/>
  <c r="B563" i="9"/>
  <c r="AC563" i="9" s="1"/>
  <c r="B564" i="9"/>
  <c r="AC564" i="9" s="1"/>
  <c r="B565" i="9"/>
  <c r="AC565" i="9" s="1"/>
  <c r="B566" i="9"/>
  <c r="AC566" i="9" s="1"/>
  <c r="B567" i="9"/>
  <c r="AC567" i="9" s="1"/>
  <c r="B568" i="9"/>
  <c r="AC568" i="9" s="1"/>
  <c r="B569" i="9"/>
  <c r="AC569" i="9" s="1"/>
  <c r="B570" i="9"/>
  <c r="AC570" i="9" s="1"/>
  <c r="B571" i="9"/>
  <c r="AC571" i="9" s="1"/>
  <c r="B572" i="9"/>
  <c r="AC572" i="9" s="1"/>
  <c r="B573" i="9"/>
  <c r="AC573" i="9" s="1"/>
  <c r="B574" i="9"/>
  <c r="AC574" i="9" s="1"/>
  <c r="B575" i="9"/>
  <c r="AC575" i="9" s="1"/>
  <c r="B576" i="9"/>
  <c r="AC576" i="9" s="1"/>
  <c r="B577" i="9"/>
  <c r="AC577" i="9" s="1"/>
  <c r="B578" i="9"/>
  <c r="AC578" i="9" s="1"/>
  <c r="B579" i="9"/>
  <c r="AC579" i="9" s="1"/>
  <c r="B580" i="9"/>
  <c r="AC580" i="9" s="1"/>
  <c r="B581" i="9"/>
  <c r="AC581" i="9" s="1"/>
  <c r="B582" i="9"/>
  <c r="AC582" i="9" s="1"/>
  <c r="B583" i="9"/>
  <c r="AC583" i="9" s="1"/>
  <c r="B584" i="9"/>
  <c r="AC584" i="9" s="1"/>
  <c r="B585" i="9"/>
  <c r="AC585" i="9" s="1"/>
  <c r="B586" i="9"/>
  <c r="AC586" i="9" s="1"/>
  <c r="B587" i="9"/>
  <c r="AC587" i="9" s="1"/>
  <c r="B588" i="9"/>
  <c r="AC588" i="9" s="1"/>
  <c r="B589" i="9"/>
  <c r="AC589" i="9" s="1"/>
  <c r="B590" i="9"/>
  <c r="AC590" i="9" s="1"/>
  <c r="B591" i="9"/>
  <c r="AC591" i="9" s="1"/>
  <c r="B592" i="9"/>
  <c r="AC592" i="9" s="1"/>
  <c r="B593" i="9"/>
  <c r="AC593" i="9" s="1"/>
  <c r="B594" i="9"/>
  <c r="AC594" i="9" s="1"/>
  <c r="B595" i="9"/>
  <c r="AC595" i="9" s="1"/>
  <c r="B596" i="9"/>
  <c r="AC596" i="9" s="1"/>
  <c r="B597" i="9"/>
  <c r="AC597" i="9" s="1"/>
  <c r="B598" i="9"/>
  <c r="AC598" i="9" s="1"/>
  <c r="B599" i="9"/>
  <c r="AC599" i="9" s="1"/>
  <c r="B600" i="9"/>
  <c r="AC600" i="9" s="1"/>
  <c r="B601" i="9"/>
  <c r="AC601" i="9" s="1"/>
  <c r="B602" i="9"/>
  <c r="AC602" i="9" s="1"/>
  <c r="B603" i="9"/>
  <c r="AC603" i="9" s="1"/>
  <c r="B604" i="9"/>
  <c r="AC604" i="9" s="1"/>
  <c r="B605" i="9"/>
  <c r="AC605" i="9" s="1"/>
  <c r="B606" i="9"/>
  <c r="AC606" i="9" s="1"/>
  <c r="B607" i="9"/>
  <c r="AC607" i="9" s="1"/>
  <c r="B608" i="9"/>
  <c r="AC608" i="9" s="1"/>
  <c r="B609" i="9"/>
  <c r="AC609" i="9" s="1"/>
  <c r="B610" i="9"/>
  <c r="AC610" i="9" s="1"/>
  <c r="B611" i="9"/>
  <c r="AC611" i="9" s="1"/>
  <c r="B612" i="9"/>
  <c r="AC612" i="9" s="1"/>
  <c r="B613" i="9"/>
  <c r="AC613" i="9" s="1"/>
  <c r="B614" i="9"/>
  <c r="AC614" i="9" s="1"/>
  <c r="B615" i="9"/>
  <c r="AC615" i="9" s="1"/>
  <c r="B616" i="9"/>
  <c r="AC616" i="9" s="1"/>
  <c r="B617" i="9"/>
  <c r="AC617" i="9" s="1"/>
  <c r="B618" i="9"/>
  <c r="AC618" i="9" s="1"/>
  <c r="B619" i="9"/>
  <c r="AC619" i="9" s="1"/>
  <c r="B620" i="9"/>
  <c r="AC620" i="9" s="1"/>
  <c r="B621" i="9"/>
  <c r="AC621" i="9" s="1"/>
  <c r="B622" i="9"/>
  <c r="AC622" i="9" s="1"/>
  <c r="B623" i="9"/>
  <c r="AC623" i="9" s="1"/>
  <c r="B624" i="9"/>
  <c r="AC624" i="9" s="1"/>
  <c r="B625" i="9"/>
  <c r="AC625" i="9" s="1"/>
  <c r="B626" i="9"/>
  <c r="AC626" i="9" s="1"/>
  <c r="B627" i="9"/>
  <c r="AC627" i="9" s="1"/>
  <c r="B628" i="9"/>
  <c r="AC628" i="9" s="1"/>
  <c r="B629" i="9"/>
  <c r="AC629" i="9" s="1"/>
  <c r="B630" i="9"/>
  <c r="AC630" i="9" s="1"/>
  <c r="B631" i="9"/>
  <c r="AC631" i="9" s="1"/>
  <c r="B632" i="9"/>
  <c r="AC632" i="9" s="1"/>
  <c r="B633" i="9"/>
  <c r="AC633" i="9" s="1"/>
  <c r="B634" i="9"/>
  <c r="AC634" i="9" s="1"/>
  <c r="B635" i="9"/>
  <c r="AC635" i="9" s="1"/>
  <c r="B636" i="9"/>
  <c r="AC636" i="9" s="1"/>
  <c r="B637" i="9"/>
  <c r="AC637" i="9" s="1"/>
  <c r="B638" i="9"/>
  <c r="AC638" i="9" s="1"/>
  <c r="B639" i="9"/>
  <c r="AC639" i="9" s="1"/>
  <c r="B640" i="9"/>
  <c r="AC640" i="9" s="1"/>
  <c r="B641" i="9"/>
  <c r="AC641" i="9" s="1"/>
  <c r="B642" i="9"/>
  <c r="AC642" i="9" s="1"/>
  <c r="B643" i="9"/>
  <c r="AC643" i="9" s="1"/>
  <c r="B644" i="9"/>
  <c r="AC644" i="9" s="1"/>
  <c r="B645" i="9"/>
  <c r="AC645" i="9" s="1"/>
  <c r="B646" i="9"/>
  <c r="AC646" i="9" s="1"/>
  <c r="B647" i="9"/>
  <c r="AC647" i="9" s="1"/>
  <c r="B648" i="9"/>
  <c r="AC648" i="9" s="1"/>
  <c r="B649" i="9"/>
  <c r="AC649" i="9" s="1"/>
  <c r="B650" i="9"/>
  <c r="AC650" i="9" s="1"/>
  <c r="B651" i="9"/>
  <c r="AC651" i="9" s="1"/>
  <c r="B652" i="9"/>
  <c r="AC652" i="9" s="1"/>
  <c r="N652" i="11"/>
  <c r="N651" i="11"/>
  <c r="N650" i="11"/>
  <c r="N649" i="11"/>
  <c r="N648" i="11"/>
  <c r="N647" i="11"/>
  <c r="N646" i="11"/>
  <c r="N645" i="11"/>
  <c r="N644" i="11"/>
  <c r="N643" i="11"/>
  <c r="N642" i="11"/>
  <c r="N641" i="11"/>
  <c r="N640" i="11"/>
  <c r="N639" i="11"/>
  <c r="N638" i="11"/>
  <c r="N637" i="11"/>
  <c r="N636" i="11"/>
  <c r="N635" i="11"/>
  <c r="N634" i="11"/>
  <c r="N633" i="11"/>
  <c r="N632" i="11"/>
  <c r="N631" i="11"/>
  <c r="N630" i="11"/>
  <c r="N629" i="11"/>
  <c r="N628" i="11"/>
  <c r="N627" i="11"/>
  <c r="N626" i="11"/>
  <c r="N625" i="11"/>
  <c r="N624" i="11"/>
  <c r="N623" i="11"/>
  <c r="N622" i="11"/>
  <c r="N621" i="11"/>
  <c r="N620" i="11"/>
  <c r="N619" i="11"/>
  <c r="N618" i="11"/>
  <c r="N617" i="11"/>
  <c r="N616" i="11"/>
  <c r="N615" i="11"/>
  <c r="N614" i="11"/>
  <c r="N613" i="11"/>
  <c r="N612" i="11"/>
  <c r="N611" i="11"/>
  <c r="N610" i="11"/>
  <c r="N609" i="11"/>
  <c r="N608" i="11"/>
  <c r="N607" i="11"/>
  <c r="N606" i="11"/>
  <c r="N605" i="11"/>
  <c r="N604" i="11"/>
  <c r="N603" i="11"/>
  <c r="N602" i="11"/>
  <c r="N601" i="11"/>
  <c r="N600" i="11"/>
  <c r="N599" i="11"/>
  <c r="N598" i="11"/>
  <c r="N597" i="11"/>
  <c r="N596" i="11"/>
  <c r="N595" i="11"/>
  <c r="N594" i="11"/>
  <c r="N593" i="11"/>
  <c r="N592" i="11"/>
  <c r="N591" i="11"/>
  <c r="N590" i="11"/>
  <c r="N589" i="11"/>
  <c r="N588" i="11"/>
  <c r="N587" i="11"/>
  <c r="N586" i="11"/>
  <c r="N585" i="11"/>
  <c r="N584" i="11"/>
  <c r="N583" i="11"/>
  <c r="N582" i="11"/>
  <c r="N581" i="11"/>
  <c r="N580" i="11"/>
  <c r="N579" i="11"/>
  <c r="N578" i="11"/>
  <c r="N577" i="11"/>
  <c r="N576" i="11"/>
  <c r="N575" i="11"/>
  <c r="N574" i="11"/>
  <c r="N573" i="11"/>
  <c r="N572" i="11"/>
  <c r="N571" i="11"/>
  <c r="N570" i="11"/>
  <c r="N569" i="11"/>
  <c r="N568" i="11"/>
  <c r="N567" i="11"/>
  <c r="N566" i="11"/>
  <c r="N565" i="11"/>
  <c r="N564" i="11"/>
  <c r="N563" i="11"/>
  <c r="N562" i="11"/>
  <c r="N561" i="11"/>
  <c r="N560" i="11"/>
  <c r="N559" i="11"/>
  <c r="N558" i="11"/>
  <c r="N557" i="11"/>
  <c r="N556" i="11"/>
  <c r="N555" i="11"/>
  <c r="N554" i="11"/>
  <c r="N553" i="11"/>
  <c r="N552" i="11"/>
  <c r="N551" i="11"/>
  <c r="N550" i="11"/>
  <c r="N549" i="11"/>
  <c r="N548" i="11"/>
  <c r="N547" i="11"/>
  <c r="N546" i="11"/>
  <c r="N545" i="11"/>
  <c r="N544" i="11"/>
  <c r="N543" i="11"/>
  <c r="N542" i="11"/>
  <c r="N541" i="11"/>
  <c r="N540" i="11"/>
  <c r="N539" i="11"/>
  <c r="N538" i="11"/>
  <c r="N537" i="11"/>
  <c r="N536" i="11"/>
  <c r="N535" i="11"/>
  <c r="N534" i="11"/>
  <c r="N533" i="11"/>
  <c r="N532" i="11"/>
  <c r="N531" i="11"/>
  <c r="N530" i="11"/>
  <c r="N529" i="11"/>
  <c r="N528" i="11"/>
  <c r="N527" i="11"/>
  <c r="N526" i="11"/>
  <c r="N525" i="11"/>
  <c r="N524" i="11"/>
  <c r="N523" i="11"/>
  <c r="N522" i="11"/>
  <c r="N521" i="11"/>
  <c r="N520" i="11"/>
  <c r="N519" i="11"/>
  <c r="N518" i="11"/>
  <c r="N517" i="11"/>
  <c r="N516" i="11"/>
  <c r="N515" i="11"/>
  <c r="N514" i="11"/>
  <c r="N513" i="11"/>
  <c r="N512" i="11"/>
  <c r="N511" i="11"/>
  <c r="N510" i="11"/>
  <c r="N509" i="11"/>
  <c r="N508" i="11"/>
  <c r="N507" i="11"/>
  <c r="N506" i="11"/>
  <c r="N505" i="11"/>
  <c r="N504" i="11"/>
  <c r="N503" i="11"/>
  <c r="N502" i="11"/>
  <c r="N501" i="11"/>
  <c r="N500" i="11"/>
  <c r="N499" i="11"/>
  <c r="N498" i="11"/>
  <c r="N497" i="11"/>
  <c r="N496" i="11"/>
  <c r="N495" i="11"/>
  <c r="N494" i="11"/>
  <c r="N493" i="11"/>
  <c r="N492" i="11"/>
  <c r="N491" i="11"/>
  <c r="N490" i="11"/>
  <c r="N489" i="11"/>
  <c r="N488" i="11"/>
  <c r="N487" i="11"/>
  <c r="N486" i="11"/>
  <c r="N485" i="11"/>
  <c r="N484" i="11"/>
  <c r="N483" i="11"/>
  <c r="N482" i="11"/>
  <c r="N481" i="11"/>
  <c r="N480" i="11"/>
  <c r="N479" i="11"/>
  <c r="N478" i="11"/>
  <c r="N477" i="11"/>
  <c r="N476" i="11"/>
  <c r="N475" i="11"/>
  <c r="N474" i="11"/>
  <c r="N473" i="11"/>
  <c r="N472" i="11"/>
  <c r="N471" i="11"/>
  <c r="N470" i="11"/>
  <c r="N469" i="11"/>
  <c r="N468" i="11"/>
  <c r="N467" i="11"/>
  <c r="N466" i="11"/>
  <c r="N465" i="11"/>
  <c r="N464" i="11"/>
  <c r="N463" i="11"/>
  <c r="N462" i="11"/>
  <c r="N461" i="11"/>
  <c r="N460" i="11"/>
  <c r="N459" i="11"/>
  <c r="N458" i="11"/>
  <c r="N457" i="11"/>
  <c r="N456" i="11"/>
  <c r="N455" i="11"/>
  <c r="N454" i="11"/>
  <c r="N453" i="11"/>
  <c r="N452" i="11"/>
  <c r="N451" i="11"/>
  <c r="N450" i="11"/>
  <c r="N449" i="11"/>
  <c r="N448" i="11"/>
  <c r="N447" i="11"/>
  <c r="N446" i="11"/>
  <c r="N445" i="11"/>
  <c r="N444" i="11"/>
  <c r="N443" i="11"/>
  <c r="N442" i="11"/>
  <c r="N441" i="11"/>
  <c r="N440" i="11"/>
  <c r="N439" i="11"/>
  <c r="N438" i="11"/>
  <c r="N437" i="11"/>
  <c r="N436" i="11"/>
  <c r="N435" i="11"/>
  <c r="N434" i="11"/>
  <c r="N433" i="11"/>
  <c r="N432" i="11"/>
  <c r="N431" i="11"/>
  <c r="N430" i="11"/>
  <c r="N429" i="11"/>
  <c r="N428" i="11"/>
  <c r="N427" i="11"/>
  <c r="N426" i="11"/>
  <c r="N425" i="11"/>
  <c r="N424" i="11"/>
  <c r="N423" i="11"/>
  <c r="N422" i="11"/>
  <c r="N421" i="11"/>
  <c r="N420" i="11"/>
  <c r="N419" i="11"/>
  <c r="N418" i="11"/>
  <c r="N417" i="11"/>
  <c r="N416" i="11"/>
  <c r="N415" i="11"/>
  <c r="N414" i="11"/>
  <c r="N413" i="11"/>
  <c r="N412" i="11"/>
  <c r="N411" i="11"/>
  <c r="N410" i="11"/>
  <c r="N409" i="11"/>
  <c r="N408" i="11"/>
  <c r="N407" i="11"/>
  <c r="N406" i="11"/>
  <c r="N405" i="11"/>
  <c r="N404" i="11"/>
  <c r="N403" i="11"/>
  <c r="N402" i="11"/>
  <c r="N401" i="11"/>
  <c r="N400" i="11"/>
  <c r="N399" i="11"/>
  <c r="N398" i="11"/>
  <c r="N397" i="11"/>
  <c r="N396" i="11"/>
  <c r="N395" i="11"/>
  <c r="N394" i="11"/>
  <c r="N393" i="11"/>
  <c r="N392" i="11"/>
  <c r="N391" i="11"/>
  <c r="N390" i="11"/>
  <c r="N389" i="11"/>
  <c r="N388" i="11"/>
  <c r="N387" i="11"/>
  <c r="N386" i="11"/>
  <c r="N385" i="11"/>
  <c r="N384" i="11"/>
  <c r="N383" i="11"/>
  <c r="N382" i="11"/>
  <c r="N381" i="11"/>
  <c r="N380" i="11"/>
  <c r="N379" i="11"/>
  <c r="N378" i="11"/>
  <c r="N377" i="11"/>
  <c r="N376" i="11"/>
  <c r="N375" i="11"/>
  <c r="N374" i="11"/>
  <c r="N373" i="11"/>
  <c r="N372" i="11"/>
  <c r="N371" i="11"/>
  <c r="N370" i="11"/>
  <c r="N369" i="11"/>
  <c r="N368" i="11"/>
  <c r="N367" i="11"/>
  <c r="N366" i="11"/>
  <c r="N365" i="11"/>
  <c r="N364" i="11"/>
  <c r="N363" i="11"/>
  <c r="N362" i="11"/>
  <c r="N361" i="11"/>
  <c r="N360" i="11"/>
  <c r="N359" i="11"/>
  <c r="N358" i="11"/>
  <c r="N357" i="11"/>
  <c r="N356" i="11"/>
  <c r="N355" i="11"/>
  <c r="N354" i="11"/>
  <c r="N353" i="11"/>
  <c r="N352" i="11"/>
  <c r="N351" i="11"/>
  <c r="N350" i="11"/>
  <c r="N349" i="11"/>
  <c r="N348" i="11"/>
  <c r="N347" i="11"/>
  <c r="N346" i="11"/>
  <c r="N345" i="11"/>
  <c r="N344" i="11"/>
  <c r="N343" i="11"/>
  <c r="N342" i="11"/>
  <c r="N341" i="11"/>
  <c r="N340" i="11"/>
  <c r="N339" i="11"/>
  <c r="N338" i="11"/>
  <c r="N337" i="11"/>
  <c r="N336" i="11"/>
  <c r="N335" i="11"/>
  <c r="N334" i="11"/>
  <c r="N333" i="11"/>
  <c r="N332" i="11"/>
  <c r="N331" i="11"/>
  <c r="N330" i="11"/>
  <c r="N329" i="11"/>
  <c r="N328" i="11"/>
  <c r="N327" i="11"/>
  <c r="N326" i="11"/>
  <c r="N325" i="11"/>
  <c r="N324" i="11"/>
  <c r="N323" i="11"/>
  <c r="N322" i="11"/>
  <c r="N321" i="11"/>
  <c r="N320" i="11"/>
  <c r="N319" i="11"/>
  <c r="N318" i="11"/>
  <c r="N317" i="11"/>
  <c r="N316" i="11"/>
  <c r="N315" i="11"/>
  <c r="N314" i="11"/>
  <c r="N313" i="11"/>
  <c r="N312" i="11"/>
  <c r="N311" i="11"/>
  <c r="N310" i="11"/>
  <c r="N309" i="11"/>
  <c r="N308" i="11"/>
  <c r="N307" i="11"/>
  <c r="N306" i="11"/>
  <c r="N305" i="11"/>
  <c r="N304" i="11"/>
  <c r="N303" i="11"/>
  <c r="N302" i="11"/>
  <c r="N301" i="11"/>
  <c r="N300" i="11"/>
  <c r="N299" i="11"/>
  <c r="N298" i="11"/>
  <c r="N297" i="11"/>
  <c r="N296" i="11"/>
  <c r="N295" i="11"/>
  <c r="N294" i="11"/>
  <c r="N293" i="11"/>
  <c r="N292" i="11"/>
  <c r="N291" i="11"/>
  <c r="N290" i="11"/>
  <c r="N289" i="11"/>
  <c r="N288" i="11"/>
  <c r="N287" i="11"/>
  <c r="N286" i="11"/>
  <c r="N285" i="11"/>
  <c r="N284" i="11"/>
  <c r="N283" i="11"/>
  <c r="N282" i="11"/>
  <c r="N281" i="11"/>
  <c r="N280" i="11"/>
  <c r="N279" i="11"/>
  <c r="N278" i="11"/>
  <c r="N277" i="11"/>
  <c r="N276" i="11"/>
  <c r="N275" i="11"/>
  <c r="N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N255" i="11"/>
  <c r="N254" i="11"/>
  <c r="N253" i="11"/>
  <c r="N252" i="11"/>
  <c r="N251" i="11"/>
  <c r="N250" i="11"/>
  <c r="N249" i="11"/>
  <c r="N248" i="11"/>
  <c r="N247" i="11"/>
  <c r="N246" i="11"/>
  <c r="N245" i="11"/>
  <c r="N244" i="11"/>
  <c r="N243" i="11"/>
  <c r="N242" i="11"/>
  <c r="N241" i="11"/>
  <c r="N240" i="11"/>
  <c r="N239" i="11"/>
  <c r="N238" i="11"/>
  <c r="N237" i="11"/>
  <c r="N236" i="11"/>
  <c r="N235" i="11"/>
  <c r="N234" i="11"/>
  <c r="N233" i="11"/>
  <c r="N232" i="11"/>
  <c r="N231" i="11"/>
  <c r="N230" i="11"/>
  <c r="N229" i="11"/>
  <c r="N228" i="11"/>
  <c r="N227" i="11"/>
  <c r="N226" i="11"/>
  <c r="N225" i="11"/>
  <c r="N224" i="11"/>
  <c r="N223" i="11"/>
  <c r="N222" i="11"/>
  <c r="N221" i="11"/>
  <c r="N220" i="11"/>
  <c r="N219" i="11"/>
  <c r="N218" i="11"/>
  <c r="N217" i="11"/>
  <c r="N216" i="11"/>
  <c r="N215" i="11"/>
  <c r="N214" i="11"/>
  <c r="N213" i="11"/>
  <c r="N212" i="11"/>
  <c r="N211" i="11"/>
  <c r="N210" i="11"/>
  <c r="N209" i="11"/>
  <c r="N208" i="11"/>
  <c r="N207" i="11"/>
  <c r="N206" i="11"/>
  <c r="N205" i="11"/>
  <c r="N204" i="11"/>
  <c r="N203" i="11"/>
  <c r="N202" i="11"/>
  <c r="N201" i="11"/>
  <c r="N200" i="11"/>
  <c r="N199" i="11"/>
  <c r="N198" i="11"/>
  <c r="N197" i="11"/>
  <c r="N196" i="11"/>
  <c r="N195" i="11"/>
  <c r="N194" i="11"/>
  <c r="N193" i="11"/>
  <c r="N192" i="11"/>
  <c r="N191" i="11"/>
  <c r="N190" i="11"/>
  <c r="N189" i="11"/>
  <c r="N188" i="11"/>
  <c r="N187" i="11"/>
  <c r="N186" i="11"/>
  <c r="N185" i="11"/>
  <c r="N184" i="11"/>
  <c r="N183" i="11"/>
  <c r="N182" i="11"/>
  <c r="N181" i="11"/>
  <c r="N180" i="11"/>
  <c r="N179" i="11"/>
  <c r="N178" i="11"/>
  <c r="N177" i="11"/>
  <c r="N176" i="11"/>
  <c r="N175" i="11"/>
  <c r="N174" i="11"/>
  <c r="N173" i="11"/>
  <c r="N17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AC477" i="11" s="1"/>
  <c r="B478" i="11"/>
  <c r="AC478" i="11" s="1"/>
  <c r="B479" i="11"/>
  <c r="AC479" i="11" s="1"/>
  <c r="B480" i="11"/>
  <c r="AC480" i="11" s="1"/>
  <c r="B481" i="11"/>
  <c r="AC481" i="11" s="1"/>
  <c r="B482" i="11"/>
  <c r="AC482" i="11" s="1"/>
  <c r="B483" i="11"/>
  <c r="AC483" i="11" s="1"/>
  <c r="B484" i="11"/>
  <c r="AC484" i="11" s="1"/>
  <c r="B485" i="11"/>
  <c r="AC485" i="11" s="1"/>
  <c r="B486" i="11"/>
  <c r="AC486" i="11" s="1"/>
  <c r="B487" i="11"/>
  <c r="AC487" i="11" s="1"/>
  <c r="B488" i="11"/>
  <c r="AC488" i="11" s="1"/>
  <c r="B489" i="11"/>
  <c r="AC489" i="11" s="1"/>
  <c r="B490" i="11"/>
  <c r="AC490" i="11" s="1"/>
  <c r="B491" i="11"/>
  <c r="AC491" i="11" s="1"/>
  <c r="B492" i="11"/>
  <c r="AC492" i="11" s="1"/>
  <c r="B493" i="11"/>
  <c r="AC493" i="11" s="1"/>
  <c r="B494" i="11"/>
  <c r="AC494" i="11" s="1"/>
  <c r="B495" i="11"/>
  <c r="AC495" i="11" s="1"/>
  <c r="B496" i="11"/>
  <c r="AC496" i="11" s="1"/>
  <c r="B497" i="11"/>
  <c r="AC497" i="11" s="1"/>
  <c r="B498" i="11"/>
  <c r="AC498" i="11" s="1"/>
  <c r="B499" i="11"/>
  <c r="AC499" i="11" s="1"/>
  <c r="B500" i="11"/>
  <c r="AC500" i="11" s="1"/>
  <c r="B501" i="11"/>
  <c r="AC501" i="11" s="1"/>
  <c r="B502" i="11"/>
  <c r="AC502" i="11" s="1"/>
  <c r="B503" i="11"/>
  <c r="AC503" i="11" s="1"/>
  <c r="B504" i="11"/>
  <c r="AC504" i="11" s="1"/>
  <c r="B505" i="11"/>
  <c r="AC505" i="11" s="1"/>
  <c r="B506" i="11"/>
  <c r="AC506" i="11" s="1"/>
  <c r="B507" i="11"/>
  <c r="AC507" i="11" s="1"/>
  <c r="B508" i="11"/>
  <c r="AC508" i="11" s="1"/>
  <c r="B509" i="11"/>
  <c r="AC509" i="11" s="1"/>
  <c r="B510" i="11"/>
  <c r="AC510" i="11" s="1"/>
  <c r="B511" i="11"/>
  <c r="AC511" i="11" s="1"/>
  <c r="B512" i="11"/>
  <c r="AC512" i="11" s="1"/>
  <c r="B513" i="11"/>
  <c r="AC513" i="11" s="1"/>
  <c r="B514" i="11"/>
  <c r="AC514" i="11" s="1"/>
  <c r="B515" i="11"/>
  <c r="AC515" i="11" s="1"/>
  <c r="B516" i="11"/>
  <c r="AC516" i="11" s="1"/>
  <c r="B517" i="11"/>
  <c r="AC517" i="11" s="1"/>
  <c r="B518" i="11"/>
  <c r="AC518" i="11" s="1"/>
  <c r="B519" i="11"/>
  <c r="AC519" i="11" s="1"/>
  <c r="B520" i="11"/>
  <c r="AC520" i="11" s="1"/>
  <c r="B521" i="11"/>
  <c r="AC521" i="11" s="1"/>
  <c r="B522" i="11"/>
  <c r="AC522" i="11" s="1"/>
  <c r="B523" i="11"/>
  <c r="AC523" i="11" s="1"/>
  <c r="B524" i="11"/>
  <c r="AC524" i="11" s="1"/>
  <c r="B525" i="11"/>
  <c r="AC525" i="11" s="1"/>
  <c r="B526" i="11"/>
  <c r="AC526" i="11" s="1"/>
  <c r="B527" i="11"/>
  <c r="AC527" i="11" s="1"/>
  <c r="B528" i="11"/>
  <c r="AC528" i="11" s="1"/>
  <c r="B529" i="11"/>
  <c r="AC529" i="11" s="1"/>
  <c r="B530" i="11"/>
  <c r="AC530" i="11" s="1"/>
  <c r="B531" i="11"/>
  <c r="AC531" i="11" s="1"/>
  <c r="B532" i="11"/>
  <c r="AC532" i="11" s="1"/>
  <c r="B533" i="11"/>
  <c r="AC533" i="11" s="1"/>
  <c r="B534" i="11"/>
  <c r="AC534" i="11" s="1"/>
  <c r="B535" i="11"/>
  <c r="AC535" i="11" s="1"/>
  <c r="B536" i="11"/>
  <c r="AC536" i="11" s="1"/>
  <c r="B537" i="11"/>
  <c r="AC537" i="11" s="1"/>
  <c r="B538" i="11"/>
  <c r="AC538" i="11" s="1"/>
  <c r="B539" i="11"/>
  <c r="AC539" i="11" s="1"/>
  <c r="B540" i="11"/>
  <c r="AC540" i="11" s="1"/>
  <c r="B541" i="11"/>
  <c r="AC541" i="11" s="1"/>
  <c r="B542" i="11"/>
  <c r="AC542" i="11" s="1"/>
  <c r="B543" i="11"/>
  <c r="AC543" i="11" s="1"/>
  <c r="B544" i="11"/>
  <c r="AC544" i="11" s="1"/>
  <c r="B545" i="11"/>
  <c r="AC545" i="11" s="1"/>
  <c r="B546" i="11"/>
  <c r="AC546" i="11" s="1"/>
  <c r="B547" i="11"/>
  <c r="AC547" i="11" s="1"/>
  <c r="B548" i="11"/>
  <c r="AC548" i="11" s="1"/>
  <c r="B549" i="11"/>
  <c r="AC549" i="11" s="1"/>
  <c r="B550" i="11"/>
  <c r="AC550" i="11" s="1"/>
  <c r="B551" i="11"/>
  <c r="AC551" i="11" s="1"/>
  <c r="B552" i="11"/>
  <c r="AC552" i="11" s="1"/>
  <c r="B553" i="11"/>
  <c r="AC553" i="11" s="1"/>
  <c r="B554" i="11"/>
  <c r="AC554" i="11" s="1"/>
  <c r="B555" i="11"/>
  <c r="AC555" i="11" s="1"/>
  <c r="B556" i="11"/>
  <c r="AC556" i="11" s="1"/>
  <c r="B557" i="11"/>
  <c r="AC557" i="11" s="1"/>
  <c r="B558" i="11"/>
  <c r="AC558" i="11" s="1"/>
  <c r="B559" i="11"/>
  <c r="AC559" i="11" s="1"/>
  <c r="B560" i="11"/>
  <c r="AC560" i="11" s="1"/>
  <c r="B561" i="11"/>
  <c r="AC561" i="11" s="1"/>
  <c r="B562" i="11"/>
  <c r="AC562" i="11" s="1"/>
  <c r="B563" i="11"/>
  <c r="AC563" i="11" s="1"/>
  <c r="B564" i="11"/>
  <c r="AC564" i="11" s="1"/>
  <c r="B565" i="11"/>
  <c r="AC565" i="11" s="1"/>
  <c r="B566" i="11"/>
  <c r="AC566" i="11" s="1"/>
  <c r="B567" i="11"/>
  <c r="AC567" i="11" s="1"/>
  <c r="B568" i="11"/>
  <c r="AC568" i="11" s="1"/>
  <c r="B569" i="11"/>
  <c r="AC569" i="11" s="1"/>
  <c r="B570" i="11"/>
  <c r="AC570" i="11" s="1"/>
  <c r="B571" i="11"/>
  <c r="AC571" i="11" s="1"/>
  <c r="B572" i="11"/>
  <c r="AC572" i="11" s="1"/>
  <c r="B573" i="11"/>
  <c r="AC573" i="11" s="1"/>
  <c r="B574" i="11"/>
  <c r="AC574" i="11" s="1"/>
  <c r="B575" i="11"/>
  <c r="AC575" i="11" s="1"/>
  <c r="B576" i="11"/>
  <c r="AC576" i="11" s="1"/>
  <c r="B577" i="11"/>
  <c r="AC577" i="11" s="1"/>
  <c r="B578" i="11"/>
  <c r="AC578" i="11" s="1"/>
  <c r="B579" i="11"/>
  <c r="AC579" i="11" s="1"/>
  <c r="B580" i="11"/>
  <c r="AC580" i="11" s="1"/>
  <c r="B581" i="11"/>
  <c r="AC581" i="11" s="1"/>
  <c r="B582" i="11"/>
  <c r="AC582" i="11" s="1"/>
  <c r="B583" i="11"/>
  <c r="AC583" i="11" s="1"/>
  <c r="B584" i="11"/>
  <c r="AC584" i="11" s="1"/>
  <c r="B585" i="11"/>
  <c r="AC585" i="11" s="1"/>
  <c r="B586" i="11"/>
  <c r="AC586" i="11" s="1"/>
  <c r="B587" i="11"/>
  <c r="AC587" i="11" s="1"/>
  <c r="B588" i="11"/>
  <c r="AC588" i="11" s="1"/>
  <c r="B589" i="11"/>
  <c r="AC589" i="11" s="1"/>
  <c r="B590" i="11"/>
  <c r="AC590" i="11" s="1"/>
  <c r="B591" i="11"/>
  <c r="AC591" i="11" s="1"/>
  <c r="B592" i="11"/>
  <c r="AC592" i="11" s="1"/>
  <c r="B593" i="11"/>
  <c r="AC593" i="11" s="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AC3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C3" i="11"/>
  <c r="E3" i="11" s="1" a="1"/>
  <c r="C4" i="11"/>
  <c r="E4" i="11" s="1" a="1"/>
  <c r="C5" i="11"/>
  <c r="E5" i="11" s="1" a="1"/>
  <c r="C6" i="11"/>
  <c r="E6" i="11" s="1" a="1"/>
  <c r="C7" i="11"/>
  <c r="E7" i="11" s="1" a="1"/>
  <c r="C8" i="11"/>
  <c r="E8" i="11" s="1" a="1"/>
  <c r="C9" i="11"/>
  <c r="E9" i="11" s="1" a="1"/>
  <c r="C10" i="11"/>
  <c r="E10" i="11" s="1" a="1"/>
  <c r="C11" i="11"/>
  <c r="E11" i="11" s="1" a="1"/>
  <c r="C12" i="11"/>
  <c r="E12" i="11" s="1" a="1"/>
  <c r="C13" i="11"/>
  <c r="E13" i="11" s="1" a="1"/>
  <c r="C14" i="11"/>
  <c r="E14" i="11" s="1" a="1"/>
  <c r="C15" i="11"/>
  <c r="E15" i="11" s="1" a="1"/>
  <c r="C16" i="11"/>
  <c r="E16" i="11" s="1" a="1"/>
  <c r="C17" i="11"/>
  <c r="E17" i="11" s="1" a="1"/>
  <c r="C18" i="11"/>
  <c r="E18" i="11" s="1" a="1"/>
  <c r="C19" i="11"/>
  <c r="E19" i="11" s="1" a="1"/>
  <c r="C20" i="11"/>
  <c r="E20" i="11" s="1" a="1"/>
  <c r="C21" i="11"/>
  <c r="E21" i="11" s="1" a="1"/>
  <c r="C22" i="11"/>
  <c r="E22" i="11" s="1" a="1"/>
  <c r="C23" i="11"/>
  <c r="E23" i="11" s="1" a="1"/>
  <c r="C24" i="11"/>
  <c r="E24" i="11" s="1" a="1"/>
  <c r="C25" i="11"/>
  <c r="E25" i="11" s="1" a="1"/>
  <c r="C26" i="11"/>
  <c r="E26" i="11" s="1" a="1"/>
  <c r="C27" i="11"/>
  <c r="E27" i="11" s="1" a="1"/>
  <c r="C28" i="11"/>
  <c r="E28" i="11" s="1" a="1"/>
  <c r="C29" i="11"/>
  <c r="E29" i="11" s="1" a="1"/>
  <c r="C30" i="11"/>
  <c r="E30" i="11" s="1" a="1"/>
  <c r="C31" i="11"/>
  <c r="E31" i="11" s="1" a="1"/>
  <c r="C32" i="11"/>
  <c r="E32" i="11" s="1" a="1"/>
  <c r="C33" i="11"/>
  <c r="E33" i="11" s="1" a="1"/>
  <c r="C34" i="11"/>
  <c r="E34" i="11" s="1" a="1"/>
  <c r="C35" i="11"/>
  <c r="E35" i="11" s="1" a="1"/>
  <c r="C36" i="11"/>
  <c r="E36" i="11" s="1" a="1"/>
  <c r="C37" i="11"/>
  <c r="E37" i="11" s="1" a="1"/>
  <c r="C38" i="11"/>
  <c r="E38" i="11" s="1" a="1"/>
  <c r="C39" i="11"/>
  <c r="E39" i="11" s="1" a="1"/>
  <c r="C40" i="11"/>
  <c r="E40" i="11" s="1" a="1"/>
  <c r="C41" i="11"/>
  <c r="E41" i="11" s="1" a="1"/>
  <c r="C42" i="11"/>
  <c r="E42" i="11" s="1" a="1"/>
  <c r="C43" i="11"/>
  <c r="E43" i="11" s="1" a="1"/>
  <c r="C44" i="11"/>
  <c r="E44" i="11" s="1" a="1"/>
  <c r="C45" i="11"/>
  <c r="E45" i="11" s="1" a="1"/>
  <c r="C46" i="11"/>
  <c r="E46" i="11" s="1" a="1"/>
  <c r="C47" i="11"/>
  <c r="E47" i="11" s="1" a="1"/>
  <c r="C48" i="11"/>
  <c r="E48" i="11" s="1" a="1"/>
  <c r="C49" i="11"/>
  <c r="E49" i="11" s="1" a="1"/>
  <c r="C50" i="11"/>
  <c r="E50" i="11" s="1" a="1"/>
  <c r="C51" i="11"/>
  <c r="E51" i="11" s="1" a="1"/>
  <c r="C52" i="11"/>
  <c r="E52" i="11" s="1" a="1"/>
  <c r="C53" i="11"/>
  <c r="E53" i="11" s="1" a="1"/>
  <c r="C54" i="11"/>
  <c r="E54" i="11" s="1" a="1"/>
  <c r="C55" i="11"/>
  <c r="E55" i="11" s="1" a="1"/>
  <c r="C56" i="11"/>
  <c r="E56" i="11" s="1" a="1"/>
  <c r="C57" i="11"/>
  <c r="E57" i="11" s="1" a="1"/>
  <c r="C58" i="11"/>
  <c r="E58" i="11" s="1" a="1"/>
  <c r="C59" i="11"/>
  <c r="E59" i="11" s="1" a="1"/>
  <c r="C60" i="11"/>
  <c r="E60" i="11" s="1" a="1"/>
  <c r="C61" i="11"/>
  <c r="E61" i="11" s="1" a="1"/>
  <c r="C62" i="11"/>
  <c r="E62" i="11" s="1" a="1"/>
  <c r="C63" i="11"/>
  <c r="E63" i="11" s="1" a="1"/>
  <c r="C64" i="11"/>
  <c r="E64" i="11" s="1" a="1"/>
  <c r="C65" i="11"/>
  <c r="E65" i="11" s="1" a="1"/>
  <c r="C66" i="11"/>
  <c r="E66" i="11" s="1" a="1"/>
  <c r="C67" i="11"/>
  <c r="E67" i="11" s="1" a="1"/>
  <c r="C68" i="11"/>
  <c r="E68" i="11" s="1" a="1"/>
  <c r="C69" i="11"/>
  <c r="E69" i="11" s="1" a="1"/>
  <c r="C70" i="11"/>
  <c r="E70" i="11" s="1" a="1"/>
  <c r="C71" i="11"/>
  <c r="E71" i="11" s="1" a="1"/>
  <c r="C72" i="11"/>
  <c r="E72" i="11" s="1" a="1"/>
  <c r="C73" i="11"/>
  <c r="E73" i="11" s="1" a="1"/>
  <c r="C74" i="11"/>
  <c r="E74" i="11" s="1" a="1"/>
  <c r="C75" i="11"/>
  <c r="E75" i="11" s="1" a="1"/>
  <c r="C76" i="11"/>
  <c r="E76" i="11" s="1" a="1"/>
  <c r="C77" i="11"/>
  <c r="E77" i="11" s="1" a="1"/>
  <c r="C78" i="11"/>
  <c r="E78" i="11" s="1" a="1"/>
  <c r="C79" i="11"/>
  <c r="E79" i="11" s="1" a="1"/>
  <c r="C80" i="11"/>
  <c r="E80" i="11" s="1" a="1"/>
  <c r="C81" i="11"/>
  <c r="E81" i="11" s="1" a="1"/>
  <c r="C82" i="11"/>
  <c r="E82" i="11" s="1" a="1"/>
  <c r="C83" i="11"/>
  <c r="E83" i="11" s="1" a="1"/>
  <c r="C84" i="11"/>
  <c r="E84" i="11" s="1" a="1"/>
  <c r="C85" i="11"/>
  <c r="E85" i="11" s="1" a="1"/>
  <c r="C86" i="11"/>
  <c r="E86" i="11" s="1" a="1"/>
  <c r="C87" i="11"/>
  <c r="E87" i="11" s="1" a="1"/>
  <c r="C88" i="11"/>
  <c r="E88" i="11" s="1" a="1"/>
  <c r="C89" i="11"/>
  <c r="E89" i="11" s="1" a="1"/>
  <c r="C90" i="11"/>
  <c r="E90" i="11" s="1" a="1"/>
  <c r="C91" i="11"/>
  <c r="E91" i="11" s="1" a="1"/>
  <c r="C92" i="11"/>
  <c r="E92" i="11" s="1" a="1"/>
  <c r="C93" i="11"/>
  <c r="E93" i="11" s="1" a="1"/>
  <c r="C94" i="11"/>
  <c r="E94" i="11" s="1" a="1"/>
  <c r="C95" i="11"/>
  <c r="E95" i="11" s="1" a="1"/>
  <c r="C96" i="11"/>
  <c r="E96" i="11" s="1" a="1"/>
  <c r="C97" i="11"/>
  <c r="E97" i="11" s="1" a="1"/>
  <c r="C98" i="11"/>
  <c r="E98" i="11" s="1" a="1"/>
  <c r="C99" i="11"/>
  <c r="E99" i="11" s="1" a="1"/>
  <c r="C100" i="11"/>
  <c r="E100" i="11" s="1" a="1"/>
  <c r="C101" i="11"/>
  <c r="E101" i="11" s="1" a="1"/>
  <c r="C102" i="11"/>
  <c r="E102" i="11" s="1" a="1"/>
  <c r="C103" i="11"/>
  <c r="E103" i="11" s="1" a="1"/>
  <c r="C104" i="11"/>
  <c r="E104" i="11" s="1" a="1"/>
  <c r="C105" i="11"/>
  <c r="E105" i="11" s="1" a="1"/>
  <c r="C106" i="11"/>
  <c r="E106" i="11" s="1" a="1"/>
  <c r="C107" i="11"/>
  <c r="E107" i="11" s="1" a="1"/>
  <c r="C108" i="11"/>
  <c r="E108" i="11" s="1" a="1"/>
  <c r="C109" i="11"/>
  <c r="E109" i="11" s="1" a="1"/>
  <c r="C110" i="11"/>
  <c r="E110" i="11" s="1" a="1"/>
  <c r="C111" i="11"/>
  <c r="E111" i="11" s="1" a="1"/>
  <c r="C112" i="11"/>
  <c r="E112" i="11" s="1" a="1"/>
  <c r="C113" i="11"/>
  <c r="E113" i="11" s="1" a="1"/>
  <c r="C114" i="11"/>
  <c r="E114" i="11" s="1" a="1"/>
  <c r="C115" i="11"/>
  <c r="E115" i="11" s="1" a="1"/>
  <c r="C116" i="11"/>
  <c r="E116" i="11" s="1" a="1"/>
  <c r="C117" i="11"/>
  <c r="E117" i="11" s="1" a="1"/>
  <c r="C118" i="11"/>
  <c r="E118" i="11" s="1" a="1"/>
  <c r="C119" i="11"/>
  <c r="E119" i="11" s="1" a="1"/>
  <c r="C120" i="11"/>
  <c r="E120" i="11" s="1" a="1"/>
  <c r="C121" i="11"/>
  <c r="E121" i="11" s="1" a="1"/>
  <c r="C122" i="11"/>
  <c r="E122" i="11" s="1" a="1"/>
  <c r="C123" i="11"/>
  <c r="E123" i="11" s="1" a="1"/>
  <c r="C124" i="11"/>
  <c r="E124" i="11" s="1" a="1"/>
  <c r="C125" i="11"/>
  <c r="E125" i="11" s="1" a="1"/>
  <c r="C126" i="11"/>
  <c r="E126" i="11" s="1" a="1"/>
  <c r="C127" i="11"/>
  <c r="E127" i="11" s="1" a="1"/>
  <c r="C128" i="11"/>
  <c r="E128" i="11" s="1" a="1"/>
  <c r="C129" i="11"/>
  <c r="E129" i="11" s="1" a="1"/>
  <c r="C130" i="11"/>
  <c r="E130" i="11" s="1" a="1"/>
  <c r="C131" i="11"/>
  <c r="E131" i="11" s="1" a="1"/>
  <c r="C132" i="11"/>
  <c r="E132" i="11" s="1" a="1"/>
  <c r="C133" i="11"/>
  <c r="E133" i="11" s="1" a="1"/>
  <c r="C134" i="11"/>
  <c r="E134" i="11" s="1" a="1"/>
  <c r="C135" i="11"/>
  <c r="E135" i="11" s="1" a="1"/>
  <c r="C136" i="11"/>
  <c r="E136" i="11" s="1" a="1"/>
  <c r="C137" i="11"/>
  <c r="E137" i="11" s="1" a="1"/>
  <c r="C138" i="11"/>
  <c r="E138" i="11" s="1" a="1"/>
  <c r="C139" i="11"/>
  <c r="E139" i="11" s="1" a="1"/>
  <c r="C140" i="11"/>
  <c r="E140" i="11" s="1" a="1"/>
  <c r="C141" i="11"/>
  <c r="E141" i="11" s="1" a="1"/>
  <c r="C142" i="11"/>
  <c r="E142" i="11" s="1" a="1"/>
  <c r="C143" i="11"/>
  <c r="E143" i="11" s="1" a="1"/>
  <c r="C144" i="11"/>
  <c r="E144" i="11" s="1" a="1"/>
  <c r="C145" i="11"/>
  <c r="E145" i="11" s="1" a="1"/>
  <c r="C146" i="11"/>
  <c r="E146" i="11" s="1" a="1"/>
  <c r="C147" i="11"/>
  <c r="E147" i="11" s="1" a="1"/>
  <c r="C148" i="11"/>
  <c r="E148" i="11" s="1" a="1"/>
  <c r="C149" i="11"/>
  <c r="E149" i="11" s="1" a="1"/>
  <c r="C150" i="11"/>
  <c r="E150" i="11" s="1" a="1"/>
  <c r="C151" i="11"/>
  <c r="E151" i="11" s="1" a="1"/>
  <c r="C152" i="11"/>
  <c r="E152" i="11" s="1" a="1"/>
  <c r="C153" i="11"/>
  <c r="E153" i="11" s="1" a="1"/>
  <c r="C154" i="11"/>
  <c r="E154" i="11" s="1" a="1"/>
  <c r="C155" i="11"/>
  <c r="E155" i="11" s="1" a="1"/>
  <c r="C156" i="11"/>
  <c r="E156" i="11" s="1" a="1"/>
  <c r="C157" i="11"/>
  <c r="E157" i="11" s="1" a="1"/>
  <c r="C158" i="11"/>
  <c r="E158" i="11" s="1" a="1"/>
  <c r="C159" i="11"/>
  <c r="E159" i="11" s="1" a="1"/>
  <c r="C160" i="11"/>
  <c r="E160" i="11" s="1" a="1"/>
  <c r="C161" i="11"/>
  <c r="E161" i="11" s="1" a="1"/>
  <c r="C162" i="11"/>
  <c r="E162" i="11" s="1" a="1"/>
  <c r="C163" i="11"/>
  <c r="E163" i="11" s="1" a="1"/>
  <c r="C164" i="11"/>
  <c r="E164" i="11" s="1" a="1"/>
  <c r="C165" i="11"/>
  <c r="E165" i="11" s="1" a="1"/>
  <c r="C166" i="11"/>
  <c r="E166" i="11" s="1" a="1"/>
  <c r="C167" i="11"/>
  <c r="E167" i="11" s="1" a="1"/>
  <c r="C168" i="11"/>
  <c r="E168" i="11" s="1" a="1"/>
  <c r="C169" i="11"/>
  <c r="E169" i="11" s="1" a="1"/>
  <c r="C170" i="11"/>
  <c r="E170" i="11" s="1" a="1"/>
  <c r="C171" i="11"/>
  <c r="E171" i="11" s="1" a="1"/>
  <c r="C172" i="11"/>
  <c r="E172" i="11" s="1" a="1"/>
  <c r="C173" i="11"/>
  <c r="E173" i="11" s="1" a="1"/>
  <c r="C174" i="11"/>
  <c r="E174" i="11" s="1" a="1"/>
  <c r="C175" i="11"/>
  <c r="E175" i="11" s="1" a="1"/>
  <c r="C176" i="11"/>
  <c r="E176" i="11" s="1" a="1"/>
  <c r="C177" i="11"/>
  <c r="E177" i="11" s="1" a="1"/>
  <c r="C178" i="11"/>
  <c r="E178" i="11" s="1" a="1"/>
  <c r="C179" i="11"/>
  <c r="E179" i="11" s="1" a="1"/>
  <c r="C180" i="11"/>
  <c r="E180" i="11" s="1" a="1"/>
  <c r="C181" i="11"/>
  <c r="E181" i="11" s="1" a="1"/>
  <c r="C182" i="11"/>
  <c r="E182" i="11" s="1" a="1"/>
  <c r="C183" i="11"/>
  <c r="E183" i="11" s="1" a="1"/>
  <c r="C184" i="11"/>
  <c r="E184" i="11" s="1" a="1"/>
  <c r="C185" i="11"/>
  <c r="E185" i="11" s="1" a="1"/>
  <c r="C186" i="11"/>
  <c r="E186" i="11" s="1" a="1"/>
  <c r="C187" i="11"/>
  <c r="E187" i="11" s="1" a="1"/>
  <c r="C188" i="11"/>
  <c r="E188" i="11" s="1" a="1"/>
  <c r="C189" i="11"/>
  <c r="E189" i="11" s="1" a="1"/>
  <c r="C190" i="11"/>
  <c r="E190" i="11" s="1" a="1"/>
  <c r="C191" i="11"/>
  <c r="E191" i="11" s="1" a="1"/>
  <c r="C192" i="11"/>
  <c r="E192" i="11" s="1" a="1"/>
  <c r="C193" i="11"/>
  <c r="E193" i="11" s="1" a="1"/>
  <c r="C194" i="11"/>
  <c r="E194" i="11" s="1" a="1"/>
  <c r="C195" i="11"/>
  <c r="E195" i="11" s="1" a="1"/>
  <c r="C196" i="11"/>
  <c r="E196" i="11" s="1" a="1"/>
  <c r="C197" i="11"/>
  <c r="E197" i="11" s="1" a="1"/>
  <c r="C198" i="11"/>
  <c r="E198" i="11" s="1" a="1"/>
  <c r="C199" i="11"/>
  <c r="E199" i="11" s="1" a="1"/>
  <c r="C200" i="11"/>
  <c r="E200" i="11" s="1" a="1"/>
  <c r="C201" i="11"/>
  <c r="E201" i="11" s="1" a="1"/>
  <c r="C202" i="11"/>
  <c r="E202" i="11" s="1" a="1"/>
  <c r="C203" i="11"/>
  <c r="E203" i="11" s="1" a="1"/>
  <c r="C204" i="11"/>
  <c r="E204" i="11" s="1" a="1"/>
  <c r="C205" i="11"/>
  <c r="E205" i="11" s="1" a="1"/>
  <c r="C206" i="11"/>
  <c r="E206" i="11" s="1" a="1"/>
  <c r="C207" i="11"/>
  <c r="E207" i="11" s="1" a="1"/>
  <c r="C208" i="11"/>
  <c r="E208" i="11" s="1" a="1"/>
  <c r="C209" i="11"/>
  <c r="E209" i="11" s="1" a="1"/>
  <c r="C210" i="11"/>
  <c r="E210" i="11" s="1" a="1"/>
  <c r="C211" i="11"/>
  <c r="E211" i="11" s="1" a="1"/>
  <c r="C212" i="11"/>
  <c r="E212" i="11" s="1" a="1"/>
  <c r="C213" i="11"/>
  <c r="E213" i="11" s="1" a="1"/>
  <c r="C214" i="11"/>
  <c r="E214" i="11" s="1" a="1"/>
  <c r="C215" i="11"/>
  <c r="E215" i="11" s="1" a="1"/>
  <c r="C216" i="11"/>
  <c r="E216" i="11" s="1" a="1"/>
  <c r="C217" i="11"/>
  <c r="E217" i="11" s="1" a="1"/>
  <c r="C218" i="11"/>
  <c r="E218" i="11" s="1" a="1"/>
  <c r="C219" i="11"/>
  <c r="E219" i="11" s="1" a="1"/>
  <c r="C220" i="11"/>
  <c r="E220" i="11" s="1" a="1"/>
  <c r="C221" i="11"/>
  <c r="E221" i="11" s="1" a="1"/>
  <c r="C222" i="11"/>
  <c r="E222" i="11" s="1" a="1"/>
  <c r="C223" i="11"/>
  <c r="E223" i="11" s="1" a="1"/>
  <c r="C224" i="11"/>
  <c r="E224" i="11" s="1" a="1"/>
  <c r="C225" i="11"/>
  <c r="E225" i="11" s="1" a="1"/>
  <c r="C226" i="11"/>
  <c r="E226" i="11" s="1" a="1"/>
  <c r="C227" i="11"/>
  <c r="E227" i="11" s="1" a="1"/>
  <c r="C228" i="11"/>
  <c r="E228" i="11" s="1" a="1"/>
  <c r="C229" i="11"/>
  <c r="E229" i="11" s="1" a="1"/>
  <c r="C230" i="11"/>
  <c r="E230" i="11" s="1" a="1"/>
  <c r="C231" i="11"/>
  <c r="E231" i="11" s="1" a="1"/>
  <c r="C232" i="11"/>
  <c r="E232" i="11" s="1" a="1"/>
  <c r="C233" i="11"/>
  <c r="E233" i="11" s="1" a="1"/>
  <c r="C234" i="11"/>
  <c r="E234" i="11" s="1" a="1"/>
  <c r="C235" i="11"/>
  <c r="E235" i="11" s="1" a="1"/>
  <c r="C236" i="11"/>
  <c r="E236" i="11" s="1" a="1"/>
  <c r="C237" i="11"/>
  <c r="E237" i="11" s="1" a="1"/>
  <c r="C238" i="11"/>
  <c r="E238" i="11" s="1" a="1"/>
  <c r="C239" i="11"/>
  <c r="E239" i="11" s="1" a="1"/>
  <c r="C240" i="11"/>
  <c r="E240" i="11" s="1" a="1"/>
  <c r="C241" i="11"/>
  <c r="E241" i="11" s="1" a="1"/>
  <c r="C242" i="11"/>
  <c r="E242" i="11" s="1" a="1"/>
  <c r="C243" i="11"/>
  <c r="E243" i="11" s="1" a="1"/>
  <c r="C244" i="11"/>
  <c r="E244" i="11" s="1" a="1"/>
  <c r="C245" i="11"/>
  <c r="E245" i="11" s="1" a="1"/>
  <c r="C246" i="11"/>
  <c r="E246" i="11" s="1" a="1"/>
  <c r="C247" i="11"/>
  <c r="E247" i="11" s="1" a="1"/>
  <c r="C248" i="11"/>
  <c r="E248" i="11" s="1" a="1"/>
  <c r="C249" i="11"/>
  <c r="E249" i="11" s="1" a="1"/>
  <c r="C250" i="11"/>
  <c r="E250" i="11" s="1" a="1"/>
  <c r="C251" i="11"/>
  <c r="E251" i="11" s="1" a="1"/>
  <c r="C252" i="11"/>
  <c r="E252" i="11" s="1" a="1"/>
  <c r="C253" i="11"/>
  <c r="E253" i="11" s="1" a="1"/>
  <c r="C254" i="11"/>
  <c r="E254" i="11" s="1" a="1"/>
  <c r="C255" i="11"/>
  <c r="E255" i="11" s="1" a="1"/>
  <c r="C256" i="11"/>
  <c r="E256" i="11" s="1" a="1"/>
  <c r="C257" i="11"/>
  <c r="E257" i="11" s="1" a="1"/>
  <c r="C258" i="11"/>
  <c r="E258" i="11" s="1" a="1"/>
  <c r="C259" i="11"/>
  <c r="E259" i="11" s="1" a="1"/>
  <c r="C260" i="11"/>
  <c r="E260" i="11" s="1" a="1"/>
  <c r="C261" i="11"/>
  <c r="E261" i="11" s="1" a="1"/>
  <c r="C262" i="11"/>
  <c r="E262" i="11" s="1" a="1"/>
  <c r="C263" i="11"/>
  <c r="E263" i="11" s="1" a="1"/>
  <c r="C264" i="11"/>
  <c r="E264" i="11" s="1" a="1"/>
  <c r="C265" i="11"/>
  <c r="E265" i="11" s="1" a="1"/>
  <c r="C266" i="11"/>
  <c r="E266" i="11" s="1" a="1"/>
  <c r="C267" i="11"/>
  <c r="E267" i="11" s="1" a="1"/>
  <c r="C268" i="11"/>
  <c r="E268" i="11" s="1" a="1"/>
  <c r="C269" i="11"/>
  <c r="E269" i="11" s="1" a="1"/>
  <c r="C270" i="11"/>
  <c r="E270" i="11" s="1" a="1"/>
  <c r="C271" i="11"/>
  <c r="E271" i="11" s="1" a="1"/>
  <c r="C272" i="11"/>
  <c r="E272" i="11" s="1" a="1"/>
  <c r="C273" i="11"/>
  <c r="E273" i="11" s="1" a="1"/>
  <c r="C274" i="11"/>
  <c r="E274" i="11" s="1" a="1"/>
  <c r="C275" i="11"/>
  <c r="E275" i="11" s="1" a="1"/>
  <c r="C276" i="11"/>
  <c r="E276" i="11" s="1" a="1"/>
  <c r="C277" i="11"/>
  <c r="E277" i="11" s="1" a="1"/>
  <c r="C278" i="11"/>
  <c r="E278" i="11" s="1" a="1"/>
  <c r="C279" i="11"/>
  <c r="E279" i="11" s="1" a="1"/>
  <c r="C280" i="11"/>
  <c r="E280" i="11" s="1" a="1"/>
  <c r="C281" i="11"/>
  <c r="E281" i="11" s="1" a="1"/>
  <c r="C282" i="11"/>
  <c r="E282" i="11" s="1" a="1"/>
  <c r="C283" i="11"/>
  <c r="E283" i="11" s="1" a="1"/>
  <c r="C284" i="11"/>
  <c r="E284" i="11" s="1" a="1"/>
  <c r="C285" i="11"/>
  <c r="E285" i="11" s="1" a="1"/>
  <c r="C286" i="11"/>
  <c r="E286" i="11" s="1" a="1"/>
  <c r="C287" i="11"/>
  <c r="E287" i="11" s="1" a="1"/>
  <c r="C288" i="11"/>
  <c r="E288" i="11" s="1" a="1"/>
  <c r="C289" i="11"/>
  <c r="E289" i="11" s="1" a="1"/>
  <c r="C290" i="11"/>
  <c r="E290" i="11" s="1" a="1"/>
  <c r="C291" i="11"/>
  <c r="E291" i="11" s="1" a="1"/>
  <c r="C292" i="11"/>
  <c r="E292" i="11" s="1" a="1"/>
  <c r="C293" i="11"/>
  <c r="E293" i="11" s="1" a="1"/>
  <c r="C294" i="11"/>
  <c r="E294" i="11" s="1" a="1"/>
  <c r="C295" i="11"/>
  <c r="E295" i="11" s="1" a="1"/>
  <c r="C296" i="11"/>
  <c r="E296" i="11" s="1" a="1"/>
  <c r="C297" i="11"/>
  <c r="E297" i="11" s="1" a="1"/>
  <c r="C298" i="11"/>
  <c r="E298" i="11" s="1" a="1"/>
  <c r="C299" i="11"/>
  <c r="E299" i="11" s="1" a="1"/>
  <c r="C300" i="11"/>
  <c r="E300" i="11" s="1" a="1"/>
  <c r="C301" i="11"/>
  <c r="E301" i="11" s="1" a="1"/>
  <c r="C302" i="11"/>
  <c r="E302" i="11" s="1" a="1"/>
  <c r="C303" i="11"/>
  <c r="E303" i="11" s="1" a="1"/>
  <c r="C304" i="11"/>
  <c r="E304" i="11" s="1" a="1"/>
  <c r="C305" i="11"/>
  <c r="E305" i="11" s="1" a="1"/>
  <c r="C306" i="11"/>
  <c r="E306" i="11" s="1" a="1"/>
  <c r="C307" i="11"/>
  <c r="E307" i="11" s="1" a="1"/>
  <c r="C308" i="11"/>
  <c r="E308" i="11" s="1" a="1"/>
  <c r="C309" i="11"/>
  <c r="E309" i="11" s="1" a="1"/>
  <c r="C310" i="11"/>
  <c r="E310" i="11" s="1" a="1"/>
  <c r="C311" i="11"/>
  <c r="E311" i="11" s="1" a="1"/>
  <c r="C312" i="11"/>
  <c r="E312" i="11" s="1" a="1"/>
  <c r="C313" i="11"/>
  <c r="E313" i="11" s="1" a="1"/>
  <c r="C314" i="11"/>
  <c r="E314" i="11" s="1" a="1"/>
  <c r="C315" i="11"/>
  <c r="E315" i="11" s="1" a="1"/>
  <c r="C316" i="11"/>
  <c r="E316" i="11" s="1" a="1"/>
  <c r="C317" i="11"/>
  <c r="E317" i="11" s="1" a="1"/>
  <c r="C318" i="11"/>
  <c r="E318" i="11" s="1" a="1"/>
  <c r="C319" i="11"/>
  <c r="E319" i="11" s="1" a="1"/>
  <c r="C320" i="11"/>
  <c r="E320" i="11" s="1" a="1"/>
  <c r="C321" i="11"/>
  <c r="E321" i="11" s="1" a="1"/>
  <c r="C322" i="11"/>
  <c r="E322" i="11" s="1" a="1"/>
  <c r="C323" i="11"/>
  <c r="E323" i="11" s="1" a="1"/>
  <c r="C324" i="11"/>
  <c r="E324" i="11" s="1" a="1"/>
  <c r="C325" i="11"/>
  <c r="E325" i="11" s="1" a="1"/>
  <c r="C326" i="11"/>
  <c r="E326" i="11" s="1" a="1"/>
  <c r="C327" i="11"/>
  <c r="E327" i="11" s="1" a="1"/>
  <c r="C328" i="11"/>
  <c r="E328" i="11" s="1" a="1"/>
  <c r="C329" i="11"/>
  <c r="E329" i="11" s="1" a="1"/>
  <c r="C330" i="11"/>
  <c r="E330" i="11" s="1" a="1"/>
  <c r="C331" i="11"/>
  <c r="E331" i="11" s="1" a="1"/>
  <c r="C332" i="11"/>
  <c r="E332" i="11" s="1" a="1"/>
  <c r="C333" i="11"/>
  <c r="E333" i="11" s="1" a="1"/>
  <c r="C334" i="11"/>
  <c r="E334" i="11" s="1" a="1"/>
  <c r="C335" i="11"/>
  <c r="E335" i="11" s="1" a="1"/>
  <c r="C336" i="11"/>
  <c r="E336" i="11" s="1" a="1"/>
  <c r="C337" i="11"/>
  <c r="E337" i="11" s="1" a="1"/>
  <c r="C338" i="11"/>
  <c r="E338" i="11" s="1" a="1"/>
  <c r="C339" i="11"/>
  <c r="E339" i="11" s="1" a="1"/>
  <c r="C340" i="11"/>
  <c r="E340" i="11" s="1" a="1"/>
  <c r="C341" i="11"/>
  <c r="E341" i="11" s="1" a="1"/>
  <c r="C342" i="11"/>
  <c r="E342" i="11" s="1" a="1"/>
  <c r="C343" i="11"/>
  <c r="E343" i="11" s="1" a="1"/>
  <c r="C344" i="11"/>
  <c r="E344" i="11" s="1" a="1"/>
  <c r="C345" i="11"/>
  <c r="E345" i="11" s="1" a="1"/>
  <c r="C346" i="11"/>
  <c r="E346" i="11" s="1" a="1"/>
  <c r="C347" i="11"/>
  <c r="E347" i="11" s="1" a="1"/>
  <c r="C348" i="11"/>
  <c r="E348" i="11" s="1" a="1"/>
  <c r="C349" i="11"/>
  <c r="E349" i="11" s="1" a="1"/>
  <c r="C350" i="11"/>
  <c r="E350" i="11" s="1" a="1"/>
  <c r="C351" i="11"/>
  <c r="E351" i="11" s="1" a="1"/>
  <c r="C352" i="11"/>
  <c r="E352" i="11" s="1" a="1"/>
  <c r="C353" i="11"/>
  <c r="E353" i="11" s="1" a="1"/>
  <c r="C354" i="11"/>
  <c r="E354" i="11" s="1" a="1"/>
  <c r="C355" i="11"/>
  <c r="E355" i="11" s="1" a="1"/>
  <c r="C356" i="11"/>
  <c r="E356" i="11" s="1" a="1"/>
  <c r="C357" i="11"/>
  <c r="E357" i="11" s="1" a="1"/>
  <c r="C358" i="11"/>
  <c r="E358" i="11" s="1" a="1"/>
  <c r="C359" i="11"/>
  <c r="E359" i="11" s="1" a="1"/>
  <c r="C360" i="11"/>
  <c r="E360" i="11" s="1" a="1"/>
  <c r="C361" i="11"/>
  <c r="E361" i="11" s="1" a="1"/>
  <c r="C362" i="11"/>
  <c r="E362" i="11" s="1" a="1"/>
  <c r="C363" i="11"/>
  <c r="E363" i="11" s="1" a="1"/>
  <c r="C364" i="11"/>
  <c r="E364" i="11" s="1" a="1"/>
  <c r="C365" i="11"/>
  <c r="E365" i="11" s="1" a="1"/>
  <c r="C366" i="11"/>
  <c r="E366" i="11" s="1" a="1"/>
  <c r="C367" i="11"/>
  <c r="E367" i="11" s="1" a="1"/>
  <c r="C368" i="11"/>
  <c r="E368" i="11" s="1" a="1"/>
  <c r="C369" i="11"/>
  <c r="E369" i="11" s="1" a="1"/>
  <c r="C370" i="11"/>
  <c r="E370" i="11" s="1" a="1"/>
  <c r="C371" i="11"/>
  <c r="E371" i="11" s="1" a="1"/>
  <c r="C372" i="11"/>
  <c r="E372" i="11" s="1" a="1"/>
  <c r="C373" i="11"/>
  <c r="E373" i="11" s="1" a="1"/>
  <c r="C374" i="11"/>
  <c r="E374" i="11" s="1" a="1"/>
  <c r="C375" i="11"/>
  <c r="E375" i="11" s="1" a="1"/>
  <c r="C376" i="11"/>
  <c r="E376" i="11" s="1" a="1"/>
  <c r="C377" i="11"/>
  <c r="E377" i="11" s="1" a="1"/>
  <c r="C378" i="11"/>
  <c r="E378" i="11" s="1" a="1"/>
  <c r="C379" i="11"/>
  <c r="E379" i="11" s="1" a="1"/>
  <c r="C380" i="11"/>
  <c r="E380" i="11" s="1" a="1"/>
  <c r="C381" i="11"/>
  <c r="E381" i="11" s="1" a="1"/>
  <c r="C382" i="11"/>
  <c r="E382" i="11" s="1" a="1"/>
  <c r="C383" i="11"/>
  <c r="E383" i="11" s="1" a="1"/>
  <c r="C384" i="11"/>
  <c r="E384" i="11" s="1" a="1"/>
  <c r="C385" i="11"/>
  <c r="E385" i="11" s="1" a="1"/>
  <c r="C386" i="11"/>
  <c r="E386" i="11" s="1" a="1"/>
  <c r="C387" i="11"/>
  <c r="E387" i="11" s="1" a="1"/>
  <c r="C388" i="11"/>
  <c r="E388" i="11" s="1" a="1"/>
  <c r="C389" i="11"/>
  <c r="E389" i="11" s="1" a="1"/>
  <c r="C390" i="11"/>
  <c r="E390" i="11" s="1" a="1"/>
  <c r="C391" i="11"/>
  <c r="E391" i="11" s="1" a="1"/>
  <c r="C392" i="11"/>
  <c r="E392" i="11" s="1" a="1"/>
  <c r="C393" i="11"/>
  <c r="E393" i="11" s="1" a="1"/>
  <c r="C394" i="11"/>
  <c r="E394" i="11" s="1" a="1"/>
  <c r="C395" i="11"/>
  <c r="E395" i="11" s="1" a="1"/>
  <c r="C396" i="11"/>
  <c r="E396" i="11" s="1" a="1"/>
  <c r="C397" i="11"/>
  <c r="E397" i="11" s="1" a="1"/>
  <c r="C398" i="11"/>
  <c r="E398" i="11" s="1" a="1"/>
  <c r="C399" i="11"/>
  <c r="E399" i="11" s="1" a="1"/>
  <c r="C400" i="11"/>
  <c r="E400" i="11" s="1" a="1"/>
  <c r="C401" i="11"/>
  <c r="E401" i="11" s="1" a="1"/>
  <c r="C402" i="11"/>
  <c r="E402" i="11" s="1" a="1"/>
  <c r="C403" i="11"/>
  <c r="E403" i="11" s="1" a="1"/>
  <c r="C404" i="11"/>
  <c r="E404" i="11" s="1" a="1"/>
  <c r="C405" i="11"/>
  <c r="E405" i="11" s="1" a="1"/>
  <c r="C406" i="11"/>
  <c r="E406" i="11" s="1" a="1"/>
  <c r="C407" i="11"/>
  <c r="E407" i="11" s="1" a="1"/>
  <c r="C408" i="11"/>
  <c r="E408" i="11" s="1" a="1"/>
  <c r="C409" i="11"/>
  <c r="E409" i="11" s="1" a="1"/>
  <c r="C410" i="11"/>
  <c r="E410" i="11" s="1" a="1"/>
  <c r="C411" i="11"/>
  <c r="E411" i="11" s="1" a="1"/>
  <c r="C412" i="11"/>
  <c r="E412" i="11" s="1" a="1"/>
  <c r="C413" i="11"/>
  <c r="E413" i="11" s="1" a="1"/>
  <c r="C414" i="11"/>
  <c r="E414" i="11" s="1" a="1"/>
  <c r="C415" i="11"/>
  <c r="E415" i="11" s="1" a="1"/>
  <c r="C416" i="11"/>
  <c r="E416" i="11" s="1" a="1"/>
  <c r="C417" i="11"/>
  <c r="E417" i="11" s="1" a="1"/>
  <c r="C418" i="11"/>
  <c r="E418" i="11" s="1" a="1"/>
  <c r="C419" i="11"/>
  <c r="E419" i="11" s="1" a="1"/>
  <c r="C420" i="11"/>
  <c r="E420" i="11" s="1" a="1"/>
  <c r="C421" i="11"/>
  <c r="E421" i="11" s="1" a="1"/>
  <c r="C422" i="11"/>
  <c r="E422" i="11" s="1" a="1"/>
  <c r="C423" i="11"/>
  <c r="E423" i="11" s="1" a="1"/>
  <c r="C424" i="11"/>
  <c r="E424" i="11" s="1" a="1"/>
  <c r="C425" i="11"/>
  <c r="E425" i="11" s="1" a="1"/>
  <c r="C426" i="11"/>
  <c r="E426" i="11" s="1" a="1"/>
  <c r="C427" i="11"/>
  <c r="E427" i="11" s="1" a="1"/>
  <c r="C428" i="11"/>
  <c r="E428" i="11" s="1" a="1"/>
  <c r="C429" i="11"/>
  <c r="E429" i="11" s="1" a="1"/>
  <c r="C430" i="11"/>
  <c r="E430" i="11" s="1" a="1"/>
  <c r="C431" i="11"/>
  <c r="E431" i="11" s="1" a="1"/>
  <c r="C432" i="11"/>
  <c r="E432" i="11" s="1" a="1"/>
  <c r="C433" i="11"/>
  <c r="E433" i="11" s="1" a="1"/>
  <c r="C434" i="11"/>
  <c r="E434" i="11" s="1" a="1"/>
  <c r="C435" i="11"/>
  <c r="E435" i="11" s="1" a="1"/>
  <c r="C436" i="11"/>
  <c r="E436" i="11" s="1" a="1"/>
  <c r="C437" i="11"/>
  <c r="E437" i="11" s="1" a="1"/>
  <c r="C438" i="11"/>
  <c r="E438" i="11" s="1" a="1"/>
  <c r="C439" i="11"/>
  <c r="E439" i="11" s="1" a="1"/>
  <c r="C440" i="11"/>
  <c r="E440" i="11" s="1" a="1"/>
  <c r="C441" i="11"/>
  <c r="E441" i="11" s="1" a="1"/>
  <c r="C442" i="11"/>
  <c r="E442" i="11" s="1" a="1"/>
  <c r="C443" i="11"/>
  <c r="E443" i="11" s="1" a="1"/>
  <c r="C444" i="11"/>
  <c r="E444" i="11" s="1" a="1"/>
  <c r="C445" i="11"/>
  <c r="E445" i="11" s="1" a="1"/>
  <c r="C446" i="11"/>
  <c r="E446" i="11" s="1" a="1"/>
  <c r="C447" i="11"/>
  <c r="E447" i="11" s="1" a="1"/>
  <c r="C448" i="11"/>
  <c r="E448" i="11" s="1" a="1"/>
  <c r="C449" i="11"/>
  <c r="E449" i="11" s="1" a="1"/>
  <c r="C450" i="11"/>
  <c r="E450" i="11" s="1" a="1"/>
  <c r="C451" i="11"/>
  <c r="E451" i="11" s="1" a="1"/>
  <c r="C452" i="11"/>
  <c r="E452" i="11" s="1" a="1"/>
  <c r="C453" i="11"/>
  <c r="E453" i="11" s="1" a="1"/>
  <c r="C454" i="11"/>
  <c r="E454" i="11" s="1" a="1"/>
  <c r="C455" i="11"/>
  <c r="E455" i="11" s="1" a="1"/>
  <c r="C456" i="11"/>
  <c r="E456" i="11" s="1" a="1"/>
  <c r="C457" i="11"/>
  <c r="E457" i="11" s="1" a="1"/>
  <c r="C458" i="11"/>
  <c r="E458" i="11" s="1" a="1"/>
  <c r="C459" i="11"/>
  <c r="E459" i="11" s="1" a="1"/>
  <c r="C460" i="11"/>
  <c r="E460" i="11" s="1" a="1"/>
  <c r="C461" i="11"/>
  <c r="E461" i="11" s="1" a="1"/>
  <c r="C462" i="11"/>
  <c r="E462" i="11" s="1" a="1"/>
  <c r="C463" i="11"/>
  <c r="E463" i="11" s="1" a="1"/>
  <c r="C464" i="11"/>
  <c r="E464" i="11" s="1" a="1"/>
  <c r="C465" i="11"/>
  <c r="E465" i="11" s="1" a="1"/>
  <c r="C466" i="11"/>
  <c r="E466" i="11" s="1" a="1"/>
  <c r="C467" i="11"/>
  <c r="E467" i="11" s="1" a="1"/>
  <c r="C468" i="11"/>
  <c r="E468" i="11" s="1" a="1"/>
  <c r="C469" i="11"/>
  <c r="E469" i="11" s="1" a="1"/>
  <c r="C470" i="11"/>
  <c r="E470" i="11" s="1" a="1"/>
  <c r="C471" i="11"/>
  <c r="E471" i="11" s="1" a="1"/>
  <c r="C472" i="11"/>
  <c r="E472" i="11" s="1" a="1"/>
  <c r="C473" i="11"/>
  <c r="E473" i="11" s="1" a="1"/>
  <c r="C474" i="11"/>
  <c r="E474" i="11" s="1" a="1"/>
  <c r="C475" i="11"/>
  <c r="E475" i="11" s="1" a="1"/>
  <c r="C476" i="11"/>
  <c r="E476" i="11" s="1" a="1"/>
  <c r="C477" i="11"/>
  <c r="E477" i="11" s="1" a="1"/>
  <c r="C478" i="11"/>
  <c r="E478" i="11" s="1" a="1"/>
  <c r="C479" i="11"/>
  <c r="E479" i="11" s="1" a="1"/>
  <c r="C480" i="11"/>
  <c r="E480" i="11" s="1" a="1"/>
  <c r="C481" i="11"/>
  <c r="E481" i="11" s="1" a="1"/>
  <c r="C482" i="11"/>
  <c r="E482" i="11" s="1" a="1"/>
  <c r="C483" i="11"/>
  <c r="E483" i="11" s="1" a="1"/>
  <c r="C484" i="11"/>
  <c r="E484" i="11" s="1" a="1"/>
  <c r="C485" i="11"/>
  <c r="E485" i="11" s="1" a="1"/>
  <c r="C486" i="11"/>
  <c r="E486" i="11" s="1" a="1"/>
  <c r="C487" i="11"/>
  <c r="E487" i="11" s="1" a="1"/>
  <c r="C488" i="11"/>
  <c r="E488" i="11" s="1" a="1"/>
  <c r="C489" i="11"/>
  <c r="E489" i="11" s="1" a="1"/>
  <c r="C490" i="11"/>
  <c r="E490" i="11" s="1" a="1"/>
  <c r="C491" i="11"/>
  <c r="E491" i="11" s="1" a="1"/>
  <c r="C492" i="11"/>
  <c r="E492" i="11" s="1" a="1"/>
  <c r="C493" i="11"/>
  <c r="E493" i="11" s="1" a="1"/>
  <c r="C494" i="11"/>
  <c r="E494" i="11" s="1" a="1"/>
  <c r="C495" i="11"/>
  <c r="E495" i="11" s="1" a="1"/>
  <c r="C496" i="11"/>
  <c r="E496" i="11" s="1" a="1"/>
  <c r="C497" i="11"/>
  <c r="E497" i="11" s="1" a="1"/>
  <c r="C498" i="11"/>
  <c r="E498" i="11" s="1" a="1"/>
  <c r="C499" i="11"/>
  <c r="E499" i="11" s="1" a="1"/>
  <c r="C500" i="11"/>
  <c r="E500" i="11" s="1" a="1"/>
  <c r="C501" i="11"/>
  <c r="E501" i="11" s="1" a="1"/>
  <c r="C502" i="11"/>
  <c r="E502" i="11" s="1" a="1"/>
  <c r="C503" i="11"/>
  <c r="E503" i="11" s="1" a="1"/>
  <c r="C504" i="11"/>
  <c r="E504" i="11" s="1" a="1"/>
  <c r="C505" i="11"/>
  <c r="E505" i="11" s="1" a="1"/>
  <c r="C506" i="11"/>
  <c r="E506" i="11" s="1" a="1"/>
  <c r="C507" i="11"/>
  <c r="E507" i="11" s="1" a="1"/>
  <c r="C508" i="11"/>
  <c r="E508" i="11" s="1" a="1"/>
  <c r="C509" i="11"/>
  <c r="E509" i="11" s="1" a="1"/>
  <c r="C510" i="11"/>
  <c r="E510" i="11" s="1" a="1"/>
  <c r="C511" i="11"/>
  <c r="E511" i="11" s="1" a="1"/>
  <c r="C512" i="11"/>
  <c r="E512" i="11" s="1" a="1"/>
  <c r="C513" i="11"/>
  <c r="E513" i="11" s="1" a="1"/>
  <c r="C514" i="11"/>
  <c r="E514" i="11" s="1" a="1"/>
  <c r="C515" i="11"/>
  <c r="E515" i="11" s="1" a="1"/>
  <c r="C516" i="11"/>
  <c r="E516" i="11" s="1" a="1"/>
  <c r="C517" i="11"/>
  <c r="E517" i="11" s="1" a="1"/>
  <c r="C518" i="11"/>
  <c r="E518" i="11" s="1" a="1"/>
  <c r="C519" i="11"/>
  <c r="E519" i="11" s="1" a="1"/>
  <c r="C520" i="11"/>
  <c r="E520" i="11" s="1" a="1"/>
  <c r="C521" i="11"/>
  <c r="E521" i="11" s="1" a="1"/>
  <c r="C522" i="11"/>
  <c r="E522" i="11" s="1" a="1"/>
  <c r="C523" i="11"/>
  <c r="E523" i="11" s="1" a="1"/>
  <c r="C524" i="11"/>
  <c r="E524" i="11" s="1" a="1"/>
  <c r="C525" i="11"/>
  <c r="E525" i="11" s="1" a="1"/>
  <c r="C526" i="11"/>
  <c r="E526" i="11" s="1" a="1"/>
  <c r="C527" i="11"/>
  <c r="E527" i="11" s="1" a="1"/>
  <c r="C528" i="11"/>
  <c r="E528" i="11" s="1" a="1"/>
  <c r="C529" i="11"/>
  <c r="E529" i="11" s="1" a="1"/>
  <c r="C530" i="11"/>
  <c r="E530" i="11" s="1" a="1"/>
  <c r="C531" i="11"/>
  <c r="E531" i="11" s="1" a="1"/>
  <c r="C532" i="11"/>
  <c r="E532" i="11" s="1" a="1"/>
  <c r="C533" i="11"/>
  <c r="E533" i="11" s="1" a="1"/>
  <c r="C534" i="11"/>
  <c r="E534" i="11" s="1" a="1"/>
  <c r="C535" i="11"/>
  <c r="E535" i="11" s="1" a="1"/>
  <c r="C536" i="11"/>
  <c r="E536" i="11" s="1" a="1"/>
  <c r="C537" i="11"/>
  <c r="E537" i="11" s="1" a="1"/>
  <c r="C538" i="11"/>
  <c r="E538" i="11" s="1" a="1"/>
  <c r="C539" i="11"/>
  <c r="E539" i="11" s="1" a="1"/>
  <c r="C540" i="11"/>
  <c r="E540" i="11" s="1" a="1"/>
  <c r="C541" i="11"/>
  <c r="E541" i="11" s="1" a="1"/>
  <c r="C542" i="11"/>
  <c r="E542" i="11" s="1" a="1"/>
  <c r="C543" i="11"/>
  <c r="E543" i="11" s="1" a="1"/>
  <c r="C544" i="11"/>
  <c r="E544" i="11" s="1" a="1"/>
  <c r="C545" i="11"/>
  <c r="E545" i="11" s="1" a="1"/>
  <c r="C546" i="11"/>
  <c r="E546" i="11" s="1" a="1"/>
  <c r="C547" i="11"/>
  <c r="E547" i="11" s="1" a="1"/>
  <c r="C548" i="11"/>
  <c r="E548" i="11" s="1" a="1"/>
  <c r="C549" i="11"/>
  <c r="E549" i="11" s="1" a="1"/>
  <c r="C550" i="11"/>
  <c r="E550" i="11" s="1" a="1"/>
  <c r="C551" i="11"/>
  <c r="E551" i="11" s="1" a="1"/>
  <c r="C552" i="11"/>
  <c r="E552" i="11" s="1" a="1"/>
  <c r="C553" i="11"/>
  <c r="E553" i="11" s="1" a="1"/>
  <c r="C554" i="11"/>
  <c r="E554" i="11" s="1" a="1"/>
  <c r="C555" i="11"/>
  <c r="E555" i="11" s="1" a="1"/>
  <c r="C556" i="11"/>
  <c r="E556" i="11" s="1" a="1"/>
  <c r="C557" i="11"/>
  <c r="E557" i="11" s="1" a="1"/>
  <c r="C558" i="11"/>
  <c r="E558" i="11" s="1" a="1"/>
  <c r="C559" i="11"/>
  <c r="E559" i="11" s="1" a="1"/>
  <c r="C560" i="11"/>
  <c r="E560" i="11" s="1" a="1"/>
  <c r="C561" i="11"/>
  <c r="E561" i="11" s="1" a="1"/>
  <c r="C562" i="11"/>
  <c r="E562" i="11" s="1" a="1"/>
  <c r="C563" i="11"/>
  <c r="E563" i="11" s="1" a="1"/>
  <c r="C564" i="11"/>
  <c r="E564" i="11" s="1" a="1"/>
  <c r="C565" i="11"/>
  <c r="E565" i="11" s="1" a="1"/>
  <c r="C566" i="11"/>
  <c r="E566" i="11" s="1" a="1"/>
  <c r="C567" i="11"/>
  <c r="E567" i="11" s="1" a="1"/>
  <c r="C568" i="11"/>
  <c r="E568" i="11" s="1" a="1"/>
  <c r="C569" i="11"/>
  <c r="E569" i="11" s="1" a="1"/>
  <c r="C570" i="11"/>
  <c r="E570" i="11" s="1" a="1"/>
  <c r="C571" i="11"/>
  <c r="E571" i="11" s="1" a="1"/>
  <c r="C572" i="11"/>
  <c r="E572" i="11" s="1" a="1"/>
  <c r="C573" i="11"/>
  <c r="E573" i="11" s="1" a="1"/>
  <c r="C574" i="11"/>
  <c r="E574" i="11" s="1" a="1"/>
  <c r="C575" i="11"/>
  <c r="E575" i="11" s="1" a="1"/>
  <c r="C576" i="11"/>
  <c r="E576" i="11" s="1" a="1"/>
  <c r="C577" i="11"/>
  <c r="E577" i="11" s="1" a="1"/>
  <c r="C578" i="11"/>
  <c r="E578" i="11" s="1" a="1"/>
  <c r="C579" i="11"/>
  <c r="E579" i="11" s="1" a="1"/>
  <c r="C580" i="11"/>
  <c r="E580" i="11" s="1" a="1"/>
  <c r="C581" i="11"/>
  <c r="E581" i="11" s="1" a="1"/>
  <c r="C582" i="11"/>
  <c r="E582" i="11" s="1" a="1"/>
  <c r="C583" i="11"/>
  <c r="E583" i="11" s="1" a="1"/>
  <c r="C584" i="11"/>
  <c r="E584" i="11" s="1" a="1"/>
  <c r="C585" i="11"/>
  <c r="E585" i="11" s="1" a="1"/>
  <c r="C586" i="11"/>
  <c r="E586" i="11" s="1" a="1"/>
  <c r="C587" i="11"/>
  <c r="E587" i="11" s="1" a="1"/>
  <c r="C588" i="11"/>
  <c r="E588" i="11" s="1" a="1"/>
  <c r="C589" i="11"/>
  <c r="E589" i="11" s="1" a="1"/>
  <c r="C590" i="11"/>
  <c r="E590" i="11" s="1" a="1"/>
  <c r="C591" i="11"/>
  <c r="E591" i="11" s="1" a="1"/>
  <c r="C592" i="11"/>
  <c r="E592" i="11" s="1" a="1"/>
  <c r="C593" i="11"/>
  <c r="E593" i="11" s="1" a="1"/>
  <c r="C594" i="11"/>
  <c r="E594" i="11" s="1" a="1"/>
  <c r="C595" i="11"/>
  <c r="E595" i="11" s="1" a="1"/>
  <c r="C596" i="11"/>
  <c r="E596" i="11" s="1" a="1"/>
  <c r="C597" i="11"/>
  <c r="E597" i="11" s="1" a="1"/>
  <c r="C598" i="11"/>
  <c r="E598" i="11" s="1" a="1"/>
  <c r="C599" i="11"/>
  <c r="E599" i="11" s="1" a="1"/>
  <c r="C600" i="11"/>
  <c r="E600" i="11" s="1" a="1"/>
  <c r="C601" i="11"/>
  <c r="E601" i="11" s="1" a="1"/>
  <c r="C602" i="11"/>
  <c r="E602" i="11" s="1" a="1"/>
  <c r="C603" i="11"/>
  <c r="E603" i="11" s="1" a="1"/>
  <c r="C604" i="11"/>
  <c r="E604" i="11" s="1" a="1"/>
  <c r="C605" i="11"/>
  <c r="E605" i="11" s="1" a="1"/>
  <c r="C606" i="11"/>
  <c r="E606" i="11" s="1" a="1"/>
  <c r="C607" i="11"/>
  <c r="E607" i="11" s="1" a="1"/>
  <c r="C608" i="11"/>
  <c r="E608" i="11" s="1" a="1"/>
  <c r="C609" i="11"/>
  <c r="E609" i="11" s="1" a="1"/>
  <c r="C610" i="11"/>
  <c r="E610" i="11" s="1" a="1"/>
  <c r="C611" i="11"/>
  <c r="E611" i="11" s="1" a="1"/>
  <c r="C612" i="11"/>
  <c r="E612" i="11" s="1" a="1"/>
  <c r="C613" i="11"/>
  <c r="E613" i="11" s="1" a="1"/>
  <c r="C614" i="11"/>
  <c r="E614" i="11" s="1" a="1"/>
  <c r="C615" i="11"/>
  <c r="E615" i="11" s="1" a="1"/>
  <c r="C616" i="11"/>
  <c r="E616" i="11" s="1" a="1"/>
  <c r="C617" i="11"/>
  <c r="E617" i="11" s="1" a="1"/>
  <c r="C618" i="11"/>
  <c r="E618" i="11" s="1" a="1"/>
  <c r="C619" i="11"/>
  <c r="E619" i="11" s="1" a="1"/>
  <c r="C620" i="11"/>
  <c r="E620" i="11" s="1" a="1"/>
  <c r="C621" i="11"/>
  <c r="E621" i="11" s="1" a="1"/>
  <c r="C622" i="11"/>
  <c r="E622" i="11" s="1" a="1"/>
  <c r="C623" i="11"/>
  <c r="E623" i="11" s="1" a="1"/>
  <c r="C624" i="11"/>
  <c r="E624" i="11" s="1" a="1"/>
  <c r="C625" i="11"/>
  <c r="E625" i="11" s="1" a="1"/>
  <c r="C626" i="11"/>
  <c r="E626" i="11" s="1" a="1"/>
  <c r="C627" i="11"/>
  <c r="E627" i="11" s="1" a="1"/>
  <c r="C628" i="11"/>
  <c r="E628" i="11" s="1" a="1"/>
  <c r="C629" i="11"/>
  <c r="E629" i="11" s="1" a="1"/>
  <c r="C630" i="11"/>
  <c r="E630" i="11" s="1" a="1"/>
  <c r="C631" i="11"/>
  <c r="E631" i="11" s="1" a="1"/>
  <c r="C632" i="11"/>
  <c r="E632" i="11" s="1" a="1"/>
  <c r="C633" i="11"/>
  <c r="E633" i="11" s="1" a="1"/>
  <c r="C634" i="11"/>
  <c r="E634" i="11" s="1" a="1"/>
  <c r="C635" i="11"/>
  <c r="E635" i="11" s="1" a="1"/>
  <c r="C636" i="11"/>
  <c r="E636" i="11" s="1" a="1"/>
  <c r="C637" i="11"/>
  <c r="E637" i="11" s="1" a="1"/>
  <c r="C638" i="11"/>
  <c r="E638" i="11" s="1" a="1"/>
  <c r="C639" i="11"/>
  <c r="E639" i="11" s="1" a="1"/>
  <c r="C640" i="11"/>
  <c r="E640" i="11" s="1" a="1"/>
  <c r="C641" i="11"/>
  <c r="E641" i="11" s="1" a="1"/>
  <c r="C642" i="11"/>
  <c r="E642" i="11" s="1" a="1"/>
  <c r="C643" i="11"/>
  <c r="E643" i="11" s="1" a="1"/>
  <c r="C644" i="11"/>
  <c r="E644" i="11" s="1" a="1"/>
  <c r="C645" i="11"/>
  <c r="E645" i="11" s="1" a="1"/>
  <c r="C646" i="11"/>
  <c r="E646" i="11" s="1" a="1"/>
  <c r="C647" i="11"/>
  <c r="E647" i="11" s="1" a="1"/>
  <c r="C648" i="11"/>
  <c r="E648" i="11" s="1" a="1"/>
  <c r="C649" i="11"/>
  <c r="E649" i="11" s="1" a="1"/>
  <c r="C650" i="11"/>
  <c r="E650" i="11" s="1" a="1"/>
  <c r="C651" i="11"/>
  <c r="E651" i="11" s="1" a="1"/>
  <c r="C652" i="11"/>
  <c r="E652" i="11" s="1" a="1"/>
  <c r="AC4" i="11"/>
  <c r="AC5" i="11"/>
  <c r="AC6" i="11"/>
  <c r="AC7" i="11"/>
  <c r="AC8" i="11"/>
  <c r="AC9" i="11"/>
  <c r="AC10" i="11"/>
  <c r="AC11" i="11"/>
  <c r="AC12" i="11"/>
  <c r="AC13" i="11"/>
  <c r="AC14" i="11"/>
  <c r="AC15" i="11"/>
  <c r="AC16" i="11"/>
  <c r="AC17" i="11"/>
  <c r="AC18" i="11"/>
  <c r="AC19" i="11"/>
  <c r="AC20" i="11"/>
  <c r="AC21" i="11"/>
  <c r="AC22" i="11"/>
  <c r="AC23" i="11"/>
  <c r="AC24" i="11"/>
  <c r="AC25" i="11"/>
  <c r="AC26" i="11"/>
  <c r="AC27" i="11"/>
  <c r="AC28" i="11"/>
  <c r="AC29" i="11"/>
  <c r="AC30" i="11"/>
  <c r="AC31" i="11"/>
  <c r="AC32" i="11"/>
  <c r="AC33" i="11"/>
  <c r="AC34" i="11"/>
  <c r="AC35" i="11"/>
  <c r="AC36" i="11"/>
  <c r="AC37" i="11"/>
  <c r="AC38" i="11"/>
  <c r="AC39" i="11"/>
  <c r="AC40" i="11"/>
  <c r="AC41" i="11"/>
  <c r="AC42" i="11"/>
  <c r="AC43" i="11"/>
  <c r="AC44" i="11"/>
  <c r="AC45" i="11"/>
  <c r="AC46" i="11"/>
  <c r="AC47" i="11"/>
  <c r="AC48" i="11"/>
  <c r="AC49" i="11"/>
  <c r="AC50" i="11"/>
  <c r="AC51" i="11"/>
  <c r="AC52" i="11"/>
  <c r="AC53" i="11"/>
  <c r="AC54" i="11"/>
  <c r="AC55" i="11"/>
  <c r="AC56" i="11"/>
  <c r="AC57" i="11"/>
  <c r="AC58" i="11"/>
  <c r="AC59" i="11"/>
  <c r="AC60" i="11"/>
  <c r="AC61" i="11"/>
  <c r="AC62" i="11"/>
  <c r="AC63" i="11"/>
  <c r="AC64" i="11"/>
  <c r="AC65" i="11"/>
  <c r="AC66" i="11"/>
  <c r="AC67" i="11"/>
  <c r="AC68" i="11"/>
  <c r="AC69" i="11"/>
  <c r="AC70" i="11"/>
  <c r="AC71" i="11"/>
  <c r="AC72" i="11"/>
  <c r="AC73" i="11"/>
  <c r="AC74" i="11"/>
  <c r="AC75" i="11"/>
  <c r="AC76" i="11"/>
  <c r="AC77" i="11"/>
  <c r="AC78" i="11"/>
  <c r="AC79" i="11"/>
  <c r="AC80" i="11"/>
  <c r="AC81" i="11"/>
  <c r="AC82" i="11"/>
  <c r="AC83" i="11"/>
  <c r="AC84" i="11"/>
  <c r="AC85" i="11"/>
  <c r="AC86" i="11"/>
  <c r="AC87" i="11"/>
  <c r="AC88" i="11"/>
  <c r="AC89" i="11"/>
  <c r="AC90" i="11"/>
  <c r="AC91" i="11"/>
  <c r="AC92" i="11"/>
  <c r="AC93" i="11"/>
  <c r="AC94" i="11"/>
  <c r="AC95" i="11"/>
  <c r="AC96" i="11"/>
  <c r="AC97" i="11"/>
  <c r="AC98" i="11"/>
  <c r="AC99" i="11"/>
  <c r="AC100" i="11"/>
  <c r="AC101" i="11"/>
  <c r="AC102" i="11"/>
  <c r="AC103" i="11"/>
  <c r="AC104" i="11"/>
  <c r="AC105" i="11"/>
  <c r="AC106" i="11"/>
  <c r="AC107" i="11"/>
  <c r="AC108" i="11"/>
  <c r="AC109" i="11"/>
  <c r="AC110" i="11"/>
  <c r="AC111" i="11"/>
  <c r="AC112" i="11"/>
  <c r="AC113" i="11"/>
  <c r="AC114" i="11"/>
  <c r="AC115" i="11"/>
  <c r="AC116" i="11"/>
  <c r="AC117" i="11"/>
  <c r="AC118" i="11"/>
  <c r="AC119" i="11"/>
  <c r="AC121" i="11"/>
  <c r="AC122" i="11"/>
  <c r="AC123" i="11"/>
  <c r="AC124" i="11"/>
  <c r="AC125" i="11"/>
  <c r="AC126" i="11"/>
  <c r="AC127" i="11"/>
  <c r="AC128" i="11"/>
  <c r="AC129" i="11"/>
  <c r="AC130" i="11"/>
  <c r="AC131" i="11"/>
  <c r="AC132" i="11"/>
  <c r="AC133" i="11"/>
  <c r="AC134" i="11"/>
  <c r="AC135" i="11"/>
  <c r="AC136" i="11"/>
  <c r="AC137" i="11"/>
  <c r="AC138" i="11"/>
  <c r="AC139" i="11"/>
  <c r="AC140" i="11"/>
  <c r="AC141" i="11"/>
  <c r="AC142" i="11"/>
  <c r="AC143" i="11"/>
  <c r="AC144" i="11"/>
  <c r="AC145" i="11"/>
  <c r="AC146" i="11"/>
  <c r="AC155" i="11"/>
  <c r="AC157" i="11"/>
  <c r="AC162" i="11"/>
  <c r="AC173" i="11"/>
  <c r="AC175" i="11"/>
  <c r="AC177" i="11"/>
  <c r="AC180" i="11"/>
  <c r="AC191" i="11"/>
  <c r="AC210" i="11"/>
  <c r="AC212" i="11"/>
  <c r="AC219" i="11"/>
  <c r="AC225" i="11"/>
  <c r="AC227" i="11"/>
  <c r="AC229" i="11"/>
  <c r="AC231" i="11"/>
  <c r="AC233" i="11"/>
  <c r="AC235" i="11"/>
  <c r="AC239" i="11"/>
  <c r="AC241" i="11"/>
  <c r="AC257" i="11"/>
  <c r="AC265" i="11"/>
  <c r="AC269" i="11"/>
  <c r="AC279" i="11"/>
  <c r="AC282" i="11"/>
  <c r="AC292" i="11"/>
  <c r="AC297" i="11"/>
  <c r="AC301" i="11"/>
  <c r="AC306" i="11"/>
  <c r="AC310" i="11"/>
  <c r="AC312" i="11"/>
  <c r="AC324" i="11"/>
  <c r="AC326" i="11"/>
  <c r="AC346" i="11"/>
  <c r="AC349" i="11"/>
  <c r="AC356" i="11"/>
  <c r="AC359" i="11"/>
  <c r="AC373" i="11"/>
  <c r="AC378" i="11"/>
  <c r="AC386" i="11"/>
  <c r="AC388" i="11"/>
  <c r="AC397" i="11"/>
  <c r="AC398" i="11"/>
  <c r="AC399" i="11"/>
  <c r="AC400" i="11"/>
  <c r="AC401" i="11"/>
  <c r="AC402" i="11"/>
  <c r="AC403" i="11"/>
  <c r="AC404" i="11"/>
  <c r="AC405" i="11"/>
  <c r="AC406" i="11"/>
  <c r="AC407" i="11"/>
  <c r="AC408" i="11"/>
  <c r="AC409" i="11"/>
  <c r="AC410" i="11"/>
  <c r="AC412" i="11"/>
  <c r="AC413" i="11"/>
  <c r="AC414" i="11"/>
  <c r="AC416" i="11"/>
  <c r="AC417" i="11"/>
  <c r="AC418" i="11"/>
  <c r="AC419" i="11"/>
  <c r="AC420" i="11"/>
  <c r="AC421" i="11"/>
  <c r="AC422" i="11"/>
  <c r="AC423" i="11"/>
  <c r="AC424" i="11"/>
  <c r="AC425" i="11"/>
  <c r="AC426" i="11"/>
  <c r="AC427" i="11"/>
  <c r="AC428" i="11"/>
  <c r="AC429" i="11"/>
  <c r="AC430" i="11"/>
  <c r="AC431" i="11"/>
  <c r="AC432" i="11"/>
  <c r="AC433" i="11"/>
  <c r="AC434" i="11"/>
  <c r="AC435" i="11"/>
  <c r="AC436" i="11"/>
  <c r="AC437" i="11"/>
  <c r="AC438" i="11"/>
  <c r="AC439" i="11"/>
  <c r="AC440" i="11"/>
  <c r="AC441" i="11"/>
  <c r="AC442" i="11"/>
  <c r="AC443" i="11"/>
  <c r="AC444" i="11"/>
  <c r="AC445" i="11"/>
  <c r="AC446" i="11"/>
  <c r="AC447" i="11"/>
  <c r="AC448" i="11"/>
  <c r="AC450" i="11"/>
  <c r="AC451" i="11"/>
  <c r="AC452" i="11"/>
  <c r="AC453" i="11"/>
  <c r="AC454" i="11"/>
  <c r="AC455" i="11"/>
  <c r="AC456" i="11"/>
  <c r="AC457" i="11"/>
  <c r="AC458" i="11"/>
  <c r="AC459" i="11"/>
  <c r="AC460" i="11"/>
  <c r="AC461" i="11"/>
  <c r="AC462" i="11"/>
  <c r="AC463" i="11"/>
  <c r="AC464" i="11"/>
  <c r="AC465" i="11"/>
  <c r="AC466" i="11"/>
  <c r="AC467" i="11"/>
  <c r="AC468" i="11"/>
  <c r="AC469" i="11"/>
  <c r="AC470" i="11"/>
  <c r="AC471" i="11"/>
  <c r="AC472" i="11"/>
  <c r="AC473" i="11"/>
  <c r="AC474" i="11"/>
  <c r="AC475" i="11"/>
  <c r="AC476" i="11"/>
  <c r="AD652" i="11"/>
  <c r="AC652" i="11"/>
  <c r="AD651" i="11"/>
  <c r="AC651" i="11"/>
  <c r="AD650" i="11"/>
  <c r="AC650" i="11"/>
  <c r="AD649" i="11"/>
  <c r="AC649" i="11"/>
  <c r="AD648" i="11"/>
  <c r="AC648" i="11"/>
  <c r="AD647" i="11"/>
  <c r="AC647" i="11"/>
  <c r="AD646" i="11"/>
  <c r="AC646" i="11"/>
  <c r="AD645" i="11"/>
  <c r="AC645" i="11"/>
  <c r="AD644" i="11"/>
  <c r="AC644" i="11"/>
  <c r="AD643" i="11"/>
  <c r="AC643" i="11"/>
  <c r="AD642" i="11"/>
  <c r="AC642" i="11"/>
  <c r="AD641" i="11"/>
  <c r="AC641" i="11"/>
  <c r="AD640" i="11"/>
  <c r="AC640" i="11"/>
  <c r="AD639" i="11"/>
  <c r="AC639" i="11"/>
  <c r="AD638" i="11"/>
  <c r="AC638" i="11"/>
  <c r="AD637" i="11"/>
  <c r="AC637" i="11"/>
  <c r="AD636" i="11"/>
  <c r="AC636" i="11"/>
  <c r="AD635" i="11"/>
  <c r="AC635" i="11"/>
  <c r="AD634" i="11"/>
  <c r="AC634" i="11"/>
  <c r="AD633" i="11"/>
  <c r="AC633" i="11"/>
  <c r="AD632" i="11"/>
  <c r="AC632" i="11"/>
  <c r="AD631" i="11"/>
  <c r="AC631" i="11"/>
  <c r="AD630" i="11"/>
  <c r="AC630" i="11"/>
  <c r="AD629" i="11"/>
  <c r="AC629" i="11"/>
  <c r="AD628" i="11"/>
  <c r="AC628" i="11"/>
  <c r="AD627" i="11"/>
  <c r="AC627" i="11"/>
  <c r="AD626" i="11"/>
  <c r="AC626" i="11"/>
  <c r="AD625" i="11"/>
  <c r="AC625" i="11"/>
  <c r="AD624" i="11"/>
  <c r="AC624" i="11"/>
  <c r="AD623" i="11"/>
  <c r="AC623" i="11"/>
  <c r="AD622" i="11"/>
  <c r="AC622" i="11"/>
  <c r="AD621" i="11"/>
  <c r="AC621" i="11"/>
  <c r="AD620" i="11"/>
  <c r="AC620" i="11"/>
  <c r="AD619" i="11"/>
  <c r="AC619" i="11"/>
  <c r="AD618" i="11"/>
  <c r="AC618" i="11"/>
  <c r="AD617" i="11"/>
  <c r="AC617" i="11"/>
  <c r="AD616" i="11"/>
  <c r="AC616" i="11"/>
  <c r="AD615" i="11"/>
  <c r="AC615" i="11"/>
  <c r="AD614" i="11"/>
  <c r="AC614" i="11"/>
  <c r="AD613" i="11"/>
  <c r="AC613" i="11"/>
  <c r="AD612" i="11"/>
  <c r="AC612" i="11"/>
  <c r="AD611" i="11"/>
  <c r="AC611" i="11"/>
  <c r="AD610" i="11"/>
  <c r="AC610" i="11"/>
  <c r="AD609" i="11"/>
  <c r="AC609" i="11"/>
  <c r="AD608" i="11"/>
  <c r="AC608" i="11"/>
  <c r="AD607" i="11"/>
  <c r="AC607" i="11"/>
  <c r="AD606" i="11"/>
  <c r="AC606" i="11"/>
  <c r="AD605" i="11"/>
  <c r="AC605" i="11"/>
  <c r="AD604" i="11"/>
  <c r="AC604" i="11"/>
  <c r="AD603" i="11"/>
  <c r="AC603" i="11"/>
  <c r="AD602" i="11"/>
  <c r="AC602" i="11"/>
  <c r="AD601" i="11"/>
  <c r="AC601" i="11"/>
  <c r="AD600" i="11"/>
  <c r="AC600" i="11"/>
  <c r="AD599" i="11"/>
  <c r="AC599" i="11"/>
  <c r="AD598" i="11"/>
  <c r="AC598" i="11"/>
  <c r="AD597" i="11"/>
  <c r="AC597" i="11"/>
  <c r="AD596" i="11"/>
  <c r="AC596" i="11"/>
  <c r="AD595" i="11"/>
  <c r="AC595" i="11"/>
  <c r="AD594" i="11"/>
  <c r="AC594" i="11"/>
  <c r="AD593" i="11"/>
  <c r="AD592" i="11"/>
  <c r="AD591" i="11"/>
  <c r="AD590" i="11"/>
  <c r="AD589" i="11"/>
  <c r="AD588" i="11"/>
  <c r="AD587" i="11"/>
  <c r="AD586" i="11"/>
  <c r="AD585" i="11"/>
  <c r="AD584" i="11"/>
  <c r="AD583" i="11"/>
  <c r="AD582" i="11"/>
  <c r="AD581" i="11"/>
  <c r="AD580" i="11"/>
  <c r="AD579" i="11"/>
  <c r="AD578" i="11"/>
  <c r="AD577" i="11"/>
  <c r="AD576" i="11"/>
  <c r="AD575" i="11"/>
  <c r="AD574" i="11"/>
  <c r="AD573" i="11"/>
  <c r="AD572" i="11"/>
  <c r="AD571" i="11"/>
  <c r="AD570" i="11"/>
  <c r="AD569" i="11"/>
  <c r="AD568" i="11"/>
  <c r="AD567" i="11"/>
  <c r="AD566" i="11"/>
  <c r="AD565" i="11"/>
  <c r="AD564" i="11"/>
  <c r="AD563" i="11"/>
  <c r="AD562" i="11"/>
  <c r="AD561" i="11"/>
  <c r="AD560" i="11"/>
  <c r="AD559" i="11"/>
  <c r="AD558" i="11"/>
  <c r="AD557" i="11"/>
  <c r="AD556" i="11"/>
  <c r="AD555" i="11"/>
  <c r="AD554" i="11"/>
  <c r="AD553" i="11"/>
  <c r="AD552" i="11"/>
  <c r="AD551" i="11"/>
  <c r="AD550" i="11"/>
  <c r="AD549" i="11"/>
  <c r="AD548" i="11"/>
  <c r="AD547" i="11"/>
  <c r="AD546" i="11"/>
  <c r="AD545" i="11"/>
  <c r="AD544" i="11"/>
  <c r="AD543" i="11"/>
  <c r="AD542" i="11"/>
  <c r="AD541" i="11"/>
  <c r="AD540" i="11"/>
  <c r="AD539" i="11"/>
  <c r="AD538" i="11"/>
  <c r="AD537" i="11"/>
  <c r="AD536" i="11"/>
  <c r="AD535" i="11"/>
  <c r="AD534" i="11"/>
  <c r="AD533" i="11"/>
  <c r="AD532" i="11"/>
  <c r="AD531" i="11"/>
  <c r="AD530" i="11"/>
  <c r="AD529" i="11"/>
  <c r="AD528" i="11"/>
  <c r="AD527" i="11"/>
  <c r="AD526" i="11"/>
  <c r="AD525" i="11"/>
  <c r="AD524" i="11"/>
  <c r="AD523" i="11"/>
  <c r="AD522" i="11"/>
  <c r="AD521" i="11"/>
  <c r="AD520" i="11"/>
  <c r="AD519" i="11"/>
  <c r="AD518" i="11"/>
  <c r="AD517" i="11"/>
  <c r="AD516" i="11"/>
  <c r="AD515" i="11"/>
  <c r="AD514" i="11"/>
  <c r="AD513" i="11"/>
  <c r="AD512" i="11"/>
  <c r="AD511" i="11"/>
  <c r="AD510" i="11"/>
  <c r="AD509" i="11"/>
  <c r="AD508" i="11"/>
  <c r="AD507" i="11"/>
  <c r="AD506" i="11"/>
  <c r="AD505" i="11"/>
  <c r="AD504" i="11"/>
  <c r="AD503" i="11"/>
  <c r="AD502" i="11"/>
  <c r="AD501" i="11"/>
  <c r="AD500" i="11"/>
  <c r="AD499" i="11"/>
  <c r="AD498" i="11"/>
  <c r="AD497" i="11"/>
  <c r="AD496" i="11"/>
  <c r="AD495" i="11"/>
  <c r="AD494" i="11"/>
  <c r="AD493" i="11"/>
  <c r="AD492" i="11"/>
  <c r="AD491" i="11"/>
  <c r="AD490" i="11"/>
  <c r="AD489" i="11"/>
  <c r="AD488" i="11"/>
  <c r="AD487" i="11"/>
  <c r="AD486" i="11"/>
  <c r="AD485" i="11"/>
  <c r="AD484" i="11"/>
  <c r="AD483" i="11"/>
  <c r="AD482" i="11"/>
  <c r="AD481" i="11"/>
  <c r="AD480" i="11"/>
  <c r="AD479" i="11"/>
  <c r="AD478" i="11"/>
  <c r="AD477" i="11"/>
  <c r="AD470" i="11"/>
  <c r="AD6" i="11"/>
  <c r="AD4" i="11"/>
  <c r="AK2" i="11"/>
  <c r="AK1" i="11" a="1"/>
  <c r="AK2" i="9"/>
  <c r="AK1" i="9" a="1"/>
  <c r="AD6" i="9"/>
  <c r="AD4" i="9"/>
  <c r="AC147" i="11" l="1"/>
  <c r="AC148" i="11"/>
  <c r="AC149" i="11"/>
  <c r="AC150" i="11"/>
  <c r="AC151" i="11"/>
  <c r="AC152" i="11"/>
  <c r="AC153" i="11"/>
  <c r="AC154" i="11"/>
  <c r="AC156" i="11"/>
  <c r="AC158" i="11"/>
  <c r="AC159" i="11"/>
  <c r="AC160" i="11"/>
  <c r="AC161" i="11"/>
  <c r="AC163" i="11"/>
  <c r="AC164" i="11"/>
  <c r="AC165" i="11"/>
  <c r="AC166" i="11"/>
  <c r="AC167" i="11"/>
  <c r="AC168" i="11"/>
  <c r="AC169" i="11"/>
  <c r="AC170" i="11"/>
  <c r="AC171" i="11"/>
  <c r="AC172" i="11"/>
  <c r="AC174" i="11"/>
  <c r="AC176" i="11"/>
  <c r="AC178" i="11"/>
  <c r="AC179" i="11"/>
  <c r="AC181" i="11"/>
  <c r="AC182" i="11"/>
  <c r="AC183" i="11"/>
  <c r="AC184" i="11"/>
  <c r="AC185" i="11"/>
  <c r="AC186" i="11"/>
  <c r="AC187" i="11"/>
  <c r="AC188" i="11"/>
  <c r="AC189" i="11"/>
  <c r="AC190" i="11"/>
  <c r="AC192" i="11"/>
  <c r="AC193" i="11"/>
  <c r="AC194" i="11"/>
  <c r="AC195" i="11"/>
  <c r="AC196" i="11"/>
  <c r="AC197" i="11"/>
  <c r="AC198" i="11"/>
  <c r="AC199" i="11"/>
  <c r="AC200" i="11"/>
  <c r="AC201" i="11"/>
  <c r="AC202" i="11"/>
  <c r="AC203" i="11"/>
  <c r="AC204" i="11"/>
  <c r="AC205" i="11"/>
  <c r="AC206" i="11"/>
  <c r="AC207" i="11"/>
  <c r="AC208" i="11"/>
  <c r="AC209" i="11"/>
  <c r="AC211" i="11"/>
  <c r="AC213" i="11"/>
  <c r="AC214" i="11"/>
  <c r="AC215" i="11"/>
  <c r="AC216" i="11"/>
  <c r="AC217" i="11"/>
  <c r="AC218" i="11"/>
  <c r="AC220" i="11"/>
  <c r="AC221" i="11"/>
  <c r="AC222" i="11"/>
  <c r="AC223" i="11"/>
  <c r="AC224" i="11"/>
  <c r="AC226" i="11"/>
  <c r="AC228" i="11"/>
  <c r="AC230" i="11"/>
  <c r="AC232" i="11"/>
  <c r="AC234" i="11"/>
  <c r="AC236" i="11"/>
  <c r="AC237" i="11"/>
  <c r="AC238" i="11"/>
  <c r="AC240" i="11"/>
  <c r="AC242" i="11"/>
  <c r="AC243" i="11"/>
  <c r="AC244" i="11"/>
  <c r="AC245" i="11"/>
  <c r="AC246" i="11"/>
  <c r="AC247" i="11"/>
  <c r="AC248" i="11"/>
  <c r="AC249" i="11"/>
  <c r="AC250" i="11"/>
  <c r="AC251" i="11"/>
  <c r="AC252" i="11"/>
  <c r="AC253" i="11"/>
  <c r="AC254" i="11"/>
  <c r="AC255" i="11"/>
  <c r="AC256" i="11"/>
  <c r="AC258" i="11"/>
  <c r="AC259" i="11"/>
  <c r="AC260" i="11"/>
  <c r="AC261" i="11"/>
  <c r="AC262" i="11"/>
  <c r="AC263" i="11"/>
  <c r="AC264" i="11"/>
  <c r="AC266" i="11"/>
  <c r="AC267" i="11"/>
  <c r="AC268" i="11"/>
  <c r="AC270" i="11"/>
  <c r="AC271" i="11"/>
  <c r="AC272" i="11"/>
  <c r="AC273" i="11"/>
  <c r="AC274" i="11"/>
  <c r="AC275" i="11"/>
  <c r="AC276" i="11"/>
  <c r="AC277" i="11"/>
  <c r="AC278" i="11"/>
  <c r="AC280" i="11"/>
  <c r="AC281" i="11"/>
  <c r="AC283" i="11"/>
  <c r="AC284" i="11"/>
  <c r="AC285" i="11"/>
  <c r="AC286" i="11"/>
  <c r="AC287" i="11"/>
  <c r="AC288" i="11"/>
  <c r="AC289" i="11"/>
  <c r="AC290" i="11"/>
  <c r="AC291" i="11"/>
  <c r="AC293" i="11"/>
  <c r="AC294" i="11"/>
  <c r="AC295" i="11"/>
  <c r="AC296" i="11"/>
  <c r="AC298" i="11"/>
  <c r="AC299" i="11"/>
  <c r="AC300" i="11"/>
  <c r="AC303" i="11"/>
  <c r="AC304" i="11"/>
  <c r="AC305" i="11"/>
  <c r="AC307" i="11"/>
  <c r="AC308" i="11"/>
  <c r="AC311" i="11"/>
  <c r="AC313" i="11"/>
  <c r="AC314" i="11"/>
  <c r="AC315" i="11"/>
  <c r="AC316" i="11"/>
  <c r="AC318" i="11"/>
  <c r="AC319" i="11"/>
  <c r="AC320" i="11"/>
  <c r="AC321" i="11"/>
  <c r="AC322" i="11"/>
  <c r="AC323" i="11"/>
  <c r="AC325" i="11"/>
  <c r="AC328" i="11"/>
  <c r="AC329" i="11"/>
  <c r="AC330" i="11"/>
  <c r="AC331" i="11"/>
  <c r="AC332" i="11"/>
  <c r="AC333" i="11"/>
  <c r="AC334" i="11"/>
  <c r="AC335" i="11"/>
  <c r="AC336" i="11"/>
  <c r="AC337" i="11"/>
  <c r="AC338" i="11"/>
  <c r="AC339" i="11"/>
  <c r="AC340" i="11"/>
  <c r="AC341" i="11"/>
  <c r="AC342" i="11"/>
  <c r="AC344" i="11"/>
  <c r="AC345" i="11"/>
  <c r="AC347" i="11"/>
  <c r="AC348" i="11"/>
  <c r="AC350" i="11"/>
  <c r="AC351" i="11"/>
  <c r="AC352" i="11"/>
  <c r="AC353" i="11"/>
  <c r="AC354" i="11"/>
  <c r="AC355" i="11"/>
  <c r="AC358" i="11"/>
  <c r="AC360" i="11"/>
  <c r="AC361" i="11"/>
  <c r="AC362" i="11"/>
  <c r="AC363" i="11"/>
  <c r="AC364" i="11"/>
  <c r="AC365" i="11"/>
  <c r="AC366" i="11"/>
  <c r="AC367" i="11"/>
  <c r="AC368" i="11"/>
  <c r="AC369" i="11"/>
  <c r="AC370" i="11"/>
  <c r="AC371" i="11"/>
  <c r="AC372" i="11"/>
  <c r="AC374" i="11"/>
  <c r="AC376" i="11"/>
  <c r="AC377" i="11"/>
  <c r="AC379" i="11"/>
  <c r="AC380" i="11"/>
  <c r="AC381" i="11"/>
  <c r="AC382" i="11"/>
  <c r="AC383" i="11"/>
  <c r="AC384" i="11"/>
  <c r="AC385" i="11"/>
  <c r="AC387" i="11"/>
  <c r="AC389" i="11"/>
  <c r="AC390" i="11"/>
  <c r="AC391" i="11"/>
  <c r="AC392" i="11"/>
  <c r="AC393" i="11"/>
  <c r="AC394" i="11"/>
  <c r="AC395" i="11"/>
  <c r="AC396" i="11"/>
  <c r="AC227" i="9"/>
  <c r="AC332" i="9"/>
  <c r="AC449" i="11"/>
  <c r="AC343" i="11"/>
  <c r="AC357" i="11"/>
  <c r="AD476" i="9"/>
  <c r="AD433" i="9"/>
  <c r="AD244" i="9"/>
  <c r="AD240" i="9"/>
  <c r="AD75" i="9"/>
  <c r="AC120" i="11"/>
  <c r="AC466" i="9"/>
  <c r="AC427" i="9"/>
  <c r="AC327" i="11"/>
  <c r="AC302" i="11"/>
  <c r="AC258" i="9"/>
  <c r="AC375" i="11"/>
  <c r="AC317" i="11"/>
  <c r="AC415" i="11"/>
  <c r="AC411" i="11"/>
  <c r="AC445" i="9"/>
  <c r="AC309" i="11"/>
  <c r="AD401" i="9"/>
  <c r="AD258" i="9"/>
  <c r="AD252" i="9"/>
  <c r="AD227" i="9"/>
  <c r="AD225" i="9"/>
  <c r="AD73" i="9"/>
  <c r="AD71" i="9"/>
  <c r="AD64" i="9"/>
  <c r="AD62" i="9"/>
  <c r="AD146" i="11"/>
  <c r="AD313" i="9"/>
  <c r="AD300" i="9"/>
  <c r="AD286" i="9"/>
  <c r="AD336" i="9"/>
  <c r="AD327" i="9"/>
  <c r="AD303" i="9"/>
  <c r="AD281" i="9"/>
  <c r="AD206" i="9"/>
  <c r="AD195" i="9"/>
  <c r="AD192" i="9"/>
  <c r="AD190" i="9"/>
  <c r="AD188" i="9"/>
  <c r="AC85" i="9"/>
  <c r="AD59" i="9"/>
  <c r="AD44" i="9"/>
  <c r="AD18" i="9"/>
  <c r="AD16" i="9"/>
  <c r="AD401" i="11"/>
  <c r="AD387" i="11"/>
  <c r="AD350" i="11"/>
  <c r="AD231" i="11"/>
  <c r="AD227" i="11"/>
  <c r="AD226" i="11"/>
  <c r="AD222" i="11"/>
  <c r="AD169" i="11"/>
  <c r="AD159" i="11"/>
  <c r="AD142" i="11"/>
  <c r="AD141" i="11"/>
  <c r="AD127" i="11"/>
  <c r="AD118" i="11"/>
  <c r="AD103" i="11"/>
  <c r="AD77" i="11"/>
  <c r="AD54" i="11"/>
  <c r="AD476" i="11"/>
  <c r="AD475" i="11"/>
  <c r="AD474" i="11"/>
  <c r="AD473" i="11"/>
  <c r="AD472" i="11"/>
  <c r="AD471" i="11"/>
  <c r="AD469" i="11"/>
  <c r="AD468" i="11"/>
  <c r="AD467" i="11"/>
  <c r="AD466" i="11"/>
  <c r="AD465" i="11"/>
  <c r="AD464" i="11"/>
  <c r="AD463" i="11"/>
  <c r="AD462" i="11"/>
  <c r="AD461" i="11"/>
  <c r="AD460" i="11"/>
  <c r="AD459" i="11"/>
  <c r="AD458" i="11"/>
  <c r="AD457" i="11"/>
  <c r="AD456" i="11"/>
  <c r="AD455" i="11"/>
  <c r="AD454" i="11"/>
  <c r="AD453" i="11"/>
  <c r="AD452" i="11"/>
  <c r="AD451" i="11"/>
  <c r="AD450" i="11"/>
  <c r="AD449" i="11"/>
  <c r="AD448" i="11"/>
  <c r="AD447" i="11"/>
  <c r="AD446" i="11"/>
  <c r="AD445" i="11"/>
  <c r="AD444" i="11"/>
  <c r="AD443" i="11"/>
  <c r="AD442" i="11"/>
  <c r="AD441" i="11"/>
  <c r="AD440" i="11"/>
  <c r="AD439" i="11"/>
  <c r="AD438" i="11"/>
  <c r="AD437" i="11"/>
  <c r="AD436" i="11"/>
  <c r="AD435" i="11"/>
  <c r="AD434" i="11"/>
  <c r="AD433" i="11"/>
  <c r="AD432" i="11"/>
  <c r="AD431" i="11"/>
  <c r="AD430" i="11"/>
  <c r="AD429" i="11"/>
  <c r="AD428" i="11"/>
  <c r="AD427" i="11"/>
  <c r="AD426" i="11"/>
  <c r="AD425" i="11"/>
  <c r="AD424" i="11"/>
  <c r="AD423" i="11"/>
  <c r="AD422" i="11"/>
  <c r="AD421" i="11"/>
  <c r="AD420" i="11"/>
  <c r="AD419" i="11"/>
  <c r="AD418" i="11"/>
  <c r="AD417" i="11"/>
  <c r="AD416" i="11"/>
  <c r="AD415" i="11"/>
  <c r="AD414" i="11"/>
  <c r="AD413" i="11"/>
  <c r="AD412" i="11"/>
  <c r="AD411" i="11"/>
  <c r="AD410" i="11"/>
  <c r="AD409" i="11"/>
  <c r="AD408" i="11"/>
  <c r="AD407" i="11"/>
  <c r="AD406" i="11"/>
  <c r="AD405" i="11"/>
  <c r="AD404" i="11"/>
  <c r="AD403" i="11"/>
  <c r="AD402" i="11"/>
  <c r="AD400" i="11"/>
  <c r="AD399" i="11"/>
  <c r="AD398" i="11"/>
  <c r="AD397" i="11"/>
  <c r="AD396" i="11"/>
  <c r="AD395" i="11"/>
  <c r="AD394" i="11"/>
  <c r="AD393" i="11"/>
  <c r="AD392" i="11"/>
  <c r="AD391" i="11"/>
  <c r="AD390" i="11"/>
  <c r="AD389" i="11"/>
  <c r="AD388" i="11"/>
  <c r="AD386" i="11"/>
  <c r="AD385" i="11"/>
  <c r="AD384" i="11"/>
  <c r="AD383" i="11"/>
  <c r="AD382" i="11"/>
  <c r="AD381" i="11"/>
  <c r="AD380" i="11"/>
  <c r="AD379" i="11"/>
  <c r="AD378" i="11"/>
  <c r="AD377" i="11"/>
  <c r="AD376" i="11"/>
  <c r="AD375" i="11"/>
  <c r="AD374" i="11"/>
  <c r="AD373" i="11"/>
  <c r="AD372" i="11"/>
  <c r="AD371" i="11"/>
  <c r="AD370" i="11"/>
  <c r="AD369" i="11"/>
  <c r="AD368" i="11"/>
  <c r="AD367" i="11"/>
  <c r="AD366" i="11"/>
  <c r="AD365" i="11"/>
  <c r="AD364" i="11"/>
  <c r="AD363" i="11"/>
  <c r="AD362" i="11"/>
  <c r="AD361" i="11"/>
  <c r="AD360" i="11"/>
  <c r="AD359" i="11"/>
  <c r="AD358" i="11"/>
  <c r="AD357" i="11"/>
  <c r="AD356" i="11"/>
  <c r="AD355" i="11"/>
  <c r="AD354" i="11"/>
  <c r="AD353" i="11"/>
  <c r="AD352" i="11"/>
  <c r="AD351" i="11"/>
  <c r="AD349" i="11"/>
  <c r="AD348" i="11"/>
  <c r="AD347" i="11"/>
  <c r="AD346" i="11"/>
  <c r="AD345" i="11"/>
  <c r="AD344" i="11"/>
  <c r="AD343" i="11"/>
  <c r="AD342" i="11"/>
  <c r="AD341" i="11"/>
  <c r="AD340" i="11"/>
  <c r="AD339" i="11"/>
  <c r="AD338" i="11"/>
  <c r="AD337" i="11"/>
  <c r="AD336" i="11"/>
  <c r="AD335" i="11"/>
  <c r="AD334" i="11"/>
  <c r="AD333" i="11"/>
  <c r="AD332" i="11"/>
  <c r="AD331" i="11"/>
  <c r="AD330" i="11"/>
  <c r="AD329" i="11"/>
  <c r="AD328" i="11"/>
  <c r="AD327" i="11"/>
  <c r="AD326" i="11"/>
  <c r="AD325" i="11"/>
  <c r="AD324" i="11"/>
  <c r="AD323" i="11"/>
  <c r="AD322" i="11"/>
  <c r="AD321" i="11"/>
  <c r="AD320" i="11"/>
  <c r="AD319" i="11"/>
  <c r="AD318" i="11"/>
  <c r="AD317" i="11"/>
  <c r="AD316" i="11"/>
  <c r="AD315" i="11"/>
  <c r="AD314" i="11"/>
  <c r="AD313" i="11"/>
  <c r="AD312" i="11"/>
  <c r="AD311" i="11"/>
  <c r="AD310" i="11"/>
  <c r="AD309" i="11"/>
  <c r="AD308" i="11"/>
  <c r="AD307" i="11"/>
  <c r="AD306" i="11"/>
  <c r="AD305" i="11"/>
  <c r="AD304" i="11"/>
  <c r="AD303" i="11"/>
  <c r="AD302" i="11"/>
  <c r="AD301" i="11"/>
  <c r="AD300" i="11"/>
  <c r="AD299" i="11"/>
  <c r="AD298" i="11"/>
  <c r="AD297" i="11"/>
  <c r="AD296" i="11"/>
  <c r="AD295" i="11"/>
  <c r="AD294" i="11"/>
  <c r="AD293" i="11"/>
  <c r="AD292" i="11"/>
  <c r="AD291" i="11"/>
  <c r="AD290" i="11"/>
  <c r="AD289" i="11"/>
  <c r="AD288" i="11"/>
  <c r="AD287" i="11"/>
  <c r="AD286" i="11"/>
  <c r="AD285" i="11"/>
  <c r="AD284" i="11"/>
  <c r="AD283" i="11"/>
  <c r="AD282" i="11"/>
  <c r="AD281" i="11"/>
  <c r="AD280" i="11"/>
  <c r="AD279" i="11"/>
  <c r="AD278" i="11"/>
  <c r="AD277" i="11"/>
  <c r="AD276" i="11"/>
  <c r="AD275" i="11"/>
  <c r="AD274" i="11"/>
  <c r="AD273" i="11"/>
  <c r="AD272" i="11"/>
  <c r="AD271" i="11"/>
  <c r="AD270" i="11"/>
  <c r="AD269" i="11"/>
  <c r="AD268" i="11"/>
  <c r="AD267" i="11"/>
  <c r="AD266" i="11"/>
  <c r="AD265" i="11"/>
  <c r="AD264" i="11"/>
  <c r="AD263" i="11"/>
  <c r="AD262" i="11"/>
  <c r="AD261" i="11"/>
  <c r="AD260" i="11"/>
  <c r="AD259" i="11"/>
  <c r="AD258" i="11"/>
  <c r="AD257" i="11"/>
  <c r="AD256" i="11"/>
  <c r="AD255" i="11"/>
  <c r="AD254" i="11"/>
  <c r="AD253" i="11"/>
  <c r="AD252" i="11"/>
  <c r="AD251" i="11"/>
  <c r="AD250" i="11"/>
  <c r="AD249" i="11"/>
  <c r="AD248" i="11"/>
  <c r="AD247" i="11"/>
  <c r="AD246" i="11"/>
  <c r="AD245" i="11"/>
  <c r="AD244" i="11"/>
  <c r="AD243" i="11"/>
  <c r="AD242" i="11"/>
  <c r="AD241" i="11"/>
  <c r="AD240" i="11"/>
  <c r="AD239" i="11"/>
  <c r="AD238" i="11"/>
  <c r="AD237" i="11"/>
  <c r="AD236" i="11"/>
  <c r="AD235" i="11"/>
  <c r="AD234" i="11"/>
  <c r="AD233" i="11"/>
  <c r="AD232" i="11"/>
  <c r="AD230" i="11"/>
  <c r="AD229" i="11"/>
  <c r="AD228" i="11"/>
  <c r="AD225" i="11"/>
  <c r="AD224" i="11"/>
  <c r="AD223" i="11"/>
  <c r="AD221" i="11"/>
  <c r="AD220" i="11"/>
  <c r="AD219" i="11"/>
  <c r="AD218" i="11"/>
  <c r="AD217" i="11"/>
  <c r="AD216" i="11"/>
  <c r="AD215" i="11"/>
  <c r="AD214" i="11"/>
  <c r="AD213" i="11"/>
  <c r="AD212" i="11"/>
  <c r="AD211" i="11"/>
  <c r="AD210" i="11"/>
  <c r="AD209" i="11"/>
  <c r="AD208" i="11"/>
  <c r="AD207" i="11"/>
  <c r="AD206" i="11"/>
  <c r="AD205" i="11"/>
  <c r="AD204" i="11"/>
  <c r="AD203" i="11"/>
  <c r="AD202" i="11"/>
  <c r="AD201" i="11"/>
  <c r="AD200" i="11"/>
  <c r="AD199" i="11"/>
  <c r="AD198" i="11"/>
  <c r="AD197" i="11"/>
  <c r="AD196" i="11"/>
  <c r="AD195" i="11"/>
  <c r="AD194" i="11"/>
  <c r="AD193" i="11"/>
  <c r="AD192" i="11"/>
  <c r="AD191" i="11"/>
  <c r="AD190" i="11"/>
  <c r="AD189" i="11"/>
  <c r="AD188" i="11"/>
  <c r="AD187" i="11"/>
  <c r="AD186" i="11"/>
  <c r="AD185" i="11"/>
  <c r="AD184" i="11"/>
  <c r="AD183" i="11"/>
  <c r="AD182" i="11"/>
  <c r="AD181" i="11"/>
  <c r="AD180" i="11"/>
  <c r="AD179" i="11"/>
  <c r="AD178" i="11"/>
  <c r="AD177" i="11"/>
  <c r="AD176" i="11"/>
  <c r="AD175" i="11"/>
  <c r="AD174" i="11"/>
  <c r="AD173" i="11"/>
  <c r="AD172" i="11"/>
  <c r="AD171" i="11"/>
  <c r="AD170" i="11"/>
  <c r="AD168" i="11"/>
  <c r="AD167" i="11"/>
  <c r="AD166" i="11"/>
  <c r="AD165" i="11"/>
  <c r="AD164" i="11"/>
  <c r="AD163" i="11"/>
  <c r="AD162" i="11"/>
  <c r="AD161" i="11"/>
  <c r="AD160" i="11"/>
  <c r="AD158" i="11"/>
  <c r="AD157" i="11"/>
  <c r="AD156" i="11"/>
  <c r="AD155" i="11"/>
  <c r="AD154" i="11"/>
  <c r="AD153" i="11"/>
  <c r="AD152" i="11"/>
  <c r="AD151" i="11"/>
  <c r="AD150" i="11"/>
  <c r="AD149" i="11"/>
  <c r="AD148" i="11"/>
  <c r="AD147" i="11"/>
  <c r="AD145" i="11"/>
  <c r="AD144" i="11"/>
  <c r="AD143" i="11"/>
  <c r="AD140" i="11"/>
  <c r="AD139" i="11"/>
  <c r="AD138" i="11"/>
  <c r="AD137" i="11"/>
  <c r="AD136" i="11"/>
  <c r="AD135" i="11"/>
  <c r="AD134" i="11"/>
  <c r="AD133" i="11"/>
  <c r="AD132" i="11"/>
  <c r="AD131" i="11"/>
  <c r="AD130" i="11"/>
  <c r="AD129" i="11"/>
  <c r="AD128" i="11"/>
  <c r="AD126" i="11"/>
  <c r="AD125" i="11"/>
  <c r="AD124" i="11"/>
  <c r="AD123" i="11"/>
  <c r="AD122" i="11"/>
  <c r="AD121" i="11"/>
  <c r="AD120" i="11"/>
  <c r="AD119" i="11"/>
  <c r="AD117" i="11"/>
  <c r="AD116" i="11"/>
  <c r="AD115" i="11"/>
  <c r="AD114" i="11"/>
  <c r="AD113" i="11"/>
  <c r="AD112" i="11"/>
  <c r="AD111" i="11"/>
  <c r="AD110" i="11"/>
  <c r="AD109" i="11"/>
  <c r="AD108" i="11"/>
  <c r="AD107" i="11"/>
  <c r="AD106" i="11"/>
  <c r="AD105" i="11"/>
  <c r="AD104" i="11"/>
  <c r="AD102" i="11"/>
  <c r="AD101" i="11"/>
  <c r="AD100" i="11"/>
  <c r="AD99" i="11"/>
  <c r="AD98" i="11"/>
  <c r="AD97" i="11"/>
  <c r="AD96" i="11"/>
  <c r="AD95" i="11"/>
  <c r="AD94" i="11"/>
  <c r="AD93" i="11"/>
  <c r="AD92" i="11"/>
  <c r="AD91" i="11"/>
  <c r="AD90" i="11"/>
  <c r="AD89" i="11"/>
  <c r="AD88" i="11"/>
  <c r="AD87" i="11"/>
  <c r="AD86" i="11"/>
  <c r="AD85" i="11"/>
  <c r="AD84" i="11"/>
  <c r="AD83" i="11"/>
  <c r="AD82" i="11"/>
  <c r="AD81" i="11"/>
  <c r="AD80" i="11"/>
  <c r="AD79" i="11"/>
  <c r="AD78" i="11"/>
  <c r="AD76" i="11"/>
  <c r="AD75" i="11"/>
  <c r="AD74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AD8" i="11"/>
  <c r="AD7" i="11"/>
  <c r="AD5" i="11"/>
  <c r="AD3" i="11"/>
  <c r="AD88" i="9"/>
  <c r="AD102" i="9"/>
  <c r="AD159" i="9"/>
  <c r="AD471" i="9"/>
  <c r="AD472" i="9"/>
  <c r="AC141" i="9"/>
  <c r="AC142" i="9"/>
  <c r="AC143" i="9"/>
  <c r="AC144" i="9"/>
  <c r="AC145" i="9"/>
  <c r="AC146" i="9"/>
  <c r="AC147" i="9"/>
  <c r="AC148" i="9"/>
  <c r="AC150" i="9"/>
  <c r="AC151" i="9"/>
  <c r="AC152" i="9"/>
  <c r="AC153" i="9"/>
  <c r="AC154" i="9"/>
  <c r="AC155" i="9"/>
  <c r="AC156" i="9"/>
  <c r="AC157" i="9"/>
  <c r="AC158" i="9"/>
  <c r="AC160" i="9"/>
  <c r="AC161" i="9"/>
  <c r="AC162" i="9"/>
  <c r="AC163" i="9"/>
  <c r="AC164" i="9"/>
  <c r="AC165" i="9"/>
  <c r="AC166" i="9"/>
  <c r="AC167" i="9"/>
  <c r="AC168" i="9"/>
  <c r="AC170" i="9"/>
  <c r="AC171" i="9"/>
  <c r="AC173" i="9"/>
  <c r="AC174" i="9"/>
  <c r="AC175" i="9"/>
  <c r="AC176" i="9"/>
  <c r="AC178" i="9"/>
  <c r="AC179" i="9"/>
  <c r="AC180" i="9"/>
  <c r="AC181" i="9"/>
  <c r="AC182" i="9"/>
  <c r="AC183" i="9"/>
  <c r="AC184" i="9"/>
  <c r="AC185" i="9"/>
  <c r="AC186" i="9"/>
  <c r="AC187" i="9"/>
  <c r="AC189" i="9"/>
  <c r="AC191" i="9"/>
  <c r="AC193" i="9"/>
  <c r="AC194" i="9"/>
  <c r="AC196" i="9"/>
  <c r="AC197" i="9"/>
  <c r="AC198" i="9"/>
  <c r="AC199" i="9"/>
  <c r="AC200" i="9"/>
  <c r="AC201" i="9"/>
  <c r="AC202" i="9"/>
  <c r="AC203" i="9"/>
  <c r="AC204" i="9"/>
  <c r="AC205" i="9"/>
  <c r="AC207" i="9"/>
  <c r="AC208" i="9"/>
  <c r="AC209" i="9"/>
  <c r="AC210" i="9"/>
  <c r="AC211" i="9"/>
  <c r="AC212" i="9"/>
  <c r="AC213" i="9"/>
  <c r="AC214" i="9"/>
  <c r="AC215" i="9"/>
  <c r="AC216" i="9"/>
  <c r="AC217" i="9"/>
  <c r="AC218" i="9"/>
  <c r="AC219" i="9"/>
  <c r="AC220" i="9"/>
  <c r="AC221" i="9"/>
  <c r="AC222" i="9"/>
  <c r="AC223" i="9"/>
  <c r="AC224" i="9"/>
  <c r="AC226" i="9"/>
  <c r="AC228" i="9"/>
  <c r="AC229" i="9"/>
  <c r="AC230" i="9"/>
  <c r="AC231" i="9"/>
  <c r="AC232" i="9"/>
  <c r="AC233" i="9"/>
  <c r="AC235" i="9"/>
  <c r="AC236" i="9"/>
  <c r="AC237" i="9"/>
  <c r="AC238" i="9"/>
  <c r="AC239" i="9"/>
  <c r="AC241" i="9"/>
  <c r="AC243" i="9"/>
  <c r="AC245" i="9"/>
  <c r="AC247" i="9"/>
  <c r="AC249" i="9"/>
  <c r="AC251" i="9"/>
  <c r="AC253" i="9"/>
  <c r="AC254" i="9"/>
  <c r="AC255" i="9"/>
  <c r="AC257" i="9"/>
  <c r="AC259" i="9"/>
  <c r="AC260" i="9"/>
  <c r="AC261" i="9"/>
  <c r="AC262" i="9"/>
  <c r="AC263" i="9"/>
  <c r="AC264" i="9"/>
  <c r="AC265" i="9"/>
  <c r="AC266" i="9"/>
  <c r="AC267" i="9"/>
  <c r="AC268" i="9"/>
  <c r="AC269" i="9"/>
  <c r="AC270" i="9"/>
  <c r="AC271" i="9"/>
  <c r="AC272" i="9"/>
  <c r="AC274" i="9"/>
  <c r="AC275" i="9"/>
  <c r="AC276" i="9"/>
  <c r="AC277" i="9"/>
  <c r="AC278" i="9"/>
  <c r="AC279" i="9"/>
  <c r="AC280" i="9"/>
  <c r="AC282" i="9"/>
  <c r="AC283" i="9"/>
  <c r="AC284" i="9"/>
  <c r="AC285" i="9"/>
  <c r="AC287" i="9"/>
  <c r="AC288" i="9"/>
  <c r="AC289" i="9"/>
  <c r="AC291" i="9"/>
  <c r="AC292" i="9"/>
  <c r="AC293" i="9"/>
  <c r="AC294" i="9"/>
  <c r="AC295" i="9"/>
  <c r="AC296" i="9"/>
  <c r="AC297" i="9"/>
  <c r="AC298" i="9"/>
  <c r="AC299" i="9"/>
  <c r="AC301" i="9"/>
  <c r="AC302" i="9"/>
  <c r="AC304" i="9"/>
  <c r="AC305" i="9"/>
  <c r="AC306" i="9"/>
  <c r="AC307" i="9"/>
  <c r="AC308" i="9"/>
  <c r="AC309" i="9"/>
  <c r="AC310" i="9"/>
  <c r="AC311" i="9"/>
  <c r="AC312" i="9"/>
  <c r="AC314" i="9"/>
  <c r="AC315" i="9"/>
  <c r="AC316" i="9"/>
  <c r="AC317" i="9"/>
  <c r="AC319" i="9"/>
  <c r="AC320" i="9"/>
  <c r="AC321" i="9"/>
  <c r="AC322" i="9"/>
  <c r="AC324" i="9"/>
  <c r="AC325" i="9"/>
  <c r="AC326" i="9"/>
  <c r="AC328" i="9"/>
  <c r="AC329" i="9"/>
  <c r="AC330" i="9"/>
  <c r="AC331" i="9"/>
  <c r="AC333" i="9"/>
  <c r="AC334" i="9"/>
  <c r="AC335" i="9"/>
  <c r="AC337" i="9"/>
  <c r="AC339" i="9"/>
  <c r="AC340" i="9"/>
  <c r="AC341" i="9"/>
  <c r="AC342" i="9"/>
  <c r="AC343" i="9"/>
  <c r="AC344" i="9"/>
  <c r="AC345" i="9"/>
  <c r="AC346" i="9"/>
  <c r="AC347" i="9"/>
  <c r="AC348" i="9"/>
  <c r="AC349" i="9"/>
  <c r="AC351" i="9"/>
  <c r="AC353" i="9"/>
  <c r="AC354" i="9"/>
  <c r="AC355" i="9"/>
  <c r="AC356" i="9"/>
  <c r="AC357" i="9"/>
  <c r="AC358" i="9"/>
  <c r="AC359" i="9"/>
  <c r="AC360" i="9"/>
  <c r="AC361" i="9"/>
  <c r="AC362" i="9"/>
  <c r="AC363" i="9"/>
  <c r="AC364" i="9"/>
  <c r="AC365" i="9"/>
  <c r="AC366" i="9"/>
  <c r="AC367" i="9"/>
  <c r="AC368" i="9"/>
  <c r="AC369" i="9"/>
  <c r="AC370" i="9"/>
  <c r="AC372" i="9"/>
  <c r="AC373" i="9"/>
  <c r="AC375" i="9"/>
  <c r="AC376" i="9"/>
  <c r="AC378" i="9"/>
  <c r="AC379" i="9"/>
  <c r="AC380" i="9"/>
  <c r="AC381" i="9"/>
  <c r="AC382" i="9"/>
  <c r="AC383" i="9"/>
  <c r="AC385" i="9"/>
  <c r="AC386" i="9"/>
  <c r="AC388" i="9"/>
  <c r="AC389" i="9"/>
  <c r="AC390" i="9"/>
  <c r="AC391" i="9"/>
  <c r="AC392" i="9"/>
  <c r="AC393" i="9"/>
  <c r="AC394" i="9"/>
  <c r="AC395" i="9"/>
  <c r="AC396" i="9"/>
  <c r="AC397" i="9"/>
  <c r="AC398" i="9"/>
  <c r="AC399" i="9"/>
  <c r="AC400" i="9"/>
  <c r="AC402" i="9"/>
  <c r="AC404" i="9"/>
  <c r="AC405" i="9"/>
  <c r="AC407" i="9"/>
  <c r="AC408" i="9"/>
  <c r="AC409" i="9"/>
  <c r="AC410" i="9"/>
  <c r="AC411" i="9"/>
  <c r="AC412" i="9"/>
  <c r="AC413" i="9"/>
  <c r="AC415" i="9"/>
  <c r="AC417" i="9"/>
  <c r="AC418" i="9"/>
  <c r="AC419" i="9"/>
  <c r="AC420" i="9"/>
  <c r="AC421" i="9"/>
  <c r="AC422" i="9"/>
  <c r="AC423" i="9"/>
  <c r="AC424" i="9"/>
  <c r="AC426" i="9"/>
  <c r="AC428" i="9"/>
  <c r="AC429" i="9"/>
  <c r="AC430" i="9"/>
  <c r="AC431" i="9"/>
  <c r="AC432" i="9"/>
  <c r="AC434" i="9"/>
  <c r="AC436" i="9"/>
  <c r="AC437" i="9"/>
  <c r="AC438" i="9"/>
  <c r="AC439" i="9"/>
  <c r="AC440" i="9"/>
  <c r="AC441" i="9"/>
  <c r="AC442" i="9"/>
  <c r="AC443" i="9"/>
  <c r="AC444" i="9"/>
  <c r="AC446" i="9"/>
  <c r="AC447" i="9"/>
  <c r="AC448" i="9"/>
  <c r="AC449" i="9"/>
  <c r="AC451" i="9"/>
  <c r="AC452" i="9"/>
  <c r="AC453" i="9"/>
  <c r="AC454" i="9"/>
  <c r="AC455" i="9"/>
  <c r="AC457" i="9"/>
  <c r="AC458" i="9"/>
  <c r="AC459" i="9"/>
  <c r="AC460" i="9"/>
  <c r="AC461" i="9"/>
  <c r="AC462" i="9"/>
  <c r="AC463" i="9"/>
  <c r="AC464" i="9"/>
  <c r="AC465" i="9"/>
  <c r="AD413" i="9"/>
  <c r="AD439" i="9"/>
  <c r="AD460" i="9"/>
  <c r="AD3" i="9"/>
  <c r="AD7" i="9"/>
  <c r="AD10" i="9"/>
  <c r="AD11" i="9"/>
  <c r="AD12" i="9"/>
  <c r="AD15" i="9"/>
  <c r="AD55" i="9"/>
  <c r="AD19" i="9"/>
  <c r="AD23" i="9"/>
  <c r="AD26" i="9"/>
  <c r="AD31" i="9"/>
  <c r="AD35" i="9"/>
  <c r="AD43" i="9"/>
  <c r="AD47" i="9"/>
  <c r="AD51" i="9"/>
  <c r="AD52" i="9"/>
  <c r="AD53" i="9"/>
  <c r="AD54" i="9"/>
  <c r="AD56" i="9"/>
  <c r="AD60" i="9"/>
  <c r="AD63" i="9"/>
  <c r="AD66" i="9"/>
  <c r="AD67" i="9"/>
  <c r="AD68" i="9"/>
  <c r="AD69" i="9"/>
  <c r="AD70" i="9"/>
  <c r="AD74" i="9"/>
  <c r="AD79" i="9"/>
  <c r="AD81" i="9"/>
  <c r="AD83" i="9"/>
  <c r="AD84" i="9"/>
  <c r="AD86" i="9"/>
  <c r="AD87" i="9"/>
  <c r="AD91" i="9"/>
  <c r="AD92" i="9"/>
  <c r="AD94" i="9"/>
  <c r="AD95" i="9"/>
  <c r="AD99" i="9"/>
  <c r="AD104" i="9"/>
  <c r="AD110" i="9"/>
  <c r="AD112" i="9"/>
  <c r="AD113" i="9"/>
  <c r="AD120" i="9"/>
  <c r="AD122" i="9"/>
  <c r="AD126" i="9"/>
  <c r="AD128" i="9"/>
  <c r="AD129" i="9"/>
  <c r="AD130" i="9"/>
  <c r="AD133" i="9"/>
  <c r="AD134" i="9"/>
  <c r="AD138" i="9"/>
  <c r="AD139" i="9"/>
  <c r="AD22" i="9"/>
  <c r="AD27" i="9"/>
  <c r="AD29" i="9"/>
  <c r="AD30" i="9"/>
  <c r="AD32" i="9"/>
  <c r="AD36" i="9"/>
  <c r="AD38" i="9"/>
  <c r="AD39" i="9"/>
  <c r="AD48" i="9"/>
  <c r="AD28" i="9"/>
  <c r="AD140" i="9"/>
  <c r="AC3" i="9"/>
  <c r="AC5" i="9"/>
  <c r="AC7" i="9"/>
  <c r="AC8" i="9"/>
  <c r="AC9" i="9"/>
  <c r="AC10" i="9"/>
  <c r="AC11" i="9"/>
  <c r="AC12" i="9"/>
  <c r="AC13" i="9"/>
  <c r="AC15" i="9"/>
  <c r="AC17" i="9"/>
  <c r="AC19" i="9"/>
  <c r="AC20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4" i="9"/>
  <c r="AC35" i="9"/>
  <c r="AC36" i="9"/>
  <c r="AC37" i="9"/>
  <c r="AC38" i="9"/>
  <c r="AC39" i="9"/>
  <c r="AC40" i="9"/>
  <c r="AC41" i="9"/>
  <c r="AC43" i="9"/>
  <c r="AC45" i="9"/>
  <c r="AC46" i="9"/>
  <c r="AC47" i="9"/>
  <c r="AC48" i="9"/>
  <c r="AC50" i="9"/>
  <c r="AC51" i="9"/>
  <c r="AC52" i="9"/>
  <c r="AC53" i="9"/>
  <c r="AC54" i="9"/>
  <c r="AC55" i="9"/>
  <c r="AC56" i="9"/>
  <c r="AC57" i="9"/>
  <c r="AC58" i="9"/>
  <c r="AC60" i="9"/>
  <c r="AC61" i="9"/>
  <c r="AC63" i="9"/>
  <c r="AC65" i="9"/>
  <c r="AC66" i="9"/>
  <c r="AC67" i="9"/>
  <c r="AC68" i="9"/>
  <c r="AC69" i="9"/>
  <c r="AC70" i="9"/>
  <c r="AC72" i="9"/>
  <c r="AC74" i="9"/>
  <c r="AC76" i="9"/>
  <c r="AC77" i="9"/>
  <c r="AC78" i="9"/>
  <c r="AC79" i="9"/>
  <c r="AC80" i="9"/>
  <c r="AC81" i="9"/>
  <c r="AC83" i="9"/>
  <c r="AC84" i="9"/>
  <c r="AC86" i="9"/>
  <c r="AC87" i="9"/>
  <c r="AC89" i="9"/>
  <c r="AC90" i="9"/>
  <c r="AC91" i="9"/>
  <c r="AC92" i="9"/>
  <c r="AC94" i="9"/>
  <c r="AC95" i="9"/>
  <c r="AC96" i="9"/>
  <c r="AC97" i="9"/>
  <c r="AC98" i="9"/>
  <c r="AC99" i="9"/>
  <c r="AC100" i="9"/>
  <c r="AC101" i="9"/>
  <c r="AC103" i="9"/>
  <c r="AC104" i="9"/>
  <c r="AC105" i="9"/>
  <c r="AC106" i="9"/>
  <c r="AC107" i="9"/>
  <c r="AC108" i="9"/>
  <c r="AC109" i="9"/>
  <c r="AC110" i="9"/>
  <c r="AC111" i="9"/>
  <c r="AC112" i="9"/>
  <c r="AC113" i="9"/>
  <c r="AC115" i="9"/>
  <c r="AC116" i="9"/>
  <c r="AC118" i="9"/>
  <c r="AC119" i="9"/>
  <c r="AC120" i="9"/>
  <c r="AC121" i="9"/>
  <c r="AC122" i="9"/>
  <c r="AC123" i="9"/>
  <c r="AC124" i="9"/>
  <c r="AC125" i="9"/>
  <c r="AC126" i="9"/>
  <c r="AC127" i="9"/>
  <c r="AC128" i="9"/>
  <c r="AC129" i="9"/>
  <c r="AC130" i="9"/>
  <c r="AC131" i="9"/>
  <c r="AC132" i="9"/>
  <c r="AC133" i="9"/>
  <c r="AC134" i="9"/>
  <c r="AC135" i="9"/>
  <c r="AC137" i="9"/>
  <c r="AC138" i="9"/>
  <c r="AC139" i="9"/>
  <c r="AC140" i="9"/>
  <c r="AD142" i="9"/>
  <c r="AD143" i="9"/>
  <c r="AD144" i="9"/>
  <c r="AD146" i="9"/>
  <c r="AD150" i="9"/>
  <c r="AD158" i="9"/>
  <c r="AD162" i="9"/>
  <c r="AD164" i="9"/>
  <c r="AD166" i="9"/>
  <c r="AD167" i="9"/>
  <c r="AD168" i="9"/>
  <c r="AD170" i="9"/>
  <c r="AD171" i="9"/>
  <c r="AD174" i="9"/>
  <c r="AD176" i="9"/>
  <c r="AD182" i="9"/>
  <c r="AD184" i="9"/>
  <c r="AD186" i="9"/>
  <c r="AD187" i="9"/>
  <c r="AD191" i="9"/>
  <c r="AD194" i="9"/>
  <c r="AD198" i="9"/>
  <c r="AD199" i="9"/>
  <c r="AD200" i="9"/>
  <c r="AD203" i="9"/>
  <c r="AD207" i="9"/>
  <c r="AD208" i="9"/>
  <c r="AD210" i="9"/>
  <c r="AD211" i="9"/>
  <c r="AD212" i="9"/>
  <c r="AD214" i="9"/>
  <c r="AD215" i="9"/>
  <c r="AD216" i="9"/>
  <c r="AD218" i="9"/>
  <c r="AD219" i="9"/>
  <c r="AD220" i="9"/>
  <c r="AD221" i="9"/>
  <c r="AD222" i="9"/>
  <c r="AD228" i="9"/>
  <c r="AD230" i="9"/>
  <c r="AD231" i="9"/>
  <c r="AD232" i="9"/>
  <c r="AD275" i="9"/>
  <c r="AD347" i="9"/>
  <c r="AD233" i="9"/>
  <c r="AD237" i="9"/>
  <c r="AD238" i="9"/>
  <c r="AD239" i="9"/>
  <c r="AD243" i="9"/>
  <c r="AD247" i="9"/>
  <c r="AD249" i="9"/>
  <c r="AD251" i="9"/>
  <c r="AD253" i="9"/>
  <c r="AD254" i="9"/>
  <c r="AD257" i="9"/>
  <c r="AD261" i="9"/>
  <c r="AD262" i="9"/>
  <c r="AD263" i="9"/>
  <c r="AD264" i="9"/>
  <c r="AD265" i="9"/>
  <c r="AD267" i="9"/>
  <c r="AD271" i="9"/>
  <c r="AD272" i="9"/>
  <c r="AD274" i="9"/>
  <c r="AD277" i="9"/>
  <c r="AD280" i="9"/>
  <c r="AD282" i="9"/>
  <c r="AD283" i="9"/>
  <c r="AD284" i="9"/>
  <c r="AD287" i="9"/>
  <c r="AD288" i="9"/>
  <c r="AD289" i="9"/>
  <c r="AD292" i="9"/>
  <c r="AD295" i="9"/>
  <c r="AD297" i="9"/>
  <c r="AD298" i="9"/>
  <c r="AD299" i="9"/>
  <c r="AD301" i="9"/>
  <c r="AD304" i="9"/>
  <c r="AD306" i="9"/>
  <c r="AD307" i="9"/>
  <c r="AD308" i="9"/>
  <c r="AD309" i="9"/>
  <c r="AD310" i="9"/>
  <c r="AD311" i="9"/>
  <c r="AD315" i="9"/>
  <c r="AD317" i="9"/>
  <c r="AD324" i="9"/>
  <c r="AD329" i="9"/>
  <c r="AD331" i="9"/>
  <c r="AD337" i="9"/>
  <c r="AD343" i="9"/>
  <c r="AD344" i="9"/>
  <c r="AD349" i="9"/>
  <c r="AD353" i="9"/>
  <c r="AD357" i="9"/>
  <c r="AD364" i="9"/>
  <c r="AD375" i="9"/>
  <c r="AD376" i="9"/>
  <c r="AD380" i="9"/>
  <c r="AD389" i="9"/>
  <c r="AD395" i="9"/>
  <c r="AD396" i="9"/>
  <c r="AD397" i="9"/>
  <c r="AD407" i="9"/>
  <c r="AD408" i="9"/>
  <c r="AD412" i="9"/>
  <c r="AD417" i="9"/>
  <c r="AD421" i="9"/>
  <c r="AD440" i="9"/>
  <c r="AD453" i="9"/>
  <c r="AD428" i="9"/>
  <c r="AD443" i="9"/>
  <c r="AD444" i="9"/>
  <c r="AD459" i="9"/>
  <c r="AD461" i="9"/>
  <c r="AD465" i="9"/>
  <c r="AD384" i="9"/>
  <c r="AD109" i="9"/>
  <c r="AD117" i="9"/>
  <c r="AD256" i="9"/>
  <c r="AD217" i="9"/>
  <c r="AD236" i="9"/>
  <c r="AD348" i="9"/>
  <c r="AD57" i="9"/>
  <c r="AD429" i="9"/>
  <c r="AD455" i="9"/>
  <c r="AD9" i="9"/>
  <c r="AD463" i="9"/>
  <c r="AD312" i="9"/>
  <c r="AD423" i="9"/>
  <c r="AD37" i="9"/>
  <c r="AD14" i="9"/>
  <c r="AD318" i="9"/>
  <c r="AD436" i="9"/>
  <c r="AD466" i="9"/>
  <c r="AD25" i="9"/>
  <c r="AD147" i="9"/>
  <c r="AD296" i="9"/>
  <c r="AD321" i="9"/>
  <c r="AD359" i="9"/>
  <c r="AD387" i="9"/>
  <c r="AD151" i="9"/>
  <c r="AD177" i="9"/>
  <c r="AD224" i="9"/>
  <c r="AD241" i="9"/>
  <c r="AD323" i="9"/>
  <c r="AD475" i="9"/>
  <c r="AD45" i="9"/>
  <c r="AD268" i="9"/>
  <c r="AD285" i="9"/>
  <c r="AD49" i="9"/>
  <c r="AD97" i="9"/>
  <c r="AD269" i="9"/>
  <c r="AD373" i="9"/>
  <c r="AD418" i="9"/>
  <c r="AD451" i="9"/>
  <c r="AD400" i="9"/>
  <c r="AD250" i="9"/>
  <c r="AD305" i="9"/>
  <c r="AD410" i="9"/>
  <c r="AD175" i="9"/>
  <c r="AD125" i="9"/>
  <c r="AD260" i="9"/>
  <c r="AD183" i="9"/>
  <c r="AD328" i="9"/>
  <c r="AD391" i="9"/>
  <c r="AD155" i="9"/>
  <c r="AD369" i="9"/>
  <c r="AD163" i="9"/>
  <c r="AD234" i="9"/>
  <c r="AD378" i="9"/>
  <c r="AD427" i="9"/>
  <c r="AD363" i="9"/>
  <c r="AD152" i="9"/>
  <c r="AD209" i="9"/>
  <c r="AD334" i="9"/>
  <c r="AD156" i="9"/>
  <c r="AD372" i="9"/>
  <c r="AD58" i="9"/>
  <c r="AD381" i="9"/>
  <c r="AD346" i="9"/>
  <c r="AD394" i="9"/>
  <c r="AD50" i="9"/>
  <c r="AD77" i="9"/>
  <c r="AD101" i="9"/>
  <c r="AD121" i="9"/>
  <c r="AD179" i="9"/>
  <c r="AD226" i="9"/>
  <c r="AD248" i="9"/>
  <c r="AD365" i="9"/>
  <c r="AD379" i="9"/>
  <c r="AD411" i="9"/>
  <c r="AD445" i="9"/>
  <c r="AD464" i="9"/>
  <c r="AD5" i="9"/>
  <c r="AD21" i="9"/>
  <c r="AD33" i="9"/>
  <c r="AD65" i="9"/>
  <c r="AD161" i="9"/>
  <c r="AD180" i="9"/>
  <c r="AD201" i="9"/>
  <c r="AD276" i="9"/>
  <c r="AD367" i="9"/>
  <c r="AD450" i="9"/>
  <c r="AD17" i="9"/>
  <c r="AD105" i="9"/>
  <c r="AD137" i="9"/>
  <c r="AD399" i="9"/>
  <c r="AD437" i="9"/>
  <c r="AD467" i="9"/>
  <c r="AD61" i="9"/>
  <c r="AD431" i="9"/>
  <c r="AD41" i="9"/>
  <c r="AD85" i="9"/>
  <c r="AD185" i="9"/>
  <c r="AD204" i="9"/>
  <c r="AD229" i="9"/>
  <c r="AD153" i="9"/>
  <c r="AD322" i="9"/>
  <c r="AD354" i="9"/>
  <c r="AD386" i="9"/>
  <c r="AD426" i="9"/>
  <c r="AD442" i="9"/>
  <c r="AD458" i="9"/>
  <c r="AD474" i="9"/>
  <c r="AD89" i="9"/>
  <c r="AD13" i="9"/>
  <c r="AD93" i="9"/>
  <c r="AD293" i="9"/>
  <c r="AD362" i="9"/>
  <c r="AD326" i="9"/>
  <c r="AD403" i="9"/>
  <c r="AD404" i="9"/>
  <c r="AD419" i="9"/>
  <c r="AD46" i="9"/>
  <c r="AD82" i="9"/>
  <c r="AD90" i="9"/>
  <c r="AD98" i="9"/>
  <c r="AD157" i="9"/>
  <c r="AD172" i="9"/>
  <c r="AD173" i="9"/>
  <c r="AD196" i="9"/>
  <c r="AD197" i="9"/>
  <c r="AD420" i="9"/>
  <c r="AD438" i="9"/>
  <c r="AD446" i="9"/>
  <c r="AD202" i="9"/>
  <c r="AD432" i="9"/>
  <c r="AD131" i="9"/>
  <c r="AD181" i="9"/>
  <c r="AD205" i="9"/>
  <c r="AD338" i="9"/>
  <c r="AD447" i="9"/>
  <c r="AD366" i="9"/>
  <c r="AD392" i="9"/>
  <c r="AD115" i="9"/>
  <c r="AD149" i="9"/>
  <c r="AD368" i="9"/>
  <c r="AD255" i="9"/>
  <c r="AD316" i="9"/>
  <c r="AD339" i="9"/>
  <c r="AD340" i="9"/>
  <c r="AD355" i="9"/>
  <c r="AD448" i="9"/>
  <c r="AD449" i="9"/>
  <c r="AD127" i="9"/>
  <c r="AD382" i="9"/>
  <c r="AD278" i="9"/>
  <c r="AD279" i="9"/>
  <c r="AD383" i="9"/>
  <c r="AD178" i="9"/>
  <c r="AD266" i="9"/>
  <c r="AD468" i="9"/>
  <c r="AD402" i="9"/>
  <c r="AD106" i="9"/>
  <c r="AD114" i="9"/>
  <c r="AD148" i="9"/>
  <c r="AD290" i="9"/>
  <c r="AD374" i="9"/>
  <c r="AD34" i="9"/>
  <c r="AD42" i="9"/>
  <c r="AD78" i="9"/>
  <c r="AD111" i="9"/>
  <c r="AD118" i="9"/>
  <c r="AD119" i="9"/>
  <c r="AD273" i="9"/>
  <c r="AD332" i="9"/>
  <c r="AD385" i="9"/>
  <c r="AD103" i="9"/>
  <c r="AD242" i="9"/>
  <c r="AD302" i="9"/>
  <c r="AD123" i="9"/>
  <c r="AD259" i="9"/>
  <c r="AD107" i="9"/>
  <c r="AD291" i="9"/>
  <c r="AD135" i="9"/>
  <c r="AD356" i="9"/>
  <c r="AD154" i="9"/>
  <c r="AD235" i="9"/>
  <c r="AD430" i="9"/>
  <c r="AD456" i="9"/>
  <c r="AD325" i="9"/>
  <c r="AD358" i="9"/>
  <c r="AD422" i="9"/>
  <c r="AD341" i="9"/>
  <c r="AD342" i="9"/>
  <c r="AD405" i="9"/>
  <c r="AD406" i="9"/>
  <c r="AD469" i="9"/>
  <c r="AD470" i="9"/>
  <c r="AD245" i="9"/>
  <c r="AD246" i="9"/>
  <c r="AD319" i="9"/>
  <c r="AD320" i="9"/>
  <c r="AD335" i="9"/>
  <c r="AD351" i="9"/>
  <c r="AD370" i="9"/>
  <c r="AD388" i="9"/>
  <c r="AD398" i="9"/>
  <c r="AD415" i="9"/>
  <c r="AD434" i="9"/>
  <c r="AD452" i="9"/>
  <c r="AD462" i="9"/>
  <c r="AD333" i="9"/>
  <c r="AD424" i="9"/>
  <c r="AD145" i="9"/>
  <c r="AD169" i="9"/>
  <c r="AD193" i="9"/>
  <c r="AD223" i="9"/>
  <c r="AD350" i="9"/>
  <c r="AD414" i="9"/>
  <c r="AD8" i="9"/>
  <c r="AD20" i="9"/>
  <c r="AD24" i="9"/>
  <c r="AD40" i="9"/>
  <c r="AD72" i="9"/>
  <c r="AD76" i="9"/>
  <c r="AD80" i="9"/>
  <c r="AD96" i="9"/>
  <c r="AD100" i="9"/>
  <c r="AD108" i="9"/>
  <c r="AD116" i="9"/>
  <c r="AD124" i="9"/>
  <c r="AD132" i="9"/>
  <c r="AD136" i="9"/>
  <c r="AD141" i="9"/>
  <c r="AD160" i="9"/>
  <c r="AD165" i="9"/>
  <c r="AD189" i="9"/>
  <c r="AD213" i="9"/>
  <c r="AD294" i="9"/>
  <c r="AD352" i="9"/>
  <c r="AD371" i="9"/>
  <c r="AD416" i="9"/>
  <c r="AD435" i="9"/>
  <c r="AD360" i="9"/>
  <c r="AD270" i="9"/>
  <c r="AD390" i="9"/>
  <c r="AD454" i="9"/>
  <c r="AD345" i="9"/>
  <c r="AD377" i="9"/>
  <c r="AD409" i="9"/>
  <c r="AD441" i="9"/>
  <c r="AD473" i="9"/>
  <c r="AD330" i="9"/>
  <c r="AD314" i="9"/>
  <c r="AD361" i="9"/>
  <c r="AD393" i="9"/>
  <c r="AD425" i="9"/>
  <c r="AD45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<sst xmlns="http://schemas.openxmlformats.org/spreadsheetml/2006/main" count="5949" uniqueCount="1343">
  <si>
    <t>Giving Opportunities</t>
  </si>
  <si>
    <t>Product to Give</t>
  </si>
  <si>
    <t>Date of Order</t>
  </si>
  <si>
    <t>Customer</t>
  </si>
  <si>
    <t>Order #</t>
  </si>
  <si>
    <t>Sales Personal Notes</t>
  </si>
  <si>
    <t>Order Notes</t>
  </si>
  <si>
    <t>Notes:  Include all notes week by week</t>
  </si>
  <si>
    <t>SKU</t>
  </si>
  <si>
    <t>Product</t>
  </si>
  <si>
    <t>Label</t>
  </si>
  <si>
    <t>QTY on Order</t>
  </si>
  <si>
    <t>Labels/IFC- Version/batch</t>
  </si>
  <si>
    <t>QTY Commited</t>
  </si>
  <si>
    <t>QTY 
Needed</t>
  </si>
  <si>
    <t>Status</t>
  </si>
  <si>
    <t>Notes</t>
  </si>
  <si>
    <t>IFC</t>
  </si>
  <si>
    <t>UPC Code</t>
  </si>
  <si>
    <t>QTY on Order2</t>
  </si>
  <si>
    <t>Item PO</t>
  </si>
  <si>
    <t>EST Manufacture Completion</t>
  </si>
  <si>
    <t>Notes:</t>
  </si>
  <si>
    <t>Lot Number</t>
  </si>
  <si>
    <t>Notes:  Include all notes week by week3</t>
  </si>
  <si>
    <r>
      <t xml:space="preserve">Order ETA
</t>
    </r>
    <r>
      <rPr>
        <b/>
        <sz val="14"/>
        <color rgb="FFFF0000"/>
        <rFont val="Calibri"/>
        <family val="2"/>
      </rPr>
      <t>** only for products in rework**</t>
    </r>
  </si>
  <si>
    <t>Date Completed D/W Sent</t>
  </si>
  <si>
    <t>Status4</t>
  </si>
  <si>
    <t>Column2</t>
  </si>
  <si>
    <t>Column1</t>
  </si>
  <si>
    <t>QTY Fuffilled?</t>
  </si>
  <si>
    <t>Peeling?</t>
  </si>
  <si>
    <t>Order Details</t>
  </si>
  <si>
    <t>SKU:</t>
  </si>
  <si>
    <t>DHEA50-60-FD</t>
  </si>
  <si>
    <t>QTY:</t>
  </si>
  <si>
    <r>
      <rPr>
        <b/>
        <sz val="10"/>
        <color rgb="FF000000"/>
        <rFont val="Calibri"/>
        <scheme val="minor"/>
      </rPr>
      <t xml:space="preserve">ANALYSIS DIRECTIONS:
</t>
    </r>
    <r>
      <rPr>
        <sz val="9"/>
        <color rgb="FF000000"/>
        <rFont val="Calibri"/>
        <scheme val="minor"/>
      </rPr>
      <t>1. Click any cell related to desired product
2. Click the button of desired analysis</t>
    </r>
  </si>
  <si>
    <t>Column3</t>
  </si>
  <si>
    <t>Column4</t>
  </si>
  <si>
    <t>WFSPLS-180-FD</t>
  </si>
  <si>
    <t>POLYSIT-90-CS-LY</t>
  </si>
  <si>
    <t>WFSPLS-180-CS-LY</t>
  </si>
  <si>
    <t>FERTMX-90-RE</t>
  </si>
  <si>
    <t>BRSTW-60-FD</t>
  </si>
  <si>
    <t>BRSTW-60-CS-LY</t>
  </si>
  <si>
    <t>BRSTW-60-CS-EG</t>
  </si>
  <si>
    <t xml:space="preserve">FERTMX-30-CS-VT </t>
  </si>
  <si>
    <t>FERTMX-40-FD</t>
  </si>
  <si>
    <t>FERTMX-90-FD</t>
  </si>
  <si>
    <t>FERTMX-90-CS-BN</t>
  </si>
  <si>
    <t>FERTMX-90-CS-AN</t>
  </si>
  <si>
    <t xml:space="preserve">FERTMX-90-CS-VT     </t>
  </si>
  <si>
    <t>FERTMX-90-CS-TA</t>
  </si>
  <si>
    <t>FERTMX-90-CS-NI</t>
  </si>
  <si>
    <t>FERTMX-60-RE</t>
  </si>
  <si>
    <t xml:space="preserve">FERTMX-90-CS-QT </t>
  </si>
  <si>
    <t>FERTMX-60-CS-IQ-IP</t>
  </si>
  <si>
    <t>FERTMXNOM-90-FD</t>
  </si>
  <si>
    <t>FERTMXNOM-60-FD</t>
  </si>
  <si>
    <t>FERTMX-90-CS-LY</t>
  </si>
  <si>
    <t xml:space="preserve">PREFACT-90-CS-RW  </t>
  </si>
  <si>
    <t xml:space="preserve">FERTND-90-CS-GR  </t>
  </si>
  <si>
    <t xml:space="preserve">FERTNOM-90-CS-CY  </t>
  </si>
  <si>
    <t>FIBRO-60-RE</t>
  </si>
  <si>
    <t>FIBRO-60-CS-IQ-IP</t>
  </si>
  <si>
    <t>FIBRO-60-CS-BN</t>
  </si>
  <si>
    <t xml:space="preserve">FIBRO-60-CS-CH  </t>
  </si>
  <si>
    <t xml:space="preserve">FIBRO-60-CS-JO  </t>
  </si>
  <si>
    <t xml:space="preserve">FIBRO-60-CS-GR </t>
  </si>
  <si>
    <t>FIBRO-60-CS-LY</t>
  </si>
  <si>
    <t>FIBRO-60-CS-EG</t>
  </si>
  <si>
    <t>FIBRO-60-FD</t>
  </si>
  <si>
    <t>FIBRO-60-CS-QT</t>
  </si>
  <si>
    <t>FIBRO-60-CS-UA</t>
  </si>
  <si>
    <t>VELMARA-60-CS-NI</t>
  </si>
  <si>
    <t>METRIO-60-RE</t>
  </si>
  <si>
    <t>METRIO-60-CS-IQ-IP</t>
  </si>
  <si>
    <t>METRIO-60-FD</t>
  </si>
  <si>
    <t xml:space="preserve">METRIO-60-CS-EG </t>
  </si>
  <si>
    <t xml:space="preserve">METRIO-60-CS-GR </t>
  </si>
  <si>
    <t>METRIO-60-CS-LY</t>
  </si>
  <si>
    <t xml:space="preserve">METRIO-60-CS-QT </t>
  </si>
  <si>
    <t>METRIO-60-CS-JO</t>
  </si>
  <si>
    <t>METRIO-60-CS-CH</t>
  </si>
  <si>
    <t>METRIO-60-CS-UA</t>
  </si>
  <si>
    <t>MFSADV-120-FD</t>
  </si>
  <si>
    <t xml:space="preserve">MFSADV-120-GR </t>
  </si>
  <si>
    <t>MFSADV-60-FD</t>
  </si>
  <si>
    <t>MFSADV-120-CS-LY</t>
  </si>
  <si>
    <t>MFSADV-60-CS-LY</t>
  </si>
  <si>
    <t>MFSPLS-120-RE</t>
  </si>
  <si>
    <t xml:space="preserve">MFSPLS-120-CS-QT </t>
  </si>
  <si>
    <t xml:space="preserve">MFSPLS-120-CS-AN </t>
  </si>
  <si>
    <t xml:space="preserve">MFSPLS-120-CS-JO </t>
  </si>
  <si>
    <t>MFSPLS-120-CS-LB</t>
  </si>
  <si>
    <t xml:space="preserve">MFSPLS-120-CS-CH </t>
  </si>
  <si>
    <t>MFSPLS-120-CS-BN</t>
  </si>
  <si>
    <t>MFSPLS-120-CS-CN</t>
  </si>
  <si>
    <t>MFSPLS-120-CS-NI</t>
  </si>
  <si>
    <t>MFSPLS-120-CS-UG</t>
  </si>
  <si>
    <t>MFSPLS-120-CS-KW</t>
  </si>
  <si>
    <t xml:space="preserve">MFS-120-CS-RW </t>
  </si>
  <si>
    <t xml:space="preserve">MFSPLS-120-FD                            </t>
  </si>
  <si>
    <t>MFSPLS-120-CS-TA</t>
  </si>
  <si>
    <t xml:space="preserve">MFSPLS-120-CS-EG </t>
  </si>
  <si>
    <t>MFSPLS-120-CS-LY</t>
  </si>
  <si>
    <t>MFSPLS-60-RE</t>
  </si>
  <si>
    <t>MFSPLS-60-FD</t>
  </si>
  <si>
    <t>MFSPLS-60-CS-BN</t>
  </si>
  <si>
    <t>MFSPLS-60-CS-AN</t>
  </si>
  <si>
    <t>MFSPLS-60-CS-UG</t>
  </si>
  <si>
    <t xml:space="preserve">MFSPLS-60-CS-JO </t>
  </si>
  <si>
    <t xml:space="preserve">MFSPLS-60-CS-QT  </t>
  </si>
  <si>
    <t>MFSPLS-60-CS-LB</t>
  </si>
  <si>
    <t xml:space="preserve">MFSPLS-60-CS-CH </t>
  </si>
  <si>
    <t>MFSPLS-60-CS-KW</t>
  </si>
  <si>
    <t xml:space="preserve">MFSPLS-60-CS-EG </t>
  </si>
  <si>
    <t>MFSPLS-60-CS-LY</t>
  </si>
  <si>
    <t>MFSPLS-60-CS-NI</t>
  </si>
  <si>
    <t xml:space="preserve">MFS-60-CS-RW  </t>
  </si>
  <si>
    <t>MOTILMX-60-RE</t>
  </si>
  <si>
    <t xml:space="preserve">MOTILMX-60-CS-GR  </t>
  </si>
  <si>
    <t>MOTILMX-60-CS-LB</t>
  </si>
  <si>
    <t>MOTILMX-60-CS-UG</t>
  </si>
  <si>
    <t>MOTILMX-60-CS-IQ-IP</t>
  </si>
  <si>
    <t>MOTILMX-60-FD</t>
  </si>
  <si>
    <t>MOTILMX-60-CS-BN</t>
  </si>
  <si>
    <t>MOTILMX-60-CS-JO</t>
  </si>
  <si>
    <t xml:space="preserve">MOTILMXNM-60-CS-EG </t>
  </si>
  <si>
    <t>MOTILMX-60-CS-KW</t>
  </si>
  <si>
    <t>MOTILMX-60-CS-AN</t>
  </si>
  <si>
    <t xml:space="preserve">MOTILMX-60-CS-QT </t>
  </si>
  <si>
    <t>MOTILMX-60-CS-LY</t>
  </si>
  <si>
    <t>MOTILMX-60-CS-NI</t>
  </si>
  <si>
    <t xml:space="preserve">ACTPRO-60-CS-RW  </t>
  </si>
  <si>
    <t>OVAMAX-120-CS-BN</t>
  </si>
  <si>
    <t>OVAMAX-120-CS-AN</t>
  </si>
  <si>
    <t>OVAMAX-120-CS-KW</t>
  </si>
  <si>
    <t>OVAMAX-120-CS-UG</t>
  </si>
  <si>
    <t>OVAMAX-120-RE</t>
  </si>
  <si>
    <t>OVAMAX-120-CS-IQ-IP</t>
  </si>
  <si>
    <t xml:space="preserve">OVAMAX-120-CS-CH   </t>
  </si>
  <si>
    <t>OVAMAX-120-CS-LB</t>
  </si>
  <si>
    <t>OVAMAXPLUS-120-CS-CN</t>
  </si>
  <si>
    <t>OVAMAX-120-FD</t>
  </si>
  <si>
    <t xml:space="preserve">OVAMAX-120-CS-EG  </t>
  </si>
  <si>
    <t>OVAMAX-120-CS-LY</t>
  </si>
  <si>
    <t>OVAMAX-120-CS-NI</t>
  </si>
  <si>
    <t>OVAMAX-120-CS-JO</t>
  </si>
  <si>
    <t xml:space="preserve">OVAMAX-120-CS-GR </t>
  </si>
  <si>
    <t>OVAMANM-120-CS-UA</t>
  </si>
  <si>
    <t xml:space="preserve">OVAMANM-120-CS-QT </t>
  </si>
  <si>
    <t xml:space="preserve">OVAMANM-120-CS-VT  </t>
  </si>
  <si>
    <t>OVAMANM-120-CS-TA</t>
  </si>
  <si>
    <t>OVAMAX-60-RE</t>
  </si>
  <si>
    <t>OVAMAX-60-FD</t>
  </si>
  <si>
    <t>OVAMAX-60-CS-IQ-IP</t>
  </si>
  <si>
    <t xml:space="preserve">OVIEW-120-CS-RW </t>
  </si>
  <si>
    <t xml:space="preserve">OVAMANM-60-CS-VT   </t>
  </si>
  <si>
    <t>PENAMAX-30-GE-FD</t>
  </si>
  <si>
    <t>PENAMAX-60-VE-FD</t>
  </si>
  <si>
    <t>PENAMAX-60-GE-FD</t>
  </si>
  <si>
    <t>PENAMAX-60-GE-CS-EG</t>
  </si>
  <si>
    <t>PENAMAX-60-GE-CS-UG</t>
  </si>
  <si>
    <t>PENAMAX-60-GE-CS-IQ-IP</t>
  </si>
  <si>
    <t>PENAMAX-60-GE-CS-UA</t>
  </si>
  <si>
    <t xml:space="preserve">PENAMAX-60-GE-CS-SU </t>
  </si>
  <si>
    <t>PENAMAX-60-GE-CS-TA</t>
  </si>
  <si>
    <t xml:space="preserve">PENAMAX-60-GE-CS-GR </t>
  </si>
  <si>
    <t xml:space="preserve">PENAMAX-60-GE-CS-QT  </t>
  </si>
  <si>
    <t>PENAMAX-60-GE-CS-JO</t>
  </si>
  <si>
    <t xml:space="preserve">PENAMAX-60-VE-CS-CH </t>
  </si>
  <si>
    <t>PENAMAX-60-GE-CS-KW</t>
  </si>
  <si>
    <t xml:space="preserve">PENAMAX-60-GE-CS-VT </t>
  </si>
  <si>
    <t>POLYSIT-45-RE</t>
  </si>
  <si>
    <t>POLYSIT-45-FD</t>
  </si>
  <si>
    <t>POLYSIT-90-RE</t>
  </si>
  <si>
    <t>POLYSIT-90-CS-IQ-IP</t>
  </si>
  <si>
    <t>POLYSIT-90-FD</t>
  </si>
  <si>
    <t xml:space="preserve">POLYSIT-90-CS-SU </t>
  </si>
  <si>
    <t>POLYSIT-90-CS-EG</t>
  </si>
  <si>
    <t>POLYSIT-90-CS-QT</t>
  </si>
  <si>
    <t xml:space="preserve">POLYSIT-90-CS-GR </t>
  </si>
  <si>
    <t xml:space="preserve">POLYSIT-90-CS-VT </t>
  </si>
  <si>
    <t xml:space="preserve">POLYSIT-90-CS-JO </t>
  </si>
  <si>
    <t>PRECON-180-RE</t>
  </si>
  <si>
    <t>PRECON-180-FD</t>
  </si>
  <si>
    <t>PRECON-180-CS-BN</t>
  </si>
  <si>
    <t>PRECON-180-CS-LB</t>
  </si>
  <si>
    <t xml:space="preserve">PRECON-180-CS-CH </t>
  </si>
  <si>
    <t>PRECON-180-CS-KW</t>
  </si>
  <si>
    <t>PRECON-180-CS-LY</t>
  </si>
  <si>
    <t xml:space="preserve">PRECON-180-CS-QT  </t>
  </si>
  <si>
    <t>PRECON-180-CS-JO</t>
  </si>
  <si>
    <t>PRECON-180-CS-TA</t>
  </si>
  <si>
    <t>PRECON-90-RE</t>
  </si>
  <si>
    <t>PRECON-90-FD</t>
  </si>
  <si>
    <t>PRECON-90-CS-BN</t>
  </si>
  <si>
    <t>PRECON-90-CS-LB</t>
  </si>
  <si>
    <t>PRECON-90-CS-KW</t>
  </si>
  <si>
    <t xml:space="preserve">PRECON-90-CS-CH </t>
  </si>
  <si>
    <t>PRECON-90-CS-JO</t>
  </si>
  <si>
    <t>PRECON-90-CS-LY</t>
  </si>
  <si>
    <t xml:space="preserve">PRECON-90-CS-QT   </t>
  </si>
  <si>
    <t>PROSTA-45-RE</t>
  </si>
  <si>
    <t>PROSTA-45-FD</t>
  </si>
  <si>
    <t>PROSTA-90-RE</t>
  </si>
  <si>
    <t>PROSTA-90-FD</t>
  </si>
  <si>
    <t>PROSTA-90-CS-MO</t>
  </si>
  <si>
    <t>PROSTA-90-CS-UG</t>
  </si>
  <si>
    <t>PROSTA-90-CS-IQ-IP</t>
  </si>
  <si>
    <t>PROSTA-90-CS-JO</t>
  </si>
  <si>
    <t>PROSTA-90-CS-CH</t>
  </si>
  <si>
    <t>ROYALPL-30-RE</t>
  </si>
  <si>
    <t>ROYALPL-30-FD</t>
  </si>
  <si>
    <t>ROYALPL-30-CS-IQ-IP</t>
  </si>
  <si>
    <t xml:space="preserve">ROYALPL-30-CS-QT   </t>
  </si>
  <si>
    <t>ROYALPL-30-CS-UA</t>
  </si>
  <si>
    <t>SPERMCT-60-RE</t>
  </si>
  <si>
    <t>SPERMCT-60-CS-LB</t>
  </si>
  <si>
    <t>SPERMCT-60-FD</t>
  </si>
  <si>
    <t>SPERMCT-60-CS-KW</t>
  </si>
  <si>
    <t xml:space="preserve">SPERMCT-60-CS-QT   </t>
  </si>
  <si>
    <t>SPERMCT-60-CS-LY</t>
  </si>
  <si>
    <t>SPERMCT-60-CS-UG</t>
  </si>
  <si>
    <t>TWIN-60-FD</t>
  </si>
  <si>
    <t>VELVET-60-FD</t>
  </si>
  <si>
    <t>VELVET-60-RE</t>
  </si>
  <si>
    <t>WFSADV-120-RE</t>
  </si>
  <si>
    <t>WFSADV-60-RE</t>
  </si>
  <si>
    <t>WFSADV-120-FD</t>
  </si>
  <si>
    <t>WFSADV-60-FD</t>
  </si>
  <si>
    <t>WFSPLS-180-CS-LB</t>
  </si>
  <si>
    <t>WFSPLS-180-RE</t>
  </si>
  <si>
    <t>WFSPLS-180-CS-BN</t>
  </si>
  <si>
    <t>WFSPLS-180-CS-AN</t>
  </si>
  <si>
    <t>WFSPLS-180-CS-KW</t>
  </si>
  <si>
    <t>WFSPLS-180-CS-TA</t>
  </si>
  <si>
    <t xml:space="preserve">WFSPLS-180-CS-QT  </t>
  </si>
  <si>
    <t>WFSPLS-180-CS-JO</t>
  </si>
  <si>
    <t xml:space="preserve">WFSPLS-180-CS-CH  </t>
  </si>
  <si>
    <t xml:space="preserve">WFSPLS-180-CS-EG  </t>
  </si>
  <si>
    <t>WFSPLS-180-CS-NI</t>
  </si>
  <si>
    <t xml:space="preserve">WFS-180-CS-RW  </t>
  </si>
  <si>
    <t>WFSPLS-90-CS-LB</t>
  </si>
  <si>
    <t>WFSPLS-90-RE</t>
  </si>
  <si>
    <t>WFSPLS-90-FD</t>
  </si>
  <si>
    <t>WFSPLS-90-CS-BN</t>
  </si>
  <si>
    <t xml:space="preserve">WFSPLS-90-CS-CO </t>
  </si>
  <si>
    <t>WFSPLS-90-CS-AN</t>
  </si>
  <si>
    <t>WFSPLS-90-CS-KW</t>
  </si>
  <si>
    <t xml:space="preserve">WFSPLS-90-CS-CH  </t>
  </si>
  <si>
    <t xml:space="preserve">WFSPLS-90-CS-QT  </t>
  </si>
  <si>
    <t>WFSPLS-90-CS-JO</t>
  </si>
  <si>
    <t xml:space="preserve">WFSPLS-90-CS-EG  </t>
  </si>
  <si>
    <t>WFSPLS-90-CS-LY</t>
  </si>
  <si>
    <t>WFSPLS-90-CS-NI</t>
  </si>
  <si>
    <t xml:space="preserve">WFS-90-CS-RW </t>
  </si>
  <si>
    <t>ADVTH-60-FD</t>
  </si>
  <si>
    <t>BALLAGEN-30-FD</t>
  </si>
  <si>
    <t>CAVIN-60-FD</t>
  </si>
  <si>
    <t>CAVINADV-60-FD</t>
  </si>
  <si>
    <t>CAVINADV-60-CS-KW</t>
  </si>
  <si>
    <t>CHARCO-100-FD</t>
  </si>
  <si>
    <t>CHARCO-100-CS-CH</t>
  </si>
  <si>
    <t>COLLA-60-FD</t>
  </si>
  <si>
    <t>COLLA-60-CS-KW</t>
  </si>
  <si>
    <t>COLLA-60-CS-QT</t>
  </si>
  <si>
    <t>COQ100-125-FD</t>
  </si>
  <si>
    <t xml:space="preserve">COQ400-30-VE-CS-SU </t>
  </si>
  <si>
    <t>EYECAP-30-FD</t>
  </si>
  <si>
    <t>EYECAP-30-CS-QT</t>
  </si>
  <si>
    <t>FLORA30-30-FD</t>
  </si>
  <si>
    <t>FLORA30-30-CS-IQ-IP</t>
  </si>
  <si>
    <t>FLORA30-30-CS-CH</t>
  </si>
  <si>
    <t>FLORA50-30-FD</t>
  </si>
  <si>
    <t>FLORA50-30-CS-IQ-IP</t>
  </si>
  <si>
    <t>FLORA50-30-CS-QT</t>
  </si>
  <si>
    <t>GARLIC-60-FD</t>
  </si>
  <si>
    <t>IMMUNE-60-CS-UA</t>
  </si>
  <si>
    <t>IMMUNE-60-FD</t>
  </si>
  <si>
    <t>IMMUNE-60-CS-KW</t>
  </si>
  <si>
    <t>KETONEC-60-FD</t>
  </si>
  <si>
    <t xml:space="preserve">KETONEL-60-CS-SU </t>
  </si>
  <si>
    <t>KETONEG-60-FD</t>
  </si>
  <si>
    <t>KETONEG-60-CS-KW</t>
  </si>
  <si>
    <t>KETONEG-60-CS-UA</t>
  </si>
  <si>
    <t>LIPODIS-60-FD</t>
  </si>
  <si>
    <t>LIPODIS-60-CS-IQ-IP</t>
  </si>
  <si>
    <t>MEMOUP-60-FD</t>
  </si>
  <si>
    <t>NMNH-60-FD</t>
  </si>
  <si>
    <t>NRGMEN-45-FD</t>
  </si>
  <si>
    <t>NRGMEN-45-CS-IQ-IP</t>
  </si>
  <si>
    <t>NRGMEN-45-CS-UA</t>
  </si>
  <si>
    <t>NRGWOM-45-FD</t>
  </si>
  <si>
    <t>NRGWOM-45-CS-UA</t>
  </si>
  <si>
    <t>MEGAMULTI-NRG-180-FD</t>
  </si>
  <si>
    <t>NEURO-60-FD</t>
  </si>
  <si>
    <t>OSTEOFR-72-FD</t>
  </si>
  <si>
    <t>OSTEOPL-96-FD</t>
  </si>
  <si>
    <t>OSTEOPL-96-CS-KW</t>
  </si>
  <si>
    <t xml:space="preserve">OSTEOPL-96-CS-CH </t>
  </si>
  <si>
    <t>OSTEOPL-96-CS-QT</t>
  </si>
  <si>
    <t>OSTEOPW-74-FD</t>
  </si>
  <si>
    <t>PEARLY-60-FD</t>
  </si>
  <si>
    <t>PEARLY-60-CS-IQ-IP</t>
  </si>
  <si>
    <t>PEARLY-60-CS-KW</t>
  </si>
  <si>
    <t>PEARLY-60-CS-QT</t>
  </si>
  <si>
    <t xml:space="preserve">PEARLY-60-CS-GR </t>
  </si>
  <si>
    <t>TESTOSTR-60-FD</t>
  </si>
  <si>
    <t>UTICYST-60-FD</t>
  </si>
  <si>
    <t>UTICYST-60-CS-CH</t>
  </si>
  <si>
    <t>UTICYST-60-CS-EG</t>
  </si>
  <si>
    <t>VIVAMEN-60-FD</t>
  </si>
  <si>
    <t>VIVAMEN-120-FD</t>
  </si>
  <si>
    <t>VIVAMEN-120-CS-UA</t>
  </si>
  <si>
    <t>VIVAWOM-60-FD</t>
  </si>
  <si>
    <t>VIVAWOM-60-CS-CH</t>
  </si>
  <si>
    <t>VIVAWOM-120-FD</t>
  </si>
  <si>
    <t>VIVAWOM-120-CS-UA</t>
  </si>
  <si>
    <t>ARGI-100-CS-GE</t>
  </si>
  <si>
    <t>ALA-60-FD</t>
  </si>
  <si>
    <t>ALC-60-FD</t>
  </si>
  <si>
    <t>ALC-60-CS-IQ-IP</t>
  </si>
  <si>
    <t>BIO5K-60-FD</t>
  </si>
  <si>
    <t>BIO5K-60-CS-KW</t>
  </si>
  <si>
    <t>BIO5K-60-CS-QT</t>
  </si>
  <si>
    <t>BIO10K-60-FD</t>
  </si>
  <si>
    <t xml:space="preserve">BIOPRIN5-60-CS-GO </t>
  </si>
  <si>
    <t xml:space="preserve">BIOPRIN10-60-CS-GO </t>
  </si>
  <si>
    <t>CARTAB-60-CS-GO</t>
  </si>
  <si>
    <t>DHEA25-60-FD</t>
  </si>
  <si>
    <t>DHEA25-60-CS-KW</t>
  </si>
  <si>
    <t>DHEA25-60-CS-IQ-IP</t>
  </si>
  <si>
    <t>DHEA25-60-CS-MO</t>
  </si>
  <si>
    <t>DHEA50-60-CS-MO</t>
  </si>
  <si>
    <t>DHEA50-60-CS-JO</t>
  </si>
  <si>
    <t>DHEA50-CS-IQ-IP</t>
  </si>
  <si>
    <t>DHEA50-60-CS-QT</t>
  </si>
  <si>
    <t xml:space="preserve">DHEA50-60-CS-CH   </t>
  </si>
  <si>
    <t>DHEA50-60-CS-KW</t>
  </si>
  <si>
    <t>MIKRON5-60-CS-GO</t>
  </si>
  <si>
    <t>GINKGO-60-FD</t>
  </si>
  <si>
    <t xml:space="preserve">GRAVFER-60-CS-GO </t>
  </si>
  <si>
    <t>GRAVFER-60-CS-QT</t>
  </si>
  <si>
    <t>GRAD31K-90-CS-GO</t>
  </si>
  <si>
    <t>GRAD32K-90-CS-GO</t>
  </si>
  <si>
    <t>GRAVMAG-90-CS-GO</t>
  </si>
  <si>
    <t>GRAVIS-90-CS-GO</t>
  </si>
  <si>
    <t>LARGIN-100-FD</t>
  </si>
  <si>
    <t>MAGNES-50-FD</t>
  </si>
  <si>
    <t>MAGNES500-240-FD</t>
  </si>
  <si>
    <t>MYOCALMPLS-240-CS-GO</t>
  </si>
  <si>
    <t>NAC-60-FD</t>
  </si>
  <si>
    <t xml:space="preserve">NAC-60-CS-QT  </t>
  </si>
  <si>
    <t>NERUFLX-60-FD</t>
  </si>
  <si>
    <t>NERUFLX-60-CS-CH</t>
  </si>
  <si>
    <t>OMEGA3-60-FD</t>
  </si>
  <si>
    <t>OMEGA3-60-CS-IQ-IP</t>
  </si>
  <si>
    <t>OMEGA3-60-CS-UA</t>
  </si>
  <si>
    <t>OMEGA3-60-CS-MO</t>
  </si>
  <si>
    <t>OMEGA3-40-CS-IQ</t>
  </si>
  <si>
    <t>OMEGA3-90-CS-MO</t>
  </si>
  <si>
    <t xml:space="preserve">OMEGA3-60-CS-OM </t>
  </si>
  <si>
    <t>OMEGA3-60-CS-CH</t>
  </si>
  <si>
    <t>TRIVOZA-60-CS-GO</t>
  </si>
  <si>
    <t>OME369-90-FD</t>
  </si>
  <si>
    <t>OME369-90-CS-MO</t>
  </si>
  <si>
    <t>OME369-90-CS-QT</t>
  </si>
  <si>
    <t>TRIVOZAPLS-90-CS-GO</t>
  </si>
  <si>
    <t>QWELL2-60-SG-FD</t>
  </si>
  <si>
    <t>QWELL2-60-SG-CS-IQ</t>
  </si>
  <si>
    <t xml:space="preserve">QWELL2-60-SG-CS-EG   </t>
  </si>
  <si>
    <t>QWELL4-30-SG-FD</t>
  </si>
  <si>
    <t>QWELL4-30-SG-CS-IQ-IP</t>
  </si>
  <si>
    <t>QWELL4-30-VE-FD</t>
  </si>
  <si>
    <t>QWELL4-30-VE-CS-KW</t>
  </si>
  <si>
    <t>QWELL4-30-SG-CS-TA</t>
  </si>
  <si>
    <t xml:space="preserve">QWELL4-30-SG-CS-EG </t>
  </si>
  <si>
    <t xml:space="preserve">QWELL4-30-SG-CS-CH </t>
  </si>
  <si>
    <t>RAPIDC5-100-FD</t>
  </si>
  <si>
    <t>RAPIDC1-100-FD</t>
  </si>
  <si>
    <t>ROYALJE-60-FD</t>
  </si>
  <si>
    <t>ROYALJE-60-CS-LY</t>
  </si>
  <si>
    <t>SELENIU-60-FD</t>
  </si>
  <si>
    <t xml:space="preserve">SELENIU-60-CS-QT   </t>
  </si>
  <si>
    <t xml:space="preserve">VITE-60-CS-CH   </t>
  </si>
  <si>
    <t>VITE-60-FD</t>
  </si>
  <si>
    <t>VIACAL-60-FD</t>
  </si>
  <si>
    <t>XTRAD5-60-FD</t>
  </si>
  <si>
    <t>XTRAD10-60-FD</t>
  </si>
  <si>
    <t xml:space="preserve">XTRAD10-60-CS-GR </t>
  </si>
  <si>
    <t>XTRAD10-60-CS-QT</t>
  </si>
  <si>
    <t>XTRAD25-30-FD</t>
  </si>
  <si>
    <t xml:space="preserve">XTRAD25-30-CS-QT  </t>
  </si>
  <si>
    <t>XTRAD50-SG-12-FD</t>
  </si>
  <si>
    <t>ZINC25-60-FD</t>
  </si>
  <si>
    <t>ZINC50-60-FD</t>
  </si>
  <si>
    <t>ZINC50-60-CS-KW</t>
  </si>
  <si>
    <t xml:space="preserve">ZINC25-60-CS-EG    </t>
  </si>
  <si>
    <t xml:space="preserve">ZINC50-60-CS-EG  </t>
  </si>
  <si>
    <t>ZINC50-30-CS-IQ</t>
  </si>
  <si>
    <t>TESTRON-60-FD</t>
  </si>
  <si>
    <t>Last update: 5/28/2026</t>
  </si>
  <si>
    <t>Taking Opportunities</t>
  </si>
  <si>
    <t>Product Needed</t>
  </si>
  <si>
    <t>MFSPLS-120-FD</t>
  </si>
  <si>
    <t>PRECON-180-CS-EG</t>
  </si>
  <si>
    <t xml:space="preserve">PRECON-90-CS-EG </t>
  </si>
  <si>
    <t>WFSPLS-180-CS-QT</t>
  </si>
  <si>
    <t>China</t>
  </si>
  <si>
    <t>A4458</t>
  </si>
  <si>
    <t xml:space="preserve">5/20/2025: Back order created for China A4412
11/3/2025: PediaFl removed 
1/14/2025 Documents &amp; D/Ws Sent </t>
  </si>
  <si>
    <t>F63-25.1</t>
  </si>
  <si>
    <t>D/W Sent</t>
  </si>
  <si>
    <t/>
  </si>
  <si>
    <t>A4425</t>
  </si>
  <si>
    <t xml:space="preserve">07/29/2024: Back order for China A4259 
3/20/2025: Back order from A4281 
8/22/2025: Docs &amp; D/Ws Sent  
11/7/2025: Pedia Products removed 
12/12/2025: prosta moved to A4607 
1/13/2025: Updated Documents and D/Ws Sent </t>
  </si>
  <si>
    <t>F66-22.1</t>
  </si>
  <si>
    <t>UAE</t>
  </si>
  <si>
    <t>A4624</t>
  </si>
  <si>
    <t>Under going registration in UAE                5/13/2026: UAE unable to take, exploring if other clients can take product.</t>
  </si>
  <si>
    <t xml:space="preserve">Split from UAE A4553 because product is undergoing registration </t>
  </si>
  <si>
    <t> 6/13/2025: products added from UAE A4393 
9/5/2025: 96 packs allocated to Amazon  
9/18/2025: Moved from A4445</t>
  </si>
  <si>
    <t>F115-25.0</t>
  </si>
  <si>
    <t>Kuwait</t>
  </si>
  <si>
    <t>A4562</t>
  </si>
  <si>
    <t>5/11/2026: Order on hold</t>
  </si>
  <si>
    <t>11/3/2025: 2025 Back Order for Kuwait A4505 
**MUST BE GREEN CAPSULE**</t>
  </si>
  <si>
    <t>11/3/2025: Waiting for registration   11/5/2025: Allocated 500 packs to UAE A4521</t>
  </si>
  <si>
    <t>F15-26.0</t>
  </si>
  <si>
    <t>ON HOLD</t>
  </si>
  <si>
    <t>Uganda</t>
  </si>
  <si>
    <t>A4522</t>
  </si>
  <si>
    <t>9/10/2025- Split from A4507  
10/30/2025: Documents Sent  
11/3/2025: Estimate W/Ds Sent 
12/12/2025 Documents sent 
12/21/2025 Final D/Ws Sent  
**UPDATED DOCS NEEDED**</t>
  </si>
  <si>
    <t>F64-25.0</t>
  </si>
  <si>
    <t>Picked</t>
  </si>
  <si>
    <t>5/12/2026: Allocating to Lebanon A4690.</t>
  </si>
  <si>
    <t>F73-23.0</t>
  </si>
  <si>
    <t>PO Drafted</t>
  </si>
  <si>
    <t>9/11/2025: product changed to RE 
5/14/2026: Allocate to Cyprus A4675.</t>
  </si>
  <si>
    <t>R16-22.0</t>
  </si>
  <si>
    <t>PO submitted</t>
  </si>
  <si>
    <t>F54-23.0</t>
  </si>
  <si>
    <t>F58-25.3</t>
  </si>
  <si>
    <t>F56-23.0</t>
  </si>
  <si>
    <t>12/4/2025: Moved From UgandaA4534
4/9/2026: 192 packs of Ovamax allocated to Bahrain A4685</t>
  </si>
  <si>
    <t>F41-25.0</t>
  </si>
  <si>
    <t>In Production</t>
  </si>
  <si>
    <t>4/2/2026: FERTMX-90-RE 200 packs allocated to Doreen A4678</t>
  </si>
  <si>
    <t>2/11/2026: Updated IFC to Y after IFC scrub.</t>
  </si>
  <si>
    <t>F88-25.1</t>
  </si>
  <si>
    <t>03/10/26 Product allocated to Somalia A4655</t>
  </si>
  <si>
    <t>F13-25.2</t>
  </si>
  <si>
    <t>12/4/2025: Moved From UgandaA4534</t>
  </si>
  <si>
    <t>F55-22.2</t>
  </si>
  <si>
    <t>Morocco</t>
  </si>
  <si>
    <t>A4518</t>
  </si>
  <si>
    <t xml:space="preserve">Awaiting customer update </t>
  </si>
  <si>
    <t>Sample Order: Use plain white labels with only the product name and batch number   
9/8/2025: Documents Sent 
9/29/2025: Docs &amp; D/Ws Sent  
10/17/2025: NMNH Added</t>
  </si>
  <si>
    <t>F31-23.0</t>
  </si>
  <si>
    <t>F29-25.0</t>
  </si>
  <si>
    <t>F30-25.1</t>
  </si>
  <si>
    <t>F53-14.0</t>
  </si>
  <si>
    <t>10/17/2025: Added to order</t>
  </si>
  <si>
    <t>F114-25.0</t>
  </si>
  <si>
    <t>A4637</t>
  </si>
  <si>
    <t xml:space="preserve">1/27/2025: split order from China A4520 due to registration issues 2/2/2026: Documents and D/Ws sent </t>
  </si>
  <si>
    <t xml:space="preserve">9/29/2025: Sku updated </t>
  </si>
  <si>
    <t>CN41-25.0</t>
  </si>
  <si>
    <t>Jordan</t>
  </si>
  <si>
    <t>A4646</t>
  </si>
  <si>
    <t>6/1/2026: Products arriving to AMS warehouse on 6/4/2026.</t>
  </si>
  <si>
    <t>Jordan Sample Count Order (5-day Supply)
 3/11/2026: Documents sent 
5/5/2026: D/W sent</t>
  </si>
  <si>
    <t xml:space="preserve">FIBRO-10-CS-JO  </t>
  </si>
  <si>
    <t>JO130-25.0</t>
  </si>
  <si>
    <t>Available</t>
  </si>
  <si>
    <t>WFSPLS-30-CS-JO</t>
  </si>
  <si>
    <t>JO132-25.1</t>
  </si>
  <si>
    <t>OVAMAX-20-CS-JO</t>
  </si>
  <si>
    <t>JO131-25.0</t>
  </si>
  <si>
    <t>DHEA50-5-CS-JO</t>
  </si>
  <si>
    <t>JO133-25.0</t>
  </si>
  <si>
    <t>Ethiopia</t>
  </si>
  <si>
    <t>A4591</t>
  </si>
  <si>
    <t> 12/23/2025</t>
  </si>
  <si>
    <t>11/26/2025: Back order Created for EthiopiaA4519 and A4532 to Applying for Import Permit  
12/1/2025: Skus confirmed 
1/13/2025: Documents and D/Ws sent 
**UPDATED DOCS NEEDED**</t>
  </si>
  <si>
    <t>11/26/2025: Moved 817 bottles from A4532
5/21/2026: Allocating 817 pcs to Egypt A4683.</t>
  </si>
  <si>
    <t> </t>
  </si>
  <si>
    <t>11/26/2025: Moved 77 bottles from A4532</t>
  </si>
  <si>
    <t>11/26/2025: Moved 480 bottles from A4532</t>
  </si>
  <si>
    <t>11/26/2025: Moved 720 bottles from A4532
6/1/2026: Allocating 528 bottles to Cyprus A4676.</t>
  </si>
  <si>
    <t>11/26/2025: Moved 120 bottles from A4532
5/21/2026: Allocating 120 packs to Somalia A4686</t>
  </si>
  <si>
    <t>F14-25.2</t>
  </si>
  <si>
    <t>11/26/2025: Moved 205 bottles from A4532</t>
  </si>
  <si>
    <t>11/26/2025: Moved 245 bottles from A4532
5/14/2026: allocating 245 packs to Egypt A4683</t>
  </si>
  <si>
    <t>11/26/2025: Moved 484 bottles from A4532</t>
  </si>
  <si>
    <t>11/26/2025: Moved 34 bottles from A4519</t>
  </si>
  <si>
    <t>A4534</t>
  </si>
  <si>
    <t xml:space="preserve">Q4 Order - 2025 
12/21/2025 Documents and D/Ws sent </t>
  </si>
  <si>
    <t>Greece</t>
  </si>
  <si>
    <t>A4547</t>
  </si>
  <si>
    <t xml:space="preserve">docs approved </t>
  </si>
  <si>
    <t>Q4 Order - 2025 MFSADV+Blistered *Titanium Dioxide Free labels
Will be Blistered 
2/4/2026: Documents Sent 
5/15/2026: D/W Sent
5/26/2026: Change form submitted; order will now ship in Q3</t>
  </si>
  <si>
    <t>5/26/2026: Allocating 576 packs to Cyprus A4676. Remainder (424) to be kept on order to ship Q3.</t>
  </si>
  <si>
    <t>MFSADV-120-CS-GR</t>
  </si>
  <si>
    <t>GR87-25.0</t>
  </si>
  <si>
    <t>Sudan</t>
  </si>
  <si>
    <t>A4549</t>
  </si>
  <si>
    <t>4/8/2026: Client applying for permit
5/21/2026: Awaiting feedback if client can take available 1300 packs</t>
  </si>
  <si>
    <t>Q4 - 2025 
10/17/2025: Skus confirmed 
3/18/2026 - Documents Sent
5/22/2025 - New Documents Sent</t>
  </si>
  <si>
    <t>11/10/2025: Can only Fulfill 1620 from PO A4808 
2/4/2026: Quantity decreased from 4076 to 1476. Fulfilling out of PO A4808.
5/22/2026: QTY decreased 1476 -&gt; 1300 (176 packs moved to Sudan A4697)
1300 packs to be fufilled by available QTY (runoff from 4940)
6/1/2026: QTY increased to original amount: 176 packs added from Sudan A4711 (1300 -&gt; 1476)
to be fufilled by PO 4808</t>
  </si>
  <si>
    <t>COQ400-30-VE-CS-SU</t>
  </si>
  <si>
    <t>SU58-23.0</t>
  </si>
  <si>
    <t>Transit to Warehouse</t>
  </si>
  <si>
    <t>A4561</t>
  </si>
  <si>
    <t>Q4 2025 Order  
11/5/2025: Documents and D/Ws Sent</t>
  </si>
  <si>
    <t xml:space="preserve">11/5/2025: Sku confirmed </t>
  </si>
  <si>
    <t>F78-22.0</t>
  </si>
  <si>
    <t>Iraq</t>
  </si>
  <si>
    <t>A4567</t>
  </si>
  <si>
    <t>49021225
Mfg:12/2025
Exp:12/2028                                         4/28/2026: 3360 moved to Iraq A4698.</t>
  </si>
  <si>
    <t>Q1 - 2026 Order 11/7/2025: Skus Confirmed  
11/21/2025: Products should be a fresh batch NutraStar Drop Ship 1 
2/16/2026: Several products increased qty for Case Pack size per Packing Lists from supplier. 
3/11/2026: All shipments to Iraq on hold at this time. 
4/28/2026: Discussing with US management regarding potential pickup of portion of goods.
6/8/2026: NutraStar products are ready but accounting action is needed.</t>
  </si>
  <si>
    <t>NutraStar</t>
  </si>
  <si>
    <t>F01-22.2</t>
  </si>
  <si>
    <t>49031225
Mfg:12/2025
Exp:12/2028                                                2/16/2026: Qty increased 11750 -&gt; 11760                                      5/15/2026: 4800 moved to Iraq A4704</t>
  </si>
  <si>
    <t>F11-22.1</t>
  </si>
  <si>
    <t>49061225
Mfg:12/2025
Exp:12/2028</t>
  </si>
  <si>
    <t>Nutrastar</t>
  </si>
  <si>
    <t>METRIO-60-CS-IQ</t>
  </si>
  <si>
    <t>IQ28-23.0</t>
  </si>
  <si>
    <t>49121225
Mfg:12/2025
Exp:12/2028                                         2/16/2026: Qty increased 8500 -&gt; 8520</t>
  </si>
  <si>
    <t>R94-23.0</t>
  </si>
  <si>
    <t>49131225
Mfg:12/2025
Exp:12/2028                                           2/16/2026: Qty increased 8000 -&gt; 8016                                       4/28/2026: 6816 moved to Iraq A4698</t>
  </si>
  <si>
    <t>R64-23.0</t>
  </si>
  <si>
    <t>A4632</t>
  </si>
  <si>
    <t>49081225
Mfg:12/2025
Exp:12/2028                                      2/16/2026: Qty increased 28297 -&gt; 28320                                  4/28/2026: 9360 moved to Iraq A4698</t>
  </si>
  <si>
    <t>1/22/2025: Split from IraqA4567 NutraStar Drop Ship 2
3/11/2026: All shipments to Iraq on hold at this time.
6/8/2026: NutraStar products are ready but accounting action is needed.</t>
  </si>
  <si>
    <t xml:space="preserve">Nutrastar  </t>
  </si>
  <si>
    <t>OVAMAX-60-CS-IQ</t>
  </si>
  <si>
    <t>IQ97-25.0</t>
  </si>
  <si>
    <t>49091225
Mfg:12/2025
Exp:12/2028                                    4/28/2026: 15120 moved to Iraq A4698                                     5/15/2026: 5208 moved to Iraq A4704</t>
  </si>
  <si>
    <t>PEARLY-60-CS-IQ</t>
  </si>
  <si>
    <t>IQ42-23.0</t>
  </si>
  <si>
    <t>A4633</t>
  </si>
  <si>
    <t>49071225
Mfg:12/2025
Exp:12/2028                                       4/28/2026: 15360 moved to Iraq A4698                                         5/15/2026: 5280 moved to Iraq A4704</t>
  </si>
  <si>
    <t>1/22/2025: Split from IraqA4567 NutraStar Drop Ship 3
3/11/2026: All shipments to Iraq on hold at this time.
6/8/2026: NutraStar products are ready but accounting action is needed.</t>
  </si>
  <si>
    <t>Nutrastar                                   6/4/2026: Qty adjusted to 8880 after reviewing Pallets.</t>
  </si>
  <si>
    <t>R29-24.0</t>
  </si>
  <si>
    <t xml:space="preserve">  8/18/2025: 30,000 packs moved from A4475 
9/30/2025: Moved from Iraq A4442 
1/22/2026: Moved from Iraq A4541</t>
  </si>
  <si>
    <t>MOTILMX-60-CS-IQ</t>
  </si>
  <si>
    <t>IQ31-23.0</t>
  </si>
  <si>
    <t>A4704</t>
  </si>
  <si>
    <t>49041225
Mfg:12/2025
Exp:12/2028</t>
  </si>
  <si>
    <t>Q2 2026 - Nutrastar Partial Pickup
5/18/2026: ON HOLD - Client is waiting for other shipments to clear before moving forward with a new shipment.
6/8/2026: NutraStar products are ready but accounting action is needed.</t>
  </si>
  <si>
    <t>NutraStar                                5/15/2026: From Iraq A4567.</t>
  </si>
  <si>
    <t>FIBRO-60-CS-IQ</t>
  </si>
  <si>
    <t>IQ17-23.0</t>
  </si>
  <si>
    <t>49031225
Mfg:12/2025
Exp:12/2028</t>
  </si>
  <si>
    <t>NutraStar                             5/15/2026: From Iraq A4567.</t>
  </si>
  <si>
    <t>49071225
Mfg:12/2025
Exp:12/2028</t>
  </si>
  <si>
    <t>Nutrastar                                     5/16/2026: From Iraq A4633.</t>
  </si>
  <si>
    <t>49091225
Mfg:12/2025
Exp:12/2028</t>
  </si>
  <si>
    <t>Nutrastar                              5/16/2026: From Iraq A4632.</t>
  </si>
  <si>
    <t>A4631</t>
  </si>
  <si>
    <t>49160126
Mfg: 01/2026
Exp:01/2028</t>
  </si>
  <si>
    <t xml:space="preserve">Split from IraqA4567 -- TO BE DROP Shipped From VITANE                                        3/11/2026: All shipments to Iraq on hold at this time.              </t>
  </si>
  <si>
    <t>Vitane                                    6/8/2026: Product is at Warehouse.</t>
  </si>
  <si>
    <t>F12-24.0</t>
  </si>
  <si>
    <t>47201025
Mfg: 10/2025
Exp:10/2027</t>
  </si>
  <si>
    <t>Vitane  1/29/2026: Total CoQ qty increased 8000 -&gt; 9297                     6/8/2026: Product is at Warehouse.</t>
  </si>
  <si>
    <t>49280126
Mfg:01/2026
Exp:01/2028</t>
  </si>
  <si>
    <t>Vitane  
11/17/2025: Quantity increased to meet MOQ 
1/29/2026: Total Memo Up Qty increased 5250 -&gt; 5649                          6/8/2026: Product is at Warehouse.</t>
  </si>
  <si>
    <t>F27-24.0</t>
  </si>
  <si>
    <t>47211025
Mfg:10/2025
Exp:10/2027</t>
  </si>
  <si>
    <t>Vitane                                      6/8/2026: Product is at Warehouse.</t>
  </si>
  <si>
    <t>49440126
Mfg:01/2026
Exp:01/2027</t>
  </si>
  <si>
    <t>Iceland                                           6/8/2026: Product complete but pending accounting action.</t>
  </si>
  <si>
    <t>IQ57-25.2</t>
  </si>
  <si>
    <t>49450126
Mfg:01/2026
Exp:01/2029</t>
  </si>
  <si>
    <t>QWELL4-30-SG-CS-IQ</t>
  </si>
  <si>
    <t>IQ58-24.0</t>
  </si>
  <si>
    <t>49620925
Mfg:09/2025
Exp:09/2028                                  2/19/2026: Qty decreased to 4872 per packing slip</t>
  </si>
  <si>
    <t>Genova                                  6/8/2026: Product complete.</t>
  </si>
  <si>
    <t>XTRAD50-12-SG-FD</t>
  </si>
  <si>
    <t>F95-25.0</t>
  </si>
  <si>
    <t>49460126
Mfg:01/2026
Exp:01/2029                                      2/19/2026: Qty decreased to 4500 per packing slip</t>
  </si>
  <si>
    <t>F80-25.0</t>
  </si>
  <si>
    <t>A4596</t>
  </si>
  <si>
    <t>45230325
Mfg: 03/2025
Exp: 03/2028</t>
  </si>
  <si>
    <t>Quarter 1 Order to be ready at AMS warehouse in unison with Iraq A4567
2/18/2026: Docs sent.
3/10/2026: Breakdown of Pallets / D/W's sent to Overseas.
3/11/2026: All shipments to Iraq on hold at this time.
6/8/2026: Products are ready at AMS warehouse.</t>
  </si>
  <si>
    <t>UTIC-60-FD</t>
  </si>
  <si>
    <t>F110-25.0</t>
  </si>
  <si>
    <t>48611125
Mfg:11/2025
Exp:11/2028</t>
  </si>
  <si>
    <t>F103-25.0</t>
  </si>
  <si>
    <t>45320225
Mfg: 02/2025
Exp: 02/2028</t>
  </si>
  <si>
    <t>F112-25.1</t>
  </si>
  <si>
    <t>9/30/2025: Moved from IraqA4442 2/17/2026: Moved from IraqA4541 to consolidate for shipment.</t>
  </si>
  <si>
    <t>F21-23.0</t>
  </si>
  <si>
    <t>48760725
Mfg:07/2025
Exp:07/2028</t>
  </si>
  <si>
    <t>5/22/2025: Products moved from IraqA4434 
9/30/2025: Moved from A4384
1/15/2025: Moved 1421 from Iraq A4541 
1/20/2025: 92 bottles allocated to georgia A4615
3/30/2026: qty decreased 1329 -&gt; 529 after allocating to UAE A4644</t>
  </si>
  <si>
    <t>10/29/2025: moved from IraqA4442 2/10/26: Qty increased from 5000 -&gt; 5208                                   2/17/2026: Moved from IraqA4541 to consolidate for shipment.              5/22/2026: Reduced from 5208 pcs to 4158 pcs. Allocated 1050 pcs to Egypt A4683.</t>
  </si>
  <si>
    <t>2/10/26: Qty decreased from 1500 -&gt; 953
2/17/2026: Moved from IraqA4541 to consolidate for shipment.</t>
  </si>
  <si>
    <t>48391125
Mfg:11/2025
Exp:11/2028</t>
  </si>
  <si>
    <t>9/30/2025: Moved from IraqA4442 1/15/2025: moved from IraqA4541</t>
  </si>
  <si>
    <t>F83-22.0</t>
  </si>
  <si>
    <t>1/15/2026: moved from IraqA4541                                 2/17/2026: Moved from IraqA4541 to consolidate for shipment.</t>
  </si>
  <si>
    <t>2/19/2025: Added to order - product in Inventory               2/20/2026: Reduced qty from 1453 -&gt; 1451 after re-work.</t>
  </si>
  <si>
    <t>CAVINAD-60-FD</t>
  </si>
  <si>
    <t>2/19/2025: Added to order - product in Inventory</t>
  </si>
  <si>
    <t>6/5/2026: Product added to order. In inventory.</t>
  </si>
  <si>
    <t>A4622</t>
  </si>
  <si>
    <t>2025 Back Order for IraqA4567                           3/11/2026: All shipments to Iraq on hold at this time.</t>
  </si>
  <si>
    <t>May need a specific batch number 11/20/205: Should be a fresh batch
6/8/2026: Product arriving at warehouse on 6/10/26.</t>
  </si>
  <si>
    <t>LIPODIS-60-CS-IQ</t>
  </si>
  <si>
    <t>IQ26-24.1</t>
  </si>
  <si>
    <t>1/15/2026: 1480 packs moved from IraqA4596
2/17/2026: Moved from IraqA4541 to consolidate Back Order.
6/8/2026: Product arriving at warehouse on 6/10/26.</t>
  </si>
  <si>
    <t>Botswana</t>
  </si>
  <si>
    <t>A4569</t>
  </si>
  <si>
    <t>Awaiting Import Permit Update</t>
  </si>
  <si>
    <t>Q1 - 2026 Order 
12/9/2025: Skus Confirmed 1/30/2026: Initial Documents Sent
3/12/2026: Documents &amp; D/W Sent.</t>
  </si>
  <si>
    <t>F39-24.0</t>
  </si>
  <si>
    <t>F76-25.0</t>
  </si>
  <si>
    <t>F17-25.1</t>
  </si>
  <si>
    <t>F97-25.0</t>
  </si>
  <si>
    <t>F08-25.0</t>
  </si>
  <si>
    <t>F39-22.1</t>
  </si>
  <si>
    <t>A4572</t>
  </si>
  <si>
    <t>Q1 - 2026 Order 11/20/2025: Skus confirmed
2/4/2026: Back order for UAE A4553 
3/13/2026: 200 packs of additional Magnesium removed 
4/29/2026: 720 packs of Eyecaps removed</t>
  </si>
  <si>
    <t>F03-25.1</t>
  </si>
  <si>
    <t>F15-22.1</t>
  </si>
  <si>
    <t>Not Meet MOQ</t>
  </si>
  <si>
    <t>4/15/2026: 720 packs allocated from Libya A4571
4/29/2026: 720 packs moved from UAE A4572
5/4/2026: Awaiting approval to send without IFC
5/6/2026: Moved from A4553</t>
  </si>
  <si>
    <t>PEDIAD4-50-FD</t>
  </si>
  <si>
    <t>F45-26.0</t>
  </si>
  <si>
    <t>F25-23.0</t>
  </si>
  <si>
    <t>F85-25.0</t>
  </si>
  <si>
    <t>product added on 1/12/2025</t>
  </si>
  <si>
    <t>UA84-26.0</t>
  </si>
  <si>
    <t>2/25/2026: Moved from UAE A4553. 
3/4/2026: qty reduced from 790 -&gt; 490</t>
  </si>
  <si>
    <t>R53-17.0</t>
  </si>
  <si>
    <t>2/4/2026: Moved from UAE A4572
5/4/2026: Moved back from UAE A4553</t>
  </si>
  <si>
    <t>F62-25.0</t>
  </si>
  <si>
    <t>Production Complete</t>
  </si>
  <si>
    <t>3/30/2026:
Moved from UAE A4644
5/4/2026: Moved from A4553</t>
  </si>
  <si>
    <t>UA37-25.0</t>
  </si>
  <si>
    <t>2/4/2026: Moved from UAE A4572
5/13/2026: Moved from UAE A4553</t>
  </si>
  <si>
    <t>F26-22.0</t>
  </si>
  <si>
    <t>A4574</t>
  </si>
  <si>
    <t>New Docs to be made</t>
  </si>
  <si>
    <t>Q1 2026 Order 11/18/2025: Skus confirmed 
2/2/2026: Documents Sent
**UPDATED DOCS NEEDED**</t>
  </si>
  <si>
    <t>49481225
Mfg:12/2025
Exp:12/2028                                  5/21/2026: Allocating 240 pcs to Egypt A4683.</t>
  </si>
  <si>
    <t>11/19/2025: allocated 192 packs to KSA A4566
5/11/2026: Allocating to Kenya A4699.</t>
  </si>
  <si>
    <t>11/19/2025: Fulfilled from PO4834                        5/11/2026: Allocating to Kenya A4699.</t>
  </si>
  <si>
    <t>4/9/2026: 200 packs of Ovamax allocated to Bahrain A4685</t>
  </si>
  <si>
    <t>A4575</t>
  </si>
  <si>
    <t>Q1 2026 Order **SKUS UNCONFIRMED** 2/18/2026: Documents &amp; D/W sent                   **UPDATED DOCS NEEDED**</t>
  </si>
  <si>
    <t>5/11/2026: Allocating to Kenya A4699.</t>
  </si>
  <si>
    <t>5/13/2026: Full qty (1008) allocating to Qatar A4693</t>
  </si>
  <si>
    <t>5/12/2026: Allocating to Lebanon A4690</t>
  </si>
  <si>
    <t>12/4/2025: Allocated 201 packs to A4519</t>
  </si>
  <si>
    <t xml:space="preserve">9/3/2025: Changed from SG to VE  12/4/2025: Moved from A4519 due to allocation </t>
  </si>
  <si>
    <t>F99-23.0</t>
  </si>
  <si>
    <t>Production complete</t>
  </si>
  <si>
    <t>Egypt</t>
  </si>
  <si>
    <t>A4634</t>
  </si>
  <si>
    <t xml:space="preserve">1/22/2025: Back Order created for Egypt A4563           </t>
  </si>
  <si>
    <t>2/25/2025: Moved from Egypt A4642. Backorder for excess quantities.                                     5/11/2026: UPC updated.</t>
  </si>
  <si>
    <t>EG53-26</t>
  </si>
  <si>
    <t>Chad</t>
  </si>
  <si>
    <t>A4640</t>
  </si>
  <si>
    <t>1/30/2026: Split from A4585 3/13/2026: 300 packs of Pedia Iron added from A4597</t>
  </si>
  <si>
    <t>3/13/2026: qty increased from 1500 -&gt; 1800 (300 packs moved from Chad A4597)</t>
  </si>
  <si>
    <t>PEDIAIR-50-FD</t>
  </si>
  <si>
    <t>F48-26.0</t>
  </si>
  <si>
    <t>PEDIAZI-50-FD</t>
  </si>
  <si>
    <t>F50-26.0</t>
  </si>
  <si>
    <t>11/25/2025: Qty updated</t>
  </si>
  <si>
    <t>PEDIACM-50-FD</t>
  </si>
  <si>
    <t>F44-26.0</t>
  </si>
  <si>
    <t>South Sudan</t>
  </si>
  <si>
    <t>A4586</t>
  </si>
  <si>
    <t>Q1 2026 Order 12/1/2025: Skus Confirmed 
2/12/2026: Documents sent</t>
  </si>
  <si>
    <t>2/11/2026: IFC updated to Y following IFC scrub.</t>
  </si>
  <si>
    <t>R16-22</t>
  </si>
  <si>
    <t>F17-25.0</t>
  </si>
  <si>
    <t>...</t>
  </si>
  <si>
    <t>A4592</t>
  </si>
  <si>
    <t xml:space="preserve">Q1 2026 Order to Ship ASAP 1/14/2025 Documents and D/Ws: Sent </t>
  </si>
  <si>
    <t>A4647</t>
  </si>
  <si>
    <t xml:space="preserve">Back Order for Sample Order A4593 </t>
  </si>
  <si>
    <t>PEDIAIR-50-CS-CH</t>
  </si>
  <si>
    <t>N/A</t>
  </si>
  <si>
    <t>A4610</t>
  </si>
  <si>
    <t>6/2/2026: 30% Down Payment needed.</t>
  </si>
  <si>
    <t>Q1 Order 2025 
2/12/2026:  DO NOT pack the goods on pallets before communicating with Sales Team, as it may be requested to split the order between air and sea shipments which requires specific pallet height 
3/11/2026: All shipments to Iraq on hold at this time. 
5/18/2026: Do not proceed with labeling until Client confirms the shipment.
6/8/2026: Production completed but labeling has not been started.</t>
  </si>
  <si>
    <t xml:space="preserve"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</t>
  </si>
  <si>
    <t>IQ128-26</t>
  </si>
  <si>
    <t>Product changed to ZINC50-30-CS-IQ</t>
  </si>
  <si>
    <t>IQ129-26</t>
  </si>
  <si>
    <t>A4611</t>
  </si>
  <si>
    <t>Q1 Order 2025 
1/30/2026: Initial Documents Sent 
3/12/2026: Documents &amp; D/W sent.</t>
  </si>
  <si>
    <t>F36-22.1</t>
  </si>
  <si>
    <t>A4612</t>
  </si>
  <si>
    <t>Georgia</t>
  </si>
  <si>
    <t>A4625</t>
  </si>
  <si>
    <t>1/12/2025 back order created for Georgia A4615</t>
  </si>
  <si>
    <t>( l-argine ) 
1/15/2025 moved to back order</t>
  </si>
  <si>
    <t>GO25-21.0</t>
  </si>
  <si>
    <t>Nigeria</t>
  </si>
  <si>
    <t>A4616</t>
  </si>
  <si>
    <t>waiting on import permit</t>
  </si>
  <si>
    <t xml:space="preserve">Q1 Order 2026 
 *Requires Leaflets* 
1-28-2026 Documents Sent </t>
  </si>
  <si>
    <t xml:space="preserve">1/8/2025: quanitity increased 16 bottles </t>
  </si>
  <si>
    <t>NI16-26.0</t>
  </si>
  <si>
    <t>NI30-26.0</t>
  </si>
  <si>
    <t>NI31-26.0</t>
  </si>
  <si>
    <t xml:space="preserve">1/8/2025: quanitity increased 20 bottles </t>
  </si>
  <si>
    <t>NI41-26.0</t>
  </si>
  <si>
    <t>NI73-26.0</t>
  </si>
  <si>
    <t>1/8/2025: quanitity increased 12 bottles</t>
  </si>
  <si>
    <t>NI17-26.0</t>
  </si>
  <si>
    <t>Libya</t>
  </si>
  <si>
    <t>A4617</t>
  </si>
  <si>
    <t>Waiting for Split Feedback</t>
  </si>
  <si>
    <t>Q1 Order 2026 
5/21/2026: Documents sent</t>
  </si>
  <si>
    <t>LY16-25.0</t>
  </si>
  <si>
    <t>2/13/26 - Docs sent</t>
  </si>
  <si>
    <t>LY28-24.0</t>
  </si>
  <si>
    <t>5/19/2026: Working on Docs</t>
  </si>
  <si>
    <t>LY30-24.0</t>
  </si>
  <si>
    <t>LY41-24.0</t>
  </si>
  <si>
    <t>A4706</t>
  </si>
  <si>
    <t>Back Order for Libya A4617 created 5/19/2026
6/10/2026: Documents sent</t>
  </si>
  <si>
    <t>3/4/2026 - Status changed to out of stock as 300 packs moved to UAE A4553</t>
  </si>
  <si>
    <t>LY53-24.0</t>
  </si>
  <si>
    <t>A4696</t>
  </si>
  <si>
    <t>4/27/2026:
Order made for qty split from Kuwait A4618 Sample Order
5/7/2026: Documents Sent</t>
  </si>
  <si>
    <t xml:space="preserve">Needs to be converted to green capsules </t>
  </si>
  <si>
    <t>KW09-26.0</t>
  </si>
  <si>
    <t>A4648</t>
  </si>
  <si>
    <t>EyeCaps are to be placed on hold for now. Cannot register product w/ current formula, waiting for labels.</t>
  </si>
  <si>
    <t>Split from sample order A4618 -- labels will be printed in Beirut 
6/9/2026:  EyeCaps submitted for re-classification</t>
  </si>
  <si>
    <t xml:space="preserve">Regular product with country specific labels </t>
  </si>
  <si>
    <t>EYECAP-30-CS-KW</t>
  </si>
  <si>
    <t>A4626</t>
  </si>
  <si>
    <t>1/15/2026: Client needs this ASAP
3/11/2026: All shipments to Iraq on hold at this time.
6/8/2026: PO has not been submitted to vendor as Client is on hold.</t>
  </si>
  <si>
    <t>F09-25.0</t>
  </si>
  <si>
    <t>Somalia</t>
  </si>
  <si>
    <t>A4708</t>
  </si>
  <si>
    <t>Back Order for Somalia A4686 created 5/21/2026
6/10/2026: Documents sent</t>
  </si>
  <si>
    <t>5/21/2026: 1320 packs moved from Somalia A4686</t>
  </si>
  <si>
    <t>Qatar</t>
  </si>
  <si>
    <t>A4693</t>
  </si>
  <si>
    <t>Q2 Order - 2026 
Order split from Qatar A4651 on 4/23/2026
5/13/2026: Documents sent</t>
  </si>
  <si>
    <t>5/13/2026: qty decreased 
1052 -&gt; 1008 (44 packs moved to UAE A4701)
1008 packs fufilled by Ethiopia A4575</t>
  </si>
  <si>
    <t>MFSPLS-120-CS-QT</t>
  </si>
  <si>
    <t>QT30-24.0</t>
  </si>
  <si>
    <t>MOTILMX-60-CS-QT</t>
  </si>
  <si>
    <t>QT31-24.0</t>
  </si>
  <si>
    <t>A4701</t>
  </si>
  <si>
    <t>Back Order for Qatar A4693 created 5/13/2026</t>
  </si>
  <si>
    <t>5/13/2026: 44 packs moved from Qatar A4693</t>
  </si>
  <si>
    <t>KSA</t>
  </si>
  <si>
    <t>A4654</t>
  </si>
  <si>
    <t>5/7/2026: working on revised docs</t>
  </si>
  <si>
    <t>Q2 Order -2026
4/1/2026: Documents Sent
5/8/2026: Revised Docs Sent
5/26/2026: 
*NEW QUANTITIES MAY BE ADDED*</t>
  </si>
  <si>
    <t>F42-22.0</t>
  </si>
  <si>
    <t>6/8/2026: quantity increased 
240 -&gt; 400 (160 packs added)</t>
  </si>
  <si>
    <t>F24-25.1</t>
  </si>
  <si>
    <t>F72-25.0</t>
  </si>
  <si>
    <t>Extra run off 
4/22/2026 - Product added back from KSA A4679</t>
  </si>
  <si>
    <t>F12-26.0</t>
  </si>
  <si>
    <t>5/7/2026: Moved from KSA A4679</t>
  </si>
  <si>
    <t>A4679</t>
  </si>
  <si>
    <t>Q2 Order - 2026
3/31/2026: Back Order made for KSA A4654
5/7/2026: MFS Plus moved to KSA A4654</t>
  </si>
  <si>
    <t>F87-25.0</t>
  </si>
  <si>
    <t>take from Iraq A4631?</t>
  </si>
  <si>
    <t>F27-26.0</t>
  </si>
  <si>
    <t>F61-22.1</t>
  </si>
  <si>
    <t>PEDIAFL-50-FD</t>
  </si>
  <si>
    <t>F47-24.1</t>
  </si>
  <si>
    <t>PEDIABS-50-FD</t>
  </si>
  <si>
    <t>F43-25.0</t>
  </si>
  <si>
    <t>A4658</t>
  </si>
  <si>
    <t>4/1/2026: DHEA 25 and Rapid C Moved to China A4680</t>
  </si>
  <si>
    <t>Q2 Order - 2026
4/1/2026:
**Do not pack together. Awaiting client confirmation for shipment grouping.**</t>
  </si>
  <si>
    <t>F57-25.3</t>
  </si>
  <si>
    <t>A4659</t>
  </si>
  <si>
    <t>F28-25.0</t>
  </si>
  <si>
    <t>CN30-24.0</t>
  </si>
  <si>
    <t>F55-22.0</t>
  </si>
  <si>
    <t>F103-26.0</t>
  </si>
  <si>
    <t>A4680</t>
  </si>
  <si>
    <t>Q2 Order - 2026
*First batch of Products from China Q2 Orders seperated for shipment*
4/1/2026: Documents Sent</t>
  </si>
  <si>
    <t>4/1/2026: Moved from China A4658</t>
  </si>
  <si>
    <t>F59-25.0</t>
  </si>
  <si>
    <t>A4668</t>
  </si>
  <si>
    <t>Extra Kuwait Quantities:
536 bottles of Osteo Plus
945 bottles of Keto Lean
(Awaiting feedback if client can take)
5/21/2026: Client cannot take extra quantities</t>
  </si>
  <si>
    <t>Q2 Order - 2026 
*MUST BE GREEN CAPSULES*</t>
  </si>
  <si>
    <t>GREEN CAPSULES (NO TITANIUM DIOXIDE)</t>
  </si>
  <si>
    <t>KW41-24.0</t>
  </si>
  <si>
    <t>KW31-24.2</t>
  </si>
  <si>
    <t>Lot: 47080326</t>
  </si>
  <si>
    <t>KW11-25.0</t>
  </si>
  <si>
    <t>Lot: 49030326</t>
  </si>
  <si>
    <t>KW13-25.0</t>
  </si>
  <si>
    <t>3/25/2026:
qty changed 1,000 -&gt; 1,500
(500 packs added from Kuwait A4587)</t>
  </si>
  <si>
    <t>37-25.0</t>
  </si>
  <si>
    <t>3/26/2026: Item added from Kuwait A4587</t>
  </si>
  <si>
    <t xml:space="preserve">Kuwait </t>
  </si>
  <si>
    <t>3/31/2026: Item added to order
4/3/2026: Awaiting TD confirmation
4/16/2026: *PRODUCT TO CONTAIN NO TITANIUM DIOXIDE*
6/10/2026: * Approved to send without IFC's *</t>
  </si>
  <si>
    <t>ait</t>
  </si>
  <si>
    <t>Rework</t>
  </si>
  <si>
    <t>A4672</t>
  </si>
  <si>
    <t>Q3 Order - 2026 
Requested shipment 2nd week of July 2026. 
5/6/2026: Docs / D/W's sent</t>
  </si>
  <si>
    <t>OVAMAX-120-CS-GR</t>
  </si>
  <si>
    <t>GR41-25.1</t>
  </si>
  <si>
    <t>METRIO-60-CS-GR</t>
  </si>
  <si>
    <t>GR28-25.0</t>
  </si>
  <si>
    <t>PEARLY-60-CS-GR</t>
  </si>
  <si>
    <t>GR42-25.0</t>
  </si>
  <si>
    <t>PEDIAMU-50-FD</t>
  </si>
  <si>
    <t>F49-26.0</t>
  </si>
  <si>
    <t>A4673</t>
  </si>
  <si>
    <t>Q3 Order - 2026 
Requested shipment 4th wk of August 2026. 
5/6/2026: Docs / D/W's sent</t>
  </si>
  <si>
    <t>FIBRO-60-CS-GR</t>
  </si>
  <si>
    <t>GR17-25.0</t>
  </si>
  <si>
    <t>XTRAD10-60-CS-GR</t>
  </si>
  <si>
    <t>GR76-25.0</t>
  </si>
  <si>
    <t>PENAMAX-60-GE-CS-GR</t>
  </si>
  <si>
    <t>GR88-25.0</t>
  </si>
  <si>
    <t>A4674</t>
  </si>
  <si>
    <t>Q3 Order - 2026 
Requested shipment 1st wk of August 2026.</t>
  </si>
  <si>
    <t xml:space="preserve">MFS Plus capsules blistered </t>
  </si>
  <si>
    <t>Cyprus</t>
  </si>
  <si>
    <t>A4676</t>
  </si>
  <si>
    <t>Q3 Order - 2026 
Requested shipment 3rd wk of July 2026.</t>
  </si>
  <si>
    <t>6/1/2026: Allocating 528 pcs from Ethiopia A4591.</t>
  </si>
  <si>
    <t>FERTNOM-90-CS-CY</t>
  </si>
  <si>
    <t>CY16-25.0</t>
  </si>
  <si>
    <t>MFS Plus capsules blistered              5/26/26: Allocating from Greece A4547.</t>
  </si>
  <si>
    <t>MOTILMX-60-CS-GR</t>
  </si>
  <si>
    <t>GR31-25.0</t>
  </si>
  <si>
    <t>A4681</t>
  </si>
  <si>
    <t>4/2/2026: Proforma Approved.</t>
  </si>
  <si>
    <t>Q2 Order - 2026
4/3/2026: Documents Sent</t>
  </si>
  <si>
    <t>A4683</t>
  </si>
  <si>
    <t xml:space="preserve">4/7/2026: Pro Forma Invoice approved.                          </t>
  </si>
  <si>
    <t>Q2 Order - 2026                        5/19/2026: Needed by mid-June.</t>
  </si>
  <si>
    <t> 5/11/2026: UPC updated.
5/21/2026: Allocating 817 pcs from Ethiopia A4591, + 240 pcs from Uganda A4574. Reducing quantity on this order to 1057 pcs - remaining 2093 pcs will move to Backorder.</t>
  </si>
  <si>
    <t>MFSPLS-120-CS-EG</t>
  </si>
  <si>
    <t>EG30-26.0</t>
  </si>
  <si>
    <t> 5/11/2026: UPC updated.</t>
  </si>
  <si>
    <t>WFSPLS-180-CS-EG</t>
  </si>
  <si>
    <t>EG73-26.0</t>
  </si>
  <si>
    <t> 5/11/2026: UPC updated.
5/14/2026: Allocating 192 from Uganda A4522, 200 from Uganda A4574, 1500 from Libya A4692, 1758 from Sudan A4697, and 480 from Ethiopia A4591. ~100 pcs in stock. Qty reduced from 5775 -&gt; 4230.
5/18/2026: Reserving 100pcs for Ecommerce. Reduced to 4130 pcs.</t>
  </si>
  <si>
    <t>OVAMAX-120-CS-EG</t>
  </si>
  <si>
    <t>EG41-26.0</t>
  </si>
  <si>
    <t xml:space="preserve"> 5/11/2026: UPC updated.              5/13/2026: Reducing line by 48; issue with bottle quality.              </t>
  </si>
  <si>
    <t>EG55-26.0</t>
  </si>
  <si>
    <t> 5/11/2026: UPC updated.         5/14/2026: Allocating 245 from Ethiopia A4591 and 50 from Uganda A4522.                                         6/1/2026: Qty reduced to 261 - only 16/50 bottles were usable from Uganda allocation.</t>
  </si>
  <si>
    <t>MOTILMX-60-CS-EG</t>
  </si>
  <si>
    <t>EG31-26.0</t>
  </si>
  <si>
    <t xml:space="preserve">4/6/2026: SKU changed from WFSPLS-180-CS-EG to WFSPLS-90-CS-EG  </t>
  </si>
  <si>
    <t>EG72-25.0</t>
  </si>
  <si>
    <t>Ride on back of Bulk MFS order       5/11/2026: UPC updated.</t>
  </si>
  <si>
    <t>MFSPLS-60-CS-EG</t>
  </si>
  <si>
    <t>EG29-26.0</t>
  </si>
  <si>
    <t>5/14/2026: Allocate 1050 pcs from Iraq A4596.</t>
  </si>
  <si>
    <t>QWELL2-60-SG-CS-EG</t>
  </si>
  <si>
    <t>EG57-26.0</t>
  </si>
  <si>
    <t>5/21/2026: Moved from Egypt A4634.</t>
  </si>
  <si>
    <t>UTIC-60-CS-EG</t>
  </si>
  <si>
    <t>EG110-26.0</t>
  </si>
  <si>
    <t>A4709</t>
  </si>
  <si>
    <t>Backorder for Egypt A4683.</t>
  </si>
  <si>
    <t>5/21/2026: Moved 2093 pcs to backorder from Egypt A4683.</t>
  </si>
  <si>
    <t> EG30-26.0</t>
  </si>
  <si>
    <t>A4687</t>
  </si>
  <si>
    <t>4/9/2026: Awaiting Proforma Invoice Confirmation</t>
  </si>
  <si>
    <t>Q2 Order - 2026
5/7/2026: New FOC quantities added</t>
  </si>
  <si>
    <t>4/27/2026: SKU changed to PENAMAX-60-GE-FD
4/30/2026: SKU changed to PENAMAX-60-GE-CS-CH (PENNAMAX-60-VE-LAB-CS-CH MUST BE USED)
5/7/2026: VE Chad labels confirmed
qty increased from 240 → 277</t>
  </si>
  <si>
    <t xml:space="preserve"> PENAMAX-60-GE-CS-CH (PENNAMAX-60-VE-LAB-CS-CH)</t>
  </si>
  <si>
    <t>CH51-21.0</t>
  </si>
  <si>
    <t>4/15/2026: Proforma Invoice Confirmed</t>
  </si>
  <si>
    <t>5/7/2026: qty increased from 1200 → 1290</t>
  </si>
  <si>
    <t>OSTEOPL-96-CS-CH</t>
  </si>
  <si>
    <t>CH39-21.0</t>
  </si>
  <si>
    <t>5/7/2026: qty increased from 240 → 270</t>
  </si>
  <si>
    <t>DHEA50-60-CS-CH</t>
  </si>
  <si>
    <t>CH13-21.0</t>
  </si>
  <si>
    <t>5/7/2026: qty increased from 600 → 636</t>
  </si>
  <si>
    <t>WFSPLS-180-CS-CH</t>
  </si>
  <si>
    <t>CH73-21.0</t>
  </si>
  <si>
    <t>Out of Stock</t>
  </si>
  <si>
    <t>5/7/2026: qty increased from 720 → 780</t>
  </si>
  <si>
    <t>MFSPLS-120-CS-CH</t>
  </si>
  <si>
    <t>CH30-21.0</t>
  </si>
  <si>
    <t>4/14/2026: SKU changed to FD
5/7/2026: qty increased from 1250 → 1351</t>
  </si>
  <si>
    <t>CH18-26.0</t>
  </si>
  <si>
    <t>Cannot take available lot (45130425)
5/7/2026: qty increased from 1000 → 1125</t>
  </si>
  <si>
    <t>F49-24.1</t>
  </si>
  <si>
    <t>5/7/2026: qty increased from 2000 → 2100</t>
  </si>
  <si>
    <t>4/14/2026: SKU changed to FD
5/7/2026: qty increased from 480 → 504</t>
  </si>
  <si>
    <t>F37-26.0</t>
  </si>
  <si>
    <t>4/14/2026: SKU changed to FD
5/7/2026: qty increased from 360 → 378</t>
  </si>
  <si>
    <t>4/14/2026: SKU changed to FD
5/7/2026: qty increased from 
60 → 63</t>
  </si>
  <si>
    <t>4/14/2026: SKU changed to FD
5/7/2026: qty increased from 120 → 126</t>
  </si>
  <si>
    <t>F90-25.0</t>
  </si>
  <si>
    <t>5/7/2026: Product added</t>
  </si>
  <si>
    <t>FIBRO-60-CS-CH</t>
  </si>
  <si>
    <t>CH17-21.0</t>
  </si>
  <si>
    <t>OVAMAX-120-CS-CH</t>
  </si>
  <si>
    <t>CH41-21.0</t>
  </si>
  <si>
    <t>PRECON-180-CS-CH</t>
  </si>
  <si>
    <t>CH55-21.0</t>
  </si>
  <si>
    <t>QWELL4-30-SG-CS-CH</t>
  </si>
  <si>
    <t>CH58-21.0</t>
  </si>
  <si>
    <t>VITAE4-60-CS-CH</t>
  </si>
  <si>
    <t>CH68-21.0</t>
  </si>
  <si>
    <t>CH10-26.0</t>
  </si>
  <si>
    <t>A4688</t>
  </si>
  <si>
    <t>4/15/2026: Awaiting Proforma Confirmation                                          4/20/2026: Proforma Invoice Confirmed</t>
  </si>
  <si>
    <t>Q2 Order - 2026
* DO NOT PROCEED WITH PRINTING LABELS/IFCs. NEW LABELS/IFCs TO BE UPLOADED *
* ORDER TO BE FUFILLED BY IRAQ A4610 * 
*PRODUCTS NEED 3 YR SHELF LIFE*</t>
  </si>
  <si>
    <t>6 Total Pallets = 
2244 bottles per pallet
5/4/2026: use the new label and IFC design</t>
  </si>
  <si>
    <t>MO116-26.0</t>
  </si>
  <si>
    <t>*Awaiting Down Payment*</t>
  </si>
  <si>
    <t>5/4/2026: use the old IFC (CS Morocco IFC 25.1 version already available) with the new label design
5/8/2026: Qty decresead 
6,732 → 4,496</t>
  </si>
  <si>
    <t>MO37-26.0</t>
  </si>
  <si>
    <t>Lebanon</t>
  </si>
  <si>
    <t>A4690</t>
  </si>
  <si>
    <t>4/20/2026: Awaiting Pro Forma Confirmation.
5/5/2026: Labels are on server. Updating order with CS SKUs then re-sending Pro Forma for approval.
5/8/2026: Removed from Sales Action Needed; Pro Forma confirmed.</t>
  </si>
  <si>
    <t>Q2 Order - 2026                       5/22/2026: Docs + D/W's sent.</t>
  </si>
  <si>
    <t>4/21/2026: Some SKUs will be CS. Awaiting SKU confirmation.                    4/30/2026: Updated to MFSPLS-120-CS-LB                      5/14/2026: UPC updated.</t>
  </si>
  <si>
    <t>LB30-26.0</t>
  </si>
  <si>
    <t>4/30/2026: Updated to MOTILMX-60-CS-LB                      5/14/2026: UPC updated.</t>
  </si>
  <si>
    <t>LB31-26.0</t>
  </si>
  <si>
    <t>4/30/2026: Updated to SPERMCT-60-CS-LB                      5/14/2026: UPC updated.</t>
  </si>
  <si>
    <t>LB64-26.0</t>
  </si>
  <si>
    <t>4/30/2026: Updated to WFSPLS-180-CS-LB
5/12/2026: Allocating from Uganda A4522 (120 pcs), Ethiopia A4575 (120 pcs), China A4659 (110 pcs). Reduced qty 385 -&gt; 350.
5/14/2026: UPC updated.</t>
  </si>
  <si>
    <t>LB73-26.0</t>
  </si>
  <si>
    <t>4/30/2026: Updated to OVAMAX-120-CS-LB                      5/14/2026: UPC updated.</t>
  </si>
  <si>
    <t>LB41-26.0</t>
  </si>
  <si>
    <t>4/30/2026: Updated to PRECON-180-CS-LB
5/12/2026: Allocating from Ethiopia A4575 (165 pcs).
5/14/2026: UPC updated.
5/19/2026: Qty reduced 165 -&gt; 161.
6/1/2026: Amended "Suggested Use" needed.                                  6/9/2026: Estimated completion - Monday 6/15/2026</t>
  </si>
  <si>
    <t>LB55-26.0</t>
  </si>
  <si>
    <t>A4691</t>
  </si>
  <si>
    <t>4/21/2026: Awaiting Pro Forma Confirmation.                                   4/28/2026: Proforma Approved.         5/4/2026: Generated Lot Code for COQ runoff arriving Wednesday. No Memoup in stock, need to make plan for this product.</t>
  </si>
  <si>
    <t>5/25/2026: Products need to be marked with a 3-year shelf life.</t>
  </si>
  <si>
    <t>Runoff w/ Lot Code 49160126 arriving Wednesday - change lot to 25110126</t>
  </si>
  <si>
    <t>5/11/2026: Allocate from Iraq A4631. Arriving 5/14/2026.</t>
  </si>
  <si>
    <t>New lot is needed - 25121025</t>
  </si>
  <si>
    <t>A4692</t>
  </si>
  <si>
    <t>4/22/2026: Awaiting Proforma Confirmation</t>
  </si>
  <si>
    <t>Q2 Order - 2026
*LC ORDER*</t>
  </si>
  <si>
    <t>LY16-24.0/25.0</t>
  </si>
  <si>
    <t>4/24/2026: Proforma Approved</t>
  </si>
  <si>
    <t>LY17-24.0</t>
  </si>
  <si>
    <t>LY31-26.0</t>
  </si>
  <si>
    <t>LY73-24.0</t>
  </si>
  <si>
    <t>LY64-24.0</t>
  </si>
  <si>
    <t>GRAVFER-90-CS-GO</t>
  </si>
  <si>
    <t>GO21-24.0</t>
  </si>
  <si>
    <t xml:space="preserve">UTIC-60-FD </t>
  </si>
  <si>
    <t>F107-25.0</t>
  </si>
  <si>
    <t>4/23/2026: SKU changed from FD to CS - *Use new labels uploaded*
5/4/2026: Awaiting Formula Confirmation
5/6/2026: Available formula confirmed</t>
  </si>
  <si>
    <t>LY112-26.0</t>
  </si>
  <si>
    <t>Pending Picking</t>
  </si>
  <si>
    <t>A4694</t>
  </si>
  <si>
    <t>4/23/2026: Awaiting Proforma Confirmation
4/24/2026: Proforma Approved</t>
  </si>
  <si>
    <t>Q2 Order - 2026</t>
  </si>
  <si>
    <t>PEDIAD4-50-CS-QT</t>
  </si>
  <si>
    <t>F45-25.0</t>
  </si>
  <si>
    <t>A4695</t>
  </si>
  <si>
    <t>4/27/2026: Awaiting Proforma Confirmation
4/28/2026: Proforma Approved
5/1/2026: Checking with Maya if Lot Codes are usable for this order.
5/4/2026: Lot Codes are reviewed. 60ct needs new Lot Code. Removed from Sales Action Needed.</t>
  </si>
  <si>
    <t>Q2 Order - 2026
**Samples for Registration** 
**Products need UNIQUE Lot Code**
5/11/2026: Docs &amp; D/W Sent</t>
  </si>
  <si>
    <t>Lot 49350126</t>
  </si>
  <si>
    <t>R30-26.0</t>
  </si>
  <si>
    <t>Change lot to 25031225 for customs.</t>
  </si>
  <si>
    <t>A4697</t>
  </si>
  <si>
    <t>4/27/2026: Awaiting Proforma Confirmation
4/28/2026: Proforma Approved</t>
  </si>
  <si>
    <t>R73-22.0</t>
  </si>
  <si>
    <t>R55-22.0</t>
  </si>
  <si>
    <t>5/22/2026: QTY increased 
2246 -&gt; 2422 (176 packs added from Sudan A4549)
5/26/2026: Qty changed to original 
2422 -&gt; 2246 packs (176 packs moved to Sudan A4711)</t>
  </si>
  <si>
    <t>R41-22.0</t>
  </si>
  <si>
    <t>Kenya</t>
  </si>
  <si>
    <t>A4699</t>
  </si>
  <si>
    <t>5/11/2026: Awaiting Pro Forma confirmation.                                         5/11/2026: Reduced qty to 488 pcs; removed from Sales Action Needed.                                            5/12/2026: Docs + D/W Sent</t>
  </si>
  <si>
    <t>Q2 Order - 2026
5/11/2026: Order is urgent.
5/12/2026: Docs / D/W sent.</t>
  </si>
  <si>
    <t>5/11/2026: Allocate 288 from Ethiopia A4575 + 200 from Uganda A4574.</t>
  </si>
  <si>
    <t>A4700</t>
  </si>
  <si>
    <t>5/11/2026: Awaiting Pro Forma confirmation.                                     5/14/2026: Pro Forma Invoice approved. Removed from Sales Action Needed.</t>
  </si>
  <si>
    <t>F53-24.0</t>
  </si>
  <si>
    <t>A4702</t>
  </si>
  <si>
    <t>5/14/2026: Pro Forma Invoice sent.           5/18/2026: Pro Forma approved. Removed from Sales Action Needed.</t>
  </si>
  <si>
    <t>Q3 Order - 2026</t>
  </si>
  <si>
    <t>A4705</t>
  </si>
  <si>
    <t>5/18/2026: Awaiting Pro Forma Approval.                                    5/19/2026: Pro Forma approved.</t>
  </si>
  <si>
    <t>Bulk Production Complete</t>
  </si>
  <si>
    <t>Bahrain</t>
  </si>
  <si>
    <t>A4707</t>
  </si>
  <si>
    <t>5/20/2026: Awaiting Proforma Approval
5/21/2026: Proforma approved</t>
  </si>
  <si>
    <t>Q2 Order - 2026
5/27/2026: Documents sent</t>
  </si>
  <si>
    <t>BN31-25.0</t>
  </si>
  <si>
    <t>Tanzania</t>
  </si>
  <si>
    <t>A4710</t>
  </si>
  <si>
    <t>5/21/2026: Awaiting Proforma Approval</t>
  </si>
  <si>
    <t>TA73-26.0</t>
  </si>
  <si>
    <t>5/22/2026: Proforma approved</t>
  </si>
  <si>
    <t>TA55-26.0</t>
  </si>
  <si>
    <t>TA16-26.0</t>
  </si>
  <si>
    <t>TA41-26.0</t>
  </si>
  <si>
    <t>TA58-26.0</t>
  </si>
  <si>
    <t>A4712</t>
  </si>
  <si>
    <t>6/4/2026: Awaiting Proforma Approval</t>
  </si>
  <si>
    <t>6/5/2026: Proforma approved</t>
  </si>
  <si>
    <t>UA41-25.0</t>
  </si>
  <si>
    <t xml:space="preserve">ZINC25-60-FD </t>
  </si>
  <si>
    <t>F79-25.0</t>
  </si>
  <si>
    <t>A4713</t>
  </si>
  <si>
    <t>6/8/2026: Qty may increase, checking availability.                      6/9/2026: Qty increased from 200 pcs to 300 pcs.</t>
  </si>
  <si>
    <t>A4714</t>
  </si>
  <si>
    <t>6/8/2026: Awaiting Proforma Approval</t>
  </si>
  <si>
    <t>Q2 Order - 2026
** AWAITING LABEL CONFIRMATION, DO NOT START LABELING PRINTING PROCESS **</t>
  </si>
  <si>
    <t>SPERMCT-60-CS-QT</t>
  </si>
  <si>
    <t>6/9/2026: Proforma approved</t>
  </si>
  <si>
    <t>6/9/2026: Awaiting confirmation for labels</t>
  </si>
  <si>
    <t>METRIO-60-CS-QT</t>
  </si>
  <si>
    <t>6/11/2026: Can take 66 packs from Amazon reserves + 60 from available lot</t>
  </si>
  <si>
    <t>6/11/2026: Client can take old formula containing Citrus Bioflavonoids</t>
  </si>
  <si>
    <t>A4715</t>
  </si>
  <si>
    <t>ROYALPL-30-CS-QT</t>
  </si>
  <si>
    <t>OVAMANM-120-CS-QT</t>
  </si>
  <si>
    <t>PRECON-90-CS-QT</t>
  </si>
  <si>
    <t>A4716</t>
  </si>
  <si>
    <t>6/9/2026: Awaiting Proforma Approval</t>
  </si>
  <si>
    <t>6/10/2026: Proforma approved</t>
  </si>
  <si>
    <t>PENAMAX-60-GE-CS-SU</t>
  </si>
  <si>
    <t>A4717</t>
  </si>
  <si>
    <t>6/10/2026: Awaiting Proforma Approval</t>
  </si>
  <si>
    <t>Sample Order
* AWAITING FINALIZED CS LABELS TO BE UPLOADED *</t>
  </si>
  <si>
    <t>PROSTA-90-CS-TA</t>
  </si>
  <si>
    <t>METRIO-60-CS-TA</t>
  </si>
  <si>
    <t>FIBRO-60-CS-TA</t>
  </si>
  <si>
    <t>UTIC-60-CS-TA</t>
  </si>
  <si>
    <t>ROYALPL-30-CS-TA</t>
  </si>
  <si>
    <t>MOTILMX-60-CS-TA</t>
  </si>
  <si>
    <t>POLYSIT-90-CS-TA</t>
  </si>
  <si>
    <t>SPERMCT-60-CS-TA</t>
  </si>
  <si>
    <t>Amazon FBA</t>
  </si>
  <si>
    <t>FBA 42</t>
  </si>
  <si>
    <t>Backorder for FBA 41</t>
  </si>
  <si>
    <t>1PK</t>
  </si>
  <si>
    <t>LARGINE-100-FD</t>
  </si>
  <si>
    <t>2PK</t>
  </si>
  <si>
    <t>Amazon AWD</t>
  </si>
  <si>
    <t>AWD 13</t>
  </si>
  <si>
    <t>WFS Plus 90ct</t>
  </si>
  <si>
    <t>Created from FBA 42 &amp; AWD Backorder. Prepare for pickup by end of June.</t>
  </si>
  <si>
    <t>1PK                                    6/8/2026: moved from AWD Backorder.</t>
  </si>
  <si>
    <t>MFS Plus 120ct</t>
  </si>
  <si>
    <t>1PK                                 6/8/2026: Moved from AWD Backorder.</t>
  </si>
  <si>
    <t>Ovamax 120ct (from AWD 11)</t>
  </si>
  <si>
    <t>1PK 
4/10/2026: qty decreased 600 -&gt; 240                                   6/8/2026: Moved from AWD Backorder.</t>
  </si>
  <si>
    <t>MFS Plus 60ct (from AWD 11)</t>
  </si>
  <si>
    <t>1PK 
4/10/2026: qty decreased 144 -&gt; 72                                          6/8/2026: Moved from AWD Backorder.</t>
  </si>
  <si>
    <t>1PK                                6/11/2026: Moved from FBA42</t>
  </si>
  <si>
    <t>1PK                                    6/11/2026: Moved from FBA42</t>
  </si>
  <si>
    <t>AWD Backorder</t>
  </si>
  <si>
    <t>L-Arginine 1,000mg 100ct</t>
  </si>
  <si>
    <t>PediaWell D-400 50mL</t>
  </si>
  <si>
    <t>PediaWell D-800 50mL</t>
  </si>
  <si>
    <t>PEDIAD8-50-FD</t>
  </si>
  <si>
    <t>Fertilimax 90ct (from AWD 11)</t>
  </si>
  <si>
    <t>Advanced Thyroid 60ct (from AWD 11)</t>
  </si>
  <si>
    <t>Column5</t>
  </si>
  <si>
    <t>12/15 D/W Sent</t>
  </si>
  <si>
    <t>NA</t>
  </si>
  <si>
    <t>604776735762</t>
  </si>
  <si>
    <t>complete</t>
  </si>
  <si>
    <t>Approved 01/16/26</t>
  </si>
  <si>
    <t>01/13 D/W Sent</t>
  </si>
  <si>
    <t>609788968160</t>
  </si>
  <si>
    <t>Approved</t>
  </si>
  <si>
    <t>01/20 D/W Sent</t>
  </si>
  <si>
    <t>Y</t>
  </si>
  <si>
    <t>HOLD</t>
  </si>
  <si>
    <t>MOQ 5000</t>
  </si>
  <si>
    <t>Replaced with different lot</t>
  </si>
  <si>
    <t>NS</t>
  </si>
  <si>
    <t>VC</t>
  </si>
  <si>
    <t>GN. Manufacturing delay; new ETA 8/16/2026, prior ETA 7/17/2026.</t>
  </si>
  <si>
    <t>GN.</t>
  </si>
  <si>
    <t>609788968214</t>
  </si>
  <si>
    <t>Delayed</t>
  </si>
  <si>
    <t>GN. Running 7/28/2026; last ETA 7/22/2026.</t>
  </si>
  <si>
    <t>D/W sent on 9/12/25</t>
  </si>
  <si>
    <t>NEW D/W sent on 10/20/25</t>
  </si>
  <si>
    <t>810131192990</t>
  </si>
  <si>
    <t>01/14 D/W Sent</t>
  </si>
  <si>
    <t>604776740056</t>
  </si>
  <si>
    <t>06/22 D/W Sent</t>
  </si>
  <si>
    <t>SAMPLE</t>
  </si>
  <si>
    <t>Complete</t>
  </si>
  <si>
    <t>GN. Running 7/28/2026; last ETA 7/17/2026.</t>
  </si>
  <si>
    <t>D/W sent on 12/22/25</t>
  </si>
  <si>
    <t>REPLACED WITH NEW LOT</t>
  </si>
  <si>
    <t>300000bulk</t>
  </si>
  <si>
    <t>TBD</t>
  </si>
  <si>
    <t>Bulk PO submitted, pending ETA from vendor</t>
  </si>
  <si>
    <t>12//25/25</t>
  </si>
  <si>
    <t>609788968245</t>
  </si>
  <si>
    <t>Held @ Nutrastar</t>
  </si>
  <si>
    <t>609788968894</t>
  </si>
  <si>
    <t>Held @ Iceland</t>
  </si>
  <si>
    <t>604776737971</t>
  </si>
  <si>
    <t>Waiting for product release</t>
  </si>
  <si>
    <t>609788968030</t>
  </si>
  <si>
    <t>810131192983</t>
  </si>
  <si>
    <t>810131192907</t>
  </si>
  <si>
    <t>BULK PO A4758</t>
  </si>
  <si>
    <t>Labeled</t>
  </si>
  <si>
    <t xml:space="preserve">810131199258
</t>
  </si>
  <si>
    <t>810131199449</t>
  </si>
  <si>
    <t>801131193058</t>
  </si>
  <si>
    <t>GN. Manufacturing delay; last ETA 7/24/2026.</t>
  </si>
  <si>
    <t>GN. Packing 7/29/26; last ETA 7/22/2026.</t>
  </si>
  <si>
    <t>GN. Packing 7/30/26; last ETA 7/23/2026.</t>
  </si>
  <si>
    <t>Pending receiving</t>
  </si>
  <si>
    <t xml:space="preserve">Take from Iraq? </t>
  </si>
  <si>
    <t>Pending Conversion</t>
  </si>
  <si>
    <t>ETA Delivery 07/28</t>
  </si>
  <si>
    <t>609788968122</t>
  </si>
  <si>
    <t>Extra bulk at iceland. Pending release</t>
  </si>
  <si>
    <t>16,848 DELIVERY ETA 07/31
16,493 DELIVERY ETA 08/05</t>
  </si>
  <si>
    <t>609788968535</t>
  </si>
  <si>
    <t>Convert</t>
  </si>
  <si>
    <t>609788968665</t>
  </si>
  <si>
    <t>300000 bulk</t>
  </si>
  <si>
    <t>810131192 532</t>
  </si>
  <si>
    <t>New Supplier Needed. Old PO 4977</t>
  </si>
  <si>
    <t>New Supplier Needed. Old PO 4978</t>
  </si>
  <si>
    <t>New Supplier Needed. Old PO 4979</t>
  </si>
  <si>
    <t>New Supplier Needed. Old PO 4980</t>
  </si>
  <si>
    <t>label and sku non existent</t>
  </si>
  <si>
    <t>Pending shipment confirmation before labeling / production is complete. NO IFC'S.</t>
  </si>
  <si>
    <t>604776738114</t>
  </si>
  <si>
    <t>604776738121</t>
  </si>
  <si>
    <t>Pending shipment confirmation before labeling / production is complete.</t>
  </si>
  <si>
    <t>GN. Vendor waiting for tooling. ETA 7/28</t>
  </si>
  <si>
    <t>PO has not been submitted to vendor.</t>
  </si>
  <si>
    <t>609788968559</t>
  </si>
  <si>
    <t>7/13/2026:D/W sent</t>
  </si>
  <si>
    <t>604776737582</t>
  </si>
  <si>
    <t>Bulk PO Submitted, Pending ETA confirmation, waiting for R&amp;D sample</t>
  </si>
  <si>
    <t>From FX</t>
  </si>
  <si>
    <t>GN. Manufacturing delay; new ETA 8/20/2026, previous ETA 7/20/2026.</t>
  </si>
  <si>
    <t>609788968511</t>
  </si>
  <si>
    <t>609788968979</t>
  </si>
  <si>
    <t>Waiting for PL and sample approval</t>
  </si>
  <si>
    <t>604776738640</t>
  </si>
  <si>
    <t>604776735878</t>
  </si>
  <si>
    <t>Lot:45130425</t>
  </si>
  <si>
    <t>Bulk PO Submitted, Pending ETA confirmation, waiting for R&amp;D Sample</t>
  </si>
  <si>
    <t>GN. Manufacturing delay; last ETA 7/20/2026.</t>
  </si>
  <si>
    <t>VS</t>
  </si>
  <si>
    <t>604776735823</t>
  </si>
  <si>
    <t>609788968238</t>
  </si>
  <si>
    <t>Requires version that was uplaoded  7/1/26</t>
  </si>
  <si>
    <t>Needs a new batch</t>
  </si>
  <si>
    <t>Awaiting for vendor packing list.</t>
  </si>
  <si>
    <t>5/12/2026: D/W sent</t>
  </si>
  <si>
    <t>Product Available for conversion</t>
  </si>
  <si>
    <t>Bulk PO Submitted, Pending ETA confirmation</t>
  </si>
  <si>
    <t>Extra bulk at Iceland. Pending vendor release to bottle</t>
  </si>
  <si>
    <t>71 available</t>
  </si>
  <si>
    <t>Pending approval to send to vendor</t>
  </si>
  <si>
    <t>from sales: MUST BE NEW LABEL/IFC UPLOADED on 2/3 BY OVERSEAS (without Citrus Bioflavonoid)</t>
  </si>
  <si>
    <t>from sales: MUST BE NEW LABEL/IFC UPLOADED , new batch from new formula. NEW LABEL UPLOADED 2/12 BY OVERSEAS (without Citrus Bioflavonoid)</t>
  </si>
  <si>
    <t>Label requested 07/21</t>
  </si>
  <si>
    <t>Label requested 07/21
46350425: 60 available,                                     44251024: 66 available</t>
  </si>
  <si>
    <t>Label requested 07/21
720 available with old formula</t>
  </si>
  <si>
    <t>Accounting action needed</t>
  </si>
  <si>
    <t>Label on order</t>
  </si>
  <si>
    <t>Take from Iraq? Held @ Iceland</t>
  </si>
  <si>
    <t>ETA Delivery 07/28
Updated the QTY available UAE A4712</t>
  </si>
  <si>
    <t>Extrta bulk at iceland. pending release</t>
  </si>
  <si>
    <t>609788968139</t>
  </si>
  <si>
    <t>609788968832</t>
  </si>
  <si>
    <t>604776738633</t>
  </si>
  <si>
    <t>810131194925</t>
  </si>
  <si>
    <t>6,000 available</t>
  </si>
  <si>
    <t>Needs PO or Take from Iraq? Held @ Iceland</t>
  </si>
  <si>
    <t>Pending release from NutraStar. Or a new PO will be needed.</t>
  </si>
  <si>
    <t>810131193775</t>
  </si>
  <si>
    <t>Product available for conversion</t>
  </si>
  <si>
    <t>810131195168</t>
  </si>
  <si>
    <t>Use qty from Iraq</t>
  </si>
  <si>
    <t>GN. Accounting action needed</t>
  </si>
  <si>
    <t>GN. Running 7/28/2026; last ETA 7/22/2026. Could possibly be filled by remainder of PO. Depending on overrun</t>
  </si>
  <si>
    <t>Accounting action needed.</t>
  </si>
  <si>
    <t>Only 668 IFC available
Label pending regulatory issue
Pending Qty confirmation</t>
  </si>
  <si>
    <t>7/27/2026: D/W sent</t>
  </si>
  <si>
    <t>609788968498</t>
  </si>
  <si>
    <t>GN. Vendor waiting for tooling</t>
  </si>
  <si>
    <t>810131194604</t>
  </si>
  <si>
    <t>810131194598</t>
  </si>
  <si>
    <t>810131194536</t>
  </si>
  <si>
    <t>810131194567</t>
  </si>
  <si>
    <t>810131194543</t>
  </si>
  <si>
    <t>810131194574</t>
  </si>
  <si>
    <t>Pending product release</t>
  </si>
  <si>
    <t>7/23/2026: 24 moved to Uganda A4745</t>
  </si>
  <si>
    <t>7/23/2026: Taking 72 packs to Uganda A4745</t>
  </si>
  <si>
    <t>7/9/2026: Allocating 48 packs to Uganda A4745</t>
  </si>
  <si>
    <t>6/25/2026: To allocate 40 packs to Libya A4735</t>
  </si>
  <si>
    <t>12/4/2025: 48 moved From UgandaA4534</t>
  </si>
  <si>
    <t>11/26/2025: Moved 480 bottles from A4532
6/25/2026: To allocate 480 packs to Libya A4735</t>
  </si>
  <si>
    <t>6/25/2026: To allocate 192 packs to Libya A4735</t>
  </si>
  <si>
    <t>11/26/2025: Moved 34 bottles from A4519
7/9/2026: Allocating 34 packs to Uganda A4745</t>
  </si>
  <si>
    <t>7/9/2026: Allocating 72 packs to Uganda A4745</t>
  </si>
  <si>
    <t>5/26/2026: Allocating 576 packs to Cyprus A4676. Remainder (424) to be kept on order to ship Q3.                    7/9/2026: Allocating MFS to Greece A4731.</t>
  </si>
  <si>
    <t>Nutrastar                                     6/30/2026: Allocating total of 1593 pcs to other orders. 1000 overflow = 593 needed from Iraq allocation. Adjusting to 2407 Production Complete + 593 needing PO.</t>
  </si>
  <si>
    <t>Nutrastar                  7/20/2026: Additional pallet added to Iraq A4704. Qty reduced 3240 -&gt; 600.</t>
  </si>
  <si>
    <t>Nutrastar                             6/22/2026: Consolidated Iraq A4632 into Iraq A4567.                    7/20/2026: 1 pallet moved to Iraq A4704. Qty decreased 12720 -&gt; 9600.</t>
  </si>
  <si>
    <t xml:space="preserve">  8/18/2025: 30,000 packs moved from A4475 
9/30/2025: Moved from Iraq A4442 
1/22/2026: Moved from Iraq A4541                        6/22/2026: Consolidated Iraq A4633 into Iraq A4567.             7/16/2026: Qty reduced 30000 -&gt; 24720. 5280 pcs moved to Iraq A4704 for shipment.</t>
  </si>
  <si>
    <t>Iceland                                           6/8/2026: Product complete but pending accounting action.              6/30/2026: 1350 pcs allocated to Egypt A4725.</t>
  </si>
  <si>
    <t>5/22/2025: Products moved from IraqA4434 
9/30/2025: Moved from A4384
1/15/2025: Moved 1421 from Iraq A4541 
1/20/2025: 92 bottles allocated to georgia A4615
3/30/2026: qty decreased 1329 -&gt; 529 after allocating to UAE A4644         7/9/2026: Qty reduced to 528.</t>
  </si>
  <si>
    <t>May need a specific batch number 11/20/205: Should be a fresh batch
6/8/2026: Product arriving at warehouse on 6/10/26.
6/22/2026: Quantity Decreased 5000 -&gt; 4975 
(25 packs moved to Libya A4692)               6/22/2026: Consolidated Iraq A4622 into Iraq A4596.</t>
  </si>
  <si>
    <t>1/15/2026: 1480 packs moved from IraqA4596
2/17/2026: Moved from IraqA4541 to consolidate Back Order.
6/8/2026: Product arriving at warehouse on 6/10/26.                             6/22/2026: Consolidated Iraq A4622 into Iraq A4596.</t>
  </si>
  <si>
    <t>Vitane                                    6/8/2026: Product is at Warehouse.                 6/22/2026: Moving 5280 pcs to Iraq A4723.                                      6/22/2026: Consolidated Iraq A4631 into Iraq A4596</t>
  </si>
  <si>
    <t>Vitane  1/29/2026: Total CoQ qty increased 8000 -&gt; 9297                     6/8/2026: Product is at Warehouse.                                      6/22/2026: Consolidated Iraq A4631 into Iraq A4596</t>
  </si>
  <si>
    <t>Vitane  
11/17/2025: Quantity increased to meet MOQ 
1/29/2026: Total Memo Up Qty increased 5250 -&gt; 5649                          6/8/2026: Product is at Warehouse.                                      6/22/2026: Consolidated Iraq A4631 into Iraq A4596</t>
  </si>
  <si>
    <t>Vitane                                      6/8/2026: Product is at Warehouse.                                      6/22/2026: Consolidated Iraq A4631 into Iraq A4596</t>
  </si>
  <si>
    <t>Genova                                  6/8/2026: Product complete.                                      6/22/2026: Consolidated Iraq A4631 into Iraq A4596</t>
  </si>
  <si>
    <t>2/4/2026: Moved from UAE A4572
5/4/2026: Moved back from UAE A4553
7/30/2026: Hide Product</t>
  </si>
  <si>
    <t>3/30/2026:
Moved from UAE A4644
5/4/2026: Moved from A4553                    6/17/2026: Allocate from PO# 4958 (Iraq A4726)
7/23/2026: qty increased 1500 -&gt; 3660 (2160 packs added from UAE A4712)</t>
  </si>
  <si>
    <t>7/23/2026: Product added from UAE A4712</t>
  </si>
  <si>
    <t>7/6/2026: Do not order labels until release is confirmed @ Iceland.
7/23/2026: Product added from UAE A4712</t>
  </si>
  <si>
    <t>6/17/2026: Allocate from PO# 4959 (Iraq A4726)
7/23/2026: Product added from UAE A4712</t>
  </si>
  <si>
    <t xml:space="preserve">7/9/2026: Proceed with requesting stabilities
7/23/2026: Product added from UAE A4742 + client may be adding more qty.. pending confirmation
</t>
  </si>
  <si>
    <t>7/28/2026: 575 packs of Biotin 10k added</t>
  </si>
  <si>
    <t>7/30/2026: Product added</t>
  </si>
  <si>
    <t>7/9/2026: Allocate 30 packs to Uganda A4745</t>
  </si>
  <si>
    <t>6/25/2026: To allocate 288 packs to Libya A4735</t>
  </si>
  <si>
    <t>9/3/2025: Changed from SG to VE  12/4/2025: Moved from A4519 due to allocation 
6/22/2026: 200 packs allocated to Sudan A4716</t>
  </si>
  <si>
    <t>7/16/2026: New labels/IFC's required</t>
  </si>
  <si>
    <t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                                 6/15/2026: Quantity increased to 91,200 due to Morocco A4688 order reduction.                            6/16/2026: Want to take 30,000 on upcoming shipment. Separated to Iraq A4726.                             6/17/2026: 2160 60ct needed on UAE A4712 (3240 40ct) and 1500 60ct needed on UAE A4572 (2250 40ct). Reducing qty for allocation.                          6/29/2026: Converting 7,910 40ct into 5,273 60ct - reduced qty to 50,000 pcs</t>
  </si>
  <si>
    <t>Product changed to ZINC50-30-CS-IQ                       6/16/2026: Want to take 20,000 on upcoming shipment. Separated to Iraq A4726.                                    6/17/2026: 1008 60 ct needed on UAE A4712 (2016 30 ct). Reducing qty for allocation.</t>
  </si>
  <si>
    <t>6/16/2026: Moved from Iraq A4610. Client wants to ship before remaining qty.                          6/29/2026: Approved to use old label w/ January 2026 mfg.</t>
  </si>
  <si>
    <t>6/16/2026: Moved from Iraq A4610. Client wants to ship before remaining qty.</t>
  </si>
  <si>
    <t>6/24/2026: Product added from Libya A4692</t>
  </si>
  <si>
    <t>3/31/2026: Item added to order
4/3/2026: Awaiting TD confirmation
4/16/2026: *PRODUCT TO CONTAIN NO TITANIUM DIOXIDE*
6/10/2026: * Approved to send without IFC's *
6/15/2026: Awaiting Stability Response</t>
  </si>
  <si>
    <t>7/24/2026: Product moved from Cyprus A4728.</t>
  </si>
  <si>
    <t>5/7/2026: qty increased from 720 → 780
6/25/2026: Allocate 496 packs from MFS 60 conversions
7/8/2026: Allocating 576 packs (+80) from MFS 60 conversions</t>
  </si>
  <si>
    <t>Cannot take available lot (45130425)
5/7/2026: qty increased from 1000 → 1125
6/12/2026: Product added from Chad A4687</t>
  </si>
  <si>
    <t>5/7/2026: qty increased from 600 → 636
7/24/2026: Product added from Chad A4687</t>
  </si>
  <si>
    <t>7/24/2026: Product added from Chad A4687</t>
  </si>
  <si>
    <t>5/7/2026: qty increased from 2000 → 2100
7/24/2026: Product added from Chad A4687</t>
  </si>
  <si>
    <t>6 Total Pallets = 
2244 bottles per pallet
5/4/2026: use the new label and IFC design
6/15/2026: Quantity decreased 13,464 -&gt; 2,000 (11,464 removed)</t>
  </si>
  <si>
    <t>5/4/2026: use the old IFC (CS Morocco IFC 25.1 version already available) with the new label design
5/8/2026: Qty decresead 
6,732 → 4,496
6/15/2026: Quantity decreased 4,496 -&gt; 1,400 (3,096 removed)</t>
  </si>
  <si>
    <t>6/22/2026: Stealing 25 packs from Iraq A4622</t>
  </si>
  <si>
    <t>5/22/2026: QTY increased 
2246 -&gt; 2422 (176 packs added from Sudan A4549)
5/26/2026: Qty changed to original 
2422 -&gt; 2246 packs (176 packs moved to Sudan A4711)
6/16/2026: One FOC bottle added (850-851)</t>
  </si>
  <si>
    <t>7/9/2026: 378/480 can be allocated out of conversions.</t>
  </si>
  <si>
    <t>MFS Plus capsules blistered           6/17/2026: New Greek Language IFC will be needed.                                       7/9/2026: Not ordering new IFC's - many in-stock. New IFC's required in 2027.</t>
  </si>
  <si>
    <t>6/25/2026: Allocate 504 packs from MFS 60 conversions</t>
  </si>
  <si>
    <t>7/23/2026: Qty increased 1008 -&gt; 2358 (1350 packs added from UAE A4572)</t>
  </si>
  <si>
    <t>7/23/2026: Qty increased 1008 -&gt; 1498 (490 packs added from UAE A4572)</t>
  </si>
  <si>
    <t>7/23/2026: Qty increased 1008 -&gt; 2058 (1050 packs added from UAE A4572)
7/28/2026: Client commited to 5000 for the year</t>
  </si>
  <si>
    <t>4/15/2026: 720 packs allocated from Libya A4571
4/29/2026: 720 packs moved from UAE A4572
5/4/2026: Awaiting approval to send without IFC
5/6/2026: Moved from A4553
7/23/2025: Product added from UAE A4572
(formula without Citrus Bioflavonoid)</t>
  </si>
  <si>
    <t>product added on 1/12/2025
7/14/2026: Qty increased from 2000 -&gt; 2500 + 
Client commited to 5000 for the year
7/23/2025: Product added from UAE A4572
(formula without Citrus Bioflavonoid)</t>
  </si>
  <si>
    <t>7/20/2026: Fufill from Iceland runover</t>
  </si>
  <si>
    <t>6/11/2026: Client can take old formula containing Citrus Bioflavonoids
7/14/2026: New Label uploaded
7/20/2026: Product added from Qatar A4714                          7/27/2026: New label version needed.</t>
  </si>
  <si>
    <t>6/22/2026: 200 packs allocated from Ethiopia A4575</t>
  </si>
  <si>
    <t>7/8/2026: Requesting to use available labels
7/9/2026: Need to reorder labels</t>
  </si>
  <si>
    <t>7/9/2026: Need to reorder labels</t>
  </si>
  <si>
    <t>6/24/2026: Product added +
*Awaiting label to be uploaded* + 
Requesting available formula
6/29/2026: Available formula approved
6/30/2026: Label uploaded</t>
  </si>
  <si>
    <t>7/8/2026: Moved from Tanzania A4717</t>
  </si>
  <si>
    <t>6/30/2026: Product @ Iceland; allocate from Iraq qty.                        7/6/2026: Do not order labels until release is confirmed @ Iceland.</t>
  </si>
  <si>
    <t>7/28/2026: Allocate out of Iraq qty at NutraStar.</t>
  </si>
  <si>
    <t>(l-arginine)</t>
  </si>
  <si>
    <t>6/5/2026: Product added to order. In inventory.                               6/15/2026: Moving to separate order . Inventory is reserved for Iraq.</t>
  </si>
  <si>
    <t>Vitane                                    6/8/2026: Product is at Warehouse.                 6/22/2026: Moving 5280 pcs from Iraq A4631 (now A4596).</t>
  </si>
  <si>
    <t>7/14/2026: NL Product from Inventory Watchlist.
7/30/2026: Qty reduced 434 -&gt; 433.</t>
  </si>
  <si>
    <t>7/14/2026: NL Product from Inventory Watchlist.</t>
  </si>
  <si>
    <t>7/14/2026: NL Product from Inventory Watchlist.                     (OLD FORMULA)                           7/20/2026: Checking if FD can be used instead of IQ.                           7/21/2026: FD label confirmed as OK.</t>
  </si>
  <si>
    <t>7/31/2026: Qty reduced to 4000 pcs. Moved from A4749 to A4723.</t>
  </si>
  <si>
    <t>6/30/2026: Increased qty 2100 -&gt; 2360. Consolidated qty on Egypt A4709.</t>
  </si>
  <si>
    <t>6/30/2026: Allocate from Iraq A4724 Iceland PO (4944).                                   7/6/2026: Do not order labels until release is confirmed @ Iceland.</t>
  </si>
  <si>
    <t>6/30/2026: Moved from Egypt A4727. Qty increase 1575 -&gt; 2625; consolidated 1050 pcs on Egypt A4634 onto A4725.</t>
  </si>
  <si>
    <t>6/30/2026: Moved from Egypt A4727.</t>
  </si>
  <si>
    <t>6/30/2026: Allocate from PO# 4906 (Iraq). Moved from Egypt A4727.                                   7/6/2026: Do not order labels until release is confirmed @ Nutrastar.</t>
  </si>
  <si>
    <t>6/30/2026: Moved from Egypt A4709.</t>
  </si>
  <si>
    <t>7/30/2026: Added to order.</t>
  </si>
  <si>
    <t>6/18/2026: Qty increased 6300 -&gt; 6450 - 150 FOC qty to be used for a clinical trial.                        6/30/2026: Moved from Egypt A4725 to consolidate later PO items. Qty increased 6450 -&gt; 7836, combined from Egypt A4709.</t>
  </si>
  <si>
    <t>6/30/2026: Moved from Egypt A4725 to consolidate later PO items.</t>
  </si>
  <si>
    <t>7/9/2026: Allocate out of converted inventory</t>
  </si>
  <si>
    <t>(Blisters)                                         6/22/2026: Need new IFC on server.                                        7/9/2026: Not ordering new IFC's - many in-stock.</t>
  </si>
  <si>
    <t>6/30/2026: Convert 60 to 120.</t>
  </si>
  <si>
    <t>6/30/2026: Allocate out of Iraq A4567. (PO 4906)                             7/6/2026: Do not order labels until release is confirmed @ Nutrastar.</t>
  </si>
  <si>
    <t>(Blisters)                                         6/22/2026: Need new IFC on server.                                   6/25/2026: Qty increased 576 -&gt; 600 pcs.                                 7/9/2026: Allocate 424 pcs from Greece A4547 - remaining 176 pcs to be put on back order.                       7/9/2026: Not ordering new IFC's - many in-stock.</t>
  </si>
  <si>
    <t>(Blisters)                                         6/22/2026: Need new IFC on server.                                       7/9/2026: Not ordering new IFC's - many in-stock.</t>
  </si>
  <si>
    <t>6/30/2026: Convert 60ct to 120ct.</t>
  </si>
  <si>
    <t>6/23/2026: Product will be FD.</t>
  </si>
  <si>
    <t xml:space="preserve">7/8/2026: Requesting to send without IFC's
7/9/2026: New IFC's must be used </t>
  </si>
  <si>
    <t>7/9/2026: Allocate 48 from Uganda A4522 and 24 from Uganda A4574</t>
  </si>
  <si>
    <t>7/23/2026: Take 43 packs from Chad A4687</t>
  </si>
  <si>
    <t>7/23/2026: Taking 72 from Uganda A4534</t>
  </si>
  <si>
    <t>7/23/2026: Taking 24 from Uganda A4522</t>
  </si>
  <si>
    <t>7/23/2026: Taking 34 from Ethiopia A4591</t>
  </si>
  <si>
    <t>7/23/2026: Taking 72 packs from Uganda A4522</t>
  </si>
  <si>
    <t>7/31/2026: Backorder qty increased to 6000</t>
  </si>
  <si>
    <t xml:space="preserve">1PK </t>
  </si>
  <si>
    <t>Under going registration in UAE                5/13/2026: UAE unable to take, exploring if other clients can take product.                                    7/7/2026: Discussing w/ Libya client.
7/14/2026: Libya client cannot take. Exploring other clients</t>
  </si>
  <si>
    <t>49121225
Mfg:12/2025
Exp:12/2028                                         2/16/2026: Qty increased 8500 -&gt; 8520                                       6/18/2026: Qty decreased 8520 -&gt; 3240 - moved 5280 to Iraq A4704</t>
  </si>
  <si>
    <t>49081225
Mfg:12/2025
Exp:12/2028                                      2/16/2026: Qty increased 28297 -&gt; 28320                                  4/28/2026: 9360 moved to Iraq A4698                                        6/18/2026: 6240 moved to Iraq A4704 - 18960 -&gt; 12720</t>
  </si>
  <si>
    <t>49440126
Mfg:01/2026
Exp:01/2027                        6/29/2026: Possible allocation to Georgia A4718 once acct is cleared.</t>
  </si>
  <si>
    <t>2160 packs added from UAE A4712</t>
  </si>
  <si>
    <t>added from UAE A4712</t>
  </si>
  <si>
    <t>added from UAE A4742</t>
  </si>
  <si>
    <t xml:space="preserve">6/2/2026: 30% Down Payment needed.                                   6/29/2026: Approved to use old label w/ January 2026 mfg.  </t>
  </si>
  <si>
    <t xml:space="preserve">6/24/2026: New docs to be made        </t>
  </si>
  <si>
    <t>new lot?</t>
  </si>
  <si>
    <t>7/6/2026 Maya: Product is expected ready by client by 8/5/2026.</t>
  </si>
  <si>
    <t>4/27/2026: Awaiting Proforma Confirmation
4/28/2026: Proforma Approved
5/1/2026: Checking with Maya if Lot Codes are usable for this order.
5/4/2026: Lot Codes are reviewed. 60ct needs new Lot Code. Removed from Sales Action Needed.                                             NEEDS NEW BATCH</t>
  </si>
  <si>
    <t>NEEDS NEW BATCH</t>
  </si>
  <si>
    <t>7/27/2026: Waiting for labels.</t>
  </si>
  <si>
    <t>6/15/2026: Proforma approved</t>
  </si>
  <si>
    <t>6/12/2026: Awaiting Pro Forma Approval                             6/15/2026: Pro Forma Approved</t>
  </si>
  <si>
    <t>6/18/2026: Pro Forma invoice sent.</t>
  </si>
  <si>
    <t>6/22/2026: Pro Forma approved.</t>
  </si>
  <si>
    <t>6/16/2026: Pro Forma invoice sent.</t>
  </si>
  <si>
    <t>6/17/2026: Pro Forma invoice approved.</t>
  </si>
  <si>
    <t>6/22/2026: Pro Forma Invoice sent.                6/29/2026: Pro Forma Invoice approved.</t>
  </si>
  <si>
    <t>6/29/2026: Proforma Invoice sent</t>
  </si>
  <si>
    <t>7/1/2026: Proforma Approved</t>
  </si>
  <si>
    <t>7/9/2026: Proforma Invoice sent</t>
  </si>
  <si>
    <t>7/10/2026: Proforma Invoice approved</t>
  </si>
  <si>
    <t>7/16/2026: Proforma Invoice sent</t>
  </si>
  <si>
    <t>7/20/2026: Proforma Invoice sent</t>
  </si>
  <si>
    <t>7/30/2026: Pro Forma Invoice sent.</t>
  </si>
  <si>
    <t>no label on server</t>
  </si>
  <si>
    <t>CY16-26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</si>
</sst>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b/>
      <sz val="15"/>
      <color theme="3"/>
      <name val="Calibri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</font>
    <font>
      <sz val="14"/>
      <color theme="0"/>
      <name val="Calibri"/>
      <family val="2"/>
      <scheme val="minor"/>
    </font>
    <font>
      <b/>
      <sz val="10"/>
      <color rgb="FF000000"/>
      <name val="Calibri"/>
      <scheme val="minor"/>
    </font>
    <font>
      <sz val="9"/>
      <color rgb="FF000000"/>
      <name val="Calibri"/>
      <scheme val="minor"/>
    </font>
    <font>
      <b/>
      <u val="double"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Aptos Narrow"/>
      <charset val="1"/>
    </font>
    <font>
      <b/>
      <sz val="11"/>
      <color rgb="FF305496"/>
      <name val="Calibri"/>
      <family val="2"/>
      <scheme val="minor"/>
    </font>
    <font>
      <b/>
      <sz val="11"/>
      <color rgb="FF0D0D0D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4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D6DCE4"/>
        <bgColor rgb="FF000000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indexed="64"/>
      </left>
      <right style="medium">
        <color indexed="64"/>
      </right>
      <top style="thick">
        <color theme="1"/>
      </top>
      <bottom style="thick">
        <color theme="1"/>
      </bottom>
      <diagonal/>
    </border>
    <border>
      <left style="thick">
        <color indexed="64"/>
      </left>
      <right style="thick">
        <color indexed="64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indexed="64"/>
      </right>
      <top style="thick">
        <color theme="1"/>
      </top>
      <bottom style="thick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theme="1"/>
      </left>
      <right style="thin">
        <color indexed="64"/>
      </right>
      <top style="thick">
        <color theme="1"/>
      </top>
      <bottom style="thick">
        <color theme="1"/>
      </bottom>
      <diagonal/>
    </border>
    <border>
      <left style="thin">
        <color indexed="64"/>
      </left>
      <right style="thin">
        <color indexed="64"/>
      </right>
      <top style="thick">
        <color theme="1"/>
      </top>
      <bottom style="thick">
        <color theme="1"/>
      </bottom>
      <diagonal/>
    </border>
    <border>
      <left style="thin">
        <color indexed="64"/>
      </left>
      <right style="medium">
        <color indexed="64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</borders>
  <cellStyleXfs count="2">
    <xf numFmtId="0" fontId="0" fillId="0" borderId="0"/>
    <xf numFmtId="0" fontId="3" fillId="0" borderId="5" applyNumberFormat="0" applyFill="0" applyAlignment="0" applyProtection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9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0" fillId="5" borderId="11" xfId="0" applyFont="1" applyFill="1" applyBorder="1" applyAlignment="1">
      <alignment horizontal="left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11" fillId="0" borderId="0" xfId="0" applyFont="1"/>
    <xf numFmtId="0" fontId="10" fillId="5" borderId="11" xfId="0" applyFont="1" applyFill="1" applyBorder="1" applyAlignment="1">
      <alignment horizontal="left" vertical="center" wrapText="1"/>
    </xf>
    <xf numFmtId="0" fontId="12" fillId="5" borderId="11" xfId="0" applyFont="1" applyFill="1" applyBorder="1" applyAlignment="1">
      <alignment horizontal="left" vertical="top" wrapText="1"/>
    </xf>
    <xf numFmtId="0" fontId="10" fillId="6" borderId="11" xfId="0" applyFont="1" applyFill="1" applyBorder="1" applyAlignment="1">
      <alignment horizontal="left" vertical="top" wrapText="1"/>
    </xf>
    <xf numFmtId="0" fontId="10" fillId="5" borderId="12" xfId="0" applyFont="1" applyFill="1" applyBorder="1" applyAlignment="1">
      <alignment horizontal="left" vertical="top" wrapText="1"/>
    </xf>
    <xf numFmtId="0" fontId="10" fillId="5" borderId="11" xfId="0" applyFont="1" applyFill="1" applyBorder="1" applyAlignment="1">
      <alignment wrapText="1"/>
    </xf>
    <xf numFmtId="0" fontId="12" fillId="0" borderId="11" xfId="0" applyFont="1" applyBorder="1" applyAlignment="1">
      <alignment horizontal="left" vertical="top" wrapText="1"/>
    </xf>
    <xf numFmtId="0" fontId="10" fillId="0" borderId="11" xfId="0" applyFont="1" applyBorder="1" applyAlignment="1">
      <alignment wrapText="1"/>
    </xf>
    <xf numFmtId="0" fontId="10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top" wrapText="1"/>
    </xf>
    <xf numFmtId="0" fontId="10" fillId="0" borderId="11" xfId="0" applyFont="1" applyBorder="1"/>
    <xf numFmtId="0" fontId="12" fillId="5" borderId="11" xfId="0" applyFont="1" applyFill="1" applyBorder="1" applyAlignment="1">
      <alignment wrapText="1"/>
    </xf>
    <xf numFmtId="0" fontId="13" fillId="0" borderId="11" xfId="0" applyFont="1" applyBorder="1" applyAlignment="1">
      <alignment horizontal="left" vertical="top" wrapText="1"/>
    </xf>
    <xf numFmtId="0" fontId="10" fillId="5" borderId="11" xfId="0" applyFont="1" applyFill="1" applyBorder="1"/>
    <xf numFmtId="0" fontId="10" fillId="7" borderId="11" xfId="0" applyFont="1" applyFill="1" applyBorder="1" applyAlignment="1">
      <alignment horizontal="left" vertical="top" wrapText="1"/>
    </xf>
    <xf numFmtId="0" fontId="13" fillId="5" borderId="11" xfId="0" applyFont="1" applyFill="1" applyBorder="1"/>
    <xf numFmtId="0" fontId="10" fillId="6" borderId="11" xfId="0" applyFont="1" applyFill="1" applyBorder="1"/>
    <xf numFmtId="0" fontId="10" fillId="5" borderId="1" xfId="0" applyFont="1" applyFill="1" applyBorder="1" applyAlignment="1">
      <alignment horizontal="left" vertical="top" wrapText="1"/>
    </xf>
    <xf numFmtId="0" fontId="14" fillId="0" borderId="0" xfId="0" applyFont="1"/>
    <xf numFmtId="0" fontId="0" fillId="4" borderId="10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 vertical="center"/>
      <protection locked="0"/>
    </xf>
    <xf numFmtId="0" fontId="15" fillId="0" borderId="0" xfId="0" applyFont="1"/>
    <xf numFmtId="0" fontId="17" fillId="0" borderId="17" xfId="0" applyFont="1" applyBorder="1" applyAlignment="1">
      <alignment horizontal="center" wrapText="1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6" fillId="0" borderId="0" xfId="1" applyFont="1" applyFill="1" applyBorder="1" applyAlignment="1">
      <alignment horizontal="center" vertical="center" wrapText="1"/>
    </xf>
    <xf numFmtId="0" fontId="3" fillId="0" borderId="0" xfId="1" applyFill="1" applyBorder="1" applyAlignment="1">
      <alignment horizontal="center" vertical="center" wrapText="1"/>
    </xf>
    <xf numFmtId="0" fontId="16" fillId="0" borderId="14" xfId="1" applyFont="1" applyFill="1" applyBorder="1" applyAlignment="1">
      <alignment horizontal="center" vertical="center"/>
    </xf>
    <xf numFmtId="0" fontId="3" fillId="0" borderId="15" xfId="1" applyFill="1" applyBorder="1" applyAlignment="1">
      <alignment horizontal="center" vertical="center"/>
    </xf>
    <xf numFmtId="0" fontId="3" fillId="0" borderId="16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4" xfId="1" applyFill="1" applyBorder="1" applyAlignment="1">
      <alignment horizontal="center" vertical="center"/>
    </xf>
  </cellXfs>
  <cellStyles count="2">
    <cellStyle name="Heading 1" xfId="1" builtinId="16"/>
    <cellStyle name="Normal" xfId="0" builtinId="0"/>
  </cellStyles>
  <dxfs count="143">
    <dxf>
      <numFmt numFmtId="0" formatCode="General"/>
      <fill>
        <patternFill patternType="solid">
          <fgColor indexed="64"/>
          <bgColor theme="2"/>
        </patternFill>
      </fill>
      <alignment horizontal="center" vertical="bottom"/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  <alignment horizontal="center" vertical="bottom"/>
    </dxf>
    <dxf>
      <numFmt numFmtId="0" formatCode="General"/>
      <fill>
        <patternFill patternType="solid">
          <fgColor indexed="64"/>
          <bgColor theme="2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alignment horizontal="center"/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5700"/>
      </font>
      <fill>
        <patternFill>
          <bgColor rgb="FFFFEB9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fill>
        <patternFill patternType="solid">
          <bgColor rgb="FFC6EF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  <alignment textRotation="0" wrapText="1" indent="0" justifyLastLine="0" shrinkToFit="0" readingOrder="0"/>
    </dxf>
    <dxf>
      <numFmt numFmtId="0" formatCode="General"/>
      <alignment horizontal="center"/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5700"/>
      </font>
      <fill>
        <patternFill>
          <bgColor rgb="FFFFEB9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fill>
        <patternFill patternType="solid">
          <bgColor rgb="FFC6EF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  <alignment textRotation="0" wrapText="1" indent="0" justifyLastLine="0" shrinkToFit="0" readingOrder="0"/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doubl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border outline="0">
        <bottom style="thin">
          <color rgb="FF000000"/>
        </bottom>
      </border>
    </dxf>
    <dxf>
      <font>
        <sz val="14"/>
      </font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doubl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border outline="0">
        <bottom style="thin">
          <color rgb="FF000000"/>
        </bottom>
      </border>
    </dxf>
    <dxf>
      <font>
        <sz val="14"/>
      </font>
    </dxf>
  </dxfs>
  <tableStyles count="0" defaultTableStyle="TableStyleMedium2" defaultPivotStyle="PivotStyleMedium9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-409575</xdr:colOff>
      <xdr:row>1</xdr:row>
      <xdr:rowOff>-1781175</xdr:rowOff>
    </xdr:from>
    <xdr:to>
      <xdr:col>0</xdr:col>
      <xdr:colOff>-409575</xdr:colOff>
      <xdr:row>1</xdr:row>
      <xdr:rowOff>-1781175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10F3CED-1EF5-421C-8E66-1953904CCB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-409575" y="-146494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Take Analysis</a:t>
          </a:r>
        </a:p>
      </xdr:txBody>
    </xdr:sp>
    <xdr:clientData/>
  </xdr:twoCellAnchor>
  <xdr:twoCellAnchor>
    <xdr:from>
      <xdr:col>0</xdr:col>
      <xdr:colOff>-409575</xdr:colOff>
      <xdr:row>9</xdr:row>
      <xdr:rowOff>104775</xdr:rowOff>
    </xdr:from>
    <xdr:to>
      <xdr:col>0</xdr:col>
      <xdr:colOff>-409575</xdr:colOff>
      <xdr:row>9</xdr:row>
      <xdr:rowOff>104775</xdr:rowOff>
    </xdr:to>
    <xdr:sp macro="" textlink="">
      <xdr:nvSpPr>
        <xdr:cNvPr id="3" name="Rounded Rectangle 3">
          <a:extLst>
            <a:ext uri="{FF2B5EF4-FFF2-40B4-BE49-F238E27FC236}">
              <a16:creationId xmlns:a16="http://schemas.microsoft.com/office/drawing/2014/main" id="{3B44F008-C86A-4CBF-9FE2-9CE267243D75}"/>
            </a:ext>
            <a:ext uri="{147F2762-F138-4A5C-976F-8EAC2B608ADB}">
              <a16:predDERef xmlns:a16="http://schemas.microsoft.com/office/drawing/2014/main" pred="{8A7CA46A-085F-4327-B5F1-389004CDE35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-409575" y="82867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GIVE ANALYSIS</a:t>
          </a:r>
        </a:p>
      </xdr:txBody>
    </xdr:sp>
    <xdr:clientData/>
  </xdr:twoCellAnchor>
  <xdr:twoCellAnchor>
    <xdr:from>
      <xdr:col>37</xdr:col>
      <xdr:colOff>49530</xdr:colOff>
      <xdr:row>0</xdr:row>
      <xdr:rowOff>55245</xdr:rowOff>
    </xdr:from>
    <xdr:to>
      <xdr:col>38</xdr:col>
      <xdr:colOff>361950</xdr:colOff>
      <xdr:row>1</xdr:row>
      <xdr:rowOff>34925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B0C150D-13FA-41C6-BE1B-78FAB9ADC67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UJ0NE10cFBJZVRiS1VHRkNiM0hBNEFTLUVLNkxHU2pSSnpucU9UX1UyVlBr&quot;}"/>
            </a:ext>
          </a:extLst>
        </xdr:cNvPr>
        <xdr:cNvSpPr/>
      </xdr:nvSpPr>
      <xdr:spPr>
        <a:xfrm>
          <a:off x="14803755" y="55245"/>
          <a:ext cx="902970" cy="29400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Search</a:t>
          </a:r>
        </a:p>
      </xdr:txBody>
    </xdr:sp>
    <xdr:clientData/>
  </xdr:twoCellAnchor>
  <xdr:twoCellAnchor>
    <xdr:from>
      <xdr:col>37</xdr:col>
      <xdr:colOff>55245</xdr:colOff>
      <xdr:row>1</xdr:row>
      <xdr:rowOff>152400</xdr:rowOff>
    </xdr:from>
    <xdr:to>
      <xdr:col>38</xdr:col>
      <xdr:colOff>369570</xdr:colOff>
      <xdr:row>1</xdr:row>
      <xdr:rowOff>436880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CAFAA07F-17C6-4DF0-803A-31FDE708D9A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jVxeThoYjYzc1M0OHpvQ210aVhmNkFldE9tRkFrV1BLVWM1djg5bWtzY0lZ&quot;}"/>
            </a:ext>
          </a:extLst>
        </xdr:cNvPr>
        <xdr:cNvSpPr/>
      </xdr:nvSpPr>
      <xdr:spPr>
        <a:xfrm>
          <a:off x="12790170" y="466725"/>
          <a:ext cx="904875" cy="28448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Clear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-409575</xdr:colOff>
      <xdr:row>1</xdr:row>
      <xdr:rowOff>-1781175</xdr:rowOff>
    </xdr:from>
    <xdr:to>
      <xdr:col>0</xdr:col>
      <xdr:colOff>-409575</xdr:colOff>
      <xdr:row>1</xdr:row>
      <xdr:rowOff>-1781175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290FBB3-F012-4792-89E8-E057FE6D96B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-411480" y="-178117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Take Analysis</a:t>
          </a:r>
        </a:p>
      </xdr:txBody>
    </xdr:sp>
    <xdr:clientData/>
  </xdr:twoCellAnchor>
  <xdr:twoCellAnchor>
    <xdr:from>
      <xdr:col>0</xdr:col>
      <xdr:colOff>-409575</xdr:colOff>
      <xdr:row>9</xdr:row>
      <xdr:rowOff>104775</xdr:rowOff>
    </xdr:from>
    <xdr:to>
      <xdr:col>0</xdr:col>
      <xdr:colOff>-409575</xdr:colOff>
      <xdr:row>9</xdr:row>
      <xdr:rowOff>104775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29A99B9D-858C-4499-B724-7EB1C34B4D0D}"/>
            </a:ext>
            <a:ext uri="{147F2762-F138-4A5C-976F-8EAC2B608ADB}">
              <a16:predDERef xmlns:a16="http://schemas.microsoft.com/office/drawing/2014/main" pred="{8A7CA46A-085F-4327-B5F1-389004CDE35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-411480" y="354901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GIVE ANALYSIS</a:t>
          </a:r>
        </a:p>
      </xdr:txBody>
    </xdr:sp>
    <xdr:clientData/>
  </xdr:twoCellAnchor>
  <xdr:twoCellAnchor>
    <xdr:from>
      <xdr:col>37</xdr:col>
      <xdr:colOff>53340</xdr:colOff>
      <xdr:row>0</xdr:row>
      <xdr:rowOff>57150</xdr:rowOff>
    </xdr:from>
    <xdr:to>
      <xdr:col>38</xdr:col>
      <xdr:colOff>348615</xdr:colOff>
      <xdr:row>1</xdr:row>
      <xdr:rowOff>40640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69DC2B8-BEDF-4BF6-8E23-1586553C515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3Y5Ul9BQnhlUFNKZUxSRmxuV3YwZUFlSlZMTHFaY0R3Znc4cndOX2dUdzNZ&quot;}"/>
            </a:ext>
          </a:extLst>
        </xdr:cNvPr>
        <xdr:cNvSpPr/>
      </xdr:nvSpPr>
      <xdr:spPr>
        <a:xfrm>
          <a:off x="12788265" y="57150"/>
          <a:ext cx="885825" cy="29781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Search</a:t>
          </a:r>
        </a:p>
      </xdr:txBody>
    </xdr:sp>
    <xdr:clientData/>
  </xdr:twoCellAnchor>
  <xdr:twoCellAnchor>
    <xdr:from>
      <xdr:col>37</xdr:col>
      <xdr:colOff>57150</xdr:colOff>
      <xdr:row>1</xdr:row>
      <xdr:rowOff>133350</xdr:rowOff>
    </xdr:from>
    <xdr:to>
      <xdr:col>38</xdr:col>
      <xdr:colOff>352425</xdr:colOff>
      <xdr:row>1</xdr:row>
      <xdr:rowOff>431165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5634FA3-4CED-4E96-8151-4A0422BCFE3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kx1U3NvTjR2WlFMTW00b284LWcwX0FiTTQzZ0pvTkdmbnJ2ei1jNWx5MFZr&quot;}"/>
            </a:ext>
          </a:extLst>
        </xdr:cNvPr>
        <xdr:cNvSpPr/>
      </xdr:nvSpPr>
      <xdr:spPr>
        <a:xfrm>
          <a:off x="12792075" y="447675"/>
          <a:ext cx="885825" cy="29781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Clear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97155</xdr:colOff>
      <xdr:row>0</xdr:row>
      <xdr:rowOff>38100</xdr:rowOff>
    </xdr:from>
    <xdr:to>
      <xdr:col>22</xdr:col>
      <xdr:colOff>523875</xdr:colOff>
      <xdr:row>0</xdr:row>
      <xdr:rowOff>476250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5BF9626-6EE6-4920-AEFB-7999569FFDD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11247120" y="38100"/>
          <a:ext cx="1057275" cy="43434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FIND ORDERS TO GIVE TO</a:t>
          </a:r>
        </a:p>
      </xdr:txBody>
    </xdr:sp>
    <xdr:clientData/>
  </xdr:twoCellAnchor>
  <xdr:twoCellAnchor>
    <xdr:from>
      <xdr:col>19</xdr:col>
      <xdr:colOff>99058</xdr:colOff>
      <xdr:row>0</xdr:row>
      <xdr:rowOff>41908</xdr:rowOff>
    </xdr:from>
    <xdr:to>
      <xdr:col>20</xdr:col>
      <xdr:colOff>531112</xdr:colOff>
      <xdr:row>0</xdr:row>
      <xdr:rowOff>483870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D92301E-052C-4917-B0FD-68D4F28BDB0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9991723" y="41908"/>
          <a:ext cx="1064514" cy="440057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FIND</a:t>
          </a:r>
          <a:r>
            <a:rPr lang="en-US" sz="900" b="1" baseline="0"/>
            <a:t> ORDERS TO TAKE FROM</a:t>
          </a:r>
          <a:endParaRPr lang="en-US" sz="900" b="1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BAAC65-0A93-4143-8403-81E64A21A3AA}" name="TableTake" displayName="TableTake" ref="A2:AE652" totalsRowShown="0" headerRowDxfId="142" headerRowBorderDxfId="141">
  <autoFilter ref="A2:AE652" xr:uid="{DEBAAC65-0A93-4143-8403-81E64A21A3AA}">
    <filterColumn colId="7">
      <filters>
        <filter val="QTY:"/>
      </filters>
    </filterColumn>
    <filterColumn colId="13">
      <filters>
        <filter val="Available"/>
        <filter val="D/W Sent"/>
        <filter val="Pending Picking"/>
        <filter val="Picked"/>
        <filter val="Rework"/>
        <filter val="Transit to Warehouse"/>
      </filters>
    </filterColumn>
  </autoFilter>
  <tableColumns count="31">
    <tableColumn id="1" xr3:uid="{8FE738FB-E55D-4A43-89A9-AD877FB9B72B}" name="Date of Order"/>
    <tableColumn id="2" xr3:uid="{9BD7EBF9-009E-4383-AC9A-F04436E23404}" name="Customer" dataDxfId="59">
      <calculatedColumnFormula>'2026 Orders'!B2</calculatedColumnFormula>
    </tableColumn>
    <tableColumn id="3" xr3:uid="{B26BF485-0654-4E1A-9F3E-569DFC2D4F95}" name="Order #" dataDxfId="62">
      <calculatedColumnFormula>'2026 Orders'!C2</calculatedColumnFormula>
    </tableColumn>
    <tableColumn id="4" xr3:uid="{3CE461BF-D883-4119-9EA2-4FBA762C3486}" name="Sales Personal Notes" dataDxfId="140"/>
    <tableColumn id="5" xr3:uid="{775A5AC4-DA2B-457A-9383-7F5F8CB6E8B3}" name="Order Details" dataDxfId="57">
      <calculatedColumnFormula array="1">IF(C3=0,"",
HYPERLINK(
"#'2026 Orders'!C"&amp;
MATCH(1,
('2026 Orders'!C:C=C3)*
('2026 Orders'!G:G=G3)*
('2026 Orders'!N:N=N3),
0),
"Open "&amp;C3
))</calculatedColumnFormula>
    </tableColumn>
    <tableColumn id="6" xr3:uid="{7E958EA0-D0AF-4253-9652-6DBE634D20AD}" name="Notes:  Include all notes week by week" dataDxfId="139"/>
    <tableColumn id="7" xr3:uid="{4DE63CE5-091C-4C14-AFD8-C2908C88BFF7}" name="SKU" dataDxfId="61">
      <calculatedColumnFormula>'2026 Orders'!G2</calculatedColumnFormula>
    </tableColumn>
    <tableColumn id="28" xr3:uid="{F74F9308-6C28-4799-B1DD-36FC2028AE66}" name="Product" dataDxfId="3">
      <calculatedColumnFormula>'2026 Orders'!H2</calculatedColumnFormula>
    </tableColumn>
    <tableColumn id="27" xr3:uid="{20DEBE43-601C-4BA4-B7CC-960BB08B6F3D}" name="Label" dataDxfId="2">
      <calculatedColumnFormula>'2026 Orders'!I2</calculatedColumnFormula>
    </tableColumn>
    <tableColumn id="8" xr3:uid="{C1938472-D7CD-4EBE-9CDE-029B713942FE}" name="QTY on Order" dataDxfId="60">
      <calculatedColumnFormula>'2026 Orders'!J2</calculatedColumnFormula>
    </tableColumn>
    <tableColumn id="9" xr3:uid="{A553E15E-A98D-4AB3-9CE6-50DD73277BE7}" name="Labels/IFC- Version/batch"/>
    <tableColumn id="10" xr3:uid="{1BA1F751-05C4-4CCE-848E-1BC548129C4A}" name="QTY Commited"/>
    <tableColumn id="11" xr3:uid="{C74AD31F-3FBE-4A09-8BE7-78EE67058D24}" name="Column4" dataDxfId="138"/>
    <tableColumn id="12" xr3:uid="{6E489A4D-7142-452C-9665-9F450AB5BD47}" name="Status" dataDxfId="58">
      <calculatedColumnFormula>'2026 Orders'!N2</calculatedColumnFormula>
    </tableColumn>
    <tableColumn id="13" xr3:uid="{CC4DA150-F4B3-4E4C-927B-52A0CBEF91C5}" name="Notes"/>
    <tableColumn id="14" xr3:uid="{5CF70E7B-D2B3-440D-959F-999C4D1C5F71}" name="IFC"/>
    <tableColumn id="15" xr3:uid="{AFCBFEC8-BB48-4E1F-921E-5F3C14D13714}" name="UPC Code"/>
    <tableColumn id="16" xr3:uid="{AC066B09-C297-4AC6-8B07-2478889C9BC0}" name="QTY on Order2"/>
    <tableColumn id="17" xr3:uid="{747293FD-4736-496A-805D-AF39D9F76F66}" name="Item PO"/>
    <tableColumn id="18" xr3:uid="{416EF9F5-D118-4651-BA81-7477BC17D20C}" name="EST Manufacture Completion"/>
    <tableColumn id="19" xr3:uid="{F00B9A87-24B8-4FF0-9253-208E5484C101}" name="Notes:"/>
    <tableColumn id="20" xr3:uid="{0462B7D3-FAFC-423A-BDE4-5CA2BEC7026E}" name="Lot Number"/>
    <tableColumn id="21" xr3:uid="{242864BE-9FAB-4D60-A09E-19E2A70B0320}" name="Notes:  Include all notes week by week3"/>
    <tableColumn id="22" xr3:uid="{3FD86241-4858-4224-80A9-ECDB335706D1}" name="Order ETA_x000a_** only for products in rework**"/>
    <tableColumn id="23" xr3:uid="{99C0603B-DCE3-4B3F-83E0-2650A150D644}" name="Date Completed D/W Sent"/>
    <tableColumn id="24" xr3:uid="{5A179656-08FC-4B42-818A-34558C099DD7}" name="Status4"/>
    <tableColumn id="25" xr3:uid="{0294C858-72C2-49B4-B8EF-611FB5DABB6D}" name="Column2"/>
    <tableColumn id="26" xr3:uid="{A6CCC903-3EAF-4598-9EE6-D8B66F36E22A}" name="Column1"/>
    <tableColumn id="31" xr3:uid="{3190EF52-06D1-4C85-8674-369659AC8AC2}" name="QTY Fuffilled?" dataDxfId="137">
      <calculatedColumnFormula>IF(OR(B3="",B3=0),"",J3&amp;"/"&amp;$AJ$2)</calculatedColumnFormula>
    </tableColumn>
    <tableColumn id="32" xr3:uid="{CFF0D69C-F9B4-45CE-8FF0-C950792B22EF}" name="Peeling?" dataDxfId="136">
      <calculatedColumnFormula>IF(OR(J3="",J3=0),"",I3&amp;" -&gt; "&amp;$AK$2)</calculatedColumnFormula>
    </tableColumn>
    <tableColumn id="33" xr3:uid="{6C6F7CE7-0728-4936-90B1-C969DC4BA619}" name="Column3" dataDxfId="135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FE2332-A999-490E-866A-9F9D4EB0F8C8}" name="TableGive" displayName="TableGive" ref="A2:AE652" totalsRowShown="0" headerRowDxfId="134" headerRowBorderDxfId="133">
  <autoFilter ref="A2:AE652" xr:uid="{0CFE2332-A999-490E-866A-9F9D4EB0F8C8}">
    <filterColumn colId="7">
      <filters>
        <filter val="QTY:"/>
      </filters>
    </filterColumn>
    <filterColumn colId="13">
      <filters>
        <filter val="Bulk Production Complete"/>
        <filter val="In Production"/>
        <filter val="Not Meet MOQ"/>
        <filter val="Out of Stock"/>
        <filter val="PO Drafted"/>
        <filter val="PO submitted"/>
        <filter val="Production Complete"/>
      </filters>
    </filterColumn>
  </autoFilter>
  <tableColumns count="31">
    <tableColumn id="1" xr3:uid="{ED7DD79B-3737-4C4A-81F3-249BB8CCB046}" name="Column5"/>
    <tableColumn id="2" xr3:uid="{6F139930-3A04-491F-8D08-750FBB497FEA}" name="Customer" dataDxfId="19">
      <calculatedColumnFormula>'2026 Orders'!B2</calculatedColumnFormula>
    </tableColumn>
    <tableColumn id="3" xr3:uid="{7DAE4C97-8EFC-483B-B0A4-5773BC7B4EA5}" name="Order #" dataDxfId="18">
      <calculatedColumnFormula>'2026 Orders'!C2</calculatedColumnFormula>
    </tableColumn>
    <tableColumn id="4" xr3:uid="{79547B25-86DA-4F53-84F1-FC6A973E4357}" name="Sales Personal Notes" dataDxfId="132"/>
    <tableColumn id="5" xr3:uid="{CBBE503F-9AC0-416C-B5E7-4378C8F6F024}" name="Order Details" dataDxfId="126">
      <calculatedColumnFormula array="1">IF(C3=0,"",
HYPERLINK(
"#'2026 Orders'!C"&amp;
MATCH(1,
('2026 Orders'!C:C=C3)*
('2026 Orders'!G:G=G3)*
('2026 Orders'!N:N=N3),
0),
"Open "&amp;C3
))</calculatedColumnFormula>
    </tableColumn>
    <tableColumn id="6" xr3:uid="{0EF20376-D931-4157-B7E8-41AF44E5FA87}" name="Notes:  Include all notes week by week" dataDxfId="131"/>
    <tableColumn id="7" xr3:uid="{E59E4FE3-5D0E-40FF-93FE-56F56936B892}" name="SKU" dataDxfId="17">
      <calculatedColumnFormula>'2026 Orders'!G2</calculatedColumnFormula>
    </tableColumn>
    <tableColumn id="28" xr3:uid="{2D365646-1D13-4CF7-BAD9-163AC443AA75}" name="Product" dataDxfId="1">
      <calculatedColumnFormula>'2026 Orders'!H2</calculatedColumnFormula>
    </tableColumn>
    <tableColumn id="27" xr3:uid="{7C6DA57A-3B40-4EF7-8784-B123DF339AB5}" name="Label" dataDxfId="0">
      <calculatedColumnFormula>'2026 Orders'!I2</calculatedColumnFormula>
    </tableColumn>
    <tableColumn id="8" xr3:uid="{06E2CF50-8608-46C2-A51D-B20244A17CCD}" name="QTY on Order" dataDxfId="16">
      <calculatedColumnFormula>'2026 Orders'!J2</calculatedColumnFormula>
    </tableColumn>
    <tableColumn id="9" xr3:uid="{162CE76F-A6A2-4C41-8237-4E771D2980E2}" name="Labels/IFC- Version/batch"/>
    <tableColumn id="10" xr3:uid="{81C415A8-3289-41D3-AC2E-FBCA5F6BC5A9}" name="QTY Commited"/>
    <tableColumn id="11" xr3:uid="{D3FAC496-F5E2-4B3E-AD8F-4F02E83DF602}" name="Column4" dataDxfId="130"/>
    <tableColumn id="12" xr3:uid="{9E139B93-44FC-4C0A-BE6D-0F78FB8272AD}" name="Status" dataDxfId="15">
      <calculatedColumnFormula>'2026 Orders'!N2</calculatedColumnFormula>
    </tableColumn>
    <tableColumn id="13" xr3:uid="{43B3E568-AAB4-442F-B3DD-5707A89593B6}" name="Notes"/>
    <tableColumn id="14" xr3:uid="{21363BA1-6B39-4632-B62F-58A7F41AE131}" name="IFC"/>
    <tableColumn id="15" xr3:uid="{9F795A62-402E-4803-B86A-7EEE3032E42D}" name="UPC Code"/>
    <tableColumn id="16" xr3:uid="{47E1E7B9-153E-4376-9E6F-C0CB92B8B376}" name="QTY on Order2"/>
    <tableColumn id="17" xr3:uid="{E41E3A39-D81D-43AE-8B16-A7881AAF2F7E}" name="Item PO"/>
    <tableColumn id="18" xr3:uid="{DFE1E278-182E-4BB0-89B9-5A8DEBCE0E46}" name="EST Manufacture Completion"/>
    <tableColumn id="19" xr3:uid="{4F3AB1AA-67F5-4BD3-A456-A822FBB07CFF}" name="Notes:"/>
    <tableColumn id="20" xr3:uid="{7F0A18EA-6CE4-425F-9544-D275D8D8D6C1}" name="Lot Number"/>
    <tableColumn id="21" xr3:uid="{D1489500-84C8-4F13-BBB6-8B6D5D6F2F1E}" name="Notes:  Include all notes week by week3"/>
    <tableColumn id="22" xr3:uid="{F7DE7F8E-8E3C-4D38-8549-FA4BE85ACB28}" name="Order ETA_x000a_** only for products in rework**"/>
    <tableColumn id="23" xr3:uid="{365D7B8F-0FF5-4A5F-8072-E8CE5147D4A9}" name="Date Completed D/W Sent"/>
    <tableColumn id="24" xr3:uid="{85B1AA1A-474B-4476-9B1F-AD840FD2502E}" name="Status4"/>
    <tableColumn id="25" xr3:uid="{2DB3D4D7-64FD-4FD6-A220-A078ED7988E5}" name="Column2"/>
    <tableColumn id="26" xr3:uid="{80F3DAE1-338F-4D38-8A5E-5DC704625DFE}" name="Column1"/>
    <tableColumn id="31" xr3:uid="{62289ED3-E117-4772-9068-A2379FB1E759}" name="QTY Fuffilled?" dataDxfId="129">
      <calculatedColumnFormula>IF(OR(B3="",B3=0),"",$AJ$2&amp;"/"&amp;J3)</calculatedColumnFormula>
    </tableColumn>
    <tableColumn id="32" xr3:uid="{A2869769-6A90-4E45-84E7-51133EFD3E52}" name="Peeling?" dataDxfId="128">
      <calculatedColumnFormula>IF(OR(J3="",J3=0),"",$AK$2&amp;" -&gt; "&amp;I3)</calculatedColumnFormula>
    </tableColumn>
    <tableColumn id="33" xr3:uid="{C6212B42-64E0-42BF-A79B-1AFB2B132620}" name="Column3" dataDxfId="127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02BA-E6B9-462D-BD2A-CEBDC2A7FFEB}">
  <dimension ref="A1:C370"/>
  <sheetViews>
    <sheetView workbookViewId="0">
      <selection activeCell="D152" sqref="D152"/>
    </sheetView>
  </sheetViews>
  <sheetFormatPr defaultRowHeight="14.4" x14ac:dyDescent="0.3"/>
  <cols>
    <col min="1" max="1" width="26.6640625" bestFit="1" customWidth="1"/>
    <col min="3" max="3" width="20.5546875" bestFit="1" customWidth="1"/>
  </cols>
  <sheetData>
    <row r="1" spans="1:3" x14ac:dyDescent="0.3">
      <c r="A1" s="21" t="s">
        <v>43</v>
      </c>
      <c r="C1" s="46" t="s">
        <v>403</v>
      </c>
    </row>
    <row r="2" spans="1:3" x14ac:dyDescent="0.3">
      <c r="A2" s="21" t="s">
        <v>44</v>
      </c>
    </row>
    <row r="3" spans="1:3" x14ac:dyDescent="0.3">
      <c r="A3" s="21" t="s">
        <v>45</v>
      </c>
    </row>
    <row r="4" spans="1:3" x14ac:dyDescent="0.3">
      <c r="A4" s="21" t="s">
        <v>46</v>
      </c>
    </row>
    <row r="5" spans="1:3" x14ac:dyDescent="0.3">
      <c r="A5" s="21" t="s">
        <v>47</v>
      </c>
    </row>
    <row r="6" spans="1:3" x14ac:dyDescent="0.3">
      <c r="A6" s="22" t="s">
        <v>48</v>
      </c>
    </row>
    <row r="7" spans="1:3" x14ac:dyDescent="0.3">
      <c r="A7" s="23" t="s">
        <v>42</v>
      </c>
    </row>
    <row r="8" spans="1:3" x14ac:dyDescent="0.3">
      <c r="A8" s="24" t="s">
        <v>49</v>
      </c>
    </row>
    <row r="9" spans="1:3" x14ac:dyDescent="0.3">
      <c r="A9" s="24" t="s">
        <v>50</v>
      </c>
    </row>
    <row r="10" spans="1:3" x14ac:dyDescent="0.3">
      <c r="A10" s="21" t="s">
        <v>51</v>
      </c>
    </row>
    <row r="11" spans="1:3" x14ac:dyDescent="0.3">
      <c r="A11" s="25" t="s">
        <v>52</v>
      </c>
    </row>
    <row r="12" spans="1:3" x14ac:dyDescent="0.3">
      <c r="A12" s="25" t="s">
        <v>53</v>
      </c>
    </row>
    <row r="13" spans="1:3" x14ac:dyDescent="0.3">
      <c r="A13" s="21" t="s">
        <v>54</v>
      </c>
    </row>
    <row r="14" spans="1:3" x14ac:dyDescent="0.3">
      <c r="A14" s="21" t="s">
        <v>55</v>
      </c>
    </row>
    <row r="15" spans="1:3" x14ac:dyDescent="0.3">
      <c r="A15" s="21" t="s">
        <v>56</v>
      </c>
    </row>
    <row r="16" spans="1:3" x14ac:dyDescent="0.3">
      <c r="A16" s="22" t="s">
        <v>57</v>
      </c>
    </row>
    <row r="17" spans="1:1" x14ac:dyDescent="0.3">
      <c r="A17" s="22" t="s">
        <v>58</v>
      </c>
    </row>
    <row r="18" spans="1:1" x14ac:dyDescent="0.3">
      <c r="A18" s="21" t="s">
        <v>59</v>
      </c>
    </row>
    <row r="19" spans="1:1" x14ac:dyDescent="0.3">
      <c r="A19" s="21" t="s">
        <v>60</v>
      </c>
    </row>
    <row r="20" spans="1:1" x14ac:dyDescent="0.3">
      <c r="A20" s="22" t="s">
        <v>61</v>
      </c>
    </row>
    <row r="21" spans="1:1" x14ac:dyDescent="0.3">
      <c r="A21" s="26" t="s">
        <v>62</v>
      </c>
    </row>
    <row r="22" spans="1:1" x14ac:dyDescent="0.3">
      <c r="A22" s="22" t="s">
        <v>63</v>
      </c>
    </row>
    <row r="23" spans="1:1" x14ac:dyDescent="0.3">
      <c r="A23" s="22" t="s">
        <v>64</v>
      </c>
    </row>
    <row r="24" spans="1:1" x14ac:dyDescent="0.3">
      <c r="A24" s="22" t="s">
        <v>65</v>
      </c>
    </row>
    <row r="25" spans="1:1" x14ac:dyDescent="0.3">
      <c r="A25" s="26" t="s">
        <v>66</v>
      </c>
    </row>
    <row r="26" spans="1:1" x14ac:dyDescent="0.3">
      <c r="A26" s="26" t="s">
        <v>67</v>
      </c>
    </row>
    <row r="27" spans="1:1" x14ac:dyDescent="0.3">
      <c r="A27" s="26" t="s">
        <v>68</v>
      </c>
    </row>
    <row r="28" spans="1:1" x14ac:dyDescent="0.3">
      <c r="A28" s="21" t="s">
        <v>69</v>
      </c>
    </row>
    <row r="29" spans="1:1" x14ac:dyDescent="0.3">
      <c r="A29" s="21" t="s">
        <v>70</v>
      </c>
    </row>
    <row r="30" spans="1:1" x14ac:dyDescent="0.3">
      <c r="A30" s="22" t="s">
        <v>71</v>
      </c>
    </row>
    <row r="31" spans="1:1" x14ac:dyDescent="0.3">
      <c r="A31" s="21" t="s">
        <v>72</v>
      </c>
    </row>
    <row r="32" spans="1:1" x14ac:dyDescent="0.3">
      <c r="A32" s="21" t="s">
        <v>73</v>
      </c>
    </row>
    <row r="33" spans="1:1" x14ac:dyDescent="0.3">
      <c r="A33" s="21" t="s">
        <v>74</v>
      </c>
    </row>
    <row r="34" spans="1:1" x14ac:dyDescent="0.3">
      <c r="A34" s="21" t="s">
        <v>75</v>
      </c>
    </row>
    <row r="35" spans="1:1" x14ac:dyDescent="0.3">
      <c r="A35" s="21" t="s">
        <v>76</v>
      </c>
    </row>
    <row r="36" spans="1:1" x14ac:dyDescent="0.3">
      <c r="A36" s="22" t="s">
        <v>77</v>
      </c>
    </row>
    <row r="37" spans="1:1" x14ac:dyDescent="0.3">
      <c r="A37" s="22" t="s">
        <v>78</v>
      </c>
    </row>
    <row r="38" spans="1:1" x14ac:dyDescent="0.3">
      <c r="A38" s="27" t="s">
        <v>79</v>
      </c>
    </row>
    <row r="39" spans="1:1" x14ac:dyDescent="0.3">
      <c r="A39" s="22" t="s">
        <v>80</v>
      </c>
    </row>
    <row r="40" spans="1:1" x14ac:dyDescent="0.3">
      <c r="A40" s="22" t="s">
        <v>81</v>
      </c>
    </row>
    <row r="41" spans="1:1" x14ac:dyDescent="0.3">
      <c r="A41" s="22" t="s">
        <v>82</v>
      </c>
    </row>
    <row r="42" spans="1:1" x14ac:dyDescent="0.3">
      <c r="A42" s="22" t="s">
        <v>83</v>
      </c>
    </row>
    <row r="43" spans="1:1" x14ac:dyDescent="0.3">
      <c r="A43" s="22" t="s">
        <v>84</v>
      </c>
    </row>
    <row r="44" spans="1:1" x14ac:dyDescent="0.3">
      <c r="A44" s="21" t="s">
        <v>85</v>
      </c>
    </row>
    <row r="45" spans="1:1" x14ac:dyDescent="0.3">
      <c r="A45" s="21" t="s">
        <v>86</v>
      </c>
    </row>
    <row r="46" spans="1:1" x14ac:dyDescent="0.3">
      <c r="A46" s="22" t="s">
        <v>87</v>
      </c>
    </row>
    <row r="47" spans="1:1" x14ac:dyDescent="0.3">
      <c r="A47" s="22" t="s">
        <v>88</v>
      </c>
    </row>
    <row r="48" spans="1:1" x14ac:dyDescent="0.3">
      <c r="A48" s="22" t="s">
        <v>89</v>
      </c>
    </row>
    <row r="49" spans="1:1" x14ac:dyDescent="0.3">
      <c r="A49" s="21" t="s">
        <v>90</v>
      </c>
    </row>
    <row r="50" spans="1:1" x14ac:dyDescent="0.3">
      <c r="A50" s="21" t="s">
        <v>91</v>
      </c>
    </row>
    <row r="51" spans="1:1" x14ac:dyDescent="0.3">
      <c r="A51" s="21" t="s">
        <v>92</v>
      </c>
    </row>
    <row r="52" spans="1:1" x14ac:dyDescent="0.3">
      <c r="A52" s="21" t="s">
        <v>93</v>
      </c>
    </row>
    <row r="53" spans="1:1" x14ac:dyDescent="0.3">
      <c r="A53" s="21" t="s">
        <v>94</v>
      </c>
    </row>
    <row r="54" spans="1:1" x14ac:dyDescent="0.3">
      <c r="A54" s="21" t="s">
        <v>95</v>
      </c>
    </row>
    <row r="55" spans="1:1" x14ac:dyDescent="0.3">
      <c r="A55" s="21" t="s">
        <v>96</v>
      </c>
    </row>
    <row r="56" spans="1:1" x14ac:dyDescent="0.3">
      <c r="A56" s="21" t="s">
        <v>97</v>
      </c>
    </row>
    <row r="57" spans="1:1" x14ac:dyDescent="0.3">
      <c r="A57" s="28">
        <v>604776737582</v>
      </c>
    </row>
    <row r="58" spans="1:1" x14ac:dyDescent="0.3">
      <c r="A58" s="21" t="s">
        <v>98</v>
      </c>
    </row>
    <row r="59" spans="1:1" x14ac:dyDescent="0.3">
      <c r="A59" s="21" t="s">
        <v>99</v>
      </c>
    </row>
    <row r="60" spans="1:1" x14ac:dyDescent="0.3">
      <c r="A60" s="21" t="s">
        <v>100</v>
      </c>
    </row>
    <row r="61" spans="1:1" x14ac:dyDescent="0.3">
      <c r="A61" s="21" t="s">
        <v>101</v>
      </c>
    </row>
    <row r="62" spans="1:1" x14ac:dyDescent="0.3">
      <c r="A62" s="22" t="s">
        <v>102</v>
      </c>
    </row>
    <row r="63" spans="1:1" x14ac:dyDescent="0.3">
      <c r="A63" s="22" t="s">
        <v>103</v>
      </c>
    </row>
    <row r="64" spans="1:1" x14ac:dyDescent="0.3">
      <c r="A64" s="21" t="s">
        <v>104</v>
      </c>
    </row>
    <row r="65" spans="1:1" x14ac:dyDescent="0.3">
      <c r="A65" s="21" t="s">
        <v>105</v>
      </c>
    </row>
    <row r="66" spans="1:1" x14ac:dyDescent="0.3">
      <c r="A66" s="22" t="s">
        <v>106</v>
      </c>
    </row>
    <row r="67" spans="1:1" x14ac:dyDescent="0.3">
      <c r="A67" s="22" t="s">
        <v>107</v>
      </c>
    </row>
    <row r="68" spans="1:1" x14ac:dyDescent="0.3">
      <c r="A68" s="21" t="s">
        <v>108</v>
      </c>
    </row>
    <row r="69" spans="1:1" x14ac:dyDescent="0.3">
      <c r="A69" s="21" t="s">
        <v>109</v>
      </c>
    </row>
    <row r="70" spans="1:1" x14ac:dyDescent="0.3">
      <c r="A70" s="21" t="s">
        <v>110</v>
      </c>
    </row>
    <row r="71" spans="1:1" x14ac:dyDescent="0.3">
      <c r="A71" s="21" t="s">
        <v>111</v>
      </c>
    </row>
    <row r="72" spans="1:1" x14ac:dyDescent="0.3">
      <c r="A72" s="21" t="s">
        <v>112</v>
      </c>
    </row>
    <row r="73" spans="1:1" x14ac:dyDescent="0.3">
      <c r="A73" s="21" t="s">
        <v>113</v>
      </c>
    </row>
    <row r="74" spans="1:1" x14ac:dyDescent="0.3">
      <c r="A74" s="21" t="s">
        <v>114</v>
      </c>
    </row>
    <row r="75" spans="1:1" x14ac:dyDescent="0.3">
      <c r="A75" s="22" t="s">
        <v>115</v>
      </c>
    </row>
    <row r="76" spans="1:1" x14ac:dyDescent="0.3">
      <c r="A76" s="22" t="s">
        <v>116</v>
      </c>
    </row>
    <row r="77" spans="1:1" x14ac:dyDescent="0.3">
      <c r="A77" s="22" t="s">
        <v>117</v>
      </c>
    </row>
    <row r="78" spans="1:1" x14ac:dyDescent="0.3">
      <c r="A78" s="22" t="s">
        <v>118</v>
      </c>
    </row>
    <row r="79" spans="1:1" x14ac:dyDescent="0.3">
      <c r="A79" s="22" t="s">
        <v>119</v>
      </c>
    </row>
    <row r="80" spans="1:1" x14ac:dyDescent="0.3">
      <c r="A80" s="21" t="s">
        <v>120</v>
      </c>
    </row>
    <row r="81" spans="1:1" x14ac:dyDescent="0.3">
      <c r="A81" s="21" t="s">
        <v>121</v>
      </c>
    </row>
    <row r="82" spans="1:1" x14ac:dyDescent="0.3">
      <c r="A82" s="21" t="s">
        <v>122</v>
      </c>
    </row>
    <row r="83" spans="1:1" x14ac:dyDescent="0.3">
      <c r="A83" s="21" t="s">
        <v>123</v>
      </c>
    </row>
    <row r="84" spans="1:1" x14ac:dyDescent="0.3">
      <c r="A84" s="21" t="s">
        <v>124</v>
      </c>
    </row>
    <row r="85" spans="1:1" x14ac:dyDescent="0.3">
      <c r="A85" s="22" t="s">
        <v>125</v>
      </c>
    </row>
    <row r="86" spans="1:1" x14ac:dyDescent="0.3">
      <c r="A86" s="22" t="s">
        <v>126</v>
      </c>
    </row>
    <row r="87" spans="1:1" x14ac:dyDescent="0.3">
      <c r="A87" s="22" t="s">
        <v>127</v>
      </c>
    </row>
    <row r="88" spans="1:1" x14ac:dyDescent="0.3">
      <c r="A88" s="22" t="s">
        <v>128</v>
      </c>
    </row>
    <row r="89" spans="1:1" x14ac:dyDescent="0.3">
      <c r="A89" s="29" t="s">
        <v>129</v>
      </c>
    </row>
    <row r="90" spans="1:1" x14ac:dyDescent="0.3">
      <c r="A90" s="29" t="s">
        <v>130</v>
      </c>
    </row>
    <row r="91" spans="1:1" x14ac:dyDescent="0.3">
      <c r="A91" s="22" t="s">
        <v>131</v>
      </c>
    </row>
    <row r="92" spans="1:1" x14ac:dyDescent="0.3">
      <c r="A92" s="22" t="s">
        <v>132</v>
      </c>
    </row>
    <row r="93" spans="1:1" x14ac:dyDescent="0.3">
      <c r="A93" s="22" t="s">
        <v>133</v>
      </c>
    </row>
    <row r="94" spans="1:1" x14ac:dyDescent="0.3">
      <c r="A94" s="22" t="s">
        <v>134</v>
      </c>
    </row>
    <row r="95" spans="1:1" x14ac:dyDescent="0.3">
      <c r="A95" s="22" t="s">
        <v>135</v>
      </c>
    </row>
    <row r="96" spans="1:1" x14ac:dyDescent="0.3">
      <c r="A96" s="22" t="s">
        <v>136</v>
      </c>
    </row>
    <row r="97" spans="1:1" x14ac:dyDescent="0.3">
      <c r="A97" s="22" t="s">
        <v>137</v>
      </c>
    </row>
    <row r="98" spans="1:1" x14ac:dyDescent="0.3">
      <c r="A98" s="22" t="s">
        <v>138</v>
      </c>
    </row>
    <row r="99" spans="1:1" x14ac:dyDescent="0.3">
      <c r="A99" s="21" t="s">
        <v>139</v>
      </c>
    </row>
    <row r="100" spans="1:1" x14ac:dyDescent="0.3">
      <c r="A100" s="21" t="s">
        <v>140</v>
      </c>
    </row>
    <row r="101" spans="1:1" x14ac:dyDescent="0.3">
      <c r="A101" s="30" t="s">
        <v>141</v>
      </c>
    </row>
    <row r="102" spans="1:1" x14ac:dyDescent="0.3">
      <c r="A102" s="30" t="s">
        <v>142</v>
      </c>
    </row>
    <row r="103" spans="1:1" x14ac:dyDescent="0.3">
      <c r="A103" s="30" t="s">
        <v>143</v>
      </c>
    </row>
    <row r="104" spans="1:1" x14ac:dyDescent="0.3">
      <c r="A104" s="21" t="s">
        <v>144</v>
      </c>
    </row>
    <row r="105" spans="1:1" x14ac:dyDescent="0.3">
      <c r="A105" s="30" t="s">
        <v>145</v>
      </c>
    </row>
    <row r="106" spans="1:1" x14ac:dyDescent="0.3">
      <c r="A106" s="22" t="s">
        <v>146</v>
      </c>
    </row>
    <row r="107" spans="1:1" x14ac:dyDescent="0.3">
      <c r="A107" s="22" t="s">
        <v>147</v>
      </c>
    </row>
    <row r="108" spans="1:1" x14ac:dyDescent="0.3">
      <c r="A108" s="22" t="s">
        <v>148</v>
      </c>
    </row>
    <row r="109" spans="1:1" x14ac:dyDescent="0.3">
      <c r="A109" s="21" t="s">
        <v>149</v>
      </c>
    </row>
    <row r="110" spans="1:1" x14ac:dyDescent="0.3">
      <c r="A110" s="22" t="s">
        <v>150</v>
      </c>
    </row>
    <row r="111" spans="1:1" x14ac:dyDescent="0.3">
      <c r="A111" s="21" t="s">
        <v>151</v>
      </c>
    </row>
    <row r="112" spans="1:1" x14ac:dyDescent="0.3">
      <c r="A112" s="21" t="s">
        <v>152</v>
      </c>
    </row>
    <row r="113" spans="1:1" x14ac:dyDescent="0.3">
      <c r="A113" s="21" t="s">
        <v>153</v>
      </c>
    </row>
    <row r="114" spans="1:1" x14ac:dyDescent="0.3">
      <c r="A114" s="21" t="s">
        <v>154</v>
      </c>
    </row>
    <row r="115" spans="1:1" x14ac:dyDescent="0.3">
      <c r="A115" s="21" t="s">
        <v>155</v>
      </c>
    </row>
    <row r="116" spans="1:1" x14ac:dyDescent="0.3">
      <c r="A116" s="21" t="s">
        <v>156</v>
      </c>
    </row>
    <row r="117" spans="1:1" x14ac:dyDescent="0.3">
      <c r="A117" s="21" t="s">
        <v>157</v>
      </c>
    </row>
    <row r="118" spans="1:1" x14ac:dyDescent="0.3">
      <c r="A118" s="21" t="s">
        <v>158</v>
      </c>
    </row>
    <row r="119" spans="1:1" x14ac:dyDescent="0.3">
      <c r="A119" s="22" t="s">
        <v>159</v>
      </c>
    </row>
    <row r="120" spans="1:1" x14ac:dyDescent="0.3">
      <c r="A120" s="21" t="s">
        <v>160</v>
      </c>
    </row>
    <row r="121" spans="1:1" x14ac:dyDescent="0.3">
      <c r="A121" s="21" t="s">
        <v>161</v>
      </c>
    </row>
    <row r="122" spans="1:1" x14ac:dyDescent="0.3">
      <c r="A122" s="21" t="s">
        <v>162</v>
      </c>
    </row>
    <row r="123" spans="1:1" x14ac:dyDescent="0.3">
      <c r="A123" s="21" t="s">
        <v>163</v>
      </c>
    </row>
    <row r="124" spans="1:1" x14ac:dyDescent="0.3">
      <c r="A124" s="21" t="s">
        <v>164</v>
      </c>
    </row>
    <row r="125" spans="1:1" x14ac:dyDescent="0.3">
      <c r="A125" s="31" t="s">
        <v>165</v>
      </c>
    </row>
    <row r="126" spans="1:1" x14ac:dyDescent="0.3">
      <c r="A126" s="21" t="s">
        <v>166</v>
      </c>
    </row>
    <row r="127" spans="1:1" x14ac:dyDescent="0.3">
      <c r="A127" s="22" t="s">
        <v>167</v>
      </c>
    </row>
    <row r="128" spans="1:1" x14ac:dyDescent="0.3">
      <c r="A128" s="22" t="s">
        <v>168</v>
      </c>
    </row>
    <row r="129" spans="1:1" x14ac:dyDescent="0.3">
      <c r="A129" s="21" t="s">
        <v>169</v>
      </c>
    </row>
    <row r="130" spans="1:1" x14ac:dyDescent="0.3">
      <c r="A130" s="21" t="s">
        <v>170</v>
      </c>
    </row>
    <row r="131" spans="1:1" x14ac:dyDescent="0.3">
      <c r="A131" s="30" t="s">
        <v>171</v>
      </c>
    </row>
    <row r="132" spans="1:1" x14ac:dyDescent="0.3">
      <c r="A132" s="30" t="s">
        <v>172</v>
      </c>
    </row>
    <row r="133" spans="1:1" x14ac:dyDescent="0.3">
      <c r="A133" s="21" t="s">
        <v>173</v>
      </c>
    </row>
    <row r="134" spans="1:1" x14ac:dyDescent="0.3">
      <c r="A134" s="32" t="s">
        <v>174</v>
      </c>
    </row>
    <row r="135" spans="1:1" x14ac:dyDescent="0.3">
      <c r="A135" s="33" t="s">
        <v>175</v>
      </c>
    </row>
    <row r="136" spans="1:1" x14ac:dyDescent="0.3">
      <c r="A136" s="34" t="s">
        <v>176</v>
      </c>
    </row>
    <row r="137" spans="1:1" x14ac:dyDescent="0.3">
      <c r="A137" s="28" t="s">
        <v>177</v>
      </c>
    </row>
    <row r="138" spans="1:1" x14ac:dyDescent="0.3">
      <c r="A138" s="35" t="s">
        <v>178</v>
      </c>
    </row>
    <row r="139" spans="1:1" x14ac:dyDescent="0.3">
      <c r="A139" s="36" t="s">
        <v>179</v>
      </c>
    </row>
    <row r="140" spans="1:1" x14ac:dyDescent="0.3">
      <c r="A140" s="36" t="s">
        <v>180</v>
      </c>
    </row>
    <row r="141" spans="1:1" x14ac:dyDescent="0.3">
      <c r="A141" s="36" t="s">
        <v>181</v>
      </c>
    </row>
    <row r="142" spans="1:1" x14ac:dyDescent="0.3">
      <c r="A142" s="22" t="s">
        <v>182</v>
      </c>
    </row>
    <row r="143" spans="1:1" x14ac:dyDescent="0.3">
      <c r="A143" s="21" t="s">
        <v>183</v>
      </c>
    </row>
    <row r="144" spans="1:1" x14ac:dyDescent="0.3">
      <c r="A144" s="21" t="s">
        <v>184</v>
      </c>
    </row>
    <row r="145" spans="1:1" x14ac:dyDescent="0.3">
      <c r="A145" s="21" t="s">
        <v>40</v>
      </c>
    </row>
    <row r="146" spans="1:1" x14ac:dyDescent="0.3">
      <c r="A146" s="22" t="s">
        <v>185</v>
      </c>
    </row>
    <row r="147" spans="1:1" x14ac:dyDescent="0.3">
      <c r="A147" s="21" t="s">
        <v>186</v>
      </c>
    </row>
    <row r="148" spans="1:1" x14ac:dyDescent="0.3">
      <c r="A148" s="21" t="s">
        <v>187</v>
      </c>
    </row>
    <row r="149" spans="1:1" x14ac:dyDescent="0.3">
      <c r="A149" s="21" t="s">
        <v>188</v>
      </c>
    </row>
    <row r="150" spans="1:1" x14ac:dyDescent="0.3">
      <c r="A150" s="21" t="s">
        <v>189</v>
      </c>
    </row>
    <row r="151" spans="1:1" x14ac:dyDescent="0.3">
      <c r="A151" s="22" t="s">
        <v>407</v>
      </c>
    </row>
    <row r="152" spans="1:1" x14ac:dyDescent="0.3">
      <c r="A152" s="22" t="s">
        <v>190</v>
      </c>
    </row>
    <row r="153" spans="1:1" x14ac:dyDescent="0.3">
      <c r="A153" s="22" t="s">
        <v>191</v>
      </c>
    </row>
    <row r="154" spans="1:1" x14ac:dyDescent="0.3">
      <c r="A154" s="21" t="s">
        <v>192</v>
      </c>
    </row>
    <row r="155" spans="1:1" x14ac:dyDescent="0.3">
      <c r="A155" s="21" t="s">
        <v>193</v>
      </c>
    </row>
    <row r="156" spans="1:1" x14ac:dyDescent="0.3">
      <c r="A156" s="21" t="s">
        <v>194</v>
      </c>
    </row>
    <row r="157" spans="1:1" x14ac:dyDescent="0.3">
      <c r="A157" s="22" t="s">
        <v>195</v>
      </c>
    </row>
    <row r="158" spans="1:1" x14ac:dyDescent="0.3">
      <c r="A158" s="22" t="s">
        <v>196</v>
      </c>
    </row>
    <row r="159" spans="1:1" x14ac:dyDescent="0.3">
      <c r="A159" s="22" t="s">
        <v>197</v>
      </c>
    </row>
    <row r="160" spans="1:1" x14ac:dyDescent="0.3">
      <c r="A160" s="22" t="s">
        <v>198</v>
      </c>
    </row>
    <row r="161" spans="1:1" x14ac:dyDescent="0.3">
      <c r="A161" s="22" t="s">
        <v>199</v>
      </c>
    </row>
    <row r="162" spans="1:1" x14ac:dyDescent="0.3">
      <c r="A162" s="21" t="s">
        <v>200</v>
      </c>
    </row>
    <row r="163" spans="1:1" x14ac:dyDescent="0.3">
      <c r="A163" s="21" t="s">
        <v>408</v>
      </c>
    </row>
    <row r="164" spans="1:1" x14ac:dyDescent="0.3">
      <c r="A164" s="21" t="s">
        <v>201</v>
      </c>
    </row>
    <row r="165" spans="1:1" x14ac:dyDescent="0.3">
      <c r="A165" s="29" t="s">
        <v>202</v>
      </c>
    </row>
    <row r="166" spans="1:1" x14ac:dyDescent="0.3">
      <c r="A166" s="22" t="s">
        <v>203</v>
      </c>
    </row>
    <row r="167" spans="1:1" x14ac:dyDescent="0.3">
      <c r="A167" s="21" t="s">
        <v>204</v>
      </c>
    </row>
    <row r="168" spans="1:1" x14ac:dyDescent="0.3">
      <c r="A168" s="21" t="s">
        <v>205</v>
      </c>
    </row>
    <row r="169" spans="1:1" x14ac:dyDescent="0.3">
      <c r="A169" s="22" t="s">
        <v>206</v>
      </c>
    </row>
    <row r="170" spans="1:1" x14ac:dyDescent="0.3">
      <c r="A170" s="21" t="s">
        <v>207</v>
      </c>
    </row>
    <row r="171" spans="1:1" x14ac:dyDescent="0.3">
      <c r="A171" s="22" t="s">
        <v>208</v>
      </c>
    </row>
    <row r="172" spans="1:1" x14ac:dyDescent="0.3">
      <c r="A172" s="22" t="s">
        <v>209</v>
      </c>
    </row>
    <row r="173" spans="1:1" x14ac:dyDescent="0.3">
      <c r="A173" s="22" t="s">
        <v>210</v>
      </c>
    </row>
    <row r="174" spans="1:1" x14ac:dyDescent="0.3">
      <c r="A174" s="22" t="s">
        <v>211</v>
      </c>
    </row>
    <row r="175" spans="1:1" x14ac:dyDescent="0.3">
      <c r="A175" s="22" t="s">
        <v>212</v>
      </c>
    </row>
    <row r="176" spans="1:1" x14ac:dyDescent="0.3">
      <c r="A176" s="21" t="s">
        <v>213</v>
      </c>
    </row>
    <row r="177" spans="1:1" x14ac:dyDescent="0.3">
      <c r="A177" s="30" t="s">
        <v>214</v>
      </c>
    </row>
    <row r="178" spans="1:1" x14ac:dyDescent="0.3">
      <c r="A178" s="30" t="s">
        <v>215</v>
      </c>
    </row>
    <row r="179" spans="1:1" x14ac:dyDescent="0.3">
      <c r="A179" s="21" t="s">
        <v>216</v>
      </c>
    </row>
    <row r="180" spans="1:1" x14ac:dyDescent="0.3">
      <c r="A180" s="21" t="s">
        <v>217</v>
      </c>
    </row>
    <row r="181" spans="1:1" x14ac:dyDescent="0.3">
      <c r="A181" s="22" t="s">
        <v>218</v>
      </c>
    </row>
    <row r="182" spans="1:1" x14ac:dyDescent="0.3">
      <c r="A182" s="22" t="s">
        <v>219</v>
      </c>
    </row>
    <row r="183" spans="1:1" x14ac:dyDescent="0.3">
      <c r="A183" s="29" t="s">
        <v>220</v>
      </c>
    </row>
    <row r="184" spans="1:1" x14ac:dyDescent="0.3">
      <c r="A184" s="22" t="s">
        <v>221</v>
      </c>
    </row>
    <row r="185" spans="1:1" x14ac:dyDescent="0.3">
      <c r="A185" s="21" t="s">
        <v>222</v>
      </c>
    </row>
    <row r="186" spans="1:1" x14ac:dyDescent="0.3">
      <c r="A186" s="21" t="s">
        <v>223</v>
      </c>
    </row>
    <row r="187" spans="1:1" x14ac:dyDescent="0.3">
      <c r="A187" s="21" t="s">
        <v>224</v>
      </c>
    </row>
    <row r="188" spans="1:1" x14ac:dyDescent="0.3">
      <c r="A188" s="21" t="s">
        <v>225</v>
      </c>
    </row>
    <row r="189" spans="1:1" x14ac:dyDescent="0.3">
      <c r="A189" s="30" t="s">
        <v>226</v>
      </c>
    </row>
    <row r="190" spans="1:1" x14ac:dyDescent="0.3">
      <c r="A190" s="21" t="s">
        <v>227</v>
      </c>
    </row>
    <row r="191" spans="1:1" x14ac:dyDescent="0.3">
      <c r="A191" s="22" t="s">
        <v>228</v>
      </c>
    </row>
    <row r="192" spans="1:1" x14ac:dyDescent="0.3">
      <c r="A192" s="21" t="s">
        <v>229</v>
      </c>
    </row>
    <row r="193" spans="1:1" x14ac:dyDescent="0.3">
      <c r="A193" s="22" t="s">
        <v>230</v>
      </c>
    </row>
    <row r="194" spans="1:1" x14ac:dyDescent="0.3">
      <c r="A194" s="21" t="s">
        <v>231</v>
      </c>
    </row>
    <row r="195" spans="1:1" x14ac:dyDescent="0.3">
      <c r="A195" s="22" t="s">
        <v>232</v>
      </c>
    </row>
    <row r="196" spans="1:1" x14ac:dyDescent="0.3">
      <c r="A196" s="22" t="s">
        <v>233</v>
      </c>
    </row>
    <row r="197" spans="1:1" x14ac:dyDescent="0.3">
      <c r="A197" s="21" t="s">
        <v>39</v>
      </c>
    </row>
    <row r="198" spans="1:1" x14ac:dyDescent="0.3">
      <c r="A198" s="21" t="s">
        <v>234</v>
      </c>
    </row>
    <row r="199" spans="1:1" x14ac:dyDescent="0.3">
      <c r="A199" s="21" t="s">
        <v>235</v>
      </c>
    </row>
    <row r="200" spans="1:1" x14ac:dyDescent="0.3">
      <c r="A200" s="21" t="s">
        <v>236</v>
      </c>
    </row>
    <row r="201" spans="1:1" x14ac:dyDescent="0.3">
      <c r="A201" s="22" t="s">
        <v>237</v>
      </c>
    </row>
    <row r="202" spans="1:1" x14ac:dyDescent="0.3">
      <c r="A202" s="22" t="s">
        <v>238</v>
      </c>
    </row>
    <row r="203" spans="1:1" x14ac:dyDescent="0.3">
      <c r="A203" s="22" t="s">
        <v>239</v>
      </c>
    </row>
    <row r="204" spans="1:1" x14ac:dyDescent="0.3">
      <c r="A204" s="22" t="s">
        <v>240</v>
      </c>
    </row>
    <row r="205" spans="1:1" x14ac:dyDescent="0.3">
      <c r="A205" s="21" t="s">
        <v>241</v>
      </c>
    </row>
    <row r="206" spans="1:1" x14ac:dyDescent="0.3">
      <c r="A206" s="21" t="s">
        <v>41</v>
      </c>
    </row>
    <row r="207" spans="1:1" x14ac:dyDescent="0.3">
      <c r="A207" s="21" t="s">
        <v>242</v>
      </c>
    </row>
    <row r="208" spans="1:1" x14ac:dyDescent="0.3">
      <c r="A208" s="21" t="s">
        <v>243</v>
      </c>
    </row>
    <row r="209" spans="1:1" x14ac:dyDescent="0.3">
      <c r="A209" s="21" t="s">
        <v>244</v>
      </c>
    </row>
    <row r="210" spans="1:1" x14ac:dyDescent="0.3">
      <c r="A210" s="22" t="s">
        <v>245</v>
      </c>
    </row>
    <row r="211" spans="1:1" x14ac:dyDescent="0.3">
      <c r="A211" s="21" t="s">
        <v>246</v>
      </c>
    </row>
    <row r="212" spans="1:1" x14ac:dyDescent="0.3">
      <c r="A212" s="21" t="s">
        <v>247</v>
      </c>
    </row>
    <row r="213" spans="1:1" x14ac:dyDescent="0.3">
      <c r="A213" s="21" t="s">
        <v>248</v>
      </c>
    </row>
    <row r="214" spans="1:1" x14ac:dyDescent="0.3">
      <c r="A214" s="21" t="s">
        <v>249</v>
      </c>
    </row>
    <row r="215" spans="1:1" x14ac:dyDescent="0.3">
      <c r="A215" s="21" t="s">
        <v>250</v>
      </c>
    </row>
    <row r="216" spans="1:1" x14ac:dyDescent="0.3">
      <c r="A216" s="22" t="s">
        <v>251</v>
      </c>
    </row>
    <row r="217" spans="1:1" x14ac:dyDescent="0.3">
      <c r="A217" s="22" t="s">
        <v>252</v>
      </c>
    </row>
    <row r="218" spans="1:1" x14ac:dyDescent="0.3">
      <c r="A218" s="22" t="s">
        <v>253</v>
      </c>
    </row>
    <row r="219" spans="1:1" x14ac:dyDescent="0.3">
      <c r="A219" s="21" t="s">
        <v>254</v>
      </c>
    </row>
    <row r="220" spans="1:1" x14ac:dyDescent="0.3">
      <c r="A220" s="21" t="s">
        <v>255</v>
      </c>
    </row>
    <row r="221" spans="1:1" x14ac:dyDescent="0.3">
      <c r="A221" s="21" t="s">
        <v>256</v>
      </c>
    </row>
    <row r="222" spans="1:1" x14ac:dyDescent="0.3">
      <c r="A222" s="21" t="s">
        <v>257</v>
      </c>
    </row>
    <row r="223" spans="1:1" x14ac:dyDescent="0.3">
      <c r="A223" s="21" t="s">
        <v>258</v>
      </c>
    </row>
    <row r="224" spans="1:1" x14ac:dyDescent="0.3">
      <c r="A224" s="21" t="s">
        <v>259</v>
      </c>
    </row>
    <row r="225" spans="1:1" x14ac:dyDescent="0.3">
      <c r="A225" s="37" t="s">
        <v>260</v>
      </c>
    </row>
    <row r="226" spans="1:1" x14ac:dyDescent="0.3">
      <c r="A226" s="26" t="s">
        <v>261</v>
      </c>
    </row>
    <row r="227" spans="1:1" x14ac:dyDescent="0.3">
      <c r="A227" s="26" t="s">
        <v>262</v>
      </c>
    </row>
    <row r="228" spans="1:1" x14ac:dyDescent="0.3">
      <c r="A228" s="21" t="s">
        <v>263</v>
      </c>
    </row>
    <row r="229" spans="1:1" x14ac:dyDescent="0.3">
      <c r="A229" s="21" t="s">
        <v>264</v>
      </c>
    </row>
    <row r="230" spans="1:1" x14ac:dyDescent="0.3">
      <c r="A230" s="22" t="s">
        <v>265</v>
      </c>
    </row>
    <row r="231" spans="1:1" x14ac:dyDescent="0.3">
      <c r="A231" s="22" t="s">
        <v>266</v>
      </c>
    </row>
    <row r="232" spans="1:1" x14ac:dyDescent="0.3">
      <c r="A232" s="22" t="s">
        <v>267</v>
      </c>
    </row>
    <row r="233" spans="1:1" x14ac:dyDescent="0.3">
      <c r="A233" s="21" t="s">
        <v>268</v>
      </c>
    </row>
    <row r="234" spans="1:1" x14ac:dyDescent="0.3">
      <c r="A234" s="22" t="s">
        <v>269</v>
      </c>
    </row>
    <row r="235" spans="1:1" x14ac:dyDescent="0.3">
      <c r="A235" s="21" t="s">
        <v>270</v>
      </c>
    </row>
    <row r="236" spans="1:1" x14ac:dyDescent="0.3">
      <c r="A236" s="21" t="s">
        <v>271</v>
      </c>
    </row>
    <row r="237" spans="1:1" x14ac:dyDescent="0.3">
      <c r="A237" s="22" t="s">
        <v>272</v>
      </c>
    </row>
    <row r="238" spans="1:1" x14ac:dyDescent="0.3">
      <c r="A238" s="22" t="s">
        <v>273</v>
      </c>
    </row>
    <row r="239" spans="1:1" x14ac:dyDescent="0.3">
      <c r="A239" s="22" t="s">
        <v>274</v>
      </c>
    </row>
    <row r="240" spans="1:1" x14ac:dyDescent="0.3">
      <c r="A240" s="21" t="s">
        <v>275</v>
      </c>
    </row>
    <row r="241" spans="1:1" x14ac:dyDescent="0.3">
      <c r="A241" s="21" t="s">
        <v>276</v>
      </c>
    </row>
    <row r="242" spans="1:1" x14ac:dyDescent="0.3">
      <c r="A242" s="21" t="s">
        <v>277</v>
      </c>
    </row>
    <row r="243" spans="1:1" x14ac:dyDescent="0.3">
      <c r="A243" s="21" t="s">
        <v>278</v>
      </c>
    </row>
    <row r="244" spans="1:1" x14ac:dyDescent="0.3">
      <c r="A244" s="31" t="s">
        <v>279</v>
      </c>
    </row>
    <row r="245" spans="1:1" x14ac:dyDescent="0.3">
      <c r="A245" s="38" t="s">
        <v>280</v>
      </c>
    </row>
    <row r="246" spans="1:1" x14ac:dyDescent="0.3">
      <c r="A246" s="38" t="s">
        <v>281</v>
      </c>
    </row>
    <row r="247" spans="1:1" x14ac:dyDescent="0.3">
      <c r="A247" s="35" t="s">
        <v>282</v>
      </c>
    </row>
    <row r="248" spans="1:1" x14ac:dyDescent="0.3">
      <c r="A248" s="29" t="s">
        <v>283</v>
      </c>
    </row>
    <row r="249" spans="1:1" x14ac:dyDescent="0.3">
      <c r="A249" s="35" t="s">
        <v>284</v>
      </c>
    </row>
    <row r="250" spans="1:1" x14ac:dyDescent="0.3">
      <c r="A250" s="35" t="s">
        <v>285</v>
      </c>
    </row>
    <row r="251" spans="1:1" x14ac:dyDescent="0.3">
      <c r="A251" s="35" t="s">
        <v>286</v>
      </c>
    </row>
    <row r="252" spans="1:1" x14ac:dyDescent="0.3">
      <c r="A252" s="35" t="s">
        <v>287</v>
      </c>
    </row>
    <row r="253" spans="1:1" x14ac:dyDescent="0.3">
      <c r="A253" s="31" t="s">
        <v>288</v>
      </c>
    </row>
    <row r="254" spans="1:1" x14ac:dyDescent="0.3">
      <c r="A254" s="38" t="s">
        <v>289</v>
      </c>
    </row>
    <row r="255" spans="1:1" x14ac:dyDescent="0.3">
      <c r="A255" s="38" t="s">
        <v>290</v>
      </c>
    </row>
    <row r="256" spans="1:1" x14ac:dyDescent="0.3">
      <c r="A256" s="35" t="s">
        <v>291</v>
      </c>
    </row>
    <row r="257" spans="1:1" x14ac:dyDescent="0.3">
      <c r="A257" s="31" t="s">
        <v>292</v>
      </c>
    </row>
    <row r="258" spans="1:1" x14ac:dyDescent="0.3">
      <c r="A258" s="31" t="s">
        <v>293</v>
      </c>
    </row>
    <row r="259" spans="1:1" x14ac:dyDescent="0.3">
      <c r="A259" s="38" t="s">
        <v>294</v>
      </c>
    </row>
    <row r="260" spans="1:1" x14ac:dyDescent="0.3">
      <c r="A260" s="31" t="s">
        <v>295</v>
      </c>
    </row>
    <row r="261" spans="1:1" x14ac:dyDescent="0.3">
      <c r="A261" s="35" t="s">
        <v>296</v>
      </c>
    </row>
    <row r="262" spans="1:1" x14ac:dyDescent="0.3">
      <c r="A262" s="38" t="s">
        <v>297</v>
      </c>
    </row>
    <row r="263" spans="1:1" x14ac:dyDescent="0.3">
      <c r="A263" s="35" t="s">
        <v>298</v>
      </c>
    </row>
    <row r="264" spans="1:1" x14ac:dyDescent="0.3">
      <c r="A264" s="38" t="s">
        <v>299</v>
      </c>
    </row>
    <row r="265" spans="1:1" x14ac:dyDescent="0.3">
      <c r="A265" s="38" t="s">
        <v>300</v>
      </c>
    </row>
    <row r="266" spans="1:1" x14ac:dyDescent="0.3">
      <c r="A266" s="39" t="s">
        <v>301</v>
      </c>
    </row>
    <row r="267" spans="1:1" x14ac:dyDescent="0.3">
      <c r="A267" s="39" t="s">
        <v>302</v>
      </c>
    </row>
    <row r="268" spans="1:1" x14ac:dyDescent="0.3">
      <c r="A268" s="38" t="s">
        <v>303</v>
      </c>
    </row>
    <row r="269" spans="1:1" x14ac:dyDescent="0.3">
      <c r="A269" s="35" t="s">
        <v>304</v>
      </c>
    </row>
    <row r="270" spans="1:1" x14ac:dyDescent="0.3">
      <c r="A270" s="31" t="s">
        <v>305</v>
      </c>
    </row>
    <row r="271" spans="1:1" x14ac:dyDescent="0.3">
      <c r="A271" s="31" t="s">
        <v>306</v>
      </c>
    </row>
    <row r="272" spans="1:1" x14ac:dyDescent="0.3">
      <c r="A272" s="31" t="s">
        <v>307</v>
      </c>
    </row>
    <row r="273" spans="1:1" x14ac:dyDescent="0.3">
      <c r="A273" s="27" t="s">
        <v>308</v>
      </c>
    </row>
    <row r="274" spans="1:1" x14ac:dyDescent="0.3">
      <c r="A274" s="27" t="s">
        <v>402</v>
      </c>
    </row>
    <row r="275" spans="1:1" x14ac:dyDescent="0.3">
      <c r="A275" s="38" t="s">
        <v>309</v>
      </c>
    </row>
    <row r="276" spans="1:1" x14ac:dyDescent="0.3">
      <c r="A276" s="38" t="s">
        <v>310</v>
      </c>
    </row>
    <row r="277" spans="1:1" x14ac:dyDescent="0.3">
      <c r="A277" s="38" t="s">
        <v>311</v>
      </c>
    </row>
    <row r="278" spans="1:1" x14ac:dyDescent="0.3">
      <c r="A278" s="38" t="s">
        <v>312</v>
      </c>
    </row>
    <row r="279" spans="1:1" x14ac:dyDescent="0.3">
      <c r="A279" s="35" t="s">
        <v>313</v>
      </c>
    </row>
    <row r="280" spans="1:1" x14ac:dyDescent="0.3">
      <c r="A280" s="38" t="s">
        <v>314</v>
      </c>
    </row>
    <row r="281" spans="1:1" x14ac:dyDescent="0.3">
      <c r="A281" s="31" t="s">
        <v>315</v>
      </c>
    </row>
    <row r="282" spans="1:1" x14ac:dyDescent="0.3">
      <c r="A282" s="38" t="s">
        <v>316</v>
      </c>
    </row>
    <row r="283" spans="1:1" x14ac:dyDescent="0.3">
      <c r="A283" s="38" t="s">
        <v>317</v>
      </c>
    </row>
    <row r="284" spans="1:1" x14ac:dyDescent="0.3">
      <c r="A284" s="35" t="s">
        <v>318</v>
      </c>
    </row>
    <row r="285" spans="1:1" x14ac:dyDescent="0.3">
      <c r="A285" s="29" t="s">
        <v>319</v>
      </c>
    </row>
    <row r="286" spans="1:1" x14ac:dyDescent="0.3">
      <c r="A286" s="21" t="s">
        <v>320</v>
      </c>
    </row>
    <row r="287" spans="1:1" x14ac:dyDescent="0.3">
      <c r="A287" s="22" t="s">
        <v>321</v>
      </c>
    </row>
    <row r="288" spans="1:1" x14ac:dyDescent="0.3">
      <c r="A288" s="21" t="s">
        <v>322</v>
      </c>
    </row>
    <row r="289" spans="1:1" x14ac:dyDescent="0.3">
      <c r="A289" s="21" t="s">
        <v>323</v>
      </c>
    </row>
    <row r="290" spans="1:1" x14ac:dyDescent="0.3">
      <c r="A290" s="22" t="s">
        <v>324</v>
      </c>
    </row>
    <row r="291" spans="1:1" x14ac:dyDescent="0.3">
      <c r="A291" s="22" t="s">
        <v>325</v>
      </c>
    </row>
    <row r="292" spans="1:1" x14ac:dyDescent="0.3">
      <c r="A292" s="22" t="s">
        <v>326</v>
      </c>
    </row>
    <row r="293" spans="1:1" x14ac:dyDescent="0.3">
      <c r="A293" s="21" t="s">
        <v>327</v>
      </c>
    </row>
    <row r="294" spans="1:1" x14ac:dyDescent="0.3">
      <c r="A294" s="30" t="s">
        <v>328</v>
      </c>
    </row>
    <row r="295" spans="1:1" x14ac:dyDescent="0.3">
      <c r="A295" s="30" t="s">
        <v>329</v>
      </c>
    </row>
    <row r="296" spans="1:1" x14ac:dyDescent="0.3">
      <c r="A296" s="30" t="s">
        <v>330</v>
      </c>
    </row>
    <row r="297" spans="1:1" x14ac:dyDescent="0.3">
      <c r="A297" s="22" t="s">
        <v>331</v>
      </c>
    </row>
    <row r="298" spans="1:1" x14ac:dyDescent="0.3">
      <c r="A298" s="22" t="s">
        <v>332</v>
      </c>
    </row>
    <row r="299" spans="1:1" x14ac:dyDescent="0.3">
      <c r="A299" s="29" t="s">
        <v>333</v>
      </c>
    </row>
    <row r="300" spans="1:1" x14ac:dyDescent="0.3">
      <c r="A300" s="29" t="s">
        <v>334</v>
      </c>
    </row>
    <row r="301" spans="1:1" x14ac:dyDescent="0.3">
      <c r="A301" s="29" t="s">
        <v>335</v>
      </c>
    </row>
    <row r="302" spans="1:1" x14ac:dyDescent="0.3">
      <c r="A302" s="29" t="s">
        <v>336</v>
      </c>
    </row>
    <row r="303" spans="1:1" x14ac:dyDescent="0.3">
      <c r="A303" s="29" t="s">
        <v>337</v>
      </c>
    </row>
    <row r="304" spans="1:1" x14ac:dyDescent="0.3">
      <c r="A304" s="29" t="s">
        <v>338</v>
      </c>
    </row>
    <row r="305" spans="1:1" x14ac:dyDescent="0.3">
      <c r="A305" s="22" t="s">
        <v>34</v>
      </c>
    </row>
    <row r="306" spans="1:1" x14ac:dyDescent="0.3">
      <c r="A306" s="26" t="s">
        <v>339</v>
      </c>
    </row>
    <row r="307" spans="1:1" x14ac:dyDescent="0.3">
      <c r="A307" s="21" t="s">
        <v>340</v>
      </c>
    </row>
    <row r="308" spans="1:1" x14ac:dyDescent="0.3">
      <c r="A308" s="30" t="s">
        <v>341</v>
      </c>
    </row>
    <row r="309" spans="1:1" x14ac:dyDescent="0.3">
      <c r="A309" s="22" t="s">
        <v>342</v>
      </c>
    </row>
    <row r="310" spans="1:1" x14ac:dyDescent="0.3">
      <c r="A310" s="21" t="s">
        <v>343</v>
      </c>
    </row>
    <row r="311" spans="1:1" x14ac:dyDescent="0.3">
      <c r="A311" s="21" t="s">
        <v>344</v>
      </c>
    </row>
    <row r="312" spans="1:1" x14ac:dyDescent="0.3">
      <c r="A312" s="31" t="s">
        <v>345</v>
      </c>
    </row>
    <row r="313" spans="1:1" x14ac:dyDescent="0.3">
      <c r="A313" s="29" t="s">
        <v>346</v>
      </c>
    </row>
    <row r="314" spans="1:1" x14ac:dyDescent="0.3">
      <c r="A314" s="31" t="s">
        <v>347</v>
      </c>
    </row>
    <row r="315" spans="1:1" x14ac:dyDescent="0.3">
      <c r="A315" s="29" t="s">
        <v>348</v>
      </c>
    </row>
    <row r="316" spans="1:1" x14ac:dyDescent="0.3">
      <c r="A316" s="35" t="s">
        <v>349</v>
      </c>
    </row>
    <row r="317" spans="1:1" x14ac:dyDescent="0.3">
      <c r="A317" s="40" t="s">
        <v>350</v>
      </c>
    </row>
    <row r="318" spans="1:1" x14ac:dyDescent="0.3">
      <c r="A318" s="40" t="s">
        <v>351</v>
      </c>
    </row>
    <row r="319" spans="1:1" x14ac:dyDescent="0.3">
      <c r="A319" s="30" t="s">
        <v>352</v>
      </c>
    </row>
    <row r="320" spans="1:1" x14ac:dyDescent="0.3">
      <c r="A320" s="35" t="s">
        <v>353</v>
      </c>
    </row>
    <row r="321" spans="1:1" x14ac:dyDescent="0.3">
      <c r="A321" s="31" t="s">
        <v>354</v>
      </c>
    </row>
    <row r="322" spans="1:1" x14ac:dyDescent="0.3">
      <c r="A322" s="30" t="s">
        <v>355</v>
      </c>
    </row>
    <row r="323" spans="1:1" x14ac:dyDescent="0.3">
      <c r="A323" s="30" t="s">
        <v>356</v>
      </c>
    </row>
    <row r="324" spans="1:1" x14ac:dyDescent="0.3">
      <c r="A324" s="38" t="s">
        <v>357</v>
      </c>
    </row>
    <row r="325" spans="1:1" x14ac:dyDescent="0.3">
      <c r="A325" s="29" t="s">
        <v>358</v>
      </c>
    </row>
    <row r="326" spans="1:1" x14ac:dyDescent="0.3">
      <c r="A326" s="29" t="s">
        <v>359</v>
      </c>
    </row>
    <row r="327" spans="1:1" x14ac:dyDescent="0.3">
      <c r="A327" s="31" t="s">
        <v>360</v>
      </c>
    </row>
    <row r="328" spans="1:1" x14ac:dyDescent="0.3">
      <c r="A328" s="31" t="s">
        <v>361</v>
      </c>
    </row>
    <row r="329" spans="1:1" x14ac:dyDescent="0.3">
      <c r="A329" s="31" t="s">
        <v>362</v>
      </c>
    </row>
    <row r="330" spans="1:1" x14ac:dyDescent="0.3">
      <c r="A330" s="29" t="s">
        <v>363</v>
      </c>
    </row>
    <row r="331" spans="1:1" x14ac:dyDescent="0.3">
      <c r="A331" s="29" t="s">
        <v>364</v>
      </c>
    </row>
    <row r="332" spans="1:1" x14ac:dyDescent="0.3">
      <c r="A332" s="29" t="s">
        <v>365</v>
      </c>
    </row>
    <row r="333" spans="1:1" x14ac:dyDescent="0.3">
      <c r="A333" s="35" t="s">
        <v>366</v>
      </c>
    </row>
    <row r="334" spans="1:1" x14ac:dyDescent="0.3">
      <c r="A334" s="29" t="s">
        <v>367</v>
      </c>
    </row>
    <row r="335" spans="1:1" x14ac:dyDescent="0.3">
      <c r="A335" s="29" t="s">
        <v>368</v>
      </c>
    </row>
    <row r="336" spans="1:1" x14ac:dyDescent="0.3">
      <c r="A336" s="29" t="s">
        <v>369</v>
      </c>
    </row>
    <row r="337" spans="1:1" x14ac:dyDescent="0.3">
      <c r="A337" s="31" t="s">
        <v>370</v>
      </c>
    </row>
    <row r="338" spans="1:1" x14ac:dyDescent="0.3">
      <c r="A338" s="31" t="s">
        <v>371</v>
      </c>
    </row>
    <row r="339" spans="1:1" x14ac:dyDescent="0.3">
      <c r="A339" s="31" t="s">
        <v>370</v>
      </c>
    </row>
    <row r="340" spans="1:1" x14ac:dyDescent="0.3">
      <c r="A340" s="21" t="s">
        <v>372</v>
      </c>
    </row>
    <row r="341" spans="1:1" x14ac:dyDescent="0.3">
      <c r="A341" s="38" t="s">
        <v>373</v>
      </c>
    </row>
    <row r="342" spans="1:1" x14ac:dyDescent="0.3">
      <c r="A342" s="29" t="s">
        <v>374</v>
      </c>
    </row>
    <row r="343" spans="1:1" x14ac:dyDescent="0.3">
      <c r="A343" s="41" t="s">
        <v>375</v>
      </c>
    </row>
    <row r="344" spans="1:1" x14ac:dyDescent="0.3">
      <c r="A344" s="41" t="s">
        <v>376</v>
      </c>
    </row>
    <row r="345" spans="1:1" x14ac:dyDescent="0.3">
      <c r="A345" s="39" t="s">
        <v>377</v>
      </c>
    </row>
    <row r="346" spans="1:1" x14ac:dyDescent="0.3">
      <c r="A346" s="39" t="s">
        <v>378</v>
      </c>
    </row>
    <row r="347" spans="1:1" x14ac:dyDescent="0.3">
      <c r="A347" s="39" t="s">
        <v>379</v>
      </c>
    </row>
    <row r="348" spans="1:1" x14ac:dyDescent="0.3">
      <c r="A348" s="38" t="s">
        <v>380</v>
      </c>
    </row>
    <row r="349" spans="1:1" x14ac:dyDescent="0.3">
      <c r="A349" s="35" t="s">
        <v>381</v>
      </c>
    </row>
    <row r="350" spans="1:1" x14ac:dyDescent="0.3">
      <c r="A350" s="38" t="s">
        <v>382</v>
      </c>
    </row>
    <row r="351" spans="1:1" x14ac:dyDescent="0.3">
      <c r="A351" s="29" t="s">
        <v>383</v>
      </c>
    </row>
    <row r="352" spans="1:1" x14ac:dyDescent="0.3">
      <c r="A352" s="35" t="s">
        <v>384</v>
      </c>
    </row>
    <row r="353" spans="1:1" x14ac:dyDescent="0.3">
      <c r="A353" s="31" t="s">
        <v>385</v>
      </c>
    </row>
    <row r="354" spans="1:1" x14ac:dyDescent="0.3">
      <c r="A354" s="39" t="s">
        <v>386</v>
      </c>
    </row>
    <row r="355" spans="1:1" x14ac:dyDescent="0.3">
      <c r="A355" s="40" t="s">
        <v>387</v>
      </c>
    </row>
    <row r="356" spans="1:1" x14ac:dyDescent="0.3">
      <c r="A356" s="35" t="s">
        <v>388</v>
      </c>
    </row>
    <row r="357" spans="1:1" x14ac:dyDescent="0.3">
      <c r="A357" s="38" t="s">
        <v>389</v>
      </c>
    </row>
    <row r="358" spans="1:1" x14ac:dyDescent="0.3">
      <c r="A358" s="35" t="s">
        <v>390</v>
      </c>
    </row>
    <row r="359" spans="1:1" x14ac:dyDescent="0.3">
      <c r="A359" s="27" t="s">
        <v>391</v>
      </c>
    </row>
    <row r="360" spans="1:1" x14ac:dyDescent="0.3">
      <c r="A360" s="27" t="s">
        <v>392</v>
      </c>
    </row>
    <row r="361" spans="1:1" x14ac:dyDescent="0.3">
      <c r="A361" s="35" t="s">
        <v>393</v>
      </c>
    </row>
    <row r="362" spans="1:1" x14ac:dyDescent="0.3">
      <c r="A362" s="31" t="s">
        <v>394</v>
      </c>
    </row>
    <row r="363" spans="1:1" x14ac:dyDescent="0.3">
      <c r="A363" s="35" t="s">
        <v>395</v>
      </c>
    </row>
    <row r="364" spans="1:1" x14ac:dyDescent="0.3">
      <c r="A364" s="38" t="s">
        <v>396</v>
      </c>
    </row>
    <row r="365" spans="1:1" x14ac:dyDescent="0.3">
      <c r="A365" s="35" t="s">
        <v>397</v>
      </c>
    </row>
    <row r="366" spans="1:1" x14ac:dyDescent="0.3">
      <c r="A366" s="35" t="s">
        <v>398</v>
      </c>
    </row>
    <row r="367" spans="1:1" x14ac:dyDescent="0.3">
      <c r="A367" s="21" t="s">
        <v>399</v>
      </c>
    </row>
    <row r="368" spans="1:1" x14ac:dyDescent="0.3">
      <c r="A368" s="21" t="s">
        <v>400</v>
      </c>
    </row>
    <row r="369" spans="1:1" x14ac:dyDescent="0.3">
      <c r="A369" s="42" t="s">
        <v>401</v>
      </c>
    </row>
    <row r="370" spans="1:1" x14ac:dyDescent="0.3">
      <c r="A370" s="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7E7F1-76D8-407F-A459-F48448A292E4}">
  <dimension ref="A1:ADA1164"/>
  <sheetViews>
    <sheetView topLeftCell="B1" zoomScaleNormal="100" workbookViewId="0">
      <pane ySplit="2" topLeftCell="A653" activePane="bottomLeft" state="frozen"/>
      <selection activeCell="B1" sqref="B1"/>
      <selection pane="bottomLeft" activeCell="E353" sqref="E353"/>
    </sheetView>
  </sheetViews>
  <sheetFormatPr defaultColWidth="9.109375" defaultRowHeight="33" customHeight="1" x14ac:dyDescent="0.3"/>
  <cols>
    <col min="1" max="1" width="11.44140625" hidden="1" customWidth="1"/>
    <col min="2" max="2" width="13.33203125" style="12" bestFit="1" customWidth="1"/>
    <col min="3" max="3" width="15.109375" style="12" customWidth="1"/>
    <col min="4" max="4" width="30.6640625" style="12" hidden="1" customWidth="1"/>
    <col min="5" max="5" width="12" style="18" customWidth="1"/>
    <col min="6" max="6" width="13.6640625" style="12" hidden="1" customWidth="1"/>
    <col min="7" max="7" width="34.5546875" style="12" customWidth="1"/>
    <col min="8" max="8" width="11.21875" style="12" hidden="1" customWidth="1"/>
    <col min="9" max="9" width="7" style="13" hidden="1" customWidth="1"/>
    <col min="10" max="10" width="13.33203125" style="12" customWidth="1"/>
    <col min="11" max="11" width="11.44140625" hidden="1" customWidth="1"/>
    <col min="12" max="12" width="12.44140625" hidden="1" customWidth="1"/>
    <col min="13" max="13" width="9.109375" hidden="1" customWidth="1"/>
    <col min="14" max="14" width="25.33203125" style="10" customWidth="1"/>
    <col min="15" max="15" width="30.6640625" hidden="1" customWidth="1"/>
    <col min="16" max="16" width="12.44140625" hidden="1" customWidth="1"/>
    <col min="17" max="17" width="14.88671875" hidden="1" customWidth="1"/>
    <col min="18" max="20" width="12.44140625" hidden="1" customWidth="1"/>
    <col min="21" max="21" width="30.6640625" hidden="1" customWidth="1"/>
    <col min="22" max="25" width="12.44140625" hidden="1" customWidth="1"/>
    <col min="26" max="26" width="18.5546875" hidden="1" customWidth="1"/>
    <col min="27" max="28" width="20.6640625" hidden="1" customWidth="1"/>
    <col min="29" max="30" width="12.88671875" customWidth="1"/>
    <col min="31" max="31" width="9.109375" hidden="1" customWidth="1"/>
    <col min="32" max="32" width="3.6640625" customWidth="1"/>
    <col min="33" max="33" width="8.6640625" customWidth="1"/>
    <col min="34" max="34" width="17" customWidth="1"/>
    <col min="35" max="35" width="8.6640625" customWidth="1"/>
    <col min="36" max="36" width="8.44140625" customWidth="1"/>
    <col min="37" max="37" width="8.6640625" hidden="1" customWidth="1"/>
    <col min="38" max="38" width="8.6640625" customWidth="1"/>
    <col min="39" max="39" width="6.33203125" customWidth="1"/>
    <col min="40" max="51" width="8.5546875" customWidth="1"/>
  </cols>
  <sheetData>
    <row r="1" spans="1:781" s="6" customFormat="1" ht="24.75" customHeight="1" thickTop="1" thickBot="1" x14ac:dyDescent="0.4">
      <c r="A1" s="16"/>
      <c r="B1" s="51" t="s">
        <v>404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F1"/>
      <c r="AG1" s="53" t="s">
        <v>405</v>
      </c>
      <c r="AH1" s="54"/>
      <c r="AI1" s="54"/>
      <c r="AJ1" s="55"/>
      <c r="AK1" t="e" cm="1">
        <f t="array" ref="AK1">_xlfn.TEXTJOIN("-",,INDEX(_xlfn.TEXTSPLIT(AH2,"-"),{1,2}))</f>
        <v>#VALUE!</v>
      </c>
      <c r="AL1" s="56"/>
      <c r="AM1" s="5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</row>
    <row r="2" spans="1:781" s="6" customFormat="1" ht="40.5" customHeight="1" thickTop="1" thickBot="1" x14ac:dyDescent="0.4">
      <c r="A2" s="8" t="s">
        <v>2</v>
      </c>
      <c r="B2" s="9" t="s">
        <v>3</v>
      </c>
      <c r="C2" s="9" t="s">
        <v>4</v>
      </c>
      <c r="D2" s="9" t="s">
        <v>5</v>
      </c>
      <c r="E2" s="9" t="s">
        <v>32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11</v>
      </c>
      <c r="K2" s="9" t="s">
        <v>12</v>
      </c>
      <c r="L2" s="9" t="s">
        <v>13</v>
      </c>
      <c r="M2" s="6" t="s">
        <v>38</v>
      </c>
      <c r="N2" s="9" t="s">
        <v>15</v>
      </c>
      <c r="O2" s="5" t="s">
        <v>16</v>
      </c>
      <c r="P2" s="1" t="s">
        <v>17</v>
      </c>
      <c r="Q2" s="3" t="s">
        <v>18</v>
      </c>
      <c r="R2" s="2" t="s">
        <v>19</v>
      </c>
      <c r="S2" s="2" t="s">
        <v>20</v>
      </c>
      <c r="T2" s="4" t="s">
        <v>21</v>
      </c>
      <c r="U2" s="1" t="s">
        <v>22</v>
      </c>
      <c r="V2" s="5" t="s">
        <v>23</v>
      </c>
      <c r="W2" s="5" t="s">
        <v>24</v>
      </c>
      <c r="X2" s="4" t="s">
        <v>25</v>
      </c>
      <c r="Y2" s="4" t="s">
        <v>26</v>
      </c>
      <c r="Z2" s="11" t="s">
        <v>27</v>
      </c>
      <c r="AA2" t="s">
        <v>28</v>
      </c>
      <c r="AB2" t="s">
        <v>29</v>
      </c>
      <c r="AC2" s="9" t="s">
        <v>30</v>
      </c>
      <c r="AD2" s="9" t="s">
        <v>31</v>
      </c>
      <c r="AE2" s="6" t="s">
        <v>37</v>
      </c>
      <c r="AF2"/>
      <c r="AG2" s="19" t="s">
        <v>33</v>
      </c>
      <c r="AH2" s="44"/>
      <c r="AI2" s="20" t="s">
        <v>35</v>
      </c>
      <c r="AJ2" s="45"/>
      <c r="AK2" t="e">
        <f>_xlfn.TEXTAFTER(AH2,"-", -1)</f>
        <v>#VALUE!</v>
      </c>
      <c r="AL2" s="56"/>
      <c r="AM2" s="5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/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/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/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/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/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/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/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/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/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/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/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/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</row>
    <row r="3" spans="1:781" ht="33" hidden="1" customHeight="1" thickTop="1" x14ac:dyDescent="0.3">
      <c r="A3">
        <v>45726</v>
      </c>
      <c r="B3" s="14" t="str">
        <f>'2026 Orders'!B2</f>
        <v>China</v>
      </c>
      <c r="C3" s="14" t="str">
        <f>'2026 Orders'!C2</f>
        <v>A4458</v>
      </c>
      <c r="D3" s="14">
        <v>0</v>
      </c>
      <c r="E3" s="17" t="str" cm="1">
        <f t="array" ref="E3">IF(C3=0,"",
HYPERLINK(
"#'2026 Orders'!C"&amp;
MATCH(1,
('2026 Orders'!C:C=C3)*
('2026 Orders'!G:G=G3)*
('2026 Orders'!N:N=N3),
0),
"Open "&amp;C3
))</f>
        <v>Open A4458</v>
      </c>
      <c r="F3" s="14">
        <v>0</v>
      </c>
      <c r="G3" s="14" t="str">
        <f>'2026 Orders'!G2</f>
        <v>SELENIU-60-FD</v>
      </c>
      <c r="H3" s="14" t="str">
        <f>'2026 Orders'!H2</f>
        <v>SELENIU-60</v>
      </c>
      <c r="I3" s="15" t="str">
        <f>'2026 Orders'!I2</f>
        <v>FD</v>
      </c>
      <c r="J3" s="14">
        <f>'2026 Orders'!J2</f>
        <v>200</v>
      </c>
      <c r="K3" t="s">
        <v>413</v>
      </c>
      <c r="L3">
        <v>0</v>
      </c>
      <c r="M3">
        <v>200</v>
      </c>
      <c r="N3" s="10" t="str">
        <f>'2026 Orders'!N2</f>
        <v>D/W Sent</v>
      </c>
      <c r="O3" t="s">
        <v>1076</v>
      </c>
      <c r="P3" t="s">
        <v>1077</v>
      </c>
      <c r="Q3" t="s">
        <v>1078</v>
      </c>
      <c r="R3">
        <v>3000</v>
      </c>
      <c r="S3">
        <v>4833</v>
      </c>
      <c r="T3" t="s">
        <v>1079</v>
      </c>
      <c r="U3">
        <v>0</v>
      </c>
      <c r="V3">
        <v>0</v>
      </c>
      <c r="W3">
        <v>0</v>
      </c>
      <c r="X3">
        <v>0</v>
      </c>
      <c r="Y3">
        <v>0</v>
      </c>
      <c r="Z3" t="s">
        <v>1080</v>
      </c>
      <c r="AC3" t="str">
        <f t="shared" ref="AC3:AC66" si="0">IF(OR(B3="",B3=0),"",J3&amp;"/"&amp;$AJ$2)</f>
        <v>200/</v>
      </c>
      <c r="AD3" t="e">
        <f t="shared" ref="AD3:AD66" si="1">IF(OR(J3="",J3=0),"",I3&amp;" -&gt; "&amp;$AK$2)</f>
        <v>#VALUE!</v>
      </c>
    </row>
    <row r="4" spans="1:781" ht="33" hidden="1" customHeight="1" x14ac:dyDescent="0.3">
      <c r="A4">
        <v>0</v>
      </c>
      <c r="B4" s="14">
        <f>'2026 Orders'!B3</f>
        <v>0</v>
      </c>
      <c r="C4" s="14">
        <f>'2026 Orders'!C3</f>
        <v>0</v>
      </c>
      <c r="D4" s="14">
        <v>0</v>
      </c>
      <c r="E4" s="17" t="str" cm="1">
        <f t="array" ref="E4">IF(C4=0,"",
HYPERLINK(
"#'2026 Orders'!C"&amp;
MATCH(1,
('2026 Orders'!C:C=C4)*
('2026 Orders'!G:G=G4)*
('2026 Orders'!N:N=N4),
0),
"Open "&amp;C4
))</f>
        <v/>
      </c>
      <c r="F4" s="14">
        <v>0</v>
      </c>
      <c r="G4" s="14">
        <f>'2026 Orders'!G3</f>
        <v>0</v>
      </c>
      <c r="H4" s="14">
        <f>'2026 Orders'!H3</f>
        <v>0</v>
      </c>
      <c r="I4" s="15" t="str">
        <f>'2026 Orders'!I3</f>
        <v/>
      </c>
      <c r="J4" s="14">
        <f>'2026 Orders'!J3</f>
        <v>0</v>
      </c>
      <c r="K4">
        <v>0</v>
      </c>
      <c r="L4">
        <v>0</v>
      </c>
      <c r="M4">
        <v>0</v>
      </c>
      <c r="N4" s="10">
        <f>'2026 Orders'!N3</f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C4" t="str">
        <f t="shared" si="0"/>
        <v/>
      </c>
      <c r="AD4" t="str">
        <f t="shared" si="1"/>
        <v/>
      </c>
    </row>
    <row r="5" spans="1:781" ht="33" hidden="1" customHeight="1" x14ac:dyDescent="0.3">
      <c r="A5">
        <v>45443</v>
      </c>
      <c r="B5" s="14" t="str">
        <f>'2026 Orders'!B4</f>
        <v>China</v>
      </c>
      <c r="C5" s="14" t="str">
        <f>'2026 Orders'!C4</f>
        <v>A4425</v>
      </c>
      <c r="D5" s="14">
        <v>0</v>
      </c>
      <c r="E5" s="17" t="str" cm="1">
        <f t="array" ref="E5">IF(C5=0,"",
HYPERLINK(
"#'2026 Orders'!C"&amp;
MATCH(1,
('2026 Orders'!C:C=C5)*
('2026 Orders'!G:G=G5)*
('2026 Orders'!N:N=N5),
0),
"Open "&amp;C5
))</f>
        <v>Open A4425</v>
      </c>
      <c r="F5" s="14">
        <v>0</v>
      </c>
      <c r="G5" s="14" t="str">
        <f>'2026 Orders'!G4</f>
        <v>VIACAL-60-FD</v>
      </c>
      <c r="H5" s="14" t="str">
        <f>'2026 Orders'!H4</f>
        <v>VIACAL-60</v>
      </c>
      <c r="I5" s="15" t="str">
        <f>'2026 Orders'!I4</f>
        <v>FD</v>
      </c>
      <c r="J5" s="14">
        <f>'2026 Orders'!J4</f>
        <v>200</v>
      </c>
      <c r="K5" t="s">
        <v>418</v>
      </c>
      <c r="L5">
        <v>200</v>
      </c>
      <c r="M5">
        <v>0</v>
      </c>
      <c r="N5" s="10" t="str">
        <f>'2026 Orders'!N4</f>
        <v>D/W Sent</v>
      </c>
      <c r="O5" t="s">
        <v>1081</v>
      </c>
      <c r="P5" t="s">
        <v>1077</v>
      </c>
      <c r="Q5" t="s">
        <v>1082</v>
      </c>
      <c r="R5">
        <v>2000</v>
      </c>
      <c r="S5">
        <v>4661</v>
      </c>
      <c r="T5" t="s">
        <v>1079</v>
      </c>
      <c r="U5">
        <v>0</v>
      </c>
      <c r="V5">
        <v>0</v>
      </c>
      <c r="W5">
        <v>0</v>
      </c>
      <c r="X5">
        <v>0</v>
      </c>
      <c r="Y5">
        <v>0</v>
      </c>
      <c r="Z5" t="s">
        <v>1083</v>
      </c>
      <c r="AC5" t="str">
        <f t="shared" si="0"/>
        <v>200/</v>
      </c>
      <c r="AD5" t="e">
        <f t="shared" si="1"/>
        <v>#VALUE!</v>
      </c>
    </row>
    <row r="6" spans="1:781" ht="33" hidden="1" customHeight="1" x14ac:dyDescent="0.3">
      <c r="A6">
        <v>0</v>
      </c>
      <c r="B6" s="14">
        <f>'2026 Orders'!B5</f>
        <v>0</v>
      </c>
      <c r="C6" s="14">
        <f>'2026 Orders'!C5</f>
        <v>0</v>
      </c>
      <c r="D6" s="14">
        <v>0</v>
      </c>
      <c r="E6" s="17" t="str" cm="1">
        <f t="array" ref="E6">IF(C6=0,"",
HYPERLINK(
"#'2026 Orders'!C"&amp;
MATCH(1,
('2026 Orders'!C:C=C6)*
('2026 Orders'!G:G=G6)*
('2026 Orders'!N:N=N6),
0),
"Open "&amp;C6
))</f>
        <v/>
      </c>
      <c r="F6" s="14">
        <v>0</v>
      </c>
      <c r="G6" s="14">
        <f>'2026 Orders'!G5</f>
        <v>0</v>
      </c>
      <c r="H6" s="14">
        <f>'2026 Orders'!H5</f>
        <v>0</v>
      </c>
      <c r="I6" s="15" t="str">
        <f>'2026 Orders'!I5</f>
        <v/>
      </c>
      <c r="J6" s="14">
        <f>'2026 Orders'!J5</f>
        <v>0</v>
      </c>
      <c r="K6">
        <v>0</v>
      </c>
      <c r="L6">
        <v>0</v>
      </c>
      <c r="M6">
        <v>0</v>
      </c>
      <c r="N6" s="10">
        <f>'2026 Orders'!N5</f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C6" t="str">
        <f t="shared" si="0"/>
        <v/>
      </c>
      <c r="AD6" t="str">
        <f t="shared" si="1"/>
        <v/>
      </c>
    </row>
    <row r="7" spans="1:781" ht="33" hidden="1" customHeight="1" x14ac:dyDescent="0.3">
      <c r="A7">
        <v>45589</v>
      </c>
      <c r="B7" s="14" t="str">
        <f>'2026 Orders'!B6</f>
        <v>UAE</v>
      </c>
      <c r="C7" s="14" t="str">
        <f>'2026 Orders'!C6</f>
        <v>A4624</v>
      </c>
      <c r="D7" s="14" t="s">
        <v>421</v>
      </c>
      <c r="E7" s="17" t="str" cm="1">
        <f t="array" ref="E7">IF(C7=0,"",
HYPERLINK(
"#'2026 Orders'!C"&amp;
MATCH(1,
('2026 Orders'!C:C=C7)*
('2026 Orders'!G:G=G7)*
('2026 Orders'!N:N=N7),
0),
"Open "&amp;C7
))</f>
        <v>Open A4624</v>
      </c>
      <c r="F7" s="14" t="s">
        <v>423</v>
      </c>
      <c r="G7" s="14" t="str">
        <f>'2026 Orders'!G6</f>
        <v>NERUFLX-60-FD</v>
      </c>
      <c r="H7" s="14" t="str">
        <f>'2026 Orders'!H6</f>
        <v>NERUFLX-60</v>
      </c>
      <c r="I7" s="15" t="str">
        <f>'2026 Orders'!I6</f>
        <v>FD</v>
      </c>
      <c r="J7" s="14">
        <f>'2026 Orders'!J6</f>
        <v>1054</v>
      </c>
      <c r="K7" t="s">
        <v>424</v>
      </c>
      <c r="L7">
        <v>1054</v>
      </c>
      <c r="M7">
        <v>0</v>
      </c>
      <c r="N7" s="10" t="str">
        <f>'2026 Orders'!N6</f>
        <v>D/W Sent</v>
      </c>
      <c r="O7" t="s">
        <v>1084</v>
      </c>
      <c r="P7" t="s">
        <v>1085</v>
      </c>
      <c r="Q7">
        <v>810131193164</v>
      </c>
      <c r="R7">
        <v>2500</v>
      </c>
      <c r="S7">
        <v>4524</v>
      </c>
      <c r="T7" t="s">
        <v>1079</v>
      </c>
      <c r="U7">
        <v>0</v>
      </c>
      <c r="V7">
        <v>0</v>
      </c>
      <c r="W7" t="s">
        <v>488</v>
      </c>
      <c r="X7">
        <v>0</v>
      </c>
      <c r="Y7" t="s">
        <v>488</v>
      </c>
      <c r="Z7" t="s">
        <v>1086</v>
      </c>
      <c r="AC7" t="str">
        <f t="shared" si="0"/>
        <v>1054/</v>
      </c>
      <c r="AD7" t="e">
        <f t="shared" si="1"/>
        <v>#VALUE!</v>
      </c>
    </row>
    <row r="8" spans="1:781" ht="33" hidden="1" customHeight="1" x14ac:dyDescent="0.3">
      <c r="A8">
        <v>0</v>
      </c>
      <c r="B8" s="14">
        <f>'2026 Orders'!B7</f>
        <v>0</v>
      </c>
      <c r="C8" s="14">
        <f>'2026 Orders'!C7</f>
        <v>0</v>
      </c>
      <c r="D8" s="14">
        <v>0</v>
      </c>
      <c r="E8" s="17" t="str" cm="1">
        <f t="array" ref="E8">IF(C8=0,"",
HYPERLINK(
"#'2026 Orders'!C"&amp;
MATCH(1,
('2026 Orders'!C:C=C8)*
('2026 Orders'!G:G=G8)*
('2026 Orders'!N:N=N8),
0),
"Open "&amp;C8
))</f>
        <v/>
      </c>
      <c r="F8" s="14">
        <v>0</v>
      </c>
      <c r="G8" s="14">
        <f>'2026 Orders'!G7</f>
        <v>0</v>
      </c>
      <c r="H8" s="14">
        <f>'2026 Orders'!H7</f>
        <v>0</v>
      </c>
      <c r="I8" s="15" t="str">
        <f>'2026 Orders'!I7</f>
        <v/>
      </c>
      <c r="J8" s="14">
        <f>'2026 Orders'!J7</f>
        <v>0</v>
      </c>
      <c r="K8">
        <v>0</v>
      </c>
      <c r="L8">
        <v>0</v>
      </c>
      <c r="M8">
        <v>0</v>
      </c>
      <c r="N8" s="10">
        <f>'2026 Orders'!N7</f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C8" t="str">
        <f t="shared" si="0"/>
        <v/>
      </c>
      <c r="AD8" t="str">
        <f t="shared" si="1"/>
        <v/>
      </c>
    </row>
    <row r="9" spans="1:781" ht="33" hidden="1" customHeight="1" x14ac:dyDescent="0.3">
      <c r="A9">
        <v>45880</v>
      </c>
      <c r="B9" s="14" t="str">
        <f>'2026 Orders'!B8</f>
        <v>Kuwait</v>
      </c>
      <c r="C9" s="14" t="str">
        <f>'2026 Orders'!C8</f>
        <v>A4562</v>
      </c>
      <c r="D9" s="14" t="s">
        <v>427</v>
      </c>
      <c r="E9" s="17" t="str" cm="1">
        <f t="array" ref="E9">IF(C9=0,"",
HYPERLINK(
"#'2026 Orders'!C"&amp;
MATCH(1,
('2026 Orders'!C:C=C9)*
('2026 Orders'!G:G=G9)*
('2026 Orders'!N:N=N9),
0),
"Open "&amp;C9
))</f>
        <v>Open A4562</v>
      </c>
      <c r="F9" s="14" t="s">
        <v>429</v>
      </c>
      <c r="G9" s="14" t="str">
        <f>'2026 Orders'!G8</f>
        <v>EYECAP-30-FD</v>
      </c>
      <c r="H9" s="14" t="str">
        <f>'2026 Orders'!H8</f>
        <v>EYECAP-30</v>
      </c>
      <c r="I9" s="15" t="str">
        <f>'2026 Orders'!I8</f>
        <v>FD</v>
      </c>
      <c r="J9" s="14">
        <f>'2026 Orders'!J8</f>
        <v>500</v>
      </c>
      <c r="K9" t="s">
        <v>430</v>
      </c>
      <c r="L9">
        <v>0</v>
      </c>
      <c r="M9">
        <v>500</v>
      </c>
      <c r="N9" s="10" t="str">
        <f>'2026 Orders'!N8</f>
        <v>ON HOLD</v>
      </c>
      <c r="O9">
        <v>0</v>
      </c>
      <c r="P9" t="s">
        <v>1085</v>
      </c>
      <c r="Q9">
        <v>609788968443</v>
      </c>
      <c r="R9">
        <v>0</v>
      </c>
      <c r="S9">
        <v>0</v>
      </c>
      <c r="T9">
        <v>0</v>
      </c>
      <c r="U9" t="s">
        <v>1087</v>
      </c>
      <c r="V9">
        <v>0</v>
      </c>
      <c r="W9">
        <v>0</v>
      </c>
      <c r="X9">
        <v>0</v>
      </c>
      <c r="Y9">
        <v>0</v>
      </c>
      <c r="Z9" t="s">
        <v>1086</v>
      </c>
      <c r="AC9" t="str">
        <f t="shared" si="0"/>
        <v>500/</v>
      </c>
      <c r="AD9" t="e">
        <f t="shared" si="1"/>
        <v>#VALUE!</v>
      </c>
    </row>
    <row r="10" spans="1:781" ht="33" hidden="1" customHeight="1" x14ac:dyDescent="0.3">
      <c r="A10">
        <v>0</v>
      </c>
      <c r="B10" s="14">
        <f>'2026 Orders'!B9</f>
        <v>0</v>
      </c>
      <c r="C10" s="14">
        <f>'2026 Orders'!C9</f>
        <v>0</v>
      </c>
      <c r="D10" s="14">
        <v>0</v>
      </c>
      <c r="E10" s="17" t="str" cm="1">
        <f t="array" ref="E10">IF(C10=0,"",
HYPERLINK(
"#'2026 Orders'!C"&amp;
MATCH(1,
('2026 Orders'!C:C=C10)*
('2026 Orders'!G:G=G10)*
('2026 Orders'!N:N=N10),
0),
"Open "&amp;C10
))</f>
        <v/>
      </c>
      <c r="F10" s="14">
        <v>0</v>
      </c>
      <c r="G10" s="14">
        <f>'2026 Orders'!G9</f>
        <v>0</v>
      </c>
      <c r="H10" s="14">
        <f>'2026 Orders'!H9</f>
        <v>0</v>
      </c>
      <c r="I10" s="15" t="str">
        <f>'2026 Orders'!I9</f>
        <v/>
      </c>
      <c r="J10" s="14">
        <f>'2026 Orders'!J9</f>
        <v>0</v>
      </c>
      <c r="K10">
        <v>0</v>
      </c>
      <c r="L10">
        <v>0</v>
      </c>
      <c r="M10">
        <v>0</v>
      </c>
      <c r="N10" s="10">
        <f>'2026 Orders'!N9</f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C10" t="str">
        <f t="shared" si="0"/>
        <v/>
      </c>
      <c r="AD10" t="str">
        <f t="shared" si="1"/>
        <v/>
      </c>
    </row>
    <row r="11" spans="1:781" ht="33" hidden="1" customHeight="1" x14ac:dyDescent="0.3">
      <c r="A11">
        <v>45890</v>
      </c>
      <c r="B11" s="14" t="str">
        <f>'2026 Orders'!B10</f>
        <v>Uganda</v>
      </c>
      <c r="C11" s="14" t="str">
        <f>'2026 Orders'!C10</f>
        <v>A4522</v>
      </c>
      <c r="D11" s="14">
        <v>0</v>
      </c>
      <c r="E11" s="17" t="str" cm="1">
        <f t="array" ref="E11">IF(C11=0,"",
HYPERLINK(
"#'2026 Orders'!C"&amp;
MATCH(1,
('2026 Orders'!C:C=C11)*
('2026 Orders'!G:G=G11)*
('2026 Orders'!N:N=N11),
0),
"Open "&amp;C11
))</f>
        <v>Open A4522</v>
      </c>
      <c r="F11" s="14">
        <v>0</v>
      </c>
      <c r="G11" s="14" t="str">
        <f>'2026 Orders'!G10</f>
        <v>SPERMCT-60-FD</v>
      </c>
      <c r="H11" s="14" t="str">
        <f>'2026 Orders'!H10</f>
        <v>SPERMCT-60</v>
      </c>
      <c r="I11" s="15" t="str">
        <f>'2026 Orders'!I10</f>
        <v>FD</v>
      </c>
      <c r="J11" s="14">
        <f>'2026 Orders'!J10</f>
        <v>96</v>
      </c>
      <c r="K11" t="s">
        <v>435</v>
      </c>
      <c r="L11">
        <v>96</v>
      </c>
      <c r="M11">
        <v>0</v>
      </c>
      <c r="N11" s="10" t="str">
        <f>'2026 Orders'!N10</f>
        <v>Picked</v>
      </c>
      <c r="O11" t="s">
        <v>1088</v>
      </c>
      <c r="P11" t="s">
        <v>1077</v>
      </c>
      <c r="Q11">
        <v>609788968405</v>
      </c>
      <c r="R11">
        <v>5500</v>
      </c>
      <c r="S11">
        <v>4850</v>
      </c>
      <c r="T11" t="s">
        <v>1079</v>
      </c>
      <c r="U11">
        <v>0</v>
      </c>
      <c r="V11">
        <v>0</v>
      </c>
      <c r="W11">
        <v>0</v>
      </c>
      <c r="X11">
        <v>0</v>
      </c>
      <c r="Y11">
        <v>0</v>
      </c>
      <c r="Z11" t="s">
        <v>1086</v>
      </c>
      <c r="AC11" t="str">
        <f t="shared" si="0"/>
        <v>96/</v>
      </c>
      <c r="AD11" t="e">
        <f t="shared" si="1"/>
        <v>#VALUE!</v>
      </c>
    </row>
    <row r="12" spans="1:781" ht="33" hidden="1" customHeight="1" x14ac:dyDescent="0.3">
      <c r="A12">
        <v>45890</v>
      </c>
      <c r="B12" s="14" t="str">
        <f>'2026 Orders'!B11</f>
        <v>Uganda</v>
      </c>
      <c r="C12" s="14" t="str">
        <f>'2026 Orders'!C11</f>
        <v>A4522</v>
      </c>
      <c r="D12" s="14">
        <v>0</v>
      </c>
      <c r="E12" s="17" t="str" cm="1">
        <f t="array" ref="E12">IF(C12=0,"",
HYPERLINK(
"#'2026 Orders'!C"&amp;
MATCH(1,
('2026 Orders'!C:C=C12)*
('2026 Orders'!G:G=G12)*
('2026 Orders'!N:N=N12),
0),
"Open "&amp;C12
))</f>
        <v>Open A4522</v>
      </c>
      <c r="F12" s="14" t="s">
        <v>437</v>
      </c>
      <c r="G12" s="14" t="str">
        <f>'2026 Orders'!G11</f>
        <v>WFSPLS-180-FD</v>
      </c>
      <c r="H12" s="14" t="str">
        <f>'2026 Orders'!H11</f>
        <v>WFSPLS-180</v>
      </c>
      <c r="I12" s="15" t="str">
        <f>'2026 Orders'!I11</f>
        <v>FD</v>
      </c>
      <c r="J12" s="14">
        <f>'2026 Orders'!J11</f>
        <v>120</v>
      </c>
      <c r="K12" t="s">
        <v>438</v>
      </c>
      <c r="L12">
        <v>120</v>
      </c>
      <c r="M12">
        <v>0</v>
      </c>
      <c r="N12" s="10" t="str">
        <f>'2026 Orders'!N11</f>
        <v>PO Drafted</v>
      </c>
      <c r="O12">
        <v>0</v>
      </c>
      <c r="P12" t="s">
        <v>1077</v>
      </c>
      <c r="Q12">
        <v>609788968405</v>
      </c>
      <c r="R12">
        <v>5500</v>
      </c>
      <c r="S12">
        <v>4850</v>
      </c>
      <c r="T12" t="s">
        <v>1079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C12" t="str">
        <f t="shared" si="0"/>
        <v>120/</v>
      </c>
      <c r="AD12" t="e">
        <f t="shared" si="1"/>
        <v>#VALUE!</v>
      </c>
    </row>
    <row r="13" spans="1:781" ht="33" hidden="1" customHeight="1" x14ac:dyDescent="0.3">
      <c r="A13">
        <v>45890</v>
      </c>
      <c r="B13" s="14" t="str">
        <f>'2026 Orders'!B12</f>
        <v>Uganda</v>
      </c>
      <c r="C13" s="14" t="str">
        <f>'2026 Orders'!C12</f>
        <v>A4522</v>
      </c>
      <c r="D13" s="14">
        <v>0</v>
      </c>
      <c r="E13" s="17" t="str" cm="1">
        <f t="array" ref="E13">IF(C13=0,"",
HYPERLINK(
"#'2026 Orders'!C"&amp;
MATCH(1,
('2026 Orders'!C:C=C13)*
('2026 Orders'!G:G=G13)*
('2026 Orders'!N:N=N13),
0),
"Open "&amp;C13
))</f>
        <v>Open A4522</v>
      </c>
      <c r="F13" s="14" t="s">
        <v>440</v>
      </c>
      <c r="G13" s="14" t="str">
        <f>'2026 Orders'!G12</f>
        <v>FERTMX-90-RE</v>
      </c>
      <c r="H13" s="14" t="str">
        <f>'2026 Orders'!H12</f>
        <v>FERTMX-90</v>
      </c>
      <c r="I13" s="15" t="str">
        <f>'2026 Orders'!I12</f>
        <v>RE</v>
      </c>
      <c r="J13" s="14">
        <f>'2026 Orders'!J12</f>
        <v>288</v>
      </c>
      <c r="K13" t="s">
        <v>441</v>
      </c>
      <c r="L13">
        <v>0</v>
      </c>
      <c r="M13">
        <v>288</v>
      </c>
      <c r="N13" s="10" t="str">
        <f>'2026 Orders'!N12</f>
        <v>PO submitted</v>
      </c>
      <c r="O13">
        <v>46012</v>
      </c>
      <c r="P13" t="s">
        <v>1077</v>
      </c>
      <c r="Q13">
        <v>609788968351</v>
      </c>
      <c r="R13">
        <v>7572</v>
      </c>
      <c r="S13">
        <v>5043</v>
      </c>
      <c r="T13">
        <v>46286</v>
      </c>
      <c r="U13" t="s">
        <v>1089</v>
      </c>
      <c r="V13">
        <v>0</v>
      </c>
      <c r="W13">
        <v>0</v>
      </c>
      <c r="X13">
        <v>0</v>
      </c>
      <c r="Y13">
        <v>0</v>
      </c>
      <c r="Z13">
        <v>0</v>
      </c>
      <c r="AC13" t="str">
        <f t="shared" si="0"/>
        <v>288/</v>
      </c>
      <c r="AD13" t="e">
        <f t="shared" si="1"/>
        <v>#VALUE!</v>
      </c>
    </row>
    <row r="14" spans="1:781" ht="33" hidden="1" customHeight="1" x14ac:dyDescent="0.3">
      <c r="A14">
        <v>45890</v>
      </c>
      <c r="B14" s="14" t="str">
        <f>'2026 Orders'!B13</f>
        <v>Uganda</v>
      </c>
      <c r="C14" s="14" t="str">
        <f>'2026 Orders'!C13</f>
        <v>A4522</v>
      </c>
      <c r="D14" s="14">
        <v>0</v>
      </c>
      <c r="E14" s="17" t="str" cm="1">
        <f t="array" ref="E14">IF(C14=0,"",
HYPERLINK(
"#'2026 Orders'!C"&amp;
MATCH(1,
('2026 Orders'!C:C=C14)*
('2026 Orders'!G:G=G14)*
('2026 Orders'!N:N=N14),
0),
"Open "&amp;C14
))</f>
        <v>Open A4522</v>
      </c>
      <c r="F14" s="14">
        <v>0</v>
      </c>
      <c r="G14" s="14" t="str">
        <f>'2026 Orders'!G13</f>
        <v>PRECON-90-FD</v>
      </c>
      <c r="H14" s="14" t="str">
        <f>'2026 Orders'!H13</f>
        <v>PRECON-90</v>
      </c>
      <c r="I14" s="15" t="str">
        <f>'2026 Orders'!I13</f>
        <v>FD</v>
      </c>
      <c r="J14" s="14">
        <f>'2026 Orders'!J13</f>
        <v>120</v>
      </c>
      <c r="K14" t="s">
        <v>443</v>
      </c>
      <c r="L14">
        <v>120</v>
      </c>
      <c r="M14">
        <v>0</v>
      </c>
      <c r="N14" s="10" t="str">
        <f>'2026 Orders'!N13</f>
        <v>Picked</v>
      </c>
      <c r="O14">
        <v>0</v>
      </c>
      <c r="P14" t="s">
        <v>1085</v>
      </c>
      <c r="Q14">
        <v>609788968726</v>
      </c>
      <c r="R14">
        <v>5000</v>
      </c>
      <c r="S14">
        <v>5041</v>
      </c>
      <c r="T14">
        <v>46248</v>
      </c>
      <c r="U14" t="s">
        <v>1090</v>
      </c>
      <c r="V14">
        <v>0</v>
      </c>
      <c r="W14">
        <v>0</v>
      </c>
      <c r="X14">
        <v>0</v>
      </c>
      <c r="Y14">
        <v>0</v>
      </c>
      <c r="Z14">
        <v>0</v>
      </c>
      <c r="AC14" t="str">
        <f t="shared" si="0"/>
        <v>120/</v>
      </c>
      <c r="AD14" t="e">
        <f t="shared" si="1"/>
        <v>#VALUE!</v>
      </c>
    </row>
    <row r="15" spans="1:781" ht="33" hidden="1" customHeight="1" x14ac:dyDescent="0.3">
      <c r="A15">
        <v>45890</v>
      </c>
      <c r="B15" s="14" t="str">
        <f>'2026 Orders'!B14</f>
        <v>Uganda</v>
      </c>
      <c r="C15" s="14" t="str">
        <f>'2026 Orders'!C14</f>
        <v>A4522</v>
      </c>
      <c r="D15" s="14">
        <v>0</v>
      </c>
      <c r="E15" s="17" t="str" cm="1">
        <f t="array" ref="E15">IF(C15=0,"",
HYPERLINK(
"#'2026 Orders'!C"&amp;
MATCH(1,
('2026 Orders'!C:C=C15)*
('2026 Orders'!G:G=G15)*
('2026 Orders'!N:N=N15),
0),
"Open "&amp;C15
))</f>
        <v>Open A4522</v>
      </c>
      <c r="F15" s="14">
        <v>0</v>
      </c>
      <c r="G15" s="14" t="str">
        <f>'2026 Orders'!G14</f>
        <v>QWELL4-30-SG-FD</v>
      </c>
      <c r="H15" s="14" t="str">
        <f>'2026 Orders'!H14</f>
        <v>QWELL4-30</v>
      </c>
      <c r="I15" s="15" t="str">
        <f>'2026 Orders'!I14</f>
        <v>FD</v>
      </c>
      <c r="J15" s="14">
        <f>'2026 Orders'!J14</f>
        <v>96</v>
      </c>
      <c r="K15" t="s">
        <v>444</v>
      </c>
      <c r="L15">
        <v>96</v>
      </c>
      <c r="M15">
        <v>0</v>
      </c>
      <c r="N15" s="10" t="str">
        <f>'2026 Orders'!N14</f>
        <v>Picked</v>
      </c>
      <c r="O15">
        <v>0</v>
      </c>
      <c r="P15" t="s">
        <v>1077</v>
      </c>
      <c r="Q15">
        <v>609788968368</v>
      </c>
      <c r="R15">
        <v>7500</v>
      </c>
      <c r="S15">
        <v>4714</v>
      </c>
      <c r="T15" t="s">
        <v>1079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C15" t="str">
        <f t="shared" si="0"/>
        <v>96/</v>
      </c>
      <c r="AD15" t="e">
        <f t="shared" si="1"/>
        <v>#VALUE!</v>
      </c>
    </row>
    <row r="16" spans="1:781" ht="33" hidden="1" customHeight="1" x14ac:dyDescent="0.3">
      <c r="A16">
        <v>45890</v>
      </c>
      <c r="B16" s="14" t="str">
        <f>'2026 Orders'!B15</f>
        <v>Uganda</v>
      </c>
      <c r="C16" s="14" t="str">
        <f>'2026 Orders'!C15</f>
        <v>A4522</v>
      </c>
      <c r="D16" s="14">
        <v>0</v>
      </c>
      <c r="E16" s="17" t="str" cm="1">
        <f t="array" ref="E16">IF(C16=0,"",
HYPERLINK(
"#'2026 Orders'!C"&amp;
MATCH(1,
('2026 Orders'!C:C=C16)*
('2026 Orders'!G:G=G16)*
('2026 Orders'!N:N=N16),
0),
"Open "&amp;C16
))</f>
        <v>Open A4522</v>
      </c>
      <c r="F16" s="14">
        <v>0</v>
      </c>
      <c r="G16" s="14" t="str">
        <f>'2026 Orders'!G15</f>
        <v>PROSTA-90-FD</v>
      </c>
      <c r="H16" s="14" t="str">
        <f>'2026 Orders'!H15</f>
        <v>PROSTA-90</v>
      </c>
      <c r="I16" s="15" t="str">
        <f>'2026 Orders'!I15</f>
        <v>FD</v>
      </c>
      <c r="J16" s="14">
        <f>'2026 Orders'!J15</f>
        <v>24</v>
      </c>
      <c r="K16" t="s">
        <v>445</v>
      </c>
      <c r="L16">
        <v>24</v>
      </c>
      <c r="M16">
        <v>0</v>
      </c>
      <c r="N16" s="10" t="str">
        <f>'2026 Orders'!N15</f>
        <v>Picked</v>
      </c>
      <c r="O16" t="s">
        <v>1088</v>
      </c>
      <c r="P16" t="s">
        <v>1077</v>
      </c>
      <c r="Q16">
        <v>609788968214</v>
      </c>
      <c r="R16">
        <v>17633</v>
      </c>
      <c r="S16">
        <v>4858</v>
      </c>
      <c r="T16" t="s">
        <v>1079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C16" t="str">
        <f t="shared" si="0"/>
        <v>24/</v>
      </c>
      <c r="AD16" t="e">
        <f t="shared" si="1"/>
        <v>#VALUE!</v>
      </c>
    </row>
    <row r="17" spans="1:30" ht="33" hidden="1" customHeight="1" x14ac:dyDescent="0.3">
      <c r="A17">
        <v>45890</v>
      </c>
      <c r="B17" s="14" t="str">
        <f>'2026 Orders'!B16</f>
        <v>Uganda</v>
      </c>
      <c r="C17" s="14" t="str">
        <f>'2026 Orders'!C16</f>
        <v>A4522</v>
      </c>
      <c r="D17" s="14">
        <v>0</v>
      </c>
      <c r="E17" s="17" t="str" cm="1">
        <f t="array" ref="E17">IF(C17=0,"",
HYPERLINK(
"#'2026 Orders'!C"&amp;
MATCH(1,
('2026 Orders'!C:C=C17)*
('2026 Orders'!G:G=G17)*
('2026 Orders'!N:N=N17),
0),
"Open "&amp;C17
))</f>
        <v>Open A4522</v>
      </c>
      <c r="F17" s="14" t="s">
        <v>446</v>
      </c>
      <c r="G17" s="14" t="str">
        <f>'2026 Orders'!G16</f>
        <v>OVAMAX-120-FD</v>
      </c>
      <c r="H17" s="14" t="str">
        <f>'2026 Orders'!H16</f>
        <v>OVAMAX-120</v>
      </c>
      <c r="I17" s="15" t="str">
        <f>'2026 Orders'!I16</f>
        <v>FD</v>
      </c>
      <c r="J17" s="14">
        <f>'2026 Orders'!J16</f>
        <v>192</v>
      </c>
      <c r="K17" t="s">
        <v>447</v>
      </c>
      <c r="L17">
        <v>0</v>
      </c>
      <c r="M17">
        <v>192</v>
      </c>
      <c r="N17" s="10" t="str">
        <f>'2026 Orders'!N16</f>
        <v>In Production</v>
      </c>
      <c r="O17">
        <v>0</v>
      </c>
      <c r="P17" t="s">
        <v>1077</v>
      </c>
      <c r="Q17">
        <v>609788968504</v>
      </c>
      <c r="R17">
        <v>4000</v>
      </c>
      <c r="S17">
        <v>4802</v>
      </c>
      <c r="T17" t="s">
        <v>1079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C17" t="str">
        <f t="shared" si="0"/>
        <v>192/</v>
      </c>
      <c r="AD17" t="e">
        <f t="shared" si="1"/>
        <v>#VALUE!</v>
      </c>
    </row>
    <row r="18" spans="1:30" ht="33" hidden="1" customHeight="1" x14ac:dyDescent="0.3">
      <c r="A18">
        <v>45923</v>
      </c>
      <c r="B18" s="14" t="str">
        <f>'2026 Orders'!B17</f>
        <v>Uganda</v>
      </c>
      <c r="C18" s="14" t="str">
        <f>'2026 Orders'!C17</f>
        <v>A4522</v>
      </c>
      <c r="D18" s="14">
        <v>0</v>
      </c>
      <c r="E18" s="17" t="str" cm="1">
        <f t="array" ref="E18">IF(C18=0,"",
HYPERLINK(
"#'2026 Orders'!C"&amp;
MATCH(1,
('2026 Orders'!C:C=C18)*
('2026 Orders'!G:G=G18)*
('2026 Orders'!N:N=N18),
0),
"Open "&amp;C18
))</f>
        <v>Open A4522</v>
      </c>
      <c r="F18" s="14">
        <v>0</v>
      </c>
      <c r="G18" s="14" t="str">
        <f>'2026 Orders'!G17</f>
        <v>WFSPLS-180-FD</v>
      </c>
      <c r="H18" s="14" t="str">
        <f>'2026 Orders'!H17</f>
        <v>WFSPLS-180</v>
      </c>
      <c r="I18" s="15" t="str">
        <f>'2026 Orders'!I17</f>
        <v>FD</v>
      </c>
      <c r="J18" s="14">
        <f>'2026 Orders'!J17</f>
        <v>48</v>
      </c>
      <c r="K18" t="s">
        <v>438</v>
      </c>
      <c r="L18">
        <v>0</v>
      </c>
      <c r="M18">
        <v>48</v>
      </c>
      <c r="N18" s="10" t="str">
        <f>'2026 Orders'!N17</f>
        <v>Picked</v>
      </c>
      <c r="O18">
        <v>0</v>
      </c>
      <c r="P18" t="s">
        <v>1077</v>
      </c>
      <c r="Q18">
        <v>810131199586</v>
      </c>
      <c r="R18">
        <v>10775</v>
      </c>
      <c r="S18">
        <v>5055</v>
      </c>
      <c r="T18">
        <v>46250</v>
      </c>
      <c r="U18" t="s">
        <v>1091</v>
      </c>
      <c r="V18">
        <v>0</v>
      </c>
      <c r="W18">
        <v>0</v>
      </c>
      <c r="X18">
        <v>0</v>
      </c>
      <c r="Y18">
        <v>0</v>
      </c>
      <c r="Z18">
        <v>0</v>
      </c>
      <c r="AC18" t="str">
        <f t="shared" si="0"/>
        <v>48/</v>
      </c>
      <c r="AD18" t="e">
        <f t="shared" si="1"/>
        <v>#VALUE!</v>
      </c>
    </row>
    <row r="19" spans="1:30" ht="33" hidden="1" customHeight="1" x14ac:dyDescent="0.3">
      <c r="A19">
        <v>45923</v>
      </c>
      <c r="B19" s="14" t="str">
        <f>'2026 Orders'!B18</f>
        <v>Uganda</v>
      </c>
      <c r="C19" s="14" t="str">
        <f>'2026 Orders'!C18</f>
        <v>A4522</v>
      </c>
      <c r="D19" s="14">
        <v>0</v>
      </c>
      <c r="E19" s="17" t="str" cm="1">
        <f t="array" ref="E19">IF(C19=0,"",
HYPERLINK(
"#'2026 Orders'!C"&amp;
MATCH(1,
('2026 Orders'!C:C=C19)*
('2026 Orders'!G:G=G19)*
('2026 Orders'!N:N=N19),
0),
"Open "&amp;C19
))</f>
        <v>Open A4522</v>
      </c>
      <c r="F19" s="14">
        <v>0</v>
      </c>
      <c r="G19" s="14" t="str">
        <f>'2026 Orders'!G18</f>
        <v>FERTMX-90-RE</v>
      </c>
      <c r="H19" s="14" t="str">
        <f>'2026 Orders'!H18</f>
        <v>FERTMX-90</v>
      </c>
      <c r="I19" s="15" t="str">
        <f>'2026 Orders'!I18</f>
        <v>RE</v>
      </c>
      <c r="J19" s="14">
        <f>'2026 Orders'!J18</f>
        <v>40</v>
      </c>
      <c r="K19" t="s">
        <v>441</v>
      </c>
      <c r="L19">
        <v>40</v>
      </c>
      <c r="M19">
        <v>0</v>
      </c>
      <c r="N19" s="10" t="str">
        <f>'2026 Orders'!N18</f>
        <v>Picked</v>
      </c>
      <c r="O19">
        <v>0</v>
      </c>
      <c r="P19" t="s">
        <v>1077</v>
      </c>
      <c r="Q19">
        <v>609788968351</v>
      </c>
      <c r="R19">
        <v>9000</v>
      </c>
      <c r="S19">
        <v>4845</v>
      </c>
      <c r="T19" t="s">
        <v>1079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C19" t="str">
        <f t="shared" si="0"/>
        <v>40/</v>
      </c>
      <c r="AD19" t="e">
        <f t="shared" si="1"/>
        <v>#VALUE!</v>
      </c>
    </row>
    <row r="20" spans="1:30" ht="33" hidden="1" customHeight="1" x14ac:dyDescent="0.3">
      <c r="A20">
        <v>45923</v>
      </c>
      <c r="B20" s="14" t="str">
        <f>'2026 Orders'!B19</f>
        <v>Uganda</v>
      </c>
      <c r="C20" s="14" t="str">
        <f>'2026 Orders'!C19</f>
        <v>A4522</v>
      </c>
      <c r="D20" s="14">
        <v>0</v>
      </c>
      <c r="E20" s="17" t="str" cm="1">
        <f t="array" ref="E20">IF(C20=0,"",
HYPERLINK(
"#'2026 Orders'!C"&amp;
MATCH(1,
('2026 Orders'!C:C=C20)*
('2026 Orders'!G:G=G20)*
('2026 Orders'!N:N=N20),
0),
"Open "&amp;C20
))</f>
        <v>Open A4522</v>
      </c>
      <c r="F20" s="14" t="s">
        <v>449</v>
      </c>
      <c r="G20" s="14" t="str">
        <f>'2026 Orders'!G19</f>
        <v>FERTMX-90-RE</v>
      </c>
      <c r="H20" s="14" t="str">
        <f>'2026 Orders'!H19</f>
        <v>FERTMX-90</v>
      </c>
      <c r="I20" s="15" t="str">
        <f>'2026 Orders'!I19</f>
        <v>RE</v>
      </c>
      <c r="J20" s="14">
        <f>'2026 Orders'!J19</f>
        <v>200</v>
      </c>
      <c r="K20" t="s">
        <v>441</v>
      </c>
      <c r="L20">
        <v>0</v>
      </c>
      <c r="M20">
        <v>200</v>
      </c>
      <c r="N20" s="10" t="str">
        <f>'2026 Orders'!N19</f>
        <v>PO submitted</v>
      </c>
      <c r="O20">
        <v>0</v>
      </c>
      <c r="P20" t="s">
        <v>1085</v>
      </c>
      <c r="Q20">
        <v>609788968726</v>
      </c>
      <c r="R20">
        <v>5000</v>
      </c>
      <c r="S20">
        <v>5041</v>
      </c>
      <c r="T20">
        <v>46248</v>
      </c>
      <c r="U20" t="s">
        <v>1090</v>
      </c>
      <c r="V20">
        <v>0</v>
      </c>
      <c r="W20">
        <v>0</v>
      </c>
      <c r="X20">
        <v>0</v>
      </c>
      <c r="Y20">
        <v>0</v>
      </c>
      <c r="Z20">
        <v>0</v>
      </c>
      <c r="AC20" t="str">
        <f t="shared" si="0"/>
        <v>200/</v>
      </c>
      <c r="AD20" t="e">
        <f t="shared" si="1"/>
        <v>#VALUE!</v>
      </c>
    </row>
    <row r="21" spans="1:30" ht="33" hidden="1" customHeight="1" x14ac:dyDescent="0.3">
      <c r="A21">
        <v>46114</v>
      </c>
      <c r="B21" s="14" t="str">
        <f>'2026 Orders'!B20</f>
        <v>Uganda</v>
      </c>
      <c r="C21" s="14" t="str">
        <f>'2026 Orders'!C20</f>
        <v>A4522</v>
      </c>
      <c r="D21" s="14" t="s">
        <v>450</v>
      </c>
      <c r="E21" s="17" t="str" cm="1">
        <f t="array" ref="E21">IF(C21=0,"",
HYPERLINK(
"#'2026 Orders'!C"&amp;
MATCH(1,
('2026 Orders'!C:C=C21)*
('2026 Orders'!G:G=G21)*
('2026 Orders'!N:N=N21),
0),
"Open "&amp;C21
))</f>
        <v>Open A4522</v>
      </c>
      <c r="F21" s="14">
        <v>0</v>
      </c>
      <c r="G21" s="14" t="str">
        <f>'2026 Orders'!G20</f>
        <v>PENAMAX-60-GE-FD</v>
      </c>
      <c r="H21" s="14" t="str">
        <f>'2026 Orders'!H20</f>
        <v>PENAMAX-60</v>
      </c>
      <c r="I21" s="15" t="str">
        <f>'2026 Orders'!I20</f>
        <v>FD</v>
      </c>
      <c r="J21" s="14">
        <f>'2026 Orders'!J20</f>
        <v>96</v>
      </c>
      <c r="K21" t="s">
        <v>451</v>
      </c>
      <c r="L21">
        <v>96</v>
      </c>
      <c r="M21">
        <v>0</v>
      </c>
      <c r="N21" s="10" t="str">
        <f>'2026 Orders'!N20</f>
        <v>Picked</v>
      </c>
      <c r="O21">
        <v>0</v>
      </c>
      <c r="P21" t="s">
        <v>1085</v>
      </c>
      <c r="Q21">
        <v>609788968726</v>
      </c>
      <c r="R21">
        <v>5000</v>
      </c>
      <c r="S21">
        <v>5041</v>
      </c>
      <c r="T21">
        <v>46248</v>
      </c>
      <c r="U21" t="s">
        <v>1090</v>
      </c>
      <c r="V21">
        <v>0</v>
      </c>
      <c r="W21">
        <v>0</v>
      </c>
      <c r="X21">
        <v>0</v>
      </c>
      <c r="Y21">
        <v>0</v>
      </c>
      <c r="Z21">
        <v>0</v>
      </c>
      <c r="AC21" t="str">
        <f t="shared" si="0"/>
        <v>96/</v>
      </c>
      <c r="AD21" t="e">
        <f t="shared" si="1"/>
        <v>#VALUE!</v>
      </c>
    </row>
    <row r="22" spans="1:30" ht="33" hidden="1" customHeight="1" x14ac:dyDescent="0.3">
      <c r="A22">
        <v>45923</v>
      </c>
      <c r="B22" s="14" t="str">
        <f>'2026 Orders'!B21</f>
        <v>Uganda</v>
      </c>
      <c r="C22" s="14" t="str">
        <f>'2026 Orders'!C21</f>
        <v>A4522</v>
      </c>
      <c r="D22" s="14">
        <v>0</v>
      </c>
      <c r="E22" s="17" t="str" cm="1">
        <f t="array" ref="E22">IF(C22=0,"",
HYPERLINK(
"#'2026 Orders'!C"&amp;
MATCH(1,
('2026 Orders'!C:C=C22)*
('2026 Orders'!G:G=G22)*
('2026 Orders'!N:N=N22),
0),
"Open "&amp;C22
))</f>
        <v>Open A4522</v>
      </c>
      <c r="F22" s="14" t="s">
        <v>452</v>
      </c>
      <c r="G22" s="14" t="str">
        <f>'2026 Orders'!G21</f>
        <v>DHEA50-60-FD</v>
      </c>
      <c r="H22" s="14" t="str">
        <f>'2026 Orders'!H21</f>
        <v>DHEA50-60</v>
      </c>
      <c r="I22" s="15" t="str">
        <f>'2026 Orders'!I21</f>
        <v>FD</v>
      </c>
      <c r="J22" s="14">
        <f>'2026 Orders'!J21</f>
        <v>72</v>
      </c>
      <c r="K22" t="s">
        <v>453</v>
      </c>
      <c r="L22">
        <v>0</v>
      </c>
      <c r="M22">
        <v>72</v>
      </c>
      <c r="N22" s="10" t="str">
        <f>'2026 Orders'!N21</f>
        <v>In Production</v>
      </c>
      <c r="O22">
        <v>0</v>
      </c>
      <c r="P22" t="s">
        <v>1085</v>
      </c>
      <c r="Q22">
        <v>609788968702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C22" t="str">
        <f t="shared" si="0"/>
        <v>72/</v>
      </c>
      <c r="AD22" t="e">
        <f t="shared" si="1"/>
        <v>#VALUE!</v>
      </c>
    </row>
    <row r="23" spans="1:30" ht="33" hidden="1" customHeight="1" x14ac:dyDescent="0.3">
      <c r="A23">
        <v>45923</v>
      </c>
      <c r="B23" s="14" t="str">
        <f>'2026 Orders'!B22</f>
        <v>Uganda</v>
      </c>
      <c r="C23" s="14" t="str">
        <f>'2026 Orders'!C22</f>
        <v>A4522</v>
      </c>
      <c r="D23" s="14">
        <v>0</v>
      </c>
      <c r="E23" s="17" t="str" cm="1">
        <f t="array" ref="E23">IF(C23=0,"",
HYPERLINK(
"#'2026 Orders'!C"&amp;
MATCH(1,
('2026 Orders'!C:C=C23)*
('2026 Orders'!G:G=G23)*
('2026 Orders'!N:N=N23),
0),
"Open "&amp;C23
))</f>
        <v>Open A4522</v>
      </c>
      <c r="F23" s="14" t="s">
        <v>454</v>
      </c>
      <c r="G23" s="14" t="str">
        <f>'2026 Orders'!G22</f>
        <v>QWELL4-30-SG-FD</v>
      </c>
      <c r="H23" s="14" t="str">
        <f>'2026 Orders'!H22</f>
        <v>QWELL4-30</v>
      </c>
      <c r="I23" s="15" t="str">
        <f>'2026 Orders'!I22</f>
        <v>FD</v>
      </c>
      <c r="J23" s="14">
        <f>'2026 Orders'!J22</f>
        <v>48</v>
      </c>
      <c r="K23" t="s">
        <v>444</v>
      </c>
      <c r="L23">
        <v>48</v>
      </c>
      <c r="M23">
        <v>0</v>
      </c>
      <c r="N23" s="10" t="str">
        <f>'2026 Orders'!N22</f>
        <v>Picked</v>
      </c>
      <c r="O23">
        <v>0</v>
      </c>
      <c r="P23" t="s">
        <v>1077</v>
      </c>
      <c r="Q23">
        <v>609788968221</v>
      </c>
      <c r="R23">
        <v>7000</v>
      </c>
      <c r="S23">
        <v>5027</v>
      </c>
      <c r="T23" t="s">
        <v>1079</v>
      </c>
      <c r="U23" t="s">
        <v>1092</v>
      </c>
      <c r="V23">
        <v>0</v>
      </c>
      <c r="W23">
        <v>0</v>
      </c>
      <c r="X23">
        <v>0</v>
      </c>
      <c r="Y23">
        <v>0</v>
      </c>
      <c r="Z23">
        <v>0</v>
      </c>
      <c r="AC23" t="str">
        <f t="shared" si="0"/>
        <v>48/</v>
      </c>
      <c r="AD23" t="e">
        <f t="shared" si="1"/>
        <v>#VALUE!</v>
      </c>
    </row>
    <row r="24" spans="1:30" ht="33" hidden="1" customHeight="1" x14ac:dyDescent="0.3">
      <c r="A24">
        <v>45923</v>
      </c>
      <c r="B24" s="14" t="str">
        <f>'2026 Orders'!B23</f>
        <v>Uganda</v>
      </c>
      <c r="C24" s="14" t="str">
        <f>'2026 Orders'!C23</f>
        <v>A4522</v>
      </c>
      <c r="D24" s="14">
        <v>0</v>
      </c>
      <c r="E24" s="17" t="str" cm="1">
        <f t="array" ref="E24">IF(C24=0,"",
HYPERLINK(
"#'2026 Orders'!C"&amp;
MATCH(1,
('2026 Orders'!C:C=C24)*
('2026 Orders'!G:G=G24)*
('2026 Orders'!N:N=N24),
0),
"Open "&amp;C24
))</f>
        <v>Open A4522</v>
      </c>
      <c r="F24" s="14">
        <v>0</v>
      </c>
      <c r="G24" s="14" t="str">
        <f>'2026 Orders'!G23</f>
        <v>PRECON-180-FD</v>
      </c>
      <c r="H24" s="14" t="str">
        <f>'2026 Orders'!H23</f>
        <v>PRECON-180</v>
      </c>
      <c r="I24" s="15" t="str">
        <f>'2026 Orders'!I23</f>
        <v>FD</v>
      </c>
      <c r="J24" s="14">
        <f>'2026 Orders'!J23</f>
        <v>50</v>
      </c>
      <c r="K24" t="s">
        <v>455</v>
      </c>
      <c r="L24">
        <v>0</v>
      </c>
      <c r="M24">
        <v>50</v>
      </c>
      <c r="N24" s="10" t="str">
        <f>'2026 Orders'!N23</f>
        <v>In Production</v>
      </c>
      <c r="O24">
        <v>0</v>
      </c>
      <c r="P24" t="s">
        <v>1077</v>
      </c>
      <c r="Q24" t="s">
        <v>1093</v>
      </c>
      <c r="R24">
        <v>17633</v>
      </c>
      <c r="S24">
        <v>4858</v>
      </c>
      <c r="T24" t="s">
        <v>1079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C24" t="str">
        <f t="shared" si="0"/>
        <v>50/</v>
      </c>
      <c r="AD24" t="e">
        <f t="shared" si="1"/>
        <v>#VALUE!</v>
      </c>
    </row>
    <row r="25" spans="1:30" ht="33" hidden="1" customHeight="1" x14ac:dyDescent="0.3">
      <c r="A25">
        <v>45975</v>
      </c>
      <c r="B25" s="14">
        <f>'2026 Orders'!B24</f>
        <v>0</v>
      </c>
      <c r="C25" s="14">
        <f>'2026 Orders'!C24</f>
        <v>0</v>
      </c>
      <c r="D25" s="14">
        <v>0</v>
      </c>
      <c r="E25" s="17" t="str" cm="1">
        <f t="array" ref="E25">IF(C25=0,"",
HYPERLINK(
"#'2026 Orders'!C"&amp;
MATCH(1,
('2026 Orders'!C:C=C25)*
('2026 Orders'!G:G=G25)*
('2026 Orders'!N:N=N25),
0),
"Open "&amp;C25
))</f>
        <v/>
      </c>
      <c r="F25" s="14">
        <v>0</v>
      </c>
      <c r="G25" s="14">
        <f>'2026 Orders'!G24</f>
        <v>0</v>
      </c>
      <c r="H25" s="14">
        <f>'2026 Orders'!H24</f>
        <v>0</v>
      </c>
      <c r="I25" s="15" t="str">
        <f>'2026 Orders'!I24</f>
        <v/>
      </c>
      <c r="J25" s="14">
        <f>'2026 Orders'!J24</f>
        <v>0</v>
      </c>
      <c r="K25">
        <v>0</v>
      </c>
      <c r="L25">
        <v>0</v>
      </c>
      <c r="M25">
        <v>0</v>
      </c>
      <c r="N25" s="10">
        <f>'2026 Orders'!N24</f>
        <v>0</v>
      </c>
      <c r="O25">
        <v>0</v>
      </c>
      <c r="P25" t="s">
        <v>1077</v>
      </c>
      <c r="Q25">
        <v>609788968375</v>
      </c>
      <c r="R25">
        <v>5000</v>
      </c>
      <c r="S25">
        <v>5060</v>
      </c>
      <c r="T25" t="s">
        <v>1094</v>
      </c>
      <c r="U25" t="s">
        <v>1095</v>
      </c>
      <c r="V25">
        <v>0</v>
      </c>
      <c r="W25">
        <v>0</v>
      </c>
      <c r="X25">
        <v>0</v>
      </c>
      <c r="Y25">
        <v>0</v>
      </c>
      <c r="Z25">
        <v>0</v>
      </c>
      <c r="AC25" t="str">
        <f t="shared" si="0"/>
        <v/>
      </c>
      <c r="AD25" t="str">
        <f t="shared" si="1"/>
        <v/>
      </c>
    </row>
    <row r="26" spans="1:30" ht="33" hidden="1" customHeight="1" x14ac:dyDescent="0.3">
      <c r="A26">
        <v>0</v>
      </c>
      <c r="B26" s="14" t="str">
        <f>'2026 Orders'!B25</f>
        <v>Morocco</v>
      </c>
      <c r="C26" s="14" t="str">
        <f>'2026 Orders'!C25</f>
        <v>A4518</v>
      </c>
      <c r="D26" s="14" t="s">
        <v>458</v>
      </c>
      <c r="E26" s="17" t="str" cm="1">
        <f t="array" ref="E26">IF(C26=0,"",
HYPERLINK(
"#'2026 Orders'!C"&amp;
MATCH(1,
('2026 Orders'!C:C=C26)*
('2026 Orders'!G:G=G26)*
('2026 Orders'!N:N=N26),
0),
"Open "&amp;C26
))</f>
        <v>Open A4518</v>
      </c>
      <c r="F26" s="14">
        <v>0</v>
      </c>
      <c r="G26" s="14" t="str">
        <f>'2026 Orders'!G25</f>
        <v>MOTILMX-60-FD</v>
      </c>
      <c r="H26" s="14" t="str">
        <f>'2026 Orders'!H25</f>
        <v>MOTILMX-60</v>
      </c>
      <c r="I26" s="15" t="str">
        <f>'2026 Orders'!I25</f>
        <v>FD</v>
      </c>
      <c r="J26" s="14">
        <f>'2026 Orders'!J25</f>
        <v>1</v>
      </c>
      <c r="K26" t="s">
        <v>460</v>
      </c>
      <c r="L26">
        <v>1</v>
      </c>
      <c r="M26">
        <v>0</v>
      </c>
      <c r="N26" s="10" t="str">
        <f>'2026 Orders'!N25</f>
        <v>D/W Sent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C26" t="str">
        <f t="shared" si="0"/>
        <v>1/</v>
      </c>
      <c r="AD26" t="e">
        <f t="shared" si="1"/>
        <v>#VALUE!</v>
      </c>
    </row>
    <row r="27" spans="1:30" ht="33" hidden="1" customHeight="1" x14ac:dyDescent="0.3">
      <c r="A27">
        <v>45897</v>
      </c>
      <c r="B27" s="14" t="str">
        <f>'2026 Orders'!B26</f>
        <v>Morocco</v>
      </c>
      <c r="C27" s="14" t="str">
        <f>'2026 Orders'!C26</f>
        <v>A4518</v>
      </c>
      <c r="D27" s="14">
        <v>0</v>
      </c>
      <c r="E27" s="17" t="str" cm="1">
        <f t="array" ref="E27">IF(C27=0,"",
HYPERLINK(
"#'2026 Orders'!C"&amp;
MATCH(1,
('2026 Orders'!C:C=C27)*
('2026 Orders'!G:G=G27)*
('2026 Orders'!N:N=N27),
0),
"Open "&amp;C27
))</f>
        <v>Open A4518</v>
      </c>
      <c r="F27" s="14">
        <v>0</v>
      </c>
      <c r="G27" s="14" t="str">
        <f>'2026 Orders'!G26</f>
        <v>MFSPLS-60-FD</v>
      </c>
      <c r="H27" s="14" t="str">
        <f>'2026 Orders'!H26</f>
        <v>MFSPLS-60</v>
      </c>
      <c r="I27" s="15" t="str">
        <f>'2026 Orders'!I26</f>
        <v>FD</v>
      </c>
      <c r="J27" s="14">
        <f>'2026 Orders'!J26</f>
        <v>1</v>
      </c>
      <c r="K27" t="s">
        <v>461</v>
      </c>
      <c r="L27">
        <v>1</v>
      </c>
      <c r="M27">
        <v>0</v>
      </c>
      <c r="N27" s="10" t="str">
        <f>'2026 Orders'!N26</f>
        <v>D/W Sent</v>
      </c>
      <c r="O27" t="s">
        <v>1096</v>
      </c>
      <c r="P27" t="s">
        <v>1077</v>
      </c>
      <c r="Q27">
        <v>609788968191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 t="s">
        <v>1083</v>
      </c>
      <c r="AC27" t="str">
        <f t="shared" si="0"/>
        <v>1/</v>
      </c>
      <c r="AD27" t="e">
        <f t="shared" si="1"/>
        <v>#VALUE!</v>
      </c>
    </row>
    <row r="28" spans="1:30" ht="33" hidden="1" customHeight="1" x14ac:dyDescent="0.3">
      <c r="A28">
        <v>45897</v>
      </c>
      <c r="B28" s="14" t="str">
        <f>'2026 Orders'!B27</f>
        <v>Morocco</v>
      </c>
      <c r="C28" s="14" t="str">
        <f>'2026 Orders'!C27</f>
        <v>A4518</v>
      </c>
      <c r="D28" s="14">
        <v>0</v>
      </c>
      <c r="E28" s="17" t="str" cm="1">
        <f t="array" ref="E28">IF(C28=0,"",
HYPERLINK(
"#'2026 Orders'!C"&amp;
MATCH(1,
('2026 Orders'!C:C=C28)*
('2026 Orders'!G:G=G28)*
('2026 Orders'!N:N=N28),
0),
"Open "&amp;C28
))</f>
        <v>Open A4518</v>
      </c>
      <c r="F28" s="14">
        <v>0</v>
      </c>
      <c r="G28" s="14" t="str">
        <f>'2026 Orders'!G27</f>
        <v>MFSPLS-120-FD</v>
      </c>
      <c r="H28" s="14" t="str">
        <f>'2026 Orders'!H27</f>
        <v>MFSPLS-120</v>
      </c>
      <c r="I28" s="15" t="str">
        <f>'2026 Orders'!I27</f>
        <v>FD</v>
      </c>
      <c r="J28" s="14">
        <f>'2026 Orders'!J27</f>
        <v>1</v>
      </c>
      <c r="K28" t="s">
        <v>462</v>
      </c>
      <c r="L28">
        <v>1</v>
      </c>
      <c r="M28">
        <v>0</v>
      </c>
      <c r="N28" s="10" t="str">
        <f>'2026 Orders'!N27</f>
        <v>D/W Sent</v>
      </c>
      <c r="O28" t="s">
        <v>1097</v>
      </c>
      <c r="P28" t="s">
        <v>1077</v>
      </c>
      <c r="Q28">
        <v>609788968092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C28" t="str">
        <f t="shared" si="0"/>
        <v>1/</v>
      </c>
      <c r="AD28" t="e">
        <f t="shared" si="1"/>
        <v>#VALUE!</v>
      </c>
    </row>
    <row r="29" spans="1:30" ht="33" hidden="1" customHeight="1" x14ac:dyDescent="0.3">
      <c r="A29">
        <v>45897</v>
      </c>
      <c r="B29" s="14" t="str">
        <f>'2026 Orders'!B28</f>
        <v>Morocco</v>
      </c>
      <c r="C29" s="14" t="str">
        <f>'2026 Orders'!C28</f>
        <v>A4518</v>
      </c>
      <c r="D29" s="14">
        <v>0</v>
      </c>
      <c r="E29" s="17" t="str" cm="1">
        <f t="array" ref="E29">IF(C29=0,"",
HYPERLINK(
"#'2026 Orders'!C"&amp;
MATCH(1,
('2026 Orders'!C:C=C29)*
('2026 Orders'!G:G=G29)*
('2026 Orders'!N:N=N29),
0),
"Open "&amp;C29
))</f>
        <v>Open A4518</v>
      </c>
      <c r="F29" s="14">
        <v>0</v>
      </c>
      <c r="G29" s="14" t="str">
        <f>'2026 Orders'!G28</f>
        <v>POLYSIT-90-FD</v>
      </c>
      <c r="H29" s="14" t="str">
        <f>'2026 Orders'!H28</f>
        <v>POLYSIT-90</v>
      </c>
      <c r="I29" s="15" t="str">
        <f>'2026 Orders'!I28</f>
        <v>FD</v>
      </c>
      <c r="J29" s="14">
        <f>'2026 Orders'!J28</f>
        <v>1</v>
      </c>
      <c r="K29" t="s">
        <v>463</v>
      </c>
      <c r="L29">
        <v>1</v>
      </c>
      <c r="M29">
        <v>0</v>
      </c>
      <c r="N29" s="10" t="str">
        <f>'2026 Orders'!N28</f>
        <v>D/W Sent</v>
      </c>
      <c r="O29">
        <v>0</v>
      </c>
      <c r="P29" t="s">
        <v>1077</v>
      </c>
      <c r="Q29">
        <v>609788968344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C29" t="str">
        <f t="shared" si="0"/>
        <v>1/</v>
      </c>
      <c r="AD29" t="e">
        <f t="shared" si="1"/>
        <v>#VALUE!</v>
      </c>
    </row>
    <row r="30" spans="1:30" ht="33" hidden="1" customHeight="1" x14ac:dyDescent="0.3">
      <c r="A30">
        <v>45897</v>
      </c>
      <c r="B30" s="14" t="str">
        <f>'2026 Orders'!B29</f>
        <v>Morocco</v>
      </c>
      <c r="C30" s="14" t="str">
        <f>'2026 Orders'!C29</f>
        <v>A4518</v>
      </c>
      <c r="D30" s="14">
        <v>0</v>
      </c>
      <c r="E30" s="17" t="str" cm="1">
        <f t="array" ref="E30">IF(C30=0,"",
HYPERLINK(
"#'2026 Orders'!C"&amp;
MATCH(1,
('2026 Orders'!C:C=C30)*
('2026 Orders'!G:G=G30)*
('2026 Orders'!N:N=N30),
0),
"Open "&amp;C30
))</f>
        <v>Open A4518</v>
      </c>
      <c r="F30" s="14">
        <v>0</v>
      </c>
      <c r="G30" s="14" t="str">
        <f>'2026 Orders'!G29</f>
        <v>PENAMAX-60-GE-FD</v>
      </c>
      <c r="H30" s="14" t="str">
        <f>'2026 Orders'!H29</f>
        <v>PENAMAX-60</v>
      </c>
      <c r="I30" s="15" t="str">
        <f>'2026 Orders'!I29</f>
        <v>FD</v>
      </c>
      <c r="J30" s="14">
        <f>'2026 Orders'!J29</f>
        <v>1</v>
      </c>
      <c r="K30" t="s">
        <v>451</v>
      </c>
      <c r="L30">
        <v>1</v>
      </c>
      <c r="M30">
        <v>0</v>
      </c>
      <c r="N30" s="10" t="str">
        <f>'2026 Orders'!N29</f>
        <v>D/W Sent</v>
      </c>
      <c r="O30">
        <v>0</v>
      </c>
      <c r="P30" t="s">
        <v>1085</v>
      </c>
      <c r="Q30">
        <v>609788969006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C30" t="str">
        <f t="shared" si="0"/>
        <v>1/</v>
      </c>
      <c r="AD30" t="e">
        <f t="shared" si="1"/>
        <v>#VALUE!</v>
      </c>
    </row>
    <row r="31" spans="1:30" ht="33" hidden="1" customHeight="1" x14ac:dyDescent="0.3">
      <c r="A31">
        <v>45897</v>
      </c>
      <c r="B31" s="14" t="str">
        <f>'2026 Orders'!B30</f>
        <v>Morocco</v>
      </c>
      <c r="C31" s="14" t="str">
        <f>'2026 Orders'!C30</f>
        <v>A4518</v>
      </c>
      <c r="D31" s="14">
        <v>0</v>
      </c>
      <c r="E31" s="17" t="str" cm="1">
        <f t="array" ref="E31">IF(C31=0,"",
HYPERLINK(
"#'2026 Orders'!C"&amp;
MATCH(1,
('2026 Orders'!C:C=C31)*
('2026 Orders'!G:G=G31)*
('2026 Orders'!N:N=N31),
0),
"Open "&amp;C31
))</f>
        <v>Open A4518</v>
      </c>
      <c r="F31" s="14">
        <v>0</v>
      </c>
      <c r="G31" s="14" t="str">
        <f>'2026 Orders'!G30</f>
        <v>FERTMX-90-RE</v>
      </c>
      <c r="H31" s="14" t="str">
        <f>'2026 Orders'!H30</f>
        <v>FERTMX-90</v>
      </c>
      <c r="I31" s="15" t="str">
        <f>'2026 Orders'!I30</f>
        <v>RE</v>
      </c>
      <c r="J31" s="14">
        <f>'2026 Orders'!J30</f>
        <v>1</v>
      </c>
      <c r="K31" t="s">
        <v>441</v>
      </c>
      <c r="L31">
        <v>1</v>
      </c>
      <c r="M31">
        <v>0</v>
      </c>
      <c r="N31" s="10" t="str">
        <f>'2026 Orders'!N30</f>
        <v>D/W Sent</v>
      </c>
      <c r="O31">
        <v>0</v>
      </c>
      <c r="P31" t="s">
        <v>1085</v>
      </c>
      <c r="Q31">
        <v>609788968702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C31" t="str">
        <f t="shared" si="0"/>
        <v>1/</v>
      </c>
      <c r="AD31" t="e">
        <f t="shared" si="1"/>
        <v>#VALUE!</v>
      </c>
    </row>
    <row r="32" spans="1:30" ht="33" hidden="1" customHeight="1" x14ac:dyDescent="0.3">
      <c r="A32">
        <v>45897</v>
      </c>
      <c r="B32" s="14" t="str">
        <f>'2026 Orders'!B31</f>
        <v>Morocco</v>
      </c>
      <c r="C32" s="14" t="str">
        <f>'2026 Orders'!C31</f>
        <v>A4518</v>
      </c>
      <c r="D32" s="14">
        <v>0</v>
      </c>
      <c r="E32" s="17" t="str" cm="1">
        <f t="array" ref="E32">IF(C32=0,"",
HYPERLINK(
"#'2026 Orders'!C"&amp;
MATCH(1,
('2026 Orders'!C:C=C32)*
('2026 Orders'!G:G=G32)*
('2026 Orders'!N:N=N32),
0),
"Open "&amp;C32
))</f>
        <v>Open A4518</v>
      </c>
      <c r="F32" s="14">
        <v>0</v>
      </c>
      <c r="G32" s="14" t="str">
        <f>'2026 Orders'!G31</f>
        <v>OVAMAX-120-FD</v>
      </c>
      <c r="H32" s="14" t="str">
        <f>'2026 Orders'!H31</f>
        <v>OVAMAX-120</v>
      </c>
      <c r="I32" s="15" t="str">
        <f>'2026 Orders'!I31</f>
        <v>FD</v>
      </c>
      <c r="J32" s="14">
        <f>'2026 Orders'!J31</f>
        <v>1</v>
      </c>
      <c r="K32" t="s">
        <v>447</v>
      </c>
      <c r="L32">
        <v>1</v>
      </c>
      <c r="M32">
        <v>0</v>
      </c>
      <c r="N32" s="10" t="str">
        <f>'2026 Orders'!N31</f>
        <v>D/W Sent</v>
      </c>
      <c r="O32">
        <v>0</v>
      </c>
      <c r="P32" t="s">
        <v>1085</v>
      </c>
      <c r="Q32">
        <v>609788968726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C32" t="str">
        <f t="shared" si="0"/>
        <v>1/</v>
      </c>
      <c r="AD32" t="e">
        <f t="shared" si="1"/>
        <v>#VALUE!</v>
      </c>
    </row>
    <row r="33" spans="1:30" ht="33" hidden="1" customHeight="1" x14ac:dyDescent="0.3">
      <c r="A33">
        <v>45897</v>
      </c>
      <c r="B33" s="14" t="str">
        <f>'2026 Orders'!B32</f>
        <v>Morocco</v>
      </c>
      <c r="C33" s="14" t="str">
        <f>'2026 Orders'!C32</f>
        <v>A4518</v>
      </c>
      <c r="D33" s="14">
        <v>0</v>
      </c>
      <c r="E33" s="17" t="str" cm="1">
        <f t="array" ref="E33">IF(C33=0,"",
HYPERLINK(
"#'2026 Orders'!C"&amp;
MATCH(1,
('2026 Orders'!C:C=C33)*
('2026 Orders'!G:G=G33)*
('2026 Orders'!N:N=N33),
0),
"Open "&amp;C33
))</f>
        <v>Open A4518</v>
      </c>
      <c r="F33" s="14" t="s">
        <v>464</v>
      </c>
      <c r="G33" s="14" t="str">
        <f>'2026 Orders'!G32</f>
        <v>NMNH-60-FD</v>
      </c>
      <c r="H33" s="14" t="str">
        <f>'2026 Orders'!H32</f>
        <v>NMNH-60</v>
      </c>
      <c r="I33" s="15" t="str">
        <f>'2026 Orders'!I32</f>
        <v>FD</v>
      </c>
      <c r="J33" s="14">
        <f>'2026 Orders'!J32</f>
        <v>3</v>
      </c>
      <c r="K33" t="s">
        <v>465</v>
      </c>
      <c r="L33">
        <v>3</v>
      </c>
      <c r="M33">
        <v>0</v>
      </c>
      <c r="N33" s="10" t="str">
        <f>'2026 Orders'!N32</f>
        <v>D/W Sent</v>
      </c>
      <c r="O33">
        <v>0</v>
      </c>
      <c r="P33" t="s">
        <v>1077</v>
      </c>
      <c r="Q33">
        <v>609788968399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C33" t="str">
        <f t="shared" si="0"/>
        <v>3/</v>
      </c>
      <c r="AD33" t="e">
        <f t="shared" si="1"/>
        <v>#VALUE!</v>
      </c>
    </row>
    <row r="34" spans="1:30" ht="33" hidden="1" customHeight="1" x14ac:dyDescent="0.3">
      <c r="A34">
        <v>45947</v>
      </c>
      <c r="B34" s="14">
        <f>'2026 Orders'!B33</f>
        <v>0</v>
      </c>
      <c r="C34" s="14">
        <f>'2026 Orders'!C33</f>
        <v>0</v>
      </c>
      <c r="D34" s="14">
        <v>0</v>
      </c>
      <c r="E34" s="17" t="str" cm="1">
        <f t="array" ref="E34">IF(C34=0,"",
HYPERLINK(
"#'2026 Orders'!C"&amp;
MATCH(1,
('2026 Orders'!C:C=C34)*
('2026 Orders'!G:G=G34)*
('2026 Orders'!N:N=N34),
0),
"Open "&amp;C34
))</f>
        <v/>
      </c>
      <c r="F34" s="14">
        <v>0</v>
      </c>
      <c r="G34" s="14">
        <f>'2026 Orders'!G33</f>
        <v>0</v>
      </c>
      <c r="H34" s="14">
        <f>'2026 Orders'!H33</f>
        <v>0</v>
      </c>
      <c r="I34" s="15" t="str">
        <f>'2026 Orders'!I33</f>
        <v/>
      </c>
      <c r="J34" s="14">
        <f>'2026 Orders'!J33</f>
        <v>0</v>
      </c>
      <c r="K34">
        <v>0</v>
      </c>
      <c r="L34">
        <v>0</v>
      </c>
      <c r="M34">
        <v>0</v>
      </c>
      <c r="N34" s="10">
        <f>'2026 Orders'!N33</f>
        <v>0</v>
      </c>
      <c r="O34">
        <v>0</v>
      </c>
      <c r="P34" t="s">
        <v>1085</v>
      </c>
      <c r="Q34" t="s">
        <v>1098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C34" t="str">
        <f t="shared" si="0"/>
        <v/>
      </c>
      <c r="AD34" t="str">
        <f t="shared" si="1"/>
        <v/>
      </c>
    </row>
    <row r="35" spans="1:30" ht="33" hidden="1" customHeight="1" x14ac:dyDescent="0.3">
      <c r="A35">
        <v>0</v>
      </c>
      <c r="B35" s="14" t="str">
        <f>'2026 Orders'!B34</f>
        <v>China</v>
      </c>
      <c r="C35" s="14" t="str">
        <f>'2026 Orders'!C34</f>
        <v>A4637</v>
      </c>
      <c r="D35" s="14">
        <v>0</v>
      </c>
      <c r="E35" s="17" t="str" cm="1">
        <f t="array" ref="E35">IF(C35=0,"",
HYPERLINK(
"#'2026 Orders'!C"&amp;
MATCH(1,
('2026 Orders'!C:C=C35)*
('2026 Orders'!G:G=G35)*
('2026 Orders'!N:N=N35),
0),
"Open "&amp;C35
))</f>
        <v>Open A4637</v>
      </c>
      <c r="F35" s="14" t="s">
        <v>468</v>
      </c>
      <c r="G35" s="14" t="str">
        <f>'2026 Orders'!G34</f>
        <v>OVAMAXPLUS-120-CS-CN</v>
      </c>
      <c r="H35" s="14" t="str">
        <f>'2026 Orders'!H34</f>
        <v>OVAMAXPLUS-120</v>
      </c>
      <c r="I35" s="15" t="str">
        <f>'2026 Orders'!I34</f>
        <v>CN</v>
      </c>
      <c r="J35" s="14">
        <f>'2026 Orders'!J34</f>
        <v>1100</v>
      </c>
      <c r="K35" t="s">
        <v>469</v>
      </c>
      <c r="L35">
        <v>1100</v>
      </c>
      <c r="M35">
        <v>0</v>
      </c>
      <c r="N35" s="10" t="str">
        <f>'2026 Orders'!N34</f>
        <v>D/W Sent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C35" t="str">
        <f t="shared" si="0"/>
        <v>1100/</v>
      </c>
      <c r="AD35" t="e">
        <f t="shared" si="1"/>
        <v>#VALUE!</v>
      </c>
    </row>
    <row r="36" spans="1:30" ht="33" hidden="1" customHeight="1" x14ac:dyDescent="0.3">
      <c r="A36">
        <v>45908</v>
      </c>
      <c r="B36" s="14">
        <f>'2026 Orders'!B35</f>
        <v>0</v>
      </c>
      <c r="C36" s="14">
        <f>'2026 Orders'!C35</f>
        <v>0</v>
      </c>
      <c r="D36" s="14">
        <v>0</v>
      </c>
      <c r="E36" s="17" t="str" cm="1">
        <f t="array" ref="E36">IF(C36=0,"",
HYPERLINK(
"#'2026 Orders'!C"&amp;
MATCH(1,
('2026 Orders'!C:C=C36)*
('2026 Orders'!G:G=G36)*
('2026 Orders'!N:N=N36),
0),
"Open "&amp;C36
))</f>
        <v/>
      </c>
      <c r="F36" s="14">
        <v>0</v>
      </c>
      <c r="G36" s="14">
        <f>'2026 Orders'!G35</f>
        <v>0</v>
      </c>
      <c r="H36" s="14">
        <f>'2026 Orders'!H35</f>
        <v>0</v>
      </c>
      <c r="I36" s="15" t="str">
        <f>'2026 Orders'!I35</f>
        <v/>
      </c>
      <c r="J36" s="14">
        <f>'2026 Orders'!J35</f>
        <v>0</v>
      </c>
      <c r="K36">
        <v>0</v>
      </c>
      <c r="L36">
        <v>0</v>
      </c>
      <c r="M36">
        <v>0</v>
      </c>
      <c r="N36" s="10">
        <f>'2026 Orders'!N35</f>
        <v>0</v>
      </c>
      <c r="O36" t="s">
        <v>1099</v>
      </c>
      <c r="P36" t="s">
        <v>1077</v>
      </c>
      <c r="Q36" t="s">
        <v>1100</v>
      </c>
      <c r="R36">
        <v>16000</v>
      </c>
      <c r="S36">
        <v>4823</v>
      </c>
      <c r="T36" t="s">
        <v>1079</v>
      </c>
      <c r="U36">
        <v>0</v>
      </c>
      <c r="V36">
        <v>0</v>
      </c>
      <c r="W36">
        <v>0</v>
      </c>
      <c r="X36">
        <v>0</v>
      </c>
      <c r="Y36">
        <v>0</v>
      </c>
      <c r="Z36" t="s">
        <v>1083</v>
      </c>
      <c r="AC36" t="str">
        <f t="shared" si="0"/>
        <v/>
      </c>
      <c r="AD36" t="str">
        <f t="shared" si="1"/>
        <v/>
      </c>
    </row>
    <row r="37" spans="1:30" ht="33" hidden="1" customHeight="1" x14ac:dyDescent="0.3">
      <c r="A37">
        <v>0</v>
      </c>
      <c r="B37" s="14" t="str">
        <f>'2026 Orders'!B36</f>
        <v>Jordan</v>
      </c>
      <c r="C37" s="14" t="str">
        <f>'2026 Orders'!C36</f>
        <v>A4646</v>
      </c>
      <c r="D37" s="14" t="s">
        <v>472</v>
      </c>
      <c r="E37" s="17" t="str" cm="1">
        <f t="array" ref="E37">IF(C37=0,"",
HYPERLINK(
"#'2026 Orders'!C"&amp;
MATCH(1,
('2026 Orders'!C:C=C37)*
('2026 Orders'!G:G=G37)*
('2026 Orders'!N:N=N37),
0),
"Open "&amp;C37
))</f>
        <v>Open A4646</v>
      </c>
      <c r="F37" s="14">
        <v>0</v>
      </c>
      <c r="G37" s="14" t="str">
        <f>'2026 Orders'!G36</f>
        <v xml:space="preserve">FIBRO-10-CS-JO  </v>
      </c>
      <c r="H37" s="14" t="str">
        <f>'2026 Orders'!H36</f>
        <v>FIBRO-10</v>
      </c>
      <c r="I37" s="15" t="str">
        <f>'2026 Orders'!I36</f>
        <v xml:space="preserve">JO  </v>
      </c>
      <c r="J37" s="14">
        <f>'2026 Orders'!J36</f>
        <v>420</v>
      </c>
      <c r="K37" t="s">
        <v>475</v>
      </c>
      <c r="L37">
        <v>0</v>
      </c>
      <c r="M37">
        <v>420</v>
      </c>
      <c r="N37" s="10" t="str">
        <f>'2026 Orders'!N36</f>
        <v>Available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C37" t="str">
        <f t="shared" si="0"/>
        <v>420/</v>
      </c>
      <c r="AD37" t="e">
        <f t="shared" si="1"/>
        <v>#VALUE!</v>
      </c>
    </row>
    <row r="38" spans="1:30" ht="33" hidden="1" customHeight="1" x14ac:dyDescent="0.3">
      <c r="A38">
        <v>46063</v>
      </c>
      <c r="B38" s="14" t="str">
        <f>'2026 Orders'!B37</f>
        <v>Jordan</v>
      </c>
      <c r="C38" s="14" t="str">
        <f>'2026 Orders'!C37</f>
        <v>A4646</v>
      </c>
      <c r="D38" s="14">
        <v>0</v>
      </c>
      <c r="E38" s="17" t="str" cm="1">
        <f t="array" ref="E38">IF(C38=0,"",
HYPERLINK(
"#'2026 Orders'!C"&amp;
MATCH(1,
('2026 Orders'!C:C=C38)*
('2026 Orders'!G:G=G38)*
('2026 Orders'!N:N=N38),
0),
"Open "&amp;C38
))</f>
        <v>Open A4646</v>
      </c>
      <c r="F38" s="14">
        <v>0</v>
      </c>
      <c r="G38" s="14" t="str">
        <f>'2026 Orders'!G37</f>
        <v>WFSPLS-30-CS-JO</v>
      </c>
      <c r="H38" s="14" t="str">
        <f>'2026 Orders'!H37</f>
        <v>WFSPLS-30</v>
      </c>
      <c r="I38" s="15" t="str">
        <f>'2026 Orders'!I37</f>
        <v>JO</v>
      </c>
      <c r="J38" s="14">
        <f>'2026 Orders'!J37</f>
        <v>345</v>
      </c>
      <c r="K38" t="s">
        <v>478</v>
      </c>
      <c r="L38">
        <v>0</v>
      </c>
      <c r="M38">
        <v>345</v>
      </c>
      <c r="N38" s="10" t="str">
        <f>'2026 Orders'!N37</f>
        <v>Available</v>
      </c>
      <c r="O38" t="s">
        <v>1101</v>
      </c>
      <c r="P38" t="s">
        <v>1077</v>
      </c>
      <c r="Q38" t="s">
        <v>1102</v>
      </c>
      <c r="R38">
        <v>432</v>
      </c>
      <c r="S38">
        <v>5012</v>
      </c>
      <c r="T38" t="s">
        <v>1079</v>
      </c>
      <c r="U38">
        <v>0</v>
      </c>
      <c r="V38">
        <v>0</v>
      </c>
      <c r="W38">
        <v>0</v>
      </c>
      <c r="X38">
        <v>0</v>
      </c>
      <c r="Y38">
        <v>0</v>
      </c>
      <c r="Z38" t="s">
        <v>1086</v>
      </c>
      <c r="AC38" t="str">
        <f t="shared" si="0"/>
        <v>345/</v>
      </c>
      <c r="AD38" t="e">
        <f t="shared" si="1"/>
        <v>#VALUE!</v>
      </c>
    </row>
    <row r="39" spans="1:30" ht="33" hidden="1" customHeight="1" x14ac:dyDescent="0.3">
      <c r="A39">
        <v>46063</v>
      </c>
      <c r="B39" s="14" t="str">
        <f>'2026 Orders'!B38</f>
        <v>Jordan</v>
      </c>
      <c r="C39" s="14" t="str">
        <f>'2026 Orders'!C38</f>
        <v>A4646</v>
      </c>
      <c r="D39" s="14">
        <v>0</v>
      </c>
      <c r="E39" s="17" t="str" cm="1">
        <f t="array" ref="E39">IF(C39=0,"",
HYPERLINK(
"#'2026 Orders'!C"&amp;
MATCH(1,
('2026 Orders'!C:C=C39)*
('2026 Orders'!G:G=G39)*
('2026 Orders'!N:N=N39),
0),
"Open "&amp;C39
))</f>
        <v>Open A4646</v>
      </c>
      <c r="F39" s="14">
        <v>0</v>
      </c>
      <c r="G39" s="14" t="str">
        <f>'2026 Orders'!G38</f>
        <v>OVAMAX-20-CS-JO</v>
      </c>
      <c r="H39" s="14" t="str">
        <f>'2026 Orders'!H38</f>
        <v>OVAMAX-20</v>
      </c>
      <c r="I39" s="15" t="str">
        <f>'2026 Orders'!I38</f>
        <v>JO</v>
      </c>
      <c r="J39" s="14">
        <f>'2026 Orders'!J38</f>
        <v>300</v>
      </c>
      <c r="K39" t="s">
        <v>480</v>
      </c>
      <c r="L39">
        <v>0</v>
      </c>
      <c r="M39">
        <v>300</v>
      </c>
      <c r="N39" s="10" t="str">
        <f>'2026 Orders'!N38</f>
        <v>Available</v>
      </c>
      <c r="O39">
        <v>0</v>
      </c>
      <c r="P39" t="s">
        <v>1077</v>
      </c>
      <c r="Q39" t="s">
        <v>1102</v>
      </c>
      <c r="R39">
        <v>352</v>
      </c>
      <c r="S39">
        <v>5016</v>
      </c>
      <c r="T39" t="s">
        <v>1103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C39" t="str">
        <f t="shared" si="0"/>
        <v>300/</v>
      </c>
      <c r="AD39" t="e">
        <f t="shared" si="1"/>
        <v>#VALUE!</v>
      </c>
    </row>
    <row r="40" spans="1:30" ht="33" hidden="1" customHeight="1" x14ac:dyDescent="0.3">
      <c r="A40">
        <v>46063</v>
      </c>
      <c r="B40" s="14" t="str">
        <f>'2026 Orders'!B39</f>
        <v>Jordan</v>
      </c>
      <c r="C40" s="14" t="str">
        <f>'2026 Orders'!C39</f>
        <v>A4646</v>
      </c>
      <c r="D40" s="14">
        <v>0</v>
      </c>
      <c r="E40" s="17" t="str" cm="1">
        <f t="array" ref="E40">IF(C40=0,"",
HYPERLINK(
"#'2026 Orders'!C"&amp;
MATCH(1,
('2026 Orders'!C:C=C40)*
('2026 Orders'!G:G=G40)*
('2026 Orders'!N:N=N40),
0),
"Open "&amp;C40
))</f>
        <v>Open A4646</v>
      </c>
      <c r="F40" s="14">
        <v>0</v>
      </c>
      <c r="G40" s="14" t="str">
        <f>'2026 Orders'!G39</f>
        <v>DHEA50-5-CS-JO</v>
      </c>
      <c r="H40" s="14" t="str">
        <f>'2026 Orders'!H39</f>
        <v>DHEA50-5</v>
      </c>
      <c r="I40" s="15" t="str">
        <f>'2026 Orders'!I39</f>
        <v>JO</v>
      </c>
      <c r="J40" s="14">
        <f>'2026 Orders'!J39</f>
        <v>300</v>
      </c>
      <c r="K40" t="s">
        <v>482</v>
      </c>
      <c r="L40">
        <v>0</v>
      </c>
      <c r="M40">
        <v>300</v>
      </c>
      <c r="N40" s="10" t="str">
        <f>'2026 Orders'!N39</f>
        <v>Available</v>
      </c>
      <c r="O40">
        <v>0</v>
      </c>
      <c r="P40" t="s">
        <v>1077</v>
      </c>
      <c r="Q40" t="s">
        <v>1102</v>
      </c>
      <c r="R40">
        <v>300</v>
      </c>
      <c r="S40">
        <v>5017</v>
      </c>
      <c r="T40" t="s">
        <v>1079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C40" t="str">
        <f t="shared" si="0"/>
        <v>300/</v>
      </c>
      <c r="AD40" t="e">
        <f t="shared" si="1"/>
        <v>#VALUE!</v>
      </c>
    </row>
    <row r="41" spans="1:30" ht="33" hidden="1" customHeight="1" x14ac:dyDescent="0.3">
      <c r="A41">
        <v>46063</v>
      </c>
      <c r="B41" s="14">
        <f>'2026 Orders'!B40</f>
        <v>0</v>
      </c>
      <c r="C41" s="14">
        <f>'2026 Orders'!C40</f>
        <v>0</v>
      </c>
      <c r="D41" s="14">
        <v>0</v>
      </c>
      <c r="E41" s="17" t="str" cm="1">
        <f t="array" ref="E41">IF(C41=0,"",
HYPERLINK(
"#'2026 Orders'!C"&amp;
MATCH(1,
('2026 Orders'!C:C=C41)*
('2026 Orders'!G:G=G41)*
('2026 Orders'!N:N=N41),
0),
"Open "&amp;C41
))</f>
        <v/>
      </c>
      <c r="F41" s="14">
        <v>0</v>
      </c>
      <c r="G41" s="14">
        <f>'2026 Orders'!G40</f>
        <v>0</v>
      </c>
      <c r="H41" s="14">
        <f>'2026 Orders'!H40</f>
        <v>0</v>
      </c>
      <c r="I41" s="15" t="str">
        <f>'2026 Orders'!I40</f>
        <v/>
      </c>
      <c r="J41" s="14">
        <f>'2026 Orders'!J40</f>
        <v>0</v>
      </c>
      <c r="K41">
        <v>0</v>
      </c>
      <c r="L41">
        <v>0</v>
      </c>
      <c r="M41">
        <v>0</v>
      </c>
      <c r="N41" s="10">
        <f>'2026 Orders'!N40</f>
        <v>0</v>
      </c>
      <c r="O41">
        <v>0</v>
      </c>
      <c r="P41" t="s">
        <v>1077</v>
      </c>
      <c r="Q41" t="s">
        <v>1102</v>
      </c>
      <c r="R41">
        <v>300</v>
      </c>
      <c r="S41">
        <v>5018</v>
      </c>
      <c r="T41" t="s">
        <v>1079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C41" t="str">
        <f t="shared" si="0"/>
        <v/>
      </c>
      <c r="AD41" t="str">
        <f t="shared" si="1"/>
        <v/>
      </c>
    </row>
    <row r="42" spans="1:30" ht="33" hidden="1" customHeight="1" x14ac:dyDescent="0.3">
      <c r="A42">
        <v>0</v>
      </c>
      <c r="B42" s="14" t="str">
        <f>'2026 Orders'!B41</f>
        <v>Ethiopia</v>
      </c>
      <c r="C42" s="14" t="str">
        <f>'2026 Orders'!C41</f>
        <v>A4591</v>
      </c>
      <c r="D42" s="14" t="s">
        <v>485</v>
      </c>
      <c r="E42" s="17" t="str" cm="1">
        <f t="array" ref="E42">IF(C42=0,"",
HYPERLINK(
"#'2026 Orders'!C"&amp;
MATCH(1,
('2026 Orders'!C:C=C42)*
('2026 Orders'!G:G=G42)*
('2026 Orders'!N:N=N42),
0),
"Open "&amp;C42
))</f>
        <v>Open A4591</v>
      </c>
      <c r="F42" s="14" t="s">
        <v>487</v>
      </c>
      <c r="G42" s="14" t="str">
        <f>'2026 Orders'!G41</f>
        <v>MFSPLS-120-FD</v>
      </c>
      <c r="H42" s="14" t="str">
        <f>'2026 Orders'!H41</f>
        <v>MFSPLS-120</v>
      </c>
      <c r="I42" s="15" t="str">
        <f>'2026 Orders'!I41</f>
        <v>FD</v>
      </c>
      <c r="J42" s="14">
        <f>'2026 Orders'!J41</f>
        <v>817</v>
      </c>
      <c r="K42" t="s">
        <v>462</v>
      </c>
      <c r="L42">
        <v>817</v>
      </c>
      <c r="M42">
        <v>0</v>
      </c>
      <c r="N42" s="10" t="str">
        <f>'2026 Orders'!N41</f>
        <v>In Production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C42" t="str">
        <f t="shared" si="0"/>
        <v>817/</v>
      </c>
      <c r="AD42" t="e">
        <f t="shared" si="1"/>
        <v>#VALUE!</v>
      </c>
    </row>
    <row r="43" spans="1:30" ht="33" hidden="1" customHeight="1" x14ac:dyDescent="0.3">
      <c r="A43">
        <v>45919</v>
      </c>
      <c r="B43" s="14" t="str">
        <f>'2026 Orders'!B42</f>
        <v>Ethiopia</v>
      </c>
      <c r="C43" s="14" t="str">
        <f>'2026 Orders'!C42</f>
        <v>A4591</v>
      </c>
      <c r="D43" s="14" t="s">
        <v>488</v>
      </c>
      <c r="E43" s="17" t="str" cm="1">
        <f t="array" ref="E43">IF(C43=0,"",
HYPERLINK(
"#'2026 Orders'!C"&amp;
MATCH(1,
('2026 Orders'!C:C=C43)*
('2026 Orders'!G:G=G43)*
('2026 Orders'!N:N=N43),
0),
"Open "&amp;C43
))</f>
        <v>Open A4591</v>
      </c>
      <c r="F43" s="14" t="s">
        <v>489</v>
      </c>
      <c r="G43" s="14" t="str">
        <f>'2026 Orders'!G42</f>
        <v>WFSPLS-180-FD</v>
      </c>
      <c r="H43" s="14" t="str">
        <f>'2026 Orders'!H42</f>
        <v>WFSPLS-180</v>
      </c>
      <c r="I43" s="15" t="str">
        <f>'2026 Orders'!I42</f>
        <v>FD</v>
      </c>
      <c r="J43" s="14">
        <f>'2026 Orders'!J42</f>
        <v>77</v>
      </c>
      <c r="K43" t="s">
        <v>438</v>
      </c>
      <c r="L43">
        <v>77</v>
      </c>
      <c r="M43">
        <v>0</v>
      </c>
      <c r="N43" s="10" t="str">
        <f>'2026 Orders'!N42</f>
        <v>Picked</v>
      </c>
      <c r="O43">
        <v>0</v>
      </c>
      <c r="P43" t="s">
        <v>1077</v>
      </c>
      <c r="Q43">
        <v>609788968344</v>
      </c>
      <c r="R43">
        <v>9195</v>
      </c>
      <c r="S43">
        <v>5032</v>
      </c>
      <c r="T43" t="s">
        <v>1094</v>
      </c>
      <c r="U43" t="s">
        <v>1104</v>
      </c>
      <c r="V43" t="s">
        <v>488</v>
      </c>
      <c r="W43" t="s">
        <v>488</v>
      </c>
      <c r="X43">
        <v>0</v>
      </c>
      <c r="Y43" t="s">
        <v>488</v>
      </c>
      <c r="Z43" t="s">
        <v>1086</v>
      </c>
      <c r="AC43" t="str">
        <f t="shared" si="0"/>
        <v>77/</v>
      </c>
      <c r="AD43" t="e">
        <f t="shared" si="1"/>
        <v>#VALUE!</v>
      </c>
    </row>
    <row r="44" spans="1:30" ht="33" hidden="1" customHeight="1" x14ac:dyDescent="0.3">
      <c r="A44">
        <v>45919</v>
      </c>
      <c r="B44" s="14" t="str">
        <f>'2026 Orders'!B43</f>
        <v>Ethiopia</v>
      </c>
      <c r="C44" s="14" t="str">
        <f>'2026 Orders'!C43</f>
        <v>A4591</v>
      </c>
      <c r="D44" s="14" t="s">
        <v>488</v>
      </c>
      <c r="E44" s="17" t="str" cm="1">
        <f t="array" ref="E44">IF(C44=0,"",
HYPERLINK(
"#'2026 Orders'!C"&amp;
MATCH(1,
('2026 Orders'!C:C=C44)*
('2026 Orders'!G:G=G44)*
('2026 Orders'!N:N=N44),
0),
"Open "&amp;C44
))</f>
        <v>Open A4591</v>
      </c>
      <c r="F44" s="14" t="s">
        <v>490</v>
      </c>
      <c r="G44" s="14" t="str">
        <f>'2026 Orders'!G43</f>
        <v>OVAMAX-120-FD</v>
      </c>
      <c r="H44" s="14" t="str">
        <f>'2026 Orders'!H43</f>
        <v>OVAMAX-120</v>
      </c>
      <c r="I44" s="15" t="str">
        <f>'2026 Orders'!I43</f>
        <v>FD</v>
      </c>
      <c r="J44" s="14">
        <f>'2026 Orders'!J43</f>
        <v>480</v>
      </c>
      <c r="K44" t="s">
        <v>447</v>
      </c>
      <c r="L44">
        <v>0</v>
      </c>
      <c r="M44">
        <v>480</v>
      </c>
      <c r="N44" s="10" t="str">
        <f>'2026 Orders'!N43</f>
        <v>Picked</v>
      </c>
      <c r="O44" t="s">
        <v>1105</v>
      </c>
      <c r="P44" t="s">
        <v>1077</v>
      </c>
      <c r="Q44">
        <v>609788968351</v>
      </c>
      <c r="R44">
        <v>9000</v>
      </c>
      <c r="S44">
        <v>4845</v>
      </c>
      <c r="T44" t="s">
        <v>1079</v>
      </c>
      <c r="U44">
        <v>0</v>
      </c>
      <c r="V44" t="s">
        <v>488</v>
      </c>
      <c r="W44" t="s">
        <v>488</v>
      </c>
      <c r="X44">
        <v>0</v>
      </c>
      <c r="Y44" t="s">
        <v>488</v>
      </c>
      <c r="Z44">
        <v>0</v>
      </c>
      <c r="AC44" t="str">
        <f t="shared" si="0"/>
        <v>480/</v>
      </c>
      <c r="AD44" t="e">
        <f t="shared" si="1"/>
        <v>#VALUE!</v>
      </c>
    </row>
    <row r="45" spans="1:30" ht="33" hidden="1" customHeight="1" x14ac:dyDescent="0.3">
      <c r="A45">
        <v>45919</v>
      </c>
      <c r="B45" s="14" t="str">
        <f>'2026 Orders'!B44</f>
        <v>Ethiopia</v>
      </c>
      <c r="C45" s="14" t="str">
        <f>'2026 Orders'!C44</f>
        <v>A4591</v>
      </c>
      <c r="D45" s="14" t="s">
        <v>488</v>
      </c>
      <c r="E45" s="17" t="str" cm="1">
        <f t="array" ref="E45">IF(C45=0,"",
HYPERLINK(
"#'2026 Orders'!C"&amp;
MATCH(1,
('2026 Orders'!C:C=C45)*
('2026 Orders'!G:G=G45)*
('2026 Orders'!N:N=N45),
0),
"Open "&amp;C45
))</f>
        <v>Open A4591</v>
      </c>
      <c r="F45" s="14" t="s">
        <v>491</v>
      </c>
      <c r="G45" s="14" t="str">
        <f>'2026 Orders'!G44</f>
        <v>FERTMX-90-RE</v>
      </c>
      <c r="H45" s="14" t="str">
        <f>'2026 Orders'!H44</f>
        <v>FERTMX-90</v>
      </c>
      <c r="I45" s="15" t="str">
        <f>'2026 Orders'!I44</f>
        <v>RE</v>
      </c>
      <c r="J45" s="14">
        <f>'2026 Orders'!J44</f>
        <v>528</v>
      </c>
      <c r="K45" t="s">
        <v>441</v>
      </c>
      <c r="L45">
        <v>528</v>
      </c>
      <c r="M45">
        <v>0</v>
      </c>
      <c r="N45" s="10" t="str">
        <f>'2026 Orders'!N44</f>
        <v>PO submitted</v>
      </c>
      <c r="O45">
        <v>0</v>
      </c>
      <c r="P45" t="s">
        <v>1077</v>
      </c>
      <c r="Q45">
        <v>609788968399</v>
      </c>
      <c r="R45">
        <v>7419</v>
      </c>
      <c r="S45">
        <v>5107</v>
      </c>
      <c r="T45">
        <v>46286</v>
      </c>
      <c r="U45" t="s">
        <v>1089</v>
      </c>
      <c r="V45">
        <v>0</v>
      </c>
      <c r="W45" t="s">
        <v>488</v>
      </c>
      <c r="X45">
        <v>0</v>
      </c>
      <c r="Y45" t="s">
        <v>488</v>
      </c>
      <c r="Z45">
        <v>0</v>
      </c>
      <c r="AC45" t="str">
        <f t="shared" si="0"/>
        <v>528/</v>
      </c>
      <c r="AD45" t="e">
        <f t="shared" si="1"/>
        <v>#VALUE!</v>
      </c>
    </row>
    <row r="46" spans="1:30" ht="33" hidden="1" customHeight="1" x14ac:dyDescent="0.3">
      <c r="A46">
        <v>45919</v>
      </c>
      <c r="B46" s="14" t="str">
        <f>'2026 Orders'!B45</f>
        <v>Ethiopia</v>
      </c>
      <c r="C46" s="14" t="str">
        <f>'2026 Orders'!C45</f>
        <v>A4591</v>
      </c>
      <c r="D46" s="14">
        <v>0</v>
      </c>
      <c r="E46" s="17" t="str" cm="1">
        <f t="array" ref="E46">IF(C46=0,"",
HYPERLINK(
"#'2026 Orders'!C"&amp;
MATCH(1,
('2026 Orders'!C:C=C46)*
('2026 Orders'!G:G=G46)*
('2026 Orders'!N:N=N46),
0),
"Open "&amp;C46
))</f>
        <v>Open A4591</v>
      </c>
      <c r="F46" s="14">
        <v>0</v>
      </c>
      <c r="G46" s="14" t="str">
        <f>'2026 Orders'!G45</f>
        <v>FERTMX-90-RE</v>
      </c>
      <c r="H46" s="14" t="str">
        <f>'2026 Orders'!H45</f>
        <v>FERTMX-90</v>
      </c>
      <c r="I46" s="15" t="str">
        <f>'2026 Orders'!I45</f>
        <v>RE</v>
      </c>
      <c r="J46" s="14">
        <f>'2026 Orders'!J45</f>
        <v>192</v>
      </c>
      <c r="K46" t="s">
        <v>441</v>
      </c>
      <c r="L46">
        <v>192</v>
      </c>
      <c r="M46">
        <v>0</v>
      </c>
      <c r="N46" s="10" t="str">
        <f>'2026 Orders'!N45</f>
        <v>Picked</v>
      </c>
      <c r="O46">
        <v>0</v>
      </c>
      <c r="P46" t="s">
        <v>1085</v>
      </c>
      <c r="Q46">
        <v>609788968726</v>
      </c>
      <c r="R46">
        <v>5000</v>
      </c>
      <c r="S46">
        <v>5041</v>
      </c>
      <c r="T46">
        <v>46248</v>
      </c>
      <c r="U46" t="s">
        <v>1090</v>
      </c>
      <c r="V46" t="s">
        <v>488</v>
      </c>
      <c r="W46" t="s">
        <v>488</v>
      </c>
      <c r="X46">
        <v>0</v>
      </c>
      <c r="Y46" t="s">
        <v>488</v>
      </c>
      <c r="Z46">
        <v>0</v>
      </c>
      <c r="AC46" t="str">
        <f t="shared" si="0"/>
        <v>192/</v>
      </c>
      <c r="AD46" t="e">
        <f t="shared" si="1"/>
        <v>#VALUE!</v>
      </c>
    </row>
    <row r="47" spans="1:30" ht="33" hidden="1" customHeight="1" x14ac:dyDescent="0.3">
      <c r="A47">
        <v>45919</v>
      </c>
      <c r="B47" s="14" t="str">
        <f>'2026 Orders'!B46</f>
        <v>Ethiopia</v>
      </c>
      <c r="C47" s="14" t="str">
        <f>'2026 Orders'!C46</f>
        <v>A4591</v>
      </c>
      <c r="D47" s="14">
        <v>0</v>
      </c>
      <c r="E47" s="17" t="str" cm="1">
        <f t="array" ref="E47">IF(C47=0,"",
HYPERLINK(
"#'2026 Orders'!C"&amp;
MATCH(1,
('2026 Orders'!C:C=C47)*
('2026 Orders'!G:G=G47)*
('2026 Orders'!N:N=N47),
0),
"Open "&amp;C47
))</f>
        <v>Open A4591</v>
      </c>
      <c r="F47" s="14" t="s">
        <v>492</v>
      </c>
      <c r="G47" s="14" t="str">
        <f>'2026 Orders'!G46</f>
        <v>DHEA50-60-FD</v>
      </c>
      <c r="H47" s="14" t="str">
        <f>'2026 Orders'!H46</f>
        <v>DHEA50-60</v>
      </c>
      <c r="I47" s="15" t="str">
        <f>'2026 Orders'!I46</f>
        <v>FD</v>
      </c>
      <c r="J47" s="14">
        <f>'2026 Orders'!J46</f>
        <v>120</v>
      </c>
      <c r="K47" t="s">
        <v>493</v>
      </c>
      <c r="L47">
        <v>120</v>
      </c>
      <c r="M47">
        <v>0</v>
      </c>
      <c r="N47" s="10" t="str">
        <f>'2026 Orders'!N46</f>
        <v>In Production</v>
      </c>
      <c r="O47">
        <v>0</v>
      </c>
      <c r="P47" t="s">
        <v>1085</v>
      </c>
      <c r="Q47">
        <v>609788968726</v>
      </c>
      <c r="R47">
        <v>5000</v>
      </c>
      <c r="S47">
        <v>5041</v>
      </c>
      <c r="T47">
        <v>46248</v>
      </c>
      <c r="U47" t="s">
        <v>1090</v>
      </c>
      <c r="V47">
        <v>0</v>
      </c>
      <c r="W47">
        <v>0</v>
      </c>
      <c r="X47">
        <v>0</v>
      </c>
      <c r="Y47">
        <v>0</v>
      </c>
      <c r="Z47">
        <v>0</v>
      </c>
      <c r="AC47" t="str">
        <f t="shared" si="0"/>
        <v>120/</v>
      </c>
      <c r="AD47" t="e">
        <f t="shared" si="1"/>
        <v>#VALUE!</v>
      </c>
    </row>
    <row r="48" spans="1:30" ht="33" hidden="1" customHeight="1" x14ac:dyDescent="0.3">
      <c r="A48">
        <v>45919</v>
      </c>
      <c r="B48" s="14" t="str">
        <f>'2026 Orders'!B47</f>
        <v>Ethiopia</v>
      </c>
      <c r="C48" s="14" t="str">
        <f>'2026 Orders'!C47</f>
        <v>A4591</v>
      </c>
      <c r="D48" s="14" t="s">
        <v>488</v>
      </c>
      <c r="E48" s="17" t="str" cm="1">
        <f t="array" ref="E48">IF(C48=0,"",
HYPERLINK(
"#'2026 Orders'!C"&amp;
MATCH(1,
('2026 Orders'!C:C=C48)*
('2026 Orders'!G:G=G48)*
('2026 Orders'!N:N=N48),
0),
"Open "&amp;C48
))</f>
        <v>Open A4591</v>
      </c>
      <c r="F48" s="14" t="s">
        <v>494</v>
      </c>
      <c r="G48" s="14" t="str">
        <f>'2026 Orders'!G47</f>
        <v>PENAMAX-60-GE-FD</v>
      </c>
      <c r="H48" s="14" t="str">
        <f>'2026 Orders'!H47</f>
        <v>PENAMAX-60</v>
      </c>
      <c r="I48" s="15" t="str">
        <f>'2026 Orders'!I47</f>
        <v>FD</v>
      </c>
      <c r="J48" s="14">
        <f>'2026 Orders'!J47</f>
        <v>205</v>
      </c>
      <c r="K48" t="s">
        <v>451</v>
      </c>
      <c r="L48">
        <v>205</v>
      </c>
      <c r="M48">
        <v>0</v>
      </c>
      <c r="N48" s="10" t="str">
        <f>'2026 Orders'!N47</f>
        <v>Picked</v>
      </c>
      <c r="O48">
        <v>0</v>
      </c>
      <c r="P48" t="s">
        <v>1077</v>
      </c>
      <c r="Q48">
        <v>609788968221</v>
      </c>
      <c r="R48">
        <v>7000</v>
      </c>
      <c r="S48">
        <v>5027</v>
      </c>
      <c r="T48" t="s">
        <v>1079</v>
      </c>
      <c r="U48" t="s">
        <v>1092</v>
      </c>
      <c r="V48" t="s">
        <v>488</v>
      </c>
      <c r="W48" t="s">
        <v>488</v>
      </c>
      <c r="X48">
        <v>0</v>
      </c>
      <c r="Y48" t="s">
        <v>488</v>
      </c>
      <c r="Z48">
        <v>0</v>
      </c>
      <c r="AC48" t="str">
        <f t="shared" si="0"/>
        <v>205/</v>
      </c>
      <c r="AD48" t="e">
        <f t="shared" si="1"/>
        <v>#VALUE!</v>
      </c>
    </row>
    <row r="49" spans="1:30" ht="33" hidden="1" customHeight="1" x14ac:dyDescent="0.3">
      <c r="A49">
        <v>45919</v>
      </c>
      <c r="B49" s="14" t="str">
        <f>'2026 Orders'!B48</f>
        <v>Ethiopia</v>
      </c>
      <c r="C49" s="14" t="str">
        <f>'2026 Orders'!C48</f>
        <v>A4591</v>
      </c>
      <c r="D49" s="14" t="s">
        <v>488</v>
      </c>
      <c r="E49" s="17" t="str" cm="1">
        <f t="array" ref="E49">IF(C49=0,"",
HYPERLINK(
"#'2026 Orders'!C"&amp;
MATCH(1,
('2026 Orders'!C:C=C49)*
('2026 Orders'!G:G=G49)*
('2026 Orders'!N:N=N49),
0),
"Open "&amp;C49
))</f>
        <v>Open A4591</v>
      </c>
      <c r="F49" s="14" t="s">
        <v>495</v>
      </c>
      <c r="G49" s="14" t="str">
        <f>'2026 Orders'!G48</f>
        <v>PRECON-180-FD</v>
      </c>
      <c r="H49" s="14" t="str">
        <f>'2026 Orders'!H48</f>
        <v>PRECON-180</v>
      </c>
      <c r="I49" s="15" t="str">
        <f>'2026 Orders'!I48</f>
        <v>FD</v>
      </c>
      <c r="J49" s="14">
        <f>'2026 Orders'!J48</f>
        <v>245</v>
      </c>
      <c r="K49" t="s">
        <v>455</v>
      </c>
      <c r="L49">
        <v>245</v>
      </c>
      <c r="M49">
        <v>0</v>
      </c>
      <c r="N49" s="10" t="str">
        <f>'2026 Orders'!N48</f>
        <v>In Production</v>
      </c>
      <c r="O49">
        <v>0</v>
      </c>
      <c r="P49" t="s">
        <v>1085</v>
      </c>
      <c r="Q49">
        <v>609788968702</v>
      </c>
      <c r="R49" t="s">
        <v>488</v>
      </c>
      <c r="S49" t="s">
        <v>488</v>
      </c>
      <c r="T49" t="s">
        <v>488</v>
      </c>
      <c r="U49" t="s">
        <v>488</v>
      </c>
      <c r="V49" t="s">
        <v>488</v>
      </c>
      <c r="W49" t="s">
        <v>488</v>
      </c>
      <c r="X49">
        <v>0</v>
      </c>
      <c r="Y49" t="s">
        <v>488</v>
      </c>
      <c r="Z49">
        <v>0</v>
      </c>
      <c r="AC49" t="str">
        <f t="shared" si="0"/>
        <v>245/</v>
      </c>
      <c r="AD49" t="e">
        <f t="shared" si="1"/>
        <v>#VALUE!</v>
      </c>
    </row>
    <row r="50" spans="1:30" ht="33" hidden="1" customHeight="1" x14ac:dyDescent="0.3">
      <c r="A50">
        <v>45919</v>
      </c>
      <c r="B50" s="14" t="str">
        <f>'2026 Orders'!B49</f>
        <v>Ethiopia</v>
      </c>
      <c r="C50" s="14" t="str">
        <f>'2026 Orders'!C49</f>
        <v>A4591</v>
      </c>
      <c r="D50" s="14">
        <v>0</v>
      </c>
      <c r="E50" s="17" t="str" cm="1">
        <f t="array" ref="E50">IF(C50=0,"",
HYPERLINK(
"#'2026 Orders'!C"&amp;
MATCH(1,
('2026 Orders'!C:C=C50)*
('2026 Orders'!G:G=G50)*
('2026 Orders'!N:N=N50),
0),
"Open "&amp;C50
))</f>
        <v>Open A4591</v>
      </c>
      <c r="F50" s="14" t="s">
        <v>496</v>
      </c>
      <c r="G50" s="14" t="str">
        <f>'2026 Orders'!G49</f>
        <v>QWELL4-30-SG-FD</v>
      </c>
      <c r="H50" s="14" t="str">
        <f>'2026 Orders'!H49</f>
        <v>QWELL4-30</v>
      </c>
      <c r="I50" s="15" t="str">
        <f>'2026 Orders'!I49</f>
        <v>FD</v>
      </c>
      <c r="J50" s="14">
        <f>'2026 Orders'!J49</f>
        <v>484</v>
      </c>
      <c r="K50" t="s">
        <v>444</v>
      </c>
      <c r="L50">
        <v>484</v>
      </c>
      <c r="M50">
        <v>0</v>
      </c>
      <c r="N50" s="10" t="str">
        <f>'2026 Orders'!N49</f>
        <v>Picked</v>
      </c>
      <c r="O50">
        <v>0</v>
      </c>
      <c r="P50" t="s">
        <v>1077</v>
      </c>
      <c r="Q50">
        <v>609788968375</v>
      </c>
      <c r="R50">
        <v>5000</v>
      </c>
      <c r="S50">
        <v>5060</v>
      </c>
      <c r="T50" t="s">
        <v>1094</v>
      </c>
      <c r="U50" t="s">
        <v>1095</v>
      </c>
      <c r="V50" t="s">
        <v>488</v>
      </c>
      <c r="W50" t="s">
        <v>488</v>
      </c>
      <c r="X50">
        <v>0</v>
      </c>
      <c r="Y50" t="s">
        <v>488</v>
      </c>
      <c r="Z50">
        <v>0</v>
      </c>
      <c r="AC50" t="str">
        <f t="shared" si="0"/>
        <v>484/</v>
      </c>
      <c r="AD50" t="e">
        <f t="shared" si="1"/>
        <v>#VALUE!</v>
      </c>
    </row>
    <row r="51" spans="1:30" ht="33" hidden="1" customHeight="1" x14ac:dyDescent="0.3">
      <c r="A51">
        <v>45919</v>
      </c>
      <c r="B51" s="14" t="str">
        <f>'2026 Orders'!B50</f>
        <v>Ethiopia</v>
      </c>
      <c r="C51" s="14" t="str">
        <f>'2026 Orders'!C50</f>
        <v>A4591</v>
      </c>
      <c r="D51" s="14">
        <v>0</v>
      </c>
      <c r="E51" s="17" t="str" cm="1">
        <f t="array" ref="E51">IF(C51=0,"",
HYPERLINK(
"#'2026 Orders'!C"&amp;
MATCH(1,
('2026 Orders'!C:C=C51)*
('2026 Orders'!G:G=G51)*
('2026 Orders'!N:N=N51),
0),
"Open "&amp;C51
))</f>
        <v>Open A4591</v>
      </c>
      <c r="F51" s="14" t="s">
        <v>497</v>
      </c>
      <c r="G51" s="14" t="str">
        <f>'2026 Orders'!G50</f>
        <v>MOTILMX-60-FD</v>
      </c>
      <c r="H51" s="14" t="str">
        <f>'2026 Orders'!H50</f>
        <v>MOTILMX-60</v>
      </c>
      <c r="I51" s="15" t="str">
        <f>'2026 Orders'!I50</f>
        <v>FD</v>
      </c>
      <c r="J51" s="14">
        <f>'2026 Orders'!J50</f>
        <v>34</v>
      </c>
      <c r="K51" t="s">
        <v>460</v>
      </c>
      <c r="L51">
        <v>34</v>
      </c>
      <c r="M51">
        <v>0</v>
      </c>
      <c r="N51" s="10" t="str">
        <f>'2026 Orders'!N50</f>
        <v>Picked</v>
      </c>
      <c r="O51">
        <v>0</v>
      </c>
      <c r="P51" t="s">
        <v>1077</v>
      </c>
      <c r="Q51" t="s">
        <v>1093</v>
      </c>
      <c r="R51">
        <v>17633</v>
      </c>
      <c r="S51">
        <v>4858</v>
      </c>
      <c r="T51" t="s">
        <v>1079</v>
      </c>
      <c r="U51">
        <v>0</v>
      </c>
      <c r="V51" t="s">
        <v>488</v>
      </c>
      <c r="W51" t="s">
        <v>488</v>
      </c>
      <c r="X51">
        <v>0</v>
      </c>
      <c r="Y51" t="s">
        <v>488</v>
      </c>
      <c r="Z51">
        <v>0</v>
      </c>
      <c r="AC51" t="str">
        <f t="shared" si="0"/>
        <v>34/</v>
      </c>
      <c r="AD51" t="e">
        <f t="shared" si="1"/>
        <v>#VALUE!</v>
      </c>
    </row>
    <row r="52" spans="1:30" ht="33" hidden="1" customHeight="1" x14ac:dyDescent="0.3">
      <c r="A52">
        <v>45958</v>
      </c>
      <c r="B52" s="14">
        <f>'2026 Orders'!B51</f>
        <v>0</v>
      </c>
      <c r="C52" s="14">
        <f>'2026 Orders'!C51</f>
        <v>0</v>
      </c>
      <c r="D52" s="14">
        <v>0</v>
      </c>
      <c r="E52" s="17" t="str" cm="1">
        <f t="array" ref="E52">IF(C52=0,"",
HYPERLINK(
"#'2026 Orders'!C"&amp;
MATCH(1,
('2026 Orders'!C:C=C52)*
('2026 Orders'!G:G=G52)*
('2026 Orders'!N:N=N52),
0),
"Open "&amp;C52
))</f>
        <v/>
      </c>
      <c r="F52" s="14">
        <v>0</v>
      </c>
      <c r="G52" s="14">
        <f>'2026 Orders'!G51</f>
        <v>0</v>
      </c>
      <c r="H52" s="14">
        <f>'2026 Orders'!H51</f>
        <v>0</v>
      </c>
      <c r="I52" s="15" t="str">
        <f>'2026 Orders'!I51</f>
        <v/>
      </c>
      <c r="J52" s="14">
        <f>'2026 Orders'!J51</f>
        <v>0</v>
      </c>
      <c r="K52">
        <v>0</v>
      </c>
      <c r="L52">
        <v>0</v>
      </c>
      <c r="M52">
        <v>0</v>
      </c>
      <c r="N52" s="10">
        <f>'2026 Orders'!N51</f>
        <v>0</v>
      </c>
      <c r="O52" t="s">
        <v>1106</v>
      </c>
      <c r="P52" t="s">
        <v>1077</v>
      </c>
      <c r="Q52">
        <v>609788968191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C52" t="str">
        <f t="shared" si="0"/>
        <v/>
      </c>
      <c r="AD52" t="str">
        <f t="shared" si="1"/>
        <v/>
      </c>
    </row>
    <row r="53" spans="1:30" ht="33" hidden="1" customHeight="1" x14ac:dyDescent="0.3">
      <c r="A53">
        <v>0</v>
      </c>
      <c r="B53" s="14" t="str">
        <f>'2026 Orders'!B52</f>
        <v>Uganda</v>
      </c>
      <c r="C53" s="14" t="str">
        <f>'2026 Orders'!C52</f>
        <v>A4534</v>
      </c>
      <c r="D53" s="14">
        <v>0</v>
      </c>
      <c r="E53" s="17" t="str" cm="1">
        <f t="array" ref="E53">IF(C53=0,"",
HYPERLINK(
"#'2026 Orders'!C"&amp;
MATCH(1,
('2026 Orders'!C:C=C53)*
('2026 Orders'!G:G=G53)*
('2026 Orders'!N:N=N53),
0),
"Open "&amp;C53
))</f>
        <v>Open A4534</v>
      </c>
      <c r="F53" s="14" t="s">
        <v>452</v>
      </c>
      <c r="G53" s="14" t="str">
        <f>'2026 Orders'!G52</f>
        <v>MFSPLS-120-FD</v>
      </c>
      <c r="H53" s="14" t="str">
        <f>'2026 Orders'!H52</f>
        <v>MFSPLS-120</v>
      </c>
      <c r="I53" s="15" t="str">
        <f>'2026 Orders'!I52</f>
        <v>FD</v>
      </c>
      <c r="J53" s="14">
        <f>'2026 Orders'!J52</f>
        <v>240</v>
      </c>
      <c r="K53" t="s">
        <v>462</v>
      </c>
      <c r="L53">
        <v>0</v>
      </c>
      <c r="M53">
        <v>240</v>
      </c>
      <c r="N53" s="10" t="str">
        <f>'2026 Orders'!N52</f>
        <v>PO submitted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C53" t="str">
        <f t="shared" si="0"/>
        <v>240/</v>
      </c>
      <c r="AD53" t="e">
        <f t="shared" si="1"/>
        <v>#VALUE!</v>
      </c>
    </row>
    <row r="54" spans="1:30" ht="33" hidden="1" customHeight="1" x14ac:dyDescent="0.3">
      <c r="A54">
        <v>45923</v>
      </c>
      <c r="B54" s="14" t="str">
        <f>'2026 Orders'!B53</f>
        <v>Uganda</v>
      </c>
      <c r="C54" s="14" t="str">
        <f>'2026 Orders'!C53</f>
        <v>A4534</v>
      </c>
      <c r="D54" s="14">
        <v>0</v>
      </c>
      <c r="E54" s="17" t="str" cm="1">
        <f t="array" ref="E54">IF(C54=0,"",
HYPERLINK(
"#'2026 Orders'!C"&amp;
MATCH(1,
('2026 Orders'!C:C=C54)*
('2026 Orders'!G:G=G54)*
('2026 Orders'!N:N=N54),
0),
"Open "&amp;C54
))</f>
        <v>Open A4534</v>
      </c>
      <c r="F54" s="14">
        <v>0</v>
      </c>
      <c r="G54" s="14" t="str">
        <f>'2026 Orders'!G53</f>
        <v>PRECON-90-FD</v>
      </c>
      <c r="H54" s="14" t="str">
        <f>'2026 Orders'!H53</f>
        <v>PRECON-90</v>
      </c>
      <c r="I54" s="15" t="str">
        <f>'2026 Orders'!I53</f>
        <v>FD</v>
      </c>
      <c r="J54" s="14">
        <f>'2026 Orders'!J53</f>
        <v>72</v>
      </c>
      <c r="K54" t="s">
        <v>443</v>
      </c>
      <c r="L54">
        <v>72</v>
      </c>
      <c r="M54">
        <v>0</v>
      </c>
      <c r="N54" s="10" t="str">
        <f>'2026 Orders'!N53</f>
        <v>Picked</v>
      </c>
      <c r="O54">
        <v>0</v>
      </c>
      <c r="P54" t="s">
        <v>1077</v>
      </c>
      <c r="Q54">
        <v>609788968344</v>
      </c>
      <c r="R54" t="s">
        <v>1107</v>
      </c>
      <c r="S54">
        <v>5064</v>
      </c>
      <c r="T54" t="s">
        <v>1108</v>
      </c>
      <c r="U54" t="s">
        <v>1109</v>
      </c>
      <c r="V54">
        <v>0</v>
      </c>
      <c r="W54">
        <v>0</v>
      </c>
      <c r="X54">
        <v>0</v>
      </c>
      <c r="Y54">
        <v>0</v>
      </c>
      <c r="Z54" t="s">
        <v>1086</v>
      </c>
      <c r="AC54" t="str">
        <f t="shared" si="0"/>
        <v>72/</v>
      </c>
      <c r="AD54" t="e">
        <f t="shared" si="1"/>
        <v>#VALUE!</v>
      </c>
    </row>
    <row r="55" spans="1:30" ht="33" hidden="1" customHeight="1" x14ac:dyDescent="0.3">
      <c r="A55">
        <v>45923</v>
      </c>
      <c r="B55" s="14">
        <f>'2026 Orders'!B54</f>
        <v>0</v>
      </c>
      <c r="C55" s="14">
        <f>'2026 Orders'!C54</f>
        <v>0</v>
      </c>
      <c r="D55" s="14">
        <v>0</v>
      </c>
      <c r="E55" s="17" t="str" cm="1">
        <f t="array" ref="E55">IF(C55=0,"",
HYPERLINK(
"#'2026 Orders'!C"&amp;
MATCH(1,
('2026 Orders'!C:C=C55)*
('2026 Orders'!G:G=G55)*
('2026 Orders'!N:N=N55),
0),
"Open "&amp;C55
))</f>
        <v/>
      </c>
      <c r="F55" s="14">
        <v>0</v>
      </c>
      <c r="G55" s="14">
        <f>'2026 Orders'!G54</f>
        <v>0</v>
      </c>
      <c r="H55" s="14">
        <f>'2026 Orders'!H54</f>
        <v>0</v>
      </c>
      <c r="I55" s="15" t="str">
        <f>'2026 Orders'!I54</f>
        <v/>
      </c>
      <c r="J55" s="14">
        <f>'2026 Orders'!J54</f>
        <v>0</v>
      </c>
      <c r="K55">
        <v>0</v>
      </c>
      <c r="L55">
        <v>0</v>
      </c>
      <c r="M55">
        <v>0</v>
      </c>
      <c r="N55" s="10">
        <f>'2026 Orders'!N54</f>
        <v>0</v>
      </c>
      <c r="O55" t="s">
        <v>1106</v>
      </c>
      <c r="P55" t="s">
        <v>1077</v>
      </c>
      <c r="Q55">
        <v>609788968368</v>
      </c>
      <c r="R55">
        <v>5000</v>
      </c>
      <c r="S55">
        <v>4851</v>
      </c>
      <c r="T55" t="s">
        <v>1079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C55" t="str">
        <f t="shared" si="0"/>
        <v/>
      </c>
      <c r="AD55" t="str">
        <f t="shared" si="1"/>
        <v/>
      </c>
    </row>
    <row r="56" spans="1:30" ht="33" hidden="1" customHeight="1" x14ac:dyDescent="0.3">
      <c r="A56">
        <v>0</v>
      </c>
      <c r="B56" s="14" t="str">
        <f>'2026 Orders'!B55</f>
        <v>Greece</v>
      </c>
      <c r="C56" s="14" t="str">
        <f>'2026 Orders'!C55</f>
        <v>A4547</v>
      </c>
      <c r="D56" s="14" t="s">
        <v>502</v>
      </c>
      <c r="E56" s="17" t="str" cm="1">
        <f t="array" ref="E56">IF(C56=0,"",
HYPERLINK(
"#'2026 Orders'!C"&amp;
MATCH(1,
('2026 Orders'!C:C=C56)*
('2026 Orders'!G:G=G56)*
('2026 Orders'!N:N=N56),
0),
"Open "&amp;C56
))</f>
        <v>Open A4547</v>
      </c>
      <c r="F56" s="14" t="s">
        <v>504</v>
      </c>
      <c r="G56" s="14" t="str">
        <f>'2026 Orders'!G55</f>
        <v>MFSADV-120-CS-GR</v>
      </c>
      <c r="H56" s="14" t="str">
        <f>'2026 Orders'!H55</f>
        <v>MFSADV-120</v>
      </c>
      <c r="I56" s="15" t="str">
        <f>'2026 Orders'!I55</f>
        <v>GR</v>
      </c>
      <c r="J56" s="14">
        <f>'2026 Orders'!J55</f>
        <v>424</v>
      </c>
      <c r="K56" t="s">
        <v>506</v>
      </c>
      <c r="L56">
        <v>424</v>
      </c>
      <c r="M56">
        <v>0</v>
      </c>
      <c r="N56" s="10" t="str">
        <f>'2026 Orders'!N55</f>
        <v>D/W Sent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C56" t="str">
        <f t="shared" si="0"/>
        <v>424/</v>
      </c>
      <c r="AD56" t="e">
        <f t="shared" si="1"/>
        <v>#VALUE!</v>
      </c>
    </row>
    <row r="57" spans="1:30" ht="33" hidden="1" customHeight="1" x14ac:dyDescent="0.3">
      <c r="A57">
        <v>45943</v>
      </c>
      <c r="B57" s="14">
        <f>'2026 Orders'!B56</f>
        <v>0</v>
      </c>
      <c r="C57" s="14">
        <f>'2026 Orders'!C56</f>
        <v>0</v>
      </c>
      <c r="D57" s="14">
        <v>0</v>
      </c>
      <c r="E57" s="17" t="str" cm="1">
        <f t="array" ref="E57">IF(C57=0,"",
HYPERLINK(
"#'2026 Orders'!C"&amp;
MATCH(1,
('2026 Orders'!C:C=C57)*
('2026 Orders'!G:G=G57)*
('2026 Orders'!N:N=N57),
0),
"Open "&amp;C57
))</f>
        <v/>
      </c>
      <c r="F57" s="14">
        <v>0</v>
      </c>
      <c r="G57" s="14">
        <f>'2026 Orders'!G56</f>
        <v>0</v>
      </c>
      <c r="H57" s="14">
        <f>'2026 Orders'!H56</f>
        <v>0</v>
      </c>
      <c r="I57" s="15" t="str">
        <f>'2026 Orders'!I56</f>
        <v/>
      </c>
      <c r="J57" s="14">
        <f>'2026 Orders'!J56</f>
        <v>0</v>
      </c>
      <c r="K57">
        <v>0</v>
      </c>
      <c r="L57">
        <v>0</v>
      </c>
      <c r="M57">
        <v>0</v>
      </c>
      <c r="N57" s="10">
        <f>'2026 Orders'!N56</f>
        <v>0</v>
      </c>
      <c r="O57">
        <v>0</v>
      </c>
      <c r="P57" t="s">
        <v>1085</v>
      </c>
      <c r="Q57">
        <v>604776739272</v>
      </c>
      <c r="R57" t="s">
        <v>1107</v>
      </c>
      <c r="S57">
        <v>5064</v>
      </c>
      <c r="T57" t="s">
        <v>1108</v>
      </c>
      <c r="U57" t="s">
        <v>1109</v>
      </c>
      <c r="V57">
        <v>0</v>
      </c>
      <c r="W57">
        <v>0</v>
      </c>
      <c r="X57">
        <v>0</v>
      </c>
      <c r="Y57">
        <v>0</v>
      </c>
      <c r="Z57" t="s">
        <v>1086</v>
      </c>
      <c r="AC57" t="str">
        <f t="shared" si="0"/>
        <v/>
      </c>
      <c r="AD57" t="str">
        <f t="shared" si="1"/>
        <v/>
      </c>
    </row>
    <row r="58" spans="1:30" ht="33" hidden="1" customHeight="1" x14ac:dyDescent="0.3">
      <c r="A58">
        <v>0</v>
      </c>
      <c r="B58" s="14" t="str">
        <f>'2026 Orders'!B57</f>
        <v>Sudan</v>
      </c>
      <c r="C58" s="14" t="str">
        <f>'2026 Orders'!C57</f>
        <v>A4549</v>
      </c>
      <c r="D58" s="14" t="s">
        <v>509</v>
      </c>
      <c r="E58" s="17" t="str" cm="1">
        <f t="array" ref="E58">IF(C58=0,"",
HYPERLINK(
"#'2026 Orders'!C"&amp;
MATCH(1,
('2026 Orders'!C:C=C58)*
('2026 Orders'!G:G=G58)*
('2026 Orders'!N:N=N58),
0),
"Open "&amp;C58
))</f>
        <v>Open A4549</v>
      </c>
      <c r="F58" s="14" t="s">
        <v>511</v>
      </c>
      <c r="G58" s="14" t="str">
        <f>'2026 Orders'!G57</f>
        <v>COQ400-30-VE-CS-SU</v>
      </c>
      <c r="H58" s="14" t="str">
        <f>'2026 Orders'!H57</f>
        <v>COQ400-30</v>
      </c>
      <c r="I58" s="15" t="str">
        <f>'2026 Orders'!I57</f>
        <v>SU</v>
      </c>
      <c r="J58" s="14">
        <f>'2026 Orders'!J57</f>
        <v>1476</v>
      </c>
      <c r="K58" t="s">
        <v>513</v>
      </c>
      <c r="L58">
        <v>1476</v>
      </c>
      <c r="M58">
        <v>0</v>
      </c>
      <c r="N58" s="10" t="str">
        <f>'2026 Orders'!N57</f>
        <v>Transit to Warehouse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C58" t="str">
        <f t="shared" si="0"/>
        <v>1476/</v>
      </c>
      <c r="AD58" t="e">
        <f t="shared" si="1"/>
        <v>#VALUE!</v>
      </c>
    </row>
    <row r="59" spans="1:30" ht="33" hidden="1" customHeight="1" x14ac:dyDescent="0.3">
      <c r="A59">
        <v>45961</v>
      </c>
      <c r="B59" s="14">
        <f>'2026 Orders'!B58</f>
        <v>0</v>
      </c>
      <c r="C59" s="14">
        <f>'2026 Orders'!C58</f>
        <v>0</v>
      </c>
      <c r="D59" s="14">
        <v>0</v>
      </c>
      <c r="E59" s="17" t="str" cm="1">
        <f t="array" ref="E59">IF(C59=0,"",
HYPERLINK(
"#'2026 Orders'!C"&amp;
MATCH(1,
('2026 Orders'!C:C=C59)*
('2026 Orders'!G:G=G59)*
('2026 Orders'!N:N=N59),
0),
"Open "&amp;C59
))</f>
        <v/>
      </c>
      <c r="F59" s="14">
        <v>0</v>
      </c>
      <c r="G59" s="14">
        <f>'2026 Orders'!G58</f>
        <v>0</v>
      </c>
      <c r="H59" s="14">
        <f>'2026 Orders'!H58</f>
        <v>0</v>
      </c>
      <c r="I59" s="15" t="str">
        <f>'2026 Orders'!I58</f>
        <v/>
      </c>
      <c r="J59" s="14">
        <f>'2026 Orders'!J58</f>
        <v>0</v>
      </c>
      <c r="K59">
        <v>0</v>
      </c>
      <c r="L59">
        <v>0</v>
      </c>
      <c r="M59">
        <v>0</v>
      </c>
      <c r="N59" s="10">
        <f>'2026 Orders'!N58</f>
        <v>0</v>
      </c>
      <c r="O59" t="s">
        <v>1110</v>
      </c>
      <c r="P59" t="s">
        <v>1077</v>
      </c>
      <c r="Q59" t="s">
        <v>1111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 t="s">
        <v>1083</v>
      </c>
      <c r="AC59" t="str">
        <f t="shared" si="0"/>
        <v/>
      </c>
      <c r="AD59" t="str">
        <f t="shared" si="1"/>
        <v/>
      </c>
    </row>
    <row r="60" spans="1:30" ht="33" hidden="1" customHeight="1" x14ac:dyDescent="0.3">
      <c r="A60">
        <v>0</v>
      </c>
      <c r="B60" s="14" t="str">
        <f>'2026 Orders'!B59</f>
        <v>China</v>
      </c>
      <c r="C60" s="14" t="str">
        <f>'2026 Orders'!C59</f>
        <v>A4561</v>
      </c>
      <c r="D60" s="14">
        <v>0</v>
      </c>
      <c r="E60" s="17" t="str" cm="1">
        <f t="array" ref="E60">IF(C60=0,"",
HYPERLINK(
"#'2026 Orders'!C"&amp;
MATCH(1,
('2026 Orders'!C:C=C60)*
('2026 Orders'!G:G=G60)*
('2026 Orders'!N:N=N60),
0),
"Open "&amp;C60
))</f>
        <v>Open A4561</v>
      </c>
      <c r="F60" s="14" t="s">
        <v>517</v>
      </c>
      <c r="G60" s="14" t="str">
        <f>'2026 Orders'!G59</f>
        <v>ZINC25-60-FD</v>
      </c>
      <c r="H60" s="14" t="str">
        <f>'2026 Orders'!H59</f>
        <v>ZINC25-60</v>
      </c>
      <c r="I60" s="15" t="str">
        <f>'2026 Orders'!I59</f>
        <v>FD</v>
      </c>
      <c r="J60" s="14">
        <f>'2026 Orders'!J59</f>
        <v>240</v>
      </c>
      <c r="K60" t="s">
        <v>518</v>
      </c>
      <c r="L60">
        <v>240</v>
      </c>
      <c r="M60">
        <v>0</v>
      </c>
      <c r="N60" s="10" t="str">
        <f>'2026 Orders'!N59</f>
        <v>D/W Sent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C60" t="str">
        <f t="shared" si="0"/>
        <v>240/</v>
      </c>
      <c r="AD60" t="e">
        <f t="shared" si="1"/>
        <v>#VALUE!</v>
      </c>
    </row>
    <row r="61" spans="1:30" ht="33" hidden="1" customHeight="1" x14ac:dyDescent="0.3">
      <c r="A61">
        <v>45967</v>
      </c>
      <c r="B61" s="14">
        <f>'2026 Orders'!B60</f>
        <v>0</v>
      </c>
      <c r="C61" s="14">
        <f>'2026 Orders'!C60</f>
        <v>0</v>
      </c>
      <c r="D61" s="14">
        <v>0</v>
      </c>
      <c r="E61" s="17" t="str" cm="1">
        <f t="array" ref="E61">IF(C61=0,"",
HYPERLINK(
"#'2026 Orders'!C"&amp;
MATCH(1,
('2026 Orders'!C:C=C61)*
('2026 Orders'!G:G=G61)*
('2026 Orders'!N:N=N61),
0),
"Open "&amp;C61
))</f>
        <v/>
      </c>
      <c r="F61" s="14">
        <v>0</v>
      </c>
      <c r="G61" s="14">
        <f>'2026 Orders'!G60</f>
        <v>0</v>
      </c>
      <c r="H61" s="14">
        <f>'2026 Orders'!H60</f>
        <v>0</v>
      </c>
      <c r="I61" s="15" t="str">
        <f>'2026 Orders'!I60</f>
        <v/>
      </c>
      <c r="J61" s="14">
        <f>'2026 Orders'!J60</f>
        <v>0</v>
      </c>
      <c r="K61">
        <v>0</v>
      </c>
      <c r="L61">
        <v>0</v>
      </c>
      <c r="M61">
        <v>0</v>
      </c>
      <c r="N61" s="10">
        <f>'2026 Orders'!N60</f>
        <v>0</v>
      </c>
      <c r="O61" t="s">
        <v>1112</v>
      </c>
      <c r="P61" t="s">
        <v>1077</v>
      </c>
      <c r="Q61" t="s">
        <v>1113</v>
      </c>
      <c r="R61">
        <v>8600</v>
      </c>
      <c r="S61">
        <v>4902</v>
      </c>
      <c r="T61" t="s">
        <v>1079</v>
      </c>
      <c r="U61">
        <v>0</v>
      </c>
      <c r="V61">
        <v>0</v>
      </c>
      <c r="W61">
        <v>0</v>
      </c>
      <c r="X61">
        <v>0</v>
      </c>
      <c r="Y61">
        <v>0</v>
      </c>
      <c r="Z61" t="s">
        <v>1083</v>
      </c>
      <c r="AC61" t="str">
        <f t="shared" si="0"/>
        <v/>
      </c>
      <c r="AD61" t="str">
        <f t="shared" si="1"/>
        <v/>
      </c>
    </row>
    <row r="62" spans="1:30" ht="33" hidden="1" customHeight="1" x14ac:dyDescent="0.3">
      <c r="A62">
        <v>45967</v>
      </c>
      <c r="B62" s="14" t="str">
        <f>'2026 Orders'!B61</f>
        <v>Iraq</v>
      </c>
      <c r="C62" s="14" t="str">
        <f>'2026 Orders'!C61</f>
        <v>A4567</v>
      </c>
      <c r="D62" s="14" t="s">
        <v>521</v>
      </c>
      <c r="E62" s="17" t="str" cm="1">
        <f t="array" ref="E62">IF(C62=0,"",
HYPERLINK(
"#'2026 Orders'!C"&amp;
MATCH(1,
('2026 Orders'!C:C=C62)*
('2026 Orders'!G:G=G62)*
('2026 Orders'!N:N=N62),
0),
"Open "&amp;C62
))</f>
        <v>Open A4567</v>
      </c>
      <c r="F62" s="14" t="s">
        <v>523</v>
      </c>
      <c r="G62" s="14" t="str">
        <f>'2026 Orders'!G61</f>
        <v>ADVTH-60-FD</v>
      </c>
      <c r="H62" s="14" t="str">
        <f>'2026 Orders'!H61</f>
        <v>ADVTH-60</v>
      </c>
      <c r="I62" s="15" t="str">
        <f>'2026 Orders'!I61</f>
        <v>FD</v>
      </c>
      <c r="J62" s="14">
        <f>'2026 Orders'!J61</f>
        <v>3240</v>
      </c>
      <c r="K62" t="s">
        <v>524</v>
      </c>
      <c r="L62">
        <v>3240</v>
      </c>
      <c r="M62">
        <v>0</v>
      </c>
      <c r="N62" s="10" t="str">
        <f>'2026 Orders'!N61</f>
        <v>ON HOLD</v>
      </c>
      <c r="O62" t="s">
        <v>1112</v>
      </c>
      <c r="P62" t="s">
        <v>1077</v>
      </c>
      <c r="Q62">
        <v>604776737797</v>
      </c>
      <c r="R62">
        <v>4000</v>
      </c>
      <c r="S62">
        <v>4906</v>
      </c>
      <c r="T62" t="s">
        <v>1079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C62" t="str">
        <f t="shared" si="0"/>
        <v>3240/</v>
      </c>
      <c r="AD62" t="e">
        <f t="shared" si="1"/>
        <v>#VALUE!</v>
      </c>
    </row>
    <row r="63" spans="1:30" ht="33" hidden="1" customHeight="1" x14ac:dyDescent="0.3">
      <c r="A63">
        <v>45967</v>
      </c>
      <c r="B63" s="14" t="str">
        <f>'2026 Orders'!B62</f>
        <v>Iraq</v>
      </c>
      <c r="C63" s="14" t="str">
        <f>'2026 Orders'!C62</f>
        <v>A4567</v>
      </c>
      <c r="D63" s="14" t="s">
        <v>525</v>
      </c>
      <c r="E63" s="17" t="str" cm="1">
        <f t="array" ref="E63">IF(C63=0,"",
HYPERLINK(
"#'2026 Orders'!C"&amp;
MATCH(1,
('2026 Orders'!C:C=C63)*
('2026 Orders'!G:G=G63)*
('2026 Orders'!N:N=N63),
0),
"Open "&amp;C63
))</f>
        <v>Open A4567</v>
      </c>
      <c r="F63" s="14" t="s">
        <v>523</v>
      </c>
      <c r="G63" s="14" t="str">
        <f>'2026 Orders'!G62</f>
        <v>COLLA-60-FD</v>
      </c>
      <c r="H63" s="14" t="str">
        <f>'2026 Orders'!H62</f>
        <v>COLLA-60</v>
      </c>
      <c r="I63" s="15" t="str">
        <f>'2026 Orders'!I62</f>
        <v>FD</v>
      </c>
      <c r="J63" s="14">
        <f>'2026 Orders'!J62</f>
        <v>6960</v>
      </c>
      <c r="K63" t="s">
        <v>526</v>
      </c>
      <c r="L63">
        <v>6960</v>
      </c>
      <c r="M63">
        <v>0</v>
      </c>
      <c r="N63" s="10" t="str">
        <f>'2026 Orders'!N62</f>
        <v>ON HOLD</v>
      </c>
      <c r="O63" t="s">
        <v>1112</v>
      </c>
      <c r="P63" t="s">
        <v>1077</v>
      </c>
      <c r="Q63">
        <v>604776738831</v>
      </c>
      <c r="R63">
        <v>11000</v>
      </c>
      <c r="S63">
        <v>4912</v>
      </c>
      <c r="T63" t="s">
        <v>1079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C63" t="str">
        <f t="shared" si="0"/>
        <v>6960/</v>
      </c>
      <c r="AD63" t="e">
        <f t="shared" si="1"/>
        <v>#VALUE!</v>
      </c>
    </row>
    <row r="64" spans="1:30" ht="33" hidden="1" customHeight="1" x14ac:dyDescent="0.3">
      <c r="A64">
        <v>45967</v>
      </c>
      <c r="B64" s="14" t="str">
        <f>'2026 Orders'!B63</f>
        <v>Iraq</v>
      </c>
      <c r="C64" s="14" t="str">
        <f>'2026 Orders'!C63</f>
        <v>A4567</v>
      </c>
      <c r="D64" s="14" t="s">
        <v>527</v>
      </c>
      <c r="E64" s="17" t="str" cm="1">
        <f t="array" ref="E64">IF(C64=0,"",
HYPERLINK(
"#'2026 Orders'!C"&amp;
MATCH(1,
('2026 Orders'!C:C=C64)*
('2026 Orders'!G:G=G64)*
('2026 Orders'!N:N=N64),
0),
"Open "&amp;C64
))</f>
        <v>Open A4567</v>
      </c>
      <c r="F64" s="14" t="s">
        <v>528</v>
      </c>
      <c r="G64" s="14" t="str">
        <f>'2026 Orders'!G63</f>
        <v>METRIO-60-CS-IQ</v>
      </c>
      <c r="H64" s="14" t="str">
        <f>'2026 Orders'!H63</f>
        <v>METRIO-60</v>
      </c>
      <c r="I64" s="15" t="str">
        <f>'2026 Orders'!I63</f>
        <v>IQ</v>
      </c>
      <c r="J64" s="14">
        <f>'2026 Orders'!J63</f>
        <v>3000</v>
      </c>
      <c r="K64" t="s">
        <v>530</v>
      </c>
      <c r="L64">
        <v>3000</v>
      </c>
      <c r="M64">
        <v>0</v>
      </c>
      <c r="N64" s="10" t="str">
        <f>'2026 Orders'!N63</f>
        <v>ON HOLD</v>
      </c>
      <c r="O64" t="s">
        <v>1112</v>
      </c>
      <c r="P64" t="s">
        <v>1077</v>
      </c>
      <c r="Q64">
        <v>604776738060</v>
      </c>
      <c r="R64">
        <v>37000</v>
      </c>
      <c r="S64">
        <v>4908</v>
      </c>
      <c r="T64" t="s">
        <v>1103</v>
      </c>
      <c r="U64">
        <v>0</v>
      </c>
      <c r="V64">
        <v>0</v>
      </c>
      <c r="W64">
        <v>0</v>
      </c>
      <c r="X64">
        <v>0</v>
      </c>
      <c r="Y64">
        <v>0</v>
      </c>
      <c r="Z64" t="s">
        <v>1086</v>
      </c>
      <c r="AC64" t="str">
        <f t="shared" si="0"/>
        <v>3000/</v>
      </c>
      <c r="AD64" t="e">
        <f t="shared" si="1"/>
        <v>#VALUE!</v>
      </c>
    </row>
    <row r="65" spans="1:30" ht="33" hidden="1" customHeight="1" x14ac:dyDescent="0.3">
      <c r="A65">
        <v>45763</v>
      </c>
      <c r="B65" s="14" t="str">
        <f>'2026 Orders'!B64</f>
        <v>Iraq</v>
      </c>
      <c r="C65" s="14" t="str">
        <f>'2026 Orders'!C64</f>
        <v>A4567</v>
      </c>
      <c r="D65" s="14" t="s">
        <v>531</v>
      </c>
      <c r="E65" s="17" t="str" cm="1">
        <f t="array" ref="E65">IF(C65=0,"",
HYPERLINK(
"#'2026 Orders'!C"&amp;
MATCH(1,
('2026 Orders'!C:C=C65)*
('2026 Orders'!G:G=G65)*
('2026 Orders'!N:N=N65),
0),
"Open "&amp;C65
))</f>
        <v>Open A4567</v>
      </c>
      <c r="F65" s="14" t="s">
        <v>528</v>
      </c>
      <c r="G65" s="14" t="str">
        <f>'2026 Orders'!G64</f>
        <v>PROSTA-45-RE</v>
      </c>
      <c r="H65" s="14" t="str">
        <f>'2026 Orders'!H64</f>
        <v>PROSTA-45</v>
      </c>
      <c r="I65" s="15" t="str">
        <f>'2026 Orders'!I64</f>
        <v>RE</v>
      </c>
      <c r="J65" s="14">
        <f>'2026 Orders'!J64</f>
        <v>8520</v>
      </c>
      <c r="K65" t="s">
        <v>532</v>
      </c>
      <c r="L65">
        <v>8520</v>
      </c>
      <c r="M65">
        <v>0</v>
      </c>
      <c r="N65" s="10" t="str">
        <f>'2026 Orders'!N64</f>
        <v>ON HOLD</v>
      </c>
      <c r="O65" t="s">
        <v>1112</v>
      </c>
      <c r="P65" t="s">
        <v>1077</v>
      </c>
      <c r="Q65">
        <v>604776737681</v>
      </c>
      <c r="R65">
        <v>30000</v>
      </c>
      <c r="S65">
        <v>4711</v>
      </c>
      <c r="T65" t="s">
        <v>1103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C65" t="str">
        <f t="shared" si="0"/>
        <v>8520/</v>
      </c>
      <c r="AD65" t="e">
        <f t="shared" si="1"/>
        <v>#VALUE!</v>
      </c>
    </row>
    <row r="66" spans="1:30" ht="33" hidden="1" customHeight="1" x14ac:dyDescent="0.3">
      <c r="A66">
        <v>0</v>
      </c>
      <c r="B66" s="14" t="str">
        <f>'2026 Orders'!B65</f>
        <v>Iraq</v>
      </c>
      <c r="C66" s="14" t="str">
        <f>'2026 Orders'!C65</f>
        <v>A4567</v>
      </c>
      <c r="D66" s="14" t="s">
        <v>533</v>
      </c>
      <c r="E66" s="17" t="str" cm="1">
        <f t="array" ref="E66">IF(C66=0,"",
HYPERLINK(
"#'2026 Orders'!C"&amp;
MATCH(1,
('2026 Orders'!C:C=C66)*
('2026 Orders'!G:G=G66)*
('2026 Orders'!N:N=N66),
0),
"Open "&amp;C66
))</f>
        <v>Open A4567</v>
      </c>
      <c r="F66" s="14" t="s">
        <v>528</v>
      </c>
      <c r="G66" s="14" t="str">
        <f>'2026 Orders'!G65</f>
        <v>SPERMCT-60-RE</v>
      </c>
      <c r="H66" s="14" t="str">
        <f>'2026 Orders'!H65</f>
        <v>SPERMCT-60</v>
      </c>
      <c r="I66" s="15" t="str">
        <f>'2026 Orders'!I65</f>
        <v>RE</v>
      </c>
      <c r="J66" s="14">
        <f>'2026 Orders'!J65</f>
        <v>1200</v>
      </c>
      <c r="K66" t="s">
        <v>534</v>
      </c>
      <c r="L66">
        <v>1200</v>
      </c>
      <c r="M66">
        <v>0</v>
      </c>
      <c r="N66" s="10" t="str">
        <f>'2026 Orders'!N65</f>
        <v>ON HOLD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C66" t="str">
        <f t="shared" si="0"/>
        <v>1200/</v>
      </c>
      <c r="AD66" t="e">
        <f t="shared" si="1"/>
        <v>#VALUE!</v>
      </c>
    </row>
    <row r="67" spans="1:30" ht="33" hidden="1" customHeight="1" x14ac:dyDescent="0.3">
      <c r="A67">
        <v>45967</v>
      </c>
      <c r="B67" s="14">
        <f>'2026 Orders'!B66</f>
        <v>0</v>
      </c>
      <c r="C67" s="14">
        <f>'2026 Orders'!C66</f>
        <v>0</v>
      </c>
      <c r="D67" s="14">
        <v>0</v>
      </c>
      <c r="E67" s="17" t="str" cm="1">
        <f t="array" ref="E67">IF(C67=0,"",
HYPERLINK(
"#'2026 Orders'!C"&amp;
MATCH(1,
('2026 Orders'!C:C=C67)*
('2026 Orders'!G:G=G67)*
('2026 Orders'!N:N=N67),
0),
"Open "&amp;C67
))</f>
        <v/>
      </c>
      <c r="F67" s="14">
        <v>0</v>
      </c>
      <c r="G67" s="14">
        <f>'2026 Orders'!G66</f>
        <v>0</v>
      </c>
      <c r="H67" s="14">
        <f>'2026 Orders'!H66</f>
        <v>0</v>
      </c>
      <c r="I67" s="15" t="str">
        <f>'2026 Orders'!I66</f>
        <v/>
      </c>
      <c r="J67" s="14">
        <f>'2026 Orders'!J66</f>
        <v>0</v>
      </c>
      <c r="K67">
        <v>0</v>
      </c>
      <c r="L67">
        <v>0</v>
      </c>
      <c r="M67">
        <v>0</v>
      </c>
      <c r="N67" s="10">
        <f>'2026 Orders'!N66</f>
        <v>0</v>
      </c>
      <c r="O67" t="s">
        <v>1114</v>
      </c>
      <c r="P67" t="s">
        <v>1077</v>
      </c>
      <c r="Q67" t="s">
        <v>1115</v>
      </c>
      <c r="R67">
        <v>7000</v>
      </c>
      <c r="S67">
        <v>4944</v>
      </c>
      <c r="T67" t="s">
        <v>1103</v>
      </c>
      <c r="U67" t="s">
        <v>1116</v>
      </c>
      <c r="V67">
        <v>0</v>
      </c>
      <c r="W67">
        <v>0</v>
      </c>
      <c r="X67">
        <v>0</v>
      </c>
      <c r="Y67">
        <v>0</v>
      </c>
      <c r="Z67">
        <v>0</v>
      </c>
      <c r="AC67" t="str">
        <f t="shared" ref="AC67:AC130" si="2">IF(OR(B67="",B67=0),"",J67&amp;"/"&amp;$AJ$2)</f>
        <v/>
      </c>
      <c r="AD67" t="str">
        <f t="shared" ref="AD67:AD130" si="3">IF(OR(J67="",J67=0),"",I67&amp;" -&gt; "&amp;$AK$2)</f>
        <v/>
      </c>
    </row>
    <row r="68" spans="1:30" ht="33" hidden="1" customHeight="1" x14ac:dyDescent="0.3">
      <c r="A68">
        <v>45967</v>
      </c>
      <c r="B68" s="14" t="str">
        <f>'2026 Orders'!B67</f>
        <v>Iraq</v>
      </c>
      <c r="C68" s="14" t="str">
        <f>'2026 Orders'!C67</f>
        <v>A4632</v>
      </c>
      <c r="D68" s="14" t="s">
        <v>536</v>
      </c>
      <c r="E68" s="17" t="str" cm="1">
        <f t="array" ref="E68">IF(C68=0,"",
HYPERLINK(
"#'2026 Orders'!C"&amp;
MATCH(1,
('2026 Orders'!C:C=C68)*
('2026 Orders'!G:G=G68)*
('2026 Orders'!N:N=N68),
0),
"Open "&amp;C68
))</f>
        <v>Open A4632</v>
      </c>
      <c r="F68" s="14" t="s">
        <v>538</v>
      </c>
      <c r="G68" s="14" t="str">
        <f>'2026 Orders'!G67</f>
        <v>OVAMAX-60-CS-IQ</v>
      </c>
      <c r="H68" s="14" t="str">
        <f>'2026 Orders'!H67</f>
        <v>OVAMAX-60</v>
      </c>
      <c r="I68" s="15" t="str">
        <f>'2026 Orders'!I67</f>
        <v>IQ</v>
      </c>
      <c r="J68" s="14">
        <f>'2026 Orders'!J67</f>
        <v>18960</v>
      </c>
      <c r="K68" t="s">
        <v>540</v>
      </c>
      <c r="L68">
        <v>18960</v>
      </c>
      <c r="M68">
        <v>0</v>
      </c>
      <c r="N68" s="10" t="str">
        <f>'2026 Orders'!N67</f>
        <v>ON HOLD</v>
      </c>
      <c r="O68">
        <v>0</v>
      </c>
      <c r="P68" t="s">
        <v>1077</v>
      </c>
      <c r="Q68">
        <v>604776737988</v>
      </c>
      <c r="R68">
        <v>15000</v>
      </c>
      <c r="S68">
        <v>4945</v>
      </c>
      <c r="T68" t="s">
        <v>1103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C68" t="str">
        <f t="shared" si="2"/>
        <v>18960/</v>
      </c>
      <c r="AD68" t="e">
        <f t="shared" si="3"/>
        <v>#VALUE!</v>
      </c>
    </row>
    <row r="69" spans="1:30" ht="33" hidden="1" customHeight="1" x14ac:dyDescent="0.3">
      <c r="A69">
        <v>45967</v>
      </c>
      <c r="B69" s="14" t="str">
        <f>'2026 Orders'!B68</f>
        <v>Iraq</v>
      </c>
      <c r="C69" s="14" t="str">
        <f>'2026 Orders'!C68</f>
        <v>A4632</v>
      </c>
      <c r="D69" s="14" t="s">
        <v>541</v>
      </c>
      <c r="E69" s="17" t="str" cm="1">
        <f t="array" ref="E69">IF(C69=0,"",
HYPERLINK(
"#'2026 Orders'!C"&amp;
MATCH(1,
('2026 Orders'!C:C=C69)*
('2026 Orders'!G:G=G69)*
('2026 Orders'!N:N=N69),
0),
"Open "&amp;C69
))</f>
        <v>Open A4632</v>
      </c>
      <c r="F69" s="14" t="s">
        <v>528</v>
      </c>
      <c r="G69" s="14" t="str">
        <f>'2026 Orders'!G68</f>
        <v>PEARLY-60-CS-IQ</v>
      </c>
      <c r="H69" s="14" t="str">
        <f>'2026 Orders'!H68</f>
        <v>PEARLY-60</v>
      </c>
      <c r="I69" s="15" t="str">
        <f>'2026 Orders'!I68</f>
        <v>IQ</v>
      </c>
      <c r="J69" s="14">
        <f>'2026 Orders'!J68</f>
        <v>24672</v>
      </c>
      <c r="K69" t="s">
        <v>543</v>
      </c>
      <c r="L69">
        <v>24672</v>
      </c>
      <c r="M69">
        <v>0</v>
      </c>
      <c r="N69" s="10" t="str">
        <f>'2026 Orders'!N68</f>
        <v>ON HOLD</v>
      </c>
      <c r="O69" t="s">
        <v>1114</v>
      </c>
      <c r="P69" t="s">
        <v>1077</v>
      </c>
      <c r="Q69" t="s">
        <v>1117</v>
      </c>
      <c r="R69">
        <v>5000</v>
      </c>
      <c r="S69">
        <v>4946</v>
      </c>
      <c r="T69" t="s">
        <v>1103</v>
      </c>
      <c r="U69" t="s">
        <v>1116</v>
      </c>
      <c r="V69">
        <v>0</v>
      </c>
      <c r="W69">
        <v>0</v>
      </c>
      <c r="X69">
        <v>0</v>
      </c>
      <c r="Y69">
        <v>0</v>
      </c>
      <c r="Z69">
        <v>0</v>
      </c>
      <c r="AC69" t="str">
        <f t="shared" si="2"/>
        <v>24672/</v>
      </c>
      <c r="AD69" t="e">
        <f t="shared" si="3"/>
        <v>#VALUE!</v>
      </c>
    </row>
    <row r="70" spans="1:30" ht="33" hidden="1" customHeight="1" x14ac:dyDescent="0.3">
      <c r="A70">
        <v>0</v>
      </c>
      <c r="B70" s="14">
        <f>'2026 Orders'!B69</f>
        <v>0</v>
      </c>
      <c r="C70" s="14">
        <f>'2026 Orders'!C69</f>
        <v>0</v>
      </c>
      <c r="D70" s="14">
        <v>0</v>
      </c>
      <c r="E70" s="17" t="str" cm="1">
        <f t="array" ref="E70">IF(C70=0,"",
HYPERLINK(
"#'2026 Orders'!C"&amp;
MATCH(1,
('2026 Orders'!C:C=C70)*
('2026 Orders'!G:G=G70)*
('2026 Orders'!N:N=N70),
0),
"Open "&amp;C70
))</f>
        <v/>
      </c>
      <c r="F70" s="14">
        <v>0</v>
      </c>
      <c r="G70" s="14">
        <f>'2026 Orders'!G69</f>
        <v>0</v>
      </c>
      <c r="H70" s="14">
        <f>'2026 Orders'!H69</f>
        <v>0</v>
      </c>
      <c r="I70" s="15" t="str">
        <f>'2026 Orders'!I69</f>
        <v/>
      </c>
      <c r="J70" s="14">
        <f>'2026 Orders'!J69</f>
        <v>0</v>
      </c>
      <c r="K70">
        <v>0</v>
      </c>
      <c r="L70">
        <v>0</v>
      </c>
      <c r="M70">
        <v>0</v>
      </c>
      <c r="N70" s="10">
        <f>'2026 Orders'!N69</f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C70" t="str">
        <f t="shared" si="2"/>
        <v/>
      </c>
      <c r="AD70" t="str">
        <f t="shared" si="3"/>
        <v/>
      </c>
    </row>
    <row r="71" spans="1:30" ht="33" hidden="1" customHeight="1" x14ac:dyDescent="0.3">
      <c r="A71">
        <v>45995</v>
      </c>
      <c r="B71" s="14" t="str">
        <f>'2026 Orders'!B70</f>
        <v>Iraq</v>
      </c>
      <c r="C71" s="14" t="str">
        <f>'2026 Orders'!C70</f>
        <v>A4633</v>
      </c>
      <c r="D71" s="14" t="s">
        <v>545</v>
      </c>
      <c r="E71" s="17" t="str" cm="1">
        <f t="array" ref="E71">IF(C71=0,"",
HYPERLINK(
"#'2026 Orders'!C"&amp;
MATCH(1,
('2026 Orders'!C:C=C71)*
('2026 Orders'!G:G=G71)*
('2026 Orders'!N:N=N71),
0),
"Open "&amp;C71
))</f>
        <v>Open A4633</v>
      </c>
      <c r="F71" s="14" t="s">
        <v>547</v>
      </c>
      <c r="G71" s="14" t="str">
        <f>'2026 Orders'!G70</f>
        <v>MFSPLS-60-RE</v>
      </c>
      <c r="H71" s="14" t="str">
        <f>'2026 Orders'!H70</f>
        <v>MFSPLS-60</v>
      </c>
      <c r="I71" s="15" t="str">
        <f>'2026 Orders'!I70</f>
        <v>RE</v>
      </c>
      <c r="J71" s="14">
        <f>'2026 Orders'!J70</f>
        <v>8880</v>
      </c>
      <c r="K71" t="s">
        <v>548</v>
      </c>
      <c r="L71">
        <v>8880</v>
      </c>
      <c r="M71">
        <v>0</v>
      </c>
      <c r="N71" s="10" t="str">
        <f>'2026 Orders'!N70</f>
        <v>ON HOLD</v>
      </c>
      <c r="O71">
        <v>46216</v>
      </c>
      <c r="P71" t="s">
        <v>1077</v>
      </c>
      <c r="Q71" t="s">
        <v>1118</v>
      </c>
      <c r="R71">
        <v>0</v>
      </c>
      <c r="S71">
        <v>4523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 t="s">
        <v>1086</v>
      </c>
      <c r="AC71" t="str">
        <f t="shared" si="2"/>
        <v>8880/</v>
      </c>
      <c r="AD71" t="e">
        <f t="shared" si="3"/>
        <v>#VALUE!</v>
      </c>
    </row>
    <row r="72" spans="1:30" ht="33" hidden="1" customHeight="1" x14ac:dyDescent="0.3">
      <c r="A72">
        <v>45995</v>
      </c>
      <c r="B72" s="14" t="str">
        <f>'2026 Orders'!B71</f>
        <v>Iraq</v>
      </c>
      <c r="C72" s="14" t="str">
        <f>'2026 Orders'!C71</f>
        <v>A4633</v>
      </c>
      <c r="D72" s="14">
        <v>0</v>
      </c>
      <c r="E72" s="17" t="str" cm="1">
        <f t="array" ref="E72">IF(C72=0,"",
HYPERLINK(
"#'2026 Orders'!C"&amp;
MATCH(1,
('2026 Orders'!C:C=C72)*
('2026 Orders'!G:G=G72)*
('2026 Orders'!N:N=N72),
0),
"Open "&amp;C72
))</f>
        <v>Open A4633</v>
      </c>
      <c r="F72" s="14" t="s">
        <v>549</v>
      </c>
      <c r="G72" s="14" t="str">
        <f>'2026 Orders'!G71</f>
        <v>MOTILMX-60-CS-IQ</v>
      </c>
      <c r="H72" s="14" t="str">
        <f>'2026 Orders'!H71</f>
        <v>MOTILMX-60</v>
      </c>
      <c r="I72" s="15" t="str">
        <f>'2026 Orders'!I71</f>
        <v>IQ</v>
      </c>
      <c r="J72" s="14">
        <f>'2026 Orders'!J71</f>
        <v>30000</v>
      </c>
      <c r="K72" t="s">
        <v>551</v>
      </c>
      <c r="L72">
        <v>30000</v>
      </c>
      <c r="M72">
        <v>0</v>
      </c>
      <c r="N72" s="10" t="str">
        <f>'2026 Orders'!N71</f>
        <v>ON HOLD</v>
      </c>
      <c r="O72">
        <v>46092</v>
      </c>
      <c r="P72" t="s">
        <v>1077</v>
      </c>
      <c r="Q72" t="s">
        <v>1119</v>
      </c>
      <c r="R72">
        <v>5000</v>
      </c>
      <c r="S72">
        <v>4861</v>
      </c>
      <c r="T72" t="s">
        <v>1079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C72" t="str">
        <f t="shared" si="2"/>
        <v>30000/</v>
      </c>
      <c r="AD72" t="e">
        <f t="shared" si="3"/>
        <v>#VALUE!</v>
      </c>
    </row>
    <row r="73" spans="1:30" ht="33" hidden="1" customHeight="1" x14ac:dyDescent="0.3">
      <c r="A73">
        <v>45995</v>
      </c>
      <c r="B73" s="14">
        <f>'2026 Orders'!B72</f>
        <v>0</v>
      </c>
      <c r="C73" s="14">
        <f>'2026 Orders'!C72</f>
        <v>0</v>
      </c>
      <c r="D73" s="14">
        <v>0</v>
      </c>
      <c r="E73" s="17" t="str" cm="1">
        <f t="array" ref="E73">IF(C73=0,"",
HYPERLINK(
"#'2026 Orders'!C"&amp;
MATCH(1,
('2026 Orders'!C:C=C73)*
('2026 Orders'!G:G=G73)*
('2026 Orders'!N:N=N73),
0),
"Open "&amp;C73
))</f>
        <v/>
      </c>
      <c r="F73" s="14">
        <v>0</v>
      </c>
      <c r="G73" s="14">
        <f>'2026 Orders'!G72</f>
        <v>0</v>
      </c>
      <c r="H73" s="14">
        <f>'2026 Orders'!H72</f>
        <v>0</v>
      </c>
      <c r="I73" s="15" t="str">
        <f>'2026 Orders'!I72</f>
        <v/>
      </c>
      <c r="J73" s="14">
        <f>'2026 Orders'!J72</f>
        <v>0</v>
      </c>
      <c r="K73">
        <v>0</v>
      </c>
      <c r="L73">
        <v>0</v>
      </c>
      <c r="M73">
        <v>0</v>
      </c>
      <c r="N73" s="10">
        <f>'2026 Orders'!N72</f>
        <v>0</v>
      </c>
      <c r="O73">
        <v>0</v>
      </c>
      <c r="P73" t="s">
        <v>1077</v>
      </c>
      <c r="Q73">
        <v>810131190040</v>
      </c>
      <c r="R73">
        <v>0</v>
      </c>
      <c r="S73">
        <v>4532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C73" t="str">
        <f t="shared" si="2"/>
        <v/>
      </c>
      <c r="AD73" t="str">
        <f t="shared" si="3"/>
        <v/>
      </c>
    </row>
    <row r="74" spans="1:30" ht="33" hidden="1" customHeight="1" x14ac:dyDescent="0.3">
      <c r="A74">
        <v>45763</v>
      </c>
      <c r="B74" s="14" t="str">
        <f>'2026 Orders'!B73</f>
        <v>Iraq</v>
      </c>
      <c r="C74" s="14" t="str">
        <f>'2026 Orders'!C73</f>
        <v>A4704</v>
      </c>
      <c r="D74" s="14" t="s">
        <v>553</v>
      </c>
      <c r="E74" s="17" t="str" cm="1">
        <f t="array" ref="E74">IF(C74=0,"",
HYPERLINK(
"#'2026 Orders'!C"&amp;
MATCH(1,
('2026 Orders'!C:C=C74)*
('2026 Orders'!G:G=G74)*
('2026 Orders'!N:N=N74),
0),
"Open "&amp;C74
))</f>
        <v>Open A4704</v>
      </c>
      <c r="F74" s="14" t="s">
        <v>555</v>
      </c>
      <c r="G74" s="14" t="str">
        <f>'2026 Orders'!G73</f>
        <v>FIBRO-60-CS-IQ</v>
      </c>
      <c r="H74" s="14" t="str">
        <f>'2026 Orders'!H73</f>
        <v>FIBRO-60</v>
      </c>
      <c r="I74" s="15" t="str">
        <f>'2026 Orders'!I73</f>
        <v>IQ</v>
      </c>
      <c r="J74" s="14">
        <f>'2026 Orders'!J73</f>
        <v>2808</v>
      </c>
      <c r="K74" t="s">
        <v>557</v>
      </c>
      <c r="L74">
        <v>2208</v>
      </c>
      <c r="M74">
        <v>0</v>
      </c>
      <c r="N74" s="10" t="str">
        <f>'2026 Orders'!N73</f>
        <v>ON HOLD</v>
      </c>
      <c r="O74">
        <v>0</v>
      </c>
      <c r="P74" t="s">
        <v>1077</v>
      </c>
      <c r="Q74">
        <v>609788968146</v>
      </c>
      <c r="R74">
        <v>6000</v>
      </c>
      <c r="S74">
        <v>4964</v>
      </c>
      <c r="T74">
        <v>46052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C74" t="str">
        <f t="shared" si="2"/>
        <v>2808/</v>
      </c>
      <c r="AD74" t="e">
        <f t="shared" si="3"/>
        <v>#VALUE!</v>
      </c>
    </row>
    <row r="75" spans="1:30" ht="33" hidden="1" customHeight="1" x14ac:dyDescent="0.3">
      <c r="A75">
        <v>45617</v>
      </c>
      <c r="B75" s="14" t="str">
        <f>'2026 Orders'!B74</f>
        <v>Iraq</v>
      </c>
      <c r="C75" s="14" t="str">
        <f>'2026 Orders'!C74</f>
        <v>A4704</v>
      </c>
      <c r="D75" s="14" t="s">
        <v>558</v>
      </c>
      <c r="E75" s="17" t="str" cm="1">
        <f t="array" ref="E75">IF(C75=0,"",
HYPERLINK(
"#'2026 Orders'!C"&amp;
MATCH(1,
('2026 Orders'!C:C=C75)*
('2026 Orders'!G:G=G75)*
('2026 Orders'!N:N=N75),
0),
"Open "&amp;C75
))</f>
        <v>Open A4704</v>
      </c>
      <c r="F75" s="14" t="s">
        <v>559</v>
      </c>
      <c r="G75" s="14" t="str">
        <f>'2026 Orders'!G74</f>
        <v>COLLA-60-FD</v>
      </c>
      <c r="H75" s="14" t="str">
        <f>'2026 Orders'!H74</f>
        <v>COLLA-60</v>
      </c>
      <c r="I75" s="15" t="str">
        <f>'2026 Orders'!I74</f>
        <v>FD</v>
      </c>
      <c r="J75" s="14">
        <f>'2026 Orders'!J74</f>
        <v>4800</v>
      </c>
      <c r="K75" t="s">
        <v>526</v>
      </c>
      <c r="L75">
        <v>4800</v>
      </c>
      <c r="M75">
        <v>0</v>
      </c>
      <c r="N75" s="10" t="str">
        <f>'2026 Orders'!N74</f>
        <v>ON HOLD</v>
      </c>
      <c r="O75">
        <v>0</v>
      </c>
      <c r="P75" t="s">
        <v>1077</v>
      </c>
      <c r="Q75">
        <v>609788968528</v>
      </c>
      <c r="R75">
        <v>5000</v>
      </c>
      <c r="S75">
        <v>4876</v>
      </c>
      <c r="T75" t="s">
        <v>1079</v>
      </c>
      <c r="U75" t="s">
        <v>1120</v>
      </c>
      <c r="V75">
        <v>0</v>
      </c>
      <c r="W75">
        <v>0</v>
      </c>
      <c r="X75">
        <v>0</v>
      </c>
      <c r="Y75">
        <v>0</v>
      </c>
      <c r="Z75">
        <v>0</v>
      </c>
      <c r="AC75" t="str">
        <f t="shared" si="2"/>
        <v>4800/</v>
      </c>
      <c r="AD75" t="e">
        <f t="shared" si="3"/>
        <v>#VALUE!</v>
      </c>
    </row>
    <row r="76" spans="1:30" ht="33" hidden="1" customHeight="1" x14ac:dyDescent="0.3">
      <c r="A76">
        <v>45763</v>
      </c>
      <c r="B76" s="14" t="str">
        <f>'2026 Orders'!B75</f>
        <v>Iraq</v>
      </c>
      <c r="C76" s="14" t="str">
        <f>'2026 Orders'!C75</f>
        <v>A4704</v>
      </c>
      <c r="D76" s="14" t="s">
        <v>560</v>
      </c>
      <c r="E76" s="17" t="str" cm="1">
        <f t="array" ref="E76">IF(C76=0,"",
HYPERLINK(
"#'2026 Orders'!C"&amp;
MATCH(1,
('2026 Orders'!C:C=C76)*
('2026 Orders'!G:G=G76)*
('2026 Orders'!N:N=N76),
0),
"Open "&amp;C76
))</f>
        <v>Open A4704</v>
      </c>
      <c r="F76" s="14" t="s">
        <v>561</v>
      </c>
      <c r="G76" s="14" t="str">
        <f>'2026 Orders'!G75</f>
        <v>MFSPLS-60-RE</v>
      </c>
      <c r="H76" s="14" t="str">
        <f>'2026 Orders'!H75</f>
        <v>MFSPLS-60</v>
      </c>
      <c r="I76" s="15" t="str">
        <f>'2026 Orders'!I75</f>
        <v>RE</v>
      </c>
      <c r="J76" s="14">
        <f>'2026 Orders'!J75</f>
        <v>5280</v>
      </c>
      <c r="K76" t="s">
        <v>548</v>
      </c>
      <c r="L76">
        <v>5280</v>
      </c>
      <c r="M76">
        <v>0</v>
      </c>
      <c r="N76" s="10" t="str">
        <f>'2026 Orders'!N75</f>
        <v>ON HOLD</v>
      </c>
      <c r="O76">
        <v>0</v>
      </c>
      <c r="P76" t="s">
        <v>1077</v>
      </c>
      <c r="Q76">
        <v>609788968528</v>
      </c>
      <c r="R76">
        <v>5000</v>
      </c>
      <c r="S76">
        <v>4966</v>
      </c>
      <c r="T76">
        <v>46052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C76" t="str">
        <f t="shared" si="2"/>
        <v>5280/</v>
      </c>
      <c r="AD76" t="e">
        <f t="shared" si="3"/>
        <v>#VALUE!</v>
      </c>
    </row>
    <row r="77" spans="1:30" ht="33" hidden="1" customHeight="1" x14ac:dyDescent="0.3">
      <c r="A77">
        <v>45763</v>
      </c>
      <c r="B77" s="14" t="str">
        <f>'2026 Orders'!B76</f>
        <v>Iraq</v>
      </c>
      <c r="C77" s="14" t="str">
        <f>'2026 Orders'!C76</f>
        <v>A4704</v>
      </c>
      <c r="D77" s="14" t="s">
        <v>562</v>
      </c>
      <c r="E77" s="17" t="str" cm="1">
        <f t="array" ref="E77">IF(C77=0,"",
HYPERLINK(
"#'2026 Orders'!C"&amp;
MATCH(1,
('2026 Orders'!C:C=C77)*
('2026 Orders'!G:G=G77)*
('2026 Orders'!N:N=N77),
0),
"Open "&amp;C77
))</f>
        <v>Open A4704</v>
      </c>
      <c r="F77" s="14" t="s">
        <v>563</v>
      </c>
      <c r="G77" s="14" t="str">
        <f>'2026 Orders'!G76</f>
        <v>PEARLY-60-CS-IQ</v>
      </c>
      <c r="H77" s="14" t="str">
        <f>'2026 Orders'!H76</f>
        <v>PEARLY-60</v>
      </c>
      <c r="I77" s="15" t="str">
        <f>'2026 Orders'!I76</f>
        <v>IQ</v>
      </c>
      <c r="J77" s="14">
        <f>'2026 Orders'!J76</f>
        <v>5208</v>
      </c>
      <c r="K77" t="s">
        <v>543</v>
      </c>
      <c r="L77">
        <v>5208</v>
      </c>
      <c r="M77">
        <v>0</v>
      </c>
      <c r="N77" s="10" t="str">
        <f>'2026 Orders'!N76</f>
        <v>ON HOLD</v>
      </c>
      <c r="O77">
        <v>0</v>
      </c>
      <c r="P77" t="s">
        <v>1077</v>
      </c>
      <c r="Q77">
        <v>609788968528</v>
      </c>
      <c r="R77">
        <v>2550</v>
      </c>
      <c r="S77">
        <v>4965</v>
      </c>
      <c r="T77">
        <v>46058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C77" t="str">
        <f t="shared" si="2"/>
        <v>5208/</v>
      </c>
      <c r="AD77" t="e">
        <f t="shared" si="3"/>
        <v>#VALUE!</v>
      </c>
    </row>
    <row r="78" spans="1:30" ht="33" hidden="1" customHeight="1" x14ac:dyDescent="0.3">
      <c r="A78">
        <v>45763</v>
      </c>
      <c r="B78" s="14">
        <f>'2026 Orders'!B77</f>
        <v>0</v>
      </c>
      <c r="C78" s="14">
        <f>'2026 Orders'!C77</f>
        <v>0</v>
      </c>
      <c r="D78" s="14">
        <v>0</v>
      </c>
      <c r="E78" s="17" t="str" cm="1">
        <f t="array" ref="E78">IF(C78=0,"",
HYPERLINK(
"#'2026 Orders'!C"&amp;
MATCH(1,
('2026 Orders'!C:C=C78)*
('2026 Orders'!G:G=G78)*
('2026 Orders'!N:N=N78),
0),
"Open "&amp;C78
))</f>
        <v/>
      </c>
      <c r="F78" s="14">
        <v>0</v>
      </c>
      <c r="G78" s="14">
        <f>'2026 Orders'!G77</f>
        <v>0</v>
      </c>
      <c r="H78" s="14">
        <f>'2026 Orders'!H77</f>
        <v>0</v>
      </c>
      <c r="I78" s="15" t="str">
        <f>'2026 Orders'!I77</f>
        <v/>
      </c>
      <c r="J78" s="14">
        <f>'2026 Orders'!J77</f>
        <v>0</v>
      </c>
      <c r="K78">
        <v>0</v>
      </c>
      <c r="L78">
        <v>0</v>
      </c>
      <c r="M78">
        <v>0</v>
      </c>
      <c r="N78" s="10">
        <f>'2026 Orders'!N77</f>
        <v>0</v>
      </c>
      <c r="O78">
        <v>0</v>
      </c>
      <c r="P78" t="s">
        <v>1085</v>
      </c>
      <c r="Q78">
        <v>604776735885</v>
      </c>
      <c r="R78">
        <v>5000</v>
      </c>
      <c r="S78">
        <v>4839</v>
      </c>
      <c r="T78" t="s">
        <v>1079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C78" t="str">
        <f t="shared" si="2"/>
        <v/>
      </c>
      <c r="AD78" t="str">
        <f t="shared" si="3"/>
        <v/>
      </c>
    </row>
    <row r="79" spans="1:30" ht="33" hidden="1" customHeight="1" x14ac:dyDescent="0.3">
      <c r="A79">
        <v>45995</v>
      </c>
      <c r="B79" s="14" t="str">
        <f>'2026 Orders'!B78</f>
        <v>Iraq</v>
      </c>
      <c r="C79" s="14" t="str">
        <f>'2026 Orders'!C78</f>
        <v>A4631</v>
      </c>
      <c r="D79" s="14" t="s">
        <v>565</v>
      </c>
      <c r="E79" s="17" t="str" cm="1">
        <f t="array" ref="E79">IF(C79=0,"",
HYPERLINK(
"#'2026 Orders'!C"&amp;
MATCH(1,
('2026 Orders'!C:C=C79)*
('2026 Orders'!G:G=G79)*
('2026 Orders'!N:N=N79),
0),
"Open "&amp;C79
))</f>
        <v>Open A4631</v>
      </c>
      <c r="F79" s="14" t="s">
        <v>567</v>
      </c>
      <c r="G79" s="14" t="str">
        <f>'2026 Orders'!G78</f>
        <v>COQ100-125-FD</v>
      </c>
      <c r="H79" s="14" t="str">
        <f>'2026 Orders'!H78</f>
        <v>COQ100-125</v>
      </c>
      <c r="I79" s="15" t="str">
        <f>'2026 Orders'!I78</f>
        <v>FD</v>
      </c>
      <c r="J79" s="14">
        <f>'2026 Orders'!J78</f>
        <v>7968</v>
      </c>
      <c r="K79" t="s">
        <v>568</v>
      </c>
      <c r="L79">
        <v>7968</v>
      </c>
      <c r="M79">
        <v>0</v>
      </c>
      <c r="N79" s="10" t="str">
        <f>'2026 Orders'!N78</f>
        <v>ON HOLD</v>
      </c>
      <c r="O79">
        <v>0</v>
      </c>
      <c r="P79" t="s">
        <v>1085</v>
      </c>
      <c r="Q79" t="s">
        <v>1098</v>
      </c>
      <c r="R79">
        <v>5000</v>
      </c>
      <c r="S79">
        <v>4798</v>
      </c>
      <c r="T79" t="s">
        <v>1079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C79" t="str">
        <f t="shared" si="2"/>
        <v>7968/</v>
      </c>
      <c r="AD79" t="e">
        <f t="shared" si="3"/>
        <v>#VALUE!</v>
      </c>
    </row>
    <row r="80" spans="1:30" ht="33" hidden="1" customHeight="1" x14ac:dyDescent="0.3">
      <c r="A80">
        <v>46072</v>
      </c>
      <c r="B80" s="14" t="str">
        <f>'2026 Orders'!B79</f>
        <v>Iraq</v>
      </c>
      <c r="C80" s="14" t="str">
        <f>'2026 Orders'!C79</f>
        <v>A4631</v>
      </c>
      <c r="D80" s="14" t="s">
        <v>569</v>
      </c>
      <c r="E80" s="17" t="str" cm="1">
        <f t="array" ref="E80">IF(C80=0,"",
HYPERLINK(
"#'2026 Orders'!C"&amp;
MATCH(1,
('2026 Orders'!C:C=C80)*
('2026 Orders'!G:G=G80)*
('2026 Orders'!N:N=N80),
0),
"Open "&amp;C80
))</f>
        <v>Open A4631</v>
      </c>
      <c r="F80" s="14" t="s">
        <v>570</v>
      </c>
      <c r="G80" s="14" t="str">
        <f>'2026 Orders'!G79</f>
        <v>COQ100-125-FD</v>
      </c>
      <c r="H80" s="14" t="str">
        <f>'2026 Orders'!H79</f>
        <v>COQ100-125</v>
      </c>
      <c r="I80" s="15" t="str">
        <f>'2026 Orders'!I79</f>
        <v>FD</v>
      </c>
      <c r="J80" s="14">
        <f>'2026 Orders'!J79</f>
        <v>1329</v>
      </c>
      <c r="K80">
        <v>0</v>
      </c>
      <c r="L80">
        <v>1329</v>
      </c>
      <c r="M80">
        <v>0</v>
      </c>
      <c r="N80" s="10" t="str">
        <f>'2026 Orders'!N79</f>
        <v>ON HOLD</v>
      </c>
      <c r="O80">
        <v>0</v>
      </c>
      <c r="P80" t="s">
        <v>1077</v>
      </c>
      <c r="Q80">
        <v>609788968610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C80" t="str">
        <f t="shared" si="2"/>
        <v>1329/</v>
      </c>
      <c r="AD80" t="e">
        <f t="shared" si="3"/>
        <v>#VALUE!</v>
      </c>
    </row>
    <row r="81" spans="1:30" ht="33" hidden="1" customHeight="1" x14ac:dyDescent="0.3">
      <c r="A81">
        <v>46072</v>
      </c>
      <c r="B81" s="14" t="str">
        <f>'2026 Orders'!B80</f>
        <v>Iraq</v>
      </c>
      <c r="C81" s="14" t="str">
        <f>'2026 Orders'!C80</f>
        <v>A4631</v>
      </c>
      <c r="D81" s="14" t="s">
        <v>571</v>
      </c>
      <c r="E81" s="17" t="str" cm="1">
        <f t="array" ref="E81">IF(C81=0,"",
HYPERLINK(
"#'2026 Orders'!C"&amp;
MATCH(1,
('2026 Orders'!C:C=C81)*
('2026 Orders'!G:G=G81)*
('2026 Orders'!N:N=N81),
0),
"Open "&amp;C81
))</f>
        <v>Open A4631</v>
      </c>
      <c r="F81" s="14" t="s">
        <v>572</v>
      </c>
      <c r="G81" s="14" t="str">
        <f>'2026 Orders'!G80</f>
        <v>MEMOUP-60-FD</v>
      </c>
      <c r="H81" s="14" t="str">
        <f>'2026 Orders'!H80</f>
        <v>MEMOUP-60</v>
      </c>
      <c r="I81" s="15" t="str">
        <f>'2026 Orders'!I80</f>
        <v>FD</v>
      </c>
      <c r="J81" s="14">
        <f>'2026 Orders'!J80</f>
        <v>4507</v>
      </c>
      <c r="K81" t="s">
        <v>573</v>
      </c>
      <c r="L81">
        <v>4507</v>
      </c>
      <c r="M81">
        <v>0</v>
      </c>
      <c r="N81" s="10" t="str">
        <f>'2026 Orders'!N80</f>
        <v>ON HOLD</v>
      </c>
      <c r="O81">
        <v>0</v>
      </c>
      <c r="P81" t="s">
        <v>1077</v>
      </c>
      <c r="Q81">
        <v>609788968610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C81" t="str">
        <f t="shared" si="2"/>
        <v>4507/</v>
      </c>
      <c r="AD81" t="e">
        <f t="shared" si="3"/>
        <v>#VALUE!</v>
      </c>
    </row>
    <row r="82" spans="1:30" ht="33" hidden="1" customHeight="1" x14ac:dyDescent="0.3">
      <c r="A82">
        <v>45967</v>
      </c>
      <c r="B82" s="14" t="str">
        <f>'2026 Orders'!B81</f>
        <v>Iraq</v>
      </c>
      <c r="C82" s="14" t="str">
        <f>'2026 Orders'!C81</f>
        <v>A4631</v>
      </c>
      <c r="D82" s="14" t="s">
        <v>574</v>
      </c>
      <c r="E82" s="17" t="str" cm="1">
        <f t="array" ref="E82">IF(C82=0,"",
HYPERLINK(
"#'2026 Orders'!C"&amp;
MATCH(1,
('2026 Orders'!C:C=C82)*
('2026 Orders'!G:G=G82)*
('2026 Orders'!N:N=N82),
0),
"Open "&amp;C82
))</f>
        <v>Open A4631</v>
      </c>
      <c r="F82" s="14" t="s">
        <v>575</v>
      </c>
      <c r="G82" s="14" t="str">
        <f>'2026 Orders'!G81</f>
        <v>MEMOUP-60-FD</v>
      </c>
      <c r="H82" s="14" t="str">
        <f>'2026 Orders'!H81</f>
        <v>MEMOUP-60</v>
      </c>
      <c r="I82" s="15" t="str">
        <f>'2026 Orders'!I81</f>
        <v>FD</v>
      </c>
      <c r="J82" s="14">
        <f>'2026 Orders'!J81</f>
        <v>1142</v>
      </c>
      <c r="K82" t="s">
        <v>573</v>
      </c>
      <c r="L82">
        <v>1142</v>
      </c>
      <c r="M82">
        <v>0</v>
      </c>
      <c r="N82" s="10" t="str">
        <f>'2026 Orders'!N81</f>
        <v>ON HOLD</v>
      </c>
      <c r="O82">
        <v>0</v>
      </c>
      <c r="P82" t="s">
        <v>1085</v>
      </c>
      <c r="Q82">
        <v>604776737834</v>
      </c>
      <c r="R82">
        <v>7000</v>
      </c>
      <c r="S82">
        <v>4971</v>
      </c>
      <c r="T82">
        <v>46136</v>
      </c>
      <c r="U82" t="s">
        <v>1121</v>
      </c>
      <c r="V82">
        <v>0</v>
      </c>
      <c r="W82">
        <v>0</v>
      </c>
      <c r="X82">
        <v>0</v>
      </c>
      <c r="Y82">
        <v>0</v>
      </c>
      <c r="Z82" t="s">
        <v>1086</v>
      </c>
      <c r="AC82" t="str">
        <f t="shared" si="2"/>
        <v>1142/</v>
      </c>
      <c r="AD82" t="e">
        <f t="shared" si="3"/>
        <v>#VALUE!</v>
      </c>
    </row>
    <row r="83" spans="1:30" ht="33" hidden="1" customHeight="1" x14ac:dyDescent="0.3">
      <c r="A83">
        <v>45995</v>
      </c>
      <c r="B83" s="14" t="str">
        <f>'2026 Orders'!B82</f>
        <v>Iraq</v>
      </c>
      <c r="C83" s="14" t="str">
        <f>'2026 Orders'!C82</f>
        <v>A4631</v>
      </c>
      <c r="D83" s="14" t="s">
        <v>576</v>
      </c>
      <c r="E83" s="17" t="str" cm="1">
        <f t="array" ref="E83">IF(C83=0,"",
HYPERLINK(
"#'2026 Orders'!C"&amp;
MATCH(1,
('2026 Orders'!C:C=C83)*
('2026 Orders'!G:G=G83)*
('2026 Orders'!N:N=N83),
0),
"Open "&amp;C83
))</f>
        <v>Open A4631</v>
      </c>
      <c r="F83" s="14" t="s">
        <v>577</v>
      </c>
      <c r="G83" s="14" t="str">
        <f>'2026 Orders'!G82</f>
        <v>QWELL2-60-SG-CS-IQ</v>
      </c>
      <c r="H83" s="14" t="str">
        <f>'2026 Orders'!H82</f>
        <v>QWELL2-60</v>
      </c>
      <c r="I83" s="15" t="str">
        <f>'2026 Orders'!I82</f>
        <v>IQ</v>
      </c>
      <c r="J83" s="14">
        <f>'2026 Orders'!J82</f>
        <v>6250</v>
      </c>
      <c r="K83" t="s">
        <v>578</v>
      </c>
      <c r="L83">
        <v>0</v>
      </c>
      <c r="M83">
        <v>6250</v>
      </c>
      <c r="N83" s="10" t="str">
        <f>'2026 Orders'!N82</f>
        <v>ON HOLD</v>
      </c>
      <c r="O83">
        <v>0</v>
      </c>
      <c r="P83" t="s">
        <v>1077</v>
      </c>
      <c r="Q83" t="s">
        <v>1118</v>
      </c>
      <c r="R83">
        <v>4000</v>
      </c>
      <c r="S83">
        <v>4973</v>
      </c>
      <c r="T83">
        <v>46136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C83" t="str">
        <f t="shared" si="2"/>
        <v>6250/</v>
      </c>
      <c r="AD83" t="e">
        <f t="shared" si="3"/>
        <v>#VALUE!</v>
      </c>
    </row>
    <row r="84" spans="1:30" ht="33" hidden="1" customHeight="1" x14ac:dyDescent="0.3">
      <c r="A84">
        <v>45967</v>
      </c>
      <c r="B84" s="14" t="str">
        <f>'2026 Orders'!B83</f>
        <v>Iraq</v>
      </c>
      <c r="C84" s="14" t="str">
        <f>'2026 Orders'!C83</f>
        <v>A4631</v>
      </c>
      <c r="D84" s="14" t="s">
        <v>579</v>
      </c>
      <c r="E84" s="17" t="str" cm="1">
        <f t="array" ref="E84">IF(C84=0,"",
HYPERLINK(
"#'2026 Orders'!C"&amp;
MATCH(1,
('2026 Orders'!C:C=C84)*
('2026 Orders'!G:G=G84)*
('2026 Orders'!N:N=N84),
0),
"Open "&amp;C84
))</f>
        <v>Open A4631</v>
      </c>
      <c r="F84" s="14" t="s">
        <v>577</v>
      </c>
      <c r="G84" s="14" t="str">
        <f>'2026 Orders'!G83</f>
        <v>QWELL4-30-SG-CS-IQ</v>
      </c>
      <c r="H84" s="14" t="str">
        <f>'2026 Orders'!H83</f>
        <v>QWELL4-30</v>
      </c>
      <c r="I84" s="15" t="str">
        <f>'2026 Orders'!I83</f>
        <v>IQ</v>
      </c>
      <c r="J84" s="14">
        <f>'2026 Orders'!J83</f>
        <v>12250</v>
      </c>
      <c r="K84" t="s">
        <v>581</v>
      </c>
      <c r="L84">
        <v>0</v>
      </c>
      <c r="M84">
        <v>12250</v>
      </c>
      <c r="N84" s="10" t="str">
        <f>'2026 Orders'!N83</f>
        <v>ON HOLD</v>
      </c>
      <c r="O84">
        <v>0</v>
      </c>
      <c r="P84" t="s">
        <v>1085</v>
      </c>
      <c r="Q84" t="s">
        <v>1122</v>
      </c>
      <c r="R84">
        <v>8000</v>
      </c>
      <c r="S84">
        <v>4916</v>
      </c>
      <c r="T84" t="s">
        <v>1103</v>
      </c>
      <c r="U84">
        <v>0</v>
      </c>
      <c r="V84">
        <v>0</v>
      </c>
      <c r="W84">
        <v>0</v>
      </c>
      <c r="X84">
        <v>0</v>
      </c>
      <c r="Y84">
        <v>0</v>
      </c>
      <c r="Z84" t="s">
        <v>1086</v>
      </c>
      <c r="AC84" t="str">
        <f t="shared" si="2"/>
        <v>12250/</v>
      </c>
      <c r="AD84" t="e">
        <f t="shared" si="3"/>
        <v>#VALUE!</v>
      </c>
    </row>
    <row r="85" spans="1:30" ht="33" hidden="1" customHeight="1" x14ac:dyDescent="0.3">
      <c r="A85">
        <v>45967</v>
      </c>
      <c r="B85" s="14" t="str">
        <f>'2026 Orders'!B84</f>
        <v>Iraq</v>
      </c>
      <c r="C85" s="14" t="str">
        <f>'2026 Orders'!C84</f>
        <v>A4631</v>
      </c>
      <c r="D85" s="14" t="s">
        <v>582</v>
      </c>
      <c r="E85" s="17" t="str" cm="1">
        <f t="array" ref="E85">IF(C85=0,"",
HYPERLINK(
"#'2026 Orders'!C"&amp;
MATCH(1,
('2026 Orders'!C:C=C85)*
('2026 Orders'!G:G=G85)*
('2026 Orders'!N:N=N85),
0),
"Open "&amp;C85
))</f>
        <v>Open A4631</v>
      </c>
      <c r="F85" s="14" t="s">
        <v>583</v>
      </c>
      <c r="G85" s="14" t="str">
        <f>'2026 Orders'!G84</f>
        <v>XTRAD50-12-SG-FD</v>
      </c>
      <c r="H85" s="14" t="str">
        <f>'2026 Orders'!H84</f>
        <v>XTRAD50-12</v>
      </c>
      <c r="I85" s="15" t="str">
        <f>'2026 Orders'!I84</f>
        <v>FD</v>
      </c>
      <c r="J85" s="14">
        <f>'2026 Orders'!J84</f>
        <v>4872</v>
      </c>
      <c r="K85" t="s">
        <v>585</v>
      </c>
      <c r="L85">
        <v>4872</v>
      </c>
      <c r="M85">
        <v>0</v>
      </c>
      <c r="N85" s="10" t="str">
        <f>'2026 Orders'!N84</f>
        <v>ON HOLD</v>
      </c>
      <c r="O85">
        <v>0</v>
      </c>
      <c r="P85" t="s">
        <v>1085</v>
      </c>
      <c r="Q85" t="s">
        <v>1122</v>
      </c>
      <c r="R85">
        <v>1329</v>
      </c>
      <c r="S85">
        <v>4720</v>
      </c>
      <c r="T85" t="s">
        <v>1103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C85" t="str">
        <f t="shared" si="2"/>
        <v>4872/</v>
      </c>
      <c r="AD85" t="e">
        <f t="shared" si="3"/>
        <v>#VALUE!</v>
      </c>
    </row>
    <row r="86" spans="1:30" ht="33" hidden="1" customHeight="1" x14ac:dyDescent="0.3">
      <c r="A86">
        <v>45967</v>
      </c>
      <c r="B86" s="14" t="str">
        <f>'2026 Orders'!B85</f>
        <v>Iraq</v>
      </c>
      <c r="C86" s="14" t="str">
        <f>'2026 Orders'!C85</f>
        <v>A4631</v>
      </c>
      <c r="D86" s="14" t="s">
        <v>586</v>
      </c>
      <c r="E86" s="17" t="str" cm="1">
        <f t="array" ref="E86">IF(C86=0,"",
HYPERLINK(
"#'2026 Orders'!C"&amp;
MATCH(1,
('2026 Orders'!C:C=C86)*
('2026 Orders'!G:G=G86)*
('2026 Orders'!N:N=N86),
0),
"Open "&amp;C86
))</f>
        <v>Open A4631</v>
      </c>
      <c r="F86" s="14" t="s">
        <v>577</v>
      </c>
      <c r="G86" s="14" t="str">
        <f>'2026 Orders'!G85</f>
        <v>XTRAD5-60-FD</v>
      </c>
      <c r="H86" s="14" t="str">
        <f>'2026 Orders'!H85</f>
        <v>XTRAD5-60</v>
      </c>
      <c r="I86" s="15" t="str">
        <f>'2026 Orders'!I85</f>
        <v>FD</v>
      </c>
      <c r="J86" s="14">
        <f>'2026 Orders'!J85</f>
        <v>4500</v>
      </c>
      <c r="K86" t="s">
        <v>587</v>
      </c>
      <c r="L86">
        <v>0</v>
      </c>
      <c r="M86">
        <v>4500</v>
      </c>
      <c r="N86" s="10" t="str">
        <f>'2026 Orders'!N85</f>
        <v>ON HOLD</v>
      </c>
      <c r="O86">
        <v>0</v>
      </c>
      <c r="P86" t="s">
        <v>1085</v>
      </c>
      <c r="Q86" t="s">
        <v>1123</v>
      </c>
      <c r="R86">
        <v>5250</v>
      </c>
      <c r="S86">
        <v>4928</v>
      </c>
      <c r="T86" t="s">
        <v>1103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C86" t="str">
        <f t="shared" si="2"/>
        <v>4500/</v>
      </c>
      <c r="AD86" t="e">
        <f t="shared" si="3"/>
        <v>#VALUE!</v>
      </c>
    </row>
    <row r="87" spans="1:30" ht="33" hidden="1" customHeight="1" x14ac:dyDescent="0.3">
      <c r="A87">
        <v>45967</v>
      </c>
      <c r="B87" s="14">
        <f>'2026 Orders'!B86</f>
        <v>0</v>
      </c>
      <c r="C87" s="14">
        <f>'2026 Orders'!C86</f>
        <v>0</v>
      </c>
      <c r="D87" s="14">
        <v>0</v>
      </c>
      <c r="E87" s="17" t="str" cm="1">
        <f t="array" ref="E87">IF(C87=0,"",
HYPERLINK(
"#'2026 Orders'!C"&amp;
MATCH(1,
('2026 Orders'!C:C=C87)*
('2026 Orders'!G:G=G87)*
('2026 Orders'!N:N=N87),
0),
"Open "&amp;C87
))</f>
        <v/>
      </c>
      <c r="F87" s="14">
        <v>0</v>
      </c>
      <c r="G87" s="14">
        <f>'2026 Orders'!G86</f>
        <v>0</v>
      </c>
      <c r="H87" s="14">
        <f>'2026 Orders'!H86</f>
        <v>0</v>
      </c>
      <c r="I87" s="15" t="str">
        <f>'2026 Orders'!I86</f>
        <v/>
      </c>
      <c r="J87" s="14">
        <f>'2026 Orders'!J86</f>
        <v>0</v>
      </c>
      <c r="K87">
        <v>0</v>
      </c>
      <c r="L87">
        <v>0</v>
      </c>
      <c r="M87">
        <v>0</v>
      </c>
      <c r="N87" s="10">
        <f>'2026 Orders'!N86</f>
        <v>0</v>
      </c>
      <c r="O87">
        <v>0</v>
      </c>
      <c r="P87" t="s">
        <v>1085</v>
      </c>
      <c r="Q87" t="s">
        <v>1123</v>
      </c>
      <c r="R87">
        <v>0</v>
      </c>
      <c r="S87">
        <v>4721</v>
      </c>
      <c r="T87" t="s">
        <v>1103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C87" t="str">
        <f t="shared" si="2"/>
        <v/>
      </c>
      <c r="AD87" t="str">
        <f t="shared" si="3"/>
        <v/>
      </c>
    </row>
    <row r="88" spans="1:30" ht="33" hidden="1" customHeight="1" x14ac:dyDescent="0.3">
      <c r="A88">
        <v>45967</v>
      </c>
      <c r="B88" s="14" t="str">
        <f>'2026 Orders'!B87</f>
        <v>Iraq</v>
      </c>
      <c r="C88" s="14" t="str">
        <f>'2026 Orders'!C87</f>
        <v>A4596</v>
      </c>
      <c r="D88" s="14" t="s">
        <v>589</v>
      </c>
      <c r="E88" s="17" t="str" cm="1">
        <f t="array" ref="E88">IF(C88=0,"",
HYPERLINK(
"#'2026 Orders'!C"&amp;
MATCH(1,
('2026 Orders'!C:C=C88)*
('2026 Orders'!G:G=G88)*
('2026 Orders'!N:N=N88),
0),
"Open "&amp;C88
))</f>
        <v>Open A4596</v>
      </c>
      <c r="F88" s="14">
        <v>0</v>
      </c>
      <c r="G88" s="14" t="str">
        <f>'2026 Orders'!G87</f>
        <v>UTIC-60-FD</v>
      </c>
      <c r="H88" s="14" t="str">
        <f>'2026 Orders'!H87</f>
        <v>UTIC-60</v>
      </c>
      <c r="I88" s="15" t="str">
        <f>'2026 Orders'!I87</f>
        <v>FD</v>
      </c>
      <c r="J88" s="14">
        <f>'2026 Orders'!J87</f>
        <v>720</v>
      </c>
      <c r="K88" t="s">
        <v>592</v>
      </c>
      <c r="L88">
        <v>720</v>
      </c>
      <c r="M88">
        <v>0</v>
      </c>
      <c r="N88" s="10" t="str">
        <f>'2026 Orders'!N87</f>
        <v>ON HOLD</v>
      </c>
      <c r="O88">
        <v>0</v>
      </c>
      <c r="P88" t="s">
        <v>1077</v>
      </c>
      <c r="Q88" t="s">
        <v>1124</v>
      </c>
      <c r="R88">
        <v>5000</v>
      </c>
      <c r="S88">
        <v>4976</v>
      </c>
      <c r="T88" t="s">
        <v>1103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C88" t="str">
        <f t="shared" si="2"/>
        <v>720/</v>
      </c>
      <c r="AD88" t="e">
        <f t="shared" si="3"/>
        <v>#VALUE!</v>
      </c>
    </row>
    <row r="89" spans="1:30" ht="33" hidden="1" customHeight="1" x14ac:dyDescent="0.3">
      <c r="A89">
        <v>0</v>
      </c>
      <c r="B89" s="14" t="str">
        <f>'2026 Orders'!B88</f>
        <v>Iraq</v>
      </c>
      <c r="C89" s="14" t="str">
        <f>'2026 Orders'!C88</f>
        <v>A4596</v>
      </c>
      <c r="D89" s="14" t="s">
        <v>593</v>
      </c>
      <c r="E89" s="17" t="str" cm="1">
        <f t="array" ref="E89">IF(C89=0,"",
HYPERLINK(
"#'2026 Orders'!C"&amp;
MATCH(1,
('2026 Orders'!C:C=C89)*
('2026 Orders'!G:G=G89)*
('2026 Orders'!N:N=N89),
0),
"Open "&amp;C89
))</f>
        <v>Open A4596</v>
      </c>
      <c r="F89" s="14">
        <v>0</v>
      </c>
      <c r="G89" s="14" t="str">
        <f>'2026 Orders'!G88</f>
        <v>TESTRON-60-FD</v>
      </c>
      <c r="H89" s="14" t="str">
        <f>'2026 Orders'!H88</f>
        <v>TESTRON-60</v>
      </c>
      <c r="I89" s="15" t="str">
        <f>'2026 Orders'!I88</f>
        <v>FD</v>
      </c>
      <c r="J89" s="14">
        <f>'2026 Orders'!J88</f>
        <v>2200</v>
      </c>
      <c r="K89" t="s">
        <v>594</v>
      </c>
      <c r="L89">
        <v>2200</v>
      </c>
      <c r="M89">
        <v>0</v>
      </c>
      <c r="N89" s="10" t="str">
        <f>'2026 Orders'!N88</f>
        <v>ON HOLD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C89" t="str">
        <f t="shared" si="2"/>
        <v>2200/</v>
      </c>
      <c r="AD89" t="e">
        <f t="shared" si="3"/>
        <v>#VALUE!</v>
      </c>
    </row>
    <row r="90" spans="1:30" ht="33" hidden="1" customHeight="1" x14ac:dyDescent="0.3">
      <c r="A90">
        <v>45975</v>
      </c>
      <c r="B90" s="14" t="str">
        <f>'2026 Orders'!B89</f>
        <v>Iraq</v>
      </c>
      <c r="C90" s="14" t="str">
        <f>'2026 Orders'!C89</f>
        <v>A4596</v>
      </c>
      <c r="D90" s="14" t="s">
        <v>595</v>
      </c>
      <c r="E90" s="17" t="str" cm="1">
        <f t="array" ref="E90">IF(C90=0,"",
HYPERLINK(
"#'2026 Orders'!C"&amp;
MATCH(1,
('2026 Orders'!C:C=C90)*
('2026 Orders'!G:G=G90)*
('2026 Orders'!N:N=N90),
0),
"Open "&amp;C90
))</f>
        <v>Open A4596</v>
      </c>
      <c r="F90" s="14">
        <v>0</v>
      </c>
      <c r="G90" s="14" t="str">
        <f>'2026 Orders'!G89</f>
        <v>BRSTW-60-FD</v>
      </c>
      <c r="H90" s="14" t="str">
        <f>'2026 Orders'!H89</f>
        <v>BRSTW-60</v>
      </c>
      <c r="I90" s="15" t="str">
        <f>'2026 Orders'!I89</f>
        <v>FD</v>
      </c>
      <c r="J90" s="14">
        <f>'2026 Orders'!J89</f>
        <v>550</v>
      </c>
      <c r="K90" t="s">
        <v>596</v>
      </c>
      <c r="L90">
        <v>550</v>
      </c>
      <c r="M90">
        <v>0</v>
      </c>
      <c r="N90" s="10" t="str">
        <f>'2026 Orders'!N89</f>
        <v>ON HOLD</v>
      </c>
      <c r="O90">
        <v>0</v>
      </c>
      <c r="P90" t="s">
        <v>1077</v>
      </c>
      <c r="Q90">
        <v>609788968085</v>
      </c>
      <c r="R90">
        <v>2000</v>
      </c>
      <c r="S90">
        <v>4933</v>
      </c>
      <c r="T90" t="s">
        <v>1094</v>
      </c>
      <c r="U90" t="s">
        <v>1125</v>
      </c>
      <c r="V90">
        <v>0</v>
      </c>
      <c r="W90">
        <v>0</v>
      </c>
      <c r="X90">
        <v>0</v>
      </c>
      <c r="Y90">
        <v>0</v>
      </c>
      <c r="Z90" t="s">
        <v>1086</v>
      </c>
      <c r="AC90" t="str">
        <f t="shared" si="2"/>
        <v>550/</v>
      </c>
      <c r="AD90" t="e">
        <f t="shared" si="3"/>
        <v>#VALUE!</v>
      </c>
    </row>
    <row r="91" spans="1:30" ht="33" hidden="1" customHeight="1" x14ac:dyDescent="0.3">
      <c r="A91">
        <v>45975</v>
      </c>
      <c r="B91" s="14" t="str">
        <f>'2026 Orders'!B90</f>
        <v>Iraq</v>
      </c>
      <c r="C91" s="14" t="str">
        <f>'2026 Orders'!C90</f>
        <v>A4596</v>
      </c>
      <c r="D91" s="14">
        <v>0</v>
      </c>
      <c r="E91" s="17" t="str" cm="1">
        <f t="array" ref="E91">IF(C91=0,"",
HYPERLINK(
"#'2026 Orders'!C"&amp;
MATCH(1,
('2026 Orders'!C:C=C91)*
('2026 Orders'!G:G=G91)*
('2026 Orders'!N:N=N91),
0),
"Open "&amp;C91
))</f>
        <v>Open A4596</v>
      </c>
      <c r="F91" s="14" t="s">
        <v>597</v>
      </c>
      <c r="G91" s="14" t="str">
        <f>'2026 Orders'!G90</f>
        <v>GINKGO-60-FD</v>
      </c>
      <c r="H91" s="14" t="str">
        <f>'2026 Orders'!H90</f>
        <v>GINKGO-60</v>
      </c>
      <c r="I91" s="15" t="str">
        <f>'2026 Orders'!I90</f>
        <v>FD</v>
      </c>
      <c r="J91" s="14">
        <f>'2026 Orders'!J90</f>
        <v>6000</v>
      </c>
      <c r="K91" t="s">
        <v>598</v>
      </c>
      <c r="L91">
        <v>6000</v>
      </c>
      <c r="M91">
        <v>0</v>
      </c>
      <c r="N91" s="10" t="str">
        <f>'2026 Orders'!N90</f>
        <v>ON HOLD</v>
      </c>
      <c r="O91">
        <v>0</v>
      </c>
      <c r="P91">
        <v>0</v>
      </c>
      <c r="Q91">
        <v>609788968559</v>
      </c>
      <c r="R91">
        <v>2000</v>
      </c>
      <c r="S91">
        <v>4998</v>
      </c>
      <c r="T91">
        <v>46232</v>
      </c>
      <c r="U91" t="s">
        <v>1126</v>
      </c>
      <c r="V91">
        <v>0</v>
      </c>
      <c r="W91">
        <v>0</v>
      </c>
      <c r="X91">
        <v>0</v>
      </c>
      <c r="Y91">
        <v>0</v>
      </c>
      <c r="Z91">
        <v>0</v>
      </c>
      <c r="AC91" t="str">
        <f t="shared" si="2"/>
        <v>6000/</v>
      </c>
      <c r="AD91" t="e">
        <f t="shared" si="3"/>
        <v>#VALUE!</v>
      </c>
    </row>
    <row r="92" spans="1:30" ht="33" hidden="1" customHeight="1" x14ac:dyDescent="0.3">
      <c r="A92">
        <v>45975</v>
      </c>
      <c r="B92" s="14" t="str">
        <f>'2026 Orders'!B91</f>
        <v>Iraq</v>
      </c>
      <c r="C92" s="14" t="str">
        <f>'2026 Orders'!C91</f>
        <v>A4596</v>
      </c>
      <c r="D92" s="14" t="s">
        <v>599</v>
      </c>
      <c r="E92" s="17" t="str" cm="1">
        <f t="array" ref="E92">IF(C92=0,"",
HYPERLINK(
"#'2026 Orders'!C"&amp;
MATCH(1,
('2026 Orders'!C:C=C92)*
('2026 Orders'!G:G=G92)*
('2026 Orders'!N:N=N92),
0),
"Open "&amp;C92
))</f>
        <v>Open A4596</v>
      </c>
      <c r="F92" s="14" t="s">
        <v>600</v>
      </c>
      <c r="G92" s="14" t="str">
        <f>'2026 Orders'!G91</f>
        <v>QWELL2-60-SG-CS-IQ</v>
      </c>
      <c r="H92" s="14" t="str">
        <f>'2026 Orders'!H91</f>
        <v>QWELL2-60</v>
      </c>
      <c r="I92" s="15" t="str">
        <f>'2026 Orders'!I91</f>
        <v>IQ</v>
      </c>
      <c r="J92" s="14">
        <f>'2026 Orders'!J91</f>
        <v>529</v>
      </c>
      <c r="K92" t="s">
        <v>578</v>
      </c>
      <c r="L92">
        <v>529</v>
      </c>
      <c r="M92">
        <v>0</v>
      </c>
      <c r="N92" s="10" t="str">
        <f>'2026 Orders'!N91</f>
        <v>ON HOLD</v>
      </c>
      <c r="O92" t="s">
        <v>488</v>
      </c>
      <c r="P92" t="s">
        <v>1077</v>
      </c>
      <c r="Q92">
        <v>810131199401</v>
      </c>
      <c r="R92">
        <v>2000</v>
      </c>
      <c r="S92">
        <v>4997</v>
      </c>
      <c r="T92">
        <v>46233</v>
      </c>
      <c r="U92" t="s">
        <v>1127</v>
      </c>
      <c r="V92">
        <v>0</v>
      </c>
      <c r="W92">
        <v>0</v>
      </c>
      <c r="X92">
        <v>0</v>
      </c>
      <c r="Y92">
        <v>0</v>
      </c>
      <c r="Z92">
        <v>0</v>
      </c>
      <c r="AC92" t="str">
        <f t="shared" si="2"/>
        <v>529/</v>
      </c>
      <c r="AD92" t="e">
        <f t="shared" si="3"/>
        <v>#VALUE!</v>
      </c>
    </row>
    <row r="93" spans="1:30" ht="33" hidden="1" customHeight="1" x14ac:dyDescent="0.3">
      <c r="A93">
        <v>45975</v>
      </c>
      <c r="B93" s="14" t="str">
        <f>'2026 Orders'!B92</f>
        <v>Iraq</v>
      </c>
      <c r="C93" s="14" t="str">
        <f>'2026 Orders'!C92</f>
        <v>A4596</v>
      </c>
      <c r="D93" s="14">
        <v>0</v>
      </c>
      <c r="E93" s="17" t="str" cm="1">
        <f t="array" ref="E93">IF(C93=0,"",
HYPERLINK(
"#'2026 Orders'!C"&amp;
MATCH(1,
('2026 Orders'!C:C=C93)*
('2026 Orders'!G:G=G93)*
('2026 Orders'!N:N=N93),
0),
"Open "&amp;C93
))</f>
        <v>Open A4596</v>
      </c>
      <c r="F93" s="14" t="s">
        <v>601</v>
      </c>
      <c r="G93" s="14" t="str">
        <f>'2026 Orders'!G92</f>
        <v>QWELL2-60-SG-CS-IQ</v>
      </c>
      <c r="H93" s="14" t="str">
        <f>'2026 Orders'!H92</f>
        <v>QWELL2-60</v>
      </c>
      <c r="I93" s="15" t="str">
        <f>'2026 Orders'!I92</f>
        <v>IQ</v>
      </c>
      <c r="J93" s="14">
        <f>'2026 Orders'!J92</f>
        <v>4158</v>
      </c>
      <c r="K93" t="s">
        <v>578</v>
      </c>
      <c r="L93">
        <v>4158</v>
      </c>
      <c r="M93">
        <v>0</v>
      </c>
      <c r="N93" s="10" t="str">
        <f>'2026 Orders'!N92</f>
        <v>ON HOLD</v>
      </c>
      <c r="O93">
        <v>0</v>
      </c>
      <c r="P93" t="s">
        <v>1077</v>
      </c>
      <c r="Q93">
        <v>609788968672</v>
      </c>
      <c r="R93">
        <v>5000</v>
      </c>
      <c r="S93">
        <v>4974</v>
      </c>
      <c r="T93" t="s">
        <v>1079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C93" t="str">
        <f t="shared" si="2"/>
        <v>4158/</v>
      </c>
      <c r="AD93" t="e">
        <f t="shared" si="3"/>
        <v>#VALUE!</v>
      </c>
    </row>
    <row r="94" spans="1:30" ht="33" hidden="1" customHeight="1" x14ac:dyDescent="0.3">
      <c r="A94">
        <v>46058</v>
      </c>
      <c r="B94" s="14" t="str">
        <f>'2026 Orders'!B93</f>
        <v>Iraq</v>
      </c>
      <c r="C94" s="14" t="str">
        <f>'2026 Orders'!C93</f>
        <v>A4596</v>
      </c>
      <c r="D94" s="14">
        <v>0</v>
      </c>
      <c r="E94" s="17" t="str" cm="1">
        <f t="array" ref="E94">IF(C94=0,"",
HYPERLINK(
"#'2026 Orders'!C"&amp;
MATCH(1,
('2026 Orders'!C:C=C94)*
('2026 Orders'!G:G=G94)*
('2026 Orders'!N:N=N94),
0),
"Open "&amp;C94
))</f>
        <v>Open A4596</v>
      </c>
      <c r="F94" s="14" t="s">
        <v>602</v>
      </c>
      <c r="G94" s="14" t="str">
        <f>'2026 Orders'!G93</f>
        <v>QWELL2-60-SG-CS-IQ</v>
      </c>
      <c r="H94" s="14" t="str">
        <f>'2026 Orders'!H93</f>
        <v>QWELL2-60</v>
      </c>
      <c r="I94" s="15" t="str">
        <f>'2026 Orders'!I93</f>
        <v>IQ</v>
      </c>
      <c r="J94" s="14">
        <f>'2026 Orders'!J93</f>
        <v>953</v>
      </c>
      <c r="K94" t="s">
        <v>581</v>
      </c>
      <c r="L94">
        <v>953</v>
      </c>
      <c r="M94">
        <v>0</v>
      </c>
      <c r="N94" s="10" t="str">
        <f>'2026 Orders'!N93</f>
        <v>ON HOLD</v>
      </c>
      <c r="O94" t="s">
        <v>1128</v>
      </c>
      <c r="P94" t="s">
        <v>1085</v>
      </c>
      <c r="Q94">
        <v>609788968184</v>
      </c>
      <c r="R94">
        <v>10156</v>
      </c>
      <c r="S94">
        <v>5069</v>
      </c>
      <c r="T94" t="s">
        <v>1103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C94" t="str">
        <f t="shared" si="2"/>
        <v>953/</v>
      </c>
      <c r="AD94" t="e">
        <f t="shared" si="3"/>
        <v>#VALUE!</v>
      </c>
    </row>
    <row r="95" spans="1:30" ht="33" hidden="1" customHeight="1" x14ac:dyDescent="0.3">
      <c r="A95">
        <v>45975</v>
      </c>
      <c r="B95" s="14" t="str">
        <f>'2026 Orders'!B94</f>
        <v>Iraq</v>
      </c>
      <c r="C95" s="14" t="str">
        <f>'2026 Orders'!C94</f>
        <v>A4596</v>
      </c>
      <c r="D95" s="14" t="s">
        <v>603</v>
      </c>
      <c r="E95" s="17" t="str" cm="1">
        <f t="array" ref="E95">IF(C95=0,"",
HYPERLINK(
"#'2026 Orders'!C"&amp;
MATCH(1,
('2026 Orders'!C:C=C95)*
('2026 Orders'!G:G=G95)*
('2026 Orders'!N:N=N95),
0),
"Open "&amp;C95
))</f>
        <v>Open A4596</v>
      </c>
      <c r="F95" s="14" t="s">
        <v>604</v>
      </c>
      <c r="G95" s="14" t="str">
        <f>'2026 Orders'!G94</f>
        <v>NRGWOM-45-FD</v>
      </c>
      <c r="H95" s="14" t="str">
        <f>'2026 Orders'!H94</f>
        <v>NRGWOM-45</v>
      </c>
      <c r="I95" s="15" t="str">
        <f>'2026 Orders'!I94</f>
        <v>FD</v>
      </c>
      <c r="J95" s="14">
        <f>'2026 Orders'!J94</f>
        <v>860</v>
      </c>
      <c r="K95" t="s">
        <v>605</v>
      </c>
      <c r="L95">
        <v>860</v>
      </c>
      <c r="M95">
        <v>0</v>
      </c>
      <c r="N95" s="10" t="str">
        <f>'2026 Orders'!N94</f>
        <v>ON HOLD</v>
      </c>
      <c r="O95">
        <v>0</v>
      </c>
      <c r="P95" t="s">
        <v>1085</v>
      </c>
      <c r="Q95">
        <v>604776735823</v>
      </c>
      <c r="R95">
        <v>7000</v>
      </c>
      <c r="S95">
        <v>4971</v>
      </c>
      <c r="T95" t="s">
        <v>1103</v>
      </c>
      <c r="U95">
        <v>0</v>
      </c>
      <c r="V95">
        <v>0</v>
      </c>
      <c r="W95">
        <v>0</v>
      </c>
      <c r="X95">
        <v>0</v>
      </c>
      <c r="Y95">
        <v>0</v>
      </c>
      <c r="Z95" t="s">
        <v>1086</v>
      </c>
      <c r="AC95" t="str">
        <f t="shared" si="2"/>
        <v>860/</v>
      </c>
      <c r="AD95" t="e">
        <f t="shared" si="3"/>
        <v>#VALUE!</v>
      </c>
    </row>
    <row r="96" spans="1:30" ht="33" hidden="1" customHeight="1" x14ac:dyDescent="0.3">
      <c r="A96">
        <v>46177</v>
      </c>
      <c r="B96" s="14" t="str">
        <f>'2026 Orders'!B95</f>
        <v>Iraq</v>
      </c>
      <c r="C96" s="14" t="str">
        <f>'2026 Orders'!C95</f>
        <v>A4596</v>
      </c>
      <c r="D96" s="14">
        <v>0</v>
      </c>
      <c r="E96" s="17" t="str" cm="1">
        <f t="array" ref="E96">IF(C96=0,"",
HYPERLINK(
"#'2026 Orders'!C"&amp;
MATCH(1,
('2026 Orders'!C:C=C96)*
('2026 Orders'!G:G=G96)*
('2026 Orders'!N:N=N96),
0),
"Open "&amp;C96
))</f>
        <v>Open A4596</v>
      </c>
      <c r="F96" s="14" t="s">
        <v>606</v>
      </c>
      <c r="G96" s="14" t="str">
        <f>'2026 Orders'!G95</f>
        <v>NMNH-60-FD</v>
      </c>
      <c r="H96" s="14" t="str">
        <f>'2026 Orders'!H95</f>
        <v>NMNH-60</v>
      </c>
      <c r="I96" s="15" t="str">
        <f>'2026 Orders'!I95</f>
        <v>FD</v>
      </c>
      <c r="J96" s="14">
        <f>'2026 Orders'!J95</f>
        <v>2200</v>
      </c>
      <c r="K96" t="s">
        <v>465</v>
      </c>
      <c r="L96">
        <v>2200</v>
      </c>
      <c r="M96">
        <v>0</v>
      </c>
      <c r="N96" s="10" t="str">
        <f>'2026 Orders'!N95</f>
        <v>ON HOLD</v>
      </c>
      <c r="O96">
        <v>0</v>
      </c>
      <c r="P96" t="s">
        <v>1077</v>
      </c>
      <c r="Q96" t="s">
        <v>1093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 t="s">
        <v>1086</v>
      </c>
      <c r="AC96" t="str">
        <f t="shared" si="2"/>
        <v>2200/</v>
      </c>
      <c r="AD96" t="e">
        <f t="shared" si="3"/>
        <v>#VALUE!</v>
      </c>
    </row>
    <row r="97" spans="1:30" ht="33" hidden="1" customHeight="1" x14ac:dyDescent="0.3">
      <c r="A97">
        <v>46177</v>
      </c>
      <c r="B97" s="14" t="str">
        <f>'2026 Orders'!B96</f>
        <v>Iraq</v>
      </c>
      <c r="C97" s="14" t="str">
        <f>'2026 Orders'!C96</f>
        <v>A4596</v>
      </c>
      <c r="D97" s="14">
        <v>0</v>
      </c>
      <c r="E97" s="17" t="str" cm="1">
        <f t="array" ref="E97">IF(C97=0,"",
HYPERLINK(
"#'2026 Orders'!C"&amp;
MATCH(1,
('2026 Orders'!C:C=C97)*
('2026 Orders'!G:G=G97)*
('2026 Orders'!N:N=N97),
0),
"Open "&amp;C97
))</f>
        <v>Open A4596</v>
      </c>
      <c r="F97" s="14" t="s">
        <v>607</v>
      </c>
      <c r="G97" s="14" t="str">
        <f>'2026 Orders'!G96</f>
        <v>CAVINAD-60-FD</v>
      </c>
      <c r="H97" s="14" t="str">
        <f>'2026 Orders'!H96</f>
        <v>CAVINAD-60</v>
      </c>
      <c r="I97" s="15" t="str">
        <f>'2026 Orders'!I96</f>
        <v>FD</v>
      </c>
      <c r="J97" s="14">
        <f>'2026 Orders'!J96</f>
        <v>1451</v>
      </c>
      <c r="K97">
        <v>0</v>
      </c>
      <c r="L97">
        <v>1453</v>
      </c>
      <c r="M97">
        <v>0</v>
      </c>
      <c r="N97" s="10" t="str">
        <f>'2026 Orders'!N96</f>
        <v>ON HOLD</v>
      </c>
      <c r="O97">
        <v>0</v>
      </c>
      <c r="P97" t="s">
        <v>1077</v>
      </c>
      <c r="Q97" t="s">
        <v>1093</v>
      </c>
      <c r="R97">
        <v>0</v>
      </c>
      <c r="S97">
        <v>4945</v>
      </c>
      <c r="T97">
        <v>0</v>
      </c>
      <c r="U97" t="s">
        <v>1129</v>
      </c>
      <c r="V97">
        <v>0</v>
      </c>
      <c r="W97">
        <v>0</v>
      </c>
      <c r="X97">
        <v>0</v>
      </c>
      <c r="Y97">
        <v>0</v>
      </c>
      <c r="Z97">
        <v>0</v>
      </c>
      <c r="AC97" t="str">
        <f t="shared" si="2"/>
        <v>1451/</v>
      </c>
      <c r="AD97" t="e">
        <f t="shared" si="3"/>
        <v>#VALUE!</v>
      </c>
    </row>
    <row r="98" spans="1:30" ht="33" hidden="1" customHeight="1" x14ac:dyDescent="0.3">
      <c r="A98">
        <v>46177</v>
      </c>
      <c r="B98" s="14" t="str">
        <f>'2026 Orders'!B97</f>
        <v>Iraq</v>
      </c>
      <c r="C98" s="14" t="str">
        <f>'2026 Orders'!C97</f>
        <v>A4596</v>
      </c>
      <c r="D98" s="14">
        <v>0</v>
      </c>
      <c r="E98" s="17" t="str" cm="1">
        <f t="array" ref="E98">IF(C98=0,"",
HYPERLINK(
"#'2026 Orders'!C"&amp;
MATCH(1,
('2026 Orders'!C:C=C98)*
('2026 Orders'!G:G=G98)*
('2026 Orders'!N:N=N98),
0),
"Open "&amp;C98
))</f>
        <v>Open A4596</v>
      </c>
      <c r="F98" s="14" t="s">
        <v>609</v>
      </c>
      <c r="G98" s="14" t="str">
        <f>'2026 Orders'!G97</f>
        <v>CAVINAD-60-FD</v>
      </c>
      <c r="H98" s="14" t="str">
        <f>'2026 Orders'!H97</f>
        <v>CAVINAD-60</v>
      </c>
      <c r="I98" s="15" t="str">
        <f>'2026 Orders'!I97</f>
        <v>FD</v>
      </c>
      <c r="J98" s="14">
        <f>'2026 Orders'!J97</f>
        <v>860</v>
      </c>
      <c r="K98">
        <v>0</v>
      </c>
      <c r="L98">
        <v>860</v>
      </c>
      <c r="M98">
        <v>0</v>
      </c>
      <c r="N98" s="10" t="str">
        <f>'2026 Orders'!N97</f>
        <v>ON HOLD</v>
      </c>
      <c r="O98" t="s">
        <v>1130</v>
      </c>
      <c r="P98" t="s">
        <v>1077</v>
      </c>
      <c r="Q98">
        <v>609788968344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C98" t="str">
        <f t="shared" si="2"/>
        <v>860/</v>
      </c>
      <c r="AD98" t="e">
        <f t="shared" si="3"/>
        <v>#VALUE!</v>
      </c>
    </row>
    <row r="99" spans="1:30" ht="33" hidden="1" customHeight="1" x14ac:dyDescent="0.3">
      <c r="A99">
        <v>46177</v>
      </c>
      <c r="B99" s="14" t="str">
        <f>'2026 Orders'!B98</f>
        <v>Iraq</v>
      </c>
      <c r="C99" s="14" t="str">
        <f>'2026 Orders'!C98</f>
        <v>A4596</v>
      </c>
      <c r="D99" s="14">
        <v>0</v>
      </c>
      <c r="E99" s="17" t="str" cm="1">
        <f t="array" ref="E99">IF(C99=0,"",
HYPERLINK(
"#'2026 Orders'!C"&amp;
MATCH(1,
('2026 Orders'!C:C=C99)*
('2026 Orders'!G:G=G99)*
('2026 Orders'!N:N=N99),
0),
"Open "&amp;C99
))</f>
        <v>Open A4596</v>
      </c>
      <c r="F99" s="14" t="s">
        <v>610</v>
      </c>
      <c r="G99" s="14" t="str">
        <f>'2026 Orders'!G98</f>
        <v>OSTEOPW-74-FD</v>
      </c>
      <c r="H99" s="14" t="str">
        <f>'2026 Orders'!H98</f>
        <v>OSTEOPW-74</v>
      </c>
      <c r="I99" s="15" t="str">
        <f>'2026 Orders'!I98</f>
        <v>FD</v>
      </c>
      <c r="J99" s="14">
        <f>'2026 Orders'!J98</f>
        <v>1001</v>
      </c>
      <c r="K99">
        <v>0</v>
      </c>
      <c r="L99">
        <v>0</v>
      </c>
      <c r="M99">
        <v>0</v>
      </c>
      <c r="N99" s="10" t="str">
        <f>'2026 Orders'!N98</f>
        <v>ON HOLD</v>
      </c>
      <c r="O99" t="s">
        <v>1131</v>
      </c>
      <c r="P99" t="s">
        <v>1077</v>
      </c>
      <c r="Q99" t="s">
        <v>1132</v>
      </c>
      <c r="R99">
        <v>0</v>
      </c>
      <c r="S99">
        <v>4690</v>
      </c>
      <c r="T99">
        <v>0</v>
      </c>
      <c r="U99" t="s">
        <v>1133</v>
      </c>
      <c r="V99">
        <v>0</v>
      </c>
      <c r="W99">
        <v>0</v>
      </c>
      <c r="X99">
        <v>0</v>
      </c>
      <c r="Y99">
        <v>0</v>
      </c>
      <c r="Z99">
        <v>0</v>
      </c>
      <c r="AC99" t="str">
        <f t="shared" si="2"/>
        <v>1001/</v>
      </c>
      <c r="AD99" t="e">
        <f t="shared" si="3"/>
        <v>#VALUE!</v>
      </c>
    </row>
    <row r="100" spans="1:30" ht="33" hidden="1" customHeight="1" x14ac:dyDescent="0.3">
      <c r="A100">
        <v>46177</v>
      </c>
      <c r="B100" s="14">
        <f>'2026 Orders'!B99</f>
        <v>0</v>
      </c>
      <c r="C100" s="14">
        <f>'2026 Orders'!C99</f>
        <v>0</v>
      </c>
      <c r="D100" s="14">
        <v>0</v>
      </c>
      <c r="E100" s="17" t="str" cm="1">
        <f t="array" ref="E100">IF(C100=0,"",
HYPERLINK(
"#'2026 Orders'!C"&amp;
MATCH(1,
('2026 Orders'!C:C=C100)*
('2026 Orders'!G:G=G100)*
('2026 Orders'!N:N=N100),
0),
"Open "&amp;C100
))</f>
        <v/>
      </c>
      <c r="F100" s="14">
        <v>0</v>
      </c>
      <c r="G100" s="14">
        <f>'2026 Orders'!G99</f>
        <v>0</v>
      </c>
      <c r="H100" s="14">
        <f>'2026 Orders'!H99</f>
        <v>0</v>
      </c>
      <c r="I100" s="15" t="str">
        <f>'2026 Orders'!I99</f>
        <v/>
      </c>
      <c r="J100" s="14">
        <f>'2026 Orders'!J99</f>
        <v>0</v>
      </c>
      <c r="K100">
        <v>0</v>
      </c>
      <c r="L100">
        <v>0</v>
      </c>
      <c r="M100">
        <v>0</v>
      </c>
      <c r="N100" s="10">
        <f>'2026 Orders'!N99</f>
        <v>0</v>
      </c>
      <c r="O100" t="s">
        <v>1134</v>
      </c>
      <c r="P100" t="s">
        <v>1077</v>
      </c>
      <c r="Q100" t="s">
        <v>1135</v>
      </c>
      <c r="R100">
        <v>0</v>
      </c>
      <c r="S100">
        <v>4959</v>
      </c>
      <c r="T100">
        <v>46230</v>
      </c>
      <c r="U100" t="s">
        <v>1136</v>
      </c>
      <c r="V100">
        <v>0</v>
      </c>
      <c r="W100">
        <v>0</v>
      </c>
      <c r="X100">
        <v>0</v>
      </c>
      <c r="Y100">
        <v>0</v>
      </c>
      <c r="Z100">
        <v>0</v>
      </c>
      <c r="AC100" t="str">
        <f t="shared" si="2"/>
        <v/>
      </c>
      <c r="AD100" t="str">
        <f t="shared" si="3"/>
        <v/>
      </c>
    </row>
    <row r="101" spans="1:30" ht="33" hidden="1" customHeight="1" x14ac:dyDescent="0.3">
      <c r="A101">
        <v>46212</v>
      </c>
      <c r="B101" s="14" t="str">
        <f>'2026 Orders'!B100</f>
        <v>Iraq</v>
      </c>
      <c r="C101" s="14" t="str">
        <f>'2026 Orders'!C100</f>
        <v>A4622</v>
      </c>
      <c r="D101" s="14">
        <v>0</v>
      </c>
      <c r="E101" s="17" t="str" cm="1">
        <f t="array" ref="E101">IF(C101=0,"",
HYPERLINK(
"#'2026 Orders'!C"&amp;
MATCH(1,
('2026 Orders'!C:C=C101)*
('2026 Orders'!G:G=G101)*
('2026 Orders'!N:N=N101),
0),
"Open "&amp;C101
))</f>
        <v>Open A4622</v>
      </c>
      <c r="F101" s="14" t="s">
        <v>613</v>
      </c>
      <c r="G101" s="14" t="str">
        <f>'2026 Orders'!G100</f>
        <v>LIPODIS-60-CS-IQ</v>
      </c>
      <c r="H101" s="14" t="str">
        <f>'2026 Orders'!H100</f>
        <v>LIPODIS-60</v>
      </c>
      <c r="I101" s="15" t="str">
        <f>'2026 Orders'!I100</f>
        <v>IQ</v>
      </c>
      <c r="J101" s="14">
        <f>'2026 Orders'!J100</f>
        <v>5000</v>
      </c>
      <c r="K101" t="s">
        <v>615</v>
      </c>
      <c r="L101">
        <v>0</v>
      </c>
      <c r="M101">
        <v>5000</v>
      </c>
      <c r="N101" s="10" t="str">
        <f>'2026 Orders'!N100</f>
        <v>ON HOLD</v>
      </c>
      <c r="O101">
        <v>46223</v>
      </c>
      <c r="P101" t="s">
        <v>1077</v>
      </c>
      <c r="Q101">
        <v>609788968962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 t="s">
        <v>1086</v>
      </c>
      <c r="AC101" t="str">
        <f t="shared" si="2"/>
        <v>5000/</v>
      </c>
      <c r="AD101" t="e">
        <f t="shared" si="3"/>
        <v>#VALUE!</v>
      </c>
    </row>
    <row r="102" spans="1:30" ht="33" hidden="1" customHeight="1" x14ac:dyDescent="0.3">
      <c r="A102">
        <v>46212</v>
      </c>
      <c r="B102" s="14" t="str">
        <f>'2026 Orders'!B101</f>
        <v>Iraq</v>
      </c>
      <c r="C102" s="14" t="str">
        <f>'2026 Orders'!C101</f>
        <v>A4622</v>
      </c>
      <c r="D102" s="14">
        <v>0</v>
      </c>
      <c r="E102" s="17" t="str" cm="1">
        <f t="array" ref="E102">IF(C102=0,"",
HYPERLINK(
"#'2026 Orders'!C"&amp;
MATCH(1,
('2026 Orders'!C:C=C102)*
('2026 Orders'!G:G=G102)*
('2026 Orders'!N:N=N102),
0),
"Open "&amp;C102
))</f>
        <v>Open A4622</v>
      </c>
      <c r="F102" s="14" t="s">
        <v>616</v>
      </c>
      <c r="G102" s="14" t="str">
        <f>'2026 Orders'!G101</f>
        <v>UTIC-60-FD</v>
      </c>
      <c r="H102" s="14" t="str">
        <f>'2026 Orders'!H101</f>
        <v>UTIC-60</v>
      </c>
      <c r="I102" s="15" t="str">
        <f>'2026 Orders'!I101</f>
        <v>FD</v>
      </c>
      <c r="J102" s="14">
        <f>'2026 Orders'!J101</f>
        <v>1480</v>
      </c>
      <c r="K102" t="s">
        <v>592</v>
      </c>
      <c r="L102">
        <v>0</v>
      </c>
      <c r="M102">
        <v>1480</v>
      </c>
      <c r="N102" s="10" t="str">
        <f>'2026 Orders'!N101</f>
        <v>ON HOLD</v>
      </c>
      <c r="O102">
        <v>0</v>
      </c>
      <c r="P102" t="s">
        <v>1077</v>
      </c>
      <c r="Q102">
        <v>609788968962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 t="s">
        <v>1086</v>
      </c>
      <c r="AC102" t="str">
        <f t="shared" si="2"/>
        <v>1480/</v>
      </c>
      <c r="AD102" t="e">
        <f t="shared" si="3"/>
        <v>#VALUE!</v>
      </c>
    </row>
    <row r="103" spans="1:30" ht="33" hidden="1" customHeight="1" x14ac:dyDescent="0.3">
      <c r="A103">
        <v>46233</v>
      </c>
      <c r="B103" s="14">
        <f>'2026 Orders'!B102</f>
        <v>0</v>
      </c>
      <c r="C103" s="14">
        <f>'2026 Orders'!C102</f>
        <v>0</v>
      </c>
      <c r="D103" s="14">
        <v>0</v>
      </c>
      <c r="E103" s="17" t="str" cm="1">
        <f t="array" ref="E103">IF(C103=0,"",
HYPERLINK(
"#'2026 Orders'!C"&amp;
MATCH(1,
('2026 Orders'!C:C=C103)*
('2026 Orders'!G:G=G103)*
('2026 Orders'!N:N=N103),
0),
"Open "&amp;C103
))</f>
        <v/>
      </c>
      <c r="F103" s="14">
        <v>0</v>
      </c>
      <c r="G103" s="14">
        <f>'2026 Orders'!G102</f>
        <v>0</v>
      </c>
      <c r="H103" s="14">
        <f>'2026 Orders'!H102</f>
        <v>0</v>
      </c>
      <c r="I103" s="15" t="str">
        <f>'2026 Orders'!I102</f>
        <v/>
      </c>
      <c r="J103" s="14">
        <f>'2026 Orders'!J102</f>
        <v>0</v>
      </c>
      <c r="K103">
        <v>0</v>
      </c>
      <c r="L103">
        <v>0</v>
      </c>
      <c r="M103">
        <v>0</v>
      </c>
      <c r="N103" s="10">
        <f>'2026 Orders'!N102</f>
        <v>0</v>
      </c>
      <c r="O103">
        <v>0</v>
      </c>
      <c r="P103" t="s">
        <v>1085</v>
      </c>
      <c r="Q103" t="s">
        <v>1137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C103" t="str">
        <f t="shared" si="2"/>
        <v/>
      </c>
      <c r="AD103" t="str">
        <f t="shared" si="3"/>
        <v/>
      </c>
    </row>
    <row r="104" spans="1:30" ht="33" hidden="1" customHeight="1" x14ac:dyDescent="0.3">
      <c r="A104">
        <v>0</v>
      </c>
      <c r="B104" s="14" t="str">
        <f>'2026 Orders'!B103</f>
        <v>Botswana</v>
      </c>
      <c r="C104" s="14" t="str">
        <f>'2026 Orders'!C103</f>
        <v>A4569</v>
      </c>
      <c r="D104" s="14" t="s">
        <v>619</v>
      </c>
      <c r="E104" s="17" t="str" cm="1">
        <f t="array" ref="E104">IF(C104=0,"",
HYPERLINK(
"#'2026 Orders'!C"&amp;
MATCH(1,
('2026 Orders'!C:C=C104)*
('2026 Orders'!G:G=G104)*
('2026 Orders'!N:N=N104),
0),
"Open "&amp;C104
))</f>
        <v>Open A4569</v>
      </c>
      <c r="F104" s="14">
        <v>0</v>
      </c>
      <c r="G104" s="14" t="str">
        <f>'2026 Orders'!G103</f>
        <v>OSTEOPL-96-FD</v>
      </c>
      <c r="H104" s="14" t="str">
        <f>'2026 Orders'!H103</f>
        <v>OSTEOPL-96</v>
      </c>
      <c r="I104" s="15" t="str">
        <f>'2026 Orders'!I103</f>
        <v>FD</v>
      </c>
      <c r="J104" s="14">
        <f>'2026 Orders'!J103</f>
        <v>96</v>
      </c>
      <c r="K104" t="s">
        <v>621</v>
      </c>
      <c r="L104">
        <v>96</v>
      </c>
      <c r="M104">
        <v>0</v>
      </c>
      <c r="N104" s="10" t="str">
        <f>'2026 Orders'!N103</f>
        <v>D/W Sent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C104" t="str">
        <f t="shared" si="2"/>
        <v>96/</v>
      </c>
      <c r="AD104" t="e">
        <f t="shared" si="3"/>
        <v>#VALUE!</v>
      </c>
    </row>
    <row r="105" spans="1:30" ht="33" hidden="1" customHeight="1" x14ac:dyDescent="0.3">
      <c r="A105">
        <v>45975</v>
      </c>
      <c r="B105" s="14" t="str">
        <f>'2026 Orders'!B104</f>
        <v>Botswana</v>
      </c>
      <c r="C105" s="14" t="str">
        <f>'2026 Orders'!C104</f>
        <v>A4569</v>
      </c>
      <c r="D105" s="14">
        <v>0</v>
      </c>
      <c r="E105" s="17" t="str" cm="1">
        <f t="array" ref="E105">IF(C105=0,"",
HYPERLINK(
"#'2026 Orders'!C"&amp;
MATCH(1,
('2026 Orders'!C:C=C105)*
('2026 Orders'!G:G=G105)*
('2026 Orders'!N:N=N105),
0),
"Open "&amp;C105
))</f>
        <v>Open A4569</v>
      </c>
      <c r="F105" s="14">
        <v>0</v>
      </c>
      <c r="G105" s="14" t="str">
        <f>'2026 Orders'!G104</f>
        <v>GINKGO-60-FD</v>
      </c>
      <c r="H105" s="14" t="str">
        <f>'2026 Orders'!H104</f>
        <v>GINKGO-60</v>
      </c>
      <c r="I105" s="15" t="str">
        <f>'2026 Orders'!I104</f>
        <v>FD</v>
      </c>
      <c r="J105" s="14">
        <f>'2026 Orders'!J104</f>
        <v>48</v>
      </c>
      <c r="K105" t="s">
        <v>598</v>
      </c>
      <c r="L105">
        <v>48</v>
      </c>
      <c r="M105">
        <v>0</v>
      </c>
      <c r="N105" s="10" t="str">
        <f>'2026 Orders'!N104</f>
        <v>D/W Sent</v>
      </c>
      <c r="O105">
        <v>0</v>
      </c>
      <c r="P105" t="s">
        <v>1077</v>
      </c>
      <c r="Q105">
        <v>609788968344</v>
      </c>
      <c r="R105">
        <v>9195</v>
      </c>
      <c r="S105">
        <v>5032</v>
      </c>
      <c r="T105" t="s">
        <v>1094</v>
      </c>
      <c r="U105" t="s">
        <v>1104</v>
      </c>
      <c r="V105">
        <v>0</v>
      </c>
      <c r="W105">
        <v>0</v>
      </c>
      <c r="X105">
        <v>0</v>
      </c>
      <c r="Y105">
        <v>0</v>
      </c>
      <c r="Z105" t="s">
        <v>1086</v>
      </c>
      <c r="AC105" t="str">
        <f t="shared" si="2"/>
        <v>48/</v>
      </c>
      <c r="AD105" t="e">
        <f t="shared" si="3"/>
        <v>#VALUE!</v>
      </c>
    </row>
    <row r="106" spans="1:30" ht="33" hidden="1" customHeight="1" x14ac:dyDescent="0.3">
      <c r="A106">
        <v>45980</v>
      </c>
      <c r="B106" s="14" t="str">
        <f>'2026 Orders'!B105</f>
        <v>Botswana</v>
      </c>
      <c r="C106" s="14" t="str">
        <f>'2026 Orders'!C105</f>
        <v>A4569</v>
      </c>
      <c r="D106" s="14">
        <v>0</v>
      </c>
      <c r="E106" s="17" t="str" cm="1">
        <f t="array" ref="E106">IF(C106=0,"",
HYPERLINK(
"#'2026 Orders'!C"&amp;
MATCH(1,
('2026 Orders'!C:C=C106)*
('2026 Orders'!G:G=G106)*
('2026 Orders'!N:N=N106),
0),
"Open "&amp;C106
))</f>
        <v>Open A4569</v>
      </c>
      <c r="F106" s="14">
        <v>0</v>
      </c>
      <c r="G106" s="14" t="str">
        <f>'2026 Orders'!G105</f>
        <v>PROSTA-90-FD</v>
      </c>
      <c r="H106" s="14" t="str">
        <f>'2026 Orders'!H105</f>
        <v>PROSTA-90</v>
      </c>
      <c r="I106" s="15" t="str">
        <f>'2026 Orders'!I105</f>
        <v>FD</v>
      </c>
      <c r="J106" s="14">
        <f>'2026 Orders'!J105</f>
        <v>48</v>
      </c>
      <c r="K106" t="s">
        <v>445</v>
      </c>
      <c r="L106">
        <v>48</v>
      </c>
      <c r="M106">
        <v>0</v>
      </c>
      <c r="N106" s="10" t="str">
        <f>'2026 Orders'!N105</f>
        <v>D/W Sent</v>
      </c>
      <c r="O106">
        <v>0</v>
      </c>
      <c r="P106" t="s">
        <v>1085</v>
      </c>
      <c r="Q106">
        <v>609788968726</v>
      </c>
      <c r="R106">
        <v>5000</v>
      </c>
      <c r="S106">
        <v>5041</v>
      </c>
      <c r="T106">
        <v>46248</v>
      </c>
      <c r="U106" t="s">
        <v>1090</v>
      </c>
      <c r="V106">
        <v>0</v>
      </c>
      <c r="W106">
        <v>0</v>
      </c>
      <c r="X106">
        <v>0</v>
      </c>
      <c r="Y106">
        <v>0</v>
      </c>
      <c r="Z106">
        <v>0</v>
      </c>
      <c r="AC106" t="str">
        <f t="shared" si="2"/>
        <v>48/</v>
      </c>
      <c r="AD106" t="e">
        <f t="shared" si="3"/>
        <v>#VALUE!</v>
      </c>
    </row>
    <row r="107" spans="1:30" ht="33" hidden="1" customHeight="1" x14ac:dyDescent="0.3">
      <c r="A107">
        <v>45975</v>
      </c>
      <c r="B107" s="14" t="str">
        <f>'2026 Orders'!B106</f>
        <v>Botswana</v>
      </c>
      <c r="C107" s="14" t="str">
        <f>'2026 Orders'!C106</f>
        <v>A4569</v>
      </c>
      <c r="D107" s="14">
        <v>0</v>
      </c>
      <c r="E107" s="17" t="str" cm="1">
        <f t="array" ref="E107">IF(C107=0,"",
HYPERLINK(
"#'2026 Orders'!C"&amp;
MATCH(1,
('2026 Orders'!C:C=C107)*
('2026 Orders'!G:G=G107)*
('2026 Orders'!N:N=N107),
0),
"Open "&amp;C107
))</f>
        <v>Open A4569</v>
      </c>
      <c r="F107" s="14">
        <v>0</v>
      </c>
      <c r="G107" s="14" t="str">
        <f>'2026 Orders'!G106</f>
        <v>XTRAD10-60-FD</v>
      </c>
      <c r="H107" s="14" t="str">
        <f>'2026 Orders'!H106</f>
        <v>XTRAD10-60</v>
      </c>
      <c r="I107" s="15" t="str">
        <f>'2026 Orders'!I106</f>
        <v>FD</v>
      </c>
      <c r="J107" s="14">
        <f>'2026 Orders'!J106</f>
        <v>120</v>
      </c>
      <c r="K107" t="s">
        <v>622</v>
      </c>
      <c r="L107">
        <v>120</v>
      </c>
      <c r="M107">
        <v>0</v>
      </c>
      <c r="N107" s="10" t="str">
        <f>'2026 Orders'!N106</f>
        <v>D/W Sent</v>
      </c>
      <c r="O107">
        <v>0</v>
      </c>
      <c r="P107" t="s">
        <v>1077</v>
      </c>
      <c r="Q107">
        <v>609788968221</v>
      </c>
      <c r="R107">
        <v>7000</v>
      </c>
      <c r="S107">
        <v>5027</v>
      </c>
      <c r="T107" t="s">
        <v>1079</v>
      </c>
      <c r="U107" t="s">
        <v>1092</v>
      </c>
      <c r="V107">
        <v>0</v>
      </c>
      <c r="W107">
        <v>0</v>
      </c>
      <c r="X107">
        <v>0</v>
      </c>
      <c r="Y107">
        <v>0</v>
      </c>
      <c r="Z107">
        <v>0</v>
      </c>
      <c r="AC107" t="str">
        <f t="shared" si="2"/>
        <v>120/</v>
      </c>
      <c r="AD107" t="e">
        <f t="shared" si="3"/>
        <v>#VALUE!</v>
      </c>
    </row>
    <row r="108" spans="1:30" ht="33" hidden="1" customHeight="1" x14ac:dyDescent="0.3">
      <c r="A108">
        <v>45975</v>
      </c>
      <c r="B108" s="14" t="str">
        <f>'2026 Orders'!B107</f>
        <v>Botswana</v>
      </c>
      <c r="C108" s="14" t="str">
        <f>'2026 Orders'!C107</f>
        <v>A4569</v>
      </c>
      <c r="D108" s="14">
        <v>0</v>
      </c>
      <c r="E108" s="17" t="str" cm="1">
        <f t="array" ref="E108">IF(C108=0,"",
HYPERLINK(
"#'2026 Orders'!C"&amp;
MATCH(1,
('2026 Orders'!C:C=C108)*
('2026 Orders'!G:G=G108)*
('2026 Orders'!N:N=N108),
0),
"Open "&amp;C108
))</f>
        <v>Open A4569</v>
      </c>
      <c r="F108" s="14">
        <v>0</v>
      </c>
      <c r="G108" s="14" t="str">
        <f>'2026 Orders'!G107</f>
        <v>MOTILMX-60-FD</v>
      </c>
      <c r="H108" s="14" t="str">
        <f>'2026 Orders'!H107</f>
        <v>MOTILMX-60</v>
      </c>
      <c r="I108" s="15" t="str">
        <f>'2026 Orders'!I107</f>
        <v>FD</v>
      </c>
      <c r="J108" s="14">
        <f>'2026 Orders'!J107</f>
        <v>24</v>
      </c>
      <c r="K108" t="s">
        <v>460</v>
      </c>
      <c r="L108">
        <v>24</v>
      </c>
      <c r="M108">
        <v>0</v>
      </c>
      <c r="N108" s="10" t="str">
        <f>'2026 Orders'!N107</f>
        <v>D/W Sent</v>
      </c>
      <c r="O108">
        <v>0</v>
      </c>
      <c r="P108" t="s">
        <v>1077</v>
      </c>
      <c r="Q108">
        <v>810131199586</v>
      </c>
      <c r="R108">
        <v>10775</v>
      </c>
      <c r="S108">
        <v>5055</v>
      </c>
      <c r="T108">
        <v>46250</v>
      </c>
      <c r="U108" t="s">
        <v>1091</v>
      </c>
      <c r="V108">
        <v>0</v>
      </c>
      <c r="W108">
        <v>0</v>
      </c>
      <c r="X108">
        <v>0</v>
      </c>
      <c r="Y108">
        <v>0</v>
      </c>
      <c r="Z108">
        <v>0</v>
      </c>
      <c r="AC108" t="str">
        <f t="shared" si="2"/>
        <v>24/</v>
      </c>
      <c r="AD108" t="e">
        <f t="shared" si="3"/>
        <v>#VALUE!</v>
      </c>
    </row>
    <row r="109" spans="1:30" ht="33" hidden="1" customHeight="1" x14ac:dyDescent="0.3">
      <c r="A109">
        <v>45975</v>
      </c>
      <c r="B109" s="14" t="str">
        <f>'2026 Orders'!B108</f>
        <v>Botswana</v>
      </c>
      <c r="C109" s="14" t="str">
        <f>'2026 Orders'!C108</f>
        <v>A4569</v>
      </c>
      <c r="D109" s="14">
        <v>0</v>
      </c>
      <c r="E109" s="17" t="str" cm="1">
        <f t="array" ref="E109">IF(C109=0,"",
HYPERLINK(
"#'2026 Orders'!C"&amp;
MATCH(1,
('2026 Orders'!C:C=C109)*
('2026 Orders'!G:G=G109)*
('2026 Orders'!N:N=N109),
0),
"Open "&amp;C109
))</f>
        <v>Open A4569</v>
      </c>
      <c r="F109" s="14">
        <v>0</v>
      </c>
      <c r="G109" s="14" t="str">
        <f>'2026 Orders'!G108</f>
        <v>MFSPLS-120-FD</v>
      </c>
      <c r="H109" s="14" t="str">
        <f>'2026 Orders'!H108</f>
        <v>MFSPLS-120</v>
      </c>
      <c r="I109" s="15" t="str">
        <f>'2026 Orders'!I108</f>
        <v>FD</v>
      </c>
      <c r="J109" s="14">
        <f>'2026 Orders'!J108</f>
        <v>48</v>
      </c>
      <c r="K109" t="s">
        <v>462</v>
      </c>
      <c r="L109">
        <v>48</v>
      </c>
      <c r="M109">
        <v>0</v>
      </c>
      <c r="N109" s="10" t="str">
        <f>'2026 Orders'!N108</f>
        <v>D/W Sent</v>
      </c>
      <c r="O109">
        <v>0</v>
      </c>
      <c r="P109" t="s">
        <v>1077</v>
      </c>
      <c r="Q109">
        <v>609788968351</v>
      </c>
      <c r="R109">
        <v>7572</v>
      </c>
      <c r="S109">
        <v>5043</v>
      </c>
      <c r="T109">
        <v>46286</v>
      </c>
      <c r="U109" t="s">
        <v>1089</v>
      </c>
      <c r="V109">
        <v>0</v>
      </c>
      <c r="W109">
        <v>0</v>
      </c>
      <c r="X109">
        <v>0</v>
      </c>
      <c r="Y109">
        <v>0</v>
      </c>
      <c r="Z109">
        <v>0</v>
      </c>
      <c r="AC109" t="str">
        <f t="shared" si="2"/>
        <v>48/</v>
      </c>
      <c r="AD109" t="e">
        <f t="shared" si="3"/>
        <v>#VALUE!</v>
      </c>
    </row>
    <row r="110" spans="1:30" ht="33" hidden="1" customHeight="1" x14ac:dyDescent="0.3">
      <c r="A110">
        <v>45975</v>
      </c>
      <c r="B110" s="14" t="str">
        <f>'2026 Orders'!B109</f>
        <v>Botswana</v>
      </c>
      <c r="C110" s="14" t="str">
        <f>'2026 Orders'!C109</f>
        <v>A4569</v>
      </c>
      <c r="D110" s="14">
        <v>0</v>
      </c>
      <c r="E110" s="17" t="str" cm="1">
        <f t="array" ref="E110">IF(C110=0,"",
HYPERLINK(
"#'2026 Orders'!C"&amp;
MATCH(1,
('2026 Orders'!C:C=C110)*
('2026 Orders'!G:G=G110)*
('2026 Orders'!N:N=N110),
0),
"Open "&amp;C110
))</f>
        <v>Open A4569</v>
      </c>
      <c r="F110" s="14">
        <v>0</v>
      </c>
      <c r="G110" s="14" t="str">
        <f>'2026 Orders'!G109</f>
        <v>FIBRO-60-FD</v>
      </c>
      <c r="H110" s="14" t="str">
        <f>'2026 Orders'!H109</f>
        <v>FIBRO-60</v>
      </c>
      <c r="I110" s="15" t="str">
        <f>'2026 Orders'!I109</f>
        <v>FD</v>
      </c>
      <c r="J110" s="14">
        <f>'2026 Orders'!J109</f>
        <v>48</v>
      </c>
      <c r="K110" t="s">
        <v>623</v>
      </c>
      <c r="L110">
        <v>48</v>
      </c>
      <c r="M110">
        <v>0</v>
      </c>
      <c r="N110" s="10" t="str">
        <f>'2026 Orders'!N109</f>
        <v>D/W Sent</v>
      </c>
      <c r="O110">
        <v>0</v>
      </c>
      <c r="P110" t="s">
        <v>1077</v>
      </c>
      <c r="Q110" t="s">
        <v>1093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C110" t="str">
        <f t="shared" si="2"/>
        <v>48/</v>
      </c>
      <c r="AD110" t="e">
        <f t="shared" si="3"/>
        <v>#VALUE!</v>
      </c>
    </row>
    <row r="111" spans="1:30" ht="33" hidden="1" customHeight="1" x14ac:dyDescent="0.3">
      <c r="A111">
        <v>45975</v>
      </c>
      <c r="B111" s="14" t="str">
        <f>'2026 Orders'!B110</f>
        <v>Botswana</v>
      </c>
      <c r="C111" s="14" t="str">
        <f>'2026 Orders'!C110</f>
        <v>A4569</v>
      </c>
      <c r="D111" s="14">
        <v>0</v>
      </c>
      <c r="E111" s="17" t="str" cm="1">
        <f t="array" ref="E111">IF(C111=0,"",
HYPERLINK(
"#'2026 Orders'!C"&amp;
MATCH(1,
('2026 Orders'!C:C=C111)*
('2026 Orders'!G:G=G111)*
('2026 Orders'!N:N=N111),
0),
"Open "&amp;C111
))</f>
        <v>Open A4569</v>
      </c>
      <c r="F111" s="14">
        <v>0</v>
      </c>
      <c r="G111" s="14" t="str">
        <f>'2026 Orders'!G110</f>
        <v>DHEA25-60-FD</v>
      </c>
      <c r="H111" s="14" t="str">
        <f>'2026 Orders'!H110</f>
        <v>DHEA25-60</v>
      </c>
      <c r="I111" s="15" t="str">
        <f>'2026 Orders'!I110</f>
        <v>FD</v>
      </c>
      <c r="J111" s="14">
        <f>'2026 Orders'!J110</f>
        <v>48</v>
      </c>
      <c r="K111" t="s">
        <v>493</v>
      </c>
      <c r="L111">
        <v>48</v>
      </c>
      <c r="M111">
        <v>0</v>
      </c>
      <c r="N111" s="10" t="str">
        <f>'2026 Orders'!N110</f>
        <v>D/W Sent</v>
      </c>
      <c r="O111">
        <v>0</v>
      </c>
      <c r="P111" t="s">
        <v>1077</v>
      </c>
      <c r="Q111">
        <v>609788968375</v>
      </c>
      <c r="R111">
        <v>5000</v>
      </c>
      <c r="S111">
        <v>4849</v>
      </c>
      <c r="T111" t="s">
        <v>1079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C111" t="str">
        <f t="shared" si="2"/>
        <v>48/</v>
      </c>
      <c r="AD111" t="e">
        <f t="shared" si="3"/>
        <v>#VALUE!</v>
      </c>
    </row>
    <row r="112" spans="1:30" ht="33" hidden="1" customHeight="1" x14ac:dyDescent="0.3">
      <c r="A112">
        <v>45975</v>
      </c>
      <c r="B112" s="14" t="str">
        <f>'2026 Orders'!B111</f>
        <v>Botswana</v>
      </c>
      <c r="C112" s="14" t="str">
        <f>'2026 Orders'!C111</f>
        <v>A4569</v>
      </c>
      <c r="D112" s="14">
        <v>0</v>
      </c>
      <c r="E112" s="17" t="str" cm="1">
        <f t="array" ref="E112">IF(C112=0,"",
HYPERLINK(
"#'2026 Orders'!C"&amp;
MATCH(1,
('2026 Orders'!C:C=C112)*
('2026 Orders'!G:G=G112)*
('2026 Orders'!N:N=N112),
0),
"Open "&amp;C112
))</f>
        <v>Open A4569</v>
      </c>
      <c r="F112" s="14">
        <v>0</v>
      </c>
      <c r="G112" s="14" t="str">
        <f>'2026 Orders'!G111</f>
        <v>DHEA50-60-FD</v>
      </c>
      <c r="H112" s="14" t="str">
        <f>'2026 Orders'!H111</f>
        <v>DHEA50-60</v>
      </c>
      <c r="I112" s="15" t="str">
        <f>'2026 Orders'!I111</f>
        <v>FD</v>
      </c>
      <c r="J112" s="14">
        <f>'2026 Orders'!J111</f>
        <v>48</v>
      </c>
      <c r="K112" t="s">
        <v>453</v>
      </c>
      <c r="L112">
        <v>48</v>
      </c>
      <c r="M112">
        <v>0</v>
      </c>
      <c r="N112" s="10" t="str">
        <f>'2026 Orders'!N111</f>
        <v>D/W Sent</v>
      </c>
      <c r="O112">
        <v>0</v>
      </c>
      <c r="P112" t="s">
        <v>1085</v>
      </c>
      <c r="Q112">
        <v>609788968702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C112" t="str">
        <f t="shared" si="2"/>
        <v>48/</v>
      </c>
      <c r="AD112" t="e">
        <f t="shared" si="3"/>
        <v>#VALUE!</v>
      </c>
    </row>
    <row r="113" spans="1:30" ht="33" hidden="1" customHeight="1" x14ac:dyDescent="0.3">
      <c r="A113">
        <v>0</v>
      </c>
      <c r="B113" s="14" t="str">
        <f>'2026 Orders'!B112</f>
        <v>Botswana</v>
      </c>
      <c r="C113" s="14" t="str">
        <f>'2026 Orders'!C112</f>
        <v>A4569</v>
      </c>
      <c r="D113" s="14">
        <v>0</v>
      </c>
      <c r="E113" s="17" t="str" cm="1">
        <f t="array" ref="E113">IF(C113=0,"",
HYPERLINK(
"#'2026 Orders'!C"&amp;
MATCH(1,
('2026 Orders'!C:C=C113)*
('2026 Orders'!G:G=G113)*
('2026 Orders'!N:N=N113),
0),
"Open "&amp;C113
))</f>
        <v>Open A4569</v>
      </c>
      <c r="F113" s="14">
        <v>0</v>
      </c>
      <c r="G113" s="14" t="str">
        <f>'2026 Orders'!G112</f>
        <v>WFSPLS-180-FD</v>
      </c>
      <c r="H113" s="14" t="str">
        <f>'2026 Orders'!H112</f>
        <v>WFSPLS-180</v>
      </c>
      <c r="I113" s="15" t="str">
        <f>'2026 Orders'!I112</f>
        <v>FD</v>
      </c>
      <c r="J113" s="14">
        <f>'2026 Orders'!J112</f>
        <v>48</v>
      </c>
      <c r="K113" t="s">
        <v>438</v>
      </c>
      <c r="L113">
        <v>48</v>
      </c>
      <c r="M113">
        <v>0</v>
      </c>
      <c r="N113" s="10" t="str">
        <f>'2026 Orders'!N112</f>
        <v>D/W Sent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C113" t="str">
        <f t="shared" si="2"/>
        <v>48/</v>
      </c>
      <c r="AD113" t="e">
        <f t="shared" si="3"/>
        <v>#VALUE!</v>
      </c>
    </row>
    <row r="114" spans="1:30" ht="33" hidden="1" customHeight="1" x14ac:dyDescent="0.3">
      <c r="A114">
        <v>45975</v>
      </c>
      <c r="B114" s="14" t="str">
        <f>'2026 Orders'!B113</f>
        <v>Botswana</v>
      </c>
      <c r="C114" s="14" t="str">
        <f>'2026 Orders'!C113</f>
        <v>A4569</v>
      </c>
      <c r="D114" s="14">
        <v>0</v>
      </c>
      <c r="E114" s="17" t="str" cm="1">
        <f t="array" ref="E114">IF(C114=0,"",
HYPERLINK(
"#'2026 Orders'!C"&amp;
MATCH(1,
('2026 Orders'!C:C=C114)*
('2026 Orders'!G:G=G114)*
('2026 Orders'!N:N=N114),
0),
"Open "&amp;C114
))</f>
        <v>Open A4569</v>
      </c>
      <c r="F114" s="14">
        <v>0</v>
      </c>
      <c r="G114" s="14" t="str">
        <f>'2026 Orders'!G113</f>
        <v>SPERMCT-60-FD</v>
      </c>
      <c r="H114" s="14" t="str">
        <f>'2026 Orders'!H113</f>
        <v>SPERMCT-60</v>
      </c>
      <c r="I114" s="15" t="str">
        <f>'2026 Orders'!I113</f>
        <v>FD</v>
      </c>
      <c r="J114" s="14">
        <f>'2026 Orders'!J113</f>
        <v>24</v>
      </c>
      <c r="K114" t="s">
        <v>435</v>
      </c>
      <c r="L114">
        <v>24</v>
      </c>
      <c r="M114">
        <v>0</v>
      </c>
      <c r="N114" s="10" t="str">
        <f>'2026 Orders'!N113</f>
        <v>D/W Sent</v>
      </c>
      <c r="O114">
        <v>0</v>
      </c>
      <c r="P114" t="s">
        <v>1085</v>
      </c>
      <c r="Q114">
        <v>609788968726</v>
      </c>
      <c r="R114">
        <v>5000</v>
      </c>
      <c r="S114">
        <v>5041</v>
      </c>
      <c r="T114">
        <v>46248</v>
      </c>
      <c r="U114" t="s">
        <v>1090</v>
      </c>
      <c r="V114">
        <v>0</v>
      </c>
      <c r="W114">
        <v>0</v>
      </c>
      <c r="X114">
        <v>0</v>
      </c>
      <c r="Y114">
        <v>0</v>
      </c>
      <c r="Z114" t="s">
        <v>1086</v>
      </c>
      <c r="AC114" t="str">
        <f t="shared" si="2"/>
        <v>24/</v>
      </c>
      <c r="AD114" t="e">
        <f t="shared" si="3"/>
        <v>#VALUE!</v>
      </c>
    </row>
    <row r="115" spans="1:30" ht="33" hidden="1" customHeight="1" x14ac:dyDescent="0.3">
      <c r="A115">
        <v>45975</v>
      </c>
      <c r="B115" s="14" t="str">
        <f>'2026 Orders'!B114</f>
        <v>Botswana</v>
      </c>
      <c r="C115" s="14" t="str">
        <f>'2026 Orders'!C114</f>
        <v>A4569</v>
      </c>
      <c r="D115" s="14">
        <v>0</v>
      </c>
      <c r="E115" s="17" t="str" cm="1">
        <f t="array" ref="E115">IF(C115=0,"",
HYPERLINK(
"#'2026 Orders'!C"&amp;
MATCH(1,
('2026 Orders'!C:C=C115)*
('2026 Orders'!G:G=G115)*
('2026 Orders'!N:N=N115),
0),
"Open "&amp;C115
))</f>
        <v>Open A4569</v>
      </c>
      <c r="F115" s="14">
        <v>0</v>
      </c>
      <c r="G115" s="14" t="str">
        <f>'2026 Orders'!G114</f>
        <v>OVAMAX-120-FD</v>
      </c>
      <c r="H115" s="14" t="str">
        <f>'2026 Orders'!H114</f>
        <v>OVAMAX-120</v>
      </c>
      <c r="I115" s="15" t="str">
        <f>'2026 Orders'!I114</f>
        <v>FD</v>
      </c>
      <c r="J115" s="14">
        <f>'2026 Orders'!J114</f>
        <v>48</v>
      </c>
      <c r="K115" t="s">
        <v>624</v>
      </c>
      <c r="L115">
        <v>48</v>
      </c>
      <c r="M115">
        <v>0</v>
      </c>
      <c r="N115" s="10" t="str">
        <f>'2026 Orders'!N114</f>
        <v>D/W Sent</v>
      </c>
      <c r="O115">
        <v>0</v>
      </c>
      <c r="P115" t="s">
        <v>1077</v>
      </c>
      <c r="Q115">
        <v>609788968344</v>
      </c>
      <c r="R115" t="s">
        <v>1138</v>
      </c>
      <c r="S115">
        <v>5064</v>
      </c>
      <c r="T115" t="s">
        <v>1108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C115" t="str">
        <f t="shared" si="2"/>
        <v>48/</v>
      </c>
      <c r="AD115" t="e">
        <f t="shared" si="3"/>
        <v>#VALUE!</v>
      </c>
    </row>
    <row r="116" spans="1:30" ht="33" hidden="1" customHeight="1" x14ac:dyDescent="0.3">
      <c r="A116">
        <v>45975</v>
      </c>
      <c r="B116" s="14" t="str">
        <f>'2026 Orders'!B115</f>
        <v>Botswana</v>
      </c>
      <c r="C116" s="14" t="str">
        <f>'2026 Orders'!C115</f>
        <v>A4569</v>
      </c>
      <c r="D116" s="14">
        <v>0</v>
      </c>
      <c r="E116" s="17" t="str" cm="1">
        <f t="array" ref="E116">IF(C116=0,"",
HYPERLINK(
"#'2026 Orders'!C"&amp;
MATCH(1,
('2026 Orders'!C:C=C116)*
('2026 Orders'!G:G=G116)*
('2026 Orders'!N:N=N116),
0),
"Open "&amp;C116
))</f>
        <v>Open A4569</v>
      </c>
      <c r="F116" s="14">
        <v>49241225</v>
      </c>
      <c r="G116" s="14" t="str">
        <f>'2026 Orders'!G115</f>
        <v>CAVIN-60-FD</v>
      </c>
      <c r="H116" s="14" t="str">
        <f>'2026 Orders'!H115</f>
        <v>CAVIN-60</v>
      </c>
      <c r="I116" s="15" t="str">
        <f>'2026 Orders'!I115</f>
        <v>FD</v>
      </c>
      <c r="J116" s="14">
        <f>'2026 Orders'!J115</f>
        <v>48</v>
      </c>
      <c r="K116" t="s">
        <v>625</v>
      </c>
      <c r="L116">
        <v>48</v>
      </c>
      <c r="M116">
        <v>0</v>
      </c>
      <c r="N116" s="10" t="str">
        <f>'2026 Orders'!N115</f>
        <v>D/W Sent</v>
      </c>
      <c r="O116">
        <v>0</v>
      </c>
      <c r="P116" t="s">
        <v>1077</v>
      </c>
      <c r="Q116">
        <v>609788968399</v>
      </c>
      <c r="R116">
        <v>7419</v>
      </c>
      <c r="S116">
        <v>5107</v>
      </c>
      <c r="T116">
        <v>46286</v>
      </c>
      <c r="U116" t="s">
        <v>1089</v>
      </c>
      <c r="V116">
        <v>0</v>
      </c>
      <c r="W116">
        <v>0</v>
      </c>
      <c r="X116">
        <v>0</v>
      </c>
      <c r="Y116">
        <v>0</v>
      </c>
      <c r="Z116">
        <v>0</v>
      </c>
      <c r="AC116" t="str">
        <f t="shared" si="2"/>
        <v>48/</v>
      </c>
      <c r="AD116" t="e">
        <f t="shared" si="3"/>
        <v>#VALUE!</v>
      </c>
    </row>
    <row r="117" spans="1:30" ht="33" hidden="1" customHeight="1" x14ac:dyDescent="0.3">
      <c r="A117">
        <v>45975</v>
      </c>
      <c r="B117" s="14" t="str">
        <f>'2026 Orders'!B116</f>
        <v>Botswana</v>
      </c>
      <c r="C117" s="14" t="str">
        <f>'2026 Orders'!C116</f>
        <v>A4569</v>
      </c>
      <c r="D117" s="14">
        <v>0</v>
      </c>
      <c r="E117" s="17" t="str" cm="1">
        <f t="array" ref="E117">IF(C117=0,"",
HYPERLINK(
"#'2026 Orders'!C"&amp;
MATCH(1,
('2026 Orders'!C:C=C117)*
('2026 Orders'!G:G=G117)*
('2026 Orders'!N:N=N117),
0),
"Open "&amp;C117
))</f>
        <v>Open A4569</v>
      </c>
      <c r="F117" s="14">
        <v>0</v>
      </c>
      <c r="G117" s="14" t="str">
        <f>'2026 Orders'!G116</f>
        <v>FERTMX-90-RE</v>
      </c>
      <c r="H117" s="14" t="str">
        <f>'2026 Orders'!H116</f>
        <v>FERTMX-90</v>
      </c>
      <c r="I117" s="15" t="str">
        <f>'2026 Orders'!I116</f>
        <v>RE</v>
      </c>
      <c r="J117" s="14">
        <f>'2026 Orders'!J116</f>
        <v>48</v>
      </c>
      <c r="K117" t="s">
        <v>441</v>
      </c>
      <c r="L117">
        <v>48</v>
      </c>
      <c r="M117">
        <v>0</v>
      </c>
      <c r="N117" s="10" t="str">
        <f>'2026 Orders'!N116</f>
        <v>D/W Sent</v>
      </c>
      <c r="O117">
        <v>0</v>
      </c>
      <c r="P117" t="s">
        <v>1077</v>
      </c>
      <c r="Q117">
        <v>609788968351</v>
      </c>
      <c r="R117">
        <v>7572</v>
      </c>
      <c r="S117">
        <v>5043</v>
      </c>
      <c r="T117">
        <v>46286</v>
      </c>
      <c r="U117" t="s">
        <v>1089</v>
      </c>
      <c r="V117">
        <v>0</v>
      </c>
      <c r="W117">
        <v>0</v>
      </c>
      <c r="X117">
        <v>0</v>
      </c>
      <c r="Y117">
        <v>0</v>
      </c>
      <c r="Z117">
        <v>0</v>
      </c>
      <c r="AC117" t="str">
        <f t="shared" si="2"/>
        <v>48/</v>
      </c>
      <c r="AD117" t="e">
        <f t="shared" si="3"/>
        <v>#VALUE!</v>
      </c>
    </row>
    <row r="118" spans="1:30" ht="33" hidden="1" customHeight="1" x14ac:dyDescent="0.3">
      <c r="A118">
        <v>45975</v>
      </c>
      <c r="B118" s="14" t="str">
        <f>'2026 Orders'!B117</f>
        <v>Botswana</v>
      </c>
      <c r="C118" s="14" t="str">
        <f>'2026 Orders'!C117</f>
        <v>A4569</v>
      </c>
      <c r="D118" s="14">
        <v>0</v>
      </c>
      <c r="E118" s="17" t="str" cm="1">
        <f t="array" ref="E118">IF(C118=0,"",
HYPERLINK(
"#'2026 Orders'!C"&amp;
MATCH(1,
('2026 Orders'!C:C=C118)*
('2026 Orders'!G:G=G118)*
('2026 Orders'!N:N=N118),
0),
"Open "&amp;C118
))</f>
        <v>Open A4569</v>
      </c>
      <c r="F118" s="14">
        <v>0</v>
      </c>
      <c r="G118" s="14" t="str">
        <f>'2026 Orders'!G117</f>
        <v>OME369-90-FD</v>
      </c>
      <c r="H118" s="14" t="str">
        <f>'2026 Orders'!H117</f>
        <v>OME369-90</v>
      </c>
      <c r="I118" s="15" t="str">
        <f>'2026 Orders'!I117</f>
        <v>FD</v>
      </c>
      <c r="J118" s="14">
        <f>'2026 Orders'!J117</f>
        <v>120</v>
      </c>
      <c r="K118" t="s">
        <v>626</v>
      </c>
      <c r="L118">
        <v>120</v>
      </c>
      <c r="M118">
        <v>0</v>
      </c>
      <c r="N118" s="10" t="str">
        <f>'2026 Orders'!N117</f>
        <v>D/W Sent</v>
      </c>
      <c r="O118">
        <v>0</v>
      </c>
      <c r="P118" t="s">
        <v>1077</v>
      </c>
      <c r="Q118" t="s">
        <v>1093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C118" t="str">
        <f t="shared" si="2"/>
        <v>120/</v>
      </c>
      <c r="AD118" t="e">
        <f t="shared" si="3"/>
        <v>#VALUE!</v>
      </c>
    </row>
    <row r="119" spans="1:30" ht="33" hidden="1" customHeight="1" x14ac:dyDescent="0.3">
      <c r="A119">
        <v>45902</v>
      </c>
      <c r="B119" s="14" t="str">
        <f>'2026 Orders'!B118</f>
        <v>Botswana</v>
      </c>
      <c r="C119" s="14" t="str">
        <f>'2026 Orders'!C118</f>
        <v>A4569</v>
      </c>
      <c r="D119" s="14">
        <v>0</v>
      </c>
      <c r="E119" s="17" t="str" cm="1">
        <f t="array" ref="E119">IF(C119=0,"",
HYPERLINK(
"#'2026 Orders'!C"&amp;
MATCH(1,
('2026 Orders'!C:C=C119)*
('2026 Orders'!G:G=G119)*
('2026 Orders'!N:N=N119),
0),
"Open "&amp;C119
))</f>
        <v>Open A4569</v>
      </c>
      <c r="F119" s="14">
        <v>0</v>
      </c>
      <c r="G119" s="14" t="str">
        <f>'2026 Orders'!G118</f>
        <v>PRECON-90-FD</v>
      </c>
      <c r="H119" s="14" t="str">
        <f>'2026 Orders'!H118</f>
        <v>PRECON-90</v>
      </c>
      <c r="I119" s="15" t="str">
        <f>'2026 Orders'!I118</f>
        <v>FD</v>
      </c>
      <c r="J119" s="14">
        <f>'2026 Orders'!J118</f>
        <v>48</v>
      </c>
      <c r="K119" t="s">
        <v>443</v>
      </c>
      <c r="L119">
        <v>48</v>
      </c>
      <c r="M119">
        <v>0</v>
      </c>
      <c r="N119" s="10" t="str">
        <f>'2026 Orders'!N118</f>
        <v>D/W Sent</v>
      </c>
      <c r="O119">
        <v>0</v>
      </c>
      <c r="P119" t="s">
        <v>1077</v>
      </c>
      <c r="Q119" t="s">
        <v>1139</v>
      </c>
      <c r="R119">
        <v>5000</v>
      </c>
      <c r="S119">
        <v>5118</v>
      </c>
      <c r="T119">
        <v>46286</v>
      </c>
      <c r="U119" t="s">
        <v>1089</v>
      </c>
      <c r="V119">
        <v>0</v>
      </c>
      <c r="W119">
        <v>0</v>
      </c>
      <c r="X119">
        <v>0</v>
      </c>
      <c r="Y119">
        <v>0</v>
      </c>
      <c r="Z119">
        <v>0</v>
      </c>
      <c r="AC119" t="str">
        <f t="shared" si="2"/>
        <v>48/</v>
      </c>
      <c r="AD119" t="e">
        <f t="shared" si="3"/>
        <v>#VALUE!</v>
      </c>
    </row>
    <row r="120" spans="1:30" ht="33" hidden="1" customHeight="1" x14ac:dyDescent="0.3">
      <c r="A120">
        <v>45975</v>
      </c>
      <c r="B120" s="14" t="str">
        <f>'2026 Orders'!B119</f>
        <v>Botswana</v>
      </c>
      <c r="C120" s="14" t="str">
        <f>'2026 Orders'!C119</f>
        <v>A4569</v>
      </c>
      <c r="D120" s="14">
        <v>0</v>
      </c>
      <c r="E120" s="17" t="str" cm="1">
        <f t="array" ref="E120">IF(C120=0,"",
HYPERLINK(
"#'2026 Orders'!C"&amp;
MATCH(1,
('2026 Orders'!C:C=C120)*
('2026 Orders'!G:G=G120)*
('2026 Orders'!N:N=N120),
0),
"Open "&amp;C120
))</f>
        <v>Open A4569</v>
      </c>
      <c r="F120" s="14">
        <v>0</v>
      </c>
      <c r="G120" s="14" t="str">
        <f>'2026 Orders'!G119</f>
        <v>PRECON-180-FD</v>
      </c>
      <c r="H120" s="14" t="str">
        <f>'2026 Orders'!H119</f>
        <v>PRECON-180</v>
      </c>
      <c r="I120" s="15" t="str">
        <f>'2026 Orders'!I119</f>
        <v>FD</v>
      </c>
      <c r="J120" s="14">
        <f>'2026 Orders'!J119</f>
        <v>48</v>
      </c>
      <c r="K120" t="s">
        <v>455</v>
      </c>
      <c r="L120">
        <v>48</v>
      </c>
      <c r="M120">
        <v>0</v>
      </c>
      <c r="N120" s="10" t="str">
        <f>'2026 Orders'!N119</f>
        <v>D/W Sent</v>
      </c>
      <c r="O120">
        <v>0</v>
      </c>
      <c r="P120" t="s">
        <v>1077</v>
      </c>
      <c r="Q120">
        <v>609788968375</v>
      </c>
      <c r="R120">
        <v>5000</v>
      </c>
      <c r="S120">
        <v>5060</v>
      </c>
      <c r="T120" t="s">
        <v>1094</v>
      </c>
      <c r="U120" t="s">
        <v>1095</v>
      </c>
      <c r="V120">
        <v>0</v>
      </c>
      <c r="W120">
        <v>0</v>
      </c>
      <c r="X120">
        <v>0</v>
      </c>
      <c r="Y120">
        <v>0</v>
      </c>
      <c r="Z120">
        <v>0</v>
      </c>
      <c r="AC120" t="str">
        <f t="shared" si="2"/>
        <v>48/</v>
      </c>
      <c r="AD120" t="e">
        <f t="shared" si="3"/>
        <v>#VALUE!</v>
      </c>
    </row>
    <row r="121" spans="1:30" ht="33" hidden="1" customHeight="1" x14ac:dyDescent="0.3">
      <c r="A121">
        <v>45975</v>
      </c>
      <c r="B121" s="14" t="str">
        <f>'2026 Orders'!B120</f>
        <v>Botswana</v>
      </c>
      <c r="C121" s="14" t="str">
        <f>'2026 Orders'!C120</f>
        <v>A4569</v>
      </c>
      <c r="D121" s="14">
        <v>0</v>
      </c>
      <c r="E121" s="17" t="str" cm="1">
        <f t="array" ref="E121">IF(C121=0,"",
HYPERLINK(
"#'2026 Orders'!C"&amp;
MATCH(1,
('2026 Orders'!C:C=C121)*
('2026 Orders'!G:G=G121)*
('2026 Orders'!N:N=N121),
0),
"Open "&amp;C121
))</f>
        <v>Open A4569</v>
      </c>
      <c r="F121" s="14">
        <v>0</v>
      </c>
      <c r="G121" s="14" t="str">
        <f>'2026 Orders'!G120</f>
        <v>PENAMAX-60-GE-FD</v>
      </c>
      <c r="H121" s="14" t="str">
        <f>'2026 Orders'!H120</f>
        <v>PENAMAX-60</v>
      </c>
      <c r="I121" s="15" t="str">
        <f>'2026 Orders'!I120</f>
        <v>FD</v>
      </c>
      <c r="J121" s="14">
        <f>'2026 Orders'!J120</f>
        <v>24</v>
      </c>
      <c r="K121" t="s">
        <v>451</v>
      </c>
      <c r="L121">
        <v>24</v>
      </c>
      <c r="M121">
        <v>0</v>
      </c>
      <c r="N121" s="10" t="str">
        <f>'2026 Orders'!N120</f>
        <v>D/W Sent</v>
      </c>
      <c r="O121">
        <v>0</v>
      </c>
      <c r="P121" t="s">
        <v>1077</v>
      </c>
      <c r="Q121">
        <v>609788968375</v>
      </c>
      <c r="R121">
        <v>5000</v>
      </c>
      <c r="S121">
        <v>4849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C121" t="str">
        <f t="shared" si="2"/>
        <v>24/</v>
      </c>
      <c r="AD121" t="e">
        <f t="shared" si="3"/>
        <v>#VALUE!</v>
      </c>
    </row>
    <row r="122" spans="1:30" ht="33" hidden="1" customHeight="1" x14ac:dyDescent="0.3">
      <c r="A122">
        <v>45975</v>
      </c>
      <c r="B122" s="14">
        <f>'2026 Orders'!B121</f>
        <v>0</v>
      </c>
      <c r="C122" s="14">
        <f>'2026 Orders'!C121</f>
        <v>0</v>
      </c>
      <c r="D122" s="14">
        <v>0</v>
      </c>
      <c r="E122" s="17" t="str" cm="1">
        <f t="array" ref="E122">IF(C122=0,"",
HYPERLINK(
"#'2026 Orders'!C"&amp;
MATCH(1,
('2026 Orders'!C:C=C122)*
('2026 Orders'!G:G=G122)*
('2026 Orders'!N:N=N122),
0),
"Open "&amp;C122
))</f>
        <v/>
      </c>
      <c r="F122" s="14">
        <v>0</v>
      </c>
      <c r="G122" s="14">
        <f>'2026 Orders'!G121</f>
        <v>0</v>
      </c>
      <c r="H122" s="14">
        <f>'2026 Orders'!H121</f>
        <v>0</v>
      </c>
      <c r="I122" s="15" t="str">
        <f>'2026 Orders'!I121</f>
        <v/>
      </c>
      <c r="J122" s="14">
        <f>'2026 Orders'!J121</f>
        <v>0</v>
      </c>
      <c r="K122">
        <v>0</v>
      </c>
      <c r="L122">
        <v>0</v>
      </c>
      <c r="M122">
        <v>0</v>
      </c>
      <c r="N122" s="10">
        <f>'2026 Orders'!N121</f>
        <v>0</v>
      </c>
      <c r="O122">
        <v>0</v>
      </c>
      <c r="P122" t="s">
        <v>1085</v>
      </c>
      <c r="Q122">
        <v>609788968702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C122" t="str">
        <f t="shared" si="2"/>
        <v/>
      </c>
      <c r="AD122" t="str">
        <f t="shared" si="3"/>
        <v/>
      </c>
    </row>
    <row r="123" spans="1:30" ht="33" hidden="1" customHeight="1" x14ac:dyDescent="0.3">
      <c r="A123">
        <v>0</v>
      </c>
      <c r="B123" s="14" t="str">
        <f>'2026 Orders'!B122</f>
        <v>UAE</v>
      </c>
      <c r="C123" s="14" t="str">
        <f>'2026 Orders'!C122</f>
        <v>A4572</v>
      </c>
      <c r="D123" s="14">
        <v>0</v>
      </c>
      <c r="E123" s="17" t="str" cm="1">
        <f t="array" ref="E123">IF(C123=0,"",
HYPERLINK(
"#'2026 Orders'!C"&amp;
MATCH(1,
('2026 Orders'!C:C=C123)*
('2026 Orders'!G:G=G123)*
('2026 Orders'!N:N=N123),
0),
"Open "&amp;C123
))</f>
        <v>Open A4572</v>
      </c>
      <c r="F123" s="14">
        <v>0</v>
      </c>
      <c r="G123" s="14" t="str">
        <f>'2026 Orders'!G122</f>
        <v>ALC-60-FD</v>
      </c>
      <c r="H123" s="14" t="str">
        <f>'2026 Orders'!H122</f>
        <v>ALC-60</v>
      </c>
      <c r="I123" s="15" t="str">
        <f>'2026 Orders'!I122</f>
        <v>FD</v>
      </c>
      <c r="J123" s="14">
        <f>'2026 Orders'!J122</f>
        <v>417</v>
      </c>
      <c r="K123" t="s">
        <v>629</v>
      </c>
      <c r="L123">
        <v>0</v>
      </c>
      <c r="M123">
        <v>417</v>
      </c>
      <c r="N123" s="10" t="str">
        <f>'2026 Orders'!N122</f>
        <v>In Production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C123" t="str">
        <f t="shared" si="2"/>
        <v>417/</v>
      </c>
      <c r="AD123" t="e">
        <f t="shared" si="3"/>
        <v>#VALUE!</v>
      </c>
    </row>
    <row r="124" spans="1:30" ht="33" hidden="1" customHeight="1" x14ac:dyDescent="0.3">
      <c r="A124">
        <v>45981</v>
      </c>
      <c r="B124" s="14" t="str">
        <f>'2026 Orders'!B123</f>
        <v>UAE</v>
      </c>
      <c r="C124" s="14" t="str">
        <f>'2026 Orders'!C123</f>
        <v>A4572</v>
      </c>
      <c r="D124" s="14">
        <v>0</v>
      </c>
      <c r="E124" s="17" t="str" cm="1">
        <f t="array" ref="E124">IF(C124=0,"",
HYPERLINK(
"#'2026 Orders'!C"&amp;
MATCH(1,
('2026 Orders'!C:C=C124)*
('2026 Orders'!G:G=G124)*
('2026 Orders'!N:N=N124),
0),
"Open "&amp;C124
))</f>
        <v>Open A4572</v>
      </c>
      <c r="F124" s="14">
        <v>0</v>
      </c>
      <c r="G124" s="14" t="str">
        <f>'2026 Orders'!G123</f>
        <v>EYECAP-30-FD</v>
      </c>
      <c r="H124" s="14" t="str">
        <f>'2026 Orders'!H123</f>
        <v>EYECAP-30</v>
      </c>
      <c r="I124" s="15" t="str">
        <f>'2026 Orders'!I123</f>
        <v>FD</v>
      </c>
      <c r="J124" s="14">
        <f>'2026 Orders'!J123</f>
        <v>600</v>
      </c>
      <c r="K124" t="s">
        <v>630</v>
      </c>
      <c r="L124">
        <v>0</v>
      </c>
      <c r="M124">
        <v>1320</v>
      </c>
      <c r="N124" s="10" t="str">
        <f>'2026 Orders'!N123</f>
        <v>Not Meet MOQ</v>
      </c>
      <c r="O124">
        <v>0</v>
      </c>
      <c r="P124" t="s">
        <v>1085</v>
      </c>
      <c r="Q124">
        <v>810131199654</v>
      </c>
      <c r="R124">
        <v>5000</v>
      </c>
      <c r="S124">
        <v>0</v>
      </c>
      <c r="T124" t="s">
        <v>1108</v>
      </c>
      <c r="U124" t="s">
        <v>1140</v>
      </c>
      <c r="V124">
        <v>0</v>
      </c>
      <c r="W124">
        <v>0</v>
      </c>
      <c r="X124">
        <v>0</v>
      </c>
      <c r="Y124">
        <v>0</v>
      </c>
      <c r="Z124" t="s">
        <v>1086</v>
      </c>
      <c r="AC124" t="str">
        <f t="shared" si="2"/>
        <v>600/</v>
      </c>
      <c r="AD124" t="e">
        <f t="shared" si="3"/>
        <v>#VALUE!</v>
      </c>
    </row>
    <row r="125" spans="1:30" ht="33" hidden="1" customHeight="1" x14ac:dyDescent="0.3">
      <c r="A125">
        <v>45981</v>
      </c>
      <c r="B125" s="14" t="str">
        <f>'2026 Orders'!B124</f>
        <v>UAE</v>
      </c>
      <c r="C125" s="14" t="str">
        <f>'2026 Orders'!C124</f>
        <v>A4572</v>
      </c>
      <c r="D125" s="14">
        <v>0</v>
      </c>
      <c r="E125" s="17" t="str" cm="1">
        <f t="array" ref="E125">IF(C125=0,"",
HYPERLINK(
"#'2026 Orders'!C"&amp;
MATCH(1,
('2026 Orders'!C:C=C125)*
('2026 Orders'!G:G=G125)*
('2026 Orders'!N:N=N125),
0),
"Open "&amp;C125
))</f>
        <v>Open A4572</v>
      </c>
      <c r="F125" s="14" t="s">
        <v>632</v>
      </c>
      <c r="G125" s="14" t="str">
        <f>'2026 Orders'!G124</f>
        <v>EYECAP-30-FD</v>
      </c>
      <c r="H125" s="14" t="str">
        <f>'2026 Orders'!H124</f>
        <v>EYECAP-30</v>
      </c>
      <c r="I125" s="15" t="str">
        <f>'2026 Orders'!I124</f>
        <v>FD</v>
      </c>
      <c r="J125" s="14">
        <f>'2026 Orders'!J124</f>
        <v>720</v>
      </c>
      <c r="K125" t="s">
        <v>630</v>
      </c>
      <c r="L125">
        <v>720</v>
      </c>
      <c r="M125">
        <v>0</v>
      </c>
      <c r="N125" s="10" t="str">
        <f>'2026 Orders'!N124</f>
        <v>Not Meet MOQ</v>
      </c>
      <c r="O125">
        <v>0</v>
      </c>
      <c r="P125" t="s">
        <v>1085</v>
      </c>
      <c r="Q125">
        <v>810131199678</v>
      </c>
      <c r="R125">
        <v>5000</v>
      </c>
      <c r="S125">
        <v>0</v>
      </c>
      <c r="T125" t="s">
        <v>1108</v>
      </c>
      <c r="U125" t="s">
        <v>1141</v>
      </c>
      <c r="V125">
        <v>0</v>
      </c>
      <c r="W125">
        <v>0</v>
      </c>
      <c r="X125">
        <v>0</v>
      </c>
      <c r="Y125">
        <v>0</v>
      </c>
      <c r="Z125">
        <v>0</v>
      </c>
      <c r="AC125" t="str">
        <f t="shared" si="2"/>
        <v>720/</v>
      </c>
      <c r="AD125" t="e">
        <f t="shared" si="3"/>
        <v>#VALUE!</v>
      </c>
    </row>
    <row r="126" spans="1:30" ht="33" hidden="1" customHeight="1" x14ac:dyDescent="0.3">
      <c r="A126">
        <v>45981</v>
      </c>
      <c r="B126" s="14" t="str">
        <f>'2026 Orders'!B125</f>
        <v>UAE</v>
      </c>
      <c r="C126" s="14" t="str">
        <f>'2026 Orders'!C125</f>
        <v>A4572</v>
      </c>
      <c r="D126" s="14">
        <v>0</v>
      </c>
      <c r="E126" s="17" t="str" cm="1">
        <f t="array" ref="E126">IF(C126=0,"",
HYPERLINK(
"#'2026 Orders'!C"&amp;
MATCH(1,
('2026 Orders'!C:C=C126)*
('2026 Orders'!G:G=G126)*
('2026 Orders'!N:N=N126),
0),
"Open "&amp;C126
))</f>
        <v>Open A4572</v>
      </c>
      <c r="F126" s="14">
        <v>0</v>
      </c>
      <c r="G126" s="14" t="str">
        <f>'2026 Orders'!G125</f>
        <v>PEDIAD4-50-FD</v>
      </c>
      <c r="H126" s="14" t="str">
        <f>'2026 Orders'!H125</f>
        <v>PEDIAD4-50</v>
      </c>
      <c r="I126" s="15" t="str">
        <f>'2026 Orders'!I125</f>
        <v>FD</v>
      </c>
      <c r="J126" s="14">
        <f>'2026 Orders'!J125</f>
        <v>1350</v>
      </c>
      <c r="K126" t="s">
        <v>634</v>
      </c>
      <c r="L126">
        <v>0</v>
      </c>
      <c r="M126">
        <v>1350</v>
      </c>
      <c r="N126" s="10" t="str">
        <f>'2026 Orders'!N125</f>
        <v>PO submitted</v>
      </c>
      <c r="O126">
        <v>0</v>
      </c>
      <c r="P126" t="s">
        <v>1085</v>
      </c>
      <c r="Q126">
        <v>810131199623</v>
      </c>
      <c r="R126">
        <v>5000</v>
      </c>
      <c r="S126">
        <v>0</v>
      </c>
      <c r="T126" t="s">
        <v>1108</v>
      </c>
      <c r="U126" t="s">
        <v>1142</v>
      </c>
      <c r="V126">
        <v>0</v>
      </c>
      <c r="W126">
        <v>0</v>
      </c>
      <c r="X126">
        <v>0</v>
      </c>
      <c r="Y126">
        <v>0</v>
      </c>
      <c r="Z126">
        <v>0</v>
      </c>
      <c r="AC126" t="str">
        <f t="shared" si="2"/>
        <v>1350/</v>
      </c>
      <c r="AD126" t="e">
        <f t="shared" si="3"/>
        <v>#VALUE!</v>
      </c>
    </row>
    <row r="127" spans="1:30" ht="33" hidden="1" customHeight="1" x14ac:dyDescent="0.3">
      <c r="A127">
        <v>45981</v>
      </c>
      <c r="B127" s="14" t="str">
        <f>'2026 Orders'!B126</f>
        <v>UAE</v>
      </c>
      <c r="C127" s="14" t="str">
        <f>'2026 Orders'!C126</f>
        <v>A4572</v>
      </c>
      <c r="D127" s="14">
        <v>0</v>
      </c>
      <c r="E127" s="17" t="str" cm="1">
        <f t="array" ref="E127">IF(C127=0,"",
HYPERLINK(
"#'2026 Orders'!C"&amp;
MATCH(1,
('2026 Orders'!C:C=C127)*
('2026 Orders'!G:G=G127)*
('2026 Orders'!N:N=N127),
0),
"Open "&amp;C127
))</f>
        <v>Open A4572</v>
      </c>
      <c r="F127" s="14">
        <v>0</v>
      </c>
      <c r="G127" s="14" t="str">
        <f>'2026 Orders'!G126</f>
        <v>LARGIN-100-FD</v>
      </c>
      <c r="H127" s="14" t="str">
        <f>'2026 Orders'!H126</f>
        <v>LARGIN-100</v>
      </c>
      <c r="I127" s="15" t="str">
        <f>'2026 Orders'!I126</f>
        <v>FD</v>
      </c>
      <c r="J127" s="14">
        <f>'2026 Orders'!J126</f>
        <v>619</v>
      </c>
      <c r="K127" t="s">
        <v>635</v>
      </c>
      <c r="L127">
        <v>0</v>
      </c>
      <c r="M127">
        <v>619</v>
      </c>
      <c r="N127" s="10" t="str">
        <f>'2026 Orders'!N126</f>
        <v>In Production</v>
      </c>
      <c r="O127">
        <v>0</v>
      </c>
      <c r="P127" t="s">
        <v>1085</v>
      </c>
      <c r="Q127">
        <v>810131199616</v>
      </c>
      <c r="R127">
        <v>5000</v>
      </c>
      <c r="S127">
        <v>0</v>
      </c>
      <c r="T127" t="s">
        <v>1108</v>
      </c>
      <c r="U127" t="s">
        <v>1143</v>
      </c>
      <c r="V127">
        <v>0</v>
      </c>
      <c r="W127">
        <v>0</v>
      </c>
      <c r="X127">
        <v>0</v>
      </c>
      <c r="Y127">
        <v>0</v>
      </c>
      <c r="Z127">
        <v>0</v>
      </c>
      <c r="AC127" t="str">
        <f t="shared" si="2"/>
        <v>619/</v>
      </c>
      <c r="AD127" t="e">
        <f t="shared" si="3"/>
        <v>#VALUE!</v>
      </c>
    </row>
    <row r="128" spans="1:30" ht="33" hidden="1" customHeight="1" x14ac:dyDescent="0.3">
      <c r="A128">
        <v>0</v>
      </c>
      <c r="B128" s="14" t="str">
        <f>'2026 Orders'!B127</f>
        <v>UAE</v>
      </c>
      <c r="C128" s="14" t="str">
        <f>'2026 Orders'!C127</f>
        <v>A4572</v>
      </c>
      <c r="D128" s="14">
        <v>0</v>
      </c>
      <c r="E128" s="17" t="str" cm="1">
        <f t="array" ref="E128">IF(C128=0,"",
HYPERLINK(
"#'2026 Orders'!C"&amp;
MATCH(1,
('2026 Orders'!C:C=C128)*
('2026 Orders'!G:G=G128)*
('2026 Orders'!N:N=N128),
0),
"Open "&amp;C128
))</f>
        <v>Open A4572</v>
      </c>
      <c r="F128" s="14">
        <v>0</v>
      </c>
      <c r="G128" s="14" t="str">
        <f>'2026 Orders'!G127</f>
        <v>ZINC25-60-FD</v>
      </c>
      <c r="H128" s="14" t="str">
        <f>'2026 Orders'!H127</f>
        <v>ZINC25-60</v>
      </c>
      <c r="I128" s="15" t="str">
        <f>'2026 Orders'!I127</f>
        <v>FD</v>
      </c>
      <c r="J128" s="14">
        <f>'2026 Orders'!J127</f>
        <v>1050</v>
      </c>
      <c r="K128" t="s">
        <v>518</v>
      </c>
      <c r="L128">
        <v>0</v>
      </c>
      <c r="M128">
        <v>1050</v>
      </c>
      <c r="N128" s="10" t="str">
        <f>'2026 Orders'!N127</f>
        <v>PO Drafted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C128" t="str">
        <f t="shared" si="2"/>
        <v>1050/</v>
      </c>
      <c r="AD128" t="e">
        <f t="shared" si="3"/>
        <v>#VALUE!</v>
      </c>
    </row>
    <row r="129" spans="1:30" ht="33" hidden="1" customHeight="1" x14ac:dyDescent="0.3">
      <c r="A129">
        <v>45992</v>
      </c>
      <c r="B129" s="14" t="str">
        <f>'2026 Orders'!B128</f>
        <v>UAE</v>
      </c>
      <c r="C129" s="14" t="str">
        <f>'2026 Orders'!C128</f>
        <v>A4572</v>
      </c>
      <c r="D129" s="14">
        <v>0</v>
      </c>
      <c r="E129" s="17" t="str" cm="1">
        <f t="array" ref="E129">IF(C129=0,"",
HYPERLINK(
"#'2026 Orders'!C"&amp;
MATCH(1,
('2026 Orders'!C:C=C129)*
('2026 Orders'!G:G=G129)*
('2026 Orders'!N:N=N129),
0),
"Open "&amp;C129
))</f>
        <v>Open A4572</v>
      </c>
      <c r="F129" s="14">
        <v>0</v>
      </c>
      <c r="G129" s="14" t="str">
        <f>'2026 Orders'!G128</f>
        <v>MAGNES-50-FD</v>
      </c>
      <c r="H129" s="14" t="str">
        <f>'2026 Orders'!H128</f>
        <v>MAGNES-50</v>
      </c>
      <c r="I129" s="15" t="str">
        <f>'2026 Orders'!I128</f>
        <v>FD</v>
      </c>
      <c r="J129" s="14">
        <f>'2026 Orders'!J128</f>
        <v>1050</v>
      </c>
      <c r="K129" t="s">
        <v>636</v>
      </c>
      <c r="L129">
        <v>0</v>
      </c>
      <c r="M129">
        <v>1050</v>
      </c>
      <c r="N129" s="10" t="str">
        <f>'2026 Orders'!N128</f>
        <v>In Production</v>
      </c>
      <c r="O129" t="s">
        <v>1099</v>
      </c>
      <c r="P129" t="s">
        <v>1085</v>
      </c>
      <c r="Q129">
        <v>810131193164</v>
      </c>
      <c r="R129">
        <v>7000</v>
      </c>
      <c r="S129">
        <v>4867</v>
      </c>
      <c r="T129" t="s">
        <v>1079</v>
      </c>
      <c r="U129">
        <v>0</v>
      </c>
      <c r="V129">
        <v>0</v>
      </c>
      <c r="W129">
        <v>0</v>
      </c>
      <c r="X129">
        <v>0</v>
      </c>
      <c r="Y129">
        <v>0</v>
      </c>
      <c r="Z129" t="s">
        <v>1083</v>
      </c>
      <c r="AC129" t="str">
        <f t="shared" si="2"/>
        <v>1050/</v>
      </c>
      <c r="AD129" t="e">
        <f t="shared" si="3"/>
        <v>#VALUE!</v>
      </c>
    </row>
    <row r="130" spans="1:30" ht="33" hidden="1" customHeight="1" x14ac:dyDescent="0.3">
      <c r="A130">
        <v>0</v>
      </c>
      <c r="B130" s="14" t="str">
        <f>'2026 Orders'!B129</f>
        <v>UAE</v>
      </c>
      <c r="C130" s="14" t="str">
        <f>'2026 Orders'!C129</f>
        <v>A4572</v>
      </c>
      <c r="D130" s="14">
        <v>0</v>
      </c>
      <c r="E130" s="17" t="str" cm="1">
        <f t="array" ref="E130">IF(C130=0,"",
HYPERLINK(
"#'2026 Orders'!C"&amp;
MATCH(1,
('2026 Orders'!C:C=C130)*
('2026 Orders'!G:G=G130)*
('2026 Orders'!N:N=N130),
0),
"Open "&amp;C130
))</f>
        <v>Open A4572</v>
      </c>
      <c r="F130" s="14" t="s">
        <v>637</v>
      </c>
      <c r="G130" s="14" t="str">
        <f>'2026 Orders'!G129</f>
        <v>NRGMEN-45-CS-UA</v>
      </c>
      <c r="H130" s="14" t="str">
        <f>'2026 Orders'!H129</f>
        <v>NRGMEN-45</v>
      </c>
      <c r="I130" s="15" t="str">
        <f>'2026 Orders'!I129</f>
        <v>UA</v>
      </c>
      <c r="J130" s="14">
        <f>'2026 Orders'!J129</f>
        <v>2000</v>
      </c>
      <c r="K130" t="s">
        <v>638</v>
      </c>
      <c r="L130">
        <v>0</v>
      </c>
      <c r="M130">
        <v>2000</v>
      </c>
      <c r="N130" s="10" t="str">
        <f>'2026 Orders'!N129</f>
        <v>PO Drafted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C130" t="str">
        <f t="shared" si="2"/>
        <v>2000/</v>
      </c>
      <c r="AD130" t="e">
        <f t="shared" si="3"/>
        <v>#VALUE!</v>
      </c>
    </row>
    <row r="131" spans="1:30" ht="33" hidden="1" customHeight="1" x14ac:dyDescent="0.3">
      <c r="A131">
        <v>46066</v>
      </c>
      <c r="B131" s="14" t="str">
        <f>'2026 Orders'!B130</f>
        <v>UAE</v>
      </c>
      <c r="C131" s="14" t="str">
        <f>'2026 Orders'!C130</f>
        <v>A4572</v>
      </c>
      <c r="D131" s="14">
        <v>0</v>
      </c>
      <c r="E131" s="17" t="str" cm="1">
        <f t="array" ref="E131">IF(C131=0,"",
HYPERLINK(
"#'2026 Orders'!C"&amp;
MATCH(1,
('2026 Orders'!C:C=C131)*
('2026 Orders'!G:G=G131)*
('2026 Orders'!N:N=N131),
0),
"Open "&amp;C131
))</f>
        <v>Open A4572</v>
      </c>
      <c r="F131" s="14" t="s">
        <v>639</v>
      </c>
      <c r="G131" s="14" t="str">
        <f>'2026 Orders'!G130</f>
        <v>POLYSIT-90-RE</v>
      </c>
      <c r="H131" s="14" t="str">
        <f>'2026 Orders'!H130</f>
        <v>POLYSIT-90</v>
      </c>
      <c r="I131" s="15" t="str">
        <f>'2026 Orders'!I130</f>
        <v>RE</v>
      </c>
      <c r="J131" s="14">
        <f>'2026 Orders'!J130</f>
        <v>490</v>
      </c>
      <c r="K131" t="s">
        <v>640</v>
      </c>
      <c r="L131">
        <v>0</v>
      </c>
      <c r="M131">
        <v>0</v>
      </c>
      <c r="N131" s="10" t="str">
        <f>'2026 Orders'!N130</f>
        <v>In Production</v>
      </c>
      <c r="O131" t="s">
        <v>1144</v>
      </c>
      <c r="P131" t="s">
        <v>1085</v>
      </c>
      <c r="Q131" t="s">
        <v>692</v>
      </c>
      <c r="R131">
        <v>5000</v>
      </c>
      <c r="S131">
        <v>0</v>
      </c>
      <c r="T131" t="s">
        <v>1108</v>
      </c>
      <c r="U131" t="s">
        <v>1140</v>
      </c>
      <c r="V131">
        <v>0</v>
      </c>
      <c r="W131">
        <v>0</v>
      </c>
      <c r="X131">
        <v>0</v>
      </c>
      <c r="Y131">
        <v>0</v>
      </c>
      <c r="Z131" t="s">
        <v>1086</v>
      </c>
      <c r="AC131" t="str">
        <f t="shared" ref="AC131:AC194" si="4">IF(OR(B131="",B131=0),"",J131&amp;"/"&amp;$AJ$2)</f>
        <v>490/</v>
      </c>
      <c r="AD131" t="e">
        <f t="shared" ref="AD131:AD194" si="5">IF(OR(J131="",J131=0),"",I131&amp;" -&gt; "&amp;$AK$2)</f>
        <v>#VALUE!</v>
      </c>
    </row>
    <row r="132" spans="1:30" ht="33" hidden="1" customHeight="1" x14ac:dyDescent="0.3">
      <c r="A132">
        <v>0</v>
      </c>
      <c r="B132" s="14" t="str">
        <f>'2026 Orders'!B131</f>
        <v>UAE</v>
      </c>
      <c r="C132" s="14" t="str">
        <f>'2026 Orders'!C131</f>
        <v>A4572</v>
      </c>
      <c r="D132" s="14">
        <v>0</v>
      </c>
      <c r="E132" s="17" t="str" cm="1">
        <f t="array" ref="E132">IF(C132=0,"",
HYPERLINK(
"#'2026 Orders'!C"&amp;
MATCH(1,
('2026 Orders'!C:C=C132)*
('2026 Orders'!G:G=G132)*
('2026 Orders'!N:N=N132),
0),
"Open "&amp;C132
))</f>
        <v>Open A4572</v>
      </c>
      <c r="F132" s="14" t="s">
        <v>641</v>
      </c>
      <c r="G132" s="14" t="str">
        <f>'2026 Orders'!G131</f>
        <v>ROYALPL-30-FD</v>
      </c>
      <c r="H132" s="14" t="str">
        <f>'2026 Orders'!H131</f>
        <v>ROYALPL-30</v>
      </c>
      <c r="I132" s="15" t="str">
        <f>'2026 Orders'!I131</f>
        <v>FD</v>
      </c>
      <c r="J132" s="14">
        <f>'2026 Orders'!J131</f>
        <v>1485</v>
      </c>
      <c r="K132" t="s">
        <v>642</v>
      </c>
      <c r="L132">
        <v>0</v>
      </c>
      <c r="M132">
        <v>1485</v>
      </c>
      <c r="N132" s="10" t="str">
        <f>'2026 Orders'!N131</f>
        <v>Production Complete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C132" t="str">
        <f t="shared" si="4"/>
        <v>1485/</v>
      </c>
      <c r="AD132" t="e">
        <f t="shared" si="5"/>
        <v>#VALUE!</v>
      </c>
    </row>
    <row r="133" spans="1:30" ht="33" hidden="1" customHeight="1" x14ac:dyDescent="0.3">
      <c r="A133">
        <v>46003</v>
      </c>
      <c r="B133" s="14" t="str">
        <f>'2026 Orders'!B132</f>
        <v>UAE</v>
      </c>
      <c r="C133" s="14" t="str">
        <f>'2026 Orders'!C132</f>
        <v>A4572</v>
      </c>
      <c r="D133" s="14">
        <v>0</v>
      </c>
      <c r="E133" s="17" t="str" cm="1">
        <f t="array" ref="E133">IF(C133=0,"",
HYPERLINK(
"#'2026 Orders'!C"&amp;
MATCH(1,
('2026 Orders'!C:C=C133)*
('2026 Orders'!G:G=G133)*
('2026 Orders'!N:N=N133),
0),
"Open "&amp;C133
))</f>
        <v>Open A4572</v>
      </c>
      <c r="F133" s="14" t="s">
        <v>644</v>
      </c>
      <c r="G133" s="14" t="str">
        <f>'2026 Orders'!G132</f>
        <v>OMEGA3-60-CS-UA</v>
      </c>
      <c r="H133" s="14" t="str">
        <f>'2026 Orders'!H132</f>
        <v>OMEGA3-60</v>
      </c>
      <c r="I133" s="15" t="str">
        <f>'2026 Orders'!I132</f>
        <v>UA</v>
      </c>
      <c r="J133" s="14">
        <f>'2026 Orders'!J132</f>
        <v>1500</v>
      </c>
      <c r="K133" t="s">
        <v>645</v>
      </c>
      <c r="L133">
        <v>0</v>
      </c>
      <c r="M133">
        <v>1500</v>
      </c>
      <c r="N133" s="10" t="str">
        <f>'2026 Orders'!N132</f>
        <v>In Production</v>
      </c>
      <c r="O133" t="s">
        <v>1145</v>
      </c>
      <c r="P133" t="s">
        <v>1077</v>
      </c>
      <c r="Q133" t="s">
        <v>1146</v>
      </c>
      <c r="R133">
        <v>80000</v>
      </c>
      <c r="S133">
        <v>4958</v>
      </c>
      <c r="T133">
        <v>46230</v>
      </c>
      <c r="U133" t="s">
        <v>1092</v>
      </c>
      <c r="V133">
        <v>0</v>
      </c>
      <c r="W133">
        <v>0</v>
      </c>
      <c r="X133">
        <v>0</v>
      </c>
      <c r="Y133">
        <v>0</v>
      </c>
      <c r="Z133" t="s">
        <v>1086</v>
      </c>
      <c r="AC133" t="str">
        <f t="shared" si="4"/>
        <v>1500/</v>
      </c>
      <c r="AD133" t="e">
        <f t="shared" si="5"/>
        <v>#VALUE!</v>
      </c>
    </row>
    <row r="134" spans="1:30" ht="33" hidden="1" customHeight="1" x14ac:dyDescent="0.3">
      <c r="A134">
        <v>46003</v>
      </c>
      <c r="B134" s="14" t="str">
        <f>'2026 Orders'!B133</f>
        <v>UAE</v>
      </c>
      <c r="C134" s="14" t="str">
        <f>'2026 Orders'!C133</f>
        <v>A4572</v>
      </c>
      <c r="D134" s="14">
        <v>0</v>
      </c>
      <c r="E134" s="17" t="str" cm="1">
        <f t="array" ref="E134">IF(C134=0,"",
HYPERLINK(
"#'2026 Orders'!C"&amp;
MATCH(1,
('2026 Orders'!C:C=C134)*
('2026 Orders'!G:G=G134)*
('2026 Orders'!N:N=N134),
0),
"Open "&amp;C134
))</f>
        <v>Open A4572</v>
      </c>
      <c r="F134" s="14" t="s">
        <v>646</v>
      </c>
      <c r="G134" s="14" t="str">
        <f>'2026 Orders'!G133</f>
        <v>LIPODIS-60-FD</v>
      </c>
      <c r="H134" s="14" t="str">
        <f>'2026 Orders'!H133</f>
        <v>LIPODIS-60</v>
      </c>
      <c r="I134" s="15" t="str">
        <f>'2026 Orders'!I133</f>
        <v>FD</v>
      </c>
      <c r="J134" s="14">
        <f>'2026 Orders'!J133</f>
        <v>1207</v>
      </c>
      <c r="K134" t="s">
        <v>647</v>
      </c>
      <c r="L134">
        <v>0</v>
      </c>
      <c r="M134">
        <v>1207</v>
      </c>
      <c r="N134" s="10" t="str">
        <f>'2026 Orders'!N133</f>
        <v>Available</v>
      </c>
      <c r="O134" t="s">
        <v>1134</v>
      </c>
      <c r="P134" t="s">
        <v>1077</v>
      </c>
      <c r="Q134" t="s">
        <v>1147</v>
      </c>
      <c r="R134">
        <v>50000</v>
      </c>
      <c r="S134">
        <v>4959</v>
      </c>
      <c r="T134">
        <v>46230</v>
      </c>
      <c r="U134" t="s">
        <v>1092</v>
      </c>
      <c r="V134">
        <v>0</v>
      </c>
      <c r="W134">
        <v>0</v>
      </c>
      <c r="X134">
        <v>0</v>
      </c>
      <c r="Y134">
        <v>0</v>
      </c>
      <c r="Z134">
        <v>0</v>
      </c>
      <c r="AC134" t="str">
        <f t="shared" si="4"/>
        <v>1207/</v>
      </c>
      <c r="AD134" t="e">
        <f t="shared" si="5"/>
        <v>#VALUE!</v>
      </c>
    </row>
    <row r="135" spans="1:30" ht="33" hidden="1" customHeight="1" x14ac:dyDescent="0.3">
      <c r="A135">
        <v>0</v>
      </c>
      <c r="B135" s="14">
        <f>'2026 Orders'!B134</f>
        <v>0</v>
      </c>
      <c r="C135" s="14">
        <f>'2026 Orders'!C134</f>
        <v>0</v>
      </c>
      <c r="D135" s="14">
        <v>0</v>
      </c>
      <c r="E135" s="17" t="str" cm="1">
        <f t="array" ref="E135">IF(C135=0,"",
HYPERLINK(
"#'2026 Orders'!C"&amp;
MATCH(1,
('2026 Orders'!C:C=C135)*
('2026 Orders'!G:G=G135)*
('2026 Orders'!N:N=N135),
0),
"Open "&amp;C135
))</f>
        <v/>
      </c>
      <c r="F135" s="14">
        <v>0</v>
      </c>
      <c r="G135" s="14">
        <f>'2026 Orders'!G134</f>
        <v>0</v>
      </c>
      <c r="H135" s="14">
        <f>'2026 Orders'!H134</f>
        <v>0</v>
      </c>
      <c r="I135" s="15" t="str">
        <f>'2026 Orders'!I134</f>
        <v/>
      </c>
      <c r="J135" s="14">
        <f>'2026 Orders'!J134</f>
        <v>0</v>
      </c>
      <c r="K135">
        <v>0</v>
      </c>
      <c r="L135">
        <v>0</v>
      </c>
      <c r="M135">
        <v>0</v>
      </c>
      <c r="N135" s="10">
        <f>'2026 Orders'!N134</f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C135" t="str">
        <f t="shared" si="4"/>
        <v/>
      </c>
      <c r="AD135" t="str">
        <f t="shared" si="5"/>
        <v/>
      </c>
    </row>
    <row r="136" spans="1:30" ht="33" hidden="1" customHeight="1" x14ac:dyDescent="0.3">
      <c r="A136">
        <v>46003</v>
      </c>
      <c r="B136" s="14" t="str">
        <f>'2026 Orders'!B135</f>
        <v>Uganda</v>
      </c>
      <c r="C136" s="14" t="str">
        <f>'2026 Orders'!C135</f>
        <v>A4574</v>
      </c>
      <c r="D136" s="14" t="s">
        <v>649</v>
      </c>
      <c r="E136" s="17" t="str" cm="1">
        <f t="array" ref="E136">IF(C136=0,"",
HYPERLINK(
"#'2026 Orders'!C"&amp;
MATCH(1,
('2026 Orders'!C:C=C136)*
('2026 Orders'!G:G=G136)*
('2026 Orders'!N:N=N136),
0),
"Open "&amp;C136
))</f>
        <v>Open A4574</v>
      </c>
      <c r="F136" s="14" t="s">
        <v>651</v>
      </c>
      <c r="G136" s="14" t="str">
        <f>'2026 Orders'!G135</f>
        <v>MFSPLS-120-FD</v>
      </c>
      <c r="H136" s="14" t="str">
        <f>'2026 Orders'!H135</f>
        <v>MFSPLS-120</v>
      </c>
      <c r="I136" s="15" t="str">
        <f>'2026 Orders'!I135</f>
        <v>FD</v>
      </c>
      <c r="J136" s="14">
        <f>'2026 Orders'!J135</f>
        <v>240</v>
      </c>
      <c r="K136" t="s">
        <v>462</v>
      </c>
      <c r="L136">
        <v>240</v>
      </c>
      <c r="M136">
        <v>0</v>
      </c>
      <c r="N136" s="10" t="str">
        <f>'2026 Orders'!N135</f>
        <v>In Production</v>
      </c>
      <c r="O136" t="s">
        <v>1145</v>
      </c>
      <c r="P136" t="s">
        <v>1077</v>
      </c>
      <c r="Q136" t="s">
        <v>1146</v>
      </c>
      <c r="R136">
        <v>80000</v>
      </c>
      <c r="S136">
        <v>4958</v>
      </c>
      <c r="T136">
        <v>46230</v>
      </c>
      <c r="U136" t="s">
        <v>1092</v>
      </c>
      <c r="V136">
        <v>0</v>
      </c>
      <c r="W136">
        <v>0</v>
      </c>
      <c r="X136">
        <v>0</v>
      </c>
      <c r="Y136">
        <v>0</v>
      </c>
      <c r="Z136" t="s">
        <v>1086</v>
      </c>
      <c r="AC136" t="str">
        <f t="shared" si="4"/>
        <v>240/</v>
      </c>
      <c r="AD136" t="e">
        <f t="shared" si="5"/>
        <v>#VALUE!</v>
      </c>
    </row>
    <row r="137" spans="1:30" ht="33" hidden="1" customHeight="1" x14ac:dyDescent="0.3">
      <c r="A137">
        <v>46003</v>
      </c>
      <c r="B137" s="14" t="str">
        <f>'2026 Orders'!B136</f>
        <v>Uganda</v>
      </c>
      <c r="C137" s="14" t="str">
        <f>'2026 Orders'!C136</f>
        <v>A4574</v>
      </c>
      <c r="D137" s="14">
        <v>0</v>
      </c>
      <c r="E137" s="17" t="str" cm="1">
        <f t="array" ref="E137">IF(C137=0,"",
HYPERLINK(
"#'2026 Orders'!C"&amp;
MATCH(1,
('2026 Orders'!C:C=C137)*
('2026 Orders'!G:G=G137)*
('2026 Orders'!N:N=N137),
0),
"Open "&amp;C137
))</f>
        <v>Open A4574</v>
      </c>
      <c r="F137" s="14" t="s">
        <v>652</v>
      </c>
      <c r="G137" s="14" t="str">
        <f>'2026 Orders'!G136</f>
        <v>FERTMX-90-RE</v>
      </c>
      <c r="H137" s="14" t="str">
        <f>'2026 Orders'!H136</f>
        <v>FERTMX-90</v>
      </c>
      <c r="I137" s="15" t="str">
        <f>'2026 Orders'!I136</f>
        <v>RE</v>
      </c>
      <c r="J137" s="14">
        <f>'2026 Orders'!J136</f>
        <v>8</v>
      </c>
      <c r="K137" t="s">
        <v>441</v>
      </c>
      <c r="L137">
        <v>8</v>
      </c>
      <c r="M137">
        <v>0</v>
      </c>
      <c r="N137" s="10" t="str">
        <f>'2026 Orders'!N136</f>
        <v>PO submitted</v>
      </c>
      <c r="O137" t="s">
        <v>1148</v>
      </c>
      <c r="P137" t="s">
        <v>1077</v>
      </c>
      <c r="Q137" t="s">
        <v>1147</v>
      </c>
      <c r="R137">
        <v>50000</v>
      </c>
      <c r="S137">
        <v>4959</v>
      </c>
      <c r="T137">
        <v>46230</v>
      </c>
      <c r="U137" t="s">
        <v>1092</v>
      </c>
      <c r="V137">
        <v>0</v>
      </c>
      <c r="W137">
        <v>0</v>
      </c>
      <c r="X137">
        <v>0</v>
      </c>
      <c r="Y137">
        <v>0</v>
      </c>
      <c r="Z137">
        <v>0</v>
      </c>
      <c r="AC137" t="str">
        <f t="shared" si="4"/>
        <v>8/</v>
      </c>
      <c r="AD137" t="e">
        <f t="shared" si="5"/>
        <v>#VALUE!</v>
      </c>
    </row>
    <row r="138" spans="1:30" ht="33" hidden="1" customHeight="1" x14ac:dyDescent="0.3">
      <c r="A138">
        <v>0</v>
      </c>
      <c r="B138" s="14" t="str">
        <f>'2026 Orders'!B137</f>
        <v>Uganda</v>
      </c>
      <c r="C138" s="14" t="str">
        <f>'2026 Orders'!C137</f>
        <v>A4574</v>
      </c>
      <c r="D138" s="14">
        <v>0</v>
      </c>
      <c r="E138" s="17" t="str" cm="1">
        <f t="array" ref="E138">IF(C138=0,"",
HYPERLINK(
"#'2026 Orders'!C"&amp;
MATCH(1,
('2026 Orders'!C:C=C138)*
('2026 Orders'!G:G=G138)*
('2026 Orders'!N:N=N138),
0),
"Open "&amp;C138
))</f>
        <v>Open A4574</v>
      </c>
      <c r="F138" s="14" t="s">
        <v>653</v>
      </c>
      <c r="G138" s="14" t="str">
        <f>'2026 Orders'!G137</f>
        <v>FERTMX-90-RE</v>
      </c>
      <c r="H138" s="14" t="str">
        <f>'2026 Orders'!H137</f>
        <v>FERTMX-90</v>
      </c>
      <c r="I138" s="15" t="str">
        <f>'2026 Orders'!I137</f>
        <v>RE</v>
      </c>
      <c r="J138" s="14">
        <f>'2026 Orders'!J137</f>
        <v>192</v>
      </c>
      <c r="K138" t="s">
        <v>441</v>
      </c>
      <c r="L138">
        <v>192</v>
      </c>
      <c r="M138">
        <v>0</v>
      </c>
      <c r="N138" s="10" t="str">
        <f>'2026 Orders'!N137</f>
        <v>PO submitted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C138" t="str">
        <f t="shared" si="4"/>
        <v>192/</v>
      </c>
      <c r="AD138" t="e">
        <f t="shared" si="5"/>
        <v>#VALUE!</v>
      </c>
    </row>
    <row r="139" spans="1:30" ht="33" hidden="1" customHeight="1" x14ac:dyDescent="0.3">
      <c r="A139">
        <v>46009</v>
      </c>
      <c r="B139" s="14" t="str">
        <f>'2026 Orders'!B138</f>
        <v>Uganda</v>
      </c>
      <c r="C139" s="14" t="str">
        <f>'2026 Orders'!C138</f>
        <v>A4574</v>
      </c>
      <c r="D139" s="14">
        <v>0</v>
      </c>
      <c r="E139" s="17" t="str" cm="1">
        <f t="array" ref="E139">IF(C139=0,"",
HYPERLINK(
"#'2026 Orders'!C"&amp;
MATCH(1,
('2026 Orders'!C:C=C139)*
('2026 Orders'!G:G=G139)*
('2026 Orders'!N:N=N139),
0),
"Open "&amp;C139
))</f>
        <v>Open A4574</v>
      </c>
      <c r="F139" s="14" t="s">
        <v>452</v>
      </c>
      <c r="G139" s="14" t="str">
        <f>'2026 Orders'!G138</f>
        <v>DHEA50-60-FD</v>
      </c>
      <c r="H139" s="14" t="str">
        <f>'2026 Orders'!H138</f>
        <v>DHEA50-60</v>
      </c>
      <c r="I139" s="15" t="str">
        <f>'2026 Orders'!I138</f>
        <v>FD</v>
      </c>
      <c r="J139" s="14">
        <f>'2026 Orders'!J138</f>
        <v>30</v>
      </c>
      <c r="K139" t="s">
        <v>453</v>
      </c>
      <c r="L139">
        <v>0</v>
      </c>
      <c r="M139">
        <v>30</v>
      </c>
      <c r="N139" s="10" t="str">
        <f>'2026 Orders'!N138</f>
        <v>In Production</v>
      </c>
      <c r="O139">
        <v>0</v>
      </c>
      <c r="P139" t="s">
        <v>1077</v>
      </c>
      <c r="Q139">
        <v>604776738657</v>
      </c>
      <c r="R139">
        <v>2000</v>
      </c>
      <c r="S139">
        <v>4998</v>
      </c>
      <c r="T139">
        <v>46232</v>
      </c>
      <c r="U139" t="s">
        <v>1126</v>
      </c>
      <c r="V139">
        <v>0</v>
      </c>
      <c r="W139">
        <v>0</v>
      </c>
      <c r="X139">
        <v>0</v>
      </c>
      <c r="Y139">
        <v>0</v>
      </c>
      <c r="Z139" t="s">
        <v>1086</v>
      </c>
      <c r="AC139" t="str">
        <f t="shared" si="4"/>
        <v>30/</v>
      </c>
      <c r="AD139" t="e">
        <f t="shared" si="5"/>
        <v>#VALUE!</v>
      </c>
    </row>
    <row r="140" spans="1:30" ht="33" hidden="1" customHeight="1" x14ac:dyDescent="0.3">
      <c r="A140">
        <v>0</v>
      </c>
      <c r="B140" s="14" t="str">
        <f>'2026 Orders'!B139</f>
        <v>Uganda</v>
      </c>
      <c r="C140" s="14" t="str">
        <f>'2026 Orders'!C139</f>
        <v>A4574</v>
      </c>
      <c r="D140" s="14">
        <v>0</v>
      </c>
      <c r="E140" s="17" t="str" cm="1">
        <f t="array" ref="E140">IF(C140=0,"",
HYPERLINK(
"#'2026 Orders'!C"&amp;
MATCH(1,
('2026 Orders'!C:C=C140)*
('2026 Orders'!G:G=G140)*
('2026 Orders'!N:N=N140),
0),
"Open "&amp;C140
))</f>
        <v>Open A4574</v>
      </c>
      <c r="F140" s="14" t="s">
        <v>654</v>
      </c>
      <c r="G140" s="14" t="str">
        <f>'2026 Orders'!G139</f>
        <v>OVAMAX-120-FD</v>
      </c>
      <c r="H140" s="14" t="str">
        <f>'2026 Orders'!H139</f>
        <v>OVAMAX-120</v>
      </c>
      <c r="I140" s="15" t="str">
        <f>'2026 Orders'!I139</f>
        <v>FD</v>
      </c>
      <c r="J140" s="14">
        <f>'2026 Orders'!J139</f>
        <v>200</v>
      </c>
      <c r="K140" t="s">
        <v>447</v>
      </c>
      <c r="L140">
        <v>0</v>
      </c>
      <c r="M140">
        <v>200</v>
      </c>
      <c r="N140" s="10" t="str">
        <f>'2026 Orders'!N139</f>
        <v>In Production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C140" t="str">
        <f t="shared" si="4"/>
        <v>200/</v>
      </c>
      <c r="AD140" t="e">
        <f t="shared" si="5"/>
        <v>#VALUE!</v>
      </c>
    </row>
    <row r="141" spans="1:30" ht="33" hidden="1" customHeight="1" x14ac:dyDescent="0.3">
      <c r="A141">
        <v>46028</v>
      </c>
      <c r="B141" s="14" t="str">
        <f>'2026 Orders'!B140</f>
        <v>Uganda</v>
      </c>
      <c r="C141" s="14" t="str">
        <f>'2026 Orders'!C140</f>
        <v>A4574</v>
      </c>
      <c r="D141" s="14">
        <v>0</v>
      </c>
      <c r="E141" s="17" t="str" cm="1">
        <f t="array" ref="E141">IF(C141=0,"",
HYPERLINK(
"#'2026 Orders'!C"&amp;
MATCH(1,
('2026 Orders'!C:C=C141)*
('2026 Orders'!G:G=G141)*
('2026 Orders'!N:N=N141),
0),
"Open "&amp;C141
))</f>
        <v>Open A4574</v>
      </c>
      <c r="F141" s="14">
        <v>0</v>
      </c>
      <c r="G141" s="14" t="str">
        <f>'2026 Orders'!G140</f>
        <v>WFSPLS-180-FD</v>
      </c>
      <c r="H141" s="14" t="str">
        <f>'2026 Orders'!H140</f>
        <v>WFSPLS-180</v>
      </c>
      <c r="I141" s="15" t="str">
        <f>'2026 Orders'!I140</f>
        <v>FD</v>
      </c>
      <c r="J141" s="14">
        <f>'2026 Orders'!J140</f>
        <v>30</v>
      </c>
      <c r="K141" t="s">
        <v>438</v>
      </c>
      <c r="L141">
        <v>30</v>
      </c>
      <c r="M141">
        <v>0</v>
      </c>
      <c r="N141" s="10" t="str">
        <f>'2026 Orders'!N140</f>
        <v>Picked</v>
      </c>
      <c r="O141">
        <v>0</v>
      </c>
      <c r="P141" t="s">
        <v>1085</v>
      </c>
      <c r="Q141">
        <v>604776739203</v>
      </c>
      <c r="R141">
        <v>5000</v>
      </c>
      <c r="S141">
        <v>5034</v>
      </c>
      <c r="T141" t="s">
        <v>1108</v>
      </c>
      <c r="U141" t="s">
        <v>1149</v>
      </c>
      <c r="V141">
        <v>0</v>
      </c>
      <c r="W141">
        <v>0</v>
      </c>
      <c r="X141">
        <v>0</v>
      </c>
      <c r="Y141">
        <v>0</v>
      </c>
      <c r="Z141" t="s">
        <v>1086</v>
      </c>
      <c r="AC141" t="str">
        <f t="shared" si="4"/>
        <v>30/</v>
      </c>
      <c r="AD141" t="e">
        <f t="shared" si="5"/>
        <v>#VALUE!</v>
      </c>
    </row>
    <row r="142" spans="1:30" ht="33" hidden="1" customHeight="1" x14ac:dyDescent="0.3">
      <c r="A142">
        <v>46134</v>
      </c>
      <c r="B142" s="14" t="str">
        <f>'2026 Orders'!B141</f>
        <v>Uganda</v>
      </c>
      <c r="C142" s="14" t="str">
        <f>'2026 Orders'!C141</f>
        <v>A4574</v>
      </c>
      <c r="D142" s="14">
        <v>0</v>
      </c>
      <c r="E142" s="17" t="str" cm="1">
        <f t="array" ref="E142">IF(C142=0,"",
HYPERLINK(
"#'2026 Orders'!C"&amp;
MATCH(1,
('2026 Orders'!C:C=C142)*
('2026 Orders'!G:G=G142)*
('2026 Orders'!N:N=N142),
0),
"Open "&amp;C142
))</f>
        <v>Open A4574</v>
      </c>
      <c r="F142" s="14">
        <v>0</v>
      </c>
      <c r="G142" s="14" t="str">
        <f>'2026 Orders'!G141</f>
        <v>QWELL4-30-SG-FD</v>
      </c>
      <c r="H142" s="14" t="str">
        <f>'2026 Orders'!H141</f>
        <v>QWELL4-30</v>
      </c>
      <c r="I142" s="15" t="str">
        <f>'2026 Orders'!I141</f>
        <v>FD</v>
      </c>
      <c r="J142" s="14">
        <f>'2026 Orders'!J141</f>
        <v>60</v>
      </c>
      <c r="K142" t="s">
        <v>444</v>
      </c>
      <c r="L142">
        <v>60</v>
      </c>
      <c r="M142">
        <v>0</v>
      </c>
      <c r="N142" s="10" t="str">
        <f>'2026 Orders'!N141</f>
        <v>Picked</v>
      </c>
      <c r="O142">
        <v>0</v>
      </c>
      <c r="P142" t="s">
        <v>1077</v>
      </c>
      <c r="Q142">
        <v>609788968931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C142" t="str">
        <f t="shared" si="4"/>
        <v>60/</v>
      </c>
      <c r="AD142" t="e">
        <f t="shared" si="5"/>
        <v>#VALUE!</v>
      </c>
    </row>
    <row r="143" spans="1:30" ht="33" hidden="1" customHeight="1" x14ac:dyDescent="0.3">
      <c r="A143">
        <v>0</v>
      </c>
      <c r="B143" s="14" t="str">
        <f>'2026 Orders'!B142</f>
        <v>Uganda</v>
      </c>
      <c r="C143" s="14" t="str">
        <f>'2026 Orders'!C142</f>
        <v>A4574</v>
      </c>
      <c r="D143" s="14">
        <v>0</v>
      </c>
      <c r="E143" s="17" t="str" cm="1">
        <f t="array" ref="E143">IF(C143=0,"",
HYPERLINK(
"#'2026 Orders'!C"&amp;
MATCH(1,
('2026 Orders'!C:C=C143)*
('2026 Orders'!G:G=G143)*
('2026 Orders'!N:N=N143),
0),
"Open "&amp;C143
))</f>
        <v>Open A4574</v>
      </c>
      <c r="F143" s="14">
        <v>0</v>
      </c>
      <c r="G143" s="14" t="str">
        <f>'2026 Orders'!G142</f>
        <v>PRECON-180-FD</v>
      </c>
      <c r="H143" s="14" t="str">
        <f>'2026 Orders'!H142</f>
        <v>PRECON-180</v>
      </c>
      <c r="I143" s="15" t="str">
        <f>'2026 Orders'!I142</f>
        <v>FD</v>
      </c>
      <c r="J143" s="14">
        <f>'2026 Orders'!J142</f>
        <v>50</v>
      </c>
      <c r="K143" t="s">
        <v>455</v>
      </c>
      <c r="L143">
        <v>50</v>
      </c>
      <c r="M143">
        <v>0</v>
      </c>
      <c r="N143" s="10" t="str">
        <f>'2026 Orders'!N142</f>
        <v>Picked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C143" t="str">
        <f t="shared" si="4"/>
        <v>50/</v>
      </c>
      <c r="AD143" t="e">
        <f t="shared" si="5"/>
        <v>#VALUE!</v>
      </c>
    </row>
    <row r="144" spans="1:30" ht="33" hidden="1" customHeight="1" x14ac:dyDescent="0.3">
      <c r="A144">
        <v>46029</v>
      </c>
      <c r="B144" s="14" t="str">
        <f>'2026 Orders'!B143</f>
        <v>Uganda</v>
      </c>
      <c r="C144" s="14" t="str">
        <f>'2026 Orders'!C143</f>
        <v>A4574</v>
      </c>
      <c r="D144" s="14">
        <v>0</v>
      </c>
      <c r="E144" s="17" t="str" cm="1">
        <f t="array" ref="E144">IF(C144=0,"",
HYPERLINK(
"#'2026 Orders'!C"&amp;
MATCH(1,
('2026 Orders'!C:C=C144)*
('2026 Orders'!G:G=G144)*
('2026 Orders'!N:N=N144),
0),
"Open "&amp;C144
))</f>
        <v>Open A4574</v>
      </c>
      <c r="F144" s="14">
        <v>0</v>
      </c>
      <c r="G144" s="14" t="str">
        <f>'2026 Orders'!G143</f>
        <v>PENAMAX-60-GE-FD</v>
      </c>
      <c r="H144" s="14" t="str">
        <f>'2026 Orders'!H143</f>
        <v>PENAMAX-60</v>
      </c>
      <c r="I144" s="15" t="str">
        <f>'2026 Orders'!I143</f>
        <v>FD</v>
      </c>
      <c r="J144" s="14">
        <f>'2026 Orders'!J143</f>
        <v>100</v>
      </c>
      <c r="K144" t="s">
        <v>451</v>
      </c>
      <c r="L144">
        <v>100</v>
      </c>
      <c r="M144">
        <v>0</v>
      </c>
      <c r="N144" s="10" t="str">
        <f>'2026 Orders'!N143</f>
        <v>Picked</v>
      </c>
      <c r="O144">
        <v>46147</v>
      </c>
      <c r="P144" t="s">
        <v>1077</v>
      </c>
      <c r="Q144">
        <v>604776740179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 t="s">
        <v>1083</v>
      </c>
      <c r="AC144" t="str">
        <f t="shared" si="4"/>
        <v>100/</v>
      </c>
      <c r="AD144" t="e">
        <f t="shared" si="5"/>
        <v>#VALUE!</v>
      </c>
    </row>
    <row r="145" spans="1:30" ht="33" hidden="1" customHeight="1" x14ac:dyDescent="0.3">
      <c r="A145">
        <v>0</v>
      </c>
      <c r="B145" s="14">
        <f>'2026 Orders'!B144</f>
        <v>0</v>
      </c>
      <c r="C145" s="14">
        <f>'2026 Orders'!C144</f>
        <v>0</v>
      </c>
      <c r="D145" s="14">
        <v>0</v>
      </c>
      <c r="E145" s="17" t="str" cm="1">
        <f t="array" ref="E145">IF(C145=0,"",
HYPERLINK(
"#'2026 Orders'!C"&amp;
MATCH(1,
('2026 Orders'!C:C=C145)*
('2026 Orders'!G:G=G145)*
('2026 Orders'!N:N=N145),
0),
"Open "&amp;C145
))</f>
        <v/>
      </c>
      <c r="F145" s="14">
        <v>0</v>
      </c>
      <c r="G145" s="14">
        <f>'2026 Orders'!G144</f>
        <v>0</v>
      </c>
      <c r="H145" s="14">
        <f>'2026 Orders'!H144</f>
        <v>0</v>
      </c>
      <c r="I145" s="15" t="str">
        <f>'2026 Orders'!I144</f>
        <v/>
      </c>
      <c r="J145" s="14">
        <f>'2026 Orders'!J144</f>
        <v>0</v>
      </c>
      <c r="K145">
        <v>0</v>
      </c>
      <c r="L145">
        <v>0</v>
      </c>
      <c r="M145">
        <v>0</v>
      </c>
      <c r="N145" s="10">
        <f>'2026 Orders'!N144</f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C145" t="str">
        <f t="shared" si="4"/>
        <v/>
      </c>
      <c r="AD145" t="str">
        <f t="shared" si="5"/>
        <v/>
      </c>
    </row>
    <row r="146" spans="1:30" ht="33" hidden="1" customHeight="1" x14ac:dyDescent="0.3">
      <c r="A146">
        <v>46028</v>
      </c>
      <c r="B146" s="14" t="str">
        <f>'2026 Orders'!B145</f>
        <v>Ethiopia</v>
      </c>
      <c r="C146" s="14" t="str">
        <f>'2026 Orders'!C145</f>
        <v>A4575</v>
      </c>
      <c r="D146" s="14">
        <v>0</v>
      </c>
      <c r="E146" s="17" t="str" cm="1">
        <f t="array" ref="E146">IF(C146=0,"",
HYPERLINK(
"#'2026 Orders'!C"&amp;
MATCH(1,
('2026 Orders'!C:C=C146)*
('2026 Orders'!G:G=G146)*
('2026 Orders'!N:N=N146),
0),
"Open "&amp;C146
))</f>
        <v>Open A4575</v>
      </c>
      <c r="F146" s="14" t="s">
        <v>657</v>
      </c>
      <c r="G146" s="14" t="str">
        <f>'2026 Orders'!G145</f>
        <v>FERTMX-90-RE</v>
      </c>
      <c r="H146" s="14" t="str">
        <f>'2026 Orders'!H145</f>
        <v>FERTMX-90</v>
      </c>
      <c r="I146" s="15" t="str">
        <f>'2026 Orders'!I145</f>
        <v>RE</v>
      </c>
      <c r="J146" s="14">
        <f>'2026 Orders'!J145</f>
        <v>288</v>
      </c>
      <c r="K146" t="s">
        <v>441</v>
      </c>
      <c r="L146">
        <v>288</v>
      </c>
      <c r="M146">
        <v>0</v>
      </c>
      <c r="N146" s="10" t="str">
        <f>'2026 Orders'!N145</f>
        <v>PO submitted</v>
      </c>
      <c r="O146" t="s">
        <v>1144</v>
      </c>
      <c r="P146" t="s">
        <v>1085</v>
      </c>
      <c r="Q146" t="s">
        <v>692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 t="s">
        <v>1083</v>
      </c>
      <c r="AC146" t="str">
        <f t="shared" si="4"/>
        <v>288/</v>
      </c>
      <c r="AD146" t="e">
        <f t="shared" si="5"/>
        <v>#VALUE!</v>
      </c>
    </row>
    <row r="147" spans="1:30" ht="33" hidden="1" customHeight="1" x14ac:dyDescent="0.3">
      <c r="A147">
        <v>0</v>
      </c>
      <c r="B147" s="14" t="str">
        <f>'2026 Orders'!B146</f>
        <v>Ethiopia</v>
      </c>
      <c r="C147" s="14" t="str">
        <f>'2026 Orders'!C146</f>
        <v>A4575</v>
      </c>
      <c r="D147" s="14">
        <v>0</v>
      </c>
      <c r="E147" s="17" t="str" cm="1">
        <f t="array" ref="E147">IF(C147=0,"",
HYPERLINK(
"#'2026 Orders'!C"&amp;
MATCH(1,
('2026 Orders'!C:C=C147)*
('2026 Orders'!G:G=G147)*
('2026 Orders'!N:N=N147),
0),
"Open "&amp;C147
))</f>
        <v>Open A4575</v>
      </c>
      <c r="F147" s="14" t="s">
        <v>658</v>
      </c>
      <c r="G147" s="14" t="str">
        <f>'2026 Orders'!G146</f>
        <v>MFSPLS-120-FD</v>
      </c>
      <c r="H147" s="14" t="str">
        <f>'2026 Orders'!H146</f>
        <v>MFSPLS-120</v>
      </c>
      <c r="I147" s="15" t="str">
        <f>'2026 Orders'!I146</f>
        <v>FD</v>
      </c>
      <c r="J147" s="14">
        <f>'2026 Orders'!J146</f>
        <v>1008</v>
      </c>
      <c r="K147" t="s">
        <v>462</v>
      </c>
      <c r="L147">
        <v>1008</v>
      </c>
      <c r="M147">
        <v>0</v>
      </c>
      <c r="N147" s="10" t="str">
        <f>'2026 Orders'!N146</f>
        <v>PO submitted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C147" t="str">
        <f t="shared" si="4"/>
        <v>1008/</v>
      </c>
      <c r="AD147" t="e">
        <f t="shared" si="5"/>
        <v>#VALUE!</v>
      </c>
    </row>
    <row r="148" spans="1:30" ht="33" hidden="1" customHeight="1" x14ac:dyDescent="0.3">
      <c r="A148">
        <v>46037</v>
      </c>
      <c r="B148" s="14" t="str">
        <f>'2026 Orders'!B147</f>
        <v>Ethiopia</v>
      </c>
      <c r="C148" s="14" t="str">
        <f>'2026 Orders'!C147</f>
        <v>A4575</v>
      </c>
      <c r="D148" s="14">
        <v>0</v>
      </c>
      <c r="E148" s="17" t="str" cm="1">
        <f t="array" ref="E148">IF(C148=0,"",
HYPERLINK(
"#'2026 Orders'!C"&amp;
MATCH(1,
('2026 Orders'!C:C=C148)*
('2026 Orders'!G:G=G148)*
('2026 Orders'!N:N=N148),
0),
"Open "&amp;C148
))</f>
        <v>Open A4575</v>
      </c>
      <c r="F148" s="14">
        <v>0</v>
      </c>
      <c r="G148" s="14" t="str">
        <f>'2026 Orders'!G147</f>
        <v>OVAMAX-120-FD</v>
      </c>
      <c r="H148" s="14" t="str">
        <f>'2026 Orders'!H147</f>
        <v>OVAMAX-120</v>
      </c>
      <c r="I148" s="15" t="str">
        <f>'2026 Orders'!I147</f>
        <v>FD</v>
      </c>
      <c r="J148" s="14">
        <f>'2026 Orders'!J147</f>
        <v>288</v>
      </c>
      <c r="K148" t="s">
        <v>447</v>
      </c>
      <c r="L148">
        <v>288</v>
      </c>
      <c r="M148">
        <v>0</v>
      </c>
      <c r="N148" s="10" t="str">
        <f>'2026 Orders'!N147</f>
        <v>Picked</v>
      </c>
      <c r="O148" t="s">
        <v>1150</v>
      </c>
      <c r="P148">
        <v>0</v>
      </c>
      <c r="Q148">
        <v>609788968610</v>
      </c>
      <c r="R148">
        <v>4000</v>
      </c>
      <c r="S148">
        <v>4992</v>
      </c>
      <c r="T148" t="s">
        <v>1108</v>
      </c>
      <c r="U148">
        <v>0</v>
      </c>
      <c r="V148">
        <v>0</v>
      </c>
      <c r="W148">
        <v>0</v>
      </c>
      <c r="X148">
        <v>0</v>
      </c>
      <c r="Y148">
        <v>0</v>
      </c>
      <c r="Z148" t="s">
        <v>1086</v>
      </c>
      <c r="AC148" t="str">
        <f t="shared" si="4"/>
        <v>288/</v>
      </c>
      <c r="AD148" t="e">
        <f t="shared" si="5"/>
        <v>#VALUE!</v>
      </c>
    </row>
    <row r="149" spans="1:30" ht="33" hidden="1" customHeight="1" x14ac:dyDescent="0.3">
      <c r="A149">
        <v>0</v>
      </c>
      <c r="B149" s="14" t="str">
        <f>'2026 Orders'!B148</f>
        <v>Ethiopia</v>
      </c>
      <c r="C149" s="14" t="str">
        <f>'2026 Orders'!C148</f>
        <v>A4575</v>
      </c>
      <c r="D149" s="14">
        <v>0</v>
      </c>
      <c r="E149" s="17" t="str" cm="1">
        <f t="array" ref="E149">IF(C149=0,"",
HYPERLINK(
"#'2026 Orders'!C"&amp;
MATCH(1,
('2026 Orders'!C:C=C149)*
('2026 Orders'!G:G=G149)*
('2026 Orders'!N:N=N149),
0),
"Open "&amp;C149
))</f>
        <v>Open A4575</v>
      </c>
      <c r="F149" s="14" t="s">
        <v>659</v>
      </c>
      <c r="G149" s="14" t="str">
        <f>'2026 Orders'!G148</f>
        <v>WFSPLS-180-FD</v>
      </c>
      <c r="H149" s="14" t="str">
        <f>'2026 Orders'!H148</f>
        <v>WFSPLS-180</v>
      </c>
      <c r="I149" s="15" t="str">
        <f>'2026 Orders'!I148</f>
        <v>FD</v>
      </c>
      <c r="J149" s="14">
        <f>'2026 Orders'!J148</f>
        <v>120</v>
      </c>
      <c r="K149" t="s">
        <v>438</v>
      </c>
      <c r="L149">
        <v>120</v>
      </c>
      <c r="M149">
        <v>0</v>
      </c>
      <c r="N149" s="10" t="str">
        <f>'2026 Orders'!N148</f>
        <v>PO Drafted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C149" t="str">
        <f t="shared" si="4"/>
        <v>120/</v>
      </c>
      <c r="AD149" t="e">
        <f t="shared" si="5"/>
        <v>#VALUE!</v>
      </c>
    </row>
    <row r="150" spans="1:30" ht="33" hidden="1" customHeight="1" x14ac:dyDescent="0.3">
      <c r="A150">
        <v>46073</v>
      </c>
      <c r="B150" s="14" t="str">
        <f>'2026 Orders'!B149</f>
        <v>Ethiopia</v>
      </c>
      <c r="C150" s="14" t="str">
        <f>'2026 Orders'!C149</f>
        <v>A4575</v>
      </c>
      <c r="D150" s="14">
        <v>0</v>
      </c>
      <c r="E150" s="17" t="str" cm="1">
        <f t="array" ref="E150">IF(C150=0,"",
HYPERLINK(
"#'2026 Orders'!C"&amp;
MATCH(1,
('2026 Orders'!C:C=C150)*
('2026 Orders'!G:G=G150)*
('2026 Orders'!N:N=N150),
0),
"Open "&amp;C150
))</f>
        <v>Open A4575</v>
      </c>
      <c r="F150" s="14" t="s">
        <v>660</v>
      </c>
      <c r="G150" s="14" t="str">
        <f>'2026 Orders'!G149</f>
        <v>QWELL4-30-SG-FD</v>
      </c>
      <c r="H150" s="14" t="str">
        <f>'2026 Orders'!H149</f>
        <v>QWELL4-30</v>
      </c>
      <c r="I150" s="15" t="str">
        <f>'2026 Orders'!I149</f>
        <v>FD</v>
      </c>
      <c r="J150" s="14">
        <f>'2026 Orders'!J149</f>
        <v>87</v>
      </c>
      <c r="K150" t="s">
        <v>444</v>
      </c>
      <c r="L150">
        <v>87</v>
      </c>
      <c r="M150">
        <v>0</v>
      </c>
      <c r="N150" s="10" t="str">
        <f>'2026 Orders'!N149</f>
        <v>Picked</v>
      </c>
      <c r="O150">
        <v>0</v>
      </c>
      <c r="P150" t="s">
        <v>1077</v>
      </c>
      <c r="Q150">
        <v>609788968221</v>
      </c>
      <c r="R150">
        <v>7000</v>
      </c>
      <c r="S150">
        <v>5027</v>
      </c>
      <c r="T150" t="s">
        <v>1079</v>
      </c>
      <c r="U150" t="s">
        <v>1092</v>
      </c>
      <c r="V150">
        <v>0</v>
      </c>
      <c r="W150">
        <v>0</v>
      </c>
      <c r="X150">
        <v>0</v>
      </c>
      <c r="Y150">
        <v>0</v>
      </c>
      <c r="Z150" t="s">
        <v>1083</v>
      </c>
      <c r="AC150" t="str">
        <f t="shared" si="4"/>
        <v>87/</v>
      </c>
      <c r="AD150" t="e">
        <f t="shared" si="5"/>
        <v>#VALUE!</v>
      </c>
    </row>
    <row r="151" spans="1:30" ht="33" hidden="1" customHeight="1" x14ac:dyDescent="0.3">
      <c r="A151">
        <v>0</v>
      </c>
      <c r="B151" s="14" t="str">
        <f>'2026 Orders'!B150</f>
        <v>Ethiopia</v>
      </c>
      <c r="C151" s="14" t="str">
        <f>'2026 Orders'!C150</f>
        <v>A4575</v>
      </c>
      <c r="D151" s="14">
        <v>0</v>
      </c>
      <c r="E151" s="17" t="str" cm="1">
        <f t="array" ref="E151">IF(C151=0,"",
HYPERLINK(
"#'2026 Orders'!C"&amp;
MATCH(1,
('2026 Orders'!C:C=C151)*
('2026 Orders'!G:G=G151)*
('2026 Orders'!N:N=N151),
0),
"Open "&amp;C151
))</f>
        <v>Open A4575</v>
      </c>
      <c r="F151" s="14" t="s">
        <v>661</v>
      </c>
      <c r="G151" s="14" t="str">
        <f>'2026 Orders'!G150</f>
        <v>QWELL4-30-VE-FD</v>
      </c>
      <c r="H151" s="14" t="str">
        <f>'2026 Orders'!H150</f>
        <v>QWELL4-30</v>
      </c>
      <c r="I151" s="15" t="str">
        <f>'2026 Orders'!I150</f>
        <v>FD</v>
      </c>
      <c r="J151" s="14">
        <f>'2026 Orders'!J150</f>
        <v>200</v>
      </c>
      <c r="K151" t="s">
        <v>662</v>
      </c>
      <c r="L151">
        <v>0</v>
      </c>
      <c r="M151">
        <v>200</v>
      </c>
      <c r="N151" s="10" t="str">
        <f>'2026 Orders'!N150</f>
        <v>Production complete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C151" t="str">
        <f t="shared" si="4"/>
        <v>200/</v>
      </c>
      <c r="AD151" t="e">
        <f t="shared" si="5"/>
        <v>#VALUE!</v>
      </c>
    </row>
    <row r="152" spans="1:30" ht="33" hidden="1" customHeight="1" x14ac:dyDescent="0.3">
      <c r="A152">
        <v>46080</v>
      </c>
      <c r="B152" s="14" t="str">
        <f>'2026 Orders'!B151</f>
        <v>Ethiopia</v>
      </c>
      <c r="C152" s="14" t="str">
        <f>'2026 Orders'!C151</f>
        <v>A4575</v>
      </c>
      <c r="D152" s="14">
        <v>0</v>
      </c>
      <c r="E152" s="17" t="str" cm="1">
        <f t="array" ref="E152">IF(C152=0,"",
HYPERLINK(
"#'2026 Orders'!C"&amp;
MATCH(1,
('2026 Orders'!C:C=C152)*
('2026 Orders'!G:G=G152)*
('2026 Orders'!N:N=N152),
0),
"Open "&amp;C152
))</f>
        <v>Open A4575</v>
      </c>
      <c r="F152" s="14" t="s">
        <v>659</v>
      </c>
      <c r="G152" s="14" t="str">
        <f>'2026 Orders'!G151</f>
        <v>PRECON-180-FD</v>
      </c>
      <c r="H152" s="14" t="str">
        <f>'2026 Orders'!H151</f>
        <v>PRECON-180</v>
      </c>
      <c r="I152" s="15" t="str">
        <f>'2026 Orders'!I151</f>
        <v>FD</v>
      </c>
      <c r="J152" s="14">
        <f>'2026 Orders'!J151</f>
        <v>165</v>
      </c>
      <c r="K152" t="s">
        <v>455</v>
      </c>
      <c r="L152">
        <v>165</v>
      </c>
      <c r="M152">
        <v>0</v>
      </c>
      <c r="N152" s="10" t="str">
        <f>'2026 Orders'!N151</f>
        <v>In Production</v>
      </c>
      <c r="O152">
        <v>0</v>
      </c>
      <c r="P152" t="s">
        <v>1077</v>
      </c>
      <c r="Q152">
        <v>604776736752</v>
      </c>
      <c r="R152">
        <v>9195</v>
      </c>
      <c r="S152">
        <v>5032</v>
      </c>
      <c r="T152" t="s">
        <v>1094</v>
      </c>
      <c r="U152" t="s">
        <v>1104</v>
      </c>
      <c r="V152">
        <v>0</v>
      </c>
      <c r="W152">
        <v>0</v>
      </c>
      <c r="X152">
        <v>0</v>
      </c>
      <c r="Y152">
        <v>0</v>
      </c>
      <c r="Z152" t="s">
        <v>1086</v>
      </c>
      <c r="AC152" t="str">
        <f t="shared" si="4"/>
        <v>165/</v>
      </c>
      <c r="AD152" t="e">
        <f t="shared" si="5"/>
        <v>#VALUE!</v>
      </c>
    </row>
    <row r="153" spans="1:30" ht="33" hidden="1" customHeight="1" x14ac:dyDescent="0.3">
      <c r="A153">
        <v>0</v>
      </c>
      <c r="B153" s="14" t="str">
        <f>'2026 Orders'!B152</f>
        <v>Ethiopia</v>
      </c>
      <c r="C153" s="14" t="str">
        <f>'2026 Orders'!C152</f>
        <v>A4575</v>
      </c>
      <c r="D153" s="14">
        <v>0</v>
      </c>
      <c r="E153" s="17" t="str" cm="1">
        <f t="array" ref="E153">IF(C153=0,"",
HYPERLINK(
"#'2026 Orders'!C"&amp;
MATCH(1,
('2026 Orders'!C:C=C153)*
('2026 Orders'!G:G=G153)*
('2026 Orders'!N:N=N153),
0),
"Open "&amp;C153
))</f>
        <v>Open A4575</v>
      </c>
      <c r="F153" s="14">
        <v>0</v>
      </c>
      <c r="G153" s="14" t="str">
        <f>'2026 Orders'!G152</f>
        <v>PRECON-180-FD</v>
      </c>
      <c r="H153" s="14" t="str">
        <f>'2026 Orders'!H152</f>
        <v>PRECON-180</v>
      </c>
      <c r="I153" s="15" t="str">
        <f>'2026 Orders'!I152</f>
        <v>FD</v>
      </c>
      <c r="J153" s="14">
        <f>'2026 Orders'!J152</f>
        <v>37</v>
      </c>
      <c r="K153" t="s">
        <v>455</v>
      </c>
      <c r="L153">
        <v>37</v>
      </c>
      <c r="M153">
        <v>0</v>
      </c>
      <c r="N153" s="10" t="str">
        <f>'2026 Orders'!N152</f>
        <v>Picked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C153" t="str">
        <f t="shared" si="4"/>
        <v>37/</v>
      </c>
      <c r="AD153" t="e">
        <f t="shared" si="5"/>
        <v>#VALUE!</v>
      </c>
    </row>
    <row r="154" spans="1:30" ht="33" hidden="1" customHeight="1" x14ac:dyDescent="0.3">
      <c r="A154">
        <v>46093</v>
      </c>
      <c r="B154" s="14" t="str">
        <f>'2026 Orders'!B153</f>
        <v>Ethiopia</v>
      </c>
      <c r="C154" s="14" t="str">
        <f>'2026 Orders'!C153</f>
        <v>A4575</v>
      </c>
      <c r="D154" s="14">
        <v>0</v>
      </c>
      <c r="E154" s="17" t="str" cm="1">
        <f t="array" ref="E154">IF(C154=0,"",
HYPERLINK(
"#'2026 Orders'!C"&amp;
MATCH(1,
('2026 Orders'!C:C=C154)*
('2026 Orders'!G:G=G154)*
('2026 Orders'!N:N=N154),
0),
"Open "&amp;C154
))</f>
        <v>Open A4575</v>
      </c>
      <c r="F154" s="14">
        <v>0</v>
      </c>
      <c r="G154" s="14" t="str">
        <f>'2026 Orders'!G153</f>
        <v>PENAMAX-60-GE-FD</v>
      </c>
      <c r="H154" s="14" t="str">
        <f>'2026 Orders'!H153</f>
        <v>PENAMAX-60</v>
      </c>
      <c r="I154" s="15" t="str">
        <f>'2026 Orders'!I153</f>
        <v>FD</v>
      </c>
      <c r="J154" s="14">
        <f>'2026 Orders'!J153</f>
        <v>202</v>
      </c>
      <c r="K154" t="s">
        <v>451</v>
      </c>
      <c r="L154">
        <v>202</v>
      </c>
      <c r="M154">
        <v>0</v>
      </c>
      <c r="N154" s="10" t="str">
        <f>'2026 Orders'!N153</f>
        <v>Picked</v>
      </c>
      <c r="O154">
        <v>0</v>
      </c>
      <c r="P154" t="s">
        <v>1085</v>
      </c>
      <c r="Q154">
        <v>609788968702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 t="s">
        <v>1086</v>
      </c>
      <c r="AC154" t="str">
        <f t="shared" si="4"/>
        <v>202/</v>
      </c>
      <c r="AD154" t="e">
        <f t="shared" si="5"/>
        <v>#VALUE!</v>
      </c>
    </row>
    <row r="155" spans="1:30" ht="33" hidden="1" customHeight="1" x14ac:dyDescent="0.3">
      <c r="A155">
        <v>46093</v>
      </c>
      <c r="B155" s="14">
        <f>'2026 Orders'!B154</f>
        <v>0</v>
      </c>
      <c r="C155" s="14">
        <f>'2026 Orders'!C154</f>
        <v>0</v>
      </c>
      <c r="D155" s="14">
        <v>0</v>
      </c>
      <c r="E155" s="17" t="str" cm="1">
        <f t="array" ref="E155">IF(C155=0,"",
HYPERLINK(
"#'2026 Orders'!C"&amp;
MATCH(1,
('2026 Orders'!C:C=C155)*
('2026 Orders'!G:G=G155)*
('2026 Orders'!N:N=N155),
0),
"Open "&amp;C155
))</f>
        <v/>
      </c>
      <c r="F155" s="14">
        <v>0</v>
      </c>
      <c r="G155" s="14">
        <f>'2026 Orders'!G154</f>
        <v>0</v>
      </c>
      <c r="H155" s="14">
        <f>'2026 Orders'!H154</f>
        <v>0</v>
      </c>
      <c r="I155" s="15" t="str">
        <f>'2026 Orders'!I154</f>
        <v/>
      </c>
      <c r="J155" s="14">
        <f>'2026 Orders'!J154</f>
        <v>0</v>
      </c>
      <c r="K155">
        <v>0</v>
      </c>
      <c r="L155">
        <v>0</v>
      </c>
      <c r="M155">
        <v>0</v>
      </c>
      <c r="N155" s="10">
        <f>'2026 Orders'!N154</f>
        <v>0</v>
      </c>
      <c r="O155">
        <v>0</v>
      </c>
      <c r="P155" t="s">
        <v>1077</v>
      </c>
      <c r="Q155" t="s">
        <v>1151</v>
      </c>
      <c r="R155">
        <v>2000</v>
      </c>
      <c r="S155">
        <v>4998</v>
      </c>
      <c r="T155">
        <v>46232</v>
      </c>
      <c r="U155" t="s">
        <v>1126</v>
      </c>
      <c r="V155">
        <v>0</v>
      </c>
      <c r="W155">
        <v>0</v>
      </c>
      <c r="X155">
        <v>0</v>
      </c>
      <c r="Y155">
        <v>0</v>
      </c>
      <c r="Z155">
        <v>0</v>
      </c>
      <c r="AC155" t="str">
        <f t="shared" si="4"/>
        <v/>
      </c>
      <c r="AD155" t="str">
        <f t="shared" si="5"/>
        <v/>
      </c>
    </row>
    <row r="156" spans="1:30" ht="33" hidden="1" customHeight="1" x14ac:dyDescent="0.3">
      <c r="A156">
        <v>0</v>
      </c>
      <c r="B156" s="14" t="str">
        <f>'2026 Orders'!B155</f>
        <v>Egypt</v>
      </c>
      <c r="C156" s="14" t="str">
        <f>'2026 Orders'!C155</f>
        <v>A4634</v>
      </c>
      <c r="D156" s="14">
        <v>0</v>
      </c>
      <c r="E156" s="17" t="str" cm="1">
        <f t="array" ref="E156">IF(C156=0,"",
HYPERLINK(
"#'2026 Orders'!C"&amp;
MATCH(1,
('2026 Orders'!C:C=C156)*
('2026 Orders'!G:G=G156)*
('2026 Orders'!N:N=N156),
0),
"Open "&amp;C156
))</f>
        <v>Open A4634</v>
      </c>
      <c r="F156" s="14" t="s">
        <v>667</v>
      </c>
      <c r="G156" s="14" t="str">
        <f>'2026 Orders'!G155</f>
        <v>POLYSIT-90-CS-EG</v>
      </c>
      <c r="H156" s="14" t="str">
        <f>'2026 Orders'!H155</f>
        <v>POLYSIT-90</v>
      </c>
      <c r="I156" s="15" t="str">
        <f>'2026 Orders'!I155</f>
        <v>EG</v>
      </c>
      <c r="J156" s="14">
        <f>'2026 Orders'!J155</f>
        <v>1050</v>
      </c>
      <c r="K156" t="s">
        <v>668</v>
      </c>
      <c r="L156">
        <v>0</v>
      </c>
      <c r="M156">
        <v>1050</v>
      </c>
      <c r="N156" s="10" t="str">
        <f>'2026 Orders'!N155</f>
        <v>In Production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C156" t="str">
        <f t="shared" si="4"/>
        <v>1050/</v>
      </c>
      <c r="AD156" t="e">
        <f t="shared" si="5"/>
        <v>#VALUE!</v>
      </c>
    </row>
    <row r="157" spans="1:30" ht="33" hidden="1" customHeight="1" x14ac:dyDescent="0.3">
      <c r="A157">
        <v>46093</v>
      </c>
      <c r="B157" s="14">
        <f>'2026 Orders'!B156</f>
        <v>0</v>
      </c>
      <c r="C157" s="14">
        <f>'2026 Orders'!C156</f>
        <v>0</v>
      </c>
      <c r="D157" s="14">
        <v>0</v>
      </c>
      <c r="E157" s="17" t="str" cm="1">
        <f t="array" ref="E157">IF(C157=0,"",
HYPERLINK(
"#'2026 Orders'!C"&amp;
MATCH(1,
('2026 Orders'!C:C=C157)*
('2026 Orders'!G:G=G157)*
('2026 Orders'!N:N=N157),
0),
"Open "&amp;C157
))</f>
        <v/>
      </c>
      <c r="F157" s="14">
        <v>0</v>
      </c>
      <c r="G157" s="14">
        <f>'2026 Orders'!G156</f>
        <v>0</v>
      </c>
      <c r="H157" s="14">
        <f>'2026 Orders'!H156</f>
        <v>0</v>
      </c>
      <c r="I157" s="15" t="str">
        <f>'2026 Orders'!I156</f>
        <v/>
      </c>
      <c r="J157" s="14">
        <f>'2026 Orders'!J156</f>
        <v>0</v>
      </c>
      <c r="K157">
        <v>0</v>
      </c>
      <c r="L157">
        <v>0</v>
      </c>
      <c r="M157">
        <v>0</v>
      </c>
      <c r="N157" s="10">
        <f>'2026 Orders'!N156</f>
        <v>0</v>
      </c>
      <c r="O157" t="s">
        <v>1152</v>
      </c>
      <c r="P157" t="s">
        <v>1077</v>
      </c>
      <c r="Q157">
        <v>609788968528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 t="s">
        <v>1083</v>
      </c>
      <c r="AC157" t="str">
        <f t="shared" si="4"/>
        <v/>
      </c>
      <c r="AD157" t="str">
        <f t="shared" si="5"/>
        <v/>
      </c>
    </row>
    <row r="158" spans="1:30" ht="33" hidden="1" customHeight="1" x14ac:dyDescent="0.3">
      <c r="A158">
        <v>0</v>
      </c>
      <c r="B158" s="14" t="str">
        <f>'2026 Orders'!B157</f>
        <v>Chad</v>
      </c>
      <c r="C158" s="14" t="str">
        <f>'2026 Orders'!C157</f>
        <v>A4640</v>
      </c>
      <c r="D158" s="14">
        <v>0</v>
      </c>
      <c r="E158" s="17" t="str" cm="1">
        <f t="array" ref="E158">IF(C158=0,"",
HYPERLINK(
"#'2026 Orders'!C"&amp;
MATCH(1,
('2026 Orders'!C:C=C158)*
('2026 Orders'!G:G=G158)*
('2026 Orders'!N:N=N158),
0),
"Open "&amp;C158
))</f>
        <v>Open A4640</v>
      </c>
      <c r="F158" s="14" t="s">
        <v>672</v>
      </c>
      <c r="G158" s="14" t="str">
        <f>'2026 Orders'!G157</f>
        <v>PEDIAIR-50-FD</v>
      </c>
      <c r="H158" s="14" t="str">
        <f>'2026 Orders'!H157</f>
        <v>PEDIAIR-50</v>
      </c>
      <c r="I158" s="15" t="str">
        <f>'2026 Orders'!I157</f>
        <v>FD</v>
      </c>
      <c r="J158" s="14">
        <f>'2026 Orders'!J157</f>
        <v>1800</v>
      </c>
      <c r="K158" t="s">
        <v>674</v>
      </c>
      <c r="L158">
        <v>0</v>
      </c>
      <c r="M158">
        <v>1800</v>
      </c>
      <c r="N158" s="10" t="str">
        <f>'2026 Orders'!N157</f>
        <v>PO submitted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C158" t="str">
        <f t="shared" si="4"/>
        <v>1800/</v>
      </c>
      <c r="AD158" t="e">
        <f t="shared" si="5"/>
        <v>#VALUE!</v>
      </c>
    </row>
    <row r="159" spans="1:30" ht="33" hidden="1" customHeight="1" x14ac:dyDescent="0.3">
      <c r="A159">
        <v>46093</v>
      </c>
      <c r="B159" s="14" t="str">
        <f>'2026 Orders'!B158</f>
        <v>Chad</v>
      </c>
      <c r="C159" s="14" t="str">
        <f>'2026 Orders'!C158</f>
        <v>A4640</v>
      </c>
      <c r="D159" s="14">
        <v>0</v>
      </c>
      <c r="E159" s="17" t="str" cm="1">
        <f t="array" ref="E159">IF(C159=0,"",
HYPERLINK(
"#'2026 Orders'!C"&amp;
MATCH(1,
('2026 Orders'!C:C=C159)*
('2026 Orders'!G:G=G159)*
('2026 Orders'!N:N=N159),
0),
"Open "&amp;C159
))</f>
        <v>Open A4640</v>
      </c>
      <c r="F159" s="14">
        <v>0</v>
      </c>
      <c r="G159" s="14" t="str">
        <f>'2026 Orders'!G158</f>
        <v>PEDIAZI-50-FD</v>
      </c>
      <c r="H159" s="14" t="str">
        <f>'2026 Orders'!H158</f>
        <v>PEDIAZI-50</v>
      </c>
      <c r="I159" s="15" t="str">
        <f>'2026 Orders'!I158</f>
        <v>FD</v>
      </c>
      <c r="J159" s="14">
        <f>'2026 Orders'!J158</f>
        <v>1500</v>
      </c>
      <c r="K159" t="s">
        <v>676</v>
      </c>
      <c r="L159">
        <v>0</v>
      </c>
      <c r="M159">
        <v>1500</v>
      </c>
      <c r="N159" s="10" t="str">
        <f>'2026 Orders'!N158</f>
        <v>PO submitted</v>
      </c>
      <c r="O159">
        <v>0</v>
      </c>
      <c r="P159" t="s">
        <v>1085</v>
      </c>
      <c r="Q159">
        <v>609788968726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 t="s">
        <v>1083</v>
      </c>
      <c r="AC159" t="str">
        <f t="shared" si="4"/>
        <v>1500/</v>
      </c>
      <c r="AD159" t="e">
        <f t="shared" si="5"/>
        <v>#VALUE!</v>
      </c>
    </row>
    <row r="160" spans="1:30" ht="33" hidden="1" customHeight="1" x14ac:dyDescent="0.3">
      <c r="A160">
        <v>46093</v>
      </c>
      <c r="B160" s="14" t="str">
        <f>'2026 Orders'!B159</f>
        <v>Chad</v>
      </c>
      <c r="C160" s="14" t="str">
        <f>'2026 Orders'!C159</f>
        <v>A4640</v>
      </c>
      <c r="D160" s="14">
        <v>0</v>
      </c>
      <c r="E160" s="17" t="str" cm="1">
        <f t="array" ref="E160">IF(C160=0,"",
HYPERLINK(
"#'2026 Orders'!C"&amp;
MATCH(1,
('2026 Orders'!C:C=C160)*
('2026 Orders'!G:G=G160)*
('2026 Orders'!N:N=N160),
0),
"Open "&amp;C160
))</f>
        <v>Open A4640</v>
      </c>
      <c r="F160" s="14" t="s">
        <v>677</v>
      </c>
      <c r="G160" s="14" t="str">
        <f>'2026 Orders'!G159</f>
        <v>PEDIAD4-50-FD</v>
      </c>
      <c r="H160" s="14" t="str">
        <f>'2026 Orders'!H159</f>
        <v>PEDIAD4-50</v>
      </c>
      <c r="I160" s="15" t="str">
        <f>'2026 Orders'!I159</f>
        <v>FD</v>
      </c>
      <c r="J160" s="14">
        <f>'2026 Orders'!J159</f>
        <v>500</v>
      </c>
      <c r="K160" t="s">
        <v>634</v>
      </c>
      <c r="L160">
        <v>0</v>
      </c>
      <c r="M160">
        <v>500</v>
      </c>
      <c r="N160" s="10" t="str">
        <f>'2026 Orders'!N159</f>
        <v>PO submitted</v>
      </c>
      <c r="O160">
        <v>0</v>
      </c>
      <c r="P160" t="s">
        <v>1085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C160" t="str">
        <f t="shared" si="4"/>
        <v>500/</v>
      </c>
      <c r="AD160" t="e">
        <f t="shared" si="5"/>
        <v>#VALUE!</v>
      </c>
    </row>
    <row r="161" spans="1:30" ht="33" hidden="1" customHeight="1" x14ac:dyDescent="0.3">
      <c r="A161">
        <v>46093</v>
      </c>
      <c r="B161" s="14" t="str">
        <f>'2026 Orders'!B160</f>
        <v>Chad</v>
      </c>
      <c r="C161" s="14" t="str">
        <f>'2026 Orders'!C160</f>
        <v>A4640</v>
      </c>
      <c r="D161" s="14">
        <v>0</v>
      </c>
      <c r="E161" s="17" t="str" cm="1">
        <f t="array" ref="E161">IF(C161=0,"",
HYPERLINK(
"#'2026 Orders'!C"&amp;
MATCH(1,
('2026 Orders'!C:C=C161)*
('2026 Orders'!G:G=G161)*
('2026 Orders'!N:N=N161),
0),
"Open "&amp;C161
))</f>
        <v>Open A4640</v>
      </c>
      <c r="F161" s="14">
        <v>0</v>
      </c>
      <c r="G161" s="14" t="str">
        <f>'2026 Orders'!G160</f>
        <v>PEDIACM-50-FD</v>
      </c>
      <c r="H161" s="14" t="str">
        <f>'2026 Orders'!H160</f>
        <v>PEDIACM-50</v>
      </c>
      <c r="I161" s="15" t="str">
        <f>'2026 Orders'!I160</f>
        <v>FD</v>
      </c>
      <c r="J161" s="14">
        <f>'2026 Orders'!J160</f>
        <v>1500</v>
      </c>
      <c r="K161" t="s">
        <v>679</v>
      </c>
      <c r="L161">
        <v>0</v>
      </c>
      <c r="M161">
        <v>1500</v>
      </c>
      <c r="N161" s="10" t="str">
        <f>'2026 Orders'!N160</f>
        <v>PO submitted</v>
      </c>
      <c r="O161">
        <v>0</v>
      </c>
      <c r="P161" t="s">
        <v>1077</v>
      </c>
      <c r="Q161">
        <v>609788968481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C161" t="str">
        <f t="shared" si="4"/>
        <v>1500/</v>
      </c>
      <c r="AD161" t="e">
        <f t="shared" si="5"/>
        <v>#VALUE!</v>
      </c>
    </row>
    <row r="162" spans="1:30" ht="33" hidden="1" customHeight="1" x14ac:dyDescent="0.3">
      <c r="A162">
        <v>46093</v>
      </c>
      <c r="B162" s="14">
        <f>'2026 Orders'!B161</f>
        <v>0</v>
      </c>
      <c r="C162" s="14">
        <f>'2026 Orders'!C161</f>
        <v>0</v>
      </c>
      <c r="D162" s="14">
        <v>0</v>
      </c>
      <c r="E162" s="17" t="str" cm="1">
        <f t="array" ref="E162">IF(C162=0,"",
HYPERLINK(
"#'2026 Orders'!C"&amp;
MATCH(1,
('2026 Orders'!C:C=C162)*
('2026 Orders'!G:G=G162)*
('2026 Orders'!N:N=N162),
0),
"Open "&amp;C162
))</f>
        <v/>
      </c>
      <c r="F162" s="14">
        <v>0</v>
      </c>
      <c r="G162" s="14">
        <f>'2026 Orders'!G161</f>
        <v>0</v>
      </c>
      <c r="H162" s="14">
        <f>'2026 Orders'!H161</f>
        <v>0</v>
      </c>
      <c r="I162" s="15" t="str">
        <f>'2026 Orders'!I161</f>
        <v/>
      </c>
      <c r="J162" s="14">
        <f>'2026 Orders'!J161</f>
        <v>0</v>
      </c>
      <c r="K162">
        <v>0</v>
      </c>
      <c r="L162">
        <v>0</v>
      </c>
      <c r="M162">
        <v>0</v>
      </c>
      <c r="N162" s="10">
        <f>'2026 Orders'!N161</f>
        <v>0</v>
      </c>
      <c r="O162">
        <v>0</v>
      </c>
      <c r="P162" t="s">
        <v>1077</v>
      </c>
      <c r="Q162" t="s">
        <v>1153</v>
      </c>
      <c r="R162">
        <v>0</v>
      </c>
      <c r="S162">
        <v>0</v>
      </c>
      <c r="T162" t="s">
        <v>1108</v>
      </c>
      <c r="U162" t="s">
        <v>1154</v>
      </c>
      <c r="V162">
        <v>0</v>
      </c>
      <c r="W162">
        <v>0</v>
      </c>
      <c r="X162">
        <v>0</v>
      </c>
      <c r="Y162">
        <v>0</v>
      </c>
      <c r="Z162">
        <v>0</v>
      </c>
      <c r="AC162" t="str">
        <f t="shared" si="4"/>
        <v/>
      </c>
      <c r="AD162" t="str">
        <f t="shared" si="5"/>
        <v/>
      </c>
    </row>
    <row r="163" spans="1:30" ht="33" hidden="1" customHeight="1" x14ac:dyDescent="0.3">
      <c r="A163">
        <v>46093</v>
      </c>
      <c r="B163" s="14" t="str">
        <f>'2026 Orders'!B162</f>
        <v>South Sudan</v>
      </c>
      <c r="C163" s="14" t="str">
        <f>'2026 Orders'!C162</f>
        <v>A4586</v>
      </c>
      <c r="D163" s="14">
        <v>0</v>
      </c>
      <c r="E163" s="17" t="str" cm="1">
        <f t="array" ref="E163">IF(C163=0,"",
HYPERLINK(
"#'2026 Orders'!C"&amp;
MATCH(1,
('2026 Orders'!C:C=C163)*
('2026 Orders'!G:G=G163)*
('2026 Orders'!N:N=N163),
0),
"Open "&amp;C163
))</f>
        <v>Open A4586</v>
      </c>
      <c r="F163" s="14">
        <v>0</v>
      </c>
      <c r="G163" s="14" t="str">
        <f>'2026 Orders'!G162</f>
        <v>MFSPLS-120-FD</v>
      </c>
      <c r="H163" s="14" t="str">
        <f>'2026 Orders'!H162</f>
        <v>MFSPLS-120</v>
      </c>
      <c r="I163" s="15" t="str">
        <f>'2026 Orders'!I162</f>
        <v>FD</v>
      </c>
      <c r="J163" s="14">
        <f>'2026 Orders'!J162</f>
        <v>300</v>
      </c>
      <c r="K163" t="s">
        <v>462</v>
      </c>
      <c r="L163">
        <v>0</v>
      </c>
      <c r="M163">
        <v>300</v>
      </c>
      <c r="N163" s="10" t="str">
        <f>'2026 Orders'!N162</f>
        <v>D/W Sent</v>
      </c>
      <c r="O163">
        <v>0</v>
      </c>
      <c r="P163" t="s">
        <v>1077</v>
      </c>
      <c r="Q163" t="s">
        <v>1100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C163" t="str">
        <f t="shared" si="4"/>
        <v>300/</v>
      </c>
      <c r="AD163" t="e">
        <f t="shared" si="5"/>
        <v>#VALUE!</v>
      </c>
    </row>
    <row r="164" spans="1:30" ht="33" hidden="1" customHeight="1" x14ac:dyDescent="0.3">
      <c r="A164">
        <v>46093</v>
      </c>
      <c r="B164" s="14" t="str">
        <f>'2026 Orders'!B163</f>
        <v>South Sudan</v>
      </c>
      <c r="C164" s="14" t="str">
        <f>'2026 Orders'!C163</f>
        <v>A4586</v>
      </c>
      <c r="D164" s="14">
        <v>0</v>
      </c>
      <c r="E164" s="17" t="str" cm="1">
        <f t="array" ref="E164">IF(C164=0,"",
HYPERLINK(
"#'2026 Orders'!C"&amp;
MATCH(1,
('2026 Orders'!C:C=C164)*
('2026 Orders'!G:G=G164)*
('2026 Orders'!N:N=N164),
0),
"Open "&amp;C164
))</f>
        <v>Open A4586</v>
      </c>
      <c r="F164" s="14">
        <v>0</v>
      </c>
      <c r="G164" s="14" t="str">
        <f>'2026 Orders'!G163</f>
        <v>OVAMAX-120-FD</v>
      </c>
      <c r="H164" s="14" t="str">
        <f>'2026 Orders'!H163</f>
        <v>OVAMAX-120</v>
      </c>
      <c r="I164" s="15" t="str">
        <f>'2026 Orders'!I163</f>
        <v>FD</v>
      </c>
      <c r="J164" s="14">
        <f>'2026 Orders'!J163</f>
        <v>300</v>
      </c>
      <c r="K164" t="s">
        <v>447</v>
      </c>
      <c r="L164">
        <v>300</v>
      </c>
      <c r="M164">
        <v>0</v>
      </c>
      <c r="N164" s="10" t="str">
        <f>'2026 Orders'!N163</f>
        <v>D/W Sent</v>
      </c>
      <c r="O164">
        <v>0</v>
      </c>
      <c r="P164" t="s">
        <v>1077</v>
      </c>
      <c r="Q164">
        <v>609788968375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C164" t="str">
        <f t="shared" si="4"/>
        <v>300/</v>
      </c>
      <c r="AD164" t="e">
        <f t="shared" si="5"/>
        <v>#VALUE!</v>
      </c>
    </row>
    <row r="165" spans="1:30" ht="33" hidden="1" customHeight="1" x14ac:dyDescent="0.3">
      <c r="A165">
        <v>46093</v>
      </c>
      <c r="B165" s="14" t="str">
        <f>'2026 Orders'!B164</f>
        <v>South Sudan</v>
      </c>
      <c r="C165" s="14" t="str">
        <f>'2026 Orders'!C164</f>
        <v>A4586</v>
      </c>
      <c r="D165" s="14">
        <v>0</v>
      </c>
      <c r="E165" s="17" t="str" cm="1">
        <f t="array" ref="E165">IF(C165=0,"",
HYPERLINK(
"#'2026 Orders'!C"&amp;
MATCH(1,
('2026 Orders'!C:C=C165)*
('2026 Orders'!G:G=G165)*
('2026 Orders'!N:N=N165),
0),
"Open "&amp;C165
))</f>
        <v>Open A4586</v>
      </c>
      <c r="F165" s="14" t="s">
        <v>683</v>
      </c>
      <c r="G165" s="14" t="str">
        <f>'2026 Orders'!G164</f>
        <v>FERTMX-90-RE</v>
      </c>
      <c r="H165" s="14" t="str">
        <f>'2026 Orders'!H164</f>
        <v>FERTMX-90</v>
      </c>
      <c r="I165" s="15" t="str">
        <f>'2026 Orders'!I164</f>
        <v>RE</v>
      </c>
      <c r="J165" s="14">
        <f>'2026 Orders'!J164</f>
        <v>300</v>
      </c>
      <c r="K165" t="s">
        <v>684</v>
      </c>
      <c r="L165">
        <v>300</v>
      </c>
      <c r="M165">
        <v>0</v>
      </c>
      <c r="N165" s="10" t="str">
        <f>'2026 Orders'!N164</f>
        <v>D/W Sent</v>
      </c>
      <c r="O165">
        <v>0</v>
      </c>
      <c r="P165" t="s">
        <v>1077</v>
      </c>
      <c r="Q165">
        <v>609788968405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C165" t="str">
        <f t="shared" si="4"/>
        <v>300/</v>
      </c>
      <c r="AD165" t="e">
        <f t="shared" si="5"/>
        <v>#VALUE!</v>
      </c>
    </row>
    <row r="166" spans="1:30" ht="33" hidden="1" customHeight="1" x14ac:dyDescent="0.3">
      <c r="A166">
        <v>46093</v>
      </c>
      <c r="B166" s="14" t="str">
        <f>'2026 Orders'!B165</f>
        <v>South Sudan</v>
      </c>
      <c r="C166" s="14" t="str">
        <f>'2026 Orders'!C165</f>
        <v>A4586</v>
      </c>
      <c r="D166" s="14">
        <v>0</v>
      </c>
      <c r="E166" s="17" t="str" cm="1">
        <f t="array" ref="E166">IF(C166=0,"",
HYPERLINK(
"#'2026 Orders'!C"&amp;
MATCH(1,
('2026 Orders'!C:C=C166)*
('2026 Orders'!G:G=G166)*
('2026 Orders'!N:N=N166),
0),
"Open "&amp;C166
))</f>
        <v>Open A4586</v>
      </c>
      <c r="F166" s="14">
        <v>0</v>
      </c>
      <c r="G166" s="14" t="str">
        <f>'2026 Orders'!G165</f>
        <v>PRECON-180-FD</v>
      </c>
      <c r="H166" s="14" t="str">
        <f>'2026 Orders'!H165</f>
        <v>PRECON-180</v>
      </c>
      <c r="I166" s="15" t="str">
        <f>'2026 Orders'!I165</f>
        <v>FD</v>
      </c>
      <c r="J166" s="14">
        <f>'2026 Orders'!J165</f>
        <v>100</v>
      </c>
      <c r="K166" t="s">
        <v>455</v>
      </c>
      <c r="L166">
        <v>100</v>
      </c>
      <c r="M166">
        <v>0</v>
      </c>
      <c r="N166" s="10" t="str">
        <f>'2026 Orders'!N165</f>
        <v>D/W Sent</v>
      </c>
      <c r="O166">
        <v>0</v>
      </c>
      <c r="P166" t="s">
        <v>1077</v>
      </c>
      <c r="Q166">
        <v>609788968351</v>
      </c>
      <c r="R166">
        <v>7572</v>
      </c>
      <c r="S166">
        <v>5043</v>
      </c>
      <c r="T166">
        <v>46286</v>
      </c>
      <c r="U166" t="s">
        <v>1089</v>
      </c>
      <c r="V166">
        <v>0</v>
      </c>
      <c r="W166">
        <v>0</v>
      </c>
      <c r="X166">
        <v>0</v>
      </c>
      <c r="Y166">
        <v>0</v>
      </c>
      <c r="Z166">
        <v>0</v>
      </c>
      <c r="AC166" t="str">
        <f t="shared" si="4"/>
        <v>100/</v>
      </c>
      <c r="AD166" t="e">
        <f t="shared" si="5"/>
        <v>#VALUE!</v>
      </c>
    </row>
    <row r="167" spans="1:30" ht="33" hidden="1" customHeight="1" x14ac:dyDescent="0.3">
      <c r="A167">
        <v>46093</v>
      </c>
      <c r="B167" s="14" t="str">
        <f>'2026 Orders'!B166</f>
        <v>South Sudan</v>
      </c>
      <c r="C167" s="14" t="str">
        <f>'2026 Orders'!C166</f>
        <v>A4586</v>
      </c>
      <c r="D167" s="14">
        <v>0</v>
      </c>
      <c r="E167" s="17" t="str" cm="1">
        <f t="array" ref="E167">IF(C167=0,"",
HYPERLINK(
"#'2026 Orders'!C"&amp;
MATCH(1,
('2026 Orders'!C:C=C167)*
('2026 Orders'!G:G=G167)*
('2026 Orders'!N:N=N167),
0),
"Open "&amp;C167
))</f>
        <v>Open A4586</v>
      </c>
      <c r="F167" s="14">
        <v>0</v>
      </c>
      <c r="G167" s="14" t="str">
        <f>'2026 Orders'!G166</f>
        <v>FIBRO-60-FD</v>
      </c>
      <c r="H167" s="14" t="str">
        <f>'2026 Orders'!H166</f>
        <v>FIBRO-60</v>
      </c>
      <c r="I167" s="15" t="str">
        <f>'2026 Orders'!I166</f>
        <v>FD</v>
      </c>
      <c r="J167" s="14">
        <f>'2026 Orders'!J166</f>
        <v>100</v>
      </c>
      <c r="K167" t="s">
        <v>685</v>
      </c>
      <c r="L167">
        <v>100</v>
      </c>
      <c r="M167">
        <v>0</v>
      </c>
      <c r="N167" s="10" t="str">
        <f>'2026 Orders'!N166</f>
        <v>D/W Sent</v>
      </c>
      <c r="O167">
        <v>0</v>
      </c>
      <c r="P167" t="s">
        <v>1077</v>
      </c>
      <c r="Q167" t="s">
        <v>1119</v>
      </c>
      <c r="R167">
        <v>101</v>
      </c>
      <c r="S167">
        <v>5061</v>
      </c>
      <c r="T167" t="s">
        <v>1103</v>
      </c>
      <c r="U167" t="s">
        <v>1155</v>
      </c>
      <c r="V167">
        <v>0</v>
      </c>
      <c r="W167">
        <v>0</v>
      </c>
      <c r="X167">
        <v>0</v>
      </c>
      <c r="Y167">
        <v>0</v>
      </c>
      <c r="Z167">
        <v>0</v>
      </c>
      <c r="AC167" t="str">
        <f t="shared" si="4"/>
        <v>100/</v>
      </c>
      <c r="AD167" t="e">
        <f t="shared" si="5"/>
        <v>#VALUE!</v>
      </c>
    </row>
    <row r="168" spans="1:30" ht="33" hidden="1" customHeight="1" x14ac:dyDescent="0.3">
      <c r="A168">
        <v>0</v>
      </c>
      <c r="B168" s="14" t="str">
        <f>'2026 Orders'!B167</f>
        <v>South Sudan</v>
      </c>
      <c r="C168" s="14" t="str">
        <f>'2026 Orders'!C167</f>
        <v>A4586</v>
      </c>
      <c r="D168" s="14">
        <v>0</v>
      </c>
      <c r="E168" s="17" t="str" cm="1">
        <f t="array" ref="E168">IF(C168=0,"",
HYPERLINK(
"#'2026 Orders'!C"&amp;
MATCH(1,
('2026 Orders'!C:C=C168)*
('2026 Orders'!G:G=G168)*
('2026 Orders'!N:N=N168),
0),
"Open "&amp;C168
))</f>
        <v>Open A4586</v>
      </c>
      <c r="F168" s="14">
        <v>0</v>
      </c>
      <c r="G168" s="14" t="str">
        <f>'2026 Orders'!G167</f>
        <v>COQ400-30-VE-CS-SU</v>
      </c>
      <c r="H168" s="14" t="str">
        <f>'2026 Orders'!H167</f>
        <v>COQ400-30</v>
      </c>
      <c r="I168" s="15" t="str">
        <f>'2026 Orders'!I167</f>
        <v>SU</v>
      </c>
      <c r="J168" s="14">
        <f>'2026 Orders'!J167</f>
        <v>400</v>
      </c>
      <c r="K168" t="s">
        <v>513</v>
      </c>
      <c r="L168">
        <v>0</v>
      </c>
      <c r="M168">
        <v>400</v>
      </c>
      <c r="N168" s="10" t="str">
        <f>'2026 Orders'!N167</f>
        <v>D/W Sent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C168" t="str">
        <f t="shared" si="4"/>
        <v>400/</v>
      </c>
      <c r="AD168" t="e">
        <f t="shared" si="5"/>
        <v>#VALUE!</v>
      </c>
    </row>
    <row r="169" spans="1:30" ht="33" hidden="1" customHeight="1" x14ac:dyDescent="0.3">
      <c r="A169">
        <v>46098</v>
      </c>
      <c r="B169" s="14" t="str">
        <f>'2026 Orders'!B168</f>
        <v>South Sudan</v>
      </c>
      <c r="C169" s="14" t="str">
        <f>'2026 Orders'!C168</f>
        <v>A4586</v>
      </c>
      <c r="D169" s="14" t="s">
        <v>686</v>
      </c>
      <c r="E169" s="17" t="str" cm="1">
        <f t="array" ref="E169">IF(C169=0,"",
HYPERLINK(
"#'2026 Orders'!C"&amp;
MATCH(1,
('2026 Orders'!C:C=C169)*
('2026 Orders'!G:G=G169)*
('2026 Orders'!N:N=N169),
0),
"Open "&amp;C169
))</f>
        <v>Open A4586</v>
      </c>
      <c r="F169" s="14">
        <v>0</v>
      </c>
      <c r="G169" s="14" t="str">
        <f>'2026 Orders'!G168</f>
        <v>DHEA50-60-FD</v>
      </c>
      <c r="H169" s="14" t="str">
        <f>'2026 Orders'!H168</f>
        <v>DHEA50-60</v>
      </c>
      <c r="I169" s="15" t="str">
        <f>'2026 Orders'!I168</f>
        <v>FD</v>
      </c>
      <c r="J169" s="14">
        <f>'2026 Orders'!J168</f>
        <v>300</v>
      </c>
      <c r="K169" t="s">
        <v>453</v>
      </c>
      <c r="L169">
        <v>300</v>
      </c>
      <c r="M169">
        <v>0</v>
      </c>
      <c r="N169" s="10" t="str">
        <f>'2026 Orders'!N168</f>
        <v>D/W Sent</v>
      </c>
      <c r="O169">
        <v>0</v>
      </c>
      <c r="P169" t="s">
        <v>1077</v>
      </c>
      <c r="Q169">
        <v>810131191061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 t="s">
        <v>1086</v>
      </c>
      <c r="AC169" t="str">
        <f t="shared" si="4"/>
        <v>300/</v>
      </c>
      <c r="AD169" t="e">
        <f t="shared" si="5"/>
        <v>#VALUE!</v>
      </c>
    </row>
    <row r="170" spans="1:30" ht="33" hidden="1" customHeight="1" x14ac:dyDescent="0.3">
      <c r="A170">
        <v>46098</v>
      </c>
      <c r="B170" s="14" t="str">
        <f>'2026 Orders'!B169</f>
        <v>South Sudan</v>
      </c>
      <c r="C170" s="14" t="str">
        <f>'2026 Orders'!C169</f>
        <v>A4586</v>
      </c>
      <c r="D170" s="14">
        <v>0</v>
      </c>
      <c r="E170" s="17" t="str" cm="1">
        <f t="array" ref="E170">IF(C170=0,"",
HYPERLINK(
"#'2026 Orders'!C"&amp;
MATCH(1,
('2026 Orders'!C:C=C170)*
('2026 Orders'!G:G=G170)*
('2026 Orders'!N:N=N170),
0),
"Open "&amp;C170
))</f>
        <v>Open A4586</v>
      </c>
      <c r="F170" s="14">
        <v>0</v>
      </c>
      <c r="G170" s="14" t="str">
        <f>'2026 Orders'!G169</f>
        <v>PENAMAX-60-GE-FD</v>
      </c>
      <c r="H170" s="14" t="str">
        <f>'2026 Orders'!H169</f>
        <v>PENAMAX-60</v>
      </c>
      <c r="I170" s="15" t="str">
        <f>'2026 Orders'!I169</f>
        <v>FD</v>
      </c>
      <c r="J170" s="14">
        <f>'2026 Orders'!J169</f>
        <v>100</v>
      </c>
      <c r="K170" t="s">
        <v>451</v>
      </c>
      <c r="L170">
        <v>100</v>
      </c>
      <c r="M170">
        <v>0</v>
      </c>
      <c r="N170" s="10" t="str">
        <f>'2026 Orders'!N169</f>
        <v>D/W Sent</v>
      </c>
      <c r="O170">
        <v>0</v>
      </c>
      <c r="P170" t="s">
        <v>1077</v>
      </c>
      <c r="Q170">
        <v>810131191061</v>
      </c>
      <c r="R170">
        <v>3000</v>
      </c>
      <c r="S170">
        <v>5048</v>
      </c>
      <c r="T170">
        <v>46233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C170" t="str">
        <f t="shared" si="4"/>
        <v>100/</v>
      </c>
      <c r="AD170" t="e">
        <f t="shared" si="5"/>
        <v>#VALUE!</v>
      </c>
    </row>
    <row r="171" spans="1:30" ht="33" hidden="1" customHeight="1" x14ac:dyDescent="0.3">
      <c r="A171">
        <v>46098</v>
      </c>
      <c r="B171" s="14" t="str">
        <f>'2026 Orders'!B170</f>
        <v>South Sudan</v>
      </c>
      <c r="C171" s="14" t="str">
        <f>'2026 Orders'!C170</f>
        <v>A4586</v>
      </c>
      <c r="D171" s="14">
        <v>0</v>
      </c>
      <c r="E171" s="17" t="str" cm="1">
        <f t="array" ref="E171">IF(C171=0,"",
HYPERLINK(
"#'2026 Orders'!C"&amp;
MATCH(1,
('2026 Orders'!C:C=C171)*
('2026 Orders'!G:G=G171)*
('2026 Orders'!N:N=N171),
0),
"Open "&amp;C171
))</f>
        <v>Open A4586</v>
      </c>
      <c r="F171" s="14">
        <v>0</v>
      </c>
      <c r="G171" s="14" t="str">
        <f>'2026 Orders'!G170</f>
        <v>MOTILMX-60-FD</v>
      </c>
      <c r="H171" s="14" t="str">
        <f>'2026 Orders'!H170</f>
        <v>MOTILMX-60</v>
      </c>
      <c r="I171" s="15" t="str">
        <f>'2026 Orders'!I170</f>
        <v>FD</v>
      </c>
      <c r="J171" s="14">
        <f>'2026 Orders'!J170</f>
        <v>250</v>
      </c>
      <c r="K171" t="s">
        <v>460</v>
      </c>
      <c r="L171">
        <v>250</v>
      </c>
      <c r="M171">
        <v>0</v>
      </c>
      <c r="N171" s="10" t="str">
        <f>'2026 Orders'!N170</f>
        <v>D/W Sent</v>
      </c>
      <c r="O171">
        <v>0</v>
      </c>
      <c r="P171" t="s">
        <v>1077</v>
      </c>
      <c r="Q171">
        <v>604776736691</v>
      </c>
      <c r="R171">
        <v>7100</v>
      </c>
      <c r="S171">
        <v>5049</v>
      </c>
      <c r="T171">
        <v>46254</v>
      </c>
      <c r="U171" t="s">
        <v>1156</v>
      </c>
      <c r="V171">
        <v>0</v>
      </c>
      <c r="W171">
        <v>0</v>
      </c>
      <c r="X171">
        <v>0</v>
      </c>
      <c r="Y171">
        <v>0</v>
      </c>
      <c r="Z171">
        <v>0</v>
      </c>
      <c r="AC171" t="str">
        <f t="shared" si="4"/>
        <v>250/</v>
      </c>
      <c r="AD171" t="e">
        <f t="shared" si="5"/>
        <v>#VALUE!</v>
      </c>
    </row>
    <row r="172" spans="1:30" ht="33" hidden="1" customHeight="1" x14ac:dyDescent="0.3">
      <c r="A172">
        <v>46098</v>
      </c>
      <c r="B172" s="14" t="str">
        <f>'2026 Orders'!B171</f>
        <v>South Sudan</v>
      </c>
      <c r="C172" s="14" t="str">
        <f>'2026 Orders'!C171</f>
        <v>A4586</v>
      </c>
      <c r="D172" s="14">
        <v>0</v>
      </c>
      <c r="E172" s="17" t="str" cm="1">
        <f t="array" ref="E172">IF(C172=0,"",
HYPERLINK(
"#'2026 Orders'!C"&amp;
MATCH(1,
('2026 Orders'!C:C=C172)*
('2026 Orders'!G:G=G172)*
('2026 Orders'!N:N=N172),
0),
"Open "&amp;C172
))</f>
        <v>Open A4586</v>
      </c>
      <c r="F172" s="14">
        <v>0</v>
      </c>
      <c r="G172" s="14" t="str">
        <f>'2026 Orders'!G171</f>
        <v>WFSPLS-180-FD</v>
      </c>
      <c r="H172" s="14" t="str">
        <f>'2026 Orders'!H171</f>
        <v>WFSPLS-180</v>
      </c>
      <c r="I172" s="15" t="str">
        <f>'2026 Orders'!I171</f>
        <v>FD</v>
      </c>
      <c r="J172" s="14">
        <f>'2026 Orders'!J171</f>
        <v>50</v>
      </c>
      <c r="K172" t="s">
        <v>438</v>
      </c>
      <c r="L172">
        <v>0</v>
      </c>
      <c r="M172">
        <v>50</v>
      </c>
      <c r="N172" s="10" t="str">
        <f>'2026 Orders'!N171</f>
        <v>D/W Sent</v>
      </c>
      <c r="O172">
        <v>0</v>
      </c>
      <c r="P172" t="s">
        <v>1077</v>
      </c>
      <c r="Q172">
        <v>604776739630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C172" t="str">
        <f t="shared" si="4"/>
        <v>50/</v>
      </c>
      <c r="AD172" t="e">
        <f t="shared" si="5"/>
        <v>#VALUE!</v>
      </c>
    </row>
    <row r="173" spans="1:30" ht="33" hidden="1" customHeight="1" x14ac:dyDescent="0.3">
      <c r="A173">
        <v>46098</v>
      </c>
      <c r="B173" s="14">
        <f>'2026 Orders'!B172</f>
        <v>0</v>
      </c>
      <c r="C173" s="14">
        <f>'2026 Orders'!C172</f>
        <v>0</v>
      </c>
      <c r="D173" s="14">
        <v>0</v>
      </c>
      <c r="E173" s="17" t="str" cm="1">
        <f t="array" ref="E173">IF(C173=0,"",
HYPERLINK(
"#'2026 Orders'!C"&amp;
MATCH(1,
('2026 Orders'!C:C=C173)*
('2026 Orders'!G:G=G173)*
('2026 Orders'!N:N=N173),
0),
"Open "&amp;C173
))</f>
        <v/>
      </c>
      <c r="F173" s="14">
        <v>0</v>
      </c>
      <c r="G173" s="14">
        <f>'2026 Orders'!G172</f>
        <v>0</v>
      </c>
      <c r="H173" s="14">
        <f>'2026 Orders'!H172</f>
        <v>0</v>
      </c>
      <c r="I173" s="15" t="str">
        <f>'2026 Orders'!I172</f>
        <v/>
      </c>
      <c r="J173" s="14">
        <f>'2026 Orders'!J172</f>
        <v>0</v>
      </c>
      <c r="K173">
        <v>0</v>
      </c>
      <c r="L173">
        <v>0</v>
      </c>
      <c r="M173">
        <v>0</v>
      </c>
      <c r="N173" s="10">
        <f>'2026 Orders'!N172</f>
        <v>0</v>
      </c>
      <c r="O173">
        <v>0</v>
      </c>
      <c r="P173" t="s">
        <v>1077</v>
      </c>
      <c r="Q173">
        <v>604776739630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C173" t="str">
        <f t="shared" si="4"/>
        <v/>
      </c>
      <c r="AD173" t="str">
        <f t="shared" si="5"/>
        <v/>
      </c>
    </row>
    <row r="174" spans="1:30" ht="33" hidden="1" customHeight="1" x14ac:dyDescent="0.3">
      <c r="A174">
        <v>46098</v>
      </c>
      <c r="B174" s="14" t="str">
        <f>'2026 Orders'!B173</f>
        <v>China</v>
      </c>
      <c r="C174" s="14" t="str">
        <f>'2026 Orders'!C173</f>
        <v>A4592</v>
      </c>
      <c r="D174" s="14">
        <v>0</v>
      </c>
      <c r="E174" s="17" t="str" cm="1">
        <f t="array" ref="E174">IF(C174=0,"",
HYPERLINK(
"#'2026 Orders'!C"&amp;
MATCH(1,
('2026 Orders'!C:C=C174)*
('2026 Orders'!G:G=G174)*
('2026 Orders'!N:N=N174),
0),
"Open "&amp;C174
))</f>
        <v>Open A4592</v>
      </c>
      <c r="F174" s="14">
        <v>0</v>
      </c>
      <c r="G174" s="14" t="str">
        <f>'2026 Orders'!G173</f>
        <v>NERUFLX-60-FD</v>
      </c>
      <c r="H174" s="14" t="str">
        <f>'2026 Orders'!H173</f>
        <v>NERUFLX-60</v>
      </c>
      <c r="I174" s="15" t="str">
        <f>'2026 Orders'!I173</f>
        <v>FD</v>
      </c>
      <c r="J174" s="14">
        <f>'2026 Orders'!J173</f>
        <v>100</v>
      </c>
      <c r="K174" t="s">
        <v>424</v>
      </c>
      <c r="L174">
        <v>100</v>
      </c>
      <c r="M174">
        <v>0</v>
      </c>
      <c r="N174" s="10" t="str">
        <f>'2026 Orders'!N173</f>
        <v>D/W Sent</v>
      </c>
      <c r="O174">
        <v>0</v>
      </c>
      <c r="P174" t="s">
        <v>1077</v>
      </c>
      <c r="Q174">
        <v>604776739517</v>
      </c>
      <c r="R174">
        <v>7000</v>
      </c>
      <c r="S174">
        <v>5027</v>
      </c>
      <c r="T174" t="s">
        <v>1079</v>
      </c>
      <c r="U174" t="s">
        <v>1092</v>
      </c>
      <c r="V174">
        <v>0</v>
      </c>
      <c r="W174">
        <v>0</v>
      </c>
      <c r="X174">
        <v>0</v>
      </c>
      <c r="Y174">
        <v>0</v>
      </c>
      <c r="Z174">
        <v>0</v>
      </c>
      <c r="AC174" t="str">
        <f t="shared" si="4"/>
        <v>100/</v>
      </c>
      <c r="AD174" t="e">
        <f t="shared" si="5"/>
        <v>#VALUE!</v>
      </c>
    </row>
    <row r="175" spans="1:30" ht="33" hidden="1" customHeight="1" x14ac:dyDescent="0.3">
      <c r="A175">
        <v>46098</v>
      </c>
      <c r="B175" s="14">
        <f>'2026 Orders'!B174</f>
        <v>0</v>
      </c>
      <c r="C175" s="14">
        <f>'2026 Orders'!C174</f>
        <v>0</v>
      </c>
      <c r="D175" s="14">
        <v>0</v>
      </c>
      <c r="E175" s="17" t="str" cm="1">
        <f t="array" ref="E175">IF(C175=0,"",
HYPERLINK(
"#'2026 Orders'!C"&amp;
MATCH(1,
('2026 Orders'!C:C=C175)*
('2026 Orders'!G:G=G175)*
('2026 Orders'!N:N=N175),
0),
"Open "&amp;C175
))</f>
        <v/>
      </c>
      <c r="F175" s="14">
        <v>0</v>
      </c>
      <c r="G175" s="14">
        <f>'2026 Orders'!G174</f>
        <v>0</v>
      </c>
      <c r="H175" s="14">
        <f>'2026 Orders'!H174</f>
        <v>0</v>
      </c>
      <c r="I175" s="15" t="str">
        <f>'2026 Orders'!I174</f>
        <v/>
      </c>
      <c r="J175" s="14">
        <f>'2026 Orders'!J174</f>
        <v>0</v>
      </c>
      <c r="K175">
        <v>0</v>
      </c>
      <c r="L175">
        <v>0</v>
      </c>
      <c r="M175">
        <v>0</v>
      </c>
      <c r="N175" s="10">
        <f>'2026 Orders'!N174</f>
        <v>0</v>
      </c>
      <c r="O175" t="s">
        <v>1128</v>
      </c>
      <c r="P175" t="s">
        <v>1085</v>
      </c>
      <c r="Q175">
        <v>810131199531</v>
      </c>
      <c r="R175">
        <v>10156</v>
      </c>
      <c r="S175">
        <v>5069</v>
      </c>
      <c r="T175" t="s">
        <v>1103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C175" t="str">
        <f t="shared" si="4"/>
        <v/>
      </c>
      <c r="AD175" t="str">
        <f t="shared" si="5"/>
        <v/>
      </c>
    </row>
    <row r="176" spans="1:30" ht="33" hidden="1" customHeight="1" x14ac:dyDescent="0.3">
      <c r="A176">
        <v>45981</v>
      </c>
      <c r="B176" s="14" t="str">
        <f>'2026 Orders'!B175</f>
        <v>Chad</v>
      </c>
      <c r="C176" s="14" t="str">
        <f>'2026 Orders'!C175</f>
        <v>A4647</v>
      </c>
      <c r="D176" s="14">
        <v>0</v>
      </c>
      <c r="E176" s="17" t="str" cm="1">
        <f t="array" ref="E176">IF(C176=0,"",
HYPERLINK(
"#'2026 Orders'!C"&amp;
MATCH(1,
('2026 Orders'!C:C=C176)*
('2026 Orders'!G:G=G176)*
('2026 Orders'!N:N=N176),
0),
"Open "&amp;C176
))</f>
        <v>Open A4647</v>
      </c>
      <c r="F176" s="14">
        <v>0</v>
      </c>
      <c r="G176" s="14" t="str">
        <f>'2026 Orders'!G175</f>
        <v>PEDIAIR-50-CS-CH</v>
      </c>
      <c r="H176" s="14" t="str">
        <f>'2026 Orders'!H175</f>
        <v>PEDIAIR-50</v>
      </c>
      <c r="I176" s="15" t="str">
        <f>'2026 Orders'!I175</f>
        <v>CH</v>
      </c>
      <c r="J176" s="14">
        <f>'2026 Orders'!J175</f>
        <v>10</v>
      </c>
      <c r="K176" t="s">
        <v>692</v>
      </c>
      <c r="L176">
        <v>0</v>
      </c>
      <c r="M176">
        <v>5</v>
      </c>
      <c r="N176" s="10" t="str">
        <f>'2026 Orders'!N175</f>
        <v>PO submitted</v>
      </c>
      <c r="O176">
        <v>0</v>
      </c>
      <c r="P176" t="s">
        <v>1085</v>
      </c>
      <c r="Q176" t="s">
        <v>1157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C176" t="str">
        <f t="shared" si="4"/>
        <v>10/</v>
      </c>
      <c r="AD176" t="e">
        <f t="shared" si="5"/>
        <v>#VALUE!</v>
      </c>
    </row>
    <row r="177" spans="1:30" ht="33" hidden="1" customHeight="1" x14ac:dyDescent="0.3">
      <c r="A177">
        <v>46112</v>
      </c>
      <c r="B177" s="14">
        <f>'2026 Orders'!B176</f>
        <v>0</v>
      </c>
      <c r="C177" s="14">
        <f>'2026 Orders'!C176</f>
        <v>0</v>
      </c>
      <c r="D177" s="14">
        <v>0</v>
      </c>
      <c r="E177" s="17" t="str" cm="1">
        <f t="array" ref="E177">IF(C177=0,"",
HYPERLINK(
"#'2026 Orders'!C"&amp;
MATCH(1,
('2026 Orders'!C:C=C177)*
('2026 Orders'!G:G=G177)*
('2026 Orders'!N:N=N177),
0),
"Open "&amp;C177
))</f>
        <v/>
      </c>
      <c r="F177" s="14">
        <v>0</v>
      </c>
      <c r="G177" s="14">
        <f>'2026 Orders'!G176</f>
        <v>0</v>
      </c>
      <c r="H177" s="14">
        <f>'2026 Orders'!H176</f>
        <v>0</v>
      </c>
      <c r="I177" s="15" t="str">
        <f>'2026 Orders'!I176</f>
        <v/>
      </c>
      <c r="J177" s="14">
        <f>'2026 Orders'!J176</f>
        <v>0</v>
      </c>
      <c r="K177">
        <v>0</v>
      </c>
      <c r="L177">
        <v>0</v>
      </c>
      <c r="M177">
        <v>0</v>
      </c>
      <c r="N177" s="10">
        <f>'2026 Orders'!N176</f>
        <v>0</v>
      </c>
      <c r="O177">
        <v>0</v>
      </c>
      <c r="P177" t="s">
        <v>1077</v>
      </c>
      <c r="Q177">
        <v>604776739258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C177" t="str">
        <f t="shared" si="4"/>
        <v/>
      </c>
      <c r="AD177" t="str">
        <f t="shared" si="5"/>
        <v/>
      </c>
    </row>
    <row r="178" spans="1:30" ht="33" hidden="1" customHeight="1" x14ac:dyDescent="0.3">
      <c r="A178">
        <v>0</v>
      </c>
      <c r="B178" s="14" t="str">
        <f>'2026 Orders'!B177</f>
        <v>Iraq</v>
      </c>
      <c r="C178" s="14" t="str">
        <f>'2026 Orders'!C177</f>
        <v>A4610</v>
      </c>
      <c r="D178" s="14" t="s">
        <v>694</v>
      </c>
      <c r="E178" s="17" t="str" cm="1">
        <f t="array" ref="E178">IF(C178=0,"",
HYPERLINK(
"#'2026 Orders'!C"&amp;
MATCH(1,
('2026 Orders'!C:C=C178)*
('2026 Orders'!G:G=G178)*
('2026 Orders'!N:N=N178),
0),
"Open "&amp;C178
))</f>
        <v>Open A4610</v>
      </c>
      <c r="F178" s="14" t="s">
        <v>696</v>
      </c>
      <c r="G178" s="14" t="str">
        <f>'2026 Orders'!G177</f>
        <v>OMEGA3-40-CS-IQ</v>
      </c>
      <c r="H178" s="14" t="str">
        <f>'2026 Orders'!H177</f>
        <v>OMEGA3-40</v>
      </c>
      <c r="I178" s="15" t="str">
        <f>'2026 Orders'!I177</f>
        <v>IQ</v>
      </c>
      <c r="J178" s="14">
        <f>'2026 Orders'!J177</f>
        <v>62962</v>
      </c>
      <c r="K178" t="s">
        <v>697</v>
      </c>
      <c r="L178">
        <v>0</v>
      </c>
      <c r="M178">
        <v>62962</v>
      </c>
      <c r="N178" s="10" t="str">
        <f>'2026 Orders'!N177</f>
        <v>ON HOLD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C178" t="str">
        <f t="shared" si="4"/>
        <v>62962/</v>
      </c>
      <c r="AD178" t="e">
        <f t="shared" si="5"/>
        <v>#VALUE!</v>
      </c>
    </row>
    <row r="179" spans="1:30" ht="33" hidden="1" customHeight="1" x14ac:dyDescent="0.3">
      <c r="A179">
        <v>46108</v>
      </c>
      <c r="B179" s="14" t="str">
        <f>'2026 Orders'!B178</f>
        <v>Iraq</v>
      </c>
      <c r="C179" s="14" t="str">
        <f>'2026 Orders'!C178</f>
        <v>A4610</v>
      </c>
      <c r="D179" s="14" t="s">
        <v>694</v>
      </c>
      <c r="E179" s="17" t="str" cm="1">
        <f t="array" ref="E179">IF(C179=0,"",
HYPERLINK(
"#'2026 Orders'!C"&amp;
MATCH(1,
('2026 Orders'!C:C=C179)*
('2026 Orders'!G:G=G179)*
('2026 Orders'!N:N=N179),
0),
"Open "&amp;C179
))</f>
        <v>Open A4610</v>
      </c>
      <c r="F179" s="14" t="s">
        <v>698</v>
      </c>
      <c r="G179" s="14" t="str">
        <f>'2026 Orders'!G178</f>
        <v>ZINC50-30-CS-IQ</v>
      </c>
      <c r="H179" s="14" t="str">
        <f>'2026 Orders'!H178</f>
        <v>ZINC50-30</v>
      </c>
      <c r="I179" s="15" t="str">
        <f>'2026 Orders'!I178</f>
        <v>IQ</v>
      </c>
      <c r="J179" s="14">
        <f>'2026 Orders'!J178</f>
        <v>50000</v>
      </c>
      <c r="K179" t="s">
        <v>699</v>
      </c>
      <c r="L179">
        <v>0</v>
      </c>
      <c r="M179">
        <v>50000</v>
      </c>
      <c r="N179" s="10" t="str">
        <f>'2026 Orders'!N178</f>
        <v>ON HOLD</v>
      </c>
      <c r="O179">
        <v>46146</v>
      </c>
      <c r="P179" t="s">
        <v>1077</v>
      </c>
      <c r="Q179">
        <v>604776739524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 t="s">
        <v>1083</v>
      </c>
      <c r="AC179" t="str">
        <f t="shared" si="4"/>
        <v>50000/</v>
      </c>
      <c r="AD179" t="e">
        <f t="shared" si="5"/>
        <v>#VALUE!</v>
      </c>
    </row>
    <row r="180" spans="1:30" ht="33" hidden="1" customHeight="1" x14ac:dyDescent="0.3">
      <c r="A180">
        <v>46108</v>
      </c>
      <c r="B180" s="14">
        <f>'2026 Orders'!B179</f>
        <v>0</v>
      </c>
      <c r="C180" s="14">
        <f>'2026 Orders'!C179</f>
        <v>0</v>
      </c>
      <c r="D180" s="14">
        <v>0</v>
      </c>
      <c r="E180" s="17" t="str" cm="1">
        <f t="array" ref="E180">IF(C180=0,"",
HYPERLINK(
"#'2026 Orders'!C"&amp;
MATCH(1,
('2026 Orders'!C:C=C180)*
('2026 Orders'!G:G=G180)*
('2026 Orders'!N:N=N180),
0),
"Open "&amp;C180
))</f>
        <v/>
      </c>
      <c r="F180" s="14">
        <v>0</v>
      </c>
      <c r="G180" s="14">
        <f>'2026 Orders'!G179</f>
        <v>0</v>
      </c>
      <c r="H180" s="14">
        <f>'2026 Orders'!H179</f>
        <v>0</v>
      </c>
      <c r="I180" s="15" t="str">
        <f>'2026 Orders'!I179</f>
        <v/>
      </c>
      <c r="J180" s="14">
        <f>'2026 Orders'!J179</f>
        <v>0</v>
      </c>
      <c r="K180">
        <v>0</v>
      </c>
      <c r="L180">
        <v>0</v>
      </c>
      <c r="M180">
        <v>0</v>
      </c>
      <c r="N180" s="10">
        <f>'2026 Orders'!N179</f>
        <v>0</v>
      </c>
      <c r="O180">
        <v>0</v>
      </c>
      <c r="P180" t="s">
        <v>1077</v>
      </c>
      <c r="Q180">
        <v>604776736882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C180" t="str">
        <f t="shared" si="4"/>
        <v/>
      </c>
      <c r="AD180" t="str">
        <f t="shared" si="5"/>
        <v/>
      </c>
    </row>
    <row r="181" spans="1:30" ht="33" hidden="1" customHeight="1" x14ac:dyDescent="0.3">
      <c r="A181">
        <v>46108</v>
      </c>
      <c r="B181" s="14" t="str">
        <f>'2026 Orders'!B180</f>
        <v>Botswana</v>
      </c>
      <c r="C181" s="14" t="str">
        <f>'2026 Orders'!C180</f>
        <v>A4611</v>
      </c>
      <c r="D181" s="14" t="s">
        <v>619</v>
      </c>
      <c r="E181" s="17" t="str" cm="1">
        <f t="array" ref="E181">IF(C181=0,"",
HYPERLINK(
"#'2026 Orders'!C"&amp;
MATCH(1,
('2026 Orders'!C:C=C181)*
('2026 Orders'!G:G=G181)*
('2026 Orders'!N:N=N181),
0),
"Open "&amp;C181
))</f>
        <v>Open A4611</v>
      </c>
      <c r="F181" s="14">
        <v>0</v>
      </c>
      <c r="G181" s="14" t="str">
        <f>'2026 Orders'!G180</f>
        <v>GINKGO-60-FD</v>
      </c>
      <c r="H181" s="14" t="str">
        <f>'2026 Orders'!H180</f>
        <v>GINKGO-60</v>
      </c>
      <c r="I181" s="15" t="str">
        <f>'2026 Orders'!I180</f>
        <v>FD</v>
      </c>
      <c r="J181" s="14">
        <f>'2026 Orders'!J180</f>
        <v>40</v>
      </c>
      <c r="K181" t="s">
        <v>598</v>
      </c>
      <c r="L181">
        <v>40</v>
      </c>
      <c r="M181">
        <v>0</v>
      </c>
      <c r="N181" s="10" t="str">
        <f>'2026 Orders'!N180</f>
        <v>D/W Sent</v>
      </c>
      <c r="O181">
        <v>0</v>
      </c>
      <c r="P181" t="s">
        <v>1085</v>
      </c>
      <c r="Q181">
        <v>604776736905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C181" t="str">
        <f t="shared" si="4"/>
        <v>40/</v>
      </c>
      <c r="AD181" t="e">
        <f t="shared" si="5"/>
        <v>#VALUE!</v>
      </c>
    </row>
    <row r="182" spans="1:30" ht="33" hidden="1" customHeight="1" x14ac:dyDescent="0.3">
      <c r="A182">
        <v>46191</v>
      </c>
      <c r="B182" s="14" t="str">
        <f>'2026 Orders'!B181</f>
        <v>Botswana</v>
      </c>
      <c r="C182" s="14" t="str">
        <f>'2026 Orders'!C181</f>
        <v>A4611</v>
      </c>
      <c r="D182" s="14">
        <v>0</v>
      </c>
      <c r="E182" s="17" t="str" cm="1">
        <f t="array" ref="E182">IF(C182=0,"",
HYPERLINK(
"#'2026 Orders'!C"&amp;
MATCH(1,
('2026 Orders'!C:C=C182)*
('2026 Orders'!G:G=G182)*
('2026 Orders'!N:N=N182),
0),
"Open "&amp;C182
))</f>
        <v>Open A4611</v>
      </c>
      <c r="F182" s="14">
        <v>0</v>
      </c>
      <c r="G182" s="14" t="str">
        <f>'2026 Orders'!G181</f>
        <v>XTRAD10-60-FD</v>
      </c>
      <c r="H182" s="14" t="str">
        <f>'2026 Orders'!H181</f>
        <v>XTRAD10-60</v>
      </c>
      <c r="I182" s="15" t="str">
        <f>'2026 Orders'!I181</f>
        <v>FD</v>
      </c>
      <c r="J182" s="14">
        <f>'2026 Orders'!J181</f>
        <v>1200</v>
      </c>
      <c r="K182" t="s">
        <v>622</v>
      </c>
      <c r="L182">
        <v>1200</v>
      </c>
      <c r="M182">
        <v>0</v>
      </c>
      <c r="N182" s="10" t="str">
        <f>'2026 Orders'!N181</f>
        <v>D/W Sent</v>
      </c>
      <c r="O182">
        <v>0</v>
      </c>
      <c r="P182" t="s">
        <v>1077</v>
      </c>
      <c r="Q182">
        <v>604776736998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C182" t="str">
        <f t="shared" si="4"/>
        <v>1200/</v>
      </c>
      <c r="AD182" t="e">
        <f t="shared" si="5"/>
        <v>#VALUE!</v>
      </c>
    </row>
    <row r="183" spans="1:30" ht="33" hidden="1" customHeight="1" x14ac:dyDescent="0.3">
      <c r="A183">
        <v>0</v>
      </c>
      <c r="B183" s="14" t="str">
        <f>'2026 Orders'!B182</f>
        <v>Botswana</v>
      </c>
      <c r="C183" s="14" t="str">
        <f>'2026 Orders'!C182</f>
        <v>A4611</v>
      </c>
      <c r="D183" s="14">
        <v>0</v>
      </c>
      <c r="E183" s="17" t="str" cm="1">
        <f t="array" ref="E183">IF(C183=0,"",
HYPERLINK(
"#'2026 Orders'!C"&amp;
MATCH(1,
('2026 Orders'!C:C=C183)*
('2026 Orders'!G:G=G183)*
('2026 Orders'!N:N=N183),
0),
"Open "&amp;C183
))</f>
        <v>Open A4611</v>
      </c>
      <c r="F183" s="14">
        <v>0</v>
      </c>
      <c r="G183" s="14" t="str">
        <f>'2026 Orders'!G182</f>
        <v>MOTILMX-60-FD</v>
      </c>
      <c r="H183" s="14" t="str">
        <f>'2026 Orders'!H182</f>
        <v>MOTILMX-60</v>
      </c>
      <c r="I183" s="15" t="str">
        <f>'2026 Orders'!I182</f>
        <v>FD</v>
      </c>
      <c r="J183" s="14">
        <f>'2026 Orders'!J182</f>
        <v>100</v>
      </c>
      <c r="K183" t="s">
        <v>460</v>
      </c>
      <c r="L183">
        <v>100</v>
      </c>
      <c r="M183">
        <v>0</v>
      </c>
      <c r="N183" s="10" t="str">
        <f>'2026 Orders'!N182</f>
        <v>D/W Sent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C183" t="str">
        <f t="shared" si="4"/>
        <v>100/</v>
      </c>
      <c r="AD183" t="e">
        <f t="shared" si="5"/>
        <v>#VALUE!</v>
      </c>
    </row>
    <row r="184" spans="1:30" ht="33" hidden="1" customHeight="1" x14ac:dyDescent="0.3">
      <c r="A184">
        <v>46113</v>
      </c>
      <c r="B184" s="14" t="str">
        <f>'2026 Orders'!B183</f>
        <v>Botswana</v>
      </c>
      <c r="C184" s="14" t="str">
        <f>'2026 Orders'!C183</f>
        <v>A4611</v>
      </c>
      <c r="D184" s="14">
        <v>0</v>
      </c>
      <c r="E184" s="17" t="str" cm="1">
        <f t="array" ref="E184">IF(C184=0,"",
HYPERLINK(
"#'2026 Orders'!C"&amp;
MATCH(1,
('2026 Orders'!C:C=C184)*
('2026 Orders'!G:G=G184)*
('2026 Orders'!N:N=N184),
0),
"Open "&amp;C184
))</f>
        <v>Open A4611</v>
      </c>
      <c r="F184" s="14">
        <v>0</v>
      </c>
      <c r="G184" s="14" t="str">
        <f>'2026 Orders'!G183</f>
        <v>MFSPLS-120-FD</v>
      </c>
      <c r="H184" s="14" t="str">
        <f>'2026 Orders'!H183</f>
        <v>MFSPLS-120</v>
      </c>
      <c r="I184" s="15" t="str">
        <f>'2026 Orders'!I183</f>
        <v>FD</v>
      </c>
      <c r="J184" s="14">
        <f>'2026 Orders'!J183</f>
        <v>80</v>
      </c>
      <c r="K184" t="s">
        <v>462</v>
      </c>
      <c r="L184">
        <v>80</v>
      </c>
      <c r="M184">
        <v>0</v>
      </c>
      <c r="N184" s="10" t="str">
        <f>'2026 Orders'!N183</f>
        <v>D/W Sent</v>
      </c>
      <c r="O184">
        <v>46119</v>
      </c>
      <c r="P184" t="s">
        <v>1085</v>
      </c>
      <c r="Q184" t="s">
        <v>1157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 t="s">
        <v>1083</v>
      </c>
      <c r="AC184" t="str">
        <f t="shared" si="4"/>
        <v>80/</v>
      </c>
      <c r="AD184" t="e">
        <f t="shared" si="5"/>
        <v>#VALUE!</v>
      </c>
    </row>
    <row r="185" spans="1:30" ht="33" hidden="1" customHeight="1" x14ac:dyDescent="0.3">
      <c r="A185">
        <v>0</v>
      </c>
      <c r="B185" s="14" t="str">
        <f>'2026 Orders'!B184</f>
        <v>Botswana</v>
      </c>
      <c r="C185" s="14" t="str">
        <f>'2026 Orders'!C184</f>
        <v>A4611</v>
      </c>
      <c r="D185" s="14">
        <v>0</v>
      </c>
      <c r="E185" s="17" t="str" cm="1">
        <f t="array" ref="E185">IF(C185=0,"",
HYPERLINK(
"#'2026 Orders'!C"&amp;
MATCH(1,
('2026 Orders'!C:C=C185)*
('2026 Orders'!G:G=G185)*
('2026 Orders'!N:N=N185),
0),
"Open "&amp;C185
))</f>
        <v>Open A4611</v>
      </c>
      <c r="F185" s="14">
        <v>0</v>
      </c>
      <c r="G185" s="14" t="str">
        <f>'2026 Orders'!G184</f>
        <v>FIBRO-60-FD</v>
      </c>
      <c r="H185" s="14" t="str">
        <f>'2026 Orders'!H184</f>
        <v>FIBRO-60</v>
      </c>
      <c r="I185" s="15" t="str">
        <f>'2026 Orders'!I184</f>
        <v>FD</v>
      </c>
      <c r="J185" s="14">
        <f>'2026 Orders'!J184</f>
        <v>60</v>
      </c>
      <c r="K185" t="s">
        <v>623</v>
      </c>
      <c r="L185">
        <v>60</v>
      </c>
      <c r="M185">
        <v>0</v>
      </c>
      <c r="N185" s="10" t="str">
        <f>'2026 Orders'!N184</f>
        <v>D/W Sent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C185" t="str">
        <f t="shared" si="4"/>
        <v>60/</v>
      </c>
      <c r="AD185" t="e">
        <f t="shared" si="5"/>
        <v>#VALUE!</v>
      </c>
    </row>
    <row r="186" spans="1:30" ht="33" hidden="1" customHeight="1" x14ac:dyDescent="0.3">
      <c r="A186">
        <v>46121</v>
      </c>
      <c r="B186" s="14" t="str">
        <f>'2026 Orders'!B185</f>
        <v>Botswana</v>
      </c>
      <c r="C186" s="14" t="str">
        <f>'2026 Orders'!C185</f>
        <v>A4611</v>
      </c>
      <c r="D186" s="14">
        <v>0</v>
      </c>
      <c r="E186" s="17" t="str" cm="1">
        <f t="array" ref="E186">IF(C186=0,"",
HYPERLINK(
"#'2026 Orders'!C"&amp;
MATCH(1,
('2026 Orders'!C:C=C186)*
('2026 Orders'!G:G=G186)*
('2026 Orders'!N:N=N186),
0),
"Open "&amp;C186
))</f>
        <v>Open A4611</v>
      </c>
      <c r="F186" s="14">
        <v>0</v>
      </c>
      <c r="G186" s="14" t="str">
        <f>'2026 Orders'!G185</f>
        <v>DHEA50-60-FD</v>
      </c>
      <c r="H186" s="14" t="str">
        <f>'2026 Orders'!H185</f>
        <v>DHEA50-60</v>
      </c>
      <c r="I186" s="15" t="str">
        <f>'2026 Orders'!I185</f>
        <v>FD</v>
      </c>
      <c r="J186" s="14">
        <f>'2026 Orders'!J185</f>
        <v>60</v>
      </c>
      <c r="K186" t="s">
        <v>453</v>
      </c>
      <c r="L186">
        <v>60</v>
      </c>
      <c r="M186">
        <v>0</v>
      </c>
      <c r="N186" s="10" t="str">
        <f>'2026 Orders'!N185</f>
        <v>D/W Sent</v>
      </c>
      <c r="O186">
        <v>0</v>
      </c>
      <c r="P186" t="s">
        <v>1077</v>
      </c>
      <c r="Q186">
        <v>604776738763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 t="s">
        <v>1086</v>
      </c>
      <c r="AC186" t="str">
        <f t="shared" si="4"/>
        <v>60/</v>
      </c>
      <c r="AD186" t="e">
        <f t="shared" si="5"/>
        <v>#VALUE!</v>
      </c>
    </row>
    <row r="187" spans="1:30" ht="33" hidden="1" customHeight="1" x14ac:dyDescent="0.3">
      <c r="A187">
        <v>46121</v>
      </c>
      <c r="B187" s="14" t="str">
        <f>'2026 Orders'!B186</f>
        <v>Botswana</v>
      </c>
      <c r="C187" s="14" t="str">
        <f>'2026 Orders'!C186</f>
        <v>A4611</v>
      </c>
      <c r="D187" s="14">
        <v>0</v>
      </c>
      <c r="E187" s="17" t="str" cm="1">
        <f t="array" ref="E187">IF(C187=0,"",
HYPERLINK(
"#'2026 Orders'!C"&amp;
MATCH(1,
('2026 Orders'!C:C=C187)*
('2026 Orders'!G:G=G187)*
('2026 Orders'!N:N=N187),
0),
"Open "&amp;C187
))</f>
        <v>Open A4611</v>
      </c>
      <c r="F187" s="14">
        <v>0</v>
      </c>
      <c r="G187" s="14" t="str">
        <f>'2026 Orders'!G186</f>
        <v>SPERMCT-60-FD</v>
      </c>
      <c r="H187" s="14" t="str">
        <f>'2026 Orders'!H186</f>
        <v>SPERMCT-60</v>
      </c>
      <c r="I187" s="15" t="str">
        <f>'2026 Orders'!I186</f>
        <v>FD</v>
      </c>
      <c r="J187" s="14">
        <f>'2026 Orders'!J186</f>
        <v>50</v>
      </c>
      <c r="K187" t="s">
        <v>435</v>
      </c>
      <c r="L187">
        <v>50</v>
      </c>
      <c r="M187">
        <v>0</v>
      </c>
      <c r="N187" s="10" t="str">
        <f>'2026 Orders'!N186</f>
        <v>D/W Sent</v>
      </c>
      <c r="O187">
        <v>0</v>
      </c>
      <c r="P187" t="s">
        <v>1077</v>
      </c>
      <c r="Q187">
        <v>604776738749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C187" t="str">
        <f t="shared" si="4"/>
        <v>50/</v>
      </c>
      <c r="AD187" t="e">
        <f t="shared" si="5"/>
        <v>#VALUE!</v>
      </c>
    </row>
    <row r="188" spans="1:30" ht="33" hidden="1" customHeight="1" x14ac:dyDescent="0.3">
      <c r="A188">
        <v>46121</v>
      </c>
      <c r="B188" s="14" t="str">
        <f>'2026 Orders'!B187</f>
        <v>Botswana</v>
      </c>
      <c r="C188" s="14" t="str">
        <f>'2026 Orders'!C187</f>
        <v>A4611</v>
      </c>
      <c r="D188" s="14">
        <v>0</v>
      </c>
      <c r="E188" s="17" t="str" cm="1">
        <f t="array" ref="E188">IF(C188=0,"",
HYPERLINK(
"#'2026 Orders'!C"&amp;
MATCH(1,
('2026 Orders'!C:C=C188)*
('2026 Orders'!G:G=G188)*
('2026 Orders'!N:N=N188),
0),
"Open "&amp;C188
))</f>
        <v>Open A4611</v>
      </c>
      <c r="F188" s="14">
        <v>49241225</v>
      </c>
      <c r="G188" s="14" t="str">
        <f>'2026 Orders'!G187</f>
        <v>CAVIN-60-FD</v>
      </c>
      <c r="H188" s="14" t="str">
        <f>'2026 Orders'!H187</f>
        <v>CAVIN-60</v>
      </c>
      <c r="I188" s="15" t="str">
        <f>'2026 Orders'!I187</f>
        <v>FD</v>
      </c>
      <c r="J188" s="14">
        <f>'2026 Orders'!J187</f>
        <v>46</v>
      </c>
      <c r="K188" t="s">
        <v>625</v>
      </c>
      <c r="L188">
        <v>46</v>
      </c>
      <c r="M188">
        <v>0</v>
      </c>
      <c r="N188" s="10" t="str">
        <f>'2026 Orders'!N187</f>
        <v>D/W Sent</v>
      </c>
      <c r="O188">
        <v>0</v>
      </c>
      <c r="P188" t="s">
        <v>1077</v>
      </c>
      <c r="Q188">
        <v>604776738695</v>
      </c>
      <c r="R188">
        <v>7000</v>
      </c>
      <c r="S188">
        <v>5027</v>
      </c>
      <c r="T188" t="s">
        <v>1079</v>
      </c>
      <c r="U188" t="s">
        <v>1092</v>
      </c>
      <c r="V188">
        <v>0</v>
      </c>
      <c r="W188">
        <v>0</v>
      </c>
      <c r="X188">
        <v>0</v>
      </c>
      <c r="Y188">
        <v>0</v>
      </c>
      <c r="Z188">
        <v>0</v>
      </c>
      <c r="AC188" t="str">
        <f t="shared" si="4"/>
        <v>46/</v>
      </c>
      <c r="AD188" t="e">
        <f t="shared" si="5"/>
        <v>#VALUE!</v>
      </c>
    </row>
    <row r="189" spans="1:30" ht="33" hidden="1" customHeight="1" x14ac:dyDescent="0.3">
      <c r="A189">
        <v>46121</v>
      </c>
      <c r="B189" s="14" t="str">
        <f>'2026 Orders'!B188</f>
        <v>Botswana</v>
      </c>
      <c r="C189" s="14" t="str">
        <f>'2026 Orders'!C188</f>
        <v>A4611</v>
      </c>
      <c r="D189" s="14">
        <v>0</v>
      </c>
      <c r="E189" s="17" t="str" cm="1">
        <f t="array" ref="E189">IF(C189=0,"",
HYPERLINK(
"#'2026 Orders'!C"&amp;
MATCH(1,
('2026 Orders'!C:C=C189)*
('2026 Orders'!G:G=G189)*
('2026 Orders'!N:N=N189),
0),
"Open "&amp;C189
))</f>
        <v>Open A4611</v>
      </c>
      <c r="F189" s="14">
        <v>0</v>
      </c>
      <c r="G189" s="14" t="str">
        <f>'2026 Orders'!G188</f>
        <v>CAVIN-60-FD</v>
      </c>
      <c r="H189" s="14" t="str">
        <f>'2026 Orders'!H188</f>
        <v>CAVIN-60</v>
      </c>
      <c r="I189" s="15" t="str">
        <f>'2026 Orders'!I188</f>
        <v>FD</v>
      </c>
      <c r="J189" s="14">
        <f>'2026 Orders'!J188</f>
        <v>12</v>
      </c>
      <c r="K189" t="s">
        <v>625</v>
      </c>
      <c r="L189">
        <v>12</v>
      </c>
      <c r="M189">
        <v>0</v>
      </c>
      <c r="N189" s="10" t="str">
        <f>'2026 Orders'!N188</f>
        <v>D/W Sent</v>
      </c>
      <c r="O189">
        <v>0</v>
      </c>
      <c r="P189" t="s">
        <v>1077</v>
      </c>
      <c r="Q189">
        <v>604776738817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C189" t="str">
        <f t="shared" si="4"/>
        <v>12/</v>
      </c>
      <c r="AD189" t="e">
        <f t="shared" si="5"/>
        <v>#VALUE!</v>
      </c>
    </row>
    <row r="190" spans="1:30" ht="33" hidden="1" customHeight="1" x14ac:dyDescent="0.3">
      <c r="A190">
        <v>46121</v>
      </c>
      <c r="B190" s="14" t="str">
        <f>'2026 Orders'!B189</f>
        <v>Botswana</v>
      </c>
      <c r="C190" s="14" t="str">
        <f>'2026 Orders'!C189</f>
        <v>A4611</v>
      </c>
      <c r="D190" s="14">
        <v>0</v>
      </c>
      <c r="E190" s="17" t="str" cm="1">
        <f t="array" ref="E190">IF(C190=0,"",
HYPERLINK(
"#'2026 Orders'!C"&amp;
MATCH(1,
('2026 Orders'!C:C=C190)*
('2026 Orders'!G:G=G190)*
('2026 Orders'!N:N=N190),
0),
"Open "&amp;C190
))</f>
        <v>Open A4611</v>
      </c>
      <c r="F190" s="14">
        <v>0</v>
      </c>
      <c r="G190" s="14" t="str">
        <f>'2026 Orders'!G189</f>
        <v>OME369-90-FD</v>
      </c>
      <c r="H190" s="14" t="str">
        <f>'2026 Orders'!H189</f>
        <v>OME369-90</v>
      </c>
      <c r="I190" s="15" t="str">
        <f>'2026 Orders'!I189</f>
        <v>FD</v>
      </c>
      <c r="J190" s="14">
        <f>'2026 Orders'!J189</f>
        <v>60</v>
      </c>
      <c r="K190" t="s">
        <v>702</v>
      </c>
      <c r="L190">
        <v>60</v>
      </c>
      <c r="M190">
        <v>0</v>
      </c>
      <c r="N190" s="10" t="str">
        <f>'2026 Orders'!N189</f>
        <v>D/W Sent</v>
      </c>
      <c r="O190">
        <v>0</v>
      </c>
      <c r="P190" t="s">
        <v>1077</v>
      </c>
      <c r="Q190">
        <v>604776738725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C190" t="str">
        <f t="shared" si="4"/>
        <v>60/</v>
      </c>
      <c r="AD190" t="e">
        <f t="shared" si="5"/>
        <v>#VALUE!</v>
      </c>
    </row>
    <row r="191" spans="1:30" ht="33" hidden="1" customHeight="1" x14ac:dyDescent="0.3">
      <c r="A191">
        <v>46121</v>
      </c>
      <c r="B191" s="14">
        <f>'2026 Orders'!B190</f>
        <v>0</v>
      </c>
      <c r="C191" s="14">
        <f>'2026 Orders'!C190</f>
        <v>0</v>
      </c>
      <c r="D191" s="14">
        <v>0</v>
      </c>
      <c r="E191" s="17" t="str" cm="1">
        <f t="array" ref="E191">IF(C191=0,"",
HYPERLINK(
"#'2026 Orders'!C"&amp;
MATCH(1,
('2026 Orders'!C:C=C191)*
('2026 Orders'!G:G=G191)*
('2026 Orders'!N:N=N191),
0),
"Open "&amp;C191
))</f>
        <v/>
      </c>
      <c r="F191" s="14">
        <v>0</v>
      </c>
      <c r="G191" s="14">
        <f>'2026 Orders'!G190</f>
        <v>0</v>
      </c>
      <c r="H191" s="14">
        <f>'2026 Orders'!H190</f>
        <v>0</v>
      </c>
      <c r="I191" s="15" t="str">
        <f>'2026 Orders'!I190</f>
        <v/>
      </c>
      <c r="J191" s="14">
        <f>'2026 Orders'!J190</f>
        <v>0</v>
      </c>
      <c r="K191">
        <v>0</v>
      </c>
      <c r="L191">
        <v>0</v>
      </c>
      <c r="M191">
        <v>0</v>
      </c>
      <c r="N191" s="10">
        <f>'2026 Orders'!N190</f>
        <v>0</v>
      </c>
      <c r="O191">
        <v>0</v>
      </c>
      <c r="P191" t="s">
        <v>1085</v>
      </c>
      <c r="Q191" t="s">
        <v>1158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C191" t="str">
        <f t="shared" si="4"/>
        <v/>
      </c>
      <c r="AD191" t="str">
        <f t="shared" si="5"/>
        <v/>
      </c>
    </row>
    <row r="192" spans="1:30" ht="33" hidden="1" customHeight="1" x14ac:dyDescent="0.3">
      <c r="A192">
        <v>46121</v>
      </c>
      <c r="B192" s="14" t="str">
        <f>'2026 Orders'!B191</f>
        <v>Botswana</v>
      </c>
      <c r="C192" s="14" t="str">
        <f>'2026 Orders'!C191</f>
        <v>A4612</v>
      </c>
      <c r="D192" s="14" t="s">
        <v>619</v>
      </c>
      <c r="E192" s="17" t="str" cm="1">
        <f t="array" ref="E192">IF(C192=0,"",
HYPERLINK(
"#'2026 Orders'!C"&amp;
MATCH(1,
('2026 Orders'!C:C=C192)*
('2026 Orders'!G:G=G192)*
('2026 Orders'!N:N=N192),
0),
"Open "&amp;C192
))</f>
        <v>Open A4612</v>
      </c>
      <c r="F192" s="14">
        <v>0</v>
      </c>
      <c r="G192" s="14" t="str">
        <f>'2026 Orders'!G191</f>
        <v>OSTEOPL-96-FD</v>
      </c>
      <c r="H192" s="14" t="str">
        <f>'2026 Orders'!H191</f>
        <v>OSTEOPL-96</v>
      </c>
      <c r="I192" s="15" t="str">
        <f>'2026 Orders'!I191</f>
        <v>FD</v>
      </c>
      <c r="J192" s="14">
        <f>'2026 Orders'!J191</f>
        <v>40</v>
      </c>
      <c r="K192" t="s">
        <v>621</v>
      </c>
      <c r="L192">
        <v>40</v>
      </c>
      <c r="M192">
        <v>0</v>
      </c>
      <c r="N192" s="10" t="str">
        <f>'2026 Orders'!N191</f>
        <v>D/W Sent</v>
      </c>
      <c r="O192" t="s">
        <v>1128</v>
      </c>
      <c r="P192" t="s">
        <v>1085</v>
      </c>
      <c r="Q192">
        <v>810131199531</v>
      </c>
      <c r="R192">
        <v>10156</v>
      </c>
      <c r="S192">
        <v>5069</v>
      </c>
      <c r="T192" t="s">
        <v>1103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C192" t="str">
        <f t="shared" si="4"/>
        <v>40/</v>
      </c>
      <c r="AD192" t="e">
        <f t="shared" si="5"/>
        <v>#VALUE!</v>
      </c>
    </row>
    <row r="193" spans="1:30" ht="33" hidden="1" customHeight="1" x14ac:dyDescent="0.3">
      <c r="A193">
        <v>46121</v>
      </c>
      <c r="B193" s="14" t="str">
        <f>'2026 Orders'!B192</f>
        <v>Botswana</v>
      </c>
      <c r="C193" s="14" t="str">
        <f>'2026 Orders'!C192</f>
        <v>A4612</v>
      </c>
      <c r="D193" s="14">
        <v>0</v>
      </c>
      <c r="E193" s="17" t="str" cm="1">
        <f t="array" ref="E193">IF(C193=0,"",
HYPERLINK(
"#'2026 Orders'!C"&amp;
MATCH(1,
('2026 Orders'!C:C=C193)*
('2026 Orders'!G:G=G193)*
('2026 Orders'!N:N=N193),
0),
"Open "&amp;C193
))</f>
        <v>Open A4612</v>
      </c>
      <c r="F193" s="14">
        <v>0</v>
      </c>
      <c r="G193" s="14" t="str">
        <f>'2026 Orders'!G192</f>
        <v>GINKGO-60-FD</v>
      </c>
      <c r="H193" s="14" t="str">
        <f>'2026 Orders'!H192</f>
        <v>GINKGO-60</v>
      </c>
      <c r="I193" s="15" t="str">
        <f>'2026 Orders'!I192</f>
        <v>FD</v>
      </c>
      <c r="J193" s="14">
        <f>'2026 Orders'!J192</f>
        <v>50</v>
      </c>
      <c r="K193" t="s">
        <v>598</v>
      </c>
      <c r="L193">
        <v>50</v>
      </c>
      <c r="M193">
        <v>0</v>
      </c>
      <c r="N193" s="10" t="str">
        <f>'2026 Orders'!N192</f>
        <v>D/W Sent</v>
      </c>
      <c r="O193">
        <v>0</v>
      </c>
      <c r="P193" t="s">
        <v>1077</v>
      </c>
      <c r="Q193" t="s">
        <v>1118</v>
      </c>
      <c r="R193">
        <v>4000</v>
      </c>
      <c r="S193">
        <v>4973</v>
      </c>
      <c r="T193" t="s">
        <v>1103</v>
      </c>
      <c r="U193" t="s">
        <v>1159</v>
      </c>
      <c r="V193">
        <v>0</v>
      </c>
      <c r="W193">
        <v>0</v>
      </c>
      <c r="X193">
        <v>0</v>
      </c>
      <c r="Y193">
        <v>0</v>
      </c>
      <c r="Z193">
        <v>0</v>
      </c>
      <c r="AC193" t="str">
        <f t="shared" si="4"/>
        <v>50/</v>
      </c>
      <c r="AD193" t="e">
        <f t="shared" si="5"/>
        <v>#VALUE!</v>
      </c>
    </row>
    <row r="194" spans="1:30" ht="33" hidden="1" customHeight="1" x14ac:dyDescent="0.3">
      <c r="A194">
        <v>46121</v>
      </c>
      <c r="B194" s="14" t="str">
        <f>'2026 Orders'!B193</f>
        <v>Botswana</v>
      </c>
      <c r="C194" s="14" t="str">
        <f>'2026 Orders'!C193</f>
        <v>A4612</v>
      </c>
      <c r="D194" s="14">
        <v>0</v>
      </c>
      <c r="E194" s="17" t="str" cm="1">
        <f t="array" ref="E194">IF(C194=0,"",
HYPERLINK(
"#'2026 Orders'!C"&amp;
MATCH(1,
('2026 Orders'!C:C=C194)*
('2026 Orders'!G:G=G194)*
('2026 Orders'!N:N=N194),
0),
"Open "&amp;C194
))</f>
        <v>Open A4612</v>
      </c>
      <c r="F194" s="14">
        <v>0</v>
      </c>
      <c r="G194" s="14" t="str">
        <f>'2026 Orders'!G193</f>
        <v>PROSTA-90-FD</v>
      </c>
      <c r="H194" s="14" t="str">
        <f>'2026 Orders'!H193</f>
        <v>PROSTA-90</v>
      </c>
      <c r="I194" s="15" t="str">
        <f>'2026 Orders'!I193</f>
        <v>FD</v>
      </c>
      <c r="J194" s="14">
        <f>'2026 Orders'!J193</f>
        <v>40</v>
      </c>
      <c r="K194" t="s">
        <v>445</v>
      </c>
      <c r="L194">
        <v>40</v>
      </c>
      <c r="M194">
        <v>0</v>
      </c>
      <c r="N194" s="10" t="str">
        <f>'2026 Orders'!N193</f>
        <v>D/W Sent</v>
      </c>
      <c r="O194">
        <v>0</v>
      </c>
      <c r="P194" t="s">
        <v>1077</v>
      </c>
      <c r="Q194">
        <v>609788968481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C194" t="str">
        <f t="shared" si="4"/>
        <v>40/</v>
      </c>
      <c r="AD194" t="e">
        <f t="shared" si="5"/>
        <v>#VALUE!</v>
      </c>
    </row>
    <row r="195" spans="1:30" ht="33" hidden="1" customHeight="1" x14ac:dyDescent="0.3">
      <c r="A195">
        <v>46121</v>
      </c>
      <c r="B195" s="14" t="str">
        <f>'2026 Orders'!B194</f>
        <v>Botswana</v>
      </c>
      <c r="C195" s="14" t="str">
        <f>'2026 Orders'!C194</f>
        <v>A4612</v>
      </c>
      <c r="D195" s="14">
        <v>0</v>
      </c>
      <c r="E195" s="17" t="str" cm="1">
        <f t="array" ref="E195">IF(C195=0,"",
HYPERLINK(
"#'2026 Orders'!C"&amp;
MATCH(1,
('2026 Orders'!C:C=C195)*
('2026 Orders'!G:G=G195)*
('2026 Orders'!N:N=N195),
0),
"Open "&amp;C195
))</f>
        <v>Open A4612</v>
      </c>
      <c r="F195" s="14">
        <v>0</v>
      </c>
      <c r="G195" s="14" t="str">
        <f>'2026 Orders'!G194</f>
        <v>XTRAD10-60-FD</v>
      </c>
      <c r="H195" s="14" t="str">
        <f>'2026 Orders'!H194</f>
        <v>XTRAD10-60</v>
      </c>
      <c r="I195" s="15" t="str">
        <f>'2026 Orders'!I194</f>
        <v>FD</v>
      </c>
      <c r="J195" s="14">
        <f>'2026 Orders'!J194</f>
        <v>600</v>
      </c>
      <c r="K195" t="s">
        <v>622</v>
      </c>
      <c r="L195">
        <v>600</v>
      </c>
      <c r="M195">
        <v>0</v>
      </c>
      <c r="N195" s="10" t="str">
        <f>'2026 Orders'!N194</f>
        <v>D/W Sent</v>
      </c>
      <c r="O195">
        <v>0</v>
      </c>
      <c r="P195" t="s">
        <v>1085</v>
      </c>
      <c r="Q195" t="s">
        <v>1160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C195" t="str">
        <f t="shared" ref="AC195:AC258" si="6">IF(OR(B195="",B195=0),"",J195&amp;"/"&amp;$AJ$2)</f>
        <v>600/</v>
      </c>
      <c r="AD195" t="e">
        <f t="shared" ref="AD195:AD258" si="7">IF(OR(J195="",J195=0),"",I195&amp;" -&gt; "&amp;$AK$2)</f>
        <v>#VALUE!</v>
      </c>
    </row>
    <row r="196" spans="1:30" ht="33" hidden="1" customHeight="1" x14ac:dyDescent="0.3">
      <c r="A196">
        <v>46149</v>
      </c>
      <c r="B196" s="14" t="str">
        <f>'2026 Orders'!B195</f>
        <v>Botswana</v>
      </c>
      <c r="C196" s="14" t="str">
        <f>'2026 Orders'!C195</f>
        <v>A4612</v>
      </c>
      <c r="D196" s="14">
        <v>0</v>
      </c>
      <c r="E196" s="17" t="str" cm="1">
        <f t="array" ref="E196">IF(C196=0,"",
HYPERLINK(
"#'2026 Orders'!C"&amp;
MATCH(1,
('2026 Orders'!C:C=C196)*
('2026 Orders'!G:G=G196)*
('2026 Orders'!N:N=N196),
0),
"Open "&amp;C196
))</f>
        <v>Open A4612</v>
      </c>
      <c r="F196" s="14">
        <v>0</v>
      </c>
      <c r="G196" s="14" t="str">
        <f>'2026 Orders'!G195</f>
        <v>MOTILMX-60-FD</v>
      </c>
      <c r="H196" s="14" t="str">
        <f>'2026 Orders'!H195</f>
        <v>MOTILMX-60</v>
      </c>
      <c r="I196" s="15" t="str">
        <f>'2026 Orders'!I195</f>
        <v>FD</v>
      </c>
      <c r="J196" s="14">
        <f>'2026 Orders'!J195</f>
        <v>20</v>
      </c>
      <c r="K196" t="s">
        <v>460</v>
      </c>
      <c r="L196">
        <v>20</v>
      </c>
      <c r="M196">
        <v>0</v>
      </c>
      <c r="N196" s="10" t="str">
        <f>'2026 Orders'!N195</f>
        <v>D/W Sent</v>
      </c>
      <c r="O196">
        <v>0</v>
      </c>
      <c r="P196" t="s">
        <v>1077</v>
      </c>
      <c r="Q196">
        <v>604776738701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C196" t="str">
        <f t="shared" si="6"/>
        <v>20/</v>
      </c>
      <c r="AD196" t="e">
        <f t="shared" si="7"/>
        <v>#VALUE!</v>
      </c>
    </row>
    <row r="197" spans="1:30" ht="33" hidden="1" customHeight="1" x14ac:dyDescent="0.3">
      <c r="A197">
        <v>46149</v>
      </c>
      <c r="B197" s="14" t="str">
        <f>'2026 Orders'!B196</f>
        <v>Botswana</v>
      </c>
      <c r="C197" s="14" t="str">
        <f>'2026 Orders'!C196</f>
        <v>A4612</v>
      </c>
      <c r="D197" s="14">
        <v>0</v>
      </c>
      <c r="E197" s="17" t="str" cm="1">
        <f t="array" ref="E197">IF(C197=0,"",
HYPERLINK(
"#'2026 Orders'!C"&amp;
MATCH(1,
('2026 Orders'!C:C=C197)*
('2026 Orders'!G:G=G197)*
('2026 Orders'!N:N=N197),
0),
"Open "&amp;C197
))</f>
        <v>Open A4612</v>
      </c>
      <c r="F197" s="14">
        <v>0</v>
      </c>
      <c r="G197" s="14" t="str">
        <f>'2026 Orders'!G196</f>
        <v>MFSPLS-120-FD</v>
      </c>
      <c r="H197" s="14" t="str">
        <f>'2026 Orders'!H196</f>
        <v>MFSPLS-120</v>
      </c>
      <c r="I197" s="15" t="str">
        <f>'2026 Orders'!I196</f>
        <v>FD</v>
      </c>
      <c r="J197" s="14">
        <f>'2026 Orders'!J196</f>
        <v>40</v>
      </c>
      <c r="K197" t="s">
        <v>462</v>
      </c>
      <c r="L197">
        <v>40</v>
      </c>
      <c r="M197">
        <v>0</v>
      </c>
      <c r="N197" s="10" t="str">
        <f>'2026 Orders'!N196</f>
        <v>D/W Sent</v>
      </c>
      <c r="O197">
        <v>0</v>
      </c>
      <c r="P197" t="s">
        <v>1077</v>
      </c>
      <c r="Q197">
        <v>604776738732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C197" t="str">
        <f t="shared" si="6"/>
        <v>40/</v>
      </c>
      <c r="AD197" t="e">
        <f t="shared" si="7"/>
        <v>#VALUE!</v>
      </c>
    </row>
    <row r="198" spans="1:30" ht="33" hidden="1" customHeight="1" x14ac:dyDescent="0.3">
      <c r="A198">
        <v>46149</v>
      </c>
      <c r="B198" s="14" t="str">
        <f>'2026 Orders'!B197</f>
        <v>Botswana</v>
      </c>
      <c r="C198" s="14" t="str">
        <f>'2026 Orders'!C197</f>
        <v>A4612</v>
      </c>
      <c r="D198" s="14">
        <v>0</v>
      </c>
      <c r="E198" s="17" t="str" cm="1">
        <f t="array" ref="E198">IF(C198=0,"",
HYPERLINK(
"#'2026 Orders'!C"&amp;
MATCH(1,
('2026 Orders'!C:C=C198)*
('2026 Orders'!G:G=G198)*
('2026 Orders'!N:N=N198),
0),
"Open "&amp;C198
))</f>
        <v>Open A4612</v>
      </c>
      <c r="F198" s="14">
        <v>0</v>
      </c>
      <c r="G198" s="14" t="str">
        <f>'2026 Orders'!G197</f>
        <v>FIBRO-60-FD</v>
      </c>
      <c r="H198" s="14" t="str">
        <f>'2026 Orders'!H197</f>
        <v>FIBRO-60</v>
      </c>
      <c r="I198" s="15" t="str">
        <f>'2026 Orders'!I197</f>
        <v>FD</v>
      </c>
      <c r="J198" s="14">
        <f>'2026 Orders'!J197</f>
        <v>40</v>
      </c>
      <c r="K198" t="s">
        <v>623</v>
      </c>
      <c r="L198">
        <v>40</v>
      </c>
      <c r="M198">
        <v>0</v>
      </c>
      <c r="N198" s="10" t="str">
        <f>'2026 Orders'!N197</f>
        <v>D/W Sent</v>
      </c>
      <c r="O198">
        <v>0</v>
      </c>
      <c r="P198" t="s">
        <v>1077</v>
      </c>
      <c r="Q198">
        <v>604776738787</v>
      </c>
      <c r="R198">
        <v>5000</v>
      </c>
      <c r="S198">
        <v>5060</v>
      </c>
      <c r="T198" t="s">
        <v>1094</v>
      </c>
      <c r="U198" t="s">
        <v>1095</v>
      </c>
      <c r="V198">
        <v>0</v>
      </c>
      <c r="W198">
        <v>0</v>
      </c>
      <c r="X198">
        <v>0</v>
      </c>
      <c r="Y198">
        <v>0</v>
      </c>
      <c r="Z198">
        <v>0</v>
      </c>
      <c r="AC198" t="str">
        <f t="shared" si="6"/>
        <v>40/</v>
      </c>
      <c r="AD198" t="e">
        <f t="shared" si="7"/>
        <v>#VALUE!</v>
      </c>
    </row>
    <row r="199" spans="1:30" ht="33" hidden="1" customHeight="1" x14ac:dyDescent="0.3">
      <c r="A199">
        <v>46149</v>
      </c>
      <c r="B199" s="14" t="str">
        <f>'2026 Orders'!B198</f>
        <v>Botswana</v>
      </c>
      <c r="C199" s="14" t="str">
        <f>'2026 Orders'!C198</f>
        <v>A4612</v>
      </c>
      <c r="D199" s="14">
        <v>0</v>
      </c>
      <c r="E199" s="17" t="str" cm="1">
        <f t="array" ref="E199">IF(C199=0,"",
HYPERLINK(
"#'2026 Orders'!C"&amp;
MATCH(1,
('2026 Orders'!C:C=C199)*
('2026 Orders'!G:G=G199)*
('2026 Orders'!N:N=N199),
0),
"Open "&amp;C199
))</f>
        <v>Open A4612</v>
      </c>
      <c r="F199" s="14">
        <v>0</v>
      </c>
      <c r="G199" s="14" t="str">
        <f>'2026 Orders'!G198</f>
        <v>DHEA25-60-FD</v>
      </c>
      <c r="H199" s="14" t="str">
        <f>'2026 Orders'!H198</f>
        <v>DHEA25-60</v>
      </c>
      <c r="I199" s="15" t="str">
        <f>'2026 Orders'!I198</f>
        <v>FD</v>
      </c>
      <c r="J199" s="14">
        <f>'2026 Orders'!J198</f>
        <v>50</v>
      </c>
      <c r="K199" t="s">
        <v>493</v>
      </c>
      <c r="L199">
        <v>50</v>
      </c>
      <c r="M199">
        <v>0</v>
      </c>
      <c r="N199" s="10" t="str">
        <f>'2026 Orders'!N198</f>
        <v>D/W Sent</v>
      </c>
      <c r="O199">
        <v>0</v>
      </c>
      <c r="P199" t="s">
        <v>1077</v>
      </c>
      <c r="Q199">
        <v>604776738671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C199" t="str">
        <f t="shared" si="6"/>
        <v>50/</v>
      </c>
      <c r="AD199" t="e">
        <f t="shared" si="7"/>
        <v>#VALUE!</v>
      </c>
    </row>
    <row r="200" spans="1:30" ht="33" hidden="1" customHeight="1" x14ac:dyDescent="0.3">
      <c r="A200">
        <v>46149</v>
      </c>
      <c r="B200" s="14" t="str">
        <f>'2026 Orders'!B199</f>
        <v>Botswana</v>
      </c>
      <c r="C200" s="14" t="str">
        <f>'2026 Orders'!C199</f>
        <v>A4612</v>
      </c>
      <c r="D200" s="14">
        <v>0</v>
      </c>
      <c r="E200" s="17" t="str" cm="1">
        <f t="array" ref="E200">IF(C200=0,"",
HYPERLINK(
"#'2026 Orders'!C"&amp;
MATCH(1,
('2026 Orders'!C:C=C200)*
('2026 Orders'!G:G=G200)*
('2026 Orders'!N:N=N200),
0),
"Open "&amp;C200
))</f>
        <v>Open A4612</v>
      </c>
      <c r="F200" s="14">
        <v>0</v>
      </c>
      <c r="G200" s="14" t="str">
        <f>'2026 Orders'!G199</f>
        <v>DHEA50-60-FD</v>
      </c>
      <c r="H200" s="14" t="str">
        <f>'2026 Orders'!H199</f>
        <v>DHEA50-60</v>
      </c>
      <c r="I200" s="15" t="str">
        <f>'2026 Orders'!I199</f>
        <v>FD</v>
      </c>
      <c r="J200" s="14">
        <f>'2026 Orders'!J199</f>
        <v>50</v>
      </c>
      <c r="K200" t="s">
        <v>453</v>
      </c>
      <c r="L200">
        <v>50</v>
      </c>
      <c r="M200">
        <v>0</v>
      </c>
      <c r="N200" s="10" t="str">
        <f>'2026 Orders'!N199</f>
        <v>D/W Sent</v>
      </c>
      <c r="O200">
        <v>0</v>
      </c>
      <c r="P200" t="s">
        <v>1077</v>
      </c>
      <c r="Q200">
        <v>604776738794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C200" t="str">
        <f t="shared" si="6"/>
        <v>50/</v>
      </c>
      <c r="AD200" t="e">
        <f t="shared" si="7"/>
        <v>#VALUE!</v>
      </c>
    </row>
    <row r="201" spans="1:30" ht="33" hidden="1" customHeight="1" x14ac:dyDescent="0.3">
      <c r="A201">
        <v>46149</v>
      </c>
      <c r="B201" s="14" t="str">
        <f>'2026 Orders'!B200</f>
        <v>Botswana</v>
      </c>
      <c r="C201" s="14" t="str">
        <f>'2026 Orders'!C200</f>
        <v>A4612</v>
      </c>
      <c r="D201" s="14">
        <v>0</v>
      </c>
      <c r="E201" s="17" t="str" cm="1">
        <f t="array" ref="E201">IF(C201=0,"",
HYPERLINK(
"#'2026 Orders'!C"&amp;
MATCH(1,
('2026 Orders'!C:C=C201)*
('2026 Orders'!G:G=G201)*
('2026 Orders'!N:N=N201),
0),
"Open "&amp;C201
))</f>
        <v>Open A4612</v>
      </c>
      <c r="F201" s="14">
        <v>0</v>
      </c>
      <c r="G201" s="14" t="str">
        <f>'2026 Orders'!G200</f>
        <v>WFSPLS-180-FD</v>
      </c>
      <c r="H201" s="14" t="str">
        <f>'2026 Orders'!H200</f>
        <v>WFSPLS-180</v>
      </c>
      <c r="I201" s="15" t="str">
        <f>'2026 Orders'!I200</f>
        <v>FD</v>
      </c>
      <c r="J201" s="14">
        <f>'2026 Orders'!J200</f>
        <v>40</v>
      </c>
      <c r="K201" t="s">
        <v>438</v>
      </c>
      <c r="L201">
        <v>40</v>
      </c>
      <c r="M201">
        <v>0</v>
      </c>
      <c r="N201" s="10" t="str">
        <f>'2026 Orders'!N200</f>
        <v>D/W Sent</v>
      </c>
      <c r="O201">
        <v>0</v>
      </c>
      <c r="P201" t="s">
        <v>1077</v>
      </c>
      <c r="Q201" t="s">
        <v>1161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C201" t="str">
        <f t="shared" si="6"/>
        <v>40/</v>
      </c>
      <c r="AD201" t="e">
        <f t="shared" si="7"/>
        <v>#VALUE!</v>
      </c>
    </row>
    <row r="202" spans="1:30" ht="33" hidden="1" customHeight="1" x14ac:dyDescent="0.3">
      <c r="A202">
        <v>0</v>
      </c>
      <c r="B202" s="14" t="str">
        <f>'2026 Orders'!B201</f>
        <v>Botswana</v>
      </c>
      <c r="C202" s="14" t="str">
        <f>'2026 Orders'!C201</f>
        <v>A4612</v>
      </c>
      <c r="D202" s="14">
        <v>0</v>
      </c>
      <c r="E202" s="17" t="str" cm="1">
        <f t="array" ref="E202">IF(C202=0,"",
HYPERLINK(
"#'2026 Orders'!C"&amp;
MATCH(1,
('2026 Orders'!C:C=C202)*
('2026 Orders'!G:G=G202)*
('2026 Orders'!N:N=N202),
0),
"Open "&amp;C202
))</f>
        <v>Open A4612</v>
      </c>
      <c r="F202" s="14">
        <v>0</v>
      </c>
      <c r="G202" s="14" t="str">
        <f>'2026 Orders'!G201</f>
        <v>SPERMCT-60-FD</v>
      </c>
      <c r="H202" s="14" t="str">
        <f>'2026 Orders'!H201</f>
        <v>SPERMCT-60</v>
      </c>
      <c r="I202" s="15" t="str">
        <f>'2026 Orders'!I201</f>
        <v>FD</v>
      </c>
      <c r="J202" s="14">
        <f>'2026 Orders'!J201</f>
        <v>20</v>
      </c>
      <c r="K202" t="s">
        <v>435</v>
      </c>
      <c r="L202">
        <v>20</v>
      </c>
      <c r="M202">
        <v>0</v>
      </c>
      <c r="N202" s="10" t="str">
        <f>'2026 Orders'!N201</f>
        <v>D/W Sent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C202" t="str">
        <f t="shared" si="6"/>
        <v>20/</v>
      </c>
      <c r="AD202" t="e">
        <f t="shared" si="7"/>
        <v>#VALUE!</v>
      </c>
    </row>
    <row r="203" spans="1:30" ht="33" hidden="1" customHeight="1" x14ac:dyDescent="0.3">
      <c r="A203">
        <v>46121</v>
      </c>
      <c r="B203" s="14" t="str">
        <f>'2026 Orders'!B202</f>
        <v>Botswana</v>
      </c>
      <c r="C203" s="14" t="str">
        <f>'2026 Orders'!C202</f>
        <v>A4612</v>
      </c>
      <c r="D203" s="14">
        <v>0</v>
      </c>
      <c r="E203" s="17" t="str" cm="1">
        <f t="array" ref="E203">IF(C203=0,"",
HYPERLINK(
"#'2026 Orders'!C"&amp;
MATCH(1,
('2026 Orders'!C:C=C203)*
('2026 Orders'!G:G=G203)*
('2026 Orders'!N:N=N203),
0),
"Open "&amp;C203
))</f>
        <v>Open A4612</v>
      </c>
      <c r="F203" s="14">
        <v>0</v>
      </c>
      <c r="G203" s="14" t="str">
        <f>'2026 Orders'!G202</f>
        <v>OVAMAX-120-FD</v>
      </c>
      <c r="H203" s="14" t="str">
        <f>'2026 Orders'!H202</f>
        <v>OVAMAX-120</v>
      </c>
      <c r="I203" s="15" t="str">
        <f>'2026 Orders'!I202</f>
        <v>FD</v>
      </c>
      <c r="J203" s="14">
        <f>'2026 Orders'!J202</f>
        <v>40</v>
      </c>
      <c r="K203" t="s">
        <v>447</v>
      </c>
      <c r="L203">
        <v>40</v>
      </c>
      <c r="M203">
        <v>0</v>
      </c>
      <c r="N203" s="10" t="str">
        <f>'2026 Orders'!N202</f>
        <v>D/W Sent</v>
      </c>
      <c r="O203" t="s">
        <v>1162</v>
      </c>
      <c r="P203" t="s">
        <v>1085</v>
      </c>
      <c r="Q203">
        <v>810131199661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 t="s">
        <v>1086</v>
      </c>
      <c r="AC203" t="str">
        <f t="shared" si="6"/>
        <v>40/</v>
      </c>
      <c r="AD203" t="e">
        <f t="shared" si="7"/>
        <v>#VALUE!</v>
      </c>
    </row>
    <row r="204" spans="1:30" ht="33" hidden="1" customHeight="1" x14ac:dyDescent="0.3">
      <c r="A204">
        <v>46121</v>
      </c>
      <c r="B204" s="14" t="str">
        <f>'2026 Orders'!B203</f>
        <v>Botswana</v>
      </c>
      <c r="C204" s="14" t="str">
        <f>'2026 Orders'!C203</f>
        <v>A4612</v>
      </c>
      <c r="D204" s="14">
        <v>0</v>
      </c>
      <c r="E204" s="17" t="str" cm="1">
        <f t="array" ref="E204">IF(C204=0,"",
HYPERLINK(
"#'2026 Orders'!C"&amp;
MATCH(1,
('2026 Orders'!C:C=C204)*
('2026 Orders'!G:G=G204)*
('2026 Orders'!N:N=N204),
0),
"Open "&amp;C204
))</f>
        <v>Open A4612</v>
      </c>
      <c r="F204" s="14">
        <v>49241225</v>
      </c>
      <c r="G204" s="14" t="str">
        <f>'2026 Orders'!G203</f>
        <v>CAVIN-60-FD</v>
      </c>
      <c r="H204" s="14" t="str">
        <f>'2026 Orders'!H203</f>
        <v>CAVIN-60</v>
      </c>
      <c r="I204" s="15" t="str">
        <f>'2026 Orders'!I203</f>
        <v>FD</v>
      </c>
      <c r="J204" s="14">
        <f>'2026 Orders'!J203</f>
        <v>40</v>
      </c>
      <c r="K204" t="s">
        <v>625</v>
      </c>
      <c r="L204">
        <v>0</v>
      </c>
      <c r="M204">
        <v>40</v>
      </c>
      <c r="N204" s="10" t="str">
        <f>'2026 Orders'!N203</f>
        <v>D/W Sent</v>
      </c>
      <c r="O204">
        <v>0</v>
      </c>
      <c r="P204" t="s">
        <v>1077</v>
      </c>
      <c r="Q204">
        <v>604776738817</v>
      </c>
      <c r="R204">
        <v>7572</v>
      </c>
      <c r="S204">
        <v>5043</v>
      </c>
      <c r="T204">
        <v>46286</v>
      </c>
      <c r="U204" t="s">
        <v>1089</v>
      </c>
      <c r="V204">
        <v>0</v>
      </c>
      <c r="W204">
        <v>0</v>
      </c>
      <c r="X204">
        <v>0</v>
      </c>
      <c r="Y204">
        <v>0</v>
      </c>
      <c r="Z204">
        <v>0</v>
      </c>
      <c r="AC204" t="str">
        <f t="shared" si="6"/>
        <v>40/</v>
      </c>
      <c r="AD204" t="e">
        <f t="shared" si="7"/>
        <v>#VALUE!</v>
      </c>
    </row>
    <row r="205" spans="1:30" ht="33" hidden="1" customHeight="1" x14ac:dyDescent="0.3">
      <c r="A205">
        <v>46121</v>
      </c>
      <c r="B205" s="14" t="str">
        <f>'2026 Orders'!B204</f>
        <v>Botswana</v>
      </c>
      <c r="C205" s="14" t="str">
        <f>'2026 Orders'!C204</f>
        <v>A4612</v>
      </c>
      <c r="D205" s="14">
        <v>0</v>
      </c>
      <c r="E205" s="17" t="str" cm="1">
        <f t="array" ref="E205">IF(C205=0,"",
HYPERLINK(
"#'2026 Orders'!C"&amp;
MATCH(1,
('2026 Orders'!C:C=C205)*
('2026 Orders'!G:G=G205)*
('2026 Orders'!N:N=N205),
0),
"Open "&amp;C205
))</f>
        <v>Open A4612</v>
      </c>
      <c r="F205" s="14">
        <v>0</v>
      </c>
      <c r="G205" s="14" t="str">
        <f>'2026 Orders'!G204</f>
        <v>FERTMX-90-RE</v>
      </c>
      <c r="H205" s="14" t="str">
        <f>'2026 Orders'!H204</f>
        <v>FERTMX-90</v>
      </c>
      <c r="I205" s="15" t="str">
        <f>'2026 Orders'!I204</f>
        <v>RE</v>
      </c>
      <c r="J205" s="14">
        <f>'2026 Orders'!J204</f>
        <v>40</v>
      </c>
      <c r="K205" t="s">
        <v>441</v>
      </c>
      <c r="L205">
        <v>40</v>
      </c>
      <c r="M205">
        <v>0</v>
      </c>
      <c r="N205" s="10" t="str">
        <f>'2026 Orders'!N204</f>
        <v>D/W Sent</v>
      </c>
      <c r="O205">
        <v>0</v>
      </c>
      <c r="P205" t="s">
        <v>1077</v>
      </c>
      <c r="Q205">
        <v>604776738725</v>
      </c>
      <c r="R205" t="s">
        <v>1138</v>
      </c>
      <c r="S205">
        <v>5064</v>
      </c>
      <c r="T205" t="s">
        <v>1108</v>
      </c>
      <c r="U205" t="s">
        <v>1163</v>
      </c>
      <c r="V205">
        <v>0</v>
      </c>
      <c r="W205">
        <v>0</v>
      </c>
      <c r="X205">
        <v>0</v>
      </c>
      <c r="Y205">
        <v>0</v>
      </c>
      <c r="Z205">
        <v>0</v>
      </c>
      <c r="AC205" t="str">
        <f t="shared" si="6"/>
        <v>40/</v>
      </c>
      <c r="AD205" t="e">
        <f t="shared" si="7"/>
        <v>#VALUE!</v>
      </c>
    </row>
    <row r="206" spans="1:30" ht="33" hidden="1" customHeight="1" x14ac:dyDescent="0.3">
      <c r="A206">
        <v>46121</v>
      </c>
      <c r="B206" s="14" t="str">
        <f>'2026 Orders'!B205</f>
        <v>Botswana</v>
      </c>
      <c r="C206" s="14" t="str">
        <f>'2026 Orders'!C205</f>
        <v>A4612</v>
      </c>
      <c r="D206" s="14">
        <v>0</v>
      </c>
      <c r="E206" s="17" t="str" cm="1">
        <f t="array" ref="E206">IF(C206=0,"",
HYPERLINK(
"#'2026 Orders'!C"&amp;
MATCH(1,
('2026 Orders'!C:C=C206)*
('2026 Orders'!G:G=G206)*
('2026 Orders'!N:N=N206),
0),
"Open "&amp;C206
))</f>
        <v>Open A4612</v>
      </c>
      <c r="F206" s="14">
        <v>0</v>
      </c>
      <c r="G206" s="14" t="str">
        <f>'2026 Orders'!G205</f>
        <v>OME369-90-FD</v>
      </c>
      <c r="H206" s="14" t="str">
        <f>'2026 Orders'!H205</f>
        <v>OME369-90</v>
      </c>
      <c r="I206" s="15" t="str">
        <f>'2026 Orders'!I205</f>
        <v>FD</v>
      </c>
      <c r="J206" s="14">
        <f>'2026 Orders'!J205</f>
        <v>120</v>
      </c>
      <c r="K206" t="s">
        <v>702</v>
      </c>
      <c r="L206">
        <v>120</v>
      </c>
      <c r="M206">
        <v>0</v>
      </c>
      <c r="N206" s="10" t="str">
        <f>'2026 Orders'!N205</f>
        <v>D/W Sent</v>
      </c>
      <c r="O206">
        <v>0</v>
      </c>
      <c r="P206" t="s">
        <v>1085</v>
      </c>
      <c r="Q206">
        <v>0</v>
      </c>
      <c r="R206">
        <v>5000</v>
      </c>
      <c r="S206">
        <v>0</v>
      </c>
      <c r="T206" t="s">
        <v>1108</v>
      </c>
      <c r="U206" t="s">
        <v>1141</v>
      </c>
      <c r="V206">
        <v>0</v>
      </c>
      <c r="W206">
        <v>0</v>
      </c>
      <c r="X206">
        <v>0</v>
      </c>
      <c r="Y206">
        <v>0</v>
      </c>
      <c r="Z206">
        <v>0</v>
      </c>
      <c r="AC206" t="str">
        <f t="shared" si="6"/>
        <v>120/</v>
      </c>
      <c r="AD206" t="e">
        <f t="shared" si="7"/>
        <v>#VALUE!</v>
      </c>
    </row>
    <row r="207" spans="1:30" ht="33" hidden="1" customHeight="1" x14ac:dyDescent="0.3">
      <c r="A207">
        <v>0</v>
      </c>
      <c r="B207" s="14" t="str">
        <f>'2026 Orders'!B206</f>
        <v>Botswana</v>
      </c>
      <c r="C207" s="14" t="str">
        <f>'2026 Orders'!C206</f>
        <v>A4612</v>
      </c>
      <c r="D207" s="14">
        <v>0</v>
      </c>
      <c r="E207" s="17" t="str" cm="1">
        <f t="array" ref="E207">IF(C207=0,"",
HYPERLINK(
"#'2026 Orders'!C"&amp;
MATCH(1,
('2026 Orders'!C:C=C207)*
('2026 Orders'!G:G=G207)*
('2026 Orders'!N:N=N207),
0),
"Open "&amp;C207
))</f>
        <v>Open A4612</v>
      </c>
      <c r="F207" s="14">
        <v>0</v>
      </c>
      <c r="G207" s="14" t="str">
        <f>'2026 Orders'!G206</f>
        <v>PRECON-90-FD</v>
      </c>
      <c r="H207" s="14" t="str">
        <f>'2026 Orders'!H206</f>
        <v>PRECON-90</v>
      </c>
      <c r="I207" s="15" t="str">
        <f>'2026 Orders'!I206</f>
        <v>FD</v>
      </c>
      <c r="J207" s="14">
        <f>'2026 Orders'!J206</f>
        <v>40</v>
      </c>
      <c r="K207" t="s">
        <v>443</v>
      </c>
      <c r="L207">
        <v>40</v>
      </c>
      <c r="M207">
        <v>0</v>
      </c>
      <c r="N207" s="10" t="str">
        <f>'2026 Orders'!N206</f>
        <v>D/W Sent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C207" t="str">
        <f t="shared" si="6"/>
        <v>40/</v>
      </c>
      <c r="AD207" t="e">
        <f t="shared" si="7"/>
        <v>#VALUE!</v>
      </c>
    </row>
    <row r="208" spans="1:30" ht="33" hidden="1" customHeight="1" x14ac:dyDescent="0.3">
      <c r="A208">
        <v>46127</v>
      </c>
      <c r="B208" s="14" t="str">
        <f>'2026 Orders'!B207</f>
        <v>Botswana</v>
      </c>
      <c r="C208" s="14" t="str">
        <f>'2026 Orders'!C207</f>
        <v>A4612</v>
      </c>
      <c r="D208" s="14">
        <v>0</v>
      </c>
      <c r="E208" s="17" t="str" cm="1">
        <f t="array" ref="E208">IF(C208=0,"",
HYPERLINK(
"#'2026 Orders'!C"&amp;
MATCH(1,
('2026 Orders'!C:C=C208)*
('2026 Orders'!G:G=G208)*
('2026 Orders'!N:N=N208),
0),
"Open "&amp;C208
))</f>
        <v>Open A4612</v>
      </c>
      <c r="F208" s="14">
        <v>0</v>
      </c>
      <c r="G208" s="14" t="str">
        <f>'2026 Orders'!G207</f>
        <v>PRECON-180-FD</v>
      </c>
      <c r="H208" s="14" t="str">
        <f>'2026 Orders'!H207</f>
        <v>PRECON-180</v>
      </c>
      <c r="I208" s="15" t="str">
        <f>'2026 Orders'!I207</f>
        <v>FD</v>
      </c>
      <c r="J208" s="14">
        <f>'2026 Orders'!J207</f>
        <v>40</v>
      </c>
      <c r="K208" t="s">
        <v>455</v>
      </c>
      <c r="L208">
        <v>40</v>
      </c>
      <c r="M208">
        <v>0</v>
      </c>
      <c r="N208" s="10" t="str">
        <f>'2026 Orders'!N207</f>
        <v>D/W Sent</v>
      </c>
      <c r="O208">
        <v>0</v>
      </c>
      <c r="P208" t="s">
        <v>1085</v>
      </c>
      <c r="Q208">
        <v>604776739746</v>
      </c>
      <c r="R208">
        <v>2000</v>
      </c>
      <c r="S208">
        <v>5074</v>
      </c>
      <c r="T208" t="s">
        <v>1094</v>
      </c>
      <c r="U208" t="s">
        <v>1164</v>
      </c>
      <c r="V208">
        <v>0</v>
      </c>
      <c r="W208">
        <v>0</v>
      </c>
      <c r="X208">
        <v>0</v>
      </c>
      <c r="Y208">
        <v>0</v>
      </c>
      <c r="Z208" t="s">
        <v>1083</v>
      </c>
      <c r="AC208" t="str">
        <f t="shared" si="6"/>
        <v>40/</v>
      </c>
      <c r="AD208" t="e">
        <f t="shared" si="7"/>
        <v>#VALUE!</v>
      </c>
    </row>
    <row r="209" spans="1:30" ht="33" hidden="1" customHeight="1" x14ac:dyDescent="0.3">
      <c r="A209">
        <v>46127</v>
      </c>
      <c r="B209" s="14" t="str">
        <f>'2026 Orders'!B208</f>
        <v>Botswana</v>
      </c>
      <c r="C209" s="14" t="str">
        <f>'2026 Orders'!C208</f>
        <v>A4612</v>
      </c>
      <c r="D209" s="14">
        <v>0</v>
      </c>
      <c r="E209" s="17" t="str" cm="1">
        <f t="array" ref="E209">IF(C209=0,"",
HYPERLINK(
"#'2026 Orders'!C"&amp;
MATCH(1,
('2026 Orders'!C:C=C209)*
('2026 Orders'!G:G=G209)*
('2026 Orders'!N:N=N209),
0),
"Open "&amp;C209
))</f>
        <v>Open A4612</v>
      </c>
      <c r="F209" s="14">
        <v>0</v>
      </c>
      <c r="G209" s="14" t="str">
        <f>'2026 Orders'!G208</f>
        <v>PENAMAX-60-GE-FD</v>
      </c>
      <c r="H209" s="14" t="str">
        <f>'2026 Orders'!H208</f>
        <v>PENAMAX-60</v>
      </c>
      <c r="I209" s="15" t="str">
        <f>'2026 Orders'!I208</f>
        <v>FD</v>
      </c>
      <c r="J209" s="14">
        <f>'2026 Orders'!J208</f>
        <v>20</v>
      </c>
      <c r="K209" t="s">
        <v>451</v>
      </c>
      <c r="L209">
        <v>20</v>
      </c>
      <c r="M209">
        <v>0</v>
      </c>
      <c r="N209" s="10" t="str">
        <f>'2026 Orders'!N208</f>
        <v>D/W Sent</v>
      </c>
      <c r="O209" t="s">
        <v>1128</v>
      </c>
      <c r="P209" t="s">
        <v>1085</v>
      </c>
      <c r="Q209">
        <v>604776737254</v>
      </c>
      <c r="R209">
        <v>10000</v>
      </c>
      <c r="S209">
        <v>5069</v>
      </c>
      <c r="T209" t="s">
        <v>1103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C209" t="str">
        <f t="shared" si="6"/>
        <v>20/</v>
      </c>
      <c r="AD209" t="e">
        <f t="shared" si="7"/>
        <v>#VALUE!</v>
      </c>
    </row>
    <row r="210" spans="1:30" ht="33" hidden="1" customHeight="1" x14ac:dyDescent="0.3">
      <c r="A210">
        <v>0</v>
      </c>
      <c r="B210" s="14">
        <f>'2026 Orders'!B209</f>
        <v>0</v>
      </c>
      <c r="C210" s="14">
        <f>'2026 Orders'!C209</f>
        <v>0</v>
      </c>
      <c r="D210" s="14">
        <v>0</v>
      </c>
      <c r="E210" s="17" t="str" cm="1">
        <f t="array" ref="E210">IF(C210=0,"",
HYPERLINK(
"#'2026 Orders'!C"&amp;
MATCH(1,
('2026 Orders'!C:C=C210)*
('2026 Orders'!G:G=G210)*
('2026 Orders'!N:N=N210),
0),
"Open "&amp;C210
))</f>
        <v/>
      </c>
      <c r="F210" s="14">
        <v>0</v>
      </c>
      <c r="G210" s="14">
        <f>'2026 Orders'!G209</f>
        <v>0</v>
      </c>
      <c r="H210" s="14">
        <f>'2026 Orders'!H209</f>
        <v>0</v>
      </c>
      <c r="I210" s="15" t="str">
        <f>'2026 Orders'!I209</f>
        <v/>
      </c>
      <c r="J210" s="14">
        <f>'2026 Orders'!J209</f>
        <v>0</v>
      </c>
      <c r="K210">
        <v>0</v>
      </c>
      <c r="L210">
        <v>0</v>
      </c>
      <c r="M210">
        <v>0</v>
      </c>
      <c r="N210" s="10">
        <f>'2026 Orders'!N209</f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C210" t="str">
        <f t="shared" si="6"/>
        <v/>
      </c>
      <c r="AD210" t="str">
        <f t="shared" si="7"/>
        <v/>
      </c>
    </row>
    <row r="211" spans="1:30" ht="33" hidden="1" customHeight="1" x14ac:dyDescent="0.3">
      <c r="A211">
        <v>46133</v>
      </c>
      <c r="B211" s="14" t="str">
        <f>'2026 Orders'!B210</f>
        <v>Georgia</v>
      </c>
      <c r="C211" s="14" t="str">
        <f>'2026 Orders'!C210</f>
        <v>A4625</v>
      </c>
      <c r="D211" s="14">
        <v>0</v>
      </c>
      <c r="E211" s="17" t="str" cm="1">
        <f t="array" ref="E211">IF(C211=0,"",
HYPERLINK(
"#'2026 Orders'!C"&amp;
MATCH(1,
('2026 Orders'!C:C=C211)*
('2026 Orders'!G:G=G211)*
('2026 Orders'!N:N=N211),
0),
"Open "&amp;C211
))</f>
        <v>Open A4625</v>
      </c>
      <c r="F211" s="14" t="s">
        <v>707</v>
      </c>
      <c r="G211" s="14" t="str">
        <f>'2026 Orders'!G210</f>
        <v>ARGI-100-CS-GE</v>
      </c>
      <c r="H211" s="14" t="str">
        <f>'2026 Orders'!H210</f>
        <v>ARGI-100</v>
      </c>
      <c r="I211" s="15" t="str">
        <f>'2026 Orders'!I210</f>
        <v>GE</v>
      </c>
      <c r="J211" s="14">
        <f>'2026 Orders'!J210</f>
        <v>239</v>
      </c>
      <c r="K211" t="s">
        <v>708</v>
      </c>
      <c r="L211">
        <v>0</v>
      </c>
      <c r="M211">
        <v>239</v>
      </c>
      <c r="N211" s="10" t="str">
        <f>'2026 Orders'!N210</f>
        <v>In Production</v>
      </c>
      <c r="O211">
        <v>46195</v>
      </c>
      <c r="P211" t="s">
        <v>1085</v>
      </c>
      <c r="Q211" t="s">
        <v>1122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 t="s">
        <v>1086</v>
      </c>
      <c r="AC211" t="str">
        <f t="shared" si="6"/>
        <v>239/</v>
      </c>
      <c r="AD211" t="e">
        <f t="shared" si="7"/>
        <v>#VALUE!</v>
      </c>
    </row>
    <row r="212" spans="1:30" ht="33" hidden="1" customHeight="1" x14ac:dyDescent="0.3">
      <c r="A212">
        <v>46133</v>
      </c>
      <c r="B212" s="14">
        <f>'2026 Orders'!B211</f>
        <v>0</v>
      </c>
      <c r="C212" s="14">
        <f>'2026 Orders'!C211</f>
        <v>0</v>
      </c>
      <c r="D212" s="14">
        <v>0</v>
      </c>
      <c r="E212" s="17" t="str" cm="1">
        <f t="array" ref="E212">IF(C212=0,"",
HYPERLINK(
"#'2026 Orders'!C"&amp;
MATCH(1,
('2026 Orders'!C:C=C212)*
('2026 Orders'!G:G=G212)*
('2026 Orders'!N:N=N212),
0),
"Open "&amp;C212
))</f>
        <v/>
      </c>
      <c r="F212" s="14">
        <v>0</v>
      </c>
      <c r="G212" s="14">
        <f>'2026 Orders'!G211</f>
        <v>0</v>
      </c>
      <c r="H212" s="14">
        <f>'2026 Orders'!H211</f>
        <v>0</v>
      </c>
      <c r="I212" s="15" t="str">
        <f>'2026 Orders'!I211</f>
        <v/>
      </c>
      <c r="J212" s="14">
        <f>'2026 Orders'!J211</f>
        <v>0</v>
      </c>
      <c r="K212">
        <v>0</v>
      </c>
      <c r="L212">
        <v>0</v>
      </c>
      <c r="M212">
        <v>0</v>
      </c>
      <c r="N212" s="10">
        <f>'2026 Orders'!N211</f>
        <v>0</v>
      </c>
      <c r="O212">
        <v>0</v>
      </c>
      <c r="P212" t="s">
        <v>1085</v>
      </c>
      <c r="Q212" t="s">
        <v>1123</v>
      </c>
      <c r="R212">
        <v>5250</v>
      </c>
      <c r="S212">
        <v>4928</v>
      </c>
      <c r="T212" t="s">
        <v>1103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C212" t="str">
        <f t="shared" si="6"/>
        <v/>
      </c>
      <c r="AD212" t="str">
        <f t="shared" si="7"/>
        <v/>
      </c>
    </row>
    <row r="213" spans="1:30" ht="33" hidden="1" customHeight="1" x14ac:dyDescent="0.3">
      <c r="A213">
        <v>0</v>
      </c>
      <c r="B213" s="14" t="str">
        <f>'2026 Orders'!B212</f>
        <v>Nigeria</v>
      </c>
      <c r="C213" s="14" t="str">
        <f>'2026 Orders'!C212</f>
        <v>A4616</v>
      </c>
      <c r="D213" s="14" t="s">
        <v>711</v>
      </c>
      <c r="E213" s="17" t="str" cm="1">
        <f t="array" ref="E213">IF(C213=0,"",
HYPERLINK(
"#'2026 Orders'!C"&amp;
MATCH(1,
('2026 Orders'!C:C=C213)*
('2026 Orders'!G:G=G213)*
('2026 Orders'!N:N=N213),
0),
"Open "&amp;C213
))</f>
        <v>Open A4616</v>
      </c>
      <c r="F213" s="14" t="s">
        <v>713</v>
      </c>
      <c r="G213" s="14" t="str">
        <f>'2026 Orders'!G212</f>
        <v>FERTMX-90-CS-NI</v>
      </c>
      <c r="H213" s="14" t="str">
        <f>'2026 Orders'!H212</f>
        <v>FERTMX-90</v>
      </c>
      <c r="I213" s="15" t="str">
        <f>'2026 Orders'!I212</f>
        <v>NI</v>
      </c>
      <c r="J213" s="14">
        <f>'2026 Orders'!J212</f>
        <v>216</v>
      </c>
      <c r="K213" t="s">
        <v>714</v>
      </c>
      <c r="L213">
        <v>216</v>
      </c>
      <c r="M213">
        <v>0</v>
      </c>
      <c r="N213" s="10" t="str">
        <f>'2026 Orders'!N212</f>
        <v>D/W Sent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C213" t="str">
        <f t="shared" si="6"/>
        <v>216/</v>
      </c>
      <c r="AD213" t="e">
        <f t="shared" si="7"/>
        <v>#VALUE!</v>
      </c>
    </row>
    <row r="214" spans="1:30" ht="33" hidden="1" customHeight="1" x14ac:dyDescent="0.3">
      <c r="A214">
        <v>46134</v>
      </c>
      <c r="B214" s="14" t="str">
        <f>'2026 Orders'!B213</f>
        <v>Nigeria</v>
      </c>
      <c r="C214" s="14" t="str">
        <f>'2026 Orders'!C213</f>
        <v>A4616</v>
      </c>
      <c r="D214" s="14">
        <v>0</v>
      </c>
      <c r="E214" s="17" t="str" cm="1">
        <f t="array" ref="E214">IF(C214=0,"",
HYPERLINK(
"#'2026 Orders'!C"&amp;
MATCH(1,
('2026 Orders'!C:C=C214)*
('2026 Orders'!G:G=G214)*
('2026 Orders'!N:N=N214),
0),
"Open "&amp;C214
))</f>
        <v>Open A4616</v>
      </c>
      <c r="F214" s="14">
        <v>0</v>
      </c>
      <c r="G214" s="14" t="str">
        <f>'2026 Orders'!G213</f>
        <v>MFSPLS-120-CS-NI</v>
      </c>
      <c r="H214" s="14" t="str">
        <f>'2026 Orders'!H213</f>
        <v>MFSPLS-120</v>
      </c>
      <c r="I214" s="15" t="str">
        <f>'2026 Orders'!I213</f>
        <v>NI</v>
      </c>
      <c r="J214" s="14">
        <f>'2026 Orders'!J213</f>
        <v>120</v>
      </c>
      <c r="K214" t="s">
        <v>715</v>
      </c>
      <c r="L214">
        <v>120</v>
      </c>
      <c r="M214">
        <v>0</v>
      </c>
      <c r="N214" s="10" t="str">
        <f>'2026 Orders'!N213</f>
        <v>D/W Sent</v>
      </c>
      <c r="O214">
        <v>0</v>
      </c>
      <c r="P214" t="s">
        <v>1085</v>
      </c>
      <c r="Q214">
        <v>604776737575</v>
      </c>
      <c r="R214">
        <v>5000</v>
      </c>
      <c r="S214">
        <v>5041</v>
      </c>
      <c r="T214">
        <v>46248</v>
      </c>
      <c r="U214" t="s">
        <v>1165</v>
      </c>
      <c r="V214">
        <v>0</v>
      </c>
      <c r="W214">
        <v>0</v>
      </c>
      <c r="X214">
        <v>0</v>
      </c>
      <c r="Y214">
        <v>0</v>
      </c>
      <c r="Z214" t="s">
        <v>1086</v>
      </c>
      <c r="AC214" t="str">
        <f t="shared" si="6"/>
        <v>120/</v>
      </c>
      <c r="AD214" t="e">
        <f t="shared" si="7"/>
        <v>#VALUE!</v>
      </c>
    </row>
    <row r="215" spans="1:30" ht="33" hidden="1" customHeight="1" x14ac:dyDescent="0.3">
      <c r="A215">
        <v>46134</v>
      </c>
      <c r="B215" s="14" t="str">
        <f>'2026 Orders'!B214</f>
        <v>Nigeria</v>
      </c>
      <c r="C215" s="14" t="str">
        <f>'2026 Orders'!C214</f>
        <v>A4616</v>
      </c>
      <c r="D215" s="14">
        <v>0</v>
      </c>
      <c r="E215" s="17" t="str" cm="1">
        <f t="array" ref="E215">IF(C215=0,"",
HYPERLINK(
"#'2026 Orders'!C"&amp;
MATCH(1,
('2026 Orders'!C:C=C215)*
('2026 Orders'!G:G=G215)*
('2026 Orders'!N:N=N215),
0),
"Open "&amp;C215
))</f>
        <v>Open A4616</v>
      </c>
      <c r="F215" s="14" t="s">
        <v>713</v>
      </c>
      <c r="G215" s="14" t="str">
        <f>'2026 Orders'!G214</f>
        <v>MOTILMX-60-CS-NI</v>
      </c>
      <c r="H215" s="14" t="str">
        <f>'2026 Orders'!H214</f>
        <v>MOTILMX-60</v>
      </c>
      <c r="I215" s="15" t="str">
        <f>'2026 Orders'!I214</f>
        <v>NI</v>
      </c>
      <c r="J215" s="14">
        <f>'2026 Orders'!J214</f>
        <v>96</v>
      </c>
      <c r="K215" t="s">
        <v>716</v>
      </c>
      <c r="L215">
        <v>96</v>
      </c>
      <c r="M215">
        <v>0</v>
      </c>
      <c r="N215" s="10" t="str">
        <f>'2026 Orders'!N214</f>
        <v>D/W Sent</v>
      </c>
      <c r="O215">
        <v>0</v>
      </c>
      <c r="P215" t="s">
        <v>1077</v>
      </c>
      <c r="Q215">
        <v>604776739012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C215" t="str">
        <f t="shared" si="6"/>
        <v>96/</v>
      </c>
      <c r="AD215" t="e">
        <f t="shared" si="7"/>
        <v>#VALUE!</v>
      </c>
    </row>
    <row r="216" spans="1:30" ht="33" hidden="1" customHeight="1" x14ac:dyDescent="0.3">
      <c r="A216">
        <v>46134</v>
      </c>
      <c r="B216" s="14" t="str">
        <f>'2026 Orders'!B215</f>
        <v>Nigeria</v>
      </c>
      <c r="C216" s="14" t="str">
        <f>'2026 Orders'!C215</f>
        <v>A4616</v>
      </c>
      <c r="D216" s="14">
        <v>0</v>
      </c>
      <c r="E216" s="17" t="str" cm="1">
        <f t="array" ref="E216">IF(C216=0,"",
HYPERLINK(
"#'2026 Orders'!C"&amp;
MATCH(1,
('2026 Orders'!C:C=C216)*
('2026 Orders'!G:G=G216)*
('2026 Orders'!N:N=N216),
0),
"Open "&amp;C216
))</f>
        <v>Open A4616</v>
      </c>
      <c r="F216" s="14" t="s">
        <v>717</v>
      </c>
      <c r="G216" s="14" t="str">
        <f>'2026 Orders'!G215</f>
        <v>OVAMAX-120-CS-NI</v>
      </c>
      <c r="H216" s="14" t="str">
        <f>'2026 Orders'!H215</f>
        <v>OVAMAX-120</v>
      </c>
      <c r="I216" s="15" t="str">
        <f>'2026 Orders'!I215</f>
        <v>NI</v>
      </c>
      <c r="J216" s="14">
        <f>'2026 Orders'!J215</f>
        <v>120</v>
      </c>
      <c r="K216" t="s">
        <v>718</v>
      </c>
      <c r="L216">
        <v>120</v>
      </c>
      <c r="M216">
        <v>0</v>
      </c>
      <c r="N216" s="10" t="str">
        <f>'2026 Orders'!N215</f>
        <v>D/W Sent</v>
      </c>
      <c r="O216">
        <v>0</v>
      </c>
      <c r="P216" t="s">
        <v>1077</v>
      </c>
      <c r="Q216">
        <v>604776739067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C216" t="str">
        <f t="shared" si="6"/>
        <v>120/</v>
      </c>
      <c r="AD216" t="e">
        <f t="shared" si="7"/>
        <v>#VALUE!</v>
      </c>
    </row>
    <row r="217" spans="1:30" ht="33" hidden="1" customHeight="1" x14ac:dyDescent="0.3">
      <c r="A217">
        <v>46134</v>
      </c>
      <c r="B217" s="14" t="str">
        <f>'2026 Orders'!B216</f>
        <v>Nigeria</v>
      </c>
      <c r="C217" s="14" t="str">
        <f>'2026 Orders'!C216</f>
        <v>A4616</v>
      </c>
      <c r="D217" s="14">
        <v>0</v>
      </c>
      <c r="E217" s="17" t="str" cm="1">
        <f t="array" ref="E217">IF(C217=0,"",
HYPERLINK(
"#'2026 Orders'!C"&amp;
MATCH(1,
('2026 Orders'!C:C=C217)*
('2026 Orders'!G:G=G217)*
('2026 Orders'!N:N=N217),
0),
"Open "&amp;C217
))</f>
        <v>Open A4616</v>
      </c>
      <c r="F217" s="14" t="s">
        <v>717</v>
      </c>
      <c r="G217" s="14" t="str">
        <f>'2026 Orders'!G216</f>
        <v>WFSPLS-180-CS-NI</v>
      </c>
      <c r="H217" s="14" t="str">
        <f>'2026 Orders'!H216</f>
        <v>WFSPLS-180</v>
      </c>
      <c r="I217" s="15" t="str">
        <f>'2026 Orders'!I216</f>
        <v>NI</v>
      </c>
      <c r="J217" s="14">
        <f>'2026 Orders'!J216</f>
        <v>120</v>
      </c>
      <c r="K217" t="s">
        <v>719</v>
      </c>
      <c r="L217">
        <v>120</v>
      </c>
      <c r="M217">
        <v>0</v>
      </c>
      <c r="N217" s="10" t="str">
        <f>'2026 Orders'!N216</f>
        <v>D/W Sent</v>
      </c>
      <c r="O217">
        <v>0</v>
      </c>
      <c r="P217" t="s">
        <v>1077</v>
      </c>
      <c r="Q217">
        <v>609788968399</v>
      </c>
      <c r="R217">
        <v>10775</v>
      </c>
      <c r="S217">
        <v>5055</v>
      </c>
      <c r="T217">
        <v>46250</v>
      </c>
      <c r="U217" t="s">
        <v>1091</v>
      </c>
      <c r="V217">
        <v>0</v>
      </c>
      <c r="W217">
        <v>0</v>
      </c>
      <c r="X217">
        <v>0</v>
      </c>
      <c r="Y217">
        <v>0</v>
      </c>
      <c r="Z217">
        <v>0</v>
      </c>
      <c r="AC217" t="str">
        <f t="shared" si="6"/>
        <v>120/</v>
      </c>
      <c r="AD217" t="e">
        <f t="shared" si="7"/>
        <v>#VALUE!</v>
      </c>
    </row>
    <row r="218" spans="1:30" ht="33" hidden="1" customHeight="1" x14ac:dyDescent="0.3">
      <c r="A218">
        <v>46134</v>
      </c>
      <c r="B218" s="14" t="str">
        <f>'2026 Orders'!B217</f>
        <v>Nigeria</v>
      </c>
      <c r="C218" s="14" t="str">
        <f>'2026 Orders'!C217</f>
        <v>A4616</v>
      </c>
      <c r="D218" s="14">
        <v>0</v>
      </c>
      <c r="E218" s="17" t="str" cm="1">
        <f t="array" ref="E218">IF(C218=0,"",
HYPERLINK(
"#'2026 Orders'!C"&amp;
MATCH(1,
('2026 Orders'!C:C=C218)*
('2026 Orders'!G:G=G218)*
('2026 Orders'!N:N=N218),
0),
"Open "&amp;C218
))</f>
        <v>Open A4616</v>
      </c>
      <c r="F218" s="14" t="s">
        <v>720</v>
      </c>
      <c r="G218" s="14" t="str">
        <f>'2026 Orders'!G217</f>
        <v>VELMARA-60-CS-NI</v>
      </c>
      <c r="H218" s="14" t="str">
        <f>'2026 Orders'!H217</f>
        <v>VELMARA-60</v>
      </c>
      <c r="I218" s="15" t="str">
        <f>'2026 Orders'!I217</f>
        <v>NI</v>
      </c>
      <c r="J218" s="14">
        <f>'2026 Orders'!J217</f>
        <v>72</v>
      </c>
      <c r="K218" t="s">
        <v>721</v>
      </c>
      <c r="L218">
        <v>72</v>
      </c>
      <c r="M218">
        <v>0</v>
      </c>
      <c r="N218" s="10" t="str">
        <f>'2026 Orders'!N217</f>
        <v>D/W Sent</v>
      </c>
      <c r="O218">
        <v>0</v>
      </c>
      <c r="P218" t="s">
        <v>1085</v>
      </c>
      <c r="Q218">
        <v>604776739203</v>
      </c>
      <c r="R218">
        <v>5000</v>
      </c>
      <c r="S218">
        <v>5034</v>
      </c>
      <c r="T218" t="s">
        <v>1108</v>
      </c>
      <c r="U218" t="s">
        <v>1149</v>
      </c>
      <c r="V218">
        <v>0</v>
      </c>
      <c r="W218">
        <v>0</v>
      </c>
      <c r="X218">
        <v>0</v>
      </c>
      <c r="Y218">
        <v>0</v>
      </c>
      <c r="Z218">
        <v>0</v>
      </c>
      <c r="AC218" t="str">
        <f t="shared" si="6"/>
        <v>72/</v>
      </c>
      <c r="AD218" t="e">
        <f t="shared" si="7"/>
        <v>#VALUE!</v>
      </c>
    </row>
    <row r="219" spans="1:30" ht="33" hidden="1" customHeight="1" x14ac:dyDescent="0.3">
      <c r="A219">
        <v>46134</v>
      </c>
      <c r="B219" s="14">
        <f>'2026 Orders'!B218</f>
        <v>0</v>
      </c>
      <c r="C219" s="14">
        <f>'2026 Orders'!C218</f>
        <v>0</v>
      </c>
      <c r="D219" s="14">
        <v>0</v>
      </c>
      <c r="E219" s="17" t="str" cm="1">
        <f t="array" ref="E219">IF(C219=0,"",
HYPERLINK(
"#'2026 Orders'!C"&amp;
MATCH(1,
('2026 Orders'!C:C=C219)*
('2026 Orders'!G:G=G219)*
('2026 Orders'!N:N=N219),
0),
"Open "&amp;C219
))</f>
        <v/>
      </c>
      <c r="F219" s="14">
        <v>0</v>
      </c>
      <c r="G219" s="14">
        <f>'2026 Orders'!G218</f>
        <v>0</v>
      </c>
      <c r="H219" s="14">
        <f>'2026 Orders'!H218</f>
        <v>0</v>
      </c>
      <c r="I219" s="15" t="str">
        <f>'2026 Orders'!I218</f>
        <v/>
      </c>
      <c r="J219" s="14">
        <f>'2026 Orders'!J218</f>
        <v>0</v>
      </c>
      <c r="K219">
        <v>0</v>
      </c>
      <c r="L219">
        <v>0</v>
      </c>
      <c r="M219">
        <v>0</v>
      </c>
      <c r="N219" s="10">
        <f>'2026 Orders'!N218</f>
        <v>0</v>
      </c>
      <c r="O219">
        <v>0</v>
      </c>
      <c r="P219" t="s">
        <v>1085</v>
      </c>
      <c r="Q219">
        <v>609788968702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C219" t="str">
        <f t="shared" si="6"/>
        <v/>
      </c>
      <c r="AD219" t="str">
        <f t="shared" si="7"/>
        <v/>
      </c>
    </row>
    <row r="220" spans="1:30" ht="33" hidden="1" customHeight="1" x14ac:dyDescent="0.3">
      <c r="A220">
        <v>46134</v>
      </c>
      <c r="B220" s="14" t="str">
        <f>'2026 Orders'!B219</f>
        <v>Libya</v>
      </c>
      <c r="C220" s="14" t="str">
        <f>'2026 Orders'!C219</f>
        <v>A4617</v>
      </c>
      <c r="D220" s="14" t="s">
        <v>724</v>
      </c>
      <c r="E220" s="17" t="str" cm="1">
        <f t="array" ref="E220">IF(C220=0,"",
HYPERLINK(
"#'2026 Orders'!C"&amp;
MATCH(1,
('2026 Orders'!C:C=C220)*
('2026 Orders'!G:G=G220)*
('2026 Orders'!N:N=N220),
0),
"Open "&amp;C220
))</f>
        <v>Open A4617</v>
      </c>
      <c r="F220" s="14">
        <v>0</v>
      </c>
      <c r="G220" s="14" t="str">
        <f>'2026 Orders'!G219</f>
        <v>FERTMX-90-CS-LY</v>
      </c>
      <c r="H220" s="14" t="str">
        <f>'2026 Orders'!H219</f>
        <v>FERTMX-90</v>
      </c>
      <c r="I220" s="15" t="str">
        <f>'2026 Orders'!I219</f>
        <v>LY</v>
      </c>
      <c r="J220" s="14">
        <f>'2026 Orders'!J219</f>
        <v>500</v>
      </c>
      <c r="K220" t="s">
        <v>726</v>
      </c>
      <c r="L220">
        <v>500</v>
      </c>
      <c r="M220">
        <v>0</v>
      </c>
      <c r="N220" s="10" t="str">
        <f>'2026 Orders'!N219</f>
        <v>D/W Sent</v>
      </c>
      <c r="O220">
        <v>0</v>
      </c>
      <c r="P220" t="s">
        <v>1077</v>
      </c>
      <c r="Q220">
        <v>604776739142</v>
      </c>
      <c r="R220">
        <v>7572</v>
      </c>
      <c r="S220">
        <v>5043</v>
      </c>
      <c r="T220">
        <v>46286</v>
      </c>
      <c r="U220" t="s">
        <v>1089</v>
      </c>
      <c r="V220">
        <v>0</v>
      </c>
      <c r="W220">
        <v>0</v>
      </c>
      <c r="X220">
        <v>0</v>
      </c>
      <c r="Y220">
        <v>0</v>
      </c>
      <c r="Z220">
        <v>0</v>
      </c>
      <c r="AC220" t="str">
        <f t="shared" si="6"/>
        <v>500/</v>
      </c>
      <c r="AD220" t="e">
        <f t="shared" si="7"/>
        <v>#VALUE!</v>
      </c>
    </row>
    <row r="221" spans="1:30" ht="33" hidden="1" customHeight="1" x14ac:dyDescent="0.3">
      <c r="A221">
        <v>46134</v>
      </c>
      <c r="B221" s="14" t="str">
        <f>'2026 Orders'!B220</f>
        <v>Libya</v>
      </c>
      <c r="C221" s="14" t="str">
        <f>'2026 Orders'!C220</f>
        <v>A4617</v>
      </c>
      <c r="D221" s="14" t="s">
        <v>727</v>
      </c>
      <c r="E221" s="17" t="str" cm="1">
        <f t="array" ref="E221">IF(C221=0,"",
HYPERLINK(
"#'2026 Orders'!C"&amp;
MATCH(1,
('2026 Orders'!C:C=C221)*
('2026 Orders'!G:G=G221)*
('2026 Orders'!N:N=N221),
0),
"Open "&amp;C221
))</f>
        <v>Open A4617</v>
      </c>
      <c r="F221" s="14">
        <v>0</v>
      </c>
      <c r="G221" s="14" t="str">
        <f>'2026 Orders'!G220</f>
        <v>METRIO-60-CS-LY</v>
      </c>
      <c r="H221" s="14" t="str">
        <f>'2026 Orders'!H220</f>
        <v>METRIO-60</v>
      </c>
      <c r="I221" s="15" t="str">
        <f>'2026 Orders'!I220</f>
        <v>LY</v>
      </c>
      <c r="J221" s="14">
        <f>'2026 Orders'!J220</f>
        <v>300</v>
      </c>
      <c r="K221" t="s">
        <v>728</v>
      </c>
      <c r="L221">
        <v>300</v>
      </c>
      <c r="M221">
        <v>0</v>
      </c>
      <c r="N221" s="10" t="str">
        <f>'2026 Orders'!N220</f>
        <v>D/W Sent</v>
      </c>
      <c r="O221">
        <v>0</v>
      </c>
      <c r="P221" t="s">
        <v>1077</v>
      </c>
      <c r="Q221">
        <v>604776739128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C221" t="str">
        <f t="shared" si="6"/>
        <v>300/</v>
      </c>
      <c r="AD221" t="e">
        <f t="shared" si="7"/>
        <v>#VALUE!</v>
      </c>
    </row>
    <row r="222" spans="1:30" ht="33" hidden="1" customHeight="1" x14ac:dyDescent="0.3">
      <c r="A222">
        <v>46134</v>
      </c>
      <c r="B222" s="14" t="str">
        <f>'2026 Orders'!B221</f>
        <v>Libya</v>
      </c>
      <c r="C222" s="14" t="str">
        <f>'2026 Orders'!C221</f>
        <v>A4617</v>
      </c>
      <c r="D222" s="14" t="s">
        <v>729</v>
      </c>
      <c r="E222" s="17" t="str" cm="1">
        <f t="array" ref="E222">IF(C222=0,"",
HYPERLINK(
"#'2026 Orders'!C"&amp;
MATCH(1,
('2026 Orders'!C:C=C222)*
('2026 Orders'!G:G=G222)*
('2026 Orders'!N:N=N222),
0),
"Open "&amp;C222
))</f>
        <v>Open A4617</v>
      </c>
      <c r="F222" s="14">
        <v>0</v>
      </c>
      <c r="G222" s="14" t="str">
        <f>'2026 Orders'!G221</f>
        <v>MFSPLS-120-CS-LY</v>
      </c>
      <c r="H222" s="14" t="str">
        <f>'2026 Orders'!H221</f>
        <v>MFSPLS-120</v>
      </c>
      <c r="I222" s="15" t="str">
        <f>'2026 Orders'!I221</f>
        <v>LY</v>
      </c>
      <c r="J222" s="14">
        <f>'2026 Orders'!J221</f>
        <v>800</v>
      </c>
      <c r="K222" t="s">
        <v>730</v>
      </c>
      <c r="L222">
        <v>800</v>
      </c>
      <c r="M222">
        <v>0</v>
      </c>
      <c r="N222" s="10" t="str">
        <f>'2026 Orders'!N221</f>
        <v>D/W Sent</v>
      </c>
      <c r="O222">
        <v>0</v>
      </c>
      <c r="P222" t="s">
        <v>1085</v>
      </c>
      <c r="Q222" t="s">
        <v>1166</v>
      </c>
      <c r="R222">
        <v>7000</v>
      </c>
      <c r="S222">
        <v>4971</v>
      </c>
      <c r="T222" t="s">
        <v>1103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C222" t="str">
        <f t="shared" si="6"/>
        <v>800/</v>
      </c>
      <c r="AD222" t="e">
        <f t="shared" si="7"/>
        <v>#VALUE!</v>
      </c>
    </row>
    <row r="223" spans="1:30" ht="33" hidden="1" customHeight="1" x14ac:dyDescent="0.3">
      <c r="A223">
        <v>46134</v>
      </c>
      <c r="B223" s="14" t="str">
        <f>'2026 Orders'!B222</f>
        <v>Libya</v>
      </c>
      <c r="C223" s="14" t="str">
        <f>'2026 Orders'!C222</f>
        <v>A4617</v>
      </c>
      <c r="D223" s="14">
        <v>0</v>
      </c>
      <c r="E223" s="17" t="str" cm="1">
        <f t="array" ref="E223">IF(C223=0,"",
HYPERLINK(
"#'2026 Orders'!C"&amp;
MATCH(1,
('2026 Orders'!C:C=C223)*
('2026 Orders'!G:G=G223)*
('2026 Orders'!N:N=N223),
0),
"Open "&amp;C223
))</f>
        <v>Open A4617</v>
      </c>
      <c r="F223" s="14">
        <v>0</v>
      </c>
      <c r="G223" s="14" t="str">
        <f>'2026 Orders'!G222</f>
        <v>OVAMAX-120-CS-LY</v>
      </c>
      <c r="H223" s="14" t="str">
        <f>'2026 Orders'!H222</f>
        <v>OVAMAX-120</v>
      </c>
      <c r="I223" s="15" t="str">
        <f>'2026 Orders'!I222</f>
        <v>LY</v>
      </c>
      <c r="J223" s="14">
        <f>'2026 Orders'!J222</f>
        <v>500</v>
      </c>
      <c r="K223" t="s">
        <v>731</v>
      </c>
      <c r="L223">
        <v>500</v>
      </c>
      <c r="M223">
        <v>0</v>
      </c>
      <c r="N223" s="10" t="str">
        <f>'2026 Orders'!N222</f>
        <v>D/W Sent</v>
      </c>
      <c r="O223">
        <v>0</v>
      </c>
      <c r="P223" t="s">
        <v>1085</v>
      </c>
      <c r="Q223" t="s">
        <v>1166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C223" t="str">
        <f t="shared" si="6"/>
        <v>500/</v>
      </c>
      <c r="AD223" t="e">
        <f t="shared" si="7"/>
        <v>#VALUE!</v>
      </c>
    </row>
    <row r="224" spans="1:30" ht="33" hidden="1" customHeight="1" x14ac:dyDescent="0.3">
      <c r="A224">
        <v>46134</v>
      </c>
      <c r="B224" s="14" t="str">
        <f>'2026 Orders'!B223</f>
        <v>Libya</v>
      </c>
      <c r="C224" s="14" t="str">
        <f>'2026 Orders'!C223</f>
        <v>A4617</v>
      </c>
      <c r="D224" s="14">
        <v>0</v>
      </c>
      <c r="E224" s="17" t="str" cm="1">
        <f t="array" ref="E224">IF(C224=0,"",
HYPERLINK(
"#'2026 Orders'!C"&amp;
MATCH(1,
('2026 Orders'!C:C=C224)*
('2026 Orders'!G:G=G224)*
('2026 Orders'!N:N=N224),
0),
"Open "&amp;C224
))</f>
        <v>Open A4617</v>
      </c>
      <c r="F224" s="14">
        <v>0</v>
      </c>
      <c r="G224" s="14" t="str">
        <f>'2026 Orders'!G223</f>
        <v>LIPODIS-60-FD</v>
      </c>
      <c r="H224" s="14" t="str">
        <f>'2026 Orders'!H223</f>
        <v>LIPODIS-60</v>
      </c>
      <c r="I224" s="15" t="str">
        <f>'2026 Orders'!I223</f>
        <v>FD</v>
      </c>
      <c r="J224" s="14">
        <f>'2026 Orders'!J223</f>
        <v>300</v>
      </c>
      <c r="K224" t="s">
        <v>647</v>
      </c>
      <c r="L224">
        <v>0</v>
      </c>
      <c r="M224">
        <v>300</v>
      </c>
      <c r="N224" s="10" t="str">
        <f>'2026 Orders'!N223</f>
        <v>D/W Sent</v>
      </c>
      <c r="O224">
        <v>0</v>
      </c>
      <c r="P224" t="s">
        <v>1085</v>
      </c>
      <c r="Q224" t="s">
        <v>1167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C224" t="str">
        <f t="shared" si="6"/>
        <v>300/</v>
      </c>
      <c r="AD224" t="e">
        <f t="shared" si="7"/>
        <v>#VALUE!</v>
      </c>
    </row>
    <row r="225" spans="1:30" ht="33" hidden="1" customHeight="1" x14ac:dyDescent="0.3">
      <c r="A225">
        <v>46134</v>
      </c>
      <c r="B225" s="14">
        <f>'2026 Orders'!B224</f>
        <v>0</v>
      </c>
      <c r="C225" s="14">
        <f>'2026 Orders'!C224</f>
        <v>0</v>
      </c>
      <c r="D225" s="14">
        <v>0</v>
      </c>
      <c r="E225" s="17" t="str" cm="1">
        <f t="array" ref="E225">IF(C225=0,"",
HYPERLINK(
"#'2026 Orders'!C"&amp;
MATCH(1,
('2026 Orders'!C:C=C225)*
('2026 Orders'!G:G=G225)*
('2026 Orders'!N:N=N225),
0),
"Open "&amp;C225
))</f>
        <v/>
      </c>
      <c r="F225" s="14">
        <v>0</v>
      </c>
      <c r="G225" s="14">
        <f>'2026 Orders'!G224</f>
        <v>0</v>
      </c>
      <c r="H225" s="14">
        <f>'2026 Orders'!H224</f>
        <v>0</v>
      </c>
      <c r="I225" s="15" t="str">
        <f>'2026 Orders'!I224</f>
        <v/>
      </c>
      <c r="J225" s="14">
        <f>'2026 Orders'!J224</f>
        <v>0</v>
      </c>
      <c r="K225">
        <v>0</v>
      </c>
      <c r="L225">
        <v>0</v>
      </c>
      <c r="M225">
        <v>0</v>
      </c>
      <c r="N225" s="10">
        <f>'2026 Orders'!N224</f>
        <v>0</v>
      </c>
      <c r="O225">
        <v>0</v>
      </c>
      <c r="P225" t="s">
        <v>1077</v>
      </c>
      <c r="Q225" t="s">
        <v>1118</v>
      </c>
      <c r="R225">
        <v>4000</v>
      </c>
      <c r="S225">
        <v>4973</v>
      </c>
      <c r="T225" t="s">
        <v>1103</v>
      </c>
      <c r="U225" t="s">
        <v>1159</v>
      </c>
      <c r="V225">
        <v>0</v>
      </c>
      <c r="W225">
        <v>0</v>
      </c>
      <c r="X225">
        <v>0</v>
      </c>
      <c r="Y225">
        <v>0</v>
      </c>
      <c r="Z225">
        <v>0</v>
      </c>
      <c r="AC225" t="str">
        <f t="shared" si="6"/>
        <v/>
      </c>
      <c r="AD225" t="str">
        <f t="shared" si="7"/>
        <v/>
      </c>
    </row>
    <row r="226" spans="1:30" ht="33" hidden="1" customHeight="1" x14ac:dyDescent="0.3">
      <c r="A226">
        <v>46134</v>
      </c>
      <c r="B226" s="14" t="str">
        <f>'2026 Orders'!B225</f>
        <v>Libya</v>
      </c>
      <c r="C226" s="14" t="str">
        <f>'2026 Orders'!C225</f>
        <v>A4706</v>
      </c>
      <c r="D226" s="14">
        <v>0</v>
      </c>
      <c r="E226" s="17" t="str" cm="1">
        <f t="array" ref="E226">IF(C226=0,"",
HYPERLINK(
"#'2026 Orders'!C"&amp;
MATCH(1,
('2026 Orders'!C:C=C226)*
('2026 Orders'!G:G=G226)*
('2026 Orders'!N:N=N226),
0),
"Open "&amp;C226
))</f>
        <v>Open A4706</v>
      </c>
      <c r="F226" s="14" t="s">
        <v>734</v>
      </c>
      <c r="G226" s="14" t="str">
        <f>'2026 Orders'!G225</f>
        <v>POLYSIT-90-CS-LY</v>
      </c>
      <c r="H226" s="14" t="str">
        <f>'2026 Orders'!H225</f>
        <v>POLYSIT-90</v>
      </c>
      <c r="I226" s="15" t="str">
        <f>'2026 Orders'!I225</f>
        <v>LY</v>
      </c>
      <c r="J226" s="14">
        <f>'2026 Orders'!J225</f>
        <v>300</v>
      </c>
      <c r="K226" t="s">
        <v>735</v>
      </c>
      <c r="L226">
        <v>0</v>
      </c>
      <c r="M226">
        <v>0</v>
      </c>
      <c r="N226" s="10" t="str">
        <f>'2026 Orders'!N225</f>
        <v>In Production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C226" t="str">
        <f t="shared" si="6"/>
        <v>300/</v>
      </c>
      <c r="AD226" t="e">
        <f t="shared" si="7"/>
        <v>#VALUE!</v>
      </c>
    </row>
    <row r="227" spans="1:30" ht="33" hidden="1" customHeight="1" x14ac:dyDescent="0.3">
      <c r="A227">
        <v>0</v>
      </c>
      <c r="B227" s="14">
        <f>'2026 Orders'!B226</f>
        <v>0</v>
      </c>
      <c r="C227" s="14">
        <f>'2026 Orders'!C226</f>
        <v>0</v>
      </c>
      <c r="D227" s="14">
        <v>0</v>
      </c>
      <c r="E227" s="17" t="str" cm="1">
        <f t="array" ref="E227">IF(C227=0,"",
HYPERLINK(
"#'2026 Orders'!C"&amp;
MATCH(1,
('2026 Orders'!C:C=C227)*
('2026 Orders'!G:G=G227)*
('2026 Orders'!N:N=N227),
0),
"Open "&amp;C227
))</f>
        <v/>
      </c>
      <c r="F227" s="14">
        <v>0</v>
      </c>
      <c r="G227" s="14">
        <f>'2026 Orders'!G226</f>
        <v>0</v>
      </c>
      <c r="H227" s="14">
        <f>'2026 Orders'!H226</f>
        <v>0</v>
      </c>
      <c r="I227" s="15" t="str">
        <f>'2026 Orders'!I226</f>
        <v/>
      </c>
      <c r="J227" s="14">
        <f>'2026 Orders'!J226</f>
        <v>0</v>
      </c>
      <c r="K227">
        <v>0</v>
      </c>
      <c r="L227">
        <v>0</v>
      </c>
      <c r="M227">
        <v>0</v>
      </c>
      <c r="N227" s="10">
        <f>'2026 Orders'!N226</f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C227" t="str">
        <f t="shared" si="6"/>
        <v/>
      </c>
      <c r="AD227" t="str">
        <f t="shared" si="7"/>
        <v/>
      </c>
    </row>
    <row r="228" spans="1:30" ht="33" hidden="1" customHeight="1" x14ac:dyDescent="0.3">
      <c r="A228">
        <v>46135</v>
      </c>
      <c r="B228" s="14" t="str">
        <f>'2026 Orders'!B227</f>
        <v>Kuwait</v>
      </c>
      <c r="C228" s="14" t="str">
        <f>'2026 Orders'!C227</f>
        <v>A4696</v>
      </c>
      <c r="D228" s="14">
        <v>0</v>
      </c>
      <c r="E228" s="17" t="str" cm="1">
        <f t="array" ref="E228">IF(C228=0,"",
HYPERLINK(
"#'2026 Orders'!C"&amp;
MATCH(1,
('2026 Orders'!C:C=C228)*
('2026 Orders'!G:G=G228)*
('2026 Orders'!N:N=N228),
0),
"Open "&amp;C228
))</f>
        <v>Open A4696</v>
      </c>
      <c r="F228" s="14" t="s">
        <v>738</v>
      </c>
      <c r="G228" s="14" t="str">
        <f>'2026 Orders'!G227</f>
        <v>CAVINADV-60-CS-KW</v>
      </c>
      <c r="H228" s="14" t="str">
        <f>'2026 Orders'!H227</f>
        <v>CAVINADV-60</v>
      </c>
      <c r="I228" s="15" t="str">
        <f>'2026 Orders'!I227</f>
        <v>KW</v>
      </c>
      <c r="J228" s="14">
        <f>'2026 Orders'!J227</f>
        <v>1</v>
      </c>
      <c r="K228" t="s">
        <v>739</v>
      </c>
      <c r="L228">
        <v>1</v>
      </c>
      <c r="M228">
        <v>0</v>
      </c>
      <c r="N228" s="10" t="str">
        <f>'2026 Orders'!N227</f>
        <v>D/W Sent</v>
      </c>
      <c r="O228" t="s">
        <v>1168</v>
      </c>
      <c r="P228" t="s">
        <v>1085</v>
      </c>
      <c r="Q228">
        <v>0</v>
      </c>
      <c r="R228">
        <v>5000</v>
      </c>
      <c r="S228">
        <v>0</v>
      </c>
      <c r="T228" t="s">
        <v>1108</v>
      </c>
      <c r="U228" t="s">
        <v>1142</v>
      </c>
      <c r="V228">
        <v>0</v>
      </c>
      <c r="W228">
        <v>0</v>
      </c>
      <c r="X228">
        <v>0</v>
      </c>
      <c r="Y228">
        <v>0</v>
      </c>
      <c r="Z228" t="s">
        <v>1086</v>
      </c>
      <c r="AC228" t="str">
        <f t="shared" si="6"/>
        <v>1/</v>
      </c>
      <c r="AD228" t="e">
        <f t="shared" si="7"/>
        <v>#VALUE!</v>
      </c>
    </row>
    <row r="229" spans="1:30" ht="33" hidden="1" customHeight="1" x14ac:dyDescent="0.3">
      <c r="A229">
        <v>0</v>
      </c>
      <c r="B229" s="14">
        <f>'2026 Orders'!B228</f>
        <v>0</v>
      </c>
      <c r="C229" s="14">
        <f>'2026 Orders'!C228</f>
        <v>0</v>
      </c>
      <c r="D229" s="14">
        <v>0</v>
      </c>
      <c r="E229" s="17" t="str" cm="1">
        <f t="array" ref="E229">IF(C229=0,"",
HYPERLINK(
"#'2026 Orders'!C"&amp;
MATCH(1,
('2026 Orders'!C:C=C229)*
('2026 Orders'!G:G=G229)*
('2026 Orders'!N:N=N229),
0),
"Open "&amp;C229
))</f>
        <v/>
      </c>
      <c r="F229" s="14">
        <v>0</v>
      </c>
      <c r="G229" s="14">
        <f>'2026 Orders'!G228</f>
        <v>0</v>
      </c>
      <c r="H229" s="14">
        <f>'2026 Orders'!H228</f>
        <v>0</v>
      </c>
      <c r="I229" s="15" t="str">
        <f>'2026 Orders'!I228</f>
        <v/>
      </c>
      <c r="J229" s="14">
        <f>'2026 Orders'!J228</f>
        <v>0</v>
      </c>
      <c r="K229">
        <v>0</v>
      </c>
      <c r="L229">
        <v>0</v>
      </c>
      <c r="M229">
        <v>0</v>
      </c>
      <c r="N229" s="10">
        <f>'2026 Orders'!N228</f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C229" t="str">
        <f t="shared" si="6"/>
        <v/>
      </c>
      <c r="AD229" t="str">
        <f t="shared" si="7"/>
        <v/>
      </c>
    </row>
    <row r="230" spans="1:30" ht="33" hidden="1" customHeight="1" x14ac:dyDescent="0.3">
      <c r="A230">
        <v>46139</v>
      </c>
      <c r="B230" s="14" t="str">
        <f>'2026 Orders'!B229</f>
        <v>Kuwait</v>
      </c>
      <c r="C230" s="14" t="str">
        <f>'2026 Orders'!C229</f>
        <v>A4648</v>
      </c>
      <c r="D230" s="14" t="s">
        <v>741</v>
      </c>
      <c r="E230" s="17" t="str" cm="1">
        <f t="array" ref="E230">IF(C230=0,"",
HYPERLINK(
"#'2026 Orders'!C"&amp;
MATCH(1,
('2026 Orders'!C:C=C230)*
('2026 Orders'!G:G=G230)*
('2026 Orders'!N:N=N230),
0),
"Open "&amp;C230
))</f>
        <v>Open A4648</v>
      </c>
      <c r="F230" s="14" t="s">
        <v>743</v>
      </c>
      <c r="G230" s="14" t="str">
        <f>'2026 Orders'!G229</f>
        <v>EYECAP-30-CS-KW</v>
      </c>
      <c r="H230" s="14" t="str">
        <f>'2026 Orders'!H229</f>
        <v>EYECAP-30</v>
      </c>
      <c r="I230" s="15" t="str">
        <f>'2026 Orders'!I229</f>
        <v>KW</v>
      </c>
      <c r="J230" s="14">
        <f>'2026 Orders'!J229</f>
        <v>5</v>
      </c>
      <c r="K230" t="s">
        <v>692</v>
      </c>
      <c r="L230">
        <v>5</v>
      </c>
      <c r="M230">
        <v>0</v>
      </c>
      <c r="N230" s="10" t="str">
        <f>'2026 Orders'!N229</f>
        <v>ON HOLD</v>
      </c>
      <c r="O230" t="s">
        <v>1169</v>
      </c>
      <c r="P230" t="s">
        <v>1077</v>
      </c>
      <c r="Q230">
        <v>609788968344</v>
      </c>
      <c r="R230">
        <v>0</v>
      </c>
      <c r="S230">
        <v>4935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 t="s">
        <v>1086</v>
      </c>
      <c r="AC230" t="str">
        <f t="shared" si="6"/>
        <v>5/</v>
      </c>
      <c r="AD230" t="e">
        <f t="shared" si="7"/>
        <v>#VALUE!</v>
      </c>
    </row>
    <row r="231" spans="1:30" ht="33" hidden="1" customHeight="1" x14ac:dyDescent="0.3">
      <c r="A231">
        <v>46139</v>
      </c>
      <c r="B231" s="14">
        <f>'2026 Orders'!B230</f>
        <v>0</v>
      </c>
      <c r="C231" s="14">
        <f>'2026 Orders'!C230</f>
        <v>0</v>
      </c>
      <c r="D231" s="14">
        <v>0</v>
      </c>
      <c r="E231" s="17" t="str" cm="1">
        <f t="array" ref="E231">IF(C231=0,"",
HYPERLINK(
"#'2026 Orders'!C"&amp;
MATCH(1,
('2026 Orders'!C:C=C231)*
('2026 Orders'!G:G=G231)*
('2026 Orders'!N:N=N231),
0),
"Open "&amp;C231
))</f>
        <v/>
      </c>
      <c r="F231" s="14">
        <v>0</v>
      </c>
      <c r="G231" s="14">
        <f>'2026 Orders'!G230</f>
        <v>0</v>
      </c>
      <c r="H231" s="14">
        <f>'2026 Orders'!H230</f>
        <v>0</v>
      </c>
      <c r="I231" s="15" t="str">
        <f>'2026 Orders'!I230</f>
        <v/>
      </c>
      <c r="J231" s="14">
        <f>'2026 Orders'!J230</f>
        <v>0</v>
      </c>
      <c r="K231">
        <v>0</v>
      </c>
      <c r="L231">
        <v>0</v>
      </c>
      <c r="M231">
        <v>0</v>
      </c>
      <c r="N231" s="10">
        <f>'2026 Orders'!N230</f>
        <v>0</v>
      </c>
      <c r="O231" t="s">
        <v>1169</v>
      </c>
      <c r="P231" t="s">
        <v>1077</v>
      </c>
      <c r="Q231">
        <v>609788968092</v>
      </c>
      <c r="R231">
        <v>0</v>
      </c>
      <c r="S231">
        <v>4907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C231" t="str">
        <f t="shared" si="6"/>
        <v/>
      </c>
      <c r="AD231" t="str">
        <f t="shared" si="7"/>
        <v/>
      </c>
    </row>
    <row r="232" spans="1:30" ht="33" hidden="1" customHeight="1" x14ac:dyDescent="0.3">
      <c r="A232">
        <v>0</v>
      </c>
      <c r="B232" s="14" t="str">
        <f>'2026 Orders'!B231</f>
        <v>Iraq</v>
      </c>
      <c r="C232" s="14" t="str">
        <f>'2026 Orders'!C231</f>
        <v>A4626</v>
      </c>
      <c r="D232" s="14">
        <v>0</v>
      </c>
      <c r="E232" s="17" t="str" cm="1">
        <f t="array" ref="E232">IF(C232=0,"",
HYPERLINK(
"#'2026 Orders'!C"&amp;
MATCH(1,
('2026 Orders'!C:C=C232)*
('2026 Orders'!G:G=G232)*
('2026 Orders'!N:N=N232),
0),
"Open "&amp;C232
))</f>
        <v>Open A4626</v>
      </c>
      <c r="F232" s="14">
        <v>0</v>
      </c>
      <c r="G232" s="14" t="str">
        <f>'2026 Orders'!G231</f>
        <v>CAVINAD-60-FD</v>
      </c>
      <c r="H232" s="14" t="str">
        <f>'2026 Orders'!H231</f>
        <v>CAVINAD-60</v>
      </c>
      <c r="I232" s="15" t="str">
        <f>'2026 Orders'!I231</f>
        <v>FD</v>
      </c>
      <c r="J232" s="14">
        <f>'2026 Orders'!J231</f>
        <v>4000</v>
      </c>
      <c r="K232" t="s">
        <v>747</v>
      </c>
      <c r="L232">
        <v>4000</v>
      </c>
      <c r="M232">
        <v>0</v>
      </c>
      <c r="N232" s="10" t="str">
        <f>'2026 Orders'!N231</f>
        <v>ON HOLD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C232" t="str">
        <f t="shared" si="6"/>
        <v>4000/</v>
      </c>
      <c r="AD232" t="e">
        <f t="shared" si="7"/>
        <v>#VALUE!</v>
      </c>
    </row>
    <row r="233" spans="1:30" ht="33" hidden="1" customHeight="1" x14ac:dyDescent="0.3">
      <c r="A233">
        <v>46139</v>
      </c>
      <c r="B233" s="14">
        <f>'2026 Orders'!B232</f>
        <v>0</v>
      </c>
      <c r="C233" s="14">
        <f>'2026 Orders'!C232</f>
        <v>0</v>
      </c>
      <c r="D233" s="14">
        <v>0</v>
      </c>
      <c r="E233" s="17" t="str" cm="1">
        <f t="array" ref="E233">IF(C233=0,"",
HYPERLINK(
"#'2026 Orders'!C"&amp;
MATCH(1,
('2026 Orders'!C:C=C233)*
('2026 Orders'!G:G=G233)*
('2026 Orders'!N:N=N233),
0),
"Open "&amp;C233
))</f>
        <v/>
      </c>
      <c r="F233" s="14">
        <v>0</v>
      </c>
      <c r="G233" s="14">
        <f>'2026 Orders'!G232</f>
        <v>0</v>
      </c>
      <c r="H233" s="14">
        <f>'2026 Orders'!H232</f>
        <v>0</v>
      </c>
      <c r="I233" s="15" t="str">
        <f>'2026 Orders'!I232</f>
        <v/>
      </c>
      <c r="J233" s="14">
        <f>'2026 Orders'!J232</f>
        <v>0</v>
      </c>
      <c r="K233">
        <v>0</v>
      </c>
      <c r="L233">
        <v>0</v>
      </c>
      <c r="M233">
        <v>0</v>
      </c>
      <c r="N233" s="10">
        <f>'2026 Orders'!N232</f>
        <v>0</v>
      </c>
      <c r="O233">
        <v>0</v>
      </c>
      <c r="P233" t="s">
        <v>1077</v>
      </c>
      <c r="Q233">
        <v>609788968344</v>
      </c>
      <c r="R233">
        <v>9195</v>
      </c>
      <c r="S233">
        <v>5032</v>
      </c>
      <c r="T233" t="s">
        <v>1094</v>
      </c>
      <c r="U233" t="s">
        <v>1104</v>
      </c>
      <c r="V233">
        <v>0</v>
      </c>
      <c r="W233">
        <v>0</v>
      </c>
      <c r="X233">
        <v>0</v>
      </c>
      <c r="Y233">
        <v>0</v>
      </c>
      <c r="Z233" t="s">
        <v>1086</v>
      </c>
      <c r="AC233" t="str">
        <f t="shared" si="6"/>
        <v/>
      </c>
      <c r="AD233" t="str">
        <f t="shared" si="7"/>
        <v/>
      </c>
    </row>
    <row r="234" spans="1:30" ht="33" hidden="1" customHeight="1" x14ac:dyDescent="0.3">
      <c r="A234">
        <v>46139</v>
      </c>
      <c r="B234" s="14" t="str">
        <f>'2026 Orders'!B233</f>
        <v>Somalia</v>
      </c>
      <c r="C234" s="14" t="str">
        <f>'2026 Orders'!C233</f>
        <v>A4708</v>
      </c>
      <c r="D234" s="14">
        <v>0</v>
      </c>
      <c r="E234" s="17" t="str" cm="1">
        <f t="array" ref="E234">IF(C234=0,"",
HYPERLINK(
"#'2026 Orders'!C"&amp;
MATCH(1,
('2026 Orders'!C:C=C234)*
('2026 Orders'!G:G=G234)*
('2026 Orders'!N:N=N234),
0),
"Open "&amp;C234
))</f>
        <v>Open A4708</v>
      </c>
      <c r="F234" s="14" t="s">
        <v>751</v>
      </c>
      <c r="G234" s="14" t="str">
        <f>'2026 Orders'!G233</f>
        <v>DHEA50-60-FD</v>
      </c>
      <c r="H234" s="14" t="str">
        <f>'2026 Orders'!H233</f>
        <v>DHEA50-60</v>
      </c>
      <c r="I234" s="15" t="str">
        <f>'2026 Orders'!I233</f>
        <v>FD</v>
      </c>
      <c r="J234" s="14">
        <f>'2026 Orders'!J233</f>
        <v>1320</v>
      </c>
      <c r="K234" t="s">
        <v>453</v>
      </c>
      <c r="L234">
        <v>0</v>
      </c>
      <c r="M234">
        <v>1320</v>
      </c>
      <c r="N234" s="10" t="str">
        <f>'2026 Orders'!N233</f>
        <v>In Production</v>
      </c>
      <c r="O234">
        <v>0</v>
      </c>
      <c r="P234" t="s">
        <v>1077</v>
      </c>
      <c r="Q234">
        <v>609788968351</v>
      </c>
      <c r="R234">
        <v>7572</v>
      </c>
      <c r="S234">
        <v>5043</v>
      </c>
      <c r="T234">
        <v>46286</v>
      </c>
      <c r="U234" t="s">
        <v>1089</v>
      </c>
      <c r="V234">
        <v>0</v>
      </c>
      <c r="W234">
        <v>0</v>
      </c>
      <c r="X234">
        <v>0</v>
      </c>
      <c r="Y234">
        <v>0</v>
      </c>
      <c r="Z234">
        <v>0</v>
      </c>
      <c r="AC234" t="str">
        <f t="shared" si="6"/>
        <v>1320/</v>
      </c>
      <c r="AD234" t="e">
        <f t="shared" si="7"/>
        <v>#VALUE!</v>
      </c>
    </row>
    <row r="235" spans="1:30" ht="33" hidden="1" customHeight="1" x14ac:dyDescent="0.3">
      <c r="A235">
        <v>46139</v>
      </c>
      <c r="B235" s="14">
        <f>'2026 Orders'!B234</f>
        <v>0</v>
      </c>
      <c r="C235" s="14">
        <f>'2026 Orders'!C234</f>
        <v>0</v>
      </c>
      <c r="D235" s="14">
        <v>0</v>
      </c>
      <c r="E235" s="17" t="str" cm="1">
        <f t="array" ref="E235">IF(C235=0,"",
HYPERLINK(
"#'2026 Orders'!C"&amp;
MATCH(1,
('2026 Orders'!C:C=C235)*
('2026 Orders'!G:G=G235)*
('2026 Orders'!N:N=N235),
0),
"Open "&amp;C235
))</f>
        <v/>
      </c>
      <c r="F235" s="14">
        <v>0</v>
      </c>
      <c r="G235" s="14">
        <f>'2026 Orders'!G234</f>
        <v>0</v>
      </c>
      <c r="H235" s="14">
        <f>'2026 Orders'!H234</f>
        <v>0</v>
      </c>
      <c r="I235" s="15" t="str">
        <f>'2026 Orders'!I234</f>
        <v/>
      </c>
      <c r="J235" s="14">
        <f>'2026 Orders'!J234</f>
        <v>0</v>
      </c>
      <c r="K235">
        <v>0</v>
      </c>
      <c r="L235">
        <v>0</v>
      </c>
      <c r="M235">
        <v>0</v>
      </c>
      <c r="N235" s="10">
        <f>'2026 Orders'!N234</f>
        <v>0</v>
      </c>
      <c r="O235">
        <v>0</v>
      </c>
      <c r="P235" t="s">
        <v>1077</v>
      </c>
      <c r="Q235">
        <v>609788968375</v>
      </c>
      <c r="R235">
        <v>5000</v>
      </c>
      <c r="S235">
        <v>5060</v>
      </c>
      <c r="T235" t="s">
        <v>1094</v>
      </c>
      <c r="U235" t="s">
        <v>1095</v>
      </c>
      <c r="V235">
        <v>0</v>
      </c>
      <c r="W235">
        <v>0</v>
      </c>
      <c r="X235">
        <v>0</v>
      </c>
      <c r="Y235">
        <v>0</v>
      </c>
      <c r="Z235">
        <v>0</v>
      </c>
      <c r="AC235" t="str">
        <f t="shared" si="6"/>
        <v/>
      </c>
      <c r="AD235" t="str">
        <f t="shared" si="7"/>
        <v/>
      </c>
    </row>
    <row r="236" spans="1:30" ht="33" hidden="1" customHeight="1" x14ac:dyDescent="0.3">
      <c r="A236">
        <v>46139</v>
      </c>
      <c r="B236" s="14" t="str">
        <f>'2026 Orders'!B235</f>
        <v>Qatar</v>
      </c>
      <c r="C236" s="14" t="str">
        <f>'2026 Orders'!C235</f>
        <v>A4693</v>
      </c>
      <c r="D236" s="14">
        <v>0</v>
      </c>
      <c r="E236" s="17" t="str" cm="1">
        <f t="array" ref="E236">IF(C236=0,"",
HYPERLINK(
"#'2026 Orders'!C"&amp;
MATCH(1,
('2026 Orders'!C:C=C236)*
('2026 Orders'!G:G=G236)*
('2026 Orders'!N:N=N236),
0),
"Open "&amp;C236
))</f>
        <v>Open A4693</v>
      </c>
      <c r="F236" s="14" t="s">
        <v>755</v>
      </c>
      <c r="G236" s="14" t="str">
        <f>'2026 Orders'!G235</f>
        <v>MFSPLS-120-CS-QT</v>
      </c>
      <c r="H236" s="14" t="str">
        <f>'2026 Orders'!H235</f>
        <v>MFSPLS-120</v>
      </c>
      <c r="I236" s="15" t="str">
        <f>'2026 Orders'!I235</f>
        <v>QT</v>
      </c>
      <c r="J236" s="14">
        <f>'2026 Orders'!J235</f>
        <v>1008</v>
      </c>
      <c r="K236" t="s">
        <v>757</v>
      </c>
      <c r="L236">
        <v>1008</v>
      </c>
      <c r="M236">
        <v>0</v>
      </c>
      <c r="N236" s="10" t="str">
        <f>'2026 Orders'!N235</f>
        <v>D/W Sent</v>
      </c>
      <c r="O236">
        <v>0</v>
      </c>
      <c r="P236" t="s">
        <v>1085</v>
      </c>
      <c r="Q236" t="s">
        <v>1167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C236" t="str">
        <f t="shared" si="6"/>
        <v>1008/</v>
      </c>
      <c r="AD236" t="e">
        <f t="shared" si="7"/>
        <v>#VALUE!</v>
      </c>
    </row>
    <row r="237" spans="1:30" ht="33" hidden="1" customHeight="1" x14ac:dyDescent="0.3">
      <c r="A237">
        <v>46139</v>
      </c>
      <c r="B237" s="14" t="str">
        <f>'2026 Orders'!B236</f>
        <v>Qatar</v>
      </c>
      <c r="C237" s="14" t="str">
        <f>'2026 Orders'!C236</f>
        <v>A4693</v>
      </c>
      <c r="D237" s="14">
        <v>0</v>
      </c>
      <c r="E237" s="17" t="str" cm="1">
        <f t="array" ref="E237">IF(C237=0,"",
HYPERLINK(
"#'2026 Orders'!C"&amp;
MATCH(1,
('2026 Orders'!C:C=C237)*
('2026 Orders'!G:G=G237)*
('2026 Orders'!N:N=N237),
0),
"Open "&amp;C237
))</f>
        <v>Open A4693</v>
      </c>
      <c r="F237" s="14">
        <v>0</v>
      </c>
      <c r="G237" s="14" t="str">
        <f>'2026 Orders'!G236</f>
        <v>MFSPLS-120-CS-QT</v>
      </c>
      <c r="H237" s="14" t="str">
        <f>'2026 Orders'!H236</f>
        <v>MFSPLS-120</v>
      </c>
      <c r="I237" s="15" t="str">
        <f>'2026 Orders'!I236</f>
        <v>QT</v>
      </c>
      <c r="J237" s="14">
        <f>'2026 Orders'!J236</f>
        <v>598</v>
      </c>
      <c r="K237" t="s">
        <v>757</v>
      </c>
      <c r="L237">
        <v>598</v>
      </c>
      <c r="M237">
        <v>0</v>
      </c>
      <c r="N237" s="10" t="str">
        <f>'2026 Orders'!N236</f>
        <v>D/W Sent</v>
      </c>
      <c r="O237">
        <v>0</v>
      </c>
      <c r="P237" t="s">
        <v>1077</v>
      </c>
      <c r="Q237">
        <v>609788968221</v>
      </c>
      <c r="R237">
        <v>7000</v>
      </c>
      <c r="S237">
        <v>5027</v>
      </c>
      <c r="T237" t="s">
        <v>1079</v>
      </c>
      <c r="U237" t="s">
        <v>1092</v>
      </c>
      <c r="V237">
        <v>0</v>
      </c>
      <c r="W237">
        <v>0</v>
      </c>
      <c r="X237">
        <v>0</v>
      </c>
      <c r="Y237">
        <v>0</v>
      </c>
      <c r="Z237">
        <v>0</v>
      </c>
      <c r="AC237" t="str">
        <f t="shared" si="6"/>
        <v>598/</v>
      </c>
      <c r="AD237" t="e">
        <f t="shared" si="7"/>
        <v>#VALUE!</v>
      </c>
    </row>
    <row r="238" spans="1:30" ht="33" hidden="1" customHeight="1" x14ac:dyDescent="0.3">
      <c r="A238">
        <v>46139</v>
      </c>
      <c r="B238" s="14" t="str">
        <f>'2026 Orders'!B237</f>
        <v>Qatar</v>
      </c>
      <c r="C238" s="14" t="str">
        <f>'2026 Orders'!C237</f>
        <v>A4693</v>
      </c>
      <c r="D238" s="14">
        <v>0</v>
      </c>
      <c r="E238" s="17" t="str" cm="1">
        <f t="array" ref="E238">IF(C238=0,"",
HYPERLINK(
"#'2026 Orders'!C"&amp;
MATCH(1,
('2026 Orders'!C:C=C238)*
('2026 Orders'!G:G=G238)*
('2026 Orders'!N:N=N238),
0),
"Open "&amp;C238
))</f>
        <v>Open A4693</v>
      </c>
      <c r="F238" s="14">
        <v>0</v>
      </c>
      <c r="G238" s="14" t="str">
        <f>'2026 Orders'!G237</f>
        <v>MOTILMX-60-CS-QT</v>
      </c>
      <c r="H238" s="14" t="str">
        <f>'2026 Orders'!H237</f>
        <v>MOTILMX-60</v>
      </c>
      <c r="I238" s="15" t="str">
        <f>'2026 Orders'!I237</f>
        <v>QT</v>
      </c>
      <c r="J238" s="14">
        <f>'2026 Orders'!J237</f>
        <v>2200</v>
      </c>
      <c r="K238" t="s">
        <v>759</v>
      </c>
      <c r="L238">
        <v>2200</v>
      </c>
      <c r="M238">
        <v>0</v>
      </c>
      <c r="N238" s="10" t="str">
        <f>'2026 Orders'!N237</f>
        <v>D/W Sent</v>
      </c>
      <c r="O238">
        <v>0</v>
      </c>
      <c r="P238" t="s">
        <v>1077</v>
      </c>
      <c r="Q238">
        <v>609788968467</v>
      </c>
      <c r="R238">
        <v>4000</v>
      </c>
      <c r="S238">
        <v>4808</v>
      </c>
      <c r="T238" t="s">
        <v>1079</v>
      </c>
      <c r="U238" t="s">
        <v>1170</v>
      </c>
      <c r="V238">
        <v>0</v>
      </c>
      <c r="W238">
        <v>0</v>
      </c>
      <c r="X238">
        <v>0</v>
      </c>
      <c r="Y238">
        <v>0</v>
      </c>
      <c r="Z238">
        <v>0</v>
      </c>
      <c r="AC238" t="str">
        <f t="shared" si="6"/>
        <v>2200/</v>
      </c>
      <c r="AD238" t="e">
        <f t="shared" si="7"/>
        <v>#VALUE!</v>
      </c>
    </row>
    <row r="239" spans="1:30" ht="33" hidden="1" customHeight="1" x14ac:dyDescent="0.3">
      <c r="A239">
        <v>46139</v>
      </c>
      <c r="B239" s="14">
        <f>'2026 Orders'!B238</f>
        <v>0</v>
      </c>
      <c r="C239" s="14">
        <f>'2026 Orders'!C238</f>
        <v>0</v>
      </c>
      <c r="D239" s="14">
        <v>0</v>
      </c>
      <c r="E239" s="17" t="str" cm="1">
        <f t="array" ref="E239">IF(C239=0,"",
HYPERLINK(
"#'2026 Orders'!C"&amp;
MATCH(1,
('2026 Orders'!C:C=C239)*
('2026 Orders'!G:G=G239)*
('2026 Orders'!N:N=N239),
0),
"Open "&amp;C239
))</f>
        <v/>
      </c>
      <c r="F239" s="14">
        <v>0</v>
      </c>
      <c r="G239" s="14">
        <f>'2026 Orders'!G238</f>
        <v>0</v>
      </c>
      <c r="H239" s="14">
        <f>'2026 Orders'!H238</f>
        <v>0</v>
      </c>
      <c r="I239" s="15" t="str">
        <f>'2026 Orders'!I238</f>
        <v/>
      </c>
      <c r="J239" s="14">
        <f>'2026 Orders'!J238</f>
        <v>0</v>
      </c>
      <c r="K239">
        <v>0</v>
      </c>
      <c r="L239">
        <v>0</v>
      </c>
      <c r="M239">
        <v>0</v>
      </c>
      <c r="N239" s="10">
        <f>'2026 Orders'!N238</f>
        <v>0</v>
      </c>
      <c r="O239">
        <v>0</v>
      </c>
      <c r="P239" t="s">
        <v>1077</v>
      </c>
      <c r="Q239">
        <v>609788968467</v>
      </c>
      <c r="R239">
        <v>4000</v>
      </c>
      <c r="S239">
        <v>4808</v>
      </c>
      <c r="T239" t="s">
        <v>1079</v>
      </c>
      <c r="U239" t="s">
        <v>1170</v>
      </c>
      <c r="V239">
        <v>0</v>
      </c>
      <c r="W239">
        <v>0</v>
      </c>
      <c r="X239">
        <v>0</v>
      </c>
      <c r="Y239">
        <v>0</v>
      </c>
      <c r="Z239">
        <v>0</v>
      </c>
      <c r="AC239" t="str">
        <f t="shared" si="6"/>
        <v/>
      </c>
      <c r="AD239" t="str">
        <f t="shared" si="7"/>
        <v/>
      </c>
    </row>
    <row r="240" spans="1:30" ht="33" hidden="1" customHeight="1" x14ac:dyDescent="0.3">
      <c r="A240">
        <v>46139</v>
      </c>
      <c r="B240" s="14" t="str">
        <f>'2026 Orders'!B239</f>
        <v>Qatar</v>
      </c>
      <c r="C240" s="14" t="str">
        <f>'2026 Orders'!C239</f>
        <v>A4701</v>
      </c>
      <c r="D240" s="14">
        <v>0</v>
      </c>
      <c r="E240" s="17" t="str" cm="1">
        <f t="array" ref="E240">IF(C240=0,"",
HYPERLINK(
"#'2026 Orders'!C"&amp;
MATCH(1,
('2026 Orders'!C:C=C240)*
('2026 Orders'!G:G=G240)*
('2026 Orders'!N:N=N240),
0),
"Open "&amp;C240
))</f>
        <v>Open A4701</v>
      </c>
      <c r="F240" s="14" t="s">
        <v>762</v>
      </c>
      <c r="G240" s="14" t="str">
        <f>'2026 Orders'!G239</f>
        <v>MFSPLS-120-CS-QT</v>
      </c>
      <c r="H240" s="14" t="str">
        <f>'2026 Orders'!H239</f>
        <v>MFSPLS-120</v>
      </c>
      <c r="I240" s="15" t="str">
        <f>'2026 Orders'!I239</f>
        <v>QT</v>
      </c>
      <c r="J240" s="14">
        <f>'2026 Orders'!J239</f>
        <v>44</v>
      </c>
      <c r="K240" t="s">
        <v>757</v>
      </c>
      <c r="L240">
        <v>0</v>
      </c>
      <c r="M240">
        <v>0</v>
      </c>
      <c r="N240" s="10" t="str">
        <f>'2026 Orders'!N239</f>
        <v>In Production</v>
      </c>
      <c r="O240">
        <v>0</v>
      </c>
      <c r="P240" t="s">
        <v>1077</v>
      </c>
      <c r="Q240">
        <v>609788968399</v>
      </c>
      <c r="R240">
        <v>10775</v>
      </c>
      <c r="S240">
        <v>5055</v>
      </c>
      <c r="T240">
        <v>46250</v>
      </c>
      <c r="U240" t="s">
        <v>1091</v>
      </c>
      <c r="V240">
        <v>0</v>
      </c>
      <c r="W240">
        <v>0</v>
      </c>
      <c r="X240">
        <v>0</v>
      </c>
      <c r="Y240">
        <v>0</v>
      </c>
      <c r="Z240">
        <v>0</v>
      </c>
      <c r="AC240" t="str">
        <f t="shared" si="6"/>
        <v>44/</v>
      </c>
      <c r="AD240" t="e">
        <f t="shared" si="7"/>
        <v>#VALUE!</v>
      </c>
    </row>
    <row r="241" spans="1:30" ht="33" hidden="1" customHeight="1" x14ac:dyDescent="0.3">
      <c r="A241">
        <v>0</v>
      </c>
      <c r="B241" s="14">
        <f>'2026 Orders'!B240</f>
        <v>0</v>
      </c>
      <c r="C241" s="14">
        <f>'2026 Orders'!C240</f>
        <v>0</v>
      </c>
      <c r="D241" s="14">
        <v>0</v>
      </c>
      <c r="E241" s="17" t="str" cm="1">
        <f t="array" ref="E241">IF(C241=0,"",
HYPERLINK(
"#'2026 Orders'!C"&amp;
MATCH(1,
('2026 Orders'!C:C=C241)*
('2026 Orders'!G:G=G241)*
('2026 Orders'!N:N=N241),
0),
"Open "&amp;C241
))</f>
        <v/>
      </c>
      <c r="F241" s="14">
        <v>0</v>
      </c>
      <c r="G241" s="14">
        <f>'2026 Orders'!G240</f>
        <v>0</v>
      </c>
      <c r="H241" s="14">
        <f>'2026 Orders'!H240</f>
        <v>0</v>
      </c>
      <c r="I241" s="15" t="str">
        <f>'2026 Orders'!I240</f>
        <v/>
      </c>
      <c r="J241" s="14">
        <f>'2026 Orders'!J240</f>
        <v>0</v>
      </c>
      <c r="K241">
        <v>0</v>
      </c>
      <c r="L241">
        <v>0</v>
      </c>
      <c r="M241">
        <v>0</v>
      </c>
      <c r="N241" s="10">
        <f>'2026 Orders'!N240</f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C241" t="str">
        <f t="shared" si="6"/>
        <v/>
      </c>
      <c r="AD241" t="str">
        <f t="shared" si="7"/>
        <v/>
      </c>
    </row>
    <row r="242" spans="1:30" ht="33" hidden="1" customHeight="1" x14ac:dyDescent="0.3">
      <c r="A242">
        <v>46153</v>
      </c>
      <c r="B242" s="14" t="str">
        <f>'2026 Orders'!B241</f>
        <v>KSA</v>
      </c>
      <c r="C242" s="14" t="str">
        <f>'2026 Orders'!C241</f>
        <v>A4654</v>
      </c>
      <c r="D242" s="14" t="s">
        <v>765</v>
      </c>
      <c r="E242" s="17" t="str" cm="1">
        <f t="array" ref="E242">IF(C242=0,"",
HYPERLINK(
"#'2026 Orders'!C"&amp;
MATCH(1,
('2026 Orders'!C:C=C242)*
('2026 Orders'!G:G=G242)*
('2026 Orders'!N:N=N242),
0),
"Open "&amp;C242
))</f>
        <v>Open A4654</v>
      </c>
      <c r="F242" s="14">
        <v>0</v>
      </c>
      <c r="G242" s="14" t="str">
        <f>'2026 Orders'!G241</f>
        <v>WFSPLS-180-FD</v>
      </c>
      <c r="H242" s="14" t="str">
        <f>'2026 Orders'!H241</f>
        <v>WFSPLS-180</v>
      </c>
      <c r="I242" s="15" t="str">
        <f>'2026 Orders'!I241</f>
        <v>FD</v>
      </c>
      <c r="J242" s="14">
        <f>'2026 Orders'!J241</f>
        <v>48</v>
      </c>
      <c r="K242" t="s">
        <v>438</v>
      </c>
      <c r="L242">
        <v>48</v>
      </c>
      <c r="M242">
        <v>0</v>
      </c>
      <c r="N242" s="10" t="str">
        <f>'2026 Orders'!N241</f>
        <v>D/W Sent</v>
      </c>
      <c r="O242" t="s">
        <v>1171</v>
      </c>
      <c r="P242" t="s">
        <v>1085</v>
      </c>
      <c r="Q242">
        <v>609788968726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 t="s">
        <v>1086</v>
      </c>
      <c r="AC242" t="str">
        <f t="shared" si="6"/>
        <v>48/</v>
      </c>
      <c r="AD242" t="e">
        <f t="shared" si="7"/>
        <v>#VALUE!</v>
      </c>
    </row>
    <row r="243" spans="1:30" ht="33" hidden="1" customHeight="1" x14ac:dyDescent="0.3">
      <c r="A243">
        <v>0</v>
      </c>
      <c r="B243" s="14" t="str">
        <f>'2026 Orders'!B242</f>
        <v>KSA</v>
      </c>
      <c r="C243" s="14" t="str">
        <f>'2026 Orders'!C242</f>
        <v>A4654</v>
      </c>
      <c r="D243" s="14">
        <v>0</v>
      </c>
      <c r="E243" s="17" t="str" cm="1">
        <f t="array" ref="E243">IF(C243=0,"",
HYPERLINK(
"#'2026 Orders'!C"&amp;
MATCH(1,
('2026 Orders'!C:C=C243)*
('2026 Orders'!G:G=G243)*
('2026 Orders'!N:N=N243),
0),
"Open "&amp;C243
))</f>
        <v>Open A4654</v>
      </c>
      <c r="F243" s="14">
        <v>0</v>
      </c>
      <c r="G243" s="14" t="str">
        <f>'2026 Orders'!G242</f>
        <v>EYECAP-30-FD</v>
      </c>
      <c r="H243" s="14" t="str">
        <f>'2026 Orders'!H242</f>
        <v>EYECAP-30</v>
      </c>
      <c r="I243" s="15" t="str">
        <f>'2026 Orders'!I242</f>
        <v>FD</v>
      </c>
      <c r="J243" s="14">
        <f>'2026 Orders'!J242</f>
        <v>72</v>
      </c>
      <c r="K243" t="s">
        <v>430</v>
      </c>
      <c r="L243">
        <v>72</v>
      </c>
      <c r="M243">
        <v>0</v>
      </c>
      <c r="N243" s="10" t="str">
        <f>'2026 Orders'!N242</f>
        <v>D/W Sent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C243" t="str">
        <f t="shared" si="6"/>
        <v>72/</v>
      </c>
      <c r="AD243" t="e">
        <f t="shared" si="7"/>
        <v>#VALUE!</v>
      </c>
    </row>
    <row r="244" spans="1:30" ht="33" hidden="1" customHeight="1" x14ac:dyDescent="0.3">
      <c r="A244">
        <v>46153</v>
      </c>
      <c r="B244" s="14" t="str">
        <f>'2026 Orders'!B243</f>
        <v>KSA</v>
      </c>
      <c r="C244" s="14" t="str">
        <f>'2026 Orders'!C243</f>
        <v>A4654</v>
      </c>
      <c r="D244" s="14">
        <v>0</v>
      </c>
      <c r="E244" s="17" t="str" cm="1">
        <f t="array" ref="E244">IF(C244=0,"",
HYPERLINK(
"#'2026 Orders'!C"&amp;
MATCH(1,
('2026 Orders'!C:C=C244)*
('2026 Orders'!G:G=G244)*
('2026 Orders'!N:N=N244),
0),
"Open "&amp;C244
))</f>
        <v>Open A4654</v>
      </c>
      <c r="F244" s="14">
        <v>0</v>
      </c>
      <c r="G244" s="14" t="str">
        <f>'2026 Orders'!G243</f>
        <v>PEARLY-60-FD</v>
      </c>
      <c r="H244" s="14" t="str">
        <f>'2026 Orders'!H243</f>
        <v>PEARLY-60</v>
      </c>
      <c r="I244" s="15" t="str">
        <f>'2026 Orders'!I243</f>
        <v>FD</v>
      </c>
      <c r="J244" s="14">
        <f>'2026 Orders'!J243</f>
        <v>120</v>
      </c>
      <c r="K244" t="s">
        <v>767</v>
      </c>
      <c r="L244">
        <v>120</v>
      </c>
      <c r="M244">
        <v>0</v>
      </c>
      <c r="N244" s="10" t="str">
        <f>'2026 Orders'!N243</f>
        <v>D/W Sent</v>
      </c>
      <c r="O244">
        <v>0</v>
      </c>
      <c r="P244" t="s">
        <v>1077</v>
      </c>
      <c r="Q244">
        <v>609788968498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 t="s">
        <v>1086</v>
      </c>
      <c r="AC244" t="str">
        <f t="shared" si="6"/>
        <v>120/</v>
      </c>
      <c r="AD244" t="e">
        <f t="shared" si="7"/>
        <v>#VALUE!</v>
      </c>
    </row>
    <row r="245" spans="1:30" ht="33" hidden="1" customHeight="1" x14ac:dyDescent="0.3">
      <c r="A245">
        <v>46153</v>
      </c>
      <c r="B245" s="14" t="str">
        <f>'2026 Orders'!B244</f>
        <v>KSA</v>
      </c>
      <c r="C245" s="14" t="str">
        <f>'2026 Orders'!C244</f>
        <v>A4654</v>
      </c>
      <c r="D245" s="14">
        <v>0</v>
      </c>
      <c r="E245" s="17" t="str" cm="1">
        <f t="array" ref="E245">IF(C245=0,"",
HYPERLINK(
"#'2026 Orders'!C"&amp;
MATCH(1,
('2026 Orders'!C:C=C245)*
('2026 Orders'!G:G=G245)*
('2026 Orders'!N:N=N245),
0),
"Open "&amp;C245
))</f>
        <v>Open A4654</v>
      </c>
      <c r="F245" s="14">
        <v>0</v>
      </c>
      <c r="G245" s="14" t="str">
        <f>'2026 Orders'!G244</f>
        <v>PEARLY-60-FD</v>
      </c>
      <c r="H245" s="14" t="str">
        <f>'2026 Orders'!H244</f>
        <v>PEARLY-60</v>
      </c>
      <c r="I245" s="15" t="str">
        <f>'2026 Orders'!I244</f>
        <v>FD</v>
      </c>
      <c r="J245" s="14">
        <f>'2026 Orders'!J244</f>
        <v>24</v>
      </c>
      <c r="K245" t="s">
        <v>767</v>
      </c>
      <c r="L245">
        <v>24</v>
      </c>
      <c r="M245">
        <v>0</v>
      </c>
      <c r="N245" s="10" t="str">
        <f>'2026 Orders'!N244</f>
        <v>D/W Sent</v>
      </c>
      <c r="O245">
        <v>0</v>
      </c>
      <c r="P245" t="s">
        <v>1077</v>
      </c>
      <c r="Q245">
        <v>609788968351</v>
      </c>
      <c r="R245">
        <v>7572</v>
      </c>
      <c r="S245">
        <v>5043</v>
      </c>
      <c r="T245">
        <v>46286</v>
      </c>
      <c r="U245" t="s">
        <v>1089</v>
      </c>
      <c r="V245">
        <v>0</v>
      </c>
      <c r="W245">
        <v>0</v>
      </c>
      <c r="X245">
        <v>0</v>
      </c>
      <c r="Y245">
        <v>0</v>
      </c>
      <c r="Z245">
        <v>0</v>
      </c>
      <c r="AC245" t="str">
        <f t="shared" si="6"/>
        <v>24/</v>
      </c>
      <c r="AD245" t="e">
        <f t="shared" si="7"/>
        <v>#VALUE!</v>
      </c>
    </row>
    <row r="246" spans="1:30" ht="33" hidden="1" customHeight="1" x14ac:dyDescent="0.3">
      <c r="A246">
        <v>46153</v>
      </c>
      <c r="B246" s="14" t="str">
        <f>'2026 Orders'!B245</f>
        <v>KSA</v>
      </c>
      <c r="C246" s="14" t="str">
        <f>'2026 Orders'!C245</f>
        <v>A4654</v>
      </c>
      <c r="D246" s="14">
        <v>0</v>
      </c>
      <c r="E246" s="17" t="str" cm="1">
        <f t="array" ref="E246">IF(C246=0,"",
HYPERLINK(
"#'2026 Orders'!C"&amp;
MATCH(1,
('2026 Orders'!C:C=C246)*
('2026 Orders'!G:G=G246)*
('2026 Orders'!N:N=N246),
0),
"Open "&amp;C246
))</f>
        <v>Open A4654</v>
      </c>
      <c r="F246" s="14">
        <v>0</v>
      </c>
      <c r="G246" s="14" t="str">
        <f>'2026 Orders'!G245</f>
        <v>QWELL4-30-SG-FD</v>
      </c>
      <c r="H246" s="14" t="str">
        <f>'2026 Orders'!H245</f>
        <v>QWELL4-30</v>
      </c>
      <c r="I246" s="15" t="str">
        <f>'2026 Orders'!I245</f>
        <v>FD</v>
      </c>
      <c r="J246" s="14">
        <f>'2026 Orders'!J245</f>
        <v>144</v>
      </c>
      <c r="K246" t="s">
        <v>444</v>
      </c>
      <c r="L246">
        <v>144</v>
      </c>
      <c r="M246">
        <v>0</v>
      </c>
      <c r="N246" s="10" t="str">
        <f>'2026 Orders'!N245</f>
        <v>D/W Sent</v>
      </c>
      <c r="O246">
        <v>0</v>
      </c>
      <c r="P246" t="s">
        <v>1077</v>
      </c>
      <c r="Q246">
        <v>609788968405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C246" t="str">
        <f t="shared" si="6"/>
        <v>144/</v>
      </c>
      <c r="AD246" t="e">
        <f t="shared" si="7"/>
        <v>#VALUE!</v>
      </c>
    </row>
    <row r="247" spans="1:30" ht="33" hidden="1" customHeight="1" x14ac:dyDescent="0.3">
      <c r="A247">
        <v>46153</v>
      </c>
      <c r="B247" s="14" t="str">
        <f>'2026 Orders'!B246</f>
        <v>KSA</v>
      </c>
      <c r="C247" s="14" t="str">
        <f>'2026 Orders'!C246</f>
        <v>A4654</v>
      </c>
      <c r="D247" s="14">
        <v>0</v>
      </c>
      <c r="E247" s="17" t="str" cm="1">
        <f t="array" ref="E247">IF(C247=0,"",
HYPERLINK(
"#'2026 Orders'!C"&amp;
MATCH(1,
('2026 Orders'!C:C=C247)*
('2026 Orders'!G:G=G247)*
('2026 Orders'!N:N=N247),
0),
"Open "&amp;C247
))</f>
        <v>Open A4654</v>
      </c>
      <c r="F247" s="14">
        <v>0</v>
      </c>
      <c r="G247" s="14" t="str">
        <f>'2026 Orders'!G246</f>
        <v>PRECON-90-FD</v>
      </c>
      <c r="H247" s="14" t="str">
        <f>'2026 Orders'!H246</f>
        <v>PRECON-90</v>
      </c>
      <c r="I247" s="15" t="str">
        <f>'2026 Orders'!I246</f>
        <v>FD</v>
      </c>
      <c r="J247" s="14">
        <f>'2026 Orders'!J246</f>
        <v>72</v>
      </c>
      <c r="K247" t="s">
        <v>443</v>
      </c>
      <c r="L247">
        <v>72</v>
      </c>
      <c r="M247">
        <v>0</v>
      </c>
      <c r="N247" s="10" t="str">
        <f>'2026 Orders'!N246</f>
        <v>D/W Sent</v>
      </c>
      <c r="O247">
        <v>0</v>
      </c>
      <c r="P247" t="s">
        <v>1077</v>
      </c>
      <c r="Q247">
        <v>810131199586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C247" t="str">
        <f t="shared" si="6"/>
        <v>72/</v>
      </c>
      <c r="AD247" t="e">
        <f t="shared" si="7"/>
        <v>#VALUE!</v>
      </c>
    </row>
    <row r="248" spans="1:30" ht="33" hidden="1" customHeight="1" x14ac:dyDescent="0.3">
      <c r="A248">
        <v>46153</v>
      </c>
      <c r="B248" s="14" t="str">
        <f>'2026 Orders'!B247</f>
        <v>KSA</v>
      </c>
      <c r="C248" s="14" t="str">
        <f>'2026 Orders'!C247</f>
        <v>A4654</v>
      </c>
      <c r="D248" s="14">
        <v>0</v>
      </c>
      <c r="E248" s="17" t="str" cm="1">
        <f t="array" ref="E248">IF(C248=0,"",
HYPERLINK(
"#'2026 Orders'!C"&amp;
MATCH(1,
('2026 Orders'!C:C=C248)*
('2026 Orders'!G:G=G248)*
('2026 Orders'!N:N=N248),
0),
"Open "&amp;C248
))</f>
        <v>Open A4654</v>
      </c>
      <c r="F248" s="14" t="s">
        <v>768</v>
      </c>
      <c r="G248" s="14" t="str">
        <f>'2026 Orders'!G247</f>
        <v>DHEA25-60-FD</v>
      </c>
      <c r="H248" s="14" t="str">
        <f>'2026 Orders'!H247</f>
        <v>DHEA25-60</v>
      </c>
      <c r="I248" s="15" t="str">
        <f>'2026 Orders'!I247</f>
        <v>FD</v>
      </c>
      <c r="J248" s="14">
        <f>'2026 Orders'!J247</f>
        <v>160</v>
      </c>
      <c r="K248" t="s">
        <v>493</v>
      </c>
      <c r="L248">
        <v>160</v>
      </c>
      <c r="M248">
        <v>0</v>
      </c>
      <c r="N248" s="10" t="str">
        <f>'2026 Orders'!N247</f>
        <v>D/W Sent</v>
      </c>
      <c r="O248" t="s">
        <v>1172</v>
      </c>
      <c r="P248" t="s">
        <v>1085</v>
      </c>
      <c r="Q248">
        <v>609788968726</v>
      </c>
      <c r="R248">
        <v>5000</v>
      </c>
      <c r="S248">
        <v>5041</v>
      </c>
      <c r="T248">
        <v>46248</v>
      </c>
      <c r="U248" t="s">
        <v>1090</v>
      </c>
      <c r="V248">
        <v>0</v>
      </c>
      <c r="W248">
        <v>0</v>
      </c>
      <c r="X248">
        <v>0</v>
      </c>
      <c r="Y248">
        <v>0</v>
      </c>
      <c r="Z248">
        <v>0</v>
      </c>
      <c r="AC248" t="str">
        <f t="shared" si="6"/>
        <v>160/</v>
      </c>
      <c r="AD248" t="e">
        <f t="shared" si="7"/>
        <v>#VALUE!</v>
      </c>
    </row>
    <row r="249" spans="1:30" ht="33" hidden="1" customHeight="1" x14ac:dyDescent="0.3">
      <c r="A249">
        <v>46153</v>
      </c>
      <c r="B249" s="14" t="str">
        <f>'2026 Orders'!B248</f>
        <v>KSA</v>
      </c>
      <c r="C249" s="14" t="str">
        <f>'2026 Orders'!C248</f>
        <v>A4654</v>
      </c>
      <c r="D249" s="14">
        <v>0</v>
      </c>
      <c r="E249" s="17" t="str" cm="1">
        <f t="array" ref="E249">IF(C249=0,"",
HYPERLINK(
"#'2026 Orders'!C"&amp;
MATCH(1,
('2026 Orders'!C:C=C249)*
('2026 Orders'!G:G=G249)*
('2026 Orders'!N:N=N249),
0),
"Open "&amp;C249
))</f>
        <v>Open A4654</v>
      </c>
      <c r="F249" s="14" t="s">
        <v>768</v>
      </c>
      <c r="G249" s="14" t="str">
        <f>'2026 Orders'!G248</f>
        <v>DHEA25-60-FD</v>
      </c>
      <c r="H249" s="14" t="str">
        <f>'2026 Orders'!H248</f>
        <v>DHEA25-60</v>
      </c>
      <c r="I249" s="15" t="str">
        <f>'2026 Orders'!I248</f>
        <v>FD</v>
      </c>
      <c r="J249" s="14">
        <f>'2026 Orders'!J248</f>
        <v>240</v>
      </c>
      <c r="K249" t="s">
        <v>493</v>
      </c>
      <c r="L249">
        <v>240</v>
      </c>
      <c r="M249">
        <v>0</v>
      </c>
      <c r="N249" s="10" t="str">
        <f>'2026 Orders'!N248</f>
        <v>D/W Sent</v>
      </c>
      <c r="O249">
        <v>0</v>
      </c>
      <c r="P249" t="s">
        <v>1077</v>
      </c>
      <c r="Q249">
        <v>609788968368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C249" t="str">
        <f t="shared" si="6"/>
        <v>240/</v>
      </c>
      <c r="AD249" t="e">
        <f t="shared" si="7"/>
        <v>#VALUE!</v>
      </c>
    </row>
    <row r="250" spans="1:30" ht="33" hidden="1" customHeight="1" x14ac:dyDescent="0.3">
      <c r="A250">
        <v>46153</v>
      </c>
      <c r="B250" s="14" t="str">
        <f>'2026 Orders'!B249</f>
        <v>KSA</v>
      </c>
      <c r="C250" s="14" t="str">
        <f>'2026 Orders'!C249</f>
        <v>A4654</v>
      </c>
      <c r="D250" s="14">
        <v>0</v>
      </c>
      <c r="E250" s="17" t="str" cm="1">
        <f t="array" ref="E250">IF(C250=0,"",
HYPERLINK(
"#'2026 Orders'!C"&amp;
MATCH(1,
('2026 Orders'!C:C=C250)*
('2026 Orders'!G:G=G250)*
('2026 Orders'!N:N=N250),
0),
"Open "&amp;C250
))</f>
        <v>Open A4654</v>
      </c>
      <c r="F250" s="14">
        <v>0</v>
      </c>
      <c r="G250" s="14" t="str">
        <f>'2026 Orders'!G249</f>
        <v>KETONEG-60-FD</v>
      </c>
      <c r="H250" s="14" t="str">
        <f>'2026 Orders'!H249</f>
        <v>KETONEG-60</v>
      </c>
      <c r="I250" s="15" t="str">
        <f>'2026 Orders'!I249</f>
        <v>FD</v>
      </c>
      <c r="J250" s="14">
        <f>'2026 Orders'!J249</f>
        <v>168</v>
      </c>
      <c r="K250" t="s">
        <v>769</v>
      </c>
      <c r="L250">
        <v>168</v>
      </c>
      <c r="M250">
        <v>0</v>
      </c>
      <c r="N250" s="10" t="str">
        <f>'2026 Orders'!N249</f>
        <v>D/W Sent</v>
      </c>
      <c r="O250">
        <v>0</v>
      </c>
      <c r="P250" t="s">
        <v>1085</v>
      </c>
      <c r="Q250">
        <v>609788969006</v>
      </c>
      <c r="R250">
        <v>5000</v>
      </c>
      <c r="S250">
        <v>5034</v>
      </c>
      <c r="T250" t="s">
        <v>1108</v>
      </c>
      <c r="U250" t="s">
        <v>1149</v>
      </c>
      <c r="V250">
        <v>0</v>
      </c>
      <c r="W250">
        <v>0</v>
      </c>
      <c r="X250">
        <v>0</v>
      </c>
      <c r="Y250">
        <v>0</v>
      </c>
      <c r="Z250">
        <v>0</v>
      </c>
      <c r="AC250" t="str">
        <f t="shared" si="6"/>
        <v>168/</v>
      </c>
      <c r="AD250" t="e">
        <f t="shared" si="7"/>
        <v>#VALUE!</v>
      </c>
    </row>
    <row r="251" spans="1:30" ht="33" hidden="1" customHeight="1" x14ac:dyDescent="0.3">
      <c r="A251">
        <v>46153</v>
      </c>
      <c r="B251" s="14" t="str">
        <f>'2026 Orders'!B250</f>
        <v>KSA</v>
      </c>
      <c r="C251" s="14" t="str">
        <f>'2026 Orders'!C250</f>
        <v>A4654</v>
      </c>
      <c r="D251" s="14">
        <v>0</v>
      </c>
      <c r="E251" s="17" t="str" cm="1">
        <f t="array" ref="E251">IF(C251=0,"",
HYPERLINK(
"#'2026 Orders'!C"&amp;
MATCH(1,
('2026 Orders'!C:C=C251)*
('2026 Orders'!G:G=G251)*
('2026 Orders'!N:N=N251),
0),
"Open "&amp;C251
))</f>
        <v>Open A4654</v>
      </c>
      <c r="F251" s="14">
        <v>0</v>
      </c>
      <c r="G251" s="14" t="str">
        <f>'2026 Orders'!G250</f>
        <v>WFSPLS-90-FD</v>
      </c>
      <c r="H251" s="14" t="str">
        <f>'2026 Orders'!H250</f>
        <v>WFSPLS-90</v>
      </c>
      <c r="I251" s="15" t="str">
        <f>'2026 Orders'!I250</f>
        <v>FD</v>
      </c>
      <c r="J251" s="14">
        <f>'2026 Orders'!J250</f>
        <v>96</v>
      </c>
      <c r="K251" t="s">
        <v>770</v>
      </c>
      <c r="L251">
        <v>96</v>
      </c>
      <c r="M251">
        <v>0</v>
      </c>
      <c r="N251" s="10" t="str">
        <f>'2026 Orders'!N250</f>
        <v>D/W Sent</v>
      </c>
      <c r="O251">
        <v>0</v>
      </c>
      <c r="P251" t="s">
        <v>1077</v>
      </c>
      <c r="Q251">
        <v>609788968481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C251" t="str">
        <f t="shared" si="6"/>
        <v>96/</v>
      </c>
      <c r="AD251" t="e">
        <f t="shared" si="7"/>
        <v>#VALUE!</v>
      </c>
    </row>
    <row r="252" spans="1:30" ht="33" hidden="1" customHeight="1" x14ac:dyDescent="0.3">
      <c r="A252">
        <v>0</v>
      </c>
      <c r="B252" s="14" t="str">
        <f>'2026 Orders'!B251</f>
        <v>KSA</v>
      </c>
      <c r="C252" s="14" t="str">
        <f>'2026 Orders'!C251</f>
        <v>A4654</v>
      </c>
      <c r="D252" s="14">
        <v>0</v>
      </c>
      <c r="E252" s="17" t="str" cm="1">
        <f t="array" ref="E252">IF(C252=0,"",
HYPERLINK(
"#'2026 Orders'!C"&amp;
MATCH(1,
('2026 Orders'!C:C=C252)*
('2026 Orders'!G:G=G252)*
('2026 Orders'!N:N=N252),
0),
"Open "&amp;C252
))</f>
        <v>Open A4654</v>
      </c>
      <c r="F252" s="14">
        <v>0</v>
      </c>
      <c r="G252" s="14" t="str">
        <f>'2026 Orders'!G251</f>
        <v>PRECON-180-FD</v>
      </c>
      <c r="H252" s="14" t="str">
        <f>'2026 Orders'!H251</f>
        <v>PRECON-180</v>
      </c>
      <c r="I252" s="15" t="str">
        <f>'2026 Orders'!I251</f>
        <v>FD</v>
      </c>
      <c r="J252" s="14">
        <f>'2026 Orders'!J251</f>
        <v>72</v>
      </c>
      <c r="K252" t="s">
        <v>455</v>
      </c>
      <c r="L252">
        <v>72</v>
      </c>
      <c r="M252">
        <v>0</v>
      </c>
      <c r="N252" s="10" t="str">
        <f>'2026 Orders'!N251</f>
        <v>D/W Sent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C252" t="str">
        <f t="shared" si="6"/>
        <v>72/</v>
      </c>
      <c r="AD252" t="e">
        <f t="shared" si="7"/>
        <v>#VALUE!</v>
      </c>
    </row>
    <row r="253" spans="1:30" ht="33" hidden="1" customHeight="1" x14ac:dyDescent="0.3">
      <c r="A253">
        <v>46156</v>
      </c>
      <c r="B253" s="14" t="str">
        <f>'2026 Orders'!B252</f>
        <v>KSA</v>
      </c>
      <c r="C253" s="14" t="str">
        <f>'2026 Orders'!C252</f>
        <v>A4654</v>
      </c>
      <c r="D253" s="14">
        <v>0</v>
      </c>
      <c r="E253" s="17" t="str" cm="1">
        <f t="array" ref="E253">IF(C253=0,"",
HYPERLINK(
"#'2026 Orders'!C"&amp;
MATCH(1,
('2026 Orders'!C:C=C253)*
('2026 Orders'!G:G=G253)*
('2026 Orders'!N:N=N253),
0),
"Open "&amp;C253
))</f>
        <v>Open A4654</v>
      </c>
      <c r="F253" s="14">
        <v>0</v>
      </c>
      <c r="G253" s="14" t="str">
        <f>'2026 Orders'!G252</f>
        <v>GINKGO-60-FD</v>
      </c>
      <c r="H253" s="14" t="str">
        <f>'2026 Orders'!H252</f>
        <v>GINKGO-60</v>
      </c>
      <c r="I253" s="15" t="str">
        <f>'2026 Orders'!I252</f>
        <v>FD</v>
      </c>
      <c r="J253" s="14">
        <f>'2026 Orders'!J252</f>
        <v>120</v>
      </c>
      <c r="K253" t="s">
        <v>598</v>
      </c>
      <c r="L253">
        <v>120</v>
      </c>
      <c r="M253">
        <v>0</v>
      </c>
      <c r="N253" s="10" t="str">
        <f>'2026 Orders'!N252</f>
        <v>D/W Sent</v>
      </c>
      <c r="O253">
        <v>0</v>
      </c>
      <c r="P253">
        <v>0</v>
      </c>
      <c r="Q253">
        <v>604776739272</v>
      </c>
      <c r="R253" t="s">
        <v>1138</v>
      </c>
      <c r="S253">
        <v>5064</v>
      </c>
      <c r="T253" t="s">
        <v>1108</v>
      </c>
      <c r="U253" t="s">
        <v>1173</v>
      </c>
      <c r="V253">
        <v>0</v>
      </c>
      <c r="W253">
        <v>0</v>
      </c>
      <c r="X253">
        <v>0</v>
      </c>
      <c r="Y253">
        <v>0</v>
      </c>
      <c r="Z253" t="s">
        <v>1083</v>
      </c>
      <c r="AC253" t="str">
        <f t="shared" si="6"/>
        <v>120/</v>
      </c>
      <c r="AD253" t="e">
        <f t="shared" si="7"/>
        <v>#VALUE!</v>
      </c>
    </row>
    <row r="254" spans="1:30" ht="33" hidden="1" customHeight="1" x14ac:dyDescent="0.3">
      <c r="A254">
        <v>0</v>
      </c>
      <c r="B254" s="14" t="str">
        <f>'2026 Orders'!B253</f>
        <v>KSA</v>
      </c>
      <c r="C254" s="14" t="str">
        <f>'2026 Orders'!C253</f>
        <v>A4654</v>
      </c>
      <c r="D254" s="14">
        <v>0</v>
      </c>
      <c r="E254" s="17" t="str" cm="1">
        <f t="array" ref="E254">IF(C254=0,"",
HYPERLINK(
"#'2026 Orders'!C"&amp;
MATCH(1,
('2026 Orders'!C:C=C254)*
('2026 Orders'!G:G=G254)*
('2026 Orders'!N:N=N254),
0),
"Open "&amp;C254
))</f>
        <v>Open A4654</v>
      </c>
      <c r="F254" s="14">
        <v>0</v>
      </c>
      <c r="G254" s="14" t="str">
        <f>'2026 Orders'!G253</f>
        <v>OSTEOPL-96-FD</v>
      </c>
      <c r="H254" s="14" t="str">
        <f>'2026 Orders'!H253</f>
        <v>OSTEOPL-96</v>
      </c>
      <c r="I254" s="15" t="str">
        <f>'2026 Orders'!I253</f>
        <v>FD</v>
      </c>
      <c r="J254" s="14">
        <f>'2026 Orders'!J253</f>
        <v>96</v>
      </c>
      <c r="K254" t="s">
        <v>621</v>
      </c>
      <c r="L254">
        <v>96</v>
      </c>
      <c r="M254">
        <v>0</v>
      </c>
      <c r="N254" s="10" t="str">
        <f>'2026 Orders'!N253</f>
        <v>D/W Sent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C254" t="str">
        <f t="shared" si="6"/>
        <v>96/</v>
      </c>
      <c r="AD254" t="e">
        <f t="shared" si="7"/>
        <v>#VALUE!</v>
      </c>
    </row>
    <row r="255" spans="1:30" ht="33" hidden="1" customHeight="1" x14ac:dyDescent="0.3">
      <c r="A255">
        <v>46160</v>
      </c>
      <c r="B255" s="14" t="str">
        <f>'2026 Orders'!B254</f>
        <v>KSA</v>
      </c>
      <c r="C255" s="14" t="str">
        <f>'2026 Orders'!C254</f>
        <v>A4654</v>
      </c>
      <c r="D255" s="14">
        <v>0</v>
      </c>
      <c r="E255" s="17" t="str" cm="1">
        <f t="array" ref="E255">IF(C255=0,"",
HYPERLINK(
"#'2026 Orders'!C"&amp;
MATCH(1,
('2026 Orders'!C:C=C255)*
('2026 Orders'!G:G=G255)*
('2026 Orders'!N:N=N255),
0),
"Open "&amp;C255
))</f>
        <v>Open A4654</v>
      </c>
      <c r="F255" s="14" t="s">
        <v>771</v>
      </c>
      <c r="G255" s="14" t="str">
        <f>'2026 Orders'!G254</f>
        <v>COQ100-125-FD</v>
      </c>
      <c r="H255" s="14" t="str">
        <f>'2026 Orders'!H254</f>
        <v>COQ100-125</v>
      </c>
      <c r="I255" s="15" t="str">
        <f>'2026 Orders'!I254</f>
        <v>FD</v>
      </c>
      <c r="J255" s="14">
        <f>'2026 Orders'!J254</f>
        <v>140</v>
      </c>
      <c r="K255" t="s">
        <v>772</v>
      </c>
      <c r="L255">
        <v>140</v>
      </c>
      <c r="M255">
        <v>0</v>
      </c>
      <c r="N255" s="10" t="str">
        <f>'2026 Orders'!N254</f>
        <v>D/W Sent</v>
      </c>
      <c r="O255">
        <v>0</v>
      </c>
      <c r="P255" t="s">
        <v>1077</v>
      </c>
      <c r="Q255">
        <v>609788968504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 t="s">
        <v>1086</v>
      </c>
      <c r="AC255" t="str">
        <f t="shared" si="6"/>
        <v>140/</v>
      </c>
      <c r="AD255" t="e">
        <f t="shared" si="7"/>
        <v>#VALUE!</v>
      </c>
    </row>
    <row r="256" spans="1:30" ht="33" hidden="1" customHeight="1" x14ac:dyDescent="0.3">
      <c r="A256">
        <v>46160</v>
      </c>
      <c r="B256" s="14" t="str">
        <f>'2026 Orders'!B255</f>
        <v>KSA</v>
      </c>
      <c r="C256" s="14" t="str">
        <f>'2026 Orders'!C255</f>
        <v>A4654</v>
      </c>
      <c r="D256" s="14">
        <v>0</v>
      </c>
      <c r="E256" s="17" t="str" cm="1">
        <f t="array" ref="E256">IF(C256=0,"",
HYPERLINK(
"#'2026 Orders'!C"&amp;
MATCH(1,
('2026 Orders'!C:C=C256)*
('2026 Orders'!G:G=G256)*
('2026 Orders'!N:N=N256),
0),
"Open "&amp;C256
))</f>
        <v>Open A4654</v>
      </c>
      <c r="F256" s="14" t="s">
        <v>773</v>
      </c>
      <c r="G256" s="14" t="str">
        <f>'2026 Orders'!G255</f>
        <v>MFSPLS-120-FD</v>
      </c>
      <c r="H256" s="14" t="str">
        <f>'2026 Orders'!H255</f>
        <v>MFSPLS-120</v>
      </c>
      <c r="I256" s="15" t="str">
        <f>'2026 Orders'!I255</f>
        <v>FD</v>
      </c>
      <c r="J256" s="14">
        <f>'2026 Orders'!J255</f>
        <v>216</v>
      </c>
      <c r="K256" t="s">
        <v>462</v>
      </c>
      <c r="L256">
        <v>216</v>
      </c>
      <c r="M256">
        <v>0</v>
      </c>
      <c r="N256" s="10" t="str">
        <f>'2026 Orders'!N255</f>
        <v>D/W Sent</v>
      </c>
      <c r="O256" t="s">
        <v>1131</v>
      </c>
      <c r="P256" t="s">
        <v>1077</v>
      </c>
      <c r="Q256" t="s">
        <v>1132</v>
      </c>
      <c r="R256">
        <v>0</v>
      </c>
      <c r="S256">
        <v>4690</v>
      </c>
      <c r="T256">
        <v>0</v>
      </c>
      <c r="U256" t="s">
        <v>1174</v>
      </c>
      <c r="V256">
        <v>0</v>
      </c>
      <c r="W256">
        <v>0</v>
      </c>
      <c r="X256">
        <v>0</v>
      </c>
      <c r="Y256">
        <v>0</v>
      </c>
      <c r="Z256">
        <v>0</v>
      </c>
      <c r="AC256" t="str">
        <f t="shared" si="6"/>
        <v>216/</v>
      </c>
      <c r="AD256" t="e">
        <f t="shared" si="7"/>
        <v>#VALUE!</v>
      </c>
    </row>
    <row r="257" spans="1:30" ht="33" hidden="1" customHeight="1" x14ac:dyDescent="0.3">
      <c r="A257">
        <v>46160</v>
      </c>
      <c r="B257" s="14">
        <f>'2026 Orders'!B256</f>
        <v>0</v>
      </c>
      <c r="C257" s="14">
        <f>'2026 Orders'!C256</f>
        <v>0</v>
      </c>
      <c r="D257" s="14">
        <v>0</v>
      </c>
      <c r="E257" s="17" t="str" cm="1">
        <f t="array" ref="E257">IF(C257=0,"",
HYPERLINK(
"#'2026 Orders'!C"&amp;
MATCH(1,
('2026 Orders'!C:C=C257)*
('2026 Orders'!G:G=G257)*
('2026 Orders'!N:N=N257),
0),
"Open "&amp;C257
))</f>
        <v/>
      </c>
      <c r="F257" s="14">
        <v>0</v>
      </c>
      <c r="G257" s="14">
        <f>'2026 Orders'!G256</f>
        <v>0</v>
      </c>
      <c r="H257" s="14">
        <f>'2026 Orders'!H256</f>
        <v>0</v>
      </c>
      <c r="I257" s="15" t="str">
        <f>'2026 Orders'!I256</f>
        <v/>
      </c>
      <c r="J257" s="14">
        <f>'2026 Orders'!J256</f>
        <v>0</v>
      </c>
      <c r="K257">
        <v>0</v>
      </c>
      <c r="L257">
        <v>0</v>
      </c>
      <c r="M257">
        <v>0</v>
      </c>
      <c r="N257" s="10">
        <f>'2026 Orders'!N256</f>
        <v>0</v>
      </c>
      <c r="O257">
        <v>0</v>
      </c>
      <c r="P257" t="s">
        <v>1077</v>
      </c>
      <c r="Q257">
        <v>609788968344</v>
      </c>
      <c r="R257">
        <v>9195</v>
      </c>
      <c r="S257">
        <v>5032</v>
      </c>
      <c r="T257" t="s">
        <v>1094</v>
      </c>
      <c r="U257" t="s">
        <v>1104</v>
      </c>
      <c r="V257">
        <v>0</v>
      </c>
      <c r="W257">
        <v>0</v>
      </c>
      <c r="X257">
        <v>0</v>
      </c>
      <c r="Y257">
        <v>0</v>
      </c>
      <c r="Z257">
        <v>0</v>
      </c>
      <c r="AC257" t="str">
        <f t="shared" si="6"/>
        <v/>
      </c>
      <c r="AD257" t="str">
        <f t="shared" si="7"/>
        <v/>
      </c>
    </row>
    <row r="258" spans="1:30" ht="33" hidden="1" customHeight="1" x14ac:dyDescent="0.3">
      <c r="A258">
        <v>46160</v>
      </c>
      <c r="B258" s="14" t="str">
        <f>'2026 Orders'!B257</f>
        <v>KSA</v>
      </c>
      <c r="C258" s="14" t="str">
        <f>'2026 Orders'!C257</f>
        <v>A4679</v>
      </c>
      <c r="D258" s="14">
        <v>0</v>
      </c>
      <c r="E258" s="17" t="str" cm="1">
        <f t="array" ref="E258">IF(C258=0,"",
HYPERLINK(
"#'2026 Orders'!C"&amp;
MATCH(1,
('2026 Orders'!C:C=C258)*
('2026 Orders'!G:G=G258)*
('2026 Orders'!N:N=N258),
0),
"Open "&amp;C258
))</f>
        <v>Open A4679</v>
      </c>
      <c r="F258" s="14">
        <v>0</v>
      </c>
      <c r="G258" s="14" t="str">
        <f>'2026 Orders'!G257</f>
        <v>MFSADV-120-FD</v>
      </c>
      <c r="H258" s="14" t="str">
        <f>'2026 Orders'!H257</f>
        <v>MFSADV-120</v>
      </c>
      <c r="I258" s="15" t="str">
        <f>'2026 Orders'!I257</f>
        <v>FD</v>
      </c>
      <c r="J258" s="14">
        <f>'2026 Orders'!J257</f>
        <v>288</v>
      </c>
      <c r="K258" t="s">
        <v>776</v>
      </c>
      <c r="L258">
        <v>0</v>
      </c>
      <c r="M258">
        <v>288</v>
      </c>
      <c r="N258" s="10" t="str">
        <f>'2026 Orders'!N257</f>
        <v>Not Meet MOQ</v>
      </c>
      <c r="O258">
        <v>0</v>
      </c>
      <c r="P258" t="s">
        <v>1077</v>
      </c>
      <c r="Q258">
        <v>609788968221</v>
      </c>
      <c r="R258">
        <v>7000</v>
      </c>
      <c r="S258">
        <v>5027</v>
      </c>
      <c r="T258" t="s">
        <v>1079</v>
      </c>
      <c r="U258" t="s">
        <v>1092</v>
      </c>
      <c r="V258">
        <v>0</v>
      </c>
      <c r="W258">
        <v>0</v>
      </c>
      <c r="X258">
        <v>0</v>
      </c>
      <c r="Y258">
        <v>0</v>
      </c>
      <c r="Z258">
        <v>0</v>
      </c>
      <c r="AC258" t="str">
        <f t="shared" si="6"/>
        <v>288/</v>
      </c>
      <c r="AD258" t="e">
        <f t="shared" si="7"/>
        <v>#VALUE!</v>
      </c>
    </row>
    <row r="259" spans="1:30" ht="33" hidden="1" customHeight="1" x14ac:dyDescent="0.3">
      <c r="A259">
        <v>46160</v>
      </c>
      <c r="B259" s="14" t="str">
        <f>'2026 Orders'!B258</f>
        <v>KSA</v>
      </c>
      <c r="C259" s="14" t="str">
        <f>'2026 Orders'!C258</f>
        <v>A4679</v>
      </c>
      <c r="D259" s="14">
        <v>0</v>
      </c>
      <c r="E259" s="17" t="str" cm="1">
        <f t="array" ref="E259">IF(C259=0,"",
HYPERLINK(
"#'2026 Orders'!C"&amp;
MATCH(1,
('2026 Orders'!C:C=C259)*
('2026 Orders'!G:G=G259)*
('2026 Orders'!N:N=N259),
0),
"Open "&amp;C259
))</f>
        <v>Open A4679</v>
      </c>
      <c r="F259" s="14">
        <v>0</v>
      </c>
      <c r="G259" s="14" t="str">
        <f>'2026 Orders'!G258</f>
        <v>PEDIACM-50-FD</v>
      </c>
      <c r="H259" s="14" t="str">
        <f>'2026 Orders'!H258</f>
        <v>PEDIACM-50</v>
      </c>
      <c r="I259" s="15" t="str">
        <f>'2026 Orders'!I258</f>
        <v>FD</v>
      </c>
      <c r="J259" s="14">
        <f>'2026 Orders'!J258</f>
        <v>144</v>
      </c>
      <c r="K259" t="s">
        <v>679</v>
      </c>
      <c r="L259">
        <v>0</v>
      </c>
      <c r="M259">
        <v>144</v>
      </c>
      <c r="N259" s="10" t="str">
        <f>'2026 Orders'!N258</f>
        <v>PO submitted</v>
      </c>
      <c r="O259">
        <v>0</v>
      </c>
      <c r="P259" t="s">
        <v>1077</v>
      </c>
      <c r="Q259">
        <v>609788968597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C259" t="str">
        <f t="shared" ref="AC259:AC322" si="8">IF(OR(B259="",B259=0),"",J259&amp;"/"&amp;$AJ$2)</f>
        <v>144/</v>
      </c>
      <c r="AD259" t="e">
        <f t="shared" ref="AD259:AD322" si="9">IF(OR(J259="",J259=0),"",I259&amp;" -&gt; "&amp;$AK$2)</f>
        <v>#VALUE!</v>
      </c>
    </row>
    <row r="260" spans="1:30" ht="33" hidden="1" customHeight="1" x14ac:dyDescent="0.3">
      <c r="A260">
        <v>0</v>
      </c>
      <c r="B260" s="14" t="str">
        <f>'2026 Orders'!B259</f>
        <v>KSA</v>
      </c>
      <c r="C260" s="14" t="str">
        <f>'2026 Orders'!C259</f>
        <v>A4679</v>
      </c>
      <c r="D260" s="14">
        <v>0</v>
      </c>
      <c r="E260" s="17" t="str" cm="1">
        <f t="array" ref="E260">IF(C260=0,"",
HYPERLINK(
"#'2026 Orders'!C"&amp;
MATCH(1,
('2026 Orders'!C:C=C260)*
('2026 Orders'!G:G=G260)*
('2026 Orders'!N:N=N260),
0),
"Open "&amp;C260
))</f>
        <v>Open A4679</v>
      </c>
      <c r="F260" s="14">
        <v>0</v>
      </c>
      <c r="G260" s="14" t="str">
        <f>'2026 Orders'!G259</f>
        <v>PEDIAZI-50-FD</v>
      </c>
      <c r="H260" s="14" t="str">
        <f>'2026 Orders'!H259</f>
        <v>PEDIAZI-50</v>
      </c>
      <c r="I260" s="15" t="str">
        <f>'2026 Orders'!I259</f>
        <v>FD</v>
      </c>
      <c r="J260" s="14">
        <f>'2026 Orders'!J259</f>
        <v>216</v>
      </c>
      <c r="K260" t="s">
        <v>676</v>
      </c>
      <c r="L260">
        <v>0</v>
      </c>
      <c r="M260">
        <v>216</v>
      </c>
      <c r="N260" s="10" t="str">
        <f>'2026 Orders'!N259</f>
        <v>PO submitted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C260" t="str">
        <f t="shared" si="8"/>
        <v>216/</v>
      </c>
      <c r="AD260" t="e">
        <f t="shared" si="9"/>
        <v>#VALUE!</v>
      </c>
    </row>
    <row r="261" spans="1:30" ht="33" hidden="1" customHeight="1" x14ac:dyDescent="0.3">
      <c r="A261">
        <v>46163</v>
      </c>
      <c r="B261" s="14" t="str">
        <f>'2026 Orders'!B260</f>
        <v>KSA</v>
      </c>
      <c r="C261" s="14" t="str">
        <f>'2026 Orders'!C260</f>
        <v>A4679</v>
      </c>
      <c r="D261" s="14">
        <v>0</v>
      </c>
      <c r="E261" s="17" t="str" cm="1">
        <f t="array" ref="E261">IF(C261=0,"",
HYPERLINK(
"#'2026 Orders'!C"&amp;
MATCH(1,
('2026 Orders'!C:C=C261)*
('2026 Orders'!G:G=G261)*
('2026 Orders'!N:N=N261),
0),
"Open "&amp;C261
))</f>
        <v>Open A4679</v>
      </c>
      <c r="F261" s="14" t="s">
        <v>777</v>
      </c>
      <c r="G261" s="14" t="str">
        <f>'2026 Orders'!G260</f>
        <v>MEMOUP-60-FD</v>
      </c>
      <c r="H261" s="14" t="str">
        <f>'2026 Orders'!H260</f>
        <v>MEMOUP-60</v>
      </c>
      <c r="I261" s="15" t="str">
        <f>'2026 Orders'!I260</f>
        <v>FD</v>
      </c>
      <c r="J261" s="14">
        <f>'2026 Orders'!J260</f>
        <v>105</v>
      </c>
      <c r="K261" t="s">
        <v>778</v>
      </c>
      <c r="L261">
        <v>0</v>
      </c>
      <c r="M261">
        <v>105</v>
      </c>
      <c r="N261" s="10" t="str">
        <f>'2026 Orders'!N260</f>
        <v>Not Meet MOQ</v>
      </c>
      <c r="O261">
        <v>0</v>
      </c>
      <c r="P261" t="s">
        <v>1077</v>
      </c>
      <c r="Q261">
        <v>810131194680</v>
      </c>
      <c r="R261">
        <v>7572</v>
      </c>
      <c r="S261">
        <v>5043</v>
      </c>
      <c r="T261">
        <v>46286</v>
      </c>
      <c r="U261" t="s">
        <v>1089</v>
      </c>
      <c r="V261">
        <v>0</v>
      </c>
      <c r="W261">
        <v>0</v>
      </c>
      <c r="X261">
        <v>0</v>
      </c>
      <c r="Y261">
        <v>0</v>
      </c>
      <c r="Z261" t="s">
        <v>1083</v>
      </c>
      <c r="AC261" t="str">
        <f t="shared" si="8"/>
        <v>105/</v>
      </c>
      <c r="AD261" t="e">
        <f t="shared" si="9"/>
        <v>#VALUE!</v>
      </c>
    </row>
    <row r="262" spans="1:30" ht="33" hidden="1" customHeight="1" x14ac:dyDescent="0.3">
      <c r="A262">
        <v>46163</v>
      </c>
      <c r="B262" s="14" t="str">
        <f>'2026 Orders'!B261</f>
        <v>KSA</v>
      </c>
      <c r="C262" s="14" t="str">
        <f>'2026 Orders'!C261</f>
        <v>A4679</v>
      </c>
      <c r="D262" s="14">
        <v>0</v>
      </c>
      <c r="E262" s="17" t="str" cm="1">
        <f t="array" ref="E262">IF(C262=0,"",
HYPERLINK(
"#'2026 Orders'!C"&amp;
MATCH(1,
('2026 Orders'!C:C=C262)*
('2026 Orders'!G:G=G262)*
('2026 Orders'!N:N=N262),
0),
"Open "&amp;C262
))</f>
        <v>Open A4679</v>
      </c>
      <c r="F262" s="14">
        <v>0</v>
      </c>
      <c r="G262" s="14" t="str">
        <f>'2026 Orders'!G261</f>
        <v>ROYALJE-60-FD</v>
      </c>
      <c r="H262" s="14" t="str">
        <f>'2026 Orders'!H261</f>
        <v>ROYALJE-60</v>
      </c>
      <c r="I262" s="15" t="str">
        <f>'2026 Orders'!I261</f>
        <v>FD</v>
      </c>
      <c r="J262" s="14">
        <f>'2026 Orders'!J261</f>
        <v>432</v>
      </c>
      <c r="K262" t="s">
        <v>779</v>
      </c>
      <c r="L262">
        <v>0</v>
      </c>
      <c r="M262">
        <v>432</v>
      </c>
      <c r="N262" s="10" t="str">
        <f>'2026 Orders'!N261</f>
        <v>Not Meet MOQ</v>
      </c>
      <c r="O262">
        <v>0</v>
      </c>
      <c r="P262" t="s">
        <v>1077</v>
      </c>
      <c r="Q262">
        <v>810131194666</v>
      </c>
      <c r="R262">
        <v>5000</v>
      </c>
      <c r="S262">
        <v>5060</v>
      </c>
      <c r="T262" t="s">
        <v>1094</v>
      </c>
      <c r="U262" t="s">
        <v>1095</v>
      </c>
      <c r="V262">
        <v>0</v>
      </c>
      <c r="W262">
        <v>0</v>
      </c>
      <c r="X262">
        <v>0</v>
      </c>
      <c r="Y262">
        <v>0</v>
      </c>
      <c r="Z262">
        <v>0</v>
      </c>
      <c r="AC262" t="str">
        <f t="shared" si="8"/>
        <v>432/</v>
      </c>
      <c r="AD262" t="e">
        <f t="shared" si="9"/>
        <v>#VALUE!</v>
      </c>
    </row>
    <row r="263" spans="1:30" ht="33" hidden="1" customHeight="1" x14ac:dyDescent="0.3">
      <c r="A263">
        <v>46163</v>
      </c>
      <c r="B263" s="14" t="str">
        <f>'2026 Orders'!B262</f>
        <v>KSA</v>
      </c>
      <c r="C263" s="14" t="str">
        <f>'2026 Orders'!C262</f>
        <v>A4679</v>
      </c>
      <c r="D263" s="14">
        <v>0</v>
      </c>
      <c r="E263" s="17" t="str" cm="1">
        <f t="array" ref="E263">IF(C263=0,"",
HYPERLINK(
"#'2026 Orders'!C"&amp;
MATCH(1,
('2026 Orders'!C:C=C263)*
('2026 Orders'!G:G=G263)*
('2026 Orders'!N:N=N263),
0),
"Open "&amp;C263
))</f>
        <v>Open A4679</v>
      </c>
      <c r="F263" s="14">
        <v>0</v>
      </c>
      <c r="G263" s="14" t="str">
        <f>'2026 Orders'!G262</f>
        <v>PEDIAFL-50-FD</v>
      </c>
      <c r="H263" s="14" t="str">
        <f>'2026 Orders'!H262</f>
        <v>PEDIAFL-50</v>
      </c>
      <c r="I263" s="15" t="str">
        <f>'2026 Orders'!I262</f>
        <v>FD</v>
      </c>
      <c r="J263" s="14">
        <f>'2026 Orders'!J262</f>
        <v>72</v>
      </c>
      <c r="K263" t="s">
        <v>781</v>
      </c>
      <c r="L263">
        <v>0</v>
      </c>
      <c r="M263">
        <v>72</v>
      </c>
      <c r="N263" s="10" t="str">
        <f>'2026 Orders'!N262</f>
        <v>Not Meet MOQ</v>
      </c>
      <c r="O263">
        <v>0</v>
      </c>
      <c r="P263" t="s">
        <v>1077</v>
      </c>
      <c r="Q263">
        <v>810131194628</v>
      </c>
      <c r="R263">
        <v>5000</v>
      </c>
      <c r="S263">
        <v>5041</v>
      </c>
      <c r="T263">
        <v>46248</v>
      </c>
      <c r="U263" t="s">
        <v>1090</v>
      </c>
      <c r="V263">
        <v>0</v>
      </c>
      <c r="W263">
        <v>0</v>
      </c>
      <c r="X263">
        <v>0</v>
      </c>
      <c r="Y263">
        <v>0</v>
      </c>
      <c r="Z263">
        <v>0</v>
      </c>
      <c r="AC263" t="str">
        <f t="shared" si="8"/>
        <v>72/</v>
      </c>
      <c r="AD263" t="e">
        <f t="shared" si="9"/>
        <v>#VALUE!</v>
      </c>
    </row>
    <row r="264" spans="1:30" ht="33" hidden="1" customHeight="1" x14ac:dyDescent="0.3">
      <c r="A264">
        <v>46163</v>
      </c>
      <c r="B264" s="14" t="str">
        <f>'2026 Orders'!B263</f>
        <v>KSA</v>
      </c>
      <c r="C264" s="14" t="str">
        <f>'2026 Orders'!C263</f>
        <v>A4679</v>
      </c>
      <c r="D264" s="14">
        <v>0</v>
      </c>
      <c r="E264" s="17" t="str" cm="1">
        <f t="array" ref="E264">IF(C264=0,"",
HYPERLINK(
"#'2026 Orders'!C"&amp;
MATCH(1,
('2026 Orders'!C:C=C264)*
('2026 Orders'!G:G=G264)*
('2026 Orders'!N:N=N264),
0),
"Open "&amp;C264
))</f>
        <v>Open A4679</v>
      </c>
      <c r="F264" s="14">
        <v>0</v>
      </c>
      <c r="G264" s="14" t="str">
        <f>'2026 Orders'!G263</f>
        <v>PEDIABS-50-FD</v>
      </c>
      <c r="H264" s="14" t="str">
        <f>'2026 Orders'!H263</f>
        <v>PEDIABS-50</v>
      </c>
      <c r="I264" s="15" t="str">
        <f>'2026 Orders'!I263</f>
        <v>FD</v>
      </c>
      <c r="J264" s="14">
        <f>'2026 Orders'!J263</f>
        <v>120</v>
      </c>
      <c r="K264" t="s">
        <v>783</v>
      </c>
      <c r="L264">
        <v>120</v>
      </c>
      <c r="M264">
        <v>0</v>
      </c>
      <c r="N264" s="10" t="str">
        <f>'2026 Orders'!N263</f>
        <v>Not Meet MOQ</v>
      </c>
      <c r="O264" t="s">
        <v>1175</v>
      </c>
      <c r="P264" t="s">
        <v>1077</v>
      </c>
      <c r="Q264">
        <v>810131194642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C264" t="str">
        <f t="shared" si="8"/>
        <v>120/</v>
      </c>
      <c r="AD264" t="e">
        <f t="shared" si="9"/>
        <v>#VALUE!</v>
      </c>
    </row>
    <row r="265" spans="1:30" ht="33" hidden="1" customHeight="1" x14ac:dyDescent="0.3">
      <c r="A265">
        <v>46163</v>
      </c>
      <c r="B265" s="14">
        <f>'2026 Orders'!B264</f>
        <v>0</v>
      </c>
      <c r="C265" s="14">
        <f>'2026 Orders'!C264</f>
        <v>0</v>
      </c>
      <c r="D265" s="14">
        <v>0</v>
      </c>
      <c r="E265" s="17" t="str" cm="1">
        <f t="array" ref="E265">IF(C265=0,"",
HYPERLINK(
"#'2026 Orders'!C"&amp;
MATCH(1,
('2026 Orders'!C:C=C265)*
('2026 Orders'!G:G=G265)*
('2026 Orders'!N:N=N265),
0),
"Open "&amp;C265
))</f>
        <v/>
      </c>
      <c r="F265" s="14">
        <v>0</v>
      </c>
      <c r="G265" s="14">
        <f>'2026 Orders'!G264</f>
        <v>0</v>
      </c>
      <c r="H265" s="14">
        <f>'2026 Orders'!H264</f>
        <v>0</v>
      </c>
      <c r="I265" s="15" t="str">
        <f>'2026 Orders'!I264</f>
        <v/>
      </c>
      <c r="J265" s="14">
        <f>'2026 Orders'!J264</f>
        <v>0</v>
      </c>
      <c r="K265">
        <v>0</v>
      </c>
      <c r="L265">
        <v>0</v>
      </c>
      <c r="M265">
        <v>0</v>
      </c>
      <c r="N265" s="10">
        <f>'2026 Orders'!N264</f>
        <v>0</v>
      </c>
      <c r="O265">
        <v>0</v>
      </c>
      <c r="P265" t="s">
        <v>1077</v>
      </c>
      <c r="Q265">
        <v>810131194642</v>
      </c>
      <c r="R265">
        <v>5000</v>
      </c>
      <c r="S265">
        <v>5095</v>
      </c>
      <c r="T265">
        <v>46286</v>
      </c>
      <c r="U265" t="s">
        <v>1089</v>
      </c>
      <c r="V265">
        <v>0</v>
      </c>
      <c r="W265">
        <v>0</v>
      </c>
      <c r="X265">
        <v>0</v>
      </c>
      <c r="Y265">
        <v>0</v>
      </c>
      <c r="Z265">
        <v>0</v>
      </c>
      <c r="AC265" t="str">
        <f t="shared" si="8"/>
        <v/>
      </c>
      <c r="AD265" t="str">
        <f t="shared" si="9"/>
        <v/>
      </c>
    </row>
    <row r="266" spans="1:30" ht="33" hidden="1" customHeight="1" x14ac:dyDescent="0.3">
      <c r="A266">
        <v>46163</v>
      </c>
      <c r="B266" s="14" t="str">
        <f>'2026 Orders'!B265</f>
        <v>China</v>
      </c>
      <c r="C266" s="14" t="str">
        <f>'2026 Orders'!C265</f>
        <v>A4658</v>
      </c>
      <c r="D266" s="14" t="s">
        <v>785</v>
      </c>
      <c r="E266" s="17" t="str" cm="1">
        <f t="array" ref="E266">IF(C266=0,"",
HYPERLINK(
"#'2026 Orders'!C"&amp;
MATCH(1,
('2026 Orders'!C:C=C266)*
('2026 Orders'!G:G=G266)*
('2026 Orders'!N:N=N266),
0),
"Open "&amp;C266
))</f>
        <v>Open A4658</v>
      </c>
      <c r="F266" s="14">
        <v>0</v>
      </c>
      <c r="G266" s="14" t="str">
        <f>'2026 Orders'!G265</f>
        <v>PENAMAX-60-GE-FD</v>
      </c>
      <c r="H266" s="14" t="str">
        <f>'2026 Orders'!H265</f>
        <v>PENAMAX-60</v>
      </c>
      <c r="I266" s="15" t="str">
        <f>'2026 Orders'!I265</f>
        <v>FD</v>
      </c>
      <c r="J266" s="14">
        <f>'2026 Orders'!J265</f>
        <v>100</v>
      </c>
      <c r="K266" t="s">
        <v>451</v>
      </c>
      <c r="L266">
        <v>100</v>
      </c>
      <c r="M266">
        <v>0</v>
      </c>
      <c r="N266" s="10" t="str">
        <f>'2026 Orders'!N265</f>
        <v>Picked</v>
      </c>
      <c r="O266">
        <v>0</v>
      </c>
      <c r="P266" t="s">
        <v>1077</v>
      </c>
      <c r="Q266">
        <v>810131194673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C266" t="str">
        <f t="shared" si="8"/>
        <v>100/</v>
      </c>
      <c r="AD266" t="e">
        <f t="shared" si="9"/>
        <v>#VALUE!</v>
      </c>
    </row>
    <row r="267" spans="1:30" ht="33" hidden="1" customHeight="1" x14ac:dyDescent="0.3">
      <c r="A267">
        <v>0</v>
      </c>
      <c r="B267" s="14" t="str">
        <f>'2026 Orders'!B266</f>
        <v>China</v>
      </c>
      <c r="C267" s="14" t="str">
        <f>'2026 Orders'!C266</f>
        <v>A4658</v>
      </c>
      <c r="D267" s="14">
        <v>0</v>
      </c>
      <c r="E267" s="17" t="str" cm="1">
        <f t="array" ref="E267">IF(C267=0,"",
HYPERLINK(
"#'2026 Orders'!C"&amp;
MATCH(1,
('2026 Orders'!C:C=C267)*
('2026 Orders'!G:G=G267)*
('2026 Orders'!N:N=N267),
0),
"Open "&amp;C267
))</f>
        <v>Open A4658</v>
      </c>
      <c r="F267" s="14">
        <v>0</v>
      </c>
      <c r="G267" s="14" t="str">
        <f>'2026 Orders'!G266</f>
        <v>LARGIN-100-FD</v>
      </c>
      <c r="H267" s="14" t="str">
        <f>'2026 Orders'!H266</f>
        <v>LARGIN-100</v>
      </c>
      <c r="I267" s="15" t="str">
        <f>'2026 Orders'!I266</f>
        <v>FD</v>
      </c>
      <c r="J267" s="14">
        <f>'2026 Orders'!J266</f>
        <v>100</v>
      </c>
      <c r="K267" t="s">
        <v>635</v>
      </c>
      <c r="L267">
        <v>0</v>
      </c>
      <c r="M267">
        <v>100</v>
      </c>
      <c r="N267" s="10" t="str">
        <f>'2026 Orders'!N266</f>
        <v>In Production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C267" t="str">
        <f t="shared" si="8"/>
        <v>100/</v>
      </c>
      <c r="AD267" t="e">
        <f t="shared" si="9"/>
        <v>#VALUE!</v>
      </c>
    </row>
    <row r="268" spans="1:30" ht="33" hidden="1" customHeight="1" x14ac:dyDescent="0.3">
      <c r="A268">
        <v>46177</v>
      </c>
      <c r="B268" s="14" t="str">
        <f>'2026 Orders'!B267</f>
        <v>China</v>
      </c>
      <c r="C268" s="14" t="str">
        <f>'2026 Orders'!C267</f>
        <v>A4658</v>
      </c>
      <c r="D268" s="14">
        <v>0</v>
      </c>
      <c r="E268" s="17" t="str" cm="1">
        <f t="array" ref="E268">IF(C268=0,"",
HYPERLINK(
"#'2026 Orders'!C"&amp;
MATCH(1,
('2026 Orders'!C:C=C268)*
('2026 Orders'!G:G=G268)*
('2026 Orders'!N:N=N268),
0),
"Open "&amp;C268
))</f>
        <v>Open A4658</v>
      </c>
      <c r="F268" s="14">
        <v>0</v>
      </c>
      <c r="G268" s="14" t="str">
        <f>'2026 Orders'!G267</f>
        <v>QWELL2-60-SG-FD</v>
      </c>
      <c r="H268" s="14" t="str">
        <f>'2026 Orders'!H267</f>
        <v>QWELL2-60</v>
      </c>
      <c r="I268" s="15" t="str">
        <f>'2026 Orders'!I267</f>
        <v>FD</v>
      </c>
      <c r="J268" s="14">
        <f>'2026 Orders'!J267</f>
        <v>100</v>
      </c>
      <c r="K268" t="s">
        <v>787</v>
      </c>
      <c r="L268">
        <v>100</v>
      </c>
      <c r="M268">
        <v>0</v>
      </c>
      <c r="N268" s="10" t="str">
        <f>'2026 Orders'!N267</f>
        <v>Picked</v>
      </c>
      <c r="O268">
        <v>0</v>
      </c>
      <c r="P268" t="s">
        <v>1077</v>
      </c>
      <c r="Q268">
        <v>609788968344</v>
      </c>
      <c r="R268">
        <v>9524</v>
      </c>
      <c r="S268">
        <v>5109</v>
      </c>
      <c r="T268">
        <v>46286</v>
      </c>
      <c r="U268" t="s">
        <v>1089</v>
      </c>
      <c r="V268">
        <v>0</v>
      </c>
      <c r="W268">
        <v>0</v>
      </c>
      <c r="X268">
        <v>0</v>
      </c>
      <c r="Y268">
        <v>0</v>
      </c>
      <c r="Z268" t="s">
        <v>1086</v>
      </c>
      <c r="AC268" t="str">
        <f t="shared" si="8"/>
        <v>100/</v>
      </c>
      <c r="AD268" t="e">
        <f t="shared" si="9"/>
        <v>#VALUE!</v>
      </c>
    </row>
    <row r="269" spans="1:30" ht="33" hidden="1" customHeight="1" x14ac:dyDescent="0.3">
      <c r="A269">
        <v>46177</v>
      </c>
      <c r="B269" s="14">
        <f>'2026 Orders'!B268</f>
        <v>0</v>
      </c>
      <c r="C269" s="14">
        <f>'2026 Orders'!C268</f>
        <v>0</v>
      </c>
      <c r="D269" s="14">
        <v>0</v>
      </c>
      <c r="E269" s="17" t="str" cm="1">
        <f t="array" ref="E269">IF(C269=0,"",
HYPERLINK(
"#'2026 Orders'!C"&amp;
MATCH(1,
('2026 Orders'!C:C=C269)*
('2026 Orders'!G:G=G269)*
('2026 Orders'!N:N=N269),
0),
"Open "&amp;C269
))</f>
        <v/>
      </c>
      <c r="F269" s="14">
        <v>0</v>
      </c>
      <c r="G269" s="14">
        <f>'2026 Orders'!G268</f>
        <v>0</v>
      </c>
      <c r="H269" s="14">
        <f>'2026 Orders'!H268</f>
        <v>0</v>
      </c>
      <c r="I269" s="15" t="str">
        <f>'2026 Orders'!I268</f>
        <v/>
      </c>
      <c r="J269" s="14">
        <f>'2026 Orders'!J268</f>
        <v>0</v>
      </c>
      <c r="K269">
        <v>0</v>
      </c>
      <c r="L269">
        <v>0</v>
      </c>
      <c r="M269">
        <v>0</v>
      </c>
      <c r="N269" s="10">
        <f>'2026 Orders'!N268</f>
        <v>0</v>
      </c>
      <c r="O269">
        <v>0</v>
      </c>
      <c r="P269" t="s">
        <v>1077</v>
      </c>
      <c r="Q269">
        <v>609788968399</v>
      </c>
      <c r="R269">
        <v>5000</v>
      </c>
      <c r="S269">
        <v>5095</v>
      </c>
      <c r="T269">
        <v>46286</v>
      </c>
      <c r="U269" t="s">
        <v>1089</v>
      </c>
      <c r="V269">
        <v>0</v>
      </c>
      <c r="W269">
        <v>0</v>
      </c>
      <c r="X269">
        <v>0</v>
      </c>
      <c r="Y269">
        <v>0</v>
      </c>
      <c r="Z269">
        <v>0</v>
      </c>
      <c r="AC269" t="str">
        <f t="shared" si="8"/>
        <v/>
      </c>
      <c r="AD269" t="str">
        <f t="shared" si="9"/>
        <v/>
      </c>
    </row>
    <row r="270" spans="1:30" ht="33" hidden="1" customHeight="1" x14ac:dyDescent="0.3">
      <c r="A270">
        <v>46177</v>
      </c>
      <c r="B270" s="14" t="str">
        <f>'2026 Orders'!B269</f>
        <v>China</v>
      </c>
      <c r="C270" s="14" t="str">
        <f>'2026 Orders'!C269</f>
        <v>A4659</v>
      </c>
      <c r="D270" s="14">
        <v>0</v>
      </c>
      <c r="E270" s="17" t="str" cm="1">
        <f t="array" ref="E270">IF(C270=0,"",
HYPERLINK(
"#'2026 Orders'!C"&amp;
MATCH(1,
('2026 Orders'!C:C=C270)*
('2026 Orders'!G:G=G270)*
('2026 Orders'!N:N=N270),
0),
"Open "&amp;C270
))</f>
        <v>Open A4659</v>
      </c>
      <c r="F270" s="14">
        <v>0</v>
      </c>
      <c r="G270" s="14" t="str">
        <f>'2026 Orders'!G269</f>
        <v>FERTMX-90-RE</v>
      </c>
      <c r="H270" s="14" t="str">
        <f>'2026 Orders'!H269</f>
        <v>FERTMX-90</v>
      </c>
      <c r="I270" s="15" t="str">
        <f>'2026 Orders'!I269</f>
        <v>RE</v>
      </c>
      <c r="J270" s="14">
        <f>'2026 Orders'!J269</f>
        <v>76</v>
      </c>
      <c r="K270" t="s">
        <v>441</v>
      </c>
      <c r="L270">
        <v>76</v>
      </c>
      <c r="M270">
        <v>0</v>
      </c>
      <c r="N270" s="10" t="str">
        <f>'2026 Orders'!N269</f>
        <v>Picked</v>
      </c>
      <c r="O270">
        <v>0</v>
      </c>
      <c r="P270" t="s">
        <v>1085</v>
      </c>
      <c r="Q270">
        <v>810131199623</v>
      </c>
      <c r="R270">
        <v>5000</v>
      </c>
      <c r="S270">
        <v>0</v>
      </c>
      <c r="T270" t="s">
        <v>1108</v>
      </c>
      <c r="U270" t="s">
        <v>1142</v>
      </c>
      <c r="V270">
        <v>0</v>
      </c>
      <c r="W270">
        <v>0</v>
      </c>
      <c r="X270">
        <v>0</v>
      </c>
      <c r="Y270">
        <v>0</v>
      </c>
      <c r="Z270">
        <v>0</v>
      </c>
      <c r="AC270" t="str">
        <f t="shared" si="8"/>
        <v>76/</v>
      </c>
      <c r="AD270" t="e">
        <f t="shared" si="9"/>
        <v>#VALUE!</v>
      </c>
    </row>
    <row r="271" spans="1:30" ht="33" hidden="1" customHeight="1" x14ac:dyDescent="0.3">
      <c r="A271">
        <v>46177</v>
      </c>
      <c r="B271" s="14" t="str">
        <f>'2026 Orders'!B270</f>
        <v>China</v>
      </c>
      <c r="C271" s="14" t="str">
        <f>'2026 Orders'!C270</f>
        <v>A4659</v>
      </c>
      <c r="D271" s="14">
        <v>0</v>
      </c>
      <c r="E271" s="17" t="str" cm="1">
        <f t="array" ref="E271">IF(C271=0,"",
HYPERLINK(
"#'2026 Orders'!C"&amp;
MATCH(1,
('2026 Orders'!C:C=C271)*
('2026 Orders'!G:G=G271)*
('2026 Orders'!N:N=N271),
0),
"Open "&amp;C271
))</f>
        <v>Open A4659</v>
      </c>
      <c r="F271" s="14">
        <v>0</v>
      </c>
      <c r="G271" s="14" t="str">
        <f>'2026 Orders'!G270</f>
        <v>FERTMX-90-RE</v>
      </c>
      <c r="H271" s="14" t="str">
        <f>'2026 Orders'!H270</f>
        <v>FERTMX-90</v>
      </c>
      <c r="I271" s="15" t="str">
        <f>'2026 Orders'!I270</f>
        <v>RE</v>
      </c>
      <c r="J271" s="14">
        <f>'2026 Orders'!J270</f>
        <v>34</v>
      </c>
      <c r="K271" t="s">
        <v>441</v>
      </c>
      <c r="L271">
        <v>34</v>
      </c>
      <c r="M271">
        <v>0</v>
      </c>
      <c r="N271" s="10" t="str">
        <f>'2026 Orders'!N270</f>
        <v>Picked</v>
      </c>
      <c r="O271">
        <v>0</v>
      </c>
      <c r="P271" t="s">
        <v>1085</v>
      </c>
      <c r="Q271">
        <v>609788969006</v>
      </c>
      <c r="R271">
        <v>5000</v>
      </c>
      <c r="S271">
        <v>5034</v>
      </c>
      <c r="T271" t="s">
        <v>1108</v>
      </c>
      <c r="U271" t="s">
        <v>1149</v>
      </c>
      <c r="V271">
        <v>0</v>
      </c>
      <c r="W271">
        <v>0</v>
      </c>
      <c r="X271">
        <v>0</v>
      </c>
      <c r="Y271">
        <v>0</v>
      </c>
      <c r="Z271">
        <v>0</v>
      </c>
      <c r="AC271" t="str">
        <f t="shared" si="8"/>
        <v>34/</v>
      </c>
      <c r="AD271" t="e">
        <f t="shared" si="9"/>
        <v>#VALUE!</v>
      </c>
    </row>
    <row r="272" spans="1:30" ht="33" hidden="1" customHeight="1" x14ac:dyDescent="0.3">
      <c r="A272">
        <v>46177</v>
      </c>
      <c r="B272" s="14" t="str">
        <f>'2026 Orders'!B271</f>
        <v>China</v>
      </c>
      <c r="C272" s="14" t="str">
        <f>'2026 Orders'!C271</f>
        <v>A4659</v>
      </c>
      <c r="D272" s="14">
        <v>0</v>
      </c>
      <c r="E272" s="17" t="str" cm="1">
        <f t="array" ref="E272">IF(C272=0,"",
HYPERLINK(
"#'2026 Orders'!C"&amp;
MATCH(1,
('2026 Orders'!C:C=C272)*
('2026 Orders'!G:G=G272)*
('2026 Orders'!N:N=N272),
0),
"Open "&amp;C272
))</f>
        <v>Open A4659</v>
      </c>
      <c r="F272" s="14">
        <v>0</v>
      </c>
      <c r="G272" s="14" t="str">
        <f>'2026 Orders'!G271</f>
        <v>METRIO-60-FD</v>
      </c>
      <c r="H272" s="14" t="str">
        <f>'2026 Orders'!H271</f>
        <v>METRIO-60</v>
      </c>
      <c r="I272" s="15" t="str">
        <f>'2026 Orders'!I271</f>
        <v>FD</v>
      </c>
      <c r="J272" s="14">
        <f>'2026 Orders'!J271</f>
        <v>110</v>
      </c>
      <c r="K272" t="s">
        <v>789</v>
      </c>
      <c r="L272">
        <v>110</v>
      </c>
      <c r="M272">
        <v>0</v>
      </c>
      <c r="N272" s="10" t="str">
        <f>'2026 Orders'!N271</f>
        <v>Picked</v>
      </c>
      <c r="O272">
        <v>0</v>
      </c>
      <c r="P272" t="s">
        <v>1077</v>
      </c>
      <c r="Q272" t="s">
        <v>1111</v>
      </c>
      <c r="R272">
        <v>5000</v>
      </c>
      <c r="S272">
        <v>5031</v>
      </c>
      <c r="T272" t="s">
        <v>1108</v>
      </c>
      <c r="U272" t="s">
        <v>1176</v>
      </c>
      <c r="V272">
        <v>0</v>
      </c>
      <c r="W272">
        <v>0</v>
      </c>
      <c r="X272">
        <v>0</v>
      </c>
      <c r="Y272">
        <v>0</v>
      </c>
      <c r="Z272">
        <v>0</v>
      </c>
      <c r="AC272" t="str">
        <f t="shared" si="8"/>
        <v>110/</v>
      </c>
      <c r="AD272" t="e">
        <f t="shared" si="9"/>
        <v>#VALUE!</v>
      </c>
    </row>
    <row r="273" spans="1:30" ht="33" hidden="1" customHeight="1" x14ac:dyDescent="0.3">
      <c r="A273">
        <v>45975</v>
      </c>
      <c r="B273" s="14" t="str">
        <f>'2026 Orders'!B272</f>
        <v>China</v>
      </c>
      <c r="C273" s="14" t="str">
        <f>'2026 Orders'!C272</f>
        <v>A4659</v>
      </c>
      <c r="D273" s="14">
        <v>0</v>
      </c>
      <c r="E273" s="17" t="str" cm="1">
        <f t="array" ref="E273">IF(C273=0,"",
HYPERLINK(
"#'2026 Orders'!C"&amp;
MATCH(1,
('2026 Orders'!C:C=C273)*
('2026 Orders'!G:G=G273)*
('2026 Orders'!N:N=N273),
0),
"Open "&amp;C273
))</f>
        <v>Open A4659</v>
      </c>
      <c r="F273" s="14">
        <v>0</v>
      </c>
      <c r="G273" s="14" t="str">
        <f>'2026 Orders'!G272</f>
        <v>MFSPLS-120-CS-CN</v>
      </c>
      <c r="H273" s="14" t="str">
        <f>'2026 Orders'!H272</f>
        <v>MFSPLS-120</v>
      </c>
      <c r="I273" s="15" t="str">
        <f>'2026 Orders'!I272</f>
        <v>CN</v>
      </c>
      <c r="J273" s="14">
        <f>'2026 Orders'!J272</f>
        <v>550</v>
      </c>
      <c r="K273" t="s">
        <v>790</v>
      </c>
      <c r="L273">
        <v>0</v>
      </c>
      <c r="M273">
        <v>550</v>
      </c>
      <c r="N273" s="10" t="str">
        <f>'2026 Orders'!N272</f>
        <v>PO submitted</v>
      </c>
      <c r="O273" t="s">
        <v>1177</v>
      </c>
      <c r="P273" t="s">
        <v>1085</v>
      </c>
      <c r="Q273">
        <v>609788968443</v>
      </c>
      <c r="R273">
        <v>5000</v>
      </c>
      <c r="S273">
        <v>4934</v>
      </c>
      <c r="T273" t="s">
        <v>1108</v>
      </c>
      <c r="U273" t="s">
        <v>1176</v>
      </c>
      <c r="V273">
        <v>0</v>
      </c>
      <c r="W273">
        <v>0</v>
      </c>
      <c r="X273">
        <v>0</v>
      </c>
      <c r="Y273">
        <v>0</v>
      </c>
      <c r="Z273">
        <v>0</v>
      </c>
      <c r="AC273" t="str">
        <f t="shared" si="8"/>
        <v>550/</v>
      </c>
      <c r="AD273" t="e">
        <f t="shared" si="9"/>
        <v>#VALUE!</v>
      </c>
    </row>
    <row r="274" spans="1:30" ht="33" hidden="1" customHeight="1" x14ac:dyDescent="0.3">
      <c r="A274">
        <v>46034</v>
      </c>
      <c r="B274" s="14" t="str">
        <f>'2026 Orders'!B273</f>
        <v>China</v>
      </c>
      <c r="C274" s="14" t="str">
        <f>'2026 Orders'!C273</f>
        <v>A4659</v>
      </c>
      <c r="D274" s="14">
        <v>0</v>
      </c>
      <c r="E274" s="17" t="str" cm="1">
        <f t="array" ref="E274">IF(C274=0,"",
HYPERLINK(
"#'2026 Orders'!C"&amp;
MATCH(1,
('2026 Orders'!C:C=C274)*
('2026 Orders'!G:G=G274)*
('2026 Orders'!N:N=N274),
0),
"Open "&amp;C274
))</f>
        <v>Open A4659</v>
      </c>
      <c r="F274" s="14">
        <v>0</v>
      </c>
      <c r="G274" s="14" t="str">
        <f>'2026 Orders'!G273</f>
        <v>OVAMAXPLUS-120-CS-CN</v>
      </c>
      <c r="H274" s="14" t="str">
        <f>'2026 Orders'!H273</f>
        <v>OVAMAXPLUS-120</v>
      </c>
      <c r="I274" s="15" t="str">
        <f>'2026 Orders'!I273</f>
        <v>CN</v>
      </c>
      <c r="J274" s="14">
        <f>'2026 Orders'!J273</f>
        <v>1650</v>
      </c>
      <c r="K274" t="s">
        <v>469</v>
      </c>
      <c r="L274">
        <v>1650</v>
      </c>
      <c r="M274">
        <v>0</v>
      </c>
      <c r="N274" s="10" t="str">
        <f>'2026 Orders'!N273</f>
        <v>Picked</v>
      </c>
      <c r="O274" t="s">
        <v>1178</v>
      </c>
      <c r="P274" t="s">
        <v>1085</v>
      </c>
      <c r="Q274">
        <v>604776735892</v>
      </c>
      <c r="R274">
        <v>3000</v>
      </c>
      <c r="S274">
        <v>5028</v>
      </c>
      <c r="T274" t="s">
        <v>1108</v>
      </c>
      <c r="U274" t="s">
        <v>1176</v>
      </c>
      <c r="V274">
        <v>0</v>
      </c>
      <c r="W274">
        <v>0</v>
      </c>
      <c r="X274">
        <v>0</v>
      </c>
      <c r="Y274">
        <v>0</v>
      </c>
      <c r="Z274">
        <v>0</v>
      </c>
      <c r="AC274" t="str">
        <f t="shared" si="8"/>
        <v>1650/</v>
      </c>
      <c r="AD274" t="e">
        <f t="shared" si="9"/>
        <v>#VALUE!</v>
      </c>
    </row>
    <row r="275" spans="1:30" ht="33" hidden="1" customHeight="1" x14ac:dyDescent="0.3">
      <c r="A275">
        <v>0</v>
      </c>
      <c r="B275" s="14" t="str">
        <f>'2026 Orders'!B274</f>
        <v>China</v>
      </c>
      <c r="C275" s="14" t="str">
        <f>'2026 Orders'!C274</f>
        <v>A4659</v>
      </c>
      <c r="D275" s="14">
        <v>0</v>
      </c>
      <c r="E275" s="17" t="str" cm="1">
        <f t="array" ref="E275">IF(C275=0,"",
HYPERLINK(
"#'2026 Orders'!C"&amp;
MATCH(1,
('2026 Orders'!C:C=C275)*
('2026 Orders'!G:G=G275)*
('2026 Orders'!N:N=N275),
0),
"Open "&amp;C275
))</f>
        <v>Open A4659</v>
      </c>
      <c r="F275" s="14">
        <v>0</v>
      </c>
      <c r="G275" s="14" t="str">
        <f>'2026 Orders'!G274</f>
        <v>PRECON-180-FD</v>
      </c>
      <c r="H275" s="14" t="str">
        <f>'2026 Orders'!H274</f>
        <v>PRECON-180</v>
      </c>
      <c r="I275" s="15" t="str">
        <f>'2026 Orders'!I274</f>
        <v>FD</v>
      </c>
      <c r="J275" s="14">
        <f>'2026 Orders'!J274</f>
        <v>330</v>
      </c>
      <c r="K275" t="s">
        <v>791</v>
      </c>
      <c r="L275">
        <v>330</v>
      </c>
      <c r="M275">
        <v>0</v>
      </c>
      <c r="N275" s="10" t="str">
        <f>'2026 Orders'!N274</f>
        <v>Picked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C275" t="str">
        <f t="shared" si="8"/>
        <v>330/</v>
      </c>
      <c r="AD275" t="e">
        <f t="shared" si="9"/>
        <v>#VALUE!</v>
      </c>
    </row>
    <row r="276" spans="1:30" ht="33" hidden="1" customHeight="1" x14ac:dyDescent="0.3">
      <c r="A276">
        <v>46181</v>
      </c>
      <c r="B276" s="14" t="str">
        <f>'2026 Orders'!B275</f>
        <v>China</v>
      </c>
      <c r="C276" s="14" t="str">
        <f>'2026 Orders'!C275</f>
        <v>A4659</v>
      </c>
      <c r="D276" s="14">
        <v>0</v>
      </c>
      <c r="E276" s="17" t="str" cm="1">
        <f t="array" ref="E276">IF(C276=0,"",
HYPERLINK(
"#'2026 Orders'!C"&amp;
MATCH(1,
('2026 Orders'!C:C=C276)*
('2026 Orders'!G:G=G276)*
('2026 Orders'!N:N=N276),
0),
"Open "&amp;C276
))</f>
        <v>Open A4659</v>
      </c>
      <c r="F276" s="14">
        <v>0</v>
      </c>
      <c r="G276" s="14" t="str">
        <f>'2026 Orders'!G275</f>
        <v>SPERMCT-60-FD</v>
      </c>
      <c r="H276" s="14" t="str">
        <f>'2026 Orders'!H275</f>
        <v>SPERMCT-60</v>
      </c>
      <c r="I276" s="15" t="str">
        <f>'2026 Orders'!I275</f>
        <v>FD</v>
      </c>
      <c r="J276" s="14">
        <f>'2026 Orders'!J275</f>
        <v>110</v>
      </c>
      <c r="K276" t="s">
        <v>435</v>
      </c>
      <c r="L276">
        <v>110</v>
      </c>
      <c r="M276">
        <v>0</v>
      </c>
      <c r="N276" s="10" t="str">
        <f>'2026 Orders'!N275</f>
        <v>Picked</v>
      </c>
      <c r="O276" t="s">
        <v>1179</v>
      </c>
      <c r="P276" t="s">
        <v>1077</v>
      </c>
      <c r="Q276">
        <v>604776736820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 t="s">
        <v>1086</v>
      </c>
      <c r="AC276" t="str">
        <f t="shared" si="8"/>
        <v>110/</v>
      </c>
      <c r="AD276" t="e">
        <f t="shared" si="9"/>
        <v>#VALUE!</v>
      </c>
    </row>
    <row r="277" spans="1:30" ht="33" hidden="1" customHeight="1" x14ac:dyDescent="0.3">
      <c r="A277">
        <v>46181</v>
      </c>
      <c r="B277" s="14" t="str">
        <f>'2026 Orders'!B276</f>
        <v>China</v>
      </c>
      <c r="C277" s="14" t="str">
        <f>'2026 Orders'!C276</f>
        <v>A4659</v>
      </c>
      <c r="D277" s="14">
        <v>0</v>
      </c>
      <c r="E277" s="17" t="str" cm="1">
        <f t="array" ref="E277">IF(C277=0,"",
HYPERLINK(
"#'2026 Orders'!C"&amp;
MATCH(1,
('2026 Orders'!C:C=C277)*
('2026 Orders'!G:G=G277)*
('2026 Orders'!N:N=N277),
0),
"Open "&amp;C277
))</f>
        <v>Open A4659</v>
      </c>
      <c r="F277" s="14" t="s">
        <v>437</v>
      </c>
      <c r="G277" s="14" t="str">
        <f>'2026 Orders'!G276</f>
        <v>WFSPLS-180-FD</v>
      </c>
      <c r="H277" s="14" t="str">
        <f>'2026 Orders'!H276</f>
        <v>WFSPLS-180</v>
      </c>
      <c r="I277" s="15" t="str">
        <f>'2026 Orders'!I276</f>
        <v>FD</v>
      </c>
      <c r="J277" s="14">
        <f>'2026 Orders'!J276</f>
        <v>110</v>
      </c>
      <c r="K277" t="s">
        <v>438</v>
      </c>
      <c r="L277">
        <v>110</v>
      </c>
      <c r="M277">
        <v>0</v>
      </c>
      <c r="N277" s="10" t="str">
        <f>'2026 Orders'!N276</f>
        <v>PO Drafted</v>
      </c>
      <c r="O277" t="s">
        <v>1179</v>
      </c>
      <c r="P277" t="s">
        <v>1077</v>
      </c>
      <c r="Q277">
        <v>604776736738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C277" t="str">
        <f t="shared" si="8"/>
        <v>110/</v>
      </c>
      <c r="AD277" t="e">
        <f t="shared" si="9"/>
        <v>#VALUE!</v>
      </c>
    </row>
    <row r="278" spans="1:30" ht="33" hidden="1" customHeight="1" x14ac:dyDescent="0.3">
      <c r="A278">
        <v>46181</v>
      </c>
      <c r="B278" s="14" t="str">
        <f>'2026 Orders'!B277</f>
        <v>China</v>
      </c>
      <c r="C278" s="14" t="str">
        <f>'2026 Orders'!C277</f>
        <v>A4659</v>
      </c>
      <c r="D278" s="14">
        <v>0</v>
      </c>
      <c r="E278" s="17" t="str" cm="1">
        <f t="array" ref="E278">IF(C278=0,"",
HYPERLINK(
"#'2026 Orders'!C"&amp;
MATCH(1,
('2026 Orders'!C:C=C278)*
('2026 Orders'!G:G=G278)*
('2026 Orders'!N:N=N278),
0),
"Open "&amp;C278
))</f>
        <v>Open A4659</v>
      </c>
      <c r="F278" s="14">
        <v>0</v>
      </c>
      <c r="G278" s="14" t="str">
        <f>'2026 Orders'!G277</f>
        <v>TESTRON-60-FD</v>
      </c>
      <c r="H278" s="14" t="str">
        <f>'2026 Orders'!H277</f>
        <v>TESTRON-60</v>
      </c>
      <c r="I278" s="15" t="str">
        <f>'2026 Orders'!I277</f>
        <v>FD</v>
      </c>
      <c r="J278" s="14">
        <f>'2026 Orders'!J277</f>
        <v>100</v>
      </c>
      <c r="K278" t="s">
        <v>792</v>
      </c>
      <c r="L278">
        <v>100</v>
      </c>
      <c r="M278">
        <v>0</v>
      </c>
      <c r="N278" s="10" t="str">
        <f>'2026 Orders'!N277</f>
        <v>Picked</v>
      </c>
      <c r="O278" t="s">
        <v>1180</v>
      </c>
      <c r="P278" t="s">
        <v>1077</v>
      </c>
      <c r="Q278">
        <v>604776739371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C278" t="str">
        <f t="shared" si="8"/>
        <v>100/</v>
      </c>
      <c r="AD278" t="e">
        <f t="shared" si="9"/>
        <v>#VALUE!</v>
      </c>
    </row>
    <row r="279" spans="1:30" ht="33" hidden="1" customHeight="1" x14ac:dyDescent="0.3">
      <c r="A279">
        <v>0</v>
      </c>
      <c r="B279" s="14">
        <f>'2026 Orders'!B278</f>
        <v>0</v>
      </c>
      <c r="C279" s="14">
        <f>'2026 Orders'!C278</f>
        <v>0</v>
      </c>
      <c r="D279" s="14">
        <v>0</v>
      </c>
      <c r="E279" s="17" t="str" cm="1">
        <f t="array" ref="E279">IF(C279=0,"",
HYPERLINK(
"#'2026 Orders'!C"&amp;
MATCH(1,
('2026 Orders'!C:C=C279)*
('2026 Orders'!G:G=G279)*
('2026 Orders'!N:N=N279),
0),
"Open "&amp;C279
))</f>
        <v/>
      </c>
      <c r="F279" s="14">
        <v>0</v>
      </c>
      <c r="G279" s="14">
        <f>'2026 Orders'!G278</f>
        <v>0</v>
      </c>
      <c r="H279" s="14">
        <f>'2026 Orders'!H278</f>
        <v>0</v>
      </c>
      <c r="I279" s="15" t="str">
        <f>'2026 Orders'!I278</f>
        <v/>
      </c>
      <c r="J279" s="14">
        <f>'2026 Orders'!J278</f>
        <v>0</v>
      </c>
      <c r="K279">
        <v>0</v>
      </c>
      <c r="L279">
        <v>0</v>
      </c>
      <c r="M279">
        <v>0</v>
      </c>
      <c r="N279" s="10">
        <f>'2026 Orders'!N278</f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C279" t="str">
        <f t="shared" si="8"/>
        <v/>
      </c>
      <c r="AD279" t="str">
        <f t="shared" si="9"/>
        <v/>
      </c>
    </row>
    <row r="280" spans="1:30" ht="33" hidden="1" customHeight="1" x14ac:dyDescent="0.3">
      <c r="A280">
        <v>46181</v>
      </c>
      <c r="B280" s="14" t="str">
        <f>'2026 Orders'!B279</f>
        <v>China</v>
      </c>
      <c r="C280" s="14" t="str">
        <f>'2026 Orders'!C279</f>
        <v>A4680</v>
      </c>
      <c r="D280" s="14">
        <v>0</v>
      </c>
      <c r="E280" s="17" t="str" cm="1">
        <f t="array" ref="E280">IF(C280=0,"",
HYPERLINK(
"#'2026 Orders'!C"&amp;
MATCH(1,
('2026 Orders'!C:C=C280)*
('2026 Orders'!G:G=G280)*
('2026 Orders'!N:N=N280),
0),
"Open "&amp;C280
))</f>
        <v>Open A4680</v>
      </c>
      <c r="F280" s="14" t="s">
        <v>795</v>
      </c>
      <c r="G280" s="14" t="str">
        <f>'2026 Orders'!G279</f>
        <v>DHEA25-60-FD</v>
      </c>
      <c r="H280" s="14" t="str">
        <f>'2026 Orders'!H279</f>
        <v>DHEA25-60</v>
      </c>
      <c r="I280" s="15" t="str">
        <f>'2026 Orders'!I279</f>
        <v>FD</v>
      </c>
      <c r="J280" s="14">
        <f>'2026 Orders'!J279</f>
        <v>300</v>
      </c>
      <c r="K280" t="s">
        <v>493</v>
      </c>
      <c r="L280">
        <v>300</v>
      </c>
      <c r="M280">
        <v>0</v>
      </c>
      <c r="N280" s="10" t="str">
        <f>'2026 Orders'!N279</f>
        <v>D/W Sent</v>
      </c>
      <c r="O280" t="s">
        <v>1179</v>
      </c>
      <c r="P280" t="s">
        <v>1077</v>
      </c>
      <c r="Q280">
        <v>604776736813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 t="s">
        <v>1086</v>
      </c>
      <c r="AC280" t="str">
        <f t="shared" si="8"/>
        <v>300/</v>
      </c>
      <c r="AD280" t="e">
        <f t="shared" si="9"/>
        <v>#VALUE!</v>
      </c>
    </row>
    <row r="281" spans="1:30" ht="33" hidden="1" customHeight="1" x14ac:dyDescent="0.3">
      <c r="A281">
        <v>46181</v>
      </c>
      <c r="B281" s="14" t="str">
        <f>'2026 Orders'!B280</f>
        <v>China</v>
      </c>
      <c r="C281" s="14" t="str">
        <f>'2026 Orders'!C280</f>
        <v>A4680</v>
      </c>
      <c r="D281" s="14">
        <v>0</v>
      </c>
      <c r="E281" s="17" t="str" cm="1">
        <f t="array" ref="E281">IF(C281=0,"",
HYPERLINK(
"#'2026 Orders'!C"&amp;
MATCH(1,
('2026 Orders'!C:C=C281)*
('2026 Orders'!G:G=G281)*
('2026 Orders'!N:N=N281),
0),
"Open "&amp;C281
))</f>
        <v>Open A4680</v>
      </c>
      <c r="F281" s="14" t="s">
        <v>795</v>
      </c>
      <c r="G281" s="14" t="str">
        <f>'2026 Orders'!G280</f>
        <v>RAPIDC5-100-FD</v>
      </c>
      <c r="H281" s="14" t="str">
        <f>'2026 Orders'!H280</f>
        <v>RAPIDC5-100</v>
      </c>
      <c r="I281" s="15" t="str">
        <f>'2026 Orders'!I280</f>
        <v>FD</v>
      </c>
      <c r="J281" s="14">
        <f>'2026 Orders'!J280</f>
        <v>500</v>
      </c>
      <c r="K281" t="s">
        <v>796</v>
      </c>
      <c r="L281">
        <v>500</v>
      </c>
      <c r="M281">
        <v>0</v>
      </c>
      <c r="N281" s="10" t="str">
        <f>'2026 Orders'!N280</f>
        <v>D/W Sent</v>
      </c>
      <c r="O281">
        <v>0</v>
      </c>
      <c r="P281" t="s">
        <v>1077</v>
      </c>
      <c r="Q281">
        <v>604776736813</v>
      </c>
      <c r="R281">
        <v>0</v>
      </c>
      <c r="S281">
        <v>4974</v>
      </c>
      <c r="T281" t="s">
        <v>1079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C281" t="str">
        <f t="shared" si="8"/>
        <v>500/</v>
      </c>
      <c r="AD281" t="e">
        <f t="shared" si="9"/>
        <v>#VALUE!</v>
      </c>
    </row>
    <row r="282" spans="1:30" ht="33" hidden="1" customHeight="1" x14ac:dyDescent="0.3">
      <c r="A282">
        <v>46181</v>
      </c>
      <c r="B282" s="14">
        <f>'2026 Orders'!B281</f>
        <v>0</v>
      </c>
      <c r="C282" s="14">
        <f>'2026 Orders'!C281</f>
        <v>0</v>
      </c>
      <c r="D282" s="14">
        <v>0</v>
      </c>
      <c r="E282" s="17" t="str" cm="1">
        <f t="array" ref="E282">IF(C282=0,"",
HYPERLINK(
"#'2026 Orders'!C"&amp;
MATCH(1,
('2026 Orders'!C:C=C282)*
('2026 Orders'!G:G=G282)*
('2026 Orders'!N:N=N282),
0),
"Open "&amp;C282
))</f>
        <v/>
      </c>
      <c r="F282" s="14">
        <v>0</v>
      </c>
      <c r="G282" s="14">
        <f>'2026 Orders'!G281</f>
        <v>0</v>
      </c>
      <c r="H282" s="14">
        <f>'2026 Orders'!H281</f>
        <v>0</v>
      </c>
      <c r="I282" s="15" t="str">
        <f>'2026 Orders'!I281</f>
        <v/>
      </c>
      <c r="J282" s="14">
        <f>'2026 Orders'!J281</f>
        <v>0</v>
      </c>
      <c r="K282">
        <v>0</v>
      </c>
      <c r="L282">
        <v>0</v>
      </c>
      <c r="M282">
        <v>0</v>
      </c>
      <c r="N282" s="10">
        <f>'2026 Orders'!N281</f>
        <v>0</v>
      </c>
      <c r="O282" t="s">
        <v>1179</v>
      </c>
      <c r="P282" t="s">
        <v>1077</v>
      </c>
      <c r="Q282">
        <v>604776736790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C282" t="str">
        <f t="shared" si="8"/>
        <v/>
      </c>
      <c r="AD282" t="str">
        <f t="shared" si="9"/>
        <v/>
      </c>
    </row>
    <row r="283" spans="1:30" ht="33" hidden="1" customHeight="1" x14ac:dyDescent="0.3">
      <c r="A283">
        <v>46181</v>
      </c>
      <c r="B283" s="14" t="str">
        <f>'2026 Orders'!B282</f>
        <v>Kuwait</v>
      </c>
      <c r="C283" s="14" t="str">
        <f>'2026 Orders'!C282</f>
        <v>A4668</v>
      </c>
      <c r="D283" s="14" t="s">
        <v>798</v>
      </c>
      <c r="E283" s="17" t="str" cm="1">
        <f t="array" ref="E283">IF(C283=0,"",
HYPERLINK(
"#'2026 Orders'!C"&amp;
MATCH(1,
('2026 Orders'!C:C=C283)*
('2026 Orders'!G:G=G283)*
('2026 Orders'!N:N=N283),
0),
"Open "&amp;C283
))</f>
        <v>Open A4668</v>
      </c>
      <c r="F283" s="14" t="s">
        <v>800</v>
      </c>
      <c r="G283" s="14" t="str">
        <f>'2026 Orders'!G282</f>
        <v>OVAMAX-120-CS-KW</v>
      </c>
      <c r="H283" s="14" t="str">
        <f>'2026 Orders'!H282</f>
        <v>OVAMAX-120</v>
      </c>
      <c r="I283" s="15" t="str">
        <f>'2026 Orders'!I282</f>
        <v>KW</v>
      </c>
      <c r="J283" s="14">
        <f>'2026 Orders'!J282</f>
        <v>223</v>
      </c>
      <c r="K283" t="s">
        <v>801</v>
      </c>
      <c r="L283">
        <v>223</v>
      </c>
      <c r="M283">
        <v>0</v>
      </c>
      <c r="N283" s="10" t="str">
        <f>'2026 Orders'!N282</f>
        <v>Picked</v>
      </c>
      <c r="O283" t="s">
        <v>1181</v>
      </c>
      <c r="P283" t="s">
        <v>1077</v>
      </c>
      <c r="Q283">
        <v>604776739395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C283" t="str">
        <f t="shared" si="8"/>
        <v>223/</v>
      </c>
      <c r="AD283" t="e">
        <f t="shared" si="9"/>
        <v>#VALUE!</v>
      </c>
    </row>
    <row r="284" spans="1:30" ht="33" hidden="1" customHeight="1" x14ac:dyDescent="0.3">
      <c r="A284">
        <v>0</v>
      </c>
      <c r="B284" s="14" t="str">
        <f>'2026 Orders'!B283</f>
        <v>Kuwait</v>
      </c>
      <c r="C284" s="14" t="str">
        <f>'2026 Orders'!C283</f>
        <v>A4668</v>
      </c>
      <c r="D284" s="14">
        <v>0</v>
      </c>
      <c r="E284" s="17" t="str" cm="1">
        <f t="array" ref="E284">IF(C284=0,"",
HYPERLINK(
"#'2026 Orders'!C"&amp;
MATCH(1,
('2026 Orders'!C:C=C284)*
('2026 Orders'!G:G=G284)*
('2026 Orders'!N:N=N284),
0),
"Open "&amp;C284
))</f>
        <v>Open A4668</v>
      </c>
      <c r="F284" s="14" t="s">
        <v>800</v>
      </c>
      <c r="G284" s="14" t="str">
        <f>'2026 Orders'!G283</f>
        <v>OVAMAX-120-CS-KW</v>
      </c>
      <c r="H284" s="14" t="str">
        <f>'2026 Orders'!H283</f>
        <v>OVAMAX-120</v>
      </c>
      <c r="I284" s="15" t="str">
        <f>'2026 Orders'!I283</f>
        <v>KW</v>
      </c>
      <c r="J284" s="14">
        <f>'2026 Orders'!J283</f>
        <v>1977</v>
      </c>
      <c r="K284" t="s">
        <v>801</v>
      </c>
      <c r="L284">
        <v>0</v>
      </c>
      <c r="M284">
        <v>1977</v>
      </c>
      <c r="N284" s="10" t="str">
        <f>'2026 Orders'!N283</f>
        <v>PO submitted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C284" t="str">
        <f t="shared" si="8"/>
        <v>1977/</v>
      </c>
      <c r="AD284" t="e">
        <f t="shared" si="9"/>
        <v>#VALUE!</v>
      </c>
    </row>
    <row r="285" spans="1:30" ht="33" hidden="1" customHeight="1" x14ac:dyDescent="0.3">
      <c r="A285">
        <v>46181</v>
      </c>
      <c r="B285" s="14" t="str">
        <f>'2026 Orders'!B284</f>
        <v>Kuwait</v>
      </c>
      <c r="C285" s="14" t="str">
        <f>'2026 Orders'!C284</f>
        <v>A4668</v>
      </c>
      <c r="D285" s="14">
        <v>0</v>
      </c>
      <c r="E285" s="17" t="str" cm="1">
        <f t="array" ref="E285">IF(C285=0,"",
HYPERLINK(
"#'2026 Orders'!C"&amp;
MATCH(1,
('2026 Orders'!C:C=C285)*
('2026 Orders'!G:G=G285)*
('2026 Orders'!N:N=N285),
0),
"Open "&amp;C285
))</f>
        <v>Open A4668</v>
      </c>
      <c r="F285" s="14" t="s">
        <v>800</v>
      </c>
      <c r="G285" s="14" t="str">
        <f>'2026 Orders'!G284</f>
        <v>MOTILMX-60-CS-KW</v>
      </c>
      <c r="H285" s="14" t="str">
        <f>'2026 Orders'!H284</f>
        <v>MOTILMX-60</v>
      </c>
      <c r="I285" s="15" t="str">
        <f>'2026 Orders'!I284</f>
        <v>KW</v>
      </c>
      <c r="J285" s="14">
        <f>'2026 Orders'!J284</f>
        <v>2100</v>
      </c>
      <c r="K285" t="s">
        <v>802</v>
      </c>
      <c r="L285">
        <v>0</v>
      </c>
      <c r="M285">
        <v>2100</v>
      </c>
      <c r="N285" s="10" t="str">
        <f>'2026 Orders'!N284</f>
        <v>In Production</v>
      </c>
      <c r="O285">
        <v>0</v>
      </c>
      <c r="P285" t="s">
        <v>1077</v>
      </c>
      <c r="Q285">
        <v>604776736844</v>
      </c>
      <c r="R285">
        <v>7572</v>
      </c>
      <c r="S285">
        <v>5043</v>
      </c>
      <c r="T285">
        <v>46286</v>
      </c>
      <c r="U285" t="s">
        <v>1089</v>
      </c>
      <c r="V285">
        <v>0</v>
      </c>
      <c r="W285">
        <v>0</v>
      </c>
      <c r="X285">
        <v>0</v>
      </c>
      <c r="Y285">
        <v>0</v>
      </c>
      <c r="Z285" t="s">
        <v>1086</v>
      </c>
      <c r="AC285" t="str">
        <f t="shared" si="8"/>
        <v>2100/</v>
      </c>
      <c r="AD285" t="e">
        <f t="shared" si="9"/>
        <v>#VALUE!</v>
      </c>
    </row>
    <row r="286" spans="1:30" ht="33" hidden="1" customHeight="1" x14ac:dyDescent="0.3">
      <c r="A286">
        <v>46181</v>
      </c>
      <c r="B286" s="14" t="str">
        <f>'2026 Orders'!B285</f>
        <v>Kuwait</v>
      </c>
      <c r="C286" s="14" t="str">
        <f>'2026 Orders'!C285</f>
        <v>A4668</v>
      </c>
      <c r="D286" s="14">
        <v>0</v>
      </c>
      <c r="E286" s="17" t="str" cm="1">
        <f t="array" ref="E286">IF(C286=0,"",
HYPERLINK(
"#'2026 Orders'!C"&amp;
MATCH(1,
('2026 Orders'!C:C=C286)*
('2026 Orders'!G:G=G286)*
('2026 Orders'!N:N=N286),
0),
"Open "&amp;C286
))</f>
        <v>Open A4668</v>
      </c>
      <c r="F286" s="14" t="s">
        <v>803</v>
      </c>
      <c r="G286" s="14" t="str">
        <f>'2026 Orders'!G285</f>
        <v>COLLA-60-CS-KW</v>
      </c>
      <c r="H286" s="14" t="str">
        <f>'2026 Orders'!H285</f>
        <v>COLLA-60</v>
      </c>
      <c r="I286" s="15" t="str">
        <f>'2026 Orders'!I285</f>
        <v>KW</v>
      </c>
      <c r="J286" s="14">
        <f>'2026 Orders'!J285</f>
        <v>399</v>
      </c>
      <c r="K286" t="s">
        <v>804</v>
      </c>
      <c r="L286">
        <v>399</v>
      </c>
      <c r="M286">
        <v>0</v>
      </c>
      <c r="N286" s="10" t="str">
        <f>'2026 Orders'!N285</f>
        <v>Picked</v>
      </c>
      <c r="O286">
        <v>0</v>
      </c>
      <c r="P286" t="s">
        <v>1077</v>
      </c>
      <c r="Q286">
        <v>604776736776</v>
      </c>
      <c r="R286">
        <v>5000</v>
      </c>
      <c r="S286">
        <v>5095</v>
      </c>
      <c r="T286">
        <v>46286</v>
      </c>
      <c r="U286" t="s">
        <v>1089</v>
      </c>
      <c r="V286">
        <v>0</v>
      </c>
      <c r="W286">
        <v>0</v>
      </c>
      <c r="X286">
        <v>0</v>
      </c>
      <c r="Y286">
        <v>0</v>
      </c>
      <c r="Z286">
        <v>0</v>
      </c>
      <c r="AC286" t="str">
        <f t="shared" si="8"/>
        <v>399/</v>
      </c>
      <c r="AD286" t="e">
        <f t="shared" si="9"/>
        <v>#VALUE!</v>
      </c>
    </row>
    <row r="287" spans="1:30" ht="33" hidden="1" customHeight="1" x14ac:dyDescent="0.3">
      <c r="A287">
        <v>0</v>
      </c>
      <c r="B287" s="14" t="str">
        <f>'2026 Orders'!B286</f>
        <v>Kuwait</v>
      </c>
      <c r="C287" s="14" t="str">
        <f>'2026 Orders'!C286</f>
        <v>A4668</v>
      </c>
      <c r="D287" s="14">
        <v>0</v>
      </c>
      <c r="E287" s="17" t="str" cm="1">
        <f t="array" ref="E287">IF(C287=0,"",
HYPERLINK(
"#'2026 Orders'!C"&amp;
MATCH(1,
('2026 Orders'!C:C=C287)*
('2026 Orders'!G:G=G287)*
('2026 Orders'!N:N=N287),
0),
"Open "&amp;C287
))</f>
        <v>Open A4668</v>
      </c>
      <c r="F287" s="14" t="s">
        <v>805</v>
      </c>
      <c r="G287" s="14" t="str">
        <f>'2026 Orders'!G286</f>
        <v>COLLA-60-CS-KW</v>
      </c>
      <c r="H287" s="14" t="str">
        <f>'2026 Orders'!H286</f>
        <v>COLLA-60</v>
      </c>
      <c r="I287" s="15" t="str">
        <f>'2026 Orders'!I286</f>
        <v>KW</v>
      </c>
      <c r="J287" s="14">
        <f>'2026 Orders'!J286</f>
        <v>301</v>
      </c>
      <c r="K287" t="s">
        <v>804</v>
      </c>
      <c r="L287">
        <v>301</v>
      </c>
      <c r="M287">
        <v>0</v>
      </c>
      <c r="N287" s="10" t="str">
        <f>'2026 Orders'!N286</f>
        <v>Picked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C287" t="str">
        <f t="shared" si="8"/>
        <v>301/</v>
      </c>
      <c r="AD287" t="e">
        <f t="shared" si="9"/>
        <v>#VALUE!</v>
      </c>
    </row>
    <row r="288" spans="1:30" ht="33" hidden="1" customHeight="1" x14ac:dyDescent="0.3">
      <c r="A288">
        <v>46182</v>
      </c>
      <c r="B288" s="14" t="str">
        <f>'2026 Orders'!B287</f>
        <v>Kuwait</v>
      </c>
      <c r="C288" s="14" t="str">
        <f>'2026 Orders'!C287</f>
        <v>A4668</v>
      </c>
      <c r="D288" s="14">
        <v>0</v>
      </c>
      <c r="E288" s="17" t="str" cm="1">
        <f t="array" ref="E288">IF(C288=0,"",
HYPERLINK(
"#'2026 Orders'!C"&amp;
MATCH(1,
('2026 Orders'!C:C=C288)*
('2026 Orders'!G:G=G288)*
('2026 Orders'!N:N=N288),
0),
"Open "&amp;C288
))</f>
        <v>Open A4668</v>
      </c>
      <c r="F288" s="14">
        <v>0</v>
      </c>
      <c r="G288" s="14" t="str">
        <f>'2026 Orders'!G287</f>
        <v>DHEA50-60-CS-KW</v>
      </c>
      <c r="H288" s="14" t="str">
        <f>'2026 Orders'!H287</f>
        <v>DHEA50-60</v>
      </c>
      <c r="I288" s="15" t="str">
        <f>'2026 Orders'!I287</f>
        <v>KW</v>
      </c>
      <c r="J288" s="14">
        <f>'2026 Orders'!J287</f>
        <v>1000</v>
      </c>
      <c r="K288" t="s">
        <v>806</v>
      </c>
      <c r="L288">
        <v>0</v>
      </c>
      <c r="M288">
        <v>1000</v>
      </c>
      <c r="N288" s="10" t="str">
        <f>'2026 Orders'!N287</f>
        <v>In Production</v>
      </c>
      <c r="O288">
        <v>0</v>
      </c>
      <c r="P288" t="s">
        <v>1077</v>
      </c>
      <c r="Q288">
        <v>609788968344</v>
      </c>
      <c r="R288">
        <v>9524</v>
      </c>
      <c r="S288">
        <v>5109</v>
      </c>
      <c r="T288">
        <v>46286</v>
      </c>
      <c r="U288" t="s">
        <v>1089</v>
      </c>
      <c r="V288">
        <v>0</v>
      </c>
      <c r="W288">
        <v>0</v>
      </c>
      <c r="X288">
        <v>0</v>
      </c>
      <c r="Y288">
        <v>0</v>
      </c>
      <c r="Z288" t="s">
        <v>1086</v>
      </c>
      <c r="AC288" t="str">
        <f t="shared" si="8"/>
        <v>1000/</v>
      </c>
      <c r="AD288" t="e">
        <f t="shared" si="9"/>
        <v>#VALUE!</v>
      </c>
    </row>
    <row r="289" spans="1:30" ht="33" hidden="1" customHeight="1" x14ac:dyDescent="0.3">
      <c r="A289">
        <v>46182</v>
      </c>
      <c r="B289" s="14" t="str">
        <f>'2026 Orders'!B288</f>
        <v>Kuwait</v>
      </c>
      <c r="C289" s="14" t="str">
        <f>'2026 Orders'!C288</f>
        <v>A4668</v>
      </c>
      <c r="D289" s="14">
        <v>0</v>
      </c>
      <c r="E289" s="17" t="str" cm="1">
        <f t="array" ref="E289">IF(C289=0,"",
HYPERLINK(
"#'2026 Orders'!C"&amp;
MATCH(1,
('2026 Orders'!C:C=C289)*
('2026 Orders'!G:G=G289)*
('2026 Orders'!N:N=N289),
0),
"Open "&amp;C289
))</f>
        <v>Open A4668</v>
      </c>
      <c r="F289" s="14" t="s">
        <v>807</v>
      </c>
      <c r="G289" s="14" t="str">
        <f>'2026 Orders'!G288</f>
        <v>OMEGA3-60-FD</v>
      </c>
      <c r="H289" s="14" t="str">
        <f>'2026 Orders'!H288</f>
        <v>OMEGA3-60</v>
      </c>
      <c r="I289" s="15" t="str">
        <f>'2026 Orders'!I288</f>
        <v>FD</v>
      </c>
      <c r="J289" s="14">
        <f>'2026 Orders'!J288</f>
        <v>1500</v>
      </c>
      <c r="K289" t="s">
        <v>808</v>
      </c>
      <c r="L289">
        <v>0</v>
      </c>
      <c r="M289">
        <v>1000</v>
      </c>
      <c r="N289" s="10" t="str">
        <f>'2026 Orders'!N288</f>
        <v>PO submitted</v>
      </c>
      <c r="O289">
        <v>0</v>
      </c>
      <c r="P289" t="s">
        <v>1077</v>
      </c>
      <c r="Q289">
        <v>609788968351</v>
      </c>
      <c r="R289">
        <v>7572</v>
      </c>
      <c r="S289">
        <v>5043</v>
      </c>
      <c r="T289">
        <v>46286</v>
      </c>
      <c r="U289" t="s">
        <v>1089</v>
      </c>
      <c r="V289">
        <v>0</v>
      </c>
      <c r="W289">
        <v>0</v>
      </c>
      <c r="X289">
        <v>0</v>
      </c>
      <c r="Y289">
        <v>0</v>
      </c>
      <c r="Z289">
        <v>0</v>
      </c>
      <c r="AC289" t="str">
        <f t="shared" si="8"/>
        <v>1500/</v>
      </c>
      <c r="AD289" t="e">
        <f t="shared" si="9"/>
        <v>#VALUE!</v>
      </c>
    </row>
    <row r="290" spans="1:30" ht="33" hidden="1" customHeight="1" x14ac:dyDescent="0.3">
      <c r="A290">
        <v>46182</v>
      </c>
      <c r="B290" s="14" t="str">
        <f>'2026 Orders'!B289</f>
        <v>Kuwait</v>
      </c>
      <c r="C290" s="14" t="str">
        <f>'2026 Orders'!C289</f>
        <v>A4668</v>
      </c>
      <c r="D290" s="14">
        <v>0</v>
      </c>
      <c r="E290" s="17" t="str" cm="1">
        <f t="array" ref="E290">IF(C290=0,"",
HYPERLINK(
"#'2026 Orders'!C"&amp;
MATCH(1,
('2026 Orders'!C:C=C290)*
('2026 Orders'!G:G=G290)*
('2026 Orders'!N:N=N290),
0),
"Open "&amp;C290
))</f>
        <v>Open A4668</v>
      </c>
      <c r="F290" s="14" t="s">
        <v>809</v>
      </c>
      <c r="G290" s="14" t="str">
        <f>'2026 Orders'!G289</f>
        <v>OME369-90-FD</v>
      </c>
      <c r="H290" s="14" t="str">
        <f>'2026 Orders'!H289</f>
        <v>OME369-90</v>
      </c>
      <c r="I290" s="15" t="str">
        <f>'2026 Orders'!I289</f>
        <v>FD</v>
      </c>
      <c r="J290" s="14">
        <f>'2026 Orders'!J289</f>
        <v>300</v>
      </c>
      <c r="K290" t="s">
        <v>702</v>
      </c>
      <c r="L290">
        <v>300</v>
      </c>
      <c r="M290">
        <v>0</v>
      </c>
      <c r="N290" s="10" t="str">
        <f>'2026 Orders'!N289</f>
        <v>Picked</v>
      </c>
      <c r="O290">
        <v>0</v>
      </c>
      <c r="P290" t="s">
        <v>1077</v>
      </c>
      <c r="Q290">
        <v>609788968375</v>
      </c>
      <c r="R290">
        <v>5000</v>
      </c>
      <c r="S290">
        <v>5060</v>
      </c>
      <c r="T290" t="s">
        <v>1094</v>
      </c>
      <c r="U290" t="s">
        <v>1095</v>
      </c>
      <c r="V290">
        <v>0</v>
      </c>
      <c r="W290">
        <v>0</v>
      </c>
      <c r="X290">
        <v>0</v>
      </c>
      <c r="Y290">
        <v>0</v>
      </c>
      <c r="Z290">
        <v>0</v>
      </c>
      <c r="AC290" t="str">
        <f t="shared" si="8"/>
        <v>300/</v>
      </c>
      <c r="AD290" t="e">
        <f t="shared" si="9"/>
        <v>#VALUE!</v>
      </c>
    </row>
    <row r="291" spans="1:30" ht="33" hidden="1" customHeight="1" x14ac:dyDescent="0.3">
      <c r="A291">
        <v>46182</v>
      </c>
      <c r="B291" s="14" t="str">
        <f>'2026 Orders'!B290</f>
        <v xml:space="preserve">Kuwait </v>
      </c>
      <c r="C291" s="14" t="str">
        <f>'2026 Orders'!C290</f>
        <v>A4668</v>
      </c>
      <c r="D291" s="14">
        <v>0</v>
      </c>
      <c r="E291" s="17" t="str" cm="1">
        <f t="array" ref="E291">IF(C291=0,"",
HYPERLINK(
"#'2026 Orders'!C"&amp;
MATCH(1,
('2026 Orders'!C:C=C291)*
('2026 Orders'!G:G=G291)*
('2026 Orders'!N:N=N291),
0),
"Open "&amp;C291
))</f>
        <v>Open A4668</v>
      </c>
      <c r="F291" s="14" t="s">
        <v>811</v>
      </c>
      <c r="G291" s="14" t="str">
        <f>'2026 Orders'!G290</f>
        <v>OSTEOPL-96-CS-KW</v>
      </c>
      <c r="H291" s="14" t="str">
        <f>'2026 Orders'!H290</f>
        <v>OSTEOPL-96</v>
      </c>
      <c r="I291" s="15" t="str">
        <f>'2026 Orders'!I290</f>
        <v>KW</v>
      </c>
      <c r="J291" s="14">
        <f>'2026 Orders'!J290</f>
        <v>500</v>
      </c>
      <c r="K291" t="s">
        <v>812</v>
      </c>
      <c r="L291">
        <v>500</v>
      </c>
      <c r="M291">
        <v>0</v>
      </c>
      <c r="N291" s="10" t="str">
        <f>'2026 Orders'!N290</f>
        <v>Rework</v>
      </c>
      <c r="O291">
        <v>0</v>
      </c>
      <c r="P291" t="s">
        <v>1077</v>
      </c>
      <c r="Q291">
        <v>609788968221</v>
      </c>
      <c r="R291">
        <v>7000</v>
      </c>
      <c r="S291">
        <v>5119</v>
      </c>
      <c r="T291" t="s">
        <v>1108</v>
      </c>
      <c r="U291" t="s">
        <v>1182</v>
      </c>
      <c r="V291">
        <v>0</v>
      </c>
      <c r="W291">
        <v>0</v>
      </c>
      <c r="X291">
        <v>0</v>
      </c>
      <c r="Y291">
        <v>0</v>
      </c>
      <c r="Z291">
        <v>0</v>
      </c>
      <c r="AC291" t="str">
        <f t="shared" si="8"/>
        <v>500/</v>
      </c>
      <c r="AD291" t="e">
        <f t="shared" si="9"/>
        <v>#VALUE!</v>
      </c>
    </row>
    <row r="292" spans="1:30" ht="33" hidden="1" customHeight="1" x14ac:dyDescent="0.3">
      <c r="A292">
        <v>46182</v>
      </c>
      <c r="B292" s="14">
        <f>'2026 Orders'!B291</f>
        <v>0</v>
      </c>
      <c r="C292" s="14">
        <f>'2026 Orders'!C291</f>
        <v>0</v>
      </c>
      <c r="D292" s="14">
        <v>0</v>
      </c>
      <c r="E292" s="17" t="str" cm="1">
        <f t="array" ref="E292">IF(C292=0,"",
HYPERLINK(
"#'2026 Orders'!C"&amp;
MATCH(1,
('2026 Orders'!C:C=C292)*
('2026 Orders'!G:G=G292)*
('2026 Orders'!N:N=N292),
0),
"Open "&amp;C292
))</f>
        <v/>
      </c>
      <c r="F292" s="14">
        <v>0</v>
      </c>
      <c r="G292" s="14">
        <f>'2026 Orders'!G291</f>
        <v>0</v>
      </c>
      <c r="H292" s="14">
        <f>'2026 Orders'!H291</f>
        <v>0</v>
      </c>
      <c r="I292" s="15" t="str">
        <f>'2026 Orders'!I291</f>
        <v/>
      </c>
      <c r="J292" s="14">
        <f>'2026 Orders'!J291</f>
        <v>0</v>
      </c>
      <c r="K292">
        <v>0</v>
      </c>
      <c r="L292">
        <v>0</v>
      </c>
      <c r="M292">
        <v>0</v>
      </c>
      <c r="N292" s="10">
        <f>'2026 Orders'!N291</f>
        <v>0</v>
      </c>
      <c r="O292">
        <v>0</v>
      </c>
      <c r="P292" t="s">
        <v>1077</v>
      </c>
      <c r="Q292">
        <v>609788968399</v>
      </c>
      <c r="R292">
        <v>7419</v>
      </c>
      <c r="S292">
        <v>5107</v>
      </c>
      <c r="T292">
        <v>46286</v>
      </c>
      <c r="U292" t="s">
        <v>1089</v>
      </c>
      <c r="V292">
        <v>0</v>
      </c>
      <c r="W292">
        <v>0</v>
      </c>
      <c r="X292">
        <v>0</v>
      </c>
      <c r="Y292">
        <v>0</v>
      </c>
      <c r="Z292">
        <v>0</v>
      </c>
      <c r="AC292" t="str">
        <f t="shared" si="8"/>
        <v/>
      </c>
      <c r="AD292" t="str">
        <f t="shared" si="9"/>
        <v/>
      </c>
    </row>
    <row r="293" spans="1:30" ht="33" hidden="1" customHeight="1" x14ac:dyDescent="0.3">
      <c r="A293">
        <v>46182</v>
      </c>
      <c r="B293" s="14" t="str">
        <f>'2026 Orders'!B292</f>
        <v>Greece</v>
      </c>
      <c r="C293" s="14" t="str">
        <f>'2026 Orders'!C292</f>
        <v>A4672</v>
      </c>
      <c r="D293" s="14">
        <v>0</v>
      </c>
      <c r="E293" s="17" t="str" cm="1">
        <f t="array" ref="E293">IF(C293=0,"",
HYPERLINK(
"#'2026 Orders'!C"&amp;
MATCH(1,
('2026 Orders'!C:C=C293)*
('2026 Orders'!G:G=G293)*
('2026 Orders'!N:N=N293),
0),
"Open "&amp;C293
))</f>
        <v>Open A4672</v>
      </c>
      <c r="F293" s="14">
        <v>0</v>
      </c>
      <c r="G293" s="14" t="str">
        <f>'2026 Orders'!G292</f>
        <v>OVAMAX-120-CS-GR</v>
      </c>
      <c r="H293" s="14" t="str">
        <f>'2026 Orders'!H292</f>
        <v>OVAMAX-120</v>
      </c>
      <c r="I293" s="15" t="str">
        <f>'2026 Orders'!I292</f>
        <v>GR</v>
      </c>
      <c r="J293" s="14">
        <f>'2026 Orders'!J292</f>
        <v>552</v>
      </c>
      <c r="K293" t="s">
        <v>817</v>
      </c>
      <c r="L293">
        <v>552</v>
      </c>
      <c r="M293">
        <v>0</v>
      </c>
      <c r="N293" s="10" t="str">
        <f>'2026 Orders'!N292</f>
        <v>D/W Sent</v>
      </c>
      <c r="O293">
        <v>0</v>
      </c>
      <c r="P293" t="s">
        <v>1085</v>
      </c>
      <c r="Q293" t="s">
        <v>1167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C293" t="str">
        <f t="shared" si="8"/>
        <v>552/</v>
      </c>
      <c r="AD293" t="e">
        <f t="shared" si="9"/>
        <v>#VALUE!</v>
      </c>
    </row>
    <row r="294" spans="1:30" ht="33" hidden="1" customHeight="1" x14ac:dyDescent="0.3">
      <c r="A294">
        <v>46182</v>
      </c>
      <c r="B294" s="14" t="str">
        <f>'2026 Orders'!B293</f>
        <v>Greece</v>
      </c>
      <c r="C294" s="14" t="str">
        <f>'2026 Orders'!C293</f>
        <v>A4672</v>
      </c>
      <c r="D294" s="14">
        <v>0</v>
      </c>
      <c r="E294" s="17" t="str" cm="1">
        <f t="array" ref="E294">IF(C294=0,"",
HYPERLINK(
"#'2026 Orders'!C"&amp;
MATCH(1,
('2026 Orders'!C:C=C294)*
('2026 Orders'!G:G=G294)*
('2026 Orders'!N:N=N294),
0),
"Open "&amp;C294
))</f>
        <v>Open A4672</v>
      </c>
      <c r="F294" s="14">
        <v>0</v>
      </c>
      <c r="G294" s="14" t="str">
        <f>'2026 Orders'!G293</f>
        <v>METRIO-60-CS-GR</v>
      </c>
      <c r="H294" s="14" t="str">
        <f>'2026 Orders'!H293</f>
        <v>METRIO-60</v>
      </c>
      <c r="I294" s="15" t="str">
        <f>'2026 Orders'!I293</f>
        <v>GR</v>
      </c>
      <c r="J294" s="14">
        <f>'2026 Orders'!J293</f>
        <v>144</v>
      </c>
      <c r="K294" t="s">
        <v>819</v>
      </c>
      <c r="L294">
        <v>144</v>
      </c>
      <c r="M294">
        <v>0</v>
      </c>
      <c r="N294" s="10" t="str">
        <f>'2026 Orders'!N293</f>
        <v>D/W Sent</v>
      </c>
      <c r="O294" t="s">
        <v>1183</v>
      </c>
      <c r="P294" t="s">
        <v>1085</v>
      </c>
      <c r="Q294">
        <v>604776736875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C294" t="str">
        <f t="shared" si="8"/>
        <v>144/</v>
      </c>
      <c r="AD294" t="e">
        <f t="shared" si="9"/>
        <v>#VALUE!</v>
      </c>
    </row>
    <row r="295" spans="1:30" ht="33" hidden="1" customHeight="1" x14ac:dyDescent="0.3">
      <c r="A295">
        <v>46182</v>
      </c>
      <c r="B295" s="14" t="str">
        <f>'2026 Orders'!B294</f>
        <v>Greece</v>
      </c>
      <c r="C295" s="14" t="str">
        <f>'2026 Orders'!C294</f>
        <v>A4672</v>
      </c>
      <c r="D295" s="14">
        <v>0</v>
      </c>
      <c r="E295" s="17" t="str" cm="1">
        <f t="array" ref="E295">IF(C295=0,"",
HYPERLINK(
"#'2026 Orders'!C"&amp;
MATCH(1,
('2026 Orders'!C:C=C295)*
('2026 Orders'!G:G=G295)*
('2026 Orders'!N:N=N295),
0),
"Open "&amp;C295
))</f>
        <v>Open A4672</v>
      </c>
      <c r="F295" s="14">
        <v>0</v>
      </c>
      <c r="G295" s="14" t="str">
        <f>'2026 Orders'!G294</f>
        <v>PEARLY-60-CS-GR</v>
      </c>
      <c r="H295" s="14" t="str">
        <f>'2026 Orders'!H294</f>
        <v>PEARLY-60</v>
      </c>
      <c r="I295" s="15" t="str">
        <f>'2026 Orders'!I294</f>
        <v>GR</v>
      </c>
      <c r="J295" s="14">
        <f>'2026 Orders'!J294</f>
        <v>72</v>
      </c>
      <c r="K295" t="s">
        <v>821</v>
      </c>
      <c r="L295">
        <v>72</v>
      </c>
      <c r="M295">
        <v>0</v>
      </c>
      <c r="N295" s="10" t="str">
        <f>'2026 Orders'!N294</f>
        <v>D/W Sent</v>
      </c>
      <c r="O295">
        <v>0</v>
      </c>
      <c r="P295" t="s">
        <v>1077</v>
      </c>
      <c r="Q295">
        <v>609788968467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C295" t="str">
        <f t="shared" si="8"/>
        <v>72/</v>
      </c>
      <c r="AD295" t="e">
        <f t="shared" si="9"/>
        <v>#VALUE!</v>
      </c>
    </row>
    <row r="296" spans="1:30" ht="33" hidden="1" customHeight="1" x14ac:dyDescent="0.3">
      <c r="A296">
        <v>46182</v>
      </c>
      <c r="B296" s="14" t="str">
        <f>'2026 Orders'!B295</f>
        <v>Greece</v>
      </c>
      <c r="C296" s="14" t="str">
        <f>'2026 Orders'!C295</f>
        <v>A4672</v>
      </c>
      <c r="D296" s="14">
        <v>0</v>
      </c>
      <c r="E296" s="17" t="str" cm="1">
        <f t="array" ref="E296">IF(C296=0,"",
HYPERLINK(
"#'2026 Orders'!C"&amp;
MATCH(1,
('2026 Orders'!C:C=C296)*
('2026 Orders'!G:G=G296)*
('2026 Orders'!N:N=N296),
0),
"Open "&amp;C296
))</f>
        <v>Open A4672</v>
      </c>
      <c r="F296" s="14">
        <v>0</v>
      </c>
      <c r="G296" s="14" t="str">
        <f>'2026 Orders'!G295</f>
        <v>PEDIAMU-50-FD</v>
      </c>
      <c r="H296" s="14" t="str">
        <f>'2026 Orders'!H295</f>
        <v>PEDIAMU-50</v>
      </c>
      <c r="I296" s="15" t="str">
        <f>'2026 Orders'!I295</f>
        <v>FD</v>
      </c>
      <c r="J296" s="14">
        <f>'2026 Orders'!J295</f>
        <v>48</v>
      </c>
      <c r="K296" t="s">
        <v>823</v>
      </c>
      <c r="L296">
        <v>48</v>
      </c>
      <c r="M296">
        <v>0</v>
      </c>
      <c r="N296" s="10" t="str">
        <f>'2026 Orders'!N295</f>
        <v>D/W Sent</v>
      </c>
      <c r="O296">
        <v>0</v>
      </c>
      <c r="P296" t="s">
        <v>1077</v>
      </c>
      <c r="Q296">
        <v>609788968467</v>
      </c>
      <c r="R296">
        <v>5000</v>
      </c>
      <c r="S296">
        <v>5118</v>
      </c>
      <c r="T296">
        <v>46286</v>
      </c>
      <c r="U296" t="s">
        <v>1089</v>
      </c>
      <c r="V296">
        <v>0</v>
      </c>
      <c r="W296">
        <v>0</v>
      </c>
      <c r="X296">
        <v>0</v>
      </c>
      <c r="Y296">
        <v>0</v>
      </c>
      <c r="Z296">
        <v>0</v>
      </c>
      <c r="AC296" t="str">
        <f t="shared" si="8"/>
        <v>48/</v>
      </c>
      <c r="AD296" t="e">
        <f t="shared" si="9"/>
        <v>#VALUE!</v>
      </c>
    </row>
    <row r="297" spans="1:30" ht="33" hidden="1" customHeight="1" x14ac:dyDescent="0.3">
      <c r="A297">
        <v>0</v>
      </c>
      <c r="B297" s="14">
        <f>'2026 Orders'!B296</f>
        <v>0</v>
      </c>
      <c r="C297" s="14">
        <f>'2026 Orders'!C296</f>
        <v>0</v>
      </c>
      <c r="D297" s="14">
        <v>0</v>
      </c>
      <c r="E297" s="17" t="str" cm="1">
        <f t="array" ref="E297">IF(C297=0,"",
HYPERLINK(
"#'2026 Orders'!C"&amp;
MATCH(1,
('2026 Orders'!C:C=C297)*
('2026 Orders'!G:G=G297)*
('2026 Orders'!N:N=N297),
0),
"Open "&amp;C297
))</f>
        <v/>
      </c>
      <c r="F297" s="14">
        <v>0</v>
      </c>
      <c r="G297" s="14">
        <f>'2026 Orders'!G296</f>
        <v>0</v>
      </c>
      <c r="H297" s="14">
        <f>'2026 Orders'!H296</f>
        <v>0</v>
      </c>
      <c r="I297" s="15" t="str">
        <f>'2026 Orders'!I296</f>
        <v/>
      </c>
      <c r="J297" s="14">
        <f>'2026 Orders'!J296</f>
        <v>0</v>
      </c>
      <c r="K297">
        <v>0</v>
      </c>
      <c r="L297">
        <v>0</v>
      </c>
      <c r="M297">
        <v>0</v>
      </c>
      <c r="N297" s="10">
        <f>'2026 Orders'!N296</f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C297" t="str">
        <f t="shared" si="8"/>
        <v/>
      </c>
      <c r="AD297" t="str">
        <f t="shared" si="9"/>
        <v/>
      </c>
    </row>
    <row r="298" spans="1:30" ht="33" hidden="1" customHeight="1" x14ac:dyDescent="0.3">
      <c r="A298">
        <v>46183</v>
      </c>
      <c r="B298" s="14" t="str">
        <f>'2026 Orders'!B297</f>
        <v>Greece</v>
      </c>
      <c r="C298" s="14" t="str">
        <f>'2026 Orders'!C297</f>
        <v>A4673</v>
      </c>
      <c r="D298" s="14">
        <v>0</v>
      </c>
      <c r="E298" s="17" t="str" cm="1">
        <f t="array" ref="E298">IF(C298=0,"",
HYPERLINK(
"#'2026 Orders'!C"&amp;
MATCH(1,
('2026 Orders'!C:C=C298)*
('2026 Orders'!G:G=G298)*
('2026 Orders'!N:N=N298),
0),
"Open "&amp;C298
))</f>
        <v>Open A4673</v>
      </c>
      <c r="F298" s="14">
        <v>0</v>
      </c>
      <c r="G298" s="14" t="str">
        <f>'2026 Orders'!G297</f>
        <v>FIBRO-60-CS-GR</v>
      </c>
      <c r="H298" s="14" t="str">
        <f>'2026 Orders'!H297</f>
        <v>FIBRO-60</v>
      </c>
      <c r="I298" s="15" t="str">
        <f>'2026 Orders'!I297</f>
        <v>GR</v>
      </c>
      <c r="J298" s="14">
        <f>'2026 Orders'!J297</f>
        <v>48</v>
      </c>
      <c r="K298" t="s">
        <v>827</v>
      </c>
      <c r="L298">
        <v>48</v>
      </c>
      <c r="M298">
        <v>0</v>
      </c>
      <c r="N298" s="10" t="str">
        <f>'2026 Orders'!N297</f>
        <v>D/W Sent</v>
      </c>
      <c r="O298">
        <v>46232</v>
      </c>
      <c r="P298" t="s">
        <v>1077</v>
      </c>
      <c r="Q298">
        <v>810131195212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 t="s">
        <v>1086</v>
      </c>
      <c r="AC298" t="str">
        <f t="shared" si="8"/>
        <v>48/</v>
      </c>
      <c r="AD298" t="e">
        <f t="shared" si="9"/>
        <v>#VALUE!</v>
      </c>
    </row>
    <row r="299" spans="1:30" ht="33" hidden="1" customHeight="1" x14ac:dyDescent="0.3">
      <c r="A299">
        <v>46183</v>
      </c>
      <c r="B299" s="14" t="str">
        <f>'2026 Orders'!B298</f>
        <v>Greece</v>
      </c>
      <c r="C299" s="14" t="str">
        <f>'2026 Orders'!C298</f>
        <v>A4673</v>
      </c>
      <c r="D299" s="14">
        <v>0</v>
      </c>
      <c r="E299" s="17" t="str" cm="1">
        <f t="array" ref="E299">IF(C299=0,"",
HYPERLINK(
"#'2026 Orders'!C"&amp;
MATCH(1,
('2026 Orders'!C:C=C299)*
('2026 Orders'!G:G=G299)*
('2026 Orders'!N:N=N299),
0),
"Open "&amp;C299
))</f>
        <v>Open A4673</v>
      </c>
      <c r="F299" s="14">
        <v>0</v>
      </c>
      <c r="G299" s="14" t="str">
        <f>'2026 Orders'!G298</f>
        <v>XTRAD10-60-CS-GR</v>
      </c>
      <c r="H299" s="14" t="str">
        <f>'2026 Orders'!H298</f>
        <v>XTRAD10-60</v>
      </c>
      <c r="I299" s="15" t="str">
        <f>'2026 Orders'!I298</f>
        <v>GR</v>
      </c>
      <c r="J299" s="14">
        <f>'2026 Orders'!J298</f>
        <v>96</v>
      </c>
      <c r="K299" t="s">
        <v>829</v>
      </c>
      <c r="L299">
        <v>96</v>
      </c>
      <c r="M299">
        <v>0</v>
      </c>
      <c r="N299" s="10" t="str">
        <f>'2026 Orders'!N298</f>
        <v>D/W Sent</v>
      </c>
      <c r="O299">
        <v>0</v>
      </c>
      <c r="P299" t="s">
        <v>1077</v>
      </c>
      <c r="Q299">
        <v>810131195182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C299" t="str">
        <f t="shared" si="8"/>
        <v>96/</v>
      </c>
      <c r="AD299" t="e">
        <f t="shared" si="9"/>
        <v>#VALUE!</v>
      </c>
    </row>
    <row r="300" spans="1:30" ht="33" hidden="1" customHeight="1" x14ac:dyDescent="0.3">
      <c r="A300">
        <v>46183</v>
      </c>
      <c r="B300" s="14" t="str">
        <f>'2026 Orders'!B299</f>
        <v>Greece</v>
      </c>
      <c r="C300" s="14" t="str">
        <f>'2026 Orders'!C299</f>
        <v>A4673</v>
      </c>
      <c r="D300" s="14">
        <v>0</v>
      </c>
      <c r="E300" s="17" t="str" cm="1">
        <f t="array" ref="E300">IF(C300=0,"",
HYPERLINK(
"#'2026 Orders'!C"&amp;
MATCH(1,
('2026 Orders'!C:C=C300)*
('2026 Orders'!G:G=G300)*
('2026 Orders'!N:N=N300),
0),
"Open "&amp;C300
))</f>
        <v>Open A4673</v>
      </c>
      <c r="F300" s="14">
        <v>0</v>
      </c>
      <c r="G300" s="14" t="str">
        <f>'2026 Orders'!G299</f>
        <v>PENAMAX-60-GE-CS-GR</v>
      </c>
      <c r="H300" s="14" t="str">
        <f>'2026 Orders'!H299</f>
        <v>PENAMAX-60</v>
      </c>
      <c r="I300" s="15" t="str">
        <f>'2026 Orders'!I299</f>
        <v>GR</v>
      </c>
      <c r="J300" s="14">
        <f>'2026 Orders'!J299</f>
        <v>228</v>
      </c>
      <c r="K300" t="s">
        <v>831</v>
      </c>
      <c r="L300">
        <v>228</v>
      </c>
      <c r="M300">
        <v>0</v>
      </c>
      <c r="N300" s="10" t="str">
        <f>'2026 Orders'!N299</f>
        <v>D/W Sent</v>
      </c>
      <c r="O300">
        <v>0</v>
      </c>
      <c r="P300" t="s">
        <v>1077</v>
      </c>
      <c r="Q300">
        <v>810131195175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C300" t="str">
        <f t="shared" si="8"/>
        <v>228/</v>
      </c>
      <c r="AD300" t="e">
        <f t="shared" si="9"/>
        <v>#VALUE!</v>
      </c>
    </row>
    <row r="301" spans="1:30" ht="33" hidden="1" customHeight="1" x14ac:dyDescent="0.3">
      <c r="A301">
        <v>46183</v>
      </c>
      <c r="B301" s="14">
        <f>'2026 Orders'!B300</f>
        <v>0</v>
      </c>
      <c r="C301" s="14">
        <f>'2026 Orders'!C300</f>
        <v>0</v>
      </c>
      <c r="D301" s="14">
        <v>0</v>
      </c>
      <c r="E301" s="17" t="str" cm="1">
        <f t="array" ref="E301">IF(C301=0,"",
HYPERLINK(
"#'2026 Orders'!C"&amp;
MATCH(1,
('2026 Orders'!C:C=C301)*
('2026 Orders'!G:G=G301)*
('2026 Orders'!N:N=N301),
0),
"Open "&amp;C301
))</f>
        <v/>
      </c>
      <c r="F301" s="14">
        <v>0</v>
      </c>
      <c r="G301" s="14">
        <f>'2026 Orders'!G300</f>
        <v>0</v>
      </c>
      <c r="H301" s="14">
        <f>'2026 Orders'!H300</f>
        <v>0</v>
      </c>
      <c r="I301" s="15" t="str">
        <f>'2026 Orders'!I300</f>
        <v/>
      </c>
      <c r="J301" s="14">
        <f>'2026 Orders'!J300</f>
        <v>0</v>
      </c>
      <c r="K301">
        <v>0</v>
      </c>
      <c r="L301">
        <v>0</v>
      </c>
      <c r="M301">
        <v>0</v>
      </c>
      <c r="N301" s="10">
        <f>'2026 Orders'!N300</f>
        <v>0</v>
      </c>
      <c r="O301">
        <v>0</v>
      </c>
      <c r="P301" t="s">
        <v>1077</v>
      </c>
      <c r="Q301">
        <v>810131195243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C301" t="str">
        <f t="shared" si="8"/>
        <v/>
      </c>
      <c r="AD301" t="str">
        <f t="shared" si="9"/>
        <v/>
      </c>
    </row>
    <row r="302" spans="1:30" ht="33" hidden="1" customHeight="1" x14ac:dyDescent="0.3">
      <c r="A302">
        <v>46183</v>
      </c>
      <c r="B302" s="14" t="str">
        <f>'2026 Orders'!B301</f>
        <v>Greece</v>
      </c>
      <c r="C302" s="14" t="str">
        <f>'2026 Orders'!C301</f>
        <v>A4674</v>
      </c>
      <c r="D302" s="14">
        <v>0</v>
      </c>
      <c r="E302" s="17" t="str" cm="1">
        <f t="array" ref="E302">IF(C302=0,"",
HYPERLINK(
"#'2026 Orders'!C"&amp;
MATCH(1,
('2026 Orders'!C:C=C302)*
('2026 Orders'!G:G=G302)*
('2026 Orders'!N:N=N302),
0),
"Open "&amp;C302
))</f>
        <v>Open A4674</v>
      </c>
      <c r="F302" s="14" t="s">
        <v>834</v>
      </c>
      <c r="G302" s="14" t="str">
        <f>'2026 Orders'!G301</f>
        <v>MFSADV-120-CS-GR</v>
      </c>
      <c r="H302" s="14" t="str">
        <f>'2026 Orders'!H301</f>
        <v>MFSADV-120</v>
      </c>
      <c r="I302" s="15" t="str">
        <f>'2026 Orders'!I301</f>
        <v>GR</v>
      </c>
      <c r="J302" s="14">
        <f>'2026 Orders'!J301</f>
        <v>600</v>
      </c>
      <c r="K302" t="s">
        <v>506</v>
      </c>
      <c r="L302">
        <v>600</v>
      </c>
      <c r="M302">
        <v>0</v>
      </c>
      <c r="N302" s="10" t="str">
        <f>'2026 Orders'!N301</f>
        <v>D/W Sent</v>
      </c>
      <c r="O302">
        <v>0</v>
      </c>
      <c r="P302" t="s">
        <v>1077</v>
      </c>
      <c r="Q302">
        <v>810131195229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C302" t="str">
        <f t="shared" si="8"/>
        <v>600/</v>
      </c>
      <c r="AD302" t="e">
        <f t="shared" si="9"/>
        <v>#VALUE!</v>
      </c>
    </row>
    <row r="303" spans="1:30" ht="33" hidden="1" customHeight="1" x14ac:dyDescent="0.3">
      <c r="A303">
        <v>46183</v>
      </c>
      <c r="B303" s="14" t="str">
        <f>'2026 Orders'!B302</f>
        <v>Greece</v>
      </c>
      <c r="C303" s="14" t="str">
        <f>'2026 Orders'!C302</f>
        <v>A4674</v>
      </c>
      <c r="D303" s="14">
        <v>0</v>
      </c>
      <c r="E303" s="17" t="str" cm="1">
        <f t="array" ref="E303">IF(C303=0,"",
HYPERLINK(
"#'2026 Orders'!C"&amp;
MATCH(1,
('2026 Orders'!C:C=C303)*
('2026 Orders'!G:G=G303)*
('2026 Orders'!N:N=N303),
0),
"Open "&amp;C303
))</f>
        <v>Open A4674</v>
      </c>
      <c r="F303" s="14">
        <v>0</v>
      </c>
      <c r="G303" s="14" t="str">
        <f>'2026 Orders'!G302</f>
        <v>FIBRO-60-CS-GR</v>
      </c>
      <c r="H303" s="14" t="str">
        <f>'2026 Orders'!H302</f>
        <v>FIBRO-60</v>
      </c>
      <c r="I303" s="15" t="str">
        <f>'2026 Orders'!I302</f>
        <v>GR</v>
      </c>
      <c r="J303" s="14">
        <f>'2026 Orders'!J302</f>
        <v>24</v>
      </c>
      <c r="K303" t="s">
        <v>827</v>
      </c>
      <c r="L303">
        <v>24</v>
      </c>
      <c r="M303">
        <v>0</v>
      </c>
      <c r="N303" s="10" t="str">
        <f>'2026 Orders'!N302</f>
        <v>D/W Sent</v>
      </c>
      <c r="O303">
        <v>0</v>
      </c>
      <c r="P303" t="s">
        <v>1077</v>
      </c>
      <c r="Q303">
        <v>810131195199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C303" t="str">
        <f t="shared" si="8"/>
        <v>24/</v>
      </c>
      <c r="AD303" t="e">
        <f t="shared" si="9"/>
        <v>#VALUE!</v>
      </c>
    </row>
    <row r="304" spans="1:30" ht="33" hidden="1" customHeight="1" x14ac:dyDescent="0.3">
      <c r="A304">
        <v>46183</v>
      </c>
      <c r="B304" s="14" t="str">
        <f>'2026 Orders'!B303</f>
        <v>Greece</v>
      </c>
      <c r="C304" s="14" t="str">
        <f>'2026 Orders'!C303</f>
        <v>A4674</v>
      </c>
      <c r="D304" s="14">
        <v>0</v>
      </c>
      <c r="E304" s="17" t="str" cm="1">
        <f t="array" ref="E304">IF(C304=0,"",
HYPERLINK(
"#'2026 Orders'!C"&amp;
MATCH(1,
('2026 Orders'!C:C=C304)*
('2026 Orders'!G:G=G304)*
('2026 Orders'!N:N=N304),
0),
"Open "&amp;C304
))</f>
        <v>Open A4674</v>
      </c>
      <c r="F304" s="14">
        <v>0</v>
      </c>
      <c r="G304" s="14" t="str">
        <f>'2026 Orders'!G303</f>
        <v>XTRAD10-60-CS-GR</v>
      </c>
      <c r="H304" s="14" t="str">
        <f>'2026 Orders'!H303</f>
        <v>XTRAD10-60</v>
      </c>
      <c r="I304" s="15" t="str">
        <f>'2026 Orders'!I303</f>
        <v>GR</v>
      </c>
      <c r="J304" s="14">
        <f>'2026 Orders'!J303</f>
        <v>96</v>
      </c>
      <c r="K304" t="s">
        <v>829</v>
      </c>
      <c r="L304">
        <v>96</v>
      </c>
      <c r="M304">
        <v>0</v>
      </c>
      <c r="N304" s="10" t="str">
        <f>'2026 Orders'!N303</f>
        <v>D/W Sent</v>
      </c>
      <c r="O304">
        <v>0</v>
      </c>
      <c r="P304" t="s">
        <v>1077</v>
      </c>
      <c r="Q304">
        <v>810131195236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C304" t="str">
        <f t="shared" si="8"/>
        <v>96/</v>
      </c>
      <c r="AD304" t="e">
        <f t="shared" si="9"/>
        <v>#VALUE!</v>
      </c>
    </row>
    <row r="305" spans="1:30" ht="33" hidden="1" customHeight="1" x14ac:dyDescent="0.3">
      <c r="A305">
        <v>46183</v>
      </c>
      <c r="B305" s="14" t="str">
        <f>'2026 Orders'!B304</f>
        <v>Greece</v>
      </c>
      <c r="C305" s="14" t="str">
        <f>'2026 Orders'!C304</f>
        <v>A4674</v>
      </c>
      <c r="D305" s="14">
        <v>0</v>
      </c>
      <c r="E305" s="17" t="str" cm="1">
        <f t="array" ref="E305">IF(C305=0,"",
HYPERLINK(
"#'2026 Orders'!C"&amp;
MATCH(1,
('2026 Orders'!C:C=C305)*
('2026 Orders'!G:G=G305)*
('2026 Orders'!N:N=N305),
0),
"Open "&amp;C305
))</f>
        <v>Open A4674</v>
      </c>
      <c r="F305" s="14">
        <v>0</v>
      </c>
      <c r="G305" s="14" t="str">
        <f>'2026 Orders'!G304</f>
        <v>PENAMAX-60-GE-CS-GR</v>
      </c>
      <c r="H305" s="14" t="str">
        <f>'2026 Orders'!H304</f>
        <v>PENAMAX-60</v>
      </c>
      <c r="I305" s="15" t="str">
        <f>'2026 Orders'!I304</f>
        <v>GR</v>
      </c>
      <c r="J305" s="14">
        <f>'2026 Orders'!J304</f>
        <v>228</v>
      </c>
      <c r="K305" t="s">
        <v>831</v>
      </c>
      <c r="L305">
        <v>228</v>
      </c>
      <c r="M305">
        <v>0</v>
      </c>
      <c r="N305" s="10" t="str">
        <f>'2026 Orders'!N304</f>
        <v>D/W Sent</v>
      </c>
      <c r="O305">
        <v>0</v>
      </c>
      <c r="P305" t="s">
        <v>1077</v>
      </c>
      <c r="Q305">
        <v>810131195359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C305" t="str">
        <f t="shared" si="8"/>
        <v>228/</v>
      </c>
      <c r="AD305" t="e">
        <f t="shared" si="9"/>
        <v>#VALUE!</v>
      </c>
    </row>
    <row r="306" spans="1:30" ht="33" hidden="1" customHeight="1" x14ac:dyDescent="0.3">
      <c r="A306">
        <v>0</v>
      </c>
      <c r="B306" s="14">
        <f>'2026 Orders'!B305</f>
        <v>0</v>
      </c>
      <c r="C306" s="14">
        <f>'2026 Orders'!C305</f>
        <v>0</v>
      </c>
      <c r="D306" s="14">
        <v>0</v>
      </c>
      <c r="E306" s="17" t="str" cm="1">
        <f t="array" ref="E306">IF(C306=0,"",
HYPERLINK(
"#'2026 Orders'!C"&amp;
MATCH(1,
('2026 Orders'!C:C=C306)*
('2026 Orders'!G:G=G306)*
('2026 Orders'!N:N=N306),
0),
"Open "&amp;C306
))</f>
        <v/>
      </c>
      <c r="F306" s="14">
        <v>0</v>
      </c>
      <c r="G306" s="14">
        <f>'2026 Orders'!G305</f>
        <v>0</v>
      </c>
      <c r="H306" s="14">
        <f>'2026 Orders'!H305</f>
        <v>0</v>
      </c>
      <c r="I306" s="15" t="str">
        <f>'2026 Orders'!I305</f>
        <v/>
      </c>
      <c r="J306" s="14">
        <f>'2026 Orders'!J305</f>
        <v>0</v>
      </c>
      <c r="K306">
        <v>0</v>
      </c>
      <c r="L306">
        <v>0</v>
      </c>
      <c r="M306">
        <v>0</v>
      </c>
      <c r="N306" s="10">
        <f>'2026 Orders'!N305</f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C306" t="str">
        <f t="shared" si="8"/>
        <v/>
      </c>
      <c r="AD306" t="str">
        <f t="shared" si="9"/>
        <v/>
      </c>
    </row>
    <row r="307" spans="1:30" ht="33" hidden="1" customHeight="1" x14ac:dyDescent="0.3">
      <c r="A307">
        <v>46183</v>
      </c>
      <c r="B307" s="14" t="str">
        <f>'2026 Orders'!B306</f>
        <v>Cyprus</v>
      </c>
      <c r="C307" s="14" t="str">
        <f>'2026 Orders'!C306</f>
        <v>A4676</v>
      </c>
      <c r="D307" s="14">
        <v>0</v>
      </c>
      <c r="E307" s="17" t="str" cm="1">
        <f t="array" ref="E307">IF(C307=0,"",
HYPERLINK(
"#'2026 Orders'!C"&amp;
MATCH(1,
('2026 Orders'!C:C=C307)*
('2026 Orders'!G:G=G307)*
('2026 Orders'!N:N=N307),
0),
"Open "&amp;C307
))</f>
        <v>Open A4676</v>
      </c>
      <c r="F307" s="14" t="s">
        <v>838</v>
      </c>
      <c r="G307" s="14" t="str">
        <f>'2026 Orders'!G306</f>
        <v>FERTNOM-90-CS-CY</v>
      </c>
      <c r="H307" s="14" t="str">
        <f>'2026 Orders'!H306</f>
        <v>FERTNOM-90</v>
      </c>
      <c r="I307" s="15" t="str">
        <f>'2026 Orders'!I306</f>
        <v>CY</v>
      </c>
      <c r="J307" s="14">
        <f>'2026 Orders'!J306</f>
        <v>528</v>
      </c>
      <c r="K307" t="s">
        <v>840</v>
      </c>
      <c r="L307">
        <v>528</v>
      </c>
      <c r="M307">
        <v>0</v>
      </c>
      <c r="N307" s="10" t="str">
        <f>'2026 Orders'!N306</f>
        <v>Rework</v>
      </c>
      <c r="O307">
        <v>0</v>
      </c>
      <c r="P307" t="s">
        <v>1077</v>
      </c>
      <c r="Q307">
        <v>810131195205</v>
      </c>
      <c r="R307">
        <v>5000</v>
      </c>
      <c r="S307">
        <v>5034</v>
      </c>
      <c r="T307" t="s">
        <v>1108</v>
      </c>
      <c r="U307" t="s">
        <v>1149</v>
      </c>
      <c r="V307">
        <v>0</v>
      </c>
      <c r="W307">
        <v>0</v>
      </c>
      <c r="X307">
        <v>0</v>
      </c>
      <c r="Y307">
        <v>0</v>
      </c>
      <c r="Z307" t="s">
        <v>1086</v>
      </c>
      <c r="AC307" t="str">
        <f t="shared" si="8"/>
        <v>528/</v>
      </c>
      <c r="AD307" t="e">
        <f t="shared" si="9"/>
        <v>#VALUE!</v>
      </c>
    </row>
    <row r="308" spans="1:30" ht="33" hidden="1" customHeight="1" x14ac:dyDescent="0.3">
      <c r="A308">
        <v>0</v>
      </c>
      <c r="B308" s="14" t="str">
        <f>'2026 Orders'!B307</f>
        <v>Cyprus</v>
      </c>
      <c r="C308" s="14" t="str">
        <f>'2026 Orders'!C307</f>
        <v>A4676</v>
      </c>
      <c r="D308" s="14">
        <v>0</v>
      </c>
      <c r="E308" s="17" t="str" cm="1">
        <f t="array" ref="E308">IF(C308=0,"",
HYPERLINK(
"#'2026 Orders'!C"&amp;
MATCH(1,
('2026 Orders'!C:C=C308)*
('2026 Orders'!G:G=G308)*
('2026 Orders'!N:N=N308),
0),
"Open "&amp;C308
))</f>
        <v>Open A4676</v>
      </c>
      <c r="F308" s="14" t="s">
        <v>841</v>
      </c>
      <c r="G308" s="14" t="str">
        <f>'2026 Orders'!G307</f>
        <v>MFSADV-120-CS-GR</v>
      </c>
      <c r="H308" s="14" t="str">
        <f>'2026 Orders'!H307</f>
        <v>MFSADV-120</v>
      </c>
      <c r="I308" s="15" t="str">
        <f>'2026 Orders'!I307</f>
        <v>GR</v>
      </c>
      <c r="J308" s="14">
        <f>'2026 Orders'!J307</f>
        <v>576</v>
      </c>
      <c r="K308" t="s">
        <v>506</v>
      </c>
      <c r="L308">
        <v>576</v>
      </c>
      <c r="M308">
        <v>0</v>
      </c>
      <c r="N308" s="10" t="str">
        <f>'2026 Orders'!N307</f>
        <v>Picked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C308" t="str">
        <f t="shared" si="8"/>
        <v>576/</v>
      </c>
      <c r="AD308" t="e">
        <f t="shared" si="9"/>
        <v>#VALUE!</v>
      </c>
    </row>
    <row r="309" spans="1:30" ht="33" hidden="1" customHeight="1" x14ac:dyDescent="0.3">
      <c r="A309">
        <v>46185</v>
      </c>
      <c r="B309" s="14" t="str">
        <f>'2026 Orders'!B308</f>
        <v>Cyprus</v>
      </c>
      <c r="C309" s="14" t="str">
        <f>'2026 Orders'!C308</f>
        <v>A4676</v>
      </c>
      <c r="D309" s="14">
        <v>0</v>
      </c>
      <c r="E309" s="17" t="str" cm="1">
        <f t="array" ref="E309">IF(C309=0,"",
HYPERLINK(
"#'2026 Orders'!C"&amp;
MATCH(1,
('2026 Orders'!C:C=C309)*
('2026 Orders'!G:G=G309)*
('2026 Orders'!N:N=N309),
0),
"Open "&amp;C309
))</f>
        <v>Open A4676</v>
      </c>
      <c r="F309" s="14">
        <v>0</v>
      </c>
      <c r="G309" s="14" t="str">
        <f>'2026 Orders'!G308</f>
        <v>MOTILMX-60-CS-GR</v>
      </c>
      <c r="H309" s="14" t="str">
        <f>'2026 Orders'!H308</f>
        <v>MOTILMX-60</v>
      </c>
      <c r="I309" s="15" t="str">
        <f>'2026 Orders'!I308</f>
        <v>GR</v>
      </c>
      <c r="J309" s="14">
        <f>'2026 Orders'!J308</f>
        <v>120</v>
      </c>
      <c r="K309" t="s">
        <v>843</v>
      </c>
      <c r="L309">
        <v>120</v>
      </c>
      <c r="M309">
        <v>0</v>
      </c>
      <c r="N309" s="10" t="str">
        <f>'2026 Orders'!N308</f>
        <v>Picked</v>
      </c>
      <c r="O309">
        <v>0</v>
      </c>
      <c r="P309" t="s">
        <v>1077</v>
      </c>
      <c r="Q309" t="s">
        <v>1093</v>
      </c>
      <c r="R309">
        <v>0</v>
      </c>
      <c r="S309">
        <v>4945</v>
      </c>
      <c r="T309">
        <v>0</v>
      </c>
      <c r="U309" t="s">
        <v>1184</v>
      </c>
      <c r="V309">
        <v>0</v>
      </c>
      <c r="W309">
        <v>0</v>
      </c>
      <c r="X309">
        <v>0</v>
      </c>
      <c r="Y309">
        <v>0</v>
      </c>
      <c r="Z309" t="s">
        <v>1083</v>
      </c>
      <c r="AC309" t="str">
        <f t="shared" si="8"/>
        <v>120/</v>
      </c>
      <c r="AD309" t="e">
        <f t="shared" si="9"/>
        <v>#VALUE!</v>
      </c>
    </row>
    <row r="310" spans="1:30" ht="33" hidden="1" customHeight="1" x14ac:dyDescent="0.3">
      <c r="A310">
        <v>46185</v>
      </c>
      <c r="B310" s="14">
        <f>'2026 Orders'!B309</f>
        <v>0</v>
      </c>
      <c r="C310" s="14">
        <f>'2026 Orders'!C309</f>
        <v>0</v>
      </c>
      <c r="D310" s="14">
        <v>0</v>
      </c>
      <c r="E310" s="17" t="str" cm="1">
        <f t="array" ref="E310">IF(C310=0,"",
HYPERLINK(
"#'2026 Orders'!C"&amp;
MATCH(1,
('2026 Orders'!C:C=C310)*
('2026 Orders'!G:G=G310)*
('2026 Orders'!N:N=N310),
0),
"Open "&amp;C310
))</f>
        <v/>
      </c>
      <c r="F310" s="14">
        <v>0</v>
      </c>
      <c r="G310" s="14">
        <f>'2026 Orders'!G309</f>
        <v>0</v>
      </c>
      <c r="H310" s="14">
        <f>'2026 Orders'!H309</f>
        <v>0</v>
      </c>
      <c r="I310" s="15" t="str">
        <f>'2026 Orders'!I309</f>
        <v/>
      </c>
      <c r="J310" s="14">
        <f>'2026 Orders'!J309</f>
        <v>0</v>
      </c>
      <c r="K310">
        <v>0</v>
      </c>
      <c r="L310">
        <v>0</v>
      </c>
      <c r="M310">
        <v>0</v>
      </c>
      <c r="N310" s="10">
        <f>'2026 Orders'!N309</f>
        <v>0</v>
      </c>
      <c r="O310">
        <v>0</v>
      </c>
      <c r="P310" t="s">
        <v>1077</v>
      </c>
      <c r="Q310" t="s">
        <v>1082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C310" t="str">
        <f t="shared" si="8"/>
        <v/>
      </c>
      <c r="AD310" t="str">
        <f t="shared" si="9"/>
        <v/>
      </c>
    </row>
    <row r="311" spans="1:30" ht="33" hidden="1" customHeight="1" x14ac:dyDescent="0.3">
      <c r="A311">
        <v>46185</v>
      </c>
      <c r="B311" s="14" t="str">
        <f>'2026 Orders'!B310</f>
        <v>China</v>
      </c>
      <c r="C311" s="14" t="str">
        <f>'2026 Orders'!C310</f>
        <v>A4681</v>
      </c>
      <c r="D311" s="14" t="s">
        <v>845</v>
      </c>
      <c r="E311" s="17" t="str" cm="1">
        <f t="array" ref="E311">IF(C311=0,"",
HYPERLINK(
"#'2026 Orders'!C"&amp;
MATCH(1,
('2026 Orders'!C:C=C311)*
('2026 Orders'!G:G=G311)*
('2026 Orders'!N:N=N311),
0),
"Open "&amp;C311
))</f>
        <v>Open A4681</v>
      </c>
      <c r="F311" s="14">
        <v>0</v>
      </c>
      <c r="G311" s="14" t="str">
        <f>'2026 Orders'!G310</f>
        <v>OME369-90-FD</v>
      </c>
      <c r="H311" s="14" t="str">
        <f>'2026 Orders'!H310</f>
        <v>OME369-90</v>
      </c>
      <c r="I311" s="15" t="str">
        <f>'2026 Orders'!I310</f>
        <v>FD</v>
      </c>
      <c r="J311" s="14">
        <f>'2026 Orders'!J310</f>
        <v>192</v>
      </c>
      <c r="K311" t="s">
        <v>702</v>
      </c>
      <c r="L311">
        <v>192</v>
      </c>
      <c r="M311">
        <v>0</v>
      </c>
      <c r="N311" s="10" t="str">
        <f>'2026 Orders'!N310</f>
        <v>D/W Sent</v>
      </c>
      <c r="O311" t="s">
        <v>1185</v>
      </c>
      <c r="P311" t="s">
        <v>1077</v>
      </c>
      <c r="Q311" t="s">
        <v>1132</v>
      </c>
      <c r="R311">
        <v>0</v>
      </c>
      <c r="S311">
        <v>4690</v>
      </c>
      <c r="T311">
        <v>0</v>
      </c>
      <c r="U311" t="s">
        <v>1186</v>
      </c>
      <c r="V311">
        <v>0</v>
      </c>
      <c r="W311">
        <v>0</v>
      </c>
      <c r="X311">
        <v>0</v>
      </c>
      <c r="Y311">
        <v>0</v>
      </c>
      <c r="Z311">
        <v>0</v>
      </c>
      <c r="AC311" t="str">
        <f t="shared" si="8"/>
        <v>192/</v>
      </c>
      <c r="AD311" t="e">
        <f t="shared" si="9"/>
        <v>#VALUE!</v>
      </c>
    </row>
    <row r="312" spans="1:30" ht="33" hidden="1" customHeight="1" x14ac:dyDescent="0.3">
      <c r="A312">
        <v>46185</v>
      </c>
      <c r="B312" s="14">
        <f>'2026 Orders'!B311</f>
        <v>0</v>
      </c>
      <c r="C312" s="14">
        <f>'2026 Orders'!C311</f>
        <v>0</v>
      </c>
      <c r="D312" s="14">
        <v>0</v>
      </c>
      <c r="E312" s="17" t="str" cm="1">
        <f t="array" ref="E312">IF(C312=0,"",
HYPERLINK(
"#'2026 Orders'!C"&amp;
MATCH(1,
('2026 Orders'!C:C=C312)*
('2026 Orders'!G:G=G312)*
('2026 Orders'!N:N=N312),
0),
"Open "&amp;C312
))</f>
        <v/>
      </c>
      <c r="F312" s="14">
        <v>0</v>
      </c>
      <c r="G312" s="14">
        <f>'2026 Orders'!G311</f>
        <v>0</v>
      </c>
      <c r="H312" s="14">
        <f>'2026 Orders'!H311</f>
        <v>0</v>
      </c>
      <c r="I312" s="15" t="str">
        <f>'2026 Orders'!I311</f>
        <v/>
      </c>
      <c r="J312" s="14">
        <f>'2026 Orders'!J311</f>
        <v>0</v>
      </c>
      <c r="K312">
        <v>0</v>
      </c>
      <c r="L312">
        <v>0</v>
      </c>
      <c r="M312">
        <v>0</v>
      </c>
      <c r="N312" s="10">
        <f>'2026 Orders'!N311</f>
        <v>0</v>
      </c>
      <c r="O312">
        <v>0</v>
      </c>
      <c r="P312" t="s">
        <v>1077</v>
      </c>
      <c r="Q312" t="s">
        <v>1187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C312" t="str">
        <f t="shared" si="8"/>
        <v/>
      </c>
      <c r="AD312" t="str">
        <f t="shared" si="9"/>
        <v/>
      </c>
    </row>
    <row r="313" spans="1:30" ht="33" hidden="1" customHeight="1" x14ac:dyDescent="0.3">
      <c r="A313">
        <v>46185</v>
      </c>
      <c r="B313" s="14" t="str">
        <f>'2026 Orders'!B312</f>
        <v>Egypt</v>
      </c>
      <c r="C313" s="14" t="str">
        <f>'2026 Orders'!C312</f>
        <v>A4683</v>
      </c>
      <c r="D313" s="14" t="s">
        <v>848</v>
      </c>
      <c r="E313" s="17" t="str" cm="1">
        <f t="array" ref="E313">IF(C313=0,"",
HYPERLINK(
"#'2026 Orders'!C"&amp;
MATCH(1,
('2026 Orders'!C:C=C313)*
('2026 Orders'!G:G=G313)*
('2026 Orders'!N:N=N313),
0),
"Open "&amp;C313
))</f>
        <v>Open A4683</v>
      </c>
      <c r="F313" s="14" t="s">
        <v>850</v>
      </c>
      <c r="G313" s="14" t="str">
        <f>'2026 Orders'!G312</f>
        <v>MFSPLS-120-CS-EG</v>
      </c>
      <c r="H313" s="14" t="str">
        <f>'2026 Orders'!H312</f>
        <v>MFSPLS-120</v>
      </c>
      <c r="I313" s="15" t="str">
        <f>'2026 Orders'!I312</f>
        <v>EG</v>
      </c>
      <c r="J313" s="14">
        <f>'2026 Orders'!J312</f>
        <v>1057</v>
      </c>
      <c r="K313" t="s">
        <v>852</v>
      </c>
      <c r="L313">
        <v>1057</v>
      </c>
      <c r="M313">
        <v>0</v>
      </c>
      <c r="N313" s="10" t="str">
        <f>'2026 Orders'!N312</f>
        <v>Picked</v>
      </c>
      <c r="O313">
        <v>0</v>
      </c>
      <c r="P313" t="s">
        <v>1077</v>
      </c>
      <c r="Q313" t="s">
        <v>1113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C313" t="str">
        <f t="shared" si="8"/>
        <v>1057/</v>
      </c>
      <c r="AD313" t="e">
        <f t="shared" si="9"/>
        <v>#VALUE!</v>
      </c>
    </row>
    <row r="314" spans="1:30" ht="33" hidden="1" customHeight="1" x14ac:dyDescent="0.3">
      <c r="A314">
        <v>46185</v>
      </c>
      <c r="B314" s="14" t="str">
        <f>'2026 Orders'!B313</f>
        <v>Egypt</v>
      </c>
      <c r="C314" s="14" t="str">
        <f>'2026 Orders'!C313</f>
        <v>A4683</v>
      </c>
      <c r="D314" s="14" t="s">
        <v>488</v>
      </c>
      <c r="E314" s="17" t="str" cm="1">
        <f t="array" ref="E314">IF(C314=0,"",
HYPERLINK(
"#'2026 Orders'!C"&amp;
MATCH(1,
('2026 Orders'!C:C=C314)*
('2026 Orders'!G:G=G314)*
('2026 Orders'!N:N=N314),
0),
"Open "&amp;C314
))</f>
        <v>Open A4683</v>
      </c>
      <c r="F314" s="14" t="s">
        <v>853</v>
      </c>
      <c r="G314" s="14" t="str">
        <f>'2026 Orders'!G313</f>
        <v>WFSPLS-180-CS-EG</v>
      </c>
      <c r="H314" s="14" t="str">
        <f>'2026 Orders'!H313</f>
        <v>WFSPLS-180</v>
      </c>
      <c r="I314" s="15" t="str">
        <f>'2026 Orders'!I313</f>
        <v>EG</v>
      </c>
      <c r="J314" s="14">
        <f>'2026 Orders'!J313</f>
        <v>2100</v>
      </c>
      <c r="K314" t="s">
        <v>855</v>
      </c>
      <c r="L314">
        <v>2100</v>
      </c>
      <c r="M314">
        <v>0</v>
      </c>
      <c r="N314" s="10" t="str">
        <f>'2026 Orders'!N313</f>
        <v>Picked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C314" t="str">
        <f t="shared" si="8"/>
        <v>2100/</v>
      </c>
      <c r="AD314" t="e">
        <f t="shared" si="9"/>
        <v>#VALUE!</v>
      </c>
    </row>
    <row r="315" spans="1:30" ht="33" hidden="1" customHeight="1" x14ac:dyDescent="0.3">
      <c r="A315">
        <v>46185</v>
      </c>
      <c r="B315" s="14" t="str">
        <f>'2026 Orders'!B314</f>
        <v>Egypt</v>
      </c>
      <c r="C315" s="14" t="str">
        <f>'2026 Orders'!C314</f>
        <v>A4683</v>
      </c>
      <c r="D315" s="14" t="s">
        <v>488</v>
      </c>
      <c r="E315" s="17" t="str" cm="1">
        <f t="array" ref="E315">IF(C315=0,"",
HYPERLINK(
"#'2026 Orders'!C"&amp;
MATCH(1,
('2026 Orders'!C:C=C315)*
('2026 Orders'!G:G=G315)*
('2026 Orders'!N:N=N315),
0),
"Open "&amp;C315
))</f>
        <v>Open A4683</v>
      </c>
      <c r="F315" s="14" t="s">
        <v>856</v>
      </c>
      <c r="G315" s="14" t="str">
        <f>'2026 Orders'!G314</f>
        <v>OVAMAX-120-CS-EG</v>
      </c>
      <c r="H315" s="14" t="str">
        <f>'2026 Orders'!H314</f>
        <v>OVAMAX-120</v>
      </c>
      <c r="I315" s="15" t="str">
        <f>'2026 Orders'!I314</f>
        <v>EG</v>
      </c>
      <c r="J315" s="14">
        <f>'2026 Orders'!J314</f>
        <v>570</v>
      </c>
      <c r="K315" t="s">
        <v>858</v>
      </c>
      <c r="L315">
        <v>570</v>
      </c>
      <c r="M315">
        <v>0</v>
      </c>
      <c r="N315" s="10" t="str">
        <f>'2026 Orders'!N314</f>
        <v>Picked</v>
      </c>
      <c r="O315">
        <v>0</v>
      </c>
      <c r="P315" t="s">
        <v>1077</v>
      </c>
      <c r="Q315">
        <v>604776738657</v>
      </c>
      <c r="R315">
        <v>2000</v>
      </c>
      <c r="S315">
        <v>4998</v>
      </c>
      <c r="T315">
        <v>46232</v>
      </c>
      <c r="U315" t="s">
        <v>1126</v>
      </c>
      <c r="V315">
        <v>0</v>
      </c>
      <c r="W315">
        <v>0</v>
      </c>
      <c r="X315">
        <v>0</v>
      </c>
      <c r="Y315">
        <v>0</v>
      </c>
      <c r="Z315">
        <v>0</v>
      </c>
      <c r="AC315" t="str">
        <f t="shared" si="8"/>
        <v>570/</v>
      </c>
      <c r="AD315" t="e">
        <f t="shared" si="9"/>
        <v>#VALUE!</v>
      </c>
    </row>
    <row r="316" spans="1:30" ht="33" hidden="1" customHeight="1" x14ac:dyDescent="0.3">
      <c r="A316">
        <v>0</v>
      </c>
      <c r="B316" s="14" t="str">
        <f>'2026 Orders'!B315</f>
        <v>Egypt</v>
      </c>
      <c r="C316" s="14" t="str">
        <f>'2026 Orders'!C315</f>
        <v>A4683</v>
      </c>
      <c r="D316" s="14" t="s">
        <v>488</v>
      </c>
      <c r="E316" s="17" t="str" cm="1">
        <f t="array" ref="E316">IF(C316=0,"",
HYPERLINK(
"#'2026 Orders'!C"&amp;
MATCH(1,
('2026 Orders'!C:C=C316)*
('2026 Orders'!G:G=G316)*
('2026 Orders'!N:N=N316),
0),
"Open "&amp;C316
))</f>
        <v>Open A4683</v>
      </c>
      <c r="F316" s="14" t="s">
        <v>856</v>
      </c>
      <c r="G316" s="14" t="str">
        <f>'2026 Orders'!G315</f>
        <v>OVAMAX-120-CS-EG</v>
      </c>
      <c r="H316" s="14" t="str">
        <f>'2026 Orders'!H315</f>
        <v>OVAMAX-120</v>
      </c>
      <c r="I316" s="15" t="str">
        <f>'2026 Orders'!I315</f>
        <v>EG</v>
      </c>
      <c r="J316" s="14">
        <f>'2026 Orders'!J315</f>
        <v>3750</v>
      </c>
      <c r="K316" t="s">
        <v>858</v>
      </c>
      <c r="L316">
        <v>3750</v>
      </c>
      <c r="M316">
        <v>0</v>
      </c>
      <c r="N316" s="10" t="str">
        <f>'2026 Orders'!N315</f>
        <v>Picked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C316" t="str">
        <f t="shared" si="8"/>
        <v>3750/</v>
      </c>
      <c r="AD316" t="e">
        <f t="shared" si="9"/>
        <v>#VALUE!</v>
      </c>
    </row>
    <row r="317" spans="1:30" ht="33" hidden="1" customHeight="1" x14ac:dyDescent="0.3">
      <c r="A317">
        <v>46072</v>
      </c>
      <c r="B317" s="14" t="str">
        <f>'2026 Orders'!B316</f>
        <v>Egypt</v>
      </c>
      <c r="C317" s="14" t="str">
        <f>'2026 Orders'!C316</f>
        <v>A4683</v>
      </c>
      <c r="D317" s="14" t="s">
        <v>488</v>
      </c>
      <c r="E317" s="17" t="str" cm="1">
        <f t="array" ref="E317">IF(C317=0,"",
HYPERLINK(
"#'2026 Orders'!C"&amp;
MATCH(1,
('2026 Orders'!C:C=C317)*
('2026 Orders'!G:G=G317)*
('2026 Orders'!N:N=N317),
0),
"Open "&amp;C317
))</f>
        <v>Open A4683</v>
      </c>
      <c r="F317" s="14" t="s">
        <v>859</v>
      </c>
      <c r="G317" s="14" t="str">
        <f>'2026 Orders'!G316</f>
        <v>PRECON-180-CS-EG</v>
      </c>
      <c r="H317" s="14" t="str">
        <f>'2026 Orders'!H316</f>
        <v>PRECON-180</v>
      </c>
      <c r="I317" s="15" t="str">
        <f>'2026 Orders'!I316</f>
        <v>EG</v>
      </c>
      <c r="J317" s="14">
        <f>'2026 Orders'!J316</f>
        <v>516</v>
      </c>
      <c r="K317" t="s">
        <v>860</v>
      </c>
      <c r="L317">
        <v>516</v>
      </c>
      <c r="M317">
        <v>0</v>
      </c>
      <c r="N317" s="10" t="str">
        <f>'2026 Orders'!N316</f>
        <v>Picked</v>
      </c>
      <c r="O317">
        <v>0</v>
      </c>
      <c r="P317" t="s">
        <v>1085</v>
      </c>
      <c r="Q317" t="s">
        <v>1188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 t="s">
        <v>1086</v>
      </c>
      <c r="AC317" t="str">
        <f t="shared" si="8"/>
        <v>516/</v>
      </c>
      <c r="AD317" t="e">
        <f t="shared" si="9"/>
        <v>#VALUE!</v>
      </c>
    </row>
    <row r="318" spans="1:30" ht="33" hidden="1" customHeight="1" x14ac:dyDescent="0.3">
      <c r="A318">
        <v>45967</v>
      </c>
      <c r="B318" s="14" t="str">
        <f>'2026 Orders'!B317</f>
        <v>Egypt</v>
      </c>
      <c r="C318" s="14" t="str">
        <f>'2026 Orders'!C317</f>
        <v>A4683</v>
      </c>
      <c r="D318" s="14">
        <v>0</v>
      </c>
      <c r="E318" s="17" t="str" cm="1">
        <f t="array" ref="E318">IF(C318=0,"",
HYPERLINK(
"#'2026 Orders'!C"&amp;
MATCH(1,
('2026 Orders'!C:C=C318)*
('2026 Orders'!G:G=G318)*
('2026 Orders'!N:N=N318),
0),
"Open "&amp;C318
))</f>
        <v>Open A4683</v>
      </c>
      <c r="F318" s="14" t="s">
        <v>861</v>
      </c>
      <c r="G318" s="14" t="str">
        <f>'2026 Orders'!G317</f>
        <v>PRECON-180-CS-EG</v>
      </c>
      <c r="H318" s="14" t="str">
        <f>'2026 Orders'!H317</f>
        <v>PRECON-180</v>
      </c>
      <c r="I318" s="15" t="str">
        <f>'2026 Orders'!I317</f>
        <v>EG</v>
      </c>
      <c r="J318" s="14">
        <f>'2026 Orders'!J317</f>
        <v>261</v>
      </c>
      <c r="K318" t="s">
        <v>860</v>
      </c>
      <c r="L318">
        <v>261</v>
      </c>
      <c r="M318">
        <v>0</v>
      </c>
      <c r="N318" s="10" t="str">
        <f>'2026 Orders'!N317</f>
        <v>Picked</v>
      </c>
      <c r="O318">
        <v>0</v>
      </c>
      <c r="P318" t="s">
        <v>1085</v>
      </c>
      <c r="Q318" t="s">
        <v>1122</v>
      </c>
      <c r="R318">
        <v>8000</v>
      </c>
      <c r="S318">
        <v>4916</v>
      </c>
      <c r="T318" t="s">
        <v>1103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C318" t="str">
        <f t="shared" si="8"/>
        <v>261/</v>
      </c>
      <c r="AD318" t="e">
        <f t="shared" si="9"/>
        <v>#VALUE!</v>
      </c>
    </row>
    <row r="319" spans="1:30" ht="33" hidden="1" customHeight="1" x14ac:dyDescent="0.3">
      <c r="A319">
        <v>46217</v>
      </c>
      <c r="B319" s="14" t="str">
        <f>'2026 Orders'!B318</f>
        <v>Egypt</v>
      </c>
      <c r="C319" s="14" t="str">
        <f>'2026 Orders'!C318</f>
        <v>A4683</v>
      </c>
      <c r="D319" s="14" t="s">
        <v>488</v>
      </c>
      <c r="E319" s="17" t="str" cm="1">
        <f t="array" ref="E319">IF(C319=0,"",
HYPERLINK(
"#'2026 Orders'!C"&amp;
MATCH(1,
('2026 Orders'!C:C=C319)*
('2026 Orders'!G:G=G319)*
('2026 Orders'!N:N=N319),
0),
"Open "&amp;C319
))</f>
        <v>Open A4683</v>
      </c>
      <c r="F319" s="14">
        <v>0</v>
      </c>
      <c r="G319" s="14" t="str">
        <f>'2026 Orders'!G318</f>
        <v>MOTILMX-60-CS-EG</v>
      </c>
      <c r="H319" s="14" t="str">
        <f>'2026 Orders'!H318</f>
        <v>MOTILMX-60</v>
      </c>
      <c r="I319" s="15" t="str">
        <f>'2026 Orders'!I318</f>
        <v>EG</v>
      </c>
      <c r="J319" s="14">
        <f>'2026 Orders'!J318</f>
        <v>1680</v>
      </c>
      <c r="K319" t="s">
        <v>863</v>
      </c>
      <c r="L319">
        <v>1680</v>
      </c>
      <c r="M319">
        <v>0</v>
      </c>
      <c r="N319" s="10" t="str">
        <f>'2026 Orders'!N318</f>
        <v>Picked</v>
      </c>
      <c r="O319">
        <v>0</v>
      </c>
      <c r="P319" t="s">
        <v>1085</v>
      </c>
      <c r="Q319" t="s">
        <v>1189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C319" t="str">
        <f t="shared" si="8"/>
        <v>1680/</v>
      </c>
      <c r="AD319" t="e">
        <f t="shared" si="9"/>
        <v>#VALUE!</v>
      </c>
    </row>
    <row r="320" spans="1:30" ht="33" hidden="1" customHeight="1" x14ac:dyDescent="0.3">
      <c r="A320">
        <v>46217</v>
      </c>
      <c r="B320" s="14" t="str">
        <f>'2026 Orders'!B319</f>
        <v>Egypt</v>
      </c>
      <c r="C320" s="14" t="str">
        <f>'2026 Orders'!C319</f>
        <v>A4683</v>
      </c>
      <c r="D320" s="14" t="s">
        <v>864</v>
      </c>
      <c r="E320" s="17" t="str" cm="1">
        <f t="array" ref="E320">IF(C320=0,"",
HYPERLINK(
"#'2026 Orders'!C"&amp;
MATCH(1,
('2026 Orders'!C:C=C320)*
('2026 Orders'!G:G=G320)*
('2026 Orders'!N:N=N320),
0),
"Open "&amp;C320
))</f>
        <v>Open A4683</v>
      </c>
      <c r="F320" s="14" t="s">
        <v>853</v>
      </c>
      <c r="G320" s="14" t="str">
        <f>'2026 Orders'!G319</f>
        <v xml:space="preserve">WFSPLS-90-CS-EG  </v>
      </c>
      <c r="H320" s="14" t="str">
        <f>'2026 Orders'!H319</f>
        <v>WFSPLS-90</v>
      </c>
      <c r="I320" s="15" t="str">
        <f>'2026 Orders'!I319</f>
        <v xml:space="preserve">EG  </v>
      </c>
      <c r="J320" s="14">
        <f>'2026 Orders'!J319</f>
        <v>840</v>
      </c>
      <c r="K320" t="s">
        <v>865</v>
      </c>
      <c r="L320">
        <v>840</v>
      </c>
      <c r="M320">
        <v>0</v>
      </c>
      <c r="N320" s="10" t="str">
        <f>'2026 Orders'!N319</f>
        <v>Picked</v>
      </c>
      <c r="O320">
        <v>0</v>
      </c>
      <c r="P320" t="s">
        <v>1085</v>
      </c>
      <c r="Q320" t="s">
        <v>1160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C320" t="str">
        <f t="shared" si="8"/>
        <v>840/</v>
      </c>
      <c r="AD320" t="e">
        <f t="shared" si="9"/>
        <v>#VALUE!</v>
      </c>
    </row>
    <row r="321" spans="1:30" ht="33" hidden="1" customHeight="1" x14ac:dyDescent="0.3">
      <c r="A321">
        <v>46217</v>
      </c>
      <c r="B321" s="14" t="str">
        <f>'2026 Orders'!B320</f>
        <v>Egypt</v>
      </c>
      <c r="C321" s="14" t="str">
        <f>'2026 Orders'!C320</f>
        <v>A4683</v>
      </c>
      <c r="D321" s="14" t="s">
        <v>488</v>
      </c>
      <c r="E321" s="17" t="str" cm="1">
        <f t="array" ref="E321">IF(C321=0,"",
HYPERLINK(
"#'2026 Orders'!C"&amp;
MATCH(1,
('2026 Orders'!C:C=C321)*
('2026 Orders'!G:G=G321)*
('2026 Orders'!N:N=N321),
0),
"Open "&amp;C321
))</f>
        <v>Open A4683</v>
      </c>
      <c r="F321" s="14" t="s">
        <v>866</v>
      </c>
      <c r="G321" s="14" t="str">
        <f>'2026 Orders'!G320</f>
        <v>MFSPLS-60-CS-EG</v>
      </c>
      <c r="H321" s="14" t="str">
        <f>'2026 Orders'!H320</f>
        <v>MFSPLS-60</v>
      </c>
      <c r="I321" s="15" t="str">
        <f>'2026 Orders'!I320</f>
        <v>EG</v>
      </c>
      <c r="J321" s="14">
        <f>'2026 Orders'!J320</f>
        <v>840</v>
      </c>
      <c r="K321" t="s">
        <v>868</v>
      </c>
      <c r="L321">
        <v>840</v>
      </c>
      <c r="M321">
        <v>0</v>
      </c>
      <c r="N321" s="10" t="str">
        <f>'2026 Orders'!N320</f>
        <v>Picked</v>
      </c>
      <c r="O321" t="s">
        <v>1179</v>
      </c>
      <c r="P321" t="s">
        <v>1085</v>
      </c>
      <c r="Q321" t="s">
        <v>1190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C321" t="str">
        <f t="shared" si="8"/>
        <v>840/</v>
      </c>
      <c r="AD321" t="e">
        <f t="shared" si="9"/>
        <v>#VALUE!</v>
      </c>
    </row>
    <row r="322" spans="1:30" ht="33" hidden="1" customHeight="1" x14ac:dyDescent="0.3">
      <c r="A322">
        <v>46220</v>
      </c>
      <c r="B322" s="14" t="str">
        <f>'2026 Orders'!B321</f>
        <v>Egypt</v>
      </c>
      <c r="C322" s="14" t="str">
        <f>'2026 Orders'!C321</f>
        <v>A4683</v>
      </c>
      <c r="D322" s="14" t="s">
        <v>488</v>
      </c>
      <c r="E322" s="17" t="str" cm="1">
        <f t="array" ref="E322">IF(C322=0,"",
HYPERLINK(
"#'2026 Orders'!C"&amp;
MATCH(1,
('2026 Orders'!C:C=C322)*
('2026 Orders'!G:G=G322)*
('2026 Orders'!N:N=N322),
0),
"Open "&amp;C322
))</f>
        <v>Open A4683</v>
      </c>
      <c r="F322" s="14" t="s">
        <v>869</v>
      </c>
      <c r="G322" s="14" t="str">
        <f>'2026 Orders'!G321</f>
        <v>QWELL2-60-SG-CS-EG</v>
      </c>
      <c r="H322" s="14" t="str">
        <f>'2026 Orders'!H321</f>
        <v>QWELL2-60</v>
      </c>
      <c r="I322" s="15" t="str">
        <f>'2026 Orders'!I321</f>
        <v>EG</v>
      </c>
      <c r="J322" s="14">
        <f>'2026 Orders'!J321</f>
        <v>1050</v>
      </c>
      <c r="K322" t="s">
        <v>871</v>
      </c>
      <c r="L322">
        <v>1050</v>
      </c>
      <c r="M322">
        <v>0</v>
      </c>
      <c r="N322" s="10" t="str">
        <f>'2026 Orders'!N321</f>
        <v>Picked</v>
      </c>
      <c r="O322" t="s">
        <v>1191</v>
      </c>
      <c r="P322" t="s">
        <v>1077</v>
      </c>
      <c r="Q322">
        <v>604776737650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C322" t="str">
        <f t="shared" si="8"/>
        <v>1050/</v>
      </c>
      <c r="AD322" t="e">
        <f t="shared" si="9"/>
        <v>#VALUE!</v>
      </c>
    </row>
    <row r="323" spans="1:30" ht="33" hidden="1" customHeight="1" x14ac:dyDescent="0.3">
      <c r="A323">
        <v>0</v>
      </c>
      <c r="B323" s="14" t="str">
        <f>'2026 Orders'!B322</f>
        <v>Egypt</v>
      </c>
      <c r="C323" s="14" t="str">
        <f>'2026 Orders'!C322</f>
        <v>A4683</v>
      </c>
      <c r="D323" s="14">
        <v>0</v>
      </c>
      <c r="E323" s="17" t="str" cm="1">
        <f t="array" ref="E323">IF(C323=0,"",
HYPERLINK(
"#'2026 Orders'!C"&amp;
MATCH(1,
('2026 Orders'!C:C=C323)*
('2026 Orders'!G:G=G323)*
('2026 Orders'!N:N=N323),
0),
"Open "&amp;C323
))</f>
        <v>Open A4683</v>
      </c>
      <c r="F323" s="14" t="s">
        <v>872</v>
      </c>
      <c r="G323" s="14" t="str">
        <f>'2026 Orders'!G322</f>
        <v>UTIC-60-CS-EG</v>
      </c>
      <c r="H323" s="14" t="str">
        <f>'2026 Orders'!H322</f>
        <v>UTIC-60</v>
      </c>
      <c r="I323" s="15" t="str">
        <f>'2026 Orders'!I322</f>
        <v>EG</v>
      </c>
      <c r="J323" s="14">
        <f>'2026 Orders'!J322</f>
        <v>1050</v>
      </c>
      <c r="K323" t="s">
        <v>874</v>
      </c>
      <c r="L323">
        <v>1050</v>
      </c>
      <c r="M323">
        <v>0</v>
      </c>
      <c r="N323" s="10" t="str">
        <f>'2026 Orders'!N322</f>
        <v>Rework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C323" t="str">
        <f t="shared" ref="AC323:AC386" si="10">IF(OR(B323="",B323=0),"",J323&amp;"/"&amp;$AJ$2)</f>
        <v>1050/</v>
      </c>
      <c r="AD323" t="e">
        <f t="shared" ref="AD323:AD386" si="11">IF(OR(J323="",J323=0),"",I323&amp;" -&gt; "&amp;$AK$2)</f>
        <v>#VALUE!</v>
      </c>
    </row>
    <row r="324" spans="1:30" ht="33" hidden="1" customHeight="1" x14ac:dyDescent="0.3">
      <c r="A324">
        <v>46189</v>
      </c>
      <c r="B324" s="14">
        <f>'2026 Orders'!B323</f>
        <v>0</v>
      </c>
      <c r="C324" s="14">
        <f>'2026 Orders'!C323</f>
        <v>0</v>
      </c>
      <c r="D324" s="14">
        <v>0</v>
      </c>
      <c r="E324" s="17" t="str" cm="1">
        <f t="array" ref="E324">IF(C324=0,"",
HYPERLINK(
"#'2026 Orders'!C"&amp;
MATCH(1,
('2026 Orders'!C:C=C324)*
('2026 Orders'!G:G=G324)*
('2026 Orders'!N:N=N324),
0),
"Open "&amp;C324
))</f>
        <v/>
      </c>
      <c r="F324" s="14">
        <v>0</v>
      </c>
      <c r="G324" s="14">
        <f>'2026 Orders'!G323</f>
        <v>0</v>
      </c>
      <c r="H324" s="14">
        <f>'2026 Orders'!H323</f>
        <v>0</v>
      </c>
      <c r="I324" s="15" t="str">
        <f>'2026 Orders'!I323</f>
        <v/>
      </c>
      <c r="J324" s="14">
        <f>'2026 Orders'!J323</f>
        <v>0</v>
      </c>
      <c r="K324">
        <v>0</v>
      </c>
      <c r="L324">
        <v>0</v>
      </c>
      <c r="M324">
        <v>0</v>
      </c>
      <c r="N324" s="10">
        <f>'2026 Orders'!N323</f>
        <v>0</v>
      </c>
      <c r="O324">
        <v>0</v>
      </c>
      <c r="P324" t="s">
        <v>1077</v>
      </c>
      <c r="Q324">
        <v>810131193843</v>
      </c>
      <c r="R324">
        <v>5000</v>
      </c>
      <c r="S324">
        <v>5060</v>
      </c>
      <c r="T324" t="s">
        <v>1094</v>
      </c>
      <c r="U324" t="s">
        <v>1095</v>
      </c>
      <c r="V324">
        <v>0</v>
      </c>
      <c r="W324">
        <v>0</v>
      </c>
      <c r="X324">
        <v>0</v>
      </c>
      <c r="Y324">
        <v>0</v>
      </c>
      <c r="Z324" t="s">
        <v>1083</v>
      </c>
      <c r="AC324" t="str">
        <f t="shared" si="10"/>
        <v/>
      </c>
      <c r="AD324" t="str">
        <f t="shared" si="11"/>
        <v/>
      </c>
    </row>
    <row r="325" spans="1:30" ht="33" hidden="1" customHeight="1" x14ac:dyDescent="0.3">
      <c r="A325">
        <v>46189</v>
      </c>
      <c r="B325" s="14" t="str">
        <f>'2026 Orders'!B324</f>
        <v>Egypt</v>
      </c>
      <c r="C325" s="14" t="str">
        <f>'2026 Orders'!C324</f>
        <v>A4709</v>
      </c>
      <c r="D325" s="14">
        <v>0</v>
      </c>
      <c r="E325" s="17" t="str" cm="1">
        <f t="array" ref="E325">IF(C325=0,"",
HYPERLINK(
"#'2026 Orders'!C"&amp;
MATCH(1,
('2026 Orders'!C:C=C325)*
('2026 Orders'!G:G=G325)*
('2026 Orders'!N:N=N325),
0),
"Open "&amp;C325
))</f>
        <v>Open A4709</v>
      </c>
      <c r="F325" s="14" t="s">
        <v>877</v>
      </c>
      <c r="G325" s="14" t="str">
        <f>'2026 Orders'!G324</f>
        <v>MFSPLS-120-CS-EG</v>
      </c>
      <c r="H325" s="14" t="str">
        <f>'2026 Orders'!H324</f>
        <v>MFSPLS-120</v>
      </c>
      <c r="I325" s="15" t="str">
        <f>'2026 Orders'!I324</f>
        <v>EG</v>
      </c>
      <c r="J325" s="14">
        <f>'2026 Orders'!J324</f>
        <v>2093</v>
      </c>
      <c r="K325" t="s">
        <v>878</v>
      </c>
      <c r="L325">
        <v>0</v>
      </c>
      <c r="M325">
        <v>2093</v>
      </c>
      <c r="N325" s="10" t="str">
        <f>'2026 Orders'!N324</f>
        <v>In Production</v>
      </c>
      <c r="O325">
        <v>0</v>
      </c>
      <c r="P325" t="s">
        <v>1077</v>
      </c>
      <c r="Q325">
        <v>810131191030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C325" t="str">
        <f t="shared" si="10"/>
        <v>2093/</v>
      </c>
      <c r="AD325" t="e">
        <f t="shared" si="11"/>
        <v>#VALUE!</v>
      </c>
    </row>
    <row r="326" spans="1:30" ht="33" hidden="1" customHeight="1" x14ac:dyDescent="0.3">
      <c r="A326">
        <v>46189</v>
      </c>
      <c r="B326" s="14">
        <f>'2026 Orders'!B325</f>
        <v>0</v>
      </c>
      <c r="C326" s="14">
        <f>'2026 Orders'!C325</f>
        <v>0</v>
      </c>
      <c r="D326" s="14">
        <v>0</v>
      </c>
      <c r="E326" s="17" t="str" cm="1">
        <f t="array" ref="E326">IF(C326=0,"",
HYPERLINK(
"#'2026 Orders'!C"&amp;
MATCH(1,
('2026 Orders'!C:C=C326)*
('2026 Orders'!G:G=G326)*
('2026 Orders'!N:N=N326),
0),
"Open "&amp;C326
))</f>
        <v/>
      </c>
      <c r="F326" s="14">
        <v>0</v>
      </c>
      <c r="G326" s="14">
        <f>'2026 Orders'!G325</f>
        <v>0</v>
      </c>
      <c r="H326" s="14">
        <f>'2026 Orders'!H325</f>
        <v>0</v>
      </c>
      <c r="I326" s="15" t="str">
        <f>'2026 Orders'!I325</f>
        <v/>
      </c>
      <c r="J326" s="14">
        <f>'2026 Orders'!J325</f>
        <v>0</v>
      </c>
      <c r="K326">
        <v>0</v>
      </c>
      <c r="L326">
        <v>0</v>
      </c>
      <c r="M326">
        <v>0</v>
      </c>
      <c r="N326" s="10">
        <f>'2026 Orders'!N325</f>
        <v>0</v>
      </c>
      <c r="O326">
        <v>0</v>
      </c>
      <c r="P326" t="s">
        <v>1077</v>
      </c>
      <c r="Q326">
        <v>810131193805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C326" t="str">
        <f t="shared" si="10"/>
        <v/>
      </c>
      <c r="AD326" t="str">
        <f t="shared" si="11"/>
        <v/>
      </c>
    </row>
    <row r="327" spans="1:30" ht="33" hidden="1" customHeight="1" x14ac:dyDescent="0.3">
      <c r="A327">
        <v>46189</v>
      </c>
      <c r="B327" s="14" t="str">
        <f>'2026 Orders'!B326</f>
        <v>Chad</v>
      </c>
      <c r="C327" s="14" t="str">
        <f>'2026 Orders'!C326</f>
        <v>A4687</v>
      </c>
      <c r="D327" s="14" t="s">
        <v>880</v>
      </c>
      <c r="E327" s="17" t="str" cm="1">
        <f t="array" ref="E327">IF(C327=0,"",
HYPERLINK(
"#'2026 Orders'!C"&amp;
MATCH(1,
('2026 Orders'!C:C=C327)*
('2026 Orders'!G:G=G327)*
('2026 Orders'!N:N=N327),
0),
"Open "&amp;C327
))</f>
        <v>Open A4687</v>
      </c>
      <c r="F327" s="14" t="s">
        <v>882</v>
      </c>
      <c r="G327" s="14" t="str">
        <f>'2026 Orders'!G326</f>
        <v xml:space="preserve"> PENAMAX-60-GE-CS-CH (PENNAMAX-60-VE-LAB-CS-CH)</v>
      </c>
      <c r="H327" s="14" t="str">
        <f>'2026 Orders'!H326</f>
        <v xml:space="preserve"> PENAMAX-60</v>
      </c>
      <c r="I327" s="15" t="str">
        <f>'2026 Orders'!I326</f>
        <v>CH)</v>
      </c>
      <c r="J327" s="14">
        <f>'2026 Orders'!J326</f>
        <v>277</v>
      </c>
      <c r="K327" t="s">
        <v>884</v>
      </c>
      <c r="L327">
        <v>277</v>
      </c>
      <c r="M327">
        <v>0</v>
      </c>
      <c r="N327" s="10" t="str">
        <f>'2026 Orders'!N326</f>
        <v>Rework</v>
      </c>
      <c r="O327">
        <v>0</v>
      </c>
      <c r="P327" t="s">
        <v>1077</v>
      </c>
      <c r="Q327">
        <v>810131193904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C327" t="str">
        <f t="shared" si="10"/>
        <v>277/</v>
      </c>
      <c r="AD327" t="e">
        <f t="shared" si="11"/>
        <v>#VALUE!</v>
      </c>
    </row>
    <row r="328" spans="1:30" ht="33" hidden="1" customHeight="1" x14ac:dyDescent="0.3">
      <c r="A328">
        <v>46189</v>
      </c>
      <c r="B328" s="14" t="str">
        <f>'2026 Orders'!B327</f>
        <v>Chad</v>
      </c>
      <c r="C328" s="14" t="str">
        <f>'2026 Orders'!C327</f>
        <v>A4687</v>
      </c>
      <c r="D328" s="14" t="s">
        <v>885</v>
      </c>
      <c r="E328" s="17" t="str" cm="1">
        <f t="array" ref="E328">IF(C328=0,"",
HYPERLINK(
"#'2026 Orders'!C"&amp;
MATCH(1,
('2026 Orders'!C:C=C328)*
('2026 Orders'!G:G=G328)*
('2026 Orders'!N:N=N328),
0),
"Open "&amp;C328
))</f>
        <v>Open A4687</v>
      </c>
      <c r="F328" s="14" t="s">
        <v>886</v>
      </c>
      <c r="G328" s="14" t="str">
        <f>'2026 Orders'!G327</f>
        <v>OSTEOPL-96-CS-CH</v>
      </c>
      <c r="H328" s="14" t="str">
        <f>'2026 Orders'!H327</f>
        <v>OSTEOPL-96</v>
      </c>
      <c r="I328" s="15" t="str">
        <f>'2026 Orders'!I327</f>
        <v>CH</v>
      </c>
      <c r="J328" s="14">
        <f>'2026 Orders'!J327</f>
        <v>1290</v>
      </c>
      <c r="K328" t="s">
        <v>888</v>
      </c>
      <c r="L328">
        <v>1290</v>
      </c>
      <c r="M328">
        <v>0</v>
      </c>
      <c r="N328" s="10" t="str">
        <f>'2026 Orders'!N327</f>
        <v>Picked</v>
      </c>
      <c r="O328">
        <v>0</v>
      </c>
      <c r="P328" t="s">
        <v>1077</v>
      </c>
      <c r="Q328">
        <v>604776737407</v>
      </c>
      <c r="R328">
        <v>0</v>
      </c>
      <c r="S328">
        <v>0</v>
      </c>
      <c r="T328">
        <v>0</v>
      </c>
      <c r="U328" t="s">
        <v>1192</v>
      </c>
      <c r="V328">
        <v>0</v>
      </c>
      <c r="W328">
        <v>0</v>
      </c>
      <c r="X328">
        <v>0</v>
      </c>
      <c r="Y328">
        <v>0</v>
      </c>
      <c r="Z328">
        <v>0</v>
      </c>
      <c r="AC328" t="str">
        <f t="shared" si="10"/>
        <v>1290/</v>
      </c>
      <c r="AD328" t="e">
        <f t="shared" si="11"/>
        <v>#VALUE!</v>
      </c>
    </row>
    <row r="329" spans="1:30" ht="33" hidden="1" customHeight="1" x14ac:dyDescent="0.3">
      <c r="A329">
        <v>46191</v>
      </c>
      <c r="B329" s="14" t="str">
        <f>'2026 Orders'!B328</f>
        <v>Chad</v>
      </c>
      <c r="C329" s="14" t="str">
        <f>'2026 Orders'!C328</f>
        <v>A4687</v>
      </c>
      <c r="D329" s="14">
        <v>0</v>
      </c>
      <c r="E329" s="17" t="str" cm="1">
        <f t="array" ref="E329">IF(C329=0,"",
HYPERLINK(
"#'2026 Orders'!C"&amp;
MATCH(1,
('2026 Orders'!C:C=C329)*
('2026 Orders'!G:G=G329)*
('2026 Orders'!N:N=N329),
0),
"Open "&amp;C329
))</f>
        <v>Open A4687</v>
      </c>
      <c r="F329" s="14" t="s">
        <v>889</v>
      </c>
      <c r="G329" s="14" t="str">
        <f>'2026 Orders'!G328</f>
        <v>DHEA50-60-CS-CH</v>
      </c>
      <c r="H329" s="14" t="str">
        <f>'2026 Orders'!H328</f>
        <v>DHEA50-60</v>
      </c>
      <c r="I329" s="15" t="str">
        <f>'2026 Orders'!I328</f>
        <v>CH</v>
      </c>
      <c r="J329" s="14">
        <f>'2026 Orders'!J328</f>
        <v>270</v>
      </c>
      <c r="K329" t="s">
        <v>891</v>
      </c>
      <c r="L329">
        <v>0</v>
      </c>
      <c r="M329">
        <v>0</v>
      </c>
      <c r="N329" s="10" t="str">
        <f>'2026 Orders'!N328</f>
        <v>In Production</v>
      </c>
      <c r="O329">
        <v>0</v>
      </c>
      <c r="P329" t="s">
        <v>1077</v>
      </c>
      <c r="Q329">
        <v>810131193836</v>
      </c>
      <c r="R329">
        <v>5000</v>
      </c>
      <c r="S329">
        <v>5034</v>
      </c>
      <c r="T329" t="s">
        <v>1108</v>
      </c>
      <c r="U329" t="s">
        <v>1149</v>
      </c>
      <c r="V329">
        <v>0</v>
      </c>
      <c r="W329">
        <v>0</v>
      </c>
      <c r="X329">
        <v>0</v>
      </c>
      <c r="Y329">
        <v>0</v>
      </c>
      <c r="Z329">
        <v>0</v>
      </c>
      <c r="AC329" t="str">
        <f t="shared" si="10"/>
        <v>270/</v>
      </c>
      <c r="AD329" t="e">
        <f t="shared" si="11"/>
        <v>#VALUE!</v>
      </c>
    </row>
    <row r="330" spans="1:30" ht="33" hidden="1" customHeight="1" x14ac:dyDescent="0.3">
      <c r="A330">
        <v>46191</v>
      </c>
      <c r="B330" s="14" t="str">
        <f>'2026 Orders'!B329</f>
        <v>Chad</v>
      </c>
      <c r="C330" s="14" t="str">
        <f>'2026 Orders'!C329</f>
        <v>A4687</v>
      </c>
      <c r="D330" s="14">
        <v>0</v>
      </c>
      <c r="E330" s="17" t="str" cm="1">
        <f t="array" ref="E330">IF(C330=0,"",
HYPERLINK(
"#'2026 Orders'!C"&amp;
MATCH(1,
('2026 Orders'!C:C=C330)*
('2026 Orders'!G:G=G330)*
('2026 Orders'!N:N=N330),
0),
"Open "&amp;C330
))</f>
        <v>Open A4687</v>
      </c>
      <c r="F330" s="14" t="s">
        <v>892</v>
      </c>
      <c r="G330" s="14" t="str">
        <f>'2026 Orders'!G329</f>
        <v>WFSPLS-180-CS-CH</v>
      </c>
      <c r="H330" s="14" t="str">
        <f>'2026 Orders'!H329</f>
        <v>WFSPLS-180</v>
      </c>
      <c r="I330" s="15" t="str">
        <f>'2026 Orders'!I329</f>
        <v>CH</v>
      </c>
      <c r="J330" s="14">
        <f>'2026 Orders'!J329</f>
        <v>282</v>
      </c>
      <c r="K330" t="s">
        <v>894</v>
      </c>
      <c r="L330">
        <v>0</v>
      </c>
      <c r="M330">
        <v>282</v>
      </c>
      <c r="N330" s="10" t="str">
        <f>'2026 Orders'!N329</f>
        <v>Out of Stock</v>
      </c>
      <c r="O330">
        <v>0</v>
      </c>
      <c r="P330" t="s">
        <v>1077</v>
      </c>
      <c r="Q330">
        <v>810131193782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C330" t="str">
        <f t="shared" si="10"/>
        <v>282/</v>
      </c>
      <c r="AD330" t="e">
        <f t="shared" si="11"/>
        <v>#VALUE!</v>
      </c>
    </row>
    <row r="331" spans="1:30" ht="33" hidden="1" customHeight="1" x14ac:dyDescent="0.3">
      <c r="A331">
        <v>46191</v>
      </c>
      <c r="B331" s="14" t="str">
        <f>'2026 Orders'!B330</f>
        <v>Chad</v>
      </c>
      <c r="C331" s="14" t="str">
        <f>'2026 Orders'!C330</f>
        <v>A4687</v>
      </c>
      <c r="D331" s="14">
        <v>0</v>
      </c>
      <c r="E331" s="17" t="str" cm="1">
        <f t="array" ref="E331">IF(C331=0,"",
HYPERLINK(
"#'2026 Orders'!C"&amp;
MATCH(1,
('2026 Orders'!C:C=C331)*
('2026 Orders'!G:G=G331)*
('2026 Orders'!N:N=N331),
0),
"Open "&amp;C331
))</f>
        <v>Open A4687</v>
      </c>
      <c r="F331" s="14" t="s">
        <v>892</v>
      </c>
      <c r="G331" s="14" t="str">
        <f>'2026 Orders'!G330</f>
        <v>WFSPLS-180-CS-CH</v>
      </c>
      <c r="H331" s="14" t="str">
        <f>'2026 Orders'!H330</f>
        <v>WFSPLS-180</v>
      </c>
      <c r="I331" s="15" t="str">
        <f>'2026 Orders'!I330</f>
        <v>CH</v>
      </c>
      <c r="J331" s="14">
        <f>'2026 Orders'!J330</f>
        <v>354</v>
      </c>
      <c r="K331" t="s">
        <v>894</v>
      </c>
      <c r="L331">
        <v>354</v>
      </c>
      <c r="M331">
        <v>0</v>
      </c>
      <c r="N331" s="10" t="str">
        <f>'2026 Orders'!N330</f>
        <v>Picked</v>
      </c>
      <c r="O331">
        <v>0</v>
      </c>
      <c r="P331" t="s">
        <v>1077</v>
      </c>
      <c r="Q331">
        <v>810131193782</v>
      </c>
      <c r="R331">
        <v>0</v>
      </c>
      <c r="S331">
        <v>0</v>
      </c>
      <c r="T331">
        <v>0</v>
      </c>
      <c r="U331" t="s">
        <v>1193</v>
      </c>
      <c r="V331">
        <v>0</v>
      </c>
      <c r="W331">
        <v>0</v>
      </c>
      <c r="X331">
        <v>0</v>
      </c>
      <c r="Y331">
        <v>0</v>
      </c>
      <c r="Z331">
        <v>0</v>
      </c>
      <c r="AC331" t="str">
        <f t="shared" si="10"/>
        <v>354/</v>
      </c>
      <c r="AD331" t="e">
        <f t="shared" si="11"/>
        <v>#VALUE!</v>
      </c>
    </row>
    <row r="332" spans="1:30" ht="33" hidden="1" customHeight="1" x14ac:dyDescent="0.3">
      <c r="A332">
        <v>46191</v>
      </c>
      <c r="B332" s="14" t="str">
        <f>'2026 Orders'!B331</f>
        <v>Chad</v>
      </c>
      <c r="C332" s="14" t="str">
        <f>'2026 Orders'!C331</f>
        <v>A4687</v>
      </c>
      <c r="D332" s="14">
        <v>0</v>
      </c>
      <c r="E332" s="17" t="str" cm="1">
        <f t="array" ref="E332">IF(C332=0,"",
HYPERLINK(
"#'2026 Orders'!C"&amp;
MATCH(1,
('2026 Orders'!C:C=C332)*
('2026 Orders'!G:G=G332)*
('2026 Orders'!N:N=N332),
0),
"Open "&amp;C332
))</f>
        <v>Open A4687</v>
      </c>
      <c r="F332" s="14" t="s">
        <v>896</v>
      </c>
      <c r="G332" s="14" t="str">
        <f>'2026 Orders'!G331</f>
        <v>MFSPLS-120-CS-CH</v>
      </c>
      <c r="H332" s="14" t="str">
        <f>'2026 Orders'!H331</f>
        <v>MFSPLS-120</v>
      </c>
      <c r="I332" s="15" t="str">
        <f>'2026 Orders'!I331</f>
        <v>CH</v>
      </c>
      <c r="J332" s="14">
        <f>'2026 Orders'!J331</f>
        <v>780</v>
      </c>
      <c r="K332" t="s">
        <v>898</v>
      </c>
      <c r="L332">
        <v>0</v>
      </c>
      <c r="M332">
        <v>0</v>
      </c>
      <c r="N332" s="10" t="str">
        <f>'2026 Orders'!N331</f>
        <v>PO submitted</v>
      </c>
      <c r="O332">
        <v>0</v>
      </c>
      <c r="P332" t="s">
        <v>1077</v>
      </c>
      <c r="Q332">
        <v>810131193775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C332" t="str">
        <f t="shared" si="10"/>
        <v>780/</v>
      </c>
      <c r="AD332" t="e">
        <f t="shared" si="11"/>
        <v>#VALUE!</v>
      </c>
    </row>
    <row r="333" spans="1:30" ht="33" hidden="1" customHeight="1" x14ac:dyDescent="0.3">
      <c r="A333">
        <v>46191</v>
      </c>
      <c r="B333" s="14" t="str">
        <f>'2026 Orders'!B332</f>
        <v>Chad</v>
      </c>
      <c r="C333" s="14" t="str">
        <f>'2026 Orders'!C332</f>
        <v>A4687</v>
      </c>
      <c r="D333" s="14">
        <v>0</v>
      </c>
      <c r="E333" s="17" t="str" cm="1">
        <f t="array" ref="E333">IF(C333=0,"",
HYPERLINK(
"#'2026 Orders'!C"&amp;
MATCH(1,
('2026 Orders'!C:C=C333)*
('2026 Orders'!G:G=G333)*
('2026 Orders'!N:N=N333),
0),
"Open "&amp;C333
))</f>
        <v>Open A4687</v>
      </c>
      <c r="F333" s="14" t="s">
        <v>899</v>
      </c>
      <c r="G333" s="14" t="str">
        <f>'2026 Orders'!G332</f>
        <v>FLORA30-30-FD</v>
      </c>
      <c r="H333" s="14" t="str">
        <f>'2026 Orders'!H332</f>
        <v>FLORA30-30</v>
      </c>
      <c r="I333" s="15" t="str">
        <f>'2026 Orders'!I332</f>
        <v>FD</v>
      </c>
      <c r="J333" s="14">
        <f>'2026 Orders'!J332</f>
        <v>1351</v>
      </c>
      <c r="K333" t="s">
        <v>900</v>
      </c>
      <c r="L333">
        <v>1351</v>
      </c>
      <c r="M333">
        <v>0</v>
      </c>
      <c r="N333" s="10" t="str">
        <f>'2026 Orders'!N332</f>
        <v>Rework</v>
      </c>
      <c r="O333">
        <v>0</v>
      </c>
      <c r="P333" t="s">
        <v>1077</v>
      </c>
      <c r="Q333">
        <v>810131193768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C333" t="str">
        <f t="shared" si="10"/>
        <v>1351/</v>
      </c>
      <c r="AD333" t="e">
        <f t="shared" si="11"/>
        <v>#VALUE!</v>
      </c>
    </row>
    <row r="334" spans="1:30" ht="33" hidden="1" customHeight="1" x14ac:dyDescent="0.3">
      <c r="A334">
        <v>46191</v>
      </c>
      <c r="B334" s="14" t="str">
        <f>'2026 Orders'!B333</f>
        <v>Chad</v>
      </c>
      <c r="C334" s="14" t="str">
        <f>'2026 Orders'!C333</f>
        <v>A4687</v>
      </c>
      <c r="D334" s="14">
        <v>0</v>
      </c>
      <c r="E334" s="17" t="str" cm="1">
        <f t="array" ref="E334">IF(C334=0,"",
HYPERLINK(
"#'2026 Orders'!C"&amp;
MATCH(1,
('2026 Orders'!C:C=C334)*
('2026 Orders'!G:G=G334)*
('2026 Orders'!N:N=N334),
0),
"Open "&amp;C334
))</f>
        <v>Open A4687</v>
      </c>
      <c r="F334" s="14" t="s">
        <v>901</v>
      </c>
      <c r="G334" s="14" t="str">
        <f>'2026 Orders'!G333</f>
        <v>PEDIAMU-50-FD</v>
      </c>
      <c r="H334" s="14" t="str">
        <f>'2026 Orders'!H333</f>
        <v>PEDIAMU-50</v>
      </c>
      <c r="I334" s="15" t="str">
        <f>'2026 Orders'!I333</f>
        <v>FD</v>
      </c>
      <c r="J334" s="14">
        <f>'2026 Orders'!J333</f>
        <v>1125</v>
      </c>
      <c r="K334" t="s">
        <v>902</v>
      </c>
      <c r="L334">
        <v>0</v>
      </c>
      <c r="M334">
        <v>0</v>
      </c>
      <c r="N334" s="10" t="str">
        <f>'2026 Orders'!N333</f>
        <v>Not Meet MOQ</v>
      </c>
      <c r="O334">
        <v>0</v>
      </c>
      <c r="P334" t="s">
        <v>1077</v>
      </c>
      <c r="Q334">
        <v>810131193829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C334" t="str">
        <f t="shared" si="10"/>
        <v>1125/</v>
      </c>
      <c r="AD334" t="e">
        <f t="shared" si="11"/>
        <v>#VALUE!</v>
      </c>
    </row>
    <row r="335" spans="1:30" ht="33" hidden="1" customHeight="1" x14ac:dyDescent="0.3">
      <c r="A335">
        <v>46191</v>
      </c>
      <c r="B335" s="14" t="str">
        <f>'2026 Orders'!B334</f>
        <v>Chad</v>
      </c>
      <c r="C335" s="14" t="str">
        <f>'2026 Orders'!C334</f>
        <v>A4687</v>
      </c>
      <c r="D335" s="14">
        <v>0</v>
      </c>
      <c r="E335" s="17" t="str" cm="1">
        <f t="array" ref="E335">IF(C335=0,"",
HYPERLINK(
"#'2026 Orders'!C"&amp;
MATCH(1,
('2026 Orders'!C:C=C335)*
('2026 Orders'!G:G=G335)*
('2026 Orders'!N:N=N335),
0),
"Open "&amp;C335
))</f>
        <v>Open A4687</v>
      </c>
      <c r="F335" s="14" t="s">
        <v>903</v>
      </c>
      <c r="G335" s="14" t="str">
        <f>'2026 Orders'!G334</f>
        <v>PEDIAZI-50-FD</v>
      </c>
      <c r="H335" s="14" t="str">
        <f>'2026 Orders'!H334</f>
        <v>PEDIAZI-50</v>
      </c>
      <c r="I335" s="15" t="str">
        <f>'2026 Orders'!I334</f>
        <v>FD</v>
      </c>
      <c r="J335" s="14">
        <f>'2026 Orders'!J334</f>
        <v>2100</v>
      </c>
      <c r="K335" t="s">
        <v>676</v>
      </c>
      <c r="L335">
        <v>0</v>
      </c>
      <c r="M335">
        <v>0</v>
      </c>
      <c r="N335" s="10" t="str">
        <f>'2026 Orders'!N334</f>
        <v>PO submitted</v>
      </c>
      <c r="O335">
        <v>0</v>
      </c>
      <c r="P335" t="s">
        <v>1077</v>
      </c>
      <c r="Q335">
        <v>810131193881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C335" t="str">
        <f t="shared" si="10"/>
        <v>2100/</v>
      </c>
      <c r="AD335" t="e">
        <f t="shared" si="11"/>
        <v>#VALUE!</v>
      </c>
    </row>
    <row r="336" spans="1:30" ht="33" hidden="1" customHeight="1" x14ac:dyDescent="0.3">
      <c r="A336">
        <v>46114</v>
      </c>
      <c r="B336" s="14" t="str">
        <f>'2026 Orders'!B335</f>
        <v>Chad</v>
      </c>
      <c r="C336" s="14" t="str">
        <f>'2026 Orders'!C335</f>
        <v>A4687</v>
      </c>
      <c r="D336" s="14">
        <v>0</v>
      </c>
      <c r="E336" s="17" t="str" cm="1">
        <f t="array" ref="E336">IF(C336=0,"",
HYPERLINK(
"#'2026 Orders'!C"&amp;
MATCH(1,
('2026 Orders'!C:C=C336)*
('2026 Orders'!G:G=G336)*
('2026 Orders'!N:N=N336),
0),
"Open "&amp;C336
))</f>
        <v>Open A4687</v>
      </c>
      <c r="F336" s="14" t="s">
        <v>904</v>
      </c>
      <c r="G336" s="14" t="str">
        <f>'2026 Orders'!G335</f>
        <v>OMEGA3-60-FD</v>
      </c>
      <c r="H336" s="14" t="str">
        <f>'2026 Orders'!H335</f>
        <v>OMEGA3-60</v>
      </c>
      <c r="I336" s="15" t="str">
        <f>'2026 Orders'!I335</f>
        <v>FD</v>
      </c>
      <c r="J336" s="14">
        <f>'2026 Orders'!J335</f>
        <v>504</v>
      </c>
      <c r="K336" t="s">
        <v>905</v>
      </c>
      <c r="L336">
        <v>0</v>
      </c>
      <c r="M336">
        <v>480</v>
      </c>
      <c r="N336" s="10" t="str">
        <f>'2026 Orders'!N335</f>
        <v>In Production</v>
      </c>
      <c r="O336">
        <v>0</v>
      </c>
      <c r="P336" t="s">
        <v>1077</v>
      </c>
      <c r="Q336">
        <v>810131193799</v>
      </c>
      <c r="R336">
        <v>9195</v>
      </c>
      <c r="S336">
        <v>5032</v>
      </c>
      <c r="T336" t="s">
        <v>1094</v>
      </c>
      <c r="U336" t="s">
        <v>1104</v>
      </c>
      <c r="V336" t="s">
        <v>488</v>
      </c>
      <c r="W336" t="s">
        <v>488</v>
      </c>
      <c r="X336" t="s">
        <v>488</v>
      </c>
      <c r="Y336" t="s">
        <v>488</v>
      </c>
      <c r="Z336">
        <v>0</v>
      </c>
      <c r="AC336" t="str">
        <f t="shared" si="10"/>
        <v>504/</v>
      </c>
      <c r="AD336" t="e">
        <f t="shared" si="11"/>
        <v>#VALUE!</v>
      </c>
    </row>
    <row r="337" spans="1:30" ht="33" hidden="1" customHeight="1" x14ac:dyDescent="0.3">
      <c r="A337">
        <v>46233</v>
      </c>
      <c r="B337" s="14" t="str">
        <f>'2026 Orders'!B336</f>
        <v>Chad</v>
      </c>
      <c r="C337" s="14" t="str">
        <f>'2026 Orders'!C336</f>
        <v>A4687</v>
      </c>
      <c r="D337" s="14">
        <v>0</v>
      </c>
      <c r="E337" s="17" t="str" cm="1">
        <f t="array" ref="E337">IF(C337=0,"",
HYPERLINK(
"#'2026 Orders'!C"&amp;
MATCH(1,
('2026 Orders'!C:C=C337)*
('2026 Orders'!G:G=G337)*
('2026 Orders'!N:N=N337),
0),
"Open "&amp;C337
))</f>
        <v>Open A4687</v>
      </c>
      <c r="F337" s="14" t="s">
        <v>906</v>
      </c>
      <c r="G337" s="14" t="str">
        <f>'2026 Orders'!G336</f>
        <v>UTIC-60-FD</v>
      </c>
      <c r="H337" s="14" t="str">
        <f>'2026 Orders'!H336</f>
        <v>UTIC-60</v>
      </c>
      <c r="I337" s="15" t="str">
        <f>'2026 Orders'!I336</f>
        <v>FD</v>
      </c>
      <c r="J337" s="14">
        <f>'2026 Orders'!J336</f>
        <v>378</v>
      </c>
      <c r="K337" t="s">
        <v>592</v>
      </c>
      <c r="L337">
        <v>378</v>
      </c>
      <c r="M337">
        <v>0</v>
      </c>
      <c r="N337" s="10" t="str">
        <f>'2026 Orders'!N336</f>
        <v>Rework</v>
      </c>
      <c r="O337">
        <v>0</v>
      </c>
      <c r="P337" t="s">
        <v>1077</v>
      </c>
      <c r="Q337" t="s">
        <v>1194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C337" t="str">
        <f t="shared" si="10"/>
        <v>378/</v>
      </c>
      <c r="AD337" t="e">
        <f t="shared" si="11"/>
        <v>#VALUE!</v>
      </c>
    </row>
    <row r="338" spans="1:30" ht="33" hidden="1" customHeight="1" x14ac:dyDescent="0.3">
      <c r="A338">
        <v>46233</v>
      </c>
      <c r="B338" s="14" t="str">
        <f>'2026 Orders'!B337</f>
        <v>Chad</v>
      </c>
      <c r="C338" s="14" t="str">
        <f>'2026 Orders'!C337</f>
        <v>A4687</v>
      </c>
      <c r="D338" s="14">
        <v>0</v>
      </c>
      <c r="E338" s="17" t="str" cm="1">
        <f t="array" ref="E338">IF(C338=0,"",
HYPERLINK(
"#'2026 Orders'!C"&amp;
MATCH(1,
('2026 Orders'!C:C=C338)*
('2026 Orders'!G:G=G338)*
('2026 Orders'!N:N=N338),
0),
"Open "&amp;C338
))</f>
        <v>Open A4687</v>
      </c>
      <c r="F338" s="14" t="s">
        <v>907</v>
      </c>
      <c r="G338" s="14" t="str">
        <f>'2026 Orders'!G337</f>
        <v>METRIO-60-FD</v>
      </c>
      <c r="H338" s="14" t="str">
        <f>'2026 Orders'!H337</f>
        <v>METRIO-60</v>
      </c>
      <c r="I338" s="15" t="str">
        <f>'2026 Orders'!I337</f>
        <v>FD</v>
      </c>
      <c r="J338" s="14">
        <f>'2026 Orders'!J337</f>
        <v>63</v>
      </c>
      <c r="K338" t="s">
        <v>789</v>
      </c>
      <c r="L338">
        <v>63</v>
      </c>
      <c r="M338">
        <v>0</v>
      </c>
      <c r="N338" s="10" t="str">
        <f>'2026 Orders'!N337</f>
        <v>Rework</v>
      </c>
      <c r="O338">
        <v>0</v>
      </c>
      <c r="P338" t="s">
        <v>1077</v>
      </c>
      <c r="Q338">
        <v>810131193768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C338" t="str">
        <f t="shared" si="10"/>
        <v>63/</v>
      </c>
      <c r="AD338" t="e">
        <f t="shared" si="11"/>
        <v>#VALUE!</v>
      </c>
    </row>
    <row r="339" spans="1:30" ht="33" hidden="1" customHeight="1" x14ac:dyDescent="0.3">
      <c r="A339">
        <v>46233</v>
      </c>
      <c r="B339" s="14" t="str">
        <f>'2026 Orders'!B338</f>
        <v>Chad</v>
      </c>
      <c r="C339" s="14" t="str">
        <f>'2026 Orders'!C338</f>
        <v>A4687</v>
      </c>
      <c r="D339" s="14">
        <v>0</v>
      </c>
      <c r="E339" s="17" t="str" cm="1">
        <f t="array" ref="E339">IF(C339=0,"",
HYPERLINK(
"#'2026 Orders'!C"&amp;
MATCH(1,
('2026 Orders'!C:C=C339)*
('2026 Orders'!G:G=G339)*
('2026 Orders'!N:N=N339),
0),
"Open "&amp;C339
))</f>
        <v>Open A4687</v>
      </c>
      <c r="F339" s="14" t="s">
        <v>908</v>
      </c>
      <c r="G339" s="14" t="str">
        <f>'2026 Orders'!G338</f>
        <v>VIVAWOM-60-FD</v>
      </c>
      <c r="H339" s="14" t="str">
        <f>'2026 Orders'!H338</f>
        <v>VIVAWOM-60</v>
      </c>
      <c r="I339" s="15" t="str">
        <f>'2026 Orders'!I338</f>
        <v>FD</v>
      </c>
      <c r="J339" s="14">
        <f>'2026 Orders'!J338</f>
        <v>126</v>
      </c>
      <c r="K339" t="s">
        <v>909</v>
      </c>
      <c r="L339">
        <v>126</v>
      </c>
      <c r="M339">
        <v>0</v>
      </c>
      <c r="N339" s="10" t="str">
        <f>'2026 Orders'!N338</f>
        <v>Rework</v>
      </c>
      <c r="O339">
        <v>0</v>
      </c>
      <c r="P339" t="s">
        <v>1077</v>
      </c>
      <c r="Q339">
        <v>810131193829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C339" t="str">
        <f t="shared" si="10"/>
        <v>126/</v>
      </c>
      <c r="AD339" t="e">
        <f t="shared" si="11"/>
        <v>#VALUE!</v>
      </c>
    </row>
    <row r="340" spans="1:30" ht="33" hidden="1" customHeight="1" x14ac:dyDescent="0.3">
      <c r="A340">
        <v>0</v>
      </c>
      <c r="B340" s="14" t="str">
        <f>'2026 Orders'!B339</f>
        <v>Chad</v>
      </c>
      <c r="C340" s="14" t="str">
        <f>'2026 Orders'!C339</f>
        <v>A4687</v>
      </c>
      <c r="D340" s="14">
        <v>0</v>
      </c>
      <c r="E340" s="17" t="str" cm="1">
        <f t="array" ref="E340">IF(C340=0,"",
HYPERLINK(
"#'2026 Orders'!C"&amp;
MATCH(1,
('2026 Orders'!C:C=C340)*
('2026 Orders'!G:G=G340)*
('2026 Orders'!N:N=N340),
0),
"Open "&amp;C340
))</f>
        <v>Open A4687</v>
      </c>
      <c r="F340" s="14" t="s">
        <v>910</v>
      </c>
      <c r="G340" s="14" t="str">
        <f>'2026 Orders'!G339</f>
        <v>FIBRO-60-CS-CH</v>
      </c>
      <c r="H340" s="14" t="str">
        <f>'2026 Orders'!H339</f>
        <v>FIBRO-60</v>
      </c>
      <c r="I340" s="15" t="str">
        <f>'2026 Orders'!I339</f>
        <v>CH</v>
      </c>
      <c r="J340" s="14">
        <f>'2026 Orders'!J339</f>
        <v>12</v>
      </c>
      <c r="K340" t="s">
        <v>912</v>
      </c>
      <c r="L340">
        <v>12</v>
      </c>
      <c r="M340">
        <v>0</v>
      </c>
      <c r="N340" s="10" t="str">
        <f>'2026 Orders'!N339</f>
        <v>Rework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C340" t="str">
        <f t="shared" si="10"/>
        <v>12/</v>
      </c>
      <c r="AD340" t="e">
        <f t="shared" si="11"/>
        <v>#VALUE!</v>
      </c>
    </row>
    <row r="341" spans="1:30" ht="33" hidden="1" customHeight="1" x14ac:dyDescent="0.3">
      <c r="A341">
        <v>46191</v>
      </c>
      <c r="B341" s="14" t="str">
        <f>'2026 Orders'!B340</f>
        <v>Chad</v>
      </c>
      <c r="C341" s="14" t="str">
        <f>'2026 Orders'!C340</f>
        <v>A4687</v>
      </c>
      <c r="D341" s="14">
        <v>0</v>
      </c>
      <c r="E341" s="17" t="str" cm="1">
        <f t="array" ref="E341">IF(C341=0,"",
HYPERLINK(
"#'2026 Orders'!C"&amp;
MATCH(1,
('2026 Orders'!C:C=C341)*
('2026 Orders'!G:G=G341)*
('2026 Orders'!N:N=N341),
0),
"Open "&amp;C341
))</f>
        <v>Open A4687</v>
      </c>
      <c r="F341" s="14" t="s">
        <v>910</v>
      </c>
      <c r="G341" s="14" t="str">
        <f>'2026 Orders'!G340</f>
        <v>OVAMAX-120-CS-CH</v>
      </c>
      <c r="H341" s="14" t="str">
        <f>'2026 Orders'!H340</f>
        <v>OVAMAX-120</v>
      </c>
      <c r="I341" s="15" t="str">
        <f>'2026 Orders'!I340</f>
        <v>CH</v>
      </c>
      <c r="J341" s="14">
        <f>'2026 Orders'!J340</f>
        <v>18</v>
      </c>
      <c r="K341" t="s">
        <v>914</v>
      </c>
      <c r="L341">
        <v>18</v>
      </c>
      <c r="M341">
        <v>0</v>
      </c>
      <c r="N341" s="10" t="str">
        <f>'2026 Orders'!N340</f>
        <v>Rework</v>
      </c>
      <c r="O341">
        <v>0</v>
      </c>
      <c r="P341" t="s">
        <v>1077</v>
      </c>
      <c r="Q341">
        <v>810131193881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 t="s">
        <v>1083</v>
      </c>
      <c r="AC341" t="str">
        <f t="shared" si="10"/>
        <v>18/</v>
      </c>
      <c r="AD341" t="e">
        <f t="shared" si="11"/>
        <v>#VALUE!</v>
      </c>
    </row>
    <row r="342" spans="1:30" ht="33" hidden="1" customHeight="1" x14ac:dyDescent="0.3">
      <c r="A342">
        <v>46189</v>
      </c>
      <c r="B342" s="14" t="str">
        <f>'2026 Orders'!B341</f>
        <v>Chad</v>
      </c>
      <c r="C342" s="14" t="str">
        <f>'2026 Orders'!C341</f>
        <v>A4687</v>
      </c>
      <c r="D342" s="14">
        <v>0</v>
      </c>
      <c r="E342" s="17" t="str" cm="1">
        <f t="array" ref="E342">IF(C342=0,"",
HYPERLINK(
"#'2026 Orders'!C"&amp;
MATCH(1,
('2026 Orders'!C:C=C342)*
('2026 Orders'!G:G=G342)*
('2026 Orders'!N:N=N342),
0),
"Open "&amp;C342
))</f>
        <v>Open A4687</v>
      </c>
      <c r="F342" s="14" t="s">
        <v>910</v>
      </c>
      <c r="G342" s="14" t="str">
        <f>'2026 Orders'!G341</f>
        <v>PRECON-180-CS-CH</v>
      </c>
      <c r="H342" s="14" t="str">
        <f>'2026 Orders'!H341</f>
        <v>PRECON-180</v>
      </c>
      <c r="I342" s="15" t="str">
        <f>'2026 Orders'!I341</f>
        <v>CH</v>
      </c>
      <c r="J342" s="14">
        <f>'2026 Orders'!J341</f>
        <v>24</v>
      </c>
      <c r="K342" t="s">
        <v>916</v>
      </c>
      <c r="L342">
        <v>0</v>
      </c>
      <c r="M342">
        <v>0</v>
      </c>
      <c r="N342" s="10" t="str">
        <f>'2026 Orders'!N341</f>
        <v>In Production</v>
      </c>
      <c r="O342">
        <v>0</v>
      </c>
      <c r="P342" t="s">
        <v>1077</v>
      </c>
      <c r="Q342">
        <v>810131193812</v>
      </c>
      <c r="R342">
        <v>7836</v>
      </c>
      <c r="S342">
        <v>5115</v>
      </c>
      <c r="T342">
        <v>46286</v>
      </c>
      <c r="U342" t="s">
        <v>1089</v>
      </c>
      <c r="V342">
        <v>0</v>
      </c>
      <c r="W342">
        <v>0</v>
      </c>
      <c r="X342">
        <v>0</v>
      </c>
      <c r="Y342">
        <v>0</v>
      </c>
      <c r="Z342">
        <v>0</v>
      </c>
      <c r="AC342" t="str">
        <f t="shared" si="10"/>
        <v>24/</v>
      </c>
      <c r="AD342" t="e">
        <f t="shared" si="11"/>
        <v>#VALUE!</v>
      </c>
    </row>
    <row r="343" spans="1:30" ht="33" hidden="1" customHeight="1" x14ac:dyDescent="0.3">
      <c r="A343">
        <v>46189</v>
      </c>
      <c r="B343" s="14" t="str">
        <f>'2026 Orders'!B342</f>
        <v>Chad</v>
      </c>
      <c r="C343" s="14" t="str">
        <f>'2026 Orders'!C342</f>
        <v>A4687</v>
      </c>
      <c r="D343" s="14">
        <v>0</v>
      </c>
      <c r="E343" s="17" t="str" cm="1">
        <f t="array" ref="E343">IF(C343=0,"",
HYPERLINK(
"#'2026 Orders'!C"&amp;
MATCH(1,
('2026 Orders'!C:C=C343)*
('2026 Orders'!G:G=G343)*
('2026 Orders'!N:N=N343),
0),
"Open "&amp;C343
))</f>
        <v>Open A4687</v>
      </c>
      <c r="F343" s="14" t="s">
        <v>910</v>
      </c>
      <c r="G343" s="14" t="str">
        <f>'2026 Orders'!G342</f>
        <v>QWELL4-30-SG-CS-CH</v>
      </c>
      <c r="H343" s="14" t="str">
        <f>'2026 Orders'!H342</f>
        <v>QWELL4-30</v>
      </c>
      <c r="I343" s="15" t="str">
        <f>'2026 Orders'!I342</f>
        <v>CH</v>
      </c>
      <c r="J343" s="14">
        <f>'2026 Orders'!J342</f>
        <v>12</v>
      </c>
      <c r="K343" t="s">
        <v>918</v>
      </c>
      <c r="L343">
        <v>12</v>
      </c>
      <c r="M343">
        <v>0</v>
      </c>
      <c r="N343" s="10" t="str">
        <f>'2026 Orders'!N342</f>
        <v>Rework</v>
      </c>
      <c r="O343">
        <v>0</v>
      </c>
      <c r="P343" t="s">
        <v>1077</v>
      </c>
      <c r="Q343">
        <v>810131193799</v>
      </c>
      <c r="R343">
        <v>5250</v>
      </c>
      <c r="S343">
        <v>5116</v>
      </c>
      <c r="T343">
        <v>46286</v>
      </c>
      <c r="U343" t="s">
        <v>1089</v>
      </c>
      <c r="V343">
        <v>0</v>
      </c>
      <c r="W343">
        <v>0</v>
      </c>
      <c r="X343">
        <v>0</v>
      </c>
      <c r="Y343">
        <v>0</v>
      </c>
      <c r="Z343">
        <v>0</v>
      </c>
      <c r="AC343" t="str">
        <f t="shared" si="10"/>
        <v>12/</v>
      </c>
      <c r="AD343" t="e">
        <f t="shared" si="11"/>
        <v>#VALUE!</v>
      </c>
    </row>
    <row r="344" spans="1:30" ht="33" hidden="1" customHeight="1" x14ac:dyDescent="0.3">
      <c r="A344">
        <v>46189</v>
      </c>
      <c r="B344" s="14" t="str">
        <f>'2026 Orders'!B343</f>
        <v>Chad</v>
      </c>
      <c r="C344" s="14" t="str">
        <f>'2026 Orders'!C343</f>
        <v>A4687</v>
      </c>
      <c r="D344" s="14">
        <v>0</v>
      </c>
      <c r="E344" s="17" t="str" cm="1">
        <f t="array" ref="E344">IF(C344=0,"",
HYPERLINK(
"#'2026 Orders'!C"&amp;
MATCH(1,
('2026 Orders'!C:C=C344)*
('2026 Orders'!G:G=G344)*
('2026 Orders'!N:N=N344),
0),
"Open "&amp;C344
))</f>
        <v>Open A4687</v>
      </c>
      <c r="F344" s="14" t="s">
        <v>910</v>
      </c>
      <c r="G344" s="14" t="str">
        <f>'2026 Orders'!G343</f>
        <v>VITAE4-60-CS-CH</v>
      </c>
      <c r="H344" s="14" t="str">
        <f>'2026 Orders'!H343</f>
        <v>VITAE4-60</v>
      </c>
      <c r="I344" s="15" t="str">
        <f>'2026 Orders'!I343</f>
        <v>CH</v>
      </c>
      <c r="J344" s="14">
        <f>'2026 Orders'!J343</f>
        <v>9</v>
      </c>
      <c r="K344" t="s">
        <v>920</v>
      </c>
      <c r="L344">
        <v>9</v>
      </c>
      <c r="M344">
        <v>0</v>
      </c>
      <c r="N344" s="10" t="str">
        <f>'2026 Orders'!N343</f>
        <v>Rework</v>
      </c>
      <c r="O344">
        <v>0</v>
      </c>
      <c r="P344" t="s">
        <v>1077</v>
      </c>
      <c r="Q344">
        <v>810131193898</v>
      </c>
      <c r="R344">
        <v>5000</v>
      </c>
      <c r="S344">
        <v>5117</v>
      </c>
      <c r="T344">
        <v>46286</v>
      </c>
      <c r="U344" t="s">
        <v>1089</v>
      </c>
      <c r="V344">
        <v>0</v>
      </c>
      <c r="W344">
        <v>0</v>
      </c>
      <c r="X344">
        <v>0</v>
      </c>
      <c r="Y344">
        <v>0</v>
      </c>
      <c r="Z344">
        <v>0</v>
      </c>
      <c r="AC344" t="str">
        <f t="shared" si="10"/>
        <v>9/</v>
      </c>
      <c r="AD344" t="e">
        <f t="shared" si="11"/>
        <v>#VALUE!</v>
      </c>
    </row>
    <row r="345" spans="1:30" ht="33" hidden="1" customHeight="1" x14ac:dyDescent="0.3">
      <c r="A345">
        <v>0</v>
      </c>
      <c r="B345" s="14" t="str">
        <f>'2026 Orders'!B344</f>
        <v>Chad</v>
      </c>
      <c r="C345" s="14" t="str">
        <f>'2026 Orders'!C344</f>
        <v>A4687</v>
      </c>
      <c r="D345" s="14">
        <v>0</v>
      </c>
      <c r="E345" s="17" t="str" cm="1">
        <f t="array" ref="E345">IF(C345=0,"",
HYPERLINK(
"#'2026 Orders'!C"&amp;
MATCH(1,
('2026 Orders'!C:C=C345)*
('2026 Orders'!G:G=G345)*
('2026 Orders'!N:N=N345),
0),
"Open "&amp;C345
))</f>
        <v>Open A4687</v>
      </c>
      <c r="F345" s="14" t="s">
        <v>910</v>
      </c>
      <c r="G345" s="14" t="str">
        <f>'2026 Orders'!G344</f>
        <v>CHARCO-100-FD</v>
      </c>
      <c r="H345" s="14" t="str">
        <f>'2026 Orders'!H344</f>
        <v>CHARCO-100</v>
      </c>
      <c r="I345" s="15" t="str">
        <f>'2026 Orders'!I344</f>
        <v>FD</v>
      </c>
      <c r="J345" s="14">
        <f>'2026 Orders'!J344</f>
        <v>12</v>
      </c>
      <c r="K345" t="s">
        <v>921</v>
      </c>
      <c r="L345">
        <v>12</v>
      </c>
      <c r="M345">
        <v>0</v>
      </c>
      <c r="N345" s="10" t="str">
        <f>'2026 Orders'!N344</f>
        <v>Rework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C345" t="str">
        <f t="shared" si="10"/>
        <v>12/</v>
      </c>
      <c r="AD345" t="e">
        <f t="shared" si="11"/>
        <v>#VALUE!</v>
      </c>
    </row>
    <row r="346" spans="1:30" ht="33" hidden="1" customHeight="1" x14ac:dyDescent="0.3">
      <c r="A346">
        <v>46191</v>
      </c>
      <c r="B346" s="14">
        <f>'2026 Orders'!B345</f>
        <v>0</v>
      </c>
      <c r="C346" s="14">
        <f>'2026 Orders'!C345</f>
        <v>0</v>
      </c>
      <c r="D346" s="14">
        <v>0</v>
      </c>
      <c r="E346" s="17" t="str" cm="1">
        <f t="array" ref="E346">IF(C346=0,"",
HYPERLINK(
"#'2026 Orders'!C"&amp;
MATCH(1,
('2026 Orders'!C:C=C346)*
('2026 Orders'!G:G=G346)*
('2026 Orders'!N:N=N346),
0),
"Open "&amp;C346
))</f>
        <v/>
      </c>
      <c r="F346" s="14">
        <v>0</v>
      </c>
      <c r="G346" s="14">
        <f>'2026 Orders'!G345</f>
        <v>0</v>
      </c>
      <c r="H346" s="14">
        <f>'2026 Orders'!H345</f>
        <v>0</v>
      </c>
      <c r="I346" s="15" t="str">
        <f>'2026 Orders'!I345</f>
        <v/>
      </c>
      <c r="J346" s="14">
        <f>'2026 Orders'!J345</f>
        <v>0</v>
      </c>
      <c r="K346">
        <v>0</v>
      </c>
      <c r="L346">
        <v>0</v>
      </c>
      <c r="M346">
        <v>0</v>
      </c>
      <c r="N346" s="10">
        <f>'2026 Orders'!N345</f>
        <v>0</v>
      </c>
      <c r="O346" t="s">
        <v>1195</v>
      </c>
      <c r="P346" t="s">
        <v>1085</v>
      </c>
      <c r="Q346">
        <v>604776737551</v>
      </c>
      <c r="R346">
        <v>5000</v>
      </c>
      <c r="S346">
        <v>5041</v>
      </c>
      <c r="T346">
        <v>46248</v>
      </c>
      <c r="U346" t="s">
        <v>1090</v>
      </c>
      <c r="V346">
        <v>0</v>
      </c>
      <c r="W346">
        <v>0</v>
      </c>
      <c r="X346">
        <v>0</v>
      </c>
      <c r="Y346">
        <v>0</v>
      </c>
      <c r="Z346" t="s">
        <v>1083</v>
      </c>
      <c r="AC346" t="str">
        <f t="shared" si="10"/>
        <v/>
      </c>
      <c r="AD346" t="str">
        <f t="shared" si="11"/>
        <v/>
      </c>
    </row>
    <row r="347" spans="1:30" ht="33" hidden="1" customHeight="1" x14ac:dyDescent="0.3">
      <c r="A347">
        <v>0</v>
      </c>
      <c r="B347" s="14" t="str">
        <f>'2026 Orders'!B346</f>
        <v>Morocco</v>
      </c>
      <c r="C347" s="14" t="str">
        <f>'2026 Orders'!C346</f>
        <v>A4688</v>
      </c>
      <c r="D347" s="14" t="s">
        <v>923</v>
      </c>
      <c r="E347" s="17" t="str" cm="1">
        <f t="array" ref="E347">IF(C347=0,"",
HYPERLINK(
"#'2026 Orders'!C"&amp;
MATCH(1,
('2026 Orders'!C:C=C347)*
('2026 Orders'!G:G=G347)*
('2026 Orders'!N:N=N347),
0),
"Open "&amp;C347
))</f>
        <v>Open A4688</v>
      </c>
      <c r="F347" s="14" t="s">
        <v>925</v>
      </c>
      <c r="G347" s="14" t="str">
        <f>'2026 Orders'!G346</f>
        <v>OMEGA3-90-CS-MO</v>
      </c>
      <c r="H347" s="14" t="str">
        <f>'2026 Orders'!H346</f>
        <v>OMEGA3-90</v>
      </c>
      <c r="I347" s="15" t="str">
        <f>'2026 Orders'!I346</f>
        <v>MO</v>
      </c>
      <c r="J347" s="14">
        <f>'2026 Orders'!J346</f>
        <v>13464</v>
      </c>
      <c r="K347" t="s">
        <v>926</v>
      </c>
      <c r="L347">
        <v>13464</v>
      </c>
      <c r="M347">
        <v>0</v>
      </c>
      <c r="N347" s="10" t="str">
        <f>'2026 Orders'!N346</f>
        <v>Out of Stock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C347" t="str">
        <f t="shared" si="10"/>
        <v>13464/</v>
      </c>
      <c r="AD347" t="e">
        <f t="shared" si="11"/>
        <v>#VALUE!</v>
      </c>
    </row>
    <row r="348" spans="1:30" ht="33" hidden="1" customHeight="1" x14ac:dyDescent="0.3">
      <c r="A348">
        <v>46191</v>
      </c>
      <c r="B348" s="14" t="str">
        <f>'2026 Orders'!B347</f>
        <v>Morocco</v>
      </c>
      <c r="C348" s="14" t="str">
        <f>'2026 Orders'!C347</f>
        <v>A4688</v>
      </c>
      <c r="D348" s="14" t="s">
        <v>927</v>
      </c>
      <c r="E348" s="17" t="str" cm="1">
        <f t="array" ref="E348">IF(C348=0,"",
HYPERLINK(
"#'2026 Orders'!C"&amp;
MATCH(1,
('2026 Orders'!C:C=C348)*
('2026 Orders'!G:G=G348)*
('2026 Orders'!N:N=N348),
0),
"Open "&amp;C348
))</f>
        <v>Open A4688</v>
      </c>
      <c r="F348" s="14" t="s">
        <v>928</v>
      </c>
      <c r="G348" s="14" t="str">
        <f>'2026 Orders'!G347</f>
        <v>OMEGA3-60-CS-MO</v>
      </c>
      <c r="H348" s="14" t="str">
        <f>'2026 Orders'!H347</f>
        <v>OMEGA3-60</v>
      </c>
      <c r="I348" s="15" t="str">
        <f>'2026 Orders'!I347</f>
        <v>MO</v>
      </c>
      <c r="J348" s="14">
        <f>'2026 Orders'!J347</f>
        <v>4496</v>
      </c>
      <c r="K348" t="s">
        <v>929</v>
      </c>
      <c r="L348">
        <v>4496</v>
      </c>
      <c r="M348">
        <v>0</v>
      </c>
      <c r="N348" s="10" t="str">
        <f>'2026 Orders'!N347</f>
        <v>Out of Stock</v>
      </c>
      <c r="O348">
        <v>0</v>
      </c>
      <c r="P348" t="s">
        <v>1085</v>
      </c>
      <c r="Q348">
        <v>604776737551</v>
      </c>
      <c r="R348">
        <v>5000</v>
      </c>
      <c r="S348">
        <v>5041</v>
      </c>
      <c r="T348">
        <v>46248</v>
      </c>
      <c r="U348" t="s">
        <v>1090</v>
      </c>
      <c r="V348">
        <v>0</v>
      </c>
      <c r="W348">
        <v>0</v>
      </c>
      <c r="X348">
        <v>0</v>
      </c>
      <c r="Y348">
        <v>0</v>
      </c>
      <c r="Z348" t="s">
        <v>1083</v>
      </c>
      <c r="AC348" t="str">
        <f t="shared" si="10"/>
        <v>4496/</v>
      </c>
      <c r="AD348" t="e">
        <f t="shared" si="11"/>
        <v>#VALUE!</v>
      </c>
    </row>
    <row r="349" spans="1:30" ht="33" hidden="1" customHeight="1" x14ac:dyDescent="0.3">
      <c r="A349">
        <v>46191</v>
      </c>
      <c r="B349" s="14">
        <f>'2026 Orders'!B348</f>
        <v>0</v>
      </c>
      <c r="C349" s="14">
        <f>'2026 Orders'!C348</f>
        <v>0</v>
      </c>
      <c r="D349" s="14">
        <v>0</v>
      </c>
      <c r="E349" s="17" t="str" cm="1">
        <f t="array" ref="E349">IF(C349=0,"",
HYPERLINK(
"#'2026 Orders'!C"&amp;
MATCH(1,
('2026 Orders'!C:C=C349)*
('2026 Orders'!G:G=G349)*
('2026 Orders'!N:N=N349),
0),
"Open "&amp;C349
))</f>
        <v/>
      </c>
      <c r="F349" s="14">
        <v>0</v>
      </c>
      <c r="G349" s="14">
        <f>'2026 Orders'!G348</f>
        <v>0</v>
      </c>
      <c r="H349" s="14">
        <f>'2026 Orders'!H348</f>
        <v>0</v>
      </c>
      <c r="I349" s="15" t="str">
        <f>'2026 Orders'!I348</f>
        <v/>
      </c>
      <c r="J349" s="14">
        <f>'2026 Orders'!J348</f>
        <v>0</v>
      </c>
      <c r="K349">
        <v>0</v>
      </c>
      <c r="L349">
        <v>0</v>
      </c>
      <c r="M349">
        <v>0</v>
      </c>
      <c r="N349" s="10">
        <f>'2026 Orders'!N348</f>
        <v>0</v>
      </c>
      <c r="O349">
        <v>0</v>
      </c>
      <c r="P349" t="s">
        <v>1085</v>
      </c>
      <c r="Q349" t="s">
        <v>1196</v>
      </c>
      <c r="R349" t="s">
        <v>1107</v>
      </c>
      <c r="S349">
        <v>5064</v>
      </c>
      <c r="T349" t="s">
        <v>1108</v>
      </c>
      <c r="U349" t="s">
        <v>1109</v>
      </c>
      <c r="V349">
        <v>0</v>
      </c>
      <c r="W349">
        <v>0</v>
      </c>
      <c r="X349">
        <v>0</v>
      </c>
      <c r="Y349">
        <v>0</v>
      </c>
      <c r="Z349">
        <v>0</v>
      </c>
      <c r="AC349" t="str">
        <f t="shared" si="10"/>
        <v/>
      </c>
      <c r="AD349" t="str">
        <f t="shared" si="11"/>
        <v/>
      </c>
    </row>
    <row r="350" spans="1:30" ht="33" hidden="1" customHeight="1" x14ac:dyDescent="0.3">
      <c r="A350">
        <v>46191</v>
      </c>
      <c r="B350" s="14" t="str">
        <f>'2026 Orders'!B349</f>
        <v>Lebanon</v>
      </c>
      <c r="C350" s="14" t="str">
        <f>'2026 Orders'!C349</f>
        <v>A4690</v>
      </c>
      <c r="D350" s="14" t="s">
        <v>932</v>
      </c>
      <c r="E350" s="17" t="str" cm="1">
        <f t="array" ref="E350">IF(C350=0,"",
HYPERLINK(
"#'2026 Orders'!C"&amp;
MATCH(1,
('2026 Orders'!C:C=C350)*
('2026 Orders'!G:G=G350)*
('2026 Orders'!N:N=N350),
0),
"Open "&amp;C350
))</f>
        <v>Open A4690</v>
      </c>
      <c r="F350" s="14" t="s">
        <v>934</v>
      </c>
      <c r="G350" s="14" t="str">
        <f>'2026 Orders'!G349</f>
        <v>MFSPLS-120-CS-LB</v>
      </c>
      <c r="H350" s="14" t="str">
        <f>'2026 Orders'!H349</f>
        <v>MFSPLS-120</v>
      </c>
      <c r="I350" s="15" t="str">
        <f>'2026 Orders'!I349</f>
        <v>LB</v>
      </c>
      <c r="J350" s="14">
        <f>'2026 Orders'!J349</f>
        <v>330</v>
      </c>
      <c r="K350" t="s">
        <v>935</v>
      </c>
      <c r="L350">
        <v>330</v>
      </c>
      <c r="M350">
        <v>0</v>
      </c>
      <c r="N350" s="10" t="str">
        <f>'2026 Orders'!N349</f>
        <v>Picked</v>
      </c>
      <c r="O350">
        <v>0</v>
      </c>
      <c r="P350" t="s">
        <v>1077</v>
      </c>
      <c r="Q350">
        <v>604776736998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C350" t="str">
        <f t="shared" si="10"/>
        <v>330/</v>
      </c>
      <c r="AD350" t="e">
        <f t="shared" si="11"/>
        <v>#VALUE!</v>
      </c>
    </row>
    <row r="351" spans="1:30" ht="33" hidden="1" customHeight="1" x14ac:dyDescent="0.3">
      <c r="A351">
        <v>0</v>
      </c>
      <c r="B351" s="14" t="str">
        <f>'2026 Orders'!B350</f>
        <v>Lebanon</v>
      </c>
      <c r="C351" s="14" t="str">
        <f>'2026 Orders'!C350</f>
        <v>A4690</v>
      </c>
      <c r="D351" s="14">
        <v>0</v>
      </c>
      <c r="E351" s="17" t="str" cm="1">
        <f t="array" ref="E351">IF(C351=0,"",
HYPERLINK(
"#'2026 Orders'!C"&amp;
MATCH(1,
('2026 Orders'!C:C=C351)*
('2026 Orders'!G:G=G351)*
('2026 Orders'!N:N=N351),
0),
"Open "&amp;C351
))</f>
        <v>Open A4690</v>
      </c>
      <c r="F351" s="14" t="s">
        <v>936</v>
      </c>
      <c r="G351" s="14" t="str">
        <f>'2026 Orders'!G350</f>
        <v>MOTILMX-60-CS-LB</v>
      </c>
      <c r="H351" s="14" t="str">
        <f>'2026 Orders'!H350</f>
        <v>MOTILMX-60</v>
      </c>
      <c r="I351" s="15" t="str">
        <f>'2026 Orders'!I350</f>
        <v>LB</v>
      </c>
      <c r="J351" s="14">
        <f>'2026 Orders'!J350</f>
        <v>330</v>
      </c>
      <c r="K351" t="s">
        <v>937</v>
      </c>
      <c r="L351">
        <v>330</v>
      </c>
      <c r="M351">
        <v>0</v>
      </c>
      <c r="N351" s="10" t="str">
        <f>'2026 Orders'!N350</f>
        <v>D/W Sent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C351" t="str">
        <f t="shared" si="10"/>
        <v>330/</v>
      </c>
      <c r="AD351" t="e">
        <f t="shared" si="11"/>
        <v>#VALUE!</v>
      </c>
    </row>
    <row r="352" spans="1:30" ht="33" hidden="1" customHeight="1" x14ac:dyDescent="0.3">
      <c r="A352">
        <v>46191</v>
      </c>
      <c r="B352" s="14" t="str">
        <f>'2026 Orders'!B351</f>
        <v>Lebanon</v>
      </c>
      <c r="C352" s="14" t="str">
        <f>'2026 Orders'!C351</f>
        <v>A4690</v>
      </c>
      <c r="D352" s="14">
        <v>0</v>
      </c>
      <c r="E352" s="17" t="str" cm="1">
        <f t="array" ref="E352">IF(C352=0,"",
HYPERLINK(
"#'2026 Orders'!C"&amp;
MATCH(1,
('2026 Orders'!C:C=C352)*
('2026 Orders'!G:G=G352)*
('2026 Orders'!N:N=N352),
0),
"Open "&amp;C352
))</f>
        <v>Open A4690</v>
      </c>
      <c r="F352" s="14" t="s">
        <v>938</v>
      </c>
      <c r="G352" s="14" t="str">
        <f>'2026 Orders'!G351</f>
        <v>SPERMCT-60-CS-LB</v>
      </c>
      <c r="H352" s="14" t="str">
        <f>'2026 Orders'!H351</f>
        <v>SPERMCT-60</v>
      </c>
      <c r="I352" s="15" t="str">
        <f>'2026 Orders'!I351</f>
        <v>LB</v>
      </c>
      <c r="J352" s="14">
        <f>'2026 Orders'!J351</f>
        <v>220</v>
      </c>
      <c r="K352" t="s">
        <v>939</v>
      </c>
      <c r="L352">
        <v>220</v>
      </c>
      <c r="M352">
        <v>0</v>
      </c>
      <c r="N352" s="10" t="str">
        <f>'2026 Orders'!N351</f>
        <v>D/W Sent</v>
      </c>
      <c r="O352">
        <v>0</v>
      </c>
      <c r="P352" t="s">
        <v>1077</v>
      </c>
      <c r="Q352">
        <v>604776736943</v>
      </c>
      <c r="R352">
        <v>7419</v>
      </c>
      <c r="S352">
        <v>5107</v>
      </c>
      <c r="T352">
        <v>46286</v>
      </c>
      <c r="U352" t="s">
        <v>1089</v>
      </c>
      <c r="V352">
        <v>0</v>
      </c>
      <c r="W352">
        <v>0</v>
      </c>
      <c r="X352">
        <v>0</v>
      </c>
      <c r="Y352">
        <v>0</v>
      </c>
      <c r="Z352" t="s">
        <v>1083</v>
      </c>
      <c r="AC352" t="str">
        <f t="shared" si="10"/>
        <v>220/</v>
      </c>
      <c r="AD352" t="e">
        <f t="shared" si="11"/>
        <v>#VALUE!</v>
      </c>
    </row>
    <row r="353" spans="1:30" ht="33" hidden="1" customHeight="1" x14ac:dyDescent="0.3">
      <c r="A353">
        <v>46191</v>
      </c>
      <c r="B353" s="14" t="str">
        <f>'2026 Orders'!B352</f>
        <v>Lebanon</v>
      </c>
      <c r="C353" s="14" t="str">
        <f>'2026 Orders'!C352</f>
        <v>A4690</v>
      </c>
      <c r="D353" s="14">
        <v>0</v>
      </c>
      <c r="E353" s="17" t="str" cm="1">
        <f t="array" ref="E353">IF(C353=0,"",
HYPERLINK(
"#'2026 Orders'!C"&amp;
MATCH(1,
('2026 Orders'!C:C=C353)*
('2026 Orders'!G:G=G353)*
('2026 Orders'!N:N=N353),
0),
"Open "&amp;C353
))</f>
        <v>Open A4690</v>
      </c>
      <c r="F353" s="14" t="s">
        <v>940</v>
      </c>
      <c r="G353" s="14" t="str">
        <f>'2026 Orders'!G352</f>
        <v>WFSPLS-180-CS-LB</v>
      </c>
      <c r="H353" s="14" t="str">
        <f>'2026 Orders'!H352</f>
        <v>WFSPLS-180</v>
      </c>
      <c r="I353" s="15" t="str">
        <f>'2026 Orders'!I352</f>
        <v>LB</v>
      </c>
      <c r="J353" s="14">
        <f>'2026 Orders'!J352</f>
        <v>350</v>
      </c>
      <c r="K353" t="s">
        <v>941</v>
      </c>
      <c r="L353">
        <v>350</v>
      </c>
      <c r="M353">
        <v>0</v>
      </c>
      <c r="N353" s="10" t="str">
        <f>'2026 Orders'!N352</f>
        <v>D/W Sent</v>
      </c>
      <c r="O353">
        <v>0</v>
      </c>
      <c r="P353" t="s">
        <v>1077</v>
      </c>
      <c r="Q353">
        <v>604776736936</v>
      </c>
      <c r="R353">
        <v>0</v>
      </c>
      <c r="S353">
        <v>0</v>
      </c>
      <c r="T353">
        <v>0</v>
      </c>
      <c r="U353" t="s">
        <v>1197</v>
      </c>
      <c r="V353">
        <v>0</v>
      </c>
      <c r="W353">
        <v>0</v>
      </c>
      <c r="X353">
        <v>0</v>
      </c>
      <c r="Y353">
        <v>0</v>
      </c>
      <c r="Z353">
        <v>0</v>
      </c>
      <c r="AC353" t="str">
        <f t="shared" si="10"/>
        <v>350/</v>
      </c>
      <c r="AD353" t="e">
        <f t="shared" si="11"/>
        <v>#VALUE!</v>
      </c>
    </row>
    <row r="354" spans="1:30" ht="33" hidden="1" customHeight="1" x14ac:dyDescent="0.3">
      <c r="A354">
        <v>0</v>
      </c>
      <c r="B354" s="14" t="str">
        <f>'2026 Orders'!B353</f>
        <v>Lebanon</v>
      </c>
      <c r="C354" s="14" t="str">
        <f>'2026 Orders'!C353</f>
        <v>A4690</v>
      </c>
      <c r="D354" s="14">
        <v>0</v>
      </c>
      <c r="E354" s="17" t="str" cm="1">
        <f t="array" ref="E354">IF(C354=0,"",
HYPERLINK(
"#'2026 Orders'!C"&amp;
MATCH(1,
('2026 Orders'!C:C=C354)*
('2026 Orders'!G:G=G354)*
('2026 Orders'!N:N=N354),
0),
"Open "&amp;C354
))</f>
        <v>Open A4690</v>
      </c>
      <c r="F354" s="14" t="s">
        <v>942</v>
      </c>
      <c r="G354" s="14" t="str">
        <f>'2026 Orders'!G353</f>
        <v>OVAMAX-120-CS-LB</v>
      </c>
      <c r="H354" s="14" t="str">
        <f>'2026 Orders'!H353</f>
        <v>OVAMAX-120</v>
      </c>
      <c r="I354" s="15" t="str">
        <f>'2026 Orders'!I353</f>
        <v>LB</v>
      </c>
      <c r="J354" s="14">
        <f>'2026 Orders'!J353</f>
        <v>385</v>
      </c>
      <c r="K354" t="s">
        <v>943</v>
      </c>
      <c r="L354">
        <v>385</v>
      </c>
      <c r="M354">
        <v>0</v>
      </c>
      <c r="N354" s="10" t="str">
        <f>'2026 Orders'!N353</f>
        <v>D/W Sent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C354" t="str">
        <f t="shared" si="10"/>
        <v>385/</v>
      </c>
      <c r="AD354" t="e">
        <f t="shared" si="11"/>
        <v>#VALUE!</v>
      </c>
    </row>
    <row r="355" spans="1:30" ht="33" hidden="1" customHeight="1" x14ac:dyDescent="0.3">
      <c r="A355">
        <v>46191</v>
      </c>
      <c r="B355" s="14" t="str">
        <f>'2026 Orders'!B354</f>
        <v>Lebanon</v>
      </c>
      <c r="C355" s="14" t="str">
        <f>'2026 Orders'!C354</f>
        <v>A4690</v>
      </c>
      <c r="D355" s="14">
        <v>0</v>
      </c>
      <c r="E355" s="17" t="str" cm="1">
        <f t="array" ref="E355">IF(C355=0,"",
HYPERLINK(
"#'2026 Orders'!C"&amp;
MATCH(1,
('2026 Orders'!C:C=C355)*
('2026 Orders'!G:G=G355)*
('2026 Orders'!N:N=N355),
0),
"Open "&amp;C355
))</f>
        <v>Open A4690</v>
      </c>
      <c r="F355" s="14" t="s">
        <v>944</v>
      </c>
      <c r="G355" s="14" t="str">
        <f>'2026 Orders'!G354</f>
        <v>PRECON-180-CS-LB</v>
      </c>
      <c r="H355" s="14" t="str">
        <f>'2026 Orders'!H354</f>
        <v>PRECON-180</v>
      </c>
      <c r="I355" s="15" t="str">
        <f>'2026 Orders'!I354</f>
        <v>LB</v>
      </c>
      <c r="J355" s="14">
        <f>'2026 Orders'!J354</f>
        <v>161</v>
      </c>
      <c r="K355" t="s">
        <v>945</v>
      </c>
      <c r="L355">
        <v>161</v>
      </c>
      <c r="M355">
        <v>0</v>
      </c>
      <c r="N355" s="10" t="str">
        <f>'2026 Orders'!N354</f>
        <v>Rework</v>
      </c>
      <c r="O355">
        <v>46217</v>
      </c>
      <c r="P355" t="s">
        <v>1085</v>
      </c>
      <c r="Q355" t="s">
        <v>1196</v>
      </c>
      <c r="R355" t="s">
        <v>1107</v>
      </c>
      <c r="S355">
        <v>5064</v>
      </c>
      <c r="T355" t="s">
        <v>1108</v>
      </c>
      <c r="U355" t="s">
        <v>1109</v>
      </c>
      <c r="V355">
        <v>0</v>
      </c>
      <c r="W355">
        <v>0</v>
      </c>
      <c r="X355">
        <v>0</v>
      </c>
      <c r="Y355">
        <v>0</v>
      </c>
      <c r="Z355" t="s">
        <v>1083</v>
      </c>
      <c r="AC355" t="str">
        <f t="shared" si="10"/>
        <v>161/</v>
      </c>
      <c r="AD355" t="e">
        <f t="shared" si="11"/>
        <v>#VALUE!</v>
      </c>
    </row>
    <row r="356" spans="1:30" ht="33" hidden="1" customHeight="1" x14ac:dyDescent="0.3">
      <c r="A356">
        <v>46191</v>
      </c>
      <c r="B356" s="14">
        <f>'2026 Orders'!B355</f>
        <v>0</v>
      </c>
      <c r="C356" s="14">
        <f>'2026 Orders'!C355</f>
        <v>0</v>
      </c>
      <c r="D356" s="14">
        <v>0</v>
      </c>
      <c r="E356" s="17" t="str" cm="1">
        <f t="array" ref="E356">IF(C356=0,"",
HYPERLINK(
"#'2026 Orders'!C"&amp;
MATCH(1,
('2026 Orders'!C:C=C356)*
('2026 Orders'!G:G=G356)*
('2026 Orders'!N:N=N356),
0),
"Open "&amp;C356
))</f>
        <v/>
      </c>
      <c r="F356" s="14">
        <v>0</v>
      </c>
      <c r="G356" s="14">
        <f>'2026 Orders'!G355</f>
        <v>0</v>
      </c>
      <c r="H356" s="14">
        <f>'2026 Orders'!H355</f>
        <v>0</v>
      </c>
      <c r="I356" s="15" t="str">
        <f>'2026 Orders'!I355</f>
        <v/>
      </c>
      <c r="J356" s="14">
        <f>'2026 Orders'!J355</f>
        <v>0</v>
      </c>
      <c r="K356">
        <v>0</v>
      </c>
      <c r="L356">
        <v>0</v>
      </c>
      <c r="M356">
        <v>0</v>
      </c>
      <c r="N356" s="10">
        <f>'2026 Orders'!N355</f>
        <v>0</v>
      </c>
      <c r="O356">
        <v>0</v>
      </c>
      <c r="P356" t="s">
        <v>1077</v>
      </c>
      <c r="Q356">
        <v>604776736882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C356" t="str">
        <f t="shared" si="10"/>
        <v/>
      </c>
      <c r="AD356" t="str">
        <f t="shared" si="11"/>
        <v/>
      </c>
    </row>
    <row r="357" spans="1:30" ht="33" hidden="1" customHeight="1" x14ac:dyDescent="0.3">
      <c r="A357">
        <v>46191</v>
      </c>
      <c r="B357" s="14" t="str">
        <f>'2026 Orders'!B356</f>
        <v>Iraq</v>
      </c>
      <c r="C357" s="14" t="str">
        <f>'2026 Orders'!C356</f>
        <v>A4691</v>
      </c>
      <c r="D357" s="14" t="s">
        <v>947</v>
      </c>
      <c r="E357" s="17" t="str" cm="1">
        <f t="array" ref="E357">IF(C357=0,"",
HYPERLINK(
"#'2026 Orders'!C"&amp;
MATCH(1,
('2026 Orders'!C:C=C357)*
('2026 Orders'!G:G=G357)*
('2026 Orders'!N:N=N357),
0),
"Open "&amp;C357
))</f>
        <v>Open A4691</v>
      </c>
      <c r="F357" s="14" t="s">
        <v>949</v>
      </c>
      <c r="G357" s="14" t="str">
        <f>'2026 Orders'!G356</f>
        <v>COQ100-125-FD</v>
      </c>
      <c r="H357" s="14" t="str">
        <f>'2026 Orders'!H356</f>
        <v>COQ100-125</v>
      </c>
      <c r="I357" s="15" t="str">
        <f>'2026 Orders'!I356</f>
        <v>FD</v>
      </c>
      <c r="J357" s="14">
        <f>'2026 Orders'!J356</f>
        <v>30</v>
      </c>
      <c r="K357" t="s">
        <v>772</v>
      </c>
      <c r="L357">
        <v>30</v>
      </c>
      <c r="M357">
        <v>0</v>
      </c>
      <c r="N357" s="10" t="str">
        <f>'2026 Orders'!N356</f>
        <v>Rework</v>
      </c>
      <c r="O357">
        <v>0</v>
      </c>
      <c r="P357" t="s">
        <v>1085</v>
      </c>
      <c r="Q357">
        <v>604776736905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C357" t="str">
        <f t="shared" si="10"/>
        <v>30/</v>
      </c>
      <c r="AD357" t="e">
        <f t="shared" si="11"/>
        <v>#VALUE!</v>
      </c>
    </row>
    <row r="358" spans="1:30" ht="33" hidden="1" customHeight="1" x14ac:dyDescent="0.3">
      <c r="A358">
        <v>0</v>
      </c>
      <c r="B358" s="14" t="str">
        <f>'2026 Orders'!B357</f>
        <v>Iraq</v>
      </c>
      <c r="C358" s="14" t="str">
        <f>'2026 Orders'!C357</f>
        <v>A4691</v>
      </c>
      <c r="D358" s="14" t="s">
        <v>950</v>
      </c>
      <c r="E358" s="17" t="str" cm="1">
        <f t="array" ref="E358">IF(C358=0,"",
HYPERLINK(
"#'2026 Orders'!C"&amp;
MATCH(1,
('2026 Orders'!C:C=C358)*
('2026 Orders'!G:G=G358)*
('2026 Orders'!N:N=N358),
0),
"Open "&amp;C358
))</f>
        <v>Open A4691</v>
      </c>
      <c r="F358" s="14" t="s">
        <v>951</v>
      </c>
      <c r="G358" s="14" t="str">
        <f>'2026 Orders'!G357</f>
        <v>MEMOUP-60-FD</v>
      </c>
      <c r="H358" s="14" t="str">
        <f>'2026 Orders'!H357</f>
        <v>MEMOUP-60</v>
      </c>
      <c r="I358" s="15" t="str">
        <f>'2026 Orders'!I357</f>
        <v>FD</v>
      </c>
      <c r="J358" s="14">
        <f>'2026 Orders'!J357</f>
        <v>30</v>
      </c>
      <c r="K358" t="s">
        <v>778</v>
      </c>
      <c r="L358">
        <v>30</v>
      </c>
      <c r="M358">
        <v>0</v>
      </c>
      <c r="N358" s="10" t="str">
        <f>'2026 Orders'!N357</f>
        <v>Rework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C358" t="str">
        <f t="shared" si="10"/>
        <v>30/</v>
      </c>
      <c r="AD358" t="e">
        <f t="shared" si="11"/>
        <v>#VALUE!</v>
      </c>
    </row>
    <row r="359" spans="1:30" ht="33" hidden="1" customHeight="1" x14ac:dyDescent="0.3">
      <c r="A359">
        <v>46191</v>
      </c>
      <c r="B359" s="14">
        <f>'2026 Orders'!B358</f>
        <v>0</v>
      </c>
      <c r="C359" s="14">
        <f>'2026 Orders'!C358</f>
        <v>0</v>
      </c>
      <c r="D359" s="14">
        <v>0</v>
      </c>
      <c r="E359" s="17" t="str" cm="1">
        <f t="array" ref="E359">IF(C359=0,"",
HYPERLINK(
"#'2026 Orders'!C"&amp;
MATCH(1,
('2026 Orders'!C:C=C359)*
('2026 Orders'!G:G=G359)*
('2026 Orders'!N:N=N359),
0),
"Open "&amp;C359
))</f>
        <v/>
      </c>
      <c r="F359" s="14">
        <v>0</v>
      </c>
      <c r="G359" s="14">
        <f>'2026 Orders'!G358</f>
        <v>0</v>
      </c>
      <c r="H359" s="14">
        <f>'2026 Orders'!H358</f>
        <v>0</v>
      </c>
      <c r="I359" s="15" t="str">
        <f>'2026 Orders'!I358</f>
        <v/>
      </c>
      <c r="J359" s="14">
        <f>'2026 Orders'!J358</f>
        <v>0</v>
      </c>
      <c r="K359">
        <v>0</v>
      </c>
      <c r="L359">
        <v>0</v>
      </c>
      <c r="M359">
        <v>0</v>
      </c>
      <c r="N359" s="10">
        <f>'2026 Orders'!N358</f>
        <v>0</v>
      </c>
      <c r="O359">
        <v>0</v>
      </c>
      <c r="P359" t="s">
        <v>1085</v>
      </c>
      <c r="Q359" t="s">
        <v>1196</v>
      </c>
      <c r="R359" t="s">
        <v>1107</v>
      </c>
      <c r="S359">
        <v>5064</v>
      </c>
      <c r="T359" t="s">
        <v>1108</v>
      </c>
      <c r="U359" t="s">
        <v>1109</v>
      </c>
      <c r="V359">
        <v>0</v>
      </c>
      <c r="W359">
        <v>0</v>
      </c>
      <c r="X359">
        <v>0</v>
      </c>
      <c r="Y359">
        <v>0</v>
      </c>
      <c r="Z359" t="s">
        <v>1083</v>
      </c>
      <c r="AC359" t="str">
        <f t="shared" si="10"/>
        <v/>
      </c>
      <c r="AD359" t="str">
        <f t="shared" si="11"/>
        <v/>
      </c>
    </row>
    <row r="360" spans="1:30" ht="33" hidden="1" customHeight="1" x14ac:dyDescent="0.3">
      <c r="A360">
        <v>0</v>
      </c>
      <c r="B360" s="14" t="str">
        <f>'2026 Orders'!B359</f>
        <v>Libya</v>
      </c>
      <c r="C360" s="14" t="str">
        <f>'2026 Orders'!C359</f>
        <v>A4692</v>
      </c>
      <c r="D360" s="14" t="s">
        <v>953</v>
      </c>
      <c r="E360" s="17" t="str" cm="1">
        <f t="array" ref="E360">IF(C360=0,"",
HYPERLINK(
"#'2026 Orders'!C"&amp;
MATCH(1,
('2026 Orders'!C:C=C360)*
('2026 Orders'!G:G=G360)*
('2026 Orders'!N:N=N360),
0),
"Open "&amp;C360
))</f>
        <v>Open A4692</v>
      </c>
      <c r="F360" s="14">
        <v>0</v>
      </c>
      <c r="G360" s="14" t="str">
        <f>'2026 Orders'!G359</f>
        <v>FERTMX-90-CS-LY</v>
      </c>
      <c r="H360" s="14" t="str">
        <f>'2026 Orders'!H359</f>
        <v>FERTMX-90</v>
      </c>
      <c r="I360" s="15" t="str">
        <f>'2026 Orders'!I359</f>
        <v>LY</v>
      </c>
      <c r="J360" s="14">
        <f>'2026 Orders'!J359</f>
        <v>1000</v>
      </c>
      <c r="K360" t="s">
        <v>955</v>
      </c>
      <c r="L360">
        <v>0</v>
      </c>
      <c r="M360">
        <v>1000</v>
      </c>
      <c r="N360" s="10" t="str">
        <f>'2026 Orders'!N359</f>
        <v>PO submitted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C360" t="str">
        <f t="shared" si="10"/>
        <v>1000/</v>
      </c>
      <c r="AD360" t="e">
        <f t="shared" si="11"/>
        <v>#VALUE!</v>
      </c>
    </row>
    <row r="361" spans="1:30" ht="33" hidden="1" customHeight="1" x14ac:dyDescent="0.3">
      <c r="A361">
        <v>46191</v>
      </c>
      <c r="B361" s="14" t="str">
        <f>'2026 Orders'!B360</f>
        <v>Libya</v>
      </c>
      <c r="C361" s="14" t="str">
        <f>'2026 Orders'!C360</f>
        <v>A4692</v>
      </c>
      <c r="D361" s="14" t="s">
        <v>956</v>
      </c>
      <c r="E361" s="17" t="str" cm="1">
        <f t="array" ref="E361">IF(C361=0,"",
HYPERLINK(
"#'2026 Orders'!C"&amp;
MATCH(1,
('2026 Orders'!C:C=C361)*
('2026 Orders'!G:G=G361)*
('2026 Orders'!N:N=N361),
0),
"Open "&amp;C361
))</f>
        <v>Open A4692</v>
      </c>
      <c r="F361" s="14">
        <v>0</v>
      </c>
      <c r="G361" s="14" t="str">
        <f>'2026 Orders'!G360</f>
        <v>FIBRO-60-CS-LY</v>
      </c>
      <c r="H361" s="14" t="str">
        <f>'2026 Orders'!H360</f>
        <v>FIBRO-60</v>
      </c>
      <c r="I361" s="15" t="str">
        <f>'2026 Orders'!I360</f>
        <v>LY</v>
      </c>
      <c r="J361" s="14">
        <f>'2026 Orders'!J360</f>
        <v>300</v>
      </c>
      <c r="K361" t="s">
        <v>957</v>
      </c>
      <c r="L361">
        <v>300</v>
      </c>
      <c r="M361">
        <v>0</v>
      </c>
      <c r="N361" s="10" t="str">
        <f>'2026 Orders'!N360</f>
        <v>Rework</v>
      </c>
      <c r="O361">
        <v>0</v>
      </c>
      <c r="P361" t="s">
        <v>1077</v>
      </c>
      <c r="Q361">
        <v>604776736943</v>
      </c>
      <c r="R361">
        <v>7419</v>
      </c>
      <c r="S361">
        <v>5107</v>
      </c>
      <c r="T361">
        <v>46286</v>
      </c>
      <c r="U361" t="s">
        <v>1089</v>
      </c>
      <c r="V361">
        <v>0</v>
      </c>
      <c r="W361">
        <v>0</v>
      </c>
      <c r="X361">
        <v>0</v>
      </c>
      <c r="Y361">
        <v>0</v>
      </c>
      <c r="Z361" t="s">
        <v>1083</v>
      </c>
      <c r="AC361" t="str">
        <f t="shared" si="10"/>
        <v>300/</v>
      </c>
      <c r="AD361" t="e">
        <f t="shared" si="11"/>
        <v>#VALUE!</v>
      </c>
    </row>
    <row r="362" spans="1:30" ht="33" hidden="1" customHeight="1" x14ac:dyDescent="0.3">
      <c r="A362">
        <v>46191</v>
      </c>
      <c r="B362" s="14" t="str">
        <f>'2026 Orders'!B361</f>
        <v>Libya</v>
      </c>
      <c r="C362" s="14" t="str">
        <f>'2026 Orders'!C361</f>
        <v>A4692</v>
      </c>
      <c r="D362" s="14">
        <v>0</v>
      </c>
      <c r="E362" s="17" t="str" cm="1">
        <f t="array" ref="E362">IF(C362=0,"",
HYPERLINK(
"#'2026 Orders'!C"&amp;
MATCH(1,
('2026 Orders'!C:C=C362)*
('2026 Orders'!G:G=G362)*
('2026 Orders'!N:N=N362),
0),
"Open "&amp;C362
))</f>
        <v>Open A4692</v>
      </c>
      <c r="F362" s="14">
        <v>0</v>
      </c>
      <c r="G362" s="14" t="str">
        <f>'2026 Orders'!G361</f>
        <v>MOTILMX-60-CS-LY</v>
      </c>
      <c r="H362" s="14" t="str">
        <f>'2026 Orders'!H361</f>
        <v>MOTILMX-60</v>
      </c>
      <c r="I362" s="15" t="str">
        <f>'2026 Orders'!I361</f>
        <v>LY</v>
      </c>
      <c r="J362" s="14">
        <f>'2026 Orders'!J361</f>
        <v>1500</v>
      </c>
      <c r="K362" t="s">
        <v>958</v>
      </c>
      <c r="L362">
        <v>1500</v>
      </c>
      <c r="M362">
        <v>0</v>
      </c>
      <c r="N362" s="10" t="str">
        <f>'2026 Orders'!N361</f>
        <v>Picked</v>
      </c>
      <c r="O362">
        <v>0</v>
      </c>
      <c r="P362" t="s">
        <v>1077</v>
      </c>
      <c r="Q362">
        <v>604776736936</v>
      </c>
      <c r="R362">
        <v>5000</v>
      </c>
      <c r="S362">
        <v>5108</v>
      </c>
      <c r="T362" t="s">
        <v>1108</v>
      </c>
      <c r="U362" t="s">
        <v>1197</v>
      </c>
      <c r="V362">
        <v>0</v>
      </c>
      <c r="W362">
        <v>0</v>
      </c>
      <c r="X362">
        <v>0</v>
      </c>
      <c r="Y362">
        <v>0</v>
      </c>
      <c r="Z362">
        <v>0</v>
      </c>
      <c r="AC362" t="str">
        <f t="shared" si="10"/>
        <v>1500/</v>
      </c>
      <c r="AD362" t="e">
        <f t="shared" si="11"/>
        <v>#VALUE!</v>
      </c>
    </row>
    <row r="363" spans="1:30" ht="33" hidden="1" customHeight="1" x14ac:dyDescent="0.3">
      <c r="A363">
        <v>0</v>
      </c>
      <c r="B363" s="14" t="str">
        <f>'2026 Orders'!B362</f>
        <v>Libya</v>
      </c>
      <c r="C363" s="14" t="str">
        <f>'2026 Orders'!C362</f>
        <v>A4692</v>
      </c>
      <c r="D363" s="14">
        <v>0</v>
      </c>
      <c r="E363" s="17" t="str" cm="1">
        <f t="array" ref="E363">IF(C363=0,"",
HYPERLINK(
"#'2026 Orders'!C"&amp;
MATCH(1,
('2026 Orders'!C:C=C363)*
('2026 Orders'!G:G=G363)*
('2026 Orders'!N:N=N363),
0),
"Open "&amp;C363
))</f>
        <v>Open A4692</v>
      </c>
      <c r="F363" s="14">
        <v>0</v>
      </c>
      <c r="G363" s="14" t="str">
        <f>'2026 Orders'!G362</f>
        <v>OVAMAX-120-CS-LY</v>
      </c>
      <c r="H363" s="14" t="str">
        <f>'2026 Orders'!H362</f>
        <v>OVAMAX-120</v>
      </c>
      <c r="I363" s="15" t="str">
        <f>'2026 Orders'!I362</f>
        <v>LY</v>
      </c>
      <c r="J363" s="14">
        <f>'2026 Orders'!J362</f>
        <v>1500</v>
      </c>
      <c r="K363" t="s">
        <v>731</v>
      </c>
      <c r="L363">
        <v>1500</v>
      </c>
      <c r="M363">
        <v>0</v>
      </c>
      <c r="N363" s="10" t="str">
        <f>'2026 Orders'!N362</f>
        <v>In Production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C363" t="str">
        <f t="shared" si="10"/>
        <v>1500/</v>
      </c>
      <c r="AD363" t="e">
        <f t="shared" si="11"/>
        <v>#VALUE!</v>
      </c>
    </row>
    <row r="364" spans="1:30" ht="33" hidden="1" customHeight="1" x14ac:dyDescent="0.3">
      <c r="A364">
        <v>46191</v>
      </c>
      <c r="B364" s="14" t="str">
        <f>'2026 Orders'!B363</f>
        <v>Libya</v>
      </c>
      <c r="C364" s="14" t="str">
        <f>'2026 Orders'!C363</f>
        <v>A4692</v>
      </c>
      <c r="D364" s="14">
        <v>0</v>
      </c>
      <c r="E364" s="17" t="str" cm="1">
        <f t="array" ref="E364">IF(C364=0,"",
HYPERLINK(
"#'2026 Orders'!C"&amp;
MATCH(1,
('2026 Orders'!C:C=C364)*
('2026 Orders'!G:G=G364)*
('2026 Orders'!N:N=N364),
0),
"Open "&amp;C364
))</f>
        <v>Open A4692</v>
      </c>
      <c r="F364" s="14">
        <v>0</v>
      </c>
      <c r="G364" s="14" t="str">
        <f>'2026 Orders'!G363</f>
        <v>POLYSIT-90-CS-LY</v>
      </c>
      <c r="H364" s="14" t="str">
        <f>'2026 Orders'!H363</f>
        <v>POLYSIT-90</v>
      </c>
      <c r="I364" s="15" t="str">
        <f>'2026 Orders'!I363</f>
        <v>LY</v>
      </c>
      <c r="J364" s="14">
        <f>'2026 Orders'!J363</f>
        <v>300</v>
      </c>
      <c r="K364" t="s">
        <v>735</v>
      </c>
      <c r="L364">
        <v>0</v>
      </c>
      <c r="M364">
        <v>300</v>
      </c>
      <c r="N364" s="10" t="str">
        <f>'2026 Orders'!N363</f>
        <v>In Production</v>
      </c>
      <c r="O364">
        <v>46217</v>
      </c>
      <c r="P364" t="s">
        <v>1077</v>
      </c>
      <c r="Q364">
        <v>604776736882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 t="s">
        <v>1083</v>
      </c>
      <c r="AC364" t="str">
        <f t="shared" si="10"/>
        <v>300/</v>
      </c>
      <c r="AD364" t="e">
        <f t="shared" si="11"/>
        <v>#VALUE!</v>
      </c>
    </row>
    <row r="365" spans="1:30" ht="33" hidden="1" customHeight="1" x14ac:dyDescent="0.3">
      <c r="A365">
        <v>46191</v>
      </c>
      <c r="B365" s="14" t="str">
        <f>'2026 Orders'!B364</f>
        <v>Libya</v>
      </c>
      <c r="C365" s="14" t="str">
        <f>'2026 Orders'!C364</f>
        <v>A4692</v>
      </c>
      <c r="D365" s="14">
        <v>0</v>
      </c>
      <c r="E365" s="17" t="str" cm="1">
        <f t="array" ref="E365">IF(C365=0,"",
HYPERLINK(
"#'2026 Orders'!C"&amp;
MATCH(1,
('2026 Orders'!C:C=C365)*
('2026 Orders'!G:G=G365)*
('2026 Orders'!N:N=N365),
0),
"Open "&amp;C365
))</f>
        <v>Open A4692</v>
      </c>
      <c r="F365" s="14">
        <v>0</v>
      </c>
      <c r="G365" s="14" t="str">
        <f>'2026 Orders'!G364</f>
        <v>PENAMAX-60-GE-FD</v>
      </c>
      <c r="H365" s="14" t="str">
        <f>'2026 Orders'!H364</f>
        <v>PENAMAX-60</v>
      </c>
      <c r="I365" s="15" t="str">
        <f>'2026 Orders'!I364</f>
        <v>FD</v>
      </c>
      <c r="J365" s="14">
        <f>'2026 Orders'!J364</f>
        <v>800</v>
      </c>
      <c r="K365" t="s">
        <v>451</v>
      </c>
      <c r="L365">
        <v>800</v>
      </c>
      <c r="M365">
        <v>0</v>
      </c>
      <c r="N365" s="10" t="str">
        <f>'2026 Orders'!N364</f>
        <v>Rework</v>
      </c>
      <c r="O365">
        <v>0</v>
      </c>
      <c r="P365" t="s">
        <v>1085</v>
      </c>
      <c r="Q365">
        <v>604776736905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C365" t="str">
        <f t="shared" si="10"/>
        <v>800/</v>
      </c>
      <c r="AD365" t="e">
        <f t="shared" si="11"/>
        <v>#VALUE!</v>
      </c>
    </row>
    <row r="366" spans="1:30" ht="33" hidden="1" customHeight="1" x14ac:dyDescent="0.3">
      <c r="A366">
        <v>0</v>
      </c>
      <c r="B366" s="14" t="str">
        <f>'2026 Orders'!B365</f>
        <v>Libya</v>
      </c>
      <c r="C366" s="14" t="str">
        <f>'2026 Orders'!C365</f>
        <v>A4692</v>
      </c>
      <c r="D366" s="14">
        <v>0</v>
      </c>
      <c r="E366" s="17" t="str" cm="1">
        <f t="array" ref="E366">IF(C366=0,"",
HYPERLINK(
"#'2026 Orders'!C"&amp;
MATCH(1,
('2026 Orders'!C:C=C366)*
('2026 Orders'!G:G=G366)*
('2026 Orders'!N:N=N366),
0),
"Open "&amp;C366
))</f>
        <v>Open A4692</v>
      </c>
      <c r="F366" s="14">
        <v>0</v>
      </c>
      <c r="G366" s="14" t="str">
        <f>'2026 Orders'!G365</f>
        <v>WFSPLS-180-CS-LY</v>
      </c>
      <c r="H366" s="14" t="str">
        <f>'2026 Orders'!H365</f>
        <v>WFSPLS-180</v>
      </c>
      <c r="I366" s="15" t="str">
        <f>'2026 Orders'!I365</f>
        <v>LY</v>
      </c>
      <c r="J366" s="14">
        <f>'2026 Orders'!J365</f>
        <v>500</v>
      </c>
      <c r="K366" t="s">
        <v>959</v>
      </c>
      <c r="L366">
        <v>0</v>
      </c>
      <c r="M366">
        <v>500</v>
      </c>
      <c r="N366" s="10" t="str">
        <f>'2026 Orders'!N365</f>
        <v>PO Drafted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C366" t="str">
        <f t="shared" si="10"/>
        <v>500/</v>
      </c>
      <c r="AD366" t="e">
        <f t="shared" si="11"/>
        <v>#VALUE!</v>
      </c>
    </row>
    <row r="367" spans="1:30" ht="33" hidden="1" customHeight="1" x14ac:dyDescent="0.3">
      <c r="A367">
        <v>46195</v>
      </c>
      <c r="B367" s="14" t="str">
        <f>'2026 Orders'!B366</f>
        <v>Libya</v>
      </c>
      <c r="C367" s="14" t="str">
        <f>'2026 Orders'!C366</f>
        <v>A4692</v>
      </c>
      <c r="D367" s="14">
        <v>0</v>
      </c>
      <c r="E367" s="17" t="str" cm="1">
        <f t="array" ref="E367">IF(C367=0,"",
HYPERLINK(
"#'2026 Orders'!C"&amp;
MATCH(1,
('2026 Orders'!C:C=C367)*
('2026 Orders'!G:G=G367)*
('2026 Orders'!N:N=N367),
0),
"Open "&amp;C367
))</f>
        <v>Open A4692</v>
      </c>
      <c r="F367" s="14">
        <v>0</v>
      </c>
      <c r="G367" s="14" t="str">
        <f>'2026 Orders'!G366</f>
        <v>SPERMCT-60-CS-LY</v>
      </c>
      <c r="H367" s="14" t="str">
        <f>'2026 Orders'!H366</f>
        <v>SPERMCT-60</v>
      </c>
      <c r="I367" s="15" t="str">
        <f>'2026 Orders'!I366</f>
        <v>LY</v>
      </c>
      <c r="J367" s="14">
        <f>'2026 Orders'!J366</f>
        <v>200</v>
      </c>
      <c r="K367" t="s">
        <v>960</v>
      </c>
      <c r="L367">
        <v>200</v>
      </c>
      <c r="M367">
        <v>0</v>
      </c>
      <c r="N367" s="10" t="str">
        <f>'2026 Orders'!N366</f>
        <v>Rework</v>
      </c>
      <c r="O367">
        <v>0</v>
      </c>
      <c r="P367" t="s">
        <v>1085</v>
      </c>
      <c r="Q367" t="s">
        <v>1108</v>
      </c>
      <c r="R367">
        <v>5000</v>
      </c>
      <c r="S367">
        <v>5110</v>
      </c>
      <c r="T367" t="s">
        <v>1108</v>
      </c>
      <c r="U367" t="s">
        <v>1198</v>
      </c>
      <c r="V367">
        <v>0</v>
      </c>
      <c r="W367">
        <v>0</v>
      </c>
      <c r="X367">
        <v>0</v>
      </c>
      <c r="Y367">
        <v>0</v>
      </c>
      <c r="Z367" t="s">
        <v>1086</v>
      </c>
      <c r="AC367" t="str">
        <f t="shared" si="10"/>
        <v>200/</v>
      </c>
      <c r="AD367" t="e">
        <f t="shared" si="11"/>
        <v>#VALUE!</v>
      </c>
    </row>
    <row r="368" spans="1:30" ht="33" hidden="1" customHeight="1" x14ac:dyDescent="0.3">
      <c r="A368">
        <v>0</v>
      </c>
      <c r="B368" s="14" t="str">
        <f>'2026 Orders'!B367</f>
        <v>Libya</v>
      </c>
      <c r="C368" s="14" t="str">
        <f>'2026 Orders'!C367</f>
        <v>A4692</v>
      </c>
      <c r="D368" s="14">
        <v>0</v>
      </c>
      <c r="E368" s="17" t="str" cm="1">
        <f t="array" ref="E368">IF(C368=0,"",
HYPERLINK(
"#'2026 Orders'!C"&amp;
MATCH(1,
('2026 Orders'!C:C=C368)*
('2026 Orders'!G:G=G368)*
('2026 Orders'!N:N=N368),
0),
"Open "&amp;C368
))</f>
        <v>Open A4692</v>
      </c>
      <c r="F368" s="14">
        <v>0</v>
      </c>
      <c r="G368" s="14" t="str">
        <f>'2026 Orders'!G367</f>
        <v>GRAVFER-90-CS-GO</v>
      </c>
      <c r="H368" s="14" t="str">
        <f>'2026 Orders'!H367</f>
        <v>GRAVFER-90</v>
      </c>
      <c r="I368" s="15" t="str">
        <f>'2026 Orders'!I367</f>
        <v>GO</v>
      </c>
      <c r="J368" s="14">
        <f>'2026 Orders'!J367</f>
        <v>1000</v>
      </c>
      <c r="K368" t="s">
        <v>962</v>
      </c>
      <c r="L368">
        <v>0</v>
      </c>
      <c r="M368">
        <v>1000</v>
      </c>
      <c r="N368" s="10" t="str">
        <f>'2026 Orders'!N367</f>
        <v>Not Meet MOQ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C368" t="str">
        <f t="shared" si="10"/>
        <v>1000/</v>
      </c>
      <c r="AD368" t="e">
        <f t="shared" si="11"/>
        <v>#VALUE!</v>
      </c>
    </row>
    <row r="369" spans="1:30" ht="33" hidden="1" customHeight="1" x14ac:dyDescent="0.3">
      <c r="A369">
        <v>46202</v>
      </c>
      <c r="B369" s="14" t="str">
        <f>'2026 Orders'!B368</f>
        <v>Libya</v>
      </c>
      <c r="C369" s="14" t="str">
        <f>'2026 Orders'!C368</f>
        <v>A4692</v>
      </c>
      <c r="D369" s="14">
        <v>0</v>
      </c>
      <c r="E369" s="17" t="str" cm="1">
        <f t="array" ref="E369">IF(C369=0,"",
HYPERLINK(
"#'2026 Orders'!C"&amp;
MATCH(1,
('2026 Orders'!C:C=C369)*
('2026 Orders'!G:G=G369)*
('2026 Orders'!N:N=N369),
0),
"Open "&amp;C369
))</f>
        <v>Open A4692</v>
      </c>
      <c r="F369" s="14">
        <v>0</v>
      </c>
      <c r="G369" s="14" t="str">
        <f>'2026 Orders'!G368</f>
        <v>LIPODIS-60-FD</v>
      </c>
      <c r="H369" s="14" t="str">
        <f>'2026 Orders'!H368</f>
        <v>LIPODIS-60</v>
      </c>
      <c r="I369" s="15" t="str">
        <f>'2026 Orders'!I368</f>
        <v>FD</v>
      </c>
      <c r="J369" s="14">
        <f>'2026 Orders'!J368</f>
        <v>800</v>
      </c>
      <c r="K369" t="s">
        <v>647</v>
      </c>
      <c r="L369">
        <v>779</v>
      </c>
      <c r="M369">
        <v>21</v>
      </c>
      <c r="N369" s="10" t="str">
        <f>'2026 Orders'!N368</f>
        <v>Rework</v>
      </c>
      <c r="O369">
        <v>0</v>
      </c>
      <c r="P369" t="s">
        <v>1077</v>
      </c>
      <c r="Q369">
        <v>609788968344</v>
      </c>
      <c r="R369">
        <v>9524</v>
      </c>
      <c r="S369">
        <v>5109</v>
      </c>
      <c r="T369">
        <v>46286</v>
      </c>
      <c r="U369" t="s">
        <v>1089</v>
      </c>
      <c r="V369">
        <v>0</v>
      </c>
      <c r="W369">
        <v>0</v>
      </c>
      <c r="X369">
        <v>0</v>
      </c>
      <c r="Y369">
        <v>0</v>
      </c>
      <c r="Z369" t="s">
        <v>1086</v>
      </c>
      <c r="AC369" t="str">
        <f t="shared" si="10"/>
        <v>800/</v>
      </c>
      <c r="AD369" t="e">
        <f t="shared" si="11"/>
        <v>#VALUE!</v>
      </c>
    </row>
    <row r="370" spans="1:30" ht="33" hidden="1" customHeight="1" x14ac:dyDescent="0.3">
      <c r="A370">
        <v>46202</v>
      </c>
      <c r="B370" s="14" t="str">
        <f>'2026 Orders'!B369</f>
        <v>Libya</v>
      </c>
      <c r="C370" s="14" t="str">
        <f>'2026 Orders'!C369</f>
        <v>A4692</v>
      </c>
      <c r="D370" s="14">
        <v>0</v>
      </c>
      <c r="E370" s="17" t="str" cm="1">
        <f t="array" ref="E370">IF(C370=0,"",
HYPERLINK(
"#'2026 Orders'!C"&amp;
MATCH(1,
('2026 Orders'!C:C=C370)*
('2026 Orders'!G:G=G370)*
('2026 Orders'!N:N=N370),
0),
"Open "&amp;C370
))</f>
        <v>Open A4692</v>
      </c>
      <c r="F370" s="14">
        <v>0</v>
      </c>
      <c r="G370" s="14" t="str">
        <f>'2026 Orders'!G369</f>
        <v>OSTEOPL-96-FD</v>
      </c>
      <c r="H370" s="14" t="str">
        <f>'2026 Orders'!H369</f>
        <v>OSTEOPL-96</v>
      </c>
      <c r="I370" s="15" t="str">
        <f>'2026 Orders'!I369</f>
        <v>FD</v>
      </c>
      <c r="J370" s="14">
        <f>'2026 Orders'!J369</f>
        <v>300</v>
      </c>
      <c r="K370" t="s">
        <v>621</v>
      </c>
      <c r="L370">
        <v>300</v>
      </c>
      <c r="M370">
        <v>0</v>
      </c>
      <c r="N370" s="10" t="str">
        <f>'2026 Orders'!N369</f>
        <v>Rework</v>
      </c>
      <c r="O370">
        <v>0</v>
      </c>
      <c r="P370" t="s">
        <v>1077</v>
      </c>
      <c r="Q370">
        <v>609788968351</v>
      </c>
      <c r="R370">
        <v>7572</v>
      </c>
      <c r="S370">
        <v>5043</v>
      </c>
      <c r="T370">
        <v>46286</v>
      </c>
      <c r="U370" t="s">
        <v>1089</v>
      </c>
      <c r="V370">
        <v>0</v>
      </c>
      <c r="W370">
        <v>0</v>
      </c>
      <c r="X370">
        <v>0</v>
      </c>
      <c r="Y370">
        <v>0</v>
      </c>
      <c r="Z370">
        <v>0</v>
      </c>
      <c r="AC370" t="str">
        <f t="shared" si="10"/>
        <v>300/</v>
      </c>
      <c r="AD370" t="e">
        <f t="shared" si="11"/>
        <v>#VALUE!</v>
      </c>
    </row>
    <row r="371" spans="1:30" ht="33" hidden="1" customHeight="1" x14ac:dyDescent="0.3">
      <c r="A371">
        <v>46202</v>
      </c>
      <c r="B371" s="14" t="str">
        <f>'2026 Orders'!B370</f>
        <v>Libya</v>
      </c>
      <c r="C371" s="14" t="str">
        <f>'2026 Orders'!C370</f>
        <v>A4692</v>
      </c>
      <c r="D371" s="14">
        <v>0</v>
      </c>
      <c r="E371" s="17" t="str" cm="1">
        <f t="array" ref="E371">IF(C371=0,"",
HYPERLINK(
"#'2026 Orders'!C"&amp;
MATCH(1,
('2026 Orders'!C:C=C371)*
('2026 Orders'!G:G=G371)*
('2026 Orders'!N:N=N371),
0),
"Open "&amp;C371
))</f>
        <v>Open A4692</v>
      </c>
      <c r="F371" s="14">
        <v>0</v>
      </c>
      <c r="G371" s="14" t="str">
        <f>'2026 Orders'!G370</f>
        <v xml:space="preserve">UTIC-60-FD </v>
      </c>
      <c r="H371" s="14" t="str">
        <f>'2026 Orders'!H370</f>
        <v>UTIC-60</v>
      </c>
      <c r="I371" s="15" t="str">
        <f>'2026 Orders'!I370</f>
        <v xml:space="preserve">FD </v>
      </c>
      <c r="J371" s="14">
        <f>'2026 Orders'!J370</f>
        <v>500</v>
      </c>
      <c r="K371" t="s">
        <v>964</v>
      </c>
      <c r="L371">
        <v>0</v>
      </c>
      <c r="M371">
        <v>500</v>
      </c>
      <c r="N371" s="10" t="str">
        <f>'2026 Orders'!N370</f>
        <v>Rework</v>
      </c>
      <c r="O371">
        <v>0</v>
      </c>
      <c r="P371" t="s">
        <v>1077</v>
      </c>
      <c r="Q371">
        <v>609788968375</v>
      </c>
      <c r="R371">
        <v>5000</v>
      </c>
      <c r="S371">
        <v>5060</v>
      </c>
      <c r="T371">
        <v>46231</v>
      </c>
      <c r="U371" t="s">
        <v>1199</v>
      </c>
      <c r="V371">
        <v>0</v>
      </c>
      <c r="W371">
        <v>0</v>
      </c>
      <c r="X371">
        <v>0</v>
      </c>
      <c r="Y371">
        <v>0</v>
      </c>
      <c r="Z371">
        <v>0</v>
      </c>
      <c r="AC371" t="str">
        <f t="shared" si="10"/>
        <v>500/</v>
      </c>
      <c r="AD371" t="e">
        <f t="shared" si="11"/>
        <v>#VALUE!</v>
      </c>
    </row>
    <row r="372" spans="1:30" ht="33" hidden="1" customHeight="1" x14ac:dyDescent="0.3">
      <c r="A372">
        <v>46202</v>
      </c>
      <c r="B372" s="14" t="str">
        <f>'2026 Orders'!B371</f>
        <v>Libya</v>
      </c>
      <c r="C372" s="14" t="str">
        <f>'2026 Orders'!C371</f>
        <v>A4692</v>
      </c>
      <c r="D372" s="14">
        <v>0</v>
      </c>
      <c r="E372" s="17" t="str" cm="1">
        <f t="array" ref="E372">IF(C372=0,"",
HYPERLINK(
"#'2026 Orders'!C"&amp;
MATCH(1,
('2026 Orders'!C:C=C372)*
('2026 Orders'!G:G=G372)*
('2026 Orders'!N:N=N372),
0),
"Open "&amp;C372
))</f>
        <v>Open A4692</v>
      </c>
      <c r="F372" s="14" t="s">
        <v>965</v>
      </c>
      <c r="G372" s="14" t="str">
        <f>'2026 Orders'!G371</f>
        <v>BRSTW-60-CS-LY</v>
      </c>
      <c r="H372" s="14" t="str">
        <f>'2026 Orders'!H371</f>
        <v>BRSTW-60</v>
      </c>
      <c r="I372" s="15" t="str">
        <f>'2026 Orders'!I371</f>
        <v>LY</v>
      </c>
      <c r="J372" s="14">
        <f>'2026 Orders'!J371</f>
        <v>500</v>
      </c>
      <c r="K372" t="s">
        <v>966</v>
      </c>
      <c r="L372">
        <v>500</v>
      </c>
      <c r="M372">
        <v>0</v>
      </c>
      <c r="N372" s="10" t="str">
        <f>'2026 Orders'!N371</f>
        <v>Pending Picking</v>
      </c>
      <c r="O372">
        <v>0</v>
      </c>
      <c r="P372" t="s">
        <v>1077</v>
      </c>
      <c r="Q372">
        <v>609788968221</v>
      </c>
      <c r="R372">
        <v>7000</v>
      </c>
      <c r="S372">
        <v>5119</v>
      </c>
      <c r="T372" t="s">
        <v>1108</v>
      </c>
      <c r="U372" t="s">
        <v>1200</v>
      </c>
      <c r="V372">
        <v>0</v>
      </c>
      <c r="W372">
        <v>0</v>
      </c>
      <c r="X372">
        <v>0</v>
      </c>
      <c r="Y372">
        <v>0</v>
      </c>
      <c r="Z372">
        <v>0</v>
      </c>
      <c r="AC372" t="str">
        <f t="shared" si="10"/>
        <v>500/</v>
      </c>
      <c r="AD372" t="e">
        <f t="shared" si="11"/>
        <v>#VALUE!</v>
      </c>
    </row>
    <row r="373" spans="1:30" ht="33" hidden="1" customHeight="1" x14ac:dyDescent="0.3">
      <c r="A373">
        <v>46202</v>
      </c>
      <c r="B373" s="14">
        <f>'2026 Orders'!B372</f>
        <v>0</v>
      </c>
      <c r="C373" s="14">
        <f>'2026 Orders'!C372</f>
        <v>0</v>
      </c>
      <c r="D373" s="14">
        <v>0</v>
      </c>
      <c r="E373" s="17" t="str" cm="1">
        <f t="array" ref="E373">IF(C373=0,"",
HYPERLINK(
"#'2026 Orders'!C"&amp;
MATCH(1,
('2026 Orders'!C:C=C373)*
('2026 Orders'!G:G=G373)*
('2026 Orders'!N:N=N373),
0),
"Open "&amp;C373
))</f>
        <v/>
      </c>
      <c r="F373" s="14">
        <v>0</v>
      </c>
      <c r="G373" s="14">
        <f>'2026 Orders'!G372</f>
        <v>0</v>
      </c>
      <c r="H373" s="14">
        <f>'2026 Orders'!H372</f>
        <v>0</v>
      </c>
      <c r="I373" s="15" t="str">
        <f>'2026 Orders'!I372</f>
        <v/>
      </c>
      <c r="J373" s="14">
        <f>'2026 Orders'!J372</f>
        <v>0</v>
      </c>
      <c r="K373">
        <v>0</v>
      </c>
      <c r="L373">
        <v>0</v>
      </c>
      <c r="M373">
        <v>0</v>
      </c>
      <c r="N373" s="10">
        <f>'2026 Orders'!N372</f>
        <v>0</v>
      </c>
      <c r="O373">
        <v>0</v>
      </c>
      <c r="P373" t="s">
        <v>1077</v>
      </c>
      <c r="Q373">
        <v>609788968399</v>
      </c>
      <c r="R373">
        <v>7419</v>
      </c>
      <c r="S373">
        <v>5107</v>
      </c>
      <c r="T373">
        <v>46286</v>
      </c>
      <c r="U373" t="s">
        <v>1089</v>
      </c>
      <c r="V373">
        <v>0</v>
      </c>
      <c r="W373">
        <v>0</v>
      </c>
      <c r="X373">
        <v>0</v>
      </c>
      <c r="Y373">
        <v>0</v>
      </c>
      <c r="Z373">
        <v>0</v>
      </c>
      <c r="AC373" t="str">
        <f t="shared" si="10"/>
        <v/>
      </c>
      <c r="AD373" t="str">
        <f t="shared" si="11"/>
        <v/>
      </c>
    </row>
    <row r="374" spans="1:30" ht="33" hidden="1" customHeight="1" x14ac:dyDescent="0.3">
      <c r="A374">
        <v>46202</v>
      </c>
      <c r="B374" s="14" t="str">
        <f>'2026 Orders'!B373</f>
        <v>Qatar</v>
      </c>
      <c r="C374" s="14" t="str">
        <f>'2026 Orders'!C373</f>
        <v>A4694</v>
      </c>
      <c r="D374" s="14" t="s">
        <v>969</v>
      </c>
      <c r="E374" s="17" t="str" cm="1">
        <f t="array" ref="E374">IF(C374=0,"",
HYPERLINK(
"#'2026 Orders'!C"&amp;
MATCH(1,
('2026 Orders'!C:C=C374)*
('2026 Orders'!G:G=G374)*
('2026 Orders'!N:N=N374),
0),
"Open "&amp;C374
))</f>
        <v>Open A4694</v>
      </c>
      <c r="F374" s="14">
        <v>0</v>
      </c>
      <c r="G374" s="14" t="str">
        <f>'2026 Orders'!G373</f>
        <v>PEDIAD4-50-CS-QT</v>
      </c>
      <c r="H374" s="14" t="str">
        <f>'2026 Orders'!H373</f>
        <v>PEDIAD4-50</v>
      </c>
      <c r="I374" s="15" t="str">
        <f>'2026 Orders'!I373</f>
        <v>QT</v>
      </c>
      <c r="J374" s="14">
        <f>'2026 Orders'!J373</f>
        <v>2000</v>
      </c>
      <c r="K374" t="s">
        <v>972</v>
      </c>
      <c r="L374">
        <v>0</v>
      </c>
      <c r="M374">
        <v>2000</v>
      </c>
      <c r="N374" s="10" t="str">
        <f>'2026 Orders'!N373</f>
        <v>PO submitted</v>
      </c>
      <c r="O374" t="s">
        <v>1201</v>
      </c>
      <c r="P374" t="s">
        <v>1085</v>
      </c>
      <c r="Q374" t="s">
        <v>1167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C374" t="str">
        <f t="shared" si="10"/>
        <v>2000/</v>
      </c>
      <c r="AD374" t="e">
        <f t="shared" si="11"/>
        <v>#VALUE!</v>
      </c>
    </row>
    <row r="375" spans="1:30" ht="33" hidden="1" customHeight="1" x14ac:dyDescent="0.3">
      <c r="A375">
        <v>46202</v>
      </c>
      <c r="B375" s="14">
        <f>'2026 Orders'!B374</f>
        <v>0</v>
      </c>
      <c r="C375" s="14">
        <f>'2026 Orders'!C374</f>
        <v>0</v>
      </c>
      <c r="D375" s="14">
        <v>0</v>
      </c>
      <c r="E375" s="17" t="str" cm="1">
        <f t="array" ref="E375">IF(C375=0,"",
HYPERLINK(
"#'2026 Orders'!C"&amp;
MATCH(1,
('2026 Orders'!C:C=C375)*
('2026 Orders'!G:G=G375)*
('2026 Orders'!N:N=N375),
0),
"Open "&amp;C375
))</f>
        <v/>
      </c>
      <c r="F375" s="14">
        <v>0</v>
      </c>
      <c r="G375" s="14">
        <f>'2026 Orders'!G374</f>
        <v>0</v>
      </c>
      <c r="H375" s="14">
        <f>'2026 Orders'!H374</f>
        <v>0</v>
      </c>
      <c r="I375" s="15" t="str">
        <f>'2026 Orders'!I374</f>
        <v/>
      </c>
      <c r="J375" s="14">
        <f>'2026 Orders'!J374</f>
        <v>0</v>
      </c>
      <c r="K375">
        <v>0</v>
      </c>
      <c r="L375">
        <v>0</v>
      </c>
      <c r="M375">
        <v>0</v>
      </c>
      <c r="N375" s="10">
        <f>'2026 Orders'!N374</f>
        <v>0</v>
      </c>
      <c r="O375">
        <v>0</v>
      </c>
      <c r="P375" t="s">
        <v>1085</v>
      </c>
      <c r="Q375">
        <v>604776736875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C375" t="str">
        <f t="shared" si="10"/>
        <v/>
      </c>
      <c r="AD375" t="str">
        <f t="shared" si="11"/>
        <v/>
      </c>
    </row>
    <row r="376" spans="1:30" ht="33" hidden="1" customHeight="1" x14ac:dyDescent="0.3">
      <c r="A376">
        <v>46202</v>
      </c>
      <c r="B376" s="14" t="str">
        <f>'2026 Orders'!B375</f>
        <v>Iraq</v>
      </c>
      <c r="C376" s="14" t="str">
        <f>'2026 Orders'!C375</f>
        <v>A4695</v>
      </c>
      <c r="D376" s="14" t="s">
        <v>974</v>
      </c>
      <c r="E376" s="17" t="str" cm="1">
        <f t="array" ref="E376">IF(C376=0,"",
HYPERLINK(
"#'2026 Orders'!C"&amp;
MATCH(1,
('2026 Orders'!C:C=C376)*
('2026 Orders'!G:G=G376)*
('2026 Orders'!N:N=N376),
0),
"Open "&amp;C376
))</f>
        <v>Open A4695</v>
      </c>
      <c r="F376" s="14" t="s">
        <v>976</v>
      </c>
      <c r="G376" s="14" t="str">
        <f>'2026 Orders'!G375</f>
        <v>MFSPLS-120-RE</v>
      </c>
      <c r="H376" s="14" t="str">
        <f>'2026 Orders'!H375</f>
        <v>MFSPLS-120</v>
      </c>
      <c r="I376" s="15" t="str">
        <f>'2026 Orders'!I375</f>
        <v>RE</v>
      </c>
      <c r="J376" s="14">
        <f>'2026 Orders'!J375</f>
        <v>5</v>
      </c>
      <c r="K376" t="s">
        <v>977</v>
      </c>
      <c r="L376">
        <v>5</v>
      </c>
      <c r="M376">
        <v>0</v>
      </c>
      <c r="N376" s="10" t="str">
        <f>'2026 Orders'!N375</f>
        <v>D/W Sent</v>
      </c>
      <c r="O376">
        <v>0</v>
      </c>
      <c r="P376" t="s">
        <v>1077</v>
      </c>
      <c r="Q376">
        <v>609788968467</v>
      </c>
      <c r="R376">
        <v>5000</v>
      </c>
      <c r="S376">
        <v>5118</v>
      </c>
      <c r="T376">
        <v>46286</v>
      </c>
      <c r="U376" t="s">
        <v>1089</v>
      </c>
      <c r="V376">
        <v>0</v>
      </c>
      <c r="W376">
        <v>0</v>
      </c>
      <c r="X376">
        <v>0</v>
      </c>
      <c r="Y376">
        <v>0</v>
      </c>
      <c r="Z376">
        <v>0</v>
      </c>
      <c r="AC376" t="str">
        <f t="shared" si="10"/>
        <v>5/</v>
      </c>
      <c r="AD376" t="e">
        <f t="shared" si="11"/>
        <v>#VALUE!</v>
      </c>
    </row>
    <row r="377" spans="1:30" ht="33" hidden="1" customHeight="1" x14ac:dyDescent="0.3">
      <c r="A377">
        <v>0</v>
      </c>
      <c r="B377" s="14" t="str">
        <f>'2026 Orders'!B376</f>
        <v>Iraq</v>
      </c>
      <c r="C377" s="14" t="str">
        <f>'2026 Orders'!C376</f>
        <v>A4695</v>
      </c>
      <c r="D377" s="14">
        <v>0</v>
      </c>
      <c r="E377" s="17" t="str" cm="1">
        <f t="array" ref="E377">IF(C377=0,"",
HYPERLINK(
"#'2026 Orders'!C"&amp;
MATCH(1,
('2026 Orders'!C:C=C377)*
('2026 Orders'!G:G=G377)*
('2026 Orders'!N:N=N377),
0),
"Open "&amp;C377
))</f>
        <v>Open A4695</v>
      </c>
      <c r="F377" s="14" t="s">
        <v>978</v>
      </c>
      <c r="G377" s="14" t="str">
        <f>'2026 Orders'!G376</f>
        <v>MFSPLS-60-RE</v>
      </c>
      <c r="H377" s="14" t="str">
        <f>'2026 Orders'!H376</f>
        <v>MFSPLS-60</v>
      </c>
      <c r="I377" s="15" t="str">
        <f>'2026 Orders'!I376</f>
        <v>RE</v>
      </c>
      <c r="J377" s="14">
        <f>'2026 Orders'!J376</f>
        <v>3</v>
      </c>
      <c r="K377" t="s">
        <v>548</v>
      </c>
      <c r="L377">
        <v>3</v>
      </c>
      <c r="M377">
        <v>0</v>
      </c>
      <c r="N377" s="10" t="str">
        <f>'2026 Orders'!N376</f>
        <v>D/W Sent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C377" t="str">
        <f t="shared" si="10"/>
        <v>3/</v>
      </c>
      <c r="AD377" t="e">
        <f t="shared" si="11"/>
        <v>#VALUE!</v>
      </c>
    </row>
    <row r="378" spans="1:30" ht="33" hidden="1" customHeight="1" x14ac:dyDescent="0.3">
      <c r="A378">
        <v>46212</v>
      </c>
      <c r="B378" s="14">
        <f>'2026 Orders'!B377</f>
        <v>0</v>
      </c>
      <c r="C378" s="14">
        <f>'2026 Orders'!C377</f>
        <v>0</v>
      </c>
      <c r="D378" s="14">
        <v>0</v>
      </c>
      <c r="E378" s="17" t="str" cm="1">
        <f t="array" ref="E378">IF(C378=0,"",
HYPERLINK(
"#'2026 Orders'!C"&amp;
MATCH(1,
('2026 Orders'!C:C=C378)*
('2026 Orders'!G:G=G378)*
('2026 Orders'!N:N=N378),
0),
"Open "&amp;C378
))</f>
        <v/>
      </c>
      <c r="F378" s="14">
        <v>0</v>
      </c>
      <c r="G378" s="14">
        <f>'2026 Orders'!G377</f>
        <v>0</v>
      </c>
      <c r="H378" s="14">
        <f>'2026 Orders'!H377</f>
        <v>0</v>
      </c>
      <c r="I378" s="15" t="str">
        <f>'2026 Orders'!I377</f>
        <v/>
      </c>
      <c r="J378" s="14">
        <f>'2026 Orders'!J377</f>
        <v>0</v>
      </c>
      <c r="K378">
        <v>0</v>
      </c>
      <c r="L378">
        <v>0</v>
      </c>
      <c r="M378">
        <v>0</v>
      </c>
      <c r="N378" s="10">
        <f>'2026 Orders'!N377</f>
        <v>0</v>
      </c>
      <c r="O378" t="s">
        <v>1202</v>
      </c>
      <c r="P378" t="s">
        <v>1077</v>
      </c>
      <c r="Q378">
        <v>810131199586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t="s">
        <v>1086</v>
      </c>
      <c r="AC378" t="str">
        <f t="shared" si="10"/>
        <v/>
      </c>
      <c r="AD378" t="str">
        <f t="shared" si="11"/>
        <v/>
      </c>
    </row>
    <row r="379" spans="1:30" ht="33" hidden="1" customHeight="1" x14ac:dyDescent="0.3">
      <c r="A379">
        <v>46212</v>
      </c>
      <c r="B379" s="14" t="str">
        <f>'2026 Orders'!B378</f>
        <v>Sudan</v>
      </c>
      <c r="C379" s="14" t="str">
        <f>'2026 Orders'!C378</f>
        <v>A4697</v>
      </c>
      <c r="D379" s="14" t="s">
        <v>980</v>
      </c>
      <c r="E379" s="17" t="str" cm="1">
        <f t="array" ref="E379">IF(C379=0,"",
HYPERLINK(
"#'2026 Orders'!C"&amp;
MATCH(1,
('2026 Orders'!C:C=C379)*
('2026 Orders'!G:G=G379)*
('2026 Orders'!N:N=N379),
0),
"Open "&amp;C379
))</f>
        <v>Open A4697</v>
      </c>
      <c r="F379" s="14">
        <v>0</v>
      </c>
      <c r="G379" s="14" t="str">
        <f>'2026 Orders'!G378</f>
        <v>MFSPLS-120-RE</v>
      </c>
      <c r="H379" s="14" t="str">
        <f>'2026 Orders'!H378</f>
        <v>MFSPLS-120</v>
      </c>
      <c r="I379" s="15" t="str">
        <f>'2026 Orders'!I378</f>
        <v>RE</v>
      </c>
      <c r="J379" s="14">
        <f>'2026 Orders'!J378</f>
        <v>3245</v>
      </c>
      <c r="K379" t="s">
        <v>977</v>
      </c>
      <c r="L379">
        <v>0</v>
      </c>
      <c r="M379">
        <v>3245</v>
      </c>
      <c r="N379" s="10" t="str">
        <f>'2026 Orders'!N378</f>
        <v>In Production</v>
      </c>
      <c r="O379">
        <v>0</v>
      </c>
      <c r="P379" t="s">
        <v>1077</v>
      </c>
      <c r="Q379">
        <v>609788968351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C379" t="str">
        <f t="shared" si="10"/>
        <v>3245/</v>
      </c>
      <c r="AD379" t="e">
        <f t="shared" si="11"/>
        <v>#VALUE!</v>
      </c>
    </row>
    <row r="380" spans="1:30" ht="33" hidden="1" customHeight="1" x14ac:dyDescent="0.3">
      <c r="A380">
        <v>46212</v>
      </c>
      <c r="B380" s="14" t="str">
        <f>'2026 Orders'!B379</f>
        <v>Sudan</v>
      </c>
      <c r="C380" s="14" t="str">
        <f>'2026 Orders'!C379</f>
        <v>A4697</v>
      </c>
      <c r="D380" s="14">
        <v>0</v>
      </c>
      <c r="E380" s="17" t="str" cm="1">
        <f t="array" ref="E380">IF(C380=0,"",
HYPERLINK(
"#'2026 Orders'!C"&amp;
MATCH(1,
('2026 Orders'!C:C=C380)*
('2026 Orders'!G:G=G380)*
('2026 Orders'!N:N=N380),
0),
"Open "&amp;C380
))</f>
        <v>Open A4697</v>
      </c>
      <c r="F380" s="14">
        <v>0</v>
      </c>
      <c r="G380" s="14" t="str">
        <f>'2026 Orders'!G379</f>
        <v>WFSPLS-180-RE</v>
      </c>
      <c r="H380" s="14" t="str">
        <f>'2026 Orders'!H379</f>
        <v>WFSPLS-180</v>
      </c>
      <c r="I380" s="15" t="str">
        <f>'2026 Orders'!I379</f>
        <v>RE</v>
      </c>
      <c r="J380" s="14">
        <f>'2026 Orders'!J379</f>
        <v>1248</v>
      </c>
      <c r="K380" t="s">
        <v>981</v>
      </c>
      <c r="L380">
        <v>0</v>
      </c>
      <c r="M380">
        <v>1248</v>
      </c>
      <c r="N380" s="10" t="str">
        <f>'2026 Orders'!N379</f>
        <v>PO Drafted</v>
      </c>
      <c r="O380">
        <v>0</v>
      </c>
      <c r="P380" t="s">
        <v>1077</v>
      </c>
      <c r="Q380">
        <v>609788968344</v>
      </c>
      <c r="R380">
        <v>9524</v>
      </c>
      <c r="S380">
        <v>5109</v>
      </c>
      <c r="T380" t="s">
        <v>1108</v>
      </c>
      <c r="U380" t="s">
        <v>1182</v>
      </c>
      <c r="V380">
        <v>0</v>
      </c>
      <c r="W380">
        <v>0</v>
      </c>
      <c r="X380">
        <v>0</v>
      </c>
      <c r="Y380">
        <v>0</v>
      </c>
      <c r="Z380">
        <v>0</v>
      </c>
      <c r="AC380" t="str">
        <f t="shared" si="10"/>
        <v>1248/</v>
      </c>
      <c r="AD380" t="e">
        <f t="shared" si="11"/>
        <v>#VALUE!</v>
      </c>
    </row>
    <row r="381" spans="1:30" ht="33" hidden="1" customHeight="1" x14ac:dyDescent="0.3">
      <c r="A381">
        <v>46212</v>
      </c>
      <c r="B381" s="14" t="str">
        <f>'2026 Orders'!B380</f>
        <v>Sudan</v>
      </c>
      <c r="C381" s="14" t="str">
        <f>'2026 Orders'!C380</f>
        <v>A4697</v>
      </c>
      <c r="D381" s="14">
        <v>0</v>
      </c>
      <c r="E381" s="17" t="str" cm="1">
        <f t="array" ref="E381">IF(C381=0,"",
HYPERLINK(
"#'2026 Orders'!C"&amp;
MATCH(1,
('2026 Orders'!C:C=C381)*
('2026 Orders'!G:G=G381)*
('2026 Orders'!N:N=N381),
0),
"Open "&amp;C381
))</f>
        <v>Open A4697</v>
      </c>
      <c r="F381" s="14">
        <v>0</v>
      </c>
      <c r="G381" s="14" t="str">
        <f>'2026 Orders'!G380</f>
        <v>PRECON-180-RE</v>
      </c>
      <c r="H381" s="14" t="str">
        <f>'2026 Orders'!H380</f>
        <v>PRECON-180</v>
      </c>
      <c r="I381" s="15" t="str">
        <f>'2026 Orders'!I380</f>
        <v>RE</v>
      </c>
      <c r="J381" s="14">
        <f>'2026 Orders'!J380</f>
        <v>998</v>
      </c>
      <c r="K381" t="s">
        <v>982</v>
      </c>
      <c r="L381">
        <v>0</v>
      </c>
      <c r="M381">
        <v>998</v>
      </c>
      <c r="N381" s="10" t="str">
        <f>'2026 Orders'!N380</f>
        <v>In Production</v>
      </c>
      <c r="O381">
        <v>0</v>
      </c>
      <c r="P381" t="s">
        <v>1077</v>
      </c>
      <c r="Q381">
        <v>609788968368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C381" t="str">
        <f t="shared" si="10"/>
        <v>998/</v>
      </c>
      <c r="AD381" t="e">
        <f t="shared" si="11"/>
        <v>#VALUE!</v>
      </c>
    </row>
    <row r="382" spans="1:30" ht="33" hidden="1" customHeight="1" x14ac:dyDescent="0.3">
      <c r="A382">
        <v>46212</v>
      </c>
      <c r="B382" s="14" t="str">
        <f>'2026 Orders'!B381</f>
        <v>Sudan</v>
      </c>
      <c r="C382" s="14" t="str">
        <f>'2026 Orders'!C381</f>
        <v>A4697</v>
      </c>
      <c r="D382" s="14">
        <v>0</v>
      </c>
      <c r="E382" s="17" t="str" cm="1">
        <f t="array" ref="E382">IF(C382=0,"",
HYPERLINK(
"#'2026 Orders'!C"&amp;
MATCH(1,
('2026 Orders'!C:C=C382)*
('2026 Orders'!G:G=G382)*
('2026 Orders'!N:N=N382),
0),
"Open "&amp;C382
))</f>
        <v>Open A4697</v>
      </c>
      <c r="F382" s="14">
        <v>0</v>
      </c>
      <c r="G382" s="14" t="str">
        <f>'2026 Orders'!G381</f>
        <v>OSTEOPL-96-FD</v>
      </c>
      <c r="H382" s="14" t="str">
        <f>'2026 Orders'!H381</f>
        <v>OSTEOPL-96</v>
      </c>
      <c r="I382" s="15" t="str">
        <f>'2026 Orders'!I381</f>
        <v>FD</v>
      </c>
      <c r="J382" s="14">
        <f>'2026 Orders'!J381</f>
        <v>998</v>
      </c>
      <c r="K382" t="s">
        <v>621</v>
      </c>
      <c r="L382">
        <v>998</v>
      </c>
      <c r="M382">
        <v>0</v>
      </c>
      <c r="N382" s="10" t="str">
        <f>'2026 Orders'!N381</f>
        <v>Rework</v>
      </c>
      <c r="O382">
        <v>0</v>
      </c>
      <c r="P382" t="s">
        <v>1077</v>
      </c>
      <c r="Q382">
        <v>609788968221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C382" t="str">
        <f t="shared" si="10"/>
        <v>998/</v>
      </c>
      <c r="AD382" t="e">
        <f t="shared" si="11"/>
        <v>#VALUE!</v>
      </c>
    </row>
    <row r="383" spans="1:30" ht="33" hidden="1" customHeight="1" x14ac:dyDescent="0.3">
      <c r="A383">
        <v>46212</v>
      </c>
      <c r="B383" s="14" t="str">
        <f>'2026 Orders'!B382</f>
        <v>Sudan</v>
      </c>
      <c r="C383" s="14" t="str">
        <f>'2026 Orders'!C382</f>
        <v>A4697</v>
      </c>
      <c r="D383" s="14">
        <v>0</v>
      </c>
      <c r="E383" s="17" t="str" cm="1">
        <f t="array" ref="E383">IF(C383=0,"",
HYPERLINK(
"#'2026 Orders'!C"&amp;
MATCH(1,
('2026 Orders'!C:C=C383)*
('2026 Orders'!G:G=G383)*
('2026 Orders'!N:N=N383),
0),
"Open "&amp;C383
))</f>
        <v>Open A4697</v>
      </c>
      <c r="F383" s="14">
        <v>0</v>
      </c>
      <c r="G383" s="14" t="str">
        <f>'2026 Orders'!G382</f>
        <v>DHEA50-60-FD</v>
      </c>
      <c r="H383" s="14" t="str">
        <f>'2026 Orders'!H382</f>
        <v>DHEA50-60</v>
      </c>
      <c r="I383" s="15" t="str">
        <f>'2026 Orders'!I382</f>
        <v>FD</v>
      </c>
      <c r="J383" s="14">
        <f>'2026 Orders'!J382</f>
        <v>3245</v>
      </c>
      <c r="K383" t="s">
        <v>453</v>
      </c>
      <c r="L383">
        <v>0</v>
      </c>
      <c r="M383">
        <v>3245</v>
      </c>
      <c r="N383" s="10" t="str">
        <f>'2026 Orders'!N382</f>
        <v>In Production</v>
      </c>
      <c r="O383">
        <v>0</v>
      </c>
      <c r="P383" t="s">
        <v>1077</v>
      </c>
      <c r="Q383" t="s">
        <v>1203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C383" t="str">
        <f t="shared" si="10"/>
        <v>3245/</v>
      </c>
      <c r="AD383" t="e">
        <f t="shared" si="11"/>
        <v>#VALUE!</v>
      </c>
    </row>
    <row r="384" spans="1:30" ht="33" hidden="1" customHeight="1" x14ac:dyDescent="0.3">
      <c r="A384">
        <v>46212</v>
      </c>
      <c r="B384" s="14" t="str">
        <f>'2026 Orders'!B383</f>
        <v>Sudan</v>
      </c>
      <c r="C384" s="14" t="str">
        <f>'2026 Orders'!C383</f>
        <v>A4697</v>
      </c>
      <c r="D384" s="14">
        <v>0</v>
      </c>
      <c r="E384" s="17" t="str" cm="1">
        <f t="array" ref="E384">IF(C384=0,"",
HYPERLINK(
"#'2026 Orders'!C"&amp;
MATCH(1,
('2026 Orders'!C:C=C384)*
('2026 Orders'!G:G=G384)*
('2026 Orders'!N:N=N384),
0),
"Open "&amp;C384
))</f>
        <v>Open A4697</v>
      </c>
      <c r="F384" s="14" t="s">
        <v>983</v>
      </c>
      <c r="G384" s="14" t="str">
        <f>'2026 Orders'!G383</f>
        <v>COQ400-30-VE-CS-SU</v>
      </c>
      <c r="H384" s="14" t="str">
        <f>'2026 Orders'!H383</f>
        <v>COQ400-30</v>
      </c>
      <c r="I384" s="15" t="str">
        <f>'2026 Orders'!I383</f>
        <v>SU</v>
      </c>
      <c r="J384" s="14">
        <f>'2026 Orders'!J383</f>
        <v>2246</v>
      </c>
      <c r="K384" t="s">
        <v>513</v>
      </c>
      <c r="L384">
        <v>0</v>
      </c>
      <c r="M384">
        <v>2422</v>
      </c>
      <c r="N384" s="10" t="str">
        <f>'2026 Orders'!N383</f>
        <v>Transit to Warehouse</v>
      </c>
      <c r="O384">
        <v>0</v>
      </c>
      <c r="P384" t="s">
        <v>1077</v>
      </c>
      <c r="Q384">
        <v>609788968481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C384" t="str">
        <f t="shared" si="10"/>
        <v>2246/</v>
      </c>
      <c r="AD384" t="e">
        <f t="shared" si="11"/>
        <v>#VALUE!</v>
      </c>
    </row>
    <row r="385" spans="1:30" ht="33" hidden="1" customHeight="1" x14ac:dyDescent="0.3">
      <c r="A385">
        <v>46212</v>
      </c>
      <c r="B385" s="14" t="str">
        <f>'2026 Orders'!B384</f>
        <v>Sudan</v>
      </c>
      <c r="C385" s="14" t="str">
        <f>'2026 Orders'!C384</f>
        <v>A4697</v>
      </c>
      <c r="D385" s="14">
        <v>0</v>
      </c>
      <c r="E385" s="17" t="str" cm="1">
        <f t="array" ref="E385">IF(C385=0,"",
HYPERLINK(
"#'2026 Orders'!C"&amp;
MATCH(1,
('2026 Orders'!C:C=C385)*
('2026 Orders'!G:G=G385)*
('2026 Orders'!N:N=N385),
0),
"Open "&amp;C385
))</f>
        <v>Open A4697</v>
      </c>
      <c r="F385" s="14">
        <v>0</v>
      </c>
      <c r="G385" s="14" t="str">
        <f>'2026 Orders'!G384</f>
        <v>OVAMAX-120-RE</v>
      </c>
      <c r="H385" s="14" t="str">
        <f>'2026 Orders'!H384</f>
        <v>OVAMAX-120</v>
      </c>
      <c r="I385" s="15" t="str">
        <f>'2026 Orders'!I384</f>
        <v>RE</v>
      </c>
      <c r="J385" s="14">
        <f>'2026 Orders'!J384</f>
        <v>1758</v>
      </c>
      <c r="K385" t="s">
        <v>984</v>
      </c>
      <c r="L385">
        <v>0</v>
      </c>
      <c r="M385">
        <v>1758</v>
      </c>
      <c r="N385" s="10" t="str">
        <f>'2026 Orders'!N384</f>
        <v>In Production</v>
      </c>
      <c r="O385">
        <v>0</v>
      </c>
      <c r="P385" t="s">
        <v>1077</v>
      </c>
      <c r="Q385">
        <v>609788968405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C385" t="str">
        <f t="shared" si="10"/>
        <v>1758/</v>
      </c>
      <c r="AD385" t="e">
        <f t="shared" si="11"/>
        <v>#VALUE!</v>
      </c>
    </row>
    <row r="386" spans="1:30" ht="33" hidden="1" customHeight="1" x14ac:dyDescent="0.3">
      <c r="A386">
        <v>46212</v>
      </c>
      <c r="B386" s="14">
        <f>'2026 Orders'!B385</f>
        <v>0</v>
      </c>
      <c r="C386" s="14">
        <f>'2026 Orders'!C385</f>
        <v>0</v>
      </c>
      <c r="D386" s="14">
        <v>0</v>
      </c>
      <c r="E386" s="17" t="str" cm="1">
        <f t="array" ref="E386">IF(C386=0,"",
HYPERLINK(
"#'2026 Orders'!C"&amp;
MATCH(1,
('2026 Orders'!C:C=C386)*
('2026 Orders'!G:G=G386)*
('2026 Orders'!N:N=N386),
0),
"Open "&amp;C386
))</f>
        <v/>
      </c>
      <c r="F386" s="14">
        <v>0</v>
      </c>
      <c r="G386" s="14">
        <f>'2026 Orders'!G385</f>
        <v>0</v>
      </c>
      <c r="H386" s="14">
        <f>'2026 Orders'!H385</f>
        <v>0</v>
      </c>
      <c r="I386" s="15" t="str">
        <f>'2026 Orders'!I385</f>
        <v/>
      </c>
      <c r="J386" s="14">
        <f>'2026 Orders'!J385</f>
        <v>0</v>
      </c>
      <c r="K386">
        <v>0</v>
      </c>
      <c r="L386">
        <v>0</v>
      </c>
      <c r="M386">
        <v>0</v>
      </c>
      <c r="N386" s="10">
        <f>'2026 Orders'!N385</f>
        <v>0</v>
      </c>
      <c r="O386">
        <v>0</v>
      </c>
      <c r="P386" t="s">
        <v>1077</v>
      </c>
      <c r="Q386">
        <v>609788968191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C386" t="str">
        <f t="shared" si="10"/>
        <v/>
      </c>
      <c r="AD386" t="str">
        <f t="shared" si="11"/>
        <v/>
      </c>
    </row>
    <row r="387" spans="1:30" ht="33" hidden="1" customHeight="1" x14ac:dyDescent="0.3">
      <c r="A387">
        <v>46212</v>
      </c>
      <c r="B387" s="14" t="str">
        <f>'2026 Orders'!B386</f>
        <v>Kenya</v>
      </c>
      <c r="C387" s="14" t="str">
        <f>'2026 Orders'!C386</f>
        <v>A4699</v>
      </c>
      <c r="D387" s="14" t="s">
        <v>987</v>
      </c>
      <c r="E387" s="17" t="str" cm="1">
        <f t="array" ref="E387">IF(C387=0,"",
HYPERLINK(
"#'2026 Orders'!C"&amp;
MATCH(1,
('2026 Orders'!C:C=C387)*
('2026 Orders'!G:G=G387)*
('2026 Orders'!N:N=N387),
0),
"Open "&amp;C387
))</f>
        <v>Open A4699</v>
      </c>
      <c r="F387" s="14" t="s">
        <v>989</v>
      </c>
      <c r="G387" s="14" t="str">
        <f>'2026 Orders'!G386</f>
        <v>FERTMX-90-RE</v>
      </c>
      <c r="H387" s="14" t="str">
        <f>'2026 Orders'!H386</f>
        <v>FERTMX-90</v>
      </c>
      <c r="I387" s="15" t="str">
        <f>'2026 Orders'!I386</f>
        <v>RE</v>
      </c>
      <c r="J387" s="14">
        <f>'2026 Orders'!J386</f>
        <v>488</v>
      </c>
      <c r="K387" t="s">
        <v>441</v>
      </c>
      <c r="L387">
        <v>488</v>
      </c>
      <c r="M387">
        <v>0</v>
      </c>
      <c r="N387" s="10" t="str">
        <f>'2026 Orders'!N386</f>
        <v>D/W Sent</v>
      </c>
      <c r="O387">
        <v>0</v>
      </c>
      <c r="P387" t="s">
        <v>1077</v>
      </c>
      <c r="Q387">
        <v>609788968191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C387" t="str">
        <f t="shared" ref="AC387:AC450" si="12">IF(OR(B387="",B387=0),"",J387&amp;"/"&amp;$AJ$2)</f>
        <v>488/</v>
      </c>
      <c r="AD387" t="e">
        <f t="shared" ref="AD387:AD450" si="13">IF(OR(J387="",J387=0),"",I387&amp;" -&gt; "&amp;$AK$2)</f>
        <v>#VALUE!</v>
      </c>
    </row>
    <row r="388" spans="1:30" ht="33" hidden="1" customHeight="1" x14ac:dyDescent="0.3">
      <c r="A388">
        <v>46212</v>
      </c>
      <c r="B388" s="14">
        <f>'2026 Orders'!B387</f>
        <v>0</v>
      </c>
      <c r="C388" s="14">
        <f>'2026 Orders'!C387</f>
        <v>0</v>
      </c>
      <c r="D388" s="14">
        <v>0</v>
      </c>
      <c r="E388" s="17" t="str" cm="1">
        <f t="array" ref="E388">IF(C388=0,"",
HYPERLINK(
"#'2026 Orders'!C"&amp;
MATCH(1,
('2026 Orders'!C:C=C388)*
('2026 Orders'!G:G=G388)*
('2026 Orders'!N:N=N388),
0),
"Open "&amp;C388
))</f>
        <v/>
      </c>
      <c r="F388" s="14">
        <v>0</v>
      </c>
      <c r="G388" s="14">
        <f>'2026 Orders'!G387</f>
        <v>0</v>
      </c>
      <c r="H388" s="14">
        <f>'2026 Orders'!H387</f>
        <v>0</v>
      </c>
      <c r="I388" s="15" t="str">
        <f>'2026 Orders'!I387</f>
        <v/>
      </c>
      <c r="J388" s="14">
        <f>'2026 Orders'!J387</f>
        <v>0</v>
      </c>
      <c r="K388">
        <v>0</v>
      </c>
      <c r="L388">
        <v>0</v>
      </c>
      <c r="M388">
        <v>0</v>
      </c>
      <c r="N388" s="10">
        <f>'2026 Orders'!N387</f>
        <v>0</v>
      </c>
      <c r="O388">
        <v>0</v>
      </c>
      <c r="P388" t="s">
        <v>1077</v>
      </c>
      <c r="Q388" t="s">
        <v>1093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C388" t="str">
        <f t="shared" si="12"/>
        <v/>
      </c>
      <c r="AD388" t="str">
        <f t="shared" si="13"/>
        <v/>
      </c>
    </row>
    <row r="389" spans="1:30" ht="33" hidden="1" customHeight="1" x14ac:dyDescent="0.3">
      <c r="A389">
        <v>0</v>
      </c>
      <c r="B389" s="14" t="str">
        <f>'2026 Orders'!B388</f>
        <v>Kenya</v>
      </c>
      <c r="C389" s="14" t="str">
        <f>'2026 Orders'!C388</f>
        <v>A4700</v>
      </c>
      <c r="D389" s="14" t="s">
        <v>991</v>
      </c>
      <c r="E389" s="17" t="str" cm="1">
        <f t="array" ref="E389">IF(C389=0,"",
HYPERLINK(
"#'2026 Orders'!C"&amp;
MATCH(1,
('2026 Orders'!C:C=C389)*
('2026 Orders'!G:G=G389)*
('2026 Orders'!N:N=N389),
0),
"Open "&amp;C389
))</f>
        <v>Open A4700</v>
      </c>
      <c r="F389" s="14">
        <v>0</v>
      </c>
      <c r="G389" s="14" t="str">
        <f>'2026 Orders'!G388</f>
        <v>FIBRO-60-FD</v>
      </c>
      <c r="H389" s="14" t="str">
        <f>'2026 Orders'!H388</f>
        <v>FIBRO-60</v>
      </c>
      <c r="I389" s="15" t="str">
        <f>'2026 Orders'!I388</f>
        <v>FD</v>
      </c>
      <c r="J389" s="14">
        <f>'2026 Orders'!J388</f>
        <v>168</v>
      </c>
      <c r="K389" t="s">
        <v>623</v>
      </c>
      <c r="L389">
        <v>168</v>
      </c>
      <c r="M389">
        <v>0</v>
      </c>
      <c r="N389" s="10" t="str">
        <f>'2026 Orders'!N388</f>
        <v>Rework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C389" t="str">
        <f t="shared" si="12"/>
        <v>168/</v>
      </c>
      <c r="AD389" t="e">
        <f t="shared" si="13"/>
        <v>#VALUE!</v>
      </c>
    </row>
    <row r="390" spans="1:30" ht="33" hidden="1" customHeight="1" x14ac:dyDescent="0.3">
      <c r="A390">
        <v>46219</v>
      </c>
      <c r="B390" s="14" t="str">
        <f>'2026 Orders'!B389</f>
        <v>Kenya</v>
      </c>
      <c r="C390" s="14" t="str">
        <f>'2026 Orders'!C389</f>
        <v>A4700</v>
      </c>
      <c r="D390" s="14">
        <v>0</v>
      </c>
      <c r="E390" s="17" t="str" cm="1">
        <f t="array" ref="E390">IF(C390=0,"",
HYPERLINK(
"#'2026 Orders'!C"&amp;
MATCH(1,
('2026 Orders'!C:C=C390)*
('2026 Orders'!G:G=G390)*
('2026 Orders'!N:N=N390),
0),
"Open "&amp;C390
))</f>
        <v>Open A4700</v>
      </c>
      <c r="F390" s="14">
        <v>0</v>
      </c>
      <c r="G390" s="14" t="str">
        <f>'2026 Orders'!G389</f>
        <v>WFSPLS-180-FD</v>
      </c>
      <c r="H390" s="14" t="str">
        <f>'2026 Orders'!H389</f>
        <v>WFSPLS-180</v>
      </c>
      <c r="I390" s="15" t="str">
        <f>'2026 Orders'!I389</f>
        <v>FD</v>
      </c>
      <c r="J390" s="14">
        <f>'2026 Orders'!J389</f>
        <v>120</v>
      </c>
      <c r="K390" t="s">
        <v>438</v>
      </c>
      <c r="L390">
        <v>0</v>
      </c>
      <c r="M390">
        <v>120</v>
      </c>
      <c r="N390" s="10" t="str">
        <f>'2026 Orders'!N389</f>
        <v>PO Drafted</v>
      </c>
      <c r="O390">
        <v>0</v>
      </c>
      <c r="P390" t="s">
        <v>1077</v>
      </c>
      <c r="Q390">
        <v>810131195175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 t="s">
        <v>1086</v>
      </c>
      <c r="AC390" t="str">
        <f t="shared" si="12"/>
        <v>120/</v>
      </c>
      <c r="AD390" t="e">
        <f t="shared" si="13"/>
        <v>#VALUE!</v>
      </c>
    </row>
    <row r="391" spans="1:30" ht="33" hidden="1" customHeight="1" x14ac:dyDescent="0.3">
      <c r="A391">
        <v>46219</v>
      </c>
      <c r="B391" s="14" t="str">
        <f>'2026 Orders'!B390</f>
        <v>Kenya</v>
      </c>
      <c r="C391" s="14" t="str">
        <f>'2026 Orders'!C390</f>
        <v>A4700</v>
      </c>
      <c r="D391" s="14">
        <v>0</v>
      </c>
      <c r="E391" s="17" t="str" cm="1">
        <f t="array" ref="E391">IF(C391=0,"",
HYPERLINK(
"#'2026 Orders'!C"&amp;
MATCH(1,
('2026 Orders'!C:C=C391)*
('2026 Orders'!G:G=G391)*
('2026 Orders'!N:N=N391),
0),
"Open "&amp;C391
))</f>
        <v>Open A4700</v>
      </c>
      <c r="F391" s="14">
        <v>0</v>
      </c>
      <c r="G391" s="14" t="str">
        <f>'2026 Orders'!G390</f>
        <v>SPERMCT-60-FD</v>
      </c>
      <c r="H391" s="14" t="str">
        <f>'2026 Orders'!H390</f>
        <v>SPERMCT-60</v>
      </c>
      <c r="I391" s="15" t="str">
        <f>'2026 Orders'!I390</f>
        <v>FD</v>
      </c>
      <c r="J391" s="14">
        <f>'2026 Orders'!J390</f>
        <v>24</v>
      </c>
      <c r="K391" t="s">
        <v>435</v>
      </c>
      <c r="L391">
        <v>24</v>
      </c>
      <c r="M391">
        <v>0</v>
      </c>
      <c r="N391" s="10" t="str">
        <f>'2026 Orders'!N390</f>
        <v>Rework</v>
      </c>
      <c r="O391">
        <v>0</v>
      </c>
      <c r="P391" t="s">
        <v>1077</v>
      </c>
      <c r="Q391">
        <v>810131195229</v>
      </c>
      <c r="R391">
        <v>0</v>
      </c>
      <c r="S391">
        <v>4974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C391" t="str">
        <f t="shared" si="12"/>
        <v>24/</v>
      </c>
      <c r="AD391" t="e">
        <f t="shared" si="13"/>
        <v>#VALUE!</v>
      </c>
    </row>
    <row r="392" spans="1:30" ht="33" hidden="1" customHeight="1" x14ac:dyDescent="0.3">
      <c r="A392">
        <v>46219</v>
      </c>
      <c r="B392" s="14" t="str">
        <f>'2026 Orders'!B391</f>
        <v>Kenya</v>
      </c>
      <c r="C392" s="14" t="str">
        <f>'2026 Orders'!C391</f>
        <v>A4700</v>
      </c>
      <c r="D392" s="14">
        <v>0</v>
      </c>
      <c r="E392" s="17" t="str" cm="1">
        <f t="array" ref="E392">IF(C392=0,"",
HYPERLINK(
"#'2026 Orders'!C"&amp;
MATCH(1,
('2026 Orders'!C:C=C392)*
('2026 Orders'!G:G=G392)*
('2026 Orders'!N:N=N392),
0),
"Open "&amp;C392
))</f>
        <v>Open A4700</v>
      </c>
      <c r="F392" s="14">
        <v>0</v>
      </c>
      <c r="G392" s="14" t="str">
        <f>'2026 Orders'!G391</f>
        <v>OVAMAX-120-FD</v>
      </c>
      <c r="H392" s="14" t="str">
        <f>'2026 Orders'!H391</f>
        <v>OVAMAX-120</v>
      </c>
      <c r="I392" s="15" t="str">
        <f>'2026 Orders'!I391</f>
        <v>FD</v>
      </c>
      <c r="J392" s="14">
        <f>'2026 Orders'!J391</f>
        <v>312</v>
      </c>
      <c r="K392" t="s">
        <v>447</v>
      </c>
      <c r="L392">
        <v>312</v>
      </c>
      <c r="M392">
        <v>312</v>
      </c>
      <c r="N392" s="10" t="str">
        <f>'2026 Orders'!N391</f>
        <v>In Production</v>
      </c>
      <c r="O392">
        <v>0</v>
      </c>
      <c r="P392" t="s">
        <v>1077</v>
      </c>
      <c r="Q392">
        <v>810131195236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C392" t="str">
        <f t="shared" si="12"/>
        <v>312/</v>
      </c>
      <c r="AD392" t="e">
        <f t="shared" si="13"/>
        <v>#VALUE!</v>
      </c>
    </row>
    <row r="393" spans="1:30" ht="33" hidden="1" customHeight="1" x14ac:dyDescent="0.3">
      <c r="A393">
        <v>46219</v>
      </c>
      <c r="B393" s="14" t="str">
        <f>'2026 Orders'!B392</f>
        <v>Kenya</v>
      </c>
      <c r="C393" s="14" t="str">
        <f>'2026 Orders'!C392</f>
        <v>A4700</v>
      </c>
      <c r="D393" s="14">
        <v>0</v>
      </c>
      <c r="E393" s="17" t="str" cm="1">
        <f t="array" ref="E393">IF(C393=0,"",
HYPERLINK(
"#'2026 Orders'!C"&amp;
MATCH(1,
('2026 Orders'!C:C=C393)*
('2026 Orders'!G:G=G393)*
('2026 Orders'!N:N=N393),
0),
"Open "&amp;C393
))</f>
        <v>Open A4700</v>
      </c>
      <c r="F393" s="14">
        <v>0</v>
      </c>
      <c r="G393" s="14" t="str">
        <f>'2026 Orders'!G392</f>
        <v>FERTMX-90-RE</v>
      </c>
      <c r="H393" s="14" t="str">
        <f>'2026 Orders'!H392</f>
        <v>FERTMX-90</v>
      </c>
      <c r="I393" s="15" t="str">
        <f>'2026 Orders'!I392</f>
        <v>RE</v>
      </c>
      <c r="J393" s="14">
        <f>'2026 Orders'!J392</f>
        <v>480</v>
      </c>
      <c r="K393" t="s">
        <v>441</v>
      </c>
      <c r="L393">
        <v>0</v>
      </c>
      <c r="M393">
        <v>480</v>
      </c>
      <c r="N393" s="10" t="str">
        <f>'2026 Orders'!N392</f>
        <v>PO submitted</v>
      </c>
      <c r="O393">
        <v>0</v>
      </c>
      <c r="P393" t="s">
        <v>1077</v>
      </c>
      <c r="Q393">
        <v>810131195243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C393" t="str">
        <f t="shared" si="12"/>
        <v>480/</v>
      </c>
      <c r="AD393" t="e">
        <f t="shared" si="13"/>
        <v>#VALUE!</v>
      </c>
    </row>
    <row r="394" spans="1:30" ht="33" hidden="1" customHeight="1" x14ac:dyDescent="0.3">
      <c r="A394">
        <v>46219</v>
      </c>
      <c r="B394" s="14" t="str">
        <f>'2026 Orders'!B393</f>
        <v>Kenya</v>
      </c>
      <c r="C394" s="14" t="str">
        <f>'2026 Orders'!C393</f>
        <v>A4700</v>
      </c>
      <c r="D394" s="14">
        <v>0</v>
      </c>
      <c r="E394" s="17" t="str" cm="1">
        <f t="array" ref="E394">IF(C394=0,"",
HYPERLINK(
"#'2026 Orders'!C"&amp;
MATCH(1,
('2026 Orders'!C:C=C394)*
('2026 Orders'!G:G=G394)*
('2026 Orders'!N:N=N394),
0),
"Open "&amp;C394
))</f>
        <v>Open A4700</v>
      </c>
      <c r="F394" s="14">
        <v>0</v>
      </c>
      <c r="G394" s="14" t="str">
        <f>'2026 Orders'!G393</f>
        <v>PRECON-90-FD</v>
      </c>
      <c r="H394" s="14" t="str">
        <f>'2026 Orders'!H393</f>
        <v>PRECON-90</v>
      </c>
      <c r="I394" s="15" t="str">
        <f>'2026 Orders'!I393</f>
        <v>FD</v>
      </c>
      <c r="J394" s="14">
        <f>'2026 Orders'!J393</f>
        <v>24</v>
      </c>
      <c r="K394" t="s">
        <v>443</v>
      </c>
      <c r="L394">
        <v>24</v>
      </c>
      <c r="M394">
        <v>0</v>
      </c>
      <c r="N394" s="10" t="str">
        <f>'2026 Orders'!N393</f>
        <v>Rework</v>
      </c>
      <c r="O394">
        <v>0</v>
      </c>
      <c r="P394" t="s">
        <v>1077</v>
      </c>
      <c r="Q394">
        <v>810131195205</v>
      </c>
      <c r="R394">
        <v>0</v>
      </c>
      <c r="S394">
        <v>5034</v>
      </c>
      <c r="T394" t="s">
        <v>1108</v>
      </c>
      <c r="U394" t="s">
        <v>1204</v>
      </c>
      <c r="V394">
        <v>0</v>
      </c>
      <c r="W394">
        <v>0</v>
      </c>
      <c r="X394">
        <v>0</v>
      </c>
      <c r="Y394">
        <v>0</v>
      </c>
      <c r="Z394">
        <v>0</v>
      </c>
      <c r="AC394" t="str">
        <f t="shared" si="12"/>
        <v>24/</v>
      </c>
      <c r="AD394" t="e">
        <f t="shared" si="13"/>
        <v>#VALUE!</v>
      </c>
    </row>
    <row r="395" spans="1:30" ht="33" hidden="1" customHeight="1" x14ac:dyDescent="0.3">
      <c r="A395">
        <v>46219</v>
      </c>
      <c r="B395" s="14" t="str">
        <f>'2026 Orders'!B394</f>
        <v>Kenya</v>
      </c>
      <c r="C395" s="14" t="str">
        <f>'2026 Orders'!C394</f>
        <v>A4700</v>
      </c>
      <c r="D395" s="14">
        <v>0</v>
      </c>
      <c r="E395" s="17" t="str" cm="1">
        <f t="array" ref="E395">IF(C395=0,"",
HYPERLINK(
"#'2026 Orders'!C"&amp;
MATCH(1,
('2026 Orders'!C:C=C395)*
('2026 Orders'!G:G=G395)*
('2026 Orders'!N:N=N395),
0),
"Open "&amp;C395
))</f>
        <v>Open A4700</v>
      </c>
      <c r="F395" s="14">
        <v>0</v>
      </c>
      <c r="G395" s="14" t="str">
        <f>'2026 Orders'!G394</f>
        <v>POLYSIT-90-FD</v>
      </c>
      <c r="H395" s="14" t="str">
        <f>'2026 Orders'!H394</f>
        <v>POLYSIT-90</v>
      </c>
      <c r="I395" s="15" t="str">
        <f>'2026 Orders'!I394</f>
        <v>FD</v>
      </c>
      <c r="J395" s="14">
        <f>'2026 Orders'!J394</f>
        <v>24</v>
      </c>
      <c r="K395" t="s">
        <v>992</v>
      </c>
      <c r="L395">
        <v>0</v>
      </c>
      <c r="M395">
        <v>24</v>
      </c>
      <c r="N395" s="10" t="str">
        <f>'2026 Orders'!N394</f>
        <v>In Production</v>
      </c>
      <c r="O395">
        <v>0</v>
      </c>
      <c r="P395" t="s">
        <v>1077</v>
      </c>
      <c r="Q395">
        <v>810131195199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C395" t="str">
        <f t="shared" si="12"/>
        <v>24/</v>
      </c>
      <c r="AD395" t="e">
        <f t="shared" si="13"/>
        <v>#VALUE!</v>
      </c>
    </row>
    <row r="396" spans="1:30" ht="33" hidden="1" customHeight="1" x14ac:dyDescent="0.3">
      <c r="A396">
        <v>46219</v>
      </c>
      <c r="B396" s="14" t="str">
        <f>'2026 Orders'!B395</f>
        <v>Kenya</v>
      </c>
      <c r="C396" s="14" t="str">
        <f>'2026 Orders'!C395</f>
        <v>A4700</v>
      </c>
      <c r="D396" s="14">
        <v>0</v>
      </c>
      <c r="E396" s="17" t="str" cm="1">
        <f t="array" ref="E396">IF(C396=0,"",
HYPERLINK(
"#'2026 Orders'!C"&amp;
MATCH(1,
('2026 Orders'!C:C=C396)*
('2026 Orders'!G:G=G396)*
('2026 Orders'!N:N=N396),
0),
"Open "&amp;C396
))</f>
        <v>Open A4700</v>
      </c>
      <c r="F396" s="14">
        <v>0</v>
      </c>
      <c r="G396" s="14" t="str">
        <f>'2026 Orders'!G395</f>
        <v>METRIO-60-FD</v>
      </c>
      <c r="H396" s="14" t="str">
        <f>'2026 Orders'!H395</f>
        <v>METRIO-60</v>
      </c>
      <c r="I396" s="15" t="str">
        <f>'2026 Orders'!I395</f>
        <v>FD</v>
      </c>
      <c r="J396" s="14">
        <f>'2026 Orders'!J395</f>
        <v>24</v>
      </c>
      <c r="K396" t="s">
        <v>789</v>
      </c>
      <c r="L396">
        <v>24</v>
      </c>
      <c r="M396">
        <v>0</v>
      </c>
      <c r="N396" s="10" t="str">
        <f>'2026 Orders'!N395</f>
        <v>Rework</v>
      </c>
      <c r="O396">
        <v>0</v>
      </c>
      <c r="P396" t="s">
        <v>1077</v>
      </c>
      <c r="Q396">
        <v>810131195182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C396" t="str">
        <f t="shared" si="12"/>
        <v>24/</v>
      </c>
      <c r="AD396" t="e">
        <f t="shared" si="13"/>
        <v>#VALUE!</v>
      </c>
    </row>
    <row r="397" spans="1:30" ht="33" hidden="1" customHeight="1" x14ac:dyDescent="0.3">
      <c r="A397">
        <v>46219</v>
      </c>
      <c r="B397" s="14">
        <f>'2026 Orders'!B396</f>
        <v>0</v>
      </c>
      <c r="C397" s="14">
        <f>'2026 Orders'!C396</f>
        <v>0</v>
      </c>
      <c r="D397" s="14">
        <v>0</v>
      </c>
      <c r="E397" s="17" t="str" cm="1">
        <f t="array" ref="E397">IF(C397=0,"",
HYPERLINK(
"#'2026 Orders'!C"&amp;
MATCH(1,
('2026 Orders'!C:C=C397)*
('2026 Orders'!G:G=G397)*
('2026 Orders'!N:N=N397),
0),
"Open "&amp;C397
))</f>
        <v/>
      </c>
      <c r="F397" s="14">
        <v>0</v>
      </c>
      <c r="G397" s="14">
        <f>'2026 Orders'!G396</f>
        <v>0</v>
      </c>
      <c r="H397" s="14">
        <f>'2026 Orders'!H396</f>
        <v>0</v>
      </c>
      <c r="I397" s="15" t="str">
        <f>'2026 Orders'!I396</f>
        <v/>
      </c>
      <c r="J397" s="14">
        <f>'2026 Orders'!J396</f>
        <v>0</v>
      </c>
      <c r="K397">
        <v>0</v>
      </c>
      <c r="L397">
        <v>0</v>
      </c>
      <c r="M397">
        <v>0</v>
      </c>
      <c r="N397" s="10">
        <f>'2026 Orders'!N396</f>
        <v>0</v>
      </c>
      <c r="O397">
        <v>0</v>
      </c>
      <c r="P397" t="s">
        <v>1077</v>
      </c>
      <c r="Q397">
        <v>810131195212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C397" t="str">
        <f t="shared" si="12"/>
        <v/>
      </c>
      <c r="AD397" t="str">
        <f t="shared" si="13"/>
        <v/>
      </c>
    </row>
    <row r="398" spans="1:30" ht="33" hidden="1" customHeight="1" x14ac:dyDescent="0.3">
      <c r="A398">
        <v>0</v>
      </c>
      <c r="B398" s="14" t="str">
        <f>'2026 Orders'!B397</f>
        <v>Greece</v>
      </c>
      <c r="C398" s="14" t="str">
        <f>'2026 Orders'!C397</f>
        <v>A4702</v>
      </c>
      <c r="D398" s="14" t="s">
        <v>994</v>
      </c>
      <c r="E398" s="17" t="str" cm="1">
        <f t="array" ref="E398">IF(C398=0,"",
HYPERLINK(
"#'2026 Orders'!C"&amp;
MATCH(1,
('2026 Orders'!C:C=C398)*
('2026 Orders'!G:G=G398)*
('2026 Orders'!N:N=N398),
0),
"Open "&amp;C398
))</f>
        <v>Open A4702</v>
      </c>
      <c r="F398" s="14" t="s">
        <v>834</v>
      </c>
      <c r="G398" s="14" t="str">
        <f>'2026 Orders'!G397</f>
        <v>MFSADV-120-CS-GR</v>
      </c>
      <c r="H398" s="14" t="str">
        <f>'2026 Orders'!H397</f>
        <v>MFSADV-120</v>
      </c>
      <c r="I398" s="15" t="str">
        <f>'2026 Orders'!I397</f>
        <v>GR</v>
      </c>
      <c r="J398" s="14">
        <f>'2026 Orders'!J397</f>
        <v>1000</v>
      </c>
      <c r="K398" t="s">
        <v>506</v>
      </c>
      <c r="L398">
        <v>0</v>
      </c>
      <c r="M398">
        <v>1000</v>
      </c>
      <c r="N398" s="10" t="str">
        <f>'2026 Orders'!N397</f>
        <v>PO submitted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C398" t="str">
        <f t="shared" si="12"/>
        <v>1000/</v>
      </c>
      <c r="AD398" t="e">
        <f t="shared" si="13"/>
        <v>#VALUE!</v>
      </c>
    </row>
    <row r="399" spans="1:30" ht="33" hidden="1" customHeight="1" x14ac:dyDescent="0.3">
      <c r="A399">
        <v>46220</v>
      </c>
      <c r="B399" s="14">
        <f>'2026 Orders'!B398</f>
        <v>0</v>
      </c>
      <c r="C399" s="14">
        <f>'2026 Orders'!C398</f>
        <v>0</v>
      </c>
      <c r="D399" s="14">
        <v>0</v>
      </c>
      <c r="E399" s="17" t="str" cm="1">
        <f t="array" ref="E399">IF(C399=0,"",
HYPERLINK(
"#'2026 Orders'!C"&amp;
MATCH(1,
('2026 Orders'!C:C=C399)*
('2026 Orders'!G:G=G399)*
('2026 Orders'!N:N=N399),
0),
"Open "&amp;C399
))</f>
        <v/>
      </c>
      <c r="F399" s="14">
        <v>0</v>
      </c>
      <c r="G399" s="14">
        <f>'2026 Orders'!G398</f>
        <v>0</v>
      </c>
      <c r="H399" s="14">
        <f>'2026 Orders'!H398</f>
        <v>0</v>
      </c>
      <c r="I399" s="15" t="str">
        <f>'2026 Orders'!I398</f>
        <v/>
      </c>
      <c r="J399" s="14">
        <f>'2026 Orders'!J398</f>
        <v>0</v>
      </c>
      <c r="K399">
        <v>0</v>
      </c>
      <c r="L399">
        <v>0</v>
      </c>
      <c r="M399">
        <v>0</v>
      </c>
      <c r="N399" s="10">
        <f>'2026 Orders'!N398</f>
        <v>0</v>
      </c>
      <c r="O399">
        <v>0</v>
      </c>
      <c r="P399" t="s">
        <v>1077</v>
      </c>
      <c r="Q399">
        <v>604776737650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C399" t="str">
        <f t="shared" si="12"/>
        <v/>
      </c>
      <c r="AD399" t="str">
        <f t="shared" si="13"/>
        <v/>
      </c>
    </row>
    <row r="400" spans="1:30" ht="33" hidden="1" customHeight="1" x14ac:dyDescent="0.3">
      <c r="A400">
        <v>0</v>
      </c>
      <c r="B400" s="14" t="str">
        <f>'2026 Orders'!B399</f>
        <v>Botswana</v>
      </c>
      <c r="C400" s="14" t="str">
        <f>'2026 Orders'!C399</f>
        <v>A4705</v>
      </c>
      <c r="D400" s="14" t="s">
        <v>997</v>
      </c>
      <c r="E400" s="17" t="str" cm="1">
        <f t="array" ref="E400">IF(C400=0,"",
HYPERLINK(
"#'2026 Orders'!C"&amp;
MATCH(1,
('2026 Orders'!C:C=C400)*
('2026 Orders'!G:G=G400)*
('2026 Orders'!N:N=N400),
0),
"Open "&amp;C400
))</f>
        <v>Open A4705</v>
      </c>
      <c r="F400" s="14">
        <v>0</v>
      </c>
      <c r="G400" s="14" t="str">
        <f>'2026 Orders'!G399</f>
        <v>PROSTA-90-FD</v>
      </c>
      <c r="H400" s="14" t="str">
        <f>'2026 Orders'!H399</f>
        <v>PROSTA-90</v>
      </c>
      <c r="I400" s="15" t="str">
        <f>'2026 Orders'!I399</f>
        <v>FD</v>
      </c>
      <c r="J400" s="14">
        <f>'2026 Orders'!J399</f>
        <v>72</v>
      </c>
      <c r="K400" t="s">
        <v>445</v>
      </c>
      <c r="L400">
        <v>72</v>
      </c>
      <c r="M400">
        <v>0</v>
      </c>
      <c r="N400" s="10" t="str">
        <f>'2026 Orders'!N399</f>
        <v>Rework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C400" t="str">
        <f t="shared" si="12"/>
        <v>72/</v>
      </c>
      <c r="AD400" t="e">
        <f t="shared" si="13"/>
        <v>#VALUE!</v>
      </c>
    </row>
    <row r="401" spans="1:30" ht="33" hidden="1" customHeight="1" x14ac:dyDescent="0.3">
      <c r="A401">
        <v>46233</v>
      </c>
      <c r="B401" s="14" t="str">
        <f>'2026 Orders'!B400</f>
        <v>Botswana</v>
      </c>
      <c r="C401" s="14" t="str">
        <f>'2026 Orders'!C400</f>
        <v>A4705</v>
      </c>
      <c r="D401" s="14">
        <v>0</v>
      </c>
      <c r="E401" s="17" t="str" cm="1">
        <f t="array" ref="E401">IF(C401=0,"",
HYPERLINK(
"#'2026 Orders'!C"&amp;
MATCH(1,
('2026 Orders'!C:C=C401)*
('2026 Orders'!G:G=G401)*
('2026 Orders'!N:N=N401),
0),
"Open "&amp;C401
))</f>
        <v>Open A4705</v>
      </c>
      <c r="F401" s="14">
        <v>0</v>
      </c>
      <c r="G401" s="14" t="str">
        <f>'2026 Orders'!G400</f>
        <v>XTRAD10-60-FD</v>
      </c>
      <c r="H401" s="14" t="str">
        <f>'2026 Orders'!H400</f>
        <v>XTRAD10-60</v>
      </c>
      <c r="I401" s="15" t="str">
        <f>'2026 Orders'!I400</f>
        <v>FD</v>
      </c>
      <c r="J401" s="14">
        <f>'2026 Orders'!J400</f>
        <v>1440</v>
      </c>
      <c r="K401" t="s">
        <v>622</v>
      </c>
      <c r="L401">
        <v>0</v>
      </c>
      <c r="M401">
        <v>1440</v>
      </c>
      <c r="N401" s="10" t="str">
        <f>'2026 Orders'!N400</f>
        <v>Bulk Production Complete</v>
      </c>
      <c r="O401">
        <v>0</v>
      </c>
      <c r="P401">
        <v>0</v>
      </c>
      <c r="Q401" t="s">
        <v>1205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C401" t="str">
        <f t="shared" si="12"/>
        <v>1440/</v>
      </c>
      <c r="AD401" t="e">
        <f t="shared" si="13"/>
        <v>#VALUE!</v>
      </c>
    </row>
    <row r="402" spans="1:30" ht="33" hidden="1" customHeight="1" x14ac:dyDescent="0.3">
      <c r="A402">
        <v>46233</v>
      </c>
      <c r="B402" s="14" t="str">
        <f>'2026 Orders'!B401</f>
        <v>Botswana</v>
      </c>
      <c r="C402" s="14" t="str">
        <f>'2026 Orders'!C401</f>
        <v>A4705</v>
      </c>
      <c r="D402" s="14">
        <v>0</v>
      </c>
      <c r="E402" s="17" t="str" cm="1">
        <f t="array" ref="E402">IF(C402=0,"",
HYPERLINK(
"#'2026 Orders'!C"&amp;
MATCH(1,
('2026 Orders'!C:C=C402)*
('2026 Orders'!G:G=G402)*
('2026 Orders'!N:N=N402),
0),
"Open "&amp;C402
))</f>
        <v>Open A4705</v>
      </c>
      <c r="F402" s="14">
        <v>0</v>
      </c>
      <c r="G402" s="14" t="str">
        <f>'2026 Orders'!G401</f>
        <v>MFSPLS-120-FD</v>
      </c>
      <c r="H402" s="14" t="str">
        <f>'2026 Orders'!H401</f>
        <v>MFSPLS-120</v>
      </c>
      <c r="I402" s="15" t="str">
        <f>'2026 Orders'!I401</f>
        <v>FD</v>
      </c>
      <c r="J402" s="14">
        <f>'2026 Orders'!J401</f>
        <v>96</v>
      </c>
      <c r="K402" t="s">
        <v>462</v>
      </c>
      <c r="L402">
        <v>0</v>
      </c>
      <c r="M402">
        <v>96</v>
      </c>
      <c r="N402" s="10" t="str">
        <f>'2026 Orders'!N401</f>
        <v>In Production</v>
      </c>
      <c r="O402">
        <v>0</v>
      </c>
      <c r="P402">
        <v>0</v>
      </c>
      <c r="Q402" t="s">
        <v>1206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C402" t="str">
        <f t="shared" si="12"/>
        <v>96/</v>
      </c>
      <c r="AD402" t="e">
        <f t="shared" si="13"/>
        <v>#VALUE!</v>
      </c>
    </row>
    <row r="403" spans="1:30" ht="33" hidden="1" customHeight="1" x14ac:dyDescent="0.3">
      <c r="A403">
        <v>46233</v>
      </c>
      <c r="B403" s="14" t="str">
        <f>'2026 Orders'!B402</f>
        <v>Botswana</v>
      </c>
      <c r="C403" s="14" t="str">
        <f>'2026 Orders'!C402</f>
        <v>A4705</v>
      </c>
      <c r="D403" s="14">
        <v>0</v>
      </c>
      <c r="E403" s="17" t="str" cm="1">
        <f t="array" ref="E403">IF(C403=0,"",
HYPERLINK(
"#'2026 Orders'!C"&amp;
MATCH(1,
('2026 Orders'!C:C=C403)*
('2026 Orders'!G:G=G403)*
('2026 Orders'!N:N=N403),
0),
"Open "&amp;C403
))</f>
        <v>Open A4705</v>
      </c>
      <c r="F403" s="14">
        <v>0</v>
      </c>
      <c r="G403" s="14" t="str">
        <f>'2026 Orders'!G402</f>
        <v>DHEA50-60-FD</v>
      </c>
      <c r="H403" s="14" t="str">
        <f>'2026 Orders'!H402</f>
        <v>DHEA50-60</v>
      </c>
      <c r="I403" s="15" t="str">
        <f>'2026 Orders'!I402</f>
        <v>FD</v>
      </c>
      <c r="J403" s="14">
        <f>'2026 Orders'!J402</f>
        <v>120</v>
      </c>
      <c r="K403" t="s">
        <v>453</v>
      </c>
      <c r="L403">
        <v>0</v>
      </c>
      <c r="M403">
        <v>120</v>
      </c>
      <c r="N403" s="10" t="str">
        <f>'2026 Orders'!N402</f>
        <v>In Production</v>
      </c>
      <c r="O403">
        <v>0</v>
      </c>
      <c r="P403">
        <v>0</v>
      </c>
      <c r="Q403" t="s">
        <v>1207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C403" t="str">
        <f t="shared" si="12"/>
        <v>120/</v>
      </c>
      <c r="AD403" t="e">
        <f t="shared" si="13"/>
        <v>#VALUE!</v>
      </c>
    </row>
    <row r="404" spans="1:30" ht="33" hidden="1" customHeight="1" x14ac:dyDescent="0.3">
      <c r="A404">
        <v>46233</v>
      </c>
      <c r="B404" s="14" t="str">
        <f>'2026 Orders'!B403</f>
        <v>Botswana</v>
      </c>
      <c r="C404" s="14" t="str">
        <f>'2026 Orders'!C403</f>
        <v>A4705</v>
      </c>
      <c r="D404" s="14">
        <v>0</v>
      </c>
      <c r="E404" s="17" t="str" cm="1">
        <f t="array" ref="E404">IF(C404=0,"",
HYPERLINK(
"#'2026 Orders'!C"&amp;
MATCH(1,
('2026 Orders'!C:C=C404)*
('2026 Orders'!G:G=G404)*
('2026 Orders'!N:N=N404),
0),
"Open "&amp;C404
))</f>
        <v>Open A4705</v>
      </c>
      <c r="F404" s="14">
        <v>0</v>
      </c>
      <c r="G404" s="14" t="str">
        <f>'2026 Orders'!G403</f>
        <v>CAVIN-60-FD</v>
      </c>
      <c r="H404" s="14" t="str">
        <f>'2026 Orders'!H403</f>
        <v>CAVIN-60</v>
      </c>
      <c r="I404" s="15" t="str">
        <f>'2026 Orders'!I403</f>
        <v>FD</v>
      </c>
      <c r="J404" s="14">
        <f>'2026 Orders'!J403</f>
        <v>96</v>
      </c>
      <c r="K404" t="s">
        <v>625</v>
      </c>
      <c r="L404">
        <v>96</v>
      </c>
      <c r="M404">
        <v>0</v>
      </c>
      <c r="N404" s="10" t="str">
        <f>'2026 Orders'!N403</f>
        <v>Rework</v>
      </c>
      <c r="O404">
        <v>0</v>
      </c>
      <c r="P404">
        <v>0</v>
      </c>
      <c r="Q404" t="s">
        <v>1208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C404" t="str">
        <f t="shared" si="12"/>
        <v>96/</v>
      </c>
      <c r="AD404" t="e">
        <f t="shared" si="13"/>
        <v>#VALUE!</v>
      </c>
    </row>
    <row r="405" spans="1:30" ht="33" hidden="1" customHeight="1" x14ac:dyDescent="0.3">
      <c r="A405">
        <v>46233</v>
      </c>
      <c r="B405" s="14">
        <f>'2026 Orders'!B404</f>
        <v>0</v>
      </c>
      <c r="C405" s="14">
        <f>'2026 Orders'!C404</f>
        <v>0</v>
      </c>
      <c r="D405" s="14">
        <v>0</v>
      </c>
      <c r="E405" s="17" t="str" cm="1">
        <f t="array" ref="E405">IF(C405=0,"",
HYPERLINK(
"#'2026 Orders'!C"&amp;
MATCH(1,
('2026 Orders'!C:C=C405)*
('2026 Orders'!G:G=G405)*
('2026 Orders'!N:N=N405),
0),
"Open "&amp;C405
))</f>
        <v/>
      </c>
      <c r="F405" s="14">
        <v>0</v>
      </c>
      <c r="G405" s="14">
        <f>'2026 Orders'!G404</f>
        <v>0</v>
      </c>
      <c r="H405" s="14">
        <f>'2026 Orders'!H404</f>
        <v>0</v>
      </c>
      <c r="I405" s="15" t="str">
        <f>'2026 Orders'!I404</f>
        <v/>
      </c>
      <c r="J405" s="14">
        <f>'2026 Orders'!J404</f>
        <v>0</v>
      </c>
      <c r="K405">
        <v>0</v>
      </c>
      <c r="L405">
        <v>0</v>
      </c>
      <c r="M405">
        <v>0</v>
      </c>
      <c r="N405" s="10">
        <f>'2026 Orders'!N404</f>
        <v>0</v>
      </c>
      <c r="O405">
        <v>0</v>
      </c>
      <c r="P405">
        <v>0</v>
      </c>
      <c r="Q405" t="s">
        <v>1209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C405" t="str">
        <f t="shared" si="12"/>
        <v/>
      </c>
      <c r="AD405" t="str">
        <f t="shared" si="13"/>
        <v/>
      </c>
    </row>
    <row r="406" spans="1:30" ht="33" hidden="1" customHeight="1" x14ac:dyDescent="0.3">
      <c r="A406">
        <v>46233</v>
      </c>
      <c r="B406" s="14" t="str">
        <f>'2026 Orders'!B405</f>
        <v>Bahrain</v>
      </c>
      <c r="C406" s="14" t="str">
        <f>'2026 Orders'!C405</f>
        <v>A4707</v>
      </c>
      <c r="D406" s="14" t="s">
        <v>1001</v>
      </c>
      <c r="E406" s="17" t="str" cm="1">
        <f t="array" ref="E406">IF(C406=0,"",
HYPERLINK(
"#'2026 Orders'!C"&amp;
MATCH(1,
('2026 Orders'!C:C=C406)*
('2026 Orders'!G:G=G406)*
('2026 Orders'!N:N=N406),
0),
"Open "&amp;C406
))</f>
        <v>Open A4707</v>
      </c>
      <c r="F406" s="14">
        <v>0</v>
      </c>
      <c r="G406" s="14" t="str">
        <f>'2026 Orders'!G405</f>
        <v>MOTILMX-60-CS-BN</v>
      </c>
      <c r="H406" s="14" t="str">
        <f>'2026 Orders'!H405</f>
        <v>MOTILMX-60</v>
      </c>
      <c r="I406" s="15" t="str">
        <f>'2026 Orders'!I405</f>
        <v>BN</v>
      </c>
      <c r="J406" s="14">
        <f>'2026 Orders'!J405</f>
        <v>500</v>
      </c>
      <c r="K406" t="s">
        <v>1003</v>
      </c>
      <c r="L406">
        <v>500</v>
      </c>
      <c r="M406">
        <v>0</v>
      </c>
      <c r="N406" s="10" t="str">
        <f>'2026 Orders'!N405</f>
        <v>D/W Sent</v>
      </c>
      <c r="O406">
        <v>0</v>
      </c>
      <c r="P406">
        <v>0</v>
      </c>
      <c r="Q406" t="s">
        <v>1210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C406" t="str">
        <f t="shared" si="12"/>
        <v>500/</v>
      </c>
      <c r="AD406" t="e">
        <f t="shared" si="13"/>
        <v>#VALUE!</v>
      </c>
    </row>
    <row r="407" spans="1:30" ht="33" hidden="1" customHeight="1" x14ac:dyDescent="0.3">
      <c r="A407">
        <v>0</v>
      </c>
      <c r="B407" s="14">
        <f>'2026 Orders'!B406</f>
        <v>0</v>
      </c>
      <c r="C407" s="14">
        <f>'2026 Orders'!C406</f>
        <v>0</v>
      </c>
      <c r="D407" s="14">
        <v>0</v>
      </c>
      <c r="E407" s="17" t="str" cm="1">
        <f t="array" ref="E407">IF(C407=0,"",
HYPERLINK(
"#'2026 Orders'!C"&amp;
MATCH(1,
('2026 Orders'!C:C=C407)*
('2026 Orders'!G:G=G407)*
('2026 Orders'!N:N=N407),
0),
"Open "&amp;C407
))</f>
        <v/>
      </c>
      <c r="F407" s="14">
        <v>0</v>
      </c>
      <c r="G407" s="14">
        <f>'2026 Orders'!G406</f>
        <v>0</v>
      </c>
      <c r="H407" s="14">
        <f>'2026 Orders'!H406</f>
        <v>0</v>
      </c>
      <c r="I407" s="15" t="str">
        <f>'2026 Orders'!I406</f>
        <v/>
      </c>
      <c r="J407" s="14">
        <f>'2026 Orders'!J406</f>
        <v>0</v>
      </c>
      <c r="K407">
        <v>0</v>
      </c>
      <c r="L407">
        <v>0</v>
      </c>
      <c r="M407">
        <v>0</v>
      </c>
      <c r="N407" s="10">
        <f>'2026 Orders'!N406</f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C407" t="str">
        <f t="shared" si="12"/>
        <v/>
      </c>
      <c r="AD407" t="str">
        <f t="shared" si="13"/>
        <v/>
      </c>
    </row>
    <row r="408" spans="1:30" ht="33" hidden="1" customHeight="1" x14ac:dyDescent="0.3">
      <c r="A408">
        <v>46041</v>
      </c>
      <c r="B408" s="14" t="str">
        <f>'2026 Orders'!B407</f>
        <v>Tanzania</v>
      </c>
      <c r="C408" s="14" t="str">
        <f>'2026 Orders'!C407</f>
        <v>A4710</v>
      </c>
      <c r="D408" s="14" t="s">
        <v>1006</v>
      </c>
      <c r="E408" s="17" t="str" cm="1">
        <f t="array" ref="E408">IF(C408=0,"",
HYPERLINK(
"#'2026 Orders'!C"&amp;
MATCH(1,
('2026 Orders'!C:C=C408)*
('2026 Orders'!G:G=G408)*
('2026 Orders'!N:N=N408),
0),
"Open "&amp;C408
))</f>
        <v>Open A4710</v>
      </c>
      <c r="F408" s="14">
        <v>0</v>
      </c>
      <c r="G408" s="14" t="str">
        <f>'2026 Orders'!G407</f>
        <v>WFSPLS-180-CS-TA</v>
      </c>
      <c r="H408" s="14" t="str">
        <f>'2026 Orders'!H407</f>
        <v>WFSPLS-180</v>
      </c>
      <c r="I408" s="15" t="str">
        <f>'2026 Orders'!I407</f>
        <v>TA</v>
      </c>
      <c r="J408" s="14">
        <f>'2026 Orders'!J407</f>
        <v>48</v>
      </c>
      <c r="K408" t="s">
        <v>1007</v>
      </c>
      <c r="L408">
        <v>0</v>
      </c>
      <c r="M408">
        <v>48</v>
      </c>
      <c r="N408" s="10" t="str">
        <f>'2026 Orders'!N407</f>
        <v>PO Drafted</v>
      </c>
      <c r="O408">
        <v>0</v>
      </c>
      <c r="P408" t="s">
        <v>1077</v>
      </c>
      <c r="Q408">
        <v>609788968559</v>
      </c>
      <c r="R408">
        <v>2000</v>
      </c>
      <c r="S408">
        <v>4998</v>
      </c>
      <c r="T408">
        <v>46232</v>
      </c>
      <c r="U408" t="s">
        <v>1126</v>
      </c>
      <c r="V408">
        <v>0</v>
      </c>
      <c r="W408">
        <v>0</v>
      </c>
      <c r="X408">
        <v>0</v>
      </c>
      <c r="Y408">
        <v>0</v>
      </c>
      <c r="Z408" t="s">
        <v>1083</v>
      </c>
      <c r="AC408" t="str">
        <f t="shared" si="12"/>
        <v>48/</v>
      </c>
      <c r="AD408" t="e">
        <f t="shared" si="13"/>
        <v>#VALUE!</v>
      </c>
    </row>
    <row r="409" spans="1:30" ht="33" hidden="1" customHeight="1" x14ac:dyDescent="0.3">
      <c r="A409">
        <v>46041</v>
      </c>
      <c r="B409" s="14" t="str">
        <f>'2026 Orders'!B408</f>
        <v>Tanzania</v>
      </c>
      <c r="C409" s="14" t="str">
        <f>'2026 Orders'!C408</f>
        <v>A4710</v>
      </c>
      <c r="D409" s="14" t="s">
        <v>1008</v>
      </c>
      <c r="E409" s="17" t="str" cm="1">
        <f t="array" ref="E409">IF(C409=0,"",
HYPERLINK(
"#'2026 Orders'!C"&amp;
MATCH(1,
('2026 Orders'!C:C=C409)*
('2026 Orders'!G:G=G409)*
('2026 Orders'!N:N=N409),
0),
"Open "&amp;C409
))</f>
        <v>Open A4710</v>
      </c>
      <c r="F409" s="14">
        <v>0</v>
      </c>
      <c r="G409" s="14" t="str">
        <f>'2026 Orders'!G408</f>
        <v>PRECON-180-CS-TA</v>
      </c>
      <c r="H409" s="14" t="str">
        <f>'2026 Orders'!H408</f>
        <v>PRECON-180</v>
      </c>
      <c r="I409" s="15" t="str">
        <f>'2026 Orders'!I408</f>
        <v>TA</v>
      </c>
      <c r="J409" s="14">
        <f>'2026 Orders'!J408</f>
        <v>120</v>
      </c>
      <c r="K409" t="s">
        <v>1009</v>
      </c>
      <c r="L409">
        <v>0</v>
      </c>
      <c r="M409">
        <v>120</v>
      </c>
      <c r="N409" s="10" t="str">
        <f>'2026 Orders'!N408</f>
        <v>In Production</v>
      </c>
      <c r="O409">
        <v>0</v>
      </c>
      <c r="P409" t="s">
        <v>1077</v>
      </c>
      <c r="Q409" t="s">
        <v>1117</v>
      </c>
      <c r="R409">
        <v>5000</v>
      </c>
      <c r="S409">
        <v>4946</v>
      </c>
      <c r="T409">
        <v>46094</v>
      </c>
      <c r="U409" t="s">
        <v>1211</v>
      </c>
      <c r="V409">
        <v>0</v>
      </c>
      <c r="W409">
        <v>0</v>
      </c>
      <c r="X409">
        <v>0</v>
      </c>
      <c r="Y409">
        <v>0</v>
      </c>
      <c r="Z409">
        <v>0</v>
      </c>
      <c r="AC409" t="str">
        <f t="shared" si="12"/>
        <v>120/</v>
      </c>
      <c r="AD409" t="e">
        <f t="shared" si="13"/>
        <v>#VALUE!</v>
      </c>
    </row>
    <row r="410" spans="1:30" ht="33" hidden="1" customHeight="1" x14ac:dyDescent="0.3">
      <c r="A410">
        <v>46041</v>
      </c>
      <c r="B410" s="14" t="str">
        <f>'2026 Orders'!B409</f>
        <v>Tanzania</v>
      </c>
      <c r="C410" s="14" t="str">
        <f>'2026 Orders'!C409</f>
        <v>A4710</v>
      </c>
      <c r="D410" s="14">
        <v>0</v>
      </c>
      <c r="E410" s="17" t="str" cm="1">
        <f t="array" ref="E410">IF(C410=0,"",
HYPERLINK(
"#'2026 Orders'!C"&amp;
MATCH(1,
('2026 Orders'!C:C=C410)*
('2026 Orders'!G:G=G410)*
('2026 Orders'!N:N=N410),
0),
"Open "&amp;C410
))</f>
        <v>Open A4710</v>
      </c>
      <c r="F410" s="14">
        <v>0</v>
      </c>
      <c r="G410" s="14" t="str">
        <f>'2026 Orders'!G409</f>
        <v>FERTMX-90-CS-TA</v>
      </c>
      <c r="H410" s="14" t="str">
        <f>'2026 Orders'!H409</f>
        <v>FERTMX-90</v>
      </c>
      <c r="I410" s="15" t="str">
        <f>'2026 Orders'!I409</f>
        <v>TA</v>
      </c>
      <c r="J410" s="14">
        <f>'2026 Orders'!J409</f>
        <v>240</v>
      </c>
      <c r="K410" t="s">
        <v>1010</v>
      </c>
      <c r="L410">
        <v>0</v>
      </c>
      <c r="M410">
        <v>240</v>
      </c>
      <c r="N410" s="10" t="str">
        <f>'2026 Orders'!N409</f>
        <v>PO submitted</v>
      </c>
      <c r="O410">
        <v>0</v>
      </c>
      <c r="P410" t="s">
        <v>1077</v>
      </c>
      <c r="Q410">
        <v>609788968344</v>
      </c>
      <c r="R410">
        <v>7000</v>
      </c>
      <c r="S410">
        <v>4935</v>
      </c>
      <c r="T410" t="s">
        <v>1079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C410" t="str">
        <f t="shared" si="12"/>
        <v>240/</v>
      </c>
      <c r="AD410" t="e">
        <f t="shared" si="13"/>
        <v>#VALUE!</v>
      </c>
    </row>
    <row r="411" spans="1:30" ht="33" hidden="1" customHeight="1" x14ac:dyDescent="0.3">
      <c r="A411">
        <v>46041</v>
      </c>
      <c r="B411" s="14" t="str">
        <f>'2026 Orders'!B410</f>
        <v>Tanzania</v>
      </c>
      <c r="C411" s="14" t="str">
        <f>'2026 Orders'!C410</f>
        <v>A4710</v>
      </c>
      <c r="D411" s="14">
        <v>0</v>
      </c>
      <c r="E411" s="17" t="str" cm="1">
        <f t="array" ref="E411">IF(C411=0,"",
HYPERLINK(
"#'2026 Orders'!C"&amp;
MATCH(1,
('2026 Orders'!C:C=C411)*
('2026 Orders'!G:G=G411)*
('2026 Orders'!N:N=N411),
0),
"Open "&amp;C411
))</f>
        <v>Open A4710</v>
      </c>
      <c r="F411" s="14">
        <v>0</v>
      </c>
      <c r="G411" s="14" t="str">
        <f>'2026 Orders'!G410</f>
        <v>OVAMANM-120-CS-TA</v>
      </c>
      <c r="H411" s="14" t="str">
        <f>'2026 Orders'!H410</f>
        <v>OVAMANM-120</v>
      </c>
      <c r="I411" s="15" t="str">
        <f>'2026 Orders'!I410</f>
        <v>TA</v>
      </c>
      <c r="J411" s="14">
        <f>'2026 Orders'!J410</f>
        <v>240</v>
      </c>
      <c r="K411" t="s">
        <v>1011</v>
      </c>
      <c r="L411">
        <v>0</v>
      </c>
      <c r="M411">
        <v>240</v>
      </c>
      <c r="N411" s="10" t="str">
        <f>'2026 Orders'!N410</f>
        <v>Not Meet MOQ</v>
      </c>
      <c r="O411">
        <v>0</v>
      </c>
      <c r="P411" t="s">
        <v>1077</v>
      </c>
      <c r="Q411">
        <v>810131192990</v>
      </c>
      <c r="R411">
        <v>5000</v>
      </c>
      <c r="S411">
        <v>4798</v>
      </c>
      <c r="T411">
        <v>46041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C411" t="str">
        <f t="shared" si="12"/>
        <v>240/</v>
      </c>
      <c r="AD411" t="e">
        <f t="shared" si="13"/>
        <v>#VALUE!</v>
      </c>
    </row>
    <row r="412" spans="1:30" ht="33" hidden="1" customHeight="1" x14ac:dyDescent="0.3">
      <c r="A412">
        <v>46041</v>
      </c>
      <c r="B412" s="14" t="str">
        <f>'2026 Orders'!B411</f>
        <v>Tanzania</v>
      </c>
      <c r="C412" s="14" t="str">
        <f>'2026 Orders'!C411</f>
        <v>A4710</v>
      </c>
      <c r="D412" s="14">
        <v>0</v>
      </c>
      <c r="E412" s="17" t="str" cm="1">
        <f t="array" ref="E412">IF(C412=0,"",
HYPERLINK(
"#'2026 Orders'!C"&amp;
MATCH(1,
('2026 Orders'!C:C=C412)*
('2026 Orders'!G:G=G412)*
('2026 Orders'!N:N=N412),
0),
"Open "&amp;C412
))</f>
        <v>Open A4710</v>
      </c>
      <c r="F412" s="14">
        <v>0</v>
      </c>
      <c r="G412" s="14" t="str">
        <f>'2026 Orders'!G411</f>
        <v>QWELL4-30-SG-CS-TA</v>
      </c>
      <c r="H412" s="14" t="str">
        <f>'2026 Orders'!H411</f>
        <v>QWELL4-30</v>
      </c>
      <c r="I412" s="15" t="str">
        <f>'2026 Orders'!I411</f>
        <v>TA</v>
      </c>
      <c r="J412" s="14">
        <f>'2026 Orders'!J411</f>
        <v>120</v>
      </c>
      <c r="K412" t="s">
        <v>1012</v>
      </c>
      <c r="L412">
        <v>120</v>
      </c>
      <c r="M412">
        <v>0</v>
      </c>
      <c r="N412" s="10" t="str">
        <f>'2026 Orders'!N411</f>
        <v>Rework</v>
      </c>
      <c r="O412">
        <v>0</v>
      </c>
      <c r="P412" t="s">
        <v>1077</v>
      </c>
      <c r="Q412">
        <v>609788968597</v>
      </c>
      <c r="R412">
        <v>5000</v>
      </c>
      <c r="S412">
        <v>4924</v>
      </c>
      <c r="T412">
        <v>46042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C412" t="str">
        <f t="shared" si="12"/>
        <v>120/</v>
      </c>
      <c r="AD412" t="e">
        <f t="shared" si="13"/>
        <v>#VALUE!</v>
      </c>
    </row>
    <row r="413" spans="1:30" ht="33" hidden="1" customHeight="1" x14ac:dyDescent="0.3">
      <c r="A413">
        <v>46041</v>
      </c>
      <c r="B413" s="14">
        <f>'2026 Orders'!B412</f>
        <v>0</v>
      </c>
      <c r="C413" s="14">
        <f>'2026 Orders'!C412</f>
        <v>0</v>
      </c>
      <c r="D413" s="14">
        <v>0</v>
      </c>
      <c r="E413" s="17" t="str" cm="1">
        <f t="array" ref="E413">IF(C413=0,"",
HYPERLINK(
"#'2026 Orders'!C"&amp;
MATCH(1,
('2026 Orders'!C:C=C413)*
('2026 Orders'!G:G=G413)*
('2026 Orders'!N:N=N413),
0),
"Open "&amp;C413
))</f>
        <v/>
      </c>
      <c r="F413" s="14">
        <v>0</v>
      </c>
      <c r="G413" s="14">
        <f>'2026 Orders'!G412</f>
        <v>0</v>
      </c>
      <c r="H413" s="14">
        <f>'2026 Orders'!H412</f>
        <v>0</v>
      </c>
      <c r="I413" s="15" t="str">
        <f>'2026 Orders'!I412</f>
        <v/>
      </c>
      <c r="J413" s="14">
        <f>'2026 Orders'!J412</f>
        <v>0</v>
      </c>
      <c r="K413">
        <v>0</v>
      </c>
      <c r="L413">
        <v>0</v>
      </c>
      <c r="M413">
        <v>0</v>
      </c>
      <c r="N413" s="10">
        <f>'2026 Orders'!N412</f>
        <v>0</v>
      </c>
      <c r="O413">
        <v>0</v>
      </c>
      <c r="P413" t="s">
        <v>1077</v>
      </c>
      <c r="Q413">
        <v>810131199449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C413" t="str">
        <f t="shared" si="12"/>
        <v/>
      </c>
      <c r="AD413" t="str">
        <f t="shared" si="13"/>
        <v/>
      </c>
    </row>
    <row r="414" spans="1:30" ht="33" hidden="1" customHeight="1" x14ac:dyDescent="0.3">
      <c r="A414">
        <v>0</v>
      </c>
      <c r="B414" s="14" t="str">
        <f>'2026 Orders'!B413</f>
        <v>UAE</v>
      </c>
      <c r="C414" s="14" t="str">
        <f>'2026 Orders'!C413</f>
        <v>A4712</v>
      </c>
      <c r="D414" s="14" t="s">
        <v>1014</v>
      </c>
      <c r="E414" s="17" t="str" cm="1">
        <f t="array" ref="E414">IF(C414=0,"",
HYPERLINK(
"#'2026 Orders'!C"&amp;
MATCH(1,
('2026 Orders'!C:C=C414)*
('2026 Orders'!G:G=G414)*
('2026 Orders'!N:N=N414),
0),
"Open "&amp;C414
))</f>
        <v>Open A4712</v>
      </c>
      <c r="F414" s="14">
        <v>0</v>
      </c>
      <c r="G414" s="14" t="str">
        <f>'2026 Orders'!G413</f>
        <v>QWELL4-30-SG-FD</v>
      </c>
      <c r="H414" s="14" t="str">
        <f>'2026 Orders'!H413</f>
        <v>QWELL4-30</v>
      </c>
      <c r="I414" s="15" t="str">
        <f>'2026 Orders'!I413</f>
        <v>FD</v>
      </c>
      <c r="J414" s="14">
        <f>'2026 Orders'!J413</f>
        <v>1008</v>
      </c>
      <c r="K414" t="s">
        <v>444</v>
      </c>
      <c r="L414">
        <v>696</v>
      </c>
      <c r="M414">
        <v>312</v>
      </c>
      <c r="N414" s="10" t="str">
        <f>'2026 Orders'!N413</f>
        <v>Available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C414" t="str">
        <f t="shared" si="12"/>
        <v>1008/</v>
      </c>
      <c r="AD414" t="e">
        <f t="shared" si="13"/>
        <v>#VALUE!</v>
      </c>
    </row>
    <row r="415" spans="1:30" ht="33" hidden="1" customHeight="1" x14ac:dyDescent="0.3">
      <c r="A415">
        <v>46085</v>
      </c>
      <c r="B415" s="14" t="str">
        <f>'2026 Orders'!B414</f>
        <v>UAE</v>
      </c>
      <c r="C415" s="14" t="str">
        <f>'2026 Orders'!C414</f>
        <v>A4712</v>
      </c>
      <c r="D415" s="14" t="s">
        <v>1015</v>
      </c>
      <c r="E415" s="17" t="str" cm="1">
        <f t="array" ref="E415">IF(C415=0,"",
HYPERLINK(
"#'2026 Orders'!C"&amp;
MATCH(1,
('2026 Orders'!C:C=C415)*
('2026 Orders'!G:G=G415)*
('2026 Orders'!N:N=N415),
0),
"Open "&amp;C415
))</f>
        <v>Open A4712</v>
      </c>
      <c r="F415" s="14">
        <v>0</v>
      </c>
      <c r="G415" s="14" t="str">
        <f>'2026 Orders'!G414</f>
        <v>MFSPLS-120-RE</v>
      </c>
      <c r="H415" s="14" t="str">
        <f>'2026 Orders'!H414</f>
        <v>MFSPLS-120</v>
      </c>
      <c r="I415" s="15" t="str">
        <f>'2026 Orders'!I414</f>
        <v>RE</v>
      </c>
      <c r="J415" s="14">
        <f>'2026 Orders'!J414</f>
        <v>1512</v>
      </c>
      <c r="K415" t="s">
        <v>977</v>
      </c>
      <c r="L415">
        <v>0</v>
      </c>
      <c r="M415">
        <v>1512</v>
      </c>
      <c r="N415" s="10" t="str">
        <f>'2026 Orders'!N414</f>
        <v>Out of Stock</v>
      </c>
      <c r="O415">
        <v>0</v>
      </c>
      <c r="P415" t="s">
        <v>1077</v>
      </c>
      <c r="Q415">
        <v>609788968559</v>
      </c>
      <c r="R415">
        <v>2000</v>
      </c>
      <c r="S415">
        <v>4998</v>
      </c>
      <c r="T415">
        <v>46232</v>
      </c>
      <c r="U415" t="s">
        <v>1126</v>
      </c>
      <c r="V415">
        <v>0</v>
      </c>
      <c r="W415">
        <v>0</v>
      </c>
      <c r="X415">
        <v>0</v>
      </c>
      <c r="Y415">
        <v>0</v>
      </c>
      <c r="Z415" t="s">
        <v>1083</v>
      </c>
      <c r="AC415" t="str">
        <f t="shared" si="12"/>
        <v>1512/</v>
      </c>
      <c r="AD415" t="e">
        <f t="shared" si="13"/>
        <v>#VALUE!</v>
      </c>
    </row>
    <row r="416" spans="1:30" ht="33" hidden="1" customHeight="1" x14ac:dyDescent="0.3">
      <c r="A416">
        <v>46085</v>
      </c>
      <c r="B416" s="14" t="str">
        <f>'2026 Orders'!B415</f>
        <v>UAE</v>
      </c>
      <c r="C416" s="14" t="str">
        <f>'2026 Orders'!C415</f>
        <v>A4712</v>
      </c>
      <c r="D416" s="14">
        <v>0</v>
      </c>
      <c r="E416" s="17" t="str" cm="1">
        <f t="array" ref="E416">IF(C416=0,"",
HYPERLINK(
"#'2026 Orders'!C"&amp;
MATCH(1,
('2026 Orders'!C:C=C416)*
('2026 Orders'!G:G=G416)*
('2026 Orders'!N:N=N416),
0),
"Open "&amp;C416
))</f>
        <v>Open A4712</v>
      </c>
      <c r="F416" s="14">
        <v>0</v>
      </c>
      <c r="G416" s="14" t="str">
        <f>'2026 Orders'!G415</f>
        <v>OMEGA3-60-CS-UA</v>
      </c>
      <c r="H416" s="14" t="str">
        <f>'2026 Orders'!H415</f>
        <v>OMEGA3-60</v>
      </c>
      <c r="I416" s="15" t="str">
        <f>'2026 Orders'!I415</f>
        <v>UA</v>
      </c>
      <c r="J416" s="14">
        <f>'2026 Orders'!J415</f>
        <v>2160</v>
      </c>
      <c r="K416" t="s">
        <v>645</v>
      </c>
      <c r="L416">
        <v>0</v>
      </c>
      <c r="M416">
        <v>2160</v>
      </c>
      <c r="N416" s="10" t="str">
        <f>'2026 Orders'!N415</f>
        <v>Out of Stock</v>
      </c>
      <c r="O416">
        <v>0</v>
      </c>
      <c r="P416" t="s">
        <v>1077</v>
      </c>
      <c r="Q416">
        <v>0</v>
      </c>
      <c r="R416">
        <v>5000</v>
      </c>
      <c r="S416">
        <v>0</v>
      </c>
      <c r="T416" t="s">
        <v>1108</v>
      </c>
      <c r="U416" t="s">
        <v>1142</v>
      </c>
      <c r="V416">
        <v>0</v>
      </c>
      <c r="W416">
        <v>0</v>
      </c>
      <c r="X416">
        <v>0</v>
      </c>
      <c r="Y416">
        <v>0</v>
      </c>
      <c r="Z416">
        <v>0</v>
      </c>
      <c r="AC416" t="str">
        <f t="shared" si="12"/>
        <v>2160/</v>
      </c>
      <c r="AD416" t="e">
        <f t="shared" si="13"/>
        <v>#VALUE!</v>
      </c>
    </row>
    <row r="417" spans="1:30" ht="33" hidden="1" customHeight="1" x14ac:dyDescent="0.3">
      <c r="A417">
        <v>46085</v>
      </c>
      <c r="B417" s="14" t="str">
        <f>'2026 Orders'!B416</f>
        <v>UAE</v>
      </c>
      <c r="C417" s="14" t="str">
        <f>'2026 Orders'!C416</f>
        <v>A4712</v>
      </c>
      <c r="D417" s="14">
        <v>0</v>
      </c>
      <c r="E417" s="17" t="str" cm="1">
        <f t="array" ref="E417">IF(C417=0,"",
HYPERLINK(
"#'2026 Orders'!C"&amp;
MATCH(1,
('2026 Orders'!C:C=C417)*
('2026 Orders'!G:G=G417)*
('2026 Orders'!N:N=N417),
0),
"Open "&amp;C417
))</f>
        <v>Open A4712</v>
      </c>
      <c r="F417" s="14">
        <v>0</v>
      </c>
      <c r="G417" s="14" t="str">
        <f>'2026 Orders'!G416</f>
        <v>OVAMANM-120-CS-UA</v>
      </c>
      <c r="H417" s="14" t="str">
        <f>'2026 Orders'!H416</f>
        <v>OVAMANM-120</v>
      </c>
      <c r="I417" s="15" t="str">
        <f>'2026 Orders'!I416</f>
        <v>UA</v>
      </c>
      <c r="J417" s="14">
        <f>'2026 Orders'!J416</f>
        <v>1512</v>
      </c>
      <c r="K417" t="s">
        <v>1016</v>
      </c>
      <c r="L417">
        <v>0</v>
      </c>
      <c r="M417">
        <v>1512</v>
      </c>
      <c r="N417" s="10" t="str">
        <f>'2026 Orders'!N416</f>
        <v>Out of Stock</v>
      </c>
      <c r="O417">
        <v>0</v>
      </c>
      <c r="P417" t="s">
        <v>1077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C417" t="str">
        <f t="shared" si="12"/>
        <v>1512/</v>
      </c>
      <c r="AD417" t="e">
        <f t="shared" si="13"/>
        <v>#VALUE!</v>
      </c>
    </row>
    <row r="418" spans="1:30" ht="33" hidden="1" customHeight="1" x14ac:dyDescent="0.3">
      <c r="A418">
        <v>46118</v>
      </c>
      <c r="B418" s="14" t="str">
        <f>'2026 Orders'!B417</f>
        <v>UAE</v>
      </c>
      <c r="C418" s="14" t="str">
        <f>'2026 Orders'!C417</f>
        <v>A4712</v>
      </c>
      <c r="D418" s="14">
        <v>0</v>
      </c>
      <c r="E418" s="17" t="str" cm="1">
        <f t="array" ref="E418">IF(C418=0,"",
HYPERLINK(
"#'2026 Orders'!C"&amp;
MATCH(1,
('2026 Orders'!C:C=C418)*
('2026 Orders'!G:G=G418)*
('2026 Orders'!N:N=N418),
0),
"Open "&amp;C418
))</f>
        <v>Open A4712</v>
      </c>
      <c r="F418" s="14">
        <v>0</v>
      </c>
      <c r="G418" s="14" t="str">
        <f>'2026 Orders'!G417</f>
        <v>PEDIAD4-50-FD</v>
      </c>
      <c r="H418" s="14" t="str">
        <f>'2026 Orders'!H417</f>
        <v>PEDIAD4-50</v>
      </c>
      <c r="I418" s="15" t="str">
        <f>'2026 Orders'!I417</f>
        <v>FD</v>
      </c>
      <c r="J418" s="14">
        <f>'2026 Orders'!J417</f>
        <v>1008</v>
      </c>
      <c r="K418" t="s">
        <v>634</v>
      </c>
      <c r="L418">
        <v>0</v>
      </c>
      <c r="M418">
        <v>1008</v>
      </c>
      <c r="N418" s="10" t="str">
        <f>'2026 Orders'!N417</f>
        <v>Out of Stock</v>
      </c>
      <c r="O418">
        <v>0</v>
      </c>
      <c r="P418" t="s">
        <v>1077</v>
      </c>
      <c r="Q418">
        <v>0</v>
      </c>
      <c r="R418">
        <v>5000</v>
      </c>
      <c r="S418">
        <v>5041</v>
      </c>
      <c r="T418">
        <v>46248</v>
      </c>
      <c r="U418" t="s">
        <v>1090</v>
      </c>
      <c r="V418">
        <v>0</v>
      </c>
      <c r="W418">
        <v>0</v>
      </c>
      <c r="X418">
        <v>0</v>
      </c>
      <c r="Y418">
        <v>0</v>
      </c>
      <c r="Z418">
        <v>0</v>
      </c>
      <c r="AC418" t="str">
        <f t="shared" si="12"/>
        <v>1008/</v>
      </c>
      <c r="AD418" t="e">
        <f t="shared" si="13"/>
        <v>#VALUE!</v>
      </c>
    </row>
    <row r="419" spans="1:30" ht="33" hidden="1" customHeight="1" x14ac:dyDescent="0.3">
      <c r="A419">
        <v>46118</v>
      </c>
      <c r="B419" s="14" t="str">
        <f>'2026 Orders'!B418</f>
        <v>UAE</v>
      </c>
      <c r="C419" s="14" t="str">
        <f>'2026 Orders'!C418</f>
        <v>A4712</v>
      </c>
      <c r="D419" s="14">
        <v>0</v>
      </c>
      <c r="E419" s="17" t="str" cm="1">
        <f t="array" ref="E419">IF(C419=0,"",
HYPERLINK(
"#'2026 Orders'!C"&amp;
MATCH(1,
('2026 Orders'!C:C=C419)*
('2026 Orders'!G:G=G419)*
('2026 Orders'!N:N=N419),
0),
"Open "&amp;C419
))</f>
        <v>Open A4712</v>
      </c>
      <c r="F419" s="14">
        <v>0</v>
      </c>
      <c r="G419" s="14" t="str">
        <f>'2026 Orders'!G418</f>
        <v>POLYSIT-90-RE</v>
      </c>
      <c r="H419" s="14" t="str">
        <f>'2026 Orders'!H418</f>
        <v>POLYSIT-90</v>
      </c>
      <c r="I419" s="15" t="str">
        <f>'2026 Orders'!I418</f>
        <v>RE</v>
      </c>
      <c r="J419" s="14">
        <f>'2026 Orders'!J418</f>
        <v>1008</v>
      </c>
      <c r="K419" t="s">
        <v>640</v>
      </c>
      <c r="L419">
        <v>0</v>
      </c>
      <c r="M419">
        <v>1008</v>
      </c>
      <c r="N419" s="10" t="str">
        <f>'2026 Orders'!N418</f>
        <v>Out of Stock</v>
      </c>
      <c r="O419">
        <v>0</v>
      </c>
      <c r="P419">
        <v>0</v>
      </c>
      <c r="Q419">
        <v>0</v>
      </c>
      <c r="R419">
        <v>5000</v>
      </c>
      <c r="S419">
        <v>5041</v>
      </c>
      <c r="T419">
        <v>46248</v>
      </c>
      <c r="U419" t="s">
        <v>1090</v>
      </c>
      <c r="V419">
        <v>0</v>
      </c>
      <c r="W419">
        <v>0</v>
      </c>
      <c r="X419">
        <v>0</v>
      </c>
      <c r="Y419">
        <v>0</v>
      </c>
      <c r="Z419">
        <v>0</v>
      </c>
      <c r="AC419" t="str">
        <f t="shared" si="12"/>
        <v>1008/</v>
      </c>
      <c r="AD419" t="e">
        <f t="shared" si="13"/>
        <v>#VALUE!</v>
      </c>
    </row>
    <row r="420" spans="1:30" ht="33" hidden="1" customHeight="1" x14ac:dyDescent="0.3">
      <c r="A420">
        <v>46118</v>
      </c>
      <c r="B420" s="14" t="str">
        <f>'2026 Orders'!B419</f>
        <v>UAE</v>
      </c>
      <c r="C420" s="14" t="str">
        <f>'2026 Orders'!C419</f>
        <v>A4712</v>
      </c>
      <c r="D420" s="14">
        <v>0</v>
      </c>
      <c r="E420" s="17" t="str" cm="1">
        <f t="array" ref="E420">IF(C420=0,"",
HYPERLINK(
"#'2026 Orders'!C"&amp;
MATCH(1,
('2026 Orders'!C:C=C420)*
('2026 Orders'!G:G=G420)*
('2026 Orders'!N:N=N420),
0),
"Open "&amp;C420
))</f>
        <v>Open A4712</v>
      </c>
      <c r="F420" s="14">
        <v>0</v>
      </c>
      <c r="G420" s="14" t="str">
        <f>'2026 Orders'!G419</f>
        <v>XTRAD10-60-FD</v>
      </c>
      <c r="H420" s="14" t="str">
        <f>'2026 Orders'!H419</f>
        <v>XTRAD10-60</v>
      </c>
      <c r="I420" s="15" t="str">
        <f>'2026 Orders'!I419</f>
        <v>FD</v>
      </c>
      <c r="J420" s="14">
        <f>'2026 Orders'!J419</f>
        <v>2016</v>
      </c>
      <c r="K420" t="s">
        <v>622</v>
      </c>
      <c r="L420">
        <v>164</v>
      </c>
      <c r="M420">
        <v>1852</v>
      </c>
      <c r="N420" s="10" t="str">
        <f>'2026 Orders'!N419</f>
        <v>Out of Stock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C420" t="str">
        <f t="shared" si="12"/>
        <v>2016/</v>
      </c>
      <c r="AD420" t="e">
        <f t="shared" si="13"/>
        <v>#VALUE!</v>
      </c>
    </row>
    <row r="421" spans="1:30" ht="33" hidden="1" customHeight="1" x14ac:dyDescent="0.3">
      <c r="A421">
        <v>0</v>
      </c>
      <c r="B421" s="14" t="str">
        <f>'2026 Orders'!B420</f>
        <v>UAE</v>
      </c>
      <c r="C421" s="14" t="str">
        <f>'2026 Orders'!C420</f>
        <v>A4712</v>
      </c>
      <c r="D421" s="14">
        <v>0</v>
      </c>
      <c r="E421" s="17" t="str" cm="1">
        <f t="array" ref="E421">IF(C421=0,"",
HYPERLINK(
"#'2026 Orders'!C"&amp;
MATCH(1,
('2026 Orders'!C:C=C421)*
('2026 Orders'!G:G=G421)*
('2026 Orders'!N:N=N421),
0),
"Open "&amp;C421
))</f>
        <v>Open A4712</v>
      </c>
      <c r="F421" s="14">
        <v>0</v>
      </c>
      <c r="G421" s="14" t="str">
        <f>'2026 Orders'!G420</f>
        <v xml:space="preserve">ZINC25-60-FD </v>
      </c>
      <c r="H421" s="14" t="str">
        <f>'2026 Orders'!H420</f>
        <v>ZINC25-60</v>
      </c>
      <c r="I421" s="15" t="str">
        <f>'2026 Orders'!I420</f>
        <v xml:space="preserve">FD </v>
      </c>
      <c r="J421" s="14">
        <f>'2026 Orders'!J420</f>
        <v>1008</v>
      </c>
      <c r="K421" t="s">
        <v>518</v>
      </c>
      <c r="L421">
        <v>0</v>
      </c>
      <c r="M421">
        <v>1008</v>
      </c>
      <c r="N421" s="10" t="str">
        <f>'2026 Orders'!N420</f>
        <v>Out of Stock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C421" t="str">
        <f t="shared" si="12"/>
        <v>1008/</v>
      </c>
      <c r="AD421" t="e">
        <f t="shared" si="13"/>
        <v>#VALUE!</v>
      </c>
    </row>
    <row r="422" spans="1:30" ht="33" hidden="1" customHeight="1" x14ac:dyDescent="0.3">
      <c r="A422">
        <v>46188</v>
      </c>
      <c r="B422" s="14" t="str">
        <f>'2026 Orders'!B421</f>
        <v>UAE</v>
      </c>
      <c r="C422" s="14" t="str">
        <f>'2026 Orders'!C421</f>
        <v>A4712</v>
      </c>
      <c r="D422" s="14">
        <v>0</v>
      </c>
      <c r="E422" s="17" t="str" cm="1">
        <f t="array" ref="E422">IF(C422=0,"",
HYPERLINK(
"#'2026 Orders'!C"&amp;
MATCH(1,
('2026 Orders'!C:C=C422)*
('2026 Orders'!G:G=G422)*
('2026 Orders'!N:N=N422),
0),
"Open "&amp;C422
))</f>
        <v>Open A4712</v>
      </c>
      <c r="F422" s="14">
        <v>0</v>
      </c>
      <c r="G422" s="14" t="str">
        <f>'2026 Orders'!G421</f>
        <v>ZINC50-60-FD</v>
      </c>
      <c r="H422" s="14" t="str">
        <f>'2026 Orders'!H421</f>
        <v>ZINC50-60</v>
      </c>
      <c r="I422" s="15" t="str">
        <f>'2026 Orders'!I421</f>
        <v>FD</v>
      </c>
      <c r="J422" s="14">
        <f>'2026 Orders'!J421</f>
        <v>1008</v>
      </c>
      <c r="K422" t="s">
        <v>1018</v>
      </c>
      <c r="L422">
        <v>0</v>
      </c>
      <c r="M422">
        <v>1008</v>
      </c>
      <c r="N422" s="10" t="str">
        <f>'2026 Orders'!N421</f>
        <v>Out of Stock</v>
      </c>
      <c r="O422">
        <v>46227</v>
      </c>
      <c r="P422" t="s">
        <v>1077</v>
      </c>
      <c r="Q422">
        <v>609788968108</v>
      </c>
      <c r="R422">
        <v>4000</v>
      </c>
      <c r="S422">
        <v>4941</v>
      </c>
      <c r="T422" t="s">
        <v>1103</v>
      </c>
      <c r="U422">
        <v>0</v>
      </c>
      <c r="V422">
        <v>0</v>
      </c>
      <c r="W422">
        <v>0</v>
      </c>
      <c r="X422">
        <v>0</v>
      </c>
      <c r="Y422">
        <v>0</v>
      </c>
      <c r="Z422" t="s">
        <v>1083</v>
      </c>
      <c r="AC422" t="str">
        <f t="shared" si="12"/>
        <v>1008/</v>
      </c>
      <c r="AD422" t="e">
        <f t="shared" si="13"/>
        <v>#VALUE!</v>
      </c>
    </row>
    <row r="423" spans="1:30" ht="33" hidden="1" customHeight="1" x14ac:dyDescent="0.3">
      <c r="A423">
        <v>0</v>
      </c>
      <c r="B423" s="14">
        <f>'2026 Orders'!B422</f>
        <v>0</v>
      </c>
      <c r="C423" s="14">
        <f>'2026 Orders'!C422</f>
        <v>0</v>
      </c>
      <c r="D423" s="14">
        <v>0</v>
      </c>
      <c r="E423" s="17" t="str" cm="1">
        <f t="array" ref="E423">IF(C423=0,"",
HYPERLINK(
"#'2026 Orders'!C"&amp;
MATCH(1,
('2026 Orders'!C:C=C423)*
('2026 Orders'!G:G=G423)*
('2026 Orders'!N:N=N423),
0),
"Open "&amp;C423
))</f>
        <v/>
      </c>
      <c r="F423" s="14">
        <v>0</v>
      </c>
      <c r="G423" s="14">
        <f>'2026 Orders'!G422</f>
        <v>0</v>
      </c>
      <c r="H423" s="14">
        <f>'2026 Orders'!H422</f>
        <v>0</v>
      </c>
      <c r="I423" s="15" t="str">
        <f>'2026 Orders'!I422</f>
        <v/>
      </c>
      <c r="J423" s="14">
        <f>'2026 Orders'!J422</f>
        <v>0</v>
      </c>
      <c r="K423">
        <v>0</v>
      </c>
      <c r="L423">
        <v>0</v>
      </c>
      <c r="M423">
        <v>0</v>
      </c>
      <c r="N423" s="10">
        <f>'2026 Orders'!N422</f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C423" t="str">
        <f t="shared" si="12"/>
        <v/>
      </c>
      <c r="AD423" t="str">
        <f t="shared" si="13"/>
        <v/>
      </c>
    </row>
    <row r="424" spans="1:30" ht="33" hidden="1" customHeight="1" x14ac:dyDescent="0.3">
      <c r="A424">
        <v>0</v>
      </c>
      <c r="B424" s="14" t="str">
        <f>'2026 Orders'!B423</f>
        <v>Lebanon</v>
      </c>
      <c r="C424" s="14" t="str">
        <f>'2026 Orders'!C423</f>
        <v>A4713</v>
      </c>
      <c r="D424" s="14" t="s">
        <v>1014</v>
      </c>
      <c r="E424" s="17" t="str" cm="1">
        <f t="array" ref="E424">IF(C424=0,"",
HYPERLINK(
"#'2026 Orders'!C"&amp;
MATCH(1,
('2026 Orders'!C:C=C424)*
('2026 Orders'!G:G=G424)*
('2026 Orders'!N:N=N424),
0),
"Open "&amp;C424
))</f>
        <v>Open A4713</v>
      </c>
      <c r="F424" s="14">
        <v>0</v>
      </c>
      <c r="G424" s="14" t="str">
        <f>'2026 Orders'!G423</f>
        <v>NMNH-60-FD</v>
      </c>
      <c r="H424" s="14" t="str">
        <f>'2026 Orders'!H423</f>
        <v>NMNH-60</v>
      </c>
      <c r="I424" s="15" t="str">
        <f>'2026 Orders'!I423</f>
        <v>FD</v>
      </c>
      <c r="J424" s="14">
        <f>'2026 Orders'!J423</f>
        <v>400</v>
      </c>
      <c r="K424" t="s">
        <v>465</v>
      </c>
      <c r="L424">
        <v>400</v>
      </c>
      <c r="M424">
        <v>0</v>
      </c>
      <c r="N424" s="10" t="str">
        <f>'2026 Orders'!N423</f>
        <v>Rework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C424" t="str">
        <f t="shared" si="12"/>
        <v>400/</v>
      </c>
      <c r="AD424" t="e">
        <f t="shared" si="13"/>
        <v>#VALUE!</v>
      </c>
    </row>
    <row r="425" spans="1:30" ht="33" hidden="1" customHeight="1" x14ac:dyDescent="0.3">
      <c r="A425">
        <v>0</v>
      </c>
      <c r="B425" s="14" t="str">
        <f>'2026 Orders'!B424</f>
        <v>Lebanon</v>
      </c>
      <c r="C425" s="14" t="str">
        <f>'2026 Orders'!C424</f>
        <v>A4713</v>
      </c>
      <c r="D425" s="14" t="s">
        <v>1015</v>
      </c>
      <c r="E425" s="17" t="str" cm="1">
        <f t="array" ref="E425">IF(C425=0,"",
HYPERLINK(
"#'2026 Orders'!C"&amp;
MATCH(1,
('2026 Orders'!C:C=C425)*
('2026 Orders'!G:G=G425)*
('2026 Orders'!N:N=N425),
0),
"Open "&amp;C425
))</f>
        <v>Open A4713</v>
      </c>
      <c r="F425" s="14" t="s">
        <v>1020</v>
      </c>
      <c r="G425" s="14" t="str">
        <f>'2026 Orders'!G424</f>
        <v>PEARLY-60-FD</v>
      </c>
      <c r="H425" s="14" t="str">
        <f>'2026 Orders'!H424</f>
        <v>PEARLY-60</v>
      </c>
      <c r="I425" s="15" t="str">
        <f>'2026 Orders'!I424</f>
        <v>FD</v>
      </c>
      <c r="J425" s="14">
        <f>'2026 Orders'!J424</f>
        <v>300</v>
      </c>
      <c r="K425" t="s">
        <v>767</v>
      </c>
      <c r="L425">
        <v>300</v>
      </c>
      <c r="M425">
        <v>0</v>
      </c>
      <c r="N425" s="10" t="str">
        <f>'2026 Orders'!N424</f>
        <v>Rework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C425" t="str">
        <f t="shared" si="12"/>
        <v>300/</v>
      </c>
      <c r="AD425" t="e">
        <f t="shared" si="13"/>
        <v>#VALUE!</v>
      </c>
    </row>
    <row r="426" spans="1:30" ht="33" hidden="1" customHeight="1" x14ac:dyDescent="0.3">
      <c r="A426">
        <v>0</v>
      </c>
      <c r="B426" s="14">
        <f>'2026 Orders'!B425</f>
        <v>0</v>
      </c>
      <c r="C426" s="14">
        <f>'2026 Orders'!C425</f>
        <v>0</v>
      </c>
      <c r="D426" s="14">
        <v>0</v>
      </c>
      <c r="E426" s="17" t="str" cm="1">
        <f t="array" ref="E426">IF(C426=0,"",
HYPERLINK(
"#'2026 Orders'!C"&amp;
MATCH(1,
('2026 Orders'!C:C=C426)*
('2026 Orders'!G:G=G426)*
('2026 Orders'!N:N=N426),
0),
"Open "&amp;C426
))</f>
        <v/>
      </c>
      <c r="F426" s="14">
        <v>0</v>
      </c>
      <c r="G426" s="14">
        <f>'2026 Orders'!G425</f>
        <v>0</v>
      </c>
      <c r="H426" s="14">
        <f>'2026 Orders'!H425</f>
        <v>0</v>
      </c>
      <c r="I426" s="15" t="str">
        <f>'2026 Orders'!I425</f>
        <v/>
      </c>
      <c r="J426" s="14">
        <f>'2026 Orders'!J425</f>
        <v>0</v>
      </c>
      <c r="K426">
        <v>0</v>
      </c>
      <c r="L426">
        <v>0</v>
      </c>
      <c r="M426">
        <v>0</v>
      </c>
      <c r="N426" s="10">
        <f>'2026 Orders'!N425</f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C426" t="str">
        <f t="shared" si="12"/>
        <v/>
      </c>
      <c r="AD426" t="str">
        <f t="shared" si="13"/>
        <v/>
      </c>
    </row>
    <row r="427" spans="1:30" ht="33" hidden="1" customHeight="1" x14ac:dyDescent="0.3">
      <c r="A427">
        <v>0</v>
      </c>
      <c r="B427" s="14" t="str">
        <f>'2026 Orders'!B426</f>
        <v>Qatar</v>
      </c>
      <c r="C427" s="14" t="str">
        <f>'2026 Orders'!C426</f>
        <v>A4714</v>
      </c>
      <c r="D427" s="14" t="s">
        <v>1022</v>
      </c>
      <c r="E427" s="17" t="str" cm="1">
        <f t="array" ref="E427">IF(C427=0,"",
HYPERLINK(
"#'2026 Orders'!C"&amp;
MATCH(1,
('2026 Orders'!C:C=C427)*
('2026 Orders'!G:G=G427)*
('2026 Orders'!N:N=N427),
0),
"Open "&amp;C427
))</f>
        <v>Open A4714</v>
      </c>
      <c r="F427" s="14">
        <v>0</v>
      </c>
      <c r="G427" s="14" t="str">
        <f>'2026 Orders'!G426</f>
        <v>SPERMCT-60-CS-QT</v>
      </c>
      <c r="H427" s="14" t="str">
        <f>'2026 Orders'!H426</f>
        <v>SPERMCT-60</v>
      </c>
      <c r="I427" s="15" t="str">
        <f>'2026 Orders'!I426</f>
        <v>QT</v>
      </c>
      <c r="J427" s="14">
        <f>'2026 Orders'!J426</f>
        <v>1100</v>
      </c>
      <c r="K427">
        <v>0</v>
      </c>
      <c r="L427">
        <v>0</v>
      </c>
      <c r="M427">
        <v>0</v>
      </c>
      <c r="N427" s="10" t="str">
        <f>'2026 Orders'!N426</f>
        <v>Available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C427" t="str">
        <f t="shared" si="12"/>
        <v>1100/</v>
      </c>
      <c r="AD427" t="e">
        <f t="shared" si="13"/>
        <v>#VALUE!</v>
      </c>
    </row>
    <row r="428" spans="1:30" ht="33" hidden="1" customHeight="1" x14ac:dyDescent="0.3">
      <c r="A428">
        <v>0</v>
      </c>
      <c r="B428" s="14" t="str">
        <f>'2026 Orders'!B427</f>
        <v>Qatar</v>
      </c>
      <c r="C428" s="14" t="str">
        <f>'2026 Orders'!C427</f>
        <v>A4714</v>
      </c>
      <c r="D428" s="14" t="s">
        <v>1025</v>
      </c>
      <c r="E428" s="17" t="str" cm="1">
        <f t="array" ref="E428">IF(C428=0,"",
HYPERLINK(
"#'2026 Orders'!C"&amp;
MATCH(1,
('2026 Orders'!C:C=C428)*
('2026 Orders'!G:G=G428)*
('2026 Orders'!N:N=N428),
0),
"Open "&amp;C428
))</f>
        <v>Open A4714</v>
      </c>
      <c r="F428" s="14">
        <v>0</v>
      </c>
      <c r="G428" s="14" t="str">
        <f>'2026 Orders'!G427</f>
        <v>WFSPLS-180-CS-QT</v>
      </c>
      <c r="H428" s="14" t="str">
        <f>'2026 Orders'!H427</f>
        <v>WFSPLS-180</v>
      </c>
      <c r="I428" s="15" t="str">
        <f>'2026 Orders'!I427</f>
        <v>QT</v>
      </c>
      <c r="J428" s="14">
        <f>'2026 Orders'!J427</f>
        <v>550</v>
      </c>
      <c r="K428">
        <v>0</v>
      </c>
      <c r="L428">
        <v>0</v>
      </c>
      <c r="M428">
        <v>0</v>
      </c>
      <c r="N428" s="10" t="str">
        <f>'2026 Orders'!N427</f>
        <v>Available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C428" t="str">
        <f t="shared" si="12"/>
        <v>550/</v>
      </c>
      <c r="AD428" t="e">
        <f t="shared" si="13"/>
        <v>#VALUE!</v>
      </c>
    </row>
    <row r="429" spans="1:30" ht="33" hidden="1" customHeight="1" x14ac:dyDescent="0.3">
      <c r="A429">
        <v>0</v>
      </c>
      <c r="B429" s="14" t="str">
        <f>'2026 Orders'!B428</f>
        <v>Qatar</v>
      </c>
      <c r="C429" s="14" t="str">
        <f>'2026 Orders'!C428</f>
        <v>A4714</v>
      </c>
      <c r="D429" s="14" t="s">
        <v>1026</v>
      </c>
      <c r="E429" s="17" t="str" cm="1">
        <f t="array" ref="E429">IF(C429=0,"",
HYPERLINK(
"#'2026 Orders'!C"&amp;
MATCH(1,
('2026 Orders'!C:C=C429)*
('2026 Orders'!G:G=G429)*
('2026 Orders'!N:N=N429),
0),
"Open "&amp;C429
))</f>
        <v>Open A4714</v>
      </c>
      <c r="F429" s="14">
        <v>0</v>
      </c>
      <c r="G429" s="14" t="str">
        <f>'2026 Orders'!G428</f>
        <v>METRIO-60-CS-QT</v>
      </c>
      <c r="H429" s="14" t="str">
        <f>'2026 Orders'!H428</f>
        <v>METRIO-60</v>
      </c>
      <c r="I429" s="15" t="str">
        <f>'2026 Orders'!I428</f>
        <v>QT</v>
      </c>
      <c r="J429" s="14">
        <f>'2026 Orders'!J428</f>
        <v>550</v>
      </c>
      <c r="K429">
        <v>0</v>
      </c>
      <c r="L429">
        <v>0</v>
      </c>
      <c r="M429">
        <v>0</v>
      </c>
      <c r="N429" s="10" t="str">
        <f>'2026 Orders'!N428</f>
        <v>Rework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C429" t="str">
        <f t="shared" si="12"/>
        <v>550/</v>
      </c>
      <c r="AD429" t="e">
        <f t="shared" si="13"/>
        <v>#VALUE!</v>
      </c>
    </row>
    <row r="430" spans="1:30" ht="33" hidden="1" customHeight="1" x14ac:dyDescent="0.3">
      <c r="A430">
        <v>0</v>
      </c>
      <c r="B430" s="14" t="str">
        <f>'2026 Orders'!B429</f>
        <v>Qatar</v>
      </c>
      <c r="C430" s="14" t="str">
        <f>'2026 Orders'!C429</f>
        <v>A4714</v>
      </c>
      <c r="D430" s="14">
        <v>0</v>
      </c>
      <c r="E430" s="17" t="str" cm="1">
        <f t="array" ref="E430">IF(C430=0,"",
HYPERLINK(
"#'2026 Orders'!C"&amp;
MATCH(1,
('2026 Orders'!C:C=C430)*
('2026 Orders'!G:G=G430)*
('2026 Orders'!N:N=N430),
0),
"Open "&amp;C430
))</f>
        <v>Open A4714</v>
      </c>
      <c r="F430" s="14" t="s">
        <v>1028</v>
      </c>
      <c r="G430" s="14" t="str">
        <f>'2026 Orders'!G429</f>
        <v>BIO5K-60-CS-QT</v>
      </c>
      <c r="H430" s="14" t="str">
        <f>'2026 Orders'!H429</f>
        <v>BIO5K-60</v>
      </c>
      <c r="I430" s="15" t="str">
        <f>'2026 Orders'!I429</f>
        <v>QT</v>
      </c>
      <c r="J430" s="14">
        <f>'2026 Orders'!J429</f>
        <v>126</v>
      </c>
      <c r="K430">
        <v>0</v>
      </c>
      <c r="L430">
        <v>0</v>
      </c>
      <c r="M430">
        <v>0</v>
      </c>
      <c r="N430" s="10" t="str">
        <f>'2026 Orders'!N429</f>
        <v>Available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C430" t="str">
        <f t="shared" si="12"/>
        <v>126/</v>
      </c>
      <c r="AD430" t="e">
        <f t="shared" si="13"/>
        <v>#VALUE!</v>
      </c>
    </row>
    <row r="431" spans="1:30" ht="33" hidden="1" customHeight="1" x14ac:dyDescent="0.3">
      <c r="A431">
        <v>0</v>
      </c>
      <c r="B431" s="14" t="str">
        <f>'2026 Orders'!B430</f>
        <v>Qatar</v>
      </c>
      <c r="C431" s="14" t="str">
        <f>'2026 Orders'!C430</f>
        <v>A4714</v>
      </c>
      <c r="D431" s="14">
        <v>0</v>
      </c>
      <c r="E431" s="17" t="str" cm="1">
        <f t="array" ref="E431">IF(C431=0,"",
HYPERLINK(
"#'2026 Orders'!C"&amp;
MATCH(1,
('2026 Orders'!C:C=C431)*
('2026 Orders'!G:G=G431)*
('2026 Orders'!N:N=N431),
0),
"Open "&amp;C431
))</f>
        <v>Open A4714</v>
      </c>
      <c r="F431" s="14" t="s">
        <v>1029</v>
      </c>
      <c r="G431" s="14" t="str">
        <f>'2026 Orders'!G430</f>
        <v>EYECAP-30-CS-QT</v>
      </c>
      <c r="H431" s="14" t="str">
        <f>'2026 Orders'!H430</f>
        <v>EYECAP-30</v>
      </c>
      <c r="I431" s="15" t="str">
        <f>'2026 Orders'!I430</f>
        <v>QT</v>
      </c>
      <c r="J431" s="14">
        <f>'2026 Orders'!J430</f>
        <v>720</v>
      </c>
      <c r="K431">
        <v>0</v>
      </c>
      <c r="L431">
        <v>0</v>
      </c>
      <c r="M431">
        <v>0</v>
      </c>
      <c r="N431" s="10" t="str">
        <f>'2026 Orders'!N430</f>
        <v>Available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C431" t="str">
        <f t="shared" si="12"/>
        <v>720/</v>
      </c>
      <c r="AD431" t="e">
        <f t="shared" si="13"/>
        <v>#VALUE!</v>
      </c>
    </row>
    <row r="432" spans="1:30" ht="33" hidden="1" customHeight="1" x14ac:dyDescent="0.3">
      <c r="A432">
        <v>0</v>
      </c>
      <c r="B432" s="14">
        <f>'2026 Orders'!B431</f>
        <v>0</v>
      </c>
      <c r="C432" s="14">
        <f>'2026 Orders'!C431</f>
        <v>0</v>
      </c>
      <c r="D432" s="14">
        <v>0</v>
      </c>
      <c r="E432" s="17" t="str" cm="1">
        <f t="array" ref="E432">IF(C432=0,"",
HYPERLINK(
"#'2026 Orders'!C"&amp;
MATCH(1,
('2026 Orders'!C:C=C432)*
('2026 Orders'!G:G=G432)*
('2026 Orders'!N:N=N432),
0),
"Open "&amp;C432
))</f>
        <v/>
      </c>
      <c r="F432" s="14">
        <v>0</v>
      </c>
      <c r="G432" s="14">
        <f>'2026 Orders'!G431</f>
        <v>0</v>
      </c>
      <c r="H432" s="14">
        <f>'2026 Orders'!H431</f>
        <v>0</v>
      </c>
      <c r="I432" s="15" t="str">
        <f>'2026 Orders'!I431</f>
        <v/>
      </c>
      <c r="J432" s="14">
        <f>'2026 Orders'!J431</f>
        <v>0</v>
      </c>
      <c r="K432">
        <v>0</v>
      </c>
      <c r="L432">
        <v>0</v>
      </c>
      <c r="M432">
        <v>0</v>
      </c>
      <c r="N432" s="10">
        <f>'2026 Orders'!N431</f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C432" t="str">
        <f t="shared" si="12"/>
        <v/>
      </c>
      <c r="AD432" t="str">
        <f t="shared" si="13"/>
        <v/>
      </c>
    </row>
    <row r="433" spans="1:30" ht="33" hidden="1" customHeight="1" x14ac:dyDescent="0.3">
      <c r="A433">
        <v>0</v>
      </c>
      <c r="B433" s="14" t="str">
        <f>'2026 Orders'!B432</f>
        <v>Qatar</v>
      </c>
      <c r="C433" s="14" t="str">
        <f>'2026 Orders'!C432</f>
        <v>A4715</v>
      </c>
      <c r="D433" s="14" t="s">
        <v>1022</v>
      </c>
      <c r="E433" s="17" t="str" cm="1">
        <f t="array" ref="E433">IF(C433=0,"",
HYPERLINK(
"#'2026 Orders'!C"&amp;
MATCH(1,
('2026 Orders'!C:C=C433)*
('2026 Orders'!G:G=G433)*
('2026 Orders'!N:N=N433),
0),
"Open "&amp;C433
))</f>
        <v>Open A4715</v>
      </c>
      <c r="F433" s="14">
        <v>0</v>
      </c>
      <c r="G433" s="14" t="str">
        <f>'2026 Orders'!G432</f>
        <v>ROYALPL-30-CS-QT</v>
      </c>
      <c r="H433" s="14" t="str">
        <f>'2026 Orders'!H432</f>
        <v>ROYALPL-30</v>
      </c>
      <c r="I433" s="15" t="str">
        <f>'2026 Orders'!I432</f>
        <v>QT</v>
      </c>
      <c r="J433" s="14">
        <f>'2026 Orders'!J432</f>
        <v>1000</v>
      </c>
      <c r="K433">
        <v>0</v>
      </c>
      <c r="L433">
        <v>0</v>
      </c>
      <c r="M433">
        <v>0</v>
      </c>
      <c r="N433" s="10" t="str">
        <f>'2026 Orders'!N432</f>
        <v>Available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C433" t="str">
        <f t="shared" si="12"/>
        <v>1000/</v>
      </c>
      <c r="AD433" t="e">
        <f t="shared" si="13"/>
        <v>#VALUE!</v>
      </c>
    </row>
    <row r="434" spans="1:30" ht="33" hidden="1" customHeight="1" x14ac:dyDescent="0.3">
      <c r="A434">
        <v>0</v>
      </c>
      <c r="B434" s="14" t="str">
        <f>'2026 Orders'!B433</f>
        <v>Qatar</v>
      </c>
      <c r="C434" s="14" t="str">
        <f>'2026 Orders'!C433</f>
        <v>A4715</v>
      </c>
      <c r="D434" s="14" t="s">
        <v>1025</v>
      </c>
      <c r="E434" s="17" t="str" cm="1">
        <f t="array" ref="E434">IF(C434=0,"",
HYPERLINK(
"#'2026 Orders'!C"&amp;
MATCH(1,
('2026 Orders'!C:C=C434)*
('2026 Orders'!G:G=G434)*
('2026 Orders'!N:N=N434),
0),
"Open "&amp;C434
))</f>
        <v>Open A4715</v>
      </c>
      <c r="F434" s="14">
        <v>0</v>
      </c>
      <c r="G434" s="14" t="str">
        <f>'2026 Orders'!G433</f>
        <v>OVAMANM-120-CS-QT</v>
      </c>
      <c r="H434" s="14" t="str">
        <f>'2026 Orders'!H433</f>
        <v>OVAMANM-120</v>
      </c>
      <c r="I434" s="15" t="str">
        <f>'2026 Orders'!I433</f>
        <v>QT</v>
      </c>
      <c r="J434" s="14">
        <f>'2026 Orders'!J433</f>
        <v>1500</v>
      </c>
      <c r="K434">
        <v>0</v>
      </c>
      <c r="L434">
        <v>0</v>
      </c>
      <c r="M434">
        <v>0</v>
      </c>
      <c r="N434" s="10" t="str">
        <f>'2026 Orders'!N433</f>
        <v>Available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C434" t="str">
        <f t="shared" si="12"/>
        <v>1500/</v>
      </c>
      <c r="AD434" t="e">
        <f t="shared" si="13"/>
        <v>#VALUE!</v>
      </c>
    </row>
    <row r="435" spans="1:30" ht="33" hidden="1" customHeight="1" x14ac:dyDescent="0.3">
      <c r="A435">
        <v>0</v>
      </c>
      <c r="B435" s="14" t="str">
        <f>'2026 Orders'!B434</f>
        <v>Qatar</v>
      </c>
      <c r="C435" s="14" t="str">
        <f>'2026 Orders'!C434</f>
        <v>A4715</v>
      </c>
      <c r="D435" s="14" t="s">
        <v>1026</v>
      </c>
      <c r="E435" s="17" t="str" cm="1">
        <f t="array" ref="E435">IF(C435=0,"",
HYPERLINK(
"#'2026 Orders'!C"&amp;
MATCH(1,
('2026 Orders'!C:C=C435)*
('2026 Orders'!G:G=G435)*
('2026 Orders'!N:N=N435),
0),
"Open "&amp;C435
))</f>
        <v>Open A4715</v>
      </c>
      <c r="F435" s="14">
        <v>0</v>
      </c>
      <c r="G435" s="14" t="str">
        <f>'2026 Orders'!G434</f>
        <v>PRECON-90-CS-QT</v>
      </c>
      <c r="H435" s="14" t="str">
        <f>'2026 Orders'!H434</f>
        <v>PRECON-90</v>
      </c>
      <c r="I435" s="15" t="str">
        <f>'2026 Orders'!I434</f>
        <v>QT</v>
      </c>
      <c r="J435" s="14">
        <f>'2026 Orders'!J434</f>
        <v>1500</v>
      </c>
      <c r="K435">
        <v>0</v>
      </c>
      <c r="L435">
        <v>0</v>
      </c>
      <c r="M435">
        <v>0</v>
      </c>
      <c r="N435" s="10" t="str">
        <f>'2026 Orders'!N434</f>
        <v>Available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C435" t="str">
        <f t="shared" si="12"/>
        <v>1500/</v>
      </c>
      <c r="AD435" t="e">
        <f t="shared" si="13"/>
        <v>#VALUE!</v>
      </c>
    </row>
    <row r="436" spans="1:30" ht="33" hidden="1" customHeight="1" x14ac:dyDescent="0.3">
      <c r="A436">
        <v>0</v>
      </c>
      <c r="B436" s="14">
        <f>'2026 Orders'!B435</f>
        <v>0</v>
      </c>
      <c r="C436" s="14">
        <f>'2026 Orders'!C435</f>
        <v>0</v>
      </c>
      <c r="D436" s="14">
        <v>0</v>
      </c>
      <c r="E436" s="17" t="str" cm="1">
        <f t="array" ref="E436">IF(C436=0,"",
HYPERLINK(
"#'2026 Orders'!C"&amp;
MATCH(1,
('2026 Orders'!C:C=C436)*
('2026 Orders'!G:G=G436)*
('2026 Orders'!N:N=N436),
0),
"Open "&amp;C436
))</f>
        <v/>
      </c>
      <c r="F436" s="14">
        <v>0</v>
      </c>
      <c r="G436" s="14">
        <f>'2026 Orders'!G435</f>
        <v>0</v>
      </c>
      <c r="H436" s="14">
        <f>'2026 Orders'!H435</f>
        <v>0</v>
      </c>
      <c r="I436" s="15" t="str">
        <f>'2026 Orders'!I435</f>
        <v/>
      </c>
      <c r="J436" s="14">
        <f>'2026 Orders'!J435</f>
        <v>0</v>
      </c>
      <c r="K436">
        <v>0</v>
      </c>
      <c r="L436">
        <v>0</v>
      </c>
      <c r="M436">
        <v>0</v>
      </c>
      <c r="N436" s="10">
        <f>'2026 Orders'!N435</f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C436" t="str">
        <f t="shared" si="12"/>
        <v/>
      </c>
      <c r="AD436" t="str">
        <f t="shared" si="13"/>
        <v/>
      </c>
    </row>
    <row r="437" spans="1:30" ht="33" hidden="1" customHeight="1" x14ac:dyDescent="0.3">
      <c r="A437">
        <v>0</v>
      </c>
      <c r="B437" s="14" t="str">
        <f>'2026 Orders'!B436</f>
        <v>Sudan</v>
      </c>
      <c r="C437" s="14" t="str">
        <f>'2026 Orders'!C436</f>
        <v>A4716</v>
      </c>
      <c r="D437" s="14" t="s">
        <v>1035</v>
      </c>
      <c r="E437" s="17" t="str" cm="1">
        <f t="array" ref="E437">IF(C437=0,"",
HYPERLINK(
"#'2026 Orders'!C"&amp;
MATCH(1,
('2026 Orders'!C:C=C437)*
('2026 Orders'!G:G=G437)*
('2026 Orders'!N:N=N437),
0),
"Open "&amp;C437
))</f>
        <v>Open A4716</v>
      </c>
      <c r="F437" s="14">
        <v>0</v>
      </c>
      <c r="G437" s="14" t="str">
        <f>'2026 Orders'!G436</f>
        <v>MFSPLS-120-RE</v>
      </c>
      <c r="H437" s="14" t="str">
        <f>'2026 Orders'!H436</f>
        <v>MFSPLS-120</v>
      </c>
      <c r="I437" s="15" t="str">
        <f>'2026 Orders'!I436</f>
        <v>RE</v>
      </c>
      <c r="J437" s="14">
        <f>'2026 Orders'!J436</f>
        <v>3395</v>
      </c>
      <c r="K437">
        <v>0</v>
      </c>
      <c r="L437">
        <v>0</v>
      </c>
      <c r="M437">
        <v>3395</v>
      </c>
      <c r="N437" s="10" t="str">
        <f>'2026 Orders'!N436</f>
        <v>Out of Stock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C437" t="str">
        <f t="shared" si="12"/>
        <v>3395/</v>
      </c>
      <c r="AD437" t="e">
        <f t="shared" si="13"/>
        <v>#VALUE!</v>
      </c>
    </row>
    <row r="438" spans="1:30" ht="33" hidden="1" customHeight="1" x14ac:dyDescent="0.3">
      <c r="A438">
        <v>0</v>
      </c>
      <c r="B438" s="14" t="str">
        <f>'2026 Orders'!B437</f>
        <v>Sudan</v>
      </c>
      <c r="C438" s="14" t="str">
        <f>'2026 Orders'!C437</f>
        <v>A4716</v>
      </c>
      <c r="D438" s="14" t="s">
        <v>1036</v>
      </c>
      <c r="E438" s="17" t="str" cm="1">
        <f t="array" ref="E438">IF(C438=0,"",
HYPERLINK(
"#'2026 Orders'!C"&amp;
MATCH(1,
('2026 Orders'!C:C=C438)*
('2026 Orders'!G:G=G438)*
('2026 Orders'!N:N=N438),
0),
"Open "&amp;C438
))</f>
        <v>Open A4716</v>
      </c>
      <c r="F438" s="14">
        <v>0</v>
      </c>
      <c r="G438" s="14" t="str">
        <f>'2026 Orders'!G437</f>
        <v>WFSPLS-180-RE</v>
      </c>
      <c r="H438" s="14" t="str">
        <f>'2026 Orders'!H437</f>
        <v>WFSPLS-180</v>
      </c>
      <c r="I438" s="15" t="str">
        <f>'2026 Orders'!I437</f>
        <v>RE</v>
      </c>
      <c r="J438" s="14">
        <f>'2026 Orders'!J437</f>
        <v>1298</v>
      </c>
      <c r="K438">
        <v>0</v>
      </c>
      <c r="L438">
        <v>0</v>
      </c>
      <c r="M438">
        <v>1298</v>
      </c>
      <c r="N438" s="10" t="str">
        <f>'2026 Orders'!N437</f>
        <v>Out of Stock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C438" t="str">
        <f t="shared" si="12"/>
        <v>1298/</v>
      </c>
      <c r="AD438" t="e">
        <f t="shared" si="13"/>
        <v>#VALUE!</v>
      </c>
    </row>
    <row r="439" spans="1:30" ht="33" hidden="1" customHeight="1" x14ac:dyDescent="0.3">
      <c r="A439">
        <v>0</v>
      </c>
      <c r="B439" s="14" t="str">
        <f>'2026 Orders'!B438</f>
        <v>Sudan</v>
      </c>
      <c r="C439" s="14" t="str">
        <f>'2026 Orders'!C438</f>
        <v>A4716</v>
      </c>
      <c r="D439" s="14">
        <v>0</v>
      </c>
      <c r="E439" s="17" t="str" cm="1">
        <f t="array" ref="E439">IF(C439=0,"",
HYPERLINK(
"#'2026 Orders'!C"&amp;
MATCH(1,
('2026 Orders'!C:C=C439)*
('2026 Orders'!G:G=G439)*
('2026 Orders'!N:N=N439),
0),
"Open "&amp;C439
))</f>
        <v>Open A4716</v>
      </c>
      <c r="F439" s="14">
        <v>0</v>
      </c>
      <c r="G439" s="14" t="str">
        <f>'2026 Orders'!G438</f>
        <v>PRECON-180-RE</v>
      </c>
      <c r="H439" s="14" t="str">
        <f>'2026 Orders'!H438</f>
        <v>PRECON-180</v>
      </c>
      <c r="I439" s="15" t="str">
        <f>'2026 Orders'!I438</f>
        <v>RE</v>
      </c>
      <c r="J439" s="14">
        <f>'2026 Orders'!J438</f>
        <v>1048</v>
      </c>
      <c r="K439">
        <v>0</v>
      </c>
      <c r="L439">
        <v>0</v>
      </c>
      <c r="M439">
        <v>1048</v>
      </c>
      <c r="N439" s="10" t="str">
        <f>'2026 Orders'!N438</f>
        <v>Out of Stock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C439" t="str">
        <f t="shared" si="12"/>
        <v>1048/</v>
      </c>
      <c r="AD439" t="e">
        <f t="shared" si="13"/>
        <v>#VALUE!</v>
      </c>
    </row>
    <row r="440" spans="1:30" ht="33" hidden="1" customHeight="1" x14ac:dyDescent="0.3">
      <c r="A440">
        <v>0</v>
      </c>
      <c r="B440" s="14" t="str">
        <f>'2026 Orders'!B439</f>
        <v>Sudan</v>
      </c>
      <c r="C440" s="14" t="str">
        <f>'2026 Orders'!C439</f>
        <v>A4716</v>
      </c>
      <c r="D440" s="14">
        <v>0</v>
      </c>
      <c r="E440" s="17" t="str" cm="1">
        <f t="array" ref="E440">IF(C440=0,"",
HYPERLINK(
"#'2026 Orders'!C"&amp;
MATCH(1,
('2026 Orders'!C:C=C440)*
('2026 Orders'!G:G=G440)*
('2026 Orders'!N:N=N440),
0),
"Open "&amp;C440
))</f>
        <v>Open A4716</v>
      </c>
      <c r="F440" s="14">
        <v>0</v>
      </c>
      <c r="G440" s="14" t="str">
        <f>'2026 Orders'!G439</f>
        <v>DHEA50-60-FD</v>
      </c>
      <c r="H440" s="14" t="str">
        <f>'2026 Orders'!H439</f>
        <v>DHEA50-60</v>
      </c>
      <c r="I440" s="15" t="str">
        <f>'2026 Orders'!I439</f>
        <v>FD</v>
      </c>
      <c r="J440" s="14">
        <f>'2026 Orders'!J439</f>
        <v>3395</v>
      </c>
      <c r="K440">
        <v>0</v>
      </c>
      <c r="L440">
        <v>0</v>
      </c>
      <c r="M440">
        <v>3395</v>
      </c>
      <c r="N440" s="10" t="str">
        <f>'2026 Orders'!N439</f>
        <v>Out of Stock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C440" t="str">
        <f t="shared" si="12"/>
        <v>3395/</v>
      </c>
      <c r="AD440" t="e">
        <f t="shared" si="13"/>
        <v>#VALUE!</v>
      </c>
    </row>
    <row r="441" spans="1:30" ht="33" hidden="1" customHeight="1" x14ac:dyDescent="0.3">
      <c r="A441">
        <v>0</v>
      </c>
      <c r="B441" s="14" t="str">
        <f>'2026 Orders'!B440</f>
        <v>Sudan</v>
      </c>
      <c r="C441" s="14" t="str">
        <f>'2026 Orders'!C440</f>
        <v>A4716</v>
      </c>
      <c r="D441" s="14">
        <v>0</v>
      </c>
      <c r="E441" s="17" t="str" cm="1">
        <f t="array" ref="E441">IF(C441=0,"",
HYPERLINK(
"#'2026 Orders'!C"&amp;
MATCH(1,
('2026 Orders'!C:C=C441)*
('2026 Orders'!G:G=G441)*
('2026 Orders'!N:N=N441),
0),
"Open "&amp;C441
))</f>
        <v>Open A4716</v>
      </c>
      <c r="F441" s="14">
        <v>0</v>
      </c>
      <c r="G441" s="14" t="str">
        <f>'2026 Orders'!G440</f>
        <v>OVAMAX-120-RE</v>
      </c>
      <c r="H441" s="14" t="str">
        <f>'2026 Orders'!H440</f>
        <v>OVAMAX-120</v>
      </c>
      <c r="I441" s="15" t="str">
        <f>'2026 Orders'!I440</f>
        <v>RE</v>
      </c>
      <c r="J441" s="14">
        <f>'2026 Orders'!J440</f>
        <v>1847</v>
      </c>
      <c r="K441">
        <v>0</v>
      </c>
      <c r="L441">
        <v>0</v>
      </c>
      <c r="M441">
        <v>0</v>
      </c>
      <c r="N441" s="10" t="str">
        <f>'2026 Orders'!N440</f>
        <v>PO Drafted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C441" t="str">
        <f t="shared" si="12"/>
        <v>1847/</v>
      </c>
      <c r="AD441" t="e">
        <f t="shared" si="13"/>
        <v>#VALUE!</v>
      </c>
    </row>
    <row r="442" spans="1:30" ht="33" hidden="1" customHeight="1" x14ac:dyDescent="0.3">
      <c r="A442">
        <v>0</v>
      </c>
      <c r="B442" s="14" t="str">
        <f>'2026 Orders'!B441</f>
        <v>Sudan</v>
      </c>
      <c r="C442" s="14" t="str">
        <f>'2026 Orders'!C441</f>
        <v>A4716</v>
      </c>
      <c r="D442" s="14">
        <v>0</v>
      </c>
      <c r="E442" s="17" t="str" cm="1">
        <f t="array" ref="E442">IF(C442=0,"",
HYPERLINK(
"#'2026 Orders'!C"&amp;
MATCH(1,
('2026 Orders'!C:C=C442)*
('2026 Orders'!G:G=G442)*
('2026 Orders'!N:N=N442),
0),
"Open "&amp;C442
))</f>
        <v>Open A4716</v>
      </c>
      <c r="F442" s="14">
        <v>0</v>
      </c>
      <c r="G442" s="14" t="str">
        <f>'2026 Orders'!G441</f>
        <v>OSTEOPL-96-FD</v>
      </c>
      <c r="H442" s="14" t="str">
        <f>'2026 Orders'!H441</f>
        <v>OSTEOPL-96</v>
      </c>
      <c r="I442" s="15" t="str">
        <f>'2026 Orders'!I441</f>
        <v>FD</v>
      </c>
      <c r="J442" s="14">
        <f>'2026 Orders'!J441</f>
        <v>1048</v>
      </c>
      <c r="K442">
        <v>0</v>
      </c>
      <c r="L442">
        <v>1048</v>
      </c>
      <c r="M442">
        <v>0</v>
      </c>
      <c r="N442" s="10" t="str">
        <f>'2026 Orders'!N441</f>
        <v>Rework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C442" t="str">
        <f t="shared" si="12"/>
        <v>1048/</v>
      </c>
      <c r="AD442" t="e">
        <f t="shared" si="13"/>
        <v>#VALUE!</v>
      </c>
    </row>
    <row r="443" spans="1:30" ht="33" hidden="1" customHeight="1" x14ac:dyDescent="0.3">
      <c r="A443">
        <v>0</v>
      </c>
      <c r="B443" s="14" t="str">
        <f>'2026 Orders'!B442</f>
        <v>Sudan</v>
      </c>
      <c r="C443" s="14" t="str">
        <f>'2026 Orders'!C442</f>
        <v>A4716</v>
      </c>
      <c r="D443" s="14">
        <v>0</v>
      </c>
      <c r="E443" s="17" t="str" cm="1">
        <f t="array" ref="E443">IF(C443=0,"",
HYPERLINK(
"#'2026 Orders'!C"&amp;
MATCH(1,
('2026 Orders'!C:C=C443)*
('2026 Orders'!G:G=G443)*
('2026 Orders'!N:N=N443),
0),
"Open "&amp;C443
))</f>
        <v>Open A4716</v>
      </c>
      <c r="F443" s="14">
        <v>0</v>
      </c>
      <c r="G443" s="14" t="str">
        <f>'2026 Orders'!G442</f>
        <v>PENAMAX-60-GE-CS-SU</v>
      </c>
      <c r="H443" s="14" t="str">
        <f>'2026 Orders'!H442</f>
        <v>PENAMAX-60</v>
      </c>
      <c r="I443" s="15" t="str">
        <f>'2026 Orders'!I442</f>
        <v>SU</v>
      </c>
      <c r="J443" s="14">
        <f>'2026 Orders'!J442</f>
        <v>749</v>
      </c>
      <c r="K443">
        <v>0</v>
      </c>
      <c r="L443">
        <v>0</v>
      </c>
      <c r="M443">
        <v>0</v>
      </c>
      <c r="N443" s="10" t="str">
        <f>'2026 Orders'!N442</f>
        <v>Rework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C443" t="str">
        <f t="shared" si="12"/>
        <v>749/</v>
      </c>
      <c r="AD443" t="e">
        <f t="shared" si="13"/>
        <v>#VALUE!</v>
      </c>
    </row>
    <row r="444" spans="1:30" ht="33" hidden="1" customHeight="1" x14ac:dyDescent="0.3">
      <c r="A444">
        <v>0</v>
      </c>
      <c r="B444" s="14" t="str">
        <f>'2026 Orders'!B443</f>
        <v>Sudan</v>
      </c>
      <c r="C444" s="14" t="str">
        <f>'2026 Orders'!C443</f>
        <v>A4716</v>
      </c>
      <c r="D444" s="14">
        <v>0</v>
      </c>
      <c r="E444" s="17" t="str" cm="1">
        <f t="array" ref="E444">IF(C444=0,"",
HYPERLINK(
"#'2026 Orders'!C"&amp;
MATCH(1,
('2026 Orders'!C:C=C444)*
('2026 Orders'!G:G=G444)*
('2026 Orders'!N:N=N444),
0),
"Open "&amp;C444
))</f>
        <v>Open A4716</v>
      </c>
      <c r="F444" s="14">
        <v>0</v>
      </c>
      <c r="G444" s="14" t="str">
        <f>'2026 Orders'!G443</f>
        <v>COQ400-30-VE-CS-SU</v>
      </c>
      <c r="H444" s="14" t="str">
        <f>'2026 Orders'!H443</f>
        <v>COQ400-30</v>
      </c>
      <c r="I444" s="15" t="str">
        <f>'2026 Orders'!I443</f>
        <v>SU</v>
      </c>
      <c r="J444" s="14">
        <f>'2026 Orders'!J443</f>
        <v>1800</v>
      </c>
      <c r="K444">
        <v>0</v>
      </c>
      <c r="L444">
        <v>1800</v>
      </c>
      <c r="M444">
        <v>0</v>
      </c>
      <c r="N444" s="10" t="str">
        <f>'2026 Orders'!N443</f>
        <v>Transit to Warehouse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C444" t="str">
        <f t="shared" si="12"/>
        <v>1800/</v>
      </c>
      <c r="AD444" t="e">
        <f t="shared" si="13"/>
        <v>#VALUE!</v>
      </c>
    </row>
    <row r="445" spans="1:30" ht="33" hidden="1" customHeight="1" x14ac:dyDescent="0.3">
      <c r="A445">
        <v>0</v>
      </c>
      <c r="B445" s="14" t="str">
        <f>'2026 Orders'!B444</f>
        <v>Sudan</v>
      </c>
      <c r="C445" s="14" t="str">
        <f>'2026 Orders'!C444</f>
        <v>A4716</v>
      </c>
      <c r="D445" s="14">
        <v>0</v>
      </c>
      <c r="E445" s="17" t="str" cm="1">
        <f t="array" ref="E445">IF(C445=0,"",
HYPERLINK(
"#'2026 Orders'!C"&amp;
MATCH(1,
('2026 Orders'!C:C=C445)*
('2026 Orders'!G:G=G445)*
('2026 Orders'!N:N=N445),
0),
"Open "&amp;C445
))</f>
        <v>Open A4716</v>
      </c>
      <c r="F445" s="14">
        <v>0</v>
      </c>
      <c r="G445" s="14" t="str">
        <f>'2026 Orders'!G444</f>
        <v>COQ400-30-VE-CS-SU</v>
      </c>
      <c r="H445" s="14" t="str">
        <f>'2026 Orders'!H444</f>
        <v>COQ400-30</v>
      </c>
      <c r="I445" s="15" t="str">
        <f>'2026 Orders'!I444</f>
        <v>SU</v>
      </c>
      <c r="J445" s="14">
        <f>'2026 Orders'!J444</f>
        <v>546</v>
      </c>
      <c r="K445">
        <v>0</v>
      </c>
      <c r="L445">
        <v>0</v>
      </c>
      <c r="M445">
        <v>546</v>
      </c>
      <c r="N445" s="10" t="str">
        <f>'2026 Orders'!N444</f>
        <v>Out of Stock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C445" t="str">
        <f t="shared" si="12"/>
        <v>546/</v>
      </c>
      <c r="AD445" t="e">
        <f t="shared" si="13"/>
        <v>#VALUE!</v>
      </c>
    </row>
    <row r="446" spans="1:30" ht="33" hidden="1" customHeight="1" x14ac:dyDescent="0.3">
      <c r="A446">
        <v>0</v>
      </c>
      <c r="B446" s="14">
        <f>'2026 Orders'!B445</f>
        <v>0</v>
      </c>
      <c r="C446" s="14">
        <f>'2026 Orders'!C445</f>
        <v>0</v>
      </c>
      <c r="D446" s="14">
        <v>0</v>
      </c>
      <c r="E446" s="17" t="str" cm="1">
        <f t="array" ref="E446">IF(C446=0,"",
HYPERLINK(
"#'2026 Orders'!C"&amp;
MATCH(1,
('2026 Orders'!C:C=C446)*
('2026 Orders'!G:G=G446)*
('2026 Orders'!N:N=N446),
0),
"Open "&amp;C446
))</f>
        <v/>
      </c>
      <c r="F446" s="14">
        <v>0</v>
      </c>
      <c r="G446" s="14">
        <f>'2026 Orders'!G445</f>
        <v>0</v>
      </c>
      <c r="H446" s="14">
        <f>'2026 Orders'!H445</f>
        <v>0</v>
      </c>
      <c r="I446" s="15" t="str">
        <f>'2026 Orders'!I445</f>
        <v/>
      </c>
      <c r="J446" s="14">
        <f>'2026 Orders'!J445</f>
        <v>0</v>
      </c>
      <c r="K446">
        <v>0</v>
      </c>
      <c r="L446">
        <v>0</v>
      </c>
      <c r="M446">
        <v>0</v>
      </c>
      <c r="N446" s="10">
        <f>'2026 Orders'!N445</f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C446" t="str">
        <f t="shared" si="12"/>
        <v/>
      </c>
      <c r="AD446" t="str">
        <f t="shared" si="13"/>
        <v/>
      </c>
    </row>
    <row r="447" spans="1:30" ht="33" hidden="1" customHeight="1" x14ac:dyDescent="0.3">
      <c r="A447">
        <v>0</v>
      </c>
      <c r="B447" s="14" t="str">
        <f>'2026 Orders'!B446</f>
        <v>Tanzania</v>
      </c>
      <c r="C447" s="14" t="str">
        <f>'2026 Orders'!C446</f>
        <v>A4717</v>
      </c>
      <c r="D447" s="14" t="s">
        <v>1039</v>
      </c>
      <c r="E447" s="17" t="str" cm="1">
        <f t="array" ref="E447">IF(C447=0,"",
HYPERLINK(
"#'2026 Orders'!C"&amp;
MATCH(1,
('2026 Orders'!C:C=C447)*
('2026 Orders'!G:G=G447)*
('2026 Orders'!N:N=N447),
0),
"Open "&amp;C447
))</f>
        <v>Open A4717</v>
      </c>
      <c r="F447" s="14">
        <v>0</v>
      </c>
      <c r="G447" s="14" t="str">
        <f>'2026 Orders'!G446</f>
        <v>PROSTA-90-CS-TA</v>
      </c>
      <c r="H447" s="14" t="str">
        <f>'2026 Orders'!H446</f>
        <v>PROSTA-90</v>
      </c>
      <c r="I447" s="15" t="str">
        <f>'2026 Orders'!I446</f>
        <v>TA</v>
      </c>
      <c r="J447" s="14">
        <f>'2026 Orders'!J446</f>
        <v>10</v>
      </c>
      <c r="K447">
        <v>0</v>
      </c>
      <c r="L447">
        <v>0</v>
      </c>
      <c r="M447">
        <v>0</v>
      </c>
      <c r="N447" s="10" t="str">
        <f>'2026 Orders'!N446</f>
        <v>Available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C447" t="str">
        <f t="shared" si="12"/>
        <v>10/</v>
      </c>
      <c r="AD447" t="e">
        <f t="shared" si="13"/>
        <v>#VALUE!</v>
      </c>
    </row>
    <row r="448" spans="1:30" ht="33" hidden="1" customHeight="1" x14ac:dyDescent="0.3">
      <c r="A448">
        <v>0</v>
      </c>
      <c r="B448" s="14" t="str">
        <f>'2026 Orders'!B447</f>
        <v>Tanzania</v>
      </c>
      <c r="C448" s="14" t="str">
        <f>'2026 Orders'!C447</f>
        <v>A4717</v>
      </c>
      <c r="D448" s="14">
        <v>0</v>
      </c>
      <c r="E448" s="17" t="str" cm="1">
        <f t="array" ref="E448">IF(C448=0,"",
HYPERLINK(
"#'2026 Orders'!C"&amp;
MATCH(1,
('2026 Orders'!C:C=C448)*
('2026 Orders'!G:G=G448)*
('2026 Orders'!N:N=N448),
0),
"Open "&amp;C448
))</f>
        <v>Open A4717</v>
      </c>
      <c r="F448" s="14">
        <v>0</v>
      </c>
      <c r="G448" s="14" t="str">
        <f>'2026 Orders'!G447</f>
        <v>METRIO-60-CS-TA</v>
      </c>
      <c r="H448" s="14" t="str">
        <f>'2026 Orders'!H447</f>
        <v>METRIO-60</v>
      </c>
      <c r="I448" s="15" t="str">
        <f>'2026 Orders'!I447</f>
        <v>TA</v>
      </c>
      <c r="J448" s="14">
        <f>'2026 Orders'!J447</f>
        <v>10</v>
      </c>
      <c r="K448">
        <v>0</v>
      </c>
      <c r="L448">
        <v>0</v>
      </c>
      <c r="M448">
        <v>0</v>
      </c>
      <c r="N448" s="10" t="str">
        <f>'2026 Orders'!N447</f>
        <v>Available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C448" t="str">
        <f t="shared" si="12"/>
        <v>10/</v>
      </c>
      <c r="AD448" t="e">
        <f t="shared" si="13"/>
        <v>#VALUE!</v>
      </c>
    </row>
    <row r="449" spans="1:30" ht="33" hidden="1" customHeight="1" x14ac:dyDescent="0.3">
      <c r="A449">
        <v>0</v>
      </c>
      <c r="B449" s="14" t="str">
        <f>'2026 Orders'!B448</f>
        <v>Tanzania</v>
      </c>
      <c r="C449" s="14" t="str">
        <f>'2026 Orders'!C448</f>
        <v>A4717</v>
      </c>
      <c r="D449" s="14">
        <v>0</v>
      </c>
      <c r="E449" s="17" t="str" cm="1">
        <f t="array" ref="E449">IF(C449=0,"",
HYPERLINK(
"#'2026 Orders'!C"&amp;
MATCH(1,
('2026 Orders'!C:C=C449)*
('2026 Orders'!G:G=G449)*
('2026 Orders'!N:N=N449),
0),
"Open "&amp;C449
))</f>
        <v>Open A4717</v>
      </c>
      <c r="F449" s="14">
        <v>0</v>
      </c>
      <c r="G449" s="14" t="str">
        <f>'2026 Orders'!G448</f>
        <v>FIBRO-60-CS-TA</v>
      </c>
      <c r="H449" s="14" t="str">
        <f>'2026 Orders'!H448</f>
        <v>FIBRO-60</v>
      </c>
      <c r="I449" s="15" t="str">
        <f>'2026 Orders'!I448</f>
        <v>TA</v>
      </c>
      <c r="J449" s="14">
        <f>'2026 Orders'!J448</f>
        <v>10</v>
      </c>
      <c r="K449">
        <v>0</v>
      </c>
      <c r="L449">
        <v>0</v>
      </c>
      <c r="M449">
        <v>0</v>
      </c>
      <c r="N449" s="10" t="str">
        <f>'2026 Orders'!N448</f>
        <v>Available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C449" t="str">
        <f t="shared" si="12"/>
        <v>10/</v>
      </c>
      <c r="AD449" t="e">
        <f t="shared" si="13"/>
        <v>#VALUE!</v>
      </c>
    </row>
    <row r="450" spans="1:30" ht="33" hidden="1" customHeight="1" x14ac:dyDescent="0.3">
      <c r="A450">
        <v>0</v>
      </c>
      <c r="B450" s="14" t="str">
        <f>'2026 Orders'!B449</f>
        <v>Tanzania</v>
      </c>
      <c r="C450" s="14" t="str">
        <f>'2026 Orders'!C449</f>
        <v>A4717</v>
      </c>
      <c r="D450" s="14">
        <v>0</v>
      </c>
      <c r="E450" s="17" t="str" cm="1">
        <f t="array" ref="E450">IF(C450=0,"",
HYPERLINK(
"#'2026 Orders'!C"&amp;
MATCH(1,
('2026 Orders'!C:C=C450)*
('2026 Orders'!G:G=G450)*
('2026 Orders'!N:N=N450),
0),
"Open "&amp;C450
))</f>
        <v>Open A4717</v>
      </c>
      <c r="F450" s="14">
        <v>0</v>
      </c>
      <c r="G450" s="14" t="str">
        <f>'2026 Orders'!G449</f>
        <v>UTIC-60-CS-TA</v>
      </c>
      <c r="H450" s="14" t="str">
        <f>'2026 Orders'!H449</f>
        <v>UTIC-60</v>
      </c>
      <c r="I450" s="15" t="str">
        <f>'2026 Orders'!I449</f>
        <v>TA</v>
      </c>
      <c r="J450" s="14">
        <f>'2026 Orders'!J449</f>
        <v>10</v>
      </c>
      <c r="K450">
        <v>0</v>
      </c>
      <c r="L450">
        <v>0</v>
      </c>
      <c r="M450">
        <v>0</v>
      </c>
      <c r="N450" s="10" t="str">
        <f>'2026 Orders'!N449</f>
        <v>Available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C450" t="str">
        <f t="shared" si="12"/>
        <v>10/</v>
      </c>
      <c r="AD450" t="e">
        <f t="shared" si="13"/>
        <v>#VALUE!</v>
      </c>
    </row>
    <row r="451" spans="1:30" ht="33" hidden="1" customHeight="1" x14ac:dyDescent="0.3">
      <c r="A451">
        <v>0</v>
      </c>
      <c r="B451" s="14" t="str">
        <f>'2026 Orders'!B450</f>
        <v>Tanzania</v>
      </c>
      <c r="C451" s="14" t="str">
        <f>'2026 Orders'!C450</f>
        <v>A4717</v>
      </c>
      <c r="D451" s="14">
        <v>0</v>
      </c>
      <c r="E451" s="17" t="str" cm="1">
        <f t="array" ref="E451">IF(C451=0,"",
HYPERLINK(
"#'2026 Orders'!C"&amp;
MATCH(1,
('2026 Orders'!C:C=C451)*
('2026 Orders'!G:G=G451)*
('2026 Orders'!N:N=N451),
0),
"Open "&amp;C451
))</f>
        <v>Open A4717</v>
      </c>
      <c r="F451" s="14">
        <v>0</v>
      </c>
      <c r="G451" s="14" t="str">
        <f>'2026 Orders'!G450</f>
        <v>ROYALPL-30-CS-TA</v>
      </c>
      <c r="H451" s="14" t="str">
        <f>'2026 Orders'!H450</f>
        <v>ROYALPL-30</v>
      </c>
      <c r="I451" s="15" t="str">
        <f>'2026 Orders'!I450</f>
        <v>TA</v>
      </c>
      <c r="J451" s="14">
        <f>'2026 Orders'!J450</f>
        <v>10</v>
      </c>
      <c r="K451">
        <v>0</v>
      </c>
      <c r="L451">
        <v>0</v>
      </c>
      <c r="M451">
        <v>0</v>
      </c>
      <c r="N451" s="10" t="str">
        <f>'2026 Orders'!N450</f>
        <v>Available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C451" t="str">
        <f t="shared" ref="AC451:AC514" si="14">IF(OR(B451="",B451=0),"",J451&amp;"/"&amp;$AJ$2)</f>
        <v>10/</v>
      </c>
      <c r="AD451" t="e">
        <f t="shared" ref="AD451:AD514" si="15">IF(OR(J451="",J451=0),"",I451&amp;" -&gt; "&amp;$AK$2)</f>
        <v>#VALUE!</v>
      </c>
    </row>
    <row r="452" spans="1:30" ht="33" hidden="1" customHeight="1" x14ac:dyDescent="0.3">
      <c r="A452">
        <v>0</v>
      </c>
      <c r="B452" s="14" t="str">
        <f>'2026 Orders'!B451</f>
        <v>Tanzania</v>
      </c>
      <c r="C452" s="14" t="str">
        <f>'2026 Orders'!C451</f>
        <v>A4717</v>
      </c>
      <c r="D452" s="14">
        <v>0</v>
      </c>
      <c r="E452" s="17" t="str" cm="1">
        <f t="array" ref="E452">IF(C452=0,"",
HYPERLINK(
"#'2026 Orders'!C"&amp;
MATCH(1,
('2026 Orders'!C:C=C452)*
('2026 Orders'!G:G=G452)*
('2026 Orders'!N:N=N452),
0),
"Open "&amp;C452
))</f>
        <v>Open A4717</v>
      </c>
      <c r="F452" s="14">
        <v>0</v>
      </c>
      <c r="G452" s="14" t="str">
        <f>'2026 Orders'!G451</f>
        <v>MOTILMX-60-CS-TA</v>
      </c>
      <c r="H452" s="14" t="str">
        <f>'2026 Orders'!H451</f>
        <v>MOTILMX-60</v>
      </c>
      <c r="I452" s="15" t="str">
        <f>'2026 Orders'!I451</f>
        <v>TA</v>
      </c>
      <c r="J452" s="14">
        <f>'2026 Orders'!J451</f>
        <v>10</v>
      </c>
      <c r="K452">
        <v>0</v>
      </c>
      <c r="L452">
        <v>0</v>
      </c>
      <c r="M452">
        <v>0</v>
      </c>
      <c r="N452" s="10" t="str">
        <f>'2026 Orders'!N451</f>
        <v>PO Drafted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C452" t="str">
        <f t="shared" si="14"/>
        <v>10/</v>
      </c>
      <c r="AD452" t="e">
        <f t="shared" si="15"/>
        <v>#VALUE!</v>
      </c>
    </row>
    <row r="453" spans="1:30" ht="33" hidden="1" customHeight="1" x14ac:dyDescent="0.3">
      <c r="A453">
        <v>0</v>
      </c>
      <c r="B453" s="14" t="str">
        <f>'2026 Orders'!B452</f>
        <v>Tanzania</v>
      </c>
      <c r="C453" s="14" t="str">
        <f>'2026 Orders'!C452</f>
        <v>A4717</v>
      </c>
      <c r="D453" s="14">
        <v>0</v>
      </c>
      <c r="E453" s="17" t="str" cm="1">
        <f t="array" ref="E453">IF(C453=0,"",
HYPERLINK(
"#'2026 Orders'!C"&amp;
MATCH(1,
('2026 Orders'!C:C=C453)*
('2026 Orders'!G:G=G453)*
('2026 Orders'!N:N=N453),
0),
"Open "&amp;C453
))</f>
        <v>Open A4717</v>
      </c>
      <c r="F453" s="14">
        <v>0</v>
      </c>
      <c r="G453" s="14" t="str">
        <f>'2026 Orders'!G452</f>
        <v>POLYSIT-90-CS-TA</v>
      </c>
      <c r="H453" s="14" t="str">
        <f>'2026 Orders'!H452</f>
        <v>POLYSIT-90</v>
      </c>
      <c r="I453" s="15" t="str">
        <f>'2026 Orders'!I452</f>
        <v>TA</v>
      </c>
      <c r="J453" s="14">
        <f>'2026 Orders'!J452</f>
        <v>10</v>
      </c>
      <c r="K453">
        <v>0</v>
      </c>
      <c r="L453">
        <v>0</v>
      </c>
      <c r="M453">
        <v>0</v>
      </c>
      <c r="N453" s="10" t="str">
        <f>'2026 Orders'!N452</f>
        <v>Available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C453" t="str">
        <f t="shared" si="14"/>
        <v>10/</v>
      </c>
      <c r="AD453" t="e">
        <f t="shared" si="15"/>
        <v>#VALUE!</v>
      </c>
    </row>
    <row r="454" spans="1:30" ht="33" hidden="1" customHeight="1" x14ac:dyDescent="0.3">
      <c r="A454">
        <v>0</v>
      </c>
      <c r="B454" s="14" t="str">
        <f>'2026 Orders'!B453</f>
        <v>Tanzania</v>
      </c>
      <c r="C454" s="14" t="str">
        <f>'2026 Orders'!C453</f>
        <v>A4717</v>
      </c>
      <c r="D454" s="14">
        <v>0</v>
      </c>
      <c r="E454" s="17" t="str" cm="1">
        <f t="array" ref="E454">IF(C454=0,"",
HYPERLINK(
"#'2026 Orders'!C"&amp;
MATCH(1,
('2026 Orders'!C:C=C454)*
('2026 Orders'!G:G=G454)*
('2026 Orders'!N:N=N454),
0),
"Open "&amp;C454
))</f>
        <v>Open A4717</v>
      </c>
      <c r="F454" s="14">
        <v>0</v>
      </c>
      <c r="G454" s="14" t="str">
        <f>'2026 Orders'!G453</f>
        <v>SPERMCT-60-CS-TA</v>
      </c>
      <c r="H454" s="14" t="str">
        <f>'2026 Orders'!H453</f>
        <v>SPERMCT-60</v>
      </c>
      <c r="I454" s="15" t="str">
        <f>'2026 Orders'!I453</f>
        <v>TA</v>
      </c>
      <c r="J454" s="14">
        <f>'2026 Orders'!J453</f>
        <v>10</v>
      </c>
      <c r="K454">
        <v>0</v>
      </c>
      <c r="L454">
        <v>0</v>
      </c>
      <c r="M454">
        <v>0</v>
      </c>
      <c r="N454" s="10" t="str">
        <f>'2026 Orders'!N453</f>
        <v>Available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C454" t="str">
        <f t="shared" si="14"/>
        <v>10/</v>
      </c>
      <c r="AD454" t="e">
        <f t="shared" si="15"/>
        <v>#VALUE!</v>
      </c>
    </row>
    <row r="455" spans="1:30" ht="33" hidden="1" customHeight="1" x14ac:dyDescent="0.3">
      <c r="A455">
        <v>0</v>
      </c>
      <c r="B455" s="14">
        <f>'2026 Orders'!B454</f>
        <v>0</v>
      </c>
      <c r="C455" s="14">
        <f>'2026 Orders'!C454</f>
        <v>0</v>
      </c>
      <c r="D455" s="14">
        <v>0</v>
      </c>
      <c r="E455" s="17" t="str" cm="1">
        <f t="array" ref="E455">IF(C455=0,"",
HYPERLINK(
"#'2026 Orders'!C"&amp;
MATCH(1,
('2026 Orders'!C:C=C455)*
('2026 Orders'!G:G=G455)*
('2026 Orders'!N:N=N455),
0),
"Open "&amp;C455
))</f>
        <v/>
      </c>
      <c r="F455" s="14">
        <v>0</v>
      </c>
      <c r="G455" s="14">
        <f>'2026 Orders'!G454</f>
        <v>0</v>
      </c>
      <c r="H455" s="14">
        <f>'2026 Orders'!H454</f>
        <v>0</v>
      </c>
      <c r="I455" s="15" t="str">
        <f>'2026 Orders'!I454</f>
        <v/>
      </c>
      <c r="J455" s="14">
        <f>'2026 Orders'!J454</f>
        <v>0</v>
      </c>
      <c r="K455">
        <v>0</v>
      </c>
      <c r="L455">
        <v>0</v>
      </c>
      <c r="M455">
        <v>0</v>
      </c>
      <c r="N455" s="10">
        <f>'2026 Orders'!N454</f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C455" t="str">
        <f t="shared" si="14"/>
        <v/>
      </c>
      <c r="AD455" t="str">
        <f t="shared" si="15"/>
        <v/>
      </c>
    </row>
    <row r="456" spans="1:30" ht="33" hidden="1" customHeight="1" x14ac:dyDescent="0.3">
      <c r="A456">
        <v>0</v>
      </c>
      <c r="B456" s="14" t="str">
        <f>'2026 Orders'!B455</f>
        <v>Amazon FBA</v>
      </c>
      <c r="C456" s="14" t="str">
        <f>'2026 Orders'!C455</f>
        <v>FBA 42</v>
      </c>
      <c r="D456" s="14">
        <v>0</v>
      </c>
      <c r="E456" s="17" t="str" cm="1">
        <f t="array" ref="E456">IF(C456=0,"",
HYPERLINK(
"#'2026 Orders'!C"&amp;
MATCH(1,
('2026 Orders'!C:C=C456)*
('2026 Orders'!G:G=G456)*
('2026 Orders'!N:N=N456),
0),
"Open "&amp;C456
))</f>
        <v>Open FBA 42</v>
      </c>
      <c r="F456" s="14" t="s">
        <v>1052</v>
      </c>
      <c r="G456" s="14" t="str">
        <f>'2026 Orders'!G455</f>
        <v>LARGINE-100-FD</v>
      </c>
      <c r="H456" s="14" t="str">
        <f>'2026 Orders'!H455</f>
        <v>LARGINE-100</v>
      </c>
      <c r="I456" s="15" t="str">
        <f>'2026 Orders'!I455</f>
        <v>FD</v>
      </c>
      <c r="J456" s="14">
        <f>'2026 Orders'!J455</f>
        <v>120</v>
      </c>
      <c r="K456">
        <v>0</v>
      </c>
      <c r="L456">
        <v>0</v>
      </c>
      <c r="M456">
        <v>120</v>
      </c>
      <c r="N456" s="10" t="str">
        <f>'2026 Orders'!N455</f>
        <v>In Production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C456" t="str">
        <f t="shared" si="14"/>
        <v>120/</v>
      </c>
      <c r="AD456" t="e">
        <f t="shared" si="15"/>
        <v>#VALUE!</v>
      </c>
    </row>
    <row r="457" spans="1:30" ht="33" hidden="1" customHeight="1" x14ac:dyDescent="0.3">
      <c r="A457">
        <v>0</v>
      </c>
      <c r="B457" s="14" t="str">
        <f>'2026 Orders'!B456</f>
        <v>Amazon FBA</v>
      </c>
      <c r="C457" s="14" t="str">
        <f>'2026 Orders'!C456</f>
        <v>FBA 42</v>
      </c>
      <c r="D457" s="14">
        <v>0</v>
      </c>
      <c r="E457" s="17" t="str" cm="1">
        <f t="array" ref="E457">IF(C457=0,"",
HYPERLINK(
"#'2026 Orders'!C"&amp;
MATCH(1,
('2026 Orders'!C:C=C457)*
('2026 Orders'!G:G=G457)*
('2026 Orders'!N:N=N457),
0),
"Open "&amp;C457
))</f>
        <v>Open FBA 42</v>
      </c>
      <c r="F457" s="14" t="s">
        <v>1054</v>
      </c>
      <c r="G457" s="14" t="str">
        <f>'2026 Orders'!G456</f>
        <v>XTRAD5-60-FD</v>
      </c>
      <c r="H457" s="14" t="str">
        <f>'2026 Orders'!H456</f>
        <v>XTRAD5-60</v>
      </c>
      <c r="I457" s="15" t="str">
        <f>'2026 Orders'!I456</f>
        <v>FD</v>
      </c>
      <c r="J457" s="14">
        <f>'2026 Orders'!J456</f>
        <v>96</v>
      </c>
      <c r="K457">
        <v>0</v>
      </c>
      <c r="L457">
        <v>0</v>
      </c>
      <c r="M457">
        <v>96</v>
      </c>
      <c r="N457" s="10" t="str">
        <f>'2026 Orders'!N456</f>
        <v>Production complete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C457" t="str">
        <f t="shared" si="14"/>
        <v>96/</v>
      </c>
      <c r="AD457" t="e">
        <f t="shared" si="15"/>
        <v>#VALUE!</v>
      </c>
    </row>
    <row r="458" spans="1:30" ht="33" hidden="1" customHeight="1" x14ac:dyDescent="0.3">
      <c r="A458">
        <v>0</v>
      </c>
      <c r="B458" s="14">
        <f>'2026 Orders'!B457</f>
        <v>0</v>
      </c>
      <c r="C458" s="14">
        <f>'2026 Orders'!C457</f>
        <v>0</v>
      </c>
      <c r="D458" s="14">
        <v>0</v>
      </c>
      <c r="E458" s="17" t="str" cm="1">
        <f t="array" ref="E458">IF(C458=0,"",
HYPERLINK(
"#'2026 Orders'!C"&amp;
MATCH(1,
('2026 Orders'!C:C=C458)*
('2026 Orders'!G:G=G458)*
('2026 Orders'!N:N=N458),
0),
"Open "&amp;C458
))</f>
        <v/>
      </c>
      <c r="F458" s="14">
        <v>0</v>
      </c>
      <c r="G458" s="14">
        <f>'2026 Orders'!G457</f>
        <v>0</v>
      </c>
      <c r="H458" s="14">
        <f>'2026 Orders'!H457</f>
        <v>0</v>
      </c>
      <c r="I458" s="15" t="str">
        <f>'2026 Orders'!I457</f>
        <v/>
      </c>
      <c r="J458" s="14">
        <f>'2026 Orders'!J457</f>
        <v>0</v>
      </c>
      <c r="K458">
        <v>0</v>
      </c>
      <c r="L458">
        <v>0</v>
      </c>
      <c r="M458">
        <v>0</v>
      </c>
      <c r="N458" s="10">
        <f>'2026 Orders'!N457</f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C458" t="str">
        <f t="shared" si="14"/>
        <v/>
      </c>
      <c r="AD458" t="str">
        <f t="shared" si="15"/>
        <v/>
      </c>
    </row>
    <row r="459" spans="1:30" ht="33" hidden="1" customHeight="1" x14ac:dyDescent="0.3">
      <c r="A459">
        <v>0</v>
      </c>
      <c r="B459" s="14" t="str">
        <f>'2026 Orders'!B458</f>
        <v>Amazon AWD</v>
      </c>
      <c r="C459" s="14" t="str">
        <f>'2026 Orders'!C458</f>
        <v>AWD 13</v>
      </c>
      <c r="D459" s="14" t="s">
        <v>1057</v>
      </c>
      <c r="E459" s="17" t="str" cm="1">
        <f t="array" ref="E459">IF(C459=0,"",
HYPERLINK(
"#'2026 Orders'!C"&amp;
MATCH(1,
('2026 Orders'!C:C=C459)*
('2026 Orders'!G:G=G459)*
('2026 Orders'!N:N=N459),
0),
"Open "&amp;C459
))</f>
        <v>Open AWD 13</v>
      </c>
      <c r="F459" s="14" t="s">
        <v>1059</v>
      </c>
      <c r="G459" s="14" t="str">
        <f>'2026 Orders'!G458</f>
        <v>WFSPLS-90-FD</v>
      </c>
      <c r="H459" s="14" t="str">
        <f>'2026 Orders'!H458</f>
        <v>WFSPLS-90</v>
      </c>
      <c r="I459" s="15" t="str">
        <f>'2026 Orders'!I458</f>
        <v>FD</v>
      </c>
      <c r="J459" s="14">
        <f>'2026 Orders'!J458</f>
        <v>240</v>
      </c>
      <c r="K459">
        <v>0</v>
      </c>
      <c r="L459">
        <v>240</v>
      </c>
      <c r="M459">
        <v>0</v>
      </c>
      <c r="N459" s="10" t="str">
        <f>'2026 Orders'!N458</f>
        <v>Available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C459" t="str">
        <f t="shared" si="14"/>
        <v>240/</v>
      </c>
      <c r="AD459" t="e">
        <f t="shared" si="15"/>
        <v>#VALUE!</v>
      </c>
    </row>
    <row r="460" spans="1:30" ht="33" hidden="1" customHeight="1" x14ac:dyDescent="0.3">
      <c r="A460">
        <v>0</v>
      </c>
      <c r="B460" s="14" t="str">
        <f>'2026 Orders'!B459</f>
        <v>Amazon AWD</v>
      </c>
      <c r="C460" s="14" t="str">
        <f>'2026 Orders'!C459</f>
        <v>AWD 13</v>
      </c>
      <c r="D460" s="14" t="s">
        <v>1060</v>
      </c>
      <c r="E460" s="17" t="str" cm="1">
        <f t="array" ref="E460">IF(C460=0,"",
HYPERLINK(
"#'2026 Orders'!C"&amp;
MATCH(1,
('2026 Orders'!C:C=C460)*
('2026 Orders'!G:G=G460)*
('2026 Orders'!N:N=N460),
0),
"Open "&amp;C460
))</f>
        <v>Open AWD 13</v>
      </c>
      <c r="F460" s="14" t="s">
        <v>1061</v>
      </c>
      <c r="G460" s="14" t="str">
        <f>'2026 Orders'!G459</f>
        <v>MFSPLS-120-FD</v>
      </c>
      <c r="H460" s="14" t="str">
        <f>'2026 Orders'!H459</f>
        <v>MFSPLS-120</v>
      </c>
      <c r="I460" s="15" t="str">
        <f>'2026 Orders'!I459</f>
        <v>FD</v>
      </c>
      <c r="J460" s="14">
        <f>'2026 Orders'!J459</f>
        <v>240</v>
      </c>
      <c r="K460">
        <v>0</v>
      </c>
      <c r="L460">
        <v>240</v>
      </c>
      <c r="M460">
        <v>0</v>
      </c>
      <c r="N460" s="10" t="str">
        <f>'2026 Orders'!N459</f>
        <v>Available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C460" t="str">
        <f t="shared" si="14"/>
        <v>240/</v>
      </c>
      <c r="AD460" t="e">
        <f t="shared" si="15"/>
        <v>#VALUE!</v>
      </c>
    </row>
    <row r="461" spans="1:30" ht="33" hidden="1" customHeight="1" x14ac:dyDescent="0.3">
      <c r="A461">
        <v>0</v>
      </c>
      <c r="B461" s="14" t="str">
        <f>'2026 Orders'!B460</f>
        <v>Amazon AWD</v>
      </c>
      <c r="C461" s="14" t="str">
        <f>'2026 Orders'!C460</f>
        <v>AWD 13</v>
      </c>
      <c r="D461" s="14" t="s">
        <v>1062</v>
      </c>
      <c r="E461" s="17" t="str" cm="1">
        <f t="array" ref="E461">IF(C461=0,"",
HYPERLINK(
"#'2026 Orders'!C"&amp;
MATCH(1,
('2026 Orders'!C:C=C461)*
('2026 Orders'!G:G=G461)*
('2026 Orders'!N:N=N461),
0),
"Open "&amp;C461
))</f>
        <v>Open AWD 13</v>
      </c>
      <c r="F461" s="14" t="s">
        <v>1063</v>
      </c>
      <c r="G461" s="14" t="str">
        <f>'2026 Orders'!G460</f>
        <v>OVAMAX-120-FD</v>
      </c>
      <c r="H461" s="14" t="str">
        <f>'2026 Orders'!H460</f>
        <v>OVAMAX-120</v>
      </c>
      <c r="I461" s="15" t="str">
        <f>'2026 Orders'!I460</f>
        <v>FD</v>
      </c>
      <c r="J461" s="14">
        <f>'2026 Orders'!J460</f>
        <v>240</v>
      </c>
      <c r="K461">
        <v>0</v>
      </c>
      <c r="L461">
        <v>240</v>
      </c>
      <c r="M461">
        <v>0</v>
      </c>
      <c r="N461" s="10" t="str">
        <f>'2026 Orders'!N460</f>
        <v>Available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C461" t="str">
        <f t="shared" si="14"/>
        <v>240/</v>
      </c>
      <c r="AD461" t="e">
        <f t="shared" si="15"/>
        <v>#VALUE!</v>
      </c>
    </row>
    <row r="462" spans="1:30" ht="33" hidden="1" customHeight="1" x14ac:dyDescent="0.3">
      <c r="A462">
        <v>0</v>
      </c>
      <c r="B462" s="14" t="str">
        <f>'2026 Orders'!B461</f>
        <v>Amazon AWD</v>
      </c>
      <c r="C462" s="14" t="str">
        <f>'2026 Orders'!C461</f>
        <v>AWD 13</v>
      </c>
      <c r="D462" s="14" t="s">
        <v>1064</v>
      </c>
      <c r="E462" s="17" t="str" cm="1">
        <f t="array" ref="E462">IF(C462=0,"",
HYPERLINK(
"#'2026 Orders'!C"&amp;
MATCH(1,
('2026 Orders'!C:C=C462)*
('2026 Orders'!G:G=G462)*
('2026 Orders'!N:N=N462),
0),
"Open "&amp;C462
))</f>
        <v>Open AWD 13</v>
      </c>
      <c r="F462" s="14" t="s">
        <v>1065</v>
      </c>
      <c r="G462" s="14" t="str">
        <f>'2026 Orders'!G461</f>
        <v>MFSPLS-60-FD</v>
      </c>
      <c r="H462" s="14" t="str">
        <f>'2026 Orders'!H461</f>
        <v>MFSPLS-60</v>
      </c>
      <c r="I462" s="15" t="str">
        <f>'2026 Orders'!I461</f>
        <v>FD</v>
      </c>
      <c r="J462" s="14">
        <f>'2026 Orders'!J461</f>
        <v>72</v>
      </c>
      <c r="K462">
        <v>0</v>
      </c>
      <c r="L462">
        <v>72</v>
      </c>
      <c r="M462">
        <v>0</v>
      </c>
      <c r="N462" s="10" t="str">
        <f>'2026 Orders'!N461</f>
        <v>Available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C462" t="str">
        <f t="shared" si="14"/>
        <v>72/</v>
      </c>
      <c r="AD462" t="e">
        <f t="shared" si="15"/>
        <v>#VALUE!</v>
      </c>
    </row>
    <row r="463" spans="1:30" ht="33" hidden="1" customHeight="1" x14ac:dyDescent="0.3">
      <c r="A463">
        <v>0</v>
      </c>
      <c r="B463" s="14" t="str">
        <f>'2026 Orders'!B462</f>
        <v>Amazon FBA</v>
      </c>
      <c r="C463" s="14" t="str">
        <f>'2026 Orders'!C462</f>
        <v>AWD 13</v>
      </c>
      <c r="D463" s="14">
        <v>0</v>
      </c>
      <c r="E463" s="17" t="str" cm="1">
        <f t="array" ref="E463">IF(C463=0,"",
HYPERLINK(
"#'2026 Orders'!C"&amp;
MATCH(1,
('2026 Orders'!C:C=C463)*
('2026 Orders'!G:G=G463)*
('2026 Orders'!N:N=N463),
0),
"Open "&amp;C463
))</f>
        <v>Open AWD 13</v>
      </c>
      <c r="F463" s="14" t="s">
        <v>1066</v>
      </c>
      <c r="G463" s="14" t="str">
        <f>'2026 Orders'!G462</f>
        <v>MFSPLS-120-FD</v>
      </c>
      <c r="H463" s="14" t="str">
        <f>'2026 Orders'!H462</f>
        <v>MFSPLS-120</v>
      </c>
      <c r="I463" s="15" t="str">
        <f>'2026 Orders'!I462</f>
        <v>FD</v>
      </c>
      <c r="J463" s="14">
        <f>'2026 Orders'!J462</f>
        <v>216</v>
      </c>
      <c r="K463">
        <v>0</v>
      </c>
      <c r="L463">
        <v>216</v>
      </c>
      <c r="M463">
        <v>0</v>
      </c>
      <c r="N463" s="10" t="str">
        <f>'2026 Orders'!N462</f>
        <v>Available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C463" t="str">
        <f t="shared" si="14"/>
        <v>216/</v>
      </c>
      <c r="AD463" t="e">
        <f t="shared" si="15"/>
        <v>#VALUE!</v>
      </c>
    </row>
    <row r="464" spans="1:30" ht="33" hidden="1" customHeight="1" x14ac:dyDescent="0.3">
      <c r="A464">
        <v>0</v>
      </c>
      <c r="B464" s="14" t="str">
        <f>'2026 Orders'!B463</f>
        <v>Amazon FBA</v>
      </c>
      <c r="C464" s="14" t="str">
        <f>'2026 Orders'!C463</f>
        <v>AWD 13</v>
      </c>
      <c r="D464" s="14">
        <v>0</v>
      </c>
      <c r="E464" s="17" t="str" cm="1">
        <f t="array" ref="E464">IF(C464=0,"",
HYPERLINK(
"#'2026 Orders'!C"&amp;
MATCH(1,
('2026 Orders'!C:C=C464)*
('2026 Orders'!G:G=G464)*
('2026 Orders'!N:N=N464),
0),
"Open "&amp;C464
))</f>
        <v>Open AWD 13</v>
      </c>
      <c r="F464" s="14" t="s">
        <v>1067</v>
      </c>
      <c r="G464" s="14" t="str">
        <f>'2026 Orders'!G463</f>
        <v>NMNH-60-FD</v>
      </c>
      <c r="H464" s="14" t="str">
        <f>'2026 Orders'!H463</f>
        <v>NMNH-60</v>
      </c>
      <c r="I464" s="15" t="str">
        <f>'2026 Orders'!I463</f>
        <v>FD</v>
      </c>
      <c r="J464" s="14">
        <f>'2026 Orders'!J463</f>
        <v>120</v>
      </c>
      <c r="K464">
        <v>0</v>
      </c>
      <c r="L464">
        <v>120</v>
      </c>
      <c r="M464">
        <v>0</v>
      </c>
      <c r="N464" s="10" t="str">
        <f>'2026 Orders'!N463</f>
        <v>Available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C464" t="str">
        <f t="shared" si="14"/>
        <v>120/</v>
      </c>
      <c r="AD464" t="e">
        <f t="shared" si="15"/>
        <v>#VALUE!</v>
      </c>
    </row>
    <row r="465" spans="1:30" ht="33" hidden="1" customHeight="1" x14ac:dyDescent="0.3">
      <c r="A465">
        <v>0</v>
      </c>
      <c r="B465" s="14" t="str">
        <f>'2026 Orders'!B464</f>
        <v>Amazon FBA</v>
      </c>
      <c r="C465" s="14" t="str">
        <f>'2026 Orders'!C464</f>
        <v>AWD 13</v>
      </c>
      <c r="D465" s="14">
        <v>0</v>
      </c>
      <c r="E465" s="17" t="str" cm="1">
        <f t="array" ref="E465">IF(C465=0,"",
HYPERLINK(
"#'2026 Orders'!C"&amp;
MATCH(1,
('2026 Orders'!C:C=C465)*
('2026 Orders'!G:G=G465)*
('2026 Orders'!N:N=N465),
0),
"Open "&amp;C465
))</f>
        <v>Open AWD 13</v>
      </c>
      <c r="F465" s="14" t="s">
        <v>1067</v>
      </c>
      <c r="G465" s="14" t="str">
        <f>'2026 Orders'!G464</f>
        <v>FERTMX-90-FD</v>
      </c>
      <c r="H465" s="14" t="str">
        <f>'2026 Orders'!H464</f>
        <v>FERTMX-90</v>
      </c>
      <c r="I465" s="15" t="str">
        <f>'2026 Orders'!I464</f>
        <v>FD</v>
      </c>
      <c r="J465" s="14">
        <f>'2026 Orders'!J464</f>
        <v>168</v>
      </c>
      <c r="K465">
        <v>0</v>
      </c>
      <c r="L465">
        <v>37</v>
      </c>
      <c r="M465">
        <v>0</v>
      </c>
      <c r="N465" s="10" t="str">
        <f>'2026 Orders'!N464</f>
        <v>Available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C465" t="str">
        <f t="shared" si="14"/>
        <v>168/</v>
      </c>
      <c r="AD465" t="e">
        <f t="shared" si="15"/>
        <v>#VALUE!</v>
      </c>
    </row>
    <row r="466" spans="1:30" ht="33" hidden="1" customHeight="1" x14ac:dyDescent="0.3">
      <c r="A466">
        <v>0</v>
      </c>
      <c r="B466" s="14" t="str">
        <f>'2026 Orders'!B465</f>
        <v>Amazon FBA</v>
      </c>
      <c r="C466" s="14" t="str">
        <f>'2026 Orders'!C465</f>
        <v>AWD 13</v>
      </c>
      <c r="D466" s="14">
        <v>0</v>
      </c>
      <c r="E466" s="17" t="str" cm="1">
        <f t="array" ref="E466">IF(C466=0,"",
HYPERLINK(
"#'2026 Orders'!C"&amp;
MATCH(1,
('2026 Orders'!C:C=C466)*
('2026 Orders'!G:G=G466)*
('2026 Orders'!N:N=N466),
0),
"Open "&amp;C466
))</f>
        <v>Open AWD 13</v>
      </c>
      <c r="F466" s="14" t="s">
        <v>1067</v>
      </c>
      <c r="G466" s="14" t="str">
        <f>'2026 Orders'!G465</f>
        <v>PRECON-180-FD</v>
      </c>
      <c r="H466" s="14" t="str">
        <f>'2026 Orders'!H465</f>
        <v>PRECON-180</v>
      </c>
      <c r="I466" s="15" t="str">
        <f>'2026 Orders'!I465</f>
        <v>FD</v>
      </c>
      <c r="J466" s="14">
        <f>'2026 Orders'!J465</f>
        <v>120</v>
      </c>
      <c r="K466">
        <v>0</v>
      </c>
      <c r="L466">
        <v>120</v>
      </c>
      <c r="M466">
        <v>0</v>
      </c>
      <c r="N466" s="10" t="str">
        <f>'2026 Orders'!N465</f>
        <v>Available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C466" t="str">
        <f t="shared" si="14"/>
        <v>120/</v>
      </c>
      <c r="AD466" t="e">
        <f t="shared" si="15"/>
        <v>#VALUE!</v>
      </c>
    </row>
    <row r="467" spans="1:30" ht="33" hidden="1" customHeight="1" x14ac:dyDescent="0.3">
      <c r="A467">
        <v>0</v>
      </c>
      <c r="B467" s="14" t="str">
        <f>'2026 Orders'!B466</f>
        <v>Amazon FBA</v>
      </c>
      <c r="C467" s="14" t="str">
        <f>'2026 Orders'!C466</f>
        <v>AWD 13</v>
      </c>
      <c r="D467" s="14">
        <v>0</v>
      </c>
      <c r="E467" s="17" t="str" cm="1">
        <f t="array" ref="E467">IF(C467=0,"",
HYPERLINK(
"#'2026 Orders'!C"&amp;
MATCH(1,
('2026 Orders'!C:C=C467)*
('2026 Orders'!G:G=G467)*
('2026 Orders'!N:N=N467),
0),
"Open "&amp;C467
))</f>
        <v>Open AWD 13</v>
      </c>
      <c r="F467" s="14" t="s">
        <v>1067</v>
      </c>
      <c r="G467" s="14" t="str">
        <f>'2026 Orders'!G466</f>
        <v>CAVIN-60-FD</v>
      </c>
      <c r="H467" s="14" t="str">
        <f>'2026 Orders'!H466</f>
        <v>CAVIN-60</v>
      </c>
      <c r="I467" s="15" t="str">
        <f>'2026 Orders'!I466</f>
        <v>FD</v>
      </c>
      <c r="J467" s="14">
        <f>'2026 Orders'!J466</f>
        <v>48</v>
      </c>
      <c r="K467">
        <v>0</v>
      </c>
      <c r="L467">
        <v>48</v>
      </c>
      <c r="M467">
        <v>0</v>
      </c>
      <c r="N467" s="10" t="str">
        <f>'2026 Orders'!N466</f>
        <v>Available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C467" t="str">
        <f t="shared" si="14"/>
        <v>48/</v>
      </c>
      <c r="AD467" t="e">
        <f t="shared" si="15"/>
        <v>#VALUE!</v>
      </c>
    </row>
    <row r="468" spans="1:30" ht="33" hidden="1" customHeight="1" x14ac:dyDescent="0.3">
      <c r="A468">
        <v>0</v>
      </c>
      <c r="B468" s="14" t="str">
        <f>'2026 Orders'!B467</f>
        <v>Amazon FBA</v>
      </c>
      <c r="C468" s="14" t="str">
        <f>'2026 Orders'!C467</f>
        <v>AWD 13</v>
      </c>
      <c r="D468" s="14">
        <v>0</v>
      </c>
      <c r="E468" s="17" t="str" cm="1">
        <f t="array" ref="E468">IF(C468=0,"",
HYPERLINK(
"#'2026 Orders'!C"&amp;
MATCH(1,
('2026 Orders'!C:C=C468)*
('2026 Orders'!G:G=G468)*
('2026 Orders'!N:N=N468),
0),
"Open "&amp;C468
))</f>
        <v>Open AWD 13</v>
      </c>
      <c r="F468" s="14" t="s">
        <v>1067</v>
      </c>
      <c r="G468" s="14" t="str">
        <f>'2026 Orders'!G467</f>
        <v>MEMOUP-60-FD</v>
      </c>
      <c r="H468" s="14" t="str">
        <f>'2026 Orders'!H467</f>
        <v>MEMOUP-60</v>
      </c>
      <c r="I468" s="15" t="str">
        <f>'2026 Orders'!I467</f>
        <v>FD</v>
      </c>
      <c r="J468" s="14">
        <f>'2026 Orders'!J467</f>
        <v>24</v>
      </c>
      <c r="K468">
        <v>0</v>
      </c>
      <c r="L468">
        <v>24</v>
      </c>
      <c r="M468">
        <v>0</v>
      </c>
      <c r="N468" s="10" t="str">
        <f>'2026 Orders'!N467</f>
        <v>Available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C468" t="str">
        <f t="shared" si="14"/>
        <v>24/</v>
      </c>
      <c r="AD468" t="e">
        <f t="shared" si="15"/>
        <v>#VALUE!</v>
      </c>
    </row>
    <row r="469" spans="1:30" ht="33" hidden="1" customHeight="1" x14ac:dyDescent="0.3">
      <c r="A469">
        <v>0</v>
      </c>
      <c r="B469" s="14" t="str">
        <f>'2026 Orders'!B468</f>
        <v>Amazon FBA</v>
      </c>
      <c r="C469" s="14" t="str">
        <f>'2026 Orders'!C468</f>
        <v>AWD 13</v>
      </c>
      <c r="D469" s="14">
        <v>0</v>
      </c>
      <c r="E469" s="17" t="str" cm="1">
        <f t="array" ref="E469">IF(C469=0,"",
HYPERLINK(
"#'2026 Orders'!C"&amp;
MATCH(1,
('2026 Orders'!C:C=C469)*
('2026 Orders'!G:G=G469)*
('2026 Orders'!N:N=N469),
0),
"Open "&amp;C469
))</f>
        <v>Open AWD 13</v>
      </c>
      <c r="F469" s="14" t="s">
        <v>1067</v>
      </c>
      <c r="G469" s="14" t="str">
        <f>'2026 Orders'!G468</f>
        <v>GINKGO-60-FD</v>
      </c>
      <c r="H469" s="14" t="str">
        <f>'2026 Orders'!H468</f>
        <v>GINKGO-60</v>
      </c>
      <c r="I469" s="15" t="str">
        <f>'2026 Orders'!I468</f>
        <v>FD</v>
      </c>
      <c r="J469" s="14">
        <f>'2026 Orders'!J468</f>
        <v>48</v>
      </c>
      <c r="K469">
        <v>0</v>
      </c>
      <c r="L469">
        <v>48</v>
      </c>
      <c r="M469">
        <v>0</v>
      </c>
      <c r="N469" s="10" t="str">
        <f>'2026 Orders'!N468</f>
        <v>Available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C469" t="str">
        <f t="shared" si="14"/>
        <v>48/</v>
      </c>
      <c r="AD469" t="e">
        <f t="shared" si="15"/>
        <v>#VALUE!</v>
      </c>
    </row>
    <row r="470" spans="1:30" ht="33" hidden="1" customHeight="1" x14ac:dyDescent="0.3">
      <c r="A470">
        <v>0</v>
      </c>
      <c r="B470" s="14">
        <f>'2026 Orders'!B469</f>
        <v>0</v>
      </c>
      <c r="C470" s="14">
        <f>'2026 Orders'!C469</f>
        <v>0</v>
      </c>
      <c r="D470" s="14">
        <v>0</v>
      </c>
      <c r="E470" s="17" t="str" cm="1">
        <f t="array" ref="E470">IF(C470=0,"",
HYPERLINK(
"#'2026 Orders'!C"&amp;
MATCH(1,
('2026 Orders'!C:C=C470)*
('2026 Orders'!G:G=G470)*
('2026 Orders'!N:N=N470),
0),
"Open "&amp;C470
))</f>
        <v/>
      </c>
      <c r="F470" s="14">
        <v>0</v>
      </c>
      <c r="G470" s="14">
        <f>'2026 Orders'!G469</f>
        <v>0</v>
      </c>
      <c r="H470" s="14">
        <f>'2026 Orders'!H469</f>
        <v>0</v>
      </c>
      <c r="I470" s="15" t="str">
        <f>'2026 Orders'!I469</f>
        <v/>
      </c>
      <c r="J470" s="14">
        <f>'2026 Orders'!J469</f>
        <v>0</v>
      </c>
      <c r="K470">
        <v>0</v>
      </c>
      <c r="L470">
        <v>0</v>
      </c>
      <c r="M470">
        <v>0</v>
      </c>
      <c r="N470" s="10">
        <f>'2026 Orders'!N469</f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C470" t="str">
        <f t="shared" si="14"/>
        <v/>
      </c>
      <c r="AD470" t="str">
        <f t="shared" si="15"/>
        <v/>
      </c>
    </row>
    <row r="471" spans="1:30" ht="33" hidden="1" customHeight="1" x14ac:dyDescent="0.3">
      <c r="A471">
        <v>0</v>
      </c>
      <c r="B471" s="14" t="str">
        <f>'2026 Orders'!B470</f>
        <v>Amazon AWD</v>
      </c>
      <c r="C471" s="14" t="str">
        <f>'2026 Orders'!C470</f>
        <v>AWD Backorder</v>
      </c>
      <c r="D471" s="14" t="s">
        <v>1069</v>
      </c>
      <c r="E471" s="17" t="str" cm="1">
        <f t="array" ref="E471">IF(C471=0,"",
HYPERLINK(
"#'2026 Orders'!C"&amp;
MATCH(1,
('2026 Orders'!C:C=C471)*
('2026 Orders'!G:G=G471)*
('2026 Orders'!N:N=N471),
0),
"Open "&amp;C471
))</f>
        <v>Open AWD Backorder</v>
      </c>
      <c r="F471" s="14" t="s">
        <v>1052</v>
      </c>
      <c r="G471" s="14" t="str">
        <f>'2026 Orders'!G470</f>
        <v>LARGIN-100-FD</v>
      </c>
      <c r="H471" s="14" t="str">
        <f>'2026 Orders'!H470</f>
        <v>LARGIN-100</v>
      </c>
      <c r="I471" s="15" t="str">
        <f>'2026 Orders'!I470</f>
        <v>FD</v>
      </c>
      <c r="J471" s="14">
        <f>'2026 Orders'!J470</f>
        <v>120</v>
      </c>
      <c r="K471">
        <v>0</v>
      </c>
      <c r="L471">
        <v>0</v>
      </c>
      <c r="M471">
        <v>120</v>
      </c>
      <c r="N471" s="10" t="str">
        <f>'2026 Orders'!N470</f>
        <v>In Production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C471" t="str">
        <f t="shared" si="14"/>
        <v>120/</v>
      </c>
      <c r="AD471" t="e">
        <f t="shared" si="15"/>
        <v>#VALUE!</v>
      </c>
    </row>
    <row r="472" spans="1:30" ht="33" hidden="1" customHeight="1" x14ac:dyDescent="0.3">
      <c r="A472">
        <v>0</v>
      </c>
      <c r="B472" s="14" t="str">
        <f>'2026 Orders'!B471</f>
        <v>Amazon AWD</v>
      </c>
      <c r="C472" s="14" t="str">
        <f>'2026 Orders'!C471</f>
        <v>AWD Backorder</v>
      </c>
      <c r="D472" s="14" t="s">
        <v>1070</v>
      </c>
      <c r="E472" s="17" t="str" cm="1">
        <f t="array" ref="E472">IF(C472=0,"",
HYPERLINK(
"#'2026 Orders'!C"&amp;
MATCH(1,
('2026 Orders'!C:C=C472)*
('2026 Orders'!G:G=G472)*
('2026 Orders'!N:N=N472),
0),
"Open "&amp;C472
))</f>
        <v>Open AWD Backorder</v>
      </c>
      <c r="F472" s="14" t="s">
        <v>1052</v>
      </c>
      <c r="G472" s="14" t="str">
        <f>'2026 Orders'!G471</f>
        <v>PEDIAD4-50-FD</v>
      </c>
      <c r="H472" s="14" t="str">
        <f>'2026 Orders'!H471</f>
        <v>PEDIAD4-50</v>
      </c>
      <c r="I472" s="15" t="str">
        <f>'2026 Orders'!I471</f>
        <v>FD</v>
      </c>
      <c r="J472" s="14">
        <f>'2026 Orders'!J471</f>
        <v>120</v>
      </c>
      <c r="K472">
        <v>0</v>
      </c>
      <c r="L472">
        <v>0</v>
      </c>
      <c r="M472">
        <v>120</v>
      </c>
      <c r="N472" s="10" t="str">
        <f>'2026 Orders'!N471</f>
        <v>PO submitted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C472" t="str">
        <f t="shared" si="14"/>
        <v>120/</v>
      </c>
      <c r="AD472" t="e">
        <f t="shared" si="15"/>
        <v>#VALUE!</v>
      </c>
    </row>
    <row r="473" spans="1:30" ht="33" hidden="1" customHeight="1" x14ac:dyDescent="0.3">
      <c r="A473">
        <v>0</v>
      </c>
      <c r="B473" s="14" t="str">
        <f>'2026 Orders'!B472</f>
        <v>Amazon AWD</v>
      </c>
      <c r="C473" s="14" t="str">
        <f>'2026 Orders'!C472</f>
        <v>AWD Backorder</v>
      </c>
      <c r="D473" s="14" t="s">
        <v>1071</v>
      </c>
      <c r="E473" s="17" t="str" cm="1">
        <f t="array" ref="E473">IF(C473=0,"",
HYPERLINK(
"#'2026 Orders'!C"&amp;
MATCH(1,
('2026 Orders'!C:C=C473)*
('2026 Orders'!G:G=G473)*
('2026 Orders'!N:N=N473),
0),
"Open "&amp;C473
))</f>
        <v>Open AWD Backorder</v>
      </c>
      <c r="F473" s="14" t="s">
        <v>1052</v>
      </c>
      <c r="G473" s="14" t="str">
        <f>'2026 Orders'!G472</f>
        <v>PEDIAD8-50-FD</v>
      </c>
      <c r="H473" s="14" t="str">
        <f>'2026 Orders'!H472</f>
        <v>PEDIAD8-50</v>
      </c>
      <c r="I473" s="15" t="str">
        <f>'2026 Orders'!I472</f>
        <v>FD</v>
      </c>
      <c r="J473" s="14">
        <f>'2026 Orders'!J472</f>
        <v>120</v>
      </c>
      <c r="K473">
        <v>0</v>
      </c>
      <c r="L473">
        <v>0</v>
      </c>
      <c r="M473">
        <v>120</v>
      </c>
      <c r="N473" s="10" t="str">
        <f>'2026 Orders'!N472</f>
        <v>Not Meet MOQ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C473" t="str">
        <f t="shared" si="14"/>
        <v>120/</v>
      </c>
      <c r="AD473" t="e">
        <f t="shared" si="15"/>
        <v>#VALUE!</v>
      </c>
    </row>
    <row r="474" spans="1:30" ht="33" hidden="1" customHeight="1" x14ac:dyDescent="0.3">
      <c r="A474">
        <v>0</v>
      </c>
      <c r="B474" s="14" t="str">
        <f>'2026 Orders'!B473</f>
        <v>Amazon AWD</v>
      </c>
      <c r="C474" s="14" t="str">
        <f>'2026 Orders'!C473</f>
        <v>AWD Backorder</v>
      </c>
      <c r="D474" s="14" t="s">
        <v>1073</v>
      </c>
      <c r="E474" s="17" t="str" cm="1">
        <f t="array" ref="E474">IF(C474=0,"",
HYPERLINK(
"#'2026 Orders'!C"&amp;
MATCH(1,
('2026 Orders'!C:C=C474)*
('2026 Orders'!G:G=G474)*
('2026 Orders'!N:N=N474),
0),
"Open "&amp;C474
))</f>
        <v>Open AWD Backorder</v>
      </c>
      <c r="F474" s="14" t="s">
        <v>1052</v>
      </c>
      <c r="G474" s="14" t="str">
        <f>'2026 Orders'!G473</f>
        <v>FERTMX-90-FD</v>
      </c>
      <c r="H474" s="14" t="str">
        <f>'2026 Orders'!H473</f>
        <v>FERTMX-90</v>
      </c>
      <c r="I474" s="15" t="str">
        <f>'2026 Orders'!I473</f>
        <v>FD</v>
      </c>
      <c r="J474" s="14">
        <f>'2026 Orders'!J473</f>
        <v>120</v>
      </c>
      <c r="K474">
        <v>0</v>
      </c>
      <c r="L474">
        <v>0</v>
      </c>
      <c r="M474">
        <v>120</v>
      </c>
      <c r="N474" s="10" t="str">
        <f>'2026 Orders'!N473</f>
        <v>PO submitted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C474" t="str">
        <f t="shared" si="14"/>
        <v>120/</v>
      </c>
      <c r="AD474" t="e">
        <f t="shared" si="15"/>
        <v>#VALUE!</v>
      </c>
    </row>
    <row r="475" spans="1:30" ht="33" hidden="1" customHeight="1" x14ac:dyDescent="0.3">
      <c r="A475">
        <v>0</v>
      </c>
      <c r="B475" s="14" t="str">
        <f>'2026 Orders'!B474</f>
        <v>Amazon AWD</v>
      </c>
      <c r="C475" s="14" t="str">
        <f>'2026 Orders'!C474</f>
        <v>AWD Backorder</v>
      </c>
      <c r="D475" s="14" t="s">
        <v>1073</v>
      </c>
      <c r="E475" s="17" t="str" cm="1">
        <f t="array" ref="E475">IF(C475=0,"",
HYPERLINK(
"#'2026 Orders'!C"&amp;
MATCH(1,
('2026 Orders'!C:C=C475)*
('2026 Orders'!G:G=G475)*
('2026 Orders'!N:N=N475),
0),
"Open "&amp;C475
))</f>
        <v>Open AWD Backorder</v>
      </c>
      <c r="F475" s="14" t="s">
        <v>1052</v>
      </c>
      <c r="G475" s="14" t="str">
        <f>'2026 Orders'!G474</f>
        <v>FERTMX-90-FD</v>
      </c>
      <c r="H475" s="14" t="str">
        <f>'2026 Orders'!H474</f>
        <v>FERTMX-90</v>
      </c>
      <c r="I475" s="15" t="str">
        <f>'2026 Orders'!I474</f>
        <v>FD</v>
      </c>
      <c r="J475" s="14">
        <f>'2026 Orders'!J474</f>
        <v>72</v>
      </c>
      <c r="K475">
        <v>0</v>
      </c>
      <c r="L475">
        <v>0</v>
      </c>
      <c r="M475">
        <v>72</v>
      </c>
      <c r="N475" s="10" t="str">
        <f>'2026 Orders'!N474</f>
        <v>PO submitted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C475" t="str">
        <f t="shared" si="14"/>
        <v>72/</v>
      </c>
      <c r="AD475" t="e">
        <f t="shared" si="15"/>
        <v>#VALUE!</v>
      </c>
    </row>
    <row r="476" spans="1:30" ht="33" hidden="1" customHeight="1" x14ac:dyDescent="0.3">
      <c r="A476">
        <v>0</v>
      </c>
      <c r="B476" s="14" t="str">
        <f>'2026 Orders'!B475</f>
        <v>Amazon AWD</v>
      </c>
      <c r="C476" s="14" t="str">
        <f>'2026 Orders'!C475</f>
        <v>AWD Backorder</v>
      </c>
      <c r="D476" s="14" t="s">
        <v>1074</v>
      </c>
      <c r="E476" s="17" t="str" cm="1">
        <f t="array" ref="E476">IF(C476=0,"",
HYPERLINK(
"#'2026 Orders'!C"&amp;
MATCH(1,
('2026 Orders'!C:C=C476)*
('2026 Orders'!G:G=G476)*
('2026 Orders'!N:N=N476),
0),
"Open "&amp;C476
))</f>
        <v>Open AWD Backorder</v>
      </c>
      <c r="F476" s="14" t="s">
        <v>1052</v>
      </c>
      <c r="G476" s="14" t="str">
        <f>'2026 Orders'!G475</f>
        <v>ADVTH-60-FD</v>
      </c>
      <c r="H476" s="14" t="str">
        <f>'2026 Orders'!H475</f>
        <v>ADVTH-60</v>
      </c>
      <c r="I476" s="15" t="str">
        <f>'2026 Orders'!I475</f>
        <v>FD</v>
      </c>
      <c r="J476" s="14">
        <f>'2026 Orders'!J475</f>
        <v>24</v>
      </c>
      <c r="K476">
        <v>0</v>
      </c>
      <c r="L476">
        <v>0</v>
      </c>
      <c r="M476">
        <v>24</v>
      </c>
      <c r="N476" s="10" t="str">
        <f>'2026 Orders'!N475</f>
        <v>Not Meet MOQ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C476" t="str">
        <f t="shared" si="14"/>
        <v>24/</v>
      </c>
      <c r="AD476" t="e">
        <f t="shared" si="15"/>
        <v>#VALUE!</v>
      </c>
    </row>
    <row r="477" spans="1:30" ht="33" hidden="1" customHeight="1" x14ac:dyDescent="0.3">
      <c r="A477">
        <v>0</v>
      </c>
      <c r="B477" s="14">
        <f>'2026 Orders'!B476</f>
        <v>0</v>
      </c>
      <c r="C477" s="14">
        <f>'2026 Orders'!C476</f>
        <v>0</v>
      </c>
      <c r="D477" s="14">
        <v>0</v>
      </c>
      <c r="E477" s="17" t="str" cm="1">
        <f t="array" ref="E477">IF(C477=0,"",
HYPERLINK(
"#'2026 Orders'!C"&amp;
MATCH(1,
('2026 Orders'!C:C=C477)*
('2026 Orders'!G:G=G477)*
('2026 Orders'!N:N=N477),
0),
"Open "&amp;C477
))</f>
        <v/>
      </c>
      <c r="F477" s="14">
        <v>0</v>
      </c>
      <c r="G477" s="14">
        <f>'2026 Orders'!G476</f>
        <v>0</v>
      </c>
      <c r="H477" s="14" t="str">
        <f>'2026 Orders'!H476</f>
        <v/>
      </c>
      <c r="I477" s="15" t="str">
        <f>'2026 Orders'!I476</f>
        <v/>
      </c>
      <c r="J477" s="14">
        <f>'2026 Orders'!J476</f>
        <v>0</v>
      </c>
      <c r="K477">
        <v>0</v>
      </c>
      <c r="L477">
        <v>0</v>
      </c>
      <c r="N477" s="10">
        <f>'2026 Orders'!N476</f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C477" t="str">
        <f t="shared" si="14"/>
        <v/>
      </c>
      <c r="AD477" t="str">
        <f t="shared" si="15"/>
        <v/>
      </c>
    </row>
    <row r="478" spans="1:30" ht="33" hidden="1" customHeight="1" x14ac:dyDescent="0.3">
      <c r="A478">
        <v>0</v>
      </c>
      <c r="B478" s="14">
        <f>'2026 Orders'!B477</f>
        <v>0</v>
      </c>
      <c r="C478" s="14">
        <f>'2026 Orders'!C477</f>
        <v>0</v>
      </c>
      <c r="D478" s="14">
        <v>0</v>
      </c>
      <c r="E478" s="17" t="str" cm="1">
        <f t="array" ref="E478">IF(C478=0,"",
HYPERLINK(
"#'2026 Orders'!C"&amp;
MATCH(1,
('2026 Orders'!C:C=C478)*
('2026 Orders'!G:G=G478)*
('2026 Orders'!N:N=N478),
0),
"Open "&amp;C478
))</f>
        <v/>
      </c>
      <c r="F478" s="14">
        <v>0</v>
      </c>
      <c r="G478" s="14">
        <f>'2026 Orders'!G477</f>
        <v>0</v>
      </c>
      <c r="H478" s="14" t="str">
        <f>'2026 Orders'!H477</f>
        <v/>
      </c>
      <c r="I478" s="15" t="str">
        <f>'2026 Orders'!I477</f>
        <v/>
      </c>
      <c r="J478" s="14">
        <f>'2026 Orders'!J477</f>
        <v>0</v>
      </c>
      <c r="K478">
        <v>0</v>
      </c>
      <c r="L478">
        <v>0</v>
      </c>
      <c r="N478" s="10">
        <f>'2026 Orders'!N477</f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C478" t="str">
        <f t="shared" si="14"/>
        <v/>
      </c>
      <c r="AD478" t="str">
        <f t="shared" si="15"/>
        <v/>
      </c>
    </row>
    <row r="479" spans="1:30" ht="33" hidden="1" customHeight="1" x14ac:dyDescent="0.3">
      <c r="A479">
        <v>0</v>
      </c>
      <c r="B479" s="14">
        <f>'2026 Orders'!B478</f>
        <v>0</v>
      </c>
      <c r="C479" s="14">
        <f>'2026 Orders'!C478</f>
        <v>0</v>
      </c>
      <c r="D479" s="14">
        <v>0</v>
      </c>
      <c r="E479" s="17" t="str" cm="1">
        <f t="array" ref="E479">IF(C479=0,"",
HYPERLINK(
"#'2026 Orders'!C"&amp;
MATCH(1,
('2026 Orders'!C:C=C479)*
('2026 Orders'!G:G=G479)*
('2026 Orders'!N:N=N479),
0),
"Open "&amp;C479
))</f>
        <v/>
      </c>
      <c r="F479" s="14">
        <v>0</v>
      </c>
      <c r="G479" s="14">
        <f>'2026 Orders'!G478</f>
        <v>0</v>
      </c>
      <c r="H479" s="14" t="str">
        <f>'2026 Orders'!H478</f>
        <v/>
      </c>
      <c r="I479" s="15" t="str">
        <f>'2026 Orders'!I478</f>
        <v/>
      </c>
      <c r="J479" s="14">
        <f>'2026 Orders'!J478</f>
        <v>0</v>
      </c>
      <c r="K479">
        <v>0</v>
      </c>
      <c r="L479">
        <v>0</v>
      </c>
      <c r="N479" s="10">
        <f>'2026 Orders'!N478</f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C479" t="str">
        <f t="shared" si="14"/>
        <v/>
      </c>
      <c r="AD479" t="str">
        <f t="shared" si="15"/>
        <v/>
      </c>
    </row>
    <row r="480" spans="1:30" ht="33" hidden="1" customHeight="1" x14ac:dyDescent="0.3">
      <c r="A480">
        <v>0</v>
      </c>
      <c r="B480" s="14">
        <f>'2026 Orders'!B479</f>
        <v>0</v>
      </c>
      <c r="C480" s="14">
        <f>'2026 Orders'!C479</f>
        <v>0</v>
      </c>
      <c r="D480" s="14">
        <v>0</v>
      </c>
      <c r="E480" s="17" t="str" cm="1">
        <f t="array" ref="E480">IF(C480=0,"",
HYPERLINK(
"#'2026 Orders'!C"&amp;
MATCH(1,
('2026 Orders'!C:C=C480)*
('2026 Orders'!G:G=G480)*
('2026 Orders'!N:N=N480),
0),
"Open "&amp;C480
))</f>
        <v/>
      </c>
      <c r="F480" s="14">
        <v>0</v>
      </c>
      <c r="G480" s="14">
        <f>'2026 Orders'!G479</f>
        <v>0</v>
      </c>
      <c r="H480" s="14" t="str">
        <f>'2026 Orders'!H479</f>
        <v/>
      </c>
      <c r="I480" s="15" t="str">
        <f>'2026 Orders'!I479</f>
        <v/>
      </c>
      <c r="J480" s="14">
        <f>'2026 Orders'!J479</f>
        <v>0</v>
      </c>
      <c r="K480">
        <v>0</v>
      </c>
      <c r="L480">
        <v>0</v>
      </c>
      <c r="N480" s="10">
        <f>'2026 Orders'!N479</f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C480" t="str">
        <f t="shared" si="14"/>
        <v/>
      </c>
      <c r="AD480" t="str">
        <f t="shared" si="15"/>
        <v/>
      </c>
    </row>
    <row r="481" spans="1:30" ht="33" hidden="1" customHeight="1" x14ac:dyDescent="0.3">
      <c r="A481">
        <v>0</v>
      </c>
      <c r="B481" s="14">
        <f>'2026 Orders'!B480</f>
        <v>0</v>
      </c>
      <c r="C481" s="14">
        <f>'2026 Orders'!C480</f>
        <v>0</v>
      </c>
      <c r="D481" s="14">
        <v>0</v>
      </c>
      <c r="E481" s="17" t="str" cm="1">
        <f t="array" ref="E481">IF(C481=0,"",
HYPERLINK(
"#'2026 Orders'!C"&amp;
MATCH(1,
('2026 Orders'!C:C=C481)*
('2026 Orders'!G:G=G481)*
('2026 Orders'!N:N=N481),
0),
"Open "&amp;C481
))</f>
        <v/>
      </c>
      <c r="F481" s="14">
        <v>0</v>
      </c>
      <c r="G481" s="14">
        <f>'2026 Orders'!G480</f>
        <v>0</v>
      </c>
      <c r="H481" s="14" t="str">
        <f>'2026 Orders'!H480</f>
        <v/>
      </c>
      <c r="I481" s="15" t="str">
        <f>'2026 Orders'!I480</f>
        <v/>
      </c>
      <c r="J481" s="14">
        <f>'2026 Orders'!J480</f>
        <v>0</v>
      </c>
      <c r="K481">
        <v>0</v>
      </c>
      <c r="L481">
        <v>0</v>
      </c>
      <c r="N481" s="10">
        <f>'2026 Orders'!N480</f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C481" t="str">
        <f t="shared" si="14"/>
        <v/>
      </c>
      <c r="AD481" t="str">
        <f t="shared" si="15"/>
        <v/>
      </c>
    </row>
    <row r="482" spans="1:30" ht="33" hidden="1" customHeight="1" x14ac:dyDescent="0.3">
      <c r="A482">
        <v>0</v>
      </c>
      <c r="B482" s="14">
        <f>'2026 Orders'!B481</f>
        <v>0</v>
      </c>
      <c r="C482" s="14">
        <f>'2026 Orders'!C481</f>
        <v>0</v>
      </c>
      <c r="D482" s="14">
        <v>0</v>
      </c>
      <c r="E482" s="17" t="str" cm="1">
        <f t="array" ref="E482">IF(C482=0,"",
HYPERLINK(
"#'2026 Orders'!C"&amp;
MATCH(1,
('2026 Orders'!C:C=C482)*
('2026 Orders'!G:G=G482)*
('2026 Orders'!N:N=N482),
0),
"Open "&amp;C482
))</f>
        <v/>
      </c>
      <c r="F482" s="14">
        <v>0</v>
      </c>
      <c r="G482" s="14">
        <f>'2026 Orders'!G481</f>
        <v>0</v>
      </c>
      <c r="H482" s="14" t="str">
        <f>'2026 Orders'!H481</f>
        <v/>
      </c>
      <c r="I482" s="15" t="str">
        <f>'2026 Orders'!I481</f>
        <v/>
      </c>
      <c r="J482" s="14">
        <f>'2026 Orders'!J481</f>
        <v>0</v>
      </c>
      <c r="K482">
        <v>0</v>
      </c>
      <c r="L482">
        <v>0</v>
      </c>
      <c r="N482" s="10">
        <f>'2026 Orders'!N481</f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C482" t="str">
        <f t="shared" si="14"/>
        <v/>
      </c>
      <c r="AD482" t="str">
        <f t="shared" si="15"/>
        <v/>
      </c>
    </row>
    <row r="483" spans="1:30" ht="33" hidden="1" customHeight="1" x14ac:dyDescent="0.3">
      <c r="A483">
        <v>0</v>
      </c>
      <c r="B483" s="14">
        <f>'2026 Orders'!B482</f>
        <v>0</v>
      </c>
      <c r="C483" s="14">
        <f>'2026 Orders'!C482</f>
        <v>0</v>
      </c>
      <c r="D483" s="14">
        <v>0</v>
      </c>
      <c r="E483" s="17" t="str" cm="1">
        <f t="array" ref="E483">IF(C483=0,"",
HYPERLINK(
"#'2026 Orders'!C"&amp;
MATCH(1,
('2026 Orders'!C:C=C483)*
('2026 Orders'!G:G=G483)*
('2026 Orders'!N:N=N483),
0),
"Open "&amp;C483
))</f>
        <v/>
      </c>
      <c r="F483" s="14">
        <v>0</v>
      </c>
      <c r="G483" s="14">
        <f>'2026 Orders'!G482</f>
        <v>0</v>
      </c>
      <c r="H483" s="14" t="str">
        <f>'2026 Orders'!H482</f>
        <v/>
      </c>
      <c r="I483" s="15" t="str">
        <f>'2026 Orders'!I482</f>
        <v/>
      </c>
      <c r="J483" s="14">
        <f>'2026 Orders'!J482</f>
        <v>0</v>
      </c>
      <c r="K483">
        <v>0</v>
      </c>
      <c r="L483">
        <v>0</v>
      </c>
      <c r="N483" s="10">
        <f>'2026 Orders'!N482</f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C483" t="str">
        <f t="shared" si="14"/>
        <v/>
      </c>
      <c r="AD483" t="str">
        <f t="shared" si="15"/>
        <v/>
      </c>
    </row>
    <row r="484" spans="1:30" ht="33" hidden="1" customHeight="1" x14ac:dyDescent="0.3">
      <c r="A484">
        <v>0</v>
      </c>
      <c r="B484" s="14">
        <f>'2026 Orders'!B483</f>
        <v>0</v>
      </c>
      <c r="C484" s="14">
        <f>'2026 Orders'!C483</f>
        <v>0</v>
      </c>
      <c r="D484" s="14">
        <v>0</v>
      </c>
      <c r="E484" s="17" t="str" cm="1">
        <f t="array" ref="E484">IF(C484=0,"",
HYPERLINK(
"#'2026 Orders'!C"&amp;
MATCH(1,
('2026 Orders'!C:C=C484)*
('2026 Orders'!G:G=G484)*
('2026 Orders'!N:N=N484),
0),
"Open "&amp;C484
))</f>
        <v/>
      </c>
      <c r="F484" s="14">
        <v>0</v>
      </c>
      <c r="G484" s="14">
        <f>'2026 Orders'!G483</f>
        <v>0</v>
      </c>
      <c r="H484" s="14" t="str">
        <f>'2026 Orders'!H483</f>
        <v/>
      </c>
      <c r="I484" s="15" t="str">
        <f>'2026 Orders'!I483</f>
        <v/>
      </c>
      <c r="J484" s="14">
        <f>'2026 Orders'!J483</f>
        <v>0</v>
      </c>
      <c r="K484">
        <v>0</v>
      </c>
      <c r="L484">
        <v>0</v>
      </c>
      <c r="N484" s="10">
        <f>'2026 Orders'!N483</f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C484" t="str">
        <f t="shared" si="14"/>
        <v/>
      </c>
      <c r="AD484" t="str">
        <f t="shared" si="15"/>
        <v/>
      </c>
    </row>
    <row r="485" spans="1:30" ht="33" hidden="1" customHeight="1" x14ac:dyDescent="0.3">
      <c r="A485">
        <v>0</v>
      </c>
      <c r="B485" s="14">
        <f>'2026 Orders'!B484</f>
        <v>0</v>
      </c>
      <c r="C485" s="14">
        <f>'2026 Orders'!C484</f>
        <v>0</v>
      </c>
      <c r="D485" s="14">
        <v>0</v>
      </c>
      <c r="E485" s="17" t="str" cm="1">
        <f t="array" ref="E485">IF(C485=0,"",
HYPERLINK(
"#'2026 Orders'!C"&amp;
MATCH(1,
('2026 Orders'!C:C=C485)*
('2026 Orders'!G:G=G485)*
('2026 Orders'!N:N=N485),
0),
"Open "&amp;C485
))</f>
        <v/>
      </c>
      <c r="F485" s="14">
        <v>0</v>
      </c>
      <c r="G485" s="14">
        <f>'2026 Orders'!G484</f>
        <v>0</v>
      </c>
      <c r="H485" s="14" t="str">
        <f>'2026 Orders'!H484</f>
        <v/>
      </c>
      <c r="I485" s="15" t="str">
        <f>'2026 Orders'!I484</f>
        <v/>
      </c>
      <c r="J485" s="14">
        <f>'2026 Orders'!J484</f>
        <v>0</v>
      </c>
      <c r="K485">
        <v>0</v>
      </c>
      <c r="L485">
        <v>0</v>
      </c>
      <c r="N485" s="10">
        <f>'2026 Orders'!N484</f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C485" t="str">
        <f t="shared" si="14"/>
        <v/>
      </c>
      <c r="AD485" t="str">
        <f t="shared" si="15"/>
        <v/>
      </c>
    </row>
    <row r="486" spans="1:30" ht="33" hidden="1" customHeight="1" x14ac:dyDescent="0.3">
      <c r="A486">
        <v>0</v>
      </c>
      <c r="B486" s="14">
        <f>'2026 Orders'!B485</f>
        <v>0</v>
      </c>
      <c r="C486" s="14">
        <f>'2026 Orders'!C485</f>
        <v>0</v>
      </c>
      <c r="D486" s="14">
        <v>0</v>
      </c>
      <c r="E486" s="17" t="str" cm="1">
        <f t="array" ref="E486">IF(C486=0,"",
HYPERLINK(
"#'2026 Orders'!C"&amp;
MATCH(1,
('2026 Orders'!C:C=C486)*
('2026 Orders'!G:G=G486)*
('2026 Orders'!N:N=N486),
0),
"Open "&amp;C486
))</f>
        <v/>
      </c>
      <c r="F486" s="14">
        <v>0</v>
      </c>
      <c r="G486" s="14">
        <f>'2026 Orders'!G485</f>
        <v>0</v>
      </c>
      <c r="H486" s="14" t="str">
        <f>'2026 Orders'!H485</f>
        <v/>
      </c>
      <c r="I486" s="15" t="str">
        <f>'2026 Orders'!I485</f>
        <v/>
      </c>
      <c r="J486" s="14">
        <f>'2026 Orders'!J485</f>
        <v>0</v>
      </c>
      <c r="K486">
        <v>0</v>
      </c>
      <c r="L486">
        <v>0</v>
      </c>
      <c r="N486" s="10">
        <f>'2026 Orders'!N485</f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C486" t="str">
        <f t="shared" si="14"/>
        <v/>
      </c>
      <c r="AD486" t="str">
        <f t="shared" si="15"/>
        <v/>
      </c>
    </row>
    <row r="487" spans="1:30" ht="33" hidden="1" customHeight="1" x14ac:dyDescent="0.3">
      <c r="A487">
        <v>0</v>
      </c>
      <c r="B487" s="14">
        <f>'2026 Orders'!B486</f>
        <v>0</v>
      </c>
      <c r="C487" s="14">
        <f>'2026 Orders'!C486</f>
        <v>0</v>
      </c>
      <c r="D487" s="14">
        <v>0</v>
      </c>
      <c r="E487" s="17" t="str" cm="1">
        <f t="array" ref="E487">IF(C487=0,"",
HYPERLINK(
"#'2026 Orders'!C"&amp;
MATCH(1,
('2026 Orders'!C:C=C487)*
('2026 Orders'!G:G=G487)*
('2026 Orders'!N:N=N487),
0),
"Open "&amp;C487
))</f>
        <v/>
      </c>
      <c r="F487" s="14">
        <v>0</v>
      </c>
      <c r="G487" s="14">
        <f>'2026 Orders'!G486</f>
        <v>0</v>
      </c>
      <c r="H487" s="14" t="str">
        <f>'2026 Orders'!H486</f>
        <v/>
      </c>
      <c r="I487" s="15" t="str">
        <f>'2026 Orders'!I486</f>
        <v/>
      </c>
      <c r="J487" s="14">
        <f>'2026 Orders'!J486</f>
        <v>0</v>
      </c>
      <c r="K487">
        <v>0</v>
      </c>
      <c r="L487">
        <v>0</v>
      </c>
      <c r="N487" s="10">
        <f>'2026 Orders'!N486</f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C487" t="str">
        <f t="shared" si="14"/>
        <v/>
      </c>
      <c r="AD487" t="str">
        <f t="shared" si="15"/>
        <v/>
      </c>
    </row>
    <row r="488" spans="1:30" ht="33" hidden="1" customHeight="1" x14ac:dyDescent="0.3">
      <c r="A488">
        <v>0</v>
      </c>
      <c r="B488" s="14">
        <f>'2026 Orders'!B487</f>
        <v>0</v>
      </c>
      <c r="C488" s="14">
        <f>'2026 Orders'!C487</f>
        <v>0</v>
      </c>
      <c r="D488" s="14">
        <v>0</v>
      </c>
      <c r="E488" s="17" t="str" cm="1">
        <f t="array" ref="E488">IF(C488=0,"",
HYPERLINK(
"#'2026 Orders'!C"&amp;
MATCH(1,
('2026 Orders'!C:C=C488)*
('2026 Orders'!G:G=G488)*
('2026 Orders'!N:N=N488),
0),
"Open "&amp;C488
))</f>
        <v/>
      </c>
      <c r="F488" s="14">
        <v>0</v>
      </c>
      <c r="G488" s="14">
        <f>'2026 Orders'!G487</f>
        <v>0</v>
      </c>
      <c r="H488" s="14" t="str">
        <f>'2026 Orders'!H487</f>
        <v/>
      </c>
      <c r="I488" s="15" t="str">
        <f>'2026 Orders'!I487</f>
        <v/>
      </c>
      <c r="J488" s="14">
        <f>'2026 Orders'!J487</f>
        <v>0</v>
      </c>
      <c r="K488">
        <v>0</v>
      </c>
      <c r="L488">
        <v>0</v>
      </c>
      <c r="N488" s="10">
        <f>'2026 Orders'!N487</f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C488" t="str">
        <f t="shared" si="14"/>
        <v/>
      </c>
      <c r="AD488" t="str">
        <f t="shared" si="15"/>
        <v/>
      </c>
    </row>
    <row r="489" spans="1:30" ht="33" hidden="1" customHeight="1" x14ac:dyDescent="0.3">
      <c r="A489">
        <v>0</v>
      </c>
      <c r="B489" s="14">
        <f>'2026 Orders'!B488</f>
        <v>0</v>
      </c>
      <c r="C489" s="14">
        <f>'2026 Orders'!C488</f>
        <v>0</v>
      </c>
      <c r="D489" s="14">
        <v>0</v>
      </c>
      <c r="E489" s="17" t="str" cm="1">
        <f t="array" ref="E489">IF(C489=0,"",
HYPERLINK(
"#'2026 Orders'!C"&amp;
MATCH(1,
('2026 Orders'!C:C=C489)*
('2026 Orders'!G:G=G489)*
('2026 Orders'!N:N=N489),
0),
"Open "&amp;C489
))</f>
        <v/>
      </c>
      <c r="F489" s="14">
        <v>0</v>
      </c>
      <c r="G489" s="14">
        <f>'2026 Orders'!G488</f>
        <v>0</v>
      </c>
      <c r="H489" s="14" t="str">
        <f>'2026 Orders'!H488</f>
        <v/>
      </c>
      <c r="I489" s="15" t="str">
        <f>'2026 Orders'!I488</f>
        <v/>
      </c>
      <c r="J489" s="14">
        <f>'2026 Orders'!J488</f>
        <v>0</v>
      </c>
      <c r="K489">
        <v>0</v>
      </c>
      <c r="L489">
        <v>0</v>
      </c>
      <c r="N489" s="10">
        <f>'2026 Orders'!N488</f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C489" t="str">
        <f t="shared" si="14"/>
        <v/>
      </c>
      <c r="AD489" t="str">
        <f t="shared" si="15"/>
        <v/>
      </c>
    </row>
    <row r="490" spans="1:30" ht="33" hidden="1" customHeight="1" x14ac:dyDescent="0.3">
      <c r="A490">
        <v>0</v>
      </c>
      <c r="B490" s="14">
        <f>'2026 Orders'!B489</f>
        <v>0</v>
      </c>
      <c r="C490" s="14">
        <f>'2026 Orders'!C489</f>
        <v>0</v>
      </c>
      <c r="D490" s="14">
        <v>0</v>
      </c>
      <c r="E490" s="17" t="str" cm="1">
        <f t="array" ref="E490">IF(C490=0,"",
HYPERLINK(
"#'2026 Orders'!C"&amp;
MATCH(1,
('2026 Orders'!C:C=C490)*
('2026 Orders'!G:G=G490)*
('2026 Orders'!N:N=N490),
0),
"Open "&amp;C490
))</f>
        <v/>
      </c>
      <c r="F490" s="14">
        <v>0</v>
      </c>
      <c r="G490" s="14">
        <f>'2026 Orders'!G489</f>
        <v>0</v>
      </c>
      <c r="H490" s="14" t="str">
        <f>'2026 Orders'!H489</f>
        <v/>
      </c>
      <c r="I490" s="15" t="str">
        <f>'2026 Orders'!I489</f>
        <v/>
      </c>
      <c r="J490" s="14">
        <f>'2026 Orders'!J489</f>
        <v>0</v>
      </c>
      <c r="K490">
        <v>0</v>
      </c>
      <c r="L490">
        <v>0</v>
      </c>
      <c r="N490" s="10">
        <f>'2026 Orders'!N489</f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C490" t="str">
        <f t="shared" si="14"/>
        <v/>
      </c>
      <c r="AD490" t="str">
        <f t="shared" si="15"/>
        <v/>
      </c>
    </row>
    <row r="491" spans="1:30" ht="33" hidden="1" customHeight="1" x14ac:dyDescent="0.3">
      <c r="A491">
        <v>0</v>
      </c>
      <c r="B491" s="14">
        <f>'2026 Orders'!B490</f>
        <v>0</v>
      </c>
      <c r="C491" s="14">
        <f>'2026 Orders'!C490</f>
        <v>0</v>
      </c>
      <c r="D491" s="14">
        <v>0</v>
      </c>
      <c r="E491" s="17" t="str" cm="1">
        <f t="array" ref="E491">IF(C491=0,"",
HYPERLINK(
"#'2026 Orders'!C"&amp;
MATCH(1,
('2026 Orders'!C:C=C491)*
('2026 Orders'!G:G=G491)*
('2026 Orders'!N:N=N491),
0),
"Open "&amp;C491
))</f>
        <v/>
      </c>
      <c r="F491" s="14">
        <v>0</v>
      </c>
      <c r="G491" s="14">
        <f>'2026 Orders'!G490</f>
        <v>0</v>
      </c>
      <c r="H491" s="14" t="str">
        <f>'2026 Orders'!H490</f>
        <v/>
      </c>
      <c r="I491" s="15" t="str">
        <f>'2026 Orders'!I490</f>
        <v/>
      </c>
      <c r="J491" s="14">
        <f>'2026 Orders'!J490</f>
        <v>0</v>
      </c>
      <c r="K491">
        <v>0</v>
      </c>
      <c r="L491">
        <v>0</v>
      </c>
      <c r="N491" s="10">
        <f>'2026 Orders'!N490</f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C491" t="str">
        <f t="shared" si="14"/>
        <v/>
      </c>
      <c r="AD491" t="str">
        <f t="shared" si="15"/>
        <v/>
      </c>
    </row>
    <row r="492" spans="1:30" ht="33" hidden="1" customHeight="1" x14ac:dyDescent="0.3">
      <c r="A492">
        <v>0</v>
      </c>
      <c r="B492" s="14">
        <f>'2026 Orders'!B491</f>
        <v>0</v>
      </c>
      <c r="C492" s="14">
        <f>'2026 Orders'!C491</f>
        <v>0</v>
      </c>
      <c r="D492" s="14">
        <v>0</v>
      </c>
      <c r="E492" s="17" t="str" cm="1">
        <f t="array" ref="E492">IF(C492=0,"",
HYPERLINK(
"#'2026 Orders'!C"&amp;
MATCH(1,
('2026 Orders'!C:C=C492)*
('2026 Orders'!G:G=G492)*
('2026 Orders'!N:N=N492),
0),
"Open "&amp;C492
))</f>
        <v/>
      </c>
      <c r="F492" s="14">
        <v>0</v>
      </c>
      <c r="G492" s="14">
        <f>'2026 Orders'!G491</f>
        <v>0</v>
      </c>
      <c r="H492" s="14" t="str">
        <f>'2026 Orders'!H491</f>
        <v/>
      </c>
      <c r="I492" s="15" t="str">
        <f>'2026 Orders'!I491</f>
        <v/>
      </c>
      <c r="J492" s="14">
        <f>'2026 Orders'!J491</f>
        <v>0</v>
      </c>
      <c r="K492">
        <v>0</v>
      </c>
      <c r="L492">
        <v>0</v>
      </c>
      <c r="N492" s="10">
        <f>'2026 Orders'!N491</f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C492" t="str">
        <f t="shared" si="14"/>
        <v/>
      </c>
      <c r="AD492" t="str">
        <f t="shared" si="15"/>
        <v/>
      </c>
    </row>
    <row r="493" spans="1:30" ht="33" hidden="1" customHeight="1" x14ac:dyDescent="0.3">
      <c r="A493">
        <v>0</v>
      </c>
      <c r="B493" s="14">
        <f>'2026 Orders'!B492</f>
        <v>0</v>
      </c>
      <c r="C493" s="14">
        <f>'2026 Orders'!C492</f>
        <v>0</v>
      </c>
      <c r="D493" s="14">
        <v>0</v>
      </c>
      <c r="E493" s="17" t="str" cm="1">
        <f t="array" ref="E493">IF(C493=0,"",
HYPERLINK(
"#'2026 Orders'!C"&amp;
MATCH(1,
('2026 Orders'!C:C=C493)*
('2026 Orders'!G:G=G493)*
('2026 Orders'!N:N=N493),
0),
"Open "&amp;C493
))</f>
        <v/>
      </c>
      <c r="F493" s="14">
        <v>0</v>
      </c>
      <c r="G493" s="14">
        <f>'2026 Orders'!G492</f>
        <v>0</v>
      </c>
      <c r="H493" s="14" t="str">
        <f>'2026 Orders'!H492</f>
        <v/>
      </c>
      <c r="I493" s="15" t="str">
        <f>'2026 Orders'!I492</f>
        <v/>
      </c>
      <c r="J493" s="14">
        <f>'2026 Orders'!J492</f>
        <v>0</v>
      </c>
      <c r="K493">
        <v>0</v>
      </c>
      <c r="L493">
        <v>0</v>
      </c>
      <c r="N493" s="10">
        <f>'2026 Orders'!N492</f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C493" t="str">
        <f t="shared" si="14"/>
        <v/>
      </c>
      <c r="AD493" t="str">
        <f t="shared" si="15"/>
        <v/>
      </c>
    </row>
    <row r="494" spans="1:30" ht="33" hidden="1" customHeight="1" x14ac:dyDescent="0.3">
      <c r="A494">
        <v>0</v>
      </c>
      <c r="B494" s="14">
        <f>'2026 Orders'!B493</f>
        <v>0</v>
      </c>
      <c r="C494" s="14">
        <f>'2026 Orders'!C493</f>
        <v>0</v>
      </c>
      <c r="D494" s="14">
        <v>0</v>
      </c>
      <c r="E494" s="17" t="str" cm="1">
        <f t="array" ref="E494">IF(C494=0,"",
HYPERLINK(
"#'2026 Orders'!C"&amp;
MATCH(1,
('2026 Orders'!C:C=C494)*
('2026 Orders'!G:G=G494)*
('2026 Orders'!N:N=N494),
0),
"Open "&amp;C494
))</f>
        <v/>
      </c>
      <c r="F494" s="14">
        <v>0</v>
      </c>
      <c r="G494" s="14">
        <f>'2026 Orders'!G493</f>
        <v>0</v>
      </c>
      <c r="H494" s="14" t="str">
        <f>'2026 Orders'!H493</f>
        <v/>
      </c>
      <c r="I494" s="15" t="str">
        <f>'2026 Orders'!I493</f>
        <v/>
      </c>
      <c r="J494" s="14">
        <f>'2026 Orders'!J493</f>
        <v>0</v>
      </c>
      <c r="K494">
        <v>0</v>
      </c>
      <c r="L494">
        <v>0</v>
      </c>
      <c r="N494" s="10">
        <f>'2026 Orders'!N493</f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C494" t="str">
        <f t="shared" si="14"/>
        <v/>
      </c>
      <c r="AD494" t="str">
        <f t="shared" si="15"/>
        <v/>
      </c>
    </row>
    <row r="495" spans="1:30" ht="33" hidden="1" customHeight="1" x14ac:dyDescent="0.3">
      <c r="A495">
        <v>0</v>
      </c>
      <c r="B495" s="14">
        <f>'2026 Orders'!B494</f>
        <v>0</v>
      </c>
      <c r="C495" s="14">
        <f>'2026 Orders'!C494</f>
        <v>0</v>
      </c>
      <c r="D495" s="14">
        <v>0</v>
      </c>
      <c r="E495" s="17" t="str" cm="1">
        <f t="array" ref="E495">IF(C495=0,"",
HYPERLINK(
"#'2026 Orders'!C"&amp;
MATCH(1,
('2026 Orders'!C:C=C495)*
('2026 Orders'!G:G=G495)*
('2026 Orders'!N:N=N495),
0),
"Open "&amp;C495
))</f>
        <v/>
      </c>
      <c r="F495" s="14">
        <v>0</v>
      </c>
      <c r="G495" s="14">
        <f>'2026 Orders'!G494</f>
        <v>0</v>
      </c>
      <c r="H495" s="14" t="str">
        <f>'2026 Orders'!H494</f>
        <v/>
      </c>
      <c r="I495" s="15" t="str">
        <f>'2026 Orders'!I494</f>
        <v/>
      </c>
      <c r="J495" s="14">
        <f>'2026 Orders'!J494</f>
        <v>0</v>
      </c>
      <c r="K495">
        <v>0</v>
      </c>
      <c r="L495">
        <v>0</v>
      </c>
      <c r="N495" s="10">
        <f>'2026 Orders'!N494</f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C495" t="str">
        <f t="shared" si="14"/>
        <v/>
      </c>
      <c r="AD495" t="str">
        <f t="shared" si="15"/>
        <v/>
      </c>
    </row>
    <row r="496" spans="1:30" ht="33" hidden="1" customHeight="1" x14ac:dyDescent="0.3">
      <c r="A496">
        <v>0</v>
      </c>
      <c r="B496" s="14">
        <f>'2026 Orders'!B495</f>
        <v>0</v>
      </c>
      <c r="C496" s="14">
        <f>'2026 Orders'!C495</f>
        <v>0</v>
      </c>
      <c r="D496" s="14">
        <v>0</v>
      </c>
      <c r="E496" s="17" t="str" cm="1">
        <f t="array" ref="E496">IF(C496=0,"",
HYPERLINK(
"#'2026 Orders'!C"&amp;
MATCH(1,
('2026 Orders'!C:C=C496)*
('2026 Orders'!G:G=G496)*
('2026 Orders'!N:N=N496),
0),
"Open "&amp;C496
))</f>
        <v/>
      </c>
      <c r="F496" s="14">
        <v>0</v>
      </c>
      <c r="G496" s="14">
        <f>'2026 Orders'!G495</f>
        <v>0</v>
      </c>
      <c r="H496" s="14" t="str">
        <f>'2026 Orders'!H495</f>
        <v/>
      </c>
      <c r="I496" s="15" t="str">
        <f>'2026 Orders'!I495</f>
        <v/>
      </c>
      <c r="J496" s="14">
        <f>'2026 Orders'!J495</f>
        <v>0</v>
      </c>
      <c r="K496">
        <v>0</v>
      </c>
      <c r="L496">
        <v>0</v>
      </c>
      <c r="N496" s="10">
        <f>'2026 Orders'!N495</f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C496" t="str">
        <f t="shared" si="14"/>
        <v/>
      </c>
      <c r="AD496" t="str">
        <f t="shared" si="15"/>
        <v/>
      </c>
    </row>
    <row r="497" spans="1:30" ht="33" hidden="1" customHeight="1" x14ac:dyDescent="0.3">
      <c r="A497">
        <v>0</v>
      </c>
      <c r="B497" s="14">
        <f>'2026 Orders'!B496</f>
        <v>0</v>
      </c>
      <c r="C497" s="14">
        <f>'2026 Orders'!C496</f>
        <v>0</v>
      </c>
      <c r="D497" s="14">
        <v>0</v>
      </c>
      <c r="E497" s="17" t="str" cm="1">
        <f t="array" ref="E497">IF(C497=0,"",
HYPERLINK(
"#'2026 Orders'!C"&amp;
MATCH(1,
('2026 Orders'!C:C=C497)*
('2026 Orders'!G:G=G497)*
('2026 Orders'!N:N=N497),
0),
"Open "&amp;C497
))</f>
        <v/>
      </c>
      <c r="F497" s="14">
        <v>0</v>
      </c>
      <c r="G497" s="14">
        <f>'2026 Orders'!G496</f>
        <v>0</v>
      </c>
      <c r="H497" s="14" t="str">
        <f>'2026 Orders'!H496</f>
        <v/>
      </c>
      <c r="I497" s="15" t="str">
        <f>'2026 Orders'!I496</f>
        <v/>
      </c>
      <c r="J497" s="14">
        <f>'2026 Orders'!J496</f>
        <v>0</v>
      </c>
      <c r="K497">
        <v>0</v>
      </c>
      <c r="L497">
        <v>0</v>
      </c>
      <c r="N497" s="10">
        <f>'2026 Orders'!N496</f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C497" t="str">
        <f t="shared" si="14"/>
        <v/>
      </c>
      <c r="AD497" t="str">
        <f t="shared" si="15"/>
        <v/>
      </c>
    </row>
    <row r="498" spans="1:30" ht="33" hidden="1" customHeight="1" x14ac:dyDescent="0.3">
      <c r="A498">
        <v>0</v>
      </c>
      <c r="B498" s="14">
        <f>'2026 Orders'!B497</f>
        <v>0</v>
      </c>
      <c r="C498" s="14">
        <f>'2026 Orders'!C497</f>
        <v>0</v>
      </c>
      <c r="D498" s="14">
        <v>0</v>
      </c>
      <c r="E498" s="17" t="str" cm="1">
        <f t="array" ref="E498">IF(C498=0,"",
HYPERLINK(
"#'2026 Orders'!C"&amp;
MATCH(1,
('2026 Orders'!C:C=C498)*
('2026 Orders'!G:G=G498)*
('2026 Orders'!N:N=N498),
0),
"Open "&amp;C498
))</f>
        <v/>
      </c>
      <c r="F498" s="14">
        <v>0</v>
      </c>
      <c r="G498" s="14">
        <f>'2026 Orders'!G497</f>
        <v>0</v>
      </c>
      <c r="H498" s="14" t="str">
        <f>'2026 Orders'!H497</f>
        <v/>
      </c>
      <c r="I498" s="15" t="str">
        <f>'2026 Orders'!I497</f>
        <v/>
      </c>
      <c r="J498" s="14">
        <f>'2026 Orders'!J497</f>
        <v>0</v>
      </c>
      <c r="K498">
        <v>0</v>
      </c>
      <c r="L498">
        <v>0</v>
      </c>
      <c r="N498" s="10">
        <f>'2026 Orders'!N497</f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C498" t="str">
        <f t="shared" si="14"/>
        <v/>
      </c>
      <c r="AD498" t="str">
        <f t="shared" si="15"/>
        <v/>
      </c>
    </row>
    <row r="499" spans="1:30" ht="33" hidden="1" customHeight="1" x14ac:dyDescent="0.3">
      <c r="A499">
        <v>0</v>
      </c>
      <c r="B499" s="14">
        <f>'2026 Orders'!B498</f>
        <v>0</v>
      </c>
      <c r="C499" s="14">
        <f>'2026 Orders'!C498</f>
        <v>0</v>
      </c>
      <c r="D499" s="14">
        <v>0</v>
      </c>
      <c r="E499" s="17" t="str" cm="1">
        <f t="array" ref="E499">IF(C499=0,"",
HYPERLINK(
"#'2026 Orders'!C"&amp;
MATCH(1,
('2026 Orders'!C:C=C499)*
('2026 Orders'!G:G=G499)*
('2026 Orders'!N:N=N499),
0),
"Open "&amp;C499
))</f>
        <v/>
      </c>
      <c r="F499" s="14">
        <v>0</v>
      </c>
      <c r="G499" s="14">
        <f>'2026 Orders'!G498</f>
        <v>0</v>
      </c>
      <c r="H499" s="14" t="str">
        <f>'2026 Orders'!H498</f>
        <v/>
      </c>
      <c r="I499" s="15" t="str">
        <f>'2026 Orders'!I498</f>
        <v/>
      </c>
      <c r="J499" s="14">
        <f>'2026 Orders'!J498</f>
        <v>0</v>
      </c>
      <c r="K499">
        <v>0</v>
      </c>
      <c r="L499">
        <v>0</v>
      </c>
      <c r="N499" s="10">
        <f>'2026 Orders'!N498</f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C499" t="str">
        <f t="shared" si="14"/>
        <v/>
      </c>
      <c r="AD499" t="str">
        <f t="shared" si="15"/>
        <v/>
      </c>
    </row>
    <row r="500" spans="1:30" ht="33" hidden="1" customHeight="1" x14ac:dyDescent="0.3">
      <c r="A500">
        <v>0</v>
      </c>
      <c r="B500" s="14">
        <f>'2026 Orders'!B499</f>
        <v>0</v>
      </c>
      <c r="C500" s="14">
        <f>'2026 Orders'!C499</f>
        <v>0</v>
      </c>
      <c r="D500" s="14">
        <v>0</v>
      </c>
      <c r="E500" s="17" t="str" cm="1">
        <f t="array" ref="E500">IF(C500=0,"",
HYPERLINK(
"#'2026 Orders'!C"&amp;
MATCH(1,
('2026 Orders'!C:C=C500)*
('2026 Orders'!G:G=G500)*
('2026 Orders'!N:N=N500),
0),
"Open "&amp;C500
))</f>
        <v/>
      </c>
      <c r="F500" s="14">
        <v>0</v>
      </c>
      <c r="G500" s="14">
        <f>'2026 Orders'!G499</f>
        <v>0</v>
      </c>
      <c r="H500" s="14" t="str">
        <f>'2026 Orders'!H499</f>
        <v/>
      </c>
      <c r="I500" s="15" t="str">
        <f>'2026 Orders'!I499</f>
        <v/>
      </c>
      <c r="J500" s="14">
        <f>'2026 Orders'!J499</f>
        <v>0</v>
      </c>
      <c r="K500">
        <v>0</v>
      </c>
      <c r="L500">
        <v>0</v>
      </c>
      <c r="N500" s="10">
        <f>'2026 Orders'!N499</f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C500" t="str">
        <f t="shared" si="14"/>
        <v/>
      </c>
      <c r="AD500" t="str">
        <f t="shared" si="15"/>
        <v/>
      </c>
    </row>
    <row r="501" spans="1:30" ht="33" hidden="1" customHeight="1" x14ac:dyDescent="0.3">
      <c r="A501">
        <v>0</v>
      </c>
      <c r="B501" s="14">
        <f>'2026 Orders'!B500</f>
        <v>0</v>
      </c>
      <c r="C501" s="14">
        <f>'2026 Orders'!C500</f>
        <v>0</v>
      </c>
      <c r="D501" s="14">
        <v>0</v>
      </c>
      <c r="E501" s="17" t="str" cm="1">
        <f t="array" ref="E501">IF(C501=0,"",
HYPERLINK(
"#'2026 Orders'!C"&amp;
MATCH(1,
('2026 Orders'!C:C=C501)*
('2026 Orders'!G:G=G501)*
('2026 Orders'!N:N=N501),
0),
"Open "&amp;C501
))</f>
        <v/>
      </c>
      <c r="F501" s="14">
        <v>0</v>
      </c>
      <c r="G501" s="14">
        <f>'2026 Orders'!G500</f>
        <v>0</v>
      </c>
      <c r="H501" s="14" t="str">
        <f>'2026 Orders'!H500</f>
        <v/>
      </c>
      <c r="I501" s="15" t="str">
        <f>'2026 Orders'!I500</f>
        <v/>
      </c>
      <c r="J501" s="14">
        <f>'2026 Orders'!J500</f>
        <v>0</v>
      </c>
      <c r="K501">
        <v>0</v>
      </c>
      <c r="L501">
        <v>0</v>
      </c>
      <c r="N501" s="10">
        <f>'2026 Orders'!N500</f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C501" t="str">
        <f t="shared" si="14"/>
        <v/>
      </c>
      <c r="AD501" t="str">
        <f t="shared" si="15"/>
        <v/>
      </c>
    </row>
    <row r="502" spans="1:30" ht="33" hidden="1" customHeight="1" x14ac:dyDescent="0.3">
      <c r="A502">
        <v>0</v>
      </c>
      <c r="B502" s="14">
        <f>'2026 Orders'!B501</f>
        <v>0</v>
      </c>
      <c r="C502" s="14">
        <f>'2026 Orders'!C501</f>
        <v>0</v>
      </c>
      <c r="D502" s="14">
        <v>0</v>
      </c>
      <c r="E502" s="17" t="str" cm="1">
        <f t="array" ref="E502">IF(C502=0,"",
HYPERLINK(
"#'2026 Orders'!C"&amp;
MATCH(1,
('2026 Orders'!C:C=C502)*
('2026 Orders'!G:G=G502)*
('2026 Orders'!N:N=N502),
0),
"Open "&amp;C502
))</f>
        <v/>
      </c>
      <c r="F502" s="14">
        <v>0</v>
      </c>
      <c r="G502" s="14">
        <f>'2026 Orders'!G501</f>
        <v>0</v>
      </c>
      <c r="H502" s="14" t="str">
        <f>'2026 Orders'!H501</f>
        <v/>
      </c>
      <c r="I502" s="15" t="str">
        <f>'2026 Orders'!I501</f>
        <v/>
      </c>
      <c r="J502" s="14">
        <f>'2026 Orders'!J501</f>
        <v>0</v>
      </c>
      <c r="K502">
        <v>0</v>
      </c>
      <c r="L502">
        <v>0</v>
      </c>
      <c r="N502" s="10">
        <f>'2026 Orders'!N501</f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C502" t="str">
        <f t="shared" si="14"/>
        <v/>
      </c>
      <c r="AD502" t="str">
        <f t="shared" si="15"/>
        <v/>
      </c>
    </row>
    <row r="503" spans="1:30" ht="33" hidden="1" customHeight="1" x14ac:dyDescent="0.3">
      <c r="A503">
        <v>0</v>
      </c>
      <c r="B503" s="14">
        <f>'2026 Orders'!B502</f>
        <v>0</v>
      </c>
      <c r="C503" s="14">
        <f>'2026 Orders'!C502</f>
        <v>0</v>
      </c>
      <c r="D503" s="14">
        <v>0</v>
      </c>
      <c r="E503" s="17" t="str" cm="1">
        <f t="array" ref="E503">IF(C503=0,"",
HYPERLINK(
"#'2026 Orders'!C"&amp;
MATCH(1,
('2026 Orders'!C:C=C503)*
('2026 Orders'!G:G=G503)*
('2026 Orders'!N:N=N503),
0),
"Open "&amp;C503
))</f>
        <v/>
      </c>
      <c r="F503" s="14">
        <v>0</v>
      </c>
      <c r="G503" s="14">
        <f>'2026 Orders'!G502</f>
        <v>0</v>
      </c>
      <c r="H503" s="14" t="str">
        <f>'2026 Orders'!H502</f>
        <v/>
      </c>
      <c r="I503" s="15" t="str">
        <f>'2026 Orders'!I502</f>
        <v/>
      </c>
      <c r="J503" s="14">
        <f>'2026 Orders'!J502</f>
        <v>0</v>
      </c>
      <c r="K503">
        <v>0</v>
      </c>
      <c r="L503">
        <v>0</v>
      </c>
      <c r="N503" s="10">
        <f>'2026 Orders'!N502</f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C503" t="str">
        <f t="shared" si="14"/>
        <v/>
      </c>
      <c r="AD503" t="str">
        <f t="shared" si="15"/>
        <v/>
      </c>
    </row>
    <row r="504" spans="1:30" ht="33" hidden="1" customHeight="1" x14ac:dyDescent="0.3">
      <c r="A504">
        <v>0</v>
      </c>
      <c r="B504" s="14">
        <f>'2026 Orders'!B503</f>
        <v>0</v>
      </c>
      <c r="C504" s="14">
        <f>'2026 Orders'!C503</f>
        <v>0</v>
      </c>
      <c r="D504" s="14">
        <v>0</v>
      </c>
      <c r="E504" s="17" t="str" cm="1">
        <f t="array" ref="E504">IF(C504=0,"",
HYPERLINK(
"#'2026 Orders'!C"&amp;
MATCH(1,
('2026 Orders'!C:C=C504)*
('2026 Orders'!G:G=G504)*
('2026 Orders'!N:N=N504),
0),
"Open "&amp;C504
))</f>
        <v/>
      </c>
      <c r="F504" s="14">
        <v>0</v>
      </c>
      <c r="G504" s="14">
        <f>'2026 Orders'!G503</f>
        <v>0</v>
      </c>
      <c r="H504" s="14" t="str">
        <f>'2026 Orders'!H503</f>
        <v/>
      </c>
      <c r="I504" s="15" t="str">
        <f>'2026 Orders'!I503</f>
        <v/>
      </c>
      <c r="J504" s="14">
        <f>'2026 Orders'!J503</f>
        <v>0</v>
      </c>
      <c r="K504">
        <v>0</v>
      </c>
      <c r="L504">
        <v>0</v>
      </c>
      <c r="N504" s="10">
        <f>'2026 Orders'!N503</f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C504" t="str">
        <f t="shared" si="14"/>
        <v/>
      </c>
      <c r="AD504" t="str">
        <f t="shared" si="15"/>
        <v/>
      </c>
    </row>
    <row r="505" spans="1:30" ht="33" hidden="1" customHeight="1" x14ac:dyDescent="0.3">
      <c r="A505">
        <v>0</v>
      </c>
      <c r="B505" s="14">
        <f>'2026 Orders'!B504</f>
        <v>0</v>
      </c>
      <c r="C505" s="14">
        <f>'2026 Orders'!C504</f>
        <v>0</v>
      </c>
      <c r="D505" s="14">
        <v>0</v>
      </c>
      <c r="E505" s="17" t="str" cm="1">
        <f t="array" ref="E505">IF(C505=0,"",
HYPERLINK(
"#'2026 Orders'!C"&amp;
MATCH(1,
('2026 Orders'!C:C=C505)*
('2026 Orders'!G:G=G505)*
('2026 Orders'!N:N=N505),
0),
"Open "&amp;C505
))</f>
        <v/>
      </c>
      <c r="F505" s="14">
        <v>0</v>
      </c>
      <c r="G505" s="14">
        <f>'2026 Orders'!G504</f>
        <v>0</v>
      </c>
      <c r="H505" s="14" t="str">
        <f>'2026 Orders'!H504</f>
        <v/>
      </c>
      <c r="I505" s="15" t="str">
        <f>'2026 Orders'!I504</f>
        <v/>
      </c>
      <c r="J505" s="14">
        <f>'2026 Orders'!J504</f>
        <v>0</v>
      </c>
      <c r="K505">
        <v>0</v>
      </c>
      <c r="L505">
        <v>0</v>
      </c>
      <c r="N505" s="10">
        <f>'2026 Orders'!N504</f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C505" t="str">
        <f t="shared" si="14"/>
        <v/>
      </c>
      <c r="AD505" t="str">
        <f t="shared" si="15"/>
        <v/>
      </c>
    </row>
    <row r="506" spans="1:30" ht="33" hidden="1" customHeight="1" x14ac:dyDescent="0.3">
      <c r="A506">
        <v>0</v>
      </c>
      <c r="B506" s="14">
        <f>'2026 Orders'!B505</f>
        <v>0</v>
      </c>
      <c r="C506" s="14">
        <f>'2026 Orders'!C505</f>
        <v>0</v>
      </c>
      <c r="D506" s="14">
        <v>0</v>
      </c>
      <c r="E506" s="17" t="str" cm="1">
        <f t="array" ref="E506">IF(C506=0,"",
HYPERLINK(
"#'2026 Orders'!C"&amp;
MATCH(1,
('2026 Orders'!C:C=C506)*
('2026 Orders'!G:G=G506)*
('2026 Orders'!N:N=N506),
0),
"Open "&amp;C506
))</f>
        <v/>
      </c>
      <c r="F506" s="14">
        <v>0</v>
      </c>
      <c r="G506" s="14">
        <f>'2026 Orders'!G505</f>
        <v>0</v>
      </c>
      <c r="H506" s="14" t="str">
        <f>'2026 Orders'!H505</f>
        <v/>
      </c>
      <c r="I506" s="15" t="str">
        <f>'2026 Orders'!I505</f>
        <v/>
      </c>
      <c r="J506" s="14">
        <f>'2026 Orders'!J505</f>
        <v>0</v>
      </c>
      <c r="K506">
        <v>0</v>
      </c>
      <c r="L506">
        <v>0</v>
      </c>
      <c r="N506" s="10">
        <f>'2026 Orders'!N505</f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C506" t="str">
        <f t="shared" si="14"/>
        <v/>
      </c>
      <c r="AD506" t="str">
        <f t="shared" si="15"/>
        <v/>
      </c>
    </row>
    <row r="507" spans="1:30" ht="33" hidden="1" customHeight="1" x14ac:dyDescent="0.3">
      <c r="A507">
        <v>0</v>
      </c>
      <c r="B507" s="14">
        <f>'2026 Orders'!B506</f>
        <v>0</v>
      </c>
      <c r="C507" s="14">
        <f>'2026 Orders'!C506</f>
        <v>0</v>
      </c>
      <c r="D507" s="14">
        <v>0</v>
      </c>
      <c r="E507" s="17" t="str" cm="1">
        <f t="array" ref="E507">IF(C507=0,"",
HYPERLINK(
"#'2026 Orders'!C"&amp;
MATCH(1,
('2026 Orders'!C:C=C507)*
('2026 Orders'!G:G=G507)*
('2026 Orders'!N:N=N507),
0),
"Open "&amp;C507
))</f>
        <v/>
      </c>
      <c r="F507" s="14">
        <v>0</v>
      </c>
      <c r="G507" s="14">
        <f>'2026 Orders'!G506</f>
        <v>0</v>
      </c>
      <c r="H507" s="14" t="str">
        <f>'2026 Orders'!H506</f>
        <v/>
      </c>
      <c r="I507" s="15" t="str">
        <f>'2026 Orders'!I506</f>
        <v/>
      </c>
      <c r="J507" s="14">
        <f>'2026 Orders'!J506</f>
        <v>0</v>
      </c>
      <c r="K507">
        <v>0</v>
      </c>
      <c r="L507">
        <v>0</v>
      </c>
      <c r="N507" s="10">
        <f>'2026 Orders'!N506</f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C507" t="str">
        <f t="shared" si="14"/>
        <v/>
      </c>
      <c r="AD507" t="str">
        <f t="shared" si="15"/>
        <v/>
      </c>
    </row>
    <row r="508" spans="1:30" ht="33" hidden="1" customHeight="1" x14ac:dyDescent="0.3">
      <c r="A508">
        <v>0</v>
      </c>
      <c r="B508" s="14">
        <f>'2026 Orders'!B507</f>
        <v>0</v>
      </c>
      <c r="C508" s="14">
        <f>'2026 Orders'!C507</f>
        <v>0</v>
      </c>
      <c r="D508" s="14">
        <v>0</v>
      </c>
      <c r="E508" s="17" t="str" cm="1">
        <f t="array" ref="E508">IF(C508=0,"",
HYPERLINK(
"#'2026 Orders'!C"&amp;
MATCH(1,
('2026 Orders'!C:C=C508)*
('2026 Orders'!G:G=G508)*
('2026 Orders'!N:N=N508),
0),
"Open "&amp;C508
))</f>
        <v/>
      </c>
      <c r="F508" s="14">
        <v>0</v>
      </c>
      <c r="G508" s="14">
        <f>'2026 Orders'!G507</f>
        <v>0</v>
      </c>
      <c r="H508" s="14" t="str">
        <f>'2026 Orders'!H507</f>
        <v/>
      </c>
      <c r="I508" s="15" t="str">
        <f>'2026 Orders'!I507</f>
        <v/>
      </c>
      <c r="J508" s="14">
        <f>'2026 Orders'!J507</f>
        <v>0</v>
      </c>
      <c r="K508">
        <v>0</v>
      </c>
      <c r="L508">
        <v>0</v>
      </c>
      <c r="N508" s="10">
        <f>'2026 Orders'!N507</f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C508" t="str">
        <f t="shared" si="14"/>
        <v/>
      </c>
      <c r="AD508" t="str">
        <f t="shared" si="15"/>
        <v/>
      </c>
    </row>
    <row r="509" spans="1:30" ht="33" hidden="1" customHeight="1" x14ac:dyDescent="0.3">
      <c r="A509">
        <v>0</v>
      </c>
      <c r="B509" s="14">
        <f>'2026 Orders'!B508</f>
        <v>0</v>
      </c>
      <c r="C509" s="14">
        <f>'2026 Orders'!C508</f>
        <v>0</v>
      </c>
      <c r="D509" s="14">
        <v>0</v>
      </c>
      <c r="E509" s="17" t="str" cm="1">
        <f t="array" ref="E509">IF(C509=0,"",
HYPERLINK(
"#'2026 Orders'!C"&amp;
MATCH(1,
('2026 Orders'!C:C=C509)*
('2026 Orders'!G:G=G509)*
('2026 Orders'!N:N=N509),
0),
"Open "&amp;C509
))</f>
        <v/>
      </c>
      <c r="F509" s="14">
        <v>0</v>
      </c>
      <c r="G509" s="14">
        <f>'2026 Orders'!G508</f>
        <v>0</v>
      </c>
      <c r="H509" s="14" t="str">
        <f>'2026 Orders'!H508</f>
        <v/>
      </c>
      <c r="I509" s="15" t="str">
        <f>'2026 Orders'!I508</f>
        <v/>
      </c>
      <c r="J509" s="14">
        <f>'2026 Orders'!J508</f>
        <v>0</v>
      </c>
      <c r="K509">
        <v>0</v>
      </c>
      <c r="L509">
        <v>0</v>
      </c>
      <c r="N509" s="10">
        <f>'2026 Orders'!N508</f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C509" t="str">
        <f t="shared" si="14"/>
        <v/>
      </c>
      <c r="AD509" t="str">
        <f t="shared" si="15"/>
        <v/>
      </c>
    </row>
    <row r="510" spans="1:30" ht="33" hidden="1" customHeight="1" x14ac:dyDescent="0.3">
      <c r="A510">
        <v>0</v>
      </c>
      <c r="B510" s="14">
        <f>'2026 Orders'!B509</f>
        <v>0</v>
      </c>
      <c r="C510" s="14">
        <f>'2026 Orders'!C509</f>
        <v>0</v>
      </c>
      <c r="D510" s="14">
        <v>0</v>
      </c>
      <c r="E510" s="17" t="str" cm="1">
        <f t="array" ref="E510">IF(C510=0,"",
HYPERLINK(
"#'2026 Orders'!C"&amp;
MATCH(1,
('2026 Orders'!C:C=C510)*
('2026 Orders'!G:G=G510)*
('2026 Orders'!N:N=N510),
0),
"Open "&amp;C510
))</f>
        <v/>
      </c>
      <c r="F510" s="14">
        <v>0</v>
      </c>
      <c r="G510" s="14">
        <f>'2026 Orders'!G509</f>
        <v>0</v>
      </c>
      <c r="H510" s="14" t="str">
        <f>'2026 Orders'!H509</f>
        <v/>
      </c>
      <c r="I510" s="15" t="str">
        <f>'2026 Orders'!I509</f>
        <v/>
      </c>
      <c r="J510" s="14">
        <f>'2026 Orders'!J509</f>
        <v>0</v>
      </c>
      <c r="K510">
        <v>0</v>
      </c>
      <c r="L510">
        <v>0</v>
      </c>
      <c r="N510" s="10">
        <f>'2026 Orders'!N509</f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C510" t="str">
        <f t="shared" si="14"/>
        <v/>
      </c>
      <c r="AD510" t="str">
        <f t="shared" si="15"/>
        <v/>
      </c>
    </row>
    <row r="511" spans="1:30" ht="33" hidden="1" customHeight="1" x14ac:dyDescent="0.3">
      <c r="A511">
        <v>0</v>
      </c>
      <c r="B511" s="14">
        <f>'2026 Orders'!B510</f>
        <v>0</v>
      </c>
      <c r="C511" s="14">
        <f>'2026 Orders'!C510</f>
        <v>0</v>
      </c>
      <c r="D511" s="14">
        <v>0</v>
      </c>
      <c r="E511" s="17" t="str" cm="1">
        <f t="array" ref="E511">IF(C511=0,"",
HYPERLINK(
"#'2026 Orders'!C"&amp;
MATCH(1,
('2026 Orders'!C:C=C511)*
('2026 Orders'!G:G=G511)*
('2026 Orders'!N:N=N511),
0),
"Open "&amp;C511
))</f>
        <v/>
      </c>
      <c r="F511" s="14">
        <v>0</v>
      </c>
      <c r="G511" s="14">
        <f>'2026 Orders'!G510</f>
        <v>0</v>
      </c>
      <c r="H511" s="14" t="str">
        <f>'2026 Orders'!H510</f>
        <v/>
      </c>
      <c r="I511" s="15" t="str">
        <f>'2026 Orders'!I510</f>
        <v/>
      </c>
      <c r="J511" s="14">
        <f>'2026 Orders'!J510</f>
        <v>0</v>
      </c>
      <c r="K511">
        <v>0</v>
      </c>
      <c r="L511">
        <v>0</v>
      </c>
      <c r="N511" s="10">
        <f>'2026 Orders'!N510</f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C511" t="str">
        <f t="shared" si="14"/>
        <v/>
      </c>
      <c r="AD511" t="str">
        <f t="shared" si="15"/>
        <v/>
      </c>
    </row>
    <row r="512" spans="1:30" ht="33" hidden="1" customHeight="1" x14ac:dyDescent="0.3">
      <c r="A512">
        <v>0</v>
      </c>
      <c r="B512" s="14">
        <f>'2026 Orders'!B511</f>
        <v>0</v>
      </c>
      <c r="C512" s="14">
        <f>'2026 Orders'!C511</f>
        <v>0</v>
      </c>
      <c r="D512" s="14">
        <v>0</v>
      </c>
      <c r="E512" s="17" t="str" cm="1">
        <f t="array" ref="E512">IF(C512=0,"",
HYPERLINK(
"#'2026 Orders'!C"&amp;
MATCH(1,
('2026 Orders'!C:C=C512)*
('2026 Orders'!G:G=G512)*
('2026 Orders'!N:N=N512),
0),
"Open "&amp;C512
))</f>
        <v/>
      </c>
      <c r="F512" s="14">
        <v>0</v>
      </c>
      <c r="G512" s="14">
        <f>'2026 Orders'!G511</f>
        <v>0</v>
      </c>
      <c r="H512" s="14" t="str">
        <f>'2026 Orders'!H511</f>
        <v/>
      </c>
      <c r="I512" s="15" t="str">
        <f>'2026 Orders'!I511</f>
        <v/>
      </c>
      <c r="J512" s="14">
        <f>'2026 Orders'!J511</f>
        <v>0</v>
      </c>
      <c r="K512">
        <v>0</v>
      </c>
      <c r="L512">
        <v>0</v>
      </c>
      <c r="N512" s="10">
        <f>'2026 Orders'!N511</f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C512" t="str">
        <f t="shared" si="14"/>
        <v/>
      </c>
      <c r="AD512" t="str">
        <f t="shared" si="15"/>
        <v/>
      </c>
    </row>
    <row r="513" spans="1:30" ht="33" hidden="1" customHeight="1" x14ac:dyDescent="0.3">
      <c r="A513">
        <v>0</v>
      </c>
      <c r="B513" s="14">
        <f>'2026 Orders'!B512</f>
        <v>0</v>
      </c>
      <c r="C513" s="14">
        <f>'2026 Orders'!C512</f>
        <v>0</v>
      </c>
      <c r="D513" s="14">
        <v>0</v>
      </c>
      <c r="E513" s="17" t="str" cm="1">
        <f t="array" ref="E513">IF(C513=0,"",
HYPERLINK(
"#'2026 Orders'!C"&amp;
MATCH(1,
('2026 Orders'!C:C=C513)*
('2026 Orders'!G:G=G513)*
('2026 Orders'!N:N=N513),
0),
"Open "&amp;C513
))</f>
        <v/>
      </c>
      <c r="F513" s="14">
        <v>0</v>
      </c>
      <c r="G513" s="14">
        <f>'2026 Orders'!G512</f>
        <v>0</v>
      </c>
      <c r="H513" s="14" t="str">
        <f>'2026 Orders'!H512</f>
        <v/>
      </c>
      <c r="I513" s="15" t="str">
        <f>'2026 Orders'!I512</f>
        <v/>
      </c>
      <c r="J513" s="14">
        <f>'2026 Orders'!J512</f>
        <v>0</v>
      </c>
      <c r="K513">
        <v>0</v>
      </c>
      <c r="L513">
        <v>0</v>
      </c>
      <c r="N513" s="10">
        <f>'2026 Orders'!N512</f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C513" t="str">
        <f t="shared" si="14"/>
        <v/>
      </c>
      <c r="AD513" t="str">
        <f t="shared" si="15"/>
        <v/>
      </c>
    </row>
    <row r="514" spans="1:30" ht="33" hidden="1" customHeight="1" x14ac:dyDescent="0.3">
      <c r="A514">
        <v>0</v>
      </c>
      <c r="B514" s="14">
        <f>'2026 Orders'!B513</f>
        <v>0</v>
      </c>
      <c r="C514" s="14">
        <f>'2026 Orders'!C513</f>
        <v>0</v>
      </c>
      <c r="D514" s="14">
        <v>0</v>
      </c>
      <c r="E514" s="17" t="str" cm="1">
        <f t="array" ref="E514">IF(C514=0,"",
HYPERLINK(
"#'2026 Orders'!C"&amp;
MATCH(1,
('2026 Orders'!C:C=C514)*
('2026 Orders'!G:G=G514)*
('2026 Orders'!N:N=N514),
0),
"Open "&amp;C514
))</f>
        <v/>
      </c>
      <c r="F514" s="14">
        <v>0</v>
      </c>
      <c r="G514" s="14">
        <f>'2026 Orders'!G513</f>
        <v>0</v>
      </c>
      <c r="H514" s="14" t="str">
        <f>'2026 Orders'!H513</f>
        <v/>
      </c>
      <c r="I514" s="15" t="str">
        <f>'2026 Orders'!I513</f>
        <v/>
      </c>
      <c r="J514" s="14">
        <f>'2026 Orders'!J513</f>
        <v>0</v>
      </c>
      <c r="K514">
        <v>0</v>
      </c>
      <c r="L514">
        <v>0</v>
      </c>
      <c r="N514" s="10">
        <f>'2026 Orders'!N513</f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C514" t="str">
        <f t="shared" si="14"/>
        <v/>
      </c>
      <c r="AD514" t="str">
        <f t="shared" si="15"/>
        <v/>
      </c>
    </row>
    <row r="515" spans="1:30" ht="33" hidden="1" customHeight="1" x14ac:dyDescent="0.3">
      <c r="A515">
        <v>0</v>
      </c>
      <c r="B515" s="14">
        <f>'2026 Orders'!B514</f>
        <v>0</v>
      </c>
      <c r="C515" s="14">
        <f>'2026 Orders'!C514</f>
        <v>0</v>
      </c>
      <c r="D515" s="14">
        <v>0</v>
      </c>
      <c r="E515" s="17" t="str" cm="1">
        <f t="array" ref="E515">IF(C515=0,"",
HYPERLINK(
"#'2026 Orders'!C"&amp;
MATCH(1,
('2026 Orders'!C:C=C515)*
('2026 Orders'!G:G=G515)*
('2026 Orders'!N:N=N515),
0),
"Open "&amp;C515
))</f>
        <v/>
      </c>
      <c r="F515" s="14">
        <v>0</v>
      </c>
      <c r="G515" s="14">
        <f>'2026 Orders'!G514</f>
        <v>0</v>
      </c>
      <c r="H515" s="14" t="str">
        <f>'2026 Orders'!H514</f>
        <v/>
      </c>
      <c r="I515" s="15" t="str">
        <f>'2026 Orders'!I514</f>
        <v/>
      </c>
      <c r="J515" s="14">
        <f>'2026 Orders'!J514</f>
        <v>0</v>
      </c>
      <c r="K515">
        <v>0</v>
      </c>
      <c r="L515">
        <v>0</v>
      </c>
      <c r="N515" s="10">
        <f>'2026 Orders'!N514</f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C515" t="str">
        <f t="shared" ref="AC515:AC578" si="16">IF(OR(B515="",B515=0),"",J515&amp;"/"&amp;$AJ$2)</f>
        <v/>
      </c>
      <c r="AD515" t="str">
        <f t="shared" ref="AD515:AD578" si="17">IF(OR(J515="",J515=0),"",I515&amp;" -&gt; "&amp;$AK$2)</f>
        <v/>
      </c>
    </row>
    <row r="516" spans="1:30" ht="33" hidden="1" customHeight="1" x14ac:dyDescent="0.3">
      <c r="A516">
        <v>0</v>
      </c>
      <c r="B516" s="14">
        <f>'2026 Orders'!B515</f>
        <v>0</v>
      </c>
      <c r="C516" s="14">
        <f>'2026 Orders'!C515</f>
        <v>0</v>
      </c>
      <c r="D516" s="14">
        <v>0</v>
      </c>
      <c r="E516" s="17" t="str" cm="1">
        <f t="array" ref="E516">IF(C516=0,"",
HYPERLINK(
"#'2026 Orders'!C"&amp;
MATCH(1,
('2026 Orders'!C:C=C516)*
('2026 Orders'!G:G=G516)*
('2026 Orders'!N:N=N516),
0),
"Open "&amp;C516
))</f>
        <v/>
      </c>
      <c r="F516" s="14">
        <v>0</v>
      </c>
      <c r="G516" s="14">
        <f>'2026 Orders'!G515</f>
        <v>0</v>
      </c>
      <c r="H516" s="14" t="str">
        <f>'2026 Orders'!H515</f>
        <v/>
      </c>
      <c r="I516" s="15" t="str">
        <f>'2026 Orders'!I515</f>
        <v/>
      </c>
      <c r="J516" s="14">
        <f>'2026 Orders'!J515</f>
        <v>0</v>
      </c>
      <c r="K516">
        <v>0</v>
      </c>
      <c r="L516">
        <v>0</v>
      </c>
      <c r="N516" s="10">
        <f>'2026 Orders'!N515</f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C516" t="str">
        <f t="shared" si="16"/>
        <v/>
      </c>
      <c r="AD516" t="str">
        <f t="shared" si="17"/>
        <v/>
      </c>
    </row>
    <row r="517" spans="1:30" ht="33" hidden="1" customHeight="1" x14ac:dyDescent="0.3">
      <c r="A517">
        <v>0</v>
      </c>
      <c r="B517" s="14">
        <f>'2026 Orders'!B516</f>
        <v>0</v>
      </c>
      <c r="C517" s="14">
        <f>'2026 Orders'!C516</f>
        <v>0</v>
      </c>
      <c r="D517" s="14">
        <v>0</v>
      </c>
      <c r="E517" s="17" t="str" cm="1">
        <f t="array" ref="E517">IF(C517=0,"",
HYPERLINK(
"#'2026 Orders'!C"&amp;
MATCH(1,
('2026 Orders'!C:C=C517)*
('2026 Orders'!G:G=G517)*
('2026 Orders'!N:N=N517),
0),
"Open "&amp;C517
))</f>
        <v/>
      </c>
      <c r="F517" s="14">
        <v>0</v>
      </c>
      <c r="G517" s="14">
        <f>'2026 Orders'!G516</f>
        <v>0</v>
      </c>
      <c r="H517" s="14" t="str">
        <f>'2026 Orders'!H516</f>
        <v/>
      </c>
      <c r="I517" s="15" t="str">
        <f>'2026 Orders'!I516</f>
        <v/>
      </c>
      <c r="J517" s="14">
        <f>'2026 Orders'!J516</f>
        <v>0</v>
      </c>
      <c r="K517">
        <v>0</v>
      </c>
      <c r="L517">
        <v>0</v>
      </c>
      <c r="N517" s="10">
        <f>'2026 Orders'!N516</f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C517" t="str">
        <f t="shared" si="16"/>
        <v/>
      </c>
      <c r="AD517" t="str">
        <f t="shared" si="17"/>
        <v/>
      </c>
    </row>
    <row r="518" spans="1:30" ht="33" hidden="1" customHeight="1" x14ac:dyDescent="0.3">
      <c r="A518">
        <v>0</v>
      </c>
      <c r="B518" s="14">
        <f>'2026 Orders'!B517</f>
        <v>0</v>
      </c>
      <c r="C518" s="14">
        <f>'2026 Orders'!C517</f>
        <v>0</v>
      </c>
      <c r="D518" s="14">
        <v>0</v>
      </c>
      <c r="E518" s="17" t="str" cm="1">
        <f t="array" ref="E518">IF(C518=0,"",
HYPERLINK(
"#'2026 Orders'!C"&amp;
MATCH(1,
('2026 Orders'!C:C=C518)*
('2026 Orders'!G:G=G518)*
('2026 Orders'!N:N=N518),
0),
"Open "&amp;C518
))</f>
        <v/>
      </c>
      <c r="F518" s="14">
        <v>0</v>
      </c>
      <c r="G518" s="14">
        <f>'2026 Orders'!G517</f>
        <v>0</v>
      </c>
      <c r="H518" s="14" t="str">
        <f>'2026 Orders'!H517</f>
        <v/>
      </c>
      <c r="I518" s="15" t="str">
        <f>'2026 Orders'!I517</f>
        <v/>
      </c>
      <c r="J518" s="14">
        <f>'2026 Orders'!J517</f>
        <v>0</v>
      </c>
      <c r="K518">
        <v>0</v>
      </c>
      <c r="L518">
        <v>0</v>
      </c>
      <c r="N518" s="10">
        <f>'2026 Orders'!N517</f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C518" t="str">
        <f t="shared" si="16"/>
        <v/>
      </c>
      <c r="AD518" t="str">
        <f t="shared" si="17"/>
        <v/>
      </c>
    </row>
    <row r="519" spans="1:30" ht="33" hidden="1" customHeight="1" x14ac:dyDescent="0.3">
      <c r="A519">
        <v>0</v>
      </c>
      <c r="B519" s="14">
        <f>'2026 Orders'!B518</f>
        <v>0</v>
      </c>
      <c r="C519" s="14">
        <f>'2026 Orders'!C518</f>
        <v>0</v>
      </c>
      <c r="D519" s="14">
        <v>0</v>
      </c>
      <c r="E519" s="17" t="str" cm="1">
        <f t="array" ref="E519">IF(C519=0,"",
HYPERLINK(
"#'2026 Orders'!C"&amp;
MATCH(1,
('2026 Orders'!C:C=C519)*
('2026 Orders'!G:G=G519)*
('2026 Orders'!N:N=N519),
0),
"Open "&amp;C519
))</f>
        <v/>
      </c>
      <c r="F519" s="14">
        <v>0</v>
      </c>
      <c r="G519" s="14">
        <f>'2026 Orders'!G518</f>
        <v>0</v>
      </c>
      <c r="H519" s="14" t="str">
        <f>'2026 Orders'!H518</f>
        <v/>
      </c>
      <c r="I519" s="15" t="str">
        <f>'2026 Orders'!I518</f>
        <v/>
      </c>
      <c r="J519" s="14">
        <f>'2026 Orders'!J518</f>
        <v>0</v>
      </c>
      <c r="K519">
        <v>0</v>
      </c>
      <c r="L519">
        <v>0</v>
      </c>
      <c r="N519" s="10">
        <f>'2026 Orders'!N518</f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C519" t="str">
        <f t="shared" si="16"/>
        <v/>
      </c>
      <c r="AD519" t="str">
        <f t="shared" si="17"/>
        <v/>
      </c>
    </row>
    <row r="520" spans="1:30" ht="33" hidden="1" customHeight="1" x14ac:dyDescent="0.3">
      <c r="A520">
        <v>0</v>
      </c>
      <c r="B520" s="14">
        <f>'2026 Orders'!B519</f>
        <v>0</v>
      </c>
      <c r="C520" s="14">
        <f>'2026 Orders'!C519</f>
        <v>0</v>
      </c>
      <c r="D520" s="14">
        <v>0</v>
      </c>
      <c r="E520" s="17" t="str" cm="1">
        <f t="array" ref="E520">IF(C520=0,"",
HYPERLINK(
"#'2026 Orders'!C"&amp;
MATCH(1,
('2026 Orders'!C:C=C520)*
('2026 Orders'!G:G=G520)*
('2026 Orders'!N:N=N520),
0),
"Open "&amp;C520
))</f>
        <v/>
      </c>
      <c r="F520" s="14">
        <v>0</v>
      </c>
      <c r="G520" s="14">
        <f>'2026 Orders'!G519</f>
        <v>0</v>
      </c>
      <c r="H520" s="14" t="str">
        <f>'2026 Orders'!H519</f>
        <v/>
      </c>
      <c r="I520" s="15" t="str">
        <f>'2026 Orders'!I519</f>
        <v/>
      </c>
      <c r="J520" s="14">
        <f>'2026 Orders'!J519</f>
        <v>0</v>
      </c>
      <c r="K520">
        <v>0</v>
      </c>
      <c r="L520">
        <v>0</v>
      </c>
      <c r="N520" s="10">
        <f>'2026 Orders'!N519</f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C520" t="str">
        <f t="shared" si="16"/>
        <v/>
      </c>
      <c r="AD520" t="str">
        <f t="shared" si="17"/>
        <v/>
      </c>
    </row>
    <row r="521" spans="1:30" ht="33" hidden="1" customHeight="1" x14ac:dyDescent="0.3">
      <c r="A521">
        <v>0</v>
      </c>
      <c r="B521" s="14">
        <f>'2026 Orders'!B520</f>
        <v>0</v>
      </c>
      <c r="C521" s="14">
        <f>'2026 Orders'!C520</f>
        <v>0</v>
      </c>
      <c r="D521" s="14">
        <v>0</v>
      </c>
      <c r="E521" s="17" t="str" cm="1">
        <f t="array" ref="E521">IF(C521=0,"",
HYPERLINK(
"#'2026 Orders'!C"&amp;
MATCH(1,
('2026 Orders'!C:C=C521)*
('2026 Orders'!G:G=G521)*
('2026 Orders'!N:N=N521),
0),
"Open "&amp;C521
))</f>
        <v/>
      </c>
      <c r="F521" s="14">
        <v>0</v>
      </c>
      <c r="G521" s="14">
        <f>'2026 Orders'!G520</f>
        <v>0</v>
      </c>
      <c r="H521" s="14" t="str">
        <f>'2026 Orders'!H520</f>
        <v/>
      </c>
      <c r="I521" s="15" t="str">
        <f>'2026 Orders'!I520</f>
        <v/>
      </c>
      <c r="J521" s="14">
        <f>'2026 Orders'!J520</f>
        <v>0</v>
      </c>
      <c r="K521">
        <v>0</v>
      </c>
      <c r="L521">
        <v>0</v>
      </c>
      <c r="N521" s="10">
        <f>'2026 Orders'!N520</f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C521" t="str">
        <f t="shared" si="16"/>
        <v/>
      </c>
      <c r="AD521" t="str">
        <f t="shared" si="17"/>
        <v/>
      </c>
    </row>
    <row r="522" spans="1:30" ht="33" hidden="1" customHeight="1" x14ac:dyDescent="0.3">
      <c r="A522">
        <v>0</v>
      </c>
      <c r="B522" s="14">
        <f>'2026 Orders'!B521</f>
        <v>0</v>
      </c>
      <c r="C522" s="14">
        <f>'2026 Orders'!C521</f>
        <v>0</v>
      </c>
      <c r="D522" s="14">
        <v>0</v>
      </c>
      <c r="E522" s="17" t="str" cm="1">
        <f t="array" ref="E522">IF(C522=0,"",
HYPERLINK(
"#'2026 Orders'!C"&amp;
MATCH(1,
('2026 Orders'!C:C=C522)*
('2026 Orders'!G:G=G522)*
('2026 Orders'!N:N=N522),
0),
"Open "&amp;C522
))</f>
        <v/>
      </c>
      <c r="F522" s="14">
        <v>0</v>
      </c>
      <c r="G522" s="14">
        <f>'2026 Orders'!G521</f>
        <v>0</v>
      </c>
      <c r="H522" s="14" t="str">
        <f>'2026 Orders'!H521</f>
        <v/>
      </c>
      <c r="I522" s="15" t="str">
        <f>'2026 Orders'!I521</f>
        <v/>
      </c>
      <c r="J522" s="14">
        <f>'2026 Orders'!J521</f>
        <v>0</v>
      </c>
      <c r="K522">
        <v>0</v>
      </c>
      <c r="L522">
        <v>0</v>
      </c>
      <c r="N522" s="10">
        <f>'2026 Orders'!N521</f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C522" t="str">
        <f t="shared" si="16"/>
        <v/>
      </c>
      <c r="AD522" t="str">
        <f t="shared" si="17"/>
        <v/>
      </c>
    </row>
    <row r="523" spans="1:30" ht="33" hidden="1" customHeight="1" x14ac:dyDescent="0.3">
      <c r="A523">
        <v>0</v>
      </c>
      <c r="B523" s="14">
        <f>'2026 Orders'!B522</f>
        <v>0</v>
      </c>
      <c r="C523" s="14">
        <f>'2026 Orders'!C522</f>
        <v>0</v>
      </c>
      <c r="D523" s="14">
        <v>0</v>
      </c>
      <c r="E523" s="17" t="str" cm="1">
        <f t="array" ref="E523">IF(C523=0,"",
HYPERLINK(
"#'2026 Orders'!C"&amp;
MATCH(1,
('2026 Orders'!C:C=C523)*
('2026 Orders'!G:G=G523)*
('2026 Orders'!N:N=N523),
0),
"Open "&amp;C523
))</f>
        <v/>
      </c>
      <c r="F523" s="14">
        <v>0</v>
      </c>
      <c r="G523" s="14">
        <f>'2026 Orders'!G522</f>
        <v>0</v>
      </c>
      <c r="H523" s="14" t="str">
        <f>'2026 Orders'!H522</f>
        <v/>
      </c>
      <c r="I523" s="15" t="str">
        <f>'2026 Orders'!I522</f>
        <v/>
      </c>
      <c r="J523" s="14">
        <f>'2026 Orders'!J522</f>
        <v>0</v>
      </c>
      <c r="K523">
        <v>0</v>
      </c>
      <c r="L523">
        <v>0</v>
      </c>
      <c r="N523" s="10">
        <f>'2026 Orders'!N522</f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C523" t="str">
        <f t="shared" si="16"/>
        <v/>
      </c>
      <c r="AD523" t="str">
        <f t="shared" si="17"/>
        <v/>
      </c>
    </row>
    <row r="524" spans="1:30" ht="33" hidden="1" customHeight="1" x14ac:dyDescent="0.3">
      <c r="A524">
        <v>0</v>
      </c>
      <c r="B524" s="14">
        <f>'2026 Orders'!B523</f>
        <v>0</v>
      </c>
      <c r="C524" s="14">
        <f>'2026 Orders'!C523</f>
        <v>0</v>
      </c>
      <c r="D524" s="14">
        <v>0</v>
      </c>
      <c r="E524" s="17" t="str" cm="1">
        <f t="array" ref="E524">IF(C524=0,"",
HYPERLINK(
"#'2026 Orders'!C"&amp;
MATCH(1,
('2026 Orders'!C:C=C524)*
('2026 Orders'!G:G=G524)*
('2026 Orders'!N:N=N524),
0),
"Open "&amp;C524
))</f>
        <v/>
      </c>
      <c r="F524" s="14">
        <v>0</v>
      </c>
      <c r="G524" s="14">
        <f>'2026 Orders'!G523</f>
        <v>0</v>
      </c>
      <c r="H524" s="14" t="str">
        <f>'2026 Orders'!H523</f>
        <v/>
      </c>
      <c r="I524" s="15" t="str">
        <f>'2026 Orders'!I523</f>
        <v/>
      </c>
      <c r="J524" s="14">
        <f>'2026 Orders'!J523</f>
        <v>0</v>
      </c>
      <c r="K524">
        <v>0</v>
      </c>
      <c r="L524">
        <v>0</v>
      </c>
      <c r="N524" s="10">
        <f>'2026 Orders'!N523</f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C524" t="str">
        <f t="shared" si="16"/>
        <v/>
      </c>
      <c r="AD524" t="str">
        <f t="shared" si="17"/>
        <v/>
      </c>
    </row>
    <row r="525" spans="1:30" ht="33" hidden="1" customHeight="1" x14ac:dyDescent="0.3">
      <c r="A525">
        <v>0</v>
      </c>
      <c r="B525" s="14">
        <f>'2026 Orders'!B524</f>
        <v>0</v>
      </c>
      <c r="C525" s="14">
        <f>'2026 Orders'!C524</f>
        <v>0</v>
      </c>
      <c r="D525" s="14">
        <v>0</v>
      </c>
      <c r="E525" s="17" t="str" cm="1">
        <f t="array" ref="E525">IF(C525=0,"",
HYPERLINK(
"#'2026 Orders'!C"&amp;
MATCH(1,
('2026 Orders'!C:C=C525)*
('2026 Orders'!G:G=G525)*
('2026 Orders'!N:N=N525),
0),
"Open "&amp;C525
))</f>
        <v/>
      </c>
      <c r="F525" s="14">
        <v>0</v>
      </c>
      <c r="G525" s="14">
        <f>'2026 Orders'!G524</f>
        <v>0</v>
      </c>
      <c r="H525" s="14" t="str">
        <f>'2026 Orders'!H524</f>
        <v/>
      </c>
      <c r="I525" s="15" t="str">
        <f>'2026 Orders'!I524</f>
        <v/>
      </c>
      <c r="J525" s="14">
        <f>'2026 Orders'!J524</f>
        <v>0</v>
      </c>
      <c r="K525">
        <v>0</v>
      </c>
      <c r="L525">
        <v>0</v>
      </c>
      <c r="N525" s="10">
        <f>'2026 Orders'!N524</f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C525" t="str">
        <f t="shared" si="16"/>
        <v/>
      </c>
      <c r="AD525" t="str">
        <f t="shared" si="17"/>
        <v/>
      </c>
    </row>
    <row r="526" spans="1:30" ht="33" hidden="1" customHeight="1" x14ac:dyDescent="0.3">
      <c r="A526">
        <v>0</v>
      </c>
      <c r="B526" s="14">
        <f>'2026 Orders'!B525</f>
        <v>0</v>
      </c>
      <c r="C526" s="14">
        <f>'2026 Orders'!C525</f>
        <v>0</v>
      </c>
      <c r="D526" s="14">
        <v>0</v>
      </c>
      <c r="E526" s="17" t="str" cm="1">
        <f t="array" ref="E526">IF(C526=0,"",
HYPERLINK(
"#'2026 Orders'!C"&amp;
MATCH(1,
('2026 Orders'!C:C=C526)*
('2026 Orders'!G:G=G526)*
('2026 Orders'!N:N=N526),
0),
"Open "&amp;C526
))</f>
        <v/>
      </c>
      <c r="F526" s="14">
        <v>0</v>
      </c>
      <c r="G526" s="14">
        <f>'2026 Orders'!G525</f>
        <v>0</v>
      </c>
      <c r="H526" s="14" t="str">
        <f>'2026 Orders'!H525</f>
        <v/>
      </c>
      <c r="I526" s="15" t="str">
        <f>'2026 Orders'!I525</f>
        <v/>
      </c>
      <c r="J526" s="14">
        <f>'2026 Orders'!J525</f>
        <v>0</v>
      </c>
      <c r="K526">
        <v>0</v>
      </c>
      <c r="L526">
        <v>0</v>
      </c>
      <c r="N526" s="10">
        <f>'2026 Orders'!N525</f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C526" t="str">
        <f t="shared" si="16"/>
        <v/>
      </c>
      <c r="AD526" t="str">
        <f t="shared" si="17"/>
        <v/>
      </c>
    </row>
    <row r="527" spans="1:30" ht="33" hidden="1" customHeight="1" x14ac:dyDescent="0.3">
      <c r="A527">
        <v>0</v>
      </c>
      <c r="B527" s="14">
        <f>'2026 Orders'!B526</f>
        <v>0</v>
      </c>
      <c r="C527" s="14">
        <f>'2026 Orders'!C526</f>
        <v>0</v>
      </c>
      <c r="D527" s="14">
        <v>0</v>
      </c>
      <c r="E527" s="17" t="str" cm="1">
        <f t="array" ref="E527">IF(C527=0,"",
HYPERLINK(
"#'2026 Orders'!C"&amp;
MATCH(1,
('2026 Orders'!C:C=C527)*
('2026 Orders'!G:G=G527)*
('2026 Orders'!N:N=N527),
0),
"Open "&amp;C527
))</f>
        <v/>
      </c>
      <c r="F527" s="14">
        <v>0</v>
      </c>
      <c r="G527" s="14">
        <f>'2026 Orders'!G526</f>
        <v>0</v>
      </c>
      <c r="H527" s="14" t="str">
        <f>'2026 Orders'!H526</f>
        <v/>
      </c>
      <c r="I527" s="15" t="str">
        <f>'2026 Orders'!I526</f>
        <v/>
      </c>
      <c r="J527" s="14">
        <f>'2026 Orders'!J526</f>
        <v>0</v>
      </c>
      <c r="K527">
        <v>0</v>
      </c>
      <c r="L527">
        <v>0</v>
      </c>
      <c r="N527" s="10">
        <f>'2026 Orders'!N526</f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C527" t="str">
        <f t="shared" si="16"/>
        <v/>
      </c>
      <c r="AD527" t="str">
        <f t="shared" si="17"/>
        <v/>
      </c>
    </row>
    <row r="528" spans="1:30" ht="33" hidden="1" customHeight="1" x14ac:dyDescent="0.3">
      <c r="A528">
        <v>0</v>
      </c>
      <c r="B528" s="14">
        <f>'2026 Orders'!B527</f>
        <v>0</v>
      </c>
      <c r="C528" s="14">
        <f>'2026 Orders'!C527</f>
        <v>0</v>
      </c>
      <c r="D528" s="14">
        <v>0</v>
      </c>
      <c r="E528" s="17" t="str" cm="1">
        <f t="array" ref="E528">IF(C528=0,"",
HYPERLINK(
"#'2026 Orders'!C"&amp;
MATCH(1,
('2026 Orders'!C:C=C528)*
('2026 Orders'!G:G=G528)*
('2026 Orders'!N:N=N528),
0),
"Open "&amp;C528
))</f>
        <v/>
      </c>
      <c r="F528" s="14">
        <v>0</v>
      </c>
      <c r="G528" s="14">
        <f>'2026 Orders'!G527</f>
        <v>0</v>
      </c>
      <c r="H528" s="14" t="str">
        <f>'2026 Orders'!H527</f>
        <v/>
      </c>
      <c r="I528" s="15" t="str">
        <f>'2026 Orders'!I527</f>
        <v/>
      </c>
      <c r="J528" s="14">
        <f>'2026 Orders'!J527</f>
        <v>0</v>
      </c>
      <c r="K528">
        <v>0</v>
      </c>
      <c r="L528">
        <v>0</v>
      </c>
      <c r="N528" s="10">
        <f>'2026 Orders'!N527</f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C528" t="str">
        <f t="shared" si="16"/>
        <v/>
      </c>
      <c r="AD528" t="str">
        <f t="shared" si="17"/>
        <v/>
      </c>
    </row>
    <row r="529" spans="1:30" ht="33" hidden="1" customHeight="1" x14ac:dyDescent="0.3">
      <c r="A529">
        <v>0</v>
      </c>
      <c r="B529" s="14">
        <f>'2026 Orders'!B528</f>
        <v>0</v>
      </c>
      <c r="C529" s="14">
        <f>'2026 Orders'!C528</f>
        <v>0</v>
      </c>
      <c r="D529" s="14">
        <v>0</v>
      </c>
      <c r="E529" s="17" t="str" cm="1">
        <f t="array" ref="E529">IF(C529=0,"",
HYPERLINK(
"#'2026 Orders'!C"&amp;
MATCH(1,
('2026 Orders'!C:C=C529)*
('2026 Orders'!G:G=G529)*
('2026 Orders'!N:N=N529),
0),
"Open "&amp;C529
))</f>
        <v/>
      </c>
      <c r="F529" s="14">
        <v>0</v>
      </c>
      <c r="G529" s="14">
        <f>'2026 Orders'!G528</f>
        <v>0</v>
      </c>
      <c r="H529" s="14" t="str">
        <f>'2026 Orders'!H528</f>
        <v/>
      </c>
      <c r="I529" s="15" t="str">
        <f>'2026 Orders'!I528</f>
        <v/>
      </c>
      <c r="J529" s="14">
        <f>'2026 Orders'!J528</f>
        <v>0</v>
      </c>
      <c r="K529">
        <v>0</v>
      </c>
      <c r="L529">
        <v>0</v>
      </c>
      <c r="N529" s="10">
        <f>'2026 Orders'!N528</f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C529" t="str">
        <f t="shared" si="16"/>
        <v/>
      </c>
      <c r="AD529" t="str">
        <f t="shared" si="17"/>
        <v/>
      </c>
    </row>
    <row r="530" spans="1:30" ht="33" hidden="1" customHeight="1" x14ac:dyDescent="0.3">
      <c r="A530">
        <v>0</v>
      </c>
      <c r="B530" s="14">
        <f>'2026 Orders'!B529</f>
        <v>0</v>
      </c>
      <c r="C530" s="14">
        <f>'2026 Orders'!C529</f>
        <v>0</v>
      </c>
      <c r="D530" s="14">
        <v>0</v>
      </c>
      <c r="E530" s="17" t="str" cm="1">
        <f t="array" ref="E530">IF(C530=0,"",
HYPERLINK(
"#'2026 Orders'!C"&amp;
MATCH(1,
('2026 Orders'!C:C=C530)*
('2026 Orders'!G:G=G530)*
('2026 Orders'!N:N=N530),
0),
"Open "&amp;C530
))</f>
        <v/>
      </c>
      <c r="F530" s="14">
        <v>0</v>
      </c>
      <c r="G530" s="14">
        <f>'2026 Orders'!G529</f>
        <v>0</v>
      </c>
      <c r="H530" s="14" t="str">
        <f>'2026 Orders'!H529</f>
        <v/>
      </c>
      <c r="I530" s="15" t="str">
        <f>'2026 Orders'!I529</f>
        <v/>
      </c>
      <c r="J530" s="14">
        <f>'2026 Orders'!J529</f>
        <v>0</v>
      </c>
      <c r="K530">
        <v>0</v>
      </c>
      <c r="L530">
        <v>0</v>
      </c>
      <c r="N530" s="10">
        <f>'2026 Orders'!N529</f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C530" t="str">
        <f t="shared" si="16"/>
        <v/>
      </c>
      <c r="AD530" t="str">
        <f t="shared" si="17"/>
        <v/>
      </c>
    </row>
    <row r="531" spans="1:30" ht="33" hidden="1" customHeight="1" x14ac:dyDescent="0.3">
      <c r="A531">
        <v>0</v>
      </c>
      <c r="B531" s="14">
        <f>'2026 Orders'!B530</f>
        <v>0</v>
      </c>
      <c r="C531" s="14">
        <f>'2026 Orders'!C530</f>
        <v>0</v>
      </c>
      <c r="D531" s="14">
        <v>0</v>
      </c>
      <c r="E531" s="17" t="str" cm="1">
        <f t="array" ref="E531">IF(C531=0,"",
HYPERLINK(
"#'2026 Orders'!C"&amp;
MATCH(1,
('2026 Orders'!C:C=C531)*
('2026 Orders'!G:G=G531)*
('2026 Orders'!N:N=N531),
0),
"Open "&amp;C531
))</f>
        <v/>
      </c>
      <c r="F531" s="14">
        <v>0</v>
      </c>
      <c r="G531" s="14">
        <f>'2026 Orders'!G530</f>
        <v>0</v>
      </c>
      <c r="H531" s="14" t="str">
        <f>'2026 Orders'!H530</f>
        <v/>
      </c>
      <c r="I531" s="15" t="str">
        <f>'2026 Orders'!I530</f>
        <v/>
      </c>
      <c r="J531" s="14">
        <f>'2026 Orders'!J530</f>
        <v>0</v>
      </c>
      <c r="K531">
        <v>0</v>
      </c>
      <c r="L531">
        <v>0</v>
      </c>
      <c r="N531" s="10">
        <f>'2026 Orders'!N530</f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C531" t="str">
        <f t="shared" si="16"/>
        <v/>
      </c>
      <c r="AD531" t="str">
        <f t="shared" si="17"/>
        <v/>
      </c>
    </row>
    <row r="532" spans="1:30" ht="33" hidden="1" customHeight="1" x14ac:dyDescent="0.3">
      <c r="A532">
        <v>0</v>
      </c>
      <c r="B532" s="14">
        <f>'2026 Orders'!B531</f>
        <v>0</v>
      </c>
      <c r="C532" s="14">
        <f>'2026 Orders'!C531</f>
        <v>0</v>
      </c>
      <c r="D532" s="14">
        <v>0</v>
      </c>
      <c r="E532" s="17" t="str" cm="1">
        <f t="array" ref="E532">IF(C532=0,"",
HYPERLINK(
"#'2026 Orders'!C"&amp;
MATCH(1,
('2026 Orders'!C:C=C532)*
('2026 Orders'!G:G=G532)*
('2026 Orders'!N:N=N532),
0),
"Open "&amp;C532
))</f>
        <v/>
      </c>
      <c r="F532" s="14">
        <v>0</v>
      </c>
      <c r="G532" s="14">
        <f>'2026 Orders'!G531</f>
        <v>0</v>
      </c>
      <c r="H532" s="14" t="str">
        <f>'2026 Orders'!H531</f>
        <v/>
      </c>
      <c r="I532" s="15" t="str">
        <f>'2026 Orders'!I531</f>
        <v/>
      </c>
      <c r="J532" s="14">
        <f>'2026 Orders'!J531</f>
        <v>0</v>
      </c>
      <c r="K532">
        <v>0</v>
      </c>
      <c r="L532">
        <v>0</v>
      </c>
      <c r="N532" s="10">
        <f>'2026 Orders'!N531</f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C532" t="str">
        <f t="shared" si="16"/>
        <v/>
      </c>
      <c r="AD532" t="str">
        <f t="shared" si="17"/>
        <v/>
      </c>
    </row>
    <row r="533" spans="1:30" ht="33" hidden="1" customHeight="1" x14ac:dyDescent="0.3">
      <c r="A533">
        <v>0</v>
      </c>
      <c r="B533" s="14">
        <f>'2026 Orders'!B532</f>
        <v>0</v>
      </c>
      <c r="C533" s="14">
        <f>'2026 Orders'!C532</f>
        <v>0</v>
      </c>
      <c r="D533" s="14">
        <v>0</v>
      </c>
      <c r="E533" s="17" t="str" cm="1">
        <f t="array" ref="E533">IF(C533=0,"",
HYPERLINK(
"#'2026 Orders'!C"&amp;
MATCH(1,
('2026 Orders'!C:C=C533)*
('2026 Orders'!G:G=G533)*
('2026 Orders'!N:N=N533),
0),
"Open "&amp;C533
))</f>
        <v/>
      </c>
      <c r="F533" s="14">
        <v>0</v>
      </c>
      <c r="G533" s="14">
        <f>'2026 Orders'!G532</f>
        <v>0</v>
      </c>
      <c r="H533" s="14" t="str">
        <f>'2026 Orders'!H532</f>
        <v/>
      </c>
      <c r="I533" s="15" t="str">
        <f>'2026 Orders'!I532</f>
        <v/>
      </c>
      <c r="J533" s="14">
        <f>'2026 Orders'!J532</f>
        <v>0</v>
      </c>
      <c r="K533">
        <v>0</v>
      </c>
      <c r="L533">
        <v>0</v>
      </c>
      <c r="N533" s="10">
        <f>'2026 Orders'!N532</f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C533" t="str">
        <f t="shared" si="16"/>
        <v/>
      </c>
      <c r="AD533" t="str">
        <f t="shared" si="17"/>
        <v/>
      </c>
    </row>
    <row r="534" spans="1:30" ht="33" hidden="1" customHeight="1" x14ac:dyDescent="0.3">
      <c r="A534">
        <v>0</v>
      </c>
      <c r="B534" s="14">
        <f>'2026 Orders'!B533</f>
        <v>0</v>
      </c>
      <c r="C534" s="14">
        <f>'2026 Orders'!C533</f>
        <v>0</v>
      </c>
      <c r="D534" s="14">
        <v>0</v>
      </c>
      <c r="E534" s="17" t="str" cm="1">
        <f t="array" ref="E534">IF(C534=0,"",
HYPERLINK(
"#'2026 Orders'!C"&amp;
MATCH(1,
('2026 Orders'!C:C=C534)*
('2026 Orders'!G:G=G534)*
('2026 Orders'!N:N=N534),
0),
"Open "&amp;C534
))</f>
        <v/>
      </c>
      <c r="F534" s="14">
        <v>0</v>
      </c>
      <c r="G534" s="14">
        <f>'2026 Orders'!G533</f>
        <v>0</v>
      </c>
      <c r="H534" s="14" t="str">
        <f>'2026 Orders'!H533</f>
        <v/>
      </c>
      <c r="I534" s="15" t="str">
        <f>'2026 Orders'!I533</f>
        <v/>
      </c>
      <c r="J534" s="14">
        <f>'2026 Orders'!J533</f>
        <v>0</v>
      </c>
      <c r="K534">
        <v>0</v>
      </c>
      <c r="L534">
        <v>0</v>
      </c>
      <c r="N534" s="10">
        <f>'2026 Orders'!N533</f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C534" t="str">
        <f t="shared" si="16"/>
        <v/>
      </c>
      <c r="AD534" t="str">
        <f t="shared" si="17"/>
        <v/>
      </c>
    </row>
    <row r="535" spans="1:30" ht="33" hidden="1" customHeight="1" x14ac:dyDescent="0.3">
      <c r="A535">
        <v>0</v>
      </c>
      <c r="B535" s="14">
        <f>'2026 Orders'!B534</f>
        <v>0</v>
      </c>
      <c r="C535" s="14">
        <f>'2026 Orders'!C534</f>
        <v>0</v>
      </c>
      <c r="D535" s="14">
        <v>0</v>
      </c>
      <c r="E535" s="17" t="str" cm="1">
        <f t="array" ref="E535">IF(C535=0,"",
HYPERLINK(
"#'2026 Orders'!C"&amp;
MATCH(1,
('2026 Orders'!C:C=C535)*
('2026 Orders'!G:G=G535)*
('2026 Orders'!N:N=N535),
0),
"Open "&amp;C535
))</f>
        <v/>
      </c>
      <c r="F535" s="14">
        <v>0</v>
      </c>
      <c r="G535" s="14">
        <f>'2026 Orders'!G534</f>
        <v>0</v>
      </c>
      <c r="H535" s="14" t="str">
        <f>'2026 Orders'!H534</f>
        <v/>
      </c>
      <c r="I535" s="15" t="str">
        <f>'2026 Orders'!I534</f>
        <v/>
      </c>
      <c r="J535" s="14">
        <f>'2026 Orders'!J534</f>
        <v>0</v>
      </c>
      <c r="K535">
        <v>0</v>
      </c>
      <c r="L535">
        <v>0</v>
      </c>
      <c r="N535" s="10">
        <f>'2026 Orders'!N534</f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C535" t="str">
        <f t="shared" si="16"/>
        <v/>
      </c>
      <c r="AD535" t="str">
        <f t="shared" si="17"/>
        <v/>
      </c>
    </row>
    <row r="536" spans="1:30" ht="33" hidden="1" customHeight="1" x14ac:dyDescent="0.3">
      <c r="A536">
        <v>0</v>
      </c>
      <c r="B536" s="14">
        <f>'2026 Orders'!B535</f>
        <v>0</v>
      </c>
      <c r="C536" s="14">
        <f>'2026 Orders'!C535</f>
        <v>0</v>
      </c>
      <c r="D536" s="14">
        <v>0</v>
      </c>
      <c r="E536" s="17" t="str" cm="1">
        <f t="array" ref="E536">IF(C536=0,"",
HYPERLINK(
"#'2026 Orders'!C"&amp;
MATCH(1,
('2026 Orders'!C:C=C536)*
('2026 Orders'!G:G=G536)*
('2026 Orders'!N:N=N536),
0),
"Open "&amp;C536
))</f>
        <v/>
      </c>
      <c r="F536" s="14">
        <v>0</v>
      </c>
      <c r="G536" s="14">
        <f>'2026 Orders'!G535</f>
        <v>0</v>
      </c>
      <c r="H536" s="14" t="str">
        <f>'2026 Orders'!H535</f>
        <v/>
      </c>
      <c r="I536" s="15" t="str">
        <f>'2026 Orders'!I535</f>
        <v/>
      </c>
      <c r="J536" s="14">
        <f>'2026 Orders'!J535</f>
        <v>0</v>
      </c>
      <c r="K536">
        <v>0</v>
      </c>
      <c r="L536">
        <v>0</v>
      </c>
      <c r="N536" s="10">
        <f>'2026 Orders'!N535</f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C536" t="str">
        <f t="shared" si="16"/>
        <v/>
      </c>
      <c r="AD536" t="str">
        <f t="shared" si="17"/>
        <v/>
      </c>
    </row>
    <row r="537" spans="1:30" ht="33" hidden="1" customHeight="1" x14ac:dyDescent="0.3">
      <c r="A537">
        <v>0</v>
      </c>
      <c r="B537" s="14">
        <f>'2026 Orders'!B536</f>
        <v>0</v>
      </c>
      <c r="C537" s="14">
        <f>'2026 Orders'!C536</f>
        <v>0</v>
      </c>
      <c r="D537" s="14">
        <v>0</v>
      </c>
      <c r="E537" s="17" t="str" cm="1">
        <f t="array" ref="E537">IF(C537=0,"",
HYPERLINK(
"#'2026 Orders'!C"&amp;
MATCH(1,
('2026 Orders'!C:C=C537)*
('2026 Orders'!G:G=G537)*
('2026 Orders'!N:N=N537),
0),
"Open "&amp;C537
))</f>
        <v/>
      </c>
      <c r="F537" s="14">
        <v>0</v>
      </c>
      <c r="G537" s="14">
        <f>'2026 Orders'!G536</f>
        <v>0</v>
      </c>
      <c r="H537" s="14" t="str">
        <f>'2026 Orders'!H536</f>
        <v/>
      </c>
      <c r="I537" s="15" t="str">
        <f>'2026 Orders'!I536</f>
        <v/>
      </c>
      <c r="J537" s="14">
        <f>'2026 Orders'!J536</f>
        <v>0</v>
      </c>
      <c r="K537">
        <v>0</v>
      </c>
      <c r="L537">
        <v>0</v>
      </c>
      <c r="N537" s="10">
        <f>'2026 Orders'!N536</f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C537" t="str">
        <f t="shared" si="16"/>
        <v/>
      </c>
      <c r="AD537" t="str">
        <f t="shared" si="17"/>
        <v/>
      </c>
    </row>
    <row r="538" spans="1:30" ht="33" hidden="1" customHeight="1" x14ac:dyDescent="0.3">
      <c r="A538">
        <v>0</v>
      </c>
      <c r="B538" s="14">
        <f>'2026 Orders'!B537</f>
        <v>0</v>
      </c>
      <c r="C538" s="14">
        <f>'2026 Orders'!C537</f>
        <v>0</v>
      </c>
      <c r="D538" s="14">
        <v>0</v>
      </c>
      <c r="E538" s="17" t="str" cm="1">
        <f t="array" ref="E538">IF(C538=0,"",
HYPERLINK(
"#'2026 Orders'!C"&amp;
MATCH(1,
('2026 Orders'!C:C=C538)*
('2026 Orders'!G:G=G538)*
('2026 Orders'!N:N=N538),
0),
"Open "&amp;C538
))</f>
        <v/>
      </c>
      <c r="F538" s="14">
        <v>0</v>
      </c>
      <c r="G538" s="14">
        <f>'2026 Orders'!G537</f>
        <v>0</v>
      </c>
      <c r="H538" s="14" t="str">
        <f>'2026 Orders'!H537</f>
        <v/>
      </c>
      <c r="I538" s="15" t="str">
        <f>'2026 Orders'!I537</f>
        <v/>
      </c>
      <c r="J538" s="14">
        <f>'2026 Orders'!J537</f>
        <v>0</v>
      </c>
      <c r="K538">
        <v>0</v>
      </c>
      <c r="L538">
        <v>0</v>
      </c>
      <c r="N538" s="10">
        <f>'2026 Orders'!N537</f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C538" t="str">
        <f t="shared" si="16"/>
        <v/>
      </c>
      <c r="AD538" t="str">
        <f t="shared" si="17"/>
        <v/>
      </c>
    </row>
    <row r="539" spans="1:30" ht="33" hidden="1" customHeight="1" x14ac:dyDescent="0.3">
      <c r="A539">
        <v>0</v>
      </c>
      <c r="B539" s="14">
        <f>'2026 Orders'!B538</f>
        <v>0</v>
      </c>
      <c r="C539" s="14">
        <f>'2026 Orders'!C538</f>
        <v>0</v>
      </c>
      <c r="D539" s="14">
        <v>0</v>
      </c>
      <c r="E539" s="17" t="str" cm="1">
        <f t="array" ref="E539">IF(C539=0,"",
HYPERLINK(
"#'2026 Orders'!C"&amp;
MATCH(1,
('2026 Orders'!C:C=C539)*
('2026 Orders'!G:G=G539)*
('2026 Orders'!N:N=N539),
0),
"Open "&amp;C539
))</f>
        <v/>
      </c>
      <c r="F539" s="14">
        <v>0</v>
      </c>
      <c r="G539" s="14">
        <f>'2026 Orders'!G538</f>
        <v>0</v>
      </c>
      <c r="H539" s="14" t="str">
        <f>'2026 Orders'!H538</f>
        <v/>
      </c>
      <c r="I539" s="15" t="str">
        <f>'2026 Orders'!I538</f>
        <v/>
      </c>
      <c r="J539" s="14">
        <f>'2026 Orders'!J538</f>
        <v>0</v>
      </c>
      <c r="K539">
        <v>0</v>
      </c>
      <c r="L539">
        <v>0</v>
      </c>
      <c r="N539" s="10">
        <f>'2026 Orders'!N538</f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C539" t="str">
        <f t="shared" si="16"/>
        <v/>
      </c>
      <c r="AD539" t="str">
        <f t="shared" si="17"/>
        <v/>
      </c>
    </row>
    <row r="540" spans="1:30" ht="33" hidden="1" customHeight="1" x14ac:dyDescent="0.3">
      <c r="A540">
        <v>0</v>
      </c>
      <c r="B540" s="14">
        <f>'2026 Orders'!B539</f>
        <v>0</v>
      </c>
      <c r="C540" s="14">
        <f>'2026 Orders'!C539</f>
        <v>0</v>
      </c>
      <c r="D540" s="14">
        <v>0</v>
      </c>
      <c r="E540" s="17" t="str" cm="1">
        <f t="array" ref="E540">IF(C540=0,"",
HYPERLINK(
"#'2026 Orders'!C"&amp;
MATCH(1,
('2026 Orders'!C:C=C540)*
('2026 Orders'!G:G=G540)*
('2026 Orders'!N:N=N540),
0),
"Open "&amp;C540
))</f>
        <v/>
      </c>
      <c r="F540" s="14">
        <v>0</v>
      </c>
      <c r="G540" s="14">
        <f>'2026 Orders'!G539</f>
        <v>0</v>
      </c>
      <c r="H540" s="14" t="str">
        <f>'2026 Orders'!H539</f>
        <v/>
      </c>
      <c r="I540" s="15" t="str">
        <f>'2026 Orders'!I539</f>
        <v/>
      </c>
      <c r="J540" s="14">
        <f>'2026 Orders'!J539</f>
        <v>0</v>
      </c>
      <c r="K540">
        <v>0</v>
      </c>
      <c r="L540">
        <v>0</v>
      </c>
      <c r="N540" s="10">
        <f>'2026 Orders'!N539</f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C540" t="str">
        <f t="shared" si="16"/>
        <v/>
      </c>
      <c r="AD540" t="str">
        <f t="shared" si="17"/>
        <v/>
      </c>
    </row>
    <row r="541" spans="1:30" ht="33" hidden="1" customHeight="1" x14ac:dyDescent="0.3">
      <c r="A541">
        <v>0</v>
      </c>
      <c r="B541" s="14">
        <f>'2026 Orders'!B540</f>
        <v>0</v>
      </c>
      <c r="C541" s="14">
        <f>'2026 Orders'!C540</f>
        <v>0</v>
      </c>
      <c r="D541" s="14">
        <v>0</v>
      </c>
      <c r="E541" s="17" t="str" cm="1">
        <f t="array" ref="E541">IF(C541=0,"",
HYPERLINK(
"#'2026 Orders'!C"&amp;
MATCH(1,
('2026 Orders'!C:C=C541)*
('2026 Orders'!G:G=G541)*
('2026 Orders'!N:N=N541),
0),
"Open "&amp;C541
))</f>
        <v/>
      </c>
      <c r="F541" s="14">
        <v>0</v>
      </c>
      <c r="G541" s="14">
        <f>'2026 Orders'!G540</f>
        <v>0</v>
      </c>
      <c r="H541" s="14" t="str">
        <f>'2026 Orders'!H540</f>
        <v/>
      </c>
      <c r="I541" s="15" t="str">
        <f>'2026 Orders'!I540</f>
        <v/>
      </c>
      <c r="J541" s="14">
        <f>'2026 Orders'!J540</f>
        <v>0</v>
      </c>
      <c r="K541">
        <v>0</v>
      </c>
      <c r="L541">
        <v>0</v>
      </c>
      <c r="N541" s="10">
        <f>'2026 Orders'!N540</f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C541" t="str">
        <f t="shared" si="16"/>
        <v/>
      </c>
      <c r="AD541" t="str">
        <f t="shared" si="17"/>
        <v/>
      </c>
    </row>
    <row r="542" spans="1:30" ht="33" hidden="1" customHeight="1" x14ac:dyDescent="0.3">
      <c r="A542">
        <v>0</v>
      </c>
      <c r="B542" s="14">
        <f>'2026 Orders'!B541</f>
        <v>0</v>
      </c>
      <c r="C542" s="14">
        <f>'2026 Orders'!C541</f>
        <v>0</v>
      </c>
      <c r="D542" s="14">
        <v>0</v>
      </c>
      <c r="E542" s="17" t="str" cm="1">
        <f t="array" ref="E542">IF(C542=0,"",
HYPERLINK(
"#'2026 Orders'!C"&amp;
MATCH(1,
('2026 Orders'!C:C=C542)*
('2026 Orders'!G:G=G542)*
('2026 Orders'!N:N=N542),
0),
"Open "&amp;C542
))</f>
        <v/>
      </c>
      <c r="F542" s="14">
        <v>0</v>
      </c>
      <c r="G542" s="14">
        <f>'2026 Orders'!G541</f>
        <v>0</v>
      </c>
      <c r="H542" s="14" t="str">
        <f>'2026 Orders'!H541</f>
        <v/>
      </c>
      <c r="I542" s="15" t="str">
        <f>'2026 Orders'!I541</f>
        <v/>
      </c>
      <c r="J542" s="14">
        <f>'2026 Orders'!J541</f>
        <v>0</v>
      </c>
      <c r="K542">
        <v>0</v>
      </c>
      <c r="L542">
        <v>0</v>
      </c>
      <c r="N542" s="10">
        <f>'2026 Orders'!N541</f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C542" t="str">
        <f t="shared" si="16"/>
        <v/>
      </c>
      <c r="AD542" t="str">
        <f t="shared" si="17"/>
        <v/>
      </c>
    </row>
    <row r="543" spans="1:30" ht="33" hidden="1" customHeight="1" x14ac:dyDescent="0.3">
      <c r="A543">
        <v>0</v>
      </c>
      <c r="B543" s="14">
        <f>'2026 Orders'!B542</f>
        <v>0</v>
      </c>
      <c r="C543" s="14">
        <f>'2026 Orders'!C542</f>
        <v>0</v>
      </c>
      <c r="D543" s="14">
        <v>0</v>
      </c>
      <c r="E543" s="17" t="str" cm="1">
        <f t="array" ref="E543">IF(C543=0,"",
HYPERLINK(
"#'2026 Orders'!C"&amp;
MATCH(1,
('2026 Orders'!C:C=C543)*
('2026 Orders'!G:G=G543)*
('2026 Orders'!N:N=N543),
0),
"Open "&amp;C543
))</f>
        <v/>
      </c>
      <c r="F543" s="14">
        <v>0</v>
      </c>
      <c r="G543" s="14">
        <f>'2026 Orders'!G542</f>
        <v>0</v>
      </c>
      <c r="H543" s="14" t="str">
        <f>'2026 Orders'!H542</f>
        <v/>
      </c>
      <c r="I543" s="15" t="str">
        <f>'2026 Orders'!I542</f>
        <v/>
      </c>
      <c r="J543" s="14">
        <f>'2026 Orders'!J542</f>
        <v>0</v>
      </c>
      <c r="K543">
        <v>0</v>
      </c>
      <c r="L543">
        <v>0</v>
      </c>
      <c r="N543" s="10">
        <f>'2026 Orders'!N542</f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C543" t="str">
        <f t="shared" si="16"/>
        <v/>
      </c>
      <c r="AD543" t="str">
        <f t="shared" si="17"/>
        <v/>
      </c>
    </row>
    <row r="544" spans="1:30" ht="33" hidden="1" customHeight="1" x14ac:dyDescent="0.3">
      <c r="A544">
        <v>0</v>
      </c>
      <c r="B544" s="14">
        <f>'2026 Orders'!B543</f>
        <v>0</v>
      </c>
      <c r="C544" s="14">
        <f>'2026 Orders'!C543</f>
        <v>0</v>
      </c>
      <c r="D544" s="14">
        <v>0</v>
      </c>
      <c r="E544" s="17" t="str" cm="1">
        <f t="array" ref="E544">IF(C544=0,"",
HYPERLINK(
"#'2026 Orders'!C"&amp;
MATCH(1,
('2026 Orders'!C:C=C544)*
('2026 Orders'!G:G=G544)*
('2026 Orders'!N:N=N544),
0),
"Open "&amp;C544
))</f>
        <v/>
      </c>
      <c r="F544" s="14">
        <v>0</v>
      </c>
      <c r="G544" s="14">
        <f>'2026 Orders'!G543</f>
        <v>0</v>
      </c>
      <c r="H544" s="14" t="str">
        <f>'2026 Orders'!H543</f>
        <v/>
      </c>
      <c r="I544" s="15" t="str">
        <f>'2026 Orders'!I543</f>
        <v/>
      </c>
      <c r="J544" s="14">
        <f>'2026 Orders'!J543</f>
        <v>0</v>
      </c>
      <c r="K544">
        <v>0</v>
      </c>
      <c r="L544">
        <v>0</v>
      </c>
      <c r="N544" s="10">
        <f>'2026 Orders'!N543</f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C544" t="str">
        <f t="shared" si="16"/>
        <v/>
      </c>
      <c r="AD544" t="str">
        <f t="shared" si="17"/>
        <v/>
      </c>
    </row>
    <row r="545" spans="1:30" ht="33" hidden="1" customHeight="1" x14ac:dyDescent="0.3">
      <c r="A545">
        <v>0</v>
      </c>
      <c r="B545" s="14">
        <f>'2026 Orders'!B544</f>
        <v>0</v>
      </c>
      <c r="C545" s="14">
        <f>'2026 Orders'!C544</f>
        <v>0</v>
      </c>
      <c r="D545" s="14">
        <v>0</v>
      </c>
      <c r="E545" s="17" t="str" cm="1">
        <f t="array" ref="E545">IF(C545=0,"",
HYPERLINK(
"#'2026 Orders'!C"&amp;
MATCH(1,
('2026 Orders'!C:C=C545)*
('2026 Orders'!G:G=G545)*
('2026 Orders'!N:N=N545),
0),
"Open "&amp;C545
))</f>
        <v/>
      </c>
      <c r="F545" s="14">
        <v>0</v>
      </c>
      <c r="G545" s="14">
        <f>'2026 Orders'!G544</f>
        <v>0</v>
      </c>
      <c r="H545" s="14" t="str">
        <f>'2026 Orders'!H544</f>
        <v/>
      </c>
      <c r="I545" s="15" t="str">
        <f>'2026 Orders'!I544</f>
        <v/>
      </c>
      <c r="J545" s="14">
        <f>'2026 Orders'!J544</f>
        <v>0</v>
      </c>
      <c r="K545">
        <v>0</v>
      </c>
      <c r="L545">
        <v>0</v>
      </c>
      <c r="N545" s="10">
        <f>'2026 Orders'!N544</f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C545" t="str">
        <f t="shared" si="16"/>
        <v/>
      </c>
      <c r="AD545" t="str">
        <f t="shared" si="17"/>
        <v/>
      </c>
    </row>
    <row r="546" spans="1:30" ht="33" hidden="1" customHeight="1" x14ac:dyDescent="0.3">
      <c r="A546">
        <v>0</v>
      </c>
      <c r="B546" s="14">
        <f>'2026 Orders'!B545</f>
        <v>0</v>
      </c>
      <c r="C546" s="14">
        <f>'2026 Orders'!C545</f>
        <v>0</v>
      </c>
      <c r="D546" s="14">
        <v>0</v>
      </c>
      <c r="E546" s="17" t="str" cm="1">
        <f t="array" ref="E546">IF(C546=0,"",
HYPERLINK(
"#'2026 Orders'!C"&amp;
MATCH(1,
('2026 Orders'!C:C=C546)*
('2026 Orders'!G:G=G546)*
('2026 Orders'!N:N=N546),
0),
"Open "&amp;C546
))</f>
        <v/>
      </c>
      <c r="F546" s="14">
        <v>0</v>
      </c>
      <c r="G546" s="14">
        <f>'2026 Orders'!G545</f>
        <v>0</v>
      </c>
      <c r="H546" s="14" t="str">
        <f>'2026 Orders'!H545</f>
        <v/>
      </c>
      <c r="I546" s="15" t="str">
        <f>'2026 Orders'!I545</f>
        <v/>
      </c>
      <c r="J546" s="14">
        <f>'2026 Orders'!J545</f>
        <v>0</v>
      </c>
      <c r="K546">
        <v>0</v>
      </c>
      <c r="L546">
        <v>0</v>
      </c>
      <c r="N546" s="10">
        <f>'2026 Orders'!N545</f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C546" t="str">
        <f t="shared" si="16"/>
        <v/>
      </c>
      <c r="AD546" t="str">
        <f t="shared" si="17"/>
        <v/>
      </c>
    </row>
    <row r="547" spans="1:30" ht="33" hidden="1" customHeight="1" x14ac:dyDescent="0.3">
      <c r="A547">
        <v>0</v>
      </c>
      <c r="B547" s="14">
        <f>'2026 Orders'!B546</f>
        <v>0</v>
      </c>
      <c r="C547" s="14">
        <f>'2026 Orders'!C546</f>
        <v>0</v>
      </c>
      <c r="D547" s="14">
        <v>0</v>
      </c>
      <c r="E547" s="17" t="str" cm="1">
        <f t="array" ref="E547">IF(C547=0,"",
HYPERLINK(
"#'2026 Orders'!C"&amp;
MATCH(1,
('2026 Orders'!C:C=C547)*
('2026 Orders'!G:G=G547)*
('2026 Orders'!N:N=N547),
0),
"Open "&amp;C547
))</f>
        <v/>
      </c>
      <c r="F547" s="14">
        <v>0</v>
      </c>
      <c r="G547" s="14">
        <f>'2026 Orders'!G546</f>
        <v>0</v>
      </c>
      <c r="H547" s="14" t="str">
        <f>'2026 Orders'!H546</f>
        <v/>
      </c>
      <c r="I547" s="15" t="str">
        <f>'2026 Orders'!I546</f>
        <v/>
      </c>
      <c r="J547" s="14">
        <f>'2026 Orders'!J546</f>
        <v>0</v>
      </c>
      <c r="K547">
        <v>0</v>
      </c>
      <c r="L547">
        <v>0</v>
      </c>
      <c r="N547" s="10">
        <f>'2026 Orders'!N546</f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C547" t="str">
        <f t="shared" si="16"/>
        <v/>
      </c>
      <c r="AD547" t="str">
        <f t="shared" si="17"/>
        <v/>
      </c>
    </row>
    <row r="548" spans="1:30" ht="33" hidden="1" customHeight="1" x14ac:dyDescent="0.3">
      <c r="A548">
        <v>0</v>
      </c>
      <c r="B548" s="14">
        <f>'2026 Orders'!B547</f>
        <v>0</v>
      </c>
      <c r="C548" s="14">
        <f>'2026 Orders'!C547</f>
        <v>0</v>
      </c>
      <c r="D548" s="14">
        <v>0</v>
      </c>
      <c r="E548" s="17" t="str" cm="1">
        <f t="array" ref="E548">IF(C548=0,"",
HYPERLINK(
"#'2026 Orders'!C"&amp;
MATCH(1,
('2026 Orders'!C:C=C548)*
('2026 Orders'!G:G=G548)*
('2026 Orders'!N:N=N548),
0),
"Open "&amp;C548
))</f>
        <v/>
      </c>
      <c r="F548" s="14">
        <v>0</v>
      </c>
      <c r="G548" s="14">
        <f>'2026 Orders'!G547</f>
        <v>0</v>
      </c>
      <c r="H548" s="14" t="str">
        <f>'2026 Orders'!H547</f>
        <v/>
      </c>
      <c r="I548" s="15" t="str">
        <f>'2026 Orders'!I547</f>
        <v/>
      </c>
      <c r="J548" s="14">
        <f>'2026 Orders'!J547</f>
        <v>0</v>
      </c>
      <c r="K548">
        <v>0</v>
      </c>
      <c r="L548">
        <v>0</v>
      </c>
      <c r="N548" s="10">
        <f>'2026 Orders'!N547</f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C548" t="str">
        <f t="shared" si="16"/>
        <v/>
      </c>
      <c r="AD548" t="str">
        <f t="shared" si="17"/>
        <v/>
      </c>
    </row>
    <row r="549" spans="1:30" ht="33" hidden="1" customHeight="1" x14ac:dyDescent="0.3">
      <c r="A549">
        <v>0</v>
      </c>
      <c r="B549" s="14">
        <f>'2026 Orders'!B548</f>
        <v>0</v>
      </c>
      <c r="C549" s="14">
        <f>'2026 Orders'!C548</f>
        <v>0</v>
      </c>
      <c r="D549" s="14">
        <v>0</v>
      </c>
      <c r="E549" s="17" t="str" cm="1">
        <f t="array" ref="E549">IF(C549=0,"",
HYPERLINK(
"#'2026 Orders'!C"&amp;
MATCH(1,
('2026 Orders'!C:C=C549)*
('2026 Orders'!G:G=G549)*
('2026 Orders'!N:N=N549),
0),
"Open "&amp;C549
))</f>
        <v/>
      </c>
      <c r="F549" s="14">
        <v>0</v>
      </c>
      <c r="G549" s="14">
        <f>'2026 Orders'!G548</f>
        <v>0</v>
      </c>
      <c r="H549" s="14" t="str">
        <f>'2026 Orders'!H548</f>
        <v/>
      </c>
      <c r="I549" s="15" t="str">
        <f>'2026 Orders'!I548</f>
        <v/>
      </c>
      <c r="J549" s="14">
        <f>'2026 Orders'!J548</f>
        <v>0</v>
      </c>
      <c r="K549">
        <v>0</v>
      </c>
      <c r="L549">
        <v>0</v>
      </c>
      <c r="N549" s="10">
        <f>'2026 Orders'!N548</f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C549" t="str">
        <f t="shared" si="16"/>
        <v/>
      </c>
      <c r="AD549" t="str">
        <f t="shared" si="17"/>
        <v/>
      </c>
    </row>
    <row r="550" spans="1:30" ht="33" hidden="1" customHeight="1" x14ac:dyDescent="0.3">
      <c r="A550">
        <v>0</v>
      </c>
      <c r="B550" s="14">
        <f>'2026 Orders'!B549</f>
        <v>0</v>
      </c>
      <c r="C550" s="14">
        <f>'2026 Orders'!C549</f>
        <v>0</v>
      </c>
      <c r="D550" s="14">
        <v>0</v>
      </c>
      <c r="E550" s="17" t="str" cm="1">
        <f t="array" ref="E550">IF(C550=0,"",
HYPERLINK(
"#'2026 Orders'!C"&amp;
MATCH(1,
('2026 Orders'!C:C=C550)*
('2026 Orders'!G:G=G550)*
('2026 Orders'!N:N=N550),
0),
"Open "&amp;C550
))</f>
        <v/>
      </c>
      <c r="F550" s="14">
        <v>0</v>
      </c>
      <c r="G550" s="14">
        <f>'2026 Orders'!G549</f>
        <v>0</v>
      </c>
      <c r="H550" s="14" t="str">
        <f>'2026 Orders'!H549</f>
        <v/>
      </c>
      <c r="I550" s="15" t="str">
        <f>'2026 Orders'!I549</f>
        <v/>
      </c>
      <c r="J550" s="14">
        <f>'2026 Orders'!J549</f>
        <v>0</v>
      </c>
      <c r="K550">
        <v>0</v>
      </c>
      <c r="L550">
        <v>0</v>
      </c>
      <c r="N550" s="10">
        <f>'2026 Orders'!N549</f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C550" t="str">
        <f t="shared" si="16"/>
        <v/>
      </c>
      <c r="AD550" t="str">
        <f t="shared" si="17"/>
        <v/>
      </c>
    </row>
    <row r="551" spans="1:30" ht="33" hidden="1" customHeight="1" x14ac:dyDescent="0.3">
      <c r="A551">
        <v>0</v>
      </c>
      <c r="B551" s="14">
        <f>'2026 Orders'!B550</f>
        <v>0</v>
      </c>
      <c r="C551" s="14">
        <f>'2026 Orders'!C550</f>
        <v>0</v>
      </c>
      <c r="D551" s="14">
        <v>0</v>
      </c>
      <c r="E551" s="17" t="str" cm="1">
        <f t="array" ref="E551">IF(C551=0,"",
HYPERLINK(
"#'2026 Orders'!C"&amp;
MATCH(1,
('2026 Orders'!C:C=C551)*
('2026 Orders'!G:G=G551)*
('2026 Orders'!N:N=N551),
0),
"Open "&amp;C551
))</f>
        <v/>
      </c>
      <c r="F551" s="14">
        <v>0</v>
      </c>
      <c r="G551" s="14">
        <f>'2026 Orders'!G550</f>
        <v>0</v>
      </c>
      <c r="H551" s="14" t="str">
        <f>'2026 Orders'!H550</f>
        <v/>
      </c>
      <c r="I551" s="15" t="str">
        <f>'2026 Orders'!I550</f>
        <v/>
      </c>
      <c r="J551" s="14">
        <f>'2026 Orders'!J550</f>
        <v>0</v>
      </c>
      <c r="K551">
        <v>0</v>
      </c>
      <c r="L551">
        <v>0</v>
      </c>
      <c r="N551" s="10">
        <f>'2026 Orders'!N550</f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C551" t="str">
        <f t="shared" si="16"/>
        <v/>
      </c>
      <c r="AD551" t="str">
        <f t="shared" si="17"/>
        <v/>
      </c>
    </row>
    <row r="552" spans="1:30" ht="33" hidden="1" customHeight="1" x14ac:dyDescent="0.3">
      <c r="A552">
        <v>0</v>
      </c>
      <c r="B552" s="14">
        <f>'2026 Orders'!B551</f>
        <v>0</v>
      </c>
      <c r="C552" s="14">
        <f>'2026 Orders'!C551</f>
        <v>0</v>
      </c>
      <c r="D552" s="14">
        <v>0</v>
      </c>
      <c r="E552" s="17" t="str" cm="1">
        <f t="array" ref="E552">IF(C552=0,"",
HYPERLINK(
"#'2026 Orders'!C"&amp;
MATCH(1,
('2026 Orders'!C:C=C552)*
('2026 Orders'!G:G=G552)*
('2026 Orders'!N:N=N552),
0),
"Open "&amp;C552
))</f>
        <v/>
      </c>
      <c r="F552" s="14">
        <v>0</v>
      </c>
      <c r="G552" s="14">
        <f>'2026 Orders'!G551</f>
        <v>0</v>
      </c>
      <c r="H552" s="14" t="str">
        <f>'2026 Orders'!H551</f>
        <v/>
      </c>
      <c r="I552" s="15" t="str">
        <f>'2026 Orders'!I551</f>
        <v/>
      </c>
      <c r="J552" s="14">
        <f>'2026 Orders'!J551</f>
        <v>0</v>
      </c>
      <c r="K552">
        <v>0</v>
      </c>
      <c r="L552">
        <v>0</v>
      </c>
      <c r="N552" s="10">
        <f>'2026 Orders'!N551</f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C552" t="str">
        <f t="shared" si="16"/>
        <v/>
      </c>
      <c r="AD552" t="str">
        <f t="shared" si="17"/>
        <v/>
      </c>
    </row>
    <row r="553" spans="1:30" ht="33" hidden="1" customHeight="1" x14ac:dyDescent="0.3">
      <c r="A553">
        <v>0</v>
      </c>
      <c r="B553" s="14">
        <f>'2026 Orders'!B552</f>
        <v>0</v>
      </c>
      <c r="C553" s="14">
        <f>'2026 Orders'!C552</f>
        <v>0</v>
      </c>
      <c r="D553" s="14">
        <v>0</v>
      </c>
      <c r="E553" s="17" t="str" cm="1">
        <f t="array" ref="E553">IF(C553=0,"",
HYPERLINK(
"#'2026 Orders'!C"&amp;
MATCH(1,
('2026 Orders'!C:C=C553)*
('2026 Orders'!G:G=G553)*
('2026 Orders'!N:N=N553),
0),
"Open "&amp;C553
))</f>
        <v/>
      </c>
      <c r="F553" s="14">
        <v>0</v>
      </c>
      <c r="G553" s="14">
        <f>'2026 Orders'!G552</f>
        <v>0</v>
      </c>
      <c r="H553" s="14" t="str">
        <f>'2026 Orders'!H552</f>
        <v/>
      </c>
      <c r="I553" s="15" t="str">
        <f>'2026 Orders'!I552</f>
        <v/>
      </c>
      <c r="J553" s="14">
        <f>'2026 Orders'!J552</f>
        <v>0</v>
      </c>
      <c r="K553">
        <v>0</v>
      </c>
      <c r="L553">
        <v>0</v>
      </c>
      <c r="N553" s="10">
        <f>'2026 Orders'!N552</f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C553" t="str">
        <f t="shared" si="16"/>
        <v/>
      </c>
      <c r="AD553" t="str">
        <f t="shared" si="17"/>
        <v/>
      </c>
    </row>
    <row r="554" spans="1:30" ht="33" hidden="1" customHeight="1" x14ac:dyDescent="0.3">
      <c r="A554">
        <v>0</v>
      </c>
      <c r="B554" s="14">
        <f>'2026 Orders'!B553</f>
        <v>0</v>
      </c>
      <c r="C554" s="14">
        <f>'2026 Orders'!C553</f>
        <v>0</v>
      </c>
      <c r="D554" s="14">
        <v>0</v>
      </c>
      <c r="E554" s="17" t="str" cm="1">
        <f t="array" ref="E554">IF(C554=0,"",
HYPERLINK(
"#'2026 Orders'!C"&amp;
MATCH(1,
('2026 Orders'!C:C=C554)*
('2026 Orders'!G:G=G554)*
('2026 Orders'!N:N=N554),
0),
"Open "&amp;C554
))</f>
        <v/>
      </c>
      <c r="F554" s="14">
        <v>0</v>
      </c>
      <c r="G554" s="14">
        <f>'2026 Orders'!G553</f>
        <v>0</v>
      </c>
      <c r="H554" s="14" t="str">
        <f>'2026 Orders'!H553</f>
        <v/>
      </c>
      <c r="I554" s="15" t="str">
        <f>'2026 Orders'!I553</f>
        <v/>
      </c>
      <c r="J554" s="14">
        <f>'2026 Orders'!J553</f>
        <v>0</v>
      </c>
      <c r="K554">
        <v>0</v>
      </c>
      <c r="L554">
        <v>0</v>
      </c>
      <c r="N554" s="10">
        <f>'2026 Orders'!N553</f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C554" t="str">
        <f t="shared" si="16"/>
        <v/>
      </c>
      <c r="AD554" t="str">
        <f t="shared" si="17"/>
        <v/>
      </c>
    </row>
    <row r="555" spans="1:30" ht="33" hidden="1" customHeight="1" x14ac:dyDescent="0.3">
      <c r="A555">
        <v>0</v>
      </c>
      <c r="B555" s="14">
        <f>'2026 Orders'!B554</f>
        <v>0</v>
      </c>
      <c r="C555" s="14">
        <f>'2026 Orders'!C554</f>
        <v>0</v>
      </c>
      <c r="D555" s="14">
        <v>0</v>
      </c>
      <c r="E555" s="17" t="str" cm="1">
        <f t="array" ref="E555">IF(C555=0,"",
HYPERLINK(
"#'2026 Orders'!C"&amp;
MATCH(1,
('2026 Orders'!C:C=C555)*
('2026 Orders'!G:G=G555)*
('2026 Orders'!N:N=N555),
0),
"Open "&amp;C555
))</f>
        <v/>
      </c>
      <c r="F555" s="14">
        <v>0</v>
      </c>
      <c r="G555" s="14">
        <f>'2026 Orders'!G554</f>
        <v>0</v>
      </c>
      <c r="H555" s="14" t="str">
        <f>'2026 Orders'!H554</f>
        <v/>
      </c>
      <c r="I555" s="15" t="str">
        <f>'2026 Orders'!I554</f>
        <v/>
      </c>
      <c r="J555" s="14">
        <f>'2026 Orders'!J554</f>
        <v>0</v>
      </c>
      <c r="K555">
        <v>0</v>
      </c>
      <c r="L555">
        <v>0</v>
      </c>
      <c r="N555" s="10">
        <f>'2026 Orders'!N554</f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C555" t="str">
        <f t="shared" si="16"/>
        <v/>
      </c>
      <c r="AD555" t="str">
        <f t="shared" si="17"/>
        <v/>
      </c>
    </row>
    <row r="556" spans="1:30" ht="33" hidden="1" customHeight="1" x14ac:dyDescent="0.3">
      <c r="A556">
        <v>0</v>
      </c>
      <c r="B556" s="14">
        <f>'2026 Orders'!B555</f>
        <v>0</v>
      </c>
      <c r="C556" s="14">
        <f>'2026 Orders'!C555</f>
        <v>0</v>
      </c>
      <c r="D556" s="14">
        <v>0</v>
      </c>
      <c r="E556" s="17" t="str" cm="1">
        <f t="array" ref="E556">IF(C556=0,"",
HYPERLINK(
"#'2026 Orders'!C"&amp;
MATCH(1,
('2026 Orders'!C:C=C556)*
('2026 Orders'!G:G=G556)*
('2026 Orders'!N:N=N556),
0),
"Open "&amp;C556
))</f>
        <v/>
      </c>
      <c r="F556" s="14">
        <v>0</v>
      </c>
      <c r="G556" s="14">
        <f>'2026 Orders'!G555</f>
        <v>0</v>
      </c>
      <c r="H556" s="14" t="str">
        <f>'2026 Orders'!H555</f>
        <v/>
      </c>
      <c r="I556" s="15" t="str">
        <f>'2026 Orders'!I555</f>
        <v/>
      </c>
      <c r="J556" s="14">
        <f>'2026 Orders'!J555</f>
        <v>0</v>
      </c>
      <c r="K556">
        <v>0</v>
      </c>
      <c r="L556">
        <v>0</v>
      </c>
      <c r="N556" s="10">
        <f>'2026 Orders'!N555</f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C556" t="str">
        <f t="shared" si="16"/>
        <v/>
      </c>
      <c r="AD556" t="str">
        <f t="shared" si="17"/>
        <v/>
      </c>
    </row>
    <row r="557" spans="1:30" ht="33" hidden="1" customHeight="1" x14ac:dyDescent="0.3">
      <c r="A557">
        <v>0</v>
      </c>
      <c r="B557" s="14">
        <f>'2026 Orders'!B556</f>
        <v>0</v>
      </c>
      <c r="C557" s="14">
        <f>'2026 Orders'!C556</f>
        <v>0</v>
      </c>
      <c r="D557" s="14">
        <v>0</v>
      </c>
      <c r="E557" s="17" t="str" cm="1">
        <f t="array" ref="E557">IF(C557=0,"",
HYPERLINK(
"#'2026 Orders'!C"&amp;
MATCH(1,
('2026 Orders'!C:C=C557)*
('2026 Orders'!G:G=G557)*
('2026 Orders'!N:N=N557),
0),
"Open "&amp;C557
))</f>
        <v/>
      </c>
      <c r="F557" s="14">
        <v>0</v>
      </c>
      <c r="G557" s="14">
        <f>'2026 Orders'!G556</f>
        <v>0</v>
      </c>
      <c r="H557" s="14" t="str">
        <f>'2026 Orders'!H556</f>
        <v/>
      </c>
      <c r="I557" s="15" t="str">
        <f>'2026 Orders'!I556</f>
        <v/>
      </c>
      <c r="J557" s="14">
        <f>'2026 Orders'!J556</f>
        <v>0</v>
      </c>
      <c r="K557">
        <v>0</v>
      </c>
      <c r="L557">
        <v>0</v>
      </c>
      <c r="N557" s="10">
        <f>'2026 Orders'!N556</f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C557" t="str">
        <f t="shared" si="16"/>
        <v/>
      </c>
      <c r="AD557" t="str">
        <f t="shared" si="17"/>
        <v/>
      </c>
    </row>
    <row r="558" spans="1:30" ht="33" hidden="1" customHeight="1" x14ac:dyDescent="0.3">
      <c r="A558">
        <v>0</v>
      </c>
      <c r="B558" s="14">
        <f>'2026 Orders'!B557</f>
        <v>0</v>
      </c>
      <c r="C558" s="14">
        <f>'2026 Orders'!C557</f>
        <v>0</v>
      </c>
      <c r="D558" s="14">
        <v>0</v>
      </c>
      <c r="E558" s="17" t="str" cm="1">
        <f t="array" ref="E558">IF(C558=0,"",
HYPERLINK(
"#'2026 Orders'!C"&amp;
MATCH(1,
('2026 Orders'!C:C=C558)*
('2026 Orders'!G:G=G558)*
('2026 Orders'!N:N=N558),
0),
"Open "&amp;C558
))</f>
        <v/>
      </c>
      <c r="F558" s="14">
        <v>0</v>
      </c>
      <c r="G558" s="14">
        <f>'2026 Orders'!G557</f>
        <v>0</v>
      </c>
      <c r="H558" s="14" t="str">
        <f>'2026 Orders'!H557</f>
        <v/>
      </c>
      <c r="I558" s="15" t="str">
        <f>'2026 Orders'!I557</f>
        <v/>
      </c>
      <c r="J558" s="14">
        <f>'2026 Orders'!J557</f>
        <v>0</v>
      </c>
      <c r="K558">
        <v>0</v>
      </c>
      <c r="L558">
        <v>0</v>
      </c>
      <c r="N558" s="10">
        <f>'2026 Orders'!N557</f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C558" t="str">
        <f t="shared" si="16"/>
        <v/>
      </c>
      <c r="AD558" t="str">
        <f t="shared" si="17"/>
        <v/>
      </c>
    </row>
    <row r="559" spans="1:30" ht="33" hidden="1" customHeight="1" x14ac:dyDescent="0.3">
      <c r="A559">
        <v>0</v>
      </c>
      <c r="B559" s="14">
        <f>'2026 Orders'!B558</f>
        <v>0</v>
      </c>
      <c r="C559" s="14">
        <f>'2026 Orders'!C558</f>
        <v>0</v>
      </c>
      <c r="D559" s="14">
        <v>0</v>
      </c>
      <c r="E559" s="17" t="str" cm="1">
        <f t="array" ref="E559">IF(C559=0,"",
HYPERLINK(
"#'2026 Orders'!C"&amp;
MATCH(1,
('2026 Orders'!C:C=C559)*
('2026 Orders'!G:G=G559)*
('2026 Orders'!N:N=N559),
0),
"Open "&amp;C559
))</f>
        <v/>
      </c>
      <c r="F559" s="14">
        <v>0</v>
      </c>
      <c r="G559" s="14">
        <f>'2026 Orders'!G558</f>
        <v>0</v>
      </c>
      <c r="H559" s="14" t="str">
        <f>'2026 Orders'!H558</f>
        <v/>
      </c>
      <c r="I559" s="15" t="str">
        <f>'2026 Orders'!I558</f>
        <v/>
      </c>
      <c r="J559" s="14">
        <f>'2026 Orders'!J558</f>
        <v>0</v>
      </c>
      <c r="K559">
        <v>0</v>
      </c>
      <c r="L559">
        <v>0</v>
      </c>
      <c r="N559" s="10">
        <f>'2026 Orders'!N558</f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C559" t="str">
        <f t="shared" si="16"/>
        <v/>
      </c>
      <c r="AD559" t="str">
        <f t="shared" si="17"/>
        <v/>
      </c>
    </row>
    <row r="560" spans="1:30" ht="33" hidden="1" customHeight="1" x14ac:dyDescent="0.3">
      <c r="A560">
        <v>0</v>
      </c>
      <c r="B560" s="14">
        <f>'2026 Orders'!B559</f>
        <v>0</v>
      </c>
      <c r="C560" s="14">
        <f>'2026 Orders'!C559</f>
        <v>0</v>
      </c>
      <c r="D560" s="14">
        <v>0</v>
      </c>
      <c r="E560" s="17" t="str" cm="1">
        <f t="array" ref="E560">IF(C560=0,"",
HYPERLINK(
"#'2026 Orders'!C"&amp;
MATCH(1,
('2026 Orders'!C:C=C560)*
('2026 Orders'!G:G=G560)*
('2026 Orders'!N:N=N560),
0),
"Open "&amp;C560
))</f>
        <v/>
      </c>
      <c r="F560" s="14">
        <v>0</v>
      </c>
      <c r="G560" s="14">
        <f>'2026 Orders'!G559</f>
        <v>0</v>
      </c>
      <c r="H560" s="14" t="str">
        <f>'2026 Orders'!H559</f>
        <v/>
      </c>
      <c r="I560" s="15" t="str">
        <f>'2026 Orders'!I559</f>
        <v/>
      </c>
      <c r="J560" s="14">
        <f>'2026 Orders'!J559</f>
        <v>0</v>
      </c>
      <c r="K560">
        <v>0</v>
      </c>
      <c r="L560">
        <v>0</v>
      </c>
      <c r="N560" s="10">
        <f>'2026 Orders'!N559</f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C560" t="str">
        <f t="shared" si="16"/>
        <v/>
      </c>
      <c r="AD560" t="str">
        <f t="shared" si="17"/>
        <v/>
      </c>
    </row>
    <row r="561" spans="1:30" ht="33" hidden="1" customHeight="1" x14ac:dyDescent="0.3">
      <c r="A561">
        <v>0</v>
      </c>
      <c r="B561" s="14">
        <f>'2026 Orders'!B560</f>
        <v>0</v>
      </c>
      <c r="C561" s="14">
        <f>'2026 Orders'!C560</f>
        <v>0</v>
      </c>
      <c r="D561" s="14">
        <v>0</v>
      </c>
      <c r="E561" s="17" t="str" cm="1">
        <f t="array" ref="E561">IF(C561=0,"",
HYPERLINK(
"#'2026 Orders'!C"&amp;
MATCH(1,
('2026 Orders'!C:C=C561)*
('2026 Orders'!G:G=G561)*
('2026 Orders'!N:N=N561),
0),
"Open "&amp;C561
))</f>
        <v/>
      </c>
      <c r="F561" s="14">
        <v>0</v>
      </c>
      <c r="G561" s="14">
        <f>'2026 Orders'!G560</f>
        <v>0</v>
      </c>
      <c r="H561" s="14" t="str">
        <f>'2026 Orders'!H560</f>
        <v/>
      </c>
      <c r="I561" s="15" t="str">
        <f>'2026 Orders'!I560</f>
        <v/>
      </c>
      <c r="J561" s="14">
        <f>'2026 Orders'!J560</f>
        <v>0</v>
      </c>
      <c r="K561">
        <v>0</v>
      </c>
      <c r="L561">
        <v>0</v>
      </c>
      <c r="N561" s="10">
        <f>'2026 Orders'!N560</f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C561" t="str">
        <f t="shared" si="16"/>
        <v/>
      </c>
      <c r="AD561" t="str">
        <f t="shared" si="17"/>
        <v/>
      </c>
    </row>
    <row r="562" spans="1:30" ht="33" hidden="1" customHeight="1" x14ac:dyDescent="0.3">
      <c r="A562">
        <v>0</v>
      </c>
      <c r="B562" s="14">
        <f>'2026 Orders'!B561</f>
        <v>0</v>
      </c>
      <c r="C562" s="14">
        <f>'2026 Orders'!C561</f>
        <v>0</v>
      </c>
      <c r="D562" s="14">
        <v>0</v>
      </c>
      <c r="E562" s="17" t="str" cm="1">
        <f t="array" ref="E562">IF(C562=0,"",
HYPERLINK(
"#'2026 Orders'!C"&amp;
MATCH(1,
('2026 Orders'!C:C=C562)*
('2026 Orders'!G:G=G562)*
('2026 Orders'!N:N=N562),
0),
"Open "&amp;C562
))</f>
        <v/>
      </c>
      <c r="F562" s="14">
        <v>0</v>
      </c>
      <c r="G562" s="14">
        <f>'2026 Orders'!G561</f>
        <v>0</v>
      </c>
      <c r="H562" s="14" t="str">
        <f>'2026 Orders'!H561</f>
        <v/>
      </c>
      <c r="I562" s="15" t="str">
        <f>'2026 Orders'!I561</f>
        <v/>
      </c>
      <c r="J562" s="14">
        <f>'2026 Orders'!J561</f>
        <v>0</v>
      </c>
      <c r="K562">
        <v>0</v>
      </c>
      <c r="L562">
        <v>0</v>
      </c>
      <c r="N562" s="10">
        <f>'2026 Orders'!N561</f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C562" t="str">
        <f t="shared" si="16"/>
        <v/>
      </c>
      <c r="AD562" t="str">
        <f t="shared" si="17"/>
        <v/>
      </c>
    </row>
    <row r="563" spans="1:30" ht="33" hidden="1" customHeight="1" x14ac:dyDescent="0.3">
      <c r="A563">
        <v>0</v>
      </c>
      <c r="B563" s="14">
        <f>'2026 Orders'!B562</f>
        <v>0</v>
      </c>
      <c r="C563" s="14">
        <f>'2026 Orders'!C562</f>
        <v>0</v>
      </c>
      <c r="D563" s="14">
        <v>0</v>
      </c>
      <c r="E563" s="17" t="str" cm="1">
        <f t="array" ref="E563">IF(C563=0,"",
HYPERLINK(
"#'2026 Orders'!C"&amp;
MATCH(1,
('2026 Orders'!C:C=C563)*
('2026 Orders'!G:G=G563)*
('2026 Orders'!N:N=N563),
0),
"Open "&amp;C563
))</f>
        <v/>
      </c>
      <c r="F563" s="14">
        <v>0</v>
      </c>
      <c r="G563" s="14">
        <f>'2026 Orders'!G562</f>
        <v>0</v>
      </c>
      <c r="H563" s="14" t="str">
        <f>'2026 Orders'!H562</f>
        <v/>
      </c>
      <c r="I563" s="15" t="str">
        <f>'2026 Orders'!I562</f>
        <v/>
      </c>
      <c r="J563" s="14">
        <f>'2026 Orders'!J562</f>
        <v>0</v>
      </c>
      <c r="K563">
        <v>0</v>
      </c>
      <c r="L563">
        <v>0</v>
      </c>
      <c r="N563" s="10">
        <f>'2026 Orders'!N562</f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C563" t="str">
        <f t="shared" si="16"/>
        <v/>
      </c>
      <c r="AD563" t="str">
        <f t="shared" si="17"/>
        <v/>
      </c>
    </row>
    <row r="564" spans="1:30" ht="33" hidden="1" customHeight="1" x14ac:dyDescent="0.3">
      <c r="A564">
        <v>0</v>
      </c>
      <c r="B564" s="14">
        <f>'2026 Orders'!B563</f>
        <v>0</v>
      </c>
      <c r="C564" s="14">
        <f>'2026 Orders'!C563</f>
        <v>0</v>
      </c>
      <c r="D564" s="14">
        <v>0</v>
      </c>
      <c r="E564" s="17" t="str" cm="1">
        <f t="array" ref="E564">IF(C564=0,"",
HYPERLINK(
"#'2026 Orders'!C"&amp;
MATCH(1,
('2026 Orders'!C:C=C564)*
('2026 Orders'!G:G=G564)*
('2026 Orders'!N:N=N564),
0),
"Open "&amp;C564
))</f>
        <v/>
      </c>
      <c r="F564" s="14">
        <v>0</v>
      </c>
      <c r="G564" s="14">
        <f>'2026 Orders'!G563</f>
        <v>0</v>
      </c>
      <c r="H564" s="14" t="str">
        <f>'2026 Orders'!H563</f>
        <v/>
      </c>
      <c r="I564" s="15" t="str">
        <f>'2026 Orders'!I563</f>
        <v/>
      </c>
      <c r="J564" s="14">
        <f>'2026 Orders'!J563</f>
        <v>0</v>
      </c>
      <c r="K564">
        <v>0</v>
      </c>
      <c r="L564">
        <v>0</v>
      </c>
      <c r="N564" s="10">
        <f>'2026 Orders'!N563</f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C564" t="str">
        <f t="shared" si="16"/>
        <v/>
      </c>
      <c r="AD564" t="str">
        <f t="shared" si="17"/>
        <v/>
      </c>
    </row>
    <row r="565" spans="1:30" ht="33" hidden="1" customHeight="1" x14ac:dyDescent="0.3">
      <c r="A565">
        <v>0</v>
      </c>
      <c r="B565" s="14">
        <f>'2026 Orders'!B564</f>
        <v>0</v>
      </c>
      <c r="C565" s="14">
        <f>'2026 Orders'!C564</f>
        <v>0</v>
      </c>
      <c r="D565" s="14">
        <v>0</v>
      </c>
      <c r="E565" s="17" t="str" cm="1">
        <f t="array" ref="E565">IF(C565=0,"",
HYPERLINK(
"#'2026 Orders'!C"&amp;
MATCH(1,
('2026 Orders'!C:C=C565)*
('2026 Orders'!G:G=G565)*
('2026 Orders'!N:N=N565),
0),
"Open "&amp;C565
))</f>
        <v/>
      </c>
      <c r="F565" s="14">
        <v>0</v>
      </c>
      <c r="G565" s="14">
        <f>'2026 Orders'!G564</f>
        <v>0</v>
      </c>
      <c r="H565" s="14" t="str">
        <f>'2026 Orders'!H564</f>
        <v/>
      </c>
      <c r="I565" s="15" t="str">
        <f>'2026 Orders'!I564</f>
        <v/>
      </c>
      <c r="J565" s="14">
        <f>'2026 Orders'!J564</f>
        <v>0</v>
      </c>
      <c r="K565">
        <v>0</v>
      </c>
      <c r="L565">
        <v>0</v>
      </c>
      <c r="N565" s="10">
        <f>'2026 Orders'!N564</f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C565" t="str">
        <f t="shared" si="16"/>
        <v/>
      </c>
      <c r="AD565" t="str">
        <f t="shared" si="17"/>
        <v/>
      </c>
    </row>
    <row r="566" spans="1:30" ht="33" hidden="1" customHeight="1" x14ac:dyDescent="0.3">
      <c r="A566">
        <v>0</v>
      </c>
      <c r="B566" s="14">
        <f>'2026 Orders'!B565</f>
        <v>0</v>
      </c>
      <c r="C566" s="14">
        <f>'2026 Orders'!C565</f>
        <v>0</v>
      </c>
      <c r="D566" s="14">
        <v>0</v>
      </c>
      <c r="E566" s="17" t="str" cm="1">
        <f t="array" ref="E566">IF(C566=0,"",
HYPERLINK(
"#'2026 Orders'!C"&amp;
MATCH(1,
('2026 Orders'!C:C=C566)*
('2026 Orders'!G:G=G566)*
('2026 Orders'!N:N=N566),
0),
"Open "&amp;C566
))</f>
        <v/>
      </c>
      <c r="F566" s="14">
        <v>0</v>
      </c>
      <c r="G566" s="14">
        <f>'2026 Orders'!G565</f>
        <v>0</v>
      </c>
      <c r="H566" s="14" t="str">
        <f>'2026 Orders'!H565</f>
        <v/>
      </c>
      <c r="I566" s="15" t="str">
        <f>'2026 Orders'!I565</f>
        <v/>
      </c>
      <c r="J566" s="14">
        <f>'2026 Orders'!J565</f>
        <v>0</v>
      </c>
      <c r="K566">
        <v>0</v>
      </c>
      <c r="L566">
        <v>0</v>
      </c>
      <c r="N566" s="10">
        <f>'2026 Orders'!N565</f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C566" t="str">
        <f t="shared" si="16"/>
        <v/>
      </c>
      <c r="AD566" t="str">
        <f t="shared" si="17"/>
        <v/>
      </c>
    </row>
    <row r="567" spans="1:30" ht="33" hidden="1" customHeight="1" x14ac:dyDescent="0.3">
      <c r="A567">
        <v>0</v>
      </c>
      <c r="B567" s="14">
        <f>'2026 Orders'!B566</f>
        <v>0</v>
      </c>
      <c r="C567" s="14">
        <f>'2026 Orders'!C566</f>
        <v>0</v>
      </c>
      <c r="D567" s="14">
        <v>0</v>
      </c>
      <c r="E567" s="17" t="str" cm="1">
        <f t="array" ref="E567">IF(C567=0,"",
HYPERLINK(
"#'2026 Orders'!C"&amp;
MATCH(1,
('2026 Orders'!C:C=C567)*
('2026 Orders'!G:G=G567)*
('2026 Orders'!N:N=N567),
0),
"Open "&amp;C567
))</f>
        <v/>
      </c>
      <c r="F567" s="14">
        <v>0</v>
      </c>
      <c r="G567" s="14">
        <f>'2026 Orders'!G566</f>
        <v>0</v>
      </c>
      <c r="H567" s="14" t="str">
        <f>'2026 Orders'!H566</f>
        <v/>
      </c>
      <c r="I567" s="15" t="str">
        <f>'2026 Orders'!I566</f>
        <v/>
      </c>
      <c r="J567" s="14">
        <f>'2026 Orders'!J566</f>
        <v>0</v>
      </c>
      <c r="K567">
        <v>0</v>
      </c>
      <c r="L567">
        <v>0</v>
      </c>
      <c r="N567" s="10">
        <f>'2026 Orders'!N566</f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C567" t="str">
        <f t="shared" si="16"/>
        <v/>
      </c>
      <c r="AD567" t="str">
        <f t="shared" si="17"/>
        <v/>
      </c>
    </row>
    <row r="568" spans="1:30" ht="33" hidden="1" customHeight="1" x14ac:dyDescent="0.3">
      <c r="A568">
        <v>0</v>
      </c>
      <c r="B568" s="14">
        <f>'2026 Orders'!B567</f>
        <v>0</v>
      </c>
      <c r="C568" s="14">
        <f>'2026 Orders'!C567</f>
        <v>0</v>
      </c>
      <c r="D568" s="14">
        <v>0</v>
      </c>
      <c r="E568" s="17" t="str" cm="1">
        <f t="array" ref="E568">IF(C568=0,"",
HYPERLINK(
"#'2026 Orders'!C"&amp;
MATCH(1,
('2026 Orders'!C:C=C568)*
('2026 Orders'!G:G=G568)*
('2026 Orders'!N:N=N568),
0),
"Open "&amp;C568
))</f>
        <v/>
      </c>
      <c r="F568" s="14">
        <v>0</v>
      </c>
      <c r="G568" s="14">
        <f>'2026 Orders'!G567</f>
        <v>0</v>
      </c>
      <c r="H568" s="14" t="str">
        <f>'2026 Orders'!H567</f>
        <v/>
      </c>
      <c r="I568" s="15" t="str">
        <f>'2026 Orders'!I567</f>
        <v/>
      </c>
      <c r="J568" s="14">
        <f>'2026 Orders'!J567</f>
        <v>0</v>
      </c>
      <c r="K568">
        <v>0</v>
      </c>
      <c r="L568">
        <v>0</v>
      </c>
      <c r="N568" s="10">
        <f>'2026 Orders'!N567</f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C568" t="str">
        <f t="shared" si="16"/>
        <v/>
      </c>
      <c r="AD568" t="str">
        <f t="shared" si="17"/>
        <v/>
      </c>
    </row>
    <row r="569" spans="1:30" ht="33" hidden="1" customHeight="1" x14ac:dyDescent="0.3">
      <c r="A569">
        <v>0</v>
      </c>
      <c r="B569" s="14">
        <f>'2026 Orders'!B568</f>
        <v>0</v>
      </c>
      <c r="C569" s="14">
        <f>'2026 Orders'!C568</f>
        <v>0</v>
      </c>
      <c r="D569" s="14">
        <v>0</v>
      </c>
      <c r="E569" s="17" t="str" cm="1">
        <f t="array" ref="E569">IF(C569=0,"",
HYPERLINK(
"#'2026 Orders'!C"&amp;
MATCH(1,
('2026 Orders'!C:C=C569)*
('2026 Orders'!G:G=G569)*
('2026 Orders'!N:N=N569),
0),
"Open "&amp;C569
))</f>
        <v/>
      </c>
      <c r="F569" s="14">
        <v>0</v>
      </c>
      <c r="G569" s="14">
        <f>'2026 Orders'!G568</f>
        <v>0</v>
      </c>
      <c r="H569" s="14" t="str">
        <f>'2026 Orders'!H568</f>
        <v/>
      </c>
      <c r="I569" s="15" t="str">
        <f>'2026 Orders'!I568</f>
        <v/>
      </c>
      <c r="J569" s="14">
        <f>'2026 Orders'!J568</f>
        <v>0</v>
      </c>
      <c r="K569">
        <v>0</v>
      </c>
      <c r="L569">
        <v>0</v>
      </c>
      <c r="N569" s="10">
        <f>'2026 Orders'!N568</f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C569" t="str">
        <f t="shared" si="16"/>
        <v/>
      </c>
      <c r="AD569" t="str">
        <f t="shared" si="17"/>
        <v/>
      </c>
    </row>
    <row r="570" spans="1:30" ht="33" hidden="1" customHeight="1" x14ac:dyDescent="0.3">
      <c r="A570">
        <v>0</v>
      </c>
      <c r="B570" s="14">
        <f>'2026 Orders'!B569</f>
        <v>0</v>
      </c>
      <c r="C570" s="14">
        <f>'2026 Orders'!C569</f>
        <v>0</v>
      </c>
      <c r="D570" s="14">
        <v>0</v>
      </c>
      <c r="E570" s="17" t="str" cm="1">
        <f t="array" ref="E570">IF(C570=0,"",
HYPERLINK(
"#'2026 Orders'!C"&amp;
MATCH(1,
('2026 Orders'!C:C=C570)*
('2026 Orders'!G:G=G570)*
('2026 Orders'!N:N=N570),
0),
"Open "&amp;C570
))</f>
        <v/>
      </c>
      <c r="F570" s="14">
        <v>0</v>
      </c>
      <c r="G570" s="14">
        <f>'2026 Orders'!G569</f>
        <v>0</v>
      </c>
      <c r="H570" s="14" t="str">
        <f>'2026 Orders'!H569</f>
        <v/>
      </c>
      <c r="I570" s="15" t="str">
        <f>'2026 Orders'!I569</f>
        <v/>
      </c>
      <c r="J570" s="14">
        <f>'2026 Orders'!J569</f>
        <v>0</v>
      </c>
      <c r="K570">
        <v>0</v>
      </c>
      <c r="L570">
        <v>0</v>
      </c>
      <c r="N570" s="10">
        <f>'2026 Orders'!N569</f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C570" t="str">
        <f t="shared" si="16"/>
        <v/>
      </c>
      <c r="AD570" t="str">
        <f t="shared" si="17"/>
        <v/>
      </c>
    </row>
    <row r="571" spans="1:30" ht="33" hidden="1" customHeight="1" x14ac:dyDescent="0.3">
      <c r="A571">
        <v>0</v>
      </c>
      <c r="B571" s="14">
        <f>'2026 Orders'!B570</f>
        <v>0</v>
      </c>
      <c r="C571" s="14">
        <f>'2026 Orders'!C570</f>
        <v>0</v>
      </c>
      <c r="D571" s="14">
        <v>0</v>
      </c>
      <c r="E571" s="17" t="str" cm="1">
        <f t="array" ref="E571">IF(C571=0,"",
HYPERLINK(
"#'2026 Orders'!C"&amp;
MATCH(1,
('2026 Orders'!C:C=C571)*
('2026 Orders'!G:G=G571)*
('2026 Orders'!N:N=N571),
0),
"Open "&amp;C571
))</f>
        <v/>
      </c>
      <c r="F571" s="14">
        <v>0</v>
      </c>
      <c r="G571" s="14">
        <f>'2026 Orders'!G570</f>
        <v>0</v>
      </c>
      <c r="H571" s="14" t="str">
        <f>'2026 Orders'!H570</f>
        <v/>
      </c>
      <c r="I571" s="15" t="str">
        <f>'2026 Orders'!I570</f>
        <v/>
      </c>
      <c r="J571" s="14">
        <f>'2026 Orders'!J570</f>
        <v>0</v>
      </c>
      <c r="K571">
        <v>0</v>
      </c>
      <c r="L571">
        <v>0</v>
      </c>
      <c r="N571" s="10">
        <f>'2026 Orders'!N570</f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C571" t="str">
        <f t="shared" si="16"/>
        <v/>
      </c>
      <c r="AD571" t="str">
        <f t="shared" si="17"/>
        <v/>
      </c>
    </row>
    <row r="572" spans="1:30" ht="33" hidden="1" customHeight="1" x14ac:dyDescent="0.3">
      <c r="A572">
        <v>0</v>
      </c>
      <c r="B572" s="14">
        <f>'2026 Orders'!B571</f>
        <v>0</v>
      </c>
      <c r="C572" s="14">
        <f>'2026 Orders'!C571</f>
        <v>0</v>
      </c>
      <c r="D572" s="14">
        <v>0</v>
      </c>
      <c r="E572" s="17" t="str" cm="1">
        <f t="array" ref="E572">IF(C572=0,"",
HYPERLINK(
"#'2026 Orders'!C"&amp;
MATCH(1,
('2026 Orders'!C:C=C572)*
('2026 Orders'!G:G=G572)*
('2026 Orders'!N:N=N572),
0),
"Open "&amp;C572
))</f>
        <v/>
      </c>
      <c r="F572" s="14">
        <v>0</v>
      </c>
      <c r="G572" s="14">
        <f>'2026 Orders'!G571</f>
        <v>0</v>
      </c>
      <c r="H572" s="14" t="str">
        <f>'2026 Orders'!H571</f>
        <v/>
      </c>
      <c r="I572" s="15" t="str">
        <f>'2026 Orders'!I571</f>
        <v/>
      </c>
      <c r="J572" s="14">
        <f>'2026 Orders'!J571</f>
        <v>0</v>
      </c>
      <c r="K572">
        <v>0</v>
      </c>
      <c r="L572">
        <v>0</v>
      </c>
      <c r="N572" s="10">
        <f>'2026 Orders'!N571</f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C572" t="str">
        <f t="shared" si="16"/>
        <v/>
      </c>
      <c r="AD572" t="str">
        <f t="shared" si="17"/>
        <v/>
      </c>
    </row>
    <row r="573" spans="1:30" ht="33" hidden="1" customHeight="1" x14ac:dyDescent="0.3">
      <c r="A573">
        <v>0</v>
      </c>
      <c r="B573" s="14">
        <f>'2026 Orders'!B572</f>
        <v>0</v>
      </c>
      <c r="C573" s="14">
        <f>'2026 Orders'!C572</f>
        <v>0</v>
      </c>
      <c r="D573" s="14">
        <v>0</v>
      </c>
      <c r="E573" s="17" t="str" cm="1">
        <f t="array" ref="E573">IF(C573=0,"",
HYPERLINK(
"#'2026 Orders'!C"&amp;
MATCH(1,
('2026 Orders'!C:C=C573)*
('2026 Orders'!G:G=G573)*
('2026 Orders'!N:N=N573),
0),
"Open "&amp;C573
))</f>
        <v/>
      </c>
      <c r="F573" s="14">
        <v>0</v>
      </c>
      <c r="G573" s="14">
        <f>'2026 Orders'!G572</f>
        <v>0</v>
      </c>
      <c r="H573" s="14" t="str">
        <f>'2026 Orders'!H572</f>
        <v/>
      </c>
      <c r="I573" s="15" t="str">
        <f>'2026 Orders'!I572</f>
        <v/>
      </c>
      <c r="J573" s="14">
        <f>'2026 Orders'!J572</f>
        <v>0</v>
      </c>
      <c r="K573">
        <v>0</v>
      </c>
      <c r="L573">
        <v>0</v>
      </c>
      <c r="N573" s="10">
        <f>'2026 Orders'!N572</f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C573" t="str">
        <f t="shared" si="16"/>
        <v/>
      </c>
      <c r="AD573" t="str">
        <f t="shared" si="17"/>
        <v/>
      </c>
    </row>
    <row r="574" spans="1:30" ht="33" hidden="1" customHeight="1" x14ac:dyDescent="0.3">
      <c r="A574">
        <v>0</v>
      </c>
      <c r="B574" s="14">
        <f>'2026 Orders'!B573</f>
        <v>0</v>
      </c>
      <c r="C574" s="14">
        <f>'2026 Orders'!C573</f>
        <v>0</v>
      </c>
      <c r="D574" s="14">
        <v>0</v>
      </c>
      <c r="E574" s="17" t="str" cm="1">
        <f t="array" ref="E574">IF(C574=0,"",
HYPERLINK(
"#'2026 Orders'!C"&amp;
MATCH(1,
('2026 Orders'!C:C=C574)*
('2026 Orders'!G:G=G574)*
('2026 Orders'!N:N=N574),
0),
"Open "&amp;C574
))</f>
        <v/>
      </c>
      <c r="F574" s="14">
        <v>0</v>
      </c>
      <c r="G574" s="14">
        <f>'2026 Orders'!G573</f>
        <v>0</v>
      </c>
      <c r="H574" s="14" t="str">
        <f>'2026 Orders'!H573</f>
        <v/>
      </c>
      <c r="I574" s="15" t="str">
        <f>'2026 Orders'!I573</f>
        <v/>
      </c>
      <c r="J574" s="14">
        <f>'2026 Orders'!J573</f>
        <v>0</v>
      </c>
      <c r="K574">
        <v>0</v>
      </c>
      <c r="L574">
        <v>0</v>
      </c>
      <c r="N574" s="10">
        <f>'2026 Orders'!N573</f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C574" t="str">
        <f t="shared" si="16"/>
        <v/>
      </c>
      <c r="AD574" t="str">
        <f t="shared" si="17"/>
        <v/>
      </c>
    </row>
    <row r="575" spans="1:30" ht="33" hidden="1" customHeight="1" x14ac:dyDescent="0.3">
      <c r="A575">
        <v>0</v>
      </c>
      <c r="B575" s="14">
        <f>'2026 Orders'!B574</f>
        <v>0</v>
      </c>
      <c r="C575" s="14">
        <f>'2026 Orders'!C574</f>
        <v>0</v>
      </c>
      <c r="D575" s="14">
        <v>0</v>
      </c>
      <c r="E575" s="17" t="str" cm="1">
        <f t="array" ref="E575">IF(C575=0,"",
HYPERLINK(
"#'2026 Orders'!C"&amp;
MATCH(1,
('2026 Orders'!C:C=C575)*
('2026 Orders'!G:G=G575)*
('2026 Orders'!N:N=N575),
0),
"Open "&amp;C575
))</f>
        <v/>
      </c>
      <c r="F575" s="14">
        <v>0</v>
      </c>
      <c r="G575" s="14">
        <f>'2026 Orders'!G574</f>
        <v>0</v>
      </c>
      <c r="H575" s="14" t="str">
        <f>'2026 Orders'!H574</f>
        <v/>
      </c>
      <c r="I575" s="15" t="str">
        <f>'2026 Orders'!I574</f>
        <v/>
      </c>
      <c r="J575" s="14">
        <f>'2026 Orders'!J574</f>
        <v>0</v>
      </c>
      <c r="K575">
        <v>0</v>
      </c>
      <c r="L575">
        <v>0</v>
      </c>
      <c r="N575" s="10">
        <f>'2026 Orders'!N574</f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C575" t="str">
        <f t="shared" si="16"/>
        <v/>
      </c>
      <c r="AD575" t="str">
        <f t="shared" si="17"/>
        <v/>
      </c>
    </row>
    <row r="576" spans="1:30" ht="33" hidden="1" customHeight="1" x14ac:dyDescent="0.3">
      <c r="A576">
        <v>0</v>
      </c>
      <c r="B576" s="14">
        <f>'2026 Orders'!B575</f>
        <v>0</v>
      </c>
      <c r="C576" s="14">
        <f>'2026 Orders'!C575</f>
        <v>0</v>
      </c>
      <c r="D576" s="14">
        <v>0</v>
      </c>
      <c r="E576" s="17" t="str" cm="1">
        <f t="array" ref="E576">IF(C576=0,"",
HYPERLINK(
"#'2026 Orders'!C"&amp;
MATCH(1,
('2026 Orders'!C:C=C576)*
('2026 Orders'!G:G=G576)*
('2026 Orders'!N:N=N576),
0),
"Open "&amp;C576
))</f>
        <v/>
      </c>
      <c r="F576" s="14">
        <v>0</v>
      </c>
      <c r="G576" s="14">
        <f>'2026 Orders'!G575</f>
        <v>0</v>
      </c>
      <c r="H576" s="14" t="str">
        <f>'2026 Orders'!H575</f>
        <v/>
      </c>
      <c r="I576" s="15" t="str">
        <f>'2026 Orders'!I575</f>
        <v/>
      </c>
      <c r="J576" s="14">
        <f>'2026 Orders'!J575</f>
        <v>0</v>
      </c>
      <c r="K576">
        <v>0</v>
      </c>
      <c r="L576">
        <v>0</v>
      </c>
      <c r="N576" s="10">
        <f>'2026 Orders'!N575</f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C576" t="str">
        <f t="shared" si="16"/>
        <v/>
      </c>
      <c r="AD576" t="str">
        <f t="shared" si="17"/>
        <v/>
      </c>
    </row>
    <row r="577" spans="1:30" ht="33" hidden="1" customHeight="1" x14ac:dyDescent="0.3">
      <c r="A577">
        <v>0</v>
      </c>
      <c r="B577" s="14">
        <f>'2026 Orders'!B576</f>
        <v>0</v>
      </c>
      <c r="C577" s="14">
        <f>'2026 Orders'!C576</f>
        <v>0</v>
      </c>
      <c r="D577" s="14">
        <v>0</v>
      </c>
      <c r="E577" s="17" t="str" cm="1">
        <f t="array" ref="E577">IF(C577=0,"",
HYPERLINK(
"#'2026 Orders'!C"&amp;
MATCH(1,
('2026 Orders'!C:C=C577)*
('2026 Orders'!G:G=G577)*
('2026 Orders'!N:N=N577),
0),
"Open "&amp;C577
))</f>
        <v/>
      </c>
      <c r="F577" s="14">
        <v>0</v>
      </c>
      <c r="G577" s="14">
        <f>'2026 Orders'!G576</f>
        <v>0</v>
      </c>
      <c r="H577" s="14" t="str">
        <f>'2026 Orders'!H576</f>
        <v/>
      </c>
      <c r="I577" s="15" t="str">
        <f>'2026 Orders'!I576</f>
        <v/>
      </c>
      <c r="J577" s="14">
        <f>'2026 Orders'!J576</f>
        <v>0</v>
      </c>
      <c r="K577">
        <v>0</v>
      </c>
      <c r="L577">
        <v>0</v>
      </c>
      <c r="N577" s="10">
        <f>'2026 Orders'!N576</f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C577" t="str">
        <f t="shared" si="16"/>
        <v/>
      </c>
      <c r="AD577" t="str">
        <f t="shared" si="17"/>
        <v/>
      </c>
    </row>
    <row r="578" spans="1:30" ht="33" hidden="1" customHeight="1" x14ac:dyDescent="0.3">
      <c r="A578">
        <v>0</v>
      </c>
      <c r="B578" s="14">
        <f>'2026 Orders'!B577</f>
        <v>0</v>
      </c>
      <c r="C578" s="14">
        <f>'2026 Orders'!C577</f>
        <v>0</v>
      </c>
      <c r="D578" s="14">
        <v>0</v>
      </c>
      <c r="E578" s="17" t="str" cm="1">
        <f t="array" ref="E578">IF(C578=0,"",
HYPERLINK(
"#'2026 Orders'!C"&amp;
MATCH(1,
('2026 Orders'!C:C=C578)*
('2026 Orders'!G:G=G578)*
('2026 Orders'!N:N=N578),
0),
"Open "&amp;C578
))</f>
        <v/>
      </c>
      <c r="F578" s="14">
        <v>0</v>
      </c>
      <c r="G578" s="14">
        <f>'2026 Orders'!G577</f>
        <v>0</v>
      </c>
      <c r="H578" s="14" t="str">
        <f>'2026 Orders'!H577</f>
        <v/>
      </c>
      <c r="I578" s="15" t="str">
        <f>'2026 Orders'!I577</f>
        <v/>
      </c>
      <c r="J578" s="14">
        <f>'2026 Orders'!J577</f>
        <v>0</v>
      </c>
      <c r="K578">
        <v>0</v>
      </c>
      <c r="L578">
        <v>0</v>
      </c>
      <c r="N578" s="10">
        <f>'2026 Orders'!N577</f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C578" t="str">
        <f t="shared" si="16"/>
        <v/>
      </c>
      <c r="AD578" t="str">
        <f t="shared" si="17"/>
        <v/>
      </c>
    </row>
    <row r="579" spans="1:30" ht="33" hidden="1" customHeight="1" x14ac:dyDescent="0.3">
      <c r="A579">
        <v>0</v>
      </c>
      <c r="B579" s="14">
        <f>'2026 Orders'!B578</f>
        <v>0</v>
      </c>
      <c r="C579" s="14">
        <f>'2026 Orders'!C578</f>
        <v>0</v>
      </c>
      <c r="D579" s="14">
        <v>0</v>
      </c>
      <c r="E579" s="17" t="str" cm="1">
        <f t="array" ref="E579">IF(C579=0,"",
HYPERLINK(
"#'2026 Orders'!C"&amp;
MATCH(1,
('2026 Orders'!C:C=C579)*
('2026 Orders'!G:G=G579)*
('2026 Orders'!N:N=N579),
0),
"Open "&amp;C579
))</f>
        <v/>
      </c>
      <c r="F579" s="14">
        <v>0</v>
      </c>
      <c r="G579" s="14">
        <f>'2026 Orders'!G578</f>
        <v>0</v>
      </c>
      <c r="H579" s="14" t="str">
        <f>'2026 Orders'!H578</f>
        <v/>
      </c>
      <c r="I579" s="15" t="str">
        <f>'2026 Orders'!I578</f>
        <v/>
      </c>
      <c r="J579" s="14">
        <f>'2026 Orders'!J578</f>
        <v>0</v>
      </c>
      <c r="K579">
        <v>0</v>
      </c>
      <c r="L579">
        <v>0</v>
      </c>
      <c r="N579" s="10">
        <f>'2026 Orders'!N578</f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C579" t="str">
        <f t="shared" ref="AC579:AC642" si="18">IF(OR(B579="",B579=0),"",J579&amp;"/"&amp;$AJ$2)</f>
        <v/>
      </c>
      <c r="AD579" t="str">
        <f t="shared" ref="AD579:AD642" si="19">IF(OR(J579="",J579=0),"",I579&amp;" -&gt; "&amp;$AK$2)</f>
        <v/>
      </c>
    </row>
    <row r="580" spans="1:30" ht="33" hidden="1" customHeight="1" x14ac:dyDescent="0.3">
      <c r="A580">
        <v>0</v>
      </c>
      <c r="B580" s="14">
        <f>'2026 Orders'!B579</f>
        <v>0</v>
      </c>
      <c r="C580" s="14">
        <f>'2026 Orders'!C579</f>
        <v>0</v>
      </c>
      <c r="D580" s="14">
        <v>0</v>
      </c>
      <c r="E580" s="17" t="str" cm="1">
        <f t="array" ref="E580">IF(C580=0,"",
HYPERLINK(
"#'2026 Orders'!C"&amp;
MATCH(1,
('2026 Orders'!C:C=C580)*
('2026 Orders'!G:G=G580)*
('2026 Orders'!N:N=N580),
0),
"Open "&amp;C580
))</f>
        <v/>
      </c>
      <c r="F580" s="14">
        <v>0</v>
      </c>
      <c r="G580" s="14">
        <f>'2026 Orders'!G579</f>
        <v>0</v>
      </c>
      <c r="H580" s="14" t="str">
        <f>'2026 Orders'!H579</f>
        <v/>
      </c>
      <c r="I580" s="15" t="str">
        <f>'2026 Orders'!I579</f>
        <v/>
      </c>
      <c r="J580" s="14">
        <f>'2026 Orders'!J579</f>
        <v>0</v>
      </c>
      <c r="K580">
        <v>0</v>
      </c>
      <c r="L580">
        <v>0</v>
      </c>
      <c r="N580" s="10">
        <f>'2026 Orders'!N579</f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C580" t="str">
        <f t="shared" si="18"/>
        <v/>
      </c>
      <c r="AD580" t="str">
        <f t="shared" si="19"/>
        <v/>
      </c>
    </row>
    <row r="581" spans="1:30" ht="33" hidden="1" customHeight="1" x14ac:dyDescent="0.3">
      <c r="A581">
        <v>0</v>
      </c>
      <c r="B581" s="14">
        <f>'2026 Orders'!B580</f>
        <v>0</v>
      </c>
      <c r="C581" s="14">
        <f>'2026 Orders'!C580</f>
        <v>0</v>
      </c>
      <c r="D581" s="14">
        <v>0</v>
      </c>
      <c r="E581" s="17" t="str" cm="1">
        <f t="array" ref="E581">IF(C581=0,"",
HYPERLINK(
"#'2026 Orders'!C"&amp;
MATCH(1,
('2026 Orders'!C:C=C581)*
('2026 Orders'!G:G=G581)*
('2026 Orders'!N:N=N581),
0),
"Open "&amp;C581
))</f>
        <v/>
      </c>
      <c r="F581" s="14">
        <v>0</v>
      </c>
      <c r="G581" s="14">
        <f>'2026 Orders'!G580</f>
        <v>0</v>
      </c>
      <c r="H581" s="14" t="str">
        <f>'2026 Orders'!H580</f>
        <v/>
      </c>
      <c r="I581" s="15" t="str">
        <f>'2026 Orders'!I580</f>
        <v/>
      </c>
      <c r="J581" s="14">
        <f>'2026 Orders'!J580</f>
        <v>0</v>
      </c>
      <c r="K581">
        <v>0</v>
      </c>
      <c r="L581">
        <v>0</v>
      </c>
      <c r="N581" s="10">
        <f>'2026 Orders'!N580</f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C581" t="str">
        <f t="shared" si="18"/>
        <v/>
      </c>
      <c r="AD581" t="str">
        <f t="shared" si="19"/>
        <v/>
      </c>
    </row>
    <row r="582" spans="1:30" ht="33" hidden="1" customHeight="1" x14ac:dyDescent="0.3">
      <c r="A582">
        <v>0</v>
      </c>
      <c r="B582" s="14">
        <f>'2026 Orders'!B581</f>
        <v>0</v>
      </c>
      <c r="C582" s="14">
        <f>'2026 Orders'!C581</f>
        <v>0</v>
      </c>
      <c r="D582" s="14">
        <v>0</v>
      </c>
      <c r="E582" s="17" t="str" cm="1">
        <f t="array" ref="E582">IF(C582=0,"",
HYPERLINK(
"#'2026 Orders'!C"&amp;
MATCH(1,
('2026 Orders'!C:C=C582)*
('2026 Orders'!G:G=G582)*
('2026 Orders'!N:N=N582),
0),
"Open "&amp;C582
))</f>
        <v/>
      </c>
      <c r="F582" s="14">
        <v>0</v>
      </c>
      <c r="G582" s="14">
        <f>'2026 Orders'!G581</f>
        <v>0</v>
      </c>
      <c r="H582" s="14" t="str">
        <f>'2026 Orders'!H581</f>
        <v/>
      </c>
      <c r="I582" s="15" t="str">
        <f>'2026 Orders'!I581</f>
        <v/>
      </c>
      <c r="J582" s="14">
        <f>'2026 Orders'!J581</f>
        <v>0</v>
      </c>
      <c r="K582">
        <v>0</v>
      </c>
      <c r="L582">
        <v>0</v>
      </c>
      <c r="N582" s="10">
        <f>'2026 Orders'!N581</f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C582" t="str">
        <f t="shared" si="18"/>
        <v/>
      </c>
      <c r="AD582" t="str">
        <f t="shared" si="19"/>
        <v/>
      </c>
    </row>
    <row r="583" spans="1:30" ht="33" hidden="1" customHeight="1" x14ac:dyDescent="0.3">
      <c r="A583">
        <v>0</v>
      </c>
      <c r="B583" s="14">
        <f>'2026 Orders'!B582</f>
        <v>0</v>
      </c>
      <c r="C583" s="14">
        <f>'2026 Orders'!C582</f>
        <v>0</v>
      </c>
      <c r="D583" s="14">
        <v>0</v>
      </c>
      <c r="E583" s="17" t="str" cm="1">
        <f t="array" ref="E583">IF(C583=0,"",
HYPERLINK(
"#'2026 Orders'!C"&amp;
MATCH(1,
('2026 Orders'!C:C=C583)*
('2026 Orders'!G:G=G583)*
('2026 Orders'!N:N=N583),
0),
"Open "&amp;C583
))</f>
        <v/>
      </c>
      <c r="F583" s="14">
        <v>0</v>
      </c>
      <c r="G583" s="14">
        <f>'2026 Orders'!G582</f>
        <v>0</v>
      </c>
      <c r="H583" s="14" t="str">
        <f>'2026 Orders'!H582</f>
        <v/>
      </c>
      <c r="I583" s="15" t="str">
        <f>'2026 Orders'!I582</f>
        <v/>
      </c>
      <c r="J583" s="14">
        <f>'2026 Orders'!J582</f>
        <v>0</v>
      </c>
      <c r="K583">
        <v>0</v>
      </c>
      <c r="L583">
        <v>0</v>
      </c>
      <c r="N583" s="10">
        <f>'2026 Orders'!N582</f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C583" t="str">
        <f t="shared" si="18"/>
        <v/>
      </c>
      <c r="AD583" t="str">
        <f t="shared" si="19"/>
        <v/>
      </c>
    </row>
    <row r="584" spans="1:30" ht="33" hidden="1" customHeight="1" x14ac:dyDescent="0.3">
      <c r="A584">
        <v>0</v>
      </c>
      <c r="B584" s="14">
        <f>'2026 Orders'!B583</f>
        <v>0</v>
      </c>
      <c r="C584" s="14">
        <f>'2026 Orders'!C583</f>
        <v>0</v>
      </c>
      <c r="D584" s="14">
        <v>0</v>
      </c>
      <c r="E584" s="17" t="str" cm="1">
        <f t="array" ref="E584">IF(C584=0,"",
HYPERLINK(
"#'2026 Orders'!C"&amp;
MATCH(1,
('2026 Orders'!C:C=C584)*
('2026 Orders'!G:G=G584)*
('2026 Orders'!N:N=N584),
0),
"Open "&amp;C584
))</f>
        <v/>
      </c>
      <c r="F584" s="14">
        <v>0</v>
      </c>
      <c r="G584" s="14">
        <f>'2026 Orders'!G583</f>
        <v>0</v>
      </c>
      <c r="H584" s="14" t="str">
        <f>'2026 Orders'!H583</f>
        <v/>
      </c>
      <c r="I584" s="15" t="str">
        <f>'2026 Orders'!I583</f>
        <v/>
      </c>
      <c r="J584" s="14">
        <f>'2026 Orders'!J583</f>
        <v>0</v>
      </c>
      <c r="K584">
        <v>0</v>
      </c>
      <c r="L584">
        <v>0</v>
      </c>
      <c r="N584" s="10">
        <f>'2026 Orders'!N583</f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C584" t="str">
        <f t="shared" si="18"/>
        <v/>
      </c>
      <c r="AD584" t="str">
        <f t="shared" si="19"/>
        <v/>
      </c>
    </row>
    <row r="585" spans="1:30" ht="33" hidden="1" customHeight="1" x14ac:dyDescent="0.3">
      <c r="A585">
        <v>0</v>
      </c>
      <c r="B585" s="14">
        <f>'2026 Orders'!B584</f>
        <v>0</v>
      </c>
      <c r="C585" s="14">
        <f>'2026 Orders'!C584</f>
        <v>0</v>
      </c>
      <c r="D585" s="14">
        <v>0</v>
      </c>
      <c r="E585" s="17" t="str" cm="1">
        <f t="array" ref="E585">IF(C585=0,"",
HYPERLINK(
"#'2026 Orders'!C"&amp;
MATCH(1,
('2026 Orders'!C:C=C585)*
('2026 Orders'!G:G=G585)*
('2026 Orders'!N:N=N585),
0),
"Open "&amp;C585
))</f>
        <v/>
      </c>
      <c r="F585" s="14">
        <v>0</v>
      </c>
      <c r="G585" s="14">
        <f>'2026 Orders'!G584</f>
        <v>0</v>
      </c>
      <c r="H585" s="14" t="str">
        <f>'2026 Orders'!H584</f>
        <v/>
      </c>
      <c r="I585" s="15" t="str">
        <f>'2026 Orders'!I584</f>
        <v/>
      </c>
      <c r="J585" s="14">
        <f>'2026 Orders'!J584</f>
        <v>0</v>
      </c>
      <c r="K585">
        <v>0</v>
      </c>
      <c r="L585">
        <v>0</v>
      </c>
      <c r="N585" s="10">
        <f>'2026 Orders'!N584</f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C585" t="str">
        <f t="shared" si="18"/>
        <v/>
      </c>
      <c r="AD585" t="str">
        <f t="shared" si="19"/>
        <v/>
      </c>
    </row>
    <row r="586" spans="1:30" ht="33" hidden="1" customHeight="1" x14ac:dyDescent="0.3">
      <c r="A586">
        <v>0</v>
      </c>
      <c r="B586" s="14">
        <f>'2026 Orders'!B585</f>
        <v>0</v>
      </c>
      <c r="C586" s="14">
        <f>'2026 Orders'!C585</f>
        <v>0</v>
      </c>
      <c r="D586" s="14">
        <v>0</v>
      </c>
      <c r="E586" s="17" t="str" cm="1">
        <f t="array" ref="E586">IF(C586=0,"",
HYPERLINK(
"#'2026 Orders'!C"&amp;
MATCH(1,
('2026 Orders'!C:C=C586)*
('2026 Orders'!G:G=G586)*
('2026 Orders'!N:N=N586),
0),
"Open "&amp;C586
))</f>
        <v/>
      </c>
      <c r="F586" s="14">
        <v>0</v>
      </c>
      <c r="G586" s="14">
        <f>'2026 Orders'!G585</f>
        <v>0</v>
      </c>
      <c r="H586" s="14" t="str">
        <f>'2026 Orders'!H585</f>
        <v/>
      </c>
      <c r="I586" s="15" t="str">
        <f>'2026 Orders'!I585</f>
        <v/>
      </c>
      <c r="J586" s="14">
        <f>'2026 Orders'!J585</f>
        <v>0</v>
      </c>
      <c r="K586">
        <v>0</v>
      </c>
      <c r="L586">
        <v>0</v>
      </c>
      <c r="N586" s="10">
        <f>'2026 Orders'!N585</f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C586" t="str">
        <f t="shared" si="18"/>
        <v/>
      </c>
      <c r="AD586" t="str">
        <f t="shared" si="19"/>
        <v/>
      </c>
    </row>
    <row r="587" spans="1:30" ht="33" hidden="1" customHeight="1" x14ac:dyDescent="0.3">
      <c r="A587">
        <v>0</v>
      </c>
      <c r="B587" s="14">
        <f>'2026 Orders'!B586</f>
        <v>0</v>
      </c>
      <c r="C587" s="14">
        <f>'2026 Orders'!C586</f>
        <v>0</v>
      </c>
      <c r="D587" s="14">
        <v>0</v>
      </c>
      <c r="E587" s="17" t="str" cm="1">
        <f t="array" ref="E587">IF(C587=0,"",
HYPERLINK(
"#'2026 Orders'!C"&amp;
MATCH(1,
('2026 Orders'!C:C=C587)*
('2026 Orders'!G:G=G587)*
('2026 Orders'!N:N=N587),
0),
"Open "&amp;C587
))</f>
        <v/>
      </c>
      <c r="F587" s="14">
        <v>0</v>
      </c>
      <c r="G587" s="14">
        <f>'2026 Orders'!G586</f>
        <v>0</v>
      </c>
      <c r="H587" s="14" t="str">
        <f>'2026 Orders'!H586</f>
        <v/>
      </c>
      <c r="I587" s="15" t="str">
        <f>'2026 Orders'!I586</f>
        <v/>
      </c>
      <c r="J587" s="14">
        <f>'2026 Orders'!J586</f>
        <v>0</v>
      </c>
      <c r="K587">
        <v>0</v>
      </c>
      <c r="L587">
        <v>0</v>
      </c>
      <c r="N587" s="10">
        <f>'2026 Orders'!N586</f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C587" t="str">
        <f t="shared" si="18"/>
        <v/>
      </c>
      <c r="AD587" t="str">
        <f t="shared" si="19"/>
        <v/>
      </c>
    </row>
    <row r="588" spans="1:30" ht="33" hidden="1" customHeight="1" x14ac:dyDescent="0.3">
      <c r="A588">
        <v>0</v>
      </c>
      <c r="B588" s="14">
        <f>'2026 Orders'!B587</f>
        <v>0</v>
      </c>
      <c r="C588" s="14">
        <f>'2026 Orders'!C587</f>
        <v>0</v>
      </c>
      <c r="D588" s="14">
        <v>0</v>
      </c>
      <c r="E588" s="17" t="str" cm="1">
        <f t="array" ref="E588">IF(C588=0,"",
HYPERLINK(
"#'2026 Orders'!C"&amp;
MATCH(1,
('2026 Orders'!C:C=C588)*
('2026 Orders'!G:G=G588)*
('2026 Orders'!N:N=N588),
0),
"Open "&amp;C588
))</f>
        <v/>
      </c>
      <c r="F588" s="14">
        <v>0</v>
      </c>
      <c r="G588" s="14">
        <f>'2026 Orders'!G587</f>
        <v>0</v>
      </c>
      <c r="H588" s="14" t="str">
        <f>'2026 Orders'!H587</f>
        <v/>
      </c>
      <c r="I588" s="15" t="str">
        <f>'2026 Orders'!I587</f>
        <v/>
      </c>
      <c r="J588" s="14">
        <f>'2026 Orders'!J587</f>
        <v>0</v>
      </c>
      <c r="K588">
        <v>0</v>
      </c>
      <c r="L588">
        <v>0</v>
      </c>
      <c r="N588" s="10">
        <f>'2026 Orders'!N587</f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C588" t="str">
        <f t="shared" si="18"/>
        <v/>
      </c>
      <c r="AD588" t="str">
        <f t="shared" si="19"/>
        <v/>
      </c>
    </row>
    <row r="589" spans="1:30" ht="33" hidden="1" customHeight="1" x14ac:dyDescent="0.3">
      <c r="A589">
        <v>0</v>
      </c>
      <c r="B589" s="14">
        <f>'2026 Orders'!B588</f>
        <v>0</v>
      </c>
      <c r="C589" s="14">
        <f>'2026 Orders'!C588</f>
        <v>0</v>
      </c>
      <c r="D589" s="14">
        <v>0</v>
      </c>
      <c r="E589" s="17" t="str" cm="1">
        <f t="array" ref="E589">IF(C589=0,"",
HYPERLINK(
"#'2026 Orders'!C"&amp;
MATCH(1,
('2026 Orders'!C:C=C589)*
('2026 Orders'!G:G=G589)*
('2026 Orders'!N:N=N589),
0),
"Open "&amp;C589
))</f>
        <v/>
      </c>
      <c r="F589" s="14">
        <v>0</v>
      </c>
      <c r="G589" s="14">
        <f>'2026 Orders'!G588</f>
        <v>0</v>
      </c>
      <c r="H589" s="14" t="str">
        <f>'2026 Orders'!H588</f>
        <v/>
      </c>
      <c r="I589" s="15" t="str">
        <f>'2026 Orders'!I588</f>
        <v/>
      </c>
      <c r="J589" s="14">
        <f>'2026 Orders'!J588</f>
        <v>0</v>
      </c>
      <c r="K589">
        <v>0</v>
      </c>
      <c r="L589">
        <v>0</v>
      </c>
      <c r="N589" s="10">
        <f>'2026 Orders'!N588</f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C589" t="str">
        <f t="shared" si="18"/>
        <v/>
      </c>
      <c r="AD589" t="str">
        <f t="shared" si="19"/>
        <v/>
      </c>
    </row>
    <row r="590" spans="1:30" ht="33" hidden="1" customHeight="1" x14ac:dyDescent="0.3">
      <c r="A590">
        <v>0</v>
      </c>
      <c r="B590" s="14">
        <f>'2026 Orders'!B589</f>
        <v>0</v>
      </c>
      <c r="C590" s="14">
        <f>'2026 Orders'!C589</f>
        <v>0</v>
      </c>
      <c r="D590" s="14">
        <v>0</v>
      </c>
      <c r="E590" s="17" t="str" cm="1">
        <f t="array" ref="E590">IF(C590=0,"",
HYPERLINK(
"#'2026 Orders'!C"&amp;
MATCH(1,
('2026 Orders'!C:C=C590)*
('2026 Orders'!G:G=G590)*
('2026 Orders'!N:N=N590),
0),
"Open "&amp;C590
))</f>
        <v/>
      </c>
      <c r="F590" s="14">
        <v>0</v>
      </c>
      <c r="G590" s="14">
        <f>'2026 Orders'!G589</f>
        <v>0</v>
      </c>
      <c r="H590" s="14" t="str">
        <f>'2026 Orders'!H589</f>
        <v/>
      </c>
      <c r="I590" s="15" t="str">
        <f>'2026 Orders'!I589</f>
        <v/>
      </c>
      <c r="J590" s="14">
        <f>'2026 Orders'!J589</f>
        <v>0</v>
      </c>
      <c r="K590">
        <v>0</v>
      </c>
      <c r="L590">
        <v>0</v>
      </c>
      <c r="N590" s="10">
        <f>'2026 Orders'!N589</f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C590" t="str">
        <f t="shared" si="18"/>
        <v/>
      </c>
      <c r="AD590" t="str">
        <f t="shared" si="19"/>
        <v/>
      </c>
    </row>
    <row r="591" spans="1:30" ht="33" hidden="1" customHeight="1" x14ac:dyDescent="0.3">
      <c r="A591">
        <v>0</v>
      </c>
      <c r="B591" s="14">
        <f>'2026 Orders'!B590</f>
        <v>0</v>
      </c>
      <c r="C591" s="14">
        <f>'2026 Orders'!C590</f>
        <v>0</v>
      </c>
      <c r="D591" s="14">
        <v>0</v>
      </c>
      <c r="E591" s="17" t="str" cm="1">
        <f t="array" ref="E591">IF(C591=0,"",
HYPERLINK(
"#'2026 Orders'!C"&amp;
MATCH(1,
('2026 Orders'!C:C=C591)*
('2026 Orders'!G:G=G591)*
('2026 Orders'!N:N=N591),
0),
"Open "&amp;C591
))</f>
        <v/>
      </c>
      <c r="F591" s="14">
        <v>0</v>
      </c>
      <c r="G591" s="14">
        <f>'2026 Orders'!G590</f>
        <v>0</v>
      </c>
      <c r="H591" s="14" t="str">
        <f>'2026 Orders'!H590</f>
        <v/>
      </c>
      <c r="I591" s="15" t="str">
        <f>'2026 Orders'!I590</f>
        <v/>
      </c>
      <c r="J591" s="14">
        <f>'2026 Orders'!J590</f>
        <v>0</v>
      </c>
      <c r="K591">
        <v>0</v>
      </c>
      <c r="L591">
        <v>0</v>
      </c>
      <c r="N591" s="10">
        <f>'2026 Orders'!N590</f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C591" t="str">
        <f t="shared" si="18"/>
        <v/>
      </c>
      <c r="AD591" t="str">
        <f t="shared" si="19"/>
        <v/>
      </c>
    </row>
    <row r="592" spans="1:30" ht="33" hidden="1" customHeight="1" x14ac:dyDescent="0.3">
      <c r="A592">
        <v>0</v>
      </c>
      <c r="B592" s="14">
        <f>'2026 Orders'!B591</f>
        <v>0</v>
      </c>
      <c r="C592" s="14">
        <f>'2026 Orders'!C591</f>
        <v>0</v>
      </c>
      <c r="D592" s="14">
        <v>0</v>
      </c>
      <c r="E592" s="17" t="str" cm="1">
        <f t="array" ref="E592">IF(C592=0,"",
HYPERLINK(
"#'2026 Orders'!C"&amp;
MATCH(1,
('2026 Orders'!C:C=C592)*
('2026 Orders'!G:G=G592)*
('2026 Orders'!N:N=N592),
0),
"Open "&amp;C592
))</f>
        <v/>
      </c>
      <c r="F592" s="14">
        <v>0</v>
      </c>
      <c r="G592" s="14">
        <f>'2026 Orders'!G591</f>
        <v>0</v>
      </c>
      <c r="H592" s="14" t="str">
        <f>'2026 Orders'!H591</f>
        <v/>
      </c>
      <c r="I592" s="15" t="str">
        <f>'2026 Orders'!I591</f>
        <v/>
      </c>
      <c r="J592" s="14">
        <f>'2026 Orders'!J591</f>
        <v>0</v>
      </c>
      <c r="K592">
        <v>0</v>
      </c>
      <c r="L592">
        <v>0</v>
      </c>
      <c r="N592" s="10">
        <f>'2026 Orders'!N591</f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C592" t="str">
        <f t="shared" si="18"/>
        <v/>
      </c>
      <c r="AD592" t="str">
        <f t="shared" si="19"/>
        <v/>
      </c>
    </row>
    <row r="593" spans="1:30" ht="33" hidden="1" customHeight="1" x14ac:dyDescent="0.3">
      <c r="A593">
        <v>0</v>
      </c>
      <c r="B593" s="14">
        <f>'2026 Orders'!B592</f>
        <v>0</v>
      </c>
      <c r="C593" s="14">
        <f>'2026 Orders'!C592</f>
        <v>0</v>
      </c>
      <c r="D593" s="14">
        <v>0</v>
      </c>
      <c r="E593" s="17" t="str" cm="1">
        <f t="array" ref="E593">IF(C593=0,"",
HYPERLINK(
"#'2026 Orders'!C"&amp;
MATCH(1,
('2026 Orders'!C:C=C593)*
('2026 Orders'!G:G=G593)*
('2026 Orders'!N:N=N593),
0),
"Open "&amp;C593
))</f>
        <v/>
      </c>
      <c r="F593" s="14">
        <v>0</v>
      </c>
      <c r="G593" s="14">
        <f>'2026 Orders'!G592</f>
        <v>0</v>
      </c>
      <c r="H593" s="14" t="str">
        <f>'2026 Orders'!H592</f>
        <v/>
      </c>
      <c r="I593" s="15" t="str">
        <f>'2026 Orders'!I592</f>
        <v/>
      </c>
      <c r="J593" s="14">
        <f>'2026 Orders'!J592</f>
        <v>0</v>
      </c>
      <c r="K593">
        <v>0</v>
      </c>
      <c r="L593">
        <v>0</v>
      </c>
      <c r="N593" s="10">
        <f>'2026 Orders'!N592</f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C593" t="str">
        <f t="shared" si="18"/>
        <v/>
      </c>
      <c r="AD593" t="str">
        <f t="shared" si="19"/>
        <v/>
      </c>
    </row>
    <row r="594" spans="1:30" ht="33" hidden="1" customHeight="1" x14ac:dyDescent="0.3">
      <c r="A594">
        <v>0</v>
      </c>
      <c r="B594" s="14">
        <f>'2026 Orders'!B593</f>
        <v>0</v>
      </c>
      <c r="C594" s="14">
        <f>'2026 Orders'!C593</f>
        <v>0</v>
      </c>
      <c r="D594" s="14">
        <v>0</v>
      </c>
      <c r="E594" s="17" t="str" cm="1">
        <f t="array" ref="E594">IF(C594=0,"",
HYPERLINK(
"#'2026 Orders'!C"&amp;
MATCH(1,
('2026 Orders'!C:C=C594)*
('2026 Orders'!G:G=G594)*
('2026 Orders'!N:N=N594),
0),
"Open "&amp;C594
))</f>
        <v/>
      </c>
      <c r="F594" s="14">
        <v>0</v>
      </c>
      <c r="G594" s="14">
        <f>'2026 Orders'!G593</f>
        <v>0</v>
      </c>
      <c r="H594" s="14" t="str">
        <f>'2026 Orders'!H593</f>
        <v/>
      </c>
      <c r="I594" s="15" t="str">
        <f>'2026 Orders'!I593</f>
        <v/>
      </c>
      <c r="J594" s="14">
        <f>'2026 Orders'!J593</f>
        <v>0</v>
      </c>
      <c r="K594">
        <v>0</v>
      </c>
      <c r="L594">
        <v>0</v>
      </c>
      <c r="N594" s="10">
        <f>'2026 Orders'!N593</f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C594" t="str">
        <f t="shared" si="18"/>
        <v/>
      </c>
      <c r="AD594" t="str">
        <f t="shared" si="19"/>
        <v/>
      </c>
    </row>
    <row r="595" spans="1:30" ht="33" hidden="1" customHeight="1" x14ac:dyDescent="0.3">
      <c r="A595">
        <v>0</v>
      </c>
      <c r="B595" s="14">
        <f>'2026 Orders'!B594</f>
        <v>0</v>
      </c>
      <c r="C595" s="14">
        <f>'2026 Orders'!C594</f>
        <v>0</v>
      </c>
      <c r="D595" s="14">
        <v>0</v>
      </c>
      <c r="E595" s="17" t="str" cm="1">
        <f t="array" ref="E595">IF(C595=0,"",
HYPERLINK(
"#'2026 Orders'!C"&amp;
MATCH(1,
('2026 Orders'!C:C=C595)*
('2026 Orders'!G:G=G595)*
('2026 Orders'!N:N=N595),
0),
"Open "&amp;C595
))</f>
        <v/>
      </c>
      <c r="F595" s="14">
        <v>0</v>
      </c>
      <c r="G595" s="14">
        <f>'2026 Orders'!G594</f>
        <v>0</v>
      </c>
      <c r="H595" s="14" t="str">
        <f>'2026 Orders'!H594</f>
        <v/>
      </c>
      <c r="I595" s="15" t="str">
        <f>'2026 Orders'!I594</f>
        <v/>
      </c>
      <c r="J595" s="14">
        <f>'2026 Orders'!J594</f>
        <v>0</v>
      </c>
      <c r="K595">
        <v>0</v>
      </c>
      <c r="L595">
        <v>0</v>
      </c>
      <c r="N595" s="10">
        <f>'2026 Orders'!N594</f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C595" t="str">
        <f t="shared" si="18"/>
        <v/>
      </c>
      <c r="AD595" t="str">
        <f t="shared" si="19"/>
        <v/>
      </c>
    </row>
    <row r="596" spans="1:30" ht="33" hidden="1" customHeight="1" x14ac:dyDescent="0.3">
      <c r="A596">
        <v>0</v>
      </c>
      <c r="B596" s="14">
        <f>'2026 Orders'!B595</f>
        <v>0</v>
      </c>
      <c r="C596" s="14">
        <f>'2026 Orders'!C595</f>
        <v>0</v>
      </c>
      <c r="D596" s="14">
        <v>0</v>
      </c>
      <c r="E596" s="17" t="str" cm="1">
        <f t="array" ref="E596">IF(C596=0,"",
HYPERLINK(
"#'2026 Orders'!C"&amp;
MATCH(1,
('2026 Orders'!C:C=C596)*
('2026 Orders'!G:G=G596)*
('2026 Orders'!N:N=N596),
0),
"Open "&amp;C596
))</f>
        <v/>
      </c>
      <c r="F596" s="14">
        <v>0</v>
      </c>
      <c r="G596" s="14">
        <f>'2026 Orders'!G595</f>
        <v>0</v>
      </c>
      <c r="H596" s="14" t="str">
        <f>'2026 Orders'!H595</f>
        <v/>
      </c>
      <c r="I596" s="15" t="str">
        <f>'2026 Orders'!I595</f>
        <v/>
      </c>
      <c r="J596" s="14">
        <f>'2026 Orders'!J595</f>
        <v>0</v>
      </c>
      <c r="K596">
        <v>0</v>
      </c>
      <c r="L596">
        <v>0</v>
      </c>
      <c r="N596" s="10">
        <f>'2026 Orders'!N595</f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C596" t="str">
        <f t="shared" si="18"/>
        <v/>
      </c>
      <c r="AD596" t="str">
        <f t="shared" si="19"/>
        <v/>
      </c>
    </row>
    <row r="597" spans="1:30" ht="33" hidden="1" customHeight="1" x14ac:dyDescent="0.3">
      <c r="A597">
        <v>0</v>
      </c>
      <c r="B597" s="14">
        <f>'2026 Orders'!B596</f>
        <v>0</v>
      </c>
      <c r="C597" s="14">
        <f>'2026 Orders'!C596</f>
        <v>0</v>
      </c>
      <c r="D597" s="14">
        <v>0</v>
      </c>
      <c r="E597" s="17" t="str" cm="1">
        <f t="array" ref="E597">IF(C597=0,"",
HYPERLINK(
"#'2026 Orders'!C"&amp;
MATCH(1,
('2026 Orders'!C:C=C597)*
('2026 Orders'!G:G=G597)*
('2026 Orders'!N:N=N597),
0),
"Open "&amp;C597
))</f>
        <v/>
      </c>
      <c r="F597" s="14">
        <v>0</v>
      </c>
      <c r="G597" s="14">
        <f>'2026 Orders'!G596</f>
        <v>0</v>
      </c>
      <c r="H597" s="14" t="str">
        <f>'2026 Orders'!H596</f>
        <v/>
      </c>
      <c r="I597" s="15" t="str">
        <f>'2026 Orders'!I596</f>
        <v/>
      </c>
      <c r="J597" s="14">
        <f>'2026 Orders'!J596</f>
        <v>0</v>
      </c>
      <c r="K597">
        <v>0</v>
      </c>
      <c r="L597">
        <v>0</v>
      </c>
      <c r="N597" s="10">
        <f>'2026 Orders'!N596</f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C597" t="str">
        <f t="shared" si="18"/>
        <v/>
      </c>
      <c r="AD597" t="str">
        <f t="shared" si="19"/>
        <v/>
      </c>
    </row>
    <row r="598" spans="1:30" ht="33" hidden="1" customHeight="1" x14ac:dyDescent="0.3">
      <c r="A598">
        <v>0</v>
      </c>
      <c r="B598" s="14">
        <f>'2026 Orders'!B597</f>
        <v>0</v>
      </c>
      <c r="C598" s="14">
        <f>'2026 Orders'!C597</f>
        <v>0</v>
      </c>
      <c r="D598" s="14">
        <v>0</v>
      </c>
      <c r="E598" s="17" t="str" cm="1">
        <f t="array" ref="E598">IF(C598=0,"",
HYPERLINK(
"#'2026 Orders'!C"&amp;
MATCH(1,
('2026 Orders'!C:C=C598)*
('2026 Orders'!G:G=G598)*
('2026 Orders'!N:N=N598),
0),
"Open "&amp;C598
))</f>
        <v/>
      </c>
      <c r="F598" s="14">
        <v>0</v>
      </c>
      <c r="G598" s="14">
        <f>'2026 Orders'!G597</f>
        <v>0</v>
      </c>
      <c r="H598" s="14" t="str">
        <f>'2026 Orders'!H597</f>
        <v/>
      </c>
      <c r="I598" s="15" t="str">
        <f>'2026 Orders'!I597</f>
        <v/>
      </c>
      <c r="J598" s="14">
        <f>'2026 Orders'!J597</f>
        <v>0</v>
      </c>
      <c r="K598">
        <v>0</v>
      </c>
      <c r="L598">
        <v>0</v>
      </c>
      <c r="N598" s="10">
        <f>'2026 Orders'!N597</f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C598" t="str">
        <f t="shared" si="18"/>
        <v/>
      </c>
      <c r="AD598" t="str">
        <f t="shared" si="19"/>
        <v/>
      </c>
    </row>
    <row r="599" spans="1:30" ht="33" hidden="1" customHeight="1" x14ac:dyDescent="0.3">
      <c r="A599">
        <v>0</v>
      </c>
      <c r="B599" s="14">
        <f>'2026 Orders'!B598</f>
        <v>0</v>
      </c>
      <c r="C599" s="14">
        <f>'2026 Orders'!C598</f>
        <v>0</v>
      </c>
      <c r="D599" s="14">
        <v>0</v>
      </c>
      <c r="E599" s="17" t="str" cm="1">
        <f t="array" ref="E599">IF(C599=0,"",
HYPERLINK(
"#'2026 Orders'!C"&amp;
MATCH(1,
('2026 Orders'!C:C=C599)*
('2026 Orders'!G:G=G599)*
('2026 Orders'!N:N=N599),
0),
"Open "&amp;C599
))</f>
        <v/>
      </c>
      <c r="F599" s="14">
        <v>0</v>
      </c>
      <c r="G599" s="14">
        <f>'2026 Orders'!G598</f>
        <v>0</v>
      </c>
      <c r="H599" s="14" t="str">
        <f>'2026 Orders'!H598</f>
        <v/>
      </c>
      <c r="I599" s="15" t="str">
        <f>'2026 Orders'!I598</f>
        <v/>
      </c>
      <c r="J599" s="14">
        <f>'2026 Orders'!J598</f>
        <v>0</v>
      </c>
      <c r="K599">
        <v>0</v>
      </c>
      <c r="L599">
        <v>0</v>
      </c>
      <c r="N599" s="10">
        <f>'2026 Orders'!N598</f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C599" t="str">
        <f t="shared" si="18"/>
        <v/>
      </c>
      <c r="AD599" t="str">
        <f t="shared" si="19"/>
        <v/>
      </c>
    </row>
    <row r="600" spans="1:30" ht="33" hidden="1" customHeight="1" x14ac:dyDescent="0.3">
      <c r="A600">
        <v>0</v>
      </c>
      <c r="B600" s="14">
        <f>'2026 Orders'!B599</f>
        <v>0</v>
      </c>
      <c r="C600" s="14">
        <f>'2026 Orders'!C599</f>
        <v>0</v>
      </c>
      <c r="D600" s="14">
        <v>0</v>
      </c>
      <c r="E600" s="17" t="str" cm="1">
        <f t="array" ref="E600">IF(C600=0,"",
HYPERLINK(
"#'2026 Orders'!C"&amp;
MATCH(1,
('2026 Orders'!C:C=C600)*
('2026 Orders'!G:G=G600)*
('2026 Orders'!N:N=N600),
0),
"Open "&amp;C600
))</f>
        <v/>
      </c>
      <c r="F600" s="14">
        <v>0</v>
      </c>
      <c r="G600" s="14">
        <f>'2026 Orders'!G599</f>
        <v>0</v>
      </c>
      <c r="H600" s="14" t="str">
        <f>'2026 Orders'!H599</f>
        <v/>
      </c>
      <c r="I600" s="15" t="str">
        <f>'2026 Orders'!I599</f>
        <v/>
      </c>
      <c r="J600" s="14">
        <f>'2026 Orders'!J599</f>
        <v>0</v>
      </c>
      <c r="K600">
        <v>0</v>
      </c>
      <c r="L600">
        <v>0</v>
      </c>
      <c r="N600" s="10">
        <f>'2026 Orders'!N599</f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C600" t="str">
        <f t="shared" si="18"/>
        <v/>
      </c>
      <c r="AD600" t="str">
        <f t="shared" si="19"/>
        <v/>
      </c>
    </row>
    <row r="601" spans="1:30" ht="33" hidden="1" customHeight="1" x14ac:dyDescent="0.3">
      <c r="A601">
        <v>0</v>
      </c>
      <c r="B601" s="14">
        <f>'2026 Orders'!B600</f>
        <v>0</v>
      </c>
      <c r="C601" s="14">
        <f>'2026 Orders'!C600</f>
        <v>0</v>
      </c>
      <c r="D601" s="14">
        <v>0</v>
      </c>
      <c r="E601" s="17" t="str" cm="1">
        <f t="array" ref="E601">IF(C601=0,"",
HYPERLINK(
"#'2026 Orders'!C"&amp;
MATCH(1,
('2026 Orders'!C:C=C601)*
('2026 Orders'!G:G=G601)*
('2026 Orders'!N:N=N601),
0),
"Open "&amp;C601
))</f>
        <v/>
      </c>
      <c r="F601" s="14">
        <v>0</v>
      </c>
      <c r="G601" s="14">
        <f>'2026 Orders'!G600</f>
        <v>0</v>
      </c>
      <c r="H601" s="14" t="str">
        <f>'2026 Orders'!H600</f>
        <v/>
      </c>
      <c r="I601" s="15" t="str">
        <f>'2026 Orders'!I600</f>
        <v/>
      </c>
      <c r="J601" s="14">
        <f>'2026 Orders'!J600</f>
        <v>0</v>
      </c>
      <c r="K601">
        <v>0</v>
      </c>
      <c r="L601">
        <v>0</v>
      </c>
      <c r="N601" s="10">
        <f>'2026 Orders'!N600</f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C601" t="str">
        <f t="shared" si="18"/>
        <v/>
      </c>
      <c r="AD601" t="str">
        <f t="shared" si="19"/>
        <v/>
      </c>
    </row>
    <row r="602" spans="1:30" ht="33" hidden="1" customHeight="1" x14ac:dyDescent="0.3">
      <c r="A602">
        <v>0</v>
      </c>
      <c r="B602" s="14">
        <f>'2026 Orders'!B601</f>
        <v>0</v>
      </c>
      <c r="C602" s="14">
        <f>'2026 Orders'!C601</f>
        <v>0</v>
      </c>
      <c r="D602" s="14">
        <v>0</v>
      </c>
      <c r="E602" s="17" t="str" cm="1">
        <f t="array" ref="E602">IF(C602=0,"",
HYPERLINK(
"#'2026 Orders'!C"&amp;
MATCH(1,
('2026 Orders'!C:C=C602)*
('2026 Orders'!G:G=G602)*
('2026 Orders'!N:N=N602),
0),
"Open "&amp;C602
))</f>
        <v/>
      </c>
      <c r="F602" s="14">
        <v>0</v>
      </c>
      <c r="G602" s="14">
        <f>'2026 Orders'!G601</f>
        <v>0</v>
      </c>
      <c r="H602" s="14" t="str">
        <f>'2026 Orders'!H601</f>
        <v/>
      </c>
      <c r="I602" s="15" t="str">
        <f>'2026 Orders'!I601</f>
        <v/>
      </c>
      <c r="J602" s="14">
        <f>'2026 Orders'!J601</f>
        <v>0</v>
      </c>
      <c r="K602">
        <v>0</v>
      </c>
      <c r="L602">
        <v>0</v>
      </c>
      <c r="N602" s="10">
        <f>'2026 Orders'!N601</f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C602" t="str">
        <f t="shared" si="18"/>
        <v/>
      </c>
      <c r="AD602" t="str">
        <f t="shared" si="19"/>
        <v/>
      </c>
    </row>
    <row r="603" spans="1:30" ht="33" hidden="1" customHeight="1" x14ac:dyDescent="0.3">
      <c r="A603">
        <v>0</v>
      </c>
      <c r="B603" s="14">
        <f>'2026 Orders'!B602</f>
        <v>0</v>
      </c>
      <c r="C603" s="14">
        <f>'2026 Orders'!C602</f>
        <v>0</v>
      </c>
      <c r="D603" s="14">
        <v>0</v>
      </c>
      <c r="E603" s="17" t="str" cm="1">
        <f t="array" ref="E603">IF(C603=0,"",
HYPERLINK(
"#'2026 Orders'!C"&amp;
MATCH(1,
('2026 Orders'!C:C=C603)*
('2026 Orders'!G:G=G603)*
('2026 Orders'!N:N=N603),
0),
"Open "&amp;C603
))</f>
        <v/>
      </c>
      <c r="F603" s="14">
        <v>0</v>
      </c>
      <c r="G603" s="14">
        <f>'2026 Orders'!G602</f>
        <v>0</v>
      </c>
      <c r="H603" s="14" t="str">
        <f>'2026 Orders'!H602</f>
        <v/>
      </c>
      <c r="I603" s="15" t="str">
        <f>'2026 Orders'!I602</f>
        <v/>
      </c>
      <c r="J603" s="14">
        <f>'2026 Orders'!J602</f>
        <v>0</v>
      </c>
      <c r="K603">
        <v>0</v>
      </c>
      <c r="L603">
        <v>0</v>
      </c>
      <c r="N603" s="10">
        <f>'2026 Orders'!N602</f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C603" t="str">
        <f t="shared" si="18"/>
        <v/>
      </c>
      <c r="AD603" t="str">
        <f t="shared" si="19"/>
        <v/>
      </c>
    </row>
    <row r="604" spans="1:30" ht="33" hidden="1" customHeight="1" x14ac:dyDescent="0.3">
      <c r="A604">
        <v>0</v>
      </c>
      <c r="B604" s="14">
        <f>'2026 Orders'!B603</f>
        <v>0</v>
      </c>
      <c r="C604" s="14">
        <f>'2026 Orders'!C603</f>
        <v>0</v>
      </c>
      <c r="D604" s="14">
        <v>0</v>
      </c>
      <c r="E604" s="17" t="str" cm="1">
        <f t="array" ref="E604">IF(C604=0,"",
HYPERLINK(
"#'2026 Orders'!C"&amp;
MATCH(1,
('2026 Orders'!C:C=C604)*
('2026 Orders'!G:G=G604)*
('2026 Orders'!N:N=N604),
0),
"Open "&amp;C604
))</f>
        <v/>
      </c>
      <c r="F604" s="14">
        <v>0</v>
      </c>
      <c r="G604" s="14">
        <f>'2026 Orders'!G603</f>
        <v>0</v>
      </c>
      <c r="H604" s="14" t="str">
        <f>'2026 Orders'!H603</f>
        <v/>
      </c>
      <c r="I604" s="15" t="str">
        <f>'2026 Orders'!I603</f>
        <v/>
      </c>
      <c r="J604" s="14">
        <f>'2026 Orders'!J603</f>
        <v>0</v>
      </c>
      <c r="K604">
        <v>0</v>
      </c>
      <c r="L604">
        <v>0</v>
      </c>
      <c r="N604" s="10">
        <f>'2026 Orders'!N603</f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C604" t="str">
        <f t="shared" si="18"/>
        <v/>
      </c>
      <c r="AD604" t="str">
        <f t="shared" si="19"/>
        <v/>
      </c>
    </row>
    <row r="605" spans="1:30" ht="33" hidden="1" customHeight="1" x14ac:dyDescent="0.3">
      <c r="A605">
        <v>0</v>
      </c>
      <c r="B605" s="14">
        <f>'2026 Orders'!B604</f>
        <v>0</v>
      </c>
      <c r="C605" s="14">
        <f>'2026 Orders'!C604</f>
        <v>0</v>
      </c>
      <c r="D605" s="14">
        <v>0</v>
      </c>
      <c r="E605" s="17" t="str" cm="1">
        <f t="array" ref="E605">IF(C605=0,"",
HYPERLINK(
"#'2026 Orders'!C"&amp;
MATCH(1,
('2026 Orders'!C:C=C605)*
('2026 Orders'!G:G=G605)*
('2026 Orders'!N:N=N605),
0),
"Open "&amp;C605
))</f>
        <v/>
      </c>
      <c r="F605" s="14">
        <v>0</v>
      </c>
      <c r="G605" s="14">
        <f>'2026 Orders'!G604</f>
        <v>0</v>
      </c>
      <c r="H605" s="14" t="str">
        <f>'2026 Orders'!H604</f>
        <v/>
      </c>
      <c r="I605" s="15" t="str">
        <f>'2026 Orders'!I604</f>
        <v/>
      </c>
      <c r="J605" s="14">
        <f>'2026 Orders'!J604</f>
        <v>0</v>
      </c>
      <c r="K605">
        <v>0</v>
      </c>
      <c r="L605">
        <v>0</v>
      </c>
      <c r="N605" s="10">
        <f>'2026 Orders'!N604</f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C605" t="str">
        <f t="shared" si="18"/>
        <v/>
      </c>
      <c r="AD605" t="str">
        <f t="shared" si="19"/>
        <v/>
      </c>
    </row>
    <row r="606" spans="1:30" ht="33" hidden="1" customHeight="1" x14ac:dyDescent="0.3">
      <c r="A606">
        <v>0</v>
      </c>
      <c r="B606" s="14">
        <f>'2026 Orders'!B605</f>
        <v>0</v>
      </c>
      <c r="C606" s="14">
        <f>'2026 Orders'!C605</f>
        <v>0</v>
      </c>
      <c r="D606" s="14">
        <v>0</v>
      </c>
      <c r="E606" s="17" t="str" cm="1">
        <f t="array" ref="E606">IF(C606=0,"",
HYPERLINK(
"#'2026 Orders'!C"&amp;
MATCH(1,
('2026 Orders'!C:C=C606)*
('2026 Orders'!G:G=G606)*
('2026 Orders'!N:N=N606),
0),
"Open "&amp;C606
))</f>
        <v/>
      </c>
      <c r="F606" s="14">
        <v>0</v>
      </c>
      <c r="G606" s="14">
        <f>'2026 Orders'!G605</f>
        <v>0</v>
      </c>
      <c r="H606" s="14" t="str">
        <f>'2026 Orders'!H605</f>
        <v/>
      </c>
      <c r="I606" s="15" t="str">
        <f>'2026 Orders'!I605</f>
        <v/>
      </c>
      <c r="J606" s="14">
        <f>'2026 Orders'!J605</f>
        <v>0</v>
      </c>
      <c r="K606">
        <v>0</v>
      </c>
      <c r="L606">
        <v>0</v>
      </c>
      <c r="N606" s="10">
        <f>'2026 Orders'!N605</f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C606" t="str">
        <f t="shared" si="18"/>
        <v/>
      </c>
      <c r="AD606" t="str">
        <f t="shared" si="19"/>
        <v/>
      </c>
    </row>
    <row r="607" spans="1:30" ht="33" hidden="1" customHeight="1" x14ac:dyDescent="0.3">
      <c r="A607">
        <v>0</v>
      </c>
      <c r="B607" s="14">
        <f>'2026 Orders'!B606</f>
        <v>0</v>
      </c>
      <c r="C607" s="14">
        <f>'2026 Orders'!C606</f>
        <v>0</v>
      </c>
      <c r="D607" s="14">
        <v>0</v>
      </c>
      <c r="E607" s="17" t="str" cm="1">
        <f t="array" ref="E607">IF(C607=0,"",
HYPERLINK(
"#'2026 Orders'!C"&amp;
MATCH(1,
('2026 Orders'!C:C=C607)*
('2026 Orders'!G:G=G607)*
('2026 Orders'!N:N=N607),
0),
"Open "&amp;C607
))</f>
        <v/>
      </c>
      <c r="F607" s="14">
        <v>0</v>
      </c>
      <c r="G607" s="14">
        <f>'2026 Orders'!G606</f>
        <v>0</v>
      </c>
      <c r="H607" s="14" t="str">
        <f>'2026 Orders'!H606</f>
        <v/>
      </c>
      <c r="I607" s="15" t="str">
        <f>'2026 Orders'!I606</f>
        <v/>
      </c>
      <c r="J607" s="14">
        <f>'2026 Orders'!J606</f>
        <v>0</v>
      </c>
      <c r="K607">
        <v>0</v>
      </c>
      <c r="L607">
        <v>0</v>
      </c>
      <c r="N607" s="10">
        <f>'2026 Orders'!N606</f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C607" t="str">
        <f t="shared" si="18"/>
        <v/>
      </c>
      <c r="AD607" t="str">
        <f t="shared" si="19"/>
        <v/>
      </c>
    </row>
    <row r="608" spans="1:30" ht="33" hidden="1" customHeight="1" x14ac:dyDescent="0.3">
      <c r="A608">
        <v>0</v>
      </c>
      <c r="B608" s="14">
        <f>'2026 Orders'!B607</f>
        <v>0</v>
      </c>
      <c r="C608" s="14">
        <f>'2026 Orders'!C607</f>
        <v>0</v>
      </c>
      <c r="D608" s="14">
        <v>0</v>
      </c>
      <c r="E608" s="17" t="str" cm="1">
        <f t="array" ref="E608">IF(C608=0,"",
HYPERLINK(
"#'2026 Orders'!C"&amp;
MATCH(1,
('2026 Orders'!C:C=C608)*
('2026 Orders'!G:G=G608)*
('2026 Orders'!N:N=N608),
0),
"Open "&amp;C608
))</f>
        <v/>
      </c>
      <c r="F608" s="14">
        <v>0</v>
      </c>
      <c r="G608" s="14">
        <f>'2026 Orders'!G607</f>
        <v>0</v>
      </c>
      <c r="H608" s="14" t="str">
        <f>'2026 Orders'!H607</f>
        <v/>
      </c>
      <c r="I608" s="15" t="str">
        <f>'2026 Orders'!I607</f>
        <v/>
      </c>
      <c r="J608" s="14">
        <f>'2026 Orders'!J607</f>
        <v>0</v>
      </c>
      <c r="K608">
        <v>0</v>
      </c>
      <c r="L608">
        <v>0</v>
      </c>
      <c r="N608" s="10">
        <f>'2026 Orders'!N607</f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C608" t="str">
        <f t="shared" si="18"/>
        <v/>
      </c>
      <c r="AD608" t="str">
        <f t="shared" si="19"/>
        <v/>
      </c>
    </row>
    <row r="609" spans="1:30" ht="33" hidden="1" customHeight="1" x14ac:dyDescent="0.3">
      <c r="A609">
        <v>0</v>
      </c>
      <c r="B609" s="14">
        <f>'2026 Orders'!B608</f>
        <v>0</v>
      </c>
      <c r="C609" s="14">
        <f>'2026 Orders'!C608</f>
        <v>0</v>
      </c>
      <c r="D609" s="14">
        <v>0</v>
      </c>
      <c r="E609" s="17" t="str" cm="1">
        <f t="array" ref="E609">IF(C609=0,"",
HYPERLINK(
"#'2026 Orders'!C"&amp;
MATCH(1,
('2026 Orders'!C:C=C609)*
('2026 Orders'!G:G=G609)*
('2026 Orders'!N:N=N609),
0),
"Open "&amp;C609
))</f>
        <v/>
      </c>
      <c r="F609" s="14">
        <v>0</v>
      </c>
      <c r="G609" s="14">
        <f>'2026 Orders'!G608</f>
        <v>0</v>
      </c>
      <c r="H609" s="14" t="str">
        <f>'2026 Orders'!H608</f>
        <v/>
      </c>
      <c r="I609" s="15" t="str">
        <f>'2026 Orders'!I608</f>
        <v/>
      </c>
      <c r="J609" s="14">
        <f>'2026 Orders'!J608</f>
        <v>0</v>
      </c>
      <c r="K609">
        <v>0</v>
      </c>
      <c r="L609">
        <v>0</v>
      </c>
      <c r="N609" s="10">
        <f>'2026 Orders'!N608</f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C609" t="str">
        <f t="shared" si="18"/>
        <v/>
      </c>
      <c r="AD609" t="str">
        <f t="shared" si="19"/>
        <v/>
      </c>
    </row>
    <row r="610" spans="1:30" ht="33" hidden="1" customHeight="1" x14ac:dyDescent="0.3">
      <c r="A610">
        <v>0</v>
      </c>
      <c r="B610" s="14">
        <f>'2026 Orders'!B609</f>
        <v>0</v>
      </c>
      <c r="C610" s="14">
        <f>'2026 Orders'!C609</f>
        <v>0</v>
      </c>
      <c r="D610" s="14">
        <v>0</v>
      </c>
      <c r="E610" s="17" t="str" cm="1">
        <f t="array" ref="E610">IF(C610=0,"",
HYPERLINK(
"#'2026 Orders'!C"&amp;
MATCH(1,
('2026 Orders'!C:C=C610)*
('2026 Orders'!G:G=G610)*
('2026 Orders'!N:N=N610),
0),
"Open "&amp;C610
))</f>
        <v/>
      </c>
      <c r="F610" s="14">
        <v>0</v>
      </c>
      <c r="G610" s="14">
        <f>'2026 Orders'!G609</f>
        <v>0</v>
      </c>
      <c r="H610" s="14" t="str">
        <f>'2026 Orders'!H609</f>
        <v/>
      </c>
      <c r="I610" s="15" t="str">
        <f>'2026 Orders'!I609</f>
        <v/>
      </c>
      <c r="J610" s="14">
        <f>'2026 Orders'!J609</f>
        <v>0</v>
      </c>
      <c r="K610">
        <v>0</v>
      </c>
      <c r="L610">
        <v>0</v>
      </c>
      <c r="N610" s="10">
        <f>'2026 Orders'!N609</f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C610" t="str">
        <f t="shared" si="18"/>
        <v/>
      </c>
      <c r="AD610" t="str">
        <f t="shared" si="19"/>
        <v/>
      </c>
    </row>
    <row r="611" spans="1:30" ht="33" hidden="1" customHeight="1" x14ac:dyDescent="0.3">
      <c r="A611">
        <v>0</v>
      </c>
      <c r="B611" s="14">
        <f>'2026 Orders'!B610</f>
        <v>0</v>
      </c>
      <c r="C611" s="14">
        <f>'2026 Orders'!C610</f>
        <v>0</v>
      </c>
      <c r="D611" s="14">
        <v>0</v>
      </c>
      <c r="E611" s="17" t="str" cm="1">
        <f t="array" ref="E611">IF(C611=0,"",
HYPERLINK(
"#'2026 Orders'!C"&amp;
MATCH(1,
('2026 Orders'!C:C=C611)*
('2026 Orders'!G:G=G611)*
('2026 Orders'!N:N=N611),
0),
"Open "&amp;C611
))</f>
        <v/>
      </c>
      <c r="F611" s="14">
        <v>0</v>
      </c>
      <c r="G611" s="14">
        <f>'2026 Orders'!G610</f>
        <v>0</v>
      </c>
      <c r="H611" s="14" t="str">
        <f>'2026 Orders'!H610</f>
        <v/>
      </c>
      <c r="I611" s="15" t="str">
        <f>'2026 Orders'!I610</f>
        <v/>
      </c>
      <c r="J611" s="14">
        <f>'2026 Orders'!J610</f>
        <v>0</v>
      </c>
      <c r="K611">
        <v>0</v>
      </c>
      <c r="L611">
        <v>0</v>
      </c>
      <c r="N611" s="10">
        <f>'2026 Orders'!N610</f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C611" t="str">
        <f t="shared" si="18"/>
        <v/>
      </c>
      <c r="AD611" t="str">
        <f t="shared" si="19"/>
        <v/>
      </c>
    </row>
    <row r="612" spans="1:30" ht="33" hidden="1" customHeight="1" x14ac:dyDescent="0.3">
      <c r="A612">
        <v>0</v>
      </c>
      <c r="B612" s="14">
        <f>'2026 Orders'!B611</f>
        <v>0</v>
      </c>
      <c r="C612" s="14">
        <f>'2026 Orders'!C611</f>
        <v>0</v>
      </c>
      <c r="D612" s="14">
        <v>0</v>
      </c>
      <c r="E612" s="17" t="str" cm="1">
        <f t="array" ref="E612">IF(C612=0,"",
HYPERLINK(
"#'2026 Orders'!C"&amp;
MATCH(1,
('2026 Orders'!C:C=C612)*
('2026 Orders'!G:G=G612)*
('2026 Orders'!N:N=N612),
0),
"Open "&amp;C612
))</f>
        <v/>
      </c>
      <c r="F612" s="14">
        <v>0</v>
      </c>
      <c r="G612" s="14">
        <f>'2026 Orders'!G611</f>
        <v>0</v>
      </c>
      <c r="H612" s="14" t="str">
        <f>'2026 Orders'!H611</f>
        <v/>
      </c>
      <c r="I612" s="15" t="str">
        <f>'2026 Orders'!I611</f>
        <v/>
      </c>
      <c r="J612" s="14">
        <f>'2026 Orders'!J611</f>
        <v>0</v>
      </c>
      <c r="K612">
        <v>0</v>
      </c>
      <c r="L612">
        <v>0</v>
      </c>
      <c r="N612" s="10">
        <f>'2026 Orders'!N611</f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C612" t="str">
        <f t="shared" si="18"/>
        <v/>
      </c>
      <c r="AD612" t="str">
        <f t="shared" si="19"/>
        <v/>
      </c>
    </row>
    <row r="613" spans="1:30" ht="33" hidden="1" customHeight="1" x14ac:dyDescent="0.3">
      <c r="A613">
        <v>0</v>
      </c>
      <c r="B613" s="14">
        <f>'2026 Orders'!B612</f>
        <v>0</v>
      </c>
      <c r="C613" s="14">
        <f>'2026 Orders'!C612</f>
        <v>0</v>
      </c>
      <c r="D613" s="14">
        <v>0</v>
      </c>
      <c r="E613" s="17" t="str" cm="1">
        <f t="array" ref="E613">IF(C613=0,"",
HYPERLINK(
"#'2026 Orders'!C"&amp;
MATCH(1,
('2026 Orders'!C:C=C613)*
('2026 Orders'!G:G=G613)*
('2026 Orders'!N:N=N613),
0),
"Open "&amp;C613
))</f>
        <v/>
      </c>
      <c r="F613" s="14">
        <v>0</v>
      </c>
      <c r="G613" s="14">
        <f>'2026 Orders'!G612</f>
        <v>0</v>
      </c>
      <c r="H613" s="14" t="str">
        <f>'2026 Orders'!H612</f>
        <v/>
      </c>
      <c r="I613" s="15" t="str">
        <f>'2026 Orders'!I612</f>
        <v/>
      </c>
      <c r="J613" s="14">
        <f>'2026 Orders'!J612</f>
        <v>0</v>
      </c>
      <c r="K613">
        <v>0</v>
      </c>
      <c r="L613">
        <v>0</v>
      </c>
      <c r="N613" s="10">
        <f>'2026 Orders'!N612</f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C613" t="str">
        <f t="shared" si="18"/>
        <v/>
      </c>
      <c r="AD613" t="str">
        <f t="shared" si="19"/>
        <v/>
      </c>
    </row>
    <row r="614" spans="1:30" ht="33" hidden="1" customHeight="1" x14ac:dyDescent="0.3">
      <c r="A614">
        <v>0</v>
      </c>
      <c r="B614" s="14">
        <f>'2026 Orders'!B613</f>
        <v>0</v>
      </c>
      <c r="C614" s="14">
        <f>'2026 Orders'!C613</f>
        <v>0</v>
      </c>
      <c r="D614" s="14">
        <v>0</v>
      </c>
      <c r="E614" s="17" t="str" cm="1">
        <f t="array" ref="E614">IF(C614=0,"",
HYPERLINK(
"#'2026 Orders'!C"&amp;
MATCH(1,
('2026 Orders'!C:C=C614)*
('2026 Orders'!G:G=G614)*
('2026 Orders'!N:N=N614),
0),
"Open "&amp;C614
))</f>
        <v/>
      </c>
      <c r="F614" s="14">
        <v>0</v>
      </c>
      <c r="G614" s="14">
        <f>'2026 Orders'!G613</f>
        <v>0</v>
      </c>
      <c r="H614" s="14" t="str">
        <f>'2026 Orders'!H613</f>
        <v/>
      </c>
      <c r="I614" s="15" t="str">
        <f>'2026 Orders'!I613</f>
        <v/>
      </c>
      <c r="J614" s="14">
        <f>'2026 Orders'!J613</f>
        <v>0</v>
      </c>
      <c r="K614">
        <v>0</v>
      </c>
      <c r="L614">
        <v>0</v>
      </c>
      <c r="N614" s="10">
        <f>'2026 Orders'!N613</f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C614" t="str">
        <f t="shared" si="18"/>
        <v/>
      </c>
      <c r="AD614" t="str">
        <f t="shared" si="19"/>
        <v/>
      </c>
    </row>
    <row r="615" spans="1:30" ht="33" hidden="1" customHeight="1" x14ac:dyDescent="0.3">
      <c r="A615">
        <v>0</v>
      </c>
      <c r="B615" s="14">
        <f>'2026 Orders'!B614</f>
        <v>0</v>
      </c>
      <c r="C615" s="14">
        <f>'2026 Orders'!C614</f>
        <v>0</v>
      </c>
      <c r="D615" s="14">
        <v>0</v>
      </c>
      <c r="E615" s="17" t="str" cm="1">
        <f t="array" ref="E615">IF(C615=0,"",
HYPERLINK(
"#'2026 Orders'!C"&amp;
MATCH(1,
('2026 Orders'!C:C=C615)*
('2026 Orders'!G:G=G615)*
('2026 Orders'!N:N=N615),
0),
"Open "&amp;C615
))</f>
        <v/>
      </c>
      <c r="F615" s="14">
        <v>0</v>
      </c>
      <c r="G615" s="14">
        <f>'2026 Orders'!G614</f>
        <v>0</v>
      </c>
      <c r="H615" s="14" t="str">
        <f>'2026 Orders'!H614</f>
        <v/>
      </c>
      <c r="I615" s="15" t="str">
        <f>'2026 Orders'!I614</f>
        <v/>
      </c>
      <c r="J615" s="14">
        <f>'2026 Orders'!J614</f>
        <v>0</v>
      </c>
      <c r="K615">
        <v>0</v>
      </c>
      <c r="L615">
        <v>0</v>
      </c>
      <c r="N615" s="10">
        <f>'2026 Orders'!N614</f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C615" t="str">
        <f t="shared" si="18"/>
        <v/>
      </c>
      <c r="AD615" t="str">
        <f t="shared" si="19"/>
        <v/>
      </c>
    </row>
    <row r="616" spans="1:30" ht="33" hidden="1" customHeight="1" x14ac:dyDescent="0.3">
      <c r="A616">
        <v>0</v>
      </c>
      <c r="B616" s="14">
        <f>'2026 Orders'!B615</f>
        <v>0</v>
      </c>
      <c r="C616" s="14">
        <f>'2026 Orders'!C615</f>
        <v>0</v>
      </c>
      <c r="D616" s="14">
        <v>0</v>
      </c>
      <c r="E616" s="17" t="str" cm="1">
        <f t="array" ref="E616">IF(C616=0,"",
HYPERLINK(
"#'2026 Orders'!C"&amp;
MATCH(1,
('2026 Orders'!C:C=C616)*
('2026 Orders'!G:G=G616)*
('2026 Orders'!N:N=N616),
0),
"Open "&amp;C616
))</f>
        <v/>
      </c>
      <c r="F616" s="14">
        <v>0</v>
      </c>
      <c r="G616" s="14">
        <f>'2026 Orders'!G615</f>
        <v>0</v>
      </c>
      <c r="H616" s="14" t="str">
        <f>'2026 Orders'!H615</f>
        <v/>
      </c>
      <c r="I616" s="15" t="str">
        <f>'2026 Orders'!I615</f>
        <v/>
      </c>
      <c r="J616" s="14">
        <f>'2026 Orders'!J615</f>
        <v>0</v>
      </c>
      <c r="K616">
        <v>0</v>
      </c>
      <c r="L616">
        <v>0</v>
      </c>
      <c r="N616" s="10">
        <f>'2026 Orders'!N615</f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C616" t="str">
        <f t="shared" si="18"/>
        <v/>
      </c>
      <c r="AD616" t="str">
        <f t="shared" si="19"/>
        <v/>
      </c>
    </row>
    <row r="617" spans="1:30" ht="33" hidden="1" customHeight="1" x14ac:dyDescent="0.3">
      <c r="A617">
        <v>0</v>
      </c>
      <c r="B617" s="14">
        <f>'2026 Orders'!B616</f>
        <v>0</v>
      </c>
      <c r="C617" s="14">
        <f>'2026 Orders'!C616</f>
        <v>0</v>
      </c>
      <c r="D617" s="14">
        <v>0</v>
      </c>
      <c r="E617" s="17" t="str" cm="1">
        <f t="array" ref="E617">IF(C617=0,"",
HYPERLINK(
"#'2026 Orders'!C"&amp;
MATCH(1,
('2026 Orders'!C:C=C617)*
('2026 Orders'!G:G=G617)*
('2026 Orders'!N:N=N617),
0),
"Open "&amp;C617
))</f>
        <v/>
      </c>
      <c r="F617" s="14">
        <v>0</v>
      </c>
      <c r="G617" s="14">
        <f>'2026 Orders'!G616</f>
        <v>0</v>
      </c>
      <c r="H617" s="14" t="str">
        <f>'2026 Orders'!H616</f>
        <v/>
      </c>
      <c r="I617" s="15" t="str">
        <f>'2026 Orders'!I616</f>
        <v/>
      </c>
      <c r="J617" s="14">
        <f>'2026 Orders'!J616</f>
        <v>0</v>
      </c>
      <c r="K617">
        <v>0</v>
      </c>
      <c r="L617">
        <v>0</v>
      </c>
      <c r="N617" s="10">
        <f>'2026 Orders'!N616</f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C617" t="str">
        <f t="shared" si="18"/>
        <v/>
      </c>
      <c r="AD617" t="str">
        <f t="shared" si="19"/>
        <v/>
      </c>
    </row>
    <row r="618" spans="1:30" ht="33" hidden="1" customHeight="1" x14ac:dyDescent="0.3">
      <c r="A618">
        <v>0</v>
      </c>
      <c r="B618" s="14">
        <f>'2026 Orders'!B617</f>
        <v>0</v>
      </c>
      <c r="C618" s="14">
        <f>'2026 Orders'!C617</f>
        <v>0</v>
      </c>
      <c r="D618" s="14">
        <v>0</v>
      </c>
      <c r="E618" s="17" t="str" cm="1">
        <f t="array" ref="E618">IF(C618=0,"",
HYPERLINK(
"#'2026 Orders'!C"&amp;
MATCH(1,
('2026 Orders'!C:C=C618)*
('2026 Orders'!G:G=G618)*
('2026 Orders'!N:N=N618),
0),
"Open "&amp;C618
))</f>
        <v/>
      </c>
      <c r="F618" s="14">
        <v>0</v>
      </c>
      <c r="G618" s="14">
        <f>'2026 Orders'!G617</f>
        <v>0</v>
      </c>
      <c r="H618" s="14" t="str">
        <f>'2026 Orders'!H617</f>
        <v/>
      </c>
      <c r="I618" s="15" t="str">
        <f>'2026 Orders'!I617</f>
        <v/>
      </c>
      <c r="J618" s="14">
        <f>'2026 Orders'!J617</f>
        <v>0</v>
      </c>
      <c r="K618">
        <v>0</v>
      </c>
      <c r="L618">
        <v>0</v>
      </c>
      <c r="N618" s="10">
        <f>'2026 Orders'!N617</f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C618" t="str">
        <f t="shared" si="18"/>
        <v/>
      </c>
      <c r="AD618" t="str">
        <f t="shared" si="19"/>
        <v/>
      </c>
    </row>
    <row r="619" spans="1:30" ht="33" hidden="1" customHeight="1" x14ac:dyDescent="0.3">
      <c r="A619">
        <v>0</v>
      </c>
      <c r="B619" s="14">
        <f>'2026 Orders'!B618</f>
        <v>0</v>
      </c>
      <c r="C619" s="14">
        <f>'2026 Orders'!C618</f>
        <v>0</v>
      </c>
      <c r="D619" s="14">
        <v>0</v>
      </c>
      <c r="E619" s="17" t="str" cm="1">
        <f t="array" ref="E619">IF(C619=0,"",
HYPERLINK(
"#'2026 Orders'!C"&amp;
MATCH(1,
('2026 Orders'!C:C=C619)*
('2026 Orders'!G:G=G619)*
('2026 Orders'!N:N=N619),
0),
"Open "&amp;C619
))</f>
        <v/>
      </c>
      <c r="F619" s="14">
        <v>0</v>
      </c>
      <c r="G619" s="14">
        <f>'2026 Orders'!G618</f>
        <v>0</v>
      </c>
      <c r="H619" s="14" t="str">
        <f>'2026 Orders'!H618</f>
        <v/>
      </c>
      <c r="I619" s="15" t="str">
        <f>'2026 Orders'!I618</f>
        <v/>
      </c>
      <c r="J619" s="14">
        <f>'2026 Orders'!J618</f>
        <v>0</v>
      </c>
      <c r="K619">
        <v>0</v>
      </c>
      <c r="L619">
        <v>0</v>
      </c>
      <c r="N619" s="10">
        <f>'2026 Orders'!N618</f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C619" t="str">
        <f t="shared" si="18"/>
        <v/>
      </c>
      <c r="AD619" t="str">
        <f t="shared" si="19"/>
        <v/>
      </c>
    </row>
    <row r="620" spans="1:30" ht="33" hidden="1" customHeight="1" x14ac:dyDescent="0.3">
      <c r="A620">
        <v>0</v>
      </c>
      <c r="B620" s="14">
        <f>'2026 Orders'!B619</f>
        <v>0</v>
      </c>
      <c r="C620" s="14">
        <f>'2026 Orders'!C619</f>
        <v>0</v>
      </c>
      <c r="D620" s="14">
        <v>0</v>
      </c>
      <c r="E620" s="17" t="str" cm="1">
        <f t="array" ref="E620">IF(C620=0,"",
HYPERLINK(
"#'2026 Orders'!C"&amp;
MATCH(1,
('2026 Orders'!C:C=C620)*
('2026 Orders'!G:G=G620)*
('2026 Orders'!N:N=N620),
0),
"Open "&amp;C620
))</f>
        <v/>
      </c>
      <c r="F620" s="14">
        <v>0</v>
      </c>
      <c r="G620" s="14">
        <f>'2026 Orders'!G619</f>
        <v>0</v>
      </c>
      <c r="H620" s="14" t="str">
        <f>'2026 Orders'!H619</f>
        <v/>
      </c>
      <c r="I620" s="15" t="str">
        <f>'2026 Orders'!I619</f>
        <v/>
      </c>
      <c r="J620" s="14">
        <f>'2026 Orders'!J619</f>
        <v>0</v>
      </c>
      <c r="K620">
        <v>0</v>
      </c>
      <c r="L620">
        <v>0</v>
      </c>
      <c r="N620" s="10">
        <f>'2026 Orders'!N619</f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C620" t="str">
        <f t="shared" si="18"/>
        <v/>
      </c>
      <c r="AD620" t="str">
        <f t="shared" si="19"/>
        <v/>
      </c>
    </row>
    <row r="621" spans="1:30" ht="33" hidden="1" customHeight="1" x14ac:dyDescent="0.3">
      <c r="A621">
        <v>0</v>
      </c>
      <c r="B621" s="14">
        <f>'2026 Orders'!B620</f>
        <v>0</v>
      </c>
      <c r="C621" s="14">
        <f>'2026 Orders'!C620</f>
        <v>0</v>
      </c>
      <c r="D621" s="14">
        <v>0</v>
      </c>
      <c r="E621" s="17" t="str" cm="1">
        <f t="array" ref="E621">IF(C621=0,"",
HYPERLINK(
"#'2026 Orders'!C"&amp;
MATCH(1,
('2026 Orders'!C:C=C621)*
('2026 Orders'!G:G=G621)*
('2026 Orders'!N:N=N621),
0),
"Open "&amp;C621
))</f>
        <v/>
      </c>
      <c r="F621" s="14">
        <v>0</v>
      </c>
      <c r="G621" s="14">
        <f>'2026 Orders'!G620</f>
        <v>0</v>
      </c>
      <c r="H621" s="14" t="str">
        <f>'2026 Orders'!H620</f>
        <v/>
      </c>
      <c r="I621" s="15" t="str">
        <f>'2026 Orders'!I620</f>
        <v/>
      </c>
      <c r="J621" s="14">
        <f>'2026 Orders'!J620</f>
        <v>0</v>
      </c>
      <c r="K621">
        <v>0</v>
      </c>
      <c r="L621">
        <v>0</v>
      </c>
      <c r="N621" s="10">
        <f>'2026 Orders'!N620</f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C621" t="str">
        <f t="shared" si="18"/>
        <v/>
      </c>
      <c r="AD621" t="str">
        <f t="shared" si="19"/>
        <v/>
      </c>
    </row>
    <row r="622" spans="1:30" ht="33" hidden="1" customHeight="1" x14ac:dyDescent="0.3">
      <c r="A622">
        <v>0</v>
      </c>
      <c r="B622" s="14">
        <f>'2026 Orders'!B621</f>
        <v>0</v>
      </c>
      <c r="C622" s="14">
        <f>'2026 Orders'!C621</f>
        <v>0</v>
      </c>
      <c r="D622" s="14">
        <v>0</v>
      </c>
      <c r="E622" s="17" t="str" cm="1">
        <f t="array" ref="E622">IF(C622=0,"",
HYPERLINK(
"#'2026 Orders'!C"&amp;
MATCH(1,
('2026 Orders'!C:C=C622)*
('2026 Orders'!G:G=G622)*
('2026 Orders'!N:N=N622),
0),
"Open "&amp;C622
))</f>
        <v/>
      </c>
      <c r="F622" s="14">
        <v>0</v>
      </c>
      <c r="G622" s="14">
        <f>'2026 Orders'!G621</f>
        <v>0</v>
      </c>
      <c r="H622" s="14" t="str">
        <f>'2026 Orders'!H621</f>
        <v/>
      </c>
      <c r="I622" s="15" t="str">
        <f>'2026 Orders'!I621</f>
        <v/>
      </c>
      <c r="J622" s="14">
        <f>'2026 Orders'!J621</f>
        <v>0</v>
      </c>
      <c r="K622">
        <v>0</v>
      </c>
      <c r="L622">
        <v>0</v>
      </c>
      <c r="N622" s="10">
        <f>'2026 Orders'!N621</f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C622" t="str">
        <f t="shared" si="18"/>
        <v/>
      </c>
      <c r="AD622" t="str">
        <f t="shared" si="19"/>
        <v/>
      </c>
    </row>
    <row r="623" spans="1:30" ht="33" hidden="1" customHeight="1" x14ac:dyDescent="0.3">
      <c r="A623">
        <v>0</v>
      </c>
      <c r="B623" s="14">
        <f>'2026 Orders'!B622</f>
        <v>0</v>
      </c>
      <c r="C623" s="14">
        <f>'2026 Orders'!C622</f>
        <v>0</v>
      </c>
      <c r="D623" s="14">
        <v>0</v>
      </c>
      <c r="E623" s="17" t="str" cm="1">
        <f t="array" ref="E623">IF(C623=0,"",
HYPERLINK(
"#'2026 Orders'!C"&amp;
MATCH(1,
('2026 Orders'!C:C=C623)*
('2026 Orders'!G:G=G623)*
('2026 Orders'!N:N=N623),
0),
"Open "&amp;C623
))</f>
        <v/>
      </c>
      <c r="F623" s="14">
        <v>0</v>
      </c>
      <c r="G623" s="14">
        <f>'2026 Orders'!G622</f>
        <v>0</v>
      </c>
      <c r="H623" s="14" t="str">
        <f>'2026 Orders'!H622</f>
        <v/>
      </c>
      <c r="I623" s="15" t="str">
        <f>'2026 Orders'!I622</f>
        <v/>
      </c>
      <c r="J623" s="14">
        <f>'2026 Orders'!J622</f>
        <v>0</v>
      </c>
      <c r="K623">
        <v>0</v>
      </c>
      <c r="L623">
        <v>0</v>
      </c>
      <c r="N623" s="10">
        <f>'2026 Orders'!N622</f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C623" t="str">
        <f t="shared" si="18"/>
        <v/>
      </c>
      <c r="AD623" t="str">
        <f t="shared" si="19"/>
        <v/>
      </c>
    </row>
    <row r="624" spans="1:30" ht="33" hidden="1" customHeight="1" x14ac:dyDescent="0.3">
      <c r="A624">
        <v>0</v>
      </c>
      <c r="B624" s="14">
        <f>'2026 Orders'!B623</f>
        <v>0</v>
      </c>
      <c r="C624" s="14">
        <f>'2026 Orders'!C623</f>
        <v>0</v>
      </c>
      <c r="D624" s="14">
        <v>0</v>
      </c>
      <c r="E624" s="17" t="str" cm="1">
        <f t="array" ref="E624">IF(C624=0,"",
HYPERLINK(
"#'2026 Orders'!C"&amp;
MATCH(1,
('2026 Orders'!C:C=C624)*
('2026 Orders'!G:G=G624)*
('2026 Orders'!N:N=N624),
0),
"Open "&amp;C624
))</f>
        <v/>
      </c>
      <c r="F624" s="14">
        <v>0</v>
      </c>
      <c r="G624" s="14">
        <f>'2026 Orders'!G623</f>
        <v>0</v>
      </c>
      <c r="H624" s="14" t="str">
        <f>'2026 Orders'!H623</f>
        <v/>
      </c>
      <c r="I624" s="15" t="str">
        <f>'2026 Orders'!I623</f>
        <v/>
      </c>
      <c r="J624" s="14">
        <f>'2026 Orders'!J623</f>
        <v>0</v>
      </c>
      <c r="K624">
        <v>0</v>
      </c>
      <c r="L624">
        <v>0</v>
      </c>
      <c r="N624" s="10">
        <f>'2026 Orders'!N623</f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C624" t="str">
        <f t="shared" si="18"/>
        <v/>
      </c>
      <c r="AD624" t="str">
        <f t="shared" si="19"/>
        <v/>
      </c>
    </row>
    <row r="625" spans="1:30" ht="33" hidden="1" customHeight="1" x14ac:dyDescent="0.3">
      <c r="A625">
        <v>0</v>
      </c>
      <c r="B625" s="14">
        <f>'2026 Orders'!B624</f>
        <v>0</v>
      </c>
      <c r="C625" s="14">
        <f>'2026 Orders'!C624</f>
        <v>0</v>
      </c>
      <c r="D625" s="14">
        <v>0</v>
      </c>
      <c r="E625" s="17" t="str" cm="1">
        <f t="array" ref="E625">IF(C625=0,"",
HYPERLINK(
"#'2026 Orders'!C"&amp;
MATCH(1,
('2026 Orders'!C:C=C625)*
('2026 Orders'!G:G=G625)*
('2026 Orders'!N:N=N625),
0),
"Open "&amp;C625
))</f>
        <v/>
      </c>
      <c r="F625" s="14">
        <v>0</v>
      </c>
      <c r="G625" s="14">
        <f>'2026 Orders'!G624</f>
        <v>0</v>
      </c>
      <c r="H625" s="14" t="str">
        <f>'2026 Orders'!H624</f>
        <v/>
      </c>
      <c r="I625" s="15" t="str">
        <f>'2026 Orders'!I624</f>
        <v/>
      </c>
      <c r="J625" s="14">
        <f>'2026 Orders'!J624</f>
        <v>0</v>
      </c>
      <c r="K625">
        <v>0</v>
      </c>
      <c r="L625">
        <v>0</v>
      </c>
      <c r="N625" s="10">
        <f>'2026 Orders'!N624</f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C625" t="str">
        <f t="shared" si="18"/>
        <v/>
      </c>
      <c r="AD625" t="str">
        <f t="shared" si="19"/>
        <v/>
      </c>
    </row>
    <row r="626" spans="1:30" ht="33" hidden="1" customHeight="1" x14ac:dyDescent="0.3">
      <c r="A626">
        <v>0</v>
      </c>
      <c r="B626" s="14">
        <f>'2026 Orders'!B625</f>
        <v>0</v>
      </c>
      <c r="C626" s="14">
        <f>'2026 Orders'!C625</f>
        <v>0</v>
      </c>
      <c r="D626" s="14">
        <v>0</v>
      </c>
      <c r="E626" s="17" t="str" cm="1">
        <f t="array" ref="E626">IF(C626=0,"",
HYPERLINK(
"#'2026 Orders'!C"&amp;
MATCH(1,
('2026 Orders'!C:C=C626)*
('2026 Orders'!G:G=G626)*
('2026 Orders'!N:N=N626),
0),
"Open "&amp;C626
))</f>
        <v/>
      </c>
      <c r="F626" s="14">
        <v>0</v>
      </c>
      <c r="G626" s="14">
        <f>'2026 Orders'!G625</f>
        <v>0</v>
      </c>
      <c r="H626" s="14" t="str">
        <f>'2026 Orders'!H625</f>
        <v/>
      </c>
      <c r="I626" s="15" t="str">
        <f>'2026 Orders'!I625</f>
        <v/>
      </c>
      <c r="J626" s="14">
        <f>'2026 Orders'!J625</f>
        <v>0</v>
      </c>
      <c r="K626">
        <v>0</v>
      </c>
      <c r="L626">
        <v>0</v>
      </c>
      <c r="N626" s="10">
        <f>'2026 Orders'!N625</f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C626" t="str">
        <f t="shared" si="18"/>
        <v/>
      </c>
      <c r="AD626" t="str">
        <f t="shared" si="19"/>
        <v/>
      </c>
    </row>
    <row r="627" spans="1:30" ht="33" hidden="1" customHeight="1" x14ac:dyDescent="0.3">
      <c r="A627">
        <v>0</v>
      </c>
      <c r="B627" s="14">
        <f>'2026 Orders'!B626</f>
        <v>0</v>
      </c>
      <c r="C627" s="14">
        <f>'2026 Orders'!C626</f>
        <v>0</v>
      </c>
      <c r="D627" s="14">
        <v>0</v>
      </c>
      <c r="E627" s="17" t="str" cm="1">
        <f t="array" ref="E627">IF(C627=0,"",
HYPERLINK(
"#'2026 Orders'!C"&amp;
MATCH(1,
('2026 Orders'!C:C=C627)*
('2026 Orders'!G:G=G627)*
('2026 Orders'!N:N=N627),
0),
"Open "&amp;C627
))</f>
        <v/>
      </c>
      <c r="F627" s="14">
        <v>0</v>
      </c>
      <c r="G627" s="14">
        <f>'2026 Orders'!G626</f>
        <v>0</v>
      </c>
      <c r="H627" s="14" t="str">
        <f>'2026 Orders'!H626</f>
        <v/>
      </c>
      <c r="I627" s="15" t="str">
        <f>'2026 Orders'!I626</f>
        <v/>
      </c>
      <c r="J627" s="14">
        <f>'2026 Orders'!J626</f>
        <v>0</v>
      </c>
      <c r="K627">
        <v>0</v>
      </c>
      <c r="L627">
        <v>0</v>
      </c>
      <c r="N627" s="10">
        <f>'2026 Orders'!N626</f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C627" t="str">
        <f t="shared" si="18"/>
        <v/>
      </c>
      <c r="AD627" t="str">
        <f t="shared" si="19"/>
        <v/>
      </c>
    </row>
    <row r="628" spans="1:30" ht="33" hidden="1" customHeight="1" x14ac:dyDescent="0.3">
      <c r="A628">
        <v>0</v>
      </c>
      <c r="B628" s="14">
        <f>'2026 Orders'!B627</f>
        <v>0</v>
      </c>
      <c r="C628" s="14">
        <f>'2026 Orders'!C627</f>
        <v>0</v>
      </c>
      <c r="D628" s="14">
        <v>0</v>
      </c>
      <c r="E628" s="17" t="str" cm="1">
        <f t="array" ref="E628">IF(C628=0,"",
HYPERLINK(
"#'2026 Orders'!C"&amp;
MATCH(1,
('2026 Orders'!C:C=C628)*
('2026 Orders'!G:G=G628)*
('2026 Orders'!N:N=N628),
0),
"Open "&amp;C628
))</f>
        <v/>
      </c>
      <c r="F628" s="14">
        <v>0</v>
      </c>
      <c r="G628" s="14">
        <f>'2026 Orders'!G627</f>
        <v>0</v>
      </c>
      <c r="H628" s="14" t="str">
        <f>'2026 Orders'!H627</f>
        <v/>
      </c>
      <c r="I628" s="15" t="str">
        <f>'2026 Orders'!I627</f>
        <v/>
      </c>
      <c r="J628" s="14">
        <f>'2026 Orders'!J627</f>
        <v>0</v>
      </c>
      <c r="K628">
        <v>0</v>
      </c>
      <c r="L628">
        <v>0</v>
      </c>
      <c r="N628" s="10">
        <f>'2026 Orders'!N627</f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C628" t="str">
        <f t="shared" si="18"/>
        <v/>
      </c>
      <c r="AD628" t="str">
        <f t="shared" si="19"/>
        <v/>
      </c>
    </row>
    <row r="629" spans="1:30" ht="33" hidden="1" customHeight="1" x14ac:dyDescent="0.3">
      <c r="A629">
        <v>0</v>
      </c>
      <c r="B629" s="14">
        <f>'2026 Orders'!B628</f>
        <v>0</v>
      </c>
      <c r="C629" s="14">
        <f>'2026 Orders'!C628</f>
        <v>0</v>
      </c>
      <c r="D629" s="14">
        <v>0</v>
      </c>
      <c r="E629" s="17" t="str" cm="1">
        <f t="array" ref="E629">IF(C629=0,"",
HYPERLINK(
"#'2026 Orders'!C"&amp;
MATCH(1,
('2026 Orders'!C:C=C629)*
('2026 Orders'!G:G=G629)*
('2026 Orders'!N:N=N629),
0),
"Open "&amp;C629
))</f>
        <v/>
      </c>
      <c r="F629" s="14">
        <v>0</v>
      </c>
      <c r="G629" s="14">
        <f>'2026 Orders'!G628</f>
        <v>0</v>
      </c>
      <c r="H629" s="14" t="str">
        <f>'2026 Orders'!H628</f>
        <v/>
      </c>
      <c r="I629" s="15" t="str">
        <f>'2026 Orders'!I628</f>
        <v/>
      </c>
      <c r="J629" s="14">
        <f>'2026 Orders'!J628</f>
        <v>0</v>
      </c>
      <c r="K629">
        <v>0</v>
      </c>
      <c r="L629">
        <v>0</v>
      </c>
      <c r="N629" s="10">
        <f>'2026 Orders'!N628</f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C629" t="str">
        <f t="shared" si="18"/>
        <v/>
      </c>
      <c r="AD629" t="str">
        <f t="shared" si="19"/>
        <v/>
      </c>
    </row>
    <row r="630" spans="1:30" ht="33" hidden="1" customHeight="1" x14ac:dyDescent="0.3">
      <c r="A630">
        <v>0</v>
      </c>
      <c r="B630" s="14">
        <f>'2026 Orders'!B629</f>
        <v>0</v>
      </c>
      <c r="C630" s="14">
        <f>'2026 Orders'!C629</f>
        <v>0</v>
      </c>
      <c r="D630" s="14">
        <v>0</v>
      </c>
      <c r="E630" s="17" t="str" cm="1">
        <f t="array" ref="E630">IF(C630=0,"",
HYPERLINK(
"#'2026 Orders'!C"&amp;
MATCH(1,
('2026 Orders'!C:C=C630)*
('2026 Orders'!G:G=G630)*
('2026 Orders'!N:N=N630),
0),
"Open "&amp;C630
))</f>
        <v/>
      </c>
      <c r="F630" s="14">
        <v>0</v>
      </c>
      <c r="G630" s="14">
        <f>'2026 Orders'!G629</f>
        <v>0</v>
      </c>
      <c r="H630" s="14" t="str">
        <f>'2026 Orders'!H629</f>
        <v/>
      </c>
      <c r="I630" s="15" t="str">
        <f>'2026 Orders'!I629</f>
        <v/>
      </c>
      <c r="J630" s="14">
        <f>'2026 Orders'!J629</f>
        <v>0</v>
      </c>
      <c r="K630">
        <v>0</v>
      </c>
      <c r="L630">
        <v>0</v>
      </c>
      <c r="N630" s="10">
        <f>'2026 Orders'!N629</f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C630" t="str">
        <f t="shared" si="18"/>
        <v/>
      </c>
      <c r="AD630" t="str">
        <f t="shared" si="19"/>
        <v/>
      </c>
    </row>
    <row r="631" spans="1:30" ht="33" hidden="1" customHeight="1" x14ac:dyDescent="0.3">
      <c r="A631">
        <v>0</v>
      </c>
      <c r="B631" s="14">
        <f>'2026 Orders'!B630</f>
        <v>0</v>
      </c>
      <c r="C631" s="14">
        <f>'2026 Orders'!C630</f>
        <v>0</v>
      </c>
      <c r="D631" s="14">
        <v>0</v>
      </c>
      <c r="E631" s="17" t="str" cm="1">
        <f t="array" ref="E631">IF(C631=0,"",
HYPERLINK(
"#'2026 Orders'!C"&amp;
MATCH(1,
('2026 Orders'!C:C=C631)*
('2026 Orders'!G:G=G631)*
('2026 Orders'!N:N=N631),
0),
"Open "&amp;C631
))</f>
        <v/>
      </c>
      <c r="F631" s="14">
        <v>0</v>
      </c>
      <c r="G631" s="14">
        <f>'2026 Orders'!G630</f>
        <v>0</v>
      </c>
      <c r="H631" s="14" t="str">
        <f>'2026 Orders'!H630</f>
        <v/>
      </c>
      <c r="I631" s="15" t="str">
        <f>'2026 Orders'!I630</f>
        <v/>
      </c>
      <c r="J631" s="14">
        <f>'2026 Orders'!J630</f>
        <v>0</v>
      </c>
      <c r="K631">
        <v>0</v>
      </c>
      <c r="L631">
        <v>0</v>
      </c>
      <c r="N631" s="10">
        <f>'2026 Orders'!N630</f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C631" t="str">
        <f t="shared" si="18"/>
        <v/>
      </c>
      <c r="AD631" t="str">
        <f t="shared" si="19"/>
        <v/>
      </c>
    </row>
    <row r="632" spans="1:30" ht="33" hidden="1" customHeight="1" x14ac:dyDescent="0.3">
      <c r="A632">
        <v>0</v>
      </c>
      <c r="B632" s="14">
        <f>'2026 Orders'!B631</f>
        <v>0</v>
      </c>
      <c r="C632" s="14">
        <f>'2026 Orders'!C631</f>
        <v>0</v>
      </c>
      <c r="D632" s="14">
        <v>0</v>
      </c>
      <c r="E632" s="17" t="str" cm="1">
        <f t="array" ref="E632">IF(C632=0,"",
HYPERLINK(
"#'2026 Orders'!C"&amp;
MATCH(1,
('2026 Orders'!C:C=C632)*
('2026 Orders'!G:G=G632)*
('2026 Orders'!N:N=N632),
0),
"Open "&amp;C632
))</f>
        <v/>
      </c>
      <c r="F632" s="14">
        <v>0</v>
      </c>
      <c r="G632" s="14">
        <f>'2026 Orders'!G631</f>
        <v>0</v>
      </c>
      <c r="H632" s="14" t="str">
        <f>'2026 Orders'!H631</f>
        <v/>
      </c>
      <c r="I632" s="15" t="str">
        <f>'2026 Orders'!I631</f>
        <v/>
      </c>
      <c r="J632" s="14">
        <f>'2026 Orders'!J631</f>
        <v>0</v>
      </c>
      <c r="K632">
        <v>0</v>
      </c>
      <c r="L632">
        <v>0</v>
      </c>
      <c r="N632" s="10">
        <f>'2026 Orders'!N631</f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C632" t="str">
        <f t="shared" si="18"/>
        <v/>
      </c>
      <c r="AD632" t="str">
        <f t="shared" si="19"/>
        <v/>
      </c>
    </row>
    <row r="633" spans="1:30" ht="33" hidden="1" customHeight="1" x14ac:dyDescent="0.3">
      <c r="A633">
        <v>0</v>
      </c>
      <c r="B633" s="14">
        <f>'2026 Orders'!B632</f>
        <v>0</v>
      </c>
      <c r="C633" s="14">
        <f>'2026 Orders'!C632</f>
        <v>0</v>
      </c>
      <c r="D633" s="14">
        <v>0</v>
      </c>
      <c r="E633" s="17" t="str" cm="1">
        <f t="array" ref="E633">IF(C633=0,"",
HYPERLINK(
"#'2026 Orders'!C"&amp;
MATCH(1,
('2026 Orders'!C:C=C633)*
('2026 Orders'!G:G=G633)*
('2026 Orders'!N:N=N633),
0),
"Open "&amp;C633
))</f>
        <v/>
      </c>
      <c r="F633" s="14">
        <v>0</v>
      </c>
      <c r="G633" s="14">
        <f>'2026 Orders'!G632</f>
        <v>0</v>
      </c>
      <c r="H633" s="14" t="str">
        <f>'2026 Orders'!H632</f>
        <v/>
      </c>
      <c r="I633" s="15" t="str">
        <f>'2026 Orders'!I632</f>
        <v/>
      </c>
      <c r="J633" s="14">
        <f>'2026 Orders'!J632</f>
        <v>0</v>
      </c>
      <c r="K633">
        <v>0</v>
      </c>
      <c r="L633">
        <v>0</v>
      </c>
      <c r="N633" s="10">
        <f>'2026 Orders'!N632</f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C633" t="str">
        <f t="shared" si="18"/>
        <v/>
      </c>
      <c r="AD633" t="str">
        <f t="shared" si="19"/>
        <v/>
      </c>
    </row>
    <row r="634" spans="1:30" ht="33" hidden="1" customHeight="1" x14ac:dyDescent="0.3">
      <c r="A634">
        <v>0</v>
      </c>
      <c r="B634" s="14">
        <f>'2026 Orders'!B633</f>
        <v>0</v>
      </c>
      <c r="C634" s="14">
        <f>'2026 Orders'!C633</f>
        <v>0</v>
      </c>
      <c r="D634" s="14">
        <v>0</v>
      </c>
      <c r="E634" s="17" t="str" cm="1">
        <f t="array" ref="E634">IF(C634=0,"",
HYPERLINK(
"#'2026 Orders'!C"&amp;
MATCH(1,
('2026 Orders'!C:C=C634)*
('2026 Orders'!G:G=G634)*
('2026 Orders'!N:N=N634),
0),
"Open "&amp;C634
))</f>
        <v/>
      </c>
      <c r="F634" s="14">
        <v>0</v>
      </c>
      <c r="G634" s="14">
        <f>'2026 Orders'!G633</f>
        <v>0</v>
      </c>
      <c r="H634" s="14" t="str">
        <f>'2026 Orders'!H633</f>
        <v/>
      </c>
      <c r="I634" s="15" t="str">
        <f>'2026 Orders'!I633</f>
        <v/>
      </c>
      <c r="J634" s="14">
        <f>'2026 Orders'!J633</f>
        <v>0</v>
      </c>
      <c r="K634">
        <v>0</v>
      </c>
      <c r="L634">
        <v>0</v>
      </c>
      <c r="N634" s="10">
        <f>'2026 Orders'!N633</f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C634" t="str">
        <f t="shared" si="18"/>
        <v/>
      </c>
      <c r="AD634" t="str">
        <f t="shared" si="19"/>
        <v/>
      </c>
    </row>
    <row r="635" spans="1:30" ht="33" hidden="1" customHeight="1" x14ac:dyDescent="0.3">
      <c r="A635">
        <v>0</v>
      </c>
      <c r="B635" s="14">
        <f>'2026 Orders'!B634</f>
        <v>0</v>
      </c>
      <c r="C635" s="14">
        <f>'2026 Orders'!C634</f>
        <v>0</v>
      </c>
      <c r="D635" s="14">
        <v>0</v>
      </c>
      <c r="E635" s="17" t="str" cm="1">
        <f t="array" ref="E635">IF(C635=0,"",
HYPERLINK(
"#'2026 Orders'!C"&amp;
MATCH(1,
('2026 Orders'!C:C=C635)*
('2026 Orders'!G:G=G635)*
('2026 Orders'!N:N=N635),
0),
"Open "&amp;C635
))</f>
        <v/>
      </c>
      <c r="F635" s="14">
        <v>0</v>
      </c>
      <c r="G635" s="14">
        <f>'2026 Orders'!G634</f>
        <v>0</v>
      </c>
      <c r="H635" s="14" t="str">
        <f>'2026 Orders'!H634</f>
        <v/>
      </c>
      <c r="I635" s="15" t="str">
        <f>'2026 Orders'!I634</f>
        <v/>
      </c>
      <c r="J635" s="14">
        <f>'2026 Orders'!J634</f>
        <v>0</v>
      </c>
      <c r="K635">
        <v>0</v>
      </c>
      <c r="L635">
        <v>0</v>
      </c>
      <c r="N635" s="10">
        <f>'2026 Orders'!N634</f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C635" t="str">
        <f t="shared" si="18"/>
        <v/>
      </c>
      <c r="AD635" t="str">
        <f t="shared" si="19"/>
        <v/>
      </c>
    </row>
    <row r="636" spans="1:30" ht="33" hidden="1" customHeight="1" x14ac:dyDescent="0.3">
      <c r="A636">
        <v>0</v>
      </c>
      <c r="B636" s="14">
        <f>'2026 Orders'!B635</f>
        <v>0</v>
      </c>
      <c r="C636" s="14">
        <f>'2026 Orders'!C635</f>
        <v>0</v>
      </c>
      <c r="D636" s="14">
        <v>0</v>
      </c>
      <c r="E636" s="17" t="str" cm="1">
        <f t="array" ref="E636">IF(C636=0,"",
HYPERLINK(
"#'2026 Orders'!C"&amp;
MATCH(1,
('2026 Orders'!C:C=C636)*
('2026 Orders'!G:G=G636)*
('2026 Orders'!N:N=N636),
0),
"Open "&amp;C636
))</f>
        <v/>
      </c>
      <c r="F636" s="14">
        <v>0</v>
      </c>
      <c r="G636" s="14">
        <f>'2026 Orders'!G635</f>
        <v>0</v>
      </c>
      <c r="H636" s="14" t="str">
        <f>'2026 Orders'!H635</f>
        <v/>
      </c>
      <c r="I636" s="15" t="str">
        <f>'2026 Orders'!I635</f>
        <v/>
      </c>
      <c r="J636" s="14">
        <f>'2026 Orders'!J635</f>
        <v>0</v>
      </c>
      <c r="K636">
        <v>0</v>
      </c>
      <c r="L636">
        <v>0</v>
      </c>
      <c r="N636" s="10">
        <f>'2026 Orders'!N635</f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C636" t="str">
        <f t="shared" si="18"/>
        <v/>
      </c>
      <c r="AD636" t="str">
        <f t="shared" si="19"/>
        <v/>
      </c>
    </row>
    <row r="637" spans="1:30" ht="33" hidden="1" customHeight="1" x14ac:dyDescent="0.3">
      <c r="A637">
        <v>0</v>
      </c>
      <c r="B637" s="14">
        <f>'2026 Orders'!B636</f>
        <v>0</v>
      </c>
      <c r="C637" s="14">
        <f>'2026 Orders'!C636</f>
        <v>0</v>
      </c>
      <c r="D637" s="14">
        <v>0</v>
      </c>
      <c r="E637" s="17" t="str" cm="1">
        <f t="array" ref="E637">IF(C637=0,"",
HYPERLINK(
"#'2026 Orders'!C"&amp;
MATCH(1,
('2026 Orders'!C:C=C637)*
('2026 Orders'!G:G=G637)*
('2026 Orders'!N:N=N637),
0),
"Open "&amp;C637
))</f>
        <v/>
      </c>
      <c r="F637" s="14">
        <v>0</v>
      </c>
      <c r="G637" s="14">
        <f>'2026 Orders'!G636</f>
        <v>0</v>
      </c>
      <c r="H637" s="14" t="str">
        <f>'2026 Orders'!H636</f>
        <v/>
      </c>
      <c r="I637" s="15" t="str">
        <f>'2026 Orders'!I636</f>
        <v/>
      </c>
      <c r="J637" s="14">
        <f>'2026 Orders'!J636</f>
        <v>0</v>
      </c>
      <c r="K637">
        <v>0</v>
      </c>
      <c r="L637">
        <v>0</v>
      </c>
      <c r="N637" s="10">
        <f>'2026 Orders'!N636</f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C637" t="str">
        <f t="shared" si="18"/>
        <v/>
      </c>
      <c r="AD637" t="str">
        <f t="shared" si="19"/>
        <v/>
      </c>
    </row>
    <row r="638" spans="1:30" ht="33" hidden="1" customHeight="1" x14ac:dyDescent="0.3">
      <c r="A638">
        <v>0</v>
      </c>
      <c r="B638" s="14">
        <f>'2026 Orders'!B637</f>
        <v>0</v>
      </c>
      <c r="C638" s="14">
        <f>'2026 Orders'!C637</f>
        <v>0</v>
      </c>
      <c r="D638" s="14">
        <v>0</v>
      </c>
      <c r="E638" s="17" t="str" cm="1">
        <f t="array" ref="E638">IF(C638=0,"",
HYPERLINK(
"#'2026 Orders'!C"&amp;
MATCH(1,
('2026 Orders'!C:C=C638)*
('2026 Orders'!G:G=G638)*
('2026 Orders'!N:N=N638),
0),
"Open "&amp;C638
))</f>
        <v/>
      </c>
      <c r="F638" s="14">
        <v>0</v>
      </c>
      <c r="G638" s="14">
        <f>'2026 Orders'!G637</f>
        <v>0</v>
      </c>
      <c r="H638" s="14" t="str">
        <f>'2026 Orders'!H637</f>
        <v/>
      </c>
      <c r="I638" s="15" t="str">
        <f>'2026 Orders'!I637</f>
        <v/>
      </c>
      <c r="J638" s="14">
        <f>'2026 Orders'!J637</f>
        <v>0</v>
      </c>
      <c r="K638">
        <v>0</v>
      </c>
      <c r="L638">
        <v>0</v>
      </c>
      <c r="N638" s="10">
        <f>'2026 Orders'!N637</f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C638" t="str">
        <f t="shared" si="18"/>
        <v/>
      </c>
      <c r="AD638" t="str">
        <f t="shared" si="19"/>
        <v/>
      </c>
    </row>
    <row r="639" spans="1:30" ht="33" hidden="1" customHeight="1" x14ac:dyDescent="0.3">
      <c r="A639">
        <v>0</v>
      </c>
      <c r="B639" s="14">
        <f>'2026 Orders'!B638</f>
        <v>0</v>
      </c>
      <c r="C639" s="14">
        <f>'2026 Orders'!C638</f>
        <v>0</v>
      </c>
      <c r="D639" s="14">
        <v>0</v>
      </c>
      <c r="E639" s="17" t="str" cm="1">
        <f t="array" ref="E639">IF(C639=0,"",
HYPERLINK(
"#'2026 Orders'!C"&amp;
MATCH(1,
('2026 Orders'!C:C=C639)*
('2026 Orders'!G:G=G639)*
('2026 Orders'!N:N=N639),
0),
"Open "&amp;C639
))</f>
        <v/>
      </c>
      <c r="F639" s="14">
        <v>0</v>
      </c>
      <c r="G639" s="14">
        <f>'2026 Orders'!G638</f>
        <v>0</v>
      </c>
      <c r="H639" s="14" t="str">
        <f>'2026 Orders'!H638</f>
        <v/>
      </c>
      <c r="I639" s="15" t="str">
        <f>'2026 Orders'!I638</f>
        <v/>
      </c>
      <c r="J639" s="14">
        <f>'2026 Orders'!J638</f>
        <v>0</v>
      </c>
      <c r="K639">
        <v>0</v>
      </c>
      <c r="L639">
        <v>0</v>
      </c>
      <c r="N639" s="10">
        <f>'2026 Orders'!N638</f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C639" t="str">
        <f t="shared" si="18"/>
        <v/>
      </c>
      <c r="AD639" t="str">
        <f t="shared" si="19"/>
        <v/>
      </c>
    </row>
    <row r="640" spans="1:30" ht="33" hidden="1" customHeight="1" x14ac:dyDescent="0.3">
      <c r="A640">
        <v>0</v>
      </c>
      <c r="B640" s="14">
        <f>'2026 Orders'!B639</f>
        <v>0</v>
      </c>
      <c r="C640" s="14">
        <f>'2026 Orders'!C639</f>
        <v>0</v>
      </c>
      <c r="D640" s="14">
        <v>0</v>
      </c>
      <c r="E640" s="17" t="str" cm="1">
        <f t="array" ref="E640">IF(C640=0,"",
HYPERLINK(
"#'2026 Orders'!C"&amp;
MATCH(1,
('2026 Orders'!C:C=C640)*
('2026 Orders'!G:G=G640)*
('2026 Orders'!N:N=N640),
0),
"Open "&amp;C640
))</f>
        <v/>
      </c>
      <c r="F640" s="14">
        <v>0</v>
      </c>
      <c r="G640" s="14">
        <f>'2026 Orders'!G639</f>
        <v>0</v>
      </c>
      <c r="H640" s="14" t="str">
        <f>'2026 Orders'!H639</f>
        <v/>
      </c>
      <c r="I640" s="15" t="str">
        <f>'2026 Orders'!I639</f>
        <v/>
      </c>
      <c r="J640" s="14">
        <f>'2026 Orders'!J639</f>
        <v>0</v>
      </c>
      <c r="K640">
        <v>0</v>
      </c>
      <c r="L640">
        <v>0</v>
      </c>
      <c r="N640" s="10">
        <f>'2026 Orders'!N639</f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C640" t="str">
        <f t="shared" si="18"/>
        <v/>
      </c>
      <c r="AD640" t="str">
        <f t="shared" si="19"/>
        <v/>
      </c>
    </row>
    <row r="641" spans="1:30" ht="33" hidden="1" customHeight="1" x14ac:dyDescent="0.3">
      <c r="A641">
        <v>0</v>
      </c>
      <c r="B641" s="14">
        <f>'2026 Orders'!B640</f>
        <v>0</v>
      </c>
      <c r="C641" s="14">
        <f>'2026 Orders'!C640</f>
        <v>0</v>
      </c>
      <c r="D641" s="14">
        <v>0</v>
      </c>
      <c r="E641" s="17" t="str" cm="1">
        <f t="array" ref="E641">IF(C641=0,"",
HYPERLINK(
"#'2026 Orders'!C"&amp;
MATCH(1,
('2026 Orders'!C:C=C641)*
('2026 Orders'!G:G=G641)*
('2026 Orders'!N:N=N641),
0),
"Open "&amp;C641
))</f>
        <v/>
      </c>
      <c r="F641" s="14">
        <v>0</v>
      </c>
      <c r="G641" s="14">
        <f>'2026 Orders'!G640</f>
        <v>0</v>
      </c>
      <c r="H641" s="14" t="str">
        <f>'2026 Orders'!H640</f>
        <v/>
      </c>
      <c r="I641" s="15" t="str">
        <f>'2026 Orders'!I640</f>
        <v/>
      </c>
      <c r="J641" s="14">
        <f>'2026 Orders'!J640</f>
        <v>0</v>
      </c>
      <c r="K641">
        <v>0</v>
      </c>
      <c r="L641">
        <v>0</v>
      </c>
      <c r="N641" s="10">
        <f>'2026 Orders'!N640</f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C641" t="str">
        <f t="shared" si="18"/>
        <v/>
      </c>
      <c r="AD641" t="str">
        <f t="shared" si="19"/>
        <v/>
      </c>
    </row>
    <row r="642" spans="1:30" ht="33" hidden="1" customHeight="1" x14ac:dyDescent="0.3">
      <c r="A642">
        <v>0</v>
      </c>
      <c r="B642" s="14">
        <f>'2026 Orders'!B641</f>
        <v>0</v>
      </c>
      <c r="C642" s="14">
        <f>'2026 Orders'!C641</f>
        <v>0</v>
      </c>
      <c r="D642" s="14">
        <v>0</v>
      </c>
      <c r="E642" s="17" t="str" cm="1">
        <f t="array" ref="E642">IF(C642=0,"",
HYPERLINK(
"#'2026 Orders'!C"&amp;
MATCH(1,
('2026 Orders'!C:C=C642)*
('2026 Orders'!G:G=G642)*
('2026 Orders'!N:N=N642),
0),
"Open "&amp;C642
))</f>
        <v/>
      </c>
      <c r="F642" s="14">
        <v>0</v>
      </c>
      <c r="G642" s="14">
        <f>'2026 Orders'!G641</f>
        <v>0</v>
      </c>
      <c r="H642" s="14" t="str">
        <f>'2026 Orders'!H641</f>
        <v/>
      </c>
      <c r="I642" s="15" t="str">
        <f>'2026 Orders'!I641</f>
        <v/>
      </c>
      <c r="J642" s="14">
        <f>'2026 Orders'!J641</f>
        <v>0</v>
      </c>
      <c r="K642">
        <v>0</v>
      </c>
      <c r="L642">
        <v>0</v>
      </c>
      <c r="N642" s="10">
        <f>'2026 Orders'!N641</f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C642" t="str">
        <f t="shared" si="18"/>
        <v/>
      </c>
      <c r="AD642" t="str">
        <f t="shared" si="19"/>
        <v/>
      </c>
    </row>
    <row r="643" spans="1:30" ht="33" hidden="1" customHeight="1" x14ac:dyDescent="0.3">
      <c r="A643">
        <v>0</v>
      </c>
      <c r="B643" s="14">
        <f>'2026 Orders'!B642</f>
        <v>0</v>
      </c>
      <c r="C643" s="14">
        <f>'2026 Orders'!C642</f>
        <v>0</v>
      </c>
      <c r="D643" s="14">
        <v>0</v>
      </c>
      <c r="E643" s="17" t="str" cm="1">
        <f t="array" ref="E643">IF(C643=0,"",
HYPERLINK(
"#'2026 Orders'!C"&amp;
MATCH(1,
('2026 Orders'!C:C=C643)*
('2026 Orders'!G:G=G643)*
('2026 Orders'!N:N=N643),
0),
"Open "&amp;C643
))</f>
        <v/>
      </c>
      <c r="F643" s="14">
        <v>0</v>
      </c>
      <c r="G643" s="14">
        <f>'2026 Orders'!G642</f>
        <v>0</v>
      </c>
      <c r="H643" s="14" t="str">
        <f>'2026 Orders'!H642</f>
        <v/>
      </c>
      <c r="I643" s="15" t="str">
        <f>'2026 Orders'!I642</f>
        <v/>
      </c>
      <c r="J643" s="14">
        <f>'2026 Orders'!J642</f>
        <v>0</v>
      </c>
      <c r="K643">
        <v>0</v>
      </c>
      <c r="L643">
        <v>0</v>
      </c>
      <c r="N643" s="10">
        <f>'2026 Orders'!N642</f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C643" t="str">
        <f t="shared" ref="AC643:AC652" si="20">IF(OR(B643="",B643=0),"",J643&amp;"/"&amp;$AJ$2)</f>
        <v/>
      </c>
      <c r="AD643" t="str">
        <f t="shared" ref="AD643:AD652" si="21">IF(OR(J643="",J643=0),"",I643&amp;" -&gt; "&amp;$AK$2)</f>
        <v/>
      </c>
    </row>
    <row r="644" spans="1:30" ht="33" hidden="1" customHeight="1" x14ac:dyDescent="0.3">
      <c r="A644">
        <v>0</v>
      </c>
      <c r="B644" s="14">
        <f>'2026 Orders'!B643</f>
        <v>0</v>
      </c>
      <c r="C644" s="14">
        <f>'2026 Orders'!C643</f>
        <v>0</v>
      </c>
      <c r="D644" s="14">
        <v>0</v>
      </c>
      <c r="E644" s="17" t="str" cm="1">
        <f t="array" ref="E644">IF(C644=0,"",
HYPERLINK(
"#'2026 Orders'!C"&amp;
MATCH(1,
('2026 Orders'!C:C=C644)*
('2026 Orders'!G:G=G644)*
('2026 Orders'!N:N=N644),
0),
"Open "&amp;C644
))</f>
        <v/>
      </c>
      <c r="F644" s="14">
        <v>0</v>
      </c>
      <c r="G644" s="14">
        <f>'2026 Orders'!G643</f>
        <v>0</v>
      </c>
      <c r="H644" s="14" t="str">
        <f>'2026 Orders'!H643</f>
        <v/>
      </c>
      <c r="I644" s="15" t="str">
        <f>'2026 Orders'!I643</f>
        <v/>
      </c>
      <c r="J644" s="14">
        <f>'2026 Orders'!J643</f>
        <v>0</v>
      </c>
      <c r="K644">
        <v>0</v>
      </c>
      <c r="L644">
        <v>0</v>
      </c>
      <c r="N644" s="10">
        <f>'2026 Orders'!N643</f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C644" t="str">
        <f t="shared" si="20"/>
        <v/>
      </c>
      <c r="AD644" t="str">
        <f t="shared" si="21"/>
        <v/>
      </c>
    </row>
    <row r="645" spans="1:30" ht="33" hidden="1" customHeight="1" x14ac:dyDescent="0.3">
      <c r="A645">
        <v>0</v>
      </c>
      <c r="B645" s="14">
        <f>'2026 Orders'!B644</f>
        <v>0</v>
      </c>
      <c r="C645" s="14">
        <f>'2026 Orders'!C644</f>
        <v>0</v>
      </c>
      <c r="D645" s="14">
        <v>0</v>
      </c>
      <c r="E645" s="17" t="str" cm="1">
        <f t="array" ref="E645">IF(C645=0,"",
HYPERLINK(
"#'2026 Orders'!C"&amp;
MATCH(1,
('2026 Orders'!C:C=C645)*
('2026 Orders'!G:G=G645)*
('2026 Orders'!N:N=N645),
0),
"Open "&amp;C645
))</f>
        <v/>
      </c>
      <c r="F645" s="14">
        <v>0</v>
      </c>
      <c r="G645" s="14">
        <f>'2026 Orders'!G644</f>
        <v>0</v>
      </c>
      <c r="H645" s="14" t="str">
        <f>'2026 Orders'!H644</f>
        <v/>
      </c>
      <c r="I645" s="15" t="str">
        <f>'2026 Orders'!I644</f>
        <v/>
      </c>
      <c r="J645" s="14">
        <f>'2026 Orders'!J644</f>
        <v>0</v>
      </c>
      <c r="K645">
        <v>0</v>
      </c>
      <c r="L645">
        <v>0</v>
      </c>
      <c r="N645" s="10">
        <f>'2026 Orders'!N644</f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C645" t="str">
        <f t="shared" si="20"/>
        <v/>
      </c>
      <c r="AD645" t="str">
        <f t="shared" si="21"/>
        <v/>
      </c>
    </row>
    <row r="646" spans="1:30" ht="33" hidden="1" customHeight="1" x14ac:dyDescent="0.3">
      <c r="A646">
        <v>0</v>
      </c>
      <c r="B646" s="14">
        <f>'2026 Orders'!B645</f>
        <v>0</v>
      </c>
      <c r="C646" s="14">
        <f>'2026 Orders'!C645</f>
        <v>0</v>
      </c>
      <c r="D646" s="14">
        <v>0</v>
      </c>
      <c r="E646" s="17" t="str" cm="1">
        <f t="array" ref="E646">IF(C646=0,"",
HYPERLINK(
"#'2026 Orders'!C"&amp;
MATCH(1,
('2026 Orders'!C:C=C646)*
('2026 Orders'!G:G=G646)*
('2026 Orders'!N:N=N646),
0),
"Open "&amp;C646
))</f>
        <v/>
      </c>
      <c r="F646" s="14">
        <v>0</v>
      </c>
      <c r="G646" s="14">
        <f>'2026 Orders'!G645</f>
        <v>0</v>
      </c>
      <c r="H646" s="14" t="str">
        <f>'2026 Orders'!H645</f>
        <v/>
      </c>
      <c r="I646" s="15" t="str">
        <f>'2026 Orders'!I645</f>
        <v/>
      </c>
      <c r="J646" s="14">
        <f>'2026 Orders'!J645</f>
        <v>0</v>
      </c>
      <c r="K646">
        <v>0</v>
      </c>
      <c r="L646">
        <v>0</v>
      </c>
      <c r="N646" s="10">
        <f>'2026 Orders'!N645</f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C646" t="str">
        <f t="shared" si="20"/>
        <v/>
      </c>
      <c r="AD646" t="str">
        <f t="shared" si="21"/>
        <v/>
      </c>
    </row>
    <row r="647" spans="1:30" ht="33" hidden="1" customHeight="1" x14ac:dyDescent="0.3">
      <c r="A647">
        <v>0</v>
      </c>
      <c r="B647" s="14">
        <f>'2026 Orders'!B646</f>
        <v>0</v>
      </c>
      <c r="C647" s="14">
        <f>'2026 Orders'!C646</f>
        <v>0</v>
      </c>
      <c r="D647" s="14">
        <v>0</v>
      </c>
      <c r="E647" s="17" t="str" cm="1">
        <f t="array" ref="E647">IF(C647=0,"",
HYPERLINK(
"#'2026 Orders'!C"&amp;
MATCH(1,
('2026 Orders'!C:C=C647)*
('2026 Orders'!G:G=G647)*
('2026 Orders'!N:N=N647),
0),
"Open "&amp;C647
))</f>
        <v/>
      </c>
      <c r="F647" s="14">
        <v>0</v>
      </c>
      <c r="G647" s="14">
        <f>'2026 Orders'!G646</f>
        <v>0</v>
      </c>
      <c r="H647" s="14" t="str">
        <f>'2026 Orders'!H646</f>
        <v/>
      </c>
      <c r="I647" s="15" t="str">
        <f>'2026 Orders'!I646</f>
        <v/>
      </c>
      <c r="J647" s="14">
        <f>'2026 Orders'!J646</f>
        <v>0</v>
      </c>
      <c r="K647">
        <v>0</v>
      </c>
      <c r="L647">
        <v>0</v>
      </c>
      <c r="N647" s="10">
        <f>'2026 Orders'!N646</f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C647" t="str">
        <f t="shared" si="20"/>
        <v/>
      </c>
      <c r="AD647" t="str">
        <f t="shared" si="21"/>
        <v/>
      </c>
    </row>
    <row r="648" spans="1:30" ht="33" hidden="1" customHeight="1" x14ac:dyDescent="0.3">
      <c r="A648">
        <v>0</v>
      </c>
      <c r="B648" s="14">
        <f>'2026 Orders'!B647</f>
        <v>0</v>
      </c>
      <c r="C648" s="14">
        <f>'2026 Orders'!C647</f>
        <v>0</v>
      </c>
      <c r="D648" s="14">
        <v>0</v>
      </c>
      <c r="E648" s="17" t="str" cm="1">
        <f t="array" ref="E648">IF(C648=0,"",
HYPERLINK(
"#'2026 Orders'!C"&amp;
MATCH(1,
('2026 Orders'!C:C=C648)*
('2026 Orders'!G:G=G648)*
('2026 Orders'!N:N=N648),
0),
"Open "&amp;C648
))</f>
        <v/>
      </c>
      <c r="F648" s="14">
        <v>0</v>
      </c>
      <c r="G648" s="14">
        <f>'2026 Orders'!G647</f>
        <v>0</v>
      </c>
      <c r="H648" s="14" t="str">
        <f>'2026 Orders'!H647</f>
        <v/>
      </c>
      <c r="I648" s="15" t="str">
        <f>'2026 Orders'!I647</f>
        <v/>
      </c>
      <c r="J648" s="14">
        <f>'2026 Orders'!J647</f>
        <v>0</v>
      </c>
      <c r="K648">
        <v>0</v>
      </c>
      <c r="L648">
        <v>0</v>
      </c>
      <c r="N648" s="10">
        <f>'2026 Orders'!N647</f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C648" t="str">
        <f t="shared" si="20"/>
        <v/>
      </c>
      <c r="AD648" t="str">
        <f t="shared" si="21"/>
        <v/>
      </c>
    </row>
    <row r="649" spans="1:30" ht="33" hidden="1" customHeight="1" x14ac:dyDescent="0.3">
      <c r="A649">
        <v>0</v>
      </c>
      <c r="B649" s="14">
        <f>'2026 Orders'!B648</f>
        <v>0</v>
      </c>
      <c r="C649" s="14">
        <f>'2026 Orders'!C648</f>
        <v>0</v>
      </c>
      <c r="D649" s="14">
        <v>0</v>
      </c>
      <c r="E649" s="17" t="str" cm="1">
        <f t="array" ref="E649">IF(C649=0,"",
HYPERLINK(
"#'2026 Orders'!C"&amp;
MATCH(1,
('2026 Orders'!C:C=C649)*
('2026 Orders'!G:G=G649)*
('2026 Orders'!N:N=N649),
0),
"Open "&amp;C649
))</f>
        <v/>
      </c>
      <c r="F649" s="14">
        <v>0</v>
      </c>
      <c r="G649" s="14">
        <f>'2026 Orders'!G648</f>
        <v>0</v>
      </c>
      <c r="H649" s="14" t="str">
        <f>'2026 Orders'!H648</f>
        <v/>
      </c>
      <c r="I649" s="15" t="str">
        <f>'2026 Orders'!I648</f>
        <v/>
      </c>
      <c r="J649" s="14">
        <f>'2026 Orders'!J648</f>
        <v>0</v>
      </c>
      <c r="K649">
        <v>0</v>
      </c>
      <c r="L649">
        <v>0</v>
      </c>
      <c r="N649" s="10">
        <f>'2026 Orders'!N648</f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C649" t="str">
        <f t="shared" si="20"/>
        <v/>
      </c>
      <c r="AD649" t="str">
        <f t="shared" si="21"/>
        <v/>
      </c>
    </row>
    <row r="650" spans="1:30" ht="33" hidden="1" customHeight="1" x14ac:dyDescent="0.3">
      <c r="A650">
        <v>0</v>
      </c>
      <c r="B650" s="14">
        <f>'2026 Orders'!B649</f>
        <v>0</v>
      </c>
      <c r="C650" s="14">
        <f>'2026 Orders'!C649</f>
        <v>0</v>
      </c>
      <c r="D650" s="14">
        <v>0</v>
      </c>
      <c r="E650" s="17" t="str" cm="1">
        <f t="array" ref="E650">IF(C650=0,"",
HYPERLINK(
"#'2026 Orders'!C"&amp;
MATCH(1,
('2026 Orders'!C:C=C650)*
('2026 Orders'!G:G=G650)*
('2026 Orders'!N:N=N650),
0),
"Open "&amp;C650
))</f>
        <v/>
      </c>
      <c r="F650" s="14">
        <v>0</v>
      </c>
      <c r="G650" s="14">
        <f>'2026 Orders'!G649</f>
        <v>0</v>
      </c>
      <c r="H650" s="14" t="str">
        <f>'2026 Orders'!H649</f>
        <v/>
      </c>
      <c r="I650" s="15" t="str">
        <f>'2026 Orders'!I649</f>
        <v/>
      </c>
      <c r="J650" s="14">
        <f>'2026 Orders'!J649</f>
        <v>0</v>
      </c>
      <c r="K650">
        <v>0</v>
      </c>
      <c r="L650">
        <v>0</v>
      </c>
      <c r="N650" s="10">
        <f>'2026 Orders'!N649</f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C650" t="str">
        <f t="shared" si="20"/>
        <v/>
      </c>
      <c r="AD650" t="str">
        <f t="shared" si="21"/>
        <v/>
      </c>
    </row>
    <row r="651" spans="1:30" ht="33" hidden="1" customHeight="1" x14ac:dyDescent="0.3">
      <c r="A651">
        <v>0</v>
      </c>
      <c r="B651" s="14">
        <f>'2026 Orders'!B650</f>
        <v>0</v>
      </c>
      <c r="C651" s="14">
        <f>'2026 Orders'!C650</f>
        <v>0</v>
      </c>
      <c r="D651" s="14">
        <v>0</v>
      </c>
      <c r="E651" s="17" t="str" cm="1">
        <f t="array" ref="E651">IF(C651=0,"",
HYPERLINK(
"#'2026 Orders'!C"&amp;
MATCH(1,
('2026 Orders'!C:C=C651)*
('2026 Orders'!G:G=G651)*
('2026 Orders'!N:N=N651),
0),
"Open "&amp;C651
))</f>
        <v/>
      </c>
      <c r="F651" s="14">
        <v>0</v>
      </c>
      <c r="G651" s="14">
        <f>'2026 Orders'!G650</f>
        <v>0</v>
      </c>
      <c r="H651" s="14" t="str">
        <f>'2026 Orders'!H650</f>
        <v/>
      </c>
      <c r="I651" s="15" t="str">
        <f>'2026 Orders'!I650</f>
        <v/>
      </c>
      <c r="J651" s="14">
        <f>'2026 Orders'!J650</f>
        <v>0</v>
      </c>
      <c r="K651">
        <v>0</v>
      </c>
      <c r="L651">
        <v>0</v>
      </c>
      <c r="N651" s="10">
        <f>'2026 Orders'!N650</f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C651" t="str">
        <f t="shared" si="20"/>
        <v/>
      </c>
      <c r="AD651" t="str">
        <f t="shared" si="21"/>
        <v/>
      </c>
    </row>
    <row r="652" spans="1:30" ht="33" hidden="1" customHeight="1" x14ac:dyDescent="0.3">
      <c r="A652">
        <v>0</v>
      </c>
      <c r="B652" s="14">
        <f>'2026 Orders'!B651</f>
        <v>0</v>
      </c>
      <c r="C652" s="14">
        <f>'2026 Orders'!C651</f>
        <v>0</v>
      </c>
      <c r="D652" s="14">
        <v>0</v>
      </c>
      <c r="E652" s="17" t="str" cm="1">
        <f t="array" ref="E652">IF(C652=0,"",
HYPERLINK(
"#'2026 Orders'!C"&amp;
MATCH(1,
('2026 Orders'!C:C=C652)*
('2026 Orders'!G:G=G652)*
('2026 Orders'!N:N=N652),
0),
"Open "&amp;C652
))</f>
        <v/>
      </c>
      <c r="F652" s="14">
        <v>0</v>
      </c>
      <c r="G652" s="14">
        <f>'2026 Orders'!G651</f>
        <v>0</v>
      </c>
      <c r="H652" s="14" t="str">
        <f>'2026 Orders'!H651</f>
        <v/>
      </c>
      <c r="I652" s="15" t="str">
        <f>'2026 Orders'!I651</f>
        <v/>
      </c>
      <c r="J652" s="14">
        <f>'2026 Orders'!J651</f>
        <v>0</v>
      </c>
      <c r="K652">
        <v>0</v>
      </c>
      <c r="L652">
        <v>0</v>
      </c>
      <c r="N652" s="10">
        <f>'2026 Orders'!N651</f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C652" t="str">
        <f t="shared" si="20"/>
        <v/>
      </c>
      <c r="AD652" t="str">
        <f t="shared" si="21"/>
        <v/>
      </c>
    </row>
    <row r="653" spans="1:30" ht="33" customHeight="1" thickTop="1" x14ac:dyDescent="0.3">
      <c r="B653" s="10"/>
      <c r="C653" s="10"/>
      <c r="D653" s="10"/>
      <c r="E653" s="10"/>
      <c r="F653" s="10"/>
      <c r="G653" s="10"/>
      <c r="H653" s="10"/>
      <c r="I653" s="10"/>
      <c r="J653" s="10"/>
    </row>
    <row r="654" spans="1:30" ht="33" customHeight="1" x14ac:dyDescent="0.3">
      <c r="B654" s="10"/>
      <c r="C654" s="10"/>
      <c r="D654" s="10"/>
      <c r="E654" s="10"/>
      <c r="F654" s="10"/>
      <c r="G654" s="10"/>
      <c r="H654" s="10"/>
      <c r="I654" s="10"/>
      <c r="J654" s="10"/>
    </row>
    <row r="655" spans="1:30" ht="33" customHeight="1" x14ac:dyDescent="0.3">
      <c r="B655" s="10"/>
      <c r="C655" s="10"/>
      <c r="D655" s="10"/>
      <c r="E655" s="10"/>
      <c r="F655" s="10"/>
      <c r="G655" s="10"/>
      <c r="H655" s="10"/>
      <c r="I655" s="10"/>
      <c r="J655" s="10"/>
    </row>
    <row r="656" spans="1:30" ht="33" customHeight="1" x14ac:dyDescent="0.3">
      <c r="B656" s="10"/>
      <c r="C656" s="10"/>
      <c r="D656" s="10"/>
      <c r="E656" s="10"/>
      <c r="F656" s="10"/>
      <c r="G656" s="10"/>
      <c r="H656" s="10"/>
      <c r="I656" s="10"/>
      <c r="J656" s="10"/>
    </row>
    <row r="657" spans="2:10" ht="33" customHeight="1" x14ac:dyDescent="0.3">
      <c r="B657" s="10"/>
      <c r="C657" s="10"/>
      <c r="D657" s="10"/>
      <c r="E657" s="10"/>
      <c r="F657" s="10"/>
      <c r="G657" s="10"/>
      <c r="H657" s="10"/>
      <c r="I657" s="10"/>
      <c r="J657" s="10"/>
    </row>
    <row r="658" spans="2:10" ht="33" customHeight="1" x14ac:dyDescent="0.3">
      <c r="B658" s="10"/>
      <c r="C658" s="10"/>
      <c r="D658" s="10"/>
      <c r="E658" s="10"/>
      <c r="F658" s="10"/>
      <c r="G658" s="10"/>
      <c r="H658" s="10"/>
      <c r="I658" s="10"/>
      <c r="J658" s="10"/>
    </row>
    <row r="659" spans="2:10" ht="33" customHeight="1" x14ac:dyDescent="0.3">
      <c r="B659" s="10"/>
      <c r="C659" s="10"/>
      <c r="D659" s="10"/>
      <c r="E659" s="10"/>
      <c r="F659" s="10"/>
      <c r="G659" s="10"/>
      <c r="H659" s="10"/>
      <c r="I659" s="10"/>
      <c r="J659" s="10"/>
    </row>
    <row r="660" spans="2:10" ht="33" customHeight="1" x14ac:dyDescent="0.3">
      <c r="B660" s="10"/>
      <c r="C660" s="10"/>
      <c r="D660" s="10"/>
      <c r="E660" s="10"/>
      <c r="F660" s="10"/>
      <c r="G660" s="10"/>
      <c r="H660" s="10"/>
      <c r="I660" s="10"/>
      <c r="J660" s="10"/>
    </row>
    <row r="661" spans="2:10" ht="33" customHeight="1" x14ac:dyDescent="0.3">
      <c r="B661" s="10"/>
      <c r="C661" s="10"/>
      <c r="D661" s="10"/>
      <c r="E661" s="10"/>
      <c r="F661" s="10"/>
      <c r="G661" s="10"/>
      <c r="H661" s="10"/>
      <c r="I661" s="10"/>
      <c r="J661" s="10"/>
    </row>
    <row r="662" spans="2:10" ht="33" customHeight="1" x14ac:dyDescent="0.3">
      <c r="B662" s="10"/>
      <c r="C662" s="10"/>
      <c r="D662" s="10"/>
      <c r="E662" s="10"/>
      <c r="F662" s="10"/>
      <c r="G662" s="10"/>
      <c r="H662" s="10"/>
      <c r="I662" s="10"/>
      <c r="J662" s="10"/>
    </row>
    <row r="663" spans="2:10" ht="33" customHeight="1" x14ac:dyDescent="0.3">
      <c r="B663" s="10"/>
      <c r="C663" s="10"/>
      <c r="D663" s="10"/>
      <c r="E663" s="10"/>
      <c r="F663" s="10"/>
      <c r="G663" s="10"/>
      <c r="H663" s="10"/>
      <c r="I663" s="10"/>
      <c r="J663" s="10"/>
    </row>
    <row r="664" spans="2:10" ht="33" customHeight="1" x14ac:dyDescent="0.3">
      <c r="B664" s="10"/>
      <c r="C664" s="10"/>
      <c r="D664" s="10"/>
      <c r="E664" s="10"/>
      <c r="F664" s="10"/>
      <c r="G664" s="10"/>
      <c r="H664" s="10"/>
      <c r="I664" s="10"/>
      <c r="J664" s="10"/>
    </row>
    <row r="665" spans="2:10" ht="33" customHeight="1" x14ac:dyDescent="0.3">
      <c r="B665" s="10"/>
      <c r="C665" s="10"/>
      <c r="D665" s="10"/>
      <c r="E665" s="10"/>
      <c r="F665" s="10"/>
      <c r="G665" s="10"/>
      <c r="H665" s="10"/>
      <c r="I665" s="10"/>
      <c r="J665" s="10"/>
    </row>
    <row r="666" spans="2:10" ht="33" customHeight="1" x14ac:dyDescent="0.3">
      <c r="B666" s="10"/>
      <c r="C666" s="10"/>
      <c r="D666" s="10"/>
      <c r="E666" s="10"/>
      <c r="F666" s="10"/>
      <c r="G666" s="10"/>
      <c r="H666" s="10"/>
      <c r="I666" s="10"/>
      <c r="J666" s="10"/>
    </row>
    <row r="667" spans="2:10" ht="33" customHeight="1" x14ac:dyDescent="0.3">
      <c r="B667" s="10"/>
      <c r="C667" s="10"/>
      <c r="D667" s="10"/>
      <c r="E667" s="10"/>
      <c r="F667" s="10"/>
      <c r="G667" s="10"/>
      <c r="H667" s="10"/>
      <c r="I667" s="10"/>
      <c r="J667" s="10"/>
    </row>
    <row r="668" spans="2:10" ht="33" customHeight="1" x14ac:dyDescent="0.3">
      <c r="B668" s="10"/>
      <c r="C668" s="10"/>
      <c r="D668" s="10"/>
      <c r="E668" s="10"/>
      <c r="F668" s="10"/>
      <c r="G668" s="10"/>
      <c r="H668" s="10"/>
      <c r="I668" s="10"/>
      <c r="J668" s="10"/>
    </row>
    <row r="669" spans="2:10" ht="33" customHeight="1" x14ac:dyDescent="0.3">
      <c r="B669" s="10"/>
      <c r="C669" s="10"/>
      <c r="D669" s="10"/>
      <c r="E669" s="10"/>
      <c r="F669" s="10"/>
      <c r="G669" s="10"/>
      <c r="H669" s="10"/>
      <c r="I669" s="10"/>
      <c r="J669" s="10"/>
    </row>
    <row r="670" spans="2:10" ht="33" customHeight="1" x14ac:dyDescent="0.3">
      <c r="B670" s="10"/>
      <c r="C670" s="10"/>
      <c r="D670" s="10"/>
      <c r="E670" s="10"/>
      <c r="F670" s="10"/>
      <c r="G670" s="10"/>
      <c r="H670" s="10"/>
      <c r="I670" s="10"/>
      <c r="J670" s="10"/>
    </row>
    <row r="671" spans="2:10" ht="33" customHeight="1" x14ac:dyDescent="0.3">
      <c r="B671" s="10"/>
      <c r="C671" s="10"/>
      <c r="D671" s="10"/>
      <c r="E671" s="10"/>
      <c r="F671" s="10"/>
      <c r="G671" s="10"/>
      <c r="H671" s="10"/>
      <c r="I671" s="10"/>
      <c r="J671" s="10"/>
    </row>
    <row r="672" spans="2:10" ht="33" customHeight="1" x14ac:dyDescent="0.3">
      <c r="B672" s="10"/>
      <c r="C672" s="10"/>
      <c r="D672" s="10"/>
      <c r="E672" s="10"/>
      <c r="F672" s="10"/>
      <c r="G672" s="10"/>
      <c r="H672" s="10"/>
      <c r="I672" s="10"/>
      <c r="J672" s="10"/>
    </row>
    <row r="673" spans="2:10" ht="33" customHeight="1" x14ac:dyDescent="0.3">
      <c r="B673" s="10"/>
      <c r="C673" s="10"/>
      <c r="D673" s="10"/>
      <c r="E673" s="10"/>
      <c r="F673" s="10"/>
      <c r="G673" s="10"/>
      <c r="H673" s="10"/>
      <c r="I673" s="10"/>
      <c r="J673" s="10"/>
    </row>
    <row r="674" spans="2:10" ht="33" customHeight="1" x14ac:dyDescent="0.3">
      <c r="B674" s="10"/>
      <c r="C674" s="10"/>
      <c r="D674" s="10"/>
      <c r="E674" s="10"/>
      <c r="F674" s="10"/>
      <c r="G674" s="10"/>
      <c r="H674" s="10"/>
      <c r="I674" s="10"/>
      <c r="J674" s="10"/>
    </row>
    <row r="675" spans="2:10" ht="33" customHeight="1" x14ac:dyDescent="0.3">
      <c r="B675" s="10"/>
      <c r="C675" s="10"/>
      <c r="D675" s="10"/>
      <c r="E675" s="10"/>
      <c r="F675" s="10"/>
      <c r="G675" s="10"/>
      <c r="H675" s="10"/>
      <c r="I675" s="10"/>
      <c r="J675" s="10"/>
    </row>
    <row r="676" spans="2:10" ht="33" customHeight="1" x14ac:dyDescent="0.3">
      <c r="B676" s="10"/>
      <c r="C676" s="10"/>
      <c r="D676" s="10"/>
      <c r="E676" s="10"/>
      <c r="F676" s="10"/>
      <c r="G676" s="10"/>
      <c r="H676" s="10"/>
      <c r="I676" s="10"/>
      <c r="J676" s="10"/>
    </row>
    <row r="677" spans="2:10" ht="33" customHeight="1" x14ac:dyDescent="0.3">
      <c r="B677" s="10"/>
      <c r="C677" s="10"/>
      <c r="D677" s="10"/>
      <c r="E677" s="10"/>
      <c r="F677" s="10"/>
      <c r="G677" s="10"/>
      <c r="H677" s="10"/>
      <c r="I677" s="10"/>
      <c r="J677" s="10"/>
    </row>
    <row r="678" spans="2:10" ht="33" customHeight="1" x14ac:dyDescent="0.3">
      <c r="B678" s="10"/>
      <c r="C678" s="10"/>
      <c r="D678" s="10"/>
      <c r="E678" s="10"/>
      <c r="F678" s="10"/>
      <c r="G678" s="10"/>
      <c r="H678" s="10"/>
      <c r="I678" s="10"/>
      <c r="J678" s="10"/>
    </row>
    <row r="679" spans="2:10" ht="33" customHeight="1" x14ac:dyDescent="0.3">
      <c r="B679" s="10"/>
      <c r="C679" s="10"/>
      <c r="D679" s="10"/>
      <c r="E679" s="10"/>
      <c r="F679" s="10"/>
      <c r="G679" s="10"/>
      <c r="H679" s="10"/>
      <c r="I679" s="10"/>
      <c r="J679" s="10"/>
    </row>
    <row r="680" spans="2:10" ht="33" customHeight="1" x14ac:dyDescent="0.3">
      <c r="B680" s="10"/>
      <c r="C680" s="10"/>
      <c r="D680" s="10"/>
      <c r="E680" s="10"/>
      <c r="F680" s="10"/>
      <c r="G680" s="10"/>
      <c r="H680" s="10"/>
      <c r="I680" s="10"/>
      <c r="J680" s="10"/>
    </row>
    <row r="681" spans="2:10" ht="33" customHeight="1" x14ac:dyDescent="0.3">
      <c r="B681" s="10"/>
      <c r="C681" s="10"/>
      <c r="D681" s="10"/>
      <c r="E681" s="10"/>
      <c r="F681" s="10"/>
      <c r="G681" s="10"/>
      <c r="H681" s="10"/>
      <c r="I681" s="10"/>
      <c r="J681" s="10"/>
    </row>
    <row r="682" spans="2:10" ht="33" customHeight="1" x14ac:dyDescent="0.3">
      <c r="B682" s="10"/>
      <c r="C682" s="10"/>
      <c r="D682" s="10"/>
      <c r="E682" s="10"/>
      <c r="F682" s="10"/>
      <c r="G682" s="10"/>
      <c r="H682" s="10"/>
      <c r="I682" s="10"/>
      <c r="J682" s="10"/>
    </row>
    <row r="683" spans="2:10" ht="33" customHeight="1" x14ac:dyDescent="0.3">
      <c r="B683" s="10"/>
      <c r="C683" s="10"/>
      <c r="D683" s="10"/>
      <c r="E683" s="10"/>
      <c r="F683" s="10"/>
      <c r="G683" s="10"/>
      <c r="H683" s="10"/>
      <c r="I683" s="10"/>
      <c r="J683" s="10"/>
    </row>
    <row r="684" spans="2:10" ht="33" customHeight="1" x14ac:dyDescent="0.3">
      <c r="B684" s="10"/>
      <c r="C684" s="10"/>
      <c r="D684" s="10"/>
      <c r="E684" s="10"/>
      <c r="F684" s="10"/>
      <c r="G684" s="10"/>
      <c r="H684" s="10"/>
      <c r="I684" s="10"/>
      <c r="J684" s="10"/>
    </row>
    <row r="685" spans="2:10" ht="33" customHeight="1" x14ac:dyDescent="0.3">
      <c r="B685" s="10"/>
      <c r="C685" s="10"/>
      <c r="D685" s="10"/>
      <c r="E685" s="10"/>
      <c r="F685" s="10"/>
      <c r="G685" s="10"/>
      <c r="H685" s="10"/>
      <c r="I685" s="10"/>
      <c r="J685" s="10"/>
    </row>
    <row r="686" spans="2:10" ht="33" customHeight="1" x14ac:dyDescent="0.3">
      <c r="B686" s="10"/>
      <c r="C686" s="10"/>
      <c r="D686" s="10"/>
      <c r="E686" s="10"/>
      <c r="F686" s="10"/>
      <c r="G686" s="10"/>
      <c r="H686" s="10"/>
      <c r="I686" s="10"/>
      <c r="J686" s="10"/>
    </row>
    <row r="687" spans="2:10" ht="33" customHeight="1" x14ac:dyDescent="0.3">
      <c r="B687" s="10"/>
      <c r="C687" s="10"/>
      <c r="D687" s="10"/>
      <c r="E687" s="10"/>
      <c r="F687" s="10"/>
      <c r="G687" s="10"/>
      <c r="H687" s="10"/>
      <c r="I687" s="10"/>
      <c r="J687" s="10"/>
    </row>
    <row r="688" spans="2:10" ht="33" customHeight="1" x14ac:dyDescent="0.3">
      <c r="B688" s="10"/>
      <c r="C688" s="10"/>
      <c r="D688" s="10"/>
      <c r="E688" s="10"/>
      <c r="F688" s="10"/>
      <c r="G688" s="10"/>
      <c r="H688" s="10"/>
      <c r="I688" s="10"/>
      <c r="J688" s="10"/>
    </row>
    <row r="689" spans="2:10" ht="33" customHeight="1" x14ac:dyDescent="0.3">
      <c r="B689" s="10"/>
      <c r="C689" s="10"/>
      <c r="D689" s="10"/>
      <c r="E689" s="10"/>
      <c r="F689" s="10"/>
      <c r="G689" s="10"/>
      <c r="H689" s="10"/>
      <c r="I689" s="10"/>
      <c r="J689" s="10"/>
    </row>
    <row r="690" spans="2:10" ht="33" customHeight="1" x14ac:dyDescent="0.3">
      <c r="B690" s="10"/>
      <c r="C690" s="10"/>
      <c r="D690" s="10"/>
      <c r="E690" s="10"/>
      <c r="F690" s="10"/>
      <c r="G690" s="10"/>
      <c r="H690" s="10"/>
      <c r="I690" s="10"/>
      <c r="J690" s="10"/>
    </row>
    <row r="691" spans="2:10" ht="33" customHeight="1" x14ac:dyDescent="0.3">
      <c r="B691" s="10"/>
      <c r="C691" s="10"/>
      <c r="D691" s="10"/>
      <c r="E691" s="10"/>
      <c r="F691" s="10"/>
      <c r="G691" s="10"/>
      <c r="H691" s="10"/>
      <c r="I691" s="10"/>
      <c r="J691" s="10"/>
    </row>
    <row r="692" spans="2:10" ht="33" customHeight="1" x14ac:dyDescent="0.3">
      <c r="B692" s="10"/>
      <c r="C692" s="10"/>
      <c r="D692" s="10"/>
      <c r="E692" s="10"/>
      <c r="F692" s="10"/>
      <c r="G692" s="10"/>
      <c r="H692" s="10"/>
      <c r="I692" s="10"/>
      <c r="J692" s="10"/>
    </row>
    <row r="693" spans="2:10" ht="33" customHeight="1" x14ac:dyDescent="0.3">
      <c r="B693" s="10"/>
      <c r="C693" s="10"/>
      <c r="D693" s="10"/>
      <c r="E693" s="10"/>
      <c r="F693" s="10"/>
      <c r="G693" s="10"/>
      <c r="H693" s="10"/>
      <c r="I693" s="10"/>
      <c r="J693" s="10"/>
    </row>
    <row r="694" spans="2:10" ht="33" customHeight="1" x14ac:dyDescent="0.3">
      <c r="B694" s="10"/>
      <c r="C694" s="10"/>
      <c r="D694" s="10"/>
      <c r="E694" s="10"/>
      <c r="F694" s="10"/>
      <c r="G694" s="10"/>
      <c r="H694" s="10"/>
      <c r="I694" s="10"/>
      <c r="J694" s="10"/>
    </row>
    <row r="695" spans="2:10" ht="33" customHeight="1" x14ac:dyDescent="0.3">
      <c r="B695" s="10"/>
      <c r="C695" s="10"/>
      <c r="D695" s="10"/>
      <c r="E695" s="10"/>
      <c r="F695" s="10"/>
      <c r="G695" s="10"/>
      <c r="H695" s="10"/>
      <c r="I695" s="10"/>
      <c r="J695" s="10"/>
    </row>
    <row r="696" spans="2:10" ht="33" customHeight="1" x14ac:dyDescent="0.3">
      <c r="B696" s="10"/>
      <c r="C696" s="10"/>
      <c r="D696" s="10"/>
      <c r="E696" s="10"/>
      <c r="F696" s="10"/>
      <c r="G696" s="10"/>
      <c r="H696" s="10"/>
      <c r="I696" s="10"/>
      <c r="J696" s="10"/>
    </row>
    <row r="697" spans="2:10" ht="33" customHeight="1" x14ac:dyDescent="0.3">
      <c r="B697" s="10"/>
      <c r="C697" s="10"/>
      <c r="D697" s="10"/>
      <c r="E697" s="10"/>
      <c r="F697" s="10"/>
      <c r="G697" s="10"/>
      <c r="H697" s="10"/>
      <c r="I697" s="10"/>
      <c r="J697" s="10"/>
    </row>
    <row r="698" spans="2:10" ht="33" customHeight="1" x14ac:dyDescent="0.3">
      <c r="B698" s="10"/>
      <c r="C698" s="10"/>
      <c r="D698" s="10"/>
      <c r="E698" s="10"/>
      <c r="F698" s="10"/>
      <c r="G698" s="10"/>
      <c r="H698" s="10"/>
      <c r="I698" s="10"/>
      <c r="J698" s="10"/>
    </row>
    <row r="699" spans="2:10" ht="33" customHeight="1" x14ac:dyDescent="0.3">
      <c r="B699" s="10"/>
      <c r="C699" s="10"/>
      <c r="D699" s="10"/>
      <c r="E699" s="10"/>
      <c r="F699" s="10"/>
      <c r="G699" s="10"/>
      <c r="H699" s="10"/>
      <c r="I699" s="10"/>
      <c r="J699" s="10"/>
    </row>
    <row r="700" spans="2:10" ht="33" customHeight="1" x14ac:dyDescent="0.3">
      <c r="B700" s="10"/>
      <c r="C700" s="10"/>
      <c r="D700" s="10"/>
      <c r="E700" s="10"/>
      <c r="F700" s="10"/>
      <c r="G700" s="10"/>
      <c r="H700" s="10"/>
      <c r="I700" s="10"/>
      <c r="J700" s="10"/>
    </row>
    <row r="701" spans="2:10" ht="33" customHeight="1" x14ac:dyDescent="0.3">
      <c r="B701" s="10"/>
      <c r="C701" s="10"/>
      <c r="D701" s="10"/>
      <c r="E701" s="10"/>
      <c r="F701" s="10"/>
      <c r="G701" s="10"/>
      <c r="H701" s="10"/>
      <c r="I701" s="10"/>
      <c r="J701" s="10"/>
    </row>
    <row r="702" spans="2:10" ht="33" customHeight="1" x14ac:dyDescent="0.3">
      <c r="B702" s="10"/>
      <c r="C702" s="10"/>
      <c r="D702" s="10"/>
      <c r="E702" s="10"/>
      <c r="F702" s="10"/>
      <c r="G702" s="10"/>
      <c r="H702" s="10"/>
      <c r="I702" s="10"/>
      <c r="J702" s="10"/>
    </row>
    <row r="703" spans="2:10" ht="33" customHeight="1" x14ac:dyDescent="0.3">
      <c r="B703" s="10"/>
      <c r="C703" s="10"/>
      <c r="D703" s="10"/>
      <c r="E703" s="10"/>
      <c r="F703" s="10"/>
      <c r="G703" s="10"/>
      <c r="H703" s="10"/>
      <c r="I703" s="10"/>
      <c r="J703" s="10"/>
    </row>
    <row r="704" spans="2:10" ht="33" customHeight="1" x14ac:dyDescent="0.3">
      <c r="B704" s="10"/>
      <c r="C704" s="10"/>
      <c r="D704" s="10"/>
      <c r="E704" s="10"/>
      <c r="F704" s="10"/>
      <c r="G704" s="10"/>
      <c r="H704" s="10"/>
      <c r="I704" s="10"/>
      <c r="J704" s="10"/>
    </row>
    <row r="705" spans="2:10" ht="33" customHeight="1" x14ac:dyDescent="0.3">
      <c r="B705" s="10"/>
      <c r="C705" s="10"/>
      <c r="D705" s="10"/>
      <c r="E705" s="10"/>
      <c r="F705" s="10"/>
      <c r="G705" s="10"/>
      <c r="H705" s="10"/>
      <c r="I705" s="10"/>
      <c r="J705" s="10"/>
    </row>
    <row r="706" spans="2:10" ht="33" customHeight="1" x14ac:dyDescent="0.3">
      <c r="B706" s="10"/>
      <c r="C706" s="10"/>
      <c r="D706" s="10"/>
      <c r="E706" s="10"/>
      <c r="F706" s="10"/>
      <c r="G706" s="10"/>
      <c r="H706" s="10"/>
      <c r="I706" s="10"/>
      <c r="J706" s="10"/>
    </row>
    <row r="707" spans="2:10" ht="33" customHeight="1" x14ac:dyDescent="0.3">
      <c r="B707" s="10"/>
      <c r="C707" s="10"/>
      <c r="D707" s="10"/>
      <c r="E707" s="10"/>
      <c r="F707" s="10"/>
      <c r="G707" s="10"/>
      <c r="H707" s="10"/>
      <c r="I707" s="10"/>
      <c r="J707" s="10"/>
    </row>
    <row r="708" spans="2:10" ht="33" customHeight="1" x14ac:dyDescent="0.3">
      <c r="B708" s="10"/>
      <c r="C708" s="10"/>
      <c r="D708" s="10"/>
      <c r="E708" s="10"/>
      <c r="F708" s="10"/>
      <c r="G708" s="10"/>
      <c r="H708" s="10"/>
      <c r="I708" s="10"/>
      <c r="J708" s="10"/>
    </row>
    <row r="709" spans="2:10" ht="33" customHeight="1" x14ac:dyDescent="0.3">
      <c r="B709" s="10"/>
      <c r="C709" s="10"/>
      <c r="D709" s="10"/>
      <c r="E709" s="10"/>
      <c r="F709" s="10"/>
      <c r="G709" s="10"/>
      <c r="H709" s="10"/>
      <c r="I709" s="10"/>
      <c r="J709" s="10"/>
    </row>
    <row r="710" spans="2:10" ht="33" customHeight="1" x14ac:dyDescent="0.3">
      <c r="B710" s="10"/>
      <c r="C710" s="10"/>
      <c r="D710" s="10"/>
      <c r="E710" s="10"/>
      <c r="F710" s="10"/>
      <c r="G710" s="10"/>
      <c r="H710" s="10"/>
      <c r="I710" s="10"/>
      <c r="J710" s="10"/>
    </row>
    <row r="711" spans="2:10" ht="33" customHeight="1" x14ac:dyDescent="0.3">
      <c r="B711" s="10"/>
      <c r="C711" s="10"/>
      <c r="D711" s="10"/>
      <c r="E711" s="10"/>
      <c r="F711" s="10"/>
      <c r="G711" s="10"/>
      <c r="H711" s="10"/>
      <c r="I711" s="10"/>
      <c r="J711" s="10"/>
    </row>
    <row r="712" spans="2:10" ht="33" customHeight="1" x14ac:dyDescent="0.3">
      <c r="B712" s="10"/>
      <c r="C712" s="10"/>
      <c r="D712" s="10"/>
      <c r="E712" s="10"/>
      <c r="F712" s="10"/>
      <c r="G712" s="10"/>
      <c r="H712" s="10"/>
      <c r="I712" s="10"/>
      <c r="J712" s="10"/>
    </row>
    <row r="713" spans="2:10" ht="33" customHeight="1" x14ac:dyDescent="0.3">
      <c r="B713" s="10"/>
      <c r="C713" s="10"/>
      <c r="D713" s="10"/>
      <c r="E713" s="10"/>
      <c r="F713" s="10"/>
      <c r="G713" s="10"/>
      <c r="H713" s="10"/>
      <c r="I713" s="10"/>
      <c r="J713" s="10"/>
    </row>
    <row r="714" spans="2:10" ht="33" customHeight="1" x14ac:dyDescent="0.3">
      <c r="B714" s="10"/>
      <c r="C714" s="10"/>
      <c r="D714" s="10"/>
      <c r="E714" s="10"/>
      <c r="F714" s="10"/>
      <c r="G714" s="10"/>
      <c r="H714" s="10"/>
      <c r="I714" s="10"/>
      <c r="J714" s="10"/>
    </row>
    <row r="715" spans="2:10" ht="33" customHeight="1" x14ac:dyDescent="0.3">
      <c r="B715" s="10"/>
      <c r="C715" s="10"/>
      <c r="D715" s="10"/>
      <c r="E715" s="10"/>
      <c r="F715" s="10"/>
      <c r="G715" s="10"/>
      <c r="H715" s="10"/>
      <c r="I715" s="10"/>
      <c r="J715" s="10"/>
    </row>
    <row r="716" spans="2:10" ht="33" customHeight="1" x14ac:dyDescent="0.3">
      <c r="B716" s="10"/>
      <c r="C716" s="10"/>
      <c r="D716" s="10"/>
      <c r="E716" s="10"/>
      <c r="F716" s="10"/>
      <c r="G716" s="10"/>
      <c r="H716" s="10"/>
      <c r="I716" s="10"/>
      <c r="J716" s="10"/>
    </row>
    <row r="717" spans="2:10" ht="33" customHeight="1" x14ac:dyDescent="0.3">
      <c r="B717" s="10"/>
      <c r="C717" s="10"/>
      <c r="D717" s="10"/>
      <c r="E717" s="10"/>
      <c r="F717" s="10"/>
      <c r="G717" s="10"/>
      <c r="H717" s="10"/>
      <c r="I717" s="10"/>
      <c r="J717" s="10"/>
    </row>
    <row r="718" spans="2:10" ht="33" customHeight="1" x14ac:dyDescent="0.3">
      <c r="B718" s="10"/>
      <c r="C718" s="10"/>
      <c r="D718" s="10"/>
      <c r="E718" s="10"/>
      <c r="F718" s="10"/>
      <c r="G718" s="10"/>
      <c r="H718" s="10"/>
      <c r="I718" s="10"/>
      <c r="J718" s="10"/>
    </row>
    <row r="719" spans="2:10" ht="33" customHeight="1" x14ac:dyDescent="0.3">
      <c r="B719" s="10"/>
      <c r="C719" s="10"/>
      <c r="D719" s="10"/>
      <c r="E719" s="10"/>
      <c r="F719" s="10"/>
      <c r="G719" s="10"/>
      <c r="H719" s="10"/>
      <c r="I719" s="10"/>
      <c r="J719" s="10"/>
    </row>
    <row r="720" spans="2:10" ht="33" customHeight="1" x14ac:dyDescent="0.3">
      <c r="B720" s="10"/>
      <c r="C720" s="10"/>
      <c r="D720" s="10"/>
      <c r="E720" s="10"/>
      <c r="F720" s="10"/>
      <c r="G720" s="10"/>
      <c r="H720" s="10"/>
      <c r="I720" s="10"/>
      <c r="J720" s="10"/>
    </row>
    <row r="721" spans="2:10" ht="33" customHeight="1" x14ac:dyDescent="0.3">
      <c r="B721" s="10"/>
      <c r="C721" s="10"/>
      <c r="D721" s="10"/>
      <c r="E721" s="10"/>
      <c r="F721" s="10"/>
      <c r="G721" s="10"/>
      <c r="H721" s="10"/>
      <c r="I721" s="10"/>
      <c r="J721" s="10"/>
    </row>
    <row r="722" spans="2:10" ht="33" customHeight="1" x14ac:dyDescent="0.3">
      <c r="B722" s="10"/>
      <c r="C722" s="10"/>
      <c r="D722" s="10"/>
      <c r="E722" s="10"/>
      <c r="F722" s="10"/>
      <c r="G722" s="10"/>
      <c r="H722" s="10"/>
      <c r="I722" s="10"/>
      <c r="J722" s="10"/>
    </row>
    <row r="723" spans="2:10" ht="33" customHeight="1" x14ac:dyDescent="0.3">
      <c r="B723" s="10"/>
      <c r="C723" s="10"/>
      <c r="D723" s="10"/>
      <c r="E723" s="10"/>
      <c r="F723" s="10"/>
      <c r="G723" s="10"/>
      <c r="H723" s="10"/>
      <c r="I723" s="10"/>
      <c r="J723" s="10"/>
    </row>
    <row r="724" spans="2:10" ht="33" customHeight="1" x14ac:dyDescent="0.3">
      <c r="B724" s="10"/>
      <c r="C724" s="10"/>
      <c r="D724" s="10"/>
      <c r="E724" s="10"/>
      <c r="F724" s="10"/>
      <c r="G724" s="10"/>
      <c r="H724" s="10"/>
      <c r="I724" s="10"/>
      <c r="J724" s="10"/>
    </row>
    <row r="725" spans="2:10" ht="33" customHeight="1" x14ac:dyDescent="0.3">
      <c r="B725" s="10"/>
      <c r="C725" s="10"/>
      <c r="D725" s="10"/>
      <c r="E725" s="10"/>
      <c r="F725" s="10"/>
      <c r="G725" s="10"/>
      <c r="H725" s="10"/>
      <c r="I725" s="10"/>
      <c r="J725" s="10"/>
    </row>
    <row r="726" spans="2:10" ht="33" customHeight="1" x14ac:dyDescent="0.3">
      <c r="B726" s="10"/>
      <c r="C726" s="10"/>
      <c r="D726" s="10"/>
      <c r="E726" s="10"/>
      <c r="F726" s="10"/>
      <c r="G726" s="10"/>
      <c r="H726" s="10"/>
      <c r="I726" s="10"/>
      <c r="J726" s="10"/>
    </row>
    <row r="727" spans="2:10" ht="33" customHeight="1" x14ac:dyDescent="0.3">
      <c r="B727" s="10"/>
      <c r="C727" s="10"/>
      <c r="D727" s="10"/>
      <c r="E727" s="10"/>
      <c r="F727" s="10"/>
      <c r="G727" s="10"/>
      <c r="H727" s="10"/>
      <c r="I727" s="10"/>
      <c r="J727" s="10"/>
    </row>
    <row r="728" spans="2:10" ht="33" customHeight="1" x14ac:dyDescent="0.3">
      <c r="B728" s="10"/>
      <c r="C728" s="10"/>
      <c r="D728" s="10"/>
      <c r="E728" s="10"/>
      <c r="F728" s="10"/>
      <c r="G728" s="10"/>
      <c r="H728" s="10"/>
      <c r="I728" s="10"/>
      <c r="J728" s="10"/>
    </row>
    <row r="729" spans="2:10" ht="33" customHeight="1" x14ac:dyDescent="0.3">
      <c r="B729" s="10"/>
      <c r="C729" s="10"/>
      <c r="D729" s="10"/>
      <c r="E729" s="10"/>
      <c r="F729" s="10"/>
      <c r="G729" s="10"/>
      <c r="H729" s="10"/>
      <c r="I729" s="10"/>
      <c r="J729" s="10"/>
    </row>
    <row r="730" spans="2:10" ht="33" customHeight="1" x14ac:dyDescent="0.3">
      <c r="B730" s="10"/>
      <c r="C730" s="10"/>
      <c r="D730" s="10"/>
      <c r="E730" s="10"/>
      <c r="F730" s="10"/>
      <c r="G730" s="10"/>
      <c r="H730" s="10"/>
      <c r="I730" s="10"/>
      <c r="J730" s="10"/>
    </row>
    <row r="731" spans="2:10" ht="33" customHeight="1" x14ac:dyDescent="0.3">
      <c r="B731" s="10"/>
      <c r="C731" s="10"/>
      <c r="D731" s="10"/>
      <c r="E731" s="10"/>
      <c r="F731" s="10"/>
      <c r="G731" s="10"/>
      <c r="H731" s="10"/>
      <c r="I731" s="10"/>
      <c r="J731" s="10"/>
    </row>
    <row r="732" spans="2:10" ht="33" customHeight="1" x14ac:dyDescent="0.3">
      <c r="B732" s="10"/>
      <c r="C732" s="10"/>
      <c r="D732" s="10"/>
      <c r="E732" s="10"/>
      <c r="F732" s="10"/>
      <c r="G732" s="10"/>
      <c r="H732" s="10"/>
      <c r="I732" s="10"/>
      <c r="J732" s="10"/>
    </row>
    <row r="733" spans="2:10" ht="33" customHeight="1" x14ac:dyDescent="0.3">
      <c r="B733" s="10"/>
      <c r="C733" s="10"/>
      <c r="D733" s="10"/>
      <c r="E733" s="10"/>
      <c r="F733" s="10"/>
      <c r="G733" s="10"/>
      <c r="H733" s="10"/>
      <c r="I733" s="10"/>
      <c r="J733" s="10"/>
    </row>
    <row r="734" spans="2:10" ht="33" customHeight="1" x14ac:dyDescent="0.3">
      <c r="B734" s="10"/>
      <c r="C734" s="10"/>
      <c r="D734" s="10"/>
      <c r="E734" s="10"/>
      <c r="F734" s="10"/>
      <c r="G734" s="10"/>
      <c r="H734" s="10"/>
      <c r="I734" s="10"/>
      <c r="J734" s="10"/>
    </row>
    <row r="735" spans="2:10" ht="33" customHeight="1" x14ac:dyDescent="0.3">
      <c r="B735" s="10"/>
      <c r="C735" s="10"/>
      <c r="D735" s="10"/>
      <c r="E735" s="10"/>
      <c r="F735" s="10"/>
      <c r="G735" s="10"/>
      <c r="H735" s="10"/>
      <c r="I735" s="10"/>
      <c r="J735" s="10"/>
    </row>
    <row r="736" spans="2:10" ht="33" customHeight="1" x14ac:dyDescent="0.3">
      <c r="B736" s="10"/>
      <c r="C736" s="10"/>
      <c r="D736" s="10"/>
      <c r="E736" s="10"/>
      <c r="F736" s="10"/>
      <c r="G736" s="10"/>
      <c r="H736" s="10"/>
      <c r="I736" s="10"/>
      <c r="J736" s="10"/>
    </row>
    <row r="737" spans="2:10" ht="33" customHeight="1" x14ac:dyDescent="0.3">
      <c r="B737" s="10"/>
      <c r="C737" s="10"/>
      <c r="D737" s="10"/>
      <c r="E737" s="10"/>
      <c r="F737" s="10"/>
      <c r="G737" s="10"/>
      <c r="H737" s="10"/>
      <c r="I737" s="10"/>
      <c r="J737" s="10"/>
    </row>
    <row r="738" spans="2:10" ht="33" customHeight="1" x14ac:dyDescent="0.3">
      <c r="B738" s="10"/>
      <c r="C738" s="10"/>
      <c r="D738" s="10"/>
      <c r="E738" s="10"/>
      <c r="F738" s="10"/>
      <c r="G738" s="10"/>
      <c r="H738" s="10"/>
      <c r="I738" s="10"/>
      <c r="J738" s="10"/>
    </row>
    <row r="739" spans="2:10" ht="33" customHeight="1" x14ac:dyDescent="0.3">
      <c r="B739" s="10"/>
      <c r="C739" s="10"/>
      <c r="D739" s="10"/>
      <c r="E739" s="10"/>
      <c r="F739" s="10"/>
      <c r="G739" s="10"/>
      <c r="H739" s="10"/>
      <c r="I739" s="10"/>
      <c r="J739" s="10"/>
    </row>
    <row r="740" spans="2:10" ht="33" customHeight="1" x14ac:dyDescent="0.3">
      <c r="B740" s="10"/>
      <c r="C740" s="10"/>
      <c r="D740" s="10"/>
      <c r="E740" s="10"/>
      <c r="F740" s="10"/>
      <c r="G740" s="10"/>
      <c r="H740" s="10"/>
      <c r="I740" s="10"/>
      <c r="J740" s="10"/>
    </row>
    <row r="741" spans="2:10" ht="33" customHeight="1" x14ac:dyDescent="0.3">
      <c r="B741" s="10"/>
      <c r="C741" s="10"/>
      <c r="D741" s="10"/>
      <c r="E741" s="10"/>
      <c r="F741" s="10"/>
      <c r="G741" s="10"/>
      <c r="H741" s="10"/>
      <c r="I741" s="10"/>
      <c r="J741" s="10"/>
    </row>
    <row r="742" spans="2:10" ht="33" customHeight="1" x14ac:dyDescent="0.3">
      <c r="B742" s="10"/>
      <c r="C742" s="10"/>
      <c r="D742" s="10"/>
      <c r="E742" s="10"/>
      <c r="F742" s="10"/>
      <c r="G742" s="10"/>
      <c r="H742" s="10"/>
      <c r="I742" s="10"/>
      <c r="J742" s="10"/>
    </row>
    <row r="743" spans="2:10" ht="33" customHeight="1" x14ac:dyDescent="0.3">
      <c r="B743" s="10"/>
      <c r="C743" s="10"/>
      <c r="D743" s="10"/>
      <c r="E743" s="10"/>
      <c r="F743" s="10"/>
      <c r="G743" s="10"/>
      <c r="H743" s="10"/>
      <c r="I743" s="10"/>
      <c r="J743" s="10"/>
    </row>
    <row r="744" spans="2:10" ht="33" customHeight="1" x14ac:dyDescent="0.3">
      <c r="B744" s="10"/>
      <c r="C744" s="10"/>
      <c r="D744" s="10"/>
      <c r="E744" s="10"/>
      <c r="F744" s="10"/>
      <c r="G744" s="10"/>
      <c r="H744" s="10"/>
      <c r="I744" s="10"/>
      <c r="J744" s="10"/>
    </row>
    <row r="745" spans="2:10" ht="33" customHeight="1" x14ac:dyDescent="0.3">
      <c r="B745" s="10"/>
      <c r="C745" s="10"/>
      <c r="D745" s="10"/>
      <c r="E745" s="10"/>
      <c r="F745" s="10"/>
      <c r="G745" s="10"/>
      <c r="H745" s="10"/>
      <c r="I745" s="10"/>
      <c r="J745" s="10"/>
    </row>
    <row r="746" spans="2:10" ht="33" customHeight="1" x14ac:dyDescent="0.3">
      <c r="B746" s="10"/>
      <c r="C746" s="10"/>
      <c r="D746" s="10"/>
      <c r="E746" s="10"/>
      <c r="F746" s="10"/>
      <c r="G746" s="10"/>
      <c r="H746" s="10"/>
      <c r="I746" s="10"/>
      <c r="J746" s="10"/>
    </row>
    <row r="747" spans="2:10" ht="33" customHeight="1" x14ac:dyDescent="0.3">
      <c r="B747" s="10"/>
      <c r="C747" s="10"/>
      <c r="D747" s="10"/>
      <c r="E747" s="10"/>
      <c r="F747" s="10"/>
      <c r="G747" s="10"/>
      <c r="H747" s="10"/>
      <c r="I747" s="10"/>
      <c r="J747" s="10"/>
    </row>
    <row r="748" spans="2:10" ht="33" customHeight="1" x14ac:dyDescent="0.3">
      <c r="B748" s="10"/>
      <c r="C748" s="10"/>
      <c r="D748" s="10"/>
      <c r="F748" s="10"/>
      <c r="G748" s="10"/>
      <c r="H748" s="10"/>
      <c r="I748" s="10"/>
      <c r="J748" s="10"/>
    </row>
    <row r="749" spans="2:10" ht="33" customHeight="1" x14ac:dyDescent="0.3">
      <c r="B749" s="10"/>
      <c r="C749" s="10"/>
      <c r="D749" s="10"/>
      <c r="F749" s="10"/>
      <c r="G749" s="10"/>
      <c r="H749" s="10"/>
      <c r="I749" s="10"/>
      <c r="J749" s="10"/>
    </row>
    <row r="750" spans="2:10" ht="33" customHeight="1" x14ac:dyDescent="0.3">
      <c r="B750" s="10"/>
      <c r="C750" s="10"/>
      <c r="D750" s="10"/>
      <c r="F750" s="10"/>
      <c r="G750" s="10"/>
      <c r="H750" s="10"/>
      <c r="I750" s="10"/>
      <c r="J750" s="10"/>
    </row>
    <row r="751" spans="2:10" ht="33" customHeight="1" x14ac:dyDescent="0.3">
      <c r="B751" s="10"/>
      <c r="C751" s="10"/>
      <c r="D751" s="10"/>
      <c r="F751" s="10"/>
      <c r="G751" s="10"/>
      <c r="H751" s="10"/>
      <c r="I751" s="10"/>
      <c r="J751" s="10"/>
    </row>
    <row r="752" spans="2:10" ht="33" customHeight="1" x14ac:dyDescent="0.3">
      <c r="B752" s="10"/>
      <c r="C752" s="10"/>
      <c r="D752" s="10"/>
      <c r="F752" s="10"/>
      <c r="G752" s="10"/>
      <c r="H752" s="10"/>
      <c r="I752" s="10"/>
      <c r="J752" s="10"/>
    </row>
    <row r="753" spans="2:10" ht="33" customHeight="1" x14ac:dyDescent="0.3">
      <c r="B753" s="10"/>
      <c r="C753" s="10"/>
      <c r="D753" s="10"/>
      <c r="F753" s="10"/>
      <c r="G753" s="10"/>
      <c r="H753" s="10"/>
      <c r="I753" s="10"/>
      <c r="J753" s="10"/>
    </row>
    <row r="754" spans="2:10" ht="33" customHeight="1" x14ac:dyDescent="0.3">
      <c r="B754" s="10"/>
      <c r="C754" s="10"/>
      <c r="D754" s="10"/>
      <c r="F754" s="10"/>
      <c r="G754" s="10"/>
      <c r="H754" s="10"/>
      <c r="I754" s="10"/>
      <c r="J754" s="10"/>
    </row>
    <row r="755" spans="2:10" ht="33" customHeight="1" x14ac:dyDescent="0.3">
      <c r="B755" s="10"/>
      <c r="C755" s="10"/>
      <c r="D755" s="10"/>
      <c r="F755" s="10"/>
      <c r="G755" s="10"/>
      <c r="H755" s="10"/>
      <c r="I755" s="10"/>
      <c r="J755" s="10"/>
    </row>
    <row r="756" spans="2:10" ht="33" customHeight="1" x14ac:dyDescent="0.3">
      <c r="B756" s="10"/>
      <c r="C756" s="10"/>
      <c r="D756" s="10"/>
      <c r="F756" s="10"/>
      <c r="G756" s="10"/>
      <c r="H756" s="10"/>
      <c r="I756" s="10"/>
      <c r="J756" s="10"/>
    </row>
    <row r="757" spans="2:10" ht="33" customHeight="1" x14ac:dyDescent="0.3">
      <c r="B757" s="10"/>
      <c r="C757" s="10"/>
      <c r="D757" s="10"/>
      <c r="F757" s="10"/>
      <c r="G757" s="10"/>
      <c r="H757" s="10"/>
      <c r="I757" s="10"/>
      <c r="J757" s="10"/>
    </row>
    <row r="758" spans="2:10" ht="33" customHeight="1" x14ac:dyDescent="0.3">
      <c r="B758" s="10"/>
      <c r="C758" s="10"/>
      <c r="D758" s="10"/>
      <c r="F758" s="10"/>
      <c r="G758" s="10"/>
      <c r="H758" s="10"/>
      <c r="I758" s="10"/>
      <c r="J758" s="10"/>
    </row>
    <row r="759" spans="2:10" ht="33" customHeight="1" x14ac:dyDescent="0.3">
      <c r="B759" s="10"/>
      <c r="C759" s="10"/>
      <c r="D759" s="10"/>
      <c r="F759" s="10"/>
      <c r="G759" s="10"/>
      <c r="H759" s="10"/>
      <c r="I759" s="10"/>
      <c r="J759" s="10"/>
    </row>
    <row r="760" spans="2:10" ht="33" customHeight="1" x14ac:dyDescent="0.3">
      <c r="B760" s="10"/>
      <c r="C760" s="10"/>
      <c r="D760" s="10"/>
      <c r="F760" s="10"/>
      <c r="G760" s="10"/>
      <c r="H760" s="10"/>
      <c r="I760" s="10"/>
      <c r="J760" s="10"/>
    </row>
    <row r="761" spans="2:10" ht="33" customHeight="1" x14ac:dyDescent="0.3">
      <c r="B761" s="10"/>
      <c r="C761" s="10"/>
      <c r="D761" s="10"/>
      <c r="F761" s="10"/>
      <c r="G761" s="10"/>
      <c r="H761" s="10"/>
      <c r="I761" s="10"/>
      <c r="J761" s="10"/>
    </row>
    <row r="762" spans="2:10" ht="33" customHeight="1" x14ac:dyDescent="0.3">
      <c r="B762" s="10"/>
      <c r="C762" s="10"/>
      <c r="D762" s="10"/>
      <c r="F762" s="10"/>
      <c r="G762" s="10"/>
      <c r="H762" s="10"/>
      <c r="I762" s="10"/>
      <c r="J762" s="10"/>
    </row>
    <row r="763" spans="2:10" ht="33" customHeight="1" x14ac:dyDescent="0.3">
      <c r="B763" s="10"/>
      <c r="C763" s="10"/>
      <c r="D763" s="10"/>
      <c r="F763" s="10"/>
      <c r="G763" s="10"/>
      <c r="H763" s="10"/>
      <c r="I763" s="10"/>
      <c r="J763" s="10"/>
    </row>
    <row r="764" spans="2:10" ht="33" customHeight="1" x14ac:dyDescent="0.3">
      <c r="B764" s="10"/>
      <c r="C764" s="10"/>
      <c r="D764" s="10"/>
      <c r="F764" s="10"/>
      <c r="G764" s="10"/>
      <c r="H764" s="10"/>
      <c r="I764" s="10"/>
      <c r="J764" s="10"/>
    </row>
    <row r="765" spans="2:10" ht="33" customHeight="1" x14ac:dyDescent="0.3">
      <c r="B765" s="10"/>
      <c r="C765" s="10"/>
      <c r="D765" s="10"/>
      <c r="F765" s="10"/>
      <c r="G765" s="10"/>
      <c r="H765" s="10"/>
      <c r="I765" s="10"/>
      <c r="J765" s="10"/>
    </row>
    <row r="766" spans="2:10" ht="33" customHeight="1" x14ac:dyDescent="0.3">
      <c r="B766" s="10"/>
      <c r="C766" s="10"/>
      <c r="D766" s="10"/>
      <c r="F766" s="10"/>
      <c r="G766" s="10"/>
      <c r="H766" s="10"/>
      <c r="I766" s="10"/>
      <c r="J766" s="10"/>
    </row>
    <row r="767" spans="2:10" ht="33" customHeight="1" x14ac:dyDescent="0.3">
      <c r="B767" s="10"/>
      <c r="C767" s="10"/>
      <c r="D767" s="10"/>
      <c r="F767" s="10"/>
      <c r="G767" s="10"/>
      <c r="H767" s="10"/>
      <c r="I767" s="10"/>
      <c r="J767" s="10"/>
    </row>
    <row r="768" spans="2:10" ht="33" customHeight="1" x14ac:dyDescent="0.3">
      <c r="B768" s="10"/>
      <c r="C768" s="10"/>
      <c r="D768" s="10"/>
      <c r="F768" s="10"/>
      <c r="G768" s="10"/>
      <c r="H768" s="10"/>
      <c r="I768" s="10"/>
      <c r="J768" s="10"/>
    </row>
    <row r="769" spans="2:10" ht="33" customHeight="1" x14ac:dyDescent="0.3">
      <c r="B769" s="10"/>
      <c r="C769" s="10"/>
      <c r="D769" s="10"/>
      <c r="F769" s="10"/>
      <c r="G769" s="10"/>
      <c r="H769" s="10"/>
      <c r="I769" s="10"/>
      <c r="J769" s="10"/>
    </row>
    <row r="770" spans="2:10" ht="33" customHeight="1" x14ac:dyDescent="0.3">
      <c r="B770" s="10"/>
      <c r="C770" s="10"/>
      <c r="D770" s="10"/>
      <c r="F770" s="10"/>
      <c r="G770" s="10"/>
      <c r="H770" s="10"/>
      <c r="I770" s="10"/>
      <c r="J770" s="10"/>
    </row>
    <row r="771" spans="2:10" ht="33" customHeight="1" x14ac:dyDescent="0.3">
      <c r="B771" s="10"/>
      <c r="C771" s="10"/>
      <c r="D771" s="10"/>
      <c r="F771" s="10"/>
      <c r="G771" s="10"/>
      <c r="H771" s="10"/>
      <c r="I771" s="10"/>
      <c r="J771" s="10"/>
    </row>
    <row r="772" spans="2:10" ht="33" customHeight="1" x14ac:dyDescent="0.3">
      <c r="B772" s="10"/>
      <c r="C772" s="10"/>
      <c r="D772" s="10"/>
      <c r="F772" s="10"/>
      <c r="G772" s="10"/>
      <c r="H772" s="10"/>
      <c r="I772" s="10"/>
      <c r="J772" s="10"/>
    </row>
    <row r="773" spans="2:10" ht="33" customHeight="1" x14ac:dyDescent="0.3">
      <c r="B773" s="10"/>
      <c r="C773" s="10"/>
      <c r="D773" s="10"/>
      <c r="F773" s="10"/>
      <c r="G773" s="10"/>
      <c r="H773" s="10"/>
      <c r="I773" s="10"/>
      <c r="J773" s="10"/>
    </row>
    <row r="774" spans="2:10" ht="33" customHeight="1" x14ac:dyDescent="0.3">
      <c r="B774" s="10"/>
      <c r="C774" s="10"/>
      <c r="D774" s="10"/>
      <c r="F774" s="10"/>
      <c r="G774" s="10"/>
      <c r="H774" s="10"/>
      <c r="I774" s="10"/>
      <c r="J774" s="10"/>
    </row>
    <row r="775" spans="2:10" ht="33" customHeight="1" x14ac:dyDescent="0.3">
      <c r="B775" s="10"/>
      <c r="C775" s="10"/>
      <c r="D775" s="10"/>
      <c r="F775" s="10"/>
      <c r="G775" s="10"/>
      <c r="H775" s="10"/>
      <c r="I775" s="10"/>
      <c r="J775" s="10"/>
    </row>
    <row r="776" spans="2:10" ht="33" customHeight="1" x14ac:dyDescent="0.3">
      <c r="B776" s="10"/>
      <c r="C776" s="10"/>
      <c r="D776" s="10"/>
      <c r="F776" s="10"/>
      <c r="G776" s="10"/>
      <c r="H776" s="10"/>
      <c r="I776" s="10"/>
      <c r="J776" s="10"/>
    </row>
    <row r="777" spans="2:10" ht="33" customHeight="1" x14ac:dyDescent="0.3">
      <c r="B777" s="10"/>
      <c r="C777" s="10"/>
      <c r="D777" s="10"/>
      <c r="F777" s="10"/>
      <c r="G777" s="10"/>
      <c r="H777" s="10"/>
      <c r="I777" s="10"/>
      <c r="J777" s="10"/>
    </row>
    <row r="778" spans="2:10" ht="33" customHeight="1" x14ac:dyDescent="0.3">
      <c r="B778" s="10"/>
      <c r="C778" s="10"/>
      <c r="D778" s="10"/>
      <c r="F778" s="10"/>
      <c r="G778" s="10"/>
      <c r="H778" s="10"/>
      <c r="I778" s="10"/>
      <c r="J778" s="10"/>
    </row>
    <row r="779" spans="2:10" ht="33" customHeight="1" x14ac:dyDescent="0.3">
      <c r="B779" s="10"/>
      <c r="C779" s="10"/>
      <c r="D779" s="10"/>
      <c r="F779" s="10"/>
      <c r="G779" s="10"/>
      <c r="H779" s="10"/>
      <c r="I779" s="10"/>
      <c r="J779" s="10"/>
    </row>
    <row r="780" spans="2:10" ht="33" customHeight="1" x14ac:dyDescent="0.3">
      <c r="B780" s="10"/>
      <c r="C780" s="10"/>
      <c r="D780" s="10"/>
      <c r="F780" s="10"/>
      <c r="G780" s="10"/>
      <c r="H780" s="10"/>
      <c r="I780" s="10"/>
      <c r="J780" s="10"/>
    </row>
    <row r="781" spans="2:10" ht="33" customHeight="1" x14ac:dyDescent="0.3">
      <c r="B781" s="10"/>
      <c r="C781" s="10"/>
      <c r="D781" s="10"/>
      <c r="F781" s="10"/>
      <c r="G781" s="10"/>
      <c r="H781" s="10"/>
      <c r="I781" s="10"/>
      <c r="J781" s="10"/>
    </row>
    <row r="782" spans="2:10" ht="33" customHeight="1" x14ac:dyDescent="0.3">
      <c r="B782" s="10"/>
      <c r="C782" s="10"/>
      <c r="D782" s="10"/>
      <c r="F782" s="10"/>
      <c r="G782" s="10"/>
      <c r="H782" s="10"/>
      <c r="I782" s="10"/>
      <c r="J782" s="10"/>
    </row>
    <row r="783" spans="2:10" ht="33" customHeight="1" x14ac:dyDescent="0.3">
      <c r="B783" s="10"/>
      <c r="C783" s="10"/>
      <c r="D783" s="10"/>
      <c r="F783" s="10"/>
      <c r="G783" s="10"/>
      <c r="H783" s="10"/>
      <c r="I783" s="10"/>
      <c r="J783" s="10"/>
    </row>
    <row r="784" spans="2:10" ht="33" customHeight="1" x14ac:dyDescent="0.3">
      <c r="B784" s="10"/>
      <c r="C784" s="10"/>
      <c r="D784" s="10"/>
      <c r="F784" s="10"/>
      <c r="G784" s="10"/>
      <c r="H784" s="10"/>
      <c r="I784" s="10"/>
      <c r="J784" s="10"/>
    </row>
    <row r="785" spans="2:10" ht="33" customHeight="1" x14ac:dyDescent="0.3">
      <c r="B785" s="10"/>
      <c r="C785" s="10"/>
      <c r="D785" s="10"/>
      <c r="F785" s="10"/>
      <c r="G785" s="10"/>
      <c r="H785" s="10"/>
      <c r="I785" s="10"/>
      <c r="J785" s="10"/>
    </row>
    <row r="786" spans="2:10" ht="33" customHeight="1" x14ac:dyDescent="0.3">
      <c r="B786" s="10"/>
      <c r="C786" s="10"/>
      <c r="D786" s="10"/>
      <c r="F786" s="10"/>
      <c r="G786" s="10"/>
      <c r="H786" s="10"/>
      <c r="I786" s="10"/>
      <c r="J786" s="10"/>
    </row>
    <row r="787" spans="2:10" ht="33" customHeight="1" x14ac:dyDescent="0.3">
      <c r="B787" s="10"/>
      <c r="C787" s="10"/>
      <c r="D787" s="10"/>
      <c r="F787" s="10"/>
      <c r="G787" s="10"/>
      <c r="H787" s="10"/>
      <c r="I787" s="10"/>
      <c r="J787" s="10"/>
    </row>
    <row r="788" spans="2:10" ht="33" customHeight="1" x14ac:dyDescent="0.3">
      <c r="B788" s="10"/>
      <c r="C788" s="10"/>
      <c r="D788" s="10"/>
      <c r="F788" s="10"/>
      <c r="G788" s="10"/>
      <c r="H788" s="10"/>
      <c r="I788" s="10"/>
      <c r="J788" s="10"/>
    </row>
    <row r="789" spans="2:10" ht="33" customHeight="1" x14ac:dyDescent="0.3">
      <c r="B789" s="10"/>
      <c r="C789" s="10"/>
      <c r="D789" s="10"/>
      <c r="F789" s="10"/>
      <c r="G789" s="10"/>
      <c r="H789" s="10"/>
      <c r="I789" s="10"/>
      <c r="J789" s="10"/>
    </row>
    <row r="790" spans="2:10" ht="33" customHeight="1" x14ac:dyDescent="0.3">
      <c r="B790" s="10"/>
      <c r="C790" s="10"/>
      <c r="D790" s="10"/>
      <c r="F790" s="10"/>
      <c r="G790" s="10"/>
      <c r="H790" s="10"/>
      <c r="I790" s="10"/>
      <c r="J790" s="10"/>
    </row>
    <row r="791" spans="2:10" ht="33" customHeight="1" x14ac:dyDescent="0.3">
      <c r="B791" s="10"/>
      <c r="C791" s="10"/>
      <c r="D791" s="10"/>
      <c r="F791" s="10"/>
      <c r="G791" s="10"/>
      <c r="H791" s="10"/>
      <c r="I791" s="10"/>
      <c r="J791" s="10"/>
    </row>
    <row r="792" spans="2:10" ht="33" customHeight="1" x14ac:dyDescent="0.3">
      <c r="B792" s="10"/>
      <c r="C792" s="10"/>
      <c r="D792" s="10"/>
      <c r="F792" s="10"/>
      <c r="G792" s="10"/>
      <c r="H792" s="10"/>
      <c r="I792" s="10"/>
      <c r="J792" s="10"/>
    </row>
    <row r="793" spans="2:10" ht="33" customHeight="1" x14ac:dyDescent="0.3">
      <c r="B793" s="10"/>
      <c r="C793" s="10"/>
      <c r="D793" s="10"/>
      <c r="F793" s="10"/>
      <c r="G793" s="10"/>
      <c r="H793" s="10"/>
      <c r="I793" s="10"/>
      <c r="J793" s="10"/>
    </row>
    <row r="794" spans="2:10" ht="33" customHeight="1" x14ac:dyDescent="0.3">
      <c r="B794" s="10"/>
      <c r="C794" s="10"/>
      <c r="D794" s="10"/>
      <c r="F794" s="10"/>
      <c r="G794" s="10"/>
      <c r="H794" s="10"/>
      <c r="I794" s="10"/>
      <c r="J794" s="10"/>
    </row>
    <row r="795" spans="2:10" ht="33" customHeight="1" x14ac:dyDescent="0.3">
      <c r="B795" s="10"/>
      <c r="C795" s="10"/>
      <c r="D795" s="10"/>
      <c r="F795" s="10"/>
      <c r="G795" s="10"/>
      <c r="H795" s="10"/>
      <c r="I795" s="10"/>
      <c r="J795" s="10"/>
    </row>
    <row r="796" spans="2:10" ht="33" customHeight="1" x14ac:dyDescent="0.3">
      <c r="B796" s="10"/>
      <c r="C796" s="10"/>
      <c r="D796" s="10"/>
      <c r="F796" s="10"/>
      <c r="G796" s="10"/>
      <c r="H796" s="10"/>
      <c r="I796" s="10"/>
      <c r="J796" s="10"/>
    </row>
    <row r="797" spans="2:10" ht="33" customHeight="1" x14ac:dyDescent="0.3">
      <c r="B797" s="10"/>
      <c r="C797" s="10"/>
      <c r="D797" s="10"/>
      <c r="F797" s="10"/>
      <c r="G797" s="10"/>
      <c r="H797" s="10"/>
      <c r="I797" s="10"/>
      <c r="J797" s="10"/>
    </row>
    <row r="798" spans="2:10" ht="33" customHeight="1" x14ac:dyDescent="0.3">
      <c r="B798" s="10"/>
      <c r="C798" s="10"/>
      <c r="D798" s="10"/>
      <c r="F798" s="10"/>
      <c r="G798" s="10"/>
      <c r="H798" s="10"/>
      <c r="I798" s="10"/>
      <c r="J798" s="10"/>
    </row>
    <row r="799" spans="2:10" ht="33" customHeight="1" x14ac:dyDescent="0.3">
      <c r="B799" s="10"/>
      <c r="C799" s="10"/>
      <c r="D799" s="10"/>
      <c r="F799" s="10"/>
      <c r="G799" s="10"/>
      <c r="H799" s="10"/>
      <c r="I799" s="10"/>
      <c r="J799" s="10"/>
    </row>
    <row r="800" spans="2:10" ht="33" customHeight="1" x14ac:dyDescent="0.3">
      <c r="B800" s="10"/>
      <c r="C800" s="10"/>
      <c r="D800" s="10"/>
      <c r="F800" s="10"/>
      <c r="G800" s="10"/>
      <c r="H800" s="10"/>
      <c r="I800" s="10"/>
      <c r="J800" s="10"/>
    </row>
    <row r="801" spans="2:10" ht="33" customHeight="1" x14ac:dyDescent="0.3">
      <c r="B801" s="10"/>
      <c r="C801" s="10"/>
      <c r="D801" s="10"/>
      <c r="F801" s="10"/>
      <c r="G801" s="10"/>
      <c r="H801" s="10"/>
      <c r="I801" s="10"/>
      <c r="J801" s="10"/>
    </row>
    <row r="802" spans="2:10" ht="33" customHeight="1" x14ac:dyDescent="0.3">
      <c r="B802" s="10"/>
      <c r="C802" s="10"/>
      <c r="D802" s="10"/>
      <c r="F802" s="10"/>
      <c r="G802" s="10"/>
      <c r="H802" s="10"/>
      <c r="I802" s="10"/>
      <c r="J802" s="10"/>
    </row>
    <row r="803" spans="2:10" ht="33" customHeight="1" x14ac:dyDescent="0.3">
      <c r="B803" s="10"/>
      <c r="C803" s="10"/>
      <c r="D803" s="10"/>
      <c r="F803" s="10"/>
      <c r="G803" s="10"/>
      <c r="H803" s="10"/>
      <c r="I803" s="10"/>
      <c r="J803" s="10"/>
    </row>
    <row r="804" spans="2:10" ht="33" customHeight="1" x14ac:dyDescent="0.3">
      <c r="B804" s="10"/>
      <c r="C804" s="10"/>
      <c r="D804" s="10"/>
      <c r="F804" s="10"/>
      <c r="G804" s="10"/>
      <c r="H804" s="10"/>
      <c r="I804" s="10"/>
      <c r="J804" s="10"/>
    </row>
    <row r="805" spans="2:10" ht="33" customHeight="1" x14ac:dyDescent="0.3">
      <c r="B805" s="10"/>
      <c r="C805" s="10"/>
      <c r="D805" s="10"/>
      <c r="F805" s="10"/>
      <c r="G805" s="10"/>
      <c r="H805" s="10"/>
      <c r="I805" s="10"/>
      <c r="J805" s="10"/>
    </row>
    <row r="806" spans="2:10" ht="33" customHeight="1" x14ac:dyDescent="0.3">
      <c r="B806" s="10"/>
      <c r="C806" s="10"/>
      <c r="D806" s="10"/>
      <c r="F806" s="10"/>
      <c r="G806" s="10"/>
      <c r="H806" s="10"/>
      <c r="I806" s="10"/>
      <c r="J806" s="10"/>
    </row>
    <row r="807" spans="2:10" ht="33" customHeight="1" x14ac:dyDescent="0.3">
      <c r="B807" s="10"/>
      <c r="C807" s="10"/>
      <c r="D807" s="10"/>
      <c r="F807" s="10"/>
      <c r="G807" s="10"/>
      <c r="H807" s="10"/>
      <c r="I807" s="10"/>
      <c r="J807" s="10"/>
    </row>
    <row r="808" spans="2:10" ht="33" customHeight="1" x14ac:dyDescent="0.3">
      <c r="B808" s="10"/>
      <c r="C808" s="10"/>
      <c r="D808" s="10"/>
      <c r="F808" s="10"/>
      <c r="G808" s="10"/>
      <c r="H808" s="10"/>
      <c r="I808" s="10"/>
      <c r="J808" s="10"/>
    </row>
    <row r="809" spans="2:10" ht="33" customHeight="1" x14ac:dyDescent="0.3">
      <c r="B809" s="10"/>
      <c r="C809" s="10"/>
      <c r="D809" s="10"/>
      <c r="F809" s="10"/>
      <c r="G809" s="10"/>
      <c r="H809" s="10"/>
      <c r="I809" s="10"/>
      <c r="J809" s="10"/>
    </row>
    <row r="810" spans="2:10" ht="33" customHeight="1" x14ac:dyDescent="0.3">
      <c r="B810" s="10"/>
      <c r="C810" s="10"/>
      <c r="D810" s="10"/>
      <c r="F810" s="10"/>
      <c r="G810" s="10"/>
      <c r="H810" s="10"/>
      <c r="I810" s="10"/>
      <c r="J810" s="10"/>
    </row>
    <row r="811" spans="2:10" ht="33" customHeight="1" x14ac:dyDescent="0.3">
      <c r="B811" s="10"/>
      <c r="C811" s="10"/>
      <c r="D811" s="10"/>
      <c r="F811" s="10"/>
      <c r="G811" s="10"/>
      <c r="H811" s="10"/>
      <c r="I811" s="10"/>
      <c r="J811" s="10"/>
    </row>
    <row r="812" spans="2:10" ht="33" customHeight="1" x14ac:dyDescent="0.3">
      <c r="B812" s="10"/>
      <c r="C812" s="10"/>
      <c r="D812" s="10"/>
      <c r="F812" s="10"/>
      <c r="G812" s="10"/>
      <c r="H812" s="10"/>
      <c r="I812" s="10"/>
      <c r="J812" s="10"/>
    </row>
    <row r="813" spans="2:10" ht="33" customHeight="1" x14ac:dyDescent="0.3">
      <c r="B813" s="10"/>
      <c r="C813" s="10"/>
      <c r="D813" s="10"/>
      <c r="F813" s="10"/>
      <c r="G813" s="10"/>
      <c r="H813" s="10"/>
      <c r="I813" s="10"/>
      <c r="J813" s="10"/>
    </row>
    <row r="814" spans="2:10" ht="33" customHeight="1" x14ac:dyDescent="0.3">
      <c r="B814" s="10"/>
      <c r="C814" s="10"/>
      <c r="D814" s="10"/>
      <c r="F814" s="10"/>
      <c r="G814" s="10"/>
      <c r="H814" s="10"/>
      <c r="I814" s="10"/>
      <c r="J814" s="10"/>
    </row>
    <row r="815" spans="2:10" ht="33" customHeight="1" x14ac:dyDescent="0.3">
      <c r="B815" s="10"/>
      <c r="C815" s="10"/>
      <c r="D815" s="10"/>
      <c r="F815" s="10"/>
      <c r="G815" s="10"/>
      <c r="H815" s="10"/>
      <c r="I815" s="10"/>
      <c r="J815" s="10"/>
    </row>
    <row r="816" spans="2:10" ht="33" customHeight="1" x14ac:dyDescent="0.3">
      <c r="B816" s="10"/>
      <c r="C816" s="10"/>
      <c r="D816" s="10"/>
      <c r="F816" s="10"/>
      <c r="G816" s="10"/>
      <c r="H816" s="10"/>
      <c r="I816" s="10"/>
      <c r="J816" s="10"/>
    </row>
    <row r="817" spans="2:10" ht="33" customHeight="1" x14ac:dyDescent="0.3">
      <c r="B817" s="10"/>
      <c r="C817" s="10"/>
      <c r="D817" s="10"/>
      <c r="F817" s="10"/>
      <c r="G817" s="10"/>
      <c r="H817" s="10"/>
      <c r="I817" s="10"/>
      <c r="J817" s="10"/>
    </row>
    <row r="818" spans="2:10" ht="33" customHeight="1" x14ac:dyDescent="0.3">
      <c r="B818" s="10"/>
      <c r="C818" s="10"/>
      <c r="D818" s="10"/>
      <c r="F818" s="10"/>
      <c r="G818" s="10"/>
      <c r="H818" s="10"/>
      <c r="I818" s="10"/>
      <c r="J818" s="10"/>
    </row>
    <row r="819" spans="2:10" ht="33" customHeight="1" x14ac:dyDescent="0.3">
      <c r="B819" s="10"/>
      <c r="C819" s="10"/>
      <c r="D819" s="10"/>
      <c r="F819" s="10"/>
      <c r="G819" s="10"/>
      <c r="H819" s="10"/>
      <c r="I819" s="10"/>
      <c r="J819" s="10"/>
    </row>
    <row r="820" spans="2:10" ht="33" customHeight="1" x14ac:dyDescent="0.3">
      <c r="B820" s="10"/>
      <c r="C820" s="10"/>
      <c r="D820" s="10"/>
      <c r="F820" s="10"/>
      <c r="G820" s="10"/>
      <c r="H820" s="10"/>
      <c r="I820" s="10"/>
      <c r="J820" s="10"/>
    </row>
    <row r="821" spans="2:10" ht="33" customHeight="1" x14ac:dyDescent="0.3">
      <c r="B821" s="10"/>
      <c r="C821" s="10"/>
      <c r="D821" s="10"/>
      <c r="F821" s="10"/>
      <c r="G821" s="10"/>
      <c r="H821" s="10"/>
      <c r="I821" s="10"/>
      <c r="J821" s="10"/>
    </row>
    <row r="822" spans="2:10" ht="33" customHeight="1" x14ac:dyDescent="0.3">
      <c r="B822" s="10"/>
      <c r="C822" s="10"/>
      <c r="D822" s="10"/>
      <c r="F822" s="10"/>
      <c r="G822" s="10"/>
      <c r="H822" s="10"/>
      <c r="I822" s="10"/>
      <c r="J822" s="10"/>
    </row>
    <row r="823" spans="2:10" ht="33" customHeight="1" x14ac:dyDescent="0.3">
      <c r="B823" s="10"/>
      <c r="C823" s="10"/>
      <c r="D823" s="10"/>
      <c r="F823" s="10"/>
      <c r="G823" s="10"/>
      <c r="H823" s="10"/>
      <c r="I823" s="10"/>
      <c r="J823" s="10"/>
    </row>
    <row r="824" spans="2:10" ht="33" customHeight="1" x14ac:dyDescent="0.3">
      <c r="B824" s="10"/>
      <c r="C824" s="10"/>
      <c r="D824" s="10"/>
      <c r="F824" s="10"/>
      <c r="G824" s="10"/>
      <c r="H824" s="10"/>
      <c r="I824" s="10"/>
      <c r="J824" s="10"/>
    </row>
    <row r="825" spans="2:10" ht="33" customHeight="1" x14ac:dyDescent="0.3">
      <c r="B825" s="10"/>
      <c r="C825" s="10"/>
      <c r="D825" s="10"/>
      <c r="F825" s="10"/>
      <c r="G825" s="10"/>
      <c r="H825" s="10"/>
      <c r="I825" s="10"/>
      <c r="J825" s="10"/>
    </row>
    <row r="826" spans="2:10" ht="33" customHeight="1" x14ac:dyDescent="0.3">
      <c r="B826" s="10"/>
      <c r="C826" s="10"/>
      <c r="D826" s="10"/>
      <c r="F826" s="10"/>
      <c r="G826" s="10"/>
      <c r="H826" s="10"/>
      <c r="I826" s="10"/>
      <c r="J826" s="10"/>
    </row>
    <row r="827" spans="2:10" ht="33" customHeight="1" x14ac:dyDescent="0.3">
      <c r="B827" s="10"/>
      <c r="C827" s="10"/>
      <c r="D827" s="10"/>
      <c r="F827" s="10"/>
      <c r="G827" s="10"/>
      <c r="H827" s="10"/>
      <c r="I827" s="10"/>
      <c r="J827" s="10"/>
    </row>
    <row r="828" spans="2:10" ht="33" customHeight="1" x14ac:dyDescent="0.3">
      <c r="B828" s="10"/>
      <c r="C828" s="10"/>
      <c r="D828" s="10"/>
      <c r="F828" s="10"/>
      <c r="G828" s="10"/>
      <c r="H828" s="10"/>
      <c r="I828" s="10"/>
      <c r="J828" s="10"/>
    </row>
    <row r="829" spans="2:10" ht="33" customHeight="1" x14ac:dyDescent="0.3">
      <c r="B829" s="10"/>
      <c r="C829" s="10"/>
      <c r="D829" s="10"/>
      <c r="F829" s="10"/>
      <c r="G829" s="10"/>
      <c r="H829" s="10"/>
      <c r="I829" s="10"/>
      <c r="J829" s="10"/>
    </row>
    <row r="830" spans="2:10" ht="33" customHeight="1" x14ac:dyDescent="0.3">
      <c r="B830" s="10"/>
      <c r="C830" s="10"/>
      <c r="D830" s="10"/>
      <c r="F830" s="10"/>
      <c r="G830" s="10"/>
      <c r="H830" s="10"/>
      <c r="I830" s="10"/>
      <c r="J830" s="10"/>
    </row>
    <row r="831" spans="2:10" ht="33" customHeight="1" x14ac:dyDescent="0.3">
      <c r="B831" s="10"/>
      <c r="C831" s="10"/>
      <c r="D831" s="10"/>
      <c r="F831" s="10"/>
      <c r="G831" s="10"/>
      <c r="H831" s="10"/>
      <c r="I831" s="10"/>
      <c r="J831" s="10"/>
    </row>
    <row r="832" spans="2:10" ht="33" customHeight="1" x14ac:dyDescent="0.3">
      <c r="B832" s="10"/>
      <c r="C832" s="10"/>
      <c r="D832" s="10"/>
      <c r="F832" s="10"/>
      <c r="G832" s="10"/>
      <c r="H832" s="10"/>
      <c r="I832" s="10"/>
      <c r="J832" s="10"/>
    </row>
    <row r="833" spans="2:10" ht="33" customHeight="1" x14ac:dyDescent="0.3">
      <c r="B833" s="10"/>
      <c r="C833" s="10"/>
      <c r="D833" s="10"/>
      <c r="F833" s="10"/>
      <c r="G833" s="10"/>
      <c r="H833" s="10"/>
      <c r="I833" s="10"/>
      <c r="J833" s="10"/>
    </row>
    <row r="834" spans="2:10" ht="33" customHeight="1" x14ac:dyDescent="0.3">
      <c r="B834" s="10"/>
      <c r="C834" s="10"/>
      <c r="D834" s="10"/>
      <c r="F834" s="10"/>
      <c r="G834" s="10"/>
      <c r="H834" s="10"/>
      <c r="I834" s="10"/>
      <c r="J834" s="10"/>
    </row>
    <row r="835" spans="2:10" ht="33" customHeight="1" x14ac:dyDescent="0.3">
      <c r="B835" s="10"/>
      <c r="C835" s="10"/>
      <c r="D835" s="10"/>
      <c r="F835" s="10"/>
      <c r="G835" s="10"/>
      <c r="H835" s="10"/>
      <c r="I835" s="10"/>
      <c r="J835" s="10"/>
    </row>
    <row r="836" spans="2:10" ht="33" customHeight="1" x14ac:dyDescent="0.3">
      <c r="B836" s="10"/>
      <c r="C836" s="10"/>
      <c r="D836" s="10"/>
      <c r="F836" s="10"/>
      <c r="G836" s="10"/>
      <c r="H836" s="10"/>
      <c r="I836" s="10"/>
      <c r="J836" s="10"/>
    </row>
    <row r="837" spans="2:10" ht="33" customHeight="1" x14ac:dyDescent="0.3">
      <c r="B837" s="10"/>
      <c r="C837" s="10"/>
      <c r="D837" s="10"/>
      <c r="F837" s="10"/>
      <c r="G837" s="10"/>
      <c r="H837" s="10"/>
      <c r="I837" s="10"/>
      <c r="J837" s="10"/>
    </row>
    <row r="838" spans="2:10" ht="33" customHeight="1" x14ac:dyDescent="0.3">
      <c r="B838" s="10"/>
      <c r="C838" s="10"/>
      <c r="D838" s="10"/>
      <c r="F838" s="10"/>
      <c r="G838" s="10"/>
      <c r="H838" s="10"/>
      <c r="I838" s="10"/>
      <c r="J838" s="10"/>
    </row>
    <row r="839" spans="2:10" ht="33" customHeight="1" x14ac:dyDescent="0.3">
      <c r="B839" s="10"/>
      <c r="C839" s="10"/>
      <c r="D839" s="10"/>
      <c r="F839" s="10"/>
      <c r="G839" s="10"/>
      <c r="H839" s="10"/>
      <c r="I839" s="10"/>
      <c r="J839" s="10"/>
    </row>
    <row r="840" spans="2:10" ht="33" customHeight="1" x14ac:dyDescent="0.3">
      <c r="B840" s="10"/>
      <c r="C840" s="10"/>
      <c r="D840" s="10"/>
      <c r="F840" s="10"/>
      <c r="G840" s="10"/>
      <c r="H840" s="10"/>
      <c r="I840" s="10"/>
      <c r="J840" s="10"/>
    </row>
    <row r="841" spans="2:10" ht="33" customHeight="1" x14ac:dyDescent="0.3">
      <c r="B841" s="10"/>
      <c r="C841" s="10"/>
      <c r="D841" s="10"/>
      <c r="F841" s="10"/>
      <c r="G841" s="10"/>
      <c r="H841" s="10"/>
      <c r="I841" s="10"/>
      <c r="J841" s="10"/>
    </row>
    <row r="842" spans="2:10" ht="33" customHeight="1" x14ac:dyDescent="0.3">
      <c r="B842" s="10"/>
      <c r="C842" s="10"/>
      <c r="D842" s="10"/>
      <c r="F842" s="10"/>
      <c r="G842" s="10"/>
      <c r="H842" s="10"/>
      <c r="I842" s="10"/>
      <c r="J842" s="10"/>
    </row>
    <row r="843" spans="2:10" ht="33" customHeight="1" x14ac:dyDescent="0.3">
      <c r="B843" s="10"/>
      <c r="C843" s="10"/>
      <c r="D843" s="10"/>
      <c r="F843" s="10"/>
      <c r="G843" s="10"/>
      <c r="H843" s="10"/>
      <c r="I843" s="10"/>
      <c r="J843" s="10"/>
    </row>
    <row r="844" spans="2:10" ht="33" customHeight="1" x14ac:dyDescent="0.3">
      <c r="B844" s="10"/>
      <c r="C844" s="10"/>
      <c r="D844" s="10"/>
      <c r="F844" s="10"/>
      <c r="G844" s="10"/>
      <c r="H844" s="10"/>
      <c r="I844" s="10"/>
      <c r="J844" s="10"/>
    </row>
    <row r="845" spans="2:10" ht="33" customHeight="1" x14ac:dyDescent="0.3">
      <c r="B845" s="10"/>
      <c r="C845" s="10"/>
      <c r="D845" s="10"/>
      <c r="F845" s="10"/>
      <c r="G845" s="10"/>
      <c r="H845" s="10"/>
      <c r="I845" s="10"/>
      <c r="J845" s="10"/>
    </row>
    <row r="846" spans="2:10" ht="33" customHeight="1" x14ac:dyDescent="0.3">
      <c r="B846" s="10"/>
      <c r="C846" s="10"/>
      <c r="D846" s="10"/>
      <c r="F846" s="10"/>
      <c r="G846" s="10"/>
      <c r="H846" s="10"/>
      <c r="I846" s="10"/>
      <c r="J846" s="10"/>
    </row>
    <row r="847" spans="2:10" ht="33" customHeight="1" x14ac:dyDescent="0.3">
      <c r="B847" s="10"/>
      <c r="C847" s="10"/>
      <c r="D847" s="10"/>
      <c r="F847" s="10"/>
      <c r="G847" s="10"/>
      <c r="H847" s="10"/>
      <c r="I847" s="10"/>
      <c r="J847" s="10"/>
    </row>
    <row r="848" spans="2:10" ht="33" customHeight="1" x14ac:dyDescent="0.3">
      <c r="B848" s="10"/>
      <c r="C848" s="10"/>
      <c r="D848" s="10"/>
      <c r="F848" s="10"/>
      <c r="G848" s="10"/>
      <c r="H848" s="10"/>
      <c r="I848" s="10"/>
      <c r="J848" s="10"/>
    </row>
    <row r="849" spans="2:10" ht="33" customHeight="1" x14ac:dyDescent="0.3">
      <c r="B849" s="10"/>
      <c r="C849" s="10"/>
      <c r="D849" s="10"/>
      <c r="F849" s="10"/>
      <c r="G849" s="10"/>
      <c r="H849" s="10"/>
      <c r="I849" s="10"/>
      <c r="J849" s="10"/>
    </row>
    <row r="850" spans="2:10" ht="33" customHeight="1" x14ac:dyDescent="0.3">
      <c r="B850" s="10"/>
      <c r="C850" s="10"/>
      <c r="D850" s="10"/>
      <c r="F850" s="10"/>
      <c r="G850" s="10"/>
      <c r="H850" s="10"/>
      <c r="I850" s="10"/>
      <c r="J850" s="10"/>
    </row>
    <row r="851" spans="2:10" ht="33" customHeight="1" x14ac:dyDescent="0.3">
      <c r="B851" s="10"/>
      <c r="C851" s="10"/>
      <c r="D851" s="10"/>
      <c r="F851" s="10"/>
      <c r="G851" s="10"/>
      <c r="H851" s="10"/>
      <c r="I851" s="10"/>
      <c r="J851" s="10"/>
    </row>
    <row r="852" spans="2:10" ht="33" customHeight="1" x14ac:dyDescent="0.3">
      <c r="B852" s="10"/>
      <c r="C852" s="10"/>
      <c r="D852" s="10"/>
      <c r="F852" s="10"/>
      <c r="G852" s="10"/>
      <c r="H852" s="10"/>
      <c r="I852" s="10"/>
      <c r="J852" s="10"/>
    </row>
    <row r="853" spans="2:10" ht="33" customHeight="1" x14ac:dyDescent="0.3">
      <c r="B853" s="10"/>
      <c r="C853" s="10"/>
      <c r="D853" s="10"/>
      <c r="F853" s="10"/>
      <c r="G853" s="10"/>
      <c r="H853" s="10"/>
      <c r="I853" s="10"/>
      <c r="J853" s="10"/>
    </row>
    <row r="854" spans="2:10" ht="33" customHeight="1" x14ac:dyDescent="0.3">
      <c r="B854" s="10"/>
      <c r="C854" s="10"/>
      <c r="D854" s="10"/>
      <c r="F854" s="10"/>
      <c r="G854" s="10"/>
      <c r="H854" s="10"/>
      <c r="I854" s="10"/>
      <c r="J854" s="10"/>
    </row>
    <row r="855" spans="2:10" ht="33" customHeight="1" x14ac:dyDescent="0.3">
      <c r="B855" s="10"/>
      <c r="C855" s="10"/>
      <c r="D855" s="10"/>
      <c r="F855" s="10"/>
      <c r="G855" s="10"/>
      <c r="H855" s="10"/>
      <c r="I855" s="10"/>
      <c r="J855" s="10"/>
    </row>
    <row r="856" spans="2:10" ht="33" customHeight="1" x14ac:dyDescent="0.3">
      <c r="B856" s="10"/>
      <c r="C856" s="10"/>
      <c r="D856" s="10"/>
      <c r="F856" s="10"/>
      <c r="G856" s="10"/>
      <c r="H856" s="10"/>
      <c r="I856" s="10"/>
      <c r="J856" s="10"/>
    </row>
    <row r="857" spans="2:10" ht="33" customHeight="1" x14ac:dyDescent="0.3">
      <c r="B857" s="10"/>
      <c r="C857" s="10"/>
      <c r="D857" s="10"/>
      <c r="F857" s="10"/>
      <c r="G857" s="10"/>
      <c r="H857" s="10"/>
      <c r="I857" s="10"/>
      <c r="J857" s="10"/>
    </row>
    <row r="858" spans="2:10" ht="33" customHeight="1" x14ac:dyDescent="0.3">
      <c r="B858" s="10"/>
      <c r="C858" s="10"/>
      <c r="D858" s="10"/>
      <c r="F858" s="10"/>
      <c r="G858" s="10"/>
      <c r="H858" s="10"/>
      <c r="I858" s="10"/>
      <c r="J858" s="10"/>
    </row>
    <row r="859" spans="2:10" ht="33" customHeight="1" x14ac:dyDescent="0.3">
      <c r="B859" s="10"/>
      <c r="C859" s="10"/>
      <c r="D859" s="10"/>
      <c r="F859" s="10"/>
      <c r="G859" s="10"/>
      <c r="H859" s="10"/>
      <c r="I859" s="10"/>
      <c r="J859" s="10"/>
    </row>
    <row r="860" spans="2:10" ht="33" customHeight="1" x14ac:dyDescent="0.3">
      <c r="B860" s="10"/>
      <c r="C860" s="10"/>
      <c r="D860" s="10"/>
      <c r="F860" s="10"/>
      <c r="G860" s="10"/>
      <c r="H860" s="10"/>
      <c r="I860" s="10"/>
      <c r="J860" s="10"/>
    </row>
    <row r="861" spans="2:10" ht="33" customHeight="1" x14ac:dyDescent="0.3">
      <c r="B861" s="10"/>
      <c r="C861" s="10"/>
      <c r="D861" s="10"/>
      <c r="F861" s="10"/>
      <c r="G861" s="10"/>
      <c r="H861" s="10"/>
      <c r="I861" s="10"/>
      <c r="J861" s="10"/>
    </row>
    <row r="862" spans="2:10" ht="33" customHeight="1" x14ac:dyDescent="0.3">
      <c r="B862" s="10"/>
      <c r="C862" s="10"/>
      <c r="D862" s="10"/>
      <c r="F862" s="10"/>
      <c r="G862" s="10"/>
      <c r="H862" s="10"/>
      <c r="I862" s="10"/>
      <c r="J862" s="10"/>
    </row>
    <row r="863" spans="2:10" ht="33" customHeight="1" x14ac:dyDescent="0.3">
      <c r="B863" s="10"/>
      <c r="C863" s="10"/>
      <c r="D863" s="10"/>
      <c r="F863" s="10"/>
      <c r="G863" s="10"/>
      <c r="H863" s="10"/>
      <c r="I863" s="10"/>
      <c r="J863" s="10"/>
    </row>
    <row r="864" spans="2:10" ht="33" customHeight="1" x14ac:dyDescent="0.3">
      <c r="B864" s="10"/>
      <c r="C864" s="10"/>
      <c r="D864" s="10"/>
      <c r="F864" s="10"/>
      <c r="G864" s="10"/>
      <c r="H864" s="10"/>
      <c r="I864" s="10"/>
      <c r="J864" s="10"/>
    </row>
    <row r="865" spans="2:10" ht="33" customHeight="1" x14ac:dyDescent="0.3">
      <c r="B865" s="10"/>
      <c r="C865" s="10"/>
      <c r="D865" s="10"/>
      <c r="F865" s="10"/>
      <c r="G865" s="10"/>
      <c r="H865" s="10"/>
      <c r="I865" s="10"/>
      <c r="J865" s="10"/>
    </row>
    <row r="866" spans="2:10" ht="33" customHeight="1" x14ac:dyDescent="0.3">
      <c r="B866" s="10"/>
      <c r="C866" s="10"/>
      <c r="D866" s="10"/>
      <c r="F866" s="10"/>
      <c r="G866" s="10"/>
      <c r="H866" s="10"/>
      <c r="I866" s="10"/>
      <c r="J866" s="10"/>
    </row>
    <row r="867" spans="2:10" ht="33" customHeight="1" x14ac:dyDescent="0.3">
      <c r="B867" s="10"/>
      <c r="C867" s="10"/>
      <c r="D867" s="10"/>
      <c r="F867" s="10"/>
      <c r="G867" s="10"/>
      <c r="H867" s="10"/>
      <c r="I867" s="10"/>
      <c r="J867" s="10"/>
    </row>
    <row r="868" spans="2:10" ht="33" customHeight="1" x14ac:dyDescent="0.3">
      <c r="B868" s="10"/>
      <c r="C868" s="10"/>
      <c r="D868" s="10"/>
      <c r="F868" s="10"/>
      <c r="G868" s="10"/>
      <c r="H868" s="10"/>
      <c r="I868" s="10"/>
      <c r="J868" s="10"/>
    </row>
    <row r="869" spans="2:10" ht="33" customHeight="1" x14ac:dyDescent="0.3">
      <c r="B869" s="10"/>
      <c r="C869" s="10"/>
      <c r="D869" s="10"/>
      <c r="F869" s="10"/>
      <c r="G869" s="10"/>
      <c r="H869" s="10"/>
      <c r="I869" s="10"/>
      <c r="J869" s="10"/>
    </row>
    <row r="870" spans="2:10" ht="33" customHeight="1" x14ac:dyDescent="0.3">
      <c r="B870" s="10"/>
      <c r="C870" s="10"/>
      <c r="D870" s="10"/>
      <c r="F870" s="10"/>
      <c r="G870" s="10"/>
      <c r="H870" s="10"/>
      <c r="I870" s="10"/>
      <c r="J870" s="10"/>
    </row>
    <row r="871" spans="2:10" ht="33" customHeight="1" x14ac:dyDescent="0.3">
      <c r="B871" s="10"/>
      <c r="C871" s="10"/>
      <c r="D871" s="10"/>
      <c r="F871" s="10"/>
      <c r="G871" s="10"/>
      <c r="H871" s="10"/>
      <c r="I871" s="10"/>
      <c r="J871" s="10"/>
    </row>
    <row r="872" spans="2:10" ht="33" customHeight="1" x14ac:dyDescent="0.3">
      <c r="B872" s="10"/>
      <c r="C872" s="10"/>
      <c r="D872" s="10"/>
      <c r="F872" s="10"/>
      <c r="G872" s="10"/>
      <c r="H872" s="10"/>
      <c r="I872" s="10"/>
      <c r="J872" s="10"/>
    </row>
    <row r="873" spans="2:10" ht="33" customHeight="1" x14ac:dyDescent="0.3">
      <c r="B873" s="10"/>
      <c r="C873" s="10"/>
      <c r="D873" s="10"/>
      <c r="F873" s="10"/>
      <c r="G873" s="10"/>
      <c r="H873" s="10"/>
      <c r="I873" s="10"/>
      <c r="J873" s="10"/>
    </row>
    <row r="874" spans="2:10" ht="33" customHeight="1" x14ac:dyDescent="0.3">
      <c r="B874" s="10"/>
      <c r="C874" s="10"/>
      <c r="D874" s="10"/>
      <c r="F874" s="10"/>
      <c r="G874" s="10"/>
      <c r="H874" s="10"/>
      <c r="I874" s="10"/>
      <c r="J874" s="10"/>
    </row>
    <row r="875" spans="2:10" ht="33" customHeight="1" x14ac:dyDescent="0.3">
      <c r="B875" s="10"/>
      <c r="C875" s="10"/>
      <c r="D875" s="10"/>
      <c r="F875" s="10"/>
      <c r="G875" s="10"/>
      <c r="H875" s="10"/>
      <c r="I875" s="10"/>
      <c r="J875" s="10"/>
    </row>
    <row r="876" spans="2:10" ht="33" customHeight="1" x14ac:dyDescent="0.3">
      <c r="B876" s="10"/>
      <c r="C876" s="10"/>
      <c r="D876" s="10"/>
      <c r="F876" s="10"/>
      <c r="G876" s="10"/>
      <c r="H876" s="10"/>
      <c r="I876" s="10"/>
      <c r="J876" s="10"/>
    </row>
    <row r="877" spans="2:10" ht="33" customHeight="1" x14ac:dyDescent="0.3">
      <c r="B877" s="10"/>
      <c r="C877" s="10"/>
      <c r="D877" s="10"/>
      <c r="F877" s="10"/>
      <c r="G877" s="10"/>
      <c r="H877" s="10"/>
      <c r="I877" s="10"/>
      <c r="J877" s="10"/>
    </row>
    <row r="878" spans="2:10" ht="33" customHeight="1" x14ac:dyDescent="0.3">
      <c r="B878" s="10"/>
      <c r="C878" s="10"/>
      <c r="D878" s="10"/>
      <c r="F878" s="10"/>
      <c r="G878" s="10"/>
      <c r="H878" s="10"/>
      <c r="I878" s="10"/>
      <c r="J878" s="10"/>
    </row>
    <row r="879" spans="2:10" ht="33" customHeight="1" x14ac:dyDescent="0.3">
      <c r="B879" s="10"/>
      <c r="C879" s="10"/>
      <c r="D879" s="10"/>
      <c r="F879" s="10"/>
      <c r="G879" s="10"/>
      <c r="H879" s="10"/>
      <c r="I879" s="10"/>
      <c r="J879" s="10"/>
    </row>
    <row r="880" spans="2:10" ht="33" customHeight="1" x14ac:dyDescent="0.3">
      <c r="B880" s="10"/>
      <c r="C880" s="10"/>
      <c r="D880" s="10"/>
      <c r="F880" s="10"/>
      <c r="G880" s="10"/>
      <c r="H880" s="10"/>
      <c r="I880" s="10"/>
      <c r="J880" s="10"/>
    </row>
    <row r="881" spans="2:10" ht="33" customHeight="1" x14ac:dyDescent="0.3">
      <c r="B881" s="10"/>
      <c r="C881" s="10"/>
      <c r="D881" s="10"/>
      <c r="F881" s="10"/>
      <c r="G881" s="10"/>
      <c r="H881" s="10"/>
      <c r="I881" s="10"/>
      <c r="J881" s="10"/>
    </row>
    <row r="882" spans="2:10" ht="33" customHeight="1" x14ac:dyDescent="0.3">
      <c r="B882" s="10"/>
      <c r="C882" s="10"/>
      <c r="D882" s="10"/>
      <c r="F882" s="10"/>
      <c r="G882" s="10"/>
      <c r="H882" s="10"/>
      <c r="I882" s="10"/>
      <c r="J882" s="10"/>
    </row>
    <row r="883" spans="2:10" ht="33" customHeight="1" x14ac:dyDescent="0.3">
      <c r="B883" s="10"/>
      <c r="C883" s="10"/>
      <c r="D883" s="10"/>
      <c r="F883" s="10"/>
      <c r="G883" s="10"/>
      <c r="H883" s="10"/>
      <c r="I883" s="10"/>
      <c r="J883" s="10"/>
    </row>
    <row r="884" spans="2:10" ht="33" customHeight="1" x14ac:dyDescent="0.3">
      <c r="B884" s="10"/>
      <c r="C884" s="10"/>
      <c r="D884" s="10"/>
      <c r="F884" s="10"/>
      <c r="G884" s="10"/>
      <c r="H884" s="10"/>
      <c r="I884" s="10"/>
      <c r="J884" s="10"/>
    </row>
    <row r="885" spans="2:10" ht="33" customHeight="1" x14ac:dyDescent="0.3">
      <c r="B885" s="10"/>
      <c r="C885" s="10"/>
      <c r="D885" s="10"/>
      <c r="F885" s="10"/>
      <c r="G885" s="10"/>
      <c r="H885" s="10"/>
      <c r="I885" s="10"/>
      <c r="J885" s="10"/>
    </row>
    <row r="886" spans="2:10" ht="33" customHeight="1" x14ac:dyDescent="0.3">
      <c r="B886" s="10"/>
      <c r="C886" s="10"/>
      <c r="D886" s="10"/>
      <c r="F886" s="10"/>
      <c r="G886" s="10"/>
      <c r="H886" s="10"/>
      <c r="I886" s="10"/>
      <c r="J886" s="10"/>
    </row>
    <row r="887" spans="2:10" ht="33" customHeight="1" x14ac:dyDescent="0.3">
      <c r="B887" s="10"/>
      <c r="C887" s="10"/>
      <c r="D887" s="10"/>
      <c r="F887" s="10"/>
      <c r="G887" s="10"/>
      <c r="H887" s="10"/>
      <c r="I887" s="10"/>
      <c r="J887" s="10"/>
    </row>
    <row r="888" spans="2:10" ht="33" customHeight="1" x14ac:dyDescent="0.3">
      <c r="B888" s="10"/>
      <c r="C888" s="10"/>
      <c r="D888" s="10"/>
      <c r="F888" s="10"/>
      <c r="G888" s="10"/>
      <c r="H888" s="10"/>
      <c r="I888" s="10"/>
      <c r="J888" s="10"/>
    </row>
    <row r="889" spans="2:10" ht="33" customHeight="1" x14ac:dyDescent="0.3">
      <c r="B889" s="10"/>
      <c r="C889" s="10"/>
      <c r="D889" s="10"/>
      <c r="F889" s="10"/>
      <c r="G889" s="10"/>
      <c r="H889" s="10"/>
      <c r="I889" s="10"/>
      <c r="J889" s="10"/>
    </row>
    <row r="890" spans="2:10" ht="33" customHeight="1" x14ac:dyDescent="0.3">
      <c r="B890" s="10"/>
      <c r="C890" s="10"/>
      <c r="D890" s="10"/>
      <c r="F890" s="10"/>
      <c r="G890" s="10"/>
      <c r="H890" s="10"/>
      <c r="I890" s="10"/>
      <c r="J890" s="10"/>
    </row>
    <row r="891" spans="2:10" ht="33" customHeight="1" x14ac:dyDescent="0.3">
      <c r="B891" s="10"/>
      <c r="C891" s="10"/>
      <c r="D891" s="10"/>
      <c r="F891" s="10"/>
      <c r="G891" s="10"/>
      <c r="H891" s="10"/>
      <c r="I891" s="10"/>
      <c r="J891" s="10"/>
    </row>
    <row r="892" spans="2:10" ht="33" customHeight="1" x14ac:dyDescent="0.3">
      <c r="B892" s="10"/>
      <c r="C892" s="10"/>
      <c r="D892" s="10"/>
      <c r="F892" s="10"/>
      <c r="G892" s="10"/>
      <c r="H892" s="10"/>
      <c r="I892" s="10"/>
      <c r="J892" s="10"/>
    </row>
    <row r="893" spans="2:10" ht="33" customHeight="1" x14ac:dyDescent="0.3">
      <c r="B893" s="10"/>
      <c r="C893" s="10"/>
      <c r="D893" s="10"/>
      <c r="F893" s="10"/>
      <c r="G893" s="10"/>
      <c r="H893" s="10"/>
      <c r="I893" s="10"/>
      <c r="J893" s="10"/>
    </row>
    <row r="894" spans="2:10" ht="33" customHeight="1" x14ac:dyDescent="0.3">
      <c r="B894" s="10"/>
      <c r="C894" s="10"/>
      <c r="D894" s="10"/>
      <c r="F894" s="10"/>
      <c r="G894" s="10"/>
      <c r="H894" s="10"/>
      <c r="I894" s="10"/>
      <c r="J894" s="10"/>
    </row>
    <row r="895" spans="2:10" ht="33" customHeight="1" x14ac:dyDescent="0.3">
      <c r="B895" s="10"/>
      <c r="C895" s="10"/>
      <c r="D895" s="10"/>
      <c r="F895" s="10"/>
      <c r="G895" s="10"/>
      <c r="H895" s="10"/>
      <c r="I895" s="10"/>
      <c r="J895" s="10"/>
    </row>
    <row r="896" spans="2:10" ht="33" customHeight="1" x14ac:dyDescent="0.3">
      <c r="B896" s="10"/>
      <c r="C896" s="10"/>
      <c r="D896" s="10"/>
      <c r="F896" s="10"/>
      <c r="G896" s="10"/>
      <c r="H896" s="10"/>
      <c r="I896" s="10"/>
      <c r="J896" s="10"/>
    </row>
    <row r="897" spans="2:10" ht="33" customHeight="1" x14ac:dyDescent="0.3">
      <c r="B897" s="10"/>
      <c r="C897" s="10"/>
      <c r="D897" s="10"/>
      <c r="F897" s="10"/>
      <c r="G897" s="10"/>
      <c r="H897" s="10"/>
      <c r="I897" s="10"/>
      <c r="J897" s="10"/>
    </row>
    <row r="898" spans="2:10" ht="33" customHeight="1" x14ac:dyDescent="0.3">
      <c r="B898" s="10"/>
      <c r="C898" s="10"/>
      <c r="D898" s="10"/>
      <c r="F898" s="10"/>
      <c r="G898" s="10"/>
      <c r="H898" s="10"/>
      <c r="I898" s="10"/>
      <c r="J898" s="10"/>
    </row>
    <row r="899" spans="2:10" ht="33" customHeight="1" x14ac:dyDescent="0.3">
      <c r="B899" s="10"/>
      <c r="C899" s="10"/>
      <c r="D899" s="10"/>
      <c r="F899" s="10"/>
      <c r="G899" s="10"/>
      <c r="H899" s="10"/>
      <c r="I899" s="10"/>
      <c r="J899" s="10"/>
    </row>
    <row r="900" spans="2:10" ht="33" customHeight="1" x14ac:dyDescent="0.3">
      <c r="B900" s="10"/>
      <c r="C900" s="10"/>
      <c r="D900" s="10"/>
      <c r="F900" s="10"/>
      <c r="G900" s="10"/>
      <c r="H900" s="10"/>
      <c r="I900" s="10"/>
      <c r="J900" s="10"/>
    </row>
    <row r="901" spans="2:10" ht="33" customHeight="1" x14ac:dyDescent="0.3">
      <c r="B901" s="10"/>
      <c r="C901" s="10"/>
      <c r="D901" s="10"/>
      <c r="F901" s="10"/>
      <c r="G901" s="10"/>
      <c r="H901" s="10"/>
      <c r="I901" s="10"/>
      <c r="J901" s="10"/>
    </row>
    <row r="902" spans="2:10" ht="33" customHeight="1" x14ac:dyDescent="0.3">
      <c r="B902" s="10"/>
      <c r="C902" s="10"/>
      <c r="D902" s="10"/>
      <c r="F902" s="10"/>
      <c r="G902" s="10"/>
      <c r="H902" s="10"/>
      <c r="I902" s="10"/>
      <c r="J902" s="10"/>
    </row>
    <row r="903" spans="2:10" ht="33" customHeight="1" x14ac:dyDescent="0.3">
      <c r="B903" s="10"/>
      <c r="C903" s="10"/>
      <c r="D903" s="10"/>
      <c r="F903" s="10"/>
      <c r="G903" s="10"/>
      <c r="H903" s="10"/>
      <c r="I903" s="10"/>
      <c r="J903" s="10"/>
    </row>
    <row r="904" spans="2:10" ht="33" customHeight="1" x14ac:dyDescent="0.3">
      <c r="B904" s="10"/>
      <c r="C904" s="10"/>
      <c r="D904" s="10"/>
      <c r="F904" s="10"/>
      <c r="G904" s="10"/>
      <c r="H904" s="10"/>
      <c r="I904" s="10"/>
      <c r="J904" s="10"/>
    </row>
    <row r="905" spans="2:10" ht="33" customHeight="1" x14ac:dyDescent="0.3">
      <c r="B905" s="10"/>
      <c r="C905" s="10"/>
      <c r="D905" s="10"/>
      <c r="F905" s="10"/>
      <c r="G905" s="10"/>
      <c r="H905" s="10"/>
      <c r="I905" s="10"/>
      <c r="J905" s="10"/>
    </row>
    <row r="906" spans="2:10" ht="33" customHeight="1" x14ac:dyDescent="0.3">
      <c r="B906" s="10"/>
      <c r="C906" s="10"/>
      <c r="D906" s="10"/>
      <c r="F906" s="10"/>
      <c r="G906" s="10"/>
      <c r="H906" s="10"/>
      <c r="I906" s="10"/>
      <c r="J906" s="10"/>
    </row>
    <row r="907" spans="2:10" ht="33" customHeight="1" x14ac:dyDescent="0.3">
      <c r="B907" s="10"/>
      <c r="C907" s="10"/>
      <c r="D907" s="10"/>
      <c r="F907" s="10"/>
      <c r="G907" s="10"/>
      <c r="H907" s="10"/>
      <c r="I907" s="10"/>
      <c r="J907" s="10"/>
    </row>
    <row r="908" spans="2:10" ht="33" customHeight="1" x14ac:dyDescent="0.3">
      <c r="B908" s="10"/>
      <c r="C908" s="10"/>
      <c r="D908" s="10"/>
      <c r="F908" s="10"/>
      <c r="G908" s="10"/>
      <c r="H908" s="10"/>
      <c r="I908" s="10"/>
      <c r="J908" s="10"/>
    </row>
    <row r="909" spans="2:10" ht="33" customHeight="1" x14ac:dyDescent="0.3">
      <c r="B909" s="10"/>
      <c r="C909" s="10"/>
      <c r="D909" s="10"/>
      <c r="F909" s="10"/>
      <c r="G909" s="10"/>
      <c r="H909" s="10"/>
      <c r="I909" s="10"/>
      <c r="J909" s="10"/>
    </row>
    <row r="910" spans="2:10" ht="33" customHeight="1" x14ac:dyDescent="0.3">
      <c r="B910" s="10"/>
      <c r="C910" s="10"/>
      <c r="D910" s="10"/>
      <c r="F910" s="10"/>
      <c r="G910" s="10"/>
      <c r="H910" s="10"/>
      <c r="I910" s="10"/>
      <c r="J910" s="10"/>
    </row>
    <row r="911" spans="2:10" ht="33" customHeight="1" x14ac:dyDescent="0.3">
      <c r="B911" s="10"/>
      <c r="C911" s="10"/>
      <c r="D911" s="10"/>
      <c r="F911" s="10"/>
      <c r="G911" s="10"/>
      <c r="H911" s="10"/>
      <c r="I911" s="10"/>
      <c r="J911" s="10"/>
    </row>
    <row r="912" spans="2:10" ht="33" customHeight="1" x14ac:dyDescent="0.3">
      <c r="B912" s="10"/>
      <c r="C912" s="10"/>
      <c r="D912" s="10"/>
      <c r="F912" s="10"/>
      <c r="G912" s="10"/>
      <c r="H912" s="10"/>
      <c r="I912" s="10"/>
      <c r="J912" s="10"/>
    </row>
    <row r="913" spans="2:10" ht="33" customHeight="1" x14ac:dyDescent="0.3">
      <c r="B913" s="10"/>
      <c r="C913" s="10"/>
      <c r="D913" s="10"/>
      <c r="F913" s="10"/>
      <c r="G913" s="10"/>
      <c r="H913" s="10"/>
      <c r="I913" s="10"/>
      <c r="J913" s="10"/>
    </row>
    <row r="914" spans="2:10" ht="33" customHeight="1" x14ac:dyDescent="0.3">
      <c r="B914" s="10"/>
      <c r="C914" s="10"/>
      <c r="D914" s="10"/>
      <c r="F914" s="10"/>
      <c r="G914" s="10"/>
      <c r="H914" s="10"/>
      <c r="I914" s="10"/>
      <c r="J914" s="10"/>
    </row>
    <row r="915" spans="2:10" ht="33" customHeight="1" x14ac:dyDescent="0.3">
      <c r="B915" s="10"/>
      <c r="C915" s="10"/>
      <c r="D915" s="10"/>
      <c r="F915" s="10"/>
      <c r="G915" s="10"/>
      <c r="H915" s="10"/>
      <c r="I915" s="10"/>
      <c r="J915" s="10"/>
    </row>
    <row r="916" spans="2:10" ht="33" customHeight="1" x14ac:dyDescent="0.3">
      <c r="B916" s="10"/>
      <c r="C916" s="10"/>
      <c r="D916" s="10"/>
      <c r="F916" s="10"/>
      <c r="G916" s="10"/>
      <c r="H916" s="10"/>
      <c r="I916" s="10"/>
      <c r="J916" s="10"/>
    </row>
    <row r="917" spans="2:10" ht="33" customHeight="1" x14ac:dyDescent="0.3">
      <c r="B917" s="10"/>
      <c r="C917" s="10"/>
      <c r="D917" s="10"/>
      <c r="F917" s="10"/>
      <c r="G917" s="10"/>
      <c r="H917" s="10"/>
      <c r="I917" s="10"/>
      <c r="J917" s="10"/>
    </row>
    <row r="918" spans="2:10" ht="33" customHeight="1" x14ac:dyDescent="0.3">
      <c r="B918" s="10"/>
      <c r="C918" s="10"/>
      <c r="D918" s="10"/>
      <c r="F918" s="10"/>
      <c r="G918" s="10"/>
      <c r="H918" s="10"/>
      <c r="I918" s="10"/>
      <c r="J918" s="10"/>
    </row>
    <row r="919" spans="2:10" ht="33" customHeight="1" x14ac:dyDescent="0.3">
      <c r="B919" s="10"/>
      <c r="C919" s="10"/>
      <c r="D919" s="10"/>
      <c r="F919" s="10"/>
      <c r="G919" s="10"/>
      <c r="H919" s="10"/>
      <c r="I919" s="10"/>
      <c r="J919" s="10"/>
    </row>
    <row r="920" spans="2:10" ht="33" customHeight="1" x14ac:dyDescent="0.3">
      <c r="B920" s="10"/>
      <c r="C920" s="10"/>
      <c r="D920" s="10"/>
      <c r="F920" s="10"/>
      <c r="G920" s="10"/>
      <c r="H920" s="10"/>
      <c r="I920" s="10"/>
      <c r="J920" s="10"/>
    </row>
    <row r="921" spans="2:10" ht="33" customHeight="1" x14ac:dyDescent="0.3">
      <c r="B921" s="10"/>
      <c r="C921" s="10"/>
      <c r="D921" s="10"/>
      <c r="F921" s="10"/>
      <c r="G921" s="10"/>
      <c r="H921" s="10"/>
      <c r="I921" s="10"/>
      <c r="J921" s="10"/>
    </row>
    <row r="922" spans="2:10" ht="33" customHeight="1" x14ac:dyDescent="0.3">
      <c r="B922" s="10"/>
      <c r="C922" s="10"/>
      <c r="D922" s="10"/>
      <c r="F922" s="10"/>
      <c r="G922" s="10"/>
      <c r="H922" s="10"/>
      <c r="I922" s="10"/>
      <c r="J922" s="10"/>
    </row>
    <row r="923" spans="2:10" ht="33" customHeight="1" x14ac:dyDescent="0.3">
      <c r="B923" s="10"/>
      <c r="C923" s="10"/>
      <c r="D923" s="10"/>
      <c r="F923" s="10"/>
      <c r="G923" s="10"/>
      <c r="H923" s="10"/>
      <c r="I923" s="10"/>
      <c r="J923" s="10"/>
    </row>
    <row r="924" spans="2:10" ht="33" customHeight="1" x14ac:dyDescent="0.3">
      <c r="B924" s="10"/>
      <c r="C924" s="10"/>
      <c r="D924" s="10"/>
      <c r="F924" s="10"/>
      <c r="G924" s="10"/>
      <c r="H924" s="10"/>
      <c r="I924" s="10"/>
      <c r="J924" s="10"/>
    </row>
    <row r="925" spans="2:10" ht="33" customHeight="1" x14ac:dyDescent="0.3">
      <c r="B925" s="10"/>
      <c r="C925" s="10"/>
      <c r="D925" s="10"/>
      <c r="F925" s="10"/>
      <c r="G925" s="10"/>
      <c r="H925" s="10"/>
      <c r="I925" s="10"/>
      <c r="J925" s="10"/>
    </row>
    <row r="926" spans="2:10" ht="33" customHeight="1" x14ac:dyDescent="0.3">
      <c r="B926" s="10"/>
      <c r="C926" s="10"/>
      <c r="D926" s="10"/>
      <c r="F926" s="10"/>
      <c r="G926" s="10"/>
      <c r="H926" s="10"/>
      <c r="I926" s="10"/>
      <c r="J926" s="10"/>
    </row>
    <row r="927" spans="2:10" ht="33" customHeight="1" x14ac:dyDescent="0.3">
      <c r="B927" s="10"/>
      <c r="C927" s="10"/>
      <c r="D927" s="10"/>
      <c r="F927" s="10"/>
      <c r="G927" s="10"/>
      <c r="H927" s="10"/>
      <c r="I927" s="10"/>
      <c r="J927" s="10"/>
    </row>
    <row r="928" spans="2:10" ht="33" customHeight="1" x14ac:dyDescent="0.3">
      <c r="B928" s="10"/>
      <c r="C928" s="10"/>
      <c r="D928" s="10"/>
      <c r="F928" s="10"/>
      <c r="G928" s="10"/>
      <c r="H928" s="10"/>
      <c r="I928" s="10"/>
      <c r="J928" s="10"/>
    </row>
    <row r="929" spans="2:10" ht="33" customHeight="1" x14ac:dyDescent="0.3">
      <c r="B929" s="10"/>
      <c r="C929" s="10"/>
      <c r="D929" s="10"/>
      <c r="F929" s="10"/>
      <c r="G929" s="10"/>
      <c r="H929" s="10"/>
      <c r="I929" s="10"/>
      <c r="J929" s="10"/>
    </row>
    <row r="930" spans="2:10" ht="33" customHeight="1" x14ac:dyDescent="0.3">
      <c r="B930" s="10"/>
      <c r="C930" s="10"/>
      <c r="D930" s="10"/>
      <c r="F930" s="10"/>
      <c r="G930" s="10"/>
      <c r="H930" s="10"/>
      <c r="I930" s="10"/>
      <c r="J930" s="10"/>
    </row>
    <row r="931" spans="2:10" ht="33" customHeight="1" x14ac:dyDescent="0.3">
      <c r="B931" s="10"/>
      <c r="C931" s="10"/>
      <c r="D931" s="10"/>
      <c r="F931" s="10"/>
      <c r="G931" s="10"/>
      <c r="H931" s="10"/>
      <c r="I931" s="10"/>
      <c r="J931" s="10"/>
    </row>
    <row r="932" spans="2:10" ht="33" customHeight="1" x14ac:dyDescent="0.3">
      <c r="B932" s="10"/>
      <c r="C932" s="10"/>
      <c r="D932" s="10"/>
      <c r="F932" s="10"/>
      <c r="G932" s="10"/>
      <c r="H932" s="10"/>
      <c r="I932" s="10"/>
      <c r="J932" s="10"/>
    </row>
    <row r="933" spans="2:10" ht="33" customHeight="1" x14ac:dyDescent="0.3">
      <c r="B933" s="10"/>
      <c r="C933" s="10"/>
      <c r="D933" s="10"/>
      <c r="F933" s="10"/>
      <c r="G933" s="10"/>
      <c r="H933" s="10"/>
      <c r="I933" s="10"/>
      <c r="J933" s="10"/>
    </row>
    <row r="934" spans="2:10" ht="33" customHeight="1" x14ac:dyDescent="0.3">
      <c r="B934" s="10"/>
      <c r="C934" s="10"/>
      <c r="D934" s="10"/>
      <c r="F934" s="10"/>
      <c r="G934" s="10"/>
      <c r="H934" s="10"/>
      <c r="I934" s="10"/>
      <c r="J934" s="10"/>
    </row>
    <row r="935" spans="2:10" ht="33" customHeight="1" x14ac:dyDescent="0.3">
      <c r="B935" s="10"/>
      <c r="C935" s="10"/>
      <c r="D935" s="10"/>
      <c r="F935" s="10"/>
      <c r="G935" s="10"/>
      <c r="H935" s="10"/>
      <c r="I935" s="10"/>
      <c r="J935" s="10"/>
    </row>
    <row r="936" spans="2:10" ht="33" customHeight="1" x14ac:dyDescent="0.3">
      <c r="B936" s="10"/>
      <c r="C936" s="10"/>
      <c r="D936" s="10"/>
      <c r="F936" s="10"/>
      <c r="G936" s="10"/>
      <c r="H936" s="10"/>
      <c r="I936" s="10"/>
      <c r="J936" s="10"/>
    </row>
    <row r="937" spans="2:10" ht="33" customHeight="1" x14ac:dyDescent="0.3">
      <c r="B937" s="10"/>
      <c r="C937" s="10"/>
      <c r="D937" s="10"/>
      <c r="F937" s="10"/>
      <c r="G937" s="10"/>
      <c r="H937" s="10"/>
      <c r="I937" s="10"/>
      <c r="J937" s="10"/>
    </row>
    <row r="938" spans="2:10" ht="33" customHeight="1" x14ac:dyDescent="0.3">
      <c r="B938" s="10"/>
      <c r="C938" s="10"/>
      <c r="D938" s="10"/>
      <c r="F938" s="10"/>
      <c r="G938" s="10"/>
      <c r="H938" s="10"/>
      <c r="I938" s="10"/>
      <c r="J938" s="10"/>
    </row>
    <row r="939" spans="2:10" ht="33" customHeight="1" x14ac:dyDescent="0.3">
      <c r="B939" s="10"/>
      <c r="C939" s="10"/>
      <c r="D939" s="10"/>
      <c r="F939" s="10"/>
      <c r="G939" s="10"/>
      <c r="H939" s="10"/>
      <c r="I939" s="10"/>
      <c r="J939" s="10"/>
    </row>
    <row r="940" spans="2:10" ht="33" customHeight="1" x14ac:dyDescent="0.3">
      <c r="B940" s="10"/>
      <c r="C940" s="10"/>
      <c r="D940" s="10"/>
      <c r="F940" s="10"/>
      <c r="G940" s="10"/>
      <c r="H940" s="10"/>
      <c r="I940" s="10"/>
      <c r="J940" s="10"/>
    </row>
    <row r="941" spans="2:10" ht="33" customHeight="1" x14ac:dyDescent="0.3">
      <c r="B941" s="10"/>
      <c r="C941" s="10"/>
      <c r="D941" s="10"/>
      <c r="F941" s="10"/>
      <c r="G941" s="10"/>
      <c r="H941" s="10"/>
      <c r="I941" s="10"/>
      <c r="J941" s="10"/>
    </row>
    <row r="942" spans="2:10" ht="33" customHeight="1" x14ac:dyDescent="0.3">
      <c r="B942" s="10"/>
      <c r="C942" s="10"/>
      <c r="D942" s="10"/>
      <c r="F942" s="10"/>
      <c r="G942" s="10"/>
      <c r="H942" s="10"/>
      <c r="I942" s="10"/>
      <c r="J942" s="10"/>
    </row>
    <row r="943" spans="2:10" ht="33" customHeight="1" x14ac:dyDescent="0.3">
      <c r="B943" s="10"/>
      <c r="C943" s="10"/>
      <c r="D943" s="10"/>
      <c r="F943" s="10"/>
      <c r="G943" s="10"/>
      <c r="H943" s="10"/>
      <c r="I943" s="10"/>
      <c r="J943" s="10"/>
    </row>
    <row r="944" spans="2:10" ht="33" customHeight="1" x14ac:dyDescent="0.3">
      <c r="B944" s="10"/>
      <c r="C944" s="10"/>
      <c r="D944" s="10"/>
      <c r="F944" s="10"/>
      <c r="G944" s="10"/>
      <c r="H944" s="10"/>
      <c r="I944" s="10"/>
      <c r="J944" s="10"/>
    </row>
    <row r="945" spans="2:10" ht="33" customHeight="1" x14ac:dyDescent="0.3">
      <c r="B945" s="10"/>
      <c r="C945" s="10"/>
      <c r="D945" s="10"/>
      <c r="F945" s="10"/>
      <c r="G945" s="10"/>
      <c r="H945" s="10"/>
      <c r="I945" s="10"/>
      <c r="J945" s="10"/>
    </row>
    <row r="946" spans="2:10" ht="33" customHeight="1" x14ac:dyDescent="0.3">
      <c r="B946" s="10"/>
      <c r="C946" s="10"/>
      <c r="D946" s="10"/>
      <c r="F946" s="10"/>
      <c r="G946" s="10"/>
      <c r="H946" s="10"/>
      <c r="I946" s="10"/>
      <c r="J946" s="10"/>
    </row>
    <row r="947" spans="2:10" ht="33" customHeight="1" x14ac:dyDescent="0.3">
      <c r="B947" s="10"/>
      <c r="C947" s="10"/>
      <c r="D947" s="10"/>
      <c r="F947" s="10"/>
      <c r="G947" s="10"/>
      <c r="H947" s="10"/>
      <c r="I947" s="10"/>
      <c r="J947" s="10"/>
    </row>
    <row r="948" spans="2:10" ht="33" customHeight="1" x14ac:dyDescent="0.3">
      <c r="B948" s="10"/>
      <c r="C948" s="10"/>
      <c r="D948" s="10"/>
      <c r="F948" s="10"/>
      <c r="G948" s="10"/>
      <c r="H948" s="10"/>
      <c r="I948" s="10"/>
      <c r="J948" s="10"/>
    </row>
    <row r="949" spans="2:10" ht="33" customHeight="1" x14ac:dyDescent="0.3">
      <c r="B949" s="10"/>
      <c r="C949" s="10"/>
      <c r="D949" s="10"/>
      <c r="F949" s="10"/>
      <c r="G949" s="10"/>
      <c r="H949" s="10"/>
      <c r="I949" s="10"/>
      <c r="J949" s="10"/>
    </row>
    <row r="950" spans="2:10" ht="33" customHeight="1" x14ac:dyDescent="0.3">
      <c r="B950" s="10"/>
      <c r="C950" s="10"/>
      <c r="D950" s="10"/>
      <c r="F950" s="10"/>
      <c r="G950" s="10"/>
      <c r="H950" s="10"/>
      <c r="I950" s="10"/>
      <c r="J950" s="10"/>
    </row>
    <row r="951" spans="2:10" ht="33" customHeight="1" x14ac:dyDescent="0.3">
      <c r="B951" s="10"/>
      <c r="C951" s="10"/>
      <c r="D951" s="10"/>
      <c r="F951" s="10"/>
      <c r="G951" s="10"/>
      <c r="H951" s="10"/>
      <c r="I951" s="10"/>
      <c r="J951" s="10"/>
    </row>
    <row r="952" spans="2:10" ht="33" customHeight="1" x14ac:dyDescent="0.3">
      <c r="B952" s="10"/>
      <c r="C952" s="10"/>
      <c r="D952" s="10"/>
      <c r="F952" s="10"/>
      <c r="G952" s="10"/>
      <c r="H952" s="10"/>
      <c r="I952" s="10"/>
      <c r="J952" s="10"/>
    </row>
    <row r="953" spans="2:10" ht="33" customHeight="1" x14ac:dyDescent="0.3">
      <c r="B953" s="10"/>
      <c r="C953" s="10"/>
      <c r="D953" s="10"/>
      <c r="F953" s="10"/>
      <c r="G953" s="10"/>
      <c r="H953" s="10"/>
      <c r="I953" s="10"/>
      <c r="J953" s="10"/>
    </row>
    <row r="954" spans="2:10" ht="33" customHeight="1" x14ac:dyDescent="0.3">
      <c r="B954" s="10"/>
      <c r="C954" s="10"/>
      <c r="D954" s="10"/>
      <c r="F954" s="10"/>
      <c r="G954" s="10"/>
      <c r="H954" s="10"/>
      <c r="I954" s="10"/>
      <c r="J954" s="10"/>
    </row>
    <row r="955" spans="2:10" ht="33" customHeight="1" x14ac:dyDescent="0.3">
      <c r="B955" s="10"/>
      <c r="C955" s="10"/>
      <c r="D955" s="10"/>
      <c r="F955" s="10"/>
      <c r="G955" s="10"/>
      <c r="H955" s="10"/>
      <c r="I955" s="10"/>
      <c r="J955" s="10"/>
    </row>
    <row r="956" spans="2:10" ht="33" customHeight="1" x14ac:dyDescent="0.3">
      <c r="B956" s="10"/>
      <c r="C956" s="10"/>
      <c r="D956" s="10"/>
      <c r="F956" s="10"/>
      <c r="G956" s="10"/>
      <c r="H956" s="10"/>
      <c r="I956" s="10"/>
      <c r="J956" s="10"/>
    </row>
    <row r="957" spans="2:10" ht="33" customHeight="1" x14ac:dyDescent="0.3">
      <c r="B957" s="10"/>
      <c r="C957" s="10"/>
      <c r="D957" s="10"/>
      <c r="F957" s="10"/>
      <c r="G957" s="10"/>
      <c r="H957" s="10"/>
      <c r="I957" s="10"/>
      <c r="J957" s="10"/>
    </row>
    <row r="958" spans="2:10" ht="33" customHeight="1" x14ac:dyDescent="0.3">
      <c r="B958" s="10"/>
      <c r="C958" s="10"/>
      <c r="D958" s="10"/>
      <c r="F958" s="10"/>
      <c r="G958" s="10"/>
      <c r="H958" s="10"/>
      <c r="I958" s="10"/>
      <c r="J958" s="10"/>
    </row>
    <row r="959" spans="2:10" ht="33" customHeight="1" x14ac:dyDescent="0.3">
      <c r="B959" s="10"/>
      <c r="C959" s="10"/>
      <c r="D959" s="10"/>
      <c r="F959" s="10"/>
      <c r="G959" s="10"/>
      <c r="H959" s="10"/>
      <c r="I959" s="10"/>
      <c r="J959" s="10"/>
    </row>
    <row r="960" spans="2:10" ht="33" customHeight="1" x14ac:dyDescent="0.3">
      <c r="B960" s="10"/>
      <c r="C960" s="10"/>
      <c r="D960" s="10"/>
      <c r="F960" s="10"/>
      <c r="G960" s="10"/>
      <c r="H960" s="10"/>
      <c r="I960" s="10"/>
      <c r="J960" s="10"/>
    </row>
    <row r="961" spans="2:10" ht="33" customHeight="1" x14ac:dyDescent="0.3">
      <c r="B961" s="10"/>
      <c r="C961" s="10"/>
      <c r="D961" s="10"/>
      <c r="F961" s="10"/>
      <c r="G961" s="10"/>
      <c r="H961" s="10"/>
      <c r="I961" s="10"/>
      <c r="J961" s="10"/>
    </row>
    <row r="962" spans="2:10" ht="33" customHeight="1" x14ac:dyDescent="0.3">
      <c r="B962" s="10"/>
      <c r="C962" s="10"/>
      <c r="D962" s="10"/>
      <c r="F962" s="10"/>
      <c r="G962" s="10"/>
      <c r="H962" s="10"/>
      <c r="I962" s="10"/>
      <c r="J962" s="10"/>
    </row>
    <row r="963" spans="2:10" ht="33" customHeight="1" x14ac:dyDescent="0.3">
      <c r="B963" s="10"/>
      <c r="C963" s="10"/>
      <c r="D963" s="10"/>
      <c r="F963" s="10"/>
      <c r="G963" s="10"/>
      <c r="H963" s="10"/>
      <c r="I963" s="10"/>
      <c r="J963" s="10"/>
    </row>
    <row r="964" spans="2:10" ht="33" customHeight="1" x14ac:dyDescent="0.3">
      <c r="B964" s="10"/>
      <c r="C964" s="10"/>
      <c r="D964" s="10"/>
      <c r="F964" s="10"/>
      <c r="G964" s="10"/>
      <c r="H964" s="10"/>
      <c r="I964" s="10"/>
      <c r="J964" s="10"/>
    </row>
    <row r="965" spans="2:10" ht="33" customHeight="1" x14ac:dyDescent="0.3">
      <c r="B965" s="10"/>
      <c r="C965" s="10"/>
      <c r="D965" s="10"/>
      <c r="F965" s="10"/>
      <c r="G965" s="10"/>
      <c r="H965" s="10"/>
      <c r="I965" s="10"/>
      <c r="J965" s="10"/>
    </row>
    <row r="966" spans="2:10" ht="33" customHeight="1" x14ac:dyDescent="0.3">
      <c r="B966" s="10"/>
      <c r="C966" s="10"/>
      <c r="D966" s="10"/>
      <c r="F966" s="10"/>
      <c r="G966" s="10"/>
      <c r="H966" s="10"/>
      <c r="I966" s="10"/>
      <c r="J966" s="10"/>
    </row>
    <row r="967" spans="2:10" ht="33" customHeight="1" x14ac:dyDescent="0.3">
      <c r="B967" s="10"/>
      <c r="C967" s="10"/>
      <c r="D967" s="10"/>
      <c r="F967" s="10"/>
      <c r="G967" s="10"/>
      <c r="H967" s="10"/>
      <c r="I967" s="10"/>
      <c r="J967" s="10"/>
    </row>
    <row r="968" spans="2:10" ht="33" customHeight="1" x14ac:dyDescent="0.3">
      <c r="B968" s="10"/>
      <c r="C968" s="10"/>
      <c r="D968" s="10"/>
      <c r="F968" s="10"/>
      <c r="G968" s="10"/>
      <c r="H968" s="10"/>
      <c r="I968" s="10"/>
      <c r="J968" s="10"/>
    </row>
    <row r="969" spans="2:10" ht="33" customHeight="1" x14ac:dyDescent="0.3">
      <c r="B969" s="10"/>
      <c r="C969" s="10"/>
      <c r="D969" s="10"/>
      <c r="F969" s="10"/>
      <c r="G969" s="10"/>
      <c r="H969" s="10"/>
      <c r="I969" s="10"/>
      <c r="J969" s="10"/>
    </row>
    <row r="970" spans="2:10" ht="33" customHeight="1" x14ac:dyDescent="0.3">
      <c r="B970" s="10"/>
      <c r="C970" s="10"/>
      <c r="D970" s="10"/>
      <c r="F970" s="10"/>
      <c r="G970" s="10"/>
      <c r="H970" s="10"/>
      <c r="I970" s="10"/>
      <c r="J970" s="10"/>
    </row>
    <row r="971" spans="2:10" ht="33" customHeight="1" x14ac:dyDescent="0.3">
      <c r="B971" s="10"/>
      <c r="C971" s="10"/>
      <c r="D971" s="10"/>
      <c r="F971" s="10"/>
      <c r="G971" s="10"/>
      <c r="H971" s="10"/>
      <c r="I971" s="10"/>
      <c r="J971" s="10"/>
    </row>
    <row r="972" spans="2:10" ht="33" customHeight="1" x14ac:dyDescent="0.3">
      <c r="B972" s="10"/>
      <c r="C972" s="10"/>
      <c r="D972" s="10"/>
      <c r="F972" s="10"/>
      <c r="G972" s="10"/>
      <c r="H972" s="10"/>
      <c r="I972" s="10"/>
      <c r="J972" s="10"/>
    </row>
    <row r="973" spans="2:10" ht="33" customHeight="1" x14ac:dyDescent="0.3">
      <c r="B973" s="10"/>
      <c r="C973" s="10"/>
      <c r="D973" s="10"/>
      <c r="F973" s="10"/>
      <c r="G973" s="10"/>
      <c r="H973" s="10"/>
      <c r="I973" s="10"/>
      <c r="J973" s="10"/>
    </row>
    <row r="974" spans="2:10" ht="33" customHeight="1" x14ac:dyDescent="0.3">
      <c r="B974" s="10"/>
      <c r="C974" s="10"/>
      <c r="D974" s="10"/>
      <c r="F974" s="10"/>
      <c r="G974" s="10"/>
      <c r="H974" s="10"/>
      <c r="I974" s="10"/>
      <c r="J974" s="10"/>
    </row>
    <row r="975" spans="2:10" ht="33" customHeight="1" x14ac:dyDescent="0.3">
      <c r="B975" s="10"/>
      <c r="C975" s="10"/>
      <c r="D975" s="10"/>
      <c r="F975" s="10"/>
      <c r="G975" s="10"/>
      <c r="H975" s="10"/>
      <c r="I975" s="10"/>
      <c r="J975" s="10"/>
    </row>
    <row r="976" spans="2:10" ht="33" customHeight="1" x14ac:dyDescent="0.3">
      <c r="B976" s="10"/>
      <c r="C976" s="10"/>
      <c r="D976" s="10"/>
      <c r="F976" s="10"/>
      <c r="G976" s="10"/>
      <c r="H976" s="10"/>
      <c r="I976" s="10"/>
      <c r="J976" s="10"/>
    </row>
    <row r="977" spans="2:10" ht="33" customHeight="1" x14ac:dyDescent="0.3">
      <c r="B977" s="10"/>
      <c r="C977" s="10"/>
      <c r="D977" s="10"/>
      <c r="F977" s="10"/>
      <c r="G977" s="10"/>
      <c r="H977" s="10"/>
      <c r="I977" s="10"/>
      <c r="J977" s="10"/>
    </row>
    <row r="978" spans="2:10" ht="33" customHeight="1" x14ac:dyDescent="0.3">
      <c r="B978" s="10"/>
      <c r="C978" s="10"/>
      <c r="D978" s="10"/>
      <c r="F978" s="10"/>
      <c r="G978" s="10"/>
      <c r="H978" s="10"/>
      <c r="I978" s="10"/>
      <c r="J978" s="10"/>
    </row>
    <row r="979" spans="2:10" ht="33" customHeight="1" x14ac:dyDescent="0.3">
      <c r="B979" s="10"/>
      <c r="C979" s="10"/>
      <c r="D979" s="10"/>
      <c r="F979" s="10"/>
      <c r="G979" s="10"/>
      <c r="H979" s="10"/>
      <c r="I979" s="10"/>
      <c r="J979" s="10"/>
    </row>
    <row r="980" spans="2:10" ht="33" customHeight="1" x14ac:dyDescent="0.3">
      <c r="B980" s="10"/>
      <c r="C980" s="10"/>
      <c r="D980" s="10"/>
      <c r="F980" s="10"/>
      <c r="G980" s="10"/>
      <c r="H980" s="10"/>
      <c r="I980" s="10"/>
      <c r="J980" s="10"/>
    </row>
    <row r="981" spans="2:10" ht="33" customHeight="1" x14ac:dyDescent="0.3">
      <c r="B981" s="10"/>
      <c r="C981" s="10"/>
      <c r="D981" s="10"/>
      <c r="F981" s="10"/>
      <c r="G981" s="10"/>
      <c r="H981" s="10"/>
      <c r="I981" s="10"/>
      <c r="J981" s="10"/>
    </row>
    <row r="982" spans="2:10" ht="33" customHeight="1" x14ac:dyDescent="0.3">
      <c r="B982" s="10"/>
      <c r="C982" s="10"/>
      <c r="D982" s="10"/>
      <c r="F982" s="10"/>
      <c r="G982" s="10"/>
      <c r="H982" s="10"/>
      <c r="I982" s="10"/>
      <c r="J982" s="10"/>
    </row>
    <row r="983" spans="2:10" ht="33" customHeight="1" x14ac:dyDescent="0.3">
      <c r="B983" s="10"/>
      <c r="C983" s="10"/>
      <c r="D983" s="10"/>
      <c r="F983" s="10"/>
      <c r="G983" s="10"/>
      <c r="H983" s="10"/>
      <c r="I983" s="10"/>
      <c r="J983" s="10"/>
    </row>
    <row r="984" spans="2:10" ht="33" customHeight="1" x14ac:dyDescent="0.3">
      <c r="B984" s="10"/>
      <c r="C984" s="10"/>
      <c r="D984" s="10"/>
      <c r="F984" s="10"/>
      <c r="G984" s="10"/>
      <c r="H984" s="10"/>
      <c r="I984" s="10"/>
      <c r="J984" s="10"/>
    </row>
    <row r="985" spans="2:10" ht="33" customHeight="1" x14ac:dyDescent="0.3">
      <c r="B985" s="10"/>
      <c r="C985" s="10"/>
      <c r="D985" s="10"/>
      <c r="F985" s="10"/>
      <c r="G985" s="10"/>
      <c r="H985" s="10"/>
      <c r="I985" s="10"/>
      <c r="J985" s="10"/>
    </row>
    <row r="986" spans="2:10" ht="33" customHeight="1" x14ac:dyDescent="0.3">
      <c r="B986" s="10"/>
      <c r="C986" s="10"/>
      <c r="D986" s="10"/>
      <c r="F986" s="10"/>
      <c r="G986" s="10"/>
      <c r="H986" s="10"/>
      <c r="I986" s="10"/>
      <c r="J986" s="10"/>
    </row>
    <row r="987" spans="2:10" ht="33" customHeight="1" x14ac:dyDescent="0.3">
      <c r="B987" s="10"/>
      <c r="C987" s="10"/>
      <c r="D987" s="10"/>
      <c r="F987" s="10"/>
      <c r="G987" s="10"/>
      <c r="H987" s="10"/>
      <c r="I987" s="10"/>
      <c r="J987" s="10"/>
    </row>
    <row r="988" spans="2:10" ht="33" customHeight="1" x14ac:dyDescent="0.3">
      <c r="B988" s="10"/>
      <c r="C988" s="10"/>
      <c r="D988" s="10"/>
      <c r="F988" s="10"/>
      <c r="G988" s="10"/>
      <c r="H988" s="10"/>
      <c r="I988" s="10"/>
      <c r="J988" s="10"/>
    </row>
    <row r="989" spans="2:10" ht="33" customHeight="1" x14ac:dyDescent="0.3">
      <c r="B989" s="10"/>
      <c r="C989" s="10"/>
      <c r="D989" s="10"/>
      <c r="F989" s="10"/>
      <c r="G989" s="10"/>
      <c r="H989" s="10"/>
      <c r="I989" s="10"/>
      <c r="J989" s="10"/>
    </row>
    <row r="990" spans="2:10" ht="33" customHeight="1" x14ac:dyDescent="0.3">
      <c r="B990" s="10"/>
      <c r="C990" s="10"/>
      <c r="D990" s="10"/>
      <c r="F990" s="10"/>
      <c r="G990" s="10"/>
      <c r="H990" s="10"/>
      <c r="I990" s="10"/>
      <c r="J990" s="10"/>
    </row>
    <row r="991" spans="2:10" ht="33" customHeight="1" x14ac:dyDescent="0.3">
      <c r="B991" s="10"/>
      <c r="C991" s="10"/>
      <c r="D991" s="10"/>
      <c r="F991" s="10"/>
      <c r="G991" s="10"/>
      <c r="H991" s="10"/>
      <c r="I991" s="10"/>
      <c r="J991" s="10"/>
    </row>
    <row r="992" spans="2:10" ht="33" customHeight="1" x14ac:dyDescent="0.3">
      <c r="B992" s="10"/>
      <c r="C992" s="10"/>
      <c r="D992" s="10"/>
      <c r="F992" s="10"/>
      <c r="G992" s="10"/>
      <c r="H992" s="10"/>
      <c r="I992" s="10"/>
      <c r="J992" s="10"/>
    </row>
    <row r="993" spans="2:10" ht="33" customHeight="1" x14ac:dyDescent="0.3">
      <c r="B993" s="10"/>
      <c r="C993" s="10"/>
      <c r="D993" s="10"/>
      <c r="F993" s="10"/>
      <c r="G993" s="10"/>
      <c r="H993" s="10"/>
      <c r="I993" s="10"/>
      <c r="J993" s="10"/>
    </row>
    <row r="994" spans="2:10" ht="33" customHeight="1" x14ac:dyDescent="0.3">
      <c r="B994" s="10"/>
      <c r="C994" s="10"/>
      <c r="D994" s="10"/>
      <c r="F994" s="10"/>
      <c r="G994" s="10"/>
      <c r="H994" s="10"/>
      <c r="I994" s="10"/>
      <c r="J994" s="10"/>
    </row>
    <row r="995" spans="2:10" ht="33" customHeight="1" x14ac:dyDescent="0.3">
      <c r="B995" s="10"/>
      <c r="C995" s="10"/>
      <c r="D995" s="10"/>
      <c r="F995" s="10"/>
      <c r="G995" s="10"/>
      <c r="H995" s="10"/>
      <c r="I995" s="10"/>
      <c r="J995" s="10"/>
    </row>
    <row r="996" spans="2:10" ht="33" customHeight="1" x14ac:dyDescent="0.3">
      <c r="B996" s="10"/>
      <c r="C996" s="10"/>
      <c r="D996" s="10"/>
      <c r="F996" s="10"/>
      <c r="G996" s="10"/>
      <c r="H996" s="10"/>
      <c r="I996" s="10"/>
      <c r="J996" s="10"/>
    </row>
    <row r="997" spans="2:10" ht="33" customHeight="1" x14ac:dyDescent="0.3">
      <c r="B997" s="10"/>
      <c r="C997" s="10"/>
      <c r="D997" s="10"/>
      <c r="F997" s="10"/>
      <c r="G997" s="10"/>
      <c r="H997" s="10"/>
      <c r="I997" s="10"/>
      <c r="J997" s="10"/>
    </row>
    <row r="998" spans="2:10" ht="33" customHeight="1" x14ac:dyDescent="0.3">
      <c r="B998" s="10"/>
      <c r="C998" s="10"/>
      <c r="D998" s="10"/>
      <c r="F998" s="10"/>
      <c r="G998" s="10"/>
      <c r="H998" s="10"/>
      <c r="I998" s="10"/>
      <c r="J998" s="10"/>
    </row>
    <row r="999" spans="2:10" ht="33" customHeight="1" x14ac:dyDescent="0.3">
      <c r="B999" s="10"/>
      <c r="C999" s="10"/>
      <c r="D999" s="10"/>
      <c r="F999" s="10"/>
      <c r="G999" s="10"/>
      <c r="H999" s="10"/>
      <c r="I999" s="10"/>
      <c r="J999" s="10"/>
    </row>
    <row r="1000" spans="2:10" ht="33" customHeight="1" x14ac:dyDescent="0.3">
      <c r="B1000" s="10"/>
      <c r="C1000" s="10"/>
      <c r="D1000" s="10"/>
      <c r="F1000" s="10"/>
      <c r="G1000" s="10"/>
      <c r="H1000" s="10"/>
      <c r="I1000" s="10"/>
      <c r="J1000" s="10"/>
    </row>
    <row r="1001" spans="2:10" ht="33" customHeight="1" x14ac:dyDescent="0.3">
      <c r="B1001" s="10"/>
      <c r="C1001" s="10"/>
      <c r="D1001" s="10"/>
      <c r="F1001" s="10"/>
      <c r="G1001" s="10"/>
      <c r="H1001" s="10"/>
      <c r="I1001" s="10"/>
      <c r="J1001" s="10"/>
    </row>
    <row r="1002" spans="2:10" ht="33" customHeight="1" x14ac:dyDescent="0.3">
      <c r="B1002" s="10"/>
      <c r="C1002" s="10"/>
      <c r="D1002" s="10"/>
      <c r="F1002" s="10"/>
      <c r="G1002" s="10"/>
      <c r="H1002" s="10"/>
      <c r="I1002" s="10"/>
      <c r="J1002" s="10"/>
    </row>
    <row r="1003" spans="2:10" ht="33" customHeight="1" x14ac:dyDescent="0.3">
      <c r="B1003" s="10"/>
      <c r="C1003" s="10"/>
      <c r="D1003" s="10"/>
      <c r="F1003" s="10"/>
      <c r="G1003" s="10"/>
      <c r="H1003" s="10"/>
      <c r="I1003" s="10"/>
      <c r="J1003" s="10"/>
    </row>
    <row r="1004" spans="2:10" ht="33" customHeight="1" x14ac:dyDescent="0.3">
      <c r="B1004" s="10"/>
      <c r="C1004" s="10"/>
      <c r="D1004" s="10"/>
      <c r="F1004" s="10"/>
      <c r="G1004" s="10"/>
      <c r="H1004" s="10"/>
      <c r="I1004" s="10"/>
      <c r="J1004" s="10"/>
    </row>
    <row r="1005" spans="2:10" ht="33" customHeight="1" x14ac:dyDescent="0.3">
      <c r="B1005" s="10"/>
      <c r="C1005" s="10"/>
      <c r="D1005" s="10"/>
      <c r="F1005" s="10"/>
      <c r="G1005" s="10"/>
      <c r="H1005" s="10"/>
      <c r="I1005" s="10"/>
      <c r="J1005" s="10"/>
    </row>
    <row r="1006" spans="2:10" ht="33" customHeight="1" x14ac:dyDescent="0.3">
      <c r="B1006" s="10"/>
      <c r="C1006" s="10"/>
      <c r="D1006" s="10"/>
      <c r="F1006" s="10"/>
      <c r="G1006" s="10"/>
      <c r="H1006" s="10"/>
      <c r="I1006" s="10"/>
      <c r="J1006" s="10"/>
    </row>
    <row r="1007" spans="2:10" ht="33" customHeight="1" x14ac:dyDescent="0.3">
      <c r="B1007" s="10"/>
      <c r="C1007" s="10"/>
      <c r="D1007" s="10"/>
      <c r="F1007" s="10"/>
      <c r="G1007" s="10"/>
      <c r="H1007" s="10"/>
      <c r="I1007" s="10"/>
      <c r="J1007" s="10"/>
    </row>
    <row r="1008" spans="2:10" ht="33" customHeight="1" x14ac:dyDescent="0.3">
      <c r="B1008" s="10"/>
      <c r="C1008" s="10"/>
      <c r="D1008" s="10"/>
      <c r="F1008" s="10"/>
      <c r="G1008" s="10"/>
      <c r="H1008" s="10"/>
      <c r="I1008" s="10"/>
      <c r="J1008" s="10"/>
    </row>
    <row r="1009" spans="2:10" ht="33" customHeight="1" x14ac:dyDescent="0.3">
      <c r="B1009" s="10"/>
      <c r="C1009" s="10"/>
      <c r="D1009" s="10"/>
      <c r="F1009" s="10"/>
      <c r="G1009" s="10"/>
      <c r="H1009" s="10"/>
      <c r="I1009" s="10"/>
      <c r="J1009" s="10"/>
    </row>
    <row r="1010" spans="2:10" ht="33" customHeight="1" x14ac:dyDescent="0.3">
      <c r="B1010" s="10"/>
      <c r="C1010" s="10"/>
      <c r="D1010" s="10"/>
      <c r="F1010" s="10"/>
      <c r="G1010" s="10"/>
      <c r="H1010" s="10"/>
      <c r="I1010" s="10"/>
      <c r="J1010" s="10"/>
    </row>
    <row r="1011" spans="2:10" ht="33" customHeight="1" x14ac:dyDescent="0.3">
      <c r="B1011" s="10"/>
      <c r="C1011" s="10"/>
      <c r="D1011" s="10"/>
      <c r="F1011" s="10"/>
      <c r="G1011" s="10"/>
      <c r="H1011" s="10"/>
      <c r="I1011" s="10"/>
      <c r="J1011" s="10"/>
    </row>
    <row r="1012" spans="2:10" ht="33" customHeight="1" x14ac:dyDescent="0.3">
      <c r="B1012" s="10"/>
      <c r="C1012" s="10"/>
      <c r="D1012" s="10"/>
      <c r="F1012" s="10"/>
      <c r="G1012" s="10"/>
      <c r="H1012" s="10"/>
      <c r="I1012" s="10"/>
      <c r="J1012" s="10"/>
    </row>
    <row r="1013" spans="2:10" ht="33" customHeight="1" x14ac:dyDescent="0.3">
      <c r="B1013" s="10"/>
      <c r="C1013" s="10"/>
      <c r="D1013" s="10"/>
      <c r="F1013" s="10"/>
      <c r="G1013" s="10"/>
      <c r="H1013" s="10"/>
      <c r="I1013" s="10"/>
      <c r="J1013" s="10"/>
    </row>
    <row r="1014" spans="2:10" ht="33" customHeight="1" x14ac:dyDescent="0.3">
      <c r="B1014" s="10"/>
      <c r="C1014" s="10"/>
      <c r="D1014" s="10"/>
      <c r="F1014" s="10"/>
      <c r="G1014" s="10"/>
      <c r="H1014" s="10"/>
      <c r="I1014" s="10"/>
      <c r="J1014" s="10"/>
    </row>
    <row r="1015" spans="2:10" ht="33" customHeight="1" x14ac:dyDescent="0.3">
      <c r="B1015" s="10"/>
      <c r="C1015" s="10"/>
      <c r="D1015" s="10"/>
      <c r="F1015" s="10"/>
      <c r="G1015" s="10"/>
      <c r="H1015" s="10"/>
      <c r="I1015" s="10"/>
      <c r="J1015" s="10"/>
    </row>
    <row r="1016" spans="2:10" ht="33" customHeight="1" x14ac:dyDescent="0.3">
      <c r="B1016" s="10"/>
      <c r="C1016" s="10"/>
      <c r="D1016" s="10"/>
      <c r="F1016" s="10"/>
      <c r="G1016" s="10"/>
      <c r="H1016" s="10"/>
      <c r="I1016" s="10"/>
      <c r="J1016" s="10"/>
    </row>
    <row r="1017" spans="2:10" ht="33" customHeight="1" x14ac:dyDescent="0.3">
      <c r="B1017" s="10"/>
      <c r="C1017" s="10"/>
      <c r="D1017" s="10"/>
      <c r="F1017" s="10"/>
      <c r="G1017" s="10"/>
      <c r="H1017" s="10"/>
      <c r="I1017" s="10"/>
      <c r="J1017" s="10"/>
    </row>
    <row r="1018" spans="2:10" ht="33" customHeight="1" x14ac:dyDescent="0.3">
      <c r="B1018" s="10"/>
      <c r="C1018" s="10"/>
      <c r="D1018" s="10"/>
      <c r="F1018" s="10"/>
      <c r="G1018" s="10"/>
      <c r="H1018" s="10"/>
      <c r="I1018" s="10"/>
      <c r="J1018" s="10"/>
    </row>
    <row r="1019" spans="2:10" ht="33" customHeight="1" x14ac:dyDescent="0.3">
      <c r="B1019" s="10"/>
      <c r="C1019" s="10"/>
      <c r="D1019" s="10"/>
      <c r="F1019" s="10"/>
      <c r="G1019" s="10"/>
      <c r="H1019" s="10"/>
      <c r="I1019" s="10"/>
      <c r="J1019" s="10"/>
    </row>
    <row r="1020" spans="2:10" ht="33" customHeight="1" x14ac:dyDescent="0.3">
      <c r="B1020" s="10"/>
      <c r="C1020" s="10"/>
      <c r="D1020" s="10"/>
      <c r="F1020" s="10"/>
      <c r="G1020" s="10"/>
      <c r="H1020" s="10"/>
      <c r="I1020" s="10"/>
      <c r="J1020" s="10"/>
    </row>
    <row r="1021" spans="2:10" ht="33" customHeight="1" x14ac:dyDescent="0.3">
      <c r="B1021" s="10"/>
      <c r="C1021" s="10"/>
      <c r="D1021" s="10"/>
      <c r="F1021" s="10"/>
      <c r="G1021" s="10"/>
      <c r="H1021" s="10"/>
      <c r="I1021" s="10"/>
      <c r="J1021" s="10"/>
    </row>
    <row r="1022" spans="2:10" ht="33" customHeight="1" x14ac:dyDescent="0.3">
      <c r="B1022" s="10"/>
      <c r="C1022" s="10"/>
      <c r="D1022" s="10"/>
      <c r="F1022" s="10"/>
      <c r="G1022" s="10"/>
      <c r="H1022" s="10"/>
      <c r="I1022" s="10"/>
      <c r="J1022" s="10"/>
    </row>
    <row r="1023" spans="2:10" ht="33" customHeight="1" x14ac:dyDescent="0.3">
      <c r="B1023" s="10"/>
      <c r="C1023" s="10"/>
      <c r="D1023" s="10"/>
      <c r="F1023" s="10"/>
      <c r="G1023" s="10"/>
      <c r="H1023" s="10"/>
      <c r="I1023" s="10"/>
      <c r="J1023" s="10"/>
    </row>
    <row r="1024" spans="2:10" ht="33" customHeight="1" x14ac:dyDescent="0.3">
      <c r="B1024" s="10"/>
      <c r="C1024" s="10"/>
      <c r="D1024" s="10"/>
      <c r="F1024" s="10"/>
      <c r="G1024" s="10"/>
      <c r="H1024" s="10"/>
      <c r="I1024" s="10"/>
      <c r="J1024" s="10"/>
    </row>
    <row r="1025" spans="2:10" ht="33" customHeight="1" x14ac:dyDescent="0.3">
      <c r="B1025" s="10"/>
      <c r="C1025" s="10"/>
      <c r="D1025" s="10"/>
      <c r="F1025" s="10"/>
      <c r="G1025" s="10"/>
      <c r="H1025" s="10"/>
      <c r="I1025" s="10"/>
      <c r="J1025" s="10"/>
    </row>
    <row r="1026" spans="2:10" ht="33" customHeight="1" x14ac:dyDescent="0.3">
      <c r="B1026" s="10"/>
      <c r="C1026" s="10"/>
      <c r="D1026" s="10"/>
      <c r="F1026" s="10"/>
      <c r="G1026" s="10"/>
      <c r="H1026" s="10"/>
      <c r="I1026" s="10"/>
      <c r="J1026" s="10"/>
    </row>
    <row r="1027" spans="2:10" ht="33" customHeight="1" x14ac:dyDescent="0.3">
      <c r="B1027" s="10"/>
      <c r="C1027" s="10"/>
      <c r="D1027" s="10"/>
      <c r="F1027" s="10"/>
      <c r="G1027" s="10"/>
      <c r="H1027" s="10"/>
      <c r="I1027" s="10"/>
      <c r="J1027" s="10"/>
    </row>
    <row r="1028" spans="2:10" ht="33" customHeight="1" x14ac:dyDescent="0.3">
      <c r="B1028" s="10"/>
      <c r="C1028" s="10"/>
      <c r="D1028" s="10"/>
      <c r="F1028" s="10"/>
      <c r="G1028" s="10"/>
      <c r="H1028" s="10"/>
      <c r="I1028" s="10"/>
      <c r="J1028" s="10"/>
    </row>
    <row r="1029" spans="2:10" ht="33" customHeight="1" x14ac:dyDescent="0.3">
      <c r="B1029" s="10"/>
      <c r="C1029" s="10"/>
      <c r="D1029" s="10"/>
      <c r="F1029" s="10"/>
      <c r="G1029" s="10"/>
      <c r="H1029" s="10"/>
      <c r="I1029" s="10"/>
      <c r="J1029" s="10"/>
    </row>
    <row r="1030" spans="2:10" ht="33" customHeight="1" x14ac:dyDescent="0.3">
      <c r="B1030" s="10"/>
      <c r="C1030" s="10"/>
      <c r="D1030" s="10"/>
      <c r="F1030" s="10"/>
      <c r="G1030" s="10"/>
      <c r="H1030" s="10"/>
      <c r="I1030" s="10"/>
      <c r="J1030" s="10"/>
    </row>
    <row r="1031" spans="2:10" ht="33" customHeight="1" x14ac:dyDescent="0.3">
      <c r="B1031" s="10"/>
      <c r="C1031" s="10"/>
      <c r="D1031" s="10"/>
      <c r="F1031" s="10"/>
      <c r="G1031" s="10"/>
      <c r="H1031" s="10"/>
      <c r="I1031" s="10"/>
      <c r="J1031" s="10"/>
    </row>
    <row r="1032" spans="2:10" ht="33" customHeight="1" x14ac:dyDescent="0.3">
      <c r="B1032" s="10"/>
      <c r="C1032" s="10"/>
      <c r="D1032" s="10"/>
      <c r="F1032" s="10"/>
      <c r="G1032" s="10"/>
      <c r="H1032" s="10"/>
      <c r="I1032" s="10"/>
      <c r="J1032" s="10"/>
    </row>
    <row r="1033" spans="2:10" ht="33" customHeight="1" x14ac:dyDescent="0.3">
      <c r="B1033" s="10"/>
      <c r="C1033" s="10"/>
      <c r="D1033" s="10"/>
      <c r="F1033" s="10"/>
      <c r="G1033" s="10"/>
      <c r="H1033" s="10"/>
      <c r="I1033" s="10"/>
      <c r="J1033" s="10"/>
    </row>
    <row r="1034" spans="2:10" ht="33" customHeight="1" x14ac:dyDescent="0.3">
      <c r="B1034" s="10"/>
      <c r="C1034" s="10"/>
      <c r="D1034" s="10"/>
      <c r="F1034" s="10"/>
      <c r="G1034" s="10"/>
      <c r="H1034" s="10"/>
      <c r="I1034" s="10"/>
      <c r="J1034" s="10"/>
    </row>
    <row r="1035" spans="2:10" ht="33" customHeight="1" x14ac:dyDescent="0.3">
      <c r="B1035" s="10"/>
      <c r="C1035" s="10"/>
      <c r="D1035" s="10"/>
      <c r="F1035" s="10"/>
      <c r="G1035" s="10"/>
      <c r="H1035" s="10"/>
      <c r="I1035" s="10"/>
      <c r="J1035" s="10"/>
    </row>
    <row r="1036" spans="2:10" ht="33" customHeight="1" x14ac:dyDescent="0.3">
      <c r="B1036" s="10"/>
      <c r="C1036" s="10"/>
      <c r="D1036" s="10"/>
      <c r="F1036" s="10"/>
      <c r="G1036" s="10"/>
      <c r="H1036" s="10"/>
      <c r="I1036" s="10"/>
      <c r="J1036" s="10"/>
    </row>
    <row r="1037" spans="2:10" ht="33" customHeight="1" x14ac:dyDescent="0.3">
      <c r="B1037" s="10"/>
      <c r="C1037" s="10"/>
      <c r="D1037" s="10"/>
      <c r="F1037" s="10"/>
      <c r="G1037" s="10"/>
      <c r="H1037" s="10"/>
      <c r="I1037" s="10"/>
      <c r="J1037" s="10"/>
    </row>
    <row r="1038" spans="2:10" ht="33" customHeight="1" x14ac:dyDescent="0.3">
      <c r="B1038" s="10"/>
      <c r="C1038" s="10"/>
      <c r="D1038" s="10"/>
      <c r="F1038" s="10"/>
      <c r="G1038" s="10"/>
      <c r="H1038" s="10"/>
      <c r="I1038" s="10"/>
      <c r="J1038" s="10"/>
    </row>
    <row r="1039" spans="2:10" ht="33" customHeight="1" x14ac:dyDescent="0.3">
      <c r="B1039" s="10"/>
      <c r="C1039" s="10"/>
      <c r="D1039" s="10"/>
      <c r="F1039" s="10"/>
      <c r="G1039" s="10"/>
      <c r="H1039" s="10"/>
      <c r="I1039" s="10"/>
      <c r="J1039" s="10"/>
    </row>
    <row r="1040" spans="2:10" ht="33" customHeight="1" x14ac:dyDescent="0.3">
      <c r="B1040" s="10"/>
      <c r="C1040" s="10"/>
      <c r="D1040" s="10"/>
      <c r="F1040" s="10"/>
      <c r="G1040" s="10"/>
      <c r="H1040" s="10"/>
      <c r="I1040" s="10"/>
      <c r="J1040" s="10"/>
    </row>
    <row r="1041" spans="2:10" ht="33" customHeight="1" x14ac:dyDescent="0.3">
      <c r="B1041" s="10"/>
      <c r="C1041" s="10"/>
      <c r="D1041" s="10"/>
      <c r="F1041" s="10"/>
      <c r="G1041" s="10"/>
      <c r="H1041" s="10"/>
      <c r="I1041" s="10"/>
      <c r="J1041" s="10"/>
    </row>
    <row r="1042" spans="2:10" ht="33" customHeight="1" x14ac:dyDescent="0.3">
      <c r="B1042" s="10"/>
      <c r="C1042" s="10"/>
      <c r="D1042" s="10"/>
      <c r="F1042" s="10"/>
      <c r="G1042" s="10"/>
      <c r="H1042" s="10"/>
      <c r="I1042" s="10"/>
      <c r="J1042" s="10"/>
    </row>
    <row r="1043" spans="2:10" ht="33" customHeight="1" x14ac:dyDescent="0.3">
      <c r="B1043" s="10"/>
      <c r="C1043" s="10"/>
      <c r="D1043" s="10"/>
      <c r="F1043" s="10"/>
      <c r="G1043" s="10"/>
      <c r="H1043" s="10"/>
      <c r="I1043" s="10"/>
      <c r="J1043" s="10"/>
    </row>
    <row r="1044" spans="2:10" ht="33" customHeight="1" x14ac:dyDescent="0.3">
      <c r="B1044" s="10"/>
      <c r="C1044" s="10"/>
      <c r="D1044" s="10"/>
      <c r="F1044" s="10"/>
      <c r="G1044" s="10"/>
      <c r="H1044" s="10"/>
      <c r="I1044" s="10"/>
      <c r="J1044" s="10"/>
    </row>
    <row r="1045" spans="2:10" ht="33" customHeight="1" x14ac:dyDescent="0.3">
      <c r="B1045" s="10"/>
      <c r="C1045" s="10"/>
      <c r="D1045" s="10"/>
      <c r="F1045" s="10"/>
      <c r="G1045" s="10"/>
      <c r="H1045" s="10"/>
      <c r="I1045" s="10"/>
      <c r="J1045" s="10"/>
    </row>
    <row r="1046" spans="2:10" ht="33" customHeight="1" x14ac:dyDescent="0.3">
      <c r="B1046" s="10"/>
      <c r="C1046" s="10"/>
      <c r="D1046" s="10"/>
      <c r="F1046" s="10"/>
      <c r="G1046" s="10"/>
      <c r="H1046" s="10"/>
      <c r="I1046" s="10"/>
      <c r="J1046" s="10"/>
    </row>
    <row r="1047" spans="2:10" ht="33" customHeight="1" x14ac:dyDescent="0.3">
      <c r="B1047" s="10"/>
      <c r="C1047" s="10"/>
      <c r="D1047" s="10"/>
      <c r="F1047" s="10"/>
      <c r="G1047" s="10"/>
      <c r="H1047" s="10"/>
      <c r="I1047" s="10"/>
      <c r="J1047" s="10"/>
    </row>
    <row r="1048" spans="2:10" ht="33" customHeight="1" x14ac:dyDescent="0.3">
      <c r="B1048" s="10"/>
      <c r="C1048" s="10"/>
      <c r="D1048" s="10"/>
      <c r="F1048" s="10"/>
      <c r="G1048" s="10"/>
      <c r="H1048" s="10"/>
      <c r="I1048" s="10"/>
      <c r="J1048" s="10"/>
    </row>
    <row r="1049" spans="2:10" ht="33" customHeight="1" x14ac:dyDescent="0.3">
      <c r="B1049" s="10"/>
      <c r="C1049" s="10"/>
      <c r="D1049" s="10"/>
      <c r="F1049" s="10"/>
      <c r="G1049" s="10"/>
      <c r="H1049" s="10"/>
      <c r="I1049" s="10"/>
      <c r="J1049" s="10"/>
    </row>
    <row r="1050" spans="2:10" ht="33" customHeight="1" x14ac:dyDescent="0.3">
      <c r="B1050" s="10"/>
      <c r="C1050" s="10"/>
      <c r="D1050" s="10"/>
      <c r="F1050" s="10"/>
      <c r="G1050" s="10"/>
      <c r="H1050" s="10"/>
      <c r="I1050" s="10"/>
      <c r="J1050" s="10"/>
    </row>
    <row r="1051" spans="2:10" ht="33" customHeight="1" x14ac:dyDescent="0.3">
      <c r="B1051" s="10"/>
      <c r="C1051" s="10"/>
      <c r="D1051" s="10"/>
      <c r="F1051" s="10"/>
      <c r="G1051" s="10"/>
      <c r="H1051" s="10"/>
      <c r="I1051" s="10"/>
      <c r="J1051" s="10"/>
    </row>
    <row r="1052" spans="2:10" ht="33" customHeight="1" x14ac:dyDescent="0.3">
      <c r="B1052" s="10"/>
      <c r="C1052" s="10"/>
      <c r="D1052" s="10"/>
      <c r="F1052" s="10"/>
      <c r="G1052" s="10"/>
      <c r="H1052" s="10"/>
      <c r="I1052" s="10"/>
      <c r="J1052" s="10"/>
    </row>
    <row r="1053" spans="2:10" ht="33" customHeight="1" x14ac:dyDescent="0.3">
      <c r="B1053" s="10"/>
      <c r="C1053" s="10"/>
      <c r="D1053" s="10"/>
      <c r="F1053" s="10"/>
      <c r="G1053" s="10"/>
      <c r="H1053" s="10"/>
      <c r="I1053" s="10"/>
      <c r="J1053" s="10"/>
    </row>
    <row r="1054" spans="2:10" ht="33" customHeight="1" x14ac:dyDescent="0.3">
      <c r="B1054" s="10"/>
      <c r="C1054" s="10"/>
      <c r="D1054" s="10"/>
      <c r="F1054" s="10"/>
      <c r="G1054" s="10"/>
      <c r="H1054" s="10"/>
      <c r="I1054" s="10"/>
      <c r="J1054" s="10"/>
    </row>
    <row r="1055" spans="2:10" ht="33" customHeight="1" x14ac:dyDescent="0.3">
      <c r="B1055" s="10"/>
      <c r="C1055" s="10"/>
      <c r="D1055" s="10"/>
      <c r="F1055" s="10"/>
      <c r="G1055" s="10"/>
      <c r="H1055" s="10"/>
      <c r="I1055" s="10"/>
      <c r="J1055" s="10"/>
    </row>
    <row r="1056" spans="2:10" ht="33" customHeight="1" x14ac:dyDescent="0.3">
      <c r="B1056" s="10"/>
      <c r="C1056" s="10"/>
      <c r="D1056" s="10"/>
      <c r="F1056" s="10"/>
      <c r="G1056" s="10"/>
      <c r="H1056" s="10"/>
      <c r="I1056" s="10"/>
      <c r="J1056" s="10"/>
    </row>
    <row r="1057" spans="2:10" ht="33" customHeight="1" x14ac:dyDescent="0.3">
      <c r="B1057" s="10"/>
      <c r="C1057" s="10"/>
      <c r="D1057" s="10"/>
      <c r="F1057" s="10"/>
      <c r="G1057" s="10"/>
      <c r="H1057" s="10"/>
      <c r="I1057" s="10"/>
      <c r="J1057" s="10"/>
    </row>
    <row r="1058" spans="2:10" ht="33" customHeight="1" x14ac:dyDescent="0.3">
      <c r="B1058" s="10"/>
      <c r="C1058" s="10"/>
      <c r="D1058" s="10"/>
      <c r="F1058" s="10"/>
      <c r="G1058" s="10"/>
      <c r="H1058" s="10"/>
      <c r="I1058" s="10"/>
      <c r="J1058" s="10"/>
    </row>
    <row r="1059" spans="2:10" ht="33" customHeight="1" x14ac:dyDescent="0.3">
      <c r="B1059" s="10"/>
      <c r="C1059" s="10"/>
      <c r="D1059" s="10"/>
      <c r="F1059" s="10"/>
      <c r="G1059" s="10"/>
      <c r="H1059" s="10"/>
      <c r="I1059" s="10"/>
      <c r="J1059" s="10"/>
    </row>
    <row r="1060" spans="2:10" ht="33" customHeight="1" x14ac:dyDescent="0.3">
      <c r="B1060" s="10"/>
      <c r="C1060" s="10"/>
      <c r="D1060" s="10"/>
      <c r="F1060" s="10"/>
      <c r="G1060" s="10"/>
      <c r="H1060" s="10"/>
      <c r="I1060" s="10"/>
      <c r="J1060" s="10"/>
    </row>
    <row r="1061" spans="2:10" ht="33" customHeight="1" x14ac:dyDescent="0.3">
      <c r="B1061" s="10"/>
      <c r="C1061" s="10"/>
      <c r="D1061" s="10"/>
      <c r="F1061" s="10"/>
      <c r="G1061" s="10"/>
      <c r="H1061" s="10"/>
      <c r="I1061" s="10"/>
      <c r="J1061" s="10"/>
    </row>
    <row r="1062" spans="2:10" ht="33" customHeight="1" x14ac:dyDescent="0.3">
      <c r="B1062" s="10"/>
      <c r="C1062" s="10"/>
      <c r="D1062" s="10"/>
      <c r="F1062" s="10"/>
      <c r="G1062" s="10"/>
      <c r="H1062" s="10"/>
      <c r="I1062" s="10"/>
      <c r="J1062" s="10"/>
    </row>
    <row r="1063" spans="2:10" ht="33" customHeight="1" x14ac:dyDescent="0.3">
      <c r="B1063" s="10"/>
      <c r="C1063" s="10"/>
      <c r="D1063" s="10"/>
      <c r="F1063" s="10"/>
      <c r="G1063" s="10"/>
      <c r="H1063" s="10"/>
      <c r="I1063" s="10"/>
      <c r="J1063" s="10"/>
    </row>
    <row r="1064" spans="2:10" ht="33" customHeight="1" x14ac:dyDescent="0.3">
      <c r="B1064" s="10"/>
      <c r="C1064" s="10"/>
      <c r="D1064" s="10"/>
      <c r="F1064" s="10"/>
      <c r="G1064" s="10"/>
      <c r="H1064" s="10"/>
      <c r="I1064" s="10"/>
      <c r="J1064" s="10"/>
    </row>
    <row r="1065" spans="2:10" ht="33" customHeight="1" x14ac:dyDescent="0.3">
      <c r="B1065" s="10"/>
      <c r="C1065" s="10"/>
      <c r="D1065" s="10"/>
      <c r="F1065" s="10"/>
      <c r="G1065" s="10"/>
      <c r="H1065" s="10"/>
      <c r="I1065" s="10"/>
      <c r="J1065" s="10"/>
    </row>
    <row r="1066" spans="2:10" ht="33" customHeight="1" x14ac:dyDescent="0.3">
      <c r="B1066" s="10"/>
      <c r="C1066" s="10"/>
      <c r="D1066" s="10"/>
      <c r="F1066" s="10"/>
      <c r="G1066" s="10"/>
      <c r="H1066" s="10"/>
      <c r="I1066" s="10"/>
      <c r="J1066" s="10"/>
    </row>
    <row r="1067" spans="2:10" ht="33" customHeight="1" x14ac:dyDescent="0.3">
      <c r="B1067" s="10"/>
      <c r="C1067" s="10"/>
      <c r="D1067" s="10"/>
      <c r="F1067" s="10"/>
      <c r="G1067" s="10"/>
      <c r="H1067" s="10"/>
      <c r="I1067" s="10"/>
      <c r="J1067" s="10"/>
    </row>
    <row r="1068" spans="2:10" ht="33" customHeight="1" x14ac:dyDescent="0.3">
      <c r="B1068" s="10"/>
      <c r="C1068" s="10"/>
      <c r="D1068" s="10"/>
      <c r="F1068" s="10"/>
      <c r="G1068" s="10"/>
      <c r="H1068" s="10"/>
      <c r="I1068" s="10"/>
      <c r="J1068" s="10"/>
    </row>
    <row r="1069" spans="2:10" ht="33" customHeight="1" x14ac:dyDescent="0.3">
      <c r="B1069" s="10"/>
      <c r="C1069" s="10"/>
      <c r="D1069" s="10"/>
      <c r="F1069" s="10"/>
      <c r="G1069" s="10"/>
      <c r="H1069" s="10"/>
      <c r="I1069" s="10"/>
      <c r="J1069" s="10"/>
    </row>
    <row r="1070" spans="2:10" ht="33" customHeight="1" x14ac:dyDescent="0.3">
      <c r="B1070" s="10"/>
      <c r="C1070" s="10"/>
      <c r="D1070" s="10"/>
      <c r="F1070" s="10"/>
      <c r="G1070" s="10"/>
      <c r="H1070" s="10"/>
      <c r="I1070" s="10"/>
      <c r="J1070" s="10"/>
    </row>
    <row r="1071" spans="2:10" ht="33" customHeight="1" x14ac:dyDescent="0.3">
      <c r="B1071" s="10"/>
      <c r="C1071" s="10"/>
      <c r="D1071" s="10"/>
      <c r="F1071" s="10"/>
      <c r="G1071" s="10"/>
      <c r="H1071" s="10"/>
      <c r="I1071" s="10"/>
      <c r="J1071" s="10"/>
    </row>
    <row r="1072" spans="2:10" ht="33" customHeight="1" x14ac:dyDescent="0.3">
      <c r="B1072" s="10"/>
      <c r="C1072" s="10"/>
      <c r="D1072" s="10"/>
      <c r="F1072" s="10"/>
      <c r="G1072" s="10"/>
      <c r="H1072" s="10"/>
      <c r="I1072" s="10"/>
      <c r="J1072" s="10"/>
    </row>
    <row r="1073" spans="2:10" ht="33" customHeight="1" x14ac:dyDescent="0.3">
      <c r="B1073" s="10"/>
      <c r="C1073" s="10"/>
      <c r="D1073" s="10"/>
      <c r="F1073" s="10"/>
      <c r="G1073" s="10"/>
      <c r="H1073" s="10"/>
      <c r="I1073" s="10"/>
      <c r="J1073" s="10"/>
    </row>
    <row r="1074" spans="2:10" ht="33" customHeight="1" x14ac:dyDescent="0.3">
      <c r="B1074" s="10"/>
      <c r="C1074" s="10"/>
      <c r="D1074" s="10"/>
      <c r="F1074" s="10"/>
      <c r="G1074" s="10"/>
      <c r="H1074" s="10"/>
      <c r="I1074" s="10"/>
      <c r="J1074" s="10"/>
    </row>
    <row r="1075" spans="2:10" ht="33" customHeight="1" x14ac:dyDescent="0.3">
      <c r="B1075" s="10"/>
      <c r="C1075" s="10"/>
      <c r="D1075" s="10"/>
      <c r="F1075" s="10"/>
      <c r="G1075" s="10"/>
      <c r="H1075" s="10"/>
      <c r="I1075" s="10"/>
      <c r="J1075" s="10"/>
    </row>
    <row r="1076" spans="2:10" ht="33" customHeight="1" x14ac:dyDescent="0.3">
      <c r="B1076" s="10"/>
      <c r="C1076" s="10"/>
      <c r="D1076" s="10"/>
      <c r="F1076" s="10"/>
      <c r="G1076" s="10"/>
      <c r="H1076" s="10"/>
      <c r="I1076" s="10"/>
      <c r="J1076" s="10"/>
    </row>
    <row r="1077" spans="2:10" ht="33" customHeight="1" x14ac:dyDescent="0.3">
      <c r="B1077" s="10"/>
      <c r="C1077" s="10"/>
      <c r="D1077" s="10"/>
      <c r="F1077" s="10"/>
      <c r="G1077" s="10"/>
      <c r="H1077" s="10"/>
      <c r="I1077" s="10"/>
      <c r="J1077" s="10"/>
    </row>
    <row r="1078" spans="2:10" ht="33" customHeight="1" x14ac:dyDescent="0.3">
      <c r="B1078" s="10"/>
      <c r="C1078" s="10"/>
      <c r="D1078" s="10"/>
      <c r="F1078" s="10"/>
      <c r="G1078" s="10"/>
      <c r="H1078" s="10"/>
      <c r="I1078" s="10"/>
      <c r="J1078" s="10"/>
    </row>
    <row r="1079" spans="2:10" ht="33" customHeight="1" x14ac:dyDescent="0.3">
      <c r="B1079" s="10"/>
      <c r="C1079" s="10"/>
      <c r="D1079" s="10"/>
      <c r="F1079" s="10"/>
      <c r="G1079" s="10"/>
      <c r="H1079" s="10"/>
      <c r="I1079" s="10"/>
      <c r="J1079" s="10"/>
    </row>
    <row r="1080" spans="2:10" ht="33" customHeight="1" x14ac:dyDescent="0.3">
      <c r="B1080" s="10"/>
      <c r="C1080" s="10"/>
      <c r="D1080" s="10"/>
      <c r="F1080" s="10"/>
      <c r="G1080" s="10"/>
      <c r="H1080" s="10"/>
      <c r="I1080" s="10"/>
      <c r="J1080" s="10"/>
    </row>
    <row r="1081" spans="2:10" ht="33" customHeight="1" x14ac:dyDescent="0.3">
      <c r="B1081" s="10"/>
      <c r="C1081" s="10"/>
      <c r="D1081" s="10"/>
      <c r="F1081" s="10"/>
      <c r="G1081" s="10"/>
      <c r="H1081" s="10"/>
      <c r="I1081" s="10"/>
      <c r="J1081" s="10"/>
    </row>
    <row r="1082" spans="2:10" ht="33" customHeight="1" x14ac:dyDescent="0.3">
      <c r="B1082" s="10"/>
      <c r="C1082" s="10"/>
      <c r="D1082" s="10"/>
      <c r="F1082" s="10"/>
      <c r="G1082" s="10"/>
      <c r="H1082" s="10"/>
      <c r="I1082" s="10"/>
      <c r="J1082" s="10"/>
    </row>
    <row r="1083" spans="2:10" ht="33" customHeight="1" x14ac:dyDescent="0.3">
      <c r="B1083" s="10"/>
      <c r="C1083" s="10"/>
      <c r="D1083" s="10"/>
      <c r="F1083" s="10"/>
      <c r="G1083" s="10"/>
      <c r="H1083" s="10"/>
      <c r="I1083" s="10"/>
      <c r="J1083" s="10"/>
    </row>
    <row r="1084" spans="2:10" ht="33" customHeight="1" x14ac:dyDescent="0.3">
      <c r="B1084" s="10"/>
      <c r="C1084" s="10"/>
      <c r="D1084" s="10"/>
      <c r="F1084" s="10"/>
      <c r="G1084" s="10"/>
      <c r="H1084" s="10"/>
      <c r="I1084" s="10"/>
      <c r="J1084" s="10"/>
    </row>
    <row r="1085" spans="2:10" ht="33" customHeight="1" x14ac:dyDescent="0.3">
      <c r="B1085" s="10"/>
      <c r="C1085" s="10"/>
      <c r="D1085" s="10"/>
      <c r="F1085" s="10"/>
      <c r="G1085" s="10"/>
      <c r="H1085" s="10"/>
      <c r="I1085" s="10"/>
      <c r="J1085" s="10"/>
    </row>
    <row r="1086" spans="2:10" ht="33" customHeight="1" x14ac:dyDescent="0.3">
      <c r="B1086" s="10"/>
      <c r="C1086" s="10"/>
      <c r="D1086" s="10"/>
      <c r="F1086" s="10"/>
      <c r="G1086" s="10"/>
      <c r="H1086" s="10"/>
      <c r="I1086" s="10"/>
      <c r="J1086" s="10"/>
    </row>
    <row r="1087" spans="2:10" ht="33" customHeight="1" x14ac:dyDescent="0.3">
      <c r="B1087" s="10"/>
      <c r="C1087" s="10"/>
      <c r="D1087" s="10"/>
      <c r="F1087" s="10"/>
      <c r="G1087" s="10"/>
      <c r="H1087" s="10"/>
      <c r="I1087" s="10"/>
      <c r="J1087" s="10"/>
    </row>
    <row r="1088" spans="2:10" ht="33" customHeight="1" x14ac:dyDescent="0.3">
      <c r="B1088" s="10"/>
      <c r="C1088" s="10"/>
      <c r="D1088" s="10"/>
      <c r="F1088" s="10"/>
      <c r="G1088" s="10"/>
      <c r="H1088" s="10"/>
      <c r="I1088" s="10"/>
      <c r="J1088" s="10"/>
    </row>
    <row r="1089" spans="2:10" ht="33" customHeight="1" x14ac:dyDescent="0.3">
      <c r="B1089" s="10"/>
      <c r="C1089" s="10"/>
      <c r="D1089" s="10"/>
      <c r="F1089" s="10"/>
      <c r="G1089" s="10"/>
      <c r="H1089" s="10"/>
      <c r="I1089" s="10"/>
      <c r="J1089" s="10"/>
    </row>
    <row r="1090" spans="2:10" ht="33" customHeight="1" x14ac:dyDescent="0.3">
      <c r="B1090" s="10"/>
      <c r="C1090" s="10"/>
      <c r="D1090" s="10"/>
      <c r="F1090" s="10"/>
      <c r="G1090" s="10"/>
      <c r="H1090" s="10"/>
      <c r="I1090" s="10"/>
      <c r="J1090" s="10"/>
    </row>
    <row r="1091" spans="2:10" ht="33" customHeight="1" x14ac:dyDescent="0.3">
      <c r="B1091" s="10"/>
      <c r="C1091" s="10"/>
      <c r="D1091" s="10"/>
      <c r="F1091" s="10"/>
      <c r="G1091" s="10"/>
      <c r="H1091" s="10"/>
      <c r="I1091" s="10"/>
      <c r="J1091" s="10"/>
    </row>
    <row r="1092" spans="2:10" ht="33" customHeight="1" x14ac:dyDescent="0.3">
      <c r="B1092" s="10"/>
      <c r="C1092" s="10"/>
      <c r="D1092" s="10"/>
      <c r="F1092" s="10"/>
      <c r="G1092" s="10"/>
      <c r="H1092" s="10"/>
      <c r="I1092" s="10"/>
      <c r="J1092" s="10"/>
    </row>
    <row r="1093" spans="2:10" ht="33" customHeight="1" x14ac:dyDescent="0.3">
      <c r="B1093" s="10"/>
      <c r="C1093" s="10"/>
      <c r="D1093" s="10"/>
      <c r="F1093" s="10"/>
      <c r="G1093" s="10"/>
      <c r="H1093" s="10"/>
      <c r="I1093" s="10"/>
      <c r="J1093" s="10"/>
    </row>
    <row r="1094" spans="2:10" ht="33" customHeight="1" x14ac:dyDescent="0.3">
      <c r="B1094" s="10"/>
      <c r="C1094" s="10"/>
      <c r="D1094" s="10"/>
      <c r="F1094" s="10"/>
      <c r="G1094" s="10"/>
      <c r="H1094" s="10"/>
      <c r="I1094" s="10"/>
      <c r="J1094" s="10"/>
    </row>
    <row r="1095" spans="2:10" ht="33" customHeight="1" x14ac:dyDescent="0.3">
      <c r="B1095" s="10"/>
      <c r="C1095" s="10"/>
      <c r="D1095" s="10"/>
      <c r="F1095" s="10"/>
      <c r="G1095" s="10"/>
      <c r="H1095" s="10"/>
      <c r="I1095" s="10"/>
      <c r="J1095" s="10"/>
    </row>
    <row r="1096" spans="2:10" ht="33" customHeight="1" x14ac:dyDescent="0.3">
      <c r="B1096" s="10"/>
      <c r="C1096" s="10"/>
      <c r="D1096" s="10"/>
      <c r="F1096" s="10"/>
      <c r="G1096" s="10"/>
      <c r="H1096" s="10"/>
      <c r="I1096" s="10"/>
      <c r="J1096" s="10"/>
    </row>
    <row r="1097" spans="2:10" ht="33" customHeight="1" x14ac:dyDescent="0.3">
      <c r="B1097" s="10"/>
      <c r="C1097" s="10"/>
      <c r="D1097" s="10"/>
      <c r="F1097" s="10"/>
      <c r="G1097" s="10"/>
      <c r="H1097" s="10"/>
      <c r="I1097" s="10"/>
      <c r="J1097" s="10"/>
    </row>
    <row r="1098" spans="2:10" ht="33" customHeight="1" x14ac:dyDescent="0.3">
      <c r="B1098" s="10"/>
      <c r="C1098" s="10"/>
      <c r="D1098" s="10"/>
      <c r="F1098" s="10"/>
      <c r="G1098" s="10"/>
      <c r="H1098" s="10"/>
      <c r="I1098" s="10"/>
      <c r="J1098" s="10"/>
    </row>
    <row r="1099" spans="2:10" ht="33" customHeight="1" x14ac:dyDescent="0.3">
      <c r="B1099" s="10"/>
      <c r="C1099" s="10"/>
      <c r="D1099" s="10"/>
      <c r="F1099" s="10"/>
      <c r="G1099" s="10"/>
      <c r="H1099" s="10"/>
      <c r="I1099" s="10"/>
      <c r="J1099" s="10"/>
    </row>
    <row r="1100" spans="2:10" ht="33" customHeight="1" x14ac:dyDescent="0.3">
      <c r="B1100" s="10"/>
      <c r="C1100" s="10"/>
      <c r="D1100" s="10"/>
      <c r="F1100" s="10"/>
      <c r="G1100" s="10"/>
      <c r="H1100" s="10"/>
      <c r="I1100" s="10"/>
      <c r="J1100" s="10"/>
    </row>
    <row r="1101" spans="2:10" ht="33" customHeight="1" x14ac:dyDescent="0.3">
      <c r="B1101" s="10"/>
      <c r="C1101" s="10"/>
      <c r="D1101" s="10"/>
      <c r="F1101" s="10"/>
      <c r="G1101" s="10"/>
      <c r="H1101" s="10"/>
      <c r="I1101" s="10"/>
      <c r="J1101" s="10"/>
    </row>
    <row r="1102" spans="2:10" ht="33" customHeight="1" x14ac:dyDescent="0.3">
      <c r="B1102" s="10"/>
      <c r="C1102" s="10"/>
      <c r="D1102" s="10"/>
      <c r="F1102" s="10"/>
      <c r="G1102" s="10"/>
      <c r="H1102" s="10"/>
      <c r="I1102" s="10"/>
      <c r="J1102" s="10"/>
    </row>
    <row r="1103" spans="2:10" ht="33" customHeight="1" x14ac:dyDescent="0.3">
      <c r="B1103" s="10"/>
      <c r="C1103" s="10"/>
      <c r="D1103" s="10"/>
      <c r="F1103" s="10"/>
      <c r="G1103" s="10"/>
      <c r="H1103" s="10"/>
      <c r="I1103" s="10"/>
      <c r="J1103" s="10"/>
    </row>
    <row r="1104" spans="2:10" ht="33" customHeight="1" x14ac:dyDescent="0.3">
      <c r="B1104" s="10"/>
      <c r="C1104" s="10"/>
      <c r="D1104" s="10"/>
      <c r="F1104" s="10"/>
      <c r="G1104" s="10"/>
      <c r="H1104" s="10"/>
      <c r="I1104" s="10"/>
      <c r="J1104" s="10"/>
    </row>
    <row r="1105" spans="2:10" ht="33" customHeight="1" x14ac:dyDescent="0.3">
      <c r="B1105" s="10"/>
      <c r="C1105" s="10"/>
      <c r="D1105" s="10"/>
      <c r="F1105" s="10"/>
      <c r="G1105" s="10"/>
      <c r="H1105" s="10"/>
      <c r="I1105" s="10"/>
      <c r="J1105" s="10"/>
    </row>
    <row r="1106" spans="2:10" ht="33" customHeight="1" x14ac:dyDescent="0.3">
      <c r="B1106" s="10"/>
      <c r="C1106" s="10"/>
      <c r="D1106" s="10"/>
      <c r="F1106" s="10"/>
      <c r="G1106" s="10"/>
      <c r="H1106" s="10"/>
      <c r="I1106" s="10"/>
      <c r="J1106" s="10"/>
    </row>
    <row r="1107" spans="2:10" ht="33" customHeight="1" x14ac:dyDescent="0.3">
      <c r="B1107" s="10"/>
      <c r="C1107" s="10"/>
      <c r="D1107" s="10"/>
      <c r="F1107" s="10"/>
      <c r="G1107" s="10"/>
      <c r="H1107" s="10"/>
      <c r="I1107" s="10"/>
      <c r="J1107" s="10"/>
    </row>
    <row r="1108" spans="2:10" ht="33" customHeight="1" x14ac:dyDescent="0.3">
      <c r="B1108" s="10"/>
      <c r="C1108" s="10"/>
      <c r="D1108" s="10"/>
      <c r="F1108" s="10"/>
      <c r="G1108" s="10"/>
      <c r="H1108" s="10"/>
      <c r="I1108" s="10"/>
      <c r="J1108" s="10"/>
    </row>
    <row r="1109" spans="2:10" ht="33" customHeight="1" x14ac:dyDescent="0.3">
      <c r="B1109" s="10"/>
      <c r="C1109" s="10"/>
      <c r="D1109" s="10"/>
      <c r="F1109" s="10"/>
      <c r="G1109" s="10"/>
      <c r="H1109" s="10"/>
      <c r="I1109" s="10"/>
      <c r="J1109" s="10"/>
    </row>
    <row r="1110" spans="2:10" ht="33" customHeight="1" x14ac:dyDescent="0.3">
      <c r="B1110" s="10"/>
      <c r="C1110" s="10"/>
      <c r="D1110" s="10"/>
      <c r="F1110" s="10"/>
      <c r="G1110" s="10"/>
      <c r="H1110" s="10"/>
      <c r="I1110" s="10"/>
      <c r="J1110" s="10"/>
    </row>
    <row r="1111" spans="2:10" ht="33" customHeight="1" x14ac:dyDescent="0.3">
      <c r="B1111" s="10"/>
      <c r="C1111" s="10"/>
      <c r="D1111" s="10"/>
      <c r="F1111" s="10"/>
      <c r="G1111" s="10"/>
      <c r="H1111" s="10"/>
      <c r="I1111" s="10"/>
      <c r="J1111" s="10"/>
    </row>
    <row r="1112" spans="2:10" ht="33" customHeight="1" x14ac:dyDescent="0.3">
      <c r="B1112" s="10"/>
      <c r="C1112" s="10"/>
      <c r="D1112" s="10"/>
      <c r="F1112" s="10"/>
      <c r="G1112" s="10"/>
      <c r="H1112" s="10"/>
      <c r="I1112" s="10"/>
      <c r="J1112" s="10"/>
    </row>
    <row r="1113" spans="2:10" ht="33" customHeight="1" x14ac:dyDescent="0.3">
      <c r="B1113" s="10"/>
      <c r="C1113" s="10"/>
      <c r="D1113" s="10"/>
      <c r="F1113" s="10"/>
      <c r="G1113" s="10"/>
      <c r="H1113" s="10"/>
      <c r="I1113" s="10"/>
      <c r="J1113" s="10"/>
    </row>
    <row r="1114" spans="2:10" ht="33" customHeight="1" x14ac:dyDescent="0.3">
      <c r="B1114" s="10"/>
      <c r="C1114" s="10"/>
      <c r="D1114" s="10"/>
      <c r="F1114" s="10"/>
      <c r="G1114" s="10"/>
      <c r="H1114" s="10"/>
      <c r="I1114" s="10"/>
      <c r="J1114" s="10"/>
    </row>
    <row r="1115" spans="2:10" ht="33" customHeight="1" x14ac:dyDescent="0.3">
      <c r="B1115" s="10"/>
      <c r="C1115" s="10"/>
      <c r="D1115" s="10"/>
      <c r="F1115" s="10"/>
      <c r="G1115" s="10"/>
      <c r="H1115" s="10"/>
      <c r="I1115" s="10"/>
      <c r="J1115" s="10"/>
    </row>
    <row r="1116" spans="2:10" ht="33" customHeight="1" x14ac:dyDescent="0.3">
      <c r="B1116" s="10"/>
      <c r="C1116" s="10"/>
      <c r="D1116" s="10"/>
      <c r="F1116" s="10"/>
      <c r="G1116" s="10"/>
      <c r="H1116" s="10"/>
      <c r="I1116" s="10"/>
      <c r="J1116" s="10"/>
    </row>
    <row r="1117" spans="2:10" ht="33" customHeight="1" x14ac:dyDescent="0.3">
      <c r="B1117" s="10"/>
      <c r="C1117" s="10"/>
      <c r="D1117" s="10"/>
      <c r="F1117" s="10"/>
      <c r="G1117" s="10"/>
      <c r="H1117" s="10"/>
      <c r="I1117" s="10"/>
      <c r="J1117" s="10"/>
    </row>
    <row r="1118" spans="2:10" ht="33" customHeight="1" x14ac:dyDescent="0.3">
      <c r="B1118" s="10"/>
      <c r="C1118" s="10"/>
      <c r="D1118" s="10"/>
      <c r="F1118" s="10"/>
      <c r="G1118" s="10"/>
      <c r="H1118" s="10"/>
      <c r="I1118" s="10"/>
      <c r="J1118" s="10"/>
    </row>
    <row r="1119" spans="2:10" ht="33" customHeight="1" x14ac:dyDescent="0.3">
      <c r="B1119" s="10"/>
      <c r="C1119" s="10"/>
      <c r="D1119" s="10"/>
      <c r="F1119" s="10"/>
      <c r="G1119" s="10"/>
      <c r="H1119" s="10"/>
      <c r="I1119" s="10"/>
      <c r="J1119" s="10"/>
    </row>
    <row r="1120" spans="2:10" ht="33" customHeight="1" x14ac:dyDescent="0.3">
      <c r="B1120" s="10"/>
      <c r="C1120" s="10"/>
      <c r="D1120" s="10"/>
      <c r="F1120" s="10"/>
      <c r="G1120" s="10"/>
      <c r="H1120" s="10"/>
      <c r="I1120" s="10"/>
      <c r="J1120" s="10"/>
    </row>
    <row r="1121" spans="2:10" ht="33" customHeight="1" x14ac:dyDescent="0.3">
      <c r="B1121" s="10"/>
      <c r="C1121" s="10"/>
      <c r="D1121" s="10"/>
      <c r="F1121" s="10"/>
      <c r="G1121" s="10"/>
      <c r="H1121" s="10"/>
      <c r="I1121" s="10"/>
      <c r="J1121" s="10"/>
    </row>
    <row r="1122" spans="2:10" ht="33" customHeight="1" x14ac:dyDescent="0.3">
      <c r="B1122" s="10"/>
      <c r="C1122" s="10"/>
      <c r="D1122" s="10"/>
      <c r="F1122" s="10"/>
      <c r="G1122" s="10"/>
      <c r="H1122" s="10"/>
      <c r="I1122" s="10"/>
      <c r="J1122" s="10"/>
    </row>
    <row r="1123" spans="2:10" ht="33" customHeight="1" x14ac:dyDescent="0.3">
      <c r="B1123" s="10"/>
      <c r="C1123" s="10"/>
      <c r="D1123" s="10"/>
      <c r="F1123" s="10"/>
      <c r="G1123" s="10"/>
      <c r="H1123" s="10"/>
      <c r="I1123" s="10"/>
      <c r="J1123" s="10"/>
    </row>
    <row r="1124" spans="2:10" ht="33" customHeight="1" x14ac:dyDescent="0.3">
      <c r="B1124" s="10"/>
      <c r="C1124" s="10"/>
      <c r="D1124" s="10"/>
      <c r="F1124" s="10"/>
      <c r="G1124" s="10"/>
      <c r="H1124" s="10"/>
      <c r="I1124" s="10"/>
      <c r="J1124" s="10"/>
    </row>
    <row r="1125" spans="2:10" ht="33" customHeight="1" x14ac:dyDescent="0.3">
      <c r="B1125" s="10"/>
      <c r="C1125" s="10"/>
      <c r="D1125" s="10"/>
      <c r="F1125" s="10"/>
      <c r="G1125" s="10"/>
      <c r="H1125" s="10"/>
      <c r="I1125" s="10"/>
      <c r="J1125" s="10"/>
    </row>
    <row r="1126" spans="2:10" ht="33" customHeight="1" x14ac:dyDescent="0.3">
      <c r="B1126" s="10"/>
      <c r="C1126" s="10"/>
      <c r="D1126" s="10"/>
      <c r="F1126" s="10"/>
      <c r="G1126" s="10"/>
      <c r="H1126" s="10"/>
      <c r="I1126" s="10"/>
      <c r="J1126" s="10"/>
    </row>
    <row r="1127" spans="2:10" ht="33" customHeight="1" x14ac:dyDescent="0.3">
      <c r="B1127" s="10"/>
      <c r="C1127" s="10"/>
      <c r="D1127" s="10"/>
      <c r="F1127" s="10"/>
      <c r="G1127" s="10"/>
      <c r="H1127" s="10"/>
      <c r="I1127" s="10"/>
      <c r="J1127" s="10"/>
    </row>
    <row r="1128" spans="2:10" ht="33" customHeight="1" x14ac:dyDescent="0.3">
      <c r="B1128" s="10"/>
      <c r="C1128" s="10"/>
      <c r="D1128" s="10"/>
      <c r="F1128" s="10"/>
      <c r="G1128" s="10"/>
      <c r="H1128" s="10"/>
      <c r="I1128" s="10"/>
      <c r="J1128" s="10"/>
    </row>
    <row r="1129" spans="2:10" ht="33" customHeight="1" x14ac:dyDescent="0.3">
      <c r="B1129" s="10"/>
      <c r="C1129" s="10"/>
      <c r="D1129" s="10"/>
      <c r="F1129" s="10"/>
      <c r="G1129" s="10"/>
      <c r="H1129" s="10"/>
      <c r="I1129" s="10"/>
      <c r="J1129" s="10"/>
    </row>
    <row r="1130" spans="2:10" ht="33" customHeight="1" x14ac:dyDescent="0.3">
      <c r="B1130" s="10"/>
      <c r="C1130" s="10"/>
      <c r="D1130" s="10"/>
      <c r="F1130" s="10"/>
      <c r="G1130" s="10"/>
      <c r="H1130" s="10"/>
      <c r="I1130" s="10"/>
      <c r="J1130" s="10"/>
    </row>
    <row r="1131" spans="2:10" ht="33" customHeight="1" x14ac:dyDescent="0.3">
      <c r="B1131" s="10"/>
      <c r="C1131" s="10"/>
      <c r="D1131" s="10"/>
      <c r="F1131" s="10"/>
      <c r="G1131" s="10"/>
      <c r="H1131" s="10"/>
      <c r="I1131" s="10"/>
      <c r="J1131" s="10"/>
    </row>
    <row r="1132" spans="2:10" ht="33" customHeight="1" x14ac:dyDescent="0.3">
      <c r="B1132" s="10"/>
      <c r="C1132" s="10"/>
      <c r="D1132" s="10"/>
      <c r="F1132" s="10"/>
      <c r="G1132" s="10"/>
      <c r="H1132" s="10"/>
      <c r="I1132" s="10"/>
      <c r="J1132" s="10"/>
    </row>
    <row r="1133" spans="2:10" ht="33" customHeight="1" x14ac:dyDescent="0.3">
      <c r="B1133" s="10"/>
      <c r="C1133" s="10"/>
      <c r="D1133" s="10"/>
      <c r="F1133" s="10"/>
      <c r="G1133" s="10"/>
      <c r="H1133" s="10"/>
      <c r="I1133" s="10"/>
      <c r="J1133" s="10"/>
    </row>
    <row r="1134" spans="2:10" ht="33" customHeight="1" x14ac:dyDescent="0.3">
      <c r="B1134" s="10"/>
      <c r="C1134" s="10"/>
      <c r="D1134" s="10"/>
      <c r="F1134" s="10"/>
      <c r="G1134" s="10"/>
      <c r="H1134" s="10"/>
      <c r="I1134" s="10"/>
      <c r="J1134" s="10"/>
    </row>
    <row r="1135" spans="2:10" ht="33" customHeight="1" x14ac:dyDescent="0.3">
      <c r="B1135" s="10"/>
      <c r="C1135" s="10"/>
      <c r="D1135" s="10"/>
      <c r="F1135" s="10"/>
      <c r="G1135" s="10"/>
      <c r="H1135" s="10"/>
      <c r="I1135" s="10"/>
      <c r="J1135" s="10"/>
    </row>
    <row r="1136" spans="2:10" ht="33" customHeight="1" x14ac:dyDescent="0.3">
      <c r="B1136" s="10"/>
      <c r="C1136" s="10"/>
      <c r="D1136" s="10"/>
      <c r="F1136" s="10"/>
      <c r="G1136" s="10"/>
      <c r="H1136" s="10"/>
      <c r="I1136" s="10"/>
      <c r="J1136" s="10"/>
    </row>
    <row r="1137" spans="2:10" ht="33" customHeight="1" x14ac:dyDescent="0.3">
      <c r="B1137" s="10"/>
      <c r="C1137" s="10"/>
      <c r="D1137" s="10"/>
      <c r="F1137" s="10"/>
      <c r="G1137" s="10"/>
      <c r="H1137" s="10"/>
      <c r="I1137" s="10"/>
      <c r="J1137" s="10"/>
    </row>
    <row r="1138" spans="2:10" ht="33" customHeight="1" x14ac:dyDescent="0.3">
      <c r="B1138" s="10"/>
      <c r="C1138" s="10"/>
      <c r="D1138" s="10"/>
      <c r="F1138" s="10"/>
      <c r="G1138" s="10"/>
      <c r="H1138" s="10"/>
      <c r="I1138" s="10"/>
      <c r="J1138" s="10"/>
    </row>
    <row r="1139" spans="2:10" ht="33" customHeight="1" x14ac:dyDescent="0.3">
      <c r="B1139" s="10"/>
      <c r="C1139" s="10"/>
      <c r="D1139" s="10"/>
      <c r="F1139" s="10"/>
      <c r="G1139" s="10"/>
      <c r="H1139" s="10"/>
      <c r="I1139" s="10"/>
      <c r="J1139" s="10"/>
    </row>
    <row r="1140" spans="2:10" ht="33" customHeight="1" x14ac:dyDescent="0.3">
      <c r="B1140" s="10"/>
      <c r="C1140" s="10"/>
      <c r="D1140" s="10"/>
      <c r="F1140" s="10"/>
      <c r="G1140" s="10"/>
      <c r="H1140" s="10"/>
      <c r="I1140" s="10"/>
      <c r="J1140" s="10"/>
    </row>
    <row r="1141" spans="2:10" ht="33" customHeight="1" x14ac:dyDescent="0.3">
      <c r="B1141" s="10"/>
      <c r="C1141" s="10"/>
      <c r="D1141" s="10"/>
      <c r="F1141" s="10"/>
      <c r="G1141" s="10"/>
      <c r="H1141" s="10"/>
      <c r="I1141" s="10"/>
      <c r="J1141" s="10"/>
    </row>
    <row r="1142" spans="2:10" ht="33" customHeight="1" x14ac:dyDescent="0.3">
      <c r="B1142" s="10"/>
      <c r="C1142" s="10"/>
      <c r="D1142" s="10"/>
      <c r="F1142" s="10"/>
      <c r="G1142" s="10"/>
      <c r="H1142" s="10"/>
      <c r="I1142" s="10"/>
      <c r="J1142" s="10"/>
    </row>
    <row r="1143" spans="2:10" ht="33" customHeight="1" x14ac:dyDescent="0.3">
      <c r="B1143" s="10"/>
      <c r="C1143" s="10"/>
      <c r="D1143" s="10"/>
      <c r="F1143" s="10"/>
      <c r="G1143" s="10"/>
      <c r="H1143" s="10"/>
      <c r="I1143" s="10"/>
      <c r="J1143" s="10"/>
    </row>
    <row r="1144" spans="2:10" ht="33" customHeight="1" x14ac:dyDescent="0.3">
      <c r="B1144" s="10"/>
      <c r="C1144" s="10"/>
      <c r="D1144" s="10"/>
      <c r="F1144" s="10"/>
      <c r="G1144" s="10"/>
      <c r="H1144" s="10"/>
      <c r="I1144" s="10"/>
      <c r="J1144" s="10"/>
    </row>
    <row r="1145" spans="2:10" ht="33" customHeight="1" x14ac:dyDescent="0.3">
      <c r="B1145" s="10"/>
      <c r="C1145" s="10"/>
      <c r="D1145" s="10"/>
      <c r="F1145" s="10"/>
      <c r="G1145" s="10"/>
      <c r="H1145" s="10"/>
      <c r="I1145" s="10"/>
      <c r="J1145" s="10"/>
    </row>
    <row r="1146" spans="2:10" ht="33" customHeight="1" x14ac:dyDescent="0.3">
      <c r="B1146" s="10"/>
      <c r="C1146" s="10"/>
      <c r="D1146" s="10"/>
      <c r="F1146" s="10"/>
      <c r="G1146" s="10"/>
      <c r="H1146" s="10"/>
      <c r="I1146" s="10"/>
      <c r="J1146" s="10"/>
    </row>
    <row r="1147" spans="2:10" ht="33" customHeight="1" x14ac:dyDescent="0.3">
      <c r="B1147" s="10"/>
      <c r="C1147" s="10"/>
      <c r="D1147" s="10"/>
      <c r="F1147" s="10"/>
      <c r="G1147" s="10"/>
      <c r="H1147" s="10"/>
      <c r="I1147" s="10"/>
      <c r="J1147" s="10"/>
    </row>
    <row r="1148" spans="2:10" ht="33" customHeight="1" x14ac:dyDescent="0.3">
      <c r="B1148" s="10"/>
      <c r="C1148" s="10"/>
      <c r="D1148" s="10"/>
      <c r="F1148" s="10"/>
      <c r="G1148" s="10"/>
      <c r="H1148" s="10"/>
      <c r="I1148" s="10"/>
      <c r="J1148" s="10"/>
    </row>
    <row r="1149" spans="2:10" ht="33" customHeight="1" x14ac:dyDescent="0.3">
      <c r="B1149" s="10"/>
      <c r="C1149" s="10"/>
      <c r="D1149" s="10"/>
      <c r="F1149" s="10"/>
      <c r="G1149" s="10"/>
      <c r="H1149" s="10"/>
      <c r="I1149" s="10"/>
      <c r="J1149" s="10"/>
    </row>
    <row r="1150" spans="2:10" ht="33" customHeight="1" x14ac:dyDescent="0.3">
      <c r="B1150" s="10"/>
      <c r="C1150" s="10"/>
      <c r="D1150" s="10"/>
      <c r="F1150" s="10"/>
      <c r="G1150" s="10"/>
      <c r="H1150" s="10"/>
      <c r="I1150" s="10"/>
      <c r="J1150" s="10"/>
    </row>
    <row r="1151" spans="2:10" ht="33" customHeight="1" x14ac:dyDescent="0.3">
      <c r="B1151" s="10"/>
      <c r="C1151" s="10"/>
      <c r="D1151" s="10"/>
      <c r="F1151" s="10"/>
      <c r="G1151" s="10"/>
      <c r="H1151" s="10"/>
      <c r="I1151" s="10"/>
      <c r="J1151" s="10"/>
    </row>
    <row r="1152" spans="2:10" ht="33" customHeight="1" x14ac:dyDescent="0.3">
      <c r="B1152" s="10"/>
      <c r="C1152" s="10"/>
      <c r="D1152" s="10"/>
      <c r="F1152" s="10"/>
      <c r="G1152" s="10"/>
      <c r="H1152" s="10"/>
      <c r="I1152" s="10"/>
      <c r="J1152" s="10"/>
    </row>
    <row r="1153" spans="2:10" ht="33" customHeight="1" x14ac:dyDescent="0.3">
      <c r="B1153" s="10"/>
      <c r="C1153" s="10"/>
      <c r="D1153" s="10"/>
      <c r="F1153" s="10"/>
      <c r="G1153" s="10"/>
      <c r="H1153" s="10"/>
      <c r="I1153" s="10"/>
      <c r="J1153" s="10"/>
    </row>
    <row r="1154" spans="2:10" ht="33" customHeight="1" x14ac:dyDescent="0.3">
      <c r="B1154" s="10"/>
      <c r="C1154" s="10"/>
      <c r="D1154" s="10"/>
      <c r="F1154" s="10"/>
      <c r="G1154" s="10"/>
      <c r="H1154" s="10"/>
      <c r="I1154" s="10"/>
      <c r="J1154" s="10"/>
    </row>
    <row r="1155" spans="2:10" ht="33" customHeight="1" x14ac:dyDescent="0.3">
      <c r="B1155" s="10"/>
      <c r="C1155" s="10"/>
      <c r="D1155" s="10"/>
      <c r="F1155" s="10"/>
      <c r="G1155" s="10"/>
      <c r="H1155" s="10"/>
      <c r="I1155" s="10"/>
      <c r="J1155" s="10"/>
    </row>
    <row r="1156" spans="2:10" ht="33" customHeight="1" x14ac:dyDescent="0.3">
      <c r="B1156" s="10"/>
      <c r="C1156" s="10"/>
      <c r="D1156" s="10"/>
      <c r="F1156" s="10"/>
      <c r="G1156" s="10"/>
      <c r="H1156" s="10"/>
      <c r="I1156" s="10"/>
      <c r="J1156" s="10"/>
    </row>
    <row r="1157" spans="2:10" ht="33" customHeight="1" x14ac:dyDescent="0.3">
      <c r="B1157" s="10"/>
      <c r="C1157" s="10"/>
      <c r="D1157" s="10"/>
      <c r="F1157" s="10"/>
      <c r="G1157" s="10"/>
      <c r="H1157" s="10"/>
      <c r="I1157" s="10"/>
      <c r="J1157" s="10"/>
    </row>
    <row r="1158" spans="2:10" ht="33" customHeight="1" x14ac:dyDescent="0.3">
      <c r="B1158" s="10"/>
      <c r="C1158" s="10"/>
      <c r="D1158" s="10"/>
      <c r="F1158" s="10"/>
      <c r="G1158" s="10"/>
      <c r="H1158" s="10"/>
      <c r="I1158" s="10"/>
      <c r="J1158" s="10"/>
    </row>
    <row r="1159" spans="2:10" ht="33" customHeight="1" x14ac:dyDescent="0.3">
      <c r="B1159" s="10"/>
      <c r="C1159" s="10"/>
      <c r="D1159" s="10"/>
      <c r="F1159" s="10"/>
      <c r="G1159" s="10"/>
      <c r="H1159" s="10"/>
      <c r="I1159" s="10"/>
      <c r="J1159" s="10"/>
    </row>
    <row r="1160" spans="2:10" ht="33" customHeight="1" x14ac:dyDescent="0.3">
      <c r="B1160" s="10"/>
      <c r="C1160" s="10"/>
      <c r="D1160" s="10"/>
      <c r="F1160" s="10"/>
      <c r="G1160" s="10"/>
      <c r="H1160" s="10"/>
      <c r="I1160" s="10"/>
      <c r="J1160" s="10"/>
    </row>
    <row r="1161" spans="2:10" ht="33" customHeight="1" x14ac:dyDescent="0.3">
      <c r="B1161" s="10"/>
      <c r="C1161" s="10"/>
      <c r="D1161" s="10"/>
      <c r="F1161" s="10"/>
      <c r="G1161" s="10"/>
      <c r="H1161" s="10"/>
      <c r="I1161" s="10"/>
      <c r="J1161" s="10"/>
    </row>
    <row r="1162" spans="2:10" ht="33" customHeight="1" x14ac:dyDescent="0.3">
      <c r="B1162" s="10"/>
      <c r="C1162" s="10"/>
      <c r="D1162" s="10"/>
      <c r="F1162" s="10"/>
      <c r="G1162" s="10"/>
      <c r="H1162" s="10"/>
      <c r="I1162" s="10"/>
      <c r="J1162" s="10"/>
    </row>
    <row r="1163" spans="2:10" ht="33" customHeight="1" x14ac:dyDescent="0.3">
      <c r="B1163" s="10"/>
      <c r="C1163" s="10"/>
      <c r="D1163" s="10"/>
      <c r="F1163" s="10"/>
      <c r="G1163" s="10"/>
      <c r="H1163" s="10"/>
      <c r="I1163" s="10"/>
      <c r="J1163" s="10"/>
    </row>
    <row r="1164" spans="2:10" ht="33" customHeight="1" x14ac:dyDescent="0.3">
      <c r="B1164" s="10"/>
      <c r="C1164" s="10"/>
      <c r="D1164" s="10"/>
      <c r="F1164" s="10"/>
      <c r="G1164" s="10"/>
      <c r="H1164" s="10"/>
      <c r="I1164" s="10"/>
      <c r="J1164" s="10"/>
    </row>
  </sheetData>
  <mergeCells count="3">
    <mergeCell ref="B1:AD1"/>
    <mergeCell ref="AG1:AJ1"/>
    <mergeCell ref="AL1:AM2"/>
  </mergeCells>
  <conditionalFormatting sqref="N2 N477:N652">
    <cfRule type="containsText" dxfId="54" priority="22" operator="containsText" text="PO Drafted">
      <formula>NOT(ISERROR(SEARCH("PO Drafted",N2)))</formula>
    </cfRule>
    <cfRule type="containsText" dxfId="53" priority="23" operator="containsText" text="Production Complete">
      <formula>NOT(ISERROR(SEARCH("Production Complete",N2)))</formula>
    </cfRule>
    <cfRule type="containsText" dxfId="52" priority="24" operator="containsText" text="ON HOLD">
      <formula>NOT(ISERROR(SEARCH("ON HOLD",N2)))</formula>
    </cfRule>
    <cfRule type="containsText" dxfId="51" priority="29" operator="containsText" text="D/W Sent">
      <formula>NOT(ISERROR(SEARCH("D/W Sent",N2)))</formula>
    </cfRule>
    <cfRule type="containsText" dxfId="50" priority="32" operator="containsText" text="Picked">
      <formula>NOT(ISERROR(SEARCH("Picked",N2)))</formula>
    </cfRule>
    <cfRule type="containsText" dxfId="49" priority="33" operator="containsText" text="Rework">
      <formula>NOT(ISERROR(SEARCH("Rework",N2)))</formula>
    </cfRule>
    <cfRule type="containsText" dxfId="48" priority="34" operator="containsText" text="In Production">
      <formula>NOT(ISERROR(SEARCH("In Production",N2)))</formula>
    </cfRule>
    <cfRule type="containsText" dxfId="47" priority="35" operator="containsText" text="Out of stock">
      <formula>NOT(ISERROR(SEARCH("Out of stock",N2)))</formula>
    </cfRule>
    <cfRule type="containsText" dxfId="46" priority="36" operator="containsText" text="Not Meet MOQ">
      <formula>NOT(ISERROR(SEARCH("Not Meet MOQ",N2)))</formula>
    </cfRule>
    <cfRule type="containsText" dxfId="45" priority="37" operator="containsText" text="Available">
      <formula>NOT(ISERROR(SEARCH("Available",N2)))</formula>
    </cfRule>
    <cfRule type="containsText" dxfId="44" priority="38" operator="containsText" text="Pending Picking">
      <formula>NOT(ISERROR(SEARCH("Pending Picking",N2)))</formula>
    </cfRule>
    <cfRule type="containsText" dxfId="43" priority="39" operator="containsText" text="PO Submitted">
      <formula>NOT(ISERROR(SEARCH("PO Submitted",N2)))</formula>
    </cfRule>
    <cfRule type="containsText" dxfId="42" priority="40" operator="containsText" text="Transit to Warehouse">
      <formula>NOT(ISERROR(SEARCH("Transit to Warehouse",N2)))</formula>
    </cfRule>
  </conditionalFormatting>
  <conditionalFormatting sqref="N2:AD2 B2:L2 B477:L652 N477:AD652 O3:AD476">
    <cfRule type="expression" dxfId="41" priority="28" stopIfTrue="1">
      <formula>AND(LEN(B2)&gt;0,NOT(ISERROR(B2)),B2&lt;&gt;0)</formula>
    </cfRule>
    <cfRule type="cellIs" dxfId="40" priority="31" stopIfTrue="1" operator="equal">
      <formula>0</formula>
    </cfRule>
  </conditionalFormatting>
  <conditionalFormatting sqref="N2:AD2 E2 H2:L2 H477:L652 E477:E652 N477:AD652 O3:AD476">
    <cfRule type="containsBlanks" dxfId="39" priority="30" stopIfTrue="1">
      <formula>LEN(TRIM(E2))=0</formula>
    </cfRule>
  </conditionalFormatting>
  <conditionalFormatting sqref="AC3:AC652">
    <cfRule type="expression" dxfId="38" priority="25" stopIfTrue="1">
      <formula>AND( AC3&lt;&gt;"", VALUE(LEFT(AC3,FIND("/",AC3)-1)) &gt;= VALUE(MID(AC3,FIND("/",AC3)+1,999)) )</formula>
    </cfRule>
    <cfRule type="expression" dxfId="37" priority="26" stopIfTrue="1">
      <formula>AND(   AC3&lt;&gt;"",   --_xlfn.TEXTBEFORE(AC3,"/") &lt; 0.4 * --_xlfn.TEXTAFTER(AC3,"/") )</formula>
    </cfRule>
    <cfRule type="expression" dxfId="36" priority="27" stopIfTrue="1">
      <formula>IF(AC3&lt;&gt;"","TRUE","FALSE")</formula>
    </cfRule>
  </conditionalFormatting>
  <conditionalFormatting sqref="AD3:AD652">
    <cfRule type="expression" dxfId="35" priority="20" stopIfTrue="1">
      <formula>$AK$2 =I3</formula>
    </cfRule>
    <cfRule type="expression" dxfId="34" priority="21" stopIfTrue="1">
      <formula>AND(I3&lt;&gt;"",$AK$2&lt;&gt;I3)</formula>
    </cfRule>
  </conditionalFormatting>
  <conditionalFormatting sqref="B3:D476 F3:N476">
    <cfRule type="expression" dxfId="56" priority="7">
      <formula>AND(LEN(B3)&gt;0,NOT(ISERROR(B3)),B3&lt;&gt;0)</formula>
    </cfRule>
    <cfRule type="cellIs" dxfId="55" priority="10" operator="equal">
      <formula>0</formula>
    </cfRule>
  </conditionalFormatting>
  <conditionalFormatting sqref="H3:I476">
    <cfRule type="containsBlanks" dxfId="33" priority="9">
      <formula>LEN(TRIM(H3))=0</formula>
    </cfRule>
  </conditionalFormatting>
  <conditionalFormatting sqref="N3:N476">
    <cfRule type="containsText" dxfId="32" priority="4" operator="containsText" text="PO Drafted">
      <formula>NOT(ISERROR(SEARCH("PO Drafted",N3)))</formula>
    </cfRule>
    <cfRule type="containsText" dxfId="31" priority="5" operator="containsText" text="Production Complete">
      <formula>NOT(ISERROR(SEARCH("Production Complete",N3)))</formula>
    </cfRule>
    <cfRule type="containsText" dxfId="30" priority="6" operator="containsText" text="ON HOLD">
      <formula>NOT(ISERROR(SEARCH("ON HOLD",N3)))</formula>
    </cfRule>
    <cfRule type="containsText" dxfId="29" priority="8" operator="containsText" text="D/W Sent">
      <formula>NOT(ISERROR(SEARCH("D/W Sent",N3)))</formula>
    </cfRule>
    <cfRule type="containsText" dxfId="28" priority="11" operator="containsText" text="Picked">
      <formula>NOT(ISERROR(SEARCH("Picked",N3)))</formula>
    </cfRule>
    <cfRule type="containsText" dxfId="27" priority="12" operator="containsText" text="Rework">
      <formula>NOT(ISERROR(SEARCH("Rework",N3)))</formula>
    </cfRule>
    <cfRule type="containsText" dxfId="26" priority="13" operator="containsText" text="In Production">
      <formula>NOT(ISERROR(SEARCH("In Production",N3)))</formula>
    </cfRule>
    <cfRule type="containsText" dxfId="25" priority="14" operator="containsText" text="Out of stock">
      <formula>NOT(ISERROR(SEARCH("Out of stock",N3)))</formula>
    </cfRule>
    <cfRule type="containsText" dxfId="24" priority="15" operator="containsText" text="Not Meet MOQ">
      <formula>NOT(ISERROR(SEARCH("Not Meet MOQ",N3)))</formula>
    </cfRule>
    <cfRule type="containsText" dxfId="23" priority="16" operator="containsText" text="Available">
      <formula>NOT(ISERROR(SEARCH("Available",N3)))</formula>
    </cfRule>
    <cfRule type="containsText" dxfId="22" priority="17" operator="containsText" text="Pending Picking">
      <formula>NOT(ISERROR(SEARCH("Pending Picking",N3)))</formula>
    </cfRule>
    <cfRule type="containsText" dxfId="21" priority="18" operator="containsText" text="PO Submitted">
      <formula>NOT(ISERROR(SEARCH("PO Submitted",N3)))</formula>
    </cfRule>
    <cfRule type="containsText" dxfId="20" priority="19" operator="containsText" text="Transit to Warehouse">
      <formula>NOT(ISERROR(SEARCH("Transit to Warehouse",N3)))</formula>
    </cfRule>
  </conditionalFormatting>
  <conditionalFormatting sqref="E3:E476">
    <cfRule type="expression" dxfId="6" priority="1">
      <formula>AND(LEN(E3)&gt;0,NOT(ISERROR(E3)),E3&lt;&gt;0)</formula>
    </cfRule>
    <cfRule type="cellIs" dxfId="5" priority="3" operator="equal">
      <formula>0</formula>
    </cfRule>
  </conditionalFormatting>
  <conditionalFormatting sqref="E3:E476">
    <cfRule type="containsBlanks" dxfId="4" priority="2">
      <formula>LEN(TRIM(E3))=0</formula>
    </cfRule>
  </conditionalFormatting>
  <dataValidations count="1">
    <dataValidation allowBlank="1" showInputMessage="1" showErrorMessage="1" sqref="O2:Z2 A1:A2 B2:L2" xr:uid="{E667240B-32EB-4379-B97B-5C7600EED9E4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D44A6698-45AB-41F1-B8CA-DCBE336FA273}">
          <x14:formula1>
            <xm:f>'SKU''S'!$A$1:$A$369</xm:f>
          </x14:formula1>
          <xm:sqref>AH2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05DA-EFEC-4555-AF7E-D51FD6E15C73}">
  <dimension ref="A1:ADA1164"/>
  <sheetViews>
    <sheetView workbookViewId="0">
      <pane ySplit="2" topLeftCell="A17" activePane="bottomLeft" state="frozen"/>
      <selection activeCell="B1" sqref="B1"/>
      <selection pane="bottomLeft" activeCell="G653" sqref="G653"/>
    </sheetView>
  </sheetViews>
  <sheetFormatPr defaultColWidth="9.109375" defaultRowHeight="33" customHeight="1" x14ac:dyDescent="0.3"/>
  <cols>
    <col min="1" max="1" width="11.44140625" hidden="1" customWidth="1"/>
    <col min="2" max="2" width="13.33203125" style="12" bestFit="1" customWidth="1"/>
    <col min="3" max="3" width="15.109375" style="12" bestFit="1" customWidth="1"/>
    <col min="4" max="4" width="30.6640625" style="12" hidden="1" customWidth="1"/>
    <col min="5" max="5" width="12" style="18" customWidth="1"/>
    <col min="6" max="6" width="1.33203125" style="12" hidden="1" customWidth="1"/>
    <col min="7" max="7" width="34.5546875" style="12" customWidth="1"/>
    <col min="8" max="8" width="16.33203125" style="12" hidden="1" customWidth="1"/>
    <col min="9" max="9" width="13" style="13" hidden="1" customWidth="1"/>
    <col min="10" max="10" width="13.33203125" style="12" customWidth="1"/>
    <col min="11" max="11" width="11.44140625" hidden="1" customWidth="1"/>
    <col min="12" max="12" width="12.44140625" hidden="1" customWidth="1"/>
    <col min="13" max="13" width="0" hidden="1" customWidth="1"/>
    <col min="14" max="14" width="25.33203125" style="10" customWidth="1"/>
    <col min="15" max="15" width="30.6640625" hidden="1" customWidth="1"/>
    <col min="16" max="16" width="12.44140625" hidden="1" customWidth="1"/>
    <col min="17" max="17" width="14.88671875" hidden="1" customWidth="1"/>
    <col min="18" max="20" width="12.44140625" hidden="1" customWidth="1"/>
    <col min="21" max="21" width="30.6640625" hidden="1" customWidth="1"/>
    <col min="22" max="25" width="12.44140625" hidden="1" customWidth="1"/>
    <col min="26" max="26" width="18.5546875" hidden="1" customWidth="1"/>
    <col min="27" max="28" width="20.6640625" hidden="1" customWidth="1"/>
    <col min="29" max="30" width="12.88671875" customWidth="1"/>
    <col min="31" max="31" width="0" hidden="1" customWidth="1"/>
    <col min="32" max="32" width="3.6640625" customWidth="1"/>
    <col min="33" max="33" width="8.6640625" customWidth="1"/>
    <col min="34" max="34" width="17" customWidth="1"/>
    <col min="35" max="35" width="8.6640625" customWidth="1"/>
    <col min="36" max="36" width="8.44140625" customWidth="1"/>
    <col min="37" max="37" width="8.6640625" hidden="1" customWidth="1"/>
    <col min="38" max="38" width="8.6640625" customWidth="1"/>
    <col min="39" max="39" width="6.109375" customWidth="1"/>
    <col min="40" max="51" width="8.5546875" customWidth="1"/>
  </cols>
  <sheetData>
    <row r="1" spans="1:781" s="6" customFormat="1" ht="24.75" customHeight="1" thickTop="1" thickBot="1" x14ac:dyDescent="0.4">
      <c r="A1"/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F1"/>
      <c r="AG1" s="58" t="s">
        <v>1</v>
      </c>
      <c r="AH1" s="54"/>
      <c r="AI1" s="54"/>
      <c r="AJ1" s="55"/>
      <c r="AK1" t="e" cm="1">
        <f t="array" ref="AK1">_xlfn.TEXTJOIN("-",,INDEX(_xlfn.TEXTSPLIT(AH2,"-"),{1,2}))</f>
        <v>#VALUE!</v>
      </c>
      <c r="AL1" s="56"/>
      <c r="AM1" s="5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</row>
    <row r="2" spans="1:781" s="6" customFormat="1" ht="40.5" customHeight="1" thickTop="1" thickBot="1" x14ac:dyDescent="0.4">
      <c r="A2" t="s">
        <v>1075</v>
      </c>
      <c r="B2" s="9" t="s">
        <v>3</v>
      </c>
      <c r="C2" s="9" t="s">
        <v>4</v>
      </c>
      <c r="D2" s="9" t="s">
        <v>5</v>
      </c>
      <c r="E2" s="9" t="s">
        <v>32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11</v>
      </c>
      <c r="K2" s="9" t="s">
        <v>12</v>
      </c>
      <c r="L2" s="9" t="s">
        <v>13</v>
      </c>
      <c r="M2" s="6" t="s">
        <v>38</v>
      </c>
      <c r="N2" s="9" t="s">
        <v>15</v>
      </c>
      <c r="O2" s="5" t="s">
        <v>16</v>
      </c>
      <c r="P2" s="1" t="s">
        <v>17</v>
      </c>
      <c r="Q2" s="3" t="s">
        <v>18</v>
      </c>
      <c r="R2" s="2" t="s">
        <v>19</v>
      </c>
      <c r="S2" s="2" t="s">
        <v>20</v>
      </c>
      <c r="T2" s="4" t="s">
        <v>21</v>
      </c>
      <c r="U2" s="1" t="s">
        <v>22</v>
      </c>
      <c r="V2" s="5" t="s">
        <v>23</v>
      </c>
      <c r="W2" s="5" t="s">
        <v>24</v>
      </c>
      <c r="X2" s="4" t="s">
        <v>25</v>
      </c>
      <c r="Y2" s="4" t="s">
        <v>26</v>
      </c>
      <c r="Z2" s="11" t="s">
        <v>27</v>
      </c>
      <c r="AA2" t="s">
        <v>28</v>
      </c>
      <c r="AB2" t="s">
        <v>29</v>
      </c>
      <c r="AC2" s="9" t="s">
        <v>30</v>
      </c>
      <c r="AD2" s="9" t="s">
        <v>31</v>
      </c>
      <c r="AE2" s="6" t="s">
        <v>37</v>
      </c>
      <c r="AF2"/>
      <c r="AG2" s="19" t="s">
        <v>33</v>
      </c>
      <c r="AH2" s="44"/>
      <c r="AI2" s="20" t="s">
        <v>35</v>
      </c>
      <c r="AJ2" s="45"/>
      <c r="AK2" t="e">
        <f>_xlfn.TEXTAFTER(AH2,"-", -1)</f>
        <v>#VALUE!</v>
      </c>
      <c r="AL2" s="56"/>
      <c r="AM2" s="5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/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/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/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/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/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/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/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/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/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/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/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/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</row>
    <row r="3" spans="1:781" ht="33" hidden="1" customHeight="1" thickTop="1" x14ac:dyDescent="0.3">
      <c r="B3" s="14" t="str">
        <f>'2026 Orders'!B2</f>
        <v>China</v>
      </c>
      <c r="C3" s="14" t="str">
        <f>'2026 Orders'!C2</f>
        <v>A4458</v>
      </c>
      <c r="D3" s="14">
        <v>0</v>
      </c>
      <c r="E3" s="17" t="str" cm="1">
        <f t="array" ref="E3">IF(C3=0,"",
HYPERLINK(
"#'2026 Orders'!C"&amp;
MATCH(1,
('2026 Orders'!C:C=C3)*
('2026 Orders'!G:G=G3)*
('2026 Orders'!N:N=N3),
0),
"Open "&amp;C3
))</f>
        <v>Open A4458</v>
      </c>
      <c r="F3" s="14">
        <v>0</v>
      </c>
      <c r="G3" s="14" t="str">
        <f>'2026 Orders'!G2</f>
        <v>SELENIU-60-FD</v>
      </c>
      <c r="H3" s="14" t="str">
        <f>'2026 Orders'!H2</f>
        <v>SELENIU-60</v>
      </c>
      <c r="I3" s="15" t="str">
        <f>'2026 Orders'!I2</f>
        <v>FD</v>
      </c>
      <c r="J3" s="14">
        <f>'2026 Orders'!J2</f>
        <v>200</v>
      </c>
      <c r="K3" t="s">
        <v>413</v>
      </c>
      <c r="L3">
        <v>0</v>
      </c>
      <c r="N3" s="10" t="str">
        <f>'2026 Orders'!N2</f>
        <v>D/W Sent</v>
      </c>
      <c r="O3" t="s">
        <v>1076</v>
      </c>
      <c r="P3" t="s">
        <v>1077</v>
      </c>
      <c r="Q3" t="s">
        <v>1078</v>
      </c>
      <c r="R3">
        <v>3000</v>
      </c>
      <c r="S3">
        <v>4833</v>
      </c>
      <c r="T3" t="s">
        <v>1079</v>
      </c>
      <c r="U3">
        <v>0</v>
      </c>
      <c r="V3">
        <v>0</v>
      </c>
      <c r="W3">
        <v>0</v>
      </c>
      <c r="X3">
        <v>0</v>
      </c>
      <c r="Y3">
        <v>0</v>
      </c>
      <c r="Z3" t="s">
        <v>1080</v>
      </c>
      <c r="AC3" t="str">
        <f>IF(OR(B3="",B3=0),"",$AJ$2&amp;"/"&amp;J3)</f>
        <v>/200</v>
      </c>
      <c r="AD3" t="e">
        <f t="shared" ref="AD3:AD66" si="0">IF(OR(J3="",J3=0),"",$AK$2&amp;" -&gt; "&amp;I3)</f>
        <v>#VALUE!</v>
      </c>
    </row>
    <row r="4" spans="1:781" ht="33" hidden="1" customHeight="1" x14ac:dyDescent="0.3">
      <c r="B4" s="14">
        <f>'2026 Orders'!B3</f>
        <v>0</v>
      </c>
      <c r="C4" s="14">
        <f>'2026 Orders'!C3</f>
        <v>0</v>
      </c>
      <c r="D4" s="14">
        <v>0</v>
      </c>
      <c r="E4" s="17" t="str" cm="1">
        <f t="array" ref="E4">IF(C4=0,"",
HYPERLINK(
"#'2026 Orders'!C"&amp;
MATCH(1,
('2026 Orders'!C:C=C4)*
('2026 Orders'!G:G=G4)*
('2026 Orders'!N:N=N4),
0),
"Open "&amp;C4
))</f>
        <v/>
      </c>
      <c r="F4" s="14">
        <v>0</v>
      </c>
      <c r="G4" s="14">
        <f>'2026 Orders'!G3</f>
        <v>0</v>
      </c>
      <c r="H4" s="14">
        <f>'2026 Orders'!H3</f>
        <v>0</v>
      </c>
      <c r="I4" s="15" t="str">
        <f>'2026 Orders'!I3</f>
        <v/>
      </c>
      <c r="J4" s="14">
        <f>'2026 Orders'!J3</f>
        <v>0</v>
      </c>
      <c r="K4">
        <v>0</v>
      </c>
      <c r="L4">
        <v>0</v>
      </c>
      <c r="N4" s="10">
        <f>'2026 Orders'!N3</f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C4" t="str">
        <f>IF(OR(B4="",B4=0),"",$AJ$2&amp;"/"&amp;J4)</f>
        <v/>
      </c>
      <c r="AD4" t="str">
        <f t="shared" si="0"/>
        <v/>
      </c>
    </row>
    <row r="5" spans="1:781" ht="33" hidden="1" customHeight="1" x14ac:dyDescent="0.3">
      <c r="B5" s="14" t="str">
        <f>'2026 Orders'!B4</f>
        <v>China</v>
      </c>
      <c r="C5" s="14" t="str">
        <f>'2026 Orders'!C4</f>
        <v>A4425</v>
      </c>
      <c r="D5" s="14">
        <v>0</v>
      </c>
      <c r="E5" s="17" t="str" cm="1">
        <f t="array" ref="E5">IF(C5=0,"",
HYPERLINK(
"#'2026 Orders'!C"&amp;
MATCH(1,
('2026 Orders'!C:C=C5)*
('2026 Orders'!G:G=G5)*
('2026 Orders'!N:N=N5),
0),
"Open "&amp;C5
))</f>
        <v>Open A4425</v>
      </c>
      <c r="F5" s="14">
        <v>0</v>
      </c>
      <c r="G5" s="14" t="str">
        <f>'2026 Orders'!G4</f>
        <v>VIACAL-60-FD</v>
      </c>
      <c r="H5" s="14" t="str">
        <f>'2026 Orders'!H4</f>
        <v>VIACAL-60</v>
      </c>
      <c r="I5" s="15" t="str">
        <f>'2026 Orders'!I4</f>
        <v>FD</v>
      </c>
      <c r="J5" s="14">
        <f>'2026 Orders'!J4</f>
        <v>200</v>
      </c>
      <c r="K5" t="s">
        <v>418</v>
      </c>
      <c r="L5">
        <v>200</v>
      </c>
      <c r="N5" s="10" t="str">
        <f>'2026 Orders'!N4</f>
        <v>D/W Sent</v>
      </c>
      <c r="O5" t="s">
        <v>1081</v>
      </c>
      <c r="P5" t="s">
        <v>1077</v>
      </c>
      <c r="Q5" t="s">
        <v>1082</v>
      </c>
      <c r="R5">
        <v>2000</v>
      </c>
      <c r="S5">
        <v>4661</v>
      </c>
      <c r="T5" t="s">
        <v>1079</v>
      </c>
      <c r="U5">
        <v>0</v>
      </c>
      <c r="V5">
        <v>0</v>
      </c>
      <c r="W5">
        <v>0</v>
      </c>
      <c r="X5">
        <v>0</v>
      </c>
      <c r="Y5">
        <v>0</v>
      </c>
      <c r="Z5" t="s">
        <v>1083</v>
      </c>
      <c r="AC5" t="str">
        <f>IF(OR(B5="",B5=0),"",$AJ$2&amp;"/"&amp;J5)</f>
        <v>/200</v>
      </c>
      <c r="AD5" t="e">
        <f t="shared" si="0"/>
        <v>#VALUE!</v>
      </c>
    </row>
    <row r="6" spans="1:781" ht="33" hidden="1" customHeight="1" x14ac:dyDescent="0.3">
      <c r="B6" s="14">
        <f>'2026 Orders'!B5</f>
        <v>0</v>
      </c>
      <c r="C6" s="14">
        <f>'2026 Orders'!C5</f>
        <v>0</v>
      </c>
      <c r="D6" s="14">
        <v>0</v>
      </c>
      <c r="E6" s="17" t="str" cm="1">
        <f t="array" ref="E6">IF(C6=0,"",
HYPERLINK(
"#'2026 Orders'!C"&amp;
MATCH(1,
('2026 Orders'!C:C=C6)*
('2026 Orders'!G:G=G6)*
('2026 Orders'!N:N=N6),
0),
"Open "&amp;C6
))</f>
        <v/>
      </c>
      <c r="F6" s="14">
        <v>0</v>
      </c>
      <c r="G6" s="14">
        <f>'2026 Orders'!G5</f>
        <v>0</v>
      </c>
      <c r="H6" s="14">
        <f>'2026 Orders'!H5</f>
        <v>0</v>
      </c>
      <c r="I6" s="15" t="str">
        <f>'2026 Orders'!I5</f>
        <v/>
      </c>
      <c r="J6" s="14">
        <f>'2026 Orders'!J5</f>
        <v>0</v>
      </c>
      <c r="K6">
        <v>0</v>
      </c>
      <c r="L6">
        <v>0</v>
      </c>
      <c r="N6" s="10">
        <f>'2026 Orders'!N5</f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C6" t="str">
        <f>IF(OR(B6="",B6=0),"",$AJ$2&amp;"/"&amp;J6)</f>
        <v/>
      </c>
      <c r="AD6" t="str">
        <f t="shared" si="0"/>
        <v/>
      </c>
    </row>
    <row r="7" spans="1:781" ht="33" hidden="1" customHeight="1" x14ac:dyDescent="0.3">
      <c r="B7" s="14" t="str">
        <f>'2026 Orders'!B6</f>
        <v>UAE</v>
      </c>
      <c r="C7" s="14" t="str">
        <f>'2026 Orders'!C6</f>
        <v>A4624</v>
      </c>
      <c r="D7" s="14" t="s">
        <v>1313</v>
      </c>
      <c r="E7" s="17" t="str" cm="1">
        <f t="array" ref="E7">IF(C7=0,"",
HYPERLINK(
"#'2026 Orders'!C"&amp;
MATCH(1,
('2026 Orders'!C:C=C7)*
('2026 Orders'!G:G=G7)*
('2026 Orders'!N:N=N7),
0),
"Open "&amp;C7
))</f>
        <v>Open A4624</v>
      </c>
      <c r="F7" s="14" t="s">
        <v>423</v>
      </c>
      <c r="G7" s="14" t="str">
        <f>'2026 Orders'!G6</f>
        <v>NERUFLX-60-FD</v>
      </c>
      <c r="H7" s="14" t="str">
        <f>'2026 Orders'!H6</f>
        <v>NERUFLX-60</v>
      </c>
      <c r="I7" s="15" t="str">
        <f>'2026 Orders'!I6</f>
        <v>FD</v>
      </c>
      <c r="J7" s="14">
        <f>'2026 Orders'!J6</f>
        <v>1054</v>
      </c>
      <c r="K7" t="s">
        <v>424</v>
      </c>
      <c r="L7">
        <v>1054</v>
      </c>
      <c r="N7" s="10" t="str">
        <f>'2026 Orders'!N6</f>
        <v>D/W Sent</v>
      </c>
      <c r="O7" t="s">
        <v>1084</v>
      </c>
      <c r="P7" t="s">
        <v>1085</v>
      </c>
      <c r="Q7">
        <v>810131193164</v>
      </c>
      <c r="R7">
        <v>2500</v>
      </c>
      <c r="S7">
        <v>4524</v>
      </c>
      <c r="T7" t="s">
        <v>1079</v>
      </c>
      <c r="U7">
        <v>0</v>
      </c>
      <c r="V7">
        <v>0</v>
      </c>
      <c r="W7" t="s">
        <v>488</v>
      </c>
      <c r="X7">
        <v>0</v>
      </c>
      <c r="Y7" t="s">
        <v>488</v>
      </c>
      <c r="Z7" t="s">
        <v>1086</v>
      </c>
      <c r="AC7" t="str">
        <f>IF(OR(B7="",B7=0),"",$AJ$2&amp;"/"&amp;J7)</f>
        <v>/1054</v>
      </c>
      <c r="AD7" t="e">
        <f t="shared" si="0"/>
        <v>#VALUE!</v>
      </c>
    </row>
    <row r="8" spans="1:781" ht="33" hidden="1" customHeight="1" x14ac:dyDescent="0.3">
      <c r="B8" s="14">
        <f>'2026 Orders'!B7</f>
        <v>0</v>
      </c>
      <c r="C8" s="14">
        <f>'2026 Orders'!C7</f>
        <v>0</v>
      </c>
      <c r="D8" s="14">
        <v>0</v>
      </c>
      <c r="E8" s="17" t="str" cm="1">
        <f t="array" ref="E8">IF(C8=0,"",
HYPERLINK(
"#'2026 Orders'!C"&amp;
MATCH(1,
('2026 Orders'!C:C=C8)*
('2026 Orders'!G:G=G8)*
('2026 Orders'!N:N=N8),
0),
"Open "&amp;C8
))</f>
        <v/>
      </c>
      <c r="F8" s="14">
        <v>0</v>
      </c>
      <c r="G8" s="14">
        <f>'2026 Orders'!G7</f>
        <v>0</v>
      </c>
      <c r="H8" s="14">
        <f>'2026 Orders'!H7</f>
        <v>0</v>
      </c>
      <c r="I8" s="15" t="str">
        <f>'2026 Orders'!I7</f>
        <v/>
      </c>
      <c r="J8" s="14">
        <f>'2026 Orders'!J7</f>
        <v>0</v>
      </c>
      <c r="K8">
        <v>0</v>
      </c>
      <c r="L8">
        <v>0</v>
      </c>
      <c r="N8" s="10">
        <f>'2026 Orders'!N7</f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C8" t="str">
        <f>IF(OR(B8="",B8=0),"",$AJ$2&amp;"/"&amp;J8)</f>
        <v/>
      </c>
      <c r="AD8" t="str">
        <f t="shared" si="0"/>
        <v/>
      </c>
    </row>
    <row r="9" spans="1:781" ht="33" hidden="1" customHeight="1" x14ac:dyDescent="0.3">
      <c r="B9" s="14" t="str">
        <f>'2026 Orders'!B8</f>
        <v>Kuwait</v>
      </c>
      <c r="C9" s="14" t="str">
        <f>'2026 Orders'!C8</f>
        <v>A4562</v>
      </c>
      <c r="D9" s="14" t="s">
        <v>427</v>
      </c>
      <c r="E9" s="17" t="str" cm="1">
        <f t="array" ref="E9">IF(C9=0,"",
HYPERLINK(
"#'2026 Orders'!C"&amp;
MATCH(1,
('2026 Orders'!C:C=C9)*
('2026 Orders'!G:G=G9)*
('2026 Orders'!N:N=N9),
0),
"Open "&amp;C9
))</f>
        <v>Open A4562</v>
      </c>
      <c r="F9" s="14" t="s">
        <v>429</v>
      </c>
      <c r="G9" s="14" t="str">
        <f>'2026 Orders'!G8</f>
        <v>EYECAP-30-FD</v>
      </c>
      <c r="H9" s="14" t="str">
        <f>'2026 Orders'!H8</f>
        <v>EYECAP-30</v>
      </c>
      <c r="I9" s="15" t="str">
        <f>'2026 Orders'!I8</f>
        <v>FD</v>
      </c>
      <c r="J9" s="14">
        <f>'2026 Orders'!J8</f>
        <v>500</v>
      </c>
      <c r="K9" t="s">
        <v>430</v>
      </c>
      <c r="L9">
        <v>0</v>
      </c>
      <c r="N9" s="10" t="str">
        <f>'2026 Orders'!N8</f>
        <v>ON HOLD</v>
      </c>
      <c r="O9">
        <v>0</v>
      </c>
      <c r="P9" t="s">
        <v>1085</v>
      </c>
      <c r="Q9">
        <v>609788968443</v>
      </c>
      <c r="R9">
        <v>0</v>
      </c>
      <c r="S9">
        <v>0</v>
      </c>
      <c r="T9">
        <v>0</v>
      </c>
      <c r="U9" t="s">
        <v>1087</v>
      </c>
      <c r="V9">
        <v>0</v>
      </c>
      <c r="W9">
        <v>0</v>
      </c>
      <c r="X9">
        <v>0</v>
      </c>
      <c r="Y9">
        <v>0</v>
      </c>
      <c r="Z9" t="s">
        <v>1086</v>
      </c>
      <c r="AC9" t="str">
        <f>IF(OR(B9="",B9=0),"",$AJ$2&amp;"/"&amp;J9)</f>
        <v>/500</v>
      </c>
      <c r="AD9" t="e">
        <f t="shared" si="0"/>
        <v>#VALUE!</v>
      </c>
    </row>
    <row r="10" spans="1:781" ht="33" hidden="1" customHeight="1" x14ac:dyDescent="0.3">
      <c r="B10" s="14">
        <f>'2026 Orders'!B9</f>
        <v>0</v>
      </c>
      <c r="C10" s="14">
        <f>'2026 Orders'!C9</f>
        <v>0</v>
      </c>
      <c r="D10" s="14">
        <v>0</v>
      </c>
      <c r="E10" s="17" t="str" cm="1">
        <f t="array" ref="E10">IF(C10=0,"",
HYPERLINK(
"#'2026 Orders'!C"&amp;
MATCH(1,
('2026 Orders'!C:C=C10)*
('2026 Orders'!G:G=G10)*
('2026 Orders'!N:N=N10),
0),
"Open "&amp;C10
))</f>
        <v/>
      </c>
      <c r="F10" s="14">
        <v>0</v>
      </c>
      <c r="G10" s="14">
        <f>'2026 Orders'!G9</f>
        <v>0</v>
      </c>
      <c r="H10" s="14">
        <f>'2026 Orders'!H9</f>
        <v>0</v>
      </c>
      <c r="I10" s="15" t="str">
        <f>'2026 Orders'!I9</f>
        <v/>
      </c>
      <c r="J10" s="14">
        <f>'2026 Orders'!J9</f>
        <v>0</v>
      </c>
      <c r="K10">
        <v>0</v>
      </c>
      <c r="L10">
        <v>0</v>
      </c>
      <c r="N10" s="10">
        <f>'2026 Orders'!N9</f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C10" t="str">
        <f>IF(OR(B10="",B10=0),"",$AJ$2&amp;"/"&amp;J10)</f>
        <v/>
      </c>
      <c r="AD10" t="str">
        <f t="shared" si="0"/>
        <v/>
      </c>
    </row>
    <row r="11" spans="1:781" ht="33" hidden="1" customHeight="1" x14ac:dyDescent="0.3">
      <c r="B11" s="14" t="str">
        <f>'2026 Orders'!B10</f>
        <v>Uganda</v>
      </c>
      <c r="C11" s="14" t="str">
        <f>'2026 Orders'!C10</f>
        <v>A4522</v>
      </c>
      <c r="D11" s="14">
        <v>0</v>
      </c>
      <c r="E11" s="17" t="str" cm="1">
        <f t="array" ref="E11">IF(C11=0,"",
HYPERLINK(
"#'2026 Orders'!C"&amp;
MATCH(1,
('2026 Orders'!C:C=C11)*
('2026 Orders'!G:G=G11)*
('2026 Orders'!N:N=N11),
0),
"Open "&amp;C11
))</f>
        <v>Open A4522</v>
      </c>
      <c r="F11" s="14" t="s">
        <v>1212</v>
      </c>
      <c r="G11" s="14" t="str">
        <f>'2026 Orders'!G10</f>
        <v>SPERMCT-60-FD</v>
      </c>
      <c r="H11" s="14" t="str">
        <f>'2026 Orders'!H10</f>
        <v>SPERMCT-60</v>
      </c>
      <c r="I11" s="15" t="str">
        <f>'2026 Orders'!I10</f>
        <v>FD</v>
      </c>
      <c r="J11" s="14">
        <f>'2026 Orders'!J10</f>
        <v>96</v>
      </c>
      <c r="K11" t="s">
        <v>435</v>
      </c>
      <c r="L11">
        <v>24</v>
      </c>
      <c r="N11" s="10" t="str">
        <f>'2026 Orders'!N10</f>
        <v>Picked</v>
      </c>
      <c r="O11" t="s">
        <v>1088</v>
      </c>
      <c r="P11" t="s">
        <v>1077</v>
      </c>
      <c r="Q11">
        <v>609788968405</v>
      </c>
      <c r="R11">
        <v>5500</v>
      </c>
      <c r="S11">
        <v>4850</v>
      </c>
      <c r="T11" t="s">
        <v>1079</v>
      </c>
      <c r="U11">
        <v>0</v>
      </c>
      <c r="V11">
        <v>0</v>
      </c>
      <c r="W11">
        <v>0</v>
      </c>
      <c r="X11">
        <v>0</v>
      </c>
      <c r="Y11">
        <v>0</v>
      </c>
      <c r="Z11" t="s">
        <v>1086</v>
      </c>
      <c r="AC11" t="str">
        <f>IF(OR(B11="",B11=0),"",$AJ$2&amp;"/"&amp;J11)</f>
        <v>/96</v>
      </c>
      <c r="AD11" t="e">
        <f t="shared" si="0"/>
        <v>#VALUE!</v>
      </c>
    </row>
    <row r="12" spans="1:781" ht="33" hidden="1" customHeight="1" thickTop="1" x14ac:dyDescent="0.3">
      <c r="B12" s="14" t="str">
        <f>'2026 Orders'!B11</f>
        <v>Uganda</v>
      </c>
      <c r="C12" s="14" t="str">
        <f>'2026 Orders'!C11</f>
        <v>A4522</v>
      </c>
      <c r="D12" s="14">
        <v>0</v>
      </c>
      <c r="E12" s="17" t="str" cm="1">
        <f t="array" ref="E12">IF(C12=0,"",
HYPERLINK(
"#'2026 Orders'!C"&amp;
MATCH(1,
('2026 Orders'!C:C=C12)*
('2026 Orders'!G:G=G12)*
('2026 Orders'!N:N=N12),
0),
"Open "&amp;C12
))</f>
        <v>Open A4522</v>
      </c>
      <c r="F12" s="14">
        <v>0</v>
      </c>
      <c r="G12" s="14" t="str">
        <f>'2026 Orders'!G11</f>
        <v>WFSPLS-180-FD</v>
      </c>
      <c r="H12" s="14" t="str">
        <f>'2026 Orders'!H11</f>
        <v>WFSPLS-180</v>
      </c>
      <c r="I12" s="15" t="str">
        <f>'2026 Orders'!I11</f>
        <v>FD</v>
      </c>
      <c r="J12" s="14">
        <f>'2026 Orders'!J11</f>
        <v>120</v>
      </c>
      <c r="K12" t="s">
        <v>435</v>
      </c>
      <c r="L12">
        <v>72</v>
      </c>
      <c r="N12" s="10" t="str">
        <f>'2026 Orders'!N11</f>
        <v>PO Drafted</v>
      </c>
      <c r="O12">
        <v>0</v>
      </c>
      <c r="P12" t="s">
        <v>1077</v>
      </c>
      <c r="Q12">
        <v>609788968405</v>
      </c>
      <c r="R12">
        <v>5500</v>
      </c>
      <c r="S12">
        <v>4850</v>
      </c>
      <c r="T12" t="s">
        <v>1079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C12" t="str">
        <f>IF(OR(B12="",B12=0),"",$AJ$2&amp;"/"&amp;J12)</f>
        <v>/120</v>
      </c>
      <c r="AD12" t="e">
        <f t="shared" si="0"/>
        <v>#VALUE!</v>
      </c>
    </row>
    <row r="13" spans="1:781" ht="33" hidden="1" customHeight="1" x14ac:dyDescent="0.3">
      <c r="B13" s="14" t="str">
        <f>'2026 Orders'!B12</f>
        <v>Uganda</v>
      </c>
      <c r="C13" s="14" t="str">
        <f>'2026 Orders'!C12</f>
        <v>A4522</v>
      </c>
      <c r="D13" s="14">
        <v>0</v>
      </c>
      <c r="E13" s="17" t="str" cm="1">
        <f t="array" ref="E13">IF(C13=0,"",
HYPERLINK(
"#'2026 Orders'!C"&amp;
MATCH(1,
('2026 Orders'!C:C=C13)*
('2026 Orders'!G:G=G13)*
('2026 Orders'!N:N=N13),
0),
"Open "&amp;C13
))</f>
        <v>Open A4522</v>
      </c>
      <c r="F13" s="14" t="s">
        <v>437</v>
      </c>
      <c r="G13" s="14" t="str">
        <f>'2026 Orders'!G12</f>
        <v>FERTMX-90-RE</v>
      </c>
      <c r="H13" s="14" t="str">
        <f>'2026 Orders'!H12</f>
        <v>FERTMX-90</v>
      </c>
      <c r="I13" s="15" t="str">
        <f>'2026 Orders'!I12</f>
        <v>RE</v>
      </c>
      <c r="J13" s="14">
        <f>'2026 Orders'!J12</f>
        <v>288</v>
      </c>
      <c r="K13" t="s">
        <v>438</v>
      </c>
      <c r="L13">
        <v>120</v>
      </c>
      <c r="N13" s="10" t="str">
        <f>'2026 Orders'!N12</f>
        <v>PO submitted</v>
      </c>
      <c r="O13">
        <v>46012</v>
      </c>
      <c r="P13" t="s">
        <v>1077</v>
      </c>
      <c r="Q13">
        <v>609788968351</v>
      </c>
      <c r="R13">
        <v>7572</v>
      </c>
      <c r="S13">
        <v>5043</v>
      </c>
      <c r="T13">
        <v>46286</v>
      </c>
      <c r="U13" t="s">
        <v>1089</v>
      </c>
      <c r="V13">
        <v>0</v>
      </c>
      <c r="W13">
        <v>0</v>
      </c>
      <c r="X13">
        <v>0</v>
      </c>
      <c r="Y13">
        <v>0</v>
      </c>
      <c r="Z13">
        <v>0</v>
      </c>
      <c r="AC13" t="str">
        <f>IF(OR(B13="",B13=0),"",$AJ$2&amp;"/"&amp;J13)</f>
        <v>/288</v>
      </c>
      <c r="AD13" t="e">
        <f t="shared" si="0"/>
        <v>#VALUE!</v>
      </c>
    </row>
    <row r="14" spans="1:781" ht="33" hidden="1" customHeight="1" x14ac:dyDescent="0.3">
      <c r="B14" s="14" t="str">
        <f>'2026 Orders'!B13</f>
        <v>Uganda</v>
      </c>
      <c r="C14" s="14" t="str">
        <f>'2026 Orders'!C13</f>
        <v>A4522</v>
      </c>
      <c r="D14" s="14">
        <v>0</v>
      </c>
      <c r="E14" s="17" t="str" cm="1">
        <f t="array" ref="E14">IF(C14=0,"",
HYPERLINK(
"#'2026 Orders'!C"&amp;
MATCH(1,
('2026 Orders'!C:C=C14)*
('2026 Orders'!G:G=G14)*
('2026 Orders'!N:N=N14),
0),
"Open "&amp;C14
))</f>
        <v>Open A4522</v>
      </c>
      <c r="F14" s="14" t="s">
        <v>440</v>
      </c>
      <c r="G14" s="14" t="str">
        <f>'2026 Orders'!G13</f>
        <v>PRECON-90-FD</v>
      </c>
      <c r="H14" s="14" t="str">
        <f>'2026 Orders'!H13</f>
        <v>PRECON-90</v>
      </c>
      <c r="I14" s="15" t="str">
        <f>'2026 Orders'!I13</f>
        <v>FD</v>
      </c>
      <c r="J14" s="14">
        <f>'2026 Orders'!J13</f>
        <v>120</v>
      </c>
      <c r="K14" t="s">
        <v>441</v>
      </c>
      <c r="L14">
        <v>0</v>
      </c>
      <c r="N14" s="10" t="str">
        <f>'2026 Orders'!N13</f>
        <v>Picked</v>
      </c>
      <c r="O14">
        <v>0</v>
      </c>
      <c r="P14" t="s">
        <v>1085</v>
      </c>
      <c r="Q14">
        <v>609788968726</v>
      </c>
      <c r="R14">
        <v>5000</v>
      </c>
      <c r="S14">
        <v>5041</v>
      </c>
      <c r="T14">
        <v>46248</v>
      </c>
      <c r="U14" t="s">
        <v>1090</v>
      </c>
      <c r="V14">
        <v>0</v>
      </c>
      <c r="W14">
        <v>0</v>
      </c>
      <c r="X14">
        <v>0</v>
      </c>
      <c r="Y14">
        <v>0</v>
      </c>
      <c r="Z14">
        <v>0</v>
      </c>
      <c r="AC14" t="str">
        <f>IF(OR(B14="",B14=0),"",$AJ$2&amp;"/"&amp;J14)</f>
        <v>/120</v>
      </c>
      <c r="AD14" t="e">
        <f t="shared" si="0"/>
        <v>#VALUE!</v>
      </c>
    </row>
    <row r="15" spans="1:781" ht="33" hidden="1" customHeight="1" x14ac:dyDescent="0.3">
      <c r="B15" s="14" t="str">
        <f>'2026 Orders'!B14</f>
        <v>Uganda</v>
      </c>
      <c r="C15" s="14" t="str">
        <f>'2026 Orders'!C14</f>
        <v>A4522</v>
      </c>
      <c r="D15" s="14">
        <v>0</v>
      </c>
      <c r="E15" s="17" t="str" cm="1">
        <f t="array" ref="E15">IF(C15=0,"",
HYPERLINK(
"#'2026 Orders'!C"&amp;
MATCH(1,
('2026 Orders'!C:C=C15)*
('2026 Orders'!G:G=G15)*
('2026 Orders'!N:N=N15),
0),
"Open "&amp;C15
))</f>
        <v>Open A4522</v>
      </c>
      <c r="F15" s="14">
        <v>0</v>
      </c>
      <c r="G15" s="14" t="str">
        <f>'2026 Orders'!G14</f>
        <v>QWELL4-30-SG-FD</v>
      </c>
      <c r="H15" s="14" t="str">
        <f>'2026 Orders'!H14</f>
        <v>QWELL4-30</v>
      </c>
      <c r="I15" s="15" t="str">
        <f>'2026 Orders'!I14</f>
        <v>FD</v>
      </c>
      <c r="J15" s="14">
        <f>'2026 Orders'!J14</f>
        <v>96</v>
      </c>
      <c r="K15" t="s">
        <v>443</v>
      </c>
      <c r="L15">
        <v>120</v>
      </c>
      <c r="N15" s="10" t="str">
        <f>'2026 Orders'!N14</f>
        <v>Picked</v>
      </c>
      <c r="O15">
        <v>0</v>
      </c>
      <c r="P15" t="s">
        <v>1077</v>
      </c>
      <c r="Q15">
        <v>609788968368</v>
      </c>
      <c r="R15">
        <v>7500</v>
      </c>
      <c r="S15">
        <v>4714</v>
      </c>
      <c r="T15" t="s">
        <v>1079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C15" t="str">
        <f>IF(OR(B15="",B15=0),"",$AJ$2&amp;"/"&amp;J15)</f>
        <v>/96</v>
      </c>
      <c r="AD15" t="e">
        <f t="shared" si="0"/>
        <v>#VALUE!</v>
      </c>
    </row>
    <row r="16" spans="1:781" ht="33" hidden="1" customHeight="1" x14ac:dyDescent="0.3">
      <c r="B16" s="14" t="str">
        <f>'2026 Orders'!B15</f>
        <v>Uganda</v>
      </c>
      <c r="C16" s="14" t="str">
        <f>'2026 Orders'!C15</f>
        <v>A4522</v>
      </c>
      <c r="D16" s="14">
        <v>0</v>
      </c>
      <c r="E16" s="17" t="str" cm="1">
        <f t="array" ref="E16">IF(C16=0,"",
HYPERLINK(
"#'2026 Orders'!C"&amp;
MATCH(1,
('2026 Orders'!C:C=C16)*
('2026 Orders'!G:G=G16)*
('2026 Orders'!N:N=N16),
0),
"Open "&amp;C16
))</f>
        <v>Open A4522</v>
      </c>
      <c r="F16" s="14" t="s">
        <v>1213</v>
      </c>
      <c r="G16" s="14" t="str">
        <f>'2026 Orders'!G15</f>
        <v>PROSTA-90-FD</v>
      </c>
      <c r="H16" s="14" t="str">
        <f>'2026 Orders'!H15</f>
        <v>PROSTA-90</v>
      </c>
      <c r="I16" s="15" t="str">
        <f>'2026 Orders'!I15</f>
        <v>FD</v>
      </c>
      <c r="J16" s="14">
        <f>'2026 Orders'!J15</f>
        <v>24</v>
      </c>
      <c r="K16" t="s">
        <v>444</v>
      </c>
      <c r="L16">
        <v>72</v>
      </c>
      <c r="N16" s="10" t="str">
        <f>'2026 Orders'!N15</f>
        <v>Picked</v>
      </c>
      <c r="O16" t="s">
        <v>1088</v>
      </c>
      <c r="P16" t="s">
        <v>1077</v>
      </c>
      <c r="Q16">
        <v>609788968214</v>
      </c>
      <c r="R16">
        <v>17633</v>
      </c>
      <c r="S16">
        <v>4858</v>
      </c>
      <c r="T16" t="s">
        <v>1079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C16" t="str">
        <f>IF(OR(B16="",B16=0),"",$AJ$2&amp;"/"&amp;J16)</f>
        <v>/24</v>
      </c>
      <c r="AD16" t="e">
        <f t="shared" si="0"/>
        <v>#VALUE!</v>
      </c>
    </row>
    <row r="17" spans="2:30" ht="33" hidden="1" customHeight="1" x14ac:dyDescent="0.3">
      <c r="B17" s="14" t="str">
        <f>'2026 Orders'!B16</f>
        <v>Uganda</v>
      </c>
      <c r="C17" s="14" t="str">
        <f>'2026 Orders'!C16</f>
        <v>A4522</v>
      </c>
      <c r="D17" s="14">
        <v>0</v>
      </c>
      <c r="E17" s="17" t="str" cm="1">
        <f t="array" ref="E17">IF(C17=0,"",
HYPERLINK(
"#'2026 Orders'!C"&amp;
MATCH(1,
('2026 Orders'!C:C=C17)*
('2026 Orders'!G:G=G17)*
('2026 Orders'!N:N=N17),
0),
"Open "&amp;C17
))</f>
        <v>Open A4522</v>
      </c>
      <c r="F17" s="14">
        <v>0</v>
      </c>
      <c r="G17" s="14" t="str">
        <f>'2026 Orders'!G16</f>
        <v>OVAMAX-120-FD</v>
      </c>
      <c r="H17" s="14" t="str">
        <f>'2026 Orders'!H16</f>
        <v>OVAMAX-120</v>
      </c>
      <c r="I17" s="15" t="str">
        <f>'2026 Orders'!I16</f>
        <v>FD</v>
      </c>
      <c r="J17" s="14">
        <f>'2026 Orders'!J16</f>
        <v>192</v>
      </c>
      <c r="K17" t="s">
        <v>445</v>
      </c>
      <c r="L17">
        <v>24</v>
      </c>
      <c r="N17" s="10" t="str">
        <f>'2026 Orders'!N16</f>
        <v>In Production</v>
      </c>
      <c r="O17">
        <v>0</v>
      </c>
      <c r="P17" t="s">
        <v>1077</v>
      </c>
      <c r="Q17">
        <v>609788968504</v>
      </c>
      <c r="R17">
        <v>4000</v>
      </c>
      <c r="S17">
        <v>4802</v>
      </c>
      <c r="T17" t="s">
        <v>1079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C17" t="str">
        <f>IF(OR(B17="",B17=0),"",$AJ$2&amp;"/"&amp;J17)</f>
        <v>/192</v>
      </c>
      <c r="AD17" t="e">
        <f t="shared" si="0"/>
        <v>#VALUE!</v>
      </c>
    </row>
    <row r="18" spans="2:30" ht="33" hidden="1" customHeight="1" x14ac:dyDescent="0.3">
      <c r="B18" s="14" t="str">
        <f>'2026 Orders'!B17</f>
        <v>Uganda</v>
      </c>
      <c r="C18" s="14" t="str">
        <f>'2026 Orders'!C17</f>
        <v>A4522</v>
      </c>
      <c r="D18" s="14">
        <v>0</v>
      </c>
      <c r="E18" s="17" t="str" cm="1">
        <f t="array" ref="E18">IF(C18=0,"",
HYPERLINK(
"#'2026 Orders'!C"&amp;
MATCH(1,
('2026 Orders'!C:C=C18)*
('2026 Orders'!G:G=G18)*
('2026 Orders'!N:N=N18),
0),
"Open "&amp;C18
))</f>
        <v>Open A4522</v>
      </c>
      <c r="F18" s="14" t="s">
        <v>446</v>
      </c>
      <c r="G18" s="14" t="str">
        <f>'2026 Orders'!G17</f>
        <v>WFSPLS-180-FD</v>
      </c>
      <c r="H18" s="14" t="str">
        <f>'2026 Orders'!H17</f>
        <v>WFSPLS-180</v>
      </c>
      <c r="I18" s="15" t="str">
        <f>'2026 Orders'!I17</f>
        <v>FD</v>
      </c>
      <c r="J18" s="14">
        <f>'2026 Orders'!J17</f>
        <v>48</v>
      </c>
      <c r="K18" t="s">
        <v>447</v>
      </c>
      <c r="L18">
        <v>0</v>
      </c>
      <c r="N18" s="10" t="str">
        <f>'2026 Orders'!N17</f>
        <v>Picked</v>
      </c>
      <c r="O18">
        <v>0</v>
      </c>
      <c r="P18" t="s">
        <v>1077</v>
      </c>
      <c r="Q18">
        <v>810131199586</v>
      </c>
      <c r="R18">
        <v>10775</v>
      </c>
      <c r="S18">
        <v>5055</v>
      </c>
      <c r="T18">
        <v>46250</v>
      </c>
      <c r="U18" t="s">
        <v>1091</v>
      </c>
      <c r="V18">
        <v>0</v>
      </c>
      <c r="W18">
        <v>0</v>
      </c>
      <c r="X18">
        <v>0</v>
      </c>
      <c r="Y18">
        <v>0</v>
      </c>
      <c r="Z18">
        <v>0</v>
      </c>
      <c r="AC18" t="str">
        <f>IF(OR(B18="",B18=0),"",$AJ$2&amp;"/"&amp;J18)</f>
        <v>/48</v>
      </c>
      <c r="AD18" t="e">
        <f t="shared" si="0"/>
        <v>#VALUE!</v>
      </c>
    </row>
    <row r="19" spans="2:30" ht="33" hidden="1" customHeight="1" x14ac:dyDescent="0.3">
      <c r="B19" s="14" t="str">
        <f>'2026 Orders'!B18</f>
        <v>Uganda</v>
      </c>
      <c r="C19" s="14" t="str">
        <f>'2026 Orders'!C18</f>
        <v>A4522</v>
      </c>
      <c r="D19" s="14">
        <v>0</v>
      </c>
      <c r="E19" s="17" t="str" cm="1">
        <f t="array" ref="E19">IF(C19=0,"",
HYPERLINK(
"#'2026 Orders'!C"&amp;
MATCH(1,
('2026 Orders'!C:C=C19)*
('2026 Orders'!G:G=G19)*
('2026 Orders'!N:N=N19),
0),
"Open "&amp;C19
))</f>
        <v>Open A4522</v>
      </c>
      <c r="F19" s="14" t="s">
        <v>1214</v>
      </c>
      <c r="G19" s="14" t="str">
        <f>'2026 Orders'!G18</f>
        <v>FERTMX-90-RE</v>
      </c>
      <c r="H19" s="14" t="str">
        <f>'2026 Orders'!H18</f>
        <v>FERTMX-90</v>
      </c>
      <c r="I19" s="15" t="str">
        <f>'2026 Orders'!I18</f>
        <v>RE</v>
      </c>
      <c r="J19" s="14">
        <f>'2026 Orders'!J18</f>
        <v>40</v>
      </c>
      <c r="K19" t="s">
        <v>438</v>
      </c>
      <c r="L19">
        <v>0</v>
      </c>
      <c r="N19" s="10" t="str">
        <f>'2026 Orders'!N18</f>
        <v>Picked</v>
      </c>
      <c r="O19">
        <v>0</v>
      </c>
      <c r="P19" t="s">
        <v>1077</v>
      </c>
      <c r="Q19">
        <v>609788968351</v>
      </c>
      <c r="R19">
        <v>9000</v>
      </c>
      <c r="S19">
        <v>4845</v>
      </c>
      <c r="T19" t="s">
        <v>1079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C19" t="str">
        <f>IF(OR(B19="",B19=0),"",$AJ$2&amp;"/"&amp;J19)</f>
        <v>/40</v>
      </c>
      <c r="AD19" t="e">
        <f t="shared" si="0"/>
        <v>#VALUE!</v>
      </c>
    </row>
    <row r="20" spans="2:30" ht="33" hidden="1" customHeight="1" x14ac:dyDescent="0.3">
      <c r="B20" s="14" t="str">
        <f>'2026 Orders'!B19</f>
        <v>Uganda</v>
      </c>
      <c r="C20" s="14" t="str">
        <f>'2026 Orders'!C19</f>
        <v>A4522</v>
      </c>
      <c r="D20" s="14">
        <v>0</v>
      </c>
      <c r="E20" s="17" t="str" cm="1">
        <f t="array" ref="E20">IF(C20=0,"",
HYPERLINK(
"#'2026 Orders'!C"&amp;
MATCH(1,
('2026 Orders'!C:C=C20)*
('2026 Orders'!G:G=G20)*
('2026 Orders'!N:N=N20),
0),
"Open "&amp;C20
))</f>
        <v>Open A4522</v>
      </c>
      <c r="F20" s="14" t="s">
        <v>1215</v>
      </c>
      <c r="G20" s="14" t="str">
        <f>'2026 Orders'!G19</f>
        <v>FERTMX-90-RE</v>
      </c>
      <c r="H20" s="14" t="str">
        <f>'2026 Orders'!H19</f>
        <v>FERTMX-90</v>
      </c>
      <c r="I20" s="15" t="str">
        <f>'2026 Orders'!I19</f>
        <v>RE</v>
      </c>
      <c r="J20" s="14">
        <f>'2026 Orders'!J19</f>
        <v>200</v>
      </c>
      <c r="K20" t="s">
        <v>441</v>
      </c>
      <c r="L20">
        <v>40</v>
      </c>
      <c r="N20" s="10" t="str">
        <f>'2026 Orders'!N19</f>
        <v>PO submitted</v>
      </c>
      <c r="O20">
        <v>0</v>
      </c>
      <c r="P20" t="s">
        <v>1085</v>
      </c>
      <c r="Q20">
        <v>609788968726</v>
      </c>
      <c r="R20">
        <v>5000</v>
      </c>
      <c r="S20">
        <v>5041</v>
      </c>
      <c r="T20">
        <v>46248</v>
      </c>
      <c r="U20" t="s">
        <v>1090</v>
      </c>
      <c r="V20">
        <v>0</v>
      </c>
      <c r="W20">
        <v>0</v>
      </c>
      <c r="X20">
        <v>0</v>
      </c>
      <c r="Y20">
        <v>0</v>
      </c>
      <c r="Z20">
        <v>0</v>
      </c>
      <c r="AC20" t="str">
        <f>IF(OR(B20="",B20=0),"",$AJ$2&amp;"/"&amp;J20)</f>
        <v>/200</v>
      </c>
      <c r="AD20" t="e">
        <f t="shared" si="0"/>
        <v>#VALUE!</v>
      </c>
    </row>
    <row r="21" spans="2:30" ht="33" hidden="1" customHeight="1" x14ac:dyDescent="0.3">
      <c r="B21" s="14" t="str">
        <f>'2026 Orders'!B20</f>
        <v>Uganda</v>
      </c>
      <c r="C21" s="14" t="str">
        <f>'2026 Orders'!C20</f>
        <v>A4522</v>
      </c>
      <c r="D21" s="14">
        <v>0</v>
      </c>
      <c r="E21" s="17" t="str" cm="1">
        <f t="array" ref="E21">IF(C21=0,"",
HYPERLINK(
"#'2026 Orders'!C"&amp;
MATCH(1,
('2026 Orders'!C:C=C21)*
('2026 Orders'!G:G=G21)*
('2026 Orders'!N:N=N21),
0),
"Open "&amp;C21
))</f>
        <v>Open A4522</v>
      </c>
      <c r="F21" s="14" t="s">
        <v>449</v>
      </c>
      <c r="G21" s="14" t="str">
        <f>'2026 Orders'!G20</f>
        <v>PENAMAX-60-GE-FD</v>
      </c>
      <c r="H21" s="14" t="str">
        <f>'2026 Orders'!H20</f>
        <v>PENAMAX-60</v>
      </c>
      <c r="I21" s="15" t="str">
        <f>'2026 Orders'!I20</f>
        <v>FD</v>
      </c>
      <c r="J21" s="14">
        <f>'2026 Orders'!J20</f>
        <v>96</v>
      </c>
      <c r="K21" t="s">
        <v>441</v>
      </c>
      <c r="L21">
        <v>0</v>
      </c>
      <c r="N21" s="10" t="str">
        <f>'2026 Orders'!N20</f>
        <v>Picked</v>
      </c>
      <c r="O21">
        <v>0</v>
      </c>
      <c r="P21" t="s">
        <v>1085</v>
      </c>
      <c r="Q21">
        <v>609788968726</v>
      </c>
      <c r="R21">
        <v>5000</v>
      </c>
      <c r="S21">
        <v>5041</v>
      </c>
      <c r="T21">
        <v>46248</v>
      </c>
      <c r="U21" t="s">
        <v>1090</v>
      </c>
      <c r="V21">
        <v>0</v>
      </c>
      <c r="W21">
        <v>0</v>
      </c>
      <c r="X21">
        <v>0</v>
      </c>
      <c r="Y21">
        <v>0</v>
      </c>
      <c r="Z21">
        <v>0</v>
      </c>
      <c r="AC21" t="str">
        <f>IF(OR(B21="",B21=0),"",$AJ$2&amp;"/"&amp;J21)</f>
        <v>/96</v>
      </c>
      <c r="AD21" t="e">
        <f t="shared" si="0"/>
        <v>#VALUE!</v>
      </c>
    </row>
    <row r="22" spans="2:30" ht="33" hidden="1" customHeight="1" x14ac:dyDescent="0.3">
      <c r="B22" s="14" t="str">
        <f>'2026 Orders'!B21</f>
        <v>Uganda</v>
      </c>
      <c r="C22" s="14" t="str">
        <f>'2026 Orders'!C21</f>
        <v>A4522</v>
      </c>
      <c r="D22" s="14" t="s">
        <v>450</v>
      </c>
      <c r="E22" s="17" t="str" cm="1">
        <f t="array" ref="E22">IF(C22=0,"",
HYPERLINK(
"#'2026 Orders'!C"&amp;
MATCH(1,
('2026 Orders'!C:C=C22)*
('2026 Orders'!G:G=G22)*
('2026 Orders'!N:N=N22),
0),
"Open "&amp;C22
))</f>
        <v>Open A4522</v>
      </c>
      <c r="F22" s="14">
        <v>0</v>
      </c>
      <c r="G22" s="14" t="str">
        <f>'2026 Orders'!G21</f>
        <v>DHEA50-60-FD</v>
      </c>
      <c r="H22" s="14" t="str">
        <f>'2026 Orders'!H21</f>
        <v>DHEA50-60</v>
      </c>
      <c r="I22" s="15" t="str">
        <f>'2026 Orders'!I21</f>
        <v>FD</v>
      </c>
      <c r="J22" s="14">
        <f>'2026 Orders'!J21</f>
        <v>72</v>
      </c>
      <c r="K22" t="s">
        <v>451</v>
      </c>
      <c r="L22">
        <v>96</v>
      </c>
      <c r="N22" s="10" t="str">
        <f>'2026 Orders'!N21</f>
        <v>In Production</v>
      </c>
      <c r="O22">
        <v>0</v>
      </c>
      <c r="P22" t="s">
        <v>1085</v>
      </c>
      <c r="Q22">
        <v>609788968702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C22" t="str">
        <f>IF(OR(B22="",B22=0),"",$AJ$2&amp;"/"&amp;J22)</f>
        <v>/72</v>
      </c>
      <c r="AD22" t="e">
        <f t="shared" si="0"/>
        <v>#VALUE!</v>
      </c>
    </row>
    <row r="23" spans="2:30" ht="33" hidden="1" customHeight="1" x14ac:dyDescent="0.3">
      <c r="B23" s="14" t="str">
        <f>'2026 Orders'!B22</f>
        <v>Uganda</v>
      </c>
      <c r="C23" s="14" t="str">
        <f>'2026 Orders'!C22</f>
        <v>A4522</v>
      </c>
      <c r="D23" s="14">
        <v>0</v>
      </c>
      <c r="E23" s="17" t="str" cm="1">
        <f t="array" ref="E23">IF(C23=0,"",
HYPERLINK(
"#'2026 Orders'!C"&amp;
MATCH(1,
('2026 Orders'!C:C=C23)*
('2026 Orders'!G:G=G23)*
('2026 Orders'!N:N=N23),
0),
"Open "&amp;C23
))</f>
        <v>Open A4522</v>
      </c>
      <c r="F23" s="14" t="s">
        <v>452</v>
      </c>
      <c r="G23" s="14" t="str">
        <f>'2026 Orders'!G22</f>
        <v>QWELL4-30-SG-FD</v>
      </c>
      <c r="H23" s="14" t="str">
        <f>'2026 Orders'!H22</f>
        <v>QWELL4-30</v>
      </c>
      <c r="I23" s="15" t="str">
        <f>'2026 Orders'!I22</f>
        <v>FD</v>
      </c>
      <c r="J23" s="14">
        <f>'2026 Orders'!J22</f>
        <v>48</v>
      </c>
      <c r="K23" t="s">
        <v>453</v>
      </c>
      <c r="L23">
        <v>0</v>
      </c>
      <c r="N23" s="10" t="str">
        <f>'2026 Orders'!N22</f>
        <v>Picked</v>
      </c>
      <c r="O23">
        <v>0</v>
      </c>
      <c r="P23" t="s">
        <v>1077</v>
      </c>
      <c r="Q23">
        <v>609788968221</v>
      </c>
      <c r="R23">
        <v>7000</v>
      </c>
      <c r="S23">
        <v>5027</v>
      </c>
      <c r="T23" t="s">
        <v>1079</v>
      </c>
      <c r="U23" t="s">
        <v>1092</v>
      </c>
      <c r="V23">
        <v>0</v>
      </c>
      <c r="W23">
        <v>0</v>
      </c>
      <c r="X23">
        <v>0</v>
      </c>
      <c r="Y23">
        <v>0</v>
      </c>
      <c r="Z23">
        <v>0</v>
      </c>
      <c r="AC23" t="str">
        <f>IF(OR(B23="",B23=0),"",$AJ$2&amp;"/"&amp;J23)</f>
        <v>/48</v>
      </c>
      <c r="AD23" t="e">
        <f t="shared" si="0"/>
        <v>#VALUE!</v>
      </c>
    </row>
    <row r="24" spans="2:30" ht="33" hidden="1" customHeight="1" x14ac:dyDescent="0.3">
      <c r="B24" s="14" t="str">
        <f>'2026 Orders'!B23</f>
        <v>Uganda</v>
      </c>
      <c r="C24" s="14" t="str">
        <f>'2026 Orders'!C23</f>
        <v>A4522</v>
      </c>
      <c r="D24" s="14">
        <v>0</v>
      </c>
      <c r="E24" s="17" t="str" cm="1">
        <f t="array" ref="E24">IF(C24=0,"",
HYPERLINK(
"#'2026 Orders'!C"&amp;
MATCH(1,
('2026 Orders'!C:C=C24)*
('2026 Orders'!G:G=G24)*
('2026 Orders'!N:N=N24),
0),
"Open "&amp;C24
))</f>
        <v>Open A4522</v>
      </c>
      <c r="F24" s="14" t="s">
        <v>1216</v>
      </c>
      <c r="G24" s="14" t="str">
        <f>'2026 Orders'!G23</f>
        <v>PRECON-180-FD</v>
      </c>
      <c r="H24" s="14" t="str">
        <f>'2026 Orders'!H23</f>
        <v>PRECON-180</v>
      </c>
      <c r="I24" s="15" t="str">
        <f>'2026 Orders'!I23</f>
        <v>FD</v>
      </c>
      <c r="J24" s="14">
        <f>'2026 Orders'!J23</f>
        <v>50</v>
      </c>
      <c r="K24" t="s">
        <v>444</v>
      </c>
      <c r="L24">
        <v>72</v>
      </c>
      <c r="N24" s="10" t="str">
        <f>'2026 Orders'!N23</f>
        <v>In Production</v>
      </c>
      <c r="O24">
        <v>0</v>
      </c>
      <c r="P24" t="s">
        <v>1077</v>
      </c>
      <c r="Q24" t="s">
        <v>1093</v>
      </c>
      <c r="R24">
        <v>17633</v>
      </c>
      <c r="S24">
        <v>4858</v>
      </c>
      <c r="T24" t="s">
        <v>1079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C24" t="str">
        <f>IF(OR(B24="",B24=0),"",$AJ$2&amp;"/"&amp;J24)</f>
        <v>/50</v>
      </c>
      <c r="AD24" t="e">
        <f t="shared" si="0"/>
        <v>#VALUE!</v>
      </c>
    </row>
    <row r="25" spans="2:30" ht="33" hidden="1" customHeight="1" x14ac:dyDescent="0.3">
      <c r="B25" s="14">
        <f>'2026 Orders'!B24</f>
        <v>0</v>
      </c>
      <c r="C25" s="14">
        <f>'2026 Orders'!C24</f>
        <v>0</v>
      </c>
      <c r="D25" s="14">
        <v>0</v>
      </c>
      <c r="E25" s="17" t="str" cm="1">
        <f t="array" ref="E25">IF(C25=0,"",
HYPERLINK(
"#'2026 Orders'!C"&amp;
MATCH(1,
('2026 Orders'!C:C=C25)*
('2026 Orders'!G:G=G25)*
('2026 Orders'!N:N=N25),
0),
"Open "&amp;C25
))</f>
        <v/>
      </c>
      <c r="F25" s="14" t="s">
        <v>454</v>
      </c>
      <c r="G25" s="14">
        <f>'2026 Orders'!G24</f>
        <v>0</v>
      </c>
      <c r="H25" s="14">
        <f>'2026 Orders'!H24</f>
        <v>0</v>
      </c>
      <c r="I25" s="15" t="str">
        <f>'2026 Orders'!I24</f>
        <v/>
      </c>
      <c r="J25" s="14">
        <f>'2026 Orders'!J24</f>
        <v>0</v>
      </c>
      <c r="K25" t="s">
        <v>455</v>
      </c>
      <c r="L25">
        <v>0</v>
      </c>
      <c r="N25" s="10">
        <f>'2026 Orders'!N24</f>
        <v>0</v>
      </c>
      <c r="O25">
        <v>0</v>
      </c>
      <c r="P25" t="s">
        <v>1077</v>
      </c>
      <c r="Q25">
        <v>609788968375</v>
      </c>
      <c r="R25">
        <v>5000</v>
      </c>
      <c r="S25">
        <v>5060</v>
      </c>
      <c r="T25" t="s">
        <v>1094</v>
      </c>
      <c r="U25" t="s">
        <v>1095</v>
      </c>
      <c r="V25">
        <v>0</v>
      </c>
      <c r="W25">
        <v>0</v>
      </c>
      <c r="X25">
        <v>0</v>
      </c>
      <c r="Y25">
        <v>0</v>
      </c>
      <c r="Z25">
        <v>0</v>
      </c>
      <c r="AC25" t="str">
        <f>IF(OR(B25="",B25=0),"",$AJ$2&amp;"/"&amp;J25)</f>
        <v/>
      </c>
      <c r="AD25" t="str">
        <f t="shared" si="0"/>
        <v/>
      </c>
    </row>
    <row r="26" spans="2:30" ht="33" hidden="1" customHeight="1" x14ac:dyDescent="0.3">
      <c r="B26" s="14" t="str">
        <f>'2026 Orders'!B25</f>
        <v>Morocco</v>
      </c>
      <c r="C26" s="14" t="str">
        <f>'2026 Orders'!C25</f>
        <v>A4518</v>
      </c>
      <c r="D26" s="14">
        <v>0</v>
      </c>
      <c r="E26" s="17" t="str" cm="1">
        <f t="array" ref="E26">IF(C26=0,"",
HYPERLINK(
"#'2026 Orders'!C"&amp;
MATCH(1,
('2026 Orders'!C:C=C26)*
('2026 Orders'!G:G=G26)*
('2026 Orders'!N:N=N26),
0),
"Open "&amp;C26
))</f>
        <v>Open A4518</v>
      </c>
      <c r="F26" s="14">
        <v>0</v>
      </c>
      <c r="G26" s="14" t="str">
        <f>'2026 Orders'!G25</f>
        <v>MOTILMX-60-FD</v>
      </c>
      <c r="H26" s="14" t="str">
        <f>'2026 Orders'!H25</f>
        <v>MOTILMX-60</v>
      </c>
      <c r="I26" s="15" t="str">
        <f>'2026 Orders'!I25</f>
        <v>FD</v>
      </c>
      <c r="J26" s="14">
        <f>'2026 Orders'!J25</f>
        <v>1</v>
      </c>
      <c r="K26">
        <v>0</v>
      </c>
      <c r="L26">
        <v>0</v>
      </c>
      <c r="N26" s="10" t="str">
        <f>'2026 Orders'!N25</f>
        <v>D/W Sent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C26" t="str">
        <f>IF(OR(B26="",B26=0),"",$AJ$2&amp;"/"&amp;J26)</f>
        <v>/1</v>
      </c>
      <c r="AD26" t="e">
        <f t="shared" si="0"/>
        <v>#VALUE!</v>
      </c>
    </row>
    <row r="27" spans="2:30" ht="33" hidden="1" customHeight="1" x14ac:dyDescent="0.3">
      <c r="B27" s="14" t="str">
        <f>'2026 Orders'!B26</f>
        <v>Morocco</v>
      </c>
      <c r="C27" s="14" t="str">
        <f>'2026 Orders'!C26</f>
        <v>A4518</v>
      </c>
      <c r="D27" s="14" t="s">
        <v>458</v>
      </c>
      <c r="E27" s="17" t="str" cm="1">
        <f t="array" ref="E27">IF(C27=0,"",
HYPERLINK(
"#'2026 Orders'!C"&amp;
MATCH(1,
('2026 Orders'!C:C=C27)*
('2026 Orders'!G:G=G27)*
('2026 Orders'!N:N=N27),
0),
"Open "&amp;C27
))</f>
        <v>Open A4518</v>
      </c>
      <c r="F27" s="14">
        <v>0</v>
      </c>
      <c r="G27" s="14" t="str">
        <f>'2026 Orders'!G26</f>
        <v>MFSPLS-60-FD</v>
      </c>
      <c r="H27" s="14" t="str">
        <f>'2026 Orders'!H26</f>
        <v>MFSPLS-60</v>
      </c>
      <c r="I27" s="15" t="str">
        <f>'2026 Orders'!I26</f>
        <v>FD</v>
      </c>
      <c r="J27" s="14">
        <f>'2026 Orders'!J26</f>
        <v>1</v>
      </c>
      <c r="K27" t="s">
        <v>460</v>
      </c>
      <c r="L27">
        <v>1</v>
      </c>
      <c r="N27" s="10" t="str">
        <f>'2026 Orders'!N26</f>
        <v>D/W Sent</v>
      </c>
      <c r="O27" t="s">
        <v>1096</v>
      </c>
      <c r="P27" t="s">
        <v>1077</v>
      </c>
      <c r="Q27">
        <v>609788968191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 t="s">
        <v>1083</v>
      </c>
      <c r="AC27" t="str">
        <f>IF(OR(B27="",B27=0),"",$AJ$2&amp;"/"&amp;J27)</f>
        <v>/1</v>
      </c>
      <c r="AD27" t="e">
        <f t="shared" si="0"/>
        <v>#VALUE!</v>
      </c>
    </row>
    <row r="28" spans="2:30" ht="33" hidden="1" customHeight="1" x14ac:dyDescent="0.3">
      <c r="B28" s="14" t="str">
        <f>'2026 Orders'!B27</f>
        <v>Morocco</v>
      </c>
      <c r="C28" s="14" t="str">
        <f>'2026 Orders'!C27</f>
        <v>A4518</v>
      </c>
      <c r="D28" s="14">
        <v>0</v>
      </c>
      <c r="E28" s="17" t="str" cm="1">
        <f t="array" ref="E28">IF(C28=0,"",
HYPERLINK(
"#'2026 Orders'!C"&amp;
MATCH(1,
('2026 Orders'!C:C=C28)*
('2026 Orders'!G:G=G28)*
('2026 Orders'!N:N=N28),
0),
"Open "&amp;C28
))</f>
        <v>Open A4518</v>
      </c>
      <c r="F28" s="14">
        <v>0</v>
      </c>
      <c r="G28" s="14" t="str">
        <f>'2026 Orders'!G27</f>
        <v>MFSPLS-120-FD</v>
      </c>
      <c r="H28" s="14" t="str">
        <f>'2026 Orders'!H27</f>
        <v>MFSPLS-120</v>
      </c>
      <c r="I28" s="15" t="str">
        <f>'2026 Orders'!I27</f>
        <v>FD</v>
      </c>
      <c r="J28" s="14">
        <f>'2026 Orders'!J27</f>
        <v>1</v>
      </c>
      <c r="K28" t="s">
        <v>461</v>
      </c>
      <c r="L28">
        <v>1</v>
      </c>
      <c r="N28" s="10" t="str">
        <f>'2026 Orders'!N27</f>
        <v>D/W Sent</v>
      </c>
      <c r="O28" t="s">
        <v>1097</v>
      </c>
      <c r="P28" t="s">
        <v>1077</v>
      </c>
      <c r="Q28">
        <v>609788968092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C28" t="str">
        <f>IF(OR(B28="",B28=0),"",$AJ$2&amp;"/"&amp;J28)</f>
        <v>/1</v>
      </c>
      <c r="AD28" t="e">
        <f t="shared" si="0"/>
        <v>#VALUE!</v>
      </c>
    </row>
    <row r="29" spans="2:30" ht="33" hidden="1" customHeight="1" x14ac:dyDescent="0.3">
      <c r="B29" s="14" t="str">
        <f>'2026 Orders'!B28</f>
        <v>Morocco</v>
      </c>
      <c r="C29" s="14" t="str">
        <f>'2026 Orders'!C28</f>
        <v>A4518</v>
      </c>
      <c r="D29" s="14">
        <v>0</v>
      </c>
      <c r="E29" s="17" t="str" cm="1">
        <f t="array" ref="E29">IF(C29=0,"",
HYPERLINK(
"#'2026 Orders'!C"&amp;
MATCH(1,
('2026 Orders'!C:C=C29)*
('2026 Orders'!G:G=G29)*
('2026 Orders'!N:N=N29),
0),
"Open "&amp;C29
))</f>
        <v>Open A4518</v>
      </c>
      <c r="F29" s="14">
        <v>0</v>
      </c>
      <c r="G29" s="14" t="str">
        <f>'2026 Orders'!G28</f>
        <v>POLYSIT-90-FD</v>
      </c>
      <c r="H29" s="14" t="str">
        <f>'2026 Orders'!H28</f>
        <v>POLYSIT-90</v>
      </c>
      <c r="I29" s="15" t="str">
        <f>'2026 Orders'!I28</f>
        <v>FD</v>
      </c>
      <c r="J29" s="14">
        <f>'2026 Orders'!J28</f>
        <v>1</v>
      </c>
      <c r="K29" t="s">
        <v>462</v>
      </c>
      <c r="L29">
        <v>1</v>
      </c>
      <c r="N29" s="10" t="str">
        <f>'2026 Orders'!N28</f>
        <v>D/W Sent</v>
      </c>
      <c r="O29">
        <v>0</v>
      </c>
      <c r="P29" t="s">
        <v>1077</v>
      </c>
      <c r="Q29">
        <v>609788968344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C29" t="str">
        <f>IF(OR(B29="",B29=0),"",$AJ$2&amp;"/"&amp;J29)</f>
        <v>/1</v>
      </c>
      <c r="AD29" t="e">
        <f t="shared" si="0"/>
        <v>#VALUE!</v>
      </c>
    </row>
    <row r="30" spans="2:30" ht="33" hidden="1" customHeight="1" x14ac:dyDescent="0.3">
      <c r="B30" s="14" t="str">
        <f>'2026 Orders'!B29</f>
        <v>Morocco</v>
      </c>
      <c r="C30" s="14" t="str">
        <f>'2026 Orders'!C29</f>
        <v>A4518</v>
      </c>
      <c r="D30" s="14">
        <v>0</v>
      </c>
      <c r="E30" s="17" t="str" cm="1">
        <f t="array" ref="E30">IF(C30=0,"",
HYPERLINK(
"#'2026 Orders'!C"&amp;
MATCH(1,
('2026 Orders'!C:C=C30)*
('2026 Orders'!G:G=G30)*
('2026 Orders'!N:N=N30),
0),
"Open "&amp;C30
))</f>
        <v>Open A4518</v>
      </c>
      <c r="F30" s="14">
        <v>0</v>
      </c>
      <c r="G30" s="14" t="str">
        <f>'2026 Orders'!G29</f>
        <v>PENAMAX-60-GE-FD</v>
      </c>
      <c r="H30" s="14" t="str">
        <f>'2026 Orders'!H29</f>
        <v>PENAMAX-60</v>
      </c>
      <c r="I30" s="15" t="str">
        <f>'2026 Orders'!I29</f>
        <v>FD</v>
      </c>
      <c r="J30" s="14">
        <f>'2026 Orders'!J29</f>
        <v>1</v>
      </c>
      <c r="K30" t="s">
        <v>463</v>
      </c>
      <c r="L30">
        <v>1</v>
      </c>
      <c r="N30" s="10" t="str">
        <f>'2026 Orders'!N29</f>
        <v>D/W Sent</v>
      </c>
      <c r="O30">
        <v>0</v>
      </c>
      <c r="P30" t="s">
        <v>1085</v>
      </c>
      <c r="Q30">
        <v>609788969006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C30" t="str">
        <f>IF(OR(B30="",B30=0),"",$AJ$2&amp;"/"&amp;J30)</f>
        <v>/1</v>
      </c>
      <c r="AD30" t="e">
        <f t="shared" si="0"/>
        <v>#VALUE!</v>
      </c>
    </row>
    <row r="31" spans="2:30" ht="33" hidden="1" customHeight="1" x14ac:dyDescent="0.3">
      <c r="B31" s="14" t="str">
        <f>'2026 Orders'!B30</f>
        <v>Morocco</v>
      </c>
      <c r="C31" s="14" t="str">
        <f>'2026 Orders'!C30</f>
        <v>A4518</v>
      </c>
      <c r="D31" s="14">
        <v>0</v>
      </c>
      <c r="E31" s="17" t="str" cm="1">
        <f t="array" ref="E31">IF(C31=0,"",
HYPERLINK(
"#'2026 Orders'!C"&amp;
MATCH(1,
('2026 Orders'!C:C=C31)*
('2026 Orders'!G:G=G31)*
('2026 Orders'!N:N=N31),
0),
"Open "&amp;C31
))</f>
        <v>Open A4518</v>
      </c>
      <c r="F31" s="14">
        <v>0</v>
      </c>
      <c r="G31" s="14" t="str">
        <f>'2026 Orders'!G30</f>
        <v>FERTMX-90-RE</v>
      </c>
      <c r="H31" s="14" t="str">
        <f>'2026 Orders'!H30</f>
        <v>FERTMX-90</v>
      </c>
      <c r="I31" s="15" t="str">
        <f>'2026 Orders'!I30</f>
        <v>RE</v>
      </c>
      <c r="J31" s="14">
        <f>'2026 Orders'!J30</f>
        <v>1</v>
      </c>
      <c r="K31" t="s">
        <v>451</v>
      </c>
      <c r="L31">
        <v>1</v>
      </c>
      <c r="N31" s="10" t="str">
        <f>'2026 Orders'!N30</f>
        <v>D/W Sent</v>
      </c>
      <c r="O31">
        <v>0</v>
      </c>
      <c r="P31" t="s">
        <v>1085</v>
      </c>
      <c r="Q31">
        <v>609788968702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C31" t="str">
        <f>IF(OR(B31="",B31=0),"",$AJ$2&amp;"/"&amp;J31)</f>
        <v>/1</v>
      </c>
      <c r="AD31" t="e">
        <f t="shared" si="0"/>
        <v>#VALUE!</v>
      </c>
    </row>
    <row r="32" spans="2:30" ht="33" hidden="1" customHeight="1" x14ac:dyDescent="0.3">
      <c r="B32" s="14" t="str">
        <f>'2026 Orders'!B31</f>
        <v>Morocco</v>
      </c>
      <c r="C32" s="14" t="str">
        <f>'2026 Orders'!C31</f>
        <v>A4518</v>
      </c>
      <c r="D32" s="14">
        <v>0</v>
      </c>
      <c r="E32" s="17" t="str" cm="1">
        <f t="array" ref="E32">IF(C32=0,"",
HYPERLINK(
"#'2026 Orders'!C"&amp;
MATCH(1,
('2026 Orders'!C:C=C32)*
('2026 Orders'!G:G=G32)*
('2026 Orders'!N:N=N32),
0),
"Open "&amp;C32
))</f>
        <v>Open A4518</v>
      </c>
      <c r="F32" s="14">
        <v>0</v>
      </c>
      <c r="G32" s="14" t="str">
        <f>'2026 Orders'!G31</f>
        <v>OVAMAX-120-FD</v>
      </c>
      <c r="H32" s="14" t="str">
        <f>'2026 Orders'!H31</f>
        <v>OVAMAX-120</v>
      </c>
      <c r="I32" s="15" t="str">
        <f>'2026 Orders'!I31</f>
        <v>FD</v>
      </c>
      <c r="J32" s="14">
        <f>'2026 Orders'!J31</f>
        <v>1</v>
      </c>
      <c r="K32" t="s">
        <v>441</v>
      </c>
      <c r="L32">
        <v>1</v>
      </c>
      <c r="N32" s="10" t="str">
        <f>'2026 Orders'!N31</f>
        <v>D/W Sent</v>
      </c>
      <c r="O32">
        <v>0</v>
      </c>
      <c r="P32" t="s">
        <v>1085</v>
      </c>
      <c r="Q32">
        <v>609788968726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C32" t="str">
        <f>IF(OR(B32="",B32=0),"",$AJ$2&amp;"/"&amp;J32)</f>
        <v>/1</v>
      </c>
      <c r="AD32" t="e">
        <f t="shared" si="0"/>
        <v>#VALUE!</v>
      </c>
    </row>
    <row r="33" spans="2:30" ht="33" hidden="1" customHeight="1" x14ac:dyDescent="0.3">
      <c r="B33" s="14" t="str">
        <f>'2026 Orders'!B32</f>
        <v>Morocco</v>
      </c>
      <c r="C33" s="14" t="str">
        <f>'2026 Orders'!C32</f>
        <v>A4518</v>
      </c>
      <c r="D33" s="14">
        <v>0</v>
      </c>
      <c r="E33" s="17" t="str" cm="1">
        <f t="array" ref="E33">IF(C33=0,"",
HYPERLINK(
"#'2026 Orders'!C"&amp;
MATCH(1,
('2026 Orders'!C:C=C33)*
('2026 Orders'!G:G=G33)*
('2026 Orders'!N:N=N33),
0),
"Open "&amp;C33
))</f>
        <v>Open A4518</v>
      </c>
      <c r="F33" s="14">
        <v>0</v>
      </c>
      <c r="G33" s="14" t="str">
        <f>'2026 Orders'!G32</f>
        <v>NMNH-60-FD</v>
      </c>
      <c r="H33" s="14" t="str">
        <f>'2026 Orders'!H32</f>
        <v>NMNH-60</v>
      </c>
      <c r="I33" s="15" t="str">
        <f>'2026 Orders'!I32</f>
        <v>FD</v>
      </c>
      <c r="J33" s="14">
        <f>'2026 Orders'!J32</f>
        <v>3</v>
      </c>
      <c r="K33" t="s">
        <v>447</v>
      </c>
      <c r="L33">
        <v>1</v>
      </c>
      <c r="N33" s="10" t="str">
        <f>'2026 Orders'!N32</f>
        <v>D/W Sent</v>
      </c>
      <c r="O33">
        <v>0</v>
      </c>
      <c r="P33" t="s">
        <v>1077</v>
      </c>
      <c r="Q33">
        <v>609788968399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C33" t="str">
        <f>IF(OR(B33="",B33=0),"",$AJ$2&amp;"/"&amp;J33)</f>
        <v>/3</v>
      </c>
      <c r="AD33" t="e">
        <f t="shared" si="0"/>
        <v>#VALUE!</v>
      </c>
    </row>
    <row r="34" spans="2:30" ht="33" hidden="1" customHeight="1" x14ac:dyDescent="0.3">
      <c r="B34" s="14">
        <f>'2026 Orders'!B33</f>
        <v>0</v>
      </c>
      <c r="C34" s="14">
        <f>'2026 Orders'!C33</f>
        <v>0</v>
      </c>
      <c r="D34" s="14">
        <v>0</v>
      </c>
      <c r="E34" s="17" t="str" cm="1">
        <f t="array" ref="E34">IF(C34=0,"",
HYPERLINK(
"#'2026 Orders'!C"&amp;
MATCH(1,
('2026 Orders'!C:C=C34)*
('2026 Orders'!G:G=G34)*
('2026 Orders'!N:N=N34),
0),
"Open "&amp;C34
))</f>
        <v/>
      </c>
      <c r="F34" s="14" t="s">
        <v>464</v>
      </c>
      <c r="G34" s="14">
        <f>'2026 Orders'!G33</f>
        <v>0</v>
      </c>
      <c r="H34" s="14">
        <f>'2026 Orders'!H33</f>
        <v>0</v>
      </c>
      <c r="I34" s="15" t="str">
        <f>'2026 Orders'!I33</f>
        <v/>
      </c>
      <c r="J34" s="14">
        <f>'2026 Orders'!J33</f>
        <v>0</v>
      </c>
      <c r="K34" t="s">
        <v>465</v>
      </c>
      <c r="L34">
        <v>3</v>
      </c>
      <c r="N34" s="10">
        <f>'2026 Orders'!N33</f>
        <v>0</v>
      </c>
      <c r="O34">
        <v>0</v>
      </c>
      <c r="P34" t="s">
        <v>1085</v>
      </c>
      <c r="Q34" t="s">
        <v>1098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C34" t="str">
        <f>IF(OR(B34="",B34=0),"",$AJ$2&amp;"/"&amp;J34)</f>
        <v/>
      </c>
      <c r="AD34" t="str">
        <f t="shared" si="0"/>
        <v/>
      </c>
    </row>
    <row r="35" spans="2:30" ht="33" hidden="1" customHeight="1" x14ac:dyDescent="0.3">
      <c r="B35" s="14" t="str">
        <f>'2026 Orders'!B34</f>
        <v>China</v>
      </c>
      <c r="C35" s="14" t="str">
        <f>'2026 Orders'!C34</f>
        <v>A4637</v>
      </c>
      <c r="D35" s="14">
        <v>0</v>
      </c>
      <c r="E35" s="17" t="str" cm="1">
        <f t="array" ref="E35">IF(C35=0,"",
HYPERLINK(
"#'2026 Orders'!C"&amp;
MATCH(1,
('2026 Orders'!C:C=C35)*
('2026 Orders'!G:G=G35)*
('2026 Orders'!N:N=N35),
0),
"Open "&amp;C35
))</f>
        <v>Open A4637</v>
      </c>
      <c r="F35" s="14">
        <v>0</v>
      </c>
      <c r="G35" s="14" t="str">
        <f>'2026 Orders'!G34</f>
        <v>OVAMAXPLUS-120-CS-CN</v>
      </c>
      <c r="H35" s="14" t="str">
        <f>'2026 Orders'!H34</f>
        <v>OVAMAXPLUS-120</v>
      </c>
      <c r="I35" s="15" t="str">
        <f>'2026 Orders'!I34</f>
        <v>CN</v>
      </c>
      <c r="J35" s="14">
        <f>'2026 Orders'!J34</f>
        <v>1100</v>
      </c>
      <c r="K35">
        <v>0</v>
      </c>
      <c r="L35">
        <v>0</v>
      </c>
      <c r="N35" s="10" t="str">
        <f>'2026 Orders'!N34</f>
        <v>D/W Sent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C35" t="str">
        <f>IF(OR(B35="",B35=0),"",$AJ$2&amp;"/"&amp;J35)</f>
        <v>/1100</v>
      </c>
      <c r="AD35" t="e">
        <f t="shared" si="0"/>
        <v>#VALUE!</v>
      </c>
    </row>
    <row r="36" spans="2:30" ht="33" hidden="1" customHeight="1" x14ac:dyDescent="0.3">
      <c r="B36" s="14">
        <f>'2026 Orders'!B35</f>
        <v>0</v>
      </c>
      <c r="C36" s="14">
        <f>'2026 Orders'!C35</f>
        <v>0</v>
      </c>
      <c r="D36" s="14">
        <v>0</v>
      </c>
      <c r="E36" s="17" t="str" cm="1">
        <f t="array" ref="E36">IF(C36=0,"",
HYPERLINK(
"#'2026 Orders'!C"&amp;
MATCH(1,
('2026 Orders'!C:C=C36)*
('2026 Orders'!G:G=G36)*
('2026 Orders'!N:N=N36),
0),
"Open "&amp;C36
))</f>
        <v/>
      </c>
      <c r="F36" s="14" t="s">
        <v>468</v>
      </c>
      <c r="G36" s="14">
        <f>'2026 Orders'!G35</f>
        <v>0</v>
      </c>
      <c r="H36" s="14">
        <f>'2026 Orders'!H35</f>
        <v>0</v>
      </c>
      <c r="I36" s="15" t="str">
        <f>'2026 Orders'!I35</f>
        <v/>
      </c>
      <c r="J36" s="14">
        <f>'2026 Orders'!J35</f>
        <v>0</v>
      </c>
      <c r="K36" t="s">
        <v>469</v>
      </c>
      <c r="L36">
        <v>1100</v>
      </c>
      <c r="N36" s="10">
        <f>'2026 Orders'!N35</f>
        <v>0</v>
      </c>
      <c r="O36" t="s">
        <v>1099</v>
      </c>
      <c r="P36" t="s">
        <v>1077</v>
      </c>
      <c r="Q36" t="s">
        <v>1100</v>
      </c>
      <c r="R36">
        <v>16000</v>
      </c>
      <c r="S36">
        <v>4823</v>
      </c>
      <c r="T36" t="s">
        <v>1079</v>
      </c>
      <c r="U36">
        <v>0</v>
      </c>
      <c r="V36">
        <v>0</v>
      </c>
      <c r="W36">
        <v>0</v>
      </c>
      <c r="X36">
        <v>0</v>
      </c>
      <c r="Y36">
        <v>0</v>
      </c>
      <c r="Z36" t="s">
        <v>1083</v>
      </c>
      <c r="AC36" t="str">
        <f>IF(OR(B36="",B36=0),"",$AJ$2&amp;"/"&amp;J36)</f>
        <v/>
      </c>
      <c r="AD36" t="str">
        <f t="shared" si="0"/>
        <v/>
      </c>
    </row>
    <row r="37" spans="2:30" ht="33" hidden="1" customHeight="1" x14ac:dyDescent="0.3">
      <c r="B37" s="14" t="str">
        <f>'2026 Orders'!B36</f>
        <v>Jordan</v>
      </c>
      <c r="C37" s="14" t="str">
        <f>'2026 Orders'!C36</f>
        <v>A4646</v>
      </c>
      <c r="D37" s="14">
        <v>0</v>
      </c>
      <c r="E37" s="17" t="str" cm="1">
        <f t="array" ref="E37">IF(C37=0,"",
HYPERLINK(
"#'2026 Orders'!C"&amp;
MATCH(1,
('2026 Orders'!C:C=C37)*
('2026 Orders'!G:G=G37)*
('2026 Orders'!N:N=N37),
0),
"Open "&amp;C37
))</f>
        <v>Open A4646</v>
      </c>
      <c r="F37" s="14">
        <v>0</v>
      </c>
      <c r="G37" s="14" t="str">
        <f>'2026 Orders'!G36</f>
        <v xml:space="preserve">FIBRO-10-CS-JO  </v>
      </c>
      <c r="H37" s="14" t="str">
        <f>'2026 Orders'!H36</f>
        <v>FIBRO-10</v>
      </c>
      <c r="I37" s="15" t="str">
        <f>'2026 Orders'!I36</f>
        <v xml:space="preserve">JO  </v>
      </c>
      <c r="J37" s="14">
        <f>'2026 Orders'!J36</f>
        <v>420</v>
      </c>
      <c r="K37">
        <v>0</v>
      </c>
      <c r="L37">
        <v>0</v>
      </c>
      <c r="N37" s="10" t="str">
        <f>'2026 Orders'!N36</f>
        <v>Available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C37" t="str">
        <f>IF(OR(B37="",B37=0),"",$AJ$2&amp;"/"&amp;J37)</f>
        <v>/420</v>
      </c>
      <c r="AD37" t="e">
        <f t="shared" si="0"/>
        <v>#VALUE!</v>
      </c>
    </row>
    <row r="38" spans="2:30" ht="33" hidden="1" customHeight="1" x14ac:dyDescent="0.3">
      <c r="B38" s="14" t="str">
        <f>'2026 Orders'!B37</f>
        <v>Jordan</v>
      </c>
      <c r="C38" s="14" t="str">
        <f>'2026 Orders'!C37</f>
        <v>A4646</v>
      </c>
      <c r="D38" s="14" t="s">
        <v>472</v>
      </c>
      <c r="E38" s="17" t="str" cm="1">
        <f t="array" ref="E38">IF(C38=0,"",
HYPERLINK(
"#'2026 Orders'!C"&amp;
MATCH(1,
('2026 Orders'!C:C=C38)*
('2026 Orders'!G:G=G38)*
('2026 Orders'!N:N=N38),
0),
"Open "&amp;C38
))</f>
        <v>Open A4646</v>
      </c>
      <c r="F38" s="14">
        <v>0</v>
      </c>
      <c r="G38" s="14" t="str">
        <f>'2026 Orders'!G37</f>
        <v>WFSPLS-30-CS-JO</v>
      </c>
      <c r="H38" s="14" t="str">
        <f>'2026 Orders'!H37</f>
        <v>WFSPLS-30</v>
      </c>
      <c r="I38" s="15" t="str">
        <f>'2026 Orders'!I37</f>
        <v>JO</v>
      </c>
      <c r="J38" s="14">
        <f>'2026 Orders'!J37</f>
        <v>345</v>
      </c>
      <c r="K38" t="s">
        <v>475</v>
      </c>
      <c r="L38">
        <v>429</v>
      </c>
      <c r="N38" s="10" t="str">
        <f>'2026 Orders'!N37</f>
        <v>Available</v>
      </c>
      <c r="O38" t="s">
        <v>1101</v>
      </c>
      <c r="P38" t="s">
        <v>1077</v>
      </c>
      <c r="Q38" t="s">
        <v>1102</v>
      </c>
      <c r="R38">
        <v>432</v>
      </c>
      <c r="S38">
        <v>5012</v>
      </c>
      <c r="T38" t="s">
        <v>1079</v>
      </c>
      <c r="U38">
        <v>0</v>
      </c>
      <c r="V38">
        <v>0</v>
      </c>
      <c r="W38">
        <v>0</v>
      </c>
      <c r="X38">
        <v>0</v>
      </c>
      <c r="Y38">
        <v>0</v>
      </c>
      <c r="Z38" t="s">
        <v>1086</v>
      </c>
      <c r="AC38" t="str">
        <f>IF(OR(B38="",B38=0),"",$AJ$2&amp;"/"&amp;J38)</f>
        <v>/345</v>
      </c>
      <c r="AD38" t="e">
        <f t="shared" si="0"/>
        <v>#VALUE!</v>
      </c>
    </row>
    <row r="39" spans="2:30" ht="33" hidden="1" customHeight="1" x14ac:dyDescent="0.3">
      <c r="B39" s="14" t="str">
        <f>'2026 Orders'!B38</f>
        <v>Jordan</v>
      </c>
      <c r="C39" s="14" t="str">
        <f>'2026 Orders'!C38</f>
        <v>A4646</v>
      </c>
      <c r="D39" s="14">
        <v>0</v>
      </c>
      <c r="E39" s="17" t="str" cm="1">
        <f t="array" ref="E39">IF(C39=0,"",
HYPERLINK(
"#'2026 Orders'!C"&amp;
MATCH(1,
('2026 Orders'!C:C=C39)*
('2026 Orders'!G:G=G39)*
('2026 Orders'!N:N=N39),
0),
"Open "&amp;C39
))</f>
        <v>Open A4646</v>
      </c>
      <c r="F39" s="14">
        <v>0</v>
      </c>
      <c r="G39" s="14" t="str">
        <f>'2026 Orders'!G38</f>
        <v>OVAMAX-20-CS-JO</v>
      </c>
      <c r="H39" s="14" t="str">
        <f>'2026 Orders'!H38</f>
        <v>OVAMAX-20</v>
      </c>
      <c r="I39" s="15" t="str">
        <f>'2026 Orders'!I38</f>
        <v>JO</v>
      </c>
      <c r="J39" s="14">
        <f>'2026 Orders'!J38</f>
        <v>300</v>
      </c>
      <c r="K39" t="s">
        <v>478</v>
      </c>
      <c r="L39">
        <v>421</v>
      </c>
      <c r="N39" s="10" t="str">
        <f>'2026 Orders'!N38</f>
        <v>Available</v>
      </c>
      <c r="O39">
        <v>0</v>
      </c>
      <c r="P39" t="s">
        <v>1077</v>
      </c>
      <c r="Q39" t="s">
        <v>1102</v>
      </c>
      <c r="R39">
        <v>352</v>
      </c>
      <c r="S39">
        <v>5016</v>
      </c>
      <c r="T39" t="s">
        <v>1103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C39" t="str">
        <f>IF(OR(B39="",B39=0),"",$AJ$2&amp;"/"&amp;J39)</f>
        <v>/300</v>
      </c>
      <c r="AD39" t="e">
        <f t="shared" si="0"/>
        <v>#VALUE!</v>
      </c>
    </row>
    <row r="40" spans="2:30" ht="33" hidden="1" customHeight="1" x14ac:dyDescent="0.3">
      <c r="B40" s="14" t="str">
        <f>'2026 Orders'!B39</f>
        <v>Jordan</v>
      </c>
      <c r="C40" s="14" t="str">
        <f>'2026 Orders'!C39</f>
        <v>A4646</v>
      </c>
      <c r="D40" s="14">
        <v>0</v>
      </c>
      <c r="E40" s="17" t="str" cm="1">
        <f t="array" ref="E40">IF(C40=0,"",
HYPERLINK(
"#'2026 Orders'!C"&amp;
MATCH(1,
('2026 Orders'!C:C=C40)*
('2026 Orders'!G:G=G40)*
('2026 Orders'!N:N=N40),
0),
"Open "&amp;C40
))</f>
        <v>Open A4646</v>
      </c>
      <c r="F40" s="14">
        <v>0</v>
      </c>
      <c r="G40" s="14" t="str">
        <f>'2026 Orders'!G39</f>
        <v>DHEA50-5-CS-JO</v>
      </c>
      <c r="H40" s="14" t="str">
        <f>'2026 Orders'!H39</f>
        <v>DHEA50-5</v>
      </c>
      <c r="I40" s="15" t="str">
        <f>'2026 Orders'!I39</f>
        <v>JO</v>
      </c>
      <c r="J40" s="14">
        <f>'2026 Orders'!J39</f>
        <v>300</v>
      </c>
      <c r="K40" t="s">
        <v>480</v>
      </c>
      <c r="L40">
        <v>297</v>
      </c>
      <c r="N40" s="10" t="str">
        <f>'2026 Orders'!N39</f>
        <v>Available</v>
      </c>
      <c r="O40">
        <v>0</v>
      </c>
      <c r="P40" t="s">
        <v>1077</v>
      </c>
      <c r="Q40" t="s">
        <v>1102</v>
      </c>
      <c r="R40">
        <v>300</v>
      </c>
      <c r="S40">
        <v>5017</v>
      </c>
      <c r="T40" t="s">
        <v>1079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C40" t="str">
        <f>IF(OR(B40="",B40=0),"",$AJ$2&amp;"/"&amp;J40)</f>
        <v>/300</v>
      </c>
      <c r="AD40" t="e">
        <f t="shared" si="0"/>
        <v>#VALUE!</v>
      </c>
    </row>
    <row r="41" spans="2:30" ht="33" hidden="1" customHeight="1" x14ac:dyDescent="0.3">
      <c r="B41" s="14">
        <f>'2026 Orders'!B40</f>
        <v>0</v>
      </c>
      <c r="C41" s="14">
        <f>'2026 Orders'!C40</f>
        <v>0</v>
      </c>
      <c r="D41" s="14">
        <v>0</v>
      </c>
      <c r="E41" s="17" t="str" cm="1">
        <f t="array" ref="E41">IF(C41=0,"",
HYPERLINK(
"#'2026 Orders'!C"&amp;
MATCH(1,
('2026 Orders'!C:C=C41)*
('2026 Orders'!G:G=G41)*
('2026 Orders'!N:N=N41),
0),
"Open "&amp;C41
))</f>
        <v/>
      </c>
      <c r="F41" s="14">
        <v>0</v>
      </c>
      <c r="G41" s="14">
        <f>'2026 Orders'!G40</f>
        <v>0</v>
      </c>
      <c r="H41" s="14">
        <f>'2026 Orders'!H40</f>
        <v>0</v>
      </c>
      <c r="I41" s="15" t="str">
        <f>'2026 Orders'!I40</f>
        <v/>
      </c>
      <c r="J41" s="14">
        <f>'2026 Orders'!J40</f>
        <v>0</v>
      </c>
      <c r="K41" t="s">
        <v>482</v>
      </c>
      <c r="L41">
        <v>355</v>
      </c>
      <c r="N41" s="10">
        <f>'2026 Orders'!N40</f>
        <v>0</v>
      </c>
      <c r="O41">
        <v>0</v>
      </c>
      <c r="P41" t="s">
        <v>1077</v>
      </c>
      <c r="Q41" t="s">
        <v>1102</v>
      </c>
      <c r="R41">
        <v>300</v>
      </c>
      <c r="S41">
        <v>5018</v>
      </c>
      <c r="T41" t="s">
        <v>1079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C41" t="str">
        <f>IF(OR(B41="",B41=0),"",$AJ$2&amp;"/"&amp;J41)</f>
        <v/>
      </c>
      <c r="AD41" t="str">
        <f t="shared" si="0"/>
        <v/>
      </c>
    </row>
    <row r="42" spans="2:30" ht="33" hidden="1" customHeight="1" x14ac:dyDescent="0.3">
      <c r="B42" s="14" t="str">
        <f>'2026 Orders'!B41</f>
        <v>Ethiopia</v>
      </c>
      <c r="C42" s="14" t="str">
        <f>'2026 Orders'!C41</f>
        <v>A4591</v>
      </c>
      <c r="D42" s="14">
        <v>0</v>
      </c>
      <c r="E42" s="17" t="str" cm="1">
        <f t="array" ref="E42">IF(C42=0,"",
HYPERLINK(
"#'2026 Orders'!C"&amp;
MATCH(1,
('2026 Orders'!C:C=C42)*
('2026 Orders'!G:G=G42)*
('2026 Orders'!N:N=N42),
0),
"Open "&amp;C42
))</f>
        <v>Open A4591</v>
      </c>
      <c r="F42" s="14">
        <v>0</v>
      </c>
      <c r="G42" s="14" t="str">
        <f>'2026 Orders'!G41</f>
        <v>MFSPLS-120-FD</v>
      </c>
      <c r="H42" s="14" t="str">
        <f>'2026 Orders'!H41</f>
        <v>MFSPLS-120</v>
      </c>
      <c r="I42" s="15" t="str">
        <f>'2026 Orders'!I41</f>
        <v>FD</v>
      </c>
      <c r="J42" s="14">
        <f>'2026 Orders'!J41</f>
        <v>817</v>
      </c>
      <c r="K42">
        <v>0</v>
      </c>
      <c r="L42">
        <v>0</v>
      </c>
      <c r="N42" s="10" t="str">
        <f>'2026 Orders'!N41</f>
        <v>In Production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C42" t="str">
        <f>IF(OR(B42="",B42=0),"",$AJ$2&amp;"/"&amp;J42)</f>
        <v>/817</v>
      </c>
      <c r="AD42" t="e">
        <f t="shared" si="0"/>
        <v>#VALUE!</v>
      </c>
    </row>
    <row r="43" spans="2:30" ht="33" hidden="1" customHeight="1" x14ac:dyDescent="0.3">
      <c r="B43" s="14" t="str">
        <f>'2026 Orders'!B42</f>
        <v>Ethiopia</v>
      </c>
      <c r="C43" s="14" t="str">
        <f>'2026 Orders'!C42</f>
        <v>A4591</v>
      </c>
      <c r="D43" s="14" t="s">
        <v>485</v>
      </c>
      <c r="E43" s="17" t="str" cm="1">
        <f t="array" ref="E43">IF(C43=0,"",
HYPERLINK(
"#'2026 Orders'!C"&amp;
MATCH(1,
('2026 Orders'!C:C=C43)*
('2026 Orders'!G:G=G43)*
('2026 Orders'!N:N=N43),
0),
"Open "&amp;C43
))</f>
        <v>Open A4591</v>
      </c>
      <c r="F43" s="14" t="s">
        <v>487</v>
      </c>
      <c r="G43" s="14" t="str">
        <f>'2026 Orders'!G42</f>
        <v>WFSPLS-180-FD</v>
      </c>
      <c r="H43" s="14" t="str">
        <f>'2026 Orders'!H42</f>
        <v>WFSPLS-180</v>
      </c>
      <c r="I43" s="15" t="str">
        <f>'2026 Orders'!I42</f>
        <v>FD</v>
      </c>
      <c r="J43" s="14">
        <f>'2026 Orders'!J42</f>
        <v>77</v>
      </c>
      <c r="K43" t="s">
        <v>462</v>
      </c>
      <c r="L43">
        <v>817</v>
      </c>
      <c r="N43" s="10" t="str">
        <f>'2026 Orders'!N42</f>
        <v>Picked</v>
      </c>
      <c r="O43">
        <v>0</v>
      </c>
      <c r="P43" t="s">
        <v>1077</v>
      </c>
      <c r="Q43">
        <v>609788968344</v>
      </c>
      <c r="R43">
        <v>9195</v>
      </c>
      <c r="S43">
        <v>5032</v>
      </c>
      <c r="T43" t="s">
        <v>1094</v>
      </c>
      <c r="U43" t="s">
        <v>1104</v>
      </c>
      <c r="V43" t="s">
        <v>488</v>
      </c>
      <c r="W43" t="s">
        <v>488</v>
      </c>
      <c r="X43">
        <v>0</v>
      </c>
      <c r="Y43" t="s">
        <v>488</v>
      </c>
      <c r="Z43" t="s">
        <v>1086</v>
      </c>
      <c r="AC43" t="str">
        <f>IF(OR(B43="",B43=0),"",$AJ$2&amp;"/"&amp;J43)</f>
        <v>/77</v>
      </c>
      <c r="AD43" t="e">
        <f t="shared" si="0"/>
        <v>#VALUE!</v>
      </c>
    </row>
    <row r="44" spans="2:30" ht="33" hidden="1" customHeight="1" x14ac:dyDescent="0.3">
      <c r="B44" s="14" t="str">
        <f>'2026 Orders'!B43</f>
        <v>Ethiopia</v>
      </c>
      <c r="C44" s="14" t="str">
        <f>'2026 Orders'!C43</f>
        <v>A4591</v>
      </c>
      <c r="D44" s="14" t="s">
        <v>488</v>
      </c>
      <c r="E44" s="17" t="str" cm="1">
        <f t="array" ref="E44">IF(C44=0,"",
HYPERLINK(
"#'2026 Orders'!C"&amp;
MATCH(1,
('2026 Orders'!C:C=C44)*
('2026 Orders'!G:G=G44)*
('2026 Orders'!N:N=N44),
0),
"Open "&amp;C44
))</f>
        <v>Open A4591</v>
      </c>
      <c r="F44" s="14" t="s">
        <v>489</v>
      </c>
      <c r="G44" s="14" t="str">
        <f>'2026 Orders'!G43</f>
        <v>OVAMAX-120-FD</v>
      </c>
      <c r="H44" s="14" t="str">
        <f>'2026 Orders'!H43</f>
        <v>OVAMAX-120</v>
      </c>
      <c r="I44" s="15" t="str">
        <f>'2026 Orders'!I43</f>
        <v>FD</v>
      </c>
      <c r="J44" s="14">
        <f>'2026 Orders'!J43</f>
        <v>480</v>
      </c>
      <c r="K44" t="s">
        <v>438</v>
      </c>
      <c r="L44">
        <v>77</v>
      </c>
      <c r="N44" s="10" t="str">
        <f>'2026 Orders'!N43</f>
        <v>Picked</v>
      </c>
      <c r="O44" t="s">
        <v>1105</v>
      </c>
      <c r="P44" t="s">
        <v>1077</v>
      </c>
      <c r="Q44">
        <v>609788968351</v>
      </c>
      <c r="R44">
        <v>9000</v>
      </c>
      <c r="S44">
        <v>4845</v>
      </c>
      <c r="T44" t="s">
        <v>1079</v>
      </c>
      <c r="U44">
        <v>0</v>
      </c>
      <c r="V44" t="s">
        <v>488</v>
      </c>
      <c r="W44" t="s">
        <v>488</v>
      </c>
      <c r="X44">
        <v>0</v>
      </c>
      <c r="Y44" t="s">
        <v>488</v>
      </c>
      <c r="Z44">
        <v>0</v>
      </c>
      <c r="AC44" t="str">
        <f>IF(OR(B44="",B44=0),"",$AJ$2&amp;"/"&amp;J44)</f>
        <v>/480</v>
      </c>
      <c r="AD44" t="e">
        <f t="shared" si="0"/>
        <v>#VALUE!</v>
      </c>
    </row>
    <row r="45" spans="2:30" ht="33" hidden="1" customHeight="1" x14ac:dyDescent="0.3">
      <c r="B45" s="14" t="str">
        <f>'2026 Orders'!B44</f>
        <v>Ethiopia</v>
      </c>
      <c r="C45" s="14" t="str">
        <f>'2026 Orders'!C44</f>
        <v>A4591</v>
      </c>
      <c r="D45" s="14" t="s">
        <v>488</v>
      </c>
      <c r="E45" s="17" t="str" cm="1">
        <f t="array" ref="E45">IF(C45=0,"",
HYPERLINK(
"#'2026 Orders'!C"&amp;
MATCH(1,
('2026 Orders'!C:C=C45)*
('2026 Orders'!G:G=G45)*
('2026 Orders'!N:N=N45),
0),
"Open "&amp;C45
))</f>
        <v>Open A4591</v>
      </c>
      <c r="F45" s="14" t="s">
        <v>1217</v>
      </c>
      <c r="G45" s="14" t="str">
        <f>'2026 Orders'!G44</f>
        <v>FERTMX-90-RE</v>
      </c>
      <c r="H45" s="14" t="str">
        <f>'2026 Orders'!H44</f>
        <v>FERTMX-90</v>
      </c>
      <c r="I45" s="15" t="str">
        <f>'2026 Orders'!I44</f>
        <v>RE</v>
      </c>
      <c r="J45" s="14">
        <f>'2026 Orders'!J44</f>
        <v>528</v>
      </c>
      <c r="K45" t="s">
        <v>447</v>
      </c>
      <c r="L45">
        <v>0</v>
      </c>
      <c r="N45" s="10" t="str">
        <f>'2026 Orders'!N44</f>
        <v>PO submitted</v>
      </c>
      <c r="O45">
        <v>0</v>
      </c>
      <c r="P45" t="s">
        <v>1077</v>
      </c>
      <c r="Q45">
        <v>609788968399</v>
      </c>
      <c r="R45">
        <v>7419</v>
      </c>
      <c r="S45">
        <v>5107</v>
      </c>
      <c r="T45">
        <v>46286</v>
      </c>
      <c r="U45" t="s">
        <v>1089</v>
      </c>
      <c r="V45">
        <v>0</v>
      </c>
      <c r="W45" t="s">
        <v>488</v>
      </c>
      <c r="X45">
        <v>0</v>
      </c>
      <c r="Y45" t="s">
        <v>488</v>
      </c>
      <c r="Z45">
        <v>0</v>
      </c>
      <c r="AC45" t="str">
        <f>IF(OR(B45="",B45=0),"",$AJ$2&amp;"/"&amp;J45)</f>
        <v>/528</v>
      </c>
      <c r="AD45" t="e">
        <f t="shared" si="0"/>
        <v>#VALUE!</v>
      </c>
    </row>
    <row r="46" spans="2:30" ht="33" hidden="1" customHeight="1" x14ac:dyDescent="0.3">
      <c r="B46" s="14" t="str">
        <f>'2026 Orders'!B45</f>
        <v>Ethiopia</v>
      </c>
      <c r="C46" s="14" t="str">
        <f>'2026 Orders'!C45</f>
        <v>A4591</v>
      </c>
      <c r="D46" s="14" t="s">
        <v>488</v>
      </c>
      <c r="E46" s="17" t="str" cm="1">
        <f t="array" ref="E46">IF(C46=0,"",
HYPERLINK(
"#'2026 Orders'!C"&amp;
MATCH(1,
('2026 Orders'!C:C=C46)*
('2026 Orders'!G:G=G46)*
('2026 Orders'!N:N=N46),
0),
"Open "&amp;C46
))</f>
        <v>Open A4591</v>
      </c>
      <c r="F46" s="14" t="s">
        <v>491</v>
      </c>
      <c r="G46" s="14" t="str">
        <f>'2026 Orders'!G45</f>
        <v>FERTMX-90-RE</v>
      </c>
      <c r="H46" s="14" t="str">
        <f>'2026 Orders'!H45</f>
        <v>FERTMX-90</v>
      </c>
      <c r="I46" s="15" t="str">
        <f>'2026 Orders'!I45</f>
        <v>RE</v>
      </c>
      <c r="J46" s="14">
        <f>'2026 Orders'!J45</f>
        <v>192</v>
      </c>
      <c r="K46" t="s">
        <v>441</v>
      </c>
      <c r="L46">
        <v>528</v>
      </c>
      <c r="N46" s="10" t="str">
        <f>'2026 Orders'!N45</f>
        <v>Picked</v>
      </c>
      <c r="O46">
        <v>0</v>
      </c>
      <c r="P46" t="s">
        <v>1085</v>
      </c>
      <c r="Q46">
        <v>609788968726</v>
      </c>
      <c r="R46">
        <v>5000</v>
      </c>
      <c r="S46">
        <v>5041</v>
      </c>
      <c r="T46">
        <v>46248</v>
      </c>
      <c r="U46" t="s">
        <v>1090</v>
      </c>
      <c r="V46" t="s">
        <v>488</v>
      </c>
      <c r="W46" t="s">
        <v>488</v>
      </c>
      <c r="X46">
        <v>0</v>
      </c>
      <c r="Y46" t="s">
        <v>488</v>
      </c>
      <c r="Z46">
        <v>0</v>
      </c>
      <c r="AC46" t="str">
        <f>IF(OR(B46="",B46=0),"",$AJ$2&amp;"/"&amp;J46)</f>
        <v>/192</v>
      </c>
      <c r="AD46" t="e">
        <f t="shared" si="0"/>
        <v>#VALUE!</v>
      </c>
    </row>
    <row r="47" spans="2:30" ht="33" hidden="1" customHeight="1" x14ac:dyDescent="0.3">
      <c r="B47" s="14" t="str">
        <f>'2026 Orders'!B46</f>
        <v>Ethiopia</v>
      </c>
      <c r="C47" s="14" t="str">
        <f>'2026 Orders'!C46</f>
        <v>A4591</v>
      </c>
      <c r="D47" s="14">
        <v>0</v>
      </c>
      <c r="E47" s="17" t="str" cm="1">
        <f t="array" ref="E47">IF(C47=0,"",
HYPERLINK(
"#'2026 Orders'!C"&amp;
MATCH(1,
('2026 Orders'!C:C=C47)*
('2026 Orders'!G:G=G47)*
('2026 Orders'!N:N=N47),
0),
"Open "&amp;C47
))</f>
        <v>Open A4591</v>
      </c>
      <c r="F47" s="14" t="s">
        <v>1218</v>
      </c>
      <c r="G47" s="14" t="str">
        <f>'2026 Orders'!G46</f>
        <v>DHEA50-60-FD</v>
      </c>
      <c r="H47" s="14" t="str">
        <f>'2026 Orders'!H46</f>
        <v>DHEA50-60</v>
      </c>
      <c r="I47" s="15" t="str">
        <f>'2026 Orders'!I46</f>
        <v>FD</v>
      </c>
      <c r="J47" s="14">
        <f>'2026 Orders'!J46</f>
        <v>120</v>
      </c>
      <c r="K47" t="s">
        <v>441</v>
      </c>
      <c r="L47">
        <v>192</v>
      </c>
      <c r="N47" s="10" t="str">
        <f>'2026 Orders'!N46</f>
        <v>In Production</v>
      </c>
      <c r="O47">
        <v>0</v>
      </c>
      <c r="P47" t="s">
        <v>1085</v>
      </c>
      <c r="Q47">
        <v>609788968726</v>
      </c>
      <c r="R47">
        <v>5000</v>
      </c>
      <c r="S47">
        <v>5041</v>
      </c>
      <c r="T47">
        <v>46248</v>
      </c>
      <c r="U47" t="s">
        <v>1090</v>
      </c>
      <c r="V47">
        <v>0</v>
      </c>
      <c r="W47">
        <v>0</v>
      </c>
      <c r="X47">
        <v>0</v>
      </c>
      <c r="Y47">
        <v>0</v>
      </c>
      <c r="Z47">
        <v>0</v>
      </c>
      <c r="AC47" t="str">
        <f>IF(OR(B47="",B47=0),"",$AJ$2&amp;"/"&amp;J47)</f>
        <v>/120</v>
      </c>
      <c r="AD47" t="e">
        <f t="shared" si="0"/>
        <v>#VALUE!</v>
      </c>
    </row>
    <row r="48" spans="2:30" ht="33" hidden="1" customHeight="1" x14ac:dyDescent="0.3">
      <c r="B48" s="14" t="str">
        <f>'2026 Orders'!B47</f>
        <v>Ethiopia</v>
      </c>
      <c r="C48" s="14" t="str">
        <f>'2026 Orders'!C47</f>
        <v>A4591</v>
      </c>
      <c r="D48" s="14">
        <v>0</v>
      </c>
      <c r="E48" s="17" t="str" cm="1">
        <f t="array" ref="E48">IF(C48=0,"",
HYPERLINK(
"#'2026 Orders'!C"&amp;
MATCH(1,
('2026 Orders'!C:C=C48)*
('2026 Orders'!G:G=G48)*
('2026 Orders'!N:N=N48),
0),
"Open "&amp;C48
))</f>
        <v>Open A4591</v>
      </c>
      <c r="F48" s="14" t="s">
        <v>492</v>
      </c>
      <c r="G48" s="14" t="str">
        <f>'2026 Orders'!G47</f>
        <v>PENAMAX-60-GE-FD</v>
      </c>
      <c r="H48" s="14" t="str">
        <f>'2026 Orders'!H47</f>
        <v>PENAMAX-60</v>
      </c>
      <c r="I48" s="15" t="str">
        <f>'2026 Orders'!I47</f>
        <v>FD</v>
      </c>
      <c r="J48" s="14">
        <f>'2026 Orders'!J47</f>
        <v>205</v>
      </c>
      <c r="K48" t="s">
        <v>493</v>
      </c>
      <c r="L48">
        <v>120</v>
      </c>
      <c r="N48" s="10" t="str">
        <f>'2026 Orders'!N47</f>
        <v>Picked</v>
      </c>
      <c r="O48">
        <v>0</v>
      </c>
      <c r="P48" t="s">
        <v>1077</v>
      </c>
      <c r="Q48">
        <v>609788968221</v>
      </c>
      <c r="R48">
        <v>7000</v>
      </c>
      <c r="S48">
        <v>5027</v>
      </c>
      <c r="T48" t="s">
        <v>1079</v>
      </c>
      <c r="U48" t="s">
        <v>1092</v>
      </c>
      <c r="V48" t="s">
        <v>488</v>
      </c>
      <c r="W48" t="s">
        <v>488</v>
      </c>
      <c r="X48">
        <v>0</v>
      </c>
      <c r="Y48" t="s">
        <v>488</v>
      </c>
      <c r="Z48">
        <v>0</v>
      </c>
      <c r="AC48" t="str">
        <f>IF(OR(B48="",B48=0),"",$AJ$2&amp;"/"&amp;J48)</f>
        <v>/205</v>
      </c>
      <c r="AD48" t="e">
        <f t="shared" si="0"/>
        <v>#VALUE!</v>
      </c>
    </row>
    <row r="49" spans="2:30" ht="33" hidden="1" customHeight="1" x14ac:dyDescent="0.3">
      <c r="B49" s="14" t="str">
        <f>'2026 Orders'!B48</f>
        <v>Ethiopia</v>
      </c>
      <c r="C49" s="14" t="str">
        <f>'2026 Orders'!C48</f>
        <v>A4591</v>
      </c>
      <c r="D49" s="14" t="s">
        <v>488</v>
      </c>
      <c r="E49" s="17" t="str" cm="1">
        <f t="array" ref="E49">IF(C49=0,"",
HYPERLINK(
"#'2026 Orders'!C"&amp;
MATCH(1,
('2026 Orders'!C:C=C49)*
('2026 Orders'!G:G=G49)*
('2026 Orders'!N:N=N49),
0),
"Open "&amp;C49
))</f>
        <v>Open A4591</v>
      </c>
      <c r="F49" s="14" t="s">
        <v>494</v>
      </c>
      <c r="G49" s="14" t="str">
        <f>'2026 Orders'!G48</f>
        <v>PRECON-180-FD</v>
      </c>
      <c r="H49" s="14" t="str">
        <f>'2026 Orders'!H48</f>
        <v>PRECON-180</v>
      </c>
      <c r="I49" s="15" t="str">
        <f>'2026 Orders'!I48</f>
        <v>FD</v>
      </c>
      <c r="J49" s="14">
        <f>'2026 Orders'!J48</f>
        <v>245</v>
      </c>
      <c r="K49" t="s">
        <v>451</v>
      </c>
      <c r="L49">
        <v>205</v>
      </c>
      <c r="N49" s="10" t="str">
        <f>'2026 Orders'!N48</f>
        <v>In Production</v>
      </c>
      <c r="O49">
        <v>0</v>
      </c>
      <c r="P49" t="s">
        <v>1085</v>
      </c>
      <c r="Q49">
        <v>609788968702</v>
      </c>
      <c r="R49" t="s">
        <v>488</v>
      </c>
      <c r="S49" t="s">
        <v>488</v>
      </c>
      <c r="T49" t="s">
        <v>488</v>
      </c>
      <c r="U49" t="s">
        <v>488</v>
      </c>
      <c r="V49" t="s">
        <v>488</v>
      </c>
      <c r="W49" t="s">
        <v>488</v>
      </c>
      <c r="X49">
        <v>0</v>
      </c>
      <c r="Y49" t="s">
        <v>488</v>
      </c>
      <c r="Z49">
        <v>0</v>
      </c>
      <c r="AC49" t="str">
        <f>IF(OR(B49="",B49=0),"",$AJ$2&amp;"/"&amp;J49)</f>
        <v>/245</v>
      </c>
      <c r="AD49" t="e">
        <f t="shared" si="0"/>
        <v>#VALUE!</v>
      </c>
    </row>
    <row r="50" spans="2:30" ht="33" hidden="1" customHeight="1" x14ac:dyDescent="0.3">
      <c r="B50" s="14" t="str">
        <f>'2026 Orders'!B49</f>
        <v>Ethiopia</v>
      </c>
      <c r="C50" s="14" t="str">
        <f>'2026 Orders'!C49</f>
        <v>A4591</v>
      </c>
      <c r="D50" s="14" t="s">
        <v>488</v>
      </c>
      <c r="E50" s="17" t="str" cm="1">
        <f t="array" ref="E50">IF(C50=0,"",
HYPERLINK(
"#'2026 Orders'!C"&amp;
MATCH(1,
('2026 Orders'!C:C=C50)*
('2026 Orders'!G:G=G50)*
('2026 Orders'!N:N=N50),
0),
"Open "&amp;C50
))</f>
        <v>Open A4591</v>
      </c>
      <c r="F50" s="14" t="s">
        <v>495</v>
      </c>
      <c r="G50" s="14" t="str">
        <f>'2026 Orders'!G49</f>
        <v>QWELL4-30-SG-FD</v>
      </c>
      <c r="H50" s="14" t="str">
        <f>'2026 Orders'!H49</f>
        <v>QWELL4-30</v>
      </c>
      <c r="I50" s="15" t="str">
        <f>'2026 Orders'!I49</f>
        <v>FD</v>
      </c>
      <c r="J50" s="14">
        <f>'2026 Orders'!J49</f>
        <v>484</v>
      </c>
      <c r="K50" t="s">
        <v>455</v>
      </c>
      <c r="L50">
        <v>245</v>
      </c>
      <c r="N50" s="10" t="str">
        <f>'2026 Orders'!N49</f>
        <v>Picked</v>
      </c>
      <c r="O50">
        <v>0</v>
      </c>
      <c r="P50" t="s">
        <v>1077</v>
      </c>
      <c r="Q50">
        <v>609788968375</v>
      </c>
      <c r="R50">
        <v>5000</v>
      </c>
      <c r="S50">
        <v>5060</v>
      </c>
      <c r="T50" t="s">
        <v>1094</v>
      </c>
      <c r="U50" t="s">
        <v>1095</v>
      </c>
      <c r="V50" t="s">
        <v>488</v>
      </c>
      <c r="W50" t="s">
        <v>488</v>
      </c>
      <c r="X50">
        <v>0</v>
      </c>
      <c r="Y50" t="s">
        <v>488</v>
      </c>
      <c r="Z50">
        <v>0</v>
      </c>
      <c r="AC50" t="str">
        <f>IF(OR(B50="",B50=0),"",$AJ$2&amp;"/"&amp;J50)</f>
        <v>/484</v>
      </c>
      <c r="AD50" t="e">
        <f t="shared" si="0"/>
        <v>#VALUE!</v>
      </c>
    </row>
    <row r="51" spans="2:30" ht="33" hidden="1" customHeight="1" x14ac:dyDescent="0.3">
      <c r="B51" s="14" t="str">
        <f>'2026 Orders'!B50</f>
        <v>Ethiopia</v>
      </c>
      <c r="C51" s="14" t="str">
        <f>'2026 Orders'!C50</f>
        <v>A4591</v>
      </c>
      <c r="D51" s="14">
        <v>0</v>
      </c>
      <c r="E51" s="17" t="str" cm="1">
        <f t="array" ref="E51">IF(C51=0,"",
HYPERLINK(
"#'2026 Orders'!C"&amp;
MATCH(1,
('2026 Orders'!C:C=C51)*
('2026 Orders'!G:G=G51)*
('2026 Orders'!N:N=N51),
0),
"Open "&amp;C51
))</f>
        <v>Open A4591</v>
      </c>
      <c r="F51" s="14" t="s">
        <v>496</v>
      </c>
      <c r="G51" s="14" t="str">
        <f>'2026 Orders'!G50</f>
        <v>MOTILMX-60-FD</v>
      </c>
      <c r="H51" s="14" t="str">
        <f>'2026 Orders'!H50</f>
        <v>MOTILMX-60</v>
      </c>
      <c r="I51" s="15" t="str">
        <f>'2026 Orders'!I50</f>
        <v>FD</v>
      </c>
      <c r="J51" s="14">
        <f>'2026 Orders'!J50</f>
        <v>34</v>
      </c>
      <c r="K51" t="s">
        <v>444</v>
      </c>
      <c r="L51">
        <v>484</v>
      </c>
      <c r="N51" s="10" t="str">
        <f>'2026 Orders'!N50</f>
        <v>Picked</v>
      </c>
      <c r="O51">
        <v>0</v>
      </c>
      <c r="P51" t="s">
        <v>1077</v>
      </c>
      <c r="Q51" t="s">
        <v>1093</v>
      </c>
      <c r="R51">
        <v>17633</v>
      </c>
      <c r="S51">
        <v>4858</v>
      </c>
      <c r="T51" t="s">
        <v>1079</v>
      </c>
      <c r="U51">
        <v>0</v>
      </c>
      <c r="V51" t="s">
        <v>488</v>
      </c>
      <c r="W51" t="s">
        <v>488</v>
      </c>
      <c r="X51">
        <v>0</v>
      </c>
      <c r="Y51" t="s">
        <v>488</v>
      </c>
      <c r="Z51">
        <v>0</v>
      </c>
      <c r="AC51" t="str">
        <f>IF(OR(B51="",B51=0),"",$AJ$2&amp;"/"&amp;J51)</f>
        <v>/34</v>
      </c>
      <c r="AD51" t="e">
        <f t="shared" si="0"/>
        <v>#VALUE!</v>
      </c>
    </row>
    <row r="52" spans="2:30" ht="33" hidden="1" customHeight="1" x14ac:dyDescent="0.3">
      <c r="B52" s="14">
        <f>'2026 Orders'!B51</f>
        <v>0</v>
      </c>
      <c r="C52" s="14">
        <f>'2026 Orders'!C51</f>
        <v>0</v>
      </c>
      <c r="D52" s="14">
        <v>0</v>
      </c>
      <c r="E52" s="17" t="str" cm="1">
        <f t="array" ref="E52">IF(C52=0,"",
HYPERLINK(
"#'2026 Orders'!C"&amp;
MATCH(1,
('2026 Orders'!C:C=C52)*
('2026 Orders'!G:G=G52)*
('2026 Orders'!N:N=N52),
0),
"Open "&amp;C52
))</f>
        <v/>
      </c>
      <c r="F52" s="14" t="s">
        <v>1219</v>
      </c>
      <c r="G52" s="14">
        <f>'2026 Orders'!G51</f>
        <v>0</v>
      </c>
      <c r="H52" s="14">
        <f>'2026 Orders'!H51</f>
        <v>0</v>
      </c>
      <c r="I52" s="15" t="str">
        <f>'2026 Orders'!I51</f>
        <v/>
      </c>
      <c r="J52" s="14">
        <f>'2026 Orders'!J51</f>
        <v>0</v>
      </c>
      <c r="K52" t="s">
        <v>460</v>
      </c>
      <c r="L52">
        <v>34</v>
      </c>
      <c r="N52" s="10">
        <f>'2026 Orders'!N51</f>
        <v>0</v>
      </c>
      <c r="O52" t="s">
        <v>1106</v>
      </c>
      <c r="P52" t="s">
        <v>1077</v>
      </c>
      <c r="Q52">
        <v>609788968191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C52" t="str">
        <f>IF(OR(B52="",B52=0),"",$AJ$2&amp;"/"&amp;J52)</f>
        <v/>
      </c>
      <c r="AD52" t="str">
        <f t="shared" si="0"/>
        <v/>
      </c>
    </row>
    <row r="53" spans="2:30" ht="33" hidden="1" customHeight="1" x14ac:dyDescent="0.3">
      <c r="B53" s="14" t="str">
        <f>'2026 Orders'!B52</f>
        <v>Uganda</v>
      </c>
      <c r="C53" s="14" t="str">
        <f>'2026 Orders'!C52</f>
        <v>A4534</v>
      </c>
      <c r="D53" s="14">
        <v>0</v>
      </c>
      <c r="E53" s="17" t="str" cm="1">
        <f t="array" ref="E53">IF(C53=0,"",
HYPERLINK(
"#'2026 Orders'!C"&amp;
MATCH(1,
('2026 Orders'!C:C=C53)*
('2026 Orders'!G:G=G53)*
('2026 Orders'!N:N=N53),
0),
"Open "&amp;C53
))</f>
        <v>Open A4534</v>
      </c>
      <c r="F53" s="14">
        <v>0</v>
      </c>
      <c r="G53" s="14" t="str">
        <f>'2026 Orders'!G52</f>
        <v>MFSPLS-120-FD</v>
      </c>
      <c r="H53" s="14" t="str">
        <f>'2026 Orders'!H52</f>
        <v>MFSPLS-120</v>
      </c>
      <c r="I53" s="15" t="str">
        <f>'2026 Orders'!I52</f>
        <v>FD</v>
      </c>
      <c r="J53" s="14">
        <f>'2026 Orders'!J52</f>
        <v>240</v>
      </c>
      <c r="K53">
        <v>0</v>
      </c>
      <c r="L53">
        <v>0</v>
      </c>
      <c r="N53" s="10" t="str">
        <f>'2026 Orders'!N52</f>
        <v>PO submitted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C53" t="str">
        <f>IF(OR(B53="",B53=0),"",$AJ$2&amp;"/"&amp;J53)</f>
        <v>/240</v>
      </c>
      <c r="AD53" t="e">
        <f t="shared" si="0"/>
        <v>#VALUE!</v>
      </c>
    </row>
    <row r="54" spans="2:30" ht="33" hidden="1" customHeight="1" x14ac:dyDescent="0.3">
      <c r="B54" s="14" t="str">
        <f>'2026 Orders'!B53</f>
        <v>Uganda</v>
      </c>
      <c r="C54" s="14" t="str">
        <f>'2026 Orders'!C53</f>
        <v>A4534</v>
      </c>
      <c r="D54" s="14">
        <v>0</v>
      </c>
      <c r="E54" s="17" t="str" cm="1">
        <f t="array" ref="E54">IF(C54=0,"",
HYPERLINK(
"#'2026 Orders'!C"&amp;
MATCH(1,
('2026 Orders'!C:C=C54)*
('2026 Orders'!G:G=G54)*
('2026 Orders'!N:N=N54),
0),
"Open "&amp;C54
))</f>
        <v>Open A4534</v>
      </c>
      <c r="F54" s="14" t="s">
        <v>452</v>
      </c>
      <c r="G54" s="14" t="str">
        <f>'2026 Orders'!G53</f>
        <v>PRECON-90-FD</v>
      </c>
      <c r="H54" s="14" t="str">
        <f>'2026 Orders'!H53</f>
        <v>PRECON-90</v>
      </c>
      <c r="I54" s="15" t="str">
        <f>'2026 Orders'!I53</f>
        <v>FD</v>
      </c>
      <c r="J54" s="14">
        <f>'2026 Orders'!J53</f>
        <v>72</v>
      </c>
      <c r="K54" t="s">
        <v>462</v>
      </c>
      <c r="L54">
        <v>0</v>
      </c>
      <c r="N54" s="10" t="str">
        <f>'2026 Orders'!N53</f>
        <v>Picked</v>
      </c>
      <c r="O54">
        <v>0</v>
      </c>
      <c r="P54" t="s">
        <v>1077</v>
      </c>
      <c r="Q54">
        <v>609788968344</v>
      </c>
      <c r="R54" t="s">
        <v>1107</v>
      </c>
      <c r="S54">
        <v>5064</v>
      </c>
      <c r="T54" t="s">
        <v>1108</v>
      </c>
      <c r="U54" t="s">
        <v>1109</v>
      </c>
      <c r="V54">
        <v>0</v>
      </c>
      <c r="W54">
        <v>0</v>
      </c>
      <c r="X54">
        <v>0</v>
      </c>
      <c r="Y54">
        <v>0</v>
      </c>
      <c r="Z54" t="s">
        <v>1086</v>
      </c>
      <c r="AC54" t="str">
        <f>IF(OR(B54="",B54=0),"",$AJ$2&amp;"/"&amp;J54)</f>
        <v>/72</v>
      </c>
      <c r="AD54" t="e">
        <f t="shared" si="0"/>
        <v>#VALUE!</v>
      </c>
    </row>
    <row r="55" spans="2:30" ht="33" hidden="1" customHeight="1" x14ac:dyDescent="0.3">
      <c r="B55" s="14">
        <f>'2026 Orders'!B54</f>
        <v>0</v>
      </c>
      <c r="C55" s="14">
        <f>'2026 Orders'!C54</f>
        <v>0</v>
      </c>
      <c r="D55" s="14">
        <v>0</v>
      </c>
      <c r="E55" s="17" t="str" cm="1">
        <f t="array" ref="E55">IF(C55=0,"",
HYPERLINK(
"#'2026 Orders'!C"&amp;
MATCH(1,
('2026 Orders'!C:C=C55)*
('2026 Orders'!G:G=G55)*
('2026 Orders'!N:N=N55),
0),
"Open "&amp;C55
))</f>
        <v/>
      </c>
      <c r="F55" s="14" t="s">
        <v>1220</v>
      </c>
      <c r="G55" s="14">
        <f>'2026 Orders'!G54</f>
        <v>0</v>
      </c>
      <c r="H55" s="14">
        <f>'2026 Orders'!H54</f>
        <v>0</v>
      </c>
      <c r="I55" s="15" t="str">
        <f>'2026 Orders'!I54</f>
        <v/>
      </c>
      <c r="J55" s="14">
        <f>'2026 Orders'!J54</f>
        <v>0</v>
      </c>
      <c r="K55" t="s">
        <v>443</v>
      </c>
      <c r="L55">
        <v>72</v>
      </c>
      <c r="N55" s="10">
        <f>'2026 Orders'!N54</f>
        <v>0</v>
      </c>
      <c r="O55" t="s">
        <v>1106</v>
      </c>
      <c r="P55" t="s">
        <v>1077</v>
      </c>
      <c r="Q55">
        <v>609788968368</v>
      </c>
      <c r="R55">
        <v>5000</v>
      </c>
      <c r="S55">
        <v>4851</v>
      </c>
      <c r="T55" t="s">
        <v>1079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C55" t="str">
        <f>IF(OR(B55="",B55=0),"",$AJ$2&amp;"/"&amp;J55)</f>
        <v/>
      </c>
      <c r="AD55" t="str">
        <f t="shared" si="0"/>
        <v/>
      </c>
    </row>
    <row r="56" spans="2:30" ht="33" hidden="1" customHeight="1" x14ac:dyDescent="0.3">
      <c r="B56" s="14" t="str">
        <f>'2026 Orders'!B55</f>
        <v>Greece</v>
      </c>
      <c r="C56" s="14" t="str">
        <f>'2026 Orders'!C55</f>
        <v>A4547</v>
      </c>
      <c r="D56" s="14">
        <v>0</v>
      </c>
      <c r="E56" s="17" t="str" cm="1">
        <f t="array" ref="E56">IF(C56=0,"",
HYPERLINK(
"#'2026 Orders'!C"&amp;
MATCH(1,
('2026 Orders'!C:C=C56)*
('2026 Orders'!G:G=G56)*
('2026 Orders'!N:N=N56),
0),
"Open "&amp;C56
))</f>
        <v>Open A4547</v>
      </c>
      <c r="F56" s="14">
        <v>0</v>
      </c>
      <c r="G56" s="14" t="str">
        <f>'2026 Orders'!G55</f>
        <v>MFSADV-120-CS-GR</v>
      </c>
      <c r="H56" s="14" t="str">
        <f>'2026 Orders'!H55</f>
        <v>MFSADV-120</v>
      </c>
      <c r="I56" s="15" t="str">
        <f>'2026 Orders'!I55</f>
        <v>GR</v>
      </c>
      <c r="J56" s="14">
        <f>'2026 Orders'!J55</f>
        <v>424</v>
      </c>
      <c r="K56">
        <v>0</v>
      </c>
      <c r="L56">
        <v>0</v>
      </c>
      <c r="N56" s="10" t="str">
        <f>'2026 Orders'!N55</f>
        <v>D/W Sent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C56" t="str">
        <f>IF(OR(B56="",B56=0),"",$AJ$2&amp;"/"&amp;J56)</f>
        <v>/424</v>
      </c>
      <c r="AD56" t="e">
        <f t="shared" si="0"/>
        <v>#VALUE!</v>
      </c>
    </row>
    <row r="57" spans="2:30" ht="33" hidden="1" customHeight="1" x14ac:dyDescent="0.3">
      <c r="B57" s="14">
        <f>'2026 Orders'!B56</f>
        <v>0</v>
      </c>
      <c r="C57" s="14">
        <f>'2026 Orders'!C56</f>
        <v>0</v>
      </c>
      <c r="D57" s="14" t="s">
        <v>502</v>
      </c>
      <c r="E57" s="17" t="str" cm="1">
        <f t="array" ref="E57">IF(C57=0,"",
HYPERLINK(
"#'2026 Orders'!C"&amp;
MATCH(1,
('2026 Orders'!C:C=C57)*
('2026 Orders'!G:G=G57)*
('2026 Orders'!N:N=N57),
0),
"Open "&amp;C57
))</f>
        <v/>
      </c>
      <c r="F57" s="14" t="s">
        <v>1221</v>
      </c>
      <c r="G57" s="14">
        <f>'2026 Orders'!G56</f>
        <v>0</v>
      </c>
      <c r="H57" s="14">
        <f>'2026 Orders'!H56</f>
        <v>0</v>
      </c>
      <c r="I57" s="15" t="str">
        <f>'2026 Orders'!I56</f>
        <v/>
      </c>
      <c r="J57" s="14">
        <f>'2026 Orders'!J56</f>
        <v>0</v>
      </c>
      <c r="K57" t="s">
        <v>506</v>
      </c>
      <c r="L57">
        <v>424</v>
      </c>
      <c r="N57" s="10">
        <f>'2026 Orders'!N56</f>
        <v>0</v>
      </c>
      <c r="O57">
        <v>0</v>
      </c>
      <c r="P57" t="s">
        <v>1085</v>
      </c>
      <c r="Q57">
        <v>604776739272</v>
      </c>
      <c r="R57" t="s">
        <v>1107</v>
      </c>
      <c r="S57">
        <v>5064</v>
      </c>
      <c r="T57" t="s">
        <v>1108</v>
      </c>
      <c r="U57" t="s">
        <v>1109</v>
      </c>
      <c r="V57">
        <v>0</v>
      </c>
      <c r="W57">
        <v>0</v>
      </c>
      <c r="X57">
        <v>0</v>
      </c>
      <c r="Y57">
        <v>0</v>
      </c>
      <c r="Z57" t="s">
        <v>1086</v>
      </c>
      <c r="AC57" t="str">
        <f>IF(OR(B57="",B57=0),"",$AJ$2&amp;"/"&amp;J57)</f>
        <v/>
      </c>
      <c r="AD57" t="str">
        <f t="shared" si="0"/>
        <v/>
      </c>
    </row>
    <row r="58" spans="2:30" ht="33" hidden="1" customHeight="1" x14ac:dyDescent="0.3">
      <c r="B58" s="14" t="str">
        <f>'2026 Orders'!B57</f>
        <v>Sudan</v>
      </c>
      <c r="C58" s="14" t="str">
        <f>'2026 Orders'!C57</f>
        <v>A4549</v>
      </c>
      <c r="D58" s="14">
        <v>0</v>
      </c>
      <c r="E58" s="17" t="str" cm="1">
        <f t="array" ref="E58">IF(C58=0,"",
HYPERLINK(
"#'2026 Orders'!C"&amp;
MATCH(1,
('2026 Orders'!C:C=C58)*
('2026 Orders'!G:G=G58)*
('2026 Orders'!N:N=N58),
0),
"Open "&amp;C58
))</f>
        <v>Open A4549</v>
      </c>
      <c r="F58" s="14">
        <v>0</v>
      </c>
      <c r="G58" s="14" t="str">
        <f>'2026 Orders'!G57</f>
        <v>COQ400-30-VE-CS-SU</v>
      </c>
      <c r="H58" s="14" t="str">
        <f>'2026 Orders'!H57</f>
        <v>COQ400-30</v>
      </c>
      <c r="I58" s="15" t="str">
        <f>'2026 Orders'!I57</f>
        <v>SU</v>
      </c>
      <c r="J58" s="14">
        <f>'2026 Orders'!J57</f>
        <v>1476</v>
      </c>
      <c r="K58">
        <v>0</v>
      </c>
      <c r="L58">
        <v>0</v>
      </c>
      <c r="N58" s="10" t="str">
        <f>'2026 Orders'!N57</f>
        <v>Transit to Warehouse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C58" t="str">
        <f>IF(OR(B58="",B58=0),"",$AJ$2&amp;"/"&amp;J58)</f>
        <v>/1476</v>
      </c>
      <c r="AD58" t="e">
        <f t="shared" si="0"/>
        <v>#VALUE!</v>
      </c>
    </row>
    <row r="59" spans="2:30" ht="33" hidden="1" customHeight="1" x14ac:dyDescent="0.3">
      <c r="B59" s="14">
        <f>'2026 Orders'!B58</f>
        <v>0</v>
      </c>
      <c r="C59" s="14">
        <f>'2026 Orders'!C58</f>
        <v>0</v>
      </c>
      <c r="D59" s="14">
        <v>0</v>
      </c>
      <c r="E59" s="17" t="str" cm="1">
        <f t="array" ref="E59">IF(C59=0,"",
HYPERLINK(
"#'2026 Orders'!C"&amp;
MATCH(1,
('2026 Orders'!C:C=C59)*
('2026 Orders'!G:G=G59)*
('2026 Orders'!N:N=N59),
0),
"Open "&amp;C59
))</f>
        <v/>
      </c>
      <c r="F59" s="14" t="s">
        <v>517</v>
      </c>
      <c r="G59" s="14">
        <f>'2026 Orders'!G58</f>
        <v>0</v>
      </c>
      <c r="H59" s="14">
        <f>'2026 Orders'!H58</f>
        <v>0</v>
      </c>
      <c r="I59" s="15" t="str">
        <f>'2026 Orders'!I58</f>
        <v/>
      </c>
      <c r="J59" s="14">
        <f>'2026 Orders'!J58</f>
        <v>0</v>
      </c>
      <c r="K59" t="s">
        <v>518</v>
      </c>
      <c r="L59">
        <v>240</v>
      </c>
      <c r="N59" s="10">
        <f>'2026 Orders'!N58</f>
        <v>0</v>
      </c>
      <c r="O59" t="s">
        <v>1110</v>
      </c>
      <c r="P59" t="s">
        <v>1077</v>
      </c>
      <c r="Q59" t="s">
        <v>1111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 t="s">
        <v>1083</v>
      </c>
      <c r="AC59" t="str">
        <f>IF(OR(B59="",B59=0),"",$AJ$2&amp;"/"&amp;J59)</f>
        <v/>
      </c>
      <c r="AD59" t="str">
        <f t="shared" si="0"/>
        <v/>
      </c>
    </row>
    <row r="60" spans="2:30" ht="33" hidden="1" customHeight="1" x14ac:dyDescent="0.3">
      <c r="B60" s="14" t="str">
        <f>'2026 Orders'!B59</f>
        <v>China</v>
      </c>
      <c r="C60" s="14" t="str">
        <f>'2026 Orders'!C59</f>
        <v>A4561</v>
      </c>
      <c r="D60" s="14">
        <v>0</v>
      </c>
      <c r="E60" s="17" t="str" cm="1">
        <f t="array" ref="E60">IF(C60=0,"",
HYPERLINK(
"#'2026 Orders'!C"&amp;
MATCH(1,
('2026 Orders'!C:C=C60)*
('2026 Orders'!G:G=G60)*
('2026 Orders'!N:N=N60),
0),
"Open "&amp;C60
))</f>
        <v>Open A4561</v>
      </c>
      <c r="F60" s="14">
        <v>0</v>
      </c>
      <c r="G60" s="14" t="str">
        <f>'2026 Orders'!G59</f>
        <v>ZINC25-60-FD</v>
      </c>
      <c r="H60" s="14" t="str">
        <f>'2026 Orders'!H59</f>
        <v>ZINC25-60</v>
      </c>
      <c r="I60" s="15" t="str">
        <f>'2026 Orders'!I59</f>
        <v>FD</v>
      </c>
      <c r="J60" s="14">
        <f>'2026 Orders'!J59</f>
        <v>240</v>
      </c>
      <c r="K60">
        <v>0</v>
      </c>
      <c r="L60">
        <v>0</v>
      </c>
      <c r="N60" s="10" t="str">
        <f>'2026 Orders'!N59</f>
        <v>D/W Sent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C60" t="str">
        <f>IF(OR(B60="",B60=0),"",$AJ$2&amp;"/"&amp;J60)</f>
        <v>/240</v>
      </c>
      <c r="AD60" t="e">
        <f t="shared" si="0"/>
        <v>#VALUE!</v>
      </c>
    </row>
    <row r="61" spans="2:30" ht="33" hidden="1" customHeight="1" x14ac:dyDescent="0.3">
      <c r="B61" s="14">
        <f>'2026 Orders'!B60</f>
        <v>0</v>
      </c>
      <c r="C61" s="14">
        <f>'2026 Orders'!C60</f>
        <v>0</v>
      </c>
      <c r="D61" s="14" t="s">
        <v>521</v>
      </c>
      <c r="E61" s="17" t="str" cm="1">
        <f t="array" ref="E61">IF(C61=0,"",
HYPERLINK(
"#'2026 Orders'!C"&amp;
MATCH(1,
('2026 Orders'!C:C=C61)*
('2026 Orders'!G:G=G61)*
('2026 Orders'!N:N=N61),
0),
"Open "&amp;C61
))</f>
        <v/>
      </c>
      <c r="F61" s="14" t="s">
        <v>523</v>
      </c>
      <c r="G61" s="14">
        <f>'2026 Orders'!G60</f>
        <v>0</v>
      </c>
      <c r="H61" s="14">
        <f>'2026 Orders'!H60</f>
        <v>0</v>
      </c>
      <c r="I61" s="15" t="str">
        <f>'2026 Orders'!I60</f>
        <v/>
      </c>
      <c r="J61" s="14">
        <f>'2026 Orders'!J60</f>
        <v>0</v>
      </c>
      <c r="K61" t="s">
        <v>524</v>
      </c>
      <c r="L61">
        <v>3240</v>
      </c>
      <c r="N61" s="10">
        <f>'2026 Orders'!N60</f>
        <v>0</v>
      </c>
      <c r="O61" t="s">
        <v>1112</v>
      </c>
      <c r="P61" t="s">
        <v>1077</v>
      </c>
      <c r="Q61" t="s">
        <v>1113</v>
      </c>
      <c r="R61">
        <v>8600</v>
      </c>
      <c r="S61">
        <v>4902</v>
      </c>
      <c r="T61" t="s">
        <v>1079</v>
      </c>
      <c r="U61">
        <v>0</v>
      </c>
      <c r="V61">
        <v>0</v>
      </c>
      <c r="W61">
        <v>0</v>
      </c>
      <c r="X61">
        <v>0</v>
      </c>
      <c r="Y61">
        <v>0</v>
      </c>
      <c r="Z61" t="s">
        <v>1083</v>
      </c>
      <c r="AC61" t="str">
        <f>IF(OR(B61="",B61=0),"",$AJ$2&amp;"/"&amp;J61)</f>
        <v/>
      </c>
      <c r="AD61" t="str">
        <f t="shared" si="0"/>
        <v/>
      </c>
    </row>
    <row r="62" spans="2:30" ht="33" hidden="1" customHeight="1" x14ac:dyDescent="0.3">
      <c r="B62" s="14" t="str">
        <f>'2026 Orders'!B61</f>
        <v>Iraq</v>
      </c>
      <c r="C62" s="14" t="str">
        <f>'2026 Orders'!C61</f>
        <v>A4567</v>
      </c>
      <c r="D62" s="14" t="s">
        <v>527</v>
      </c>
      <c r="E62" s="17" t="str" cm="1">
        <f t="array" ref="E62">IF(C62=0,"",
HYPERLINK(
"#'2026 Orders'!C"&amp;
MATCH(1,
('2026 Orders'!C:C=C62)*
('2026 Orders'!G:G=G62)*
('2026 Orders'!N:N=N62),
0),
"Open "&amp;C62
))</f>
        <v>Open A4567</v>
      </c>
      <c r="F62" s="14" t="s">
        <v>1222</v>
      </c>
      <c r="G62" s="14" t="str">
        <f>'2026 Orders'!G61</f>
        <v>ADVTH-60-FD</v>
      </c>
      <c r="H62" s="14" t="str">
        <f>'2026 Orders'!H61</f>
        <v>ADVTH-60</v>
      </c>
      <c r="I62" s="15" t="str">
        <f>'2026 Orders'!I61</f>
        <v>FD</v>
      </c>
      <c r="J62" s="14">
        <f>'2026 Orders'!J61</f>
        <v>3240</v>
      </c>
      <c r="K62">
        <v>3000</v>
      </c>
      <c r="L62">
        <v>3000</v>
      </c>
      <c r="N62" s="10" t="str">
        <f>'2026 Orders'!N61</f>
        <v>ON HOLD</v>
      </c>
      <c r="O62" t="s">
        <v>1112</v>
      </c>
      <c r="P62" t="s">
        <v>1077</v>
      </c>
      <c r="Q62">
        <v>604776737797</v>
      </c>
      <c r="R62">
        <v>4000</v>
      </c>
      <c r="S62">
        <v>4906</v>
      </c>
      <c r="T62" t="s">
        <v>1079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C62" t="str">
        <f>IF(OR(B62="",B62=0),"",$AJ$2&amp;"/"&amp;J62)</f>
        <v>/3240</v>
      </c>
      <c r="AD62" t="e">
        <f t="shared" si="0"/>
        <v>#VALUE!</v>
      </c>
    </row>
    <row r="63" spans="2:30" ht="33" hidden="1" customHeight="1" x14ac:dyDescent="0.3">
      <c r="B63" s="14" t="str">
        <f>'2026 Orders'!B62</f>
        <v>Iraq</v>
      </c>
      <c r="C63" s="14" t="str">
        <f>'2026 Orders'!C62</f>
        <v>A4567</v>
      </c>
      <c r="D63" s="14" t="s">
        <v>1314</v>
      </c>
      <c r="E63" s="17" t="str" cm="1">
        <f t="array" ref="E63">IF(C63=0,"",
HYPERLINK(
"#'2026 Orders'!C"&amp;
MATCH(1,
('2026 Orders'!C:C=C63)*
('2026 Orders'!G:G=G63)*
('2026 Orders'!N:N=N63),
0),
"Open "&amp;C63
))</f>
        <v>Open A4567</v>
      </c>
      <c r="F63" s="14" t="s">
        <v>1223</v>
      </c>
      <c r="G63" s="14" t="str">
        <f>'2026 Orders'!G62</f>
        <v>COLLA-60-FD</v>
      </c>
      <c r="H63" s="14" t="str">
        <f>'2026 Orders'!H62</f>
        <v>COLLA-60</v>
      </c>
      <c r="I63" s="15" t="str">
        <f>'2026 Orders'!I62</f>
        <v>FD</v>
      </c>
      <c r="J63" s="14">
        <f>'2026 Orders'!J62</f>
        <v>6960</v>
      </c>
      <c r="K63" t="s">
        <v>532</v>
      </c>
      <c r="L63">
        <v>600</v>
      </c>
      <c r="N63" s="10" t="str">
        <f>'2026 Orders'!N62</f>
        <v>ON HOLD</v>
      </c>
      <c r="O63" t="s">
        <v>1112</v>
      </c>
      <c r="P63" t="s">
        <v>1077</v>
      </c>
      <c r="Q63">
        <v>604776738831</v>
      </c>
      <c r="R63">
        <v>11000</v>
      </c>
      <c r="S63">
        <v>4912</v>
      </c>
      <c r="T63" t="s">
        <v>1079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C63" t="str">
        <f>IF(OR(B63="",B63=0),"",$AJ$2&amp;"/"&amp;J63)</f>
        <v>/6960</v>
      </c>
      <c r="AD63" t="e">
        <f t="shared" si="0"/>
        <v>#VALUE!</v>
      </c>
    </row>
    <row r="64" spans="2:30" ht="33" hidden="1" customHeight="1" x14ac:dyDescent="0.3">
      <c r="B64" s="14" t="str">
        <f>'2026 Orders'!B63</f>
        <v>Iraq</v>
      </c>
      <c r="C64" s="14" t="str">
        <f>'2026 Orders'!C63</f>
        <v>A4567</v>
      </c>
      <c r="D64" s="14" t="s">
        <v>1315</v>
      </c>
      <c r="E64" s="17" t="str" cm="1">
        <f t="array" ref="E64">IF(C64=0,"",
HYPERLINK(
"#'2026 Orders'!C"&amp;
MATCH(1,
('2026 Orders'!C:C=C64)*
('2026 Orders'!G:G=G64)*
('2026 Orders'!N:N=N64),
0),
"Open "&amp;C64
))</f>
        <v>Open A4567</v>
      </c>
      <c r="F64" s="14" t="s">
        <v>1224</v>
      </c>
      <c r="G64" s="14" t="str">
        <f>'2026 Orders'!G63</f>
        <v>METRIO-60-CS-IQ</v>
      </c>
      <c r="H64" s="14" t="str">
        <f>'2026 Orders'!H63</f>
        <v>METRIO-60</v>
      </c>
      <c r="I64" s="15" t="str">
        <f>'2026 Orders'!I63</f>
        <v>IQ</v>
      </c>
      <c r="J64" s="14">
        <f>'2026 Orders'!J63</f>
        <v>3000</v>
      </c>
      <c r="K64" t="s">
        <v>540</v>
      </c>
      <c r="L64">
        <v>9600</v>
      </c>
      <c r="N64" s="10" t="str">
        <f>'2026 Orders'!N63</f>
        <v>ON HOLD</v>
      </c>
      <c r="O64" t="s">
        <v>1112</v>
      </c>
      <c r="P64" t="s">
        <v>1077</v>
      </c>
      <c r="Q64">
        <v>604776738060</v>
      </c>
      <c r="R64">
        <v>37000</v>
      </c>
      <c r="S64">
        <v>4908</v>
      </c>
      <c r="T64" t="s">
        <v>1103</v>
      </c>
      <c r="U64">
        <v>0</v>
      </c>
      <c r="V64">
        <v>0</v>
      </c>
      <c r="W64">
        <v>0</v>
      </c>
      <c r="X64">
        <v>0</v>
      </c>
      <c r="Y64">
        <v>0</v>
      </c>
      <c r="Z64" t="s">
        <v>1086</v>
      </c>
      <c r="AC64" t="str">
        <f>IF(OR(B64="",B64=0),"",$AJ$2&amp;"/"&amp;J64)</f>
        <v>/3000</v>
      </c>
      <c r="AD64" t="e">
        <f t="shared" si="0"/>
        <v>#VALUE!</v>
      </c>
    </row>
    <row r="65" spans="2:30" ht="33" hidden="1" customHeight="1" x14ac:dyDescent="0.3">
      <c r="B65" s="14" t="str">
        <f>'2026 Orders'!B64</f>
        <v>Iraq</v>
      </c>
      <c r="C65" s="14" t="str">
        <f>'2026 Orders'!C64</f>
        <v>A4567</v>
      </c>
      <c r="D65" s="14">
        <v>0</v>
      </c>
      <c r="E65" s="17" t="str" cm="1">
        <f t="array" ref="E65">IF(C65=0,"",
HYPERLINK(
"#'2026 Orders'!C"&amp;
MATCH(1,
('2026 Orders'!C:C=C65)*
('2026 Orders'!G:G=G65)*
('2026 Orders'!N:N=N65),
0),
"Open "&amp;C65
))</f>
        <v>Open A4567</v>
      </c>
      <c r="F65" s="14" t="s">
        <v>1225</v>
      </c>
      <c r="G65" s="14" t="str">
        <f>'2026 Orders'!G64</f>
        <v>PROSTA-45-RE</v>
      </c>
      <c r="H65" s="14" t="str">
        <f>'2026 Orders'!H64</f>
        <v>PROSTA-45</v>
      </c>
      <c r="I65" s="15" t="str">
        <f>'2026 Orders'!I64</f>
        <v>RE</v>
      </c>
      <c r="J65" s="14">
        <f>'2026 Orders'!J64</f>
        <v>8520</v>
      </c>
      <c r="K65" t="s">
        <v>551</v>
      </c>
      <c r="L65">
        <v>24720</v>
      </c>
      <c r="N65" s="10" t="str">
        <f>'2026 Orders'!N64</f>
        <v>ON HOLD</v>
      </c>
      <c r="O65" t="s">
        <v>1112</v>
      </c>
      <c r="P65" t="s">
        <v>1077</v>
      </c>
      <c r="Q65">
        <v>604776737681</v>
      </c>
      <c r="R65">
        <v>30000</v>
      </c>
      <c r="S65">
        <v>4711</v>
      </c>
      <c r="T65" t="s">
        <v>1103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C65" t="str">
        <f>IF(OR(B65="",B65=0),"",$AJ$2&amp;"/"&amp;J65)</f>
        <v>/8520</v>
      </c>
      <c r="AD65" t="e">
        <f t="shared" si="0"/>
        <v>#VALUE!</v>
      </c>
    </row>
    <row r="66" spans="2:30" ht="33" hidden="1" customHeight="1" x14ac:dyDescent="0.3">
      <c r="B66" s="14" t="str">
        <f>'2026 Orders'!B65</f>
        <v>Iraq</v>
      </c>
      <c r="C66" s="14" t="str">
        <f>'2026 Orders'!C65</f>
        <v>A4567</v>
      </c>
      <c r="D66" s="14">
        <v>0</v>
      </c>
      <c r="E66" s="17" t="str" cm="1">
        <f t="array" ref="E66">IF(C66=0,"",
HYPERLINK(
"#'2026 Orders'!C"&amp;
MATCH(1,
('2026 Orders'!C:C=C66)*
('2026 Orders'!G:G=G66)*
('2026 Orders'!N:N=N66),
0),
"Open "&amp;C66
))</f>
        <v>Open A4567</v>
      </c>
      <c r="F66" s="14">
        <v>0</v>
      </c>
      <c r="G66" s="14" t="str">
        <f>'2026 Orders'!G65</f>
        <v>SPERMCT-60-RE</v>
      </c>
      <c r="H66" s="14" t="str">
        <f>'2026 Orders'!H65</f>
        <v>SPERMCT-60</v>
      </c>
      <c r="I66" s="15" t="str">
        <f>'2026 Orders'!I65</f>
        <v>RE</v>
      </c>
      <c r="J66" s="14">
        <f>'2026 Orders'!J65</f>
        <v>1200</v>
      </c>
      <c r="K66">
        <v>0</v>
      </c>
      <c r="L66">
        <v>0</v>
      </c>
      <c r="N66" s="10" t="str">
        <f>'2026 Orders'!N65</f>
        <v>ON HOLD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C66" t="str">
        <f>IF(OR(B66="",B66=0),"",$AJ$2&amp;"/"&amp;J66)</f>
        <v>/1200</v>
      </c>
      <c r="AD66" t="e">
        <f t="shared" si="0"/>
        <v>#VALUE!</v>
      </c>
    </row>
    <row r="67" spans="2:30" ht="33" hidden="1" customHeight="1" x14ac:dyDescent="0.3">
      <c r="B67" s="14">
        <f>'2026 Orders'!B66</f>
        <v>0</v>
      </c>
      <c r="C67" s="14">
        <f>'2026 Orders'!C66</f>
        <v>0</v>
      </c>
      <c r="D67" s="14" t="s">
        <v>1316</v>
      </c>
      <c r="E67" s="17" t="str" cm="1">
        <f t="array" ref="E67">IF(C67=0,"",
HYPERLINK(
"#'2026 Orders'!C"&amp;
MATCH(1,
('2026 Orders'!C:C=C67)*
('2026 Orders'!G:G=G67)*
('2026 Orders'!N:N=N67),
0),
"Open "&amp;C67
))</f>
        <v/>
      </c>
      <c r="F67" s="14" t="s">
        <v>1226</v>
      </c>
      <c r="G67" s="14">
        <f>'2026 Orders'!G66</f>
        <v>0</v>
      </c>
      <c r="H67" s="14">
        <f>'2026 Orders'!H66</f>
        <v>0</v>
      </c>
      <c r="I67" s="15" t="str">
        <f>'2026 Orders'!I66</f>
        <v/>
      </c>
      <c r="J67" s="14">
        <f>'2026 Orders'!J66</f>
        <v>0</v>
      </c>
      <c r="K67" t="s">
        <v>578</v>
      </c>
      <c r="L67">
        <v>0</v>
      </c>
      <c r="N67" s="10">
        <f>'2026 Orders'!N66</f>
        <v>0</v>
      </c>
      <c r="O67" t="s">
        <v>1114</v>
      </c>
      <c r="P67" t="s">
        <v>1077</v>
      </c>
      <c r="Q67" t="s">
        <v>1115</v>
      </c>
      <c r="R67">
        <v>7000</v>
      </c>
      <c r="S67">
        <v>4944</v>
      </c>
      <c r="T67" t="s">
        <v>1103</v>
      </c>
      <c r="U67" t="s">
        <v>1116</v>
      </c>
      <c r="V67">
        <v>0</v>
      </c>
      <c r="W67">
        <v>0</v>
      </c>
      <c r="X67">
        <v>0</v>
      </c>
      <c r="Y67">
        <v>0</v>
      </c>
      <c r="Z67">
        <v>0</v>
      </c>
      <c r="AC67" t="str">
        <f>IF(OR(B67="",B67=0),"",$AJ$2&amp;"/"&amp;J67)</f>
        <v/>
      </c>
      <c r="AD67" t="str">
        <f t="shared" ref="AD67:AD130" si="1">IF(OR(J67="",J67=0),"",$AK$2&amp;" -&gt; "&amp;I67)</f>
        <v/>
      </c>
    </row>
    <row r="68" spans="2:30" ht="33" hidden="1" customHeight="1" x14ac:dyDescent="0.3">
      <c r="B68" s="14" t="str">
        <f>'2026 Orders'!B67</f>
        <v>Iraq</v>
      </c>
      <c r="C68" s="14" t="str">
        <f>'2026 Orders'!C67</f>
        <v>A4632</v>
      </c>
      <c r="D68" s="14" t="s">
        <v>579</v>
      </c>
      <c r="E68" s="17" t="str" cm="1">
        <f t="array" ref="E68">IF(C68=0,"",
HYPERLINK(
"#'2026 Orders'!C"&amp;
MATCH(1,
('2026 Orders'!C:C=C68)*
('2026 Orders'!G:G=G68)*
('2026 Orders'!N:N=N68),
0),
"Open "&amp;C68
))</f>
        <v>Open A4632</v>
      </c>
      <c r="F68" s="14" t="s">
        <v>577</v>
      </c>
      <c r="G68" s="14" t="str">
        <f>'2026 Orders'!G67</f>
        <v>OVAMAX-60-CS-IQ</v>
      </c>
      <c r="H68" s="14" t="str">
        <f>'2026 Orders'!H67</f>
        <v>OVAMAX-60</v>
      </c>
      <c r="I68" s="15" t="str">
        <f>'2026 Orders'!I67</f>
        <v>IQ</v>
      </c>
      <c r="J68" s="14">
        <f>'2026 Orders'!J67</f>
        <v>18960</v>
      </c>
      <c r="K68" t="s">
        <v>581</v>
      </c>
      <c r="L68">
        <v>12250</v>
      </c>
      <c r="N68" s="10" t="str">
        <f>'2026 Orders'!N67</f>
        <v>ON HOLD</v>
      </c>
      <c r="O68">
        <v>0</v>
      </c>
      <c r="P68" t="s">
        <v>1077</v>
      </c>
      <c r="Q68">
        <v>604776737988</v>
      </c>
      <c r="R68">
        <v>15000</v>
      </c>
      <c r="S68">
        <v>4945</v>
      </c>
      <c r="T68" t="s">
        <v>1103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C68" t="str">
        <f>IF(OR(B68="",B68=0),"",$AJ$2&amp;"/"&amp;J68)</f>
        <v>/18960</v>
      </c>
      <c r="AD68" t="e">
        <f t="shared" si="1"/>
        <v>#VALUE!</v>
      </c>
    </row>
    <row r="69" spans="2:30" ht="33" hidden="1" customHeight="1" x14ac:dyDescent="0.3">
      <c r="B69" s="14" t="str">
        <f>'2026 Orders'!B68</f>
        <v>Iraq</v>
      </c>
      <c r="C69" s="14" t="str">
        <f>'2026 Orders'!C68</f>
        <v>A4632</v>
      </c>
      <c r="D69" s="14" t="s">
        <v>586</v>
      </c>
      <c r="E69" s="17" t="str" cm="1">
        <f t="array" ref="E69">IF(C69=0,"",
HYPERLINK(
"#'2026 Orders'!C"&amp;
MATCH(1,
('2026 Orders'!C:C=C69)*
('2026 Orders'!G:G=G69)*
('2026 Orders'!N:N=N69),
0),
"Open "&amp;C69
))</f>
        <v>Open A4632</v>
      </c>
      <c r="F69" s="14" t="s">
        <v>577</v>
      </c>
      <c r="G69" s="14" t="str">
        <f>'2026 Orders'!G68</f>
        <v>PEARLY-60-CS-IQ</v>
      </c>
      <c r="H69" s="14" t="str">
        <f>'2026 Orders'!H68</f>
        <v>PEARLY-60</v>
      </c>
      <c r="I69" s="15" t="str">
        <f>'2026 Orders'!I68</f>
        <v>IQ</v>
      </c>
      <c r="J69" s="14">
        <f>'2026 Orders'!J68</f>
        <v>24672</v>
      </c>
      <c r="K69" t="s">
        <v>587</v>
      </c>
      <c r="L69">
        <v>0</v>
      </c>
      <c r="N69" s="10" t="str">
        <f>'2026 Orders'!N68</f>
        <v>ON HOLD</v>
      </c>
      <c r="O69" t="s">
        <v>1114</v>
      </c>
      <c r="P69" t="s">
        <v>1077</v>
      </c>
      <c r="Q69" t="s">
        <v>1117</v>
      </c>
      <c r="R69">
        <v>5000</v>
      </c>
      <c r="S69">
        <v>4946</v>
      </c>
      <c r="T69" t="s">
        <v>1103</v>
      </c>
      <c r="U69" t="s">
        <v>1116</v>
      </c>
      <c r="V69">
        <v>0</v>
      </c>
      <c r="W69">
        <v>0</v>
      </c>
      <c r="X69">
        <v>0</v>
      </c>
      <c r="Y69">
        <v>0</v>
      </c>
      <c r="Z69">
        <v>0</v>
      </c>
      <c r="AC69" t="str">
        <f>IF(OR(B69="",B69=0),"",$AJ$2&amp;"/"&amp;J69)</f>
        <v>/24672</v>
      </c>
      <c r="AD69" t="e">
        <f t="shared" si="1"/>
        <v>#VALUE!</v>
      </c>
    </row>
    <row r="70" spans="2:30" ht="33" hidden="1" customHeight="1" x14ac:dyDescent="0.3">
      <c r="B70" s="14">
        <f>'2026 Orders'!B69</f>
        <v>0</v>
      </c>
      <c r="C70" s="14">
        <f>'2026 Orders'!C69</f>
        <v>0</v>
      </c>
      <c r="D70" s="14">
        <v>0</v>
      </c>
      <c r="E70" s="17" t="str" cm="1">
        <f t="array" ref="E70">IF(C70=0,"",
HYPERLINK(
"#'2026 Orders'!C"&amp;
MATCH(1,
('2026 Orders'!C:C=C70)*
('2026 Orders'!G:G=G70)*
('2026 Orders'!N:N=N70),
0),
"Open "&amp;C70
))</f>
        <v/>
      </c>
      <c r="F70" s="14">
        <v>0</v>
      </c>
      <c r="G70" s="14">
        <f>'2026 Orders'!G69</f>
        <v>0</v>
      </c>
      <c r="H70" s="14">
        <f>'2026 Orders'!H69</f>
        <v>0</v>
      </c>
      <c r="I70" s="15" t="str">
        <f>'2026 Orders'!I69</f>
        <v/>
      </c>
      <c r="J70" s="14">
        <f>'2026 Orders'!J69</f>
        <v>0</v>
      </c>
      <c r="K70">
        <v>0</v>
      </c>
      <c r="L70">
        <v>0</v>
      </c>
      <c r="N70" s="10">
        <f>'2026 Orders'!N69</f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C70" t="str">
        <f>IF(OR(B70="",B70=0),"",$AJ$2&amp;"/"&amp;J70)</f>
        <v/>
      </c>
      <c r="AD70" t="str">
        <f t="shared" si="1"/>
        <v/>
      </c>
    </row>
    <row r="71" spans="2:30" ht="33" hidden="1" customHeight="1" x14ac:dyDescent="0.3">
      <c r="B71" s="14" t="str">
        <f>'2026 Orders'!B70</f>
        <v>Iraq</v>
      </c>
      <c r="C71" s="14" t="str">
        <f>'2026 Orders'!C70</f>
        <v>A4633</v>
      </c>
      <c r="D71" s="14" t="s">
        <v>589</v>
      </c>
      <c r="E71" s="17" t="str" cm="1">
        <f t="array" ref="E71">IF(C71=0,"",
HYPERLINK(
"#'2026 Orders'!C"&amp;
MATCH(1,
('2026 Orders'!C:C=C71)*
('2026 Orders'!G:G=G71)*
('2026 Orders'!N:N=N71),
0),
"Open "&amp;C71
))</f>
        <v>Open A4633</v>
      </c>
      <c r="F71" s="14">
        <v>0</v>
      </c>
      <c r="G71" s="14" t="str">
        <f>'2026 Orders'!G70</f>
        <v>MFSPLS-60-RE</v>
      </c>
      <c r="H71" s="14" t="str">
        <f>'2026 Orders'!H70</f>
        <v>MFSPLS-60</v>
      </c>
      <c r="I71" s="15" t="str">
        <f>'2026 Orders'!I70</f>
        <v>RE</v>
      </c>
      <c r="J71" s="14">
        <f>'2026 Orders'!J70</f>
        <v>8880</v>
      </c>
      <c r="K71" t="s">
        <v>592</v>
      </c>
      <c r="L71">
        <v>720</v>
      </c>
      <c r="N71" s="10" t="str">
        <f>'2026 Orders'!N70</f>
        <v>ON HOLD</v>
      </c>
      <c r="O71">
        <v>46216</v>
      </c>
      <c r="P71" t="s">
        <v>1077</v>
      </c>
      <c r="Q71" t="s">
        <v>1118</v>
      </c>
      <c r="R71">
        <v>0</v>
      </c>
      <c r="S71">
        <v>4523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 t="s">
        <v>1086</v>
      </c>
      <c r="AC71" t="str">
        <f>IF(OR(B71="",B71=0),"",$AJ$2&amp;"/"&amp;J71)</f>
        <v>/8880</v>
      </c>
      <c r="AD71" t="e">
        <f t="shared" si="1"/>
        <v>#VALUE!</v>
      </c>
    </row>
    <row r="72" spans="2:30" ht="33" hidden="1" customHeight="1" x14ac:dyDescent="0.3">
      <c r="B72" s="14" t="str">
        <f>'2026 Orders'!B71</f>
        <v>Iraq</v>
      </c>
      <c r="C72" s="14" t="str">
        <f>'2026 Orders'!C71</f>
        <v>A4633</v>
      </c>
      <c r="D72" s="14" t="s">
        <v>593</v>
      </c>
      <c r="E72" s="17" t="str" cm="1">
        <f t="array" ref="E72">IF(C72=0,"",
HYPERLINK(
"#'2026 Orders'!C"&amp;
MATCH(1,
('2026 Orders'!C:C=C72)*
('2026 Orders'!G:G=G72)*
('2026 Orders'!N:N=N72),
0),
"Open "&amp;C72
))</f>
        <v>Open A4633</v>
      </c>
      <c r="F72" s="14">
        <v>0</v>
      </c>
      <c r="G72" s="14" t="str">
        <f>'2026 Orders'!G71</f>
        <v>MOTILMX-60-CS-IQ</v>
      </c>
      <c r="H72" s="14" t="str">
        <f>'2026 Orders'!H71</f>
        <v>MOTILMX-60</v>
      </c>
      <c r="I72" s="15" t="str">
        <f>'2026 Orders'!I71</f>
        <v>IQ</v>
      </c>
      <c r="J72" s="14">
        <f>'2026 Orders'!J71</f>
        <v>30000</v>
      </c>
      <c r="K72" t="s">
        <v>594</v>
      </c>
      <c r="L72">
        <v>2200</v>
      </c>
      <c r="N72" s="10" t="str">
        <f>'2026 Orders'!N71</f>
        <v>ON HOLD</v>
      </c>
      <c r="O72">
        <v>46092</v>
      </c>
      <c r="P72" t="s">
        <v>1077</v>
      </c>
      <c r="Q72" t="s">
        <v>1119</v>
      </c>
      <c r="R72">
        <v>5000</v>
      </c>
      <c r="S72">
        <v>4861</v>
      </c>
      <c r="T72" t="s">
        <v>1079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C72" t="str">
        <f>IF(OR(B72="",B72=0),"",$AJ$2&amp;"/"&amp;J72)</f>
        <v>/30000</v>
      </c>
      <c r="AD72" t="e">
        <f t="shared" si="1"/>
        <v>#VALUE!</v>
      </c>
    </row>
    <row r="73" spans="2:30" ht="33" hidden="1" customHeight="1" x14ac:dyDescent="0.3">
      <c r="B73" s="14">
        <f>'2026 Orders'!B72</f>
        <v>0</v>
      </c>
      <c r="C73" s="14">
        <f>'2026 Orders'!C72</f>
        <v>0</v>
      </c>
      <c r="D73" s="14" t="s">
        <v>595</v>
      </c>
      <c r="E73" s="17" t="str" cm="1">
        <f t="array" ref="E73">IF(C73=0,"",
HYPERLINK(
"#'2026 Orders'!C"&amp;
MATCH(1,
('2026 Orders'!C:C=C73)*
('2026 Orders'!G:G=G73)*
('2026 Orders'!N:N=N73),
0),
"Open "&amp;C73
))</f>
        <v/>
      </c>
      <c r="F73" s="14">
        <v>0</v>
      </c>
      <c r="G73" s="14">
        <f>'2026 Orders'!G72</f>
        <v>0</v>
      </c>
      <c r="H73" s="14">
        <f>'2026 Orders'!H72</f>
        <v>0</v>
      </c>
      <c r="I73" s="15" t="str">
        <f>'2026 Orders'!I72</f>
        <v/>
      </c>
      <c r="J73" s="14">
        <f>'2026 Orders'!J72</f>
        <v>0</v>
      </c>
      <c r="K73" t="s">
        <v>596</v>
      </c>
      <c r="L73">
        <v>550</v>
      </c>
      <c r="N73" s="10">
        <f>'2026 Orders'!N72</f>
        <v>0</v>
      </c>
      <c r="O73">
        <v>0</v>
      </c>
      <c r="P73" t="s">
        <v>1077</v>
      </c>
      <c r="Q73">
        <v>810131190040</v>
      </c>
      <c r="R73">
        <v>0</v>
      </c>
      <c r="S73">
        <v>4532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C73" t="str">
        <f>IF(OR(B73="",B73=0),"",$AJ$2&amp;"/"&amp;J73)</f>
        <v/>
      </c>
      <c r="AD73" t="str">
        <f t="shared" si="1"/>
        <v/>
      </c>
    </row>
    <row r="74" spans="2:30" ht="33" hidden="1" customHeight="1" x14ac:dyDescent="0.3">
      <c r="B74" s="14" t="str">
        <f>'2026 Orders'!B73</f>
        <v>Iraq</v>
      </c>
      <c r="C74" s="14" t="str">
        <f>'2026 Orders'!C73</f>
        <v>A4704</v>
      </c>
      <c r="D74" s="14">
        <v>0</v>
      </c>
      <c r="E74" s="17" t="str" cm="1">
        <f t="array" ref="E74">IF(C74=0,"",
HYPERLINK(
"#'2026 Orders'!C"&amp;
MATCH(1,
('2026 Orders'!C:C=C74)*
('2026 Orders'!G:G=G74)*
('2026 Orders'!N:N=N74),
0),
"Open "&amp;C74
))</f>
        <v>Open A4704</v>
      </c>
      <c r="F74" s="14" t="s">
        <v>597</v>
      </c>
      <c r="G74" s="14" t="str">
        <f>'2026 Orders'!G73</f>
        <v>FIBRO-60-CS-IQ</v>
      </c>
      <c r="H74" s="14" t="str">
        <f>'2026 Orders'!H73</f>
        <v>FIBRO-60</v>
      </c>
      <c r="I74" s="15" t="str">
        <f>'2026 Orders'!I73</f>
        <v>IQ</v>
      </c>
      <c r="J74" s="14">
        <f>'2026 Orders'!J73</f>
        <v>2808</v>
      </c>
      <c r="K74" t="s">
        <v>598</v>
      </c>
      <c r="L74">
        <v>6000</v>
      </c>
      <c r="N74" s="10" t="str">
        <f>'2026 Orders'!N73</f>
        <v>ON HOLD</v>
      </c>
      <c r="O74">
        <v>0</v>
      </c>
      <c r="P74" t="s">
        <v>1077</v>
      </c>
      <c r="Q74">
        <v>609788968146</v>
      </c>
      <c r="R74">
        <v>6000</v>
      </c>
      <c r="S74">
        <v>4964</v>
      </c>
      <c r="T74">
        <v>46052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C74" t="str">
        <f>IF(OR(B74="",B74=0),"",$AJ$2&amp;"/"&amp;J74)</f>
        <v>/2808</v>
      </c>
      <c r="AD74" t="e">
        <f t="shared" si="1"/>
        <v>#VALUE!</v>
      </c>
    </row>
    <row r="75" spans="2:30" ht="33" hidden="1" customHeight="1" x14ac:dyDescent="0.3">
      <c r="B75" s="14" t="str">
        <f>'2026 Orders'!B74</f>
        <v>Iraq</v>
      </c>
      <c r="C75" s="14" t="str">
        <f>'2026 Orders'!C74</f>
        <v>A4704</v>
      </c>
      <c r="D75" s="14" t="s">
        <v>599</v>
      </c>
      <c r="E75" s="17" t="str" cm="1">
        <f t="array" ref="E75">IF(C75=0,"",
HYPERLINK(
"#'2026 Orders'!C"&amp;
MATCH(1,
('2026 Orders'!C:C=C75)*
('2026 Orders'!G:G=G75)*
('2026 Orders'!N:N=N75),
0),
"Open "&amp;C75
))</f>
        <v>Open A4704</v>
      </c>
      <c r="F75" s="14" t="s">
        <v>1227</v>
      </c>
      <c r="G75" s="14" t="str">
        <f>'2026 Orders'!G74</f>
        <v>COLLA-60-FD</v>
      </c>
      <c r="H75" s="14" t="str">
        <f>'2026 Orders'!H74</f>
        <v>COLLA-60</v>
      </c>
      <c r="I75" s="15" t="str">
        <f>'2026 Orders'!I74</f>
        <v>FD</v>
      </c>
      <c r="J75" s="14">
        <f>'2026 Orders'!J74</f>
        <v>4800</v>
      </c>
      <c r="K75" t="s">
        <v>578</v>
      </c>
      <c r="L75">
        <v>528</v>
      </c>
      <c r="N75" s="10" t="str">
        <f>'2026 Orders'!N74</f>
        <v>ON HOLD</v>
      </c>
      <c r="O75">
        <v>0</v>
      </c>
      <c r="P75" t="s">
        <v>1077</v>
      </c>
      <c r="Q75">
        <v>609788968528</v>
      </c>
      <c r="R75">
        <v>5000</v>
      </c>
      <c r="S75">
        <v>4876</v>
      </c>
      <c r="T75" t="s">
        <v>1079</v>
      </c>
      <c r="U75" t="s">
        <v>1120</v>
      </c>
      <c r="V75">
        <v>0</v>
      </c>
      <c r="W75">
        <v>0</v>
      </c>
      <c r="X75">
        <v>0</v>
      </c>
      <c r="Y75">
        <v>0</v>
      </c>
      <c r="Z75">
        <v>0</v>
      </c>
      <c r="AC75" t="str">
        <f>IF(OR(B75="",B75=0),"",$AJ$2&amp;"/"&amp;J75)</f>
        <v>/4800</v>
      </c>
      <c r="AD75" t="e">
        <f t="shared" si="1"/>
        <v>#VALUE!</v>
      </c>
    </row>
    <row r="76" spans="2:30" ht="33" hidden="1" customHeight="1" x14ac:dyDescent="0.3">
      <c r="B76" s="14" t="str">
        <f>'2026 Orders'!B75</f>
        <v>Iraq</v>
      </c>
      <c r="C76" s="14" t="str">
        <f>'2026 Orders'!C75</f>
        <v>A4704</v>
      </c>
      <c r="D76" s="14">
        <v>0</v>
      </c>
      <c r="E76" s="17" t="str" cm="1">
        <f t="array" ref="E76">IF(C76=0,"",
HYPERLINK(
"#'2026 Orders'!C"&amp;
MATCH(1,
('2026 Orders'!C:C=C76)*
('2026 Orders'!G:G=G76)*
('2026 Orders'!N:N=N76),
0),
"Open "&amp;C76
))</f>
        <v>Open A4704</v>
      </c>
      <c r="F76" s="14" t="s">
        <v>601</v>
      </c>
      <c r="G76" s="14" t="str">
        <f>'2026 Orders'!G75</f>
        <v>MFSPLS-60-RE</v>
      </c>
      <c r="H76" s="14" t="str">
        <f>'2026 Orders'!H75</f>
        <v>MFSPLS-60</v>
      </c>
      <c r="I76" s="15" t="str">
        <f>'2026 Orders'!I75</f>
        <v>RE</v>
      </c>
      <c r="J76" s="14">
        <f>'2026 Orders'!J75</f>
        <v>5280</v>
      </c>
      <c r="K76" t="s">
        <v>578</v>
      </c>
      <c r="L76">
        <v>4158</v>
      </c>
      <c r="N76" s="10" t="str">
        <f>'2026 Orders'!N75</f>
        <v>ON HOLD</v>
      </c>
      <c r="O76">
        <v>0</v>
      </c>
      <c r="P76" t="s">
        <v>1077</v>
      </c>
      <c r="Q76">
        <v>609788968528</v>
      </c>
      <c r="R76">
        <v>5000</v>
      </c>
      <c r="S76">
        <v>4966</v>
      </c>
      <c r="T76">
        <v>46052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C76" t="str">
        <f>IF(OR(B76="",B76=0),"",$AJ$2&amp;"/"&amp;J76)</f>
        <v>/5280</v>
      </c>
      <c r="AD76" t="e">
        <f t="shared" si="1"/>
        <v>#VALUE!</v>
      </c>
    </row>
    <row r="77" spans="2:30" ht="33" hidden="1" customHeight="1" x14ac:dyDescent="0.3">
      <c r="B77" s="14" t="str">
        <f>'2026 Orders'!B76</f>
        <v>Iraq</v>
      </c>
      <c r="C77" s="14" t="str">
        <f>'2026 Orders'!C76</f>
        <v>A4704</v>
      </c>
      <c r="D77" s="14">
        <v>0</v>
      </c>
      <c r="E77" s="17" t="str" cm="1">
        <f t="array" ref="E77">IF(C77=0,"",
HYPERLINK(
"#'2026 Orders'!C"&amp;
MATCH(1,
('2026 Orders'!C:C=C77)*
('2026 Orders'!G:G=G77)*
('2026 Orders'!N:N=N77),
0),
"Open "&amp;C77
))</f>
        <v>Open A4704</v>
      </c>
      <c r="F77" s="14" t="s">
        <v>602</v>
      </c>
      <c r="G77" s="14" t="str">
        <f>'2026 Orders'!G76</f>
        <v>PEARLY-60-CS-IQ</v>
      </c>
      <c r="H77" s="14" t="str">
        <f>'2026 Orders'!H76</f>
        <v>PEARLY-60</v>
      </c>
      <c r="I77" s="15" t="str">
        <f>'2026 Orders'!I76</f>
        <v>IQ</v>
      </c>
      <c r="J77" s="14">
        <f>'2026 Orders'!J76</f>
        <v>5208</v>
      </c>
      <c r="K77" t="s">
        <v>581</v>
      </c>
      <c r="L77">
        <v>953</v>
      </c>
      <c r="N77" s="10" t="str">
        <f>'2026 Orders'!N76</f>
        <v>ON HOLD</v>
      </c>
      <c r="O77">
        <v>0</v>
      </c>
      <c r="P77" t="s">
        <v>1077</v>
      </c>
      <c r="Q77">
        <v>609788968528</v>
      </c>
      <c r="R77">
        <v>2550</v>
      </c>
      <c r="S77">
        <v>4965</v>
      </c>
      <c r="T77">
        <v>46058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C77" t="str">
        <f>IF(OR(B77="",B77=0),"",$AJ$2&amp;"/"&amp;J77)</f>
        <v>/5208</v>
      </c>
      <c r="AD77" t="e">
        <f t="shared" si="1"/>
        <v>#VALUE!</v>
      </c>
    </row>
    <row r="78" spans="2:30" ht="33" hidden="1" customHeight="1" x14ac:dyDescent="0.3">
      <c r="B78" s="14">
        <f>'2026 Orders'!B77</f>
        <v>0</v>
      </c>
      <c r="C78" s="14">
        <f>'2026 Orders'!C77</f>
        <v>0</v>
      </c>
      <c r="D78" s="14" t="s">
        <v>603</v>
      </c>
      <c r="E78" s="17" t="str" cm="1">
        <f t="array" ref="E78">IF(C78=0,"",
HYPERLINK(
"#'2026 Orders'!C"&amp;
MATCH(1,
('2026 Orders'!C:C=C78)*
('2026 Orders'!G:G=G78)*
('2026 Orders'!N:N=N78),
0),
"Open "&amp;C78
))</f>
        <v/>
      </c>
      <c r="F78" s="14" t="s">
        <v>604</v>
      </c>
      <c r="G78" s="14">
        <f>'2026 Orders'!G77</f>
        <v>0</v>
      </c>
      <c r="H78" s="14">
        <f>'2026 Orders'!H77</f>
        <v>0</v>
      </c>
      <c r="I78" s="15" t="str">
        <f>'2026 Orders'!I77</f>
        <v/>
      </c>
      <c r="J78" s="14">
        <f>'2026 Orders'!J77</f>
        <v>0</v>
      </c>
      <c r="K78" t="s">
        <v>605</v>
      </c>
      <c r="L78">
        <v>860</v>
      </c>
      <c r="N78" s="10">
        <f>'2026 Orders'!N77</f>
        <v>0</v>
      </c>
      <c r="O78">
        <v>0</v>
      </c>
      <c r="P78" t="s">
        <v>1085</v>
      </c>
      <c r="Q78">
        <v>604776735885</v>
      </c>
      <c r="R78">
        <v>5000</v>
      </c>
      <c r="S78">
        <v>4839</v>
      </c>
      <c r="T78" t="s">
        <v>1079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C78" t="str">
        <f>IF(OR(B78="",B78=0),"",$AJ$2&amp;"/"&amp;J78)</f>
        <v/>
      </c>
      <c r="AD78" t="str">
        <f t="shared" si="1"/>
        <v/>
      </c>
    </row>
    <row r="79" spans="2:30" ht="33" hidden="1" customHeight="1" x14ac:dyDescent="0.3">
      <c r="B79" s="14" t="str">
        <f>'2026 Orders'!B78</f>
        <v>Iraq</v>
      </c>
      <c r="C79" s="14" t="str">
        <f>'2026 Orders'!C78</f>
        <v>A4631</v>
      </c>
      <c r="D79" s="14">
        <v>0</v>
      </c>
      <c r="E79" s="17" t="str" cm="1">
        <f t="array" ref="E79">IF(C79=0,"",
HYPERLINK(
"#'2026 Orders'!C"&amp;
MATCH(1,
('2026 Orders'!C:C=C79)*
('2026 Orders'!G:G=G79)*
('2026 Orders'!N:N=N79),
0),
"Open "&amp;C79
))</f>
        <v>Open A4631</v>
      </c>
      <c r="F79" s="14" t="s">
        <v>606</v>
      </c>
      <c r="G79" s="14" t="str">
        <f>'2026 Orders'!G78</f>
        <v>COQ100-125-FD</v>
      </c>
      <c r="H79" s="14" t="str">
        <f>'2026 Orders'!H78</f>
        <v>COQ100-125</v>
      </c>
      <c r="I79" s="15" t="str">
        <f>'2026 Orders'!I78</f>
        <v>FD</v>
      </c>
      <c r="J79" s="14">
        <f>'2026 Orders'!J78</f>
        <v>7968</v>
      </c>
      <c r="K79" t="s">
        <v>465</v>
      </c>
      <c r="L79">
        <v>2200</v>
      </c>
      <c r="N79" s="10" t="str">
        <f>'2026 Orders'!N78</f>
        <v>ON HOLD</v>
      </c>
      <c r="O79">
        <v>0</v>
      </c>
      <c r="P79" t="s">
        <v>1085</v>
      </c>
      <c r="Q79" t="s">
        <v>1098</v>
      </c>
      <c r="R79">
        <v>5000</v>
      </c>
      <c r="S79">
        <v>4798</v>
      </c>
      <c r="T79" t="s">
        <v>1079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C79" t="str">
        <f>IF(OR(B79="",B79=0),"",$AJ$2&amp;"/"&amp;J79)</f>
        <v>/7968</v>
      </c>
      <c r="AD79" t="e">
        <f t="shared" si="1"/>
        <v>#VALUE!</v>
      </c>
    </row>
    <row r="80" spans="2:30" ht="33" hidden="1" customHeight="1" x14ac:dyDescent="0.3">
      <c r="B80" s="14" t="str">
        <f>'2026 Orders'!B79</f>
        <v>Iraq</v>
      </c>
      <c r="C80" s="14" t="str">
        <f>'2026 Orders'!C79</f>
        <v>A4631</v>
      </c>
      <c r="D80" s="14">
        <v>0</v>
      </c>
      <c r="E80" s="17" t="str" cm="1">
        <f t="array" ref="E80">IF(C80=0,"",
HYPERLINK(
"#'2026 Orders'!C"&amp;
MATCH(1,
('2026 Orders'!C:C=C80)*
('2026 Orders'!G:G=G80)*
('2026 Orders'!N:N=N80),
0),
"Open "&amp;C80
))</f>
        <v>Open A4631</v>
      </c>
      <c r="F80" s="14" t="s">
        <v>607</v>
      </c>
      <c r="G80" s="14" t="str">
        <f>'2026 Orders'!G79</f>
        <v>COQ100-125-FD</v>
      </c>
      <c r="H80" s="14" t="str">
        <f>'2026 Orders'!H79</f>
        <v>COQ100-125</v>
      </c>
      <c r="I80" s="15" t="str">
        <f>'2026 Orders'!I79</f>
        <v>FD</v>
      </c>
      <c r="J80" s="14">
        <f>'2026 Orders'!J79</f>
        <v>1329</v>
      </c>
      <c r="K80">
        <v>0</v>
      </c>
      <c r="L80">
        <v>1453</v>
      </c>
      <c r="N80" s="10" t="str">
        <f>'2026 Orders'!N79</f>
        <v>ON HOLD</v>
      </c>
      <c r="O80">
        <v>0</v>
      </c>
      <c r="P80" t="s">
        <v>1077</v>
      </c>
      <c r="Q80">
        <v>609788968610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C80" t="str">
        <f>IF(OR(B80="",B80=0),"",$AJ$2&amp;"/"&amp;J80)</f>
        <v>/1329</v>
      </c>
      <c r="AD80" t="e">
        <f t="shared" si="1"/>
        <v>#VALUE!</v>
      </c>
    </row>
    <row r="81" spans="2:30" ht="33" hidden="1" customHeight="1" x14ac:dyDescent="0.3">
      <c r="B81" s="14" t="str">
        <f>'2026 Orders'!B80</f>
        <v>Iraq</v>
      </c>
      <c r="C81" s="14" t="str">
        <f>'2026 Orders'!C80</f>
        <v>A4631</v>
      </c>
      <c r="D81" s="14">
        <v>0</v>
      </c>
      <c r="E81" s="17" t="str" cm="1">
        <f t="array" ref="E81">IF(C81=0,"",
HYPERLINK(
"#'2026 Orders'!C"&amp;
MATCH(1,
('2026 Orders'!C:C=C81)*
('2026 Orders'!G:G=G81)*
('2026 Orders'!N:N=N81),
0),
"Open "&amp;C81
))</f>
        <v>Open A4631</v>
      </c>
      <c r="F81" s="14" t="s">
        <v>609</v>
      </c>
      <c r="G81" s="14" t="str">
        <f>'2026 Orders'!G80</f>
        <v>MEMOUP-60-FD</v>
      </c>
      <c r="H81" s="14" t="str">
        <f>'2026 Orders'!H80</f>
        <v>MEMOUP-60</v>
      </c>
      <c r="I81" s="15" t="str">
        <f>'2026 Orders'!I80</f>
        <v>FD</v>
      </c>
      <c r="J81" s="14">
        <f>'2026 Orders'!J80</f>
        <v>4507</v>
      </c>
      <c r="K81">
        <v>0</v>
      </c>
      <c r="L81">
        <v>860</v>
      </c>
      <c r="N81" s="10" t="str">
        <f>'2026 Orders'!N80</f>
        <v>ON HOLD</v>
      </c>
      <c r="O81">
        <v>0</v>
      </c>
      <c r="P81" t="s">
        <v>1077</v>
      </c>
      <c r="Q81">
        <v>609788968610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C81" t="str">
        <f>IF(OR(B81="",B81=0),"",$AJ$2&amp;"/"&amp;J81)</f>
        <v>/4507</v>
      </c>
      <c r="AD81" t="e">
        <f t="shared" si="1"/>
        <v>#VALUE!</v>
      </c>
    </row>
    <row r="82" spans="2:30" ht="33" hidden="1" customHeight="1" x14ac:dyDescent="0.3">
      <c r="B82" s="14" t="str">
        <f>'2026 Orders'!B81</f>
        <v>Iraq</v>
      </c>
      <c r="C82" s="14" t="str">
        <f>'2026 Orders'!C81</f>
        <v>A4631</v>
      </c>
      <c r="D82" s="14">
        <v>0</v>
      </c>
      <c r="E82" s="17" t="str" cm="1">
        <f t="array" ref="E82">IF(C82=0,"",
HYPERLINK(
"#'2026 Orders'!C"&amp;
MATCH(1,
('2026 Orders'!C:C=C82)*
('2026 Orders'!G:G=G82)*
('2026 Orders'!N:N=N82),
0),
"Open "&amp;C82
))</f>
        <v>Open A4631</v>
      </c>
      <c r="F82" s="14" t="s">
        <v>1228</v>
      </c>
      <c r="G82" s="14" t="str">
        <f>'2026 Orders'!G81</f>
        <v>MEMOUP-60-FD</v>
      </c>
      <c r="H82" s="14" t="str">
        <f>'2026 Orders'!H81</f>
        <v>MEMOUP-60</v>
      </c>
      <c r="I82" s="15" t="str">
        <f>'2026 Orders'!I81</f>
        <v>FD</v>
      </c>
      <c r="J82" s="14">
        <f>'2026 Orders'!J81</f>
        <v>1142</v>
      </c>
      <c r="K82" t="s">
        <v>615</v>
      </c>
      <c r="L82">
        <v>0</v>
      </c>
      <c r="N82" s="10" t="str">
        <f>'2026 Orders'!N81</f>
        <v>ON HOLD</v>
      </c>
      <c r="O82">
        <v>0</v>
      </c>
      <c r="P82" t="s">
        <v>1085</v>
      </c>
      <c r="Q82">
        <v>604776737834</v>
      </c>
      <c r="R82">
        <v>7000</v>
      </c>
      <c r="S82">
        <v>4971</v>
      </c>
      <c r="T82">
        <v>46136</v>
      </c>
      <c r="U82" t="s">
        <v>1121</v>
      </c>
      <c r="V82">
        <v>0</v>
      </c>
      <c r="W82">
        <v>0</v>
      </c>
      <c r="X82">
        <v>0</v>
      </c>
      <c r="Y82">
        <v>0</v>
      </c>
      <c r="Z82" t="s">
        <v>1086</v>
      </c>
      <c r="AC82" t="str">
        <f>IF(OR(B82="",B82=0),"",$AJ$2&amp;"/"&amp;J82)</f>
        <v>/1142</v>
      </c>
      <c r="AD82" t="e">
        <f t="shared" si="1"/>
        <v>#VALUE!</v>
      </c>
    </row>
    <row r="83" spans="2:30" ht="33" hidden="1" customHeight="1" x14ac:dyDescent="0.3">
      <c r="B83" s="14" t="str">
        <f>'2026 Orders'!B82</f>
        <v>Iraq</v>
      </c>
      <c r="C83" s="14" t="str">
        <f>'2026 Orders'!C82</f>
        <v>A4631</v>
      </c>
      <c r="D83" s="14">
        <v>0</v>
      </c>
      <c r="E83" s="17" t="str" cm="1">
        <f t="array" ref="E83">IF(C83=0,"",
HYPERLINK(
"#'2026 Orders'!C"&amp;
MATCH(1,
('2026 Orders'!C:C=C83)*
('2026 Orders'!G:G=G83)*
('2026 Orders'!N:N=N83),
0),
"Open "&amp;C83
))</f>
        <v>Open A4631</v>
      </c>
      <c r="F83" s="14" t="s">
        <v>1229</v>
      </c>
      <c r="G83" s="14" t="str">
        <f>'2026 Orders'!G82</f>
        <v>QWELL2-60-SG-CS-IQ</v>
      </c>
      <c r="H83" s="14" t="str">
        <f>'2026 Orders'!H82</f>
        <v>QWELL2-60</v>
      </c>
      <c r="I83" s="15" t="str">
        <f>'2026 Orders'!I82</f>
        <v>IQ</v>
      </c>
      <c r="J83" s="14">
        <f>'2026 Orders'!J82</f>
        <v>6250</v>
      </c>
      <c r="K83" t="s">
        <v>592</v>
      </c>
      <c r="L83">
        <v>0</v>
      </c>
      <c r="N83" s="10" t="str">
        <f>'2026 Orders'!N82</f>
        <v>ON HOLD</v>
      </c>
      <c r="O83">
        <v>0</v>
      </c>
      <c r="P83" t="s">
        <v>1077</v>
      </c>
      <c r="Q83" t="s">
        <v>1118</v>
      </c>
      <c r="R83">
        <v>4000</v>
      </c>
      <c r="S83">
        <v>4973</v>
      </c>
      <c r="T83">
        <v>46136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C83" t="str">
        <f>IF(OR(B83="",B83=0),"",$AJ$2&amp;"/"&amp;J83)</f>
        <v>/6250</v>
      </c>
      <c r="AD83" t="e">
        <f t="shared" si="1"/>
        <v>#VALUE!</v>
      </c>
    </row>
    <row r="84" spans="2:30" ht="33" hidden="1" customHeight="1" x14ac:dyDescent="0.3">
      <c r="B84" s="14" t="str">
        <f>'2026 Orders'!B83</f>
        <v>Iraq</v>
      </c>
      <c r="C84" s="14" t="str">
        <f>'2026 Orders'!C83</f>
        <v>A4631</v>
      </c>
      <c r="D84" s="14" t="s">
        <v>565</v>
      </c>
      <c r="E84" s="17" t="str" cm="1">
        <f t="array" ref="E84">IF(C84=0,"",
HYPERLINK(
"#'2026 Orders'!C"&amp;
MATCH(1,
('2026 Orders'!C:C=C84)*
('2026 Orders'!G:G=G84)*
('2026 Orders'!N:N=N84),
0),
"Open "&amp;C84
))</f>
        <v>Open A4631</v>
      </c>
      <c r="F84" s="14" t="s">
        <v>1230</v>
      </c>
      <c r="G84" s="14" t="str">
        <f>'2026 Orders'!G83</f>
        <v>QWELL4-30-SG-CS-IQ</v>
      </c>
      <c r="H84" s="14" t="str">
        <f>'2026 Orders'!H83</f>
        <v>QWELL4-30</v>
      </c>
      <c r="I84" s="15" t="str">
        <f>'2026 Orders'!I83</f>
        <v>IQ</v>
      </c>
      <c r="J84" s="14">
        <f>'2026 Orders'!J83</f>
        <v>12250</v>
      </c>
      <c r="K84" t="s">
        <v>568</v>
      </c>
      <c r="L84">
        <v>2688</v>
      </c>
      <c r="N84" s="10" t="str">
        <f>'2026 Orders'!N83</f>
        <v>ON HOLD</v>
      </c>
      <c r="O84">
        <v>0</v>
      </c>
      <c r="P84" t="s">
        <v>1085</v>
      </c>
      <c r="Q84" t="s">
        <v>1122</v>
      </c>
      <c r="R84">
        <v>8000</v>
      </c>
      <c r="S84">
        <v>4916</v>
      </c>
      <c r="T84" t="s">
        <v>1103</v>
      </c>
      <c r="U84">
        <v>0</v>
      </c>
      <c r="V84">
        <v>0</v>
      </c>
      <c r="W84">
        <v>0</v>
      </c>
      <c r="X84">
        <v>0</v>
      </c>
      <c r="Y84">
        <v>0</v>
      </c>
      <c r="Z84" t="s">
        <v>1086</v>
      </c>
      <c r="AC84" t="str">
        <f>IF(OR(B84="",B84=0),"",$AJ$2&amp;"/"&amp;J84)</f>
        <v>/12250</v>
      </c>
      <c r="AD84" t="e">
        <f t="shared" si="1"/>
        <v>#VALUE!</v>
      </c>
    </row>
    <row r="85" spans="2:30" ht="33" hidden="1" customHeight="1" x14ac:dyDescent="0.3">
      <c r="B85" s="14" t="str">
        <f>'2026 Orders'!B84</f>
        <v>Iraq</v>
      </c>
      <c r="C85" s="14" t="str">
        <f>'2026 Orders'!C84</f>
        <v>A4631</v>
      </c>
      <c r="D85" s="14" t="s">
        <v>569</v>
      </c>
      <c r="E85" s="17" t="str" cm="1">
        <f t="array" ref="E85">IF(C85=0,"",
HYPERLINK(
"#'2026 Orders'!C"&amp;
MATCH(1,
('2026 Orders'!C:C=C85)*
('2026 Orders'!G:G=G85)*
('2026 Orders'!N:N=N85),
0),
"Open "&amp;C85
))</f>
        <v>Open A4631</v>
      </c>
      <c r="F85" s="14" t="s">
        <v>1231</v>
      </c>
      <c r="G85" s="14" t="str">
        <f>'2026 Orders'!G84</f>
        <v>XTRAD50-12-SG-FD</v>
      </c>
      <c r="H85" s="14" t="str">
        <f>'2026 Orders'!H84</f>
        <v>XTRAD50-12</v>
      </c>
      <c r="I85" s="15" t="str">
        <f>'2026 Orders'!I84</f>
        <v>FD</v>
      </c>
      <c r="J85" s="14">
        <f>'2026 Orders'!J84</f>
        <v>4872</v>
      </c>
      <c r="K85">
        <v>0</v>
      </c>
      <c r="L85">
        <v>1329</v>
      </c>
      <c r="N85" s="10" t="str">
        <f>'2026 Orders'!N84</f>
        <v>ON HOLD</v>
      </c>
      <c r="O85">
        <v>0</v>
      </c>
      <c r="P85" t="s">
        <v>1085</v>
      </c>
      <c r="Q85" t="s">
        <v>1122</v>
      </c>
      <c r="R85">
        <v>1329</v>
      </c>
      <c r="S85">
        <v>4720</v>
      </c>
      <c r="T85" t="s">
        <v>1103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C85" t="str">
        <f>IF(OR(B85="",B85=0),"",$AJ$2&amp;"/"&amp;J85)</f>
        <v>/4872</v>
      </c>
      <c r="AD85" t="e">
        <f t="shared" si="1"/>
        <v>#VALUE!</v>
      </c>
    </row>
    <row r="86" spans="2:30" ht="33" hidden="1" customHeight="1" x14ac:dyDescent="0.3">
      <c r="B86" s="14" t="str">
        <f>'2026 Orders'!B85</f>
        <v>Iraq</v>
      </c>
      <c r="C86" s="14" t="str">
        <f>'2026 Orders'!C85</f>
        <v>A4631</v>
      </c>
      <c r="D86" s="14" t="s">
        <v>571</v>
      </c>
      <c r="E86" s="17" t="str" cm="1">
        <f t="array" ref="E86">IF(C86=0,"",
HYPERLINK(
"#'2026 Orders'!C"&amp;
MATCH(1,
('2026 Orders'!C:C=C86)*
('2026 Orders'!G:G=G86)*
('2026 Orders'!N:N=N86),
0),
"Open "&amp;C86
))</f>
        <v>Open A4631</v>
      </c>
      <c r="F86" s="14" t="s">
        <v>1232</v>
      </c>
      <c r="G86" s="14" t="str">
        <f>'2026 Orders'!G85</f>
        <v>XTRAD5-60-FD</v>
      </c>
      <c r="H86" s="14" t="str">
        <f>'2026 Orders'!H85</f>
        <v>XTRAD5-60</v>
      </c>
      <c r="I86" s="15" t="str">
        <f>'2026 Orders'!I85</f>
        <v>FD</v>
      </c>
      <c r="J86" s="14">
        <f>'2026 Orders'!J85</f>
        <v>4500</v>
      </c>
      <c r="K86" t="s">
        <v>573</v>
      </c>
      <c r="L86">
        <v>4507</v>
      </c>
      <c r="N86" s="10" t="str">
        <f>'2026 Orders'!N85</f>
        <v>ON HOLD</v>
      </c>
      <c r="O86">
        <v>0</v>
      </c>
      <c r="P86" t="s">
        <v>1085</v>
      </c>
      <c r="Q86" t="s">
        <v>1123</v>
      </c>
      <c r="R86">
        <v>5250</v>
      </c>
      <c r="S86">
        <v>4928</v>
      </c>
      <c r="T86" t="s">
        <v>1103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C86" t="str">
        <f>IF(OR(B86="",B86=0),"",$AJ$2&amp;"/"&amp;J86)</f>
        <v>/4500</v>
      </c>
      <c r="AD86" t="e">
        <f t="shared" si="1"/>
        <v>#VALUE!</v>
      </c>
    </row>
    <row r="87" spans="2:30" ht="33" hidden="1" customHeight="1" x14ac:dyDescent="0.3">
      <c r="B87" s="14">
        <f>'2026 Orders'!B86</f>
        <v>0</v>
      </c>
      <c r="C87" s="14">
        <f>'2026 Orders'!C86</f>
        <v>0</v>
      </c>
      <c r="D87" s="14" t="s">
        <v>574</v>
      </c>
      <c r="E87" s="17" t="str" cm="1">
        <f t="array" ref="E87">IF(C87=0,"",
HYPERLINK(
"#'2026 Orders'!C"&amp;
MATCH(1,
('2026 Orders'!C:C=C87)*
('2026 Orders'!G:G=G87)*
('2026 Orders'!N:N=N87),
0),
"Open "&amp;C87
))</f>
        <v/>
      </c>
      <c r="F87" s="14" t="s">
        <v>1233</v>
      </c>
      <c r="G87" s="14">
        <f>'2026 Orders'!G86</f>
        <v>0</v>
      </c>
      <c r="H87" s="14">
        <f>'2026 Orders'!H86</f>
        <v>0</v>
      </c>
      <c r="I87" s="15" t="str">
        <f>'2026 Orders'!I86</f>
        <v/>
      </c>
      <c r="J87" s="14">
        <f>'2026 Orders'!J86</f>
        <v>0</v>
      </c>
      <c r="K87" t="s">
        <v>573</v>
      </c>
      <c r="L87">
        <v>1142</v>
      </c>
      <c r="N87" s="10">
        <f>'2026 Orders'!N86</f>
        <v>0</v>
      </c>
      <c r="O87">
        <v>0</v>
      </c>
      <c r="P87" t="s">
        <v>1085</v>
      </c>
      <c r="Q87" t="s">
        <v>1123</v>
      </c>
      <c r="R87">
        <v>0</v>
      </c>
      <c r="S87">
        <v>4721</v>
      </c>
      <c r="T87" t="s">
        <v>1103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C87" t="str">
        <f>IF(OR(B87="",B87=0),"",$AJ$2&amp;"/"&amp;J87)</f>
        <v/>
      </c>
      <c r="AD87" t="str">
        <f t="shared" si="1"/>
        <v/>
      </c>
    </row>
    <row r="88" spans="2:30" ht="33" hidden="1" customHeight="1" x14ac:dyDescent="0.3">
      <c r="B88" s="14" t="str">
        <f>'2026 Orders'!B87</f>
        <v>Iraq</v>
      </c>
      <c r="C88" s="14" t="str">
        <f>'2026 Orders'!C87</f>
        <v>A4596</v>
      </c>
      <c r="D88" s="14" t="s">
        <v>582</v>
      </c>
      <c r="E88" s="17" t="str" cm="1">
        <f t="array" ref="E88">IF(C88=0,"",
HYPERLINK(
"#'2026 Orders'!C"&amp;
MATCH(1,
('2026 Orders'!C:C=C88)*
('2026 Orders'!G:G=G88)*
('2026 Orders'!N:N=N88),
0),
"Open "&amp;C88
))</f>
        <v>Open A4596</v>
      </c>
      <c r="F88" s="14" t="s">
        <v>1234</v>
      </c>
      <c r="G88" s="14" t="str">
        <f>'2026 Orders'!G87</f>
        <v>UTIC-60-FD</v>
      </c>
      <c r="H88" s="14" t="str">
        <f>'2026 Orders'!H87</f>
        <v>UTIC-60</v>
      </c>
      <c r="I88" s="15" t="str">
        <f>'2026 Orders'!I87</f>
        <v>FD</v>
      </c>
      <c r="J88" s="14">
        <f>'2026 Orders'!J87</f>
        <v>720</v>
      </c>
      <c r="K88" t="s">
        <v>585</v>
      </c>
      <c r="L88">
        <v>4872</v>
      </c>
      <c r="N88" s="10" t="str">
        <f>'2026 Orders'!N87</f>
        <v>ON HOLD</v>
      </c>
      <c r="O88">
        <v>0</v>
      </c>
      <c r="P88" t="s">
        <v>1077</v>
      </c>
      <c r="Q88" t="s">
        <v>1124</v>
      </c>
      <c r="R88">
        <v>5000</v>
      </c>
      <c r="S88">
        <v>4976</v>
      </c>
      <c r="T88" t="s">
        <v>1103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C88" t="str">
        <f>IF(OR(B88="",B88=0),"",$AJ$2&amp;"/"&amp;J88)</f>
        <v>/720</v>
      </c>
      <c r="AD88" t="e">
        <f t="shared" si="1"/>
        <v>#VALUE!</v>
      </c>
    </row>
    <row r="89" spans="2:30" ht="33" hidden="1" customHeight="1" x14ac:dyDescent="0.3">
      <c r="B89" s="14" t="str">
        <f>'2026 Orders'!B88</f>
        <v>Iraq</v>
      </c>
      <c r="C89" s="14" t="str">
        <f>'2026 Orders'!C88</f>
        <v>A4596</v>
      </c>
      <c r="D89" s="14">
        <v>0</v>
      </c>
      <c r="E89" s="17" t="str" cm="1">
        <f t="array" ref="E89">IF(C89=0,"",
HYPERLINK(
"#'2026 Orders'!C"&amp;
MATCH(1,
('2026 Orders'!C:C=C89)*
('2026 Orders'!G:G=G89)*
('2026 Orders'!N:N=N89),
0),
"Open "&amp;C89
))</f>
        <v>Open A4596</v>
      </c>
      <c r="F89" s="14">
        <v>0</v>
      </c>
      <c r="G89" s="14" t="str">
        <f>'2026 Orders'!G88</f>
        <v>TESTRON-60-FD</v>
      </c>
      <c r="H89" s="14" t="str">
        <f>'2026 Orders'!H88</f>
        <v>TESTRON-60</v>
      </c>
      <c r="I89" s="15" t="str">
        <f>'2026 Orders'!I88</f>
        <v>FD</v>
      </c>
      <c r="J89" s="14">
        <f>'2026 Orders'!J88</f>
        <v>2200</v>
      </c>
      <c r="K89">
        <v>0</v>
      </c>
      <c r="L89">
        <v>0</v>
      </c>
      <c r="N89" s="10" t="str">
        <f>'2026 Orders'!N88</f>
        <v>ON HOLD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C89" t="str">
        <f>IF(OR(B89="",B89=0),"",$AJ$2&amp;"/"&amp;J89)</f>
        <v>/2200</v>
      </c>
      <c r="AD89" t="e">
        <f t="shared" si="1"/>
        <v>#VALUE!</v>
      </c>
    </row>
    <row r="90" spans="2:30" ht="33" hidden="1" customHeight="1" x14ac:dyDescent="0.3">
      <c r="B90" s="14" t="str">
        <f>'2026 Orders'!B89</f>
        <v>Iraq</v>
      </c>
      <c r="C90" s="14" t="str">
        <f>'2026 Orders'!C89</f>
        <v>A4596</v>
      </c>
      <c r="D90" s="14">
        <v>0</v>
      </c>
      <c r="E90" s="17" t="str" cm="1">
        <f t="array" ref="E90">IF(C90=0,"",
HYPERLINK(
"#'2026 Orders'!C"&amp;
MATCH(1,
('2026 Orders'!C:C=C90)*
('2026 Orders'!G:G=G90)*
('2026 Orders'!N:N=N90),
0),
"Open "&amp;C90
))</f>
        <v>Open A4596</v>
      </c>
      <c r="F90" s="14">
        <v>0</v>
      </c>
      <c r="G90" s="14" t="str">
        <f>'2026 Orders'!G89</f>
        <v>BRSTW-60-FD</v>
      </c>
      <c r="H90" s="14" t="str">
        <f>'2026 Orders'!H89</f>
        <v>BRSTW-60</v>
      </c>
      <c r="I90" s="15" t="str">
        <f>'2026 Orders'!I89</f>
        <v>FD</v>
      </c>
      <c r="J90" s="14">
        <f>'2026 Orders'!J89</f>
        <v>550</v>
      </c>
      <c r="K90" t="s">
        <v>629</v>
      </c>
      <c r="L90">
        <v>0</v>
      </c>
      <c r="N90" s="10" t="str">
        <f>'2026 Orders'!N89</f>
        <v>ON HOLD</v>
      </c>
      <c r="O90">
        <v>0</v>
      </c>
      <c r="P90" t="s">
        <v>1077</v>
      </c>
      <c r="Q90">
        <v>609788968085</v>
      </c>
      <c r="R90">
        <v>2000</v>
      </c>
      <c r="S90">
        <v>4933</v>
      </c>
      <c r="T90" t="s">
        <v>1094</v>
      </c>
      <c r="U90" t="s">
        <v>1125</v>
      </c>
      <c r="V90">
        <v>0</v>
      </c>
      <c r="W90">
        <v>0</v>
      </c>
      <c r="X90">
        <v>0</v>
      </c>
      <c r="Y90">
        <v>0</v>
      </c>
      <c r="Z90" t="s">
        <v>1086</v>
      </c>
      <c r="AC90" t="str">
        <f>IF(OR(B90="",B90=0),"",$AJ$2&amp;"/"&amp;J90)</f>
        <v>/550</v>
      </c>
      <c r="AD90" t="e">
        <f t="shared" si="1"/>
        <v>#VALUE!</v>
      </c>
    </row>
    <row r="91" spans="2:30" ht="33" hidden="1" customHeight="1" x14ac:dyDescent="0.3">
      <c r="B91" s="14" t="str">
        <f>'2026 Orders'!B90</f>
        <v>Iraq</v>
      </c>
      <c r="C91" s="14" t="str">
        <f>'2026 Orders'!C90</f>
        <v>A4596</v>
      </c>
      <c r="D91" s="14">
        <v>0</v>
      </c>
      <c r="E91" s="17" t="str" cm="1">
        <f t="array" ref="E91">IF(C91=0,"",
HYPERLINK(
"#'2026 Orders'!C"&amp;
MATCH(1,
('2026 Orders'!C:C=C91)*
('2026 Orders'!G:G=G91)*
('2026 Orders'!N:N=N91),
0),
"Open "&amp;C91
))</f>
        <v>Open A4596</v>
      </c>
      <c r="F91" s="14">
        <v>0</v>
      </c>
      <c r="G91" s="14" t="str">
        <f>'2026 Orders'!G90</f>
        <v>GINKGO-60-FD</v>
      </c>
      <c r="H91" s="14" t="str">
        <f>'2026 Orders'!H90</f>
        <v>GINKGO-60</v>
      </c>
      <c r="I91" s="15" t="str">
        <f>'2026 Orders'!I90</f>
        <v>FD</v>
      </c>
      <c r="J91" s="14">
        <f>'2026 Orders'!J90</f>
        <v>6000</v>
      </c>
      <c r="K91" t="s">
        <v>635</v>
      </c>
      <c r="L91">
        <v>0</v>
      </c>
      <c r="N91" s="10" t="str">
        <f>'2026 Orders'!N90</f>
        <v>ON HOLD</v>
      </c>
      <c r="O91">
        <v>0</v>
      </c>
      <c r="P91">
        <v>0</v>
      </c>
      <c r="Q91">
        <v>609788968559</v>
      </c>
      <c r="R91">
        <v>2000</v>
      </c>
      <c r="S91">
        <v>4998</v>
      </c>
      <c r="T91">
        <v>46232</v>
      </c>
      <c r="U91" t="s">
        <v>1126</v>
      </c>
      <c r="V91">
        <v>0</v>
      </c>
      <c r="W91">
        <v>0</v>
      </c>
      <c r="X91">
        <v>0</v>
      </c>
      <c r="Y91">
        <v>0</v>
      </c>
      <c r="Z91">
        <v>0</v>
      </c>
      <c r="AC91" t="str">
        <f>IF(OR(B91="",B91=0),"",$AJ$2&amp;"/"&amp;J91)</f>
        <v>/6000</v>
      </c>
      <c r="AD91" t="e">
        <f t="shared" si="1"/>
        <v>#VALUE!</v>
      </c>
    </row>
    <row r="92" spans="2:30" ht="33" hidden="1" customHeight="1" x14ac:dyDescent="0.3">
      <c r="B92" s="14" t="str">
        <f>'2026 Orders'!B91</f>
        <v>Iraq</v>
      </c>
      <c r="C92" s="14" t="str">
        <f>'2026 Orders'!C91</f>
        <v>A4596</v>
      </c>
      <c r="D92" s="14">
        <v>0</v>
      </c>
      <c r="E92" s="17" t="str" cm="1">
        <f t="array" ref="E92">IF(C92=0,"",
HYPERLINK(
"#'2026 Orders'!C"&amp;
MATCH(1,
('2026 Orders'!C:C=C92)*
('2026 Orders'!G:G=G92)*
('2026 Orders'!N:N=N92),
0),
"Open "&amp;C92
))</f>
        <v>Open A4596</v>
      </c>
      <c r="F92" s="14">
        <v>0</v>
      </c>
      <c r="G92" s="14" t="str">
        <f>'2026 Orders'!G91</f>
        <v>QWELL2-60-SG-CS-IQ</v>
      </c>
      <c r="H92" s="14" t="str">
        <f>'2026 Orders'!H91</f>
        <v>QWELL2-60</v>
      </c>
      <c r="I92" s="15" t="str">
        <f>'2026 Orders'!I91</f>
        <v>IQ</v>
      </c>
      <c r="J92" s="14">
        <f>'2026 Orders'!J91</f>
        <v>529</v>
      </c>
      <c r="K92" t="s">
        <v>636</v>
      </c>
      <c r="L92">
        <v>0</v>
      </c>
      <c r="N92" s="10" t="str">
        <f>'2026 Orders'!N91</f>
        <v>ON HOLD</v>
      </c>
      <c r="O92" t="s">
        <v>488</v>
      </c>
      <c r="P92" t="s">
        <v>1077</v>
      </c>
      <c r="Q92">
        <v>810131199401</v>
      </c>
      <c r="R92">
        <v>2000</v>
      </c>
      <c r="S92">
        <v>4997</v>
      </c>
      <c r="T92">
        <v>46233</v>
      </c>
      <c r="U92" t="s">
        <v>1127</v>
      </c>
      <c r="V92">
        <v>0</v>
      </c>
      <c r="W92">
        <v>0</v>
      </c>
      <c r="X92">
        <v>0</v>
      </c>
      <c r="Y92">
        <v>0</v>
      </c>
      <c r="Z92">
        <v>0</v>
      </c>
      <c r="AC92" t="str">
        <f>IF(OR(B92="",B92=0),"",$AJ$2&amp;"/"&amp;J92)</f>
        <v>/529</v>
      </c>
      <c r="AD92" t="e">
        <f t="shared" si="1"/>
        <v>#VALUE!</v>
      </c>
    </row>
    <row r="93" spans="2:30" ht="33" hidden="1" customHeight="1" x14ac:dyDescent="0.3">
      <c r="B93" s="14" t="str">
        <f>'2026 Orders'!B92</f>
        <v>Iraq</v>
      </c>
      <c r="C93" s="14" t="str">
        <f>'2026 Orders'!C92</f>
        <v>A4596</v>
      </c>
      <c r="D93" s="14">
        <v>0</v>
      </c>
      <c r="E93" s="17" t="str" cm="1">
        <f t="array" ref="E93">IF(C93=0,"",
HYPERLINK(
"#'2026 Orders'!C"&amp;
MATCH(1,
('2026 Orders'!C:C=C93)*
('2026 Orders'!G:G=G93)*
('2026 Orders'!N:N=N93),
0),
"Open "&amp;C93
))</f>
        <v>Open A4596</v>
      </c>
      <c r="F93" s="14" t="s">
        <v>1235</v>
      </c>
      <c r="G93" s="14" t="str">
        <f>'2026 Orders'!G92</f>
        <v>QWELL2-60-SG-CS-IQ</v>
      </c>
      <c r="H93" s="14" t="str">
        <f>'2026 Orders'!H92</f>
        <v>QWELL2-60</v>
      </c>
      <c r="I93" s="15" t="str">
        <f>'2026 Orders'!I92</f>
        <v>IQ</v>
      </c>
      <c r="J93" s="14">
        <f>'2026 Orders'!J92</f>
        <v>4158</v>
      </c>
      <c r="K93" t="s">
        <v>642</v>
      </c>
      <c r="L93">
        <v>0</v>
      </c>
      <c r="N93" s="10" t="str">
        <f>'2026 Orders'!N92</f>
        <v>ON HOLD</v>
      </c>
      <c r="O93">
        <v>0</v>
      </c>
      <c r="P93" t="s">
        <v>1077</v>
      </c>
      <c r="Q93">
        <v>609788968672</v>
      </c>
      <c r="R93">
        <v>5000</v>
      </c>
      <c r="S93">
        <v>4974</v>
      </c>
      <c r="T93" t="s">
        <v>1079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C93" t="str">
        <f>IF(OR(B93="",B93=0),"",$AJ$2&amp;"/"&amp;J93)</f>
        <v>/4158</v>
      </c>
      <c r="AD93" t="e">
        <f t="shared" si="1"/>
        <v>#VALUE!</v>
      </c>
    </row>
    <row r="94" spans="2:30" ht="33" hidden="1" customHeight="1" x14ac:dyDescent="0.3">
      <c r="B94" s="14" t="str">
        <f>'2026 Orders'!B93</f>
        <v>Iraq</v>
      </c>
      <c r="C94" s="14" t="str">
        <f>'2026 Orders'!C93</f>
        <v>A4596</v>
      </c>
      <c r="D94" s="14" t="s">
        <v>1317</v>
      </c>
      <c r="E94" s="17" t="str" cm="1">
        <f t="array" ref="E94">IF(C94=0,"",
HYPERLINK(
"#'2026 Orders'!C"&amp;
MATCH(1,
('2026 Orders'!C:C=C94)*
('2026 Orders'!G:G=G94)*
('2026 Orders'!N:N=N94),
0),
"Open "&amp;C94
))</f>
        <v>Open A4596</v>
      </c>
      <c r="F94" s="14" t="s">
        <v>1236</v>
      </c>
      <c r="G94" s="14" t="str">
        <f>'2026 Orders'!G93</f>
        <v>QWELL2-60-SG-CS-IQ</v>
      </c>
      <c r="H94" s="14" t="str">
        <f>'2026 Orders'!H93</f>
        <v>QWELL2-60</v>
      </c>
      <c r="I94" s="15" t="str">
        <f>'2026 Orders'!I93</f>
        <v>IQ</v>
      </c>
      <c r="J94" s="14">
        <f>'2026 Orders'!J93</f>
        <v>953</v>
      </c>
      <c r="K94" t="s">
        <v>645</v>
      </c>
      <c r="L94">
        <v>0</v>
      </c>
      <c r="N94" s="10" t="str">
        <f>'2026 Orders'!N93</f>
        <v>ON HOLD</v>
      </c>
      <c r="O94" t="s">
        <v>1128</v>
      </c>
      <c r="P94" t="s">
        <v>1085</v>
      </c>
      <c r="Q94">
        <v>609788968184</v>
      </c>
      <c r="R94">
        <v>10156</v>
      </c>
      <c r="S94">
        <v>5069</v>
      </c>
      <c r="T94" t="s">
        <v>1103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C94" t="str">
        <f>IF(OR(B94="",B94=0),"",$AJ$2&amp;"/"&amp;J94)</f>
        <v>/953</v>
      </c>
      <c r="AD94" t="e">
        <f t="shared" si="1"/>
        <v>#VALUE!</v>
      </c>
    </row>
    <row r="95" spans="2:30" ht="33" hidden="1" customHeight="1" x14ac:dyDescent="0.3">
      <c r="B95" s="14" t="str">
        <f>'2026 Orders'!B94</f>
        <v>Iraq</v>
      </c>
      <c r="C95" s="14" t="str">
        <f>'2026 Orders'!C94</f>
        <v>A4596</v>
      </c>
      <c r="D95" s="14">
        <v>0</v>
      </c>
      <c r="E95" s="17" t="str" cm="1">
        <f t="array" ref="E95">IF(C95=0,"",
HYPERLINK(
"#'2026 Orders'!C"&amp;
MATCH(1,
('2026 Orders'!C:C=C95)*
('2026 Orders'!G:G=G95)*
('2026 Orders'!N:N=N95),
0),
"Open "&amp;C95
))</f>
        <v>Open A4596</v>
      </c>
      <c r="F95" s="14" t="s">
        <v>646</v>
      </c>
      <c r="G95" s="14" t="str">
        <f>'2026 Orders'!G94</f>
        <v>NRGWOM-45-FD</v>
      </c>
      <c r="H95" s="14" t="str">
        <f>'2026 Orders'!H94</f>
        <v>NRGWOM-45</v>
      </c>
      <c r="I95" s="15" t="str">
        <f>'2026 Orders'!I94</f>
        <v>FD</v>
      </c>
      <c r="J95" s="14">
        <f>'2026 Orders'!J94</f>
        <v>860</v>
      </c>
      <c r="K95" t="s">
        <v>647</v>
      </c>
      <c r="L95">
        <v>1207</v>
      </c>
      <c r="N95" s="10" t="str">
        <f>'2026 Orders'!N94</f>
        <v>ON HOLD</v>
      </c>
      <c r="O95">
        <v>0</v>
      </c>
      <c r="P95" t="s">
        <v>1085</v>
      </c>
      <c r="Q95">
        <v>604776735823</v>
      </c>
      <c r="R95">
        <v>7000</v>
      </c>
      <c r="S95">
        <v>4971</v>
      </c>
      <c r="T95" t="s">
        <v>1103</v>
      </c>
      <c r="U95">
        <v>0</v>
      </c>
      <c r="V95">
        <v>0</v>
      </c>
      <c r="W95">
        <v>0</v>
      </c>
      <c r="X95">
        <v>0</v>
      </c>
      <c r="Y95">
        <v>0</v>
      </c>
      <c r="Z95" t="s">
        <v>1086</v>
      </c>
      <c r="AC95" t="str">
        <f>IF(OR(B95="",B95=0),"",$AJ$2&amp;"/"&amp;J95)</f>
        <v>/860</v>
      </c>
      <c r="AD95" t="e">
        <f t="shared" si="1"/>
        <v>#VALUE!</v>
      </c>
    </row>
    <row r="96" spans="2:30" ht="33" hidden="1" customHeight="1" x14ac:dyDescent="0.3">
      <c r="B96" s="14" t="str">
        <f>'2026 Orders'!B95</f>
        <v>Iraq</v>
      </c>
      <c r="C96" s="14" t="str">
        <f>'2026 Orders'!C95</f>
        <v>A4596</v>
      </c>
      <c r="D96" s="14" t="s">
        <v>1318</v>
      </c>
      <c r="E96" s="17" t="str" cm="1">
        <f t="array" ref="E96">IF(C96=0,"",
HYPERLINK(
"#'2026 Orders'!C"&amp;
MATCH(1,
('2026 Orders'!C:C=C96)*
('2026 Orders'!G:G=G96)*
('2026 Orders'!N:N=N96),
0),
"Open "&amp;C96
))</f>
        <v>Open A4596</v>
      </c>
      <c r="F96" s="14" t="s">
        <v>1237</v>
      </c>
      <c r="G96" s="14" t="str">
        <f>'2026 Orders'!G95</f>
        <v>NMNH-60-FD</v>
      </c>
      <c r="H96" s="14" t="str">
        <f>'2026 Orders'!H95</f>
        <v>NMNH-60</v>
      </c>
      <c r="I96" s="15" t="str">
        <f>'2026 Orders'!I95</f>
        <v>FD</v>
      </c>
      <c r="J96" s="14">
        <f>'2026 Orders'!J95</f>
        <v>2200</v>
      </c>
      <c r="K96" t="s">
        <v>444</v>
      </c>
      <c r="L96">
        <v>795</v>
      </c>
      <c r="N96" s="10" t="str">
        <f>'2026 Orders'!N95</f>
        <v>ON HOLD</v>
      </c>
      <c r="O96">
        <v>0</v>
      </c>
      <c r="P96" t="s">
        <v>1077</v>
      </c>
      <c r="Q96" t="s">
        <v>1093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 t="s">
        <v>1086</v>
      </c>
      <c r="AC96" t="str">
        <f>IF(OR(B96="",B96=0),"",$AJ$2&amp;"/"&amp;J96)</f>
        <v>/2200</v>
      </c>
      <c r="AD96" t="e">
        <f t="shared" si="1"/>
        <v>#VALUE!</v>
      </c>
    </row>
    <row r="97" spans="2:30" ht="33" hidden="1" customHeight="1" x14ac:dyDescent="0.3">
      <c r="B97" s="14" t="str">
        <f>'2026 Orders'!B96</f>
        <v>Iraq</v>
      </c>
      <c r="C97" s="14" t="str">
        <f>'2026 Orders'!C96</f>
        <v>A4596</v>
      </c>
      <c r="D97" s="14" t="s">
        <v>1318</v>
      </c>
      <c r="E97" s="17" t="str" cm="1">
        <f t="array" ref="E97">IF(C97=0,"",
HYPERLINK(
"#'2026 Orders'!C"&amp;
MATCH(1,
('2026 Orders'!C:C=C97)*
('2026 Orders'!G:G=G97)*
('2026 Orders'!N:N=N97),
0),
"Open "&amp;C97
))</f>
        <v>Open A4596</v>
      </c>
      <c r="F97" s="14" t="s">
        <v>1238</v>
      </c>
      <c r="G97" s="14" t="str">
        <f>'2026 Orders'!G96</f>
        <v>CAVINAD-60-FD</v>
      </c>
      <c r="H97" s="14" t="str">
        <f>'2026 Orders'!H96</f>
        <v>CAVINAD-60</v>
      </c>
      <c r="I97" s="15" t="str">
        <f>'2026 Orders'!I96</f>
        <v>FD</v>
      </c>
      <c r="J97" s="14">
        <f>'2026 Orders'!J96</f>
        <v>1451</v>
      </c>
      <c r="K97" t="s">
        <v>444</v>
      </c>
      <c r="L97">
        <v>0</v>
      </c>
      <c r="N97" s="10" t="str">
        <f>'2026 Orders'!N96</f>
        <v>ON HOLD</v>
      </c>
      <c r="O97">
        <v>0</v>
      </c>
      <c r="P97" t="s">
        <v>1077</v>
      </c>
      <c r="Q97" t="s">
        <v>1093</v>
      </c>
      <c r="R97">
        <v>0</v>
      </c>
      <c r="S97">
        <v>4945</v>
      </c>
      <c r="T97">
        <v>0</v>
      </c>
      <c r="U97" t="s">
        <v>1129</v>
      </c>
      <c r="V97">
        <v>0</v>
      </c>
      <c r="W97">
        <v>0</v>
      </c>
      <c r="X97">
        <v>0</v>
      </c>
      <c r="Y97">
        <v>0</v>
      </c>
      <c r="Z97">
        <v>0</v>
      </c>
      <c r="AC97" t="str">
        <f>IF(OR(B97="",B97=0),"",$AJ$2&amp;"/"&amp;J97)</f>
        <v>/1451</v>
      </c>
      <c r="AD97" t="e">
        <f t="shared" si="1"/>
        <v>#VALUE!</v>
      </c>
    </row>
    <row r="98" spans="2:30" ht="33" hidden="1" customHeight="1" x14ac:dyDescent="0.3">
      <c r="B98" s="14" t="str">
        <f>'2026 Orders'!B97</f>
        <v>Iraq</v>
      </c>
      <c r="C98" s="14" t="str">
        <f>'2026 Orders'!C97</f>
        <v>A4596</v>
      </c>
      <c r="D98" s="14" t="s">
        <v>1318</v>
      </c>
      <c r="E98" s="17" t="str" cm="1">
        <f t="array" ref="E98">IF(C98=0,"",
HYPERLINK(
"#'2026 Orders'!C"&amp;
MATCH(1,
('2026 Orders'!C:C=C98)*
('2026 Orders'!G:G=G98)*
('2026 Orders'!N:N=N98),
0),
"Open "&amp;C98
))</f>
        <v>Open A4596</v>
      </c>
      <c r="F98" s="14" t="s">
        <v>1237</v>
      </c>
      <c r="G98" s="14" t="str">
        <f>'2026 Orders'!G97</f>
        <v>CAVINAD-60-FD</v>
      </c>
      <c r="H98" s="14" t="str">
        <f>'2026 Orders'!H97</f>
        <v>CAVINAD-60</v>
      </c>
      <c r="I98" s="15" t="str">
        <f>'2026 Orders'!I97</f>
        <v>FD</v>
      </c>
      <c r="J98" s="14">
        <f>'2026 Orders'!J97</f>
        <v>860</v>
      </c>
      <c r="K98" t="s">
        <v>977</v>
      </c>
      <c r="L98">
        <v>504</v>
      </c>
      <c r="N98" s="10" t="str">
        <f>'2026 Orders'!N97</f>
        <v>ON HOLD</v>
      </c>
      <c r="O98" t="s">
        <v>1130</v>
      </c>
      <c r="P98" t="s">
        <v>1077</v>
      </c>
      <c r="Q98">
        <v>609788968344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C98" t="str">
        <f>IF(OR(B98="",B98=0),"",$AJ$2&amp;"/"&amp;J98)</f>
        <v>/860</v>
      </c>
      <c r="AD98" t="e">
        <f t="shared" si="1"/>
        <v>#VALUE!</v>
      </c>
    </row>
    <row r="99" spans="2:30" ht="33" hidden="1" customHeight="1" x14ac:dyDescent="0.3">
      <c r="B99" s="14" t="str">
        <f>'2026 Orders'!B98</f>
        <v>Iraq</v>
      </c>
      <c r="C99" s="14" t="str">
        <f>'2026 Orders'!C98</f>
        <v>A4596</v>
      </c>
      <c r="D99" s="14" t="s">
        <v>1318</v>
      </c>
      <c r="E99" s="17" t="str" cm="1">
        <f t="array" ref="E99">IF(C99=0,"",
HYPERLINK(
"#'2026 Orders'!C"&amp;
MATCH(1,
('2026 Orders'!C:C=C99)*
('2026 Orders'!G:G=G99)*
('2026 Orders'!N:N=N99),
0),
"Open "&amp;C99
))</f>
        <v>Open A4596</v>
      </c>
      <c r="F99" s="14" t="s">
        <v>1237</v>
      </c>
      <c r="G99" s="14" t="str">
        <f>'2026 Orders'!G98</f>
        <v>OSTEOPW-74-FD</v>
      </c>
      <c r="H99" s="14" t="str">
        <f>'2026 Orders'!H98</f>
        <v>OSTEOPW-74</v>
      </c>
      <c r="I99" s="15" t="str">
        <f>'2026 Orders'!I98</f>
        <v>FD</v>
      </c>
      <c r="J99" s="14">
        <f>'2026 Orders'!J98</f>
        <v>1001</v>
      </c>
      <c r="K99" t="s">
        <v>622</v>
      </c>
      <c r="L99">
        <v>0</v>
      </c>
      <c r="N99" s="10" t="str">
        <f>'2026 Orders'!N98</f>
        <v>ON HOLD</v>
      </c>
      <c r="O99" t="s">
        <v>1131</v>
      </c>
      <c r="P99" t="s">
        <v>1077</v>
      </c>
      <c r="Q99" t="s">
        <v>1132</v>
      </c>
      <c r="R99">
        <v>0</v>
      </c>
      <c r="S99">
        <v>4690</v>
      </c>
      <c r="T99">
        <v>0</v>
      </c>
      <c r="U99" t="s">
        <v>1133</v>
      </c>
      <c r="V99">
        <v>0</v>
      </c>
      <c r="W99">
        <v>0</v>
      </c>
      <c r="X99">
        <v>0</v>
      </c>
      <c r="Y99">
        <v>0</v>
      </c>
      <c r="Z99">
        <v>0</v>
      </c>
      <c r="AC99" t="str">
        <f>IF(OR(B99="",B99=0),"",$AJ$2&amp;"/"&amp;J99)</f>
        <v>/1001</v>
      </c>
      <c r="AD99" t="e">
        <f t="shared" si="1"/>
        <v>#VALUE!</v>
      </c>
    </row>
    <row r="100" spans="2:30" ht="33" hidden="1" customHeight="1" x14ac:dyDescent="0.3">
      <c r="B100" s="14">
        <f>'2026 Orders'!B99</f>
        <v>0</v>
      </c>
      <c r="C100" s="14">
        <f>'2026 Orders'!C99</f>
        <v>0</v>
      </c>
      <c r="D100" s="14" t="s">
        <v>1318</v>
      </c>
      <c r="E100" s="17" t="str" cm="1">
        <f t="array" ref="E100">IF(C100=0,"",
HYPERLINK(
"#'2026 Orders'!C"&amp;
MATCH(1,
('2026 Orders'!C:C=C100)*
('2026 Orders'!G:G=G100)*
('2026 Orders'!N:N=N100),
0),
"Open "&amp;C100
))</f>
        <v/>
      </c>
      <c r="F100" s="14" t="s">
        <v>1239</v>
      </c>
      <c r="G100" s="14">
        <f>'2026 Orders'!G99</f>
        <v>0</v>
      </c>
      <c r="H100" s="14">
        <f>'2026 Orders'!H99</f>
        <v>0</v>
      </c>
      <c r="I100" s="15" t="str">
        <f>'2026 Orders'!I99</f>
        <v/>
      </c>
      <c r="J100" s="14">
        <f>'2026 Orders'!J99</f>
        <v>0</v>
      </c>
      <c r="K100" t="s">
        <v>1018</v>
      </c>
      <c r="L100">
        <v>0</v>
      </c>
      <c r="N100" s="10">
        <f>'2026 Orders'!N99</f>
        <v>0</v>
      </c>
      <c r="O100" t="s">
        <v>1134</v>
      </c>
      <c r="P100" t="s">
        <v>1077</v>
      </c>
      <c r="Q100" t="s">
        <v>1135</v>
      </c>
      <c r="R100">
        <v>0</v>
      </c>
      <c r="S100">
        <v>4959</v>
      </c>
      <c r="T100">
        <v>46230</v>
      </c>
      <c r="U100" t="s">
        <v>1136</v>
      </c>
      <c r="V100">
        <v>0</v>
      </c>
      <c r="W100">
        <v>0</v>
      </c>
      <c r="X100">
        <v>0</v>
      </c>
      <c r="Y100">
        <v>0</v>
      </c>
      <c r="Z100">
        <v>0</v>
      </c>
      <c r="AC100" t="str">
        <f>IF(OR(B100="",B100=0),"",$AJ$2&amp;"/"&amp;J100)</f>
        <v/>
      </c>
      <c r="AD100" t="str">
        <f t="shared" si="1"/>
        <v/>
      </c>
    </row>
    <row r="101" spans="2:30" ht="33" hidden="1" customHeight="1" x14ac:dyDescent="0.3">
      <c r="B101" s="14" t="str">
        <f>'2026 Orders'!B100</f>
        <v>Iraq</v>
      </c>
      <c r="C101" s="14" t="str">
        <f>'2026 Orders'!C100</f>
        <v>A4622</v>
      </c>
      <c r="D101" s="14" t="s">
        <v>1319</v>
      </c>
      <c r="E101" s="17" t="str" cm="1">
        <f t="array" ref="E101">IF(C101=0,"",
HYPERLINK(
"#'2026 Orders'!C"&amp;
MATCH(1,
('2026 Orders'!C:C=C101)*
('2026 Orders'!G:G=G101)*
('2026 Orders'!N:N=N101),
0),
"Open "&amp;C101
))</f>
        <v>Open A4622</v>
      </c>
      <c r="F101" s="14" t="s">
        <v>1240</v>
      </c>
      <c r="G101" s="14" t="str">
        <f>'2026 Orders'!G100</f>
        <v>LIPODIS-60-CS-IQ</v>
      </c>
      <c r="H101" s="14" t="str">
        <f>'2026 Orders'!H100</f>
        <v>LIPODIS-60</v>
      </c>
      <c r="I101" s="15" t="str">
        <f>'2026 Orders'!I100</f>
        <v>IQ</v>
      </c>
      <c r="J101" s="14">
        <f>'2026 Orders'!J100</f>
        <v>5000</v>
      </c>
      <c r="K101">
        <v>0</v>
      </c>
      <c r="L101">
        <v>575</v>
      </c>
      <c r="N101" s="10" t="str">
        <f>'2026 Orders'!N100</f>
        <v>ON HOLD</v>
      </c>
      <c r="O101">
        <v>46223</v>
      </c>
      <c r="P101" t="s">
        <v>1077</v>
      </c>
      <c r="Q101">
        <v>609788968962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 t="s">
        <v>1086</v>
      </c>
      <c r="AC101" t="str">
        <f>IF(OR(B101="",B101=0),"",$AJ$2&amp;"/"&amp;J101)</f>
        <v>/5000</v>
      </c>
      <c r="AD101" t="e">
        <f t="shared" si="1"/>
        <v>#VALUE!</v>
      </c>
    </row>
    <row r="102" spans="2:30" ht="33" hidden="1" customHeight="1" x14ac:dyDescent="0.3">
      <c r="B102" s="14" t="str">
        <f>'2026 Orders'!B101</f>
        <v>Iraq</v>
      </c>
      <c r="C102" s="14" t="str">
        <f>'2026 Orders'!C101</f>
        <v>A4622</v>
      </c>
      <c r="D102" s="14">
        <v>0</v>
      </c>
      <c r="E102" s="17" t="str" cm="1">
        <f t="array" ref="E102">IF(C102=0,"",
HYPERLINK(
"#'2026 Orders'!C"&amp;
MATCH(1,
('2026 Orders'!C:C=C102)*
('2026 Orders'!G:G=G102)*
('2026 Orders'!N:N=N102),
0),
"Open "&amp;C102
))</f>
        <v>Open A4622</v>
      </c>
      <c r="F102" s="14" t="s">
        <v>1241</v>
      </c>
      <c r="G102" s="14" t="str">
        <f>'2026 Orders'!G101</f>
        <v>UTIC-60-FD</v>
      </c>
      <c r="H102" s="14" t="str">
        <f>'2026 Orders'!H101</f>
        <v>UTIC-60</v>
      </c>
      <c r="I102" s="15" t="str">
        <f>'2026 Orders'!I101</f>
        <v>FD</v>
      </c>
      <c r="J102" s="14">
        <f>'2026 Orders'!J101</f>
        <v>1480</v>
      </c>
      <c r="K102">
        <v>0</v>
      </c>
      <c r="L102">
        <v>575</v>
      </c>
      <c r="N102" s="10" t="str">
        <f>'2026 Orders'!N101</f>
        <v>ON HOLD</v>
      </c>
      <c r="O102">
        <v>0</v>
      </c>
      <c r="P102" t="s">
        <v>1077</v>
      </c>
      <c r="Q102">
        <v>609788968962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 t="s">
        <v>1086</v>
      </c>
      <c r="AC102" t="str">
        <f>IF(OR(B102="",B102=0),"",$AJ$2&amp;"/"&amp;J102)</f>
        <v>/1480</v>
      </c>
      <c r="AD102" t="e">
        <f t="shared" si="1"/>
        <v>#VALUE!</v>
      </c>
    </row>
    <row r="103" spans="2:30" ht="33" hidden="1" customHeight="1" x14ac:dyDescent="0.3">
      <c r="B103" s="14">
        <f>'2026 Orders'!B102</f>
        <v>0</v>
      </c>
      <c r="C103" s="14">
        <f>'2026 Orders'!C102</f>
        <v>0</v>
      </c>
      <c r="D103" s="14">
        <v>0</v>
      </c>
      <c r="E103" s="17" t="str" cm="1">
        <f t="array" ref="E103">IF(C103=0,"",
HYPERLINK(
"#'2026 Orders'!C"&amp;
MATCH(1,
('2026 Orders'!C:C=C103)*
('2026 Orders'!G:G=G103)*
('2026 Orders'!N:N=N103),
0),
"Open "&amp;C103
))</f>
        <v/>
      </c>
      <c r="F103" s="14" t="s">
        <v>1242</v>
      </c>
      <c r="G103" s="14">
        <f>'2026 Orders'!G102</f>
        <v>0</v>
      </c>
      <c r="H103" s="14">
        <f>'2026 Orders'!H102</f>
        <v>0</v>
      </c>
      <c r="I103" s="15" t="str">
        <f>'2026 Orders'!I102</f>
        <v/>
      </c>
      <c r="J103" s="14">
        <f>'2026 Orders'!J102</f>
        <v>0</v>
      </c>
      <c r="K103">
        <v>0</v>
      </c>
      <c r="L103">
        <v>1511</v>
      </c>
      <c r="N103" s="10">
        <f>'2026 Orders'!N102</f>
        <v>0</v>
      </c>
      <c r="O103">
        <v>0</v>
      </c>
      <c r="P103" t="s">
        <v>1085</v>
      </c>
      <c r="Q103" t="s">
        <v>1137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C103" t="str">
        <f>IF(OR(B103="",B103=0),"",$AJ$2&amp;"/"&amp;J103)</f>
        <v/>
      </c>
      <c r="AD103" t="str">
        <f t="shared" si="1"/>
        <v/>
      </c>
    </row>
    <row r="104" spans="2:30" ht="33" hidden="1" customHeight="1" x14ac:dyDescent="0.3">
      <c r="B104" s="14" t="str">
        <f>'2026 Orders'!B103</f>
        <v>Botswana</v>
      </c>
      <c r="C104" s="14" t="str">
        <f>'2026 Orders'!C103</f>
        <v>A4569</v>
      </c>
      <c r="D104" s="14">
        <v>0</v>
      </c>
      <c r="E104" s="17" t="str" cm="1">
        <f t="array" ref="E104">IF(C104=0,"",
HYPERLINK(
"#'2026 Orders'!C"&amp;
MATCH(1,
('2026 Orders'!C:C=C104)*
('2026 Orders'!G:G=G104)*
('2026 Orders'!N:N=N104),
0),
"Open "&amp;C104
))</f>
        <v>Open A4569</v>
      </c>
      <c r="F104" s="14">
        <v>0</v>
      </c>
      <c r="G104" s="14" t="str">
        <f>'2026 Orders'!G103</f>
        <v>OSTEOPL-96-FD</v>
      </c>
      <c r="H104" s="14" t="str">
        <f>'2026 Orders'!H103</f>
        <v>OSTEOPL-96</v>
      </c>
      <c r="I104" s="15" t="str">
        <f>'2026 Orders'!I103</f>
        <v>FD</v>
      </c>
      <c r="J104" s="14">
        <f>'2026 Orders'!J103</f>
        <v>96</v>
      </c>
      <c r="K104">
        <v>0</v>
      </c>
      <c r="L104">
        <v>0</v>
      </c>
      <c r="N104" s="10" t="str">
        <f>'2026 Orders'!N103</f>
        <v>D/W Sent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C104" t="str">
        <f>IF(OR(B104="",B104=0),"",$AJ$2&amp;"/"&amp;J104)</f>
        <v>/96</v>
      </c>
      <c r="AD104" t="e">
        <f t="shared" si="1"/>
        <v>#VALUE!</v>
      </c>
    </row>
    <row r="105" spans="2:30" ht="33" hidden="1" customHeight="1" x14ac:dyDescent="0.3">
      <c r="B105" s="14" t="str">
        <f>'2026 Orders'!B104</f>
        <v>Botswana</v>
      </c>
      <c r="C105" s="14" t="str">
        <f>'2026 Orders'!C104</f>
        <v>A4569</v>
      </c>
      <c r="D105" s="14" t="s">
        <v>649</v>
      </c>
      <c r="E105" s="17" t="str" cm="1">
        <f t="array" ref="E105">IF(C105=0,"",
HYPERLINK(
"#'2026 Orders'!C"&amp;
MATCH(1,
('2026 Orders'!C:C=C105)*
('2026 Orders'!G:G=G105)*
('2026 Orders'!N:N=N105),
0),
"Open "&amp;C105
))</f>
        <v>Open A4569</v>
      </c>
      <c r="F105" s="14" t="s">
        <v>651</v>
      </c>
      <c r="G105" s="14" t="str">
        <f>'2026 Orders'!G104</f>
        <v>GINKGO-60-FD</v>
      </c>
      <c r="H105" s="14" t="str">
        <f>'2026 Orders'!H104</f>
        <v>GINKGO-60</v>
      </c>
      <c r="I105" s="15" t="str">
        <f>'2026 Orders'!I104</f>
        <v>FD</v>
      </c>
      <c r="J105" s="14">
        <f>'2026 Orders'!J104</f>
        <v>48</v>
      </c>
      <c r="K105" t="s">
        <v>462</v>
      </c>
      <c r="L105">
        <v>240</v>
      </c>
      <c r="N105" s="10" t="str">
        <f>'2026 Orders'!N104</f>
        <v>D/W Sent</v>
      </c>
      <c r="O105">
        <v>0</v>
      </c>
      <c r="P105" t="s">
        <v>1077</v>
      </c>
      <c r="Q105">
        <v>609788968344</v>
      </c>
      <c r="R105">
        <v>9195</v>
      </c>
      <c r="S105">
        <v>5032</v>
      </c>
      <c r="T105" t="s">
        <v>1094</v>
      </c>
      <c r="U105" t="s">
        <v>1104</v>
      </c>
      <c r="V105">
        <v>0</v>
      </c>
      <c r="W105">
        <v>0</v>
      </c>
      <c r="X105">
        <v>0</v>
      </c>
      <c r="Y105">
        <v>0</v>
      </c>
      <c r="Z105" t="s">
        <v>1086</v>
      </c>
      <c r="AC105" t="str">
        <f>IF(OR(B105="",B105=0),"",$AJ$2&amp;"/"&amp;J105)</f>
        <v>/48</v>
      </c>
      <c r="AD105" t="e">
        <f t="shared" si="1"/>
        <v>#VALUE!</v>
      </c>
    </row>
    <row r="106" spans="2:30" ht="33" hidden="1" customHeight="1" x14ac:dyDescent="0.3">
      <c r="B106" s="14" t="str">
        <f>'2026 Orders'!B105</f>
        <v>Botswana</v>
      </c>
      <c r="C106" s="14" t="str">
        <f>'2026 Orders'!C105</f>
        <v>A4569</v>
      </c>
      <c r="D106" s="14">
        <v>0</v>
      </c>
      <c r="E106" s="17" t="str" cm="1">
        <f t="array" ref="E106">IF(C106=0,"",
HYPERLINK(
"#'2026 Orders'!C"&amp;
MATCH(1,
('2026 Orders'!C:C=C106)*
('2026 Orders'!G:G=G106)*
('2026 Orders'!N:N=N106),
0),
"Open "&amp;C106
))</f>
        <v>Open A4569</v>
      </c>
      <c r="F106" s="14" t="s">
        <v>653</v>
      </c>
      <c r="G106" s="14" t="str">
        <f>'2026 Orders'!G105</f>
        <v>PROSTA-90-FD</v>
      </c>
      <c r="H106" s="14" t="str">
        <f>'2026 Orders'!H105</f>
        <v>PROSTA-90</v>
      </c>
      <c r="I106" s="15" t="str">
        <f>'2026 Orders'!I105</f>
        <v>FD</v>
      </c>
      <c r="J106" s="14">
        <f>'2026 Orders'!J105</f>
        <v>48</v>
      </c>
      <c r="K106" t="s">
        <v>441</v>
      </c>
      <c r="L106">
        <v>192</v>
      </c>
      <c r="N106" s="10" t="str">
        <f>'2026 Orders'!N105</f>
        <v>D/W Sent</v>
      </c>
      <c r="O106">
        <v>0</v>
      </c>
      <c r="P106" t="s">
        <v>1085</v>
      </c>
      <c r="Q106">
        <v>609788968726</v>
      </c>
      <c r="R106">
        <v>5000</v>
      </c>
      <c r="S106">
        <v>5041</v>
      </c>
      <c r="T106">
        <v>46248</v>
      </c>
      <c r="U106" t="s">
        <v>1090</v>
      </c>
      <c r="V106">
        <v>0</v>
      </c>
      <c r="W106">
        <v>0</v>
      </c>
      <c r="X106">
        <v>0</v>
      </c>
      <c r="Y106">
        <v>0</v>
      </c>
      <c r="Z106">
        <v>0</v>
      </c>
      <c r="AC106" t="str">
        <f>IF(OR(B106="",B106=0),"",$AJ$2&amp;"/"&amp;J106)</f>
        <v>/48</v>
      </c>
      <c r="AD106" t="e">
        <f t="shared" si="1"/>
        <v>#VALUE!</v>
      </c>
    </row>
    <row r="107" spans="2:30" ht="33" hidden="1" customHeight="1" x14ac:dyDescent="0.3">
      <c r="B107" s="14" t="str">
        <f>'2026 Orders'!B106</f>
        <v>Botswana</v>
      </c>
      <c r="C107" s="14" t="str">
        <f>'2026 Orders'!C106</f>
        <v>A4569</v>
      </c>
      <c r="D107" s="14">
        <v>0</v>
      </c>
      <c r="E107" s="17" t="str" cm="1">
        <f t="array" ref="E107">IF(C107=0,"",
HYPERLINK(
"#'2026 Orders'!C"&amp;
MATCH(1,
('2026 Orders'!C:C=C107)*
('2026 Orders'!G:G=G107)*
('2026 Orders'!N:N=N107),
0),
"Open "&amp;C107
))</f>
        <v>Open A4569</v>
      </c>
      <c r="F107" s="14" t="s">
        <v>452</v>
      </c>
      <c r="G107" s="14" t="str">
        <f>'2026 Orders'!G106</f>
        <v>XTRAD10-60-FD</v>
      </c>
      <c r="H107" s="14" t="str">
        <f>'2026 Orders'!H106</f>
        <v>XTRAD10-60</v>
      </c>
      <c r="I107" s="15" t="str">
        <f>'2026 Orders'!I106</f>
        <v>FD</v>
      </c>
      <c r="J107" s="14">
        <f>'2026 Orders'!J106</f>
        <v>120</v>
      </c>
      <c r="K107" t="s">
        <v>453</v>
      </c>
      <c r="L107">
        <v>0</v>
      </c>
      <c r="N107" s="10" t="str">
        <f>'2026 Orders'!N106</f>
        <v>D/W Sent</v>
      </c>
      <c r="O107">
        <v>0</v>
      </c>
      <c r="P107" t="s">
        <v>1077</v>
      </c>
      <c r="Q107">
        <v>609788968221</v>
      </c>
      <c r="R107">
        <v>7000</v>
      </c>
      <c r="S107">
        <v>5027</v>
      </c>
      <c r="T107" t="s">
        <v>1079</v>
      </c>
      <c r="U107" t="s">
        <v>1092</v>
      </c>
      <c r="V107">
        <v>0</v>
      </c>
      <c r="W107">
        <v>0</v>
      </c>
      <c r="X107">
        <v>0</v>
      </c>
      <c r="Y107">
        <v>0</v>
      </c>
      <c r="Z107">
        <v>0</v>
      </c>
      <c r="AC107" t="str">
        <f>IF(OR(B107="",B107=0),"",$AJ$2&amp;"/"&amp;J107)</f>
        <v>/120</v>
      </c>
      <c r="AD107" t="e">
        <f t="shared" si="1"/>
        <v>#VALUE!</v>
      </c>
    </row>
    <row r="108" spans="2:30" ht="33" hidden="1" customHeight="1" x14ac:dyDescent="0.3">
      <c r="B108" s="14" t="str">
        <f>'2026 Orders'!B107</f>
        <v>Botswana</v>
      </c>
      <c r="C108" s="14" t="str">
        <f>'2026 Orders'!C107</f>
        <v>A4569</v>
      </c>
      <c r="D108" s="14">
        <v>0</v>
      </c>
      <c r="E108" s="17" t="str" cm="1">
        <f t="array" ref="E108">IF(C108=0,"",
HYPERLINK(
"#'2026 Orders'!C"&amp;
MATCH(1,
('2026 Orders'!C:C=C108)*
('2026 Orders'!G:G=G108)*
('2026 Orders'!N:N=N108),
0),
"Open "&amp;C108
))</f>
        <v>Open A4569</v>
      </c>
      <c r="F108" s="14" t="s">
        <v>654</v>
      </c>
      <c r="G108" s="14" t="str">
        <f>'2026 Orders'!G107</f>
        <v>MOTILMX-60-FD</v>
      </c>
      <c r="H108" s="14" t="str">
        <f>'2026 Orders'!H107</f>
        <v>MOTILMX-60</v>
      </c>
      <c r="I108" s="15" t="str">
        <f>'2026 Orders'!I107</f>
        <v>FD</v>
      </c>
      <c r="J108" s="14">
        <f>'2026 Orders'!J107</f>
        <v>24</v>
      </c>
      <c r="K108" t="s">
        <v>447</v>
      </c>
      <c r="L108">
        <v>0</v>
      </c>
      <c r="N108" s="10" t="str">
        <f>'2026 Orders'!N107</f>
        <v>D/W Sent</v>
      </c>
      <c r="O108">
        <v>0</v>
      </c>
      <c r="P108" t="s">
        <v>1077</v>
      </c>
      <c r="Q108">
        <v>810131199586</v>
      </c>
      <c r="R108">
        <v>10775</v>
      </c>
      <c r="S108">
        <v>5055</v>
      </c>
      <c r="T108">
        <v>46250</v>
      </c>
      <c r="U108" t="s">
        <v>1091</v>
      </c>
      <c r="V108">
        <v>0</v>
      </c>
      <c r="W108">
        <v>0</v>
      </c>
      <c r="X108">
        <v>0</v>
      </c>
      <c r="Y108">
        <v>0</v>
      </c>
      <c r="Z108">
        <v>0</v>
      </c>
      <c r="AC108" t="str">
        <f>IF(OR(B108="",B108=0),"",$AJ$2&amp;"/"&amp;J108)</f>
        <v>/24</v>
      </c>
      <c r="AD108" t="e">
        <f t="shared" si="1"/>
        <v>#VALUE!</v>
      </c>
    </row>
    <row r="109" spans="2:30" ht="33" hidden="1" customHeight="1" x14ac:dyDescent="0.3">
      <c r="B109" s="14" t="str">
        <f>'2026 Orders'!B108</f>
        <v>Botswana</v>
      </c>
      <c r="C109" s="14" t="str">
        <f>'2026 Orders'!C108</f>
        <v>A4569</v>
      </c>
      <c r="D109" s="14">
        <v>0</v>
      </c>
      <c r="E109" s="17" t="str" cm="1">
        <f t="array" ref="E109">IF(C109=0,"",
HYPERLINK(
"#'2026 Orders'!C"&amp;
MATCH(1,
('2026 Orders'!C:C=C109)*
('2026 Orders'!G:G=G109)*
('2026 Orders'!N:N=N109),
0),
"Open "&amp;C109
))</f>
        <v>Open A4569</v>
      </c>
      <c r="F109" s="14" t="s">
        <v>1243</v>
      </c>
      <c r="G109" s="14" t="str">
        <f>'2026 Orders'!G108</f>
        <v>MFSPLS-120-FD</v>
      </c>
      <c r="H109" s="14" t="str">
        <f>'2026 Orders'!H108</f>
        <v>MFSPLS-120</v>
      </c>
      <c r="I109" s="15" t="str">
        <f>'2026 Orders'!I108</f>
        <v>FD</v>
      </c>
      <c r="J109" s="14">
        <f>'2026 Orders'!J108</f>
        <v>48</v>
      </c>
      <c r="K109" t="s">
        <v>438</v>
      </c>
      <c r="L109">
        <v>30</v>
      </c>
      <c r="N109" s="10" t="str">
        <f>'2026 Orders'!N108</f>
        <v>D/W Sent</v>
      </c>
      <c r="O109">
        <v>0</v>
      </c>
      <c r="P109" t="s">
        <v>1077</v>
      </c>
      <c r="Q109">
        <v>609788968351</v>
      </c>
      <c r="R109">
        <v>7572</v>
      </c>
      <c r="S109">
        <v>5043</v>
      </c>
      <c r="T109">
        <v>46286</v>
      </c>
      <c r="U109" t="s">
        <v>1089</v>
      </c>
      <c r="V109">
        <v>0</v>
      </c>
      <c r="W109">
        <v>0</v>
      </c>
      <c r="X109">
        <v>0</v>
      </c>
      <c r="Y109">
        <v>0</v>
      </c>
      <c r="Z109">
        <v>0</v>
      </c>
      <c r="AC109" t="str">
        <f>IF(OR(B109="",B109=0),"",$AJ$2&amp;"/"&amp;J109)</f>
        <v>/48</v>
      </c>
      <c r="AD109" t="e">
        <f t="shared" si="1"/>
        <v>#VALUE!</v>
      </c>
    </row>
    <row r="110" spans="2:30" ht="33" hidden="1" customHeight="1" x14ac:dyDescent="0.3">
      <c r="B110" s="14" t="str">
        <f>'2026 Orders'!B109</f>
        <v>Botswana</v>
      </c>
      <c r="C110" s="14" t="str">
        <f>'2026 Orders'!C109</f>
        <v>A4569</v>
      </c>
      <c r="D110" s="14">
        <v>0</v>
      </c>
      <c r="E110" s="17" t="str" cm="1">
        <f t="array" ref="E110">IF(C110=0,"",
HYPERLINK(
"#'2026 Orders'!C"&amp;
MATCH(1,
('2026 Orders'!C:C=C110)*
('2026 Orders'!G:G=G110)*
('2026 Orders'!N:N=N110),
0),
"Open "&amp;C110
))</f>
        <v>Open A4569</v>
      </c>
      <c r="F110" s="14">
        <v>0</v>
      </c>
      <c r="G110" s="14" t="str">
        <f>'2026 Orders'!G109</f>
        <v>FIBRO-60-FD</v>
      </c>
      <c r="H110" s="14" t="str">
        <f>'2026 Orders'!H109</f>
        <v>FIBRO-60</v>
      </c>
      <c r="I110" s="15" t="str">
        <f>'2026 Orders'!I109</f>
        <v>FD</v>
      </c>
      <c r="J110" s="14">
        <f>'2026 Orders'!J109</f>
        <v>48</v>
      </c>
      <c r="K110" t="s">
        <v>444</v>
      </c>
      <c r="L110">
        <v>60</v>
      </c>
      <c r="N110" s="10" t="str">
        <f>'2026 Orders'!N109</f>
        <v>D/W Sent</v>
      </c>
      <c r="O110">
        <v>0</v>
      </c>
      <c r="P110" t="s">
        <v>1077</v>
      </c>
      <c r="Q110" t="s">
        <v>1093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C110" t="str">
        <f>IF(OR(B110="",B110=0),"",$AJ$2&amp;"/"&amp;J110)</f>
        <v>/48</v>
      </c>
      <c r="AD110" t="e">
        <f t="shared" si="1"/>
        <v>#VALUE!</v>
      </c>
    </row>
    <row r="111" spans="2:30" ht="33" hidden="1" customHeight="1" x14ac:dyDescent="0.3">
      <c r="B111" s="14" t="str">
        <f>'2026 Orders'!B110</f>
        <v>Botswana</v>
      </c>
      <c r="C111" s="14" t="str">
        <f>'2026 Orders'!C110</f>
        <v>A4569</v>
      </c>
      <c r="D111" s="14">
        <v>0</v>
      </c>
      <c r="E111" s="17" t="str" cm="1">
        <f t="array" ref="E111">IF(C111=0,"",
HYPERLINK(
"#'2026 Orders'!C"&amp;
MATCH(1,
('2026 Orders'!C:C=C111)*
('2026 Orders'!G:G=G111)*
('2026 Orders'!N:N=N111),
0),
"Open "&amp;C111
))</f>
        <v>Open A4569</v>
      </c>
      <c r="F111" s="14">
        <v>0</v>
      </c>
      <c r="G111" s="14" t="str">
        <f>'2026 Orders'!G110</f>
        <v>DHEA25-60-FD</v>
      </c>
      <c r="H111" s="14" t="str">
        <f>'2026 Orders'!H110</f>
        <v>DHEA25-60</v>
      </c>
      <c r="I111" s="15" t="str">
        <f>'2026 Orders'!I110</f>
        <v>FD</v>
      </c>
      <c r="J111" s="14">
        <f>'2026 Orders'!J110</f>
        <v>48</v>
      </c>
      <c r="K111" t="s">
        <v>455</v>
      </c>
      <c r="L111">
        <v>50</v>
      </c>
      <c r="N111" s="10" t="str">
        <f>'2026 Orders'!N110</f>
        <v>D/W Sent</v>
      </c>
      <c r="O111">
        <v>0</v>
      </c>
      <c r="P111" t="s">
        <v>1077</v>
      </c>
      <c r="Q111">
        <v>609788968375</v>
      </c>
      <c r="R111">
        <v>5000</v>
      </c>
      <c r="S111">
        <v>4849</v>
      </c>
      <c r="T111" t="s">
        <v>1079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C111" t="str">
        <f>IF(OR(B111="",B111=0),"",$AJ$2&amp;"/"&amp;J111)</f>
        <v>/48</v>
      </c>
      <c r="AD111" t="e">
        <f t="shared" si="1"/>
        <v>#VALUE!</v>
      </c>
    </row>
    <row r="112" spans="2:30" ht="33" hidden="1" customHeight="1" x14ac:dyDescent="0.3">
      <c r="B112" s="14" t="str">
        <f>'2026 Orders'!B111</f>
        <v>Botswana</v>
      </c>
      <c r="C112" s="14" t="str">
        <f>'2026 Orders'!C111</f>
        <v>A4569</v>
      </c>
      <c r="D112" s="14">
        <v>0</v>
      </c>
      <c r="E112" s="17" t="str" cm="1">
        <f t="array" ref="E112">IF(C112=0,"",
HYPERLINK(
"#'2026 Orders'!C"&amp;
MATCH(1,
('2026 Orders'!C:C=C112)*
('2026 Orders'!G:G=G112)*
('2026 Orders'!N:N=N112),
0),
"Open "&amp;C112
))</f>
        <v>Open A4569</v>
      </c>
      <c r="F112" s="14">
        <v>0</v>
      </c>
      <c r="G112" s="14" t="str">
        <f>'2026 Orders'!G111</f>
        <v>DHEA50-60-FD</v>
      </c>
      <c r="H112" s="14" t="str">
        <f>'2026 Orders'!H111</f>
        <v>DHEA50-60</v>
      </c>
      <c r="I112" s="15" t="str">
        <f>'2026 Orders'!I111</f>
        <v>FD</v>
      </c>
      <c r="J112" s="14">
        <f>'2026 Orders'!J111</f>
        <v>48</v>
      </c>
      <c r="K112" t="s">
        <v>451</v>
      </c>
      <c r="L112">
        <v>100</v>
      </c>
      <c r="N112" s="10" t="str">
        <f>'2026 Orders'!N111</f>
        <v>D/W Sent</v>
      </c>
      <c r="O112">
        <v>0</v>
      </c>
      <c r="P112" t="s">
        <v>1085</v>
      </c>
      <c r="Q112">
        <v>609788968702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C112" t="str">
        <f>IF(OR(B112="",B112=0),"",$AJ$2&amp;"/"&amp;J112)</f>
        <v>/48</v>
      </c>
      <c r="AD112" t="e">
        <f t="shared" si="1"/>
        <v>#VALUE!</v>
      </c>
    </row>
    <row r="113" spans="2:30" ht="33" hidden="1" customHeight="1" x14ac:dyDescent="0.3">
      <c r="B113" s="14" t="str">
        <f>'2026 Orders'!B112</f>
        <v>Botswana</v>
      </c>
      <c r="C113" s="14" t="str">
        <f>'2026 Orders'!C112</f>
        <v>A4569</v>
      </c>
      <c r="D113" s="14">
        <v>0</v>
      </c>
      <c r="E113" s="17" t="str" cm="1">
        <f t="array" ref="E113">IF(C113=0,"",
HYPERLINK(
"#'2026 Orders'!C"&amp;
MATCH(1,
('2026 Orders'!C:C=C113)*
('2026 Orders'!G:G=G113)*
('2026 Orders'!N:N=N113),
0),
"Open "&amp;C113
))</f>
        <v>Open A4569</v>
      </c>
      <c r="F113" s="14">
        <v>0</v>
      </c>
      <c r="G113" s="14" t="str">
        <f>'2026 Orders'!G112</f>
        <v>WFSPLS-180-FD</v>
      </c>
      <c r="H113" s="14" t="str">
        <f>'2026 Orders'!H112</f>
        <v>WFSPLS-180</v>
      </c>
      <c r="I113" s="15" t="str">
        <f>'2026 Orders'!I112</f>
        <v>FD</v>
      </c>
      <c r="J113" s="14">
        <f>'2026 Orders'!J112</f>
        <v>48</v>
      </c>
      <c r="K113">
        <v>0</v>
      </c>
      <c r="L113">
        <v>0</v>
      </c>
      <c r="N113" s="10" t="str">
        <f>'2026 Orders'!N112</f>
        <v>D/W Sent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C113" t="str">
        <f>IF(OR(B113="",B113=0),"",$AJ$2&amp;"/"&amp;J113)</f>
        <v>/48</v>
      </c>
      <c r="AD113" t="e">
        <f t="shared" si="1"/>
        <v>#VALUE!</v>
      </c>
    </row>
    <row r="114" spans="2:30" ht="33" hidden="1" customHeight="1" x14ac:dyDescent="0.3">
      <c r="B114" s="14" t="str">
        <f>'2026 Orders'!B113</f>
        <v>Botswana</v>
      </c>
      <c r="C114" s="14" t="str">
        <f>'2026 Orders'!C113</f>
        <v>A4569</v>
      </c>
      <c r="D114" s="14">
        <v>0</v>
      </c>
      <c r="E114" s="17" t="str" cm="1">
        <f t="array" ref="E114">IF(C114=0,"",
HYPERLINK(
"#'2026 Orders'!C"&amp;
MATCH(1,
('2026 Orders'!C:C=C114)*
('2026 Orders'!G:G=G114)*
('2026 Orders'!N:N=N114),
0),
"Open "&amp;C114
))</f>
        <v>Open A4569</v>
      </c>
      <c r="F114" s="14" t="s">
        <v>657</v>
      </c>
      <c r="G114" s="14" t="str">
        <f>'2026 Orders'!G113</f>
        <v>SPERMCT-60-FD</v>
      </c>
      <c r="H114" s="14" t="str">
        <f>'2026 Orders'!H113</f>
        <v>SPERMCT-60</v>
      </c>
      <c r="I114" s="15" t="str">
        <f>'2026 Orders'!I113</f>
        <v>FD</v>
      </c>
      <c r="J114" s="14">
        <f>'2026 Orders'!J113</f>
        <v>24</v>
      </c>
      <c r="K114" t="s">
        <v>441</v>
      </c>
      <c r="L114">
        <v>288</v>
      </c>
      <c r="N114" s="10" t="str">
        <f>'2026 Orders'!N113</f>
        <v>D/W Sent</v>
      </c>
      <c r="O114">
        <v>0</v>
      </c>
      <c r="P114" t="s">
        <v>1085</v>
      </c>
      <c r="Q114">
        <v>609788968726</v>
      </c>
      <c r="R114">
        <v>5000</v>
      </c>
      <c r="S114">
        <v>5041</v>
      </c>
      <c r="T114">
        <v>46248</v>
      </c>
      <c r="U114" t="s">
        <v>1090</v>
      </c>
      <c r="V114">
        <v>0</v>
      </c>
      <c r="W114">
        <v>0</v>
      </c>
      <c r="X114">
        <v>0</v>
      </c>
      <c r="Y114">
        <v>0</v>
      </c>
      <c r="Z114" t="s">
        <v>1086</v>
      </c>
      <c r="AC114" t="str">
        <f>IF(OR(B114="",B114=0),"",$AJ$2&amp;"/"&amp;J114)</f>
        <v>/24</v>
      </c>
      <c r="AD114" t="e">
        <f t="shared" si="1"/>
        <v>#VALUE!</v>
      </c>
    </row>
    <row r="115" spans="2:30" ht="33" hidden="1" customHeight="1" x14ac:dyDescent="0.3">
      <c r="B115" s="14" t="str">
        <f>'2026 Orders'!B114</f>
        <v>Botswana</v>
      </c>
      <c r="C115" s="14" t="str">
        <f>'2026 Orders'!C114</f>
        <v>A4569</v>
      </c>
      <c r="D115" s="14">
        <v>0</v>
      </c>
      <c r="E115" s="17" t="str" cm="1">
        <f t="array" ref="E115">IF(C115=0,"",
HYPERLINK(
"#'2026 Orders'!C"&amp;
MATCH(1,
('2026 Orders'!C:C=C115)*
('2026 Orders'!G:G=G115)*
('2026 Orders'!N:N=N115),
0),
"Open "&amp;C115
))</f>
        <v>Open A4569</v>
      </c>
      <c r="F115" s="14" t="s">
        <v>658</v>
      </c>
      <c r="G115" s="14" t="str">
        <f>'2026 Orders'!G114</f>
        <v>OVAMAX-120-FD</v>
      </c>
      <c r="H115" s="14" t="str">
        <f>'2026 Orders'!H114</f>
        <v>OVAMAX-120</v>
      </c>
      <c r="I115" s="15" t="str">
        <f>'2026 Orders'!I114</f>
        <v>FD</v>
      </c>
      <c r="J115" s="14">
        <f>'2026 Orders'!J114</f>
        <v>48</v>
      </c>
      <c r="K115" t="s">
        <v>462</v>
      </c>
      <c r="L115">
        <v>1008</v>
      </c>
      <c r="N115" s="10" t="str">
        <f>'2026 Orders'!N114</f>
        <v>D/W Sent</v>
      </c>
      <c r="O115">
        <v>0</v>
      </c>
      <c r="P115" t="s">
        <v>1077</v>
      </c>
      <c r="Q115">
        <v>609788968344</v>
      </c>
      <c r="R115" t="s">
        <v>1138</v>
      </c>
      <c r="S115">
        <v>5064</v>
      </c>
      <c r="T115" t="s">
        <v>1108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C115" t="str">
        <f>IF(OR(B115="",B115=0),"",$AJ$2&amp;"/"&amp;J115)</f>
        <v>/48</v>
      </c>
      <c r="AD115" t="e">
        <f t="shared" si="1"/>
        <v>#VALUE!</v>
      </c>
    </row>
    <row r="116" spans="2:30" ht="33" hidden="1" customHeight="1" x14ac:dyDescent="0.3">
      <c r="B116" s="14" t="str">
        <f>'2026 Orders'!B115</f>
        <v>Botswana</v>
      </c>
      <c r="C116" s="14" t="str">
        <f>'2026 Orders'!C115</f>
        <v>A4569</v>
      </c>
      <c r="D116" s="14">
        <v>0</v>
      </c>
      <c r="E116" s="17" t="str" cm="1">
        <f t="array" ref="E116">IF(C116=0,"",
HYPERLINK(
"#'2026 Orders'!C"&amp;
MATCH(1,
('2026 Orders'!C:C=C116)*
('2026 Orders'!G:G=G116)*
('2026 Orders'!N:N=N116),
0),
"Open "&amp;C116
))</f>
        <v>Open A4569</v>
      </c>
      <c r="F116" s="14" t="s">
        <v>1244</v>
      </c>
      <c r="G116" s="14" t="str">
        <f>'2026 Orders'!G115</f>
        <v>CAVIN-60-FD</v>
      </c>
      <c r="H116" s="14" t="str">
        <f>'2026 Orders'!H115</f>
        <v>CAVIN-60</v>
      </c>
      <c r="I116" s="15" t="str">
        <f>'2026 Orders'!I115</f>
        <v>FD</v>
      </c>
      <c r="J116" s="14">
        <f>'2026 Orders'!J115</f>
        <v>48</v>
      </c>
      <c r="K116" t="s">
        <v>447</v>
      </c>
      <c r="L116">
        <v>288</v>
      </c>
      <c r="N116" s="10" t="str">
        <f>'2026 Orders'!N115</f>
        <v>D/W Sent</v>
      </c>
      <c r="O116">
        <v>0</v>
      </c>
      <c r="P116" t="s">
        <v>1077</v>
      </c>
      <c r="Q116">
        <v>609788968399</v>
      </c>
      <c r="R116">
        <v>7419</v>
      </c>
      <c r="S116">
        <v>5107</v>
      </c>
      <c r="T116">
        <v>46286</v>
      </c>
      <c r="U116" t="s">
        <v>1089</v>
      </c>
      <c r="V116">
        <v>0</v>
      </c>
      <c r="W116">
        <v>0</v>
      </c>
      <c r="X116">
        <v>0</v>
      </c>
      <c r="Y116">
        <v>0</v>
      </c>
      <c r="Z116">
        <v>0</v>
      </c>
      <c r="AC116" t="str">
        <f>IF(OR(B116="",B116=0),"",$AJ$2&amp;"/"&amp;J116)</f>
        <v>/48</v>
      </c>
      <c r="AD116" t="e">
        <f t="shared" si="1"/>
        <v>#VALUE!</v>
      </c>
    </row>
    <row r="117" spans="2:30" ht="33" hidden="1" customHeight="1" x14ac:dyDescent="0.3">
      <c r="B117" s="14" t="str">
        <f>'2026 Orders'!B116</f>
        <v>Botswana</v>
      </c>
      <c r="C117" s="14" t="str">
        <f>'2026 Orders'!C116</f>
        <v>A4569</v>
      </c>
      <c r="D117" s="14">
        <v>0</v>
      </c>
      <c r="E117" s="17" t="str" cm="1">
        <f t="array" ref="E117">IF(C117=0,"",
HYPERLINK(
"#'2026 Orders'!C"&amp;
MATCH(1,
('2026 Orders'!C:C=C117)*
('2026 Orders'!G:G=G117)*
('2026 Orders'!N:N=N117),
0),
"Open "&amp;C117
))</f>
        <v>Open A4569</v>
      </c>
      <c r="F117" s="14" t="s">
        <v>659</v>
      </c>
      <c r="G117" s="14" t="str">
        <f>'2026 Orders'!G116</f>
        <v>FERTMX-90-RE</v>
      </c>
      <c r="H117" s="14" t="str">
        <f>'2026 Orders'!H116</f>
        <v>FERTMX-90</v>
      </c>
      <c r="I117" s="15" t="str">
        <f>'2026 Orders'!I116</f>
        <v>RE</v>
      </c>
      <c r="J117" s="14">
        <f>'2026 Orders'!J116</f>
        <v>48</v>
      </c>
      <c r="K117" t="s">
        <v>438</v>
      </c>
      <c r="L117">
        <v>120</v>
      </c>
      <c r="N117" s="10" t="str">
        <f>'2026 Orders'!N116</f>
        <v>D/W Sent</v>
      </c>
      <c r="O117">
        <v>0</v>
      </c>
      <c r="P117" t="s">
        <v>1077</v>
      </c>
      <c r="Q117">
        <v>609788968351</v>
      </c>
      <c r="R117">
        <v>7572</v>
      </c>
      <c r="S117">
        <v>5043</v>
      </c>
      <c r="T117">
        <v>46286</v>
      </c>
      <c r="U117" t="s">
        <v>1089</v>
      </c>
      <c r="V117">
        <v>0</v>
      </c>
      <c r="W117">
        <v>0</v>
      </c>
      <c r="X117">
        <v>0</v>
      </c>
      <c r="Y117">
        <v>0</v>
      </c>
      <c r="Z117">
        <v>0</v>
      </c>
      <c r="AC117" t="str">
        <f>IF(OR(B117="",B117=0),"",$AJ$2&amp;"/"&amp;J117)</f>
        <v>/48</v>
      </c>
      <c r="AD117" t="e">
        <f t="shared" si="1"/>
        <v>#VALUE!</v>
      </c>
    </row>
    <row r="118" spans="2:30" ht="33" hidden="1" customHeight="1" x14ac:dyDescent="0.3">
      <c r="B118" s="14" t="str">
        <f>'2026 Orders'!B117</f>
        <v>Botswana</v>
      </c>
      <c r="C118" s="14" t="str">
        <f>'2026 Orders'!C117</f>
        <v>A4569</v>
      </c>
      <c r="D118" s="14">
        <v>0</v>
      </c>
      <c r="E118" s="17" t="str" cm="1">
        <f t="array" ref="E118">IF(C118=0,"",
HYPERLINK(
"#'2026 Orders'!C"&amp;
MATCH(1,
('2026 Orders'!C:C=C118)*
('2026 Orders'!G:G=G118)*
('2026 Orders'!N:N=N118),
0),
"Open "&amp;C118
))</f>
        <v>Open A4569</v>
      </c>
      <c r="F118" s="14" t="s">
        <v>660</v>
      </c>
      <c r="G118" s="14" t="str">
        <f>'2026 Orders'!G117</f>
        <v>OME369-90-FD</v>
      </c>
      <c r="H118" s="14" t="str">
        <f>'2026 Orders'!H117</f>
        <v>OME369-90</v>
      </c>
      <c r="I118" s="15" t="str">
        <f>'2026 Orders'!I117</f>
        <v>FD</v>
      </c>
      <c r="J118" s="14">
        <f>'2026 Orders'!J117</f>
        <v>120</v>
      </c>
      <c r="K118" t="s">
        <v>444</v>
      </c>
      <c r="L118">
        <v>87</v>
      </c>
      <c r="N118" s="10" t="str">
        <f>'2026 Orders'!N117</f>
        <v>D/W Sent</v>
      </c>
      <c r="O118">
        <v>0</v>
      </c>
      <c r="P118" t="s">
        <v>1077</v>
      </c>
      <c r="Q118" t="s">
        <v>1093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C118" t="str">
        <f>IF(OR(B118="",B118=0),"",$AJ$2&amp;"/"&amp;J118)</f>
        <v>/120</v>
      </c>
      <c r="AD118" t="e">
        <f t="shared" si="1"/>
        <v>#VALUE!</v>
      </c>
    </row>
    <row r="119" spans="2:30" ht="33" hidden="1" customHeight="1" x14ac:dyDescent="0.3">
      <c r="B119" s="14" t="str">
        <f>'2026 Orders'!B118</f>
        <v>Botswana</v>
      </c>
      <c r="C119" s="14" t="str">
        <f>'2026 Orders'!C118</f>
        <v>A4569</v>
      </c>
      <c r="D119" s="14">
        <v>0</v>
      </c>
      <c r="E119" s="17" t="str" cm="1">
        <f t="array" ref="E119">IF(C119=0,"",
HYPERLINK(
"#'2026 Orders'!C"&amp;
MATCH(1,
('2026 Orders'!C:C=C119)*
('2026 Orders'!G:G=G119)*
('2026 Orders'!N:N=N119),
0),
"Open "&amp;C119
))</f>
        <v>Open A4569</v>
      </c>
      <c r="F119" s="14" t="s">
        <v>1245</v>
      </c>
      <c r="G119" s="14" t="str">
        <f>'2026 Orders'!G118</f>
        <v>PRECON-90-FD</v>
      </c>
      <c r="H119" s="14" t="str">
        <f>'2026 Orders'!H118</f>
        <v>PRECON-90</v>
      </c>
      <c r="I119" s="15" t="str">
        <f>'2026 Orders'!I118</f>
        <v>FD</v>
      </c>
      <c r="J119" s="14">
        <f>'2026 Orders'!J118</f>
        <v>48</v>
      </c>
      <c r="K119" t="s">
        <v>662</v>
      </c>
      <c r="L119">
        <v>0</v>
      </c>
      <c r="N119" s="10" t="str">
        <f>'2026 Orders'!N118</f>
        <v>D/W Sent</v>
      </c>
      <c r="O119">
        <v>0</v>
      </c>
      <c r="P119" t="s">
        <v>1077</v>
      </c>
      <c r="Q119" t="s">
        <v>1139</v>
      </c>
      <c r="R119">
        <v>5000</v>
      </c>
      <c r="S119">
        <v>5118</v>
      </c>
      <c r="T119">
        <v>46286</v>
      </c>
      <c r="U119" t="s">
        <v>1089</v>
      </c>
      <c r="V119">
        <v>0</v>
      </c>
      <c r="W119">
        <v>0</v>
      </c>
      <c r="X119">
        <v>0</v>
      </c>
      <c r="Y119">
        <v>0</v>
      </c>
      <c r="Z119">
        <v>0</v>
      </c>
      <c r="AC119" t="str">
        <f>IF(OR(B119="",B119=0),"",$AJ$2&amp;"/"&amp;J119)</f>
        <v>/48</v>
      </c>
      <c r="AD119" t="e">
        <f t="shared" si="1"/>
        <v>#VALUE!</v>
      </c>
    </row>
    <row r="120" spans="2:30" ht="33" hidden="1" customHeight="1" x14ac:dyDescent="0.3">
      <c r="B120" s="14" t="str">
        <f>'2026 Orders'!B119</f>
        <v>Botswana</v>
      </c>
      <c r="C120" s="14" t="str">
        <f>'2026 Orders'!C119</f>
        <v>A4569</v>
      </c>
      <c r="D120" s="14">
        <v>0</v>
      </c>
      <c r="E120" s="17" t="str" cm="1">
        <f t="array" ref="E120">IF(C120=0,"",
HYPERLINK(
"#'2026 Orders'!C"&amp;
MATCH(1,
('2026 Orders'!C:C=C120)*
('2026 Orders'!G:G=G120)*
('2026 Orders'!N:N=N120),
0),
"Open "&amp;C120
))</f>
        <v>Open A4569</v>
      </c>
      <c r="F120" s="14" t="s">
        <v>659</v>
      </c>
      <c r="G120" s="14" t="str">
        <f>'2026 Orders'!G119</f>
        <v>PRECON-180-FD</v>
      </c>
      <c r="H120" s="14" t="str">
        <f>'2026 Orders'!H119</f>
        <v>PRECON-180</v>
      </c>
      <c r="I120" s="15" t="str">
        <f>'2026 Orders'!I119</f>
        <v>FD</v>
      </c>
      <c r="J120" s="14">
        <f>'2026 Orders'!J119</f>
        <v>48</v>
      </c>
      <c r="K120" t="s">
        <v>455</v>
      </c>
      <c r="L120">
        <v>165</v>
      </c>
      <c r="N120" s="10" t="str">
        <f>'2026 Orders'!N119</f>
        <v>D/W Sent</v>
      </c>
      <c r="O120">
        <v>0</v>
      </c>
      <c r="P120" t="s">
        <v>1077</v>
      </c>
      <c r="Q120">
        <v>609788968375</v>
      </c>
      <c r="R120">
        <v>5000</v>
      </c>
      <c r="S120">
        <v>5060</v>
      </c>
      <c r="T120" t="s">
        <v>1094</v>
      </c>
      <c r="U120" t="s">
        <v>1095</v>
      </c>
      <c r="V120">
        <v>0</v>
      </c>
      <c r="W120">
        <v>0</v>
      </c>
      <c r="X120">
        <v>0</v>
      </c>
      <c r="Y120">
        <v>0</v>
      </c>
      <c r="Z120">
        <v>0</v>
      </c>
      <c r="AC120" t="str">
        <f>IF(OR(B120="",B120=0),"",$AJ$2&amp;"/"&amp;J120)</f>
        <v>/48</v>
      </c>
      <c r="AD120" t="e">
        <f t="shared" si="1"/>
        <v>#VALUE!</v>
      </c>
    </row>
    <row r="121" spans="2:30" ht="33" hidden="1" customHeight="1" x14ac:dyDescent="0.3">
      <c r="B121" s="14" t="str">
        <f>'2026 Orders'!B120</f>
        <v>Botswana</v>
      </c>
      <c r="C121" s="14" t="str">
        <f>'2026 Orders'!C120</f>
        <v>A4569</v>
      </c>
      <c r="D121" s="14">
        <v>0</v>
      </c>
      <c r="E121" s="17" t="str" cm="1">
        <f t="array" ref="E121">IF(C121=0,"",
HYPERLINK(
"#'2026 Orders'!C"&amp;
MATCH(1,
('2026 Orders'!C:C=C121)*
('2026 Orders'!G:G=G121)*
('2026 Orders'!N:N=N121),
0),
"Open "&amp;C121
))</f>
        <v>Open A4569</v>
      </c>
      <c r="F121" s="14">
        <v>0</v>
      </c>
      <c r="G121" s="14" t="str">
        <f>'2026 Orders'!G120</f>
        <v>PENAMAX-60-GE-FD</v>
      </c>
      <c r="H121" s="14" t="str">
        <f>'2026 Orders'!H120</f>
        <v>PENAMAX-60</v>
      </c>
      <c r="I121" s="15" t="str">
        <f>'2026 Orders'!I120</f>
        <v>FD</v>
      </c>
      <c r="J121" s="14">
        <f>'2026 Orders'!J120</f>
        <v>24</v>
      </c>
      <c r="K121" t="s">
        <v>455</v>
      </c>
      <c r="L121">
        <v>37</v>
      </c>
      <c r="N121" s="10" t="str">
        <f>'2026 Orders'!N120</f>
        <v>D/W Sent</v>
      </c>
      <c r="O121">
        <v>0</v>
      </c>
      <c r="P121" t="s">
        <v>1077</v>
      </c>
      <c r="Q121">
        <v>609788968375</v>
      </c>
      <c r="R121">
        <v>5000</v>
      </c>
      <c r="S121">
        <v>4849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C121" t="str">
        <f>IF(OR(B121="",B121=0),"",$AJ$2&amp;"/"&amp;J121)</f>
        <v>/24</v>
      </c>
      <c r="AD121" t="e">
        <f t="shared" si="1"/>
        <v>#VALUE!</v>
      </c>
    </row>
    <row r="122" spans="2:30" ht="33" hidden="1" customHeight="1" x14ac:dyDescent="0.3">
      <c r="B122" s="14">
        <f>'2026 Orders'!B121</f>
        <v>0</v>
      </c>
      <c r="C122" s="14">
        <f>'2026 Orders'!C121</f>
        <v>0</v>
      </c>
      <c r="D122" s="14">
        <v>0</v>
      </c>
      <c r="E122" s="17" t="str" cm="1">
        <f t="array" ref="E122">IF(C122=0,"",
HYPERLINK(
"#'2026 Orders'!C"&amp;
MATCH(1,
('2026 Orders'!C:C=C122)*
('2026 Orders'!G:G=G122)*
('2026 Orders'!N:N=N122),
0),
"Open "&amp;C122
))</f>
        <v/>
      </c>
      <c r="F122" s="14">
        <v>0</v>
      </c>
      <c r="G122" s="14">
        <f>'2026 Orders'!G121</f>
        <v>0</v>
      </c>
      <c r="H122" s="14">
        <f>'2026 Orders'!H121</f>
        <v>0</v>
      </c>
      <c r="I122" s="15" t="str">
        <f>'2026 Orders'!I121</f>
        <v/>
      </c>
      <c r="J122" s="14">
        <f>'2026 Orders'!J121</f>
        <v>0</v>
      </c>
      <c r="K122" t="s">
        <v>451</v>
      </c>
      <c r="L122">
        <v>202</v>
      </c>
      <c r="N122" s="10">
        <f>'2026 Orders'!N121</f>
        <v>0</v>
      </c>
      <c r="O122">
        <v>0</v>
      </c>
      <c r="P122" t="s">
        <v>1085</v>
      </c>
      <c r="Q122">
        <v>609788968702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C122" t="str">
        <f>IF(OR(B122="",B122=0),"",$AJ$2&amp;"/"&amp;J122)</f>
        <v/>
      </c>
      <c r="AD122" t="str">
        <f t="shared" si="1"/>
        <v/>
      </c>
    </row>
    <row r="123" spans="2:30" ht="33" hidden="1" customHeight="1" x14ac:dyDescent="0.3">
      <c r="B123" s="14" t="str">
        <f>'2026 Orders'!B122</f>
        <v>UAE</v>
      </c>
      <c r="C123" s="14" t="str">
        <f>'2026 Orders'!C122</f>
        <v>A4572</v>
      </c>
      <c r="D123" s="14">
        <v>0</v>
      </c>
      <c r="E123" s="17" t="str" cm="1">
        <f t="array" ref="E123">IF(C123=0,"",
HYPERLINK(
"#'2026 Orders'!C"&amp;
MATCH(1,
('2026 Orders'!C:C=C123)*
('2026 Orders'!G:G=G123)*
('2026 Orders'!N:N=N123),
0),
"Open "&amp;C123
))</f>
        <v>Open A4572</v>
      </c>
      <c r="F123" s="14">
        <v>0</v>
      </c>
      <c r="G123" s="14" t="str">
        <f>'2026 Orders'!G122</f>
        <v>ALC-60-FD</v>
      </c>
      <c r="H123" s="14" t="str">
        <f>'2026 Orders'!H122</f>
        <v>ALC-60</v>
      </c>
      <c r="I123" s="15" t="str">
        <f>'2026 Orders'!I122</f>
        <v>FD</v>
      </c>
      <c r="J123" s="14">
        <f>'2026 Orders'!J122</f>
        <v>417</v>
      </c>
      <c r="K123">
        <v>0</v>
      </c>
      <c r="L123">
        <v>0</v>
      </c>
      <c r="N123" s="10" t="str">
        <f>'2026 Orders'!N122</f>
        <v>In Production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C123" t="str">
        <f>IF(OR(B123="",B123=0),"",$AJ$2&amp;"/"&amp;J123)</f>
        <v>/417</v>
      </c>
      <c r="AD123" t="e">
        <f t="shared" si="1"/>
        <v>#VALUE!</v>
      </c>
    </row>
    <row r="124" spans="2:30" ht="33" hidden="1" customHeight="1" x14ac:dyDescent="0.3">
      <c r="B124" s="14" t="str">
        <f>'2026 Orders'!B123</f>
        <v>UAE</v>
      </c>
      <c r="C124" s="14" t="str">
        <f>'2026 Orders'!C123</f>
        <v>A4572</v>
      </c>
      <c r="D124" s="14">
        <v>0</v>
      </c>
      <c r="E124" s="17" t="str" cm="1">
        <f t="array" ref="E124">IF(C124=0,"",
HYPERLINK(
"#'2026 Orders'!C"&amp;
MATCH(1,
('2026 Orders'!C:C=C124)*
('2026 Orders'!G:G=G124)*
('2026 Orders'!N:N=N124),
0),
"Open "&amp;C124
))</f>
        <v>Open A4572</v>
      </c>
      <c r="F124" s="14" t="s">
        <v>672</v>
      </c>
      <c r="G124" s="14" t="str">
        <f>'2026 Orders'!G123</f>
        <v>EYECAP-30-FD</v>
      </c>
      <c r="H124" s="14" t="str">
        <f>'2026 Orders'!H123</f>
        <v>EYECAP-30</v>
      </c>
      <c r="I124" s="15" t="str">
        <f>'2026 Orders'!I123</f>
        <v>FD</v>
      </c>
      <c r="J124" s="14">
        <f>'2026 Orders'!J123</f>
        <v>600</v>
      </c>
      <c r="K124" t="s">
        <v>674</v>
      </c>
      <c r="L124">
        <v>0</v>
      </c>
      <c r="N124" s="10" t="str">
        <f>'2026 Orders'!N123</f>
        <v>Not Meet MOQ</v>
      </c>
      <c r="O124">
        <v>0</v>
      </c>
      <c r="P124" t="s">
        <v>1085</v>
      </c>
      <c r="Q124">
        <v>810131199654</v>
      </c>
      <c r="R124">
        <v>5000</v>
      </c>
      <c r="S124">
        <v>0</v>
      </c>
      <c r="T124" t="s">
        <v>1108</v>
      </c>
      <c r="U124" t="s">
        <v>1140</v>
      </c>
      <c r="V124">
        <v>0</v>
      </c>
      <c r="W124">
        <v>0</v>
      </c>
      <c r="X124">
        <v>0</v>
      </c>
      <c r="Y124">
        <v>0</v>
      </c>
      <c r="Z124" t="s">
        <v>1086</v>
      </c>
      <c r="AC124" t="str">
        <f>IF(OR(B124="",B124=0),"",$AJ$2&amp;"/"&amp;J124)</f>
        <v>/600</v>
      </c>
      <c r="AD124" t="e">
        <f t="shared" si="1"/>
        <v>#VALUE!</v>
      </c>
    </row>
    <row r="125" spans="2:30" ht="33" hidden="1" customHeight="1" x14ac:dyDescent="0.3">
      <c r="B125" s="14" t="str">
        <f>'2026 Orders'!B124</f>
        <v>UAE</v>
      </c>
      <c r="C125" s="14" t="str">
        <f>'2026 Orders'!C124</f>
        <v>A4572</v>
      </c>
      <c r="D125" s="14">
        <v>0</v>
      </c>
      <c r="E125" s="17" t="str" cm="1">
        <f t="array" ref="E125">IF(C125=0,"",
HYPERLINK(
"#'2026 Orders'!C"&amp;
MATCH(1,
('2026 Orders'!C:C=C125)*
('2026 Orders'!G:G=G125)*
('2026 Orders'!N:N=N125),
0),
"Open "&amp;C125
))</f>
        <v>Open A4572</v>
      </c>
      <c r="F125" s="14">
        <v>0</v>
      </c>
      <c r="G125" s="14" t="str">
        <f>'2026 Orders'!G124</f>
        <v>EYECAP-30-FD</v>
      </c>
      <c r="H125" s="14" t="str">
        <f>'2026 Orders'!H124</f>
        <v>EYECAP-30</v>
      </c>
      <c r="I125" s="15" t="str">
        <f>'2026 Orders'!I124</f>
        <v>FD</v>
      </c>
      <c r="J125" s="14">
        <f>'2026 Orders'!J124</f>
        <v>720</v>
      </c>
      <c r="K125" t="s">
        <v>676</v>
      </c>
      <c r="L125">
        <v>0</v>
      </c>
      <c r="N125" s="10" t="str">
        <f>'2026 Orders'!N124</f>
        <v>Not Meet MOQ</v>
      </c>
      <c r="O125">
        <v>0</v>
      </c>
      <c r="P125" t="s">
        <v>1085</v>
      </c>
      <c r="Q125">
        <v>810131199678</v>
      </c>
      <c r="R125">
        <v>5000</v>
      </c>
      <c r="S125">
        <v>0</v>
      </c>
      <c r="T125" t="s">
        <v>1108</v>
      </c>
      <c r="U125" t="s">
        <v>1141</v>
      </c>
      <c r="V125">
        <v>0</v>
      </c>
      <c r="W125">
        <v>0</v>
      </c>
      <c r="X125">
        <v>0</v>
      </c>
      <c r="Y125">
        <v>0</v>
      </c>
      <c r="Z125">
        <v>0</v>
      </c>
      <c r="AC125" t="str">
        <f>IF(OR(B125="",B125=0),"",$AJ$2&amp;"/"&amp;J125)</f>
        <v>/720</v>
      </c>
      <c r="AD125" t="e">
        <f t="shared" si="1"/>
        <v>#VALUE!</v>
      </c>
    </row>
    <row r="126" spans="2:30" ht="33" hidden="1" customHeight="1" x14ac:dyDescent="0.3">
      <c r="B126" s="14" t="str">
        <f>'2026 Orders'!B125</f>
        <v>UAE</v>
      </c>
      <c r="C126" s="14" t="str">
        <f>'2026 Orders'!C125</f>
        <v>A4572</v>
      </c>
      <c r="D126" s="14">
        <v>0</v>
      </c>
      <c r="E126" s="17" t="str" cm="1">
        <f t="array" ref="E126">IF(C126=0,"",
HYPERLINK(
"#'2026 Orders'!C"&amp;
MATCH(1,
('2026 Orders'!C:C=C126)*
('2026 Orders'!G:G=G126)*
('2026 Orders'!N:N=N126),
0),
"Open "&amp;C126
))</f>
        <v>Open A4572</v>
      </c>
      <c r="F126" s="14" t="s">
        <v>677</v>
      </c>
      <c r="G126" s="14" t="str">
        <f>'2026 Orders'!G125</f>
        <v>PEDIAD4-50-FD</v>
      </c>
      <c r="H126" s="14" t="str">
        <f>'2026 Orders'!H125</f>
        <v>PEDIAD4-50</v>
      </c>
      <c r="I126" s="15" t="str">
        <f>'2026 Orders'!I125</f>
        <v>FD</v>
      </c>
      <c r="J126" s="14">
        <f>'2026 Orders'!J125</f>
        <v>1350</v>
      </c>
      <c r="K126" t="s">
        <v>634</v>
      </c>
      <c r="L126">
        <v>0</v>
      </c>
      <c r="N126" s="10" t="str">
        <f>'2026 Orders'!N125</f>
        <v>PO submitted</v>
      </c>
      <c r="O126">
        <v>0</v>
      </c>
      <c r="P126" t="s">
        <v>1085</v>
      </c>
      <c r="Q126">
        <v>810131199623</v>
      </c>
      <c r="R126">
        <v>5000</v>
      </c>
      <c r="S126">
        <v>0</v>
      </c>
      <c r="T126" t="s">
        <v>1108</v>
      </c>
      <c r="U126" t="s">
        <v>1142</v>
      </c>
      <c r="V126">
        <v>0</v>
      </c>
      <c r="W126">
        <v>0</v>
      </c>
      <c r="X126">
        <v>0</v>
      </c>
      <c r="Y126">
        <v>0</v>
      </c>
      <c r="Z126">
        <v>0</v>
      </c>
      <c r="AC126" t="str">
        <f>IF(OR(B126="",B126=0),"",$AJ$2&amp;"/"&amp;J126)</f>
        <v>/1350</v>
      </c>
      <c r="AD126" t="e">
        <f t="shared" si="1"/>
        <v>#VALUE!</v>
      </c>
    </row>
    <row r="127" spans="2:30" ht="33" hidden="1" customHeight="1" x14ac:dyDescent="0.3">
      <c r="B127" s="14" t="str">
        <f>'2026 Orders'!B126</f>
        <v>UAE</v>
      </c>
      <c r="C127" s="14" t="str">
        <f>'2026 Orders'!C126</f>
        <v>A4572</v>
      </c>
      <c r="D127" s="14">
        <v>0</v>
      </c>
      <c r="E127" s="17" t="str" cm="1">
        <f t="array" ref="E127">IF(C127=0,"",
HYPERLINK(
"#'2026 Orders'!C"&amp;
MATCH(1,
('2026 Orders'!C:C=C127)*
('2026 Orders'!G:G=G127)*
('2026 Orders'!N:N=N127),
0),
"Open "&amp;C127
))</f>
        <v>Open A4572</v>
      </c>
      <c r="F127" s="14" t="s">
        <v>1246</v>
      </c>
      <c r="G127" s="14" t="str">
        <f>'2026 Orders'!G126</f>
        <v>LARGIN-100-FD</v>
      </c>
      <c r="H127" s="14" t="str">
        <f>'2026 Orders'!H126</f>
        <v>LARGIN-100</v>
      </c>
      <c r="I127" s="15" t="str">
        <f>'2026 Orders'!I126</f>
        <v>FD</v>
      </c>
      <c r="J127" s="14">
        <f>'2026 Orders'!J126</f>
        <v>619</v>
      </c>
      <c r="K127" t="s">
        <v>679</v>
      </c>
      <c r="L127">
        <v>0</v>
      </c>
      <c r="N127" s="10" t="str">
        <f>'2026 Orders'!N126</f>
        <v>In Production</v>
      </c>
      <c r="O127">
        <v>0</v>
      </c>
      <c r="P127" t="s">
        <v>1085</v>
      </c>
      <c r="Q127">
        <v>810131199616</v>
      </c>
      <c r="R127">
        <v>5000</v>
      </c>
      <c r="S127">
        <v>0</v>
      </c>
      <c r="T127" t="s">
        <v>1108</v>
      </c>
      <c r="U127" t="s">
        <v>1143</v>
      </c>
      <c r="V127">
        <v>0</v>
      </c>
      <c r="W127">
        <v>0</v>
      </c>
      <c r="X127">
        <v>0</v>
      </c>
      <c r="Y127">
        <v>0</v>
      </c>
      <c r="Z127">
        <v>0</v>
      </c>
      <c r="AC127" t="str">
        <f>IF(OR(B127="",B127=0),"",$AJ$2&amp;"/"&amp;J127)</f>
        <v>/619</v>
      </c>
      <c r="AD127" t="e">
        <f t="shared" si="1"/>
        <v>#VALUE!</v>
      </c>
    </row>
    <row r="128" spans="2:30" ht="33" hidden="1" customHeight="1" x14ac:dyDescent="0.3">
      <c r="B128" s="14" t="str">
        <f>'2026 Orders'!B127</f>
        <v>UAE</v>
      </c>
      <c r="C128" s="14" t="str">
        <f>'2026 Orders'!C127</f>
        <v>A4572</v>
      </c>
      <c r="D128" s="14">
        <v>0</v>
      </c>
      <c r="E128" s="17" t="str" cm="1">
        <f t="array" ref="E128">IF(C128=0,"",
HYPERLINK(
"#'2026 Orders'!C"&amp;
MATCH(1,
('2026 Orders'!C:C=C128)*
('2026 Orders'!G:G=G128)*
('2026 Orders'!N:N=N128),
0),
"Open "&amp;C128
))</f>
        <v>Open A4572</v>
      </c>
      <c r="F128" s="14">
        <v>0</v>
      </c>
      <c r="G128" s="14" t="str">
        <f>'2026 Orders'!G127</f>
        <v>ZINC25-60-FD</v>
      </c>
      <c r="H128" s="14" t="str">
        <f>'2026 Orders'!H127</f>
        <v>ZINC25-60</v>
      </c>
      <c r="I128" s="15" t="str">
        <f>'2026 Orders'!I127</f>
        <v>FD</v>
      </c>
      <c r="J128" s="14">
        <f>'2026 Orders'!J127</f>
        <v>1050</v>
      </c>
      <c r="K128">
        <v>0</v>
      </c>
      <c r="L128">
        <v>0</v>
      </c>
      <c r="N128" s="10" t="str">
        <f>'2026 Orders'!N127</f>
        <v>PO Drafted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C128" t="str">
        <f>IF(OR(B128="",B128=0),"",$AJ$2&amp;"/"&amp;J128)</f>
        <v>/1050</v>
      </c>
      <c r="AD128" t="e">
        <f t="shared" si="1"/>
        <v>#VALUE!</v>
      </c>
    </row>
    <row r="129" spans="2:30" ht="33" hidden="1" customHeight="1" x14ac:dyDescent="0.3">
      <c r="B129" s="14" t="str">
        <f>'2026 Orders'!B128</f>
        <v>UAE</v>
      </c>
      <c r="C129" s="14" t="str">
        <f>'2026 Orders'!C128</f>
        <v>A4572</v>
      </c>
      <c r="D129" s="14">
        <v>0</v>
      </c>
      <c r="E129" s="17" t="str" cm="1">
        <f t="array" ref="E129">IF(C129=0,"",
HYPERLINK(
"#'2026 Orders'!C"&amp;
MATCH(1,
('2026 Orders'!C:C=C129)*
('2026 Orders'!G:G=G129)*
('2026 Orders'!N:N=N129),
0),
"Open "&amp;C129
))</f>
        <v>Open A4572</v>
      </c>
      <c r="F129" s="14">
        <v>0</v>
      </c>
      <c r="G129" s="14" t="str">
        <f>'2026 Orders'!G128</f>
        <v>MAGNES-50-FD</v>
      </c>
      <c r="H129" s="14" t="str">
        <f>'2026 Orders'!H128</f>
        <v>MAGNES-50</v>
      </c>
      <c r="I129" s="15" t="str">
        <f>'2026 Orders'!I128</f>
        <v>FD</v>
      </c>
      <c r="J129" s="14">
        <f>'2026 Orders'!J128</f>
        <v>1050</v>
      </c>
      <c r="K129" t="s">
        <v>424</v>
      </c>
      <c r="L129">
        <v>100</v>
      </c>
      <c r="N129" s="10" t="str">
        <f>'2026 Orders'!N128</f>
        <v>In Production</v>
      </c>
      <c r="O129" t="s">
        <v>1099</v>
      </c>
      <c r="P129" t="s">
        <v>1085</v>
      </c>
      <c r="Q129">
        <v>810131193164</v>
      </c>
      <c r="R129">
        <v>7000</v>
      </c>
      <c r="S129">
        <v>4867</v>
      </c>
      <c r="T129" t="s">
        <v>1079</v>
      </c>
      <c r="U129">
        <v>0</v>
      </c>
      <c r="V129">
        <v>0</v>
      </c>
      <c r="W129">
        <v>0</v>
      </c>
      <c r="X129">
        <v>0</v>
      </c>
      <c r="Y129">
        <v>0</v>
      </c>
      <c r="Z129" t="s">
        <v>1083</v>
      </c>
      <c r="AC129" t="str">
        <f>IF(OR(B129="",B129=0),"",$AJ$2&amp;"/"&amp;J129)</f>
        <v>/1050</v>
      </c>
      <c r="AD129" t="e">
        <f t="shared" si="1"/>
        <v>#VALUE!</v>
      </c>
    </row>
    <row r="130" spans="2:30" ht="33" hidden="1" customHeight="1" x14ac:dyDescent="0.3">
      <c r="B130" s="14" t="str">
        <f>'2026 Orders'!B129</f>
        <v>UAE</v>
      </c>
      <c r="C130" s="14" t="str">
        <f>'2026 Orders'!C129</f>
        <v>A4572</v>
      </c>
      <c r="D130" s="14">
        <v>0</v>
      </c>
      <c r="E130" s="17" t="str" cm="1">
        <f t="array" ref="E130">IF(C130=0,"",
HYPERLINK(
"#'2026 Orders'!C"&amp;
MATCH(1,
('2026 Orders'!C:C=C130)*
('2026 Orders'!G:G=G130)*
('2026 Orders'!N:N=N130),
0),
"Open "&amp;C130
))</f>
        <v>Open A4572</v>
      </c>
      <c r="F130" s="14">
        <v>0</v>
      </c>
      <c r="G130" s="14" t="str">
        <f>'2026 Orders'!G129</f>
        <v>NRGMEN-45-CS-UA</v>
      </c>
      <c r="H130" s="14" t="str">
        <f>'2026 Orders'!H129</f>
        <v>NRGMEN-45</v>
      </c>
      <c r="I130" s="15" t="str">
        <f>'2026 Orders'!I129</f>
        <v>UA</v>
      </c>
      <c r="J130" s="14">
        <f>'2026 Orders'!J129</f>
        <v>2000</v>
      </c>
      <c r="K130">
        <v>0</v>
      </c>
      <c r="L130">
        <v>0</v>
      </c>
      <c r="N130" s="10" t="str">
        <f>'2026 Orders'!N129</f>
        <v>PO Drafted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C130" t="str">
        <f>IF(OR(B130="",B130=0),"",$AJ$2&amp;"/"&amp;J130)</f>
        <v>/2000</v>
      </c>
      <c r="AD130" t="e">
        <f t="shared" si="1"/>
        <v>#VALUE!</v>
      </c>
    </row>
    <row r="131" spans="2:30" ht="33" hidden="1" customHeight="1" x14ac:dyDescent="0.3">
      <c r="B131" s="14" t="str">
        <f>'2026 Orders'!B130</f>
        <v>UAE</v>
      </c>
      <c r="C131" s="14" t="str">
        <f>'2026 Orders'!C130</f>
        <v>A4572</v>
      </c>
      <c r="D131" s="14">
        <v>0</v>
      </c>
      <c r="E131" s="17" t="str" cm="1">
        <f t="array" ref="E131">IF(C131=0,"",
HYPERLINK(
"#'2026 Orders'!C"&amp;
MATCH(1,
('2026 Orders'!C:C=C131)*
('2026 Orders'!G:G=G131)*
('2026 Orders'!N:N=N131),
0),
"Open "&amp;C131
))</f>
        <v>Open A4572</v>
      </c>
      <c r="F131" s="14">
        <v>0</v>
      </c>
      <c r="G131" s="14" t="str">
        <f>'2026 Orders'!G130</f>
        <v>POLYSIT-90-RE</v>
      </c>
      <c r="H131" s="14" t="str">
        <f>'2026 Orders'!H130</f>
        <v>POLYSIT-90</v>
      </c>
      <c r="I131" s="15" t="str">
        <f>'2026 Orders'!I130</f>
        <v>RE</v>
      </c>
      <c r="J131" s="14">
        <f>'2026 Orders'!J130</f>
        <v>490</v>
      </c>
      <c r="K131" t="s">
        <v>692</v>
      </c>
      <c r="L131">
        <v>0</v>
      </c>
      <c r="N131" s="10" t="str">
        <f>'2026 Orders'!N130</f>
        <v>In Production</v>
      </c>
      <c r="O131" t="s">
        <v>1144</v>
      </c>
      <c r="P131" t="s">
        <v>1085</v>
      </c>
      <c r="Q131" t="s">
        <v>692</v>
      </c>
      <c r="R131">
        <v>5000</v>
      </c>
      <c r="S131">
        <v>0</v>
      </c>
      <c r="T131" t="s">
        <v>1108</v>
      </c>
      <c r="U131" t="s">
        <v>1140</v>
      </c>
      <c r="V131">
        <v>0</v>
      </c>
      <c r="W131">
        <v>0</v>
      </c>
      <c r="X131">
        <v>0</v>
      </c>
      <c r="Y131">
        <v>0</v>
      </c>
      <c r="Z131" t="s">
        <v>1086</v>
      </c>
      <c r="AC131" t="str">
        <f>IF(OR(B131="",B131=0),"",$AJ$2&amp;"/"&amp;J131)</f>
        <v>/490</v>
      </c>
      <c r="AD131" t="e">
        <f t="shared" ref="AD131:AD194" si="2">IF(OR(J131="",J131=0),"",$AK$2&amp;" -&gt; "&amp;I131)</f>
        <v>#VALUE!</v>
      </c>
    </row>
    <row r="132" spans="2:30" ht="33" hidden="1" customHeight="1" x14ac:dyDescent="0.3">
      <c r="B132" s="14" t="str">
        <f>'2026 Orders'!B131</f>
        <v>UAE</v>
      </c>
      <c r="C132" s="14" t="str">
        <f>'2026 Orders'!C131</f>
        <v>A4572</v>
      </c>
      <c r="D132" s="14">
        <v>0</v>
      </c>
      <c r="E132" s="17" t="str" cm="1">
        <f t="array" ref="E132">IF(C132=0,"",
HYPERLINK(
"#'2026 Orders'!C"&amp;
MATCH(1,
('2026 Orders'!C:C=C132)*
('2026 Orders'!G:G=G132)*
('2026 Orders'!N:N=N132),
0),
"Open "&amp;C132
))</f>
        <v>Open A4572</v>
      </c>
      <c r="F132" s="14">
        <v>0</v>
      </c>
      <c r="G132" s="14" t="str">
        <f>'2026 Orders'!G131</f>
        <v>ROYALPL-30-FD</v>
      </c>
      <c r="H132" s="14" t="str">
        <f>'2026 Orders'!H131</f>
        <v>ROYALPL-30</v>
      </c>
      <c r="I132" s="15" t="str">
        <f>'2026 Orders'!I131</f>
        <v>FD</v>
      </c>
      <c r="J132" s="14">
        <f>'2026 Orders'!J131</f>
        <v>1485</v>
      </c>
      <c r="K132">
        <v>0</v>
      </c>
      <c r="L132">
        <v>0</v>
      </c>
      <c r="N132" s="10" t="str">
        <f>'2026 Orders'!N131</f>
        <v>Production Complete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C132" t="str">
        <f>IF(OR(B132="",B132=0),"",$AJ$2&amp;"/"&amp;J132)</f>
        <v>/1485</v>
      </c>
      <c r="AD132" t="e">
        <f t="shared" si="2"/>
        <v>#VALUE!</v>
      </c>
    </row>
    <row r="133" spans="2:30" ht="33" hidden="1" customHeight="1" x14ac:dyDescent="0.3">
      <c r="B133" s="14" t="str">
        <f>'2026 Orders'!B132</f>
        <v>UAE</v>
      </c>
      <c r="C133" s="14" t="str">
        <f>'2026 Orders'!C132</f>
        <v>A4572</v>
      </c>
      <c r="D133" s="14" t="s">
        <v>1320</v>
      </c>
      <c r="E133" s="17" t="str" cm="1">
        <f t="array" ref="E133">IF(C133=0,"",
HYPERLINK(
"#'2026 Orders'!C"&amp;
MATCH(1,
('2026 Orders'!C:C=C133)*
('2026 Orders'!G:G=G133)*
('2026 Orders'!N:N=N133),
0),
"Open "&amp;C133
))</f>
        <v>Open A4572</v>
      </c>
      <c r="F133" s="14" t="s">
        <v>1247</v>
      </c>
      <c r="G133" s="14" t="str">
        <f>'2026 Orders'!G132</f>
        <v>OMEGA3-60-CS-UA</v>
      </c>
      <c r="H133" s="14" t="str">
        <f>'2026 Orders'!H132</f>
        <v>OMEGA3-60</v>
      </c>
      <c r="I133" s="15" t="str">
        <f>'2026 Orders'!I132</f>
        <v>UA</v>
      </c>
      <c r="J133" s="14">
        <f>'2026 Orders'!J132</f>
        <v>1500</v>
      </c>
      <c r="K133" t="s">
        <v>697</v>
      </c>
      <c r="L133">
        <v>0</v>
      </c>
      <c r="N133" s="10" t="str">
        <f>'2026 Orders'!N132</f>
        <v>In Production</v>
      </c>
      <c r="O133" t="s">
        <v>1145</v>
      </c>
      <c r="P133" t="s">
        <v>1077</v>
      </c>
      <c r="Q133" t="s">
        <v>1146</v>
      </c>
      <c r="R133">
        <v>80000</v>
      </c>
      <c r="S133">
        <v>4958</v>
      </c>
      <c r="T133">
        <v>46230</v>
      </c>
      <c r="U133" t="s">
        <v>1092</v>
      </c>
      <c r="V133">
        <v>0</v>
      </c>
      <c r="W133">
        <v>0</v>
      </c>
      <c r="X133">
        <v>0</v>
      </c>
      <c r="Y133">
        <v>0</v>
      </c>
      <c r="Z133" t="s">
        <v>1086</v>
      </c>
      <c r="AC133" t="str">
        <f>IF(OR(B133="",B133=0),"",$AJ$2&amp;"/"&amp;J133)</f>
        <v>/1500</v>
      </c>
      <c r="AD133" t="e">
        <f t="shared" si="2"/>
        <v>#VALUE!</v>
      </c>
    </row>
    <row r="134" spans="2:30" ht="33" hidden="1" customHeight="1" x14ac:dyDescent="0.3">
      <c r="B134" s="14" t="str">
        <f>'2026 Orders'!B133</f>
        <v>UAE</v>
      </c>
      <c r="C134" s="14" t="str">
        <f>'2026 Orders'!C133</f>
        <v>A4572</v>
      </c>
      <c r="D134" s="14" t="s">
        <v>694</v>
      </c>
      <c r="E134" s="17" t="str" cm="1">
        <f t="array" ref="E134">IF(C134=0,"",
HYPERLINK(
"#'2026 Orders'!C"&amp;
MATCH(1,
('2026 Orders'!C:C=C134)*
('2026 Orders'!G:G=G134)*
('2026 Orders'!N:N=N134),
0),
"Open "&amp;C134
))</f>
        <v>Open A4572</v>
      </c>
      <c r="F134" s="14" t="s">
        <v>1248</v>
      </c>
      <c r="G134" s="14" t="str">
        <f>'2026 Orders'!G133</f>
        <v>LIPODIS-60-FD</v>
      </c>
      <c r="H134" s="14" t="str">
        <f>'2026 Orders'!H133</f>
        <v>LIPODIS-60</v>
      </c>
      <c r="I134" s="15" t="str">
        <f>'2026 Orders'!I133</f>
        <v>FD</v>
      </c>
      <c r="J134" s="14">
        <f>'2026 Orders'!J133</f>
        <v>1207</v>
      </c>
      <c r="K134" t="s">
        <v>699</v>
      </c>
      <c r="L134">
        <v>0</v>
      </c>
      <c r="N134" s="10" t="str">
        <f>'2026 Orders'!N133</f>
        <v>Available</v>
      </c>
      <c r="O134" t="s">
        <v>1134</v>
      </c>
      <c r="P134" t="s">
        <v>1077</v>
      </c>
      <c r="Q134" t="s">
        <v>1147</v>
      </c>
      <c r="R134">
        <v>50000</v>
      </c>
      <c r="S134">
        <v>4959</v>
      </c>
      <c r="T134">
        <v>46230</v>
      </c>
      <c r="U134" t="s">
        <v>1092</v>
      </c>
      <c r="V134">
        <v>0</v>
      </c>
      <c r="W134">
        <v>0</v>
      </c>
      <c r="X134">
        <v>0</v>
      </c>
      <c r="Y134">
        <v>0</v>
      </c>
      <c r="Z134">
        <v>0</v>
      </c>
      <c r="AC134" t="str">
        <f>IF(OR(B134="",B134=0),"",$AJ$2&amp;"/"&amp;J134)</f>
        <v>/1207</v>
      </c>
      <c r="AD134" t="e">
        <f t="shared" si="2"/>
        <v>#VALUE!</v>
      </c>
    </row>
    <row r="135" spans="2:30" ht="33" hidden="1" customHeight="1" x14ac:dyDescent="0.3">
      <c r="B135" s="14">
        <f>'2026 Orders'!B134</f>
        <v>0</v>
      </c>
      <c r="C135" s="14">
        <f>'2026 Orders'!C134</f>
        <v>0</v>
      </c>
      <c r="D135" s="14">
        <v>0</v>
      </c>
      <c r="E135" s="17" t="str" cm="1">
        <f t="array" ref="E135">IF(C135=0,"",
HYPERLINK(
"#'2026 Orders'!C"&amp;
MATCH(1,
('2026 Orders'!C:C=C135)*
('2026 Orders'!G:G=G135)*
('2026 Orders'!N:N=N135),
0),
"Open "&amp;C135
))</f>
        <v/>
      </c>
      <c r="F135" s="14">
        <v>0</v>
      </c>
      <c r="G135" s="14">
        <f>'2026 Orders'!G134</f>
        <v>0</v>
      </c>
      <c r="H135" s="14">
        <f>'2026 Orders'!H134</f>
        <v>0</v>
      </c>
      <c r="I135" s="15" t="str">
        <f>'2026 Orders'!I134</f>
        <v/>
      </c>
      <c r="J135" s="14">
        <f>'2026 Orders'!J134</f>
        <v>0</v>
      </c>
      <c r="K135">
        <v>0</v>
      </c>
      <c r="L135">
        <v>0</v>
      </c>
      <c r="N135" s="10">
        <f>'2026 Orders'!N134</f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C135" t="str">
        <f>IF(OR(B135="",B135=0),"",$AJ$2&amp;"/"&amp;J135)</f>
        <v/>
      </c>
      <c r="AD135" t="str">
        <f t="shared" si="2"/>
        <v/>
      </c>
    </row>
    <row r="136" spans="2:30" ht="33" hidden="1" customHeight="1" x14ac:dyDescent="0.3">
      <c r="B136" s="14" t="str">
        <f>'2026 Orders'!B135</f>
        <v>Uganda</v>
      </c>
      <c r="C136" s="14" t="str">
        <f>'2026 Orders'!C135</f>
        <v>A4574</v>
      </c>
      <c r="D136" s="14">
        <v>0</v>
      </c>
      <c r="E136" s="17" t="str" cm="1">
        <f t="array" ref="E136">IF(C136=0,"",
HYPERLINK(
"#'2026 Orders'!C"&amp;
MATCH(1,
('2026 Orders'!C:C=C136)*
('2026 Orders'!G:G=G136)*
('2026 Orders'!N:N=N136),
0),
"Open "&amp;C136
))</f>
        <v>Open A4574</v>
      </c>
      <c r="F136" s="14" t="s">
        <v>1249</v>
      </c>
      <c r="G136" s="14" t="str">
        <f>'2026 Orders'!G135</f>
        <v>MFSPLS-120-FD</v>
      </c>
      <c r="H136" s="14" t="str">
        <f>'2026 Orders'!H135</f>
        <v>MFSPLS-120</v>
      </c>
      <c r="I136" s="15" t="str">
        <f>'2026 Orders'!I135</f>
        <v>FD</v>
      </c>
      <c r="J136" s="14">
        <f>'2026 Orders'!J135</f>
        <v>240</v>
      </c>
      <c r="K136" t="s">
        <v>697</v>
      </c>
      <c r="L136">
        <v>0</v>
      </c>
      <c r="N136" s="10" t="str">
        <f>'2026 Orders'!N135</f>
        <v>In Production</v>
      </c>
      <c r="O136" t="s">
        <v>1145</v>
      </c>
      <c r="P136" t="s">
        <v>1077</v>
      </c>
      <c r="Q136" t="s">
        <v>1146</v>
      </c>
      <c r="R136">
        <v>80000</v>
      </c>
      <c r="S136">
        <v>4958</v>
      </c>
      <c r="T136">
        <v>46230</v>
      </c>
      <c r="U136" t="s">
        <v>1092</v>
      </c>
      <c r="V136">
        <v>0</v>
      </c>
      <c r="W136">
        <v>0</v>
      </c>
      <c r="X136">
        <v>0</v>
      </c>
      <c r="Y136">
        <v>0</v>
      </c>
      <c r="Z136" t="s">
        <v>1086</v>
      </c>
      <c r="AC136" t="str">
        <f>IF(OR(B136="",B136=0),"",$AJ$2&amp;"/"&amp;J136)</f>
        <v>/240</v>
      </c>
      <c r="AD136" t="e">
        <f t="shared" si="2"/>
        <v>#VALUE!</v>
      </c>
    </row>
    <row r="137" spans="2:30" ht="33" hidden="1" customHeight="1" x14ac:dyDescent="0.3">
      <c r="B137" s="14" t="str">
        <f>'2026 Orders'!B136</f>
        <v>Uganda</v>
      </c>
      <c r="C137" s="14" t="str">
        <f>'2026 Orders'!C136</f>
        <v>A4574</v>
      </c>
      <c r="D137" s="14">
        <v>0</v>
      </c>
      <c r="E137" s="17" t="str" cm="1">
        <f t="array" ref="E137">IF(C137=0,"",
HYPERLINK(
"#'2026 Orders'!C"&amp;
MATCH(1,
('2026 Orders'!C:C=C137)*
('2026 Orders'!G:G=G137)*
('2026 Orders'!N:N=N137),
0),
"Open "&amp;C137
))</f>
        <v>Open A4574</v>
      </c>
      <c r="F137" s="14" t="s">
        <v>1250</v>
      </c>
      <c r="G137" s="14" t="str">
        <f>'2026 Orders'!G136</f>
        <v>FERTMX-90-RE</v>
      </c>
      <c r="H137" s="14" t="str">
        <f>'2026 Orders'!H136</f>
        <v>FERTMX-90</v>
      </c>
      <c r="I137" s="15" t="str">
        <f>'2026 Orders'!I136</f>
        <v>RE</v>
      </c>
      <c r="J137" s="14">
        <f>'2026 Orders'!J136</f>
        <v>8</v>
      </c>
      <c r="K137" t="s">
        <v>699</v>
      </c>
      <c r="L137">
        <v>0</v>
      </c>
      <c r="N137" s="10" t="str">
        <f>'2026 Orders'!N136</f>
        <v>PO submitted</v>
      </c>
      <c r="O137" t="s">
        <v>1148</v>
      </c>
      <c r="P137" t="s">
        <v>1077</v>
      </c>
      <c r="Q137" t="s">
        <v>1147</v>
      </c>
      <c r="R137">
        <v>50000</v>
      </c>
      <c r="S137">
        <v>4959</v>
      </c>
      <c r="T137">
        <v>46230</v>
      </c>
      <c r="U137" t="s">
        <v>1092</v>
      </c>
      <c r="V137">
        <v>0</v>
      </c>
      <c r="W137">
        <v>0</v>
      </c>
      <c r="X137">
        <v>0</v>
      </c>
      <c r="Y137">
        <v>0</v>
      </c>
      <c r="Z137">
        <v>0</v>
      </c>
      <c r="AC137" t="str">
        <f>IF(OR(B137="",B137=0),"",$AJ$2&amp;"/"&amp;J137)</f>
        <v>/8</v>
      </c>
      <c r="AD137" t="e">
        <f t="shared" si="2"/>
        <v>#VALUE!</v>
      </c>
    </row>
    <row r="138" spans="2:30" ht="33" hidden="1" customHeight="1" x14ac:dyDescent="0.3">
      <c r="B138" s="14" t="str">
        <f>'2026 Orders'!B137</f>
        <v>Uganda</v>
      </c>
      <c r="C138" s="14" t="str">
        <f>'2026 Orders'!C137</f>
        <v>A4574</v>
      </c>
      <c r="D138" s="14">
        <v>0</v>
      </c>
      <c r="E138" s="17" t="str" cm="1">
        <f t="array" ref="E138">IF(C138=0,"",
HYPERLINK(
"#'2026 Orders'!C"&amp;
MATCH(1,
('2026 Orders'!C:C=C138)*
('2026 Orders'!G:G=G138)*
('2026 Orders'!N:N=N138),
0),
"Open "&amp;C138
))</f>
        <v>Open A4574</v>
      </c>
      <c r="F138" s="14">
        <v>0</v>
      </c>
      <c r="G138" s="14" t="str">
        <f>'2026 Orders'!G137</f>
        <v>FERTMX-90-RE</v>
      </c>
      <c r="H138" s="14" t="str">
        <f>'2026 Orders'!H137</f>
        <v>FERTMX-90</v>
      </c>
      <c r="I138" s="15" t="str">
        <f>'2026 Orders'!I137</f>
        <v>RE</v>
      </c>
      <c r="J138" s="14">
        <f>'2026 Orders'!J137</f>
        <v>192</v>
      </c>
      <c r="K138">
        <v>0</v>
      </c>
      <c r="L138">
        <v>0</v>
      </c>
      <c r="N138" s="10" t="str">
        <f>'2026 Orders'!N137</f>
        <v>PO submitted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C138" t="str">
        <f>IF(OR(B138="",B138=0),"",$AJ$2&amp;"/"&amp;J138)</f>
        <v>/192</v>
      </c>
      <c r="AD138" t="e">
        <f t="shared" si="2"/>
        <v>#VALUE!</v>
      </c>
    </row>
    <row r="139" spans="2:30" ht="33" hidden="1" customHeight="1" x14ac:dyDescent="0.3">
      <c r="B139" s="14" t="str">
        <f>'2026 Orders'!B138</f>
        <v>Uganda</v>
      </c>
      <c r="C139" s="14" t="str">
        <f>'2026 Orders'!C138</f>
        <v>A4574</v>
      </c>
      <c r="D139" s="14">
        <v>0</v>
      </c>
      <c r="E139" s="17" t="str" cm="1">
        <f t="array" ref="E139">IF(C139=0,"",
HYPERLINK(
"#'2026 Orders'!C"&amp;
MATCH(1,
('2026 Orders'!C:C=C139)*
('2026 Orders'!G:G=G139)*
('2026 Orders'!N:N=N139),
0),
"Open "&amp;C139
))</f>
        <v>Open A4574</v>
      </c>
      <c r="F139" s="14" t="s">
        <v>707</v>
      </c>
      <c r="G139" s="14" t="str">
        <f>'2026 Orders'!G138</f>
        <v>DHEA50-60-FD</v>
      </c>
      <c r="H139" s="14" t="str">
        <f>'2026 Orders'!H138</f>
        <v>DHEA50-60</v>
      </c>
      <c r="I139" s="15" t="str">
        <f>'2026 Orders'!I138</f>
        <v>FD</v>
      </c>
      <c r="J139" s="14">
        <f>'2026 Orders'!J138</f>
        <v>30</v>
      </c>
      <c r="K139" t="s">
        <v>708</v>
      </c>
      <c r="L139">
        <v>0</v>
      </c>
      <c r="N139" s="10" t="str">
        <f>'2026 Orders'!N138</f>
        <v>In Production</v>
      </c>
      <c r="O139">
        <v>0</v>
      </c>
      <c r="P139" t="s">
        <v>1077</v>
      </c>
      <c r="Q139">
        <v>604776738657</v>
      </c>
      <c r="R139">
        <v>2000</v>
      </c>
      <c r="S139">
        <v>4998</v>
      </c>
      <c r="T139">
        <v>46232</v>
      </c>
      <c r="U139" t="s">
        <v>1126</v>
      </c>
      <c r="V139">
        <v>0</v>
      </c>
      <c r="W139">
        <v>0</v>
      </c>
      <c r="X139">
        <v>0</v>
      </c>
      <c r="Y139">
        <v>0</v>
      </c>
      <c r="Z139" t="s">
        <v>1086</v>
      </c>
      <c r="AC139" t="str">
        <f>IF(OR(B139="",B139=0),"",$AJ$2&amp;"/"&amp;J139)</f>
        <v>/30</v>
      </c>
      <c r="AD139" t="e">
        <f t="shared" si="2"/>
        <v>#VALUE!</v>
      </c>
    </row>
    <row r="140" spans="2:30" ht="33" hidden="1" customHeight="1" x14ac:dyDescent="0.3">
      <c r="B140" s="14" t="str">
        <f>'2026 Orders'!B139</f>
        <v>Uganda</v>
      </c>
      <c r="C140" s="14" t="str">
        <f>'2026 Orders'!C139</f>
        <v>A4574</v>
      </c>
      <c r="D140" s="14">
        <v>0</v>
      </c>
      <c r="E140" s="17" t="str" cm="1">
        <f t="array" ref="E140">IF(C140=0,"",
HYPERLINK(
"#'2026 Orders'!C"&amp;
MATCH(1,
('2026 Orders'!C:C=C140)*
('2026 Orders'!G:G=G140)*
('2026 Orders'!N:N=N140),
0),
"Open "&amp;C140
))</f>
        <v>Open A4574</v>
      </c>
      <c r="F140" s="14">
        <v>0</v>
      </c>
      <c r="G140" s="14" t="str">
        <f>'2026 Orders'!G139</f>
        <v>OVAMAX-120-FD</v>
      </c>
      <c r="H140" s="14" t="str">
        <f>'2026 Orders'!H139</f>
        <v>OVAMAX-120</v>
      </c>
      <c r="I140" s="15" t="str">
        <f>'2026 Orders'!I139</f>
        <v>FD</v>
      </c>
      <c r="J140" s="14">
        <f>'2026 Orders'!J139</f>
        <v>200</v>
      </c>
      <c r="K140">
        <v>0</v>
      </c>
      <c r="L140">
        <v>0</v>
      </c>
      <c r="N140" s="10" t="str">
        <f>'2026 Orders'!N139</f>
        <v>In Production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C140" t="str">
        <f>IF(OR(B140="",B140=0),"",$AJ$2&amp;"/"&amp;J140)</f>
        <v>/200</v>
      </c>
      <c r="AD140" t="e">
        <f t="shared" si="2"/>
        <v>#VALUE!</v>
      </c>
    </row>
    <row r="141" spans="2:30" ht="33" hidden="1" customHeight="1" x14ac:dyDescent="0.3">
      <c r="B141" s="14" t="str">
        <f>'2026 Orders'!B140</f>
        <v>Uganda</v>
      </c>
      <c r="C141" s="14" t="str">
        <f>'2026 Orders'!C140</f>
        <v>A4574</v>
      </c>
      <c r="D141" s="14" t="s">
        <v>1321</v>
      </c>
      <c r="E141" s="17" t="str" cm="1">
        <f t="array" ref="E141">IF(C141=0,"",
HYPERLINK(
"#'2026 Orders'!C"&amp;
MATCH(1,
('2026 Orders'!C:C=C141)*
('2026 Orders'!G:G=G141)*
('2026 Orders'!N:N=N141),
0),
"Open "&amp;C141
))</f>
        <v>Open A4574</v>
      </c>
      <c r="F141" s="14" t="s">
        <v>734</v>
      </c>
      <c r="G141" s="14" t="str">
        <f>'2026 Orders'!G140</f>
        <v>WFSPLS-180-FD</v>
      </c>
      <c r="H141" s="14" t="str">
        <f>'2026 Orders'!H140</f>
        <v>WFSPLS-180</v>
      </c>
      <c r="I141" s="15" t="str">
        <f>'2026 Orders'!I140</f>
        <v>FD</v>
      </c>
      <c r="J141" s="14">
        <f>'2026 Orders'!J140</f>
        <v>30</v>
      </c>
      <c r="K141" t="s">
        <v>735</v>
      </c>
      <c r="L141">
        <v>0</v>
      </c>
      <c r="N141" s="10" t="str">
        <f>'2026 Orders'!N140</f>
        <v>Picked</v>
      </c>
      <c r="O141">
        <v>0</v>
      </c>
      <c r="P141" t="s">
        <v>1085</v>
      </c>
      <c r="Q141">
        <v>604776739203</v>
      </c>
      <c r="R141">
        <v>5000</v>
      </c>
      <c r="S141">
        <v>5034</v>
      </c>
      <c r="T141" t="s">
        <v>1108</v>
      </c>
      <c r="U141" t="s">
        <v>1149</v>
      </c>
      <c r="V141">
        <v>0</v>
      </c>
      <c r="W141">
        <v>0</v>
      </c>
      <c r="X141">
        <v>0</v>
      </c>
      <c r="Y141">
        <v>0</v>
      </c>
      <c r="Z141" t="s">
        <v>1086</v>
      </c>
      <c r="AC141" t="str">
        <f>IF(OR(B141="",B141=0),"",$AJ$2&amp;"/"&amp;J141)</f>
        <v>/30</v>
      </c>
      <c r="AD141" t="e">
        <f t="shared" si="2"/>
        <v>#VALUE!</v>
      </c>
    </row>
    <row r="142" spans="2:30" ht="33" hidden="1" customHeight="1" x14ac:dyDescent="0.3">
      <c r="B142" s="14" t="str">
        <f>'2026 Orders'!B141</f>
        <v>Uganda</v>
      </c>
      <c r="C142" s="14" t="str">
        <f>'2026 Orders'!C141</f>
        <v>A4574</v>
      </c>
      <c r="D142" s="14">
        <v>0</v>
      </c>
      <c r="E142" s="17" t="str" cm="1">
        <f t="array" ref="E142">IF(C142=0,"",
HYPERLINK(
"#'2026 Orders'!C"&amp;
MATCH(1,
('2026 Orders'!C:C=C142)*
('2026 Orders'!G:G=G142)*
('2026 Orders'!N:N=N142),
0),
"Open "&amp;C142
))</f>
        <v>Open A4574</v>
      </c>
      <c r="F142" s="14" t="s">
        <v>1251</v>
      </c>
      <c r="G142" s="14" t="str">
        <f>'2026 Orders'!G141</f>
        <v>QWELL4-30-SG-FD</v>
      </c>
      <c r="H142" s="14" t="str">
        <f>'2026 Orders'!H141</f>
        <v>QWELL4-30</v>
      </c>
      <c r="I142" s="15" t="str">
        <f>'2026 Orders'!I141</f>
        <v>FD</v>
      </c>
      <c r="J142" s="14">
        <f>'2026 Orders'!J141</f>
        <v>60</v>
      </c>
      <c r="K142" t="s">
        <v>962</v>
      </c>
      <c r="L142">
        <v>532</v>
      </c>
      <c r="N142" s="10" t="str">
        <f>'2026 Orders'!N141</f>
        <v>Picked</v>
      </c>
      <c r="O142">
        <v>0</v>
      </c>
      <c r="P142" t="s">
        <v>1077</v>
      </c>
      <c r="Q142">
        <v>609788968931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C142" t="str">
        <f>IF(OR(B142="",B142=0),"",$AJ$2&amp;"/"&amp;J142)</f>
        <v>/60</v>
      </c>
      <c r="AD142" t="e">
        <f t="shared" si="2"/>
        <v>#VALUE!</v>
      </c>
    </row>
    <row r="143" spans="2:30" ht="33" hidden="1" customHeight="1" x14ac:dyDescent="0.3">
      <c r="B143" s="14" t="str">
        <f>'2026 Orders'!B142</f>
        <v>Uganda</v>
      </c>
      <c r="C143" s="14" t="str">
        <f>'2026 Orders'!C142</f>
        <v>A4574</v>
      </c>
      <c r="D143" s="14">
        <v>0</v>
      </c>
      <c r="E143" s="17" t="str" cm="1">
        <f t="array" ref="E143">IF(C143=0,"",
HYPERLINK(
"#'2026 Orders'!C"&amp;
MATCH(1,
('2026 Orders'!C:C=C143)*
('2026 Orders'!G:G=G143)*
('2026 Orders'!N:N=N143),
0),
"Open "&amp;C143
))</f>
        <v>Open A4574</v>
      </c>
      <c r="F143" s="14">
        <v>0</v>
      </c>
      <c r="G143" s="14" t="str">
        <f>'2026 Orders'!G142</f>
        <v>PRECON-180-FD</v>
      </c>
      <c r="H143" s="14" t="str">
        <f>'2026 Orders'!H142</f>
        <v>PRECON-180</v>
      </c>
      <c r="I143" s="15" t="str">
        <f>'2026 Orders'!I142</f>
        <v>FD</v>
      </c>
      <c r="J143" s="14">
        <f>'2026 Orders'!J142</f>
        <v>50</v>
      </c>
      <c r="K143">
        <v>0</v>
      </c>
      <c r="L143">
        <v>0</v>
      </c>
      <c r="N143" s="10" t="str">
        <f>'2026 Orders'!N142</f>
        <v>Picked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C143" t="str">
        <f>IF(OR(B143="",B143=0),"",$AJ$2&amp;"/"&amp;J143)</f>
        <v>/50</v>
      </c>
      <c r="AD143" t="e">
        <f t="shared" si="2"/>
        <v>#VALUE!</v>
      </c>
    </row>
    <row r="144" spans="2:30" ht="33" hidden="1" customHeight="1" x14ac:dyDescent="0.3">
      <c r="B144" s="14" t="str">
        <f>'2026 Orders'!B143</f>
        <v>Uganda</v>
      </c>
      <c r="C144" s="14" t="str">
        <f>'2026 Orders'!C143</f>
        <v>A4574</v>
      </c>
      <c r="D144" s="14">
        <v>0</v>
      </c>
      <c r="E144" s="17" t="str" cm="1">
        <f t="array" ref="E144">IF(C144=0,"",
HYPERLINK(
"#'2026 Orders'!C"&amp;
MATCH(1,
('2026 Orders'!C:C=C144)*
('2026 Orders'!G:G=G144)*
('2026 Orders'!N:N=N144),
0),
"Open "&amp;C144
))</f>
        <v>Open A4574</v>
      </c>
      <c r="F144" s="14" t="s">
        <v>738</v>
      </c>
      <c r="G144" s="14" t="str">
        <f>'2026 Orders'!G143</f>
        <v>PENAMAX-60-GE-FD</v>
      </c>
      <c r="H144" s="14" t="str">
        <f>'2026 Orders'!H143</f>
        <v>PENAMAX-60</v>
      </c>
      <c r="I144" s="15" t="str">
        <f>'2026 Orders'!I143</f>
        <v>FD</v>
      </c>
      <c r="J144" s="14">
        <f>'2026 Orders'!J143</f>
        <v>100</v>
      </c>
      <c r="K144" t="s">
        <v>739</v>
      </c>
      <c r="L144">
        <v>1</v>
      </c>
      <c r="N144" s="10" t="str">
        <f>'2026 Orders'!N143</f>
        <v>Picked</v>
      </c>
      <c r="O144">
        <v>46147</v>
      </c>
      <c r="P144" t="s">
        <v>1077</v>
      </c>
      <c r="Q144">
        <v>604776740179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 t="s">
        <v>1083</v>
      </c>
      <c r="AC144" t="str">
        <f>IF(OR(B144="",B144=0),"",$AJ$2&amp;"/"&amp;J144)</f>
        <v>/100</v>
      </c>
      <c r="AD144" t="e">
        <f t="shared" si="2"/>
        <v>#VALUE!</v>
      </c>
    </row>
    <row r="145" spans="2:30" ht="33" hidden="1" customHeight="1" x14ac:dyDescent="0.3">
      <c r="B145" s="14">
        <f>'2026 Orders'!B144</f>
        <v>0</v>
      </c>
      <c r="C145" s="14">
        <f>'2026 Orders'!C144</f>
        <v>0</v>
      </c>
      <c r="D145" s="14">
        <v>0</v>
      </c>
      <c r="E145" s="17" t="str" cm="1">
        <f t="array" ref="E145">IF(C145=0,"",
HYPERLINK(
"#'2026 Orders'!C"&amp;
MATCH(1,
('2026 Orders'!C:C=C145)*
('2026 Orders'!G:G=G145)*
('2026 Orders'!N:N=N145),
0),
"Open "&amp;C145
))</f>
        <v/>
      </c>
      <c r="F145" s="14">
        <v>0</v>
      </c>
      <c r="G145" s="14">
        <f>'2026 Orders'!G144</f>
        <v>0</v>
      </c>
      <c r="H145" s="14">
        <f>'2026 Orders'!H144</f>
        <v>0</v>
      </c>
      <c r="I145" s="15" t="str">
        <f>'2026 Orders'!I144</f>
        <v/>
      </c>
      <c r="J145" s="14">
        <f>'2026 Orders'!J144</f>
        <v>0</v>
      </c>
      <c r="K145">
        <v>0</v>
      </c>
      <c r="L145">
        <v>0</v>
      </c>
      <c r="N145" s="10">
        <f>'2026 Orders'!N144</f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C145" t="str">
        <f>IF(OR(B145="",B145=0),"",$AJ$2&amp;"/"&amp;J145)</f>
        <v/>
      </c>
      <c r="AD145" t="str">
        <f t="shared" si="2"/>
        <v/>
      </c>
    </row>
    <row r="146" spans="2:30" ht="33" hidden="1" customHeight="1" x14ac:dyDescent="0.3">
      <c r="B146" s="14" t="str">
        <f>'2026 Orders'!B145</f>
        <v>Ethiopia</v>
      </c>
      <c r="C146" s="14" t="str">
        <f>'2026 Orders'!C145</f>
        <v>A4575</v>
      </c>
      <c r="D146" s="14" t="s">
        <v>741</v>
      </c>
      <c r="E146" s="17" t="str" cm="1">
        <f t="array" ref="E146">IF(C146=0,"",
HYPERLINK(
"#'2026 Orders'!C"&amp;
MATCH(1,
('2026 Orders'!C:C=C146)*
('2026 Orders'!G:G=G146)*
('2026 Orders'!N:N=N146),
0),
"Open "&amp;C146
))</f>
        <v>Open A4575</v>
      </c>
      <c r="F146" s="14" t="s">
        <v>743</v>
      </c>
      <c r="G146" s="14" t="str">
        <f>'2026 Orders'!G145</f>
        <v>FERTMX-90-RE</v>
      </c>
      <c r="H146" s="14" t="str">
        <f>'2026 Orders'!H145</f>
        <v>FERTMX-90</v>
      </c>
      <c r="I146" s="15" t="str">
        <f>'2026 Orders'!I145</f>
        <v>RE</v>
      </c>
      <c r="J146" s="14">
        <f>'2026 Orders'!J145</f>
        <v>288</v>
      </c>
      <c r="K146" t="s">
        <v>692</v>
      </c>
      <c r="L146">
        <v>5</v>
      </c>
      <c r="N146" s="10" t="str">
        <f>'2026 Orders'!N145</f>
        <v>PO submitted</v>
      </c>
      <c r="O146" t="s">
        <v>1144</v>
      </c>
      <c r="P146" t="s">
        <v>1085</v>
      </c>
      <c r="Q146" t="s">
        <v>692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 t="s">
        <v>1083</v>
      </c>
      <c r="AC146" t="str">
        <f>IF(OR(B146="",B146=0),"",$AJ$2&amp;"/"&amp;J146)</f>
        <v>/288</v>
      </c>
      <c r="AD146" t="e">
        <f t="shared" si="2"/>
        <v>#VALUE!</v>
      </c>
    </row>
    <row r="147" spans="2:30" ht="33" hidden="1" customHeight="1" x14ac:dyDescent="0.3">
      <c r="B147" s="14" t="str">
        <f>'2026 Orders'!B146</f>
        <v>Ethiopia</v>
      </c>
      <c r="C147" s="14" t="str">
        <f>'2026 Orders'!C146</f>
        <v>A4575</v>
      </c>
      <c r="D147" s="14">
        <v>0</v>
      </c>
      <c r="E147" s="17" t="str" cm="1">
        <f t="array" ref="E147">IF(C147=0,"",
HYPERLINK(
"#'2026 Orders'!C"&amp;
MATCH(1,
('2026 Orders'!C:C=C147)*
('2026 Orders'!G:G=G147)*
('2026 Orders'!N:N=N147),
0),
"Open "&amp;C147
))</f>
        <v>Open A4575</v>
      </c>
      <c r="F147" s="14">
        <v>0</v>
      </c>
      <c r="G147" s="14" t="str">
        <f>'2026 Orders'!G146</f>
        <v>MFSPLS-120-FD</v>
      </c>
      <c r="H147" s="14" t="str">
        <f>'2026 Orders'!H146</f>
        <v>MFSPLS-120</v>
      </c>
      <c r="I147" s="15" t="str">
        <f>'2026 Orders'!I146</f>
        <v>FD</v>
      </c>
      <c r="J147" s="14">
        <f>'2026 Orders'!J146</f>
        <v>1008</v>
      </c>
      <c r="K147">
        <v>0</v>
      </c>
      <c r="L147">
        <v>0</v>
      </c>
      <c r="N147" s="10" t="str">
        <f>'2026 Orders'!N146</f>
        <v>PO submitted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C147" t="str">
        <f>IF(OR(B147="",B147=0),"",$AJ$2&amp;"/"&amp;J147)</f>
        <v>/1008</v>
      </c>
      <c r="AD147" t="e">
        <f t="shared" si="2"/>
        <v>#VALUE!</v>
      </c>
    </row>
    <row r="148" spans="2:30" ht="33" hidden="1" customHeight="1" x14ac:dyDescent="0.3">
      <c r="B148" s="14" t="str">
        <f>'2026 Orders'!B147</f>
        <v>Ethiopia</v>
      </c>
      <c r="C148" s="14" t="str">
        <f>'2026 Orders'!C147</f>
        <v>A4575</v>
      </c>
      <c r="D148" s="14">
        <v>0</v>
      </c>
      <c r="E148" s="17" t="str" cm="1">
        <f t="array" ref="E148">IF(C148=0,"",
HYPERLINK(
"#'2026 Orders'!C"&amp;
MATCH(1,
('2026 Orders'!C:C=C148)*
('2026 Orders'!G:G=G148)*
('2026 Orders'!N:N=N148),
0),
"Open "&amp;C148
))</f>
        <v>Open A4575</v>
      </c>
      <c r="F148" s="14">
        <v>0</v>
      </c>
      <c r="G148" s="14" t="str">
        <f>'2026 Orders'!G147</f>
        <v>OVAMAX-120-FD</v>
      </c>
      <c r="H148" s="14" t="str">
        <f>'2026 Orders'!H147</f>
        <v>OVAMAX-120</v>
      </c>
      <c r="I148" s="15" t="str">
        <f>'2026 Orders'!I147</f>
        <v>FD</v>
      </c>
      <c r="J148" s="14">
        <f>'2026 Orders'!J147</f>
        <v>288</v>
      </c>
      <c r="K148" t="s">
        <v>747</v>
      </c>
      <c r="L148">
        <v>4000</v>
      </c>
      <c r="N148" s="10" t="str">
        <f>'2026 Orders'!N147</f>
        <v>Picked</v>
      </c>
      <c r="O148" t="s">
        <v>1150</v>
      </c>
      <c r="P148">
        <v>0</v>
      </c>
      <c r="Q148">
        <v>609788968610</v>
      </c>
      <c r="R148">
        <v>4000</v>
      </c>
      <c r="S148">
        <v>4992</v>
      </c>
      <c r="T148" t="s">
        <v>1108</v>
      </c>
      <c r="U148">
        <v>0</v>
      </c>
      <c r="V148">
        <v>0</v>
      </c>
      <c r="W148">
        <v>0</v>
      </c>
      <c r="X148">
        <v>0</v>
      </c>
      <c r="Y148">
        <v>0</v>
      </c>
      <c r="Z148" t="s">
        <v>1086</v>
      </c>
      <c r="AC148" t="str">
        <f>IF(OR(B148="",B148=0),"",$AJ$2&amp;"/"&amp;J148)</f>
        <v>/288</v>
      </c>
      <c r="AD148" t="e">
        <f t="shared" si="2"/>
        <v>#VALUE!</v>
      </c>
    </row>
    <row r="149" spans="2:30" ht="33" hidden="1" customHeight="1" x14ac:dyDescent="0.3">
      <c r="B149" s="14" t="str">
        <f>'2026 Orders'!B148</f>
        <v>Ethiopia</v>
      </c>
      <c r="C149" s="14" t="str">
        <f>'2026 Orders'!C148</f>
        <v>A4575</v>
      </c>
      <c r="D149" s="14">
        <v>0</v>
      </c>
      <c r="E149" s="17" t="str" cm="1">
        <f t="array" ref="E149">IF(C149=0,"",
HYPERLINK(
"#'2026 Orders'!C"&amp;
MATCH(1,
('2026 Orders'!C:C=C149)*
('2026 Orders'!G:G=G149)*
('2026 Orders'!N:N=N149),
0),
"Open "&amp;C149
))</f>
        <v>Open A4575</v>
      </c>
      <c r="F149" s="14">
        <v>0</v>
      </c>
      <c r="G149" s="14" t="str">
        <f>'2026 Orders'!G148</f>
        <v>WFSPLS-180-FD</v>
      </c>
      <c r="H149" s="14" t="str">
        <f>'2026 Orders'!H148</f>
        <v>WFSPLS-180</v>
      </c>
      <c r="I149" s="15" t="str">
        <f>'2026 Orders'!I148</f>
        <v>FD</v>
      </c>
      <c r="J149" s="14">
        <f>'2026 Orders'!J148</f>
        <v>120</v>
      </c>
      <c r="K149">
        <v>0</v>
      </c>
      <c r="L149">
        <v>0</v>
      </c>
      <c r="N149" s="10" t="str">
        <f>'2026 Orders'!N148</f>
        <v>PO Drafted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C149" t="str">
        <f>IF(OR(B149="",B149=0),"",$AJ$2&amp;"/"&amp;J149)</f>
        <v>/120</v>
      </c>
      <c r="AD149" t="e">
        <f t="shared" si="2"/>
        <v>#VALUE!</v>
      </c>
    </row>
    <row r="150" spans="2:30" ht="33" hidden="1" customHeight="1" x14ac:dyDescent="0.3">
      <c r="B150" s="14" t="str">
        <f>'2026 Orders'!B149</f>
        <v>Ethiopia</v>
      </c>
      <c r="C150" s="14" t="str">
        <f>'2026 Orders'!C149</f>
        <v>A4575</v>
      </c>
      <c r="D150" s="14" t="s">
        <v>1322</v>
      </c>
      <c r="E150" s="17" t="str" cm="1">
        <f t="array" ref="E150">IF(C150=0,"",
HYPERLINK(
"#'2026 Orders'!C"&amp;
MATCH(1,
('2026 Orders'!C:C=C150)*
('2026 Orders'!G:G=G150)*
('2026 Orders'!N:N=N150),
0),
"Open "&amp;C150
))</f>
        <v>Open A4575</v>
      </c>
      <c r="F150" s="14" t="s">
        <v>751</v>
      </c>
      <c r="G150" s="14" t="str">
        <f>'2026 Orders'!G149</f>
        <v>QWELL4-30-SG-FD</v>
      </c>
      <c r="H150" s="14" t="str">
        <f>'2026 Orders'!H149</f>
        <v>QWELL4-30</v>
      </c>
      <c r="I150" s="15" t="str">
        <f>'2026 Orders'!I149</f>
        <v>FD</v>
      </c>
      <c r="J150" s="14">
        <f>'2026 Orders'!J149</f>
        <v>87</v>
      </c>
      <c r="K150" t="s">
        <v>453</v>
      </c>
      <c r="L150">
        <v>0</v>
      </c>
      <c r="N150" s="10" t="str">
        <f>'2026 Orders'!N149</f>
        <v>Picked</v>
      </c>
      <c r="O150">
        <v>0</v>
      </c>
      <c r="P150" t="s">
        <v>1077</v>
      </c>
      <c r="Q150">
        <v>609788968221</v>
      </c>
      <c r="R150">
        <v>7000</v>
      </c>
      <c r="S150">
        <v>5027</v>
      </c>
      <c r="T150" t="s">
        <v>1079</v>
      </c>
      <c r="U150" t="s">
        <v>1092</v>
      </c>
      <c r="V150">
        <v>0</v>
      </c>
      <c r="W150">
        <v>0</v>
      </c>
      <c r="X150">
        <v>0</v>
      </c>
      <c r="Y150">
        <v>0</v>
      </c>
      <c r="Z150" t="s">
        <v>1083</v>
      </c>
      <c r="AC150" t="str">
        <f>IF(OR(B150="",B150=0),"",$AJ$2&amp;"/"&amp;J150)</f>
        <v>/87</v>
      </c>
      <c r="AD150" t="e">
        <f t="shared" si="2"/>
        <v>#VALUE!</v>
      </c>
    </row>
    <row r="151" spans="2:30" ht="33" hidden="1" customHeight="1" x14ac:dyDescent="0.3">
      <c r="B151" s="14" t="str">
        <f>'2026 Orders'!B150</f>
        <v>Ethiopia</v>
      </c>
      <c r="C151" s="14" t="str">
        <f>'2026 Orders'!C150</f>
        <v>A4575</v>
      </c>
      <c r="D151" s="14">
        <v>0</v>
      </c>
      <c r="E151" s="17" t="str" cm="1">
        <f t="array" ref="E151">IF(C151=0,"",
HYPERLINK(
"#'2026 Orders'!C"&amp;
MATCH(1,
('2026 Orders'!C:C=C151)*
('2026 Orders'!G:G=G151)*
('2026 Orders'!N:N=N151),
0),
"Open "&amp;C151
))</f>
        <v>Open A4575</v>
      </c>
      <c r="F151" s="14">
        <v>0</v>
      </c>
      <c r="G151" s="14" t="str">
        <f>'2026 Orders'!G150</f>
        <v>QWELL4-30-VE-FD</v>
      </c>
      <c r="H151" s="14" t="str">
        <f>'2026 Orders'!H150</f>
        <v>QWELL4-30</v>
      </c>
      <c r="I151" s="15" t="str">
        <f>'2026 Orders'!I150</f>
        <v>FD</v>
      </c>
      <c r="J151" s="14">
        <f>'2026 Orders'!J150</f>
        <v>200</v>
      </c>
      <c r="K151">
        <v>0</v>
      </c>
      <c r="L151">
        <v>0</v>
      </c>
      <c r="N151" s="10" t="str">
        <f>'2026 Orders'!N150</f>
        <v>Production complete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C151" t="str">
        <f>IF(OR(B151="",B151=0),"",$AJ$2&amp;"/"&amp;J151)</f>
        <v>/200</v>
      </c>
      <c r="AD151" t="e">
        <f t="shared" si="2"/>
        <v>#VALUE!</v>
      </c>
    </row>
    <row r="152" spans="2:30" ht="33" hidden="1" customHeight="1" x14ac:dyDescent="0.3">
      <c r="B152" s="14" t="str">
        <f>'2026 Orders'!B151</f>
        <v>Ethiopia</v>
      </c>
      <c r="C152" s="14" t="str">
        <f>'2026 Orders'!C151</f>
        <v>A4575</v>
      </c>
      <c r="D152" s="14">
        <v>0</v>
      </c>
      <c r="E152" s="17" t="str" cm="1">
        <f t="array" ref="E152">IF(C152=0,"",
HYPERLINK(
"#'2026 Orders'!C"&amp;
MATCH(1,
('2026 Orders'!C:C=C152)*
('2026 Orders'!G:G=G152)*
('2026 Orders'!N:N=N152),
0),
"Open "&amp;C152
))</f>
        <v>Open A4575</v>
      </c>
      <c r="F152" s="14" t="s">
        <v>762</v>
      </c>
      <c r="G152" s="14" t="str">
        <f>'2026 Orders'!G151</f>
        <v>PRECON-180-FD</v>
      </c>
      <c r="H152" s="14" t="str">
        <f>'2026 Orders'!H151</f>
        <v>PRECON-180</v>
      </c>
      <c r="I152" s="15" t="str">
        <f>'2026 Orders'!I151</f>
        <v>FD</v>
      </c>
      <c r="J152" s="14">
        <f>'2026 Orders'!J151</f>
        <v>165</v>
      </c>
      <c r="K152" t="s">
        <v>757</v>
      </c>
      <c r="L152">
        <v>0</v>
      </c>
      <c r="N152" s="10" t="str">
        <f>'2026 Orders'!N151</f>
        <v>In Production</v>
      </c>
      <c r="O152">
        <v>0</v>
      </c>
      <c r="P152" t="s">
        <v>1077</v>
      </c>
      <c r="Q152">
        <v>604776736752</v>
      </c>
      <c r="R152">
        <v>9195</v>
      </c>
      <c r="S152">
        <v>5032</v>
      </c>
      <c r="T152" t="s">
        <v>1094</v>
      </c>
      <c r="U152" t="s">
        <v>1104</v>
      </c>
      <c r="V152">
        <v>0</v>
      </c>
      <c r="W152">
        <v>0</v>
      </c>
      <c r="X152">
        <v>0</v>
      </c>
      <c r="Y152">
        <v>0</v>
      </c>
      <c r="Z152" t="s">
        <v>1086</v>
      </c>
      <c r="AC152" t="str">
        <f>IF(OR(B152="",B152=0),"",$AJ$2&amp;"/"&amp;J152)</f>
        <v>/165</v>
      </c>
      <c r="AD152" t="e">
        <f t="shared" si="2"/>
        <v>#VALUE!</v>
      </c>
    </row>
    <row r="153" spans="2:30" ht="33" hidden="1" customHeight="1" x14ac:dyDescent="0.3">
      <c r="B153" s="14" t="str">
        <f>'2026 Orders'!B152</f>
        <v>Ethiopia</v>
      </c>
      <c r="C153" s="14" t="str">
        <f>'2026 Orders'!C152</f>
        <v>A4575</v>
      </c>
      <c r="D153" s="14">
        <v>0</v>
      </c>
      <c r="E153" s="17" t="str" cm="1">
        <f t="array" ref="E153">IF(C153=0,"",
HYPERLINK(
"#'2026 Orders'!C"&amp;
MATCH(1,
('2026 Orders'!C:C=C153)*
('2026 Orders'!G:G=G153)*
('2026 Orders'!N:N=N153),
0),
"Open "&amp;C153
))</f>
        <v>Open A4575</v>
      </c>
      <c r="F153" s="14">
        <v>0</v>
      </c>
      <c r="G153" s="14" t="str">
        <f>'2026 Orders'!G152</f>
        <v>PRECON-180-FD</v>
      </c>
      <c r="H153" s="14" t="str">
        <f>'2026 Orders'!H152</f>
        <v>PRECON-180</v>
      </c>
      <c r="I153" s="15" t="str">
        <f>'2026 Orders'!I152</f>
        <v>FD</v>
      </c>
      <c r="J153" s="14">
        <f>'2026 Orders'!J152</f>
        <v>37</v>
      </c>
      <c r="K153">
        <v>0</v>
      </c>
      <c r="L153">
        <v>0</v>
      </c>
      <c r="N153" s="10" t="str">
        <f>'2026 Orders'!N152</f>
        <v>Picked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C153" t="str">
        <f>IF(OR(B153="",B153=0),"",$AJ$2&amp;"/"&amp;J153)</f>
        <v>/37</v>
      </c>
      <c r="AD153" t="e">
        <f t="shared" si="2"/>
        <v>#VALUE!</v>
      </c>
    </row>
    <row r="154" spans="2:30" ht="33" hidden="1" customHeight="1" x14ac:dyDescent="0.3">
      <c r="B154" s="14" t="str">
        <f>'2026 Orders'!B153</f>
        <v>Ethiopia</v>
      </c>
      <c r="C154" s="14" t="str">
        <f>'2026 Orders'!C153</f>
        <v>A4575</v>
      </c>
      <c r="D154" s="14" t="s">
        <v>785</v>
      </c>
      <c r="E154" s="17" t="str" cm="1">
        <f t="array" ref="E154">IF(C154=0,"",
HYPERLINK(
"#'2026 Orders'!C"&amp;
MATCH(1,
('2026 Orders'!C:C=C154)*
('2026 Orders'!G:G=G154)*
('2026 Orders'!N:N=N154),
0),
"Open "&amp;C154
))</f>
        <v>Open A4575</v>
      </c>
      <c r="F154" s="14">
        <v>0</v>
      </c>
      <c r="G154" s="14" t="str">
        <f>'2026 Orders'!G153</f>
        <v>PENAMAX-60-GE-FD</v>
      </c>
      <c r="H154" s="14" t="str">
        <f>'2026 Orders'!H153</f>
        <v>PENAMAX-60</v>
      </c>
      <c r="I154" s="15" t="str">
        <f>'2026 Orders'!I153</f>
        <v>FD</v>
      </c>
      <c r="J154" s="14">
        <f>'2026 Orders'!J153</f>
        <v>202</v>
      </c>
      <c r="K154" t="s">
        <v>451</v>
      </c>
      <c r="L154">
        <v>100</v>
      </c>
      <c r="N154" s="10" t="str">
        <f>'2026 Orders'!N153</f>
        <v>Picked</v>
      </c>
      <c r="O154">
        <v>0</v>
      </c>
      <c r="P154" t="s">
        <v>1085</v>
      </c>
      <c r="Q154">
        <v>609788968702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 t="s">
        <v>1086</v>
      </c>
      <c r="AC154" t="str">
        <f>IF(OR(B154="",B154=0),"",$AJ$2&amp;"/"&amp;J154)</f>
        <v>/202</v>
      </c>
      <c r="AD154" t="e">
        <f t="shared" si="2"/>
        <v>#VALUE!</v>
      </c>
    </row>
    <row r="155" spans="2:30" ht="33" hidden="1" customHeight="1" x14ac:dyDescent="0.3">
      <c r="B155" s="14">
        <f>'2026 Orders'!B154</f>
        <v>0</v>
      </c>
      <c r="C155" s="14">
        <f>'2026 Orders'!C154</f>
        <v>0</v>
      </c>
      <c r="D155" s="14">
        <v>0</v>
      </c>
      <c r="E155" s="17" t="str" cm="1">
        <f t="array" ref="E155">IF(C155=0,"",
HYPERLINK(
"#'2026 Orders'!C"&amp;
MATCH(1,
('2026 Orders'!C:C=C155)*
('2026 Orders'!G:G=G155)*
('2026 Orders'!N:N=N155),
0),
"Open "&amp;C155
))</f>
        <v/>
      </c>
      <c r="F155" s="14">
        <v>0</v>
      </c>
      <c r="G155" s="14">
        <f>'2026 Orders'!G154</f>
        <v>0</v>
      </c>
      <c r="H155" s="14">
        <f>'2026 Orders'!H154</f>
        <v>0</v>
      </c>
      <c r="I155" s="15" t="str">
        <f>'2026 Orders'!I154</f>
        <v/>
      </c>
      <c r="J155" s="14">
        <f>'2026 Orders'!J154</f>
        <v>0</v>
      </c>
      <c r="K155" t="s">
        <v>635</v>
      </c>
      <c r="L155">
        <v>0</v>
      </c>
      <c r="N155" s="10">
        <f>'2026 Orders'!N154</f>
        <v>0</v>
      </c>
      <c r="O155">
        <v>0</v>
      </c>
      <c r="P155" t="s">
        <v>1077</v>
      </c>
      <c r="Q155" t="s">
        <v>1151</v>
      </c>
      <c r="R155">
        <v>2000</v>
      </c>
      <c r="S155">
        <v>4998</v>
      </c>
      <c r="T155">
        <v>46232</v>
      </c>
      <c r="U155" t="s">
        <v>1126</v>
      </c>
      <c r="V155">
        <v>0</v>
      </c>
      <c r="W155">
        <v>0</v>
      </c>
      <c r="X155">
        <v>0</v>
      </c>
      <c r="Y155">
        <v>0</v>
      </c>
      <c r="Z155">
        <v>0</v>
      </c>
      <c r="AC155" t="str">
        <f>IF(OR(B155="",B155=0),"",$AJ$2&amp;"/"&amp;J155)</f>
        <v/>
      </c>
      <c r="AD155" t="str">
        <f t="shared" si="2"/>
        <v/>
      </c>
    </row>
    <row r="156" spans="2:30" ht="33" hidden="1" customHeight="1" x14ac:dyDescent="0.3">
      <c r="B156" s="14" t="str">
        <f>'2026 Orders'!B155</f>
        <v>Egypt</v>
      </c>
      <c r="C156" s="14" t="str">
        <f>'2026 Orders'!C155</f>
        <v>A4634</v>
      </c>
      <c r="D156" s="14">
        <v>0</v>
      </c>
      <c r="E156" s="17" t="str" cm="1">
        <f t="array" ref="E156">IF(C156=0,"",
HYPERLINK(
"#'2026 Orders'!C"&amp;
MATCH(1,
('2026 Orders'!C:C=C156)*
('2026 Orders'!G:G=G156)*
('2026 Orders'!N:N=N156),
0),
"Open "&amp;C156
))</f>
        <v>Open A4634</v>
      </c>
      <c r="F156" s="14">
        <v>0</v>
      </c>
      <c r="G156" s="14" t="str">
        <f>'2026 Orders'!G155</f>
        <v>POLYSIT-90-CS-EG</v>
      </c>
      <c r="H156" s="14" t="str">
        <f>'2026 Orders'!H155</f>
        <v>POLYSIT-90</v>
      </c>
      <c r="I156" s="15" t="str">
        <f>'2026 Orders'!I155</f>
        <v>EG</v>
      </c>
      <c r="J156" s="14">
        <f>'2026 Orders'!J155</f>
        <v>1050</v>
      </c>
      <c r="K156">
        <v>0</v>
      </c>
      <c r="L156">
        <v>0</v>
      </c>
      <c r="N156" s="10" t="str">
        <f>'2026 Orders'!N155</f>
        <v>In Production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C156" t="str">
        <f>IF(OR(B156="",B156=0),"",$AJ$2&amp;"/"&amp;J156)</f>
        <v>/1050</v>
      </c>
      <c r="AD156" t="e">
        <f t="shared" si="2"/>
        <v>#VALUE!</v>
      </c>
    </row>
    <row r="157" spans="2:30" ht="33" hidden="1" customHeight="1" x14ac:dyDescent="0.3">
      <c r="B157" s="14">
        <f>'2026 Orders'!B156</f>
        <v>0</v>
      </c>
      <c r="C157" s="14">
        <f>'2026 Orders'!C156</f>
        <v>0</v>
      </c>
      <c r="D157" s="14">
        <v>0</v>
      </c>
      <c r="E157" s="17" t="str" cm="1">
        <f t="array" ref="E157">IF(C157=0,"",
HYPERLINK(
"#'2026 Orders'!C"&amp;
MATCH(1,
('2026 Orders'!C:C=C157)*
('2026 Orders'!G:G=G157)*
('2026 Orders'!N:N=N157),
0),
"Open "&amp;C157
))</f>
        <v/>
      </c>
      <c r="F157" s="14">
        <v>0</v>
      </c>
      <c r="G157" s="14">
        <f>'2026 Orders'!G156</f>
        <v>0</v>
      </c>
      <c r="H157" s="14">
        <f>'2026 Orders'!H156</f>
        <v>0</v>
      </c>
      <c r="I157" s="15" t="str">
        <f>'2026 Orders'!I156</f>
        <v/>
      </c>
      <c r="J157" s="14">
        <f>'2026 Orders'!J156</f>
        <v>0</v>
      </c>
      <c r="K157" t="s">
        <v>787</v>
      </c>
      <c r="L157">
        <v>0</v>
      </c>
      <c r="N157" s="10">
        <f>'2026 Orders'!N156</f>
        <v>0</v>
      </c>
      <c r="O157" t="s">
        <v>1152</v>
      </c>
      <c r="P157" t="s">
        <v>1077</v>
      </c>
      <c r="Q157">
        <v>609788968528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 t="s">
        <v>1083</v>
      </c>
      <c r="AC157" t="str">
        <f>IF(OR(B157="",B157=0),"",$AJ$2&amp;"/"&amp;J157)</f>
        <v/>
      </c>
      <c r="AD157" t="str">
        <f t="shared" si="2"/>
        <v/>
      </c>
    </row>
    <row r="158" spans="2:30" ht="33" hidden="1" customHeight="1" x14ac:dyDescent="0.3">
      <c r="B158" s="14" t="str">
        <f>'2026 Orders'!B157</f>
        <v>Chad</v>
      </c>
      <c r="C158" s="14" t="str">
        <f>'2026 Orders'!C157</f>
        <v>A4640</v>
      </c>
      <c r="D158" s="14">
        <v>0</v>
      </c>
      <c r="E158" s="17" t="str" cm="1">
        <f t="array" ref="E158">IF(C158=0,"",
HYPERLINK(
"#'2026 Orders'!C"&amp;
MATCH(1,
('2026 Orders'!C:C=C158)*
('2026 Orders'!G:G=G158)*
('2026 Orders'!N:N=N158),
0),
"Open "&amp;C158
))</f>
        <v>Open A4640</v>
      </c>
      <c r="F158" s="14">
        <v>0</v>
      </c>
      <c r="G158" s="14" t="str">
        <f>'2026 Orders'!G157</f>
        <v>PEDIAIR-50-FD</v>
      </c>
      <c r="H158" s="14" t="str">
        <f>'2026 Orders'!H157</f>
        <v>PEDIAIR-50</v>
      </c>
      <c r="I158" s="15" t="str">
        <f>'2026 Orders'!I157</f>
        <v>FD</v>
      </c>
      <c r="J158" s="14">
        <f>'2026 Orders'!J157</f>
        <v>1800</v>
      </c>
      <c r="K158">
        <v>0</v>
      </c>
      <c r="L158">
        <v>0</v>
      </c>
      <c r="N158" s="10" t="str">
        <f>'2026 Orders'!N157</f>
        <v>PO submitted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C158" t="str">
        <f>IF(OR(B158="",B158=0),"",$AJ$2&amp;"/"&amp;J158)</f>
        <v>/1800</v>
      </c>
      <c r="AD158" t="e">
        <f t="shared" si="2"/>
        <v>#VALUE!</v>
      </c>
    </row>
    <row r="159" spans="2:30" ht="33" hidden="1" customHeight="1" x14ac:dyDescent="0.3">
      <c r="B159" s="14" t="str">
        <f>'2026 Orders'!B158</f>
        <v>Chad</v>
      </c>
      <c r="C159" s="14" t="str">
        <f>'2026 Orders'!C158</f>
        <v>A4640</v>
      </c>
      <c r="D159" s="14">
        <v>0</v>
      </c>
      <c r="E159" s="17" t="str" cm="1">
        <f t="array" ref="E159">IF(C159=0,"",
HYPERLINK(
"#'2026 Orders'!C"&amp;
MATCH(1,
('2026 Orders'!C:C=C159)*
('2026 Orders'!G:G=G159)*
('2026 Orders'!N:N=N159),
0),
"Open "&amp;C159
))</f>
        <v>Open A4640</v>
      </c>
      <c r="F159" s="14">
        <v>0</v>
      </c>
      <c r="G159" s="14" t="str">
        <f>'2026 Orders'!G158</f>
        <v>PEDIAZI-50-FD</v>
      </c>
      <c r="H159" s="14" t="str">
        <f>'2026 Orders'!H158</f>
        <v>PEDIAZI-50</v>
      </c>
      <c r="I159" s="15" t="str">
        <f>'2026 Orders'!I158</f>
        <v>FD</v>
      </c>
      <c r="J159" s="14">
        <f>'2026 Orders'!J158</f>
        <v>1500</v>
      </c>
      <c r="K159" t="s">
        <v>441</v>
      </c>
      <c r="L159">
        <v>76</v>
      </c>
      <c r="N159" s="10" t="str">
        <f>'2026 Orders'!N158</f>
        <v>PO submitted</v>
      </c>
      <c r="O159">
        <v>0</v>
      </c>
      <c r="P159" t="s">
        <v>1085</v>
      </c>
      <c r="Q159">
        <v>609788968726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 t="s">
        <v>1083</v>
      </c>
      <c r="AC159" t="str">
        <f>IF(OR(B159="",B159=0),"",$AJ$2&amp;"/"&amp;J159)</f>
        <v>/1500</v>
      </c>
      <c r="AD159" t="e">
        <f t="shared" si="2"/>
        <v>#VALUE!</v>
      </c>
    </row>
    <row r="160" spans="2:30" ht="33" hidden="1" customHeight="1" x14ac:dyDescent="0.3">
      <c r="B160" s="14" t="str">
        <f>'2026 Orders'!B159</f>
        <v>Chad</v>
      </c>
      <c r="C160" s="14" t="str">
        <f>'2026 Orders'!C159</f>
        <v>A4640</v>
      </c>
      <c r="D160" s="14">
        <v>0</v>
      </c>
      <c r="E160" s="17" t="str" cm="1">
        <f t="array" ref="E160">IF(C160=0,"",
HYPERLINK(
"#'2026 Orders'!C"&amp;
MATCH(1,
('2026 Orders'!C:C=C160)*
('2026 Orders'!G:G=G160)*
('2026 Orders'!N:N=N160),
0),
"Open "&amp;C160
))</f>
        <v>Open A4640</v>
      </c>
      <c r="F160" s="14">
        <v>0</v>
      </c>
      <c r="G160" s="14" t="str">
        <f>'2026 Orders'!G159</f>
        <v>PEDIAD4-50-FD</v>
      </c>
      <c r="H160" s="14" t="str">
        <f>'2026 Orders'!H159</f>
        <v>PEDIAD4-50</v>
      </c>
      <c r="I160" s="15" t="str">
        <f>'2026 Orders'!I159</f>
        <v>FD</v>
      </c>
      <c r="J160" s="14">
        <f>'2026 Orders'!J159</f>
        <v>500</v>
      </c>
      <c r="K160" t="s">
        <v>441</v>
      </c>
      <c r="L160">
        <v>34</v>
      </c>
      <c r="N160" s="10" t="str">
        <f>'2026 Orders'!N159</f>
        <v>PO submitted</v>
      </c>
      <c r="O160">
        <v>0</v>
      </c>
      <c r="P160" t="s">
        <v>1085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C160" t="str">
        <f>IF(OR(B160="",B160=0),"",$AJ$2&amp;"/"&amp;J160)</f>
        <v>/500</v>
      </c>
      <c r="AD160" t="e">
        <f t="shared" si="2"/>
        <v>#VALUE!</v>
      </c>
    </row>
    <row r="161" spans="2:30" ht="33" hidden="1" customHeight="1" x14ac:dyDescent="0.3">
      <c r="B161" s="14" t="str">
        <f>'2026 Orders'!B160</f>
        <v>Chad</v>
      </c>
      <c r="C161" s="14" t="str">
        <f>'2026 Orders'!C160</f>
        <v>A4640</v>
      </c>
      <c r="D161" s="14">
        <v>0</v>
      </c>
      <c r="E161" s="17" t="str" cm="1">
        <f t="array" ref="E161">IF(C161=0,"",
HYPERLINK(
"#'2026 Orders'!C"&amp;
MATCH(1,
('2026 Orders'!C:C=C161)*
('2026 Orders'!G:G=G161)*
('2026 Orders'!N:N=N161),
0),
"Open "&amp;C161
))</f>
        <v>Open A4640</v>
      </c>
      <c r="F161" s="14">
        <v>0</v>
      </c>
      <c r="G161" s="14" t="str">
        <f>'2026 Orders'!G160</f>
        <v>PEDIACM-50-FD</v>
      </c>
      <c r="H161" s="14" t="str">
        <f>'2026 Orders'!H160</f>
        <v>PEDIACM-50</v>
      </c>
      <c r="I161" s="15" t="str">
        <f>'2026 Orders'!I160</f>
        <v>FD</v>
      </c>
      <c r="J161" s="14">
        <f>'2026 Orders'!J160</f>
        <v>1500</v>
      </c>
      <c r="K161" t="s">
        <v>789</v>
      </c>
      <c r="L161">
        <v>110</v>
      </c>
      <c r="N161" s="10" t="str">
        <f>'2026 Orders'!N160</f>
        <v>PO submitted</v>
      </c>
      <c r="O161">
        <v>0</v>
      </c>
      <c r="P161" t="s">
        <v>1077</v>
      </c>
      <c r="Q161">
        <v>609788968481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C161" t="str">
        <f>IF(OR(B161="",B161=0),"",$AJ$2&amp;"/"&amp;J161)</f>
        <v>/1500</v>
      </c>
      <c r="AD161" t="e">
        <f t="shared" si="2"/>
        <v>#VALUE!</v>
      </c>
    </row>
    <row r="162" spans="2:30" ht="33" hidden="1" customHeight="1" x14ac:dyDescent="0.3">
      <c r="B162" s="14">
        <f>'2026 Orders'!B161</f>
        <v>0</v>
      </c>
      <c r="C162" s="14">
        <f>'2026 Orders'!C161</f>
        <v>0</v>
      </c>
      <c r="D162" s="14">
        <v>0</v>
      </c>
      <c r="E162" s="17" t="str" cm="1">
        <f t="array" ref="E162">IF(C162=0,"",
HYPERLINK(
"#'2026 Orders'!C"&amp;
MATCH(1,
('2026 Orders'!C:C=C162)*
('2026 Orders'!G:G=G162)*
('2026 Orders'!N:N=N162),
0),
"Open "&amp;C162
))</f>
        <v/>
      </c>
      <c r="F162" s="14">
        <v>0</v>
      </c>
      <c r="G162" s="14">
        <f>'2026 Orders'!G161</f>
        <v>0</v>
      </c>
      <c r="H162" s="14">
        <f>'2026 Orders'!H161</f>
        <v>0</v>
      </c>
      <c r="I162" s="15" t="str">
        <f>'2026 Orders'!I161</f>
        <v/>
      </c>
      <c r="J162" s="14">
        <f>'2026 Orders'!J161</f>
        <v>0</v>
      </c>
      <c r="K162" t="s">
        <v>790</v>
      </c>
      <c r="L162">
        <v>0</v>
      </c>
      <c r="N162" s="10">
        <f>'2026 Orders'!N161</f>
        <v>0</v>
      </c>
      <c r="O162">
        <v>0</v>
      </c>
      <c r="P162" t="s">
        <v>1077</v>
      </c>
      <c r="Q162" t="s">
        <v>1153</v>
      </c>
      <c r="R162">
        <v>0</v>
      </c>
      <c r="S162">
        <v>0</v>
      </c>
      <c r="T162" t="s">
        <v>1108</v>
      </c>
      <c r="U162" t="s">
        <v>1154</v>
      </c>
      <c r="V162">
        <v>0</v>
      </c>
      <c r="W162">
        <v>0</v>
      </c>
      <c r="X162">
        <v>0</v>
      </c>
      <c r="Y162">
        <v>0</v>
      </c>
      <c r="Z162">
        <v>0</v>
      </c>
      <c r="AC162" t="str">
        <f>IF(OR(B162="",B162=0),"",$AJ$2&amp;"/"&amp;J162)</f>
        <v/>
      </c>
      <c r="AD162" t="str">
        <f t="shared" si="2"/>
        <v/>
      </c>
    </row>
    <row r="163" spans="2:30" ht="33" hidden="1" customHeight="1" x14ac:dyDescent="0.3">
      <c r="B163" s="14" t="str">
        <f>'2026 Orders'!B162</f>
        <v>South Sudan</v>
      </c>
      <c r="C163" s="14" t="str">
        <f>'2026 Orders'!C162</f>
        <v>A4586</v>
      </c>
      <c r="D163" s="14">
        <v>0</v>
      </c>
      <c r="E163" s="17" t="str" cm="1">
        <f t="array" ref="E163">IF(C163=0,"",
HYPERLINK(
"#'2026 Orders'!C"&amp;
MATCH(1,
('2026 Orders'!C:C=C163)*
('2026 Orders'!G:G=G163)*
('2026 Orders'!N:N=N163),
0),
"Open "&amp;C163
))</f>
        <v>Open A4586</v>
      </c>
      <c r="F163" s="14">
        <v>0</v>
      </c>
      <c r="G163" s="14" t="str">
        <f>'2026 Orders'!G162</f>
        <v>MFSPLS-120-FD</v>
      </c>
      <c r="H163" s="14" t="str">
        <f>'2026 Orders'!H162</f>
        <v>MFSPLS-120</v>
      </c>
      <c r="I163" s="15" t="str">
        <f>'2026 Orders'!I162</f>
        <v>FD</v>
      </c>
      <c r="J163" s="14">
        <f>'2026 Orders'!J162</f>
        <v>300</v>
      </c>
      <c r="K163" t="s">
        <v>469</v>
      </c>
      <c r="L163">
        <v>1650</v>
      </c>
      <c r="N163" s="10" t="str">
        <f>'2026 Orders'!N162</f>
        <v>D/W Sent</v>
      </c>
      <c r="O163">
        <v>0</v>
      </c>
      <c r="P163" t="s">
        <v>1077</v>
      </c>
      <c r="Q163" t="s">
        <v>1100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C163" t="str">
        <f>IF(OR(B163="",B163=0),"",$AJ$2&amp;"/"&amp;J163)</f>
        <v>/300</v>
      </c>
      <c r="AD163" t="e">
        <f t="shared" si="2"/>
        <v>#VALUE!</v>
      </c>
    </row>
    <row r="164" spans="2:30" ht="33" hidden="1" customHeight="1" x14ac:dyDescent="0.3">
      <c r="B164" s="14" t="str">
        <f>'2026 Orders'!B163</f>
        <v>South Sudan</v>
      </c>
      <c r="C164" s="14" t="str">
        <f>'2026 Orders'!C163</f>
        <v>A4586</v>
      </c>
      <c r="D164" s="14">
        <v>0</v>
      </c>
      <c r="E164" s="17" t="str" cm="1">
        <f t="array" ref="E164">IF(C164=0,"",
HYPERLINK(
"#'2026 Orders'!C"&amp;
MATCH(1,
('2026 Orders'!C:C=C164)*
('2026 Orders'!G:G=G164)*
('2026 Orders'!N:N=N164),
0),
"Open "&amp;C164
))</f>
        <v>Open A4586</v>
      </c>
      <c r="F164" s="14">
        <v>0</v>
      </c>
      <c r="G164" s="14" t="str">
        <f>'2026 Orders'!G163</f>
        <v>OVAMAX-120-FD</v>
      </c>
      <c r="H164" s="14" t="str">
        <f>'2026 Orders'!H163</f>
        <v>OVAMAX-120</v>
      </c>
      <c r="I164" s="15" t="str">
        <f>'2026 Orders'!I163</f>
        <v>FD</v>
      </c>
      <c r="J164" s="14">
        <f>'2026 Orders'!J163</f>
        <v>300</v>
      </c>
      <c r="K164" t="s">
        <v>791</v>
      </c>
      <c r="L164">
        <v>330</v>
      </c>
      <c r="N164" s="10" t="str">
        <f>'2026 Orders'!N163</f>
        <v>D/W Sent</v>
      </c>
      <c r="O164">
        <v>0</v>
      </c>
      <c r="P164" t="s">
        <v>1077</v>
      </c>
      <c r="Q164">
        <v>609788968375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C164" t="str">
        <f>IF(OR(B164="",B164=0),"",$AJ$2&amp;"/"&amp;J164)</f>
        <v>/300</v>
      </c>
      <c r="AD164" t="e">
        <f t="shared" si="2"/>
        <v>#VALUE!</v>
      </c>
    </row>
    <row r="165" spans="2:30" ht="33" hidden="1" customHeight="1" x14ac:dyDescent="0.3">
      <c r="B165" s="14" t="str">
        <f>'2026 Orders'!B164</f>
        <v>South Sudan</v>
      </c>
      <c r="C165" s="14" t="str">
        <f>'2026 Orders'!C164</f>
        <v>A4586</v>
      </c>
      <c r="D165" s="14">
        <v>0</v>
      </c>
      <c r="E165" s="17" t="str" cm="1">
        <f t="array" ref="E165">IF(C165=0,"",
HYPERLINK(
"#'2026 Orders'!C"&amp;
MATCH(1,
('2026 Orders'!C:C=C165)*
('2026 Orders'!G:G=G165)*
('2026 Orders'!N:N=N165),
0),
"Open "&amp;C165
))</f>
        <v>Open A4586</v>
      </c>
      <c r="F165" s="14">
        <v>0</v>
      </c>
      <c r="G165" s="14" t="str">
        <f>'2026 Orders'!G164</f>
        <v>FERTMX-90-RE</v>
      </c>
      <c r="H165" s="14" t="str">
        <f>'2026 Orders'!H164</f>
        <v>FERTMX-90</v>
      </c>
      <c r="I165" s="15" t="str">
        <f>'2026 Orders'!I164</f>
        <v>RE</v>
      </c>
      <c r="J165" s="14">
        <f>'2026 Orders'!J164</f>
        <v>300</v>
      </c>
      <c r="K165" t="s">
        <v>435</v>
      </c>
      <c r="L165">
        <v>110</v>
      </c>
      <c r="N165" s="10" t="str">
        <f>'2026 Orders'!N164</f>
        <v>D/W Sent</v>
      </c>
      <c r="O165">
        <v>0</v>
      </c>
      <c r="P165" t="s">
        <v>1077</v>
      </c>
      <c r="Q165">
        <v>609788968405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C165" t="str">
        <f>IF(OR(B165="",B165=0),"",$AJ$2&amp;"/"&amp;J165)</f>
        <v>/300</v>
      </c>
      <c r="AD165" t="e">
        <f t="shared" si="2"/>
        <v>#VALUE!</v>
      </c>
    </row>
    <row r="166" spans="2:30" ht="33" hidden="1" customHeight="1" x14ac:dyDescent="0.3">
      <c r="B166" s="14" t="str">
        <f>'2026 Orders'!B165</f>
        <v>South Sudan</v>
      </c>
      <c r="C166" s="14" t="str">
        <f>'2026 Orders'!C165</f>
        <v>A4586</v>
      </c>
      <c r="D166" s="14">
        <v>0</v>
      </c>
      <c r="E166" s="17" t="str" cm="1">
        <f t="array" ref="E166">IF(C166=0,"",
HYPERLINK(
"#'2026 Orders'!C"&amp;
MATCH(1,
('2026 Orders'!C:C=C166)*
('2026 Orders'!G:G=G166)*
('2026 Orders'!N:N=N166),
0),
"Open "&amp;C166
))</f>
        <v>Open A4586</v>
      </c>
      <c r="F166" s="14" t="s">
        <v>437</v>
      </c>
      <c r="G166" s="14" t="str">
        <f>'2026 Orders'!G165</f>
        <v>PRECON-180-FD</v>
      </c>
      <c r="H166" s="14" t="str">
        <f>'2026 Orders'!H165</f>
        <v>PRECON-180</v>
      </c>
      <c r="I166" s="15" t="str">
        <f>'2026 Orders'!I165</f>
        <v>FD</v>
      </c>
      <c r="J166" s="14">
        <f>'2026 Orders'!J165</f>
        <v>100</v>
      </c>
      <c r="K166" t="s">
        <v>438</v>
      </c>
      <c r="L166">
        <v>110</v>
      </c>
      <c r="N166" s="10" t="str">
        <f>'2026 Orders'!N165</f>
        <v>D/W Sent</v>
      </c>
      <c r="O166">
        <v>0</v>
      </c>
      <c r="P166" t="s">
        <v>1077</v>
      </c>
      <c r="Q166">
        <v>609788968351</v>
      </c>
      <c r="R166">
        <v>7572</v>
      </c>
      <c r="S166">
        <v>5043</v>
      </c>
      <c r="T166">
        <v>46286</v>
      </c>
      <c r="U166" t="s">
        <v>1089</v>
      </c>
      <c r="V166">
        <v>0</v>
      </c>
      <c r="W166">
        <v>0</v>
      </c>
      <c r="X166">
        <v>0</v>
      </c>
      <c r="Y166">
        <v>0</v>
      </c>
      <c r="Z166">
        <v>0</v>
      </c>
      <c r="AC166" t="str">
        <f>IF(OR(B166="",B166=0),"",$AJ$2&amp;"/"&amp;J166)</f>
        <v>/100</v>
      </c>
      <c r="AD166" t="e">
        <f t="shared" si="2"/>
        <v>#VALUE!</v>
      </c>
    </row>
    <row r="167" spans="2:30" ht="33" hidden="1" customHeight="1" x14ac:dyDescent="0.3">
      <c r="B167" s="14" t="str">
        <f>'2026 Orders'!B166</f>
        <v>South Sudan</v>
      </c>
      <c r="C167" s="14" t="str">
        <f>'2026 Orders'!C166</f>
        <v>A4586</v>
      </c>
      <c r="D167" s="14">
        <v>0</v>
      </c>
      <c r="E167" s="17" t="str" cm="1">
        <f t="array" ref="E167">IF(C167=0,"",
HYPERLINK(
"#'2026 Orders'!C"&amp;
MATCH(1,
('2026 Orders'!C:C=C167)*
('2026 Orders'!G:G=G167)*
('2026 Orders'!N:N=N167),
0),
"Open "&amp;C167
))</f>
        <v>Open A4586</v>
      </c>
      <c r="F167" s="14">
        <v>0</v>
      </c>
      <c r="G167" s="14" t="str">
        <f>'2026 Orders'!G166</f>
        <v>FIBRO-60-FD</v>
      </c>
      <c r="H167" s="14" t="str">
        <f>'2026 Orders'!H166</f>
        <v>FIBRO-60</v>
      </c>
      <c r="I167" s="15" t="str">
        <f>'2026 Orders'!I166</f>
        <v>FD</v>
      </c>
      <c r="J167" s="14">
        <f>'2026 Orders'!J166</f>
        <v>100</v>
      </c>
      <c r="K167" t="s">
        <v>792</v>
      </c>
      <c r="L167">
        <v>100</v>
      </c>
      <c r="N167" s="10" t="str">
        <f>'2026 Orders'!N166</f>
        <v>D/W Sent</v>
      </c>
      <c r="O167">
        <v>0</v>
      </c>
      <c r="P167" t="s">
        <v>1077</v>
      </c>
      <c r="Q167" t="s">
        <v>1119</v>
      </c>
      <c r="R167">
        <v>101</v>
      </c>
      <c r="S167">
        <v>5061</v>
      </c>
      <c r="T167" t="s">
        <v>1103</v>
      </c>
      <c r="U167" t="s">
        <v>1155</v>
      </c>
      <c r="V167">
        <v>0</v>
      </c>
      <c r="W167">
        <v>0</v>
      </c>
      <c r="X167">
        <v>0</v>
      </c>
      <c r="Y167">
        <v>0</v>
      </c>
      <c r="Z167">
        <v>0</v>
      </c>
      <c r="AC167" t="str">
        <f>IF(OR(B167="",B167=0),"",$AJ$2&amp;"/"&amp;J167)</f>
        <v>/100</v>
      </c>
      <c r="AD167" t="e">
        <f t="shared" si="2"/>
        <v>#VALUE!</v>
      </c>
    </row>
    <row r="168" spans="2:30" ht="33" hidden="1" customHeight="1" x14ac:dyDescent="0.3">
      <c r="B168" s="14" t="str">
        <f>'2026 Orders'!B167</f>
        <v>South Sudan</v>
      </c>
      <c r="C168" s="14" t="str">
        <f>'2026 Orders'!C167</f>
        <v>A4586</v>
      </c>
      <c r="D168" s="14">
        <v>0</v>
      </c>
      <c r="E168" s="17" t="str" cm="1">
        <f t="array" ref="E168">IF(C168=0,"",
HYPERLINK(
"#'2026 Orders'!C"&amp;
MATCH(1,
('2026 Orders'!C:C=C168)*
('2026 Orders'!G:G=G168)*
('2026 Orders'!N:N=N168),
0),
"Open "&amp;C168
))</f>
        <v>Open A4586</v>
      </c>
      <c r="F168" s="14">
        <v>0</v>
      </c>
      <c r="G168" s="14" t="str">
        <f>'2026 Orders'!G167</f>
        <v>COQ400-30-VE-CS-SU</v>
      </c>
      <c r="H168" s="14" t="str">
        <f>'2026 Orders'!H167</f>
        <v>COQ400-30</v>
      </c>
      <c r="I168" s="15" t="str">
        <f>'2026 Orders'!I167</f>
        <v>SU</v>
      </c>
      <c r="J168" s="14">
        <f>'2026 Orders'!J167</f>
        <v>400</v>
      </c>
      <c r="K168">
        <v>0</v>
      </c>
      <c r="L168">
        <v>0</v>
      </c>
      <c r="N168" s="10" t="str">
        <f>'2026 Orders'!N167</f>
        <v>D/W Sent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C168" t="str">
        <f>IF(OR(B168="",B168=0),"",$AJ$2&amp;"/"&amp;J168)</f>
        <v>/400</v>
      </c>
      <c r="AD168" t="e">
        <f t="shared" si="2"/>
        <v>#VALUE!</v>
      </c>
    </row>
    <row r="169" spans="2:30" ht="33" hidden="1" customHeight="1" x14ac:dyDescent="0.3">
      <c r="B169" s="14" t="str">
        <f>'2026 Orders'!B168</f>
        <v>South Sudan</v>
      </c>
      <c r="C169" s="14" t="str">
        <f>'2026 Orders'!C168</f>
        <v>A4586</v>
      </c>
      <c r="D169" s="14" t="s">
        <v>798</v>
      </c>
      <c r="E169" s="17" t="str" cm="1">
        <f t="array" ref="E169">IF(C169=0,"",
HYPERLINK(
"#'2026 Orders'!C"&amp;
MATCH(1,
('2026 Orders'!C:C=C169)*
('2026 Orders'!G:G=G169)*
('2026 Orders'!N:N=N169),
0),
"Open "&amp;C169
))</f>
        <v>Open A4586</v>
      </c>
      <c r="F169" s="14" t="s">
        <v>800</v>
      </c>
      <c r="G169" s="14" t="str">
        <f>'2026 Orders'!G168</f>
        <v>DHEA50-60-FD</v>
      </c>
      <c r="H169" s="14" t="str">
        <f>'2026 Orders'!H168</f>
        <v>DHEA50-60</v>
      </c>
      <c r="I169" s="15" t="str">
        <f>'2026 Orders'!I168</f>
        <v>FD</v>
      </c>
      <c r="J169" s="14">
        <f>'2026 Orders'!J168</f>
        <v>300</v>
      </c>
      <c r="K169" t="s">
        <v>801</v>
      </c>
      <c r="L169">
        <v>223</v>
      </c>
      <c r="N169" s="10" t="str">
        <f>'2026 Orders'!N168</f>
        <v>D/W Sent</v>
      </c>
      <c r="O169">
        <v>0</v>
      </c>
      <c r="P169" t="s">
        <v>1077</v>
      </c>
      <c r="Q169">
        <v>810131191061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 t="s">
        <v>1086</v>
      </c>
      <c r="AC169" t="str">
        <f>IF(OR(B169="",B169=0),"",$AJ$2&amp;"/"&amp;J169)</f>
        <v>/300</v>
      </c>
      <c r="AD169" t="e">
        <f t="shared" si="2"/>
        <v>#VALUE!</v>
      </c>
    </row>
    <row r="170" spans="2:30" ht="33" hidden="1" customHeight="1" x14ac:dyDescent="0.3">
      <c r="B170" s="14" t="str">
        <f>'2026 Orders'!B169</f>
        <v>South Sudan</v>
      </c>
      <c r="C170" s="14" t="str">
        <f>'2026 Orders'!C169</f>
        <v>A4586</v>
      </c>
      <c r="D170" s="14">
        <v>0</v>
      </c>
      <c r="E170" s="17" t="str" cm="1">
        <f t="array" ref="E170">IF(C170=0,"",
HYPERLINK(
"#'2026 Orders'!C"&amp;
MATCH(1,
('2026 Orders'!C:C=C170)*
('2026 Orders'!G:G=G170)*
('2026 Orders'!N:N=N170),
0),
"Open "&amp;C170
))</f>
        <v>Open A4586</v>
      </c>
      <c r="F170" s="14" t="s">
        <v>800</v>
      </c>
      <c r="G170" s="14" t="str">
        <f>'2026 Orders'!G169</f>
        <v>PENAMAX-60-GE-FD</v>
      </c>
      <c r="H170" s="14" t="str">
        <f>'2026 Orders'!H169</f>
        <v>PENAMAX-60</v>
      </c>
      <c r="I170" s="15" t="str">
        <f>'2026 Orders'!I169</f>
        <v>FD</v>
      </c>
      <c r="J170" s="14">
        <f>'2026 Orders'!J169</f>
        <v>100</v>
      </c>
      <c r="K170" t="s">
        <v>801</v>
      </c>
      <c r="L170">
        <v>0</v>
      </c>
      <c r="N170" s="10" t="str">
        <f>'2026 Orders'!N169</f>
        <v>D/W Sent</v>
      </c>
      <c r="O170">
        <v>0</v>
      </c>
      <c r="P170" t="s">
        <v>1077</v>
      </c>
      <c r="Q170">
        <v>810131191061</v>
      </c>
      <c r="R170">
        <v>3000</v>
      </c>
      <c r="S170">
        <v>5048</v>
      </c>
      <c r="T170">
        <v>46233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C170" t="str">
        <f>IF(OR(B170="",B170=0),"",$AJ$2&amp;"/"&amp;J170)</f>
        <v>/100</v>
      </c>
      <c r="AD170" t="e">
        <f t="shared" si="2"/>
        <v>#VALUE!</v>
      </c>
    </row>
    <row r="171" spans="2:30" ht="33" hidden="1" customHeight="1" x14ac:dyDescent="0.3">
      <c r="B171" s="14" t="str">
        <f>'2026 Orders'!B170</f>
        <v>South Sudan</v>
      </c>
      <c r="C171" s="14" t="str">
        <f>'2026 Orders'!C170</f>
        <v>A4586</v>
      </c>
      <c r="D171" s="14">
        <v>0</v>
      </c>
      <c r="E171" s="17" t="str" cm="1">
        <f t="array" ref="E171">IF(C171=0,"",
HYPERLINK(
"#'2026 Orders'!C"&amp;
MATCH(1,
('2026 Orders'!C:C=C171)*
('2026 Orders'!G:G=G171)*
('2026 Orders'!N:N=N171),
0),
"Open "&amp;C171
))</f>
        <v>Open A4586</v>
      </c>
      <c r="F171" s="14" t="s">
        <v>800</v>
      </c>
      <c r="G171" s="14" t="str">
        <f>'2026 Orders'!G170</f>
        <v>MOTILMX-60-FD</v>
      </c>
      <c r="H171" s="14" t="str">
        <f>'2026 Orders'!H170</f>
        <v>MOTILMX-60</v>
      </c>
      <c r="I171" s="15" t="str">
        <f>'2026 Orders'!I170</f>
        <v>FD</v>
      </c>
      <c r="J171" s="14">
        <f>'2026 Orders'!J170</f>
        <v>250</v>
      </c>
      <c r="K171" t="s">
        <v>802</v>
      </c>
      <c r="L171">
        <v>0</v>
      </c>
      <c r="N171" s="10" t="str">
        <f>'2026 Orders'!N170</f>
        <v>D/W Sent</v>
      </c>
      <c r="O171">
        <v>0</v>
      </c>
      <c r="P171" t="s">
        <v>1077</v>
      </c>
      <c r="Q171">
        <v>604776736691</v>
      </c>
      <c r="R171">
        <v>7100</v>
      </c>
      <c r="S171">
        <v>5049</v>
      </c>
      <c r="T171">
        <v>46254</v>
      </c>
      <c r="U171" t="s">
        <v>1156</v>
      </c>
      <c r="V171">
        <v>0</v>
      </c>
      <c r="W171">
        <v>0</v>
      </c>
      <c r="X171">
        <v>0</v>
      </c>
      <c r="Y171">
        <v>0</v>
      </c>
      <c r="Z171">
        <v>0</v>
      </c>
      <c r="AC171" t="str">
        <f>IF(OR(B171="",B171=0),"",$AJ$2&amp;"/"&amp;J171)</f>
        <v>/250</v>
      </c>
      <c r="AD171" t="e">
        <f t="shared" si="2"/>
        <v>#VALUE!</v>
      </c>
    </row>
    <row r="172" spans="2:30" ht="33" hidden="1" customHeight="1" x14ac:dyDescent="0.3">
      <c r="B172" s="14" t="str">
        <f>'2026 Orders'!B171</f>
        <v>South Sudan</v>
      </c>
      <c r="C172" s="14" t="str">
        <f>'2026 Orders'!C171</f>
        <v>A4586</v>
      </c>
      <c r="D172" s="14">
        <v>0</v>
      </c>
      <c r="E172" s="17" t="str" cm="1">
        <f t="array" ref="E172">IF(C172=0,"",
HYPERLINK(
"#'2026 Orders'!C"&amp;
MATCH(1,
('2026 Orders'!C:C=C172)*
('2026 Orders'!G:G=G172)*
('2026 Orders'!N:N=N172),
0),
"Open "&amp;C172
))</f>
        <v>Open A4586</v>
      </c>
      <c r="F172" s="14" t="s">
        <v>803</v>
      </c>
      <c r="G172" s="14" t="str">
        <f>'2026 Orders'!G171</f>
        <v>WFSPLS-180-FD</v>
      </c>
      <c r="H172" s="14" t="str">
        <f>'2026 Orders'!H171</f>
        <v>WFSPLS-180</v>
      </c>
      <c r="I172" s="15" t="str">
        <f>'2026 Orders'!I171</f>
        <v>FD</v>
      </c>
      <c r="J172" s="14">
        <f>'2026 Orders'!J171</f>
        <v>50</v>
      </c>
      <c r="K172" t="s">
        <v>804</v>
      </c>
      <c r="L172">
        <v>399</v>
      </c>
      <c r="N172" s="10" t="str">
        <f>'2026 Orders'!N171</f>
        <v>D/W Sent</v>
      </c>
      <c r="O172">
        <v>0</v>
      </c>
      <c r="P172" t="s">
        <v>1077</v>
      </c>
      <c r="Q172">
        <v>604776739630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C172" t="str">
        <f>IF(OR(B172="",B172=0),"",$AJ$2&amp;"/"&amp;J172)</f>
        <v>/50</v>
      </c>
      <c r="AD172" t="e">
        <f t="shared" si="2"/>
        <v>#VALUE!</v>
      </c>
    </row>
    <row r="173" spans="2:30" ht="33" hidden="1" customHeight="1" x14ac:dyDescent="0.3">
      <c r="B173" s="14">
        <f>'2026 Orders'!B172</f>
        <v>0</v>
      </c>
      <c r="C173" s="14">
        <f>'2026 Orders'!C172</f>
        <v>0</v>
      </c>
      <c r="D173" s="14">
        <v>0</v>
      </c>
      <c r="E173" s="17" t="str" cm="1">
        <f t="array" ref="E173">IF(C173=0,"",
HYPERLINK(
"#'2026 Orders'!C"&amp;
MATCH(1,
('2026 Orders'!C:C=C173)*
('2026 Orders'!G:G=G173)*
('2026 Orders'!N:N=N173),
0),
"Open "&amp;C173
))</f>
        <v/>
      </c>
      <c r="F173" s="14" t="s">
        <v>805</v>
      </c>
      <c r="G173" s="14">
        <f>'2026 Orders'!G172</f>
        <v>0</v>
      </c>
      <c r="H173" s="14">
        <f>'2026 Orders'!H172</f>
        <v>0</v>
      </c>
      <c r="I173" s="15" t="str">
        <f>'2026 Orders'!I172</f>
        <v/>
      </c>
      <c r="J173" s="14">
        <f>'2026 Orders'!J172</f>
        <v>0</v>
      </c>
      <c r="K173" t="s">
        <v>804</v>
      </c>
      <c r="L173">
        <v>301</v>
      </c>
      <c r="N173" s="10">
        <f>'2026 Orders'!N172</f>
        <v>0</v>
      </c>
      <c r="O173">
        <v>0</v>
      </c>
      <c r="P173" t="s">
        <v>1077</v>
      </c>
      <c r="Q173">
        <v>604776739630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C173" t="str">
        <f>IF(OR(B173="",B173=0),"",$AJ$2&amp;"/"&amp;J173)</f>
        <v/>
      </c>
      <c r="AD173" t="str">
        <f t="shared" si="2"/>
        <v/>
      </c>
    </row>
    <row r="174" spans="2:30" ht="33" hidden="1" customHeight="1" x14ac:dyDescent="0.3">
      <c r="B174" s="14" t="str">
        <f>'2026 Orders'!B173</f>
        <v>China</v>
      </c>
      <c r="C174" s="14" t="str">
        <f>'2026 Orders'!C173</f>
        <v>A4592</v>
      </c>
      <c r="D174" s="14">
        <v>0</v>
      </c>
      <c r="E174" s="17" t="str" cm="1">
        <f t="array" ref="E174">IF(C174=0,"",
HYPERLINK(
"#'2026 Orders'!C"&amp;
MATCH(1,
('2026 Orders'!C:C=C174)*
('2026 Orders'!G:G=G174)*
('2026 Orders'!N:N=N174),
0),
"Open "&amp;C174
))</f>
        <v>Open A4592</v>
      </c>
      <c r="F174" s="14">
        <v>0</v>
      </c>
      <c r="G174" s="14" t="str">
        <f>'2026 Orders'!G173</f>
        <v>NERUFLX-60-FD</v>
      </c>
      <c r="H174" s="14" t="str">
        <f>'2026 Orders'!H173</f>
        <v>NERUFLX-60</v>
      </c>
      <c r="I174" s="15" t="str">
        <f>'2026 Orders'!I173</f>
        <v>FD</v>
      </c>
      <c r="J174" s="14">
        <f>'2026 Orders'!J173</f>
        <v>100</v>
      </c>
      <c r="K174" t="s">
        <v>806</v>
      </c>
      <c r="L174">
        <v>0</v>
      </c>
      <c r="N174" s="10" t="str">
        <f>'2026 Orders'!N173</f>
        <v>D/W Sent</v>
      </c>
      <c r="O174">
        <v>0</v>
      </c>
      <c r="P174" t="s">
        <v>1077</v>
      </c>
      <c r="Q174">
        <v>604776739517</v>
      </c>
      <c r="R174">
        <v>7000</v>
      </c>
      <c r="S174">
        <v>5027</v>
      </c>
      <c r="T174" t="s">
        <v>1079</v>
      </c>
      <c r="U174" t="s">
        <v>1092</v>
      </c>
      <c r="V174">
        <v>0</v>
      </c>
      <c r="W174">
        <v>0</v>
      </c>
      <c r="X174">
        <v>0</v>
      </c>
      <c r="Y174">
        <v>0</v>
      </c>
      <c r="Z174">
        <v>0</v>
      </c>
      <c r="AC174" t="str">
        <f>IF(OR(B174="",B174=0),"",$AJ$2&amp;"/"&amp;J174)</f>
        <v>/100</v>
      </c>
      <c r="AD174" t="e">
        <f t="shared" si="2"/>
        <v>#VALUE!</v>
      </c>
    </row>
    <row r="175" spans="2:30" ht="33" hidden="1" customHeight="1" x14ac:dyDescent="0.3">
      <c r="B175" s="14">
        <f>'2026 Orders'!B174</f>
        <v>0</v>
      </c>
      <c r="C175" s="14">
        <f>'2026 Orders'!C174</f>
        <v>0</v>
      </c>
      <c r="D175" s="14">
        <v>0</v>
      </c>
      <c r="E175" s="17" t="str" cm="1">
        <f t="array" ref="E175">IF(C175=0,"",
HYPERLINK(
"#'2026 Orders'!C"&amp;
MATCH(1,
('2026 Orders'!C:C=C175)*
('2026 Orders'!G:G=G175)*
('2026 Orders'!N:N=N175),
0),
"Open "&amp;C175
))</f>
        <v/>
      </c>
      <c r="F175" s="14" t="s">
        <v>807</v>
      </c>
      <c r="G175" s="14">
        <f>'2026 Orders'!G174</f>
        <v>0</v>
      </c>
      <c r="H175" s="14">
        <f>'2026 Orders'!H174</f>
        <v>0</v>
      </c>
      <c r="I175" s="15" t="str">
        <f>'2026 Orders'!I174</f>
        <v/>
      </c>
      <c r="J175" s="14">
        <f>'2026 Orders'!J174</f>
        <v>0</v>
      </c>
      <c r="K175" t="s">
        <v>808</v>
      </c>
      <c r="L175">
        <v>0</v>
      </c>
      <c r="N175" s="10">
        <f>'2026 Orders'!N174</f>
        <v>0</v>
      </c>
      <c r="O175" t="s">
        <v>1128</v>
      </c>
      <c r="P175" t="s">
        <v>1085</v>
      </c>
      <c r="Q175">
        <v>810131199531</v>
      </c>
      <c r="R175">
        <v>10156</v>
      </c>
      <c r="S175">
        <v>5069</v>
      </c>
      <c r="T175" t="s">
        <v>1103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C175" t="str">
        <f>IF(OR(B175="",B175=0),"",$AJ$2&amp;"/"&amp;J175)</f>
        <v/>
      </c>
      <c r="AD175" t="str">
        <f t="shared" si="2"/>
        <v/>
      </c>
    </row>
    <row r="176" spans="2:30" ht="33" hidden="1" customHeight="1" x14ac:dyDescent="0.3">
      <c r="B176" s="14" t="str">
        <f>'2026 Orders'!B175</f>
        <v>Chad</v>
      </c>
      <c r="C176" s="14" t="str">
        <f>'2026 Orders'!C175</f>
        <v>A4647</v>
      </c>
      <c r="D176" s="14">
        <v>0</v>
      </c>
      <c r="E176" s="17" t="str" cm="1">
        <f t="array" ref="E176">IF(C176=0,"",
HYPERLINK(
"#'2026 Orders'!C"&amp;
MATCH(1,
('2026 Orders'!C:C=C176)*
('2026 Orders'!G:G=G176)*
('2026 Orders'!N:N=N176),
0),
"Open "&amp;C176
))</f>
        <v>Open A4647</v>
      </c>
      <c r="F176" s="14" t="s">
        <v>809</v>
      </c>
      <c r="G176" s="14" t="str">
        <f>'2026 Orders'!G175</f>
        <v>PEDIAIR-50-CS-CH</v>
      </c>
      <c r="H176" s="14" t="str">
        <f>'2026 Orders'!H175</f>
        <v>PEDIAIR-50</v>
      </c>
      <c r="I176" s="15" t="str">
        <f>'2026 Orders'!I175</f>
        <v>CH</v>
      </c>
      <c r="J176" s="14">
        <f>'2026 Orders'!J175</f>
        <v>10</v>
      </c>
      <c r="K176" t="s">
        <v>702</v>
      </c>
      <c r="L176">
        <v>300</v>
      </c>
      <c r="N176" s="10" t="str">
        <f>'2026 Orders'!N175</f>
        <v>PO submitted</v>
      </c>
      <c r="O176">
        <v>0</v>
      </c>
      <c r="P176" t="s">
        <v>1085</v>
      </c>
      <c r="Q176" t="s">
        <v>1157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C176" t="str">
        <f>IF(OR(B176="",B176=0),"",$AJ$2&amp;"/"&amp;J176)</f>
        <v>/10</v>
      </c>
      <c r="AD176" t="e">
        <f t="shared" si="2"/>
        <v>#VALUE!</v>
      </c>
    </row>
    <row r="177" spans="2:30" ht="33" hidden="1" customHeight="1" x14ac:dyDescent="0.3">
      <c r="B177" s="14">
        <f>'2026 Orders'!B176</f>
        <v>0</v>
      </c>
      <c r="C177" s="14">
        <f>'2026 Orders'!C176</f>
        <v>0</v>
      </c>
      <c r="D177" s="14">
        <v>0</v>
      </c>
      <c r="E177" s="17" t="str" cm="1">
        <f t="array" ref="E177">IF(C177=0,"",
HYPERLINK(
"#'2026 Orders'!C"&amp;
MATCH(1,
('2026 Orders'!C:C=C177)*
('2026 Orders'!G:G=G177)*
('2026 Orders'!N:N=N177),
0),
"Open "&amp;C177
))</f>
        <v/>
      </c>
      <c r="F177" s="14" t="s">
        <v>1252</v>
      </c>
      <c r="G177" s="14">
        <f>'2026 Orders'!G176</f>
        <v>0</v>
      </c>
      <c r="H177" s="14">
        <f>'2026 Orders'!H176</f>
        <v>0</v>
      </c>
      <c r="I177" s="15" t="str">
        <f>'2026 Orders'!I176</f>
        <v/>
      </c>
      <c r="J177" s="14">
        <f>'2026 Orders'!J176</f>
        <v>0</v>
      </c>
      <c r="K177" t="s">
        <v>812</v>
      </c>
      <c r="L177">
        <v>500</v>
      </c>
      <c r="N177" s="10">
        <f>'2026 Orders'!N176</f>
        <v>0</v>
      </c>
      <c r="O177">
        <v>0</v>
      </c>
      <c r="P177" t="s">
        <v>1077</v>
      </c>
      <c r="Q177">
        <v>604776739258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C177" t="str">
        <f>IF(OR(B177="",B177=0),"",$AJ$2&amp;"/"&amp;J177)</f>
        <v/>
      </c>
      <c r="AD177" t="str">
        <f t="shared" si="2"/>
        <v/>
      </c>
    </row>
    <row r="178" spans="2:30" ht="33" hidden="1" customHeight="1" x14ac:dyDescent="0.3">
      <c r="B178" s="14" t="str">
        <f>'2026 Orders'!B177</f>
        <v>Iraq</v>
      </c>
      <c r="C178" s="14" t="str">
        <f>'2026 Orders'!C177</f>
        <v>A4610</v>
      </c>
      <c r="D178" s="14">
        <v>0</v>
      </c>
      <c r="E178" s="17" t="str" cm="1">
        <f t="array" ref="E178">IF(C178=0,"",
HYPERLINK(
"#'2026 Orders'!C"&amp;
MATCH(1,
('2026 Orders'!C:C=C178)*
('2026 Orders'!G:G=G178)*
('2026 Orders'!N:N=N178),
0),
"Open "&amp;C178
))</f>
        <v>Open A4610</v>
      </c>
      <c r="F178" s="14">
        <v>0</v>
      </c>
      <c r="G178" s="14" t="str">
        <f>'2026 Orders'!G177</f>
        <v>OMEGA3-40-CS-IQ</v>
      </c>
      <c r="H178" s="14" t="str">
        <f>'2026 Orders'!H177</f>
        <v>OMEGA3-40</v>
      </c>
      <c r="I178" s="15" t="str">
        <f>'2026 Orders'!I177</f>
        <v>IQ</v>
      </c>
      <c r="J178" s="14">
        <f>'2026 Orders'!J177</f>
        <v>62962</v>
      </c>
      <c r="K178">
        <v>0</v>
      </c>
      <c r="L178">
        <v>0</v>
      </c>
      <c r="N178" s="10" t="str">
        <f>'2026 Orders'!N177</f>
        <v>ON HOLD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C178" t="str">
        <f>IF(OR(B178="",B178=0),"",$AJ$2&amp;"/"&amp;J178)</f>
        <v>/62962</v>
      </c>
      <c r="AD178" t="e">
        <f t="shared" si="2"/>
        <v>#VALUE!</v>
      </c>
    </row>
    <row r="179" spans="2:30" ht="33" hidden="1" customHeight="1" x14ac:dyDescent="0.3">
      <c r="B179" s="14" t="str">
        <f>'2026 Orders'!B178</f>
        <v>Iraq</v>
      </c>
      <c r="C179" s="14" t="str">
        <f>'2026 Orders'!C178</f>
        <v>A4610</v>
      </c>
      <c r="D179" s="14">
        <v>0</v>
      </c>
      <c r="E179" s="17" t="str" cm="1">
        <f t="array" ref="E179">IF(C179=0,"",
HYPERLINK(
"#'2026 Orders'!C"&amp;
MATCH(1,
('2026 Orders'!C:C=C179)*
('2026 Orders'!G:G=G179)*
('2026 Orders'!N:N=N179),
0),
"Open "&amp;C179
))</f>
        <v>Open A4610</v>
      </c>
      <c r="F179" s="14">
        <v>0</v>
      </c>
      <c r="G179" s="14" t="str">
        <f>'2026 Orders'!G178</f>
        <v>ZINC50-30-CS-IQ</v>
      </c>
      <c r="H179" s="14" t="str">
        <f>'2026 Orders'!H178</f>
        <v>ZINC50-30</v>
      </c>
      <c r="I179" s="15" t="str">
        <f>'2026 Orders'!I178</f>
        <v>IQ</v>
      </c>
      <c r="J179" s="14">
        <f>'2026 Orders'!J178</f>
        <v>50000</v>
      </c>
      <c r="K179" t="s">
        <v>827</v>
      </c>
      <c r="L179">
        <v>48</v>
      </c>
      <c r="N179" s="10" t="str">
        <f>'2026 Orders'!N178</f>
        <v>ON HOLD</v>
      </c>
      <c r="O179">
        <v>46146</v>
      </c>
      <c r="P179" t="s">
        <v>1077</v>
      </c>
      <c r="Q179">
        <v>604776739524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 t="s">
        <v>1083</v>
      </c>
      <c r="AC179" t="str">
        <f>IF(OR(B179="",B179=0),"",$AJ$2&amp;"/"&amp;J179)</f>
        <v>/50000</v>
      </c>
      <c r="AD179" t="e">
        <f t="shared" si="2"/>
        <v>#VALUE!</v>
      </c>
    </row>
    <row r="180" spans="2:30" ht="33" hidden="1" customHeight="1" x14ac:dyDescent="0.3">
      <c r="B180" s="14">
        <f>'2026 Orders'!B179</f>
        <v>0</v>
      </c>
      <c r="C180" s="14">
        <f>'2026 Orders'!C179</f>
        <v>0</v>
      </c>
      <c r="D180" s="14">
        <v>0</v>
      </c>
      <c r="E180" s="17" t="str" cm="1">
        <f t="array" ref="E180">IF(C180=0,"",
HYPERLINK(
"#'2026 Orders'!C"&amp;
MATCH(1,
('2026 Orders'!C:C=C180)*
('2026 Orders'!G:G=G180)*
('2026 Orders'!N:N=N180),
0),
"Open "&amp;C180
))</f>
        <v/>
      </c>
      <c r="F180" s="14">
        <v>0</v>
      </c>
      <c r="G180" s="14">
        <f>'2026 Orders'!G179</f>
        <v>0</v>
      </c>
      <c r="H180" s="14">
        <f>'2026 Orders'!H179</f>
        <v>0</v>
      </c>
      <c r="I180" s="15" t="str">
        <f>'2026 Orders'!I179</f>
        <v/>
      </c>
      <c r="J180" s="14">
        <f>'2026 Orders'!J179</f>
        <v>0</v>
      </c>
      <c r="K180" t="s">
        <v>829</v>
      </c>
      <c r="L180">
        <v>96</v>
      </c>
      <c r="N180" s="10">
        <f>'2026 Orders'!N179</f>
        <v>0</v>
      </c>
      <c r="O180">
        <v>0</v>
      </c>
      <c r="P180" t="s">
        <v>1077</v>
      </c>
      <c r="Q180">
        <v>604776736882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C180" t="str">
        <f>IF(OR(B180="",B180=0),"",$AJ$2&amp;"/"&amp;J180)</f>
        <v/>
      </c>
      <c r="AD180" t="str">
        <f t="shared" si="2"/>
        <v/>
      </c>
    </row>
    <row r="181" spans="2:30" ht="33" hidden="1" customHeight="1" x14ac:dyDescent="0.3">
      <c r="B181" s="14" t="str">
        <f>'2026 Orders'!B180</f>
        <v>Botswana</v>
      </c>
      <c r="C181" s="14" t="str">
        <f>'2026 Orders'!C180</f>
        <v>A4611</v>
      </c>
      <c r="D181" s="14">
        <v>0</v>
      </c>
      <c r="E181" s="17" t="str" cm="1">
        <f t="array" ref="E181">IF(C181=0,"",
HYPERLINK(
"#'2026 Orders'!C"&amp;
MATCH(1,
('2026 Orders'!C:C=C181)*
('2026 Orders'!G:G=G181)*
('2026 Orders'!N:N=N181),
0),
"Open "&amp;C181
))</f>
        <v>Open A4611</v>
      </c>
      <c r="F181" s="14">
        <v>0</v>
      </c>
      <c r="G181" s="14" t="str">
        <f>'2026 Orders'!G180</f>
        <v>GINKGO-60-FD</v>
      </c>
      <c r="H181" s="14" t="str">
        <f>'2026 Orders'!H180</f>
        <v>GINKGO-60</v>
      </c>
      <c r="I181" s="15" t="str">
        <f>'2026 Orders'!I180</f>
        <v>FD</v>
      </c>
      <c r="J181" s="14">
        <f>'2026 Orders'!J180</f>
        <v>40</v>
      </c>
      <c r="K181" t="s">
        <v>831</v>
      </c>
      <c r="L181">
        <v>228</v>
      </c>
      <c r="N181" s="10" t="str">
        <f>'2026 Orders'!N180</f>
        <v>D/W Sent</v>
      </c>
      <c r="O181">
        <v>0</v>
      </c>
      <c r="P181" t="s">
        <v>1085</v>
      </c>
      <c r="Q181">
        <v>604776736905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C181" t="str">
        <f>IF(OR(B181="",B181=0),"",$AJ$2&amp;"/"&amp;J181)</f>
        <v>/40</v>
      </c>
      <c r="AD181" t="e">
        <f t="shared" si="2"/>
        <v>#VALUE!</v>
      </c>
    </row>
    <row r="182" spans="2:30" ht="33" hidden="1" customHeight="1" x14ac:dyDescent="0.3">
      <c r="B182" s="14" t="str">
        <f>'2026 Orders'!B181</f>
        <v>Botswana</v>
      </c>
      <c r="C182" s="14" t="str">
        <f>'2026 Orders'!C181</f>
        <v>A4611</v>
      </c>
      <c r="D182" s="14">
        <v>0</v>
      </c>
      <c r="E182" s="17" t="str" cm="1">
        <f t="array" ref="E182">IF(C182=0,"",
HYPERLINK(
"#'2026 Orders'!C"&amp;
MATCH(1,
('2026 Orders'!C:C=C182)*
('2026 Orders'!G:G=G182)*
('2026 Orders'!N:N=N182),
0),
"Open "&amp;C182
))</f>
        <v>Open A4611</v>
      </c>
      <c r="F182" s="14" t="s">
        <v>1253</v>
      </c>
      <c r="G182" s="14" t="str">
        <f>'2026 Orders'!G181</f>
        <v>XTRAD10-60-FD</v>
      </c>
      <c r="H182" s="14" t="str">
        <f>'2026 Orders'!H181</f>
        <v>XTRAD10-60</v>
      </c>
      <c r="I182" s="15" t="str">
        <f>'2026 Orders'!I181</f>
        <v>FD</v>
      </c>
      <c r="J182" s="14">
        <f>'2026 Orders'!J181</f>
        <v>1200</v>
      </c>
      <c r="K182">
        <v>26</v>
      </c>
      <c r="L182">
        <v>168</v>
      </c>
      <c r="N182" s="10" t="str">
        <f>'2026 Orders'!N181</f>
        <v>D/W Sent</v>
      </c>
      <c r="O182">
        <v>0</v>
      </c>
      <c r="P182" t="s">
        <v>1077</v>
      </c>
      <c r="Q182">
        <v>604776736998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C182" t="str">
        <f>IF(OR(B182="",B182=0),"",$AJ$2&amp;"/"&amp;J182)</f>
        <v>/1200</v>
      </c>
      <c r="AD182" t="e">
        <f t="shared" si="2"/>
        <v>#VALUE!</v>
      </c>
    </row>
    <row r="183" spans="2:30" ht="33" hidden="1" customHeight="1" x14ac:dyDescent="0.3">
      <c r="B183" s="14" t="str">
        <f>'2026 Orders'!B182</f>
        <v>Botswana</v>
      </c>
      <c r="C183" s="14" t="str">
        <f>'2026 Orders'!C182</f>
        <v>A4611</v>
      </c>
      <c r="D183" s="14">
        <v>0</v>
      </c>
      <c r="E183" s="17" t="str" cm="1">
        <f t="array" ref="E183">IF(C183=0,"",
HYPERLINK(
"#'2026 Orders'!C"&amp;
MATCH(1,
('2026 Orders'!C:C=C183)*
('2026 Orders'!G:G=G183)*
('2026 Orders'!N:N=N183),
0),
"Open "&amp;C183
))</f>
        <v>Open A4611</v>
      </c>
      <c r="F183" s="14">
        <v>0</v>
      </c>
      <c r="G183" s="14" t="str">
        <f>'2026 Orders'!G182</f>
        <v>MOTILMX-60-FD</v>
      </c>
      <c r="H183" s="14" t="str">
        <f>'2026 Orders'!H182</f>
        <v>MOTILMX-60</v>
      </c>
      <c r="I183" s="15" t="str">
        <f>'2026 Orders'!I182</f>
        <v>FD</v>
      </c>
      <c r="J183" s="14">
        <f>'2026 Orders'!J182</f>
        <v>100</v>
      </c>
      <c r="K183">
        <v>0</v>
      </c>
      <c r="L183">
        <v>0</v>
      </c>
      <c r="N183" s="10" t="str">
        <f>'2026 Orders'!N182</f>
        <v>D/W Sent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C183" t="str">
        <f>IF(OR(B183="",B183=0),"",$AJ$2&amp;"/"&amp;J183)</f>
        <v>/100</v>
      </c>
      <c r="AD183" t="e">
        <f t="shared" si="2"/>
        <v>#VALUE!</v>
      </c>
    </row>
    <row r="184" spans="2:30" ht="33" hidden="1" customHeight="1" x14ac:dyDescent="0.3">
      <c r="B184" s="14" t="str">
        <f>'2026 Orders'!B183</f>
        <v>Botswana</v>
      </c>
      <c r="C184" s="14" t="str">
        <f>'2026 Orders'!C183</f>
        <v>A4611</v>
      </c>
      <c r="D184" s="14" t="s">
        <v>845</v>
      </c>
      <c r="E184" s="17" t="str" cm="1">
        <f t="array" ref="E184">IF(C184=0,"",
HYPERLINK(
"#'2026 Orders'!C"&amp;
MATCH(1,
('2026 Orders'!C:C=C184)*
('2026 Orders'!G:G=G184)*
('2026 Orders'!N:N=N184),
0),
"Open "&amp;C184
))</f>
        <v>Open A4611</v>
      </c>
      <c r="F184" s="14">
        <v>0</v>
      </c>
      <c r="G184" s="14" t="str">
        <f>'2026 Orders'!G183</f>
        <v>MFSPLS-120-FD</v>
      </c>
      <c r="H184" s="14" t="str">
        <f>'2026 Orders'!H183</f>
        <v>MFSPLS-120</v>
      </c>
      <c r="I184" s="15" t="str">
        <f>'2026 Orders'!I183</f>
        <v>FD</v>
      </c>
      <c r="J184" s="14">
        <f>'2026 Orders'!J183</f>
        <v>80</v>
      </c>
      <c r="K184" t="s">
        <v>702</v>
      </c>
      <c r="L184">
        <v>192</v>
      </c>
      <c r="N184" s="10" t="str">
        <f>'2026 Orders'!N183</f>
        <v>D/W Sent</v>
      </c>
      <c r="O184">
        <v>46119</v>
      </c>
      <c r="P184" t="s">
        <v>1085</v>
      </c>
      <c r="Q184" t="s">
        <v>1157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 t="s">
        <v>1083</v>
      </c>
      <c r="AC184" t="str">
        <f>IF(OR(B184="",B184=0),"",$AJ$2&amp;"/"&amp;J184)</f>
        <v>/80</v>
      </c>
      <c r="AD184" t="e">
        <f t="shared" si="2"/>
        <v>#VALUE!</v>
      </c>
    </row>
    <row r="185" spans="2:30" ht="33" hidden="1" customHeight="1" x14ac:dyDescent="0.3">
      <c r="B185" s="14" t="str">
        <f>'2026 Orders'!B184</f>
        <v>Botswana</v>
      </c>
      <c r="C185" s="14" t="str">
        <f>'2026 Orders'!C184</f>
        <v>A4611</v>
      </c>
      <c r="D185" s="14">
        <v>0</v>
      </c>
      <c r="E185" s="17" t="str" cm="1">
        <f t="array" ref="E185">IF(C185=0,"",
HYPERLINK(
"#'2026 Orders'!C"&amp;
MATCH(1,
('2026 Orders'!C:C=C185)*
('2026 Orders'!G:G=G185)*
('2026 Orders'!N:N=N185),
0),
"Open "&amp;C185
))</f>
        <v>Open A4611</v>
      </c>
      <c r="F185" s="14">
        <v>0</v>
      </c>
      <c r="G185" s="14" t="str">
        <f>'2026 Orders'!G184</f>
        <v>FIBRO-60-FD</v>
      </c>
      <c r="H185" s="14" t="str">
        <f>'2026 Orders'!H184</f>
        <v>FIBRO-60</v>
      </c>
      <c r="I185" s="15" t="str">
        <f>'2026 Orders'!I184</f>
        <v>FD</v>
      </c>
      <c r="J185" s="14">
        <f>'2026 Orders'!J184</f>
        <v>60</v>
      </c>
      <c r="K185">
        <v>0</v>
      </c>
      <c r="L185">
        <v>0</v>
      </c>
      <c r="N185" s="10" t="str">
        <f>'2026 Orders'!N184</f>
        <v>D/W Sent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C185" t="str">
        <f>IF(OR(B185="",B185=0),"",$AJ$2&amp;"/"&amp;J185)</f>
        <v>/60</v>
      </c>
      <c r="AD185" t="e">
        <f t="shared" si="2"/>
        <v>#VALUE!</v>
      </c>
    </row>
    <row r="186" spans="2:30" ht="33" hidden="1" customHeight="1" x14ac:dyDescent="0.3">
      <c r="B186" s="14" t="str">
        <f>'2026 Orders'!B185</f>
        <v>Botswana</v>
      </c>
      <c r="C186" s="14" t="str">
        <f>'2026 Orders'!C185</f>
        <v>A4611</v>
      </c>
      <c r="D186" s="14" t="s">
        <v>880</v>
      </c>
      <c r="E186" s="17" t="str" cm="1">
        <f t="array" ref="E186">IF(C186=0,"",
HYPERLINK(
"#'2026 Orders'!C"&amp;
MATCH(1,
('2026 Orders'!C:C=C186)*
('2026 Orders'!G:G=G186)*
('2026 Orders'!N:N=N186),
0),
"Open "&amp;C186
))</f>
        <v>Open A4611</v>
      </c>
      <c r="F186" s="14" t="s">
        <v>882</v>
      </c>
      <c r="G186" s="14" t="str">
        <f>'2026 Orders'!G185</f>
        <v>DHEA50-60-FD</v>
      </c>
      <c r="H186" s="14" t="str">
        <f>'2026 Orders'!H185</f>
        <v>DHEA50-60</v>
      </c>
      <c r="I186" s="15" t="str">
        <f>'2026 Orders'!I185</f>
        <v>FD</v>
      </c>
      <c r="J186" s="14">
        <f>'2026 Orders'!J185</f>
        <v>60</v>
      </c>
      <c r="K186" t="s">
        <v>884</v>
      </c>
      <c r="L186">
        <v>277</v>
      </c>
      <c r="N186" s="10" t="str">
        <f>'2026 Orders'!N185</f>
        <v>D/W Sent</v>
      </c>
      <c r="O186">
        <v>0</v>
      </c>
      <c r="P186" t="s">
        <v>1077</v>
      </c>
      <c r="Q186">
        <v>604776738763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 t="s">
        <v>1086</v>
      </c>
      <c r="AC186" t="str">
        <f>IF(OR(B186="",B186=0),"",$AJ$2&amp;"/"&amp;J186)</f>
        <v>/60</v>
      </c>
      <c r="AD186" t="e">
        <f t="shared" si="2"/>
        <v>#VALUE!</v>
      </c>
    </row>
    <row r="187" spans="2:30" ht="33" hidden="1" customHeight="1" x14ac:dyDescent="0.3">
      <c r="B187" s="14" t="str">
        <f>'2026 Orders'!B186</f>
        <v>Botswana</v>
      </c>
      <c r="C187" s="14" t="str">
        <f>'2026 Orders'!C186</f>
        <v>A4611</v>
      </c>
      <c r="D187" s="14" t="s">
        <v>885</v>
      </c>
      <c r="E187" s="17" t="str" cm="1">
        <f t="array" ref="E187">IF(C187=0,"",
HYPERLINK(
"#'2026 Orders'!C"&amp;
MATCH(1,
('2026 Orders'!C:C=C187)*
('2026 Orders'!G:G=G187)*
('2026 Orders'!N:N=N187),
0),
"Open "&amp;C187
))</f>
        <v>Open A4611</v>
      </c>
      <c r="F187" s="14" t="s">
        <v>886</v>
      </c>
      <c r="G187" s="14" t="str">
        <f>'2026 Orders'!G186</f>
        <v>SPERMCT-60-FD</v>
      </c>
      <c r="H187" s="14" t="str">
        <f>'2026 Orders'!H186</f>
        <v>SPERMCT-60</v>
      </c>
      <c r="I187" s="15" t="str">
        <f>'2026 Orders'!I186</f>
        <v>FD</v>
      </c>
      <c r="J187" s="14">
        <f>'2026 Orders'!J186</f>
        <v>50</v>
      </c>
      <c r="K187" t="s">
        <v>888</v>
      </c>
      <c r="L187">
        <v>1290</v>
      </c>
      <c r="N187" s="10" t="str">
        <f>'2026 Orders'!N186</f>
        <v>D/W Sent</v>
      </c>
      <c r="O187">
        <v>0</v>
      </c>
      <c r="P187" t="s">
        <v>1077</v>
      </c>
      <c r="Q187">
        <v>604776738749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C187" t="str">
        <f>IF(OR(B187="",B187=0),"",$AJ$2&amp;"/"&amp;J187)</f>
        <v>/50</v>
      </c>
      <c r="AD187" t="e">
        <f t="shared" si="2"/>
        <v>#VALUE!</v>
      </c>
    </row>
    <row r="188" spans="2:30" ht="33" hidden="1" customHeight="1" x14ac:dyDescent="0.3">
      <c r="B188" s="14" t="str">
        <f>'2026 Orders'!B187</f>
        <v>Botswana</v>
      </c>
      <c r="C188" s="14" t="str">
        <f>'2026 Orders'!C187</f>
        <v>A4611</v>
      </c>
      <c r="D188" s="14">
        <v>0</v>
      </c>
      <c r="E188" s="17" t="str" cm="1">
        <f t="array" ref="E188">IF(C188=0,"",
HYPERLINK(
"#'2026 Orders'!C"&amp;
MATCH(1,
('2026 Orders'!C:C=C188)*
('2026 Orders'!G:G=G188)*
('2026 Orders'!N:N=N188),
0),
"Open "&amp;C188
))</f>
        <v>Open A4611</v>
      </c>
      <c r="F188" s="14" t="s">
        <v>889</v>
      </c>
      <c r="G188" s="14" t="str">
        <f>'2026 Orders'!G187</f>
        <v>CAVIN-60-FD</v>
      </c>
      <c r="H188" s="14" t="str">
        <f>'2026 Orders'!H187</f>
        <v>CAVIN-60</v>
      </c>
      <c r="I188" s="15" t="str">
        <f>'2026 Orders'!I187</f>
        <v>FD</v>
      </c>
      <c r="J188" s="14">
        <f>'2026 Orders'!J187</f>
        <v>46</v>
      </c>
      <c r="K188" t="s">
        <v>891</v>
      </c>
      <c r="L188">
        <v>0</v>
      </c>
      <c r="N188" s="10" t="str">
        <f>'2026 Orders'!N187</f>
        <v>D/W Sent</v>
      </c>
      <c r="O188">
        <v>0</v>
      </c>
      <c r="P188" t="s">
        <v>1077</v>
      </c>
      <c r="Q188">
        <v>604776738695</v>
      </c>
      <c r="R188">
        <v>7000</v>
      </c>
      <c r="S188">
        <v>5027</v>
      </c>
      <c r="T188" t="s">
        <v>1079</v>
      </c>
      <c r="U188" t="s">
        <v>1092</v>
      </c>
      <c r="V188">
        <v>0</v>
      </c>
      <c r="W188">
        <v>0</v>
      </c>
      <c r="X188">
        <v>0</v>
      </c>
      <c r="Y188">
        <v>0</v>
      </c>
      <c r="Z188">
        <v>0</v>
      </c>
      <c r="AC188" t="str">
        <f>IF(OR(B188="",B188=0),"",$AJ$2&amp;"/"&amp;J188)</f>
        <v>/46</v>
      </c>
      <c r="AD188" t="e">
        <f t="shared" si="2"/>
        <v>#VALUE!</v>
      </c>
    </row>
    <row r="189" spans="2:30" ht="33" hidden="1" customHeight="1" x14ac:dyDescent="0.3">
      <c r="B189" s="14" t="str">
        <f>'2026 Orders'!B188</f>
        <v>Botswana</v>
      </c>
      <c r="C189" s="14" t="str">
        <f>'2026 Orders'!C188</f>
        <v>A4611</v>
      </c>
      <c r="D189" s="14">
        <v>0</v>
      </c>
      <c r="E189" s="17" t="str" cm="1">
        <f t="array" ref="E189">IF(C189=0,"",
HYPERLINK(
"#'2026 Orders'!C"&amp;
MATCH(1,
('2026 Orders'!C:C=C189)*
('2026 Orders'!G:G=G189)*
('2026 Orders'!N:N=N189),
0),
"Open "&amp;C189
))</f>
        <v>Open A4611</v>
      </c>
      <c r="F189" s="14" t="s">
        <v>892</v>
      </c>
      <c r="G189" s="14" t="str">
        <f>'2026 Orders'!G188</f>
        <v>CAVIN-60-FD</v>
      </c>
      <c r="H189" s="14" t="str">
        <f>'2026 Orders'!H188</f>
        <v>CAVIN-60</v>
      </c>
      <c r="I189" s="15" t="str">
        <f>'2026 Orders'!I188</f>
        <v>FD</v>
      </c>
      <c r="J189" s="14">
        <f>'2026 Orders'!J188</f>
        <v>12</v>
      </c>
      <c r="K189" t="s">
        <v>894</v>
      </c>
      <c r="L189">
        <v>312</v>
      </c>
      <c r="N189" s="10" t="str">
        <f>'2026 Orders'!N188</f>
        <v>D/W Sent</v>
      </c>
      <c r="O189">
        <v>0</v>
      </c>
      <c r="P189" t="s">
        <v>1077</v>
      </c>
      <c r="Q189">
        <v>604776738817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C189" t="str">
        <f>IF(OR(B189="",B189=0),"",$AJ$2&amp;"/"&amp;J189)</f>
        <v>/12</v>
      </c>
      <c r="AD189" t="e">
        <f t="shared" si="2"/>
        <v>#VALUE!</v>
      </c>
    </row>
    <row r="190" spans="2:30" ht="33" hidden="1" customHeight="1" x14ac:dyDescent="0.3">
      <c r="B190" s="14" t="str">
        <f>'2026 Orders'!B189</f>
        <v>Botswana</v>
      </c>
      <c r="C190" s="14" t="str">
        <f>'2026 Orders'!C189</f>
        <v>A4611</v>
      </c>
      <c r="D190" s="14">
        <v>0</v>
      </c>
      <c r="E190" s="17" t="str" cm="1">
        <f t="array" ref="E190">IF(C190=0,"",
HYPERLINK(
"#'2026 Orders'!C"&amp;
MATCH(1,
('2026 Orders'!C:C=C190)*
('2026 Orders'!G:G=G190)*
('2026 Orders'!N:N=N190),
0),
"Open "&amp;C190
))</f>
        <v>Open A4611</v>
      </c>
      <c r="F190" s="14" t="s">
        <v>1254</v>
      </c>
      <c r="G190" s="14" t="str">
        <f>'2026 Orders'!G189</f>
        <v>OME369-90-FD</v>
      </c>
      <c r="H190" s="14" t="str">
        <f>'2026 Orders'!H189</f>
        <v>OME369-90</v>
      </c>
      <c r="I190" s="15" t="str">
        <f>'2026 Orders'!I189</f>
        <v>FD</v>
      </c>
      <c r="J190" s="14">
        <f>'2026 Orders'!J189</f>
        <v>60</v>
      </c>
      <c r="K190" t="s">
        <v>898</v>
      </c>
      <c r="L190">
        <v>454</v>
      </c>
      <c r="N190" s="10" t="str">
        <f>'2026 Orders'!N189</f>
        <v>D/W Sent</v>
      </c>
      <c r="O190">
        <v>0</v>
      </c>
      <c r="P190" t="s">
        <v>1077</v>
      </c>
      <c r="Q190">
        <v>604776738725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C190" t="str">
        <f>IF(OR(B190="",B190=0),"",$AJ$2&amp;"/"&amp;J190)</f>
        <v>/60</v>
      </c>
      <c r="AD190" t="e">
        <f t="shared" si="2"/>
        <v>#VALUE!</v>
      </c>
    </row>
    <row r="191" spans="2:30" ht="33" hidden="1" customHeight="1" x14ac:dyDescent="0.3">
      <c r="B191" s="14">
        <f>'2026 Orders'!B190</f>
        <v>0</v>
      </c>
      <c r="C191" s="14">
        <f>'2026 Orders'!C190</f>
        <v>0</v>
      </c>
      <c r="D191" s="14">
        <v>0</v>
      </c>
      <c r="E191" s="17" t="str" cm="1">
        <f t="array" ref="E191">IF(C191=0,"",
HYPERLINK(
"#'2026 Orders'!C"&amp;
MATCH(1,
('2026 Orders'!C:C=C191)*
('2026 Orders'!G:G=G191)*
('2026 Orders'!N:N=N191),
0),
"Open "&amp;C191
))</f>
        <v/>
      </c>
      <c r="F191" s="14" t="s">
        <v>899</v>
      </c>
      <c r="G191" s="14">
        <f>'2026 Orders'!G190</f>
        <v>0</v>
      </c>
      <c r="H191" s="14">
        <f>'2026 Orders'!H190</f>
        <v>0</v>
      </c>
      <c r="I191" s="15" t="str">
        <f>'2026 Orders'!I190</f>
        <v/>
      </c>
      <c r="J191" s="14">
        <f>'2026 Orders'!J190</f>
        <v>0</v>
      </c>
      <c r="K191" t="s">
        <v>900</v>
      </c>
      <c r="L191">
        <v>1351</v>
      </c>
      <c r="N191" s="10">
        <f>'2026 Orders'!N190</f>
        <v>0</v>
      </c>
      <c r="O191">
        <v>0</v>
      </c>
      <c r="P191" t="s">
        <v>1085</v>
      </c>
      <c r="Q191" t="s">
        <v>1158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C191" t="str">
        <f>IF(OR(B191="",B191=0),"",$AJ$2&amp;"/"&amp;J191)</f>
        <v/>
      </c>
      <c r="AD191" t="str">
        <f t="shared" si="2"/>
        <v/>
      </c>
    </row>
    <row r="192" spans="2:30" ht="33" hidden="1" customHeight="1" x14ac:dyDescent="0.3">
      <c r="B192" s="14" t="str">
        <f>'2026 Orders'!B191</f>
        <v>Botswana</v>
      </c>
      <c r="C192" s="14" t="str">
        <f>'2026 Orders'!C191</f>
        <v>A4612</v>
      </c>
      <c r="D192" s="14">
        <v>0</v>
      </c>
      <c r="E192" s="17" t="str" cm="1">
        <f t="array" ref="E192">IF(C192=0,"",
HYPERLINK(
"#'2026 Orders'!C"&amp;
MATCH(1,
('2026 Orders'!C:C=C192)*
('2026 Orders'!G:G=G192)*
('2026 Orders'!N:N=N192),
0),
"Open "&amp;C192
))</f>
        <v>Open A4612</v>
      </c>
      <c r="F192" s="14" t="s">
        <v>904</v>
      </c>
      <c r="G192" s="14" t="str">
        <f>'2026 Orders'!G191</f>
        <v>OSTEOPL-96-FD</v>
      </c>
      <c r="H192" s="14" t="str">
        <f>'2026 Orders'!H191</f>
        <v>OSTEOPL-96</v>
      </c>
      <c r="I192" s="15" t="str">
        <f>'2026 Orders'!I191</f>
        <v>FD</v>
      </c>
      <c r="J192" s="14">
        <f>'2026 Orders'!J191</f>
        <v>40</v>
      </c>
      <c r="K192" t="s">
        <v>905</v>
      </c>
      <c r="L192">
        <v>480</v>
      </c>
      <c r="N192" s="10" t="str">
        <f>'2026 Orders'!N191</f>
        <v>D/W Sent</v>
      </c>
      <c r="O192" t="s">
        <v>1128</v>
      </c>
      <c r="P192" t="s">
        <v>1085</v>
      </c>
      <c r="Q192">
        <v>810131199531</v>
      </c>
      <c r="R192">
        <v>10156</v>
      </c>
      <c r="S192">
        <v>5069</v>
      </c>
      <c r="T192" t="s">
        <v>1103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C192" t="str">
        <f>IF(OR(B192="",B192=0),"",$AJ$2&amp;"/"&amp;J192)</f>
        <v>/40</v>
      </c>
      <c r="AD192" t="e">
        <f t="shared" si="2"/>
        <v>#VALUE!</v>
      </c>
    </row>
    <row r="193" spans="2:30" ht="33" hidden="1" customHeight="1" x14ac:dyDescent="0.3">
      <c r="B193" s="14" t="str">
        <f>'2026 Orders'!B192</f>
        <v>Botswana</v>
      </c>
      <c r="C193" s="14" t="str">
        <f>'2026 Orders'!C192</f>
        <v>A4612</v>
      </c>
      <c r="D193" s="14">
        <v>0</v>
      </c>
      <c r="E193" s="17" t="str" cm="1">
        <f t="array" ref="E193">IF(C193=0,"",
HYPERLINK(
"#'2026 Orders'!C"&amp;
MATCH(1,
('2026 Orders'!C:C=C193)*
('2026 Orders'!G:G=G193)*
('2026 Orders'!N:N=N193),
0),
"Open "&amp;C193
))</f>
        <v>Open A4612</v>
      </c>
      <c r="F193" s="14" t="s">
        <v>906</v>
      </c>
      <c r="G193" s="14" t="str">
        <f>'2026 Orders'!G192</f>
        <v>GINKGO-60-FD</v>
      </c>
      <c r="H193" s="14" t="str">
        <f>'2026 Orders'!H192</f>
        <v>GINKGO-60</v>
      </c>
      <c r="I193" s="15" t="str">
        <f>'2026 Orders'!I192</f>
        <v>FD</v>
      </c>
      <c r="J193" s="14">
        <f>'2026 Orders'!J192</f>
        <v>50</v>
      </c>
      <c r="K193" t="s">
        <v>592</v>
      </c>
      <c r="L193">
        <v>378</v>
      </c>
      <c r="N193" s="10" t="str">
        <f>'2026 Orders'!N192</f>
        <v>D/W Sent</v>
      </c>
      <c r="O193">
        <v>0</v>
      </c>
      <c r="P193" t="s">
        <v>1077</v>
      </c>
      <c r="Q193" t="s">
        <v>1118</v>
      </c>
      <c r="R193">
        <v>4000</v>
      </c>
      <c r="S193">
        <v>4973</v>
      </c>
      <c r="T193" t="s">
        <v>1103</v>
      </c>
      <c r="U193" t="s">
        <v>1159</v>
      </c>
      <c r="V193">
        <v>0</v>
      </c>
      <c r="W193">
        <v>0</v>
      </c>
      <c r="X193">
        <v>0</v>
      </c>
      <c r="Y193">
        <v>0</v>
      </c>
      <c r="Z193">
        <v>0</v>
      </c>
      <c r="AC193" t="str">
        <f>IF(OR(B193="",B193=0),"",$AJ$2&amp;"/"&amp;J193)</f>
        <v>/50</v>
      </c>
      <c r="AD193" t="e">
        <f t="shared" si="2"/>
        <v>#VALUE!</v>
      </c>
    </row>
    <row r="194" spans="2:30" ht="33" hidden="1" customHeight="1" x14ac:dyDescent="0.3">
      <c r="B194" s="14" t="str">
        <f>'2026 Orders'!B193</f>
        <v>Botswana</v>
      </c>
      <c r="C194" s="14" t="str">
        <f>'2026 Orders'!C193</f>
        <v>A4612</v>
      </c>
      <c r="D194" s="14">
        <v>0</v>
      </c>
      <c r="E194" s="17" t="str" cm="1">
        <f t="array" ref="E194">IF(C194=0,"",
HYPERLINK(
"#'2026 Orders'!C"&amp;
MATCH(1,
('2026 Orders'!C:C=C194)*
('2026 Orders'!G:G=G194)*
('2026 Orders'!N:N=N194),
0),
"Open "&amp;C194
))</f>
        <v>Open A4612</v>
      </c>
      <c r="F194" s="14" t="s">
        <v>907</v>
      </c>
      <c r="G194" s="14" t="str">
        <f>'2026 Orders'!G193</f>
        <v>PROSTA-90-FD</v>
      </c>
      <c r="H194" s="14" t="str">
        <f>'2026 Orders'!H193</f>
        <v>PROSTA-90</v>
      </c>
      <c r="I194" s="15" t="str">
        <f>'2026 Orders'!I193</f>
        <v>FD</v>
      </c>
      <c r="J194" s="14">
        <f>'2026 Orders'!J193</f>
        <v>40</v>
      </c>
      <c r="K194" t="s">
        <v>789</v>
      </c>
      <c r="L194">
        <v>63</v>
      </c>
      <c r="N194" s="10" t="str">
        <f>'2026 Orders'!N193</f>
        <v>D/W Sent</v>
      </c>
      <c r="O194">
        <v>0</v>
      </c>
      <c r="P194" t="s">
        <v>1077</v>
      </c>
      <c r="Q194">
        <v>609788968481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C194" t="str">
        <f>IF(OR(B194="",B194=0),"",$AJ$2&amp;"/"&amp;J194)</f>
        <v>/40</v>
      </c>
      <c r="AD194" t="e">
        <f t="shared" si="2"/>
        <v>#VALUE!</v>
      </c>
    </row>
    <row r="195" spans="2:30" ht="33" hidden="1" customHeight="1" x14ac:dyDescent="0.3">
      <c r="B195" s="14" t="str">
        <f>'2026 Orders'!B194</f>
        <v>Botswana</v>
      </c>
      <c r="C195" s="14" t="str">
        <f>'2026 Orders'!C194</f>
        <v>A4612</v>
      </c>
      <c r="D195" s="14">
        <v>0</v>
      </c>
      <c r="E195" s="17" t="str" cm="1">
        <f t="array" ref="E195">IF(C195=0,"",
HYPERLINK(
"#'2026 Orders'!C"&amp;
MATCH(1,
('2026 Orders'!C:C=C195)*
('2026 Orders'!G:G=G195)*
('2026 Orders'!N:N=N195),
0),
"Open "&amp;C195
))</f>
        <v>Open A4612</v>
      </c>
      <c r="F195" s="14" t="s">
        <v>908</v>
      </c>
      <c r="G195" s="14" t="str">
        <f>'2026 Orders'!G194</f>
        <v>XTRAD10-60-FD</v>
      </c>
      <c r="H195" s="14" t="str">
        <f>'2026 Orders'!H194</f>
        <v>XTRAD10-60</v>
      </c>
      <c r="I195" s="15" t="str">
        <f>'2026 Orders'!I194</f>
        <v>FD</v>
      </c>
      <c r="J195" s="14">
        <f>'2026 Orders'!J194</f>
        <v>600</v>
      </c>
      <c r="K195" t="s">
        <v>909</v>
      </c>
      <c r="L195">
        <v>126</v>
      </c>
      <c r="N195" s="10" t="str">
        <f>'2026 Orders'!N194</f>
        <v>D/W Sent</v>
      </c>
      <c r="O195">
        <v>0</v>
      </c>
      <c r="P195" t="s">
        <v>1085</v>
      </c>
      <c r="Q195" t="s">
        <v>1160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C195" t="str">
        <f>IF(OR(B195="",B195=0),"",$AJ$2&amp;"/"&amp;J195)</f>
        <v>/600</v>
      </c>
      <c r="AD195" t="e">
        <f t="shared" ref="AD195:AD258" si="3">IF(OR(J195="",J195=0),"",$AK$2&amp;" -&gt; "&amp;I195)</f>
        <v>#VALUE!</v>
      </c>
    </row>
    <row r="196" spans="2:30" ht="33" hidden="1" customHeight="1" x14ac:dyDescent="0.3">
      <c r="B196" s="14" t="str">
        <f>'2026 Orders'!B195</f>
        <v>Botswana</v>
      </c>
      <c r="C196" s="14" t="str">
        <f>'2026 Orders'!C195</f>
        <v>A4612</v>
      </c>
      <c r="D196" s="14">
        <v>0</v>
      </c>
      <c r="E196" s="17" t="str" cm="1">
        <f t="array" ref="E196">IF(C196=0,"",
HYPERLINK(
"#'2026 Orders'!C"&amp;
MATCH(1,
('2026 Orders'!C:C=C196)*
('2026 Orders'!G:G=G196)*
('2026 Orders'!N:N=N196),
0),
"Open "&amp;C196
))</f>
        <v>Open A4612</v>
      </c>
      <c r="F196" s="14" t="s">
        <v>910</v>
      </c>
      <c r="G196" s="14" t="str">
        <f>'2026 Orders'!G195</f>
        <v>MOTILMX-60-FD</v>
      </c>
      <c r="H196" s="14" t="str">
        <f>'2026 Orders'!H195</f>
        <v>MOTILMX-60</v>
      </c>
      <c r="I196" s="15" t="str">
        <f>'2026 Orders'!I195</f>
        <v>FD</v>
      </c>
      <c r="J196" s="14">
        <f>'2026 Orders'!J195</f>
        <v>20</v>
      </c>
      <c r="K196" t="s">
        <v>912</v>
      </c>
      <c r="L196">
        <v>12</v>
      </c>
      <c r="N196" s="10" t="str">
        <f>'2026 Orders'!N195</f>
        <v>D/W Sent</v>
      </c>
      <c r="O196">
        <v>0</v>
      </c>
      <c r="P196" t="s">
        <v>1077</v>
      </c>
      <c r="Q196">
        <v>604776738701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C196" t="str">
        <f>IF(OR(B196="",B196=0),"",$AJ$2&amp;"/"&amp;J196)</f>
        <v>/20</v>
      </c>
      <c r="AD196" t="e">
        <f t="shared" si="3"/>
        <v>#VALUE!</v>
      </c>
    </row>
    <row r="197" spans="2:30" ht="33" hidden="1" customHeight="1" x14ac:dyDescent="0.3">
      <c r="B197" s="14" t="str">
        <f>'2026 Orders'!B196</f>
        <v>Botswana</v>
      </c>
      <c r="C197" s="14" t="str">
        <f>'2026 Orders'!C196</f>
        <v>A4612</v>
      </c>
      <c r="D197" s="14">
        <v>0</v>
      </c>
      <c r="E197" s="17" t="str" cm="1">
        <f t="array" ref="E197">IF(C197=0,"",
HYPERLINK(
"#'2026 Orders'!C"&amp;
MATCH(1,
('2026 Orders'!C:C=C197)*
('2026 Orders'!G:G=G197)*
('2026 Orders'!N:N=N197),
0),
"Open "&amp;C197
))</f>
        <v>Open A4612</v>
      </c>
      <c r="F197" s="14" t="s">
        <v>910</v>
      </c>
      <c r="G197" s="14" t="str">
        <f>'2026 Orders'!G196</f>
        <v>MFSPLS-120-FD</v>
      </c>
      <c r="H197" s="14" t="str">
        <f>'2026 Orders'!H196</f>
        <v>MFSPLS-120</v>
      </c>
      <c r="I197" s="15" t="str">
        <f>'2026 Orders'!I196</f>
        <v>FD</v>
      </c>
      <c r="J197" s="14">
        <f>'2026 Orders'!J196</f>
        <v>40</v>
      </c>
      <c r="K197" t="s">
        <v>914</v>
      </c>
      <c r="L197">
        <v>18</v>
      </c>
      <c r="N197" s="10" t="str">
        <f>'2026 Orders'!N196</f>
        <v>D/W Sent</v>
      </c>
      <c r="O197">
        <v>0</v>
      </c>
      <c r="P197" t="s">
        <v>1077</v>
      </c>
      <c r="Q197">
        <v>604776738732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C197" t="str">
        <f>IF(OR(B197="",B197=0),"",$AJ$2&amp;"/"&amp;J197)</f>
        <v>/40</v>
      </c>
      <c r="AD197" t="e">
        <f t="shared" si="3"/>
        <v>#VALUE!</v>
      </c>
    </row>
    <row r="198" spans="2:30" ht="33" hidden="1" customHeight="1" x14ac:dyDescent="0.3">
      <c r="B198" s="14" t="str">
        <f>'2026 Orders'!B197</f>
        <v>Botswana</v>
      </c>
      <c r="C198" s="14" t="str">
        <f>'2026 Orders'!C197</f>
        <v>A4612</v>
      </c>
      <c r="D198" s="14" t="s">
        <v>1323</v>
      </c>
      <c r="E198" s="17" t="str" cm="1">
        <f t="array" ref="E198">IF(C198=0,"",
HYPERLINK(
"#'2026 Orders'!C"&amp;
MATCH(1,
('2026 Orders'!C:C=C198)*
('2026 Orders'!G:G=G198)*
('2026 Orders'!N:N=N198),
0),
"Open "&amp;C198
))</f>
        <v>Open A4612</v>
      </c>
      <c r="F198" s="14" t="s">
        <v>910</v>
      </c>
      <c r="G198" s="14" t="str">
        <f>'2026 Orders'!G197</f>
        <v>FIBRO-60-FD</v>
      </c>
      <c r="H198" s="14" t="str">
        <f>'2026 Orders'!H197</f>
        <v>FIBRO-60</v>
      </c>
      <c r="I198" s="15" t="str">
        <f>'2026 Orders'!I197</f>
        <v>FD</v>
      </c>
      <c r="J198" s="14">
        <f>'2026 Orders'!J197</f>
        <v>40</v>
      </c>
      <c r="K198" t="s">
        <v>916</v>
      </c>
      <c r="L198">
        <v>24</v>
      </c>
      <c r="N198" s="10" t="str">
        <f>'2026 Orders'!N197</f>
        <v>D/W Sent</v>
      </c>
      <c r="O198">
        <v>0</v>
      </c>
      <c r="P198" t="s">
        <v>1077</v>
      </c>
      <c r="Q198">
        <v>604776738787</v>
      </c>
      <c r="R198">
        <v>5000</v>
      </c>
      <c r="S198">
        <v>5060</v>
      </c>
      <c r="T198" t="s">
        <v>1094</v>
      </c>
      <c r="U198" t="s">
        <v>1095</v>
      </c>
      <c r="V198">
        <v>0</v>
      </c>
      <c r="W198">
        <v>0</v>
      </c>
      <c r="X198">
        <v>0</v>
      </c>
      <c r="Y198">
        <v>0</v>
      </c>
      <c r="Z198">
        <v>0</v>
      </c>
      <c r="AC198" t="str">
        <f>IF(OR(B198="",B198=0),"",$AJ$2&amp;"/"&amp;J198)</f>
        <v>/40</v>
      </c>
      <c r="AD198" t="e">
        <f t="shared" si="3"/>
        <v>#VALUE!</v>
      </c>
    </row>
    <row r="199" spans="2:30" ht="33" hidden="1" customHeight="1" x14ac:dyDescent="0.3">
      <c r="B199" s="14" t="str">
        <f>'2026 Orders'!B198</f>
        <v>Botswana</v>
      </c>
      <c r="C199" s="14" t="str">
        <f>'2026 Orders'!C198</f>
        <v>A4612</v>
      </c>
      <c r="D199" s="14">
        <v>0</v>
      </c>
      <c r="E199" s="17" t="str" cm="1">
        <f t="array" ref="E199">IF(C199=0,"",
HYPERLINK(
"#'2026 Orders'!C"&amp;
MATCH(1,
('2026 Orders'!C:C=C199)*
('2026 Orders'!G:G=G199)*
('2026 Orders'!N:N=N199),
0),
"Open "&amp;C199
))</f>
        <v>Open A4612</v>
      </c>
      <c r="F199" s="14" t="s">
        <v>910</v>
      </c>
      <c r="G199" s="14" t="str">
        <f>'2026 Orders'!G198</f>
        <v>DHEA25-60-FD</v>
      </c>
      <c r="H199" s="14" t="str">
        <f>'2026 Orders'!H198</f>
        <v>DHEA25-60</v>
      </c>
      <c r="I199" s="15" t="str">
        <f>'2026 Orders'!I198</f>
        <v>FD</v>
      </c>
      <c r="J199" s="14">
        <f>'2026 Orders'!J198</f>
        <v>50</v>
      </c>
      <c r="K199" t="s">
        <v>918</v>
      </c>
      <c r="L199">
        <v>12</v>
      </c>
      <c r="N199" s="10" t="str">
        <f>'2026 Orders'!N198</f>
        <v>D/W Sent</v>
      </c>
      <c r="O199">
        <v>0</v>
      </c>
      <c r="P199" t="s">
        <v>1077</v>
      </c>
      <c r="Q199">
        <v>604776738671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C199" t="str">
        <f>IF(OR(B199="",B199=0),"",$AJ$2&amp;"/"&amp;J199)</f>
        <v>/50</v>
      </c>
      <c r="AD199" t="e">
        <f t="shared" si="3"/>
        <v>#VALUE!</v>
      </c>
    </row>
    <row r="200" spans="2:30" ht="33" hidden="1" customHeight="1" x14ac:dyDescent="0.3">
      <c r="B200" s="14" t="str">
        <f>'2026 Orders'!B199</f>
        <v>Botswana</v>
      </c>
      <c r="C200" s="14" t="str">
        <f>'2026 Orders'!C199</f>
        <v>A4612</v>
      </c>
      <c r="D200" s="14">
        <v>0</v>
      </c>
      <c r="E200" s="17" t="str" cm="1">
        <f t="array" ref="E200">IF(C200=0,"",
HYPERLINK(
"#'2026 Orders'!C"&amp;
MATCH(1,
('2026 Orders'!C:C=C200)*
('2026 Orders'!G:G=G200)*
('2026 Orders'!N:N=N200),
0),
"Open "&amp;C200
))</f>
        <v>Open A4612</v>
      </c>
      <c r="F200" s="14" t="s">
        <v>910</v>
      </c>
      <c r="G200" s="14" t="str">
        <f>'2026 Orders'!G199</f>
        <v>DHEA50-60-FD</v>
      </c>
      <c r="H200" s="14" t="str">
        <f>'2026 Orders'!H199</f>
        <v>DHEA50-60</v>
      </c>
      <c r="I200" s="15" t="str">
        <f>'2026 Orders'!I199</f>
        <v>FD</v>
      </c>
      <c r="J200" s="14">
        <f>'2026 Orders'!J199</f>
        <v>50</v>
      </c>
      <c r="K200" t="s">
        <v>920</v>
      </c>
      <c r="L200">
        <v>9</v>
      </c>
      <c r="N200" s="10" t="str">
        <f>'2026 Orders'!N199</f>
        <v>D/W Sent</v>
      </c>
      <c r="O200">
        <v>0</v>
      </c>
      <c r="P200" t="s">
        <v>1077</v>
      </c>
      <c r="Q200">
        <v>604776738794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C200" t="str">
        <f>IF(OR(B200="",B200=0),"",$AJ$2&amp;"/"&amp;J200)</f>
        <v>/50</v>
      </c>
      <c r="AD200" t="e">
        <f t="shared" si="3"/>
        <v>#VALUE!</v>
      </c>
    </row>
    <row r="201" spans="2:30" ht="33" hidden="1" customHeight="1" x14ac:dyDescent="0.3">
      <c r="B201" s="14" t="str">
        <f>'2026 Orders'!B200</f>
        <v>Botswana</v>
      </c>
      <c r="C201" s="14" t="str">
        <f>'2026 Orders'!C200</f>
        <v>A4612</v>
      </c>
      <c r="D201" s="14">
        <v>0</v>
      </c>
      <c r="E201" s="17" t="str" cm="1">
        <f t="array" ref="E201">IF(C201=0,"",
HYPERLINK(
"#'2026 Orders'!C"&amp;
MATCH(1,
('2026 Orders'!C:C=C201)*
('2026 Orders'!G:G=G201)*
('2026 Orders'!N:N=N201),
0),
"Open "&amp;C201
))</f>
        <v>Open A4612</v>
      </c>
      <c r="F201" s="14" t="s">
        <v>910</v>
      </c>
      <c r="G201" s="14" t="str">
        <f>'2026 Orders'!G200</f>
        <v>WFSPLS-180-FD</v>
      </c>
      <c r="H201" s="14" t="str">
        <f>'2026 Orders'!H200</f>
        <v>WFSPLS-180</v>
      </c>
      <c r="I201" s="15" t="str">
        <f>'2026 Orders'!I200</f>
        <v>FD</v>
      </c>
      <c r="J201" s="14">
        <f>'2026 Orders'!J200</f>
        <v>40</v>
      </c>
      <c r="K201" t="s">
        <v>921</v>
      </c>
      <c r="L201">
        <v>12</v>
      </c>
      <c r="N201" s="10" t="str">
        <f>'2026 Orders'!N200</f>
        <v>D/W Sent</v>
      </c>
      <c r="O201">
        <v>0</v>
      </c>
      <c r="P201" t="s">
        <v>1077</v>
      </c>
      <c r="Q201" t="s">
        <v>1161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C201" t="str">
        <f>IF(OR(B201="",B201=0),"",$AJ$2&amp;"/"&amp;J201)</f>
        <v>/40</v>
      </c>
      <c r="AD201" t="e">
        <f t="shared" si="3"/>
        <v>#VALUE!</v>
      </c>
    </row>
    <row r="202" spans="2:30" ht="33" hidden="1" customHeight="1" x14ac:dyDescent="0.3">
      <c r="B202" s="14" t="str">
        <f>'2026 Orders'!B201</f>
        <v>Botswana</v>
      </c>
      <c r="C202" s="14" t="str">
        <f>'2026 Orders'!C201</f>
        <v>A4612</v>
      </c>
      <c r="D202" s="14">
        <v>0</v>
      </c>
      <c r="E202" s="17" t="str" cm="1">
        <f t="array" ref="E202">IF(C202=0,"",
HYPERLINK(
"#'2026 Orders'!C"&amp;
MATCH(1,
('2026 Orders'!C:C=C202)*
('2026 Orders'!G:G=G202)*
('2026 Orders'!N:N=N202),
0),
"Open "&amp;C202
))</f>
        <v>Open A4612</v>
      </c>
      <c r="F202" s="14">
        <v>0</v>
      </c>
      <c r="G202" s="14" t="str">
        <f>'2026 Orders'!G201</f>
        <v>SPERMCT-60-FD</v>
      </c>
      <c r="H202" s="14" t="str">
        <f>'2026 Orders'!H201</f>
        <v>SPERMCT-60</v>
      </c>
      <c r="I202" s="15" t="str">
        <f>'2026 Orders'!I201</f>
        <v>FD</v>
      </c>
      <c r="J202" s="14">
        <f>'2026 Orders'!J201</f>
        <v>20</v>
      </c>
      <c r="K202">
        <v>0</v>
      </c>
      <c r="L202">
        <v>0</v>
      </c>
      <c r="N202" s="10" t="str">
        <f>'2026 Orders'!N201</f>
        <v>D/W Sent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C202" t="str">
        <f>IF(OR(B202="",B202=0),"",$AJ$2&amp;"/"&amp;J202)</f>
        <v>/20</v>
      </c>
      <c r="AD202" t="e">
        <f t="shared" si="3"/>
        <v>#VALUE!</v>
      </c>
    </row>
    <row r="203" spans="2:30" ht="33" hidden="1" customHeight="1" x14ac:dyDescent="0.3">
      <c r="B203" s="14" t="str">
        <f>'2026 Orders'!B202</f>
        <v>Botswana</v>
      </c>
      <c r="C203" s="14" t="str">
        <f>'2026 Orders'!C202</f>
        <v>A4612</v>
      </c>
      <c r="D203" s="14">
        <v>0</v>
      </c>
      <c r="E203" s="17" t="str" cm="1">
        <f t="array" ref="E203">IF(C203=0,"",
HYPERLINK(
"#'2026 Orders'!C"&amp;
MATCH(1,
('2026 Orders'!C:C=C203)*
('2026 Orders'!G:G=G203)*
('2026 Orders'!N:N=N203),
0),
"Open "&amp;C203
))</f>
        <v>Open A4612</v>
      </c>
      <c r="F203" s="14" t="s">
        <v>1255</v>
      </c>
      <c r="G203" s="14" t="str">
        <f>'2026 Orders'!G202</f>
        <v>OVAMAX-120-FD</v>
      </c>
      <c r="H203" s="14" t="str">
        <f>'2026 Orders'!H202</f>
        <v>OVAMAX-120</v>
      </c>
      <c r="I203" s="15" t="str">
        <f>'2026 Orders'!I202</f>
        <v>FD</v>
      </c>
      <c r="J203" s="14">
        <f>'2026 Orders'!J202</f>
        <v>40</v>
      </c>
      <c r="K203" t="s">
        <v>902</v>
      </c>
      <c r="L203">
        <v>0</v>
      </c>
      <c r="N203" s="10" t="str">
        <f>'2026 Orders'!N202</f>
        <v>D/W Sent</v>
      </c>
      <c r="O203" t="s">
        <v>1162</v>
      </c>
      <c r="P203" t="s">
        <v>1085</v>
      </c>
      <c r="Q203">
        <v>810131199661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 t="s">
        <v>1086</v>
      </c>
      <c r="AC203" t="str">
        <f>IF(OR(B203="",B203=0),"",$AJ$2&amp;"/"&amp;J203)</f>
        <v>/40</v>
      </c>
      <c r="AD203" t="e">
        <f t="shared" si="3"/>
        <v>#VALUE!</v>
      </c>
    </row>
    <row r="204" spans="2:30" ht="33" hidden="1" customHeight="1" x14ac:dyDescent="0.3">
      <c r="B204" s="14" t="str">
        <f>'2026 Orders'!B203</f>
        <v>Botswana</v>
      </c>
      <c r="C204" s="14" t="str">
        <f>'2026 Orders'!C203</f>
        <v>A4612</v>
      </c>
      <c r="D204" s="14">
        <v>0</v>
      </c>
      <c r="E204" s="17" t="str" cm="1">
        <f t="array" ref="E204">IF(C204=0,"",
HYPERLINK(
"#'2026 Orders'!C"&amp;
MATCH(1,
('2026 Orders'!C:C=C204)*
('2026 Orders'!G:G=G204)*
('2026 Orders'!N:N=N204),
0),
"Open "&amp;C204
))</f>
        <v>Open A4612</v>
      </c>
      <c r="F204" s="14" t="s">
        <v>1256</v>
      </c>
      <c r="G204" s="14" t="str">
        <f>'2026 Orders'!G203</f>
        <v>CAVIN-60-FD</v>
      </c>
      <c r="H204" s="14" t="str">
        <f>'2026 Orders'!H203</f>
        <v>CAVIN-60</v>
      </c>
      <c r="I204" s="15" t="str">
        <f>'2026 Orders'!I203</f>
        <v>FD</v>
      </c>
      <c r="J204" s="14">
        <f>'2026 Orders'!J203</f>
        <v>40</v>
      </c>
      <c r="K204" t="s">
        <v>894</v>
      </c>
      <c r="L204">
        <v>0</v>
      </c>
      <c r="N204" s="10" t="str">
        <f>'2026 Orders'!N203</f>
        <v>D/W Sent</v>
      </c>
      <c r="O204">
        <v>0</v>
      </c>
      <c r="P204" t="s">
        <v>1077</v>
      </c>
      <c r="Q204">
        <v>604776738817</v>
      </c>
      <c r="R204">
        <v>7572</v>
      </c>
      <c r="S204">
        <v>5043</v>
      </c>
      <c r="T204">
        <v>46286</v>
      </c>
      <c r="U204" t="s">
        <v>1089</v>
      </c>
      <c r="V204">
        <v>0</v>
      </c>
      <c r="W204">
        <v>0</v>
      </c>
      <c r="X204">
        <v>0</v>
      </c>
      <c r="Y204">
        <v>0</v>
      </c>
      <c r="Z204">
        <v>0</v>
      </c>
      <c r="AC204" t="str">
        <f>IF(OR(B204="",B204=0),"",$AJ$2&amp;"/"&amp;J204)</f>
        <v>/40</v>
      </c>
      <c r="AD204" t="e">
        <f t="shared" si="3"/>
        <v>#VALUE!</v>
      </c>
    </row>
    <row r="205" spans="2:30" ht="33" hidden="1" customHeight="1" x14ac:dyDescent="0.3">
      <c r="B205" s="14" t="str">
        <f>'2026 Orders'!B204</f>
        <v>Botswana</v>
      </c>
      <c r="C205" s="14" t="str">
        <f>'2026 Orders'!C204</f>
        <v>A4612</v>
      </c>
      <c r="D205" s="14">
        <v>0</v>
      </c>
      <c r="E205" s="17" t="str" cm="1">
        <f t="array" ref="E205">IF(C205=0,"",
HYPERLINK(
"#'2026 Orders'!C"&amp;
MATCH(1,
('2026 Orders'!C:C=C205)*
('2026 Orders'!G:G=G205)*
('2026 Orders'!N:N=N205),
0),
"Open "&amp;C205
))</f>
        <v>Open A4612</v>
      </c>
      <c r="F205" s="14" t="s">
        <v>1257</v>
      </c>
      <c r="G205" s="14" t="str">
        <f>'2026 Orders'!G204</f>
        <v>FERTMX-90-RE</v>
      </c>
      <c r="H205" s="14" t="str">
        <f>'2026 Orders'!H204</f>
        <v>FERTMX-90</v>
      </c>
      <c r="I205" s="15" t="str">
        <f>'2026 Orders'!I204</f>
        <v>RE</v>
      </c>
      <c r="J205" s="14">
        <f>'2026 Orders'!J204</f>
        <v>40</v>
      </c>
      <c r="K205" t="s">
        <v>898</v>
      </c>
      <c r="L205">
        <v>326</v>
      </c>
      <c r="N205" s="10" t="str">
        <f>'2026 Orders'!N204</f>
        <v>D/W Sent</v>
      </c>
      <c r="O205">
        <v>0</v>
      </c>
      <c r="P205" t="s">
        <v>1077</v>
      </c>
      <c r="Q205">
        <v>604776738725</v>
      </c>
      <c r="R205" t="s">
        <v>1138</v>
      </c>
      <c r="S205">
        <v>5064</v>
      </c>
      <c r="T205" t="s">
        <v>1108</v>
      </c>
      <c r="U205" t="s">
        <v>1163</v>
      </c>
      <c r="V205">
        <v>0</v>
      </c>
      <c r="W205">
        <v>0</v>
      </c>
      <c r="X205">
        <v>0</v>
      </c>
      <c r="Y205">
        <v>0</v>
      </c>
      <c r="Z205">
        <v>0</v>
      </c>
      <c r="AC205" t="str">
        <f>IF(OR(B205="",B205=0),"",$AJ$2&amp;"/"&amp;J205)</f>
        <v>/40</v>
      </c>
      <c r="AD205" t="e">
        <f t="shared" si="3"/>
        <v>#VALUE!</v>
      </c>
    </row>
    <row r="206" spans="2:30" ht="33" hidden="1" customHeight="1" x14ac:dyDescent="0.3">
      <c r="B206" s="14" t="str">
        <f>'2026 Orders'!B205</f>
        <v>Botswana</v>
      </c>
      <c r="C206" s="14" t="str">
        <f>'2026 Orders'!C205</f>
        <v>A4612</v>
      </c>
      <c r="D206" s="14">
        <v>0</v>
      </c>
      <c r="E206" s="17" t="str" cm="1">
        <f t="array" ref="E206">IF(C206=0,"",
HYPERLINK(
"#'2026 Orders'!C"&amp;
MATCH(1,
('2026 Orders'!C:C=C206)*
('2026 Orders'!G:G=G206)*
('2026 Orders'!N:N=N206),
0),
"Open "&amp;C206
))</f>
        <v>Open A4612</v>
      </c>
      <c r="F206" s="14" t="s">
        <v>1258</v>
      </c>
      <c r="G206" s="14" t="str">
        <f>'2026 Orders'!G205</f>
        <v>OME369-90-FD</v>
      </c>
      <c r="H206" s="14" t="str">
        <f>'2026 Orders'!H205</f>
        <v>OME369-90</v>
      </c>
      <c r="I206" s="15" t="str">
        <f>'2026 Orders'!I205</f>
        <v>FD</v>
      </c>
      <c r="J206" s="14">
        <f>'2026 Orders'!J205</f>
        <v>120</v>
      </c>
      <c r="K206" t="s">
        <v>676</v>
      </c>
      <c r="L206">
        <v>0</v>
      </c>
      <c r="N206" s="10" t="str">
        <f>'2026 Orders'!N205</f>
        <v>D/W Sent</v>
      </c>
      <c r="O206">
        <v>0</v>
      </c>
      <c r="P206" t="s">
        <v>1085</v>
      </c>
      <c r="Q206">
        <v>0</v>
      </c>
      <c r="R206">
        <v>5000</v>
      </c>
      <c r="S206">
        <v>0</v>
      </c>
      <c r="T206" t="s">
        <v>1108</v>
      </c>
      <c r="U206" t="s">
        <v>1141</v>
      </c>
      <c r="V206">
        <v>0</v>
      </c>
      <c r="W206">
        <v>0</v>
      </c>
      <c r="X206">
        <v>0</v>
      </c>
      <c r="Y206">
        <v>0</v>
      </c>
      <c r="Z206">
        <v>0</v>
      </c>
      <c r="AC206" t="str">
        <f>IF(OR(B206="",B206=0),"",$AJ$2&amp;"/"&amp;J206)</f>
        <v>/120</v>
      </c>
      <c r="AD206" t="e">
        <f t="shared" si="3"/>
        <v>#VALUE!</v>
      </c>
    </row>
    <row r="207" spans="2:30" ht="33" hidden="1" customHeight="1" x14ac:dyDescent="0.3">
      <c r="B207" s="14" t="str">
        <f>'2026 Orders'!B206</f>
        <v>Botswana</v>
      </c>
      <c r="C207" s="14" t="str">
        <f>'2026 Orders'!C206</f>
        <v>A4612</v>
      </c>
      <c r="D207" s="14">
        <v>0</v>
      </c>
      <c r="E207" s="17" t="str" cm="1">
        <f t="array" ref="E207">IF(C207=0,"",
HYPERLINK(
"#'2026 Orders'!C"&amp;
MATCH(1,
('2026 Orders'!C:C=C207)*
('2026 Orders'!G:G=G207)*
('2026 Orders'!N:N=N207),
0),
"Open "&amp;C207
))</f>
        <v>Open A4612</v>
      </c>
      <c r="F207" s="14">
        <v>0</v>
      </c>
      <c r="G207" s="14" t="str">
        <f>'2026 Orders'!G206</f>
        <v>PRECON-90-FD</v>
      </c>
      <c r="H207" s="14" t="str">
        <f>'2026 Orders'!H206</f>
        <v>PRECON-90</v>
      </c>
      <c r="I207" s="15" t="str">
        <f>'2026 Orders'!I206</f>
        <v>FD</v>
      </c>
      <c r="J207" s="14">
        <f>'2026 Orders'!J206</f>
        <v>40</v>
      </c>
      <c r="K207">
        <v>0</v>
      </c>
      <c r="L207">
        <v>0</v>
      </c>
      <c r="N207" s="10" t="str">
        <f>'2026 Orders'!N206</f>
        <v>D/W Sent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C207" t="str">
        <f>IF(OR(B207="",B207=0),"",$AJ$2&amp;"/"&amp;J207)</f>
        <v>/40</v>
      </c>
      <c r="AD207" t="e">
        <f t="shared" si="3"/>
        <v>#VALUE!</v>
      </c>
    </row>
    <row r="208" spans="2:30" ht="33" hidden="1" customHeight="1" x14ac:dyDescent="0.3">
      <c r="B208" s="14" t="str">
        <f>'2026 Orders'!B207</f>
        <v>Botswana</v>
      </c>
      <c r="C208" s="14" t="str">
        <f>'2026 Orders'!C207</f>
        <v>A4612</v>
      </c>
      <c r="D208" s="14" t="s">
        <v>923</v>
      </c>
      <c r="E208" s="17" t="str" cm="1">
        <f t="array" ref="E208">IF(C208=0,"",
HYPERLINK(
"#'2026 Orders'!C"&amp;
MATCH(1,
('2026 Orders'!C:C=C208)*
('2026 Orders'!G:G=G208)*
('2026 Orders'!N:N=N208),
0),
"Open "&amp;C208
))</f>
        <v>Open A4612</v>
      </c>
      <c r="F208" s="14" t="s">
        <v>1259</v>
      </c>
      <c r="G208" s="14" t="str">
        <f>'2026 Orders'!G207</f>
        <v>PRECON-180-FD</v>
      </c>
      <c r="H208" s="14" t="str">
        <f>'2026 Orders'!H207</f>
        <v>PRECON-180</v>
      </c>
      <c r="I208" s="15" t="str">
        <f>'2026 Orders'!I207</f>
        <v>FD</v>
      </c>
      <c r="J208" s="14">
        <f>'2026 Orders'!J207</f>
        <v>40</v>
      </c>
      <c r="K208" t="s">
        <v>926</v>
      </c>
      <c r="L208">
        <v>2000</v>
      </c>
      <c r="N208" s="10" t="str">
        <f>'2026 Orders'!N207</f>
        <v>D/W Sent</v>
      </c>
      <c r="O208">
        <v>0</v>
      </c>
      <c r="P208" t="s">
        <v>1085</v>
      </c>
      <c r="Q208">
        <v>604776739746</v>
      </c>
      <c r="R208">
        <v>2000</v>
      </c>
      <c r="S208">
        <v>5074</v>
      </c>
      <c r="T208" t="s">
        <v>1094</v>
      </c>
      <c r="U208" t="s">
        <v>1164</v>
      </c>
      <c r="V208">
        <v>0</v>
      </c>
      <c r="W208">
        <v>0</v>
      </c>
      <c r="X208">
        <v>0</v>
      </c>
      <c r="Y208">
        <v>0</v>
      </c>
      <c r="Z208" t="s">
        <v>1083</v>
      </c>
      <c r="AC208" t="str">
        <f>IF(OR(B208="",B208=0),"",$AJ$2&amp;"/"&amp;J208)</f>
        <v>/40</v>
      </c>
      <c r="AD208" t="e">
        <f t="shared" si="3"/>
        <v>#VALUE!</v>
      </c>
    </row>
    <row r="209" spans="2:30" ht="33" hidden="1" customHeight="1" x14ac:dyDescent="0.3">
      <c r="B209" s="14" t="str">
        <f>'2026 Orders'!B208</f>
        <v>Botswana</v>
      </c>
      <c r="C209" s="14" t="str">
        <f>'2026 Orders'!C208</f>
        <v>A4612</v>
      </c>
      <c r="D209" s="14" t="s">
        <v>927</v>
      </c>
      <c r="E209" s="17" t="str" cm="1">
        <f t="array" ref="E209">IF(C209=0,"",
HYPERLINK(
"#'2026 Orders'!C"&amp;
MATCH(1,
('2026 Orders'!C:C=C209)*
('2026 Orders'!G:G=G209)*
('2026 Orders'!N:N=N209),
0),
"Open "&amp;C209
))</f>
        <v>Open A4612</v>
      </c>
      <c r="F209" s="14" t="s">
        <v>1260</v>
      </c>
      <c r="G209" s="14" t="str">
        <f>'2026 Orders'!G208</f>
        <v>PENAMAX-60-GE-FD</v>
      </c>
      <c r="H209" s="14" t="str">
        <f>'2026 Orders'!H208</f>
        <v>PENAMAX-60</v>
      </c>
      <c r="I209" s="15" t="str">
        <f>'2026 Orders'!I208</f>
        <v>FD</v>
      </c>
      <c r="J209" s="14">
        <f>'2026 Orders'!J208</f>
        <v>20</v>
      </c>
      <c r="K209" t="s">
        <v>929</v>
      </c>
      <c r="L209">
        <v>1400</v>
      </c>
      <c r="N209" s="10" t="str">
        <f>'2026 Orders'!N208</f>
        <v>D/W Sent</v>
      </c>
      <c r="O209" t="s">
        <v>1128</v>
      </c>
      <c r="P209" t="s">
        <v>1085</v>
      </c>
      <c r="Q209">
        <v>604776737254</v>
      </c>
      <c r="R209">
        <v>10000</v>
      </c>
      <c r="S209">
        <v>5069</v>
      </c>
      <c r="T209" t="s">
        <v>1103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C209" t="str">
        <f>IF(OR(B209="",B209=0),"",$AJ$2&amp;"/"&amp;J209)</f>
        <v>/20</v>
      </c>
      <c r="AD209" t="e">
        <f t="shared" si="3"/>
        <v>#VALUE!</v>
      </c>
    </row>
    <row r="210" spans="2:30" ht="33" hidden="1" customHeight="1" x14ac:dyDescent="0.3">
      <c r="B210" s="14">
        <f>'2026 Orders'!B209</f>
        <v>0</v>
      </c>
      <c r="C210" s="14">
        <f>'2026 Orders'!C209</f>
        <v>0</v>
      </c>
      <c r="D210" s="14">
        <v>0</v>
      </c>
      <c r="E210" s="17" t="str" cm="1">
        <f t="array" ref="E210">IF(C210=0,"",
HYPERLINK(
"#'2026 Orders'!C"&amp;
MATCH(1,
('2026 Orders'!C:C=C210)*
('2026 Orders'!G:G=G210)*
('2026 Orders'!N:N=N210),
0),
"Open "&amp;C210
))</f>
        <v/>
      </c>
      <c r="F210" s="14">
        <v>0</v>
      </c>
      <c r="G210" s="14">
        <f>'2026 Orders'!G209</f>
        <v>0</v>
      </c>
      <c r="H210" s="14">
        <f>'2026 Orders'!H209</f>
        <v>0</v>
      </c>
      <c r="I210" s="15" t="str">
        <f>'2026 Orders'!I209</f>
        <v/>
      </c>
      <c r="J210" s="14">
        <f>'2026 Orders'!J209</f>
        <v>0</v>
      </c>
      <c r="K210">
        <v>0</v>
      </c>
      <c r="L210">
        <v>0</v>
      </c>
      <c r="N210" s="10">
        <f>'2026 Orders'!N209</f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C210" t="str">
        <f>IF(OR(B210="",B210=0),"",$AJ$2&amp;"/"&amp;J210)</f>
        <v/>
      </c>
      <c r="AD210" t="str">
        <f t="shared" si="3"/>
        <v/>
      </c>
    </row>
    <row r="211" spans="2:30" ht="33" hidden="1" customHeight="1" x14ac:dyDescent="0.3">
      <c r="B211" s="14" t="str">
        <f>'2026 Orders'!B210</f>
        <v>Georgia</v>
      </c>
      <c r="C211" s="14" t="str">
        <f>'2026 Orders'!C210</f>
        <v>A4625</v>
      </c>
      <c r="D211" s="14" t="s">
        <v>947</v>
      </c>
      <c r="E211" s="17" t="str" cm="1">
        <f t="array" ref="E211">IF(C211=0,"",
HYPERLINK(
"#'2026 Orders'!C"&amp;
MATCH(1,
('2026 Orders'!C:C=C211)*
('2026 Orders'!G:G=G211)*
('2026 Orders'!N:N=N211),
0),
"Open "&amp;C211
))</f>
        <v>Open A4625</v>
      </c>
      <c r="F211" s="14" t="s">
        <v>949</v>
      </c>
      <c r="G211" s="14" t="str">
        <f>'2026 Orders'!G210</f>
        <v>ARGI-100-CS-GE</v>
      </c>
      <c r="H211" s="14" t="str">
        <f>'2026 Orders'!H210</f>
        <v>ARGI-100</v>
      </c>
      <c r="I211" s="15" t="str">
        <f>'2026 Orders'!I210</f>
        <v>GE</v>
      </c>
      <c r="J211" s="14">
        <f>'2026 Orders'!J210</f>
        <v>239</v>
      </c>
      <c r="K211" t="s">
        <v>772</v>
      </c>
      <c r="L211">
        <v>30</v>
      </c>
      <c r="N211" s="10" t="str">
        <f>'2026 Orders'!N210</f>
        <v>In Production</v>
      </c>
      <c r="O211">
        <v>46195</v>
      </c>
      <c r="P211" t="s">
        <v>1085</v>
      </c>
      <c r="Q211" t="s">
        <v>1122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 t="s">
        <v>1086</v>
      </c>
      <c r="AC211" t="str">
        <f>IF(OR(B211="",B211=0),"",$AJ$2&amp;"/"&amp;J211)</f>
        <v>/239</v>
      </c>
      <c r="AD211" t="e">
        <f t="shared" si="3"/>
        <v>#VALUE!</v>
      </c>
    </row>
    <row r="212" spans="2:30" ht="33" hidden="1" customHeight="1" x14ac:dyDescent="0.3">
      <c r="B212" s="14">
        <f>'2026 Orders'!B211</f>
        <v>0</v>
      </c>
      <c r="C212" s="14">
        <f>'2026 Orders'!C211</f>
        <v>0</v>
      </c>
      <c r="D212" s="14" t="s">
        <v>950</v>
      </c>
      <c r="E212" s="17" t="str" cm="1">
        <f t="array" ref="E212">IF(C212=0,"",
HYPERLINK(
"#'2026 Orders'!C"&amp;
MATCH(1,
('2026 Orders'!C:C=C212)*
('2026 Orders'!G:G=G212)*
('2026 Orders'!N:N=N212),
0),
"Open "&amp;C212
))</f>
        <v/>
      </c>
      <c r="F212" s="14" t="s">
        <v>951</v>
      </c>
      <c r="G212" s="14">
        <f>'2026 Orders'!G211</f>
        <v>0</v>
      </c>
      <c r="H212" s="14">
        <f>'2026 Orders'!H211</f>
        <v>0</v>
      </c>
      <c r="I212" s="15" t="str">
        <f>'2026 Orders'!I211</f>
        <v/>
      </c>
      <c r="J212" s="14">
        <f>'2026 Orders'!J211</f>
        <v>0</v>
      </c>
      <c r="K212" t="s">
        <v>778</v>
      </c>
      <c r="L212">
        <v>30</v>
      </c>
      <c r="N212" s="10">
        <f>'2026 Orders'!N211</f>
        <v>0</v>
      </c>
      <c r="O212">
        <v>0</v>
      </c>
      <c r="P212" t="s">
        <v>1085</v>
      </c>
      <c r="Q212" t="s">
        <v>1123</v>
      </c>
      <c r="R212">
        <v>5250</v>
      </c>
      <c r="S212">
        <v>4928</v>
      </c>
      <c r="T212" t="s">
        <v>1103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C212" t="str">
        <f>IF(OR(B212="",B212=0),"",$AJ$2&amp;"/"&amp;J212)</f>
        <v/>
      </c>
      <c r="AD212" t="str">
        <f t="shared" si="3"/>
        <v/>
      </c>
    </row>
    <row r="213" spans="2:30" ht="33" hidden="1" customHeight="1" x14ac:dyDescent="0.3">
      <c r="B213" s="14" t="str">
        <f>'2026 Orders'!B212</f>
        <v>Nigeria</v>
      </c>
      <c r="C213" s="14" t="str">
        <f>'2026 Orders'!C212</f>
        <v>A4616</v>
      </c>
      <c r="D213" s="14">
        <v>0</v>
      </c>
      <c r="E213" s="17" t="str" cm="1">
        <f t="array" ref="E213">IF(C213=0,"",
HYPERLINK(
"#'2026 Orders'!C"&amp;
MATCH(1,
('2026 Orders'!C:C=C213)*
('2026 Orders'!G:G=G213)*
('2026 Orders'!N:N=N213),
0),
"Open "&amp;C213
))</f>
        <v>Open A4616</v>
      </c>
      <c r="F213" s="14">
        <v>0</v>
      </c>
      <c r="G213" s="14" t="str">
        <f>'2026 Orders'!G212</f>
        <v>FERTMX-90-CS-NI</v>
      </c>
      <c r="H213" s="14" t="str">
        <f>'2026 Orders'!H212</f>
        <v>FERTMX-90</v>
      </c>
      <c r="I213" s="15" t="str">
        <f>'2026 Orders'!I212</f>
        <v>NI</v>
      </c>
      <c r="J213" s="14">
        <f>'2026 Orders'!J212</f>
        <v>216</v>
      </c>
      <c r="K213">
        <v>0</v>
      </c>
      <c r="L213">
        <v>0</v>
      </c>
      <c r="N213" s="10" t="str">
        <f>'2026 Orders'!N212</f>
        <v>D/W Sent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C213" t="str">
        <f>IF(OR(B213="",B213=0),"",$AJ$2&amp;"/"&amp;J213)</f>
        <v>/216</v>
      </c>
      <c r="AD213" t="e">
        <f t="shared" si="3"/>
        <v>#VALUE!</v>
      </c>
    </row>
    <row r="214" spans="2:30" ht="33" hidden="1" customHeight="1" x14ac:dyDescent="0.3">
      <c r="B214" s="14" t="str">
        <f>'2026 Orders'!B213</f>
        <v>Nigeria</v>
      </c>
      <c r="C214" s="14" t="str">
        <f>'2026 Orders'!C213</f>
        <v>A4616</v>
      </c>
      <c r="D214" s="14" t="s">
        <v>953</v>
      </c>
      <c r="E214" s="17" t="str" cm="1">
        <f t="array" ref="E214">IF(C214=0,"",
HYPERLINK(
"#'2026 Orders'!C"&amp;
MATCH(1,
('2026 Orders'!C:C=C214)*
('2026 Orders'!G:G=G214)*
('2026 Orders'!N:N=N214),
0),
"Open "&amp;C214
))</f>
        <v>Open A4616</v>
      </c>
      <c r="F214" s="14">
        <v>0</v>
      </c>
      <c r="G214" s="14" t="str">
        <f>'2026 Orders'!G213</f>
        <v>MFSPLS-120-CS-NI</v>
      </c>
      <c r="H214" s="14" t="str">
        <f>'2026 Orders'!H213</f>
        <v>MFSPLS-120</v>
      </c>
      <c r="I214" s="15" t="str">
        <f>'2026 Orders'!I213</f>
        <v>NI</v>
      </c>
      <c r="J214" s="14">
        <f>'2026 Orders'!J213</f>
        <v>120</v>
      </c>
      <c r="K214" t="s">
        <v>955</v>
      </c>
      <c r="L214">
        <v>0</v>
      </c>
      <c r="N214" s="10" t="str">
        <f>'2026 Orders'!N213</f>
        <v>D/W Sent</v>
      </c>
      <c r="O214">
        <v>0</v>
      </c>
      <c r="P214" t="s">
        <v>1085</v>
      </c>
      <c r="Q214">
        <v>604776737575</v>
      </c>
      <c r="R214">
        <v>5000</v>
      </c>
      <c r="S214">
        <v>5041</v>
      </c>
      <c r="T214">
        <v>46248</v>
      </c>
      <c r="U214" t="s">
        <v>1165</v>
      </c>
      <c r="V214">
        <v>0</v>
      </c>
      <c r="W214">
        <v>0</v>
      </c>
      <c r="X214">
        <v>0</v>
      </c>
      <c r="Y214">
        <v>0</v>
      </c>
      <c r="Z214" t="s">
        <v>1086</v>
      </c>
      <c r="AC214" t="str">
        <f>IF(OR(B214="",B214=0),"",$AJ$2&amp;"/"&amp;J214)</f>
        <v>/120</v>
      </c>
      <c r="AD214" t="e">
        <f t="shared" si="3"/>
        <v>#VALUE!</v>
      </c>
    </row>
    <row r="215" spans="2:30" ht="33" hidden="1" customHeight="1" x14ac:dyDescent="0.3">
      <c r="B215" s="14" t="str">
        <f>'2026 Orders'!B214</f>
        <v>Nigeria</v>
      </c>
      <c r="C215" s="14" t="str">
        <f>'2026 Orders'!C214</f>
        <v>A4616</v>
      </c>
      <c r="D215" s="14" t="s">
        <v>956</v>
      </c>
      <c r="E215" s="17" t="str" cm="1">
        <f t="array" ref="E215">IF(C215=0,"",
HYPERLINK(
"#'2026 Orders'!C"&amp;
MATCH(1,
('2026 Orders'!C:C=C215)*
('2026 Orders'!G:G=G215)*
('2026 Orders'!N:N=N215),
0),
"Open "&amp;C215
))</f>
        <v>Open A4616</v>
      </c>
      <c r="F215" s="14">
        <v>0</v>
      </c>
      <c r="G215" s="14" t="str">
        <f>'2026 Orders'!G214</f>
        <v>MOTILMX-60-CS-NI</v>
      </c>
      <c r="H215" s="14" t="str">
        <f>'2026 Orders'!H214</f>
        <v>MOTILMX-60</v>
      </c>
      <c r="I215" s="15" t="str">
        <f>'2026 Orders'!I214</f>
        <v>NI</v>
      </c>
      <c r="J215" s="14">
        <f>'2026 Orders'!J214</f>
        <v>96</v>
      </c>
      <c r="K215" t="s">
        <v>957</v>
      </c>
      <c r="L215">
        <v>300</v>
      </c>
      <c r="N215" s="10" t="str">
        <f>'2026 Orders'!N214</f>
        <v>D/W Sent</v>
      </c>
      <c r="O215">
        <v>0</v>
      </c>
      <c r="P215" t="s">
        <v>1077</v>
      </c>
      <c r="Q215">
        <v>604776739012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C215" t="str">
        <f>IF(OR(B215="",B215=0),"",$AJ$2&amp;"/"&amp;J215)</f>
        <v>/96</v>
      </c>
      <c r="AD215" t="e">
        <f t="shared" si="3"/>
        <v>#VALUE!</v>
      </c>
    </row>
    <row r="216" spans="2:30" ht="33" hidden="1" customHeight="1" x14ac:dyDescent="0.3">
      <c r="B216" s="14" t="str">
        <f>'2026 Orders'!B215</f>
        <v>Nigeria</v>
      </c>
      <c r="C216" s="14" t="str">
        <f>'2026 Orders'!C215</f>
        <v>A4616</v>
      </c>
      <c r="D216" s="14">
        <v>0</v>
      </c>
      <c r="E216" s="17" t="str" cm="1">
        <f t="array" ref="E216">IF(C216=0,"",
HYPERLINK(
"#'2026 Orders'!C"&amp;
MATCH(1,
('2026 Orders'!C:C=C216)*
('2026 Orders'!G:G=G216)*
('2026 Orders'!N:N=N216),
0),
"Open "&amp;C216
))</f>
        <v>Open A4616</v>
      </c>
      <c r="F216" s="14">
        <v>0</v>
      </c>
      <c r="G216" s="14" t="str">
        <f>'2026 Orders'!G215</f>
        <v>OVAMAX-120-CS-NI</v>
      </c>
      <c r="H216" s="14" t="str">
        <f>'2026 Orders'!H215</f>
        <v>OVAMAX-120</v>
      </c>
      <c r="I216" s="15" t="str">
        <f>'2026 Orders'!I215</f>
        <v>NI</v>
      </c>
      <c r="J216" s="14">
        <f>'2026 Orders'!J215</f>
        <v>120</v>
      </c>
      <c r="K216" t="s">
        <v>958</v>
      </c>
      <c r="L216">
        <v>1500</v>
      </c>
      <c r="N216" s="10" t="str">
        <f>'2026 Orders'!N215</f>
        <v>D/W Sent</v>
      </c>
      <c r="O216">
        <v>0</v>
      </c>
      <c r="P216" t="s">
        <v>1077</v>
      </c>
      <c r="Q216">
        <v>604776739067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C216" t="str">
        <f>IF(OR(B216="",B216=0),"",$AJ$2&amp;"/"&amp;J216)</f>
        <v>/120</v>
      </c>
      <c r="AD216" t="e">
        <f t="shared" si="3"/>
        <v>#VALUE!</v>
      </c>
    </row>
    <row r="217" spans="2:30" ht="33" hidden="1" customHeight="1" x14ac:dyDescent="0.3">
      <c r="B217" s="14" t="str">
        <f>'2026 Orders'!B216</f>
        <v>Nigeria</v>
      </c>
      <c r="C217" s="14" t="str">
        <f>'2026 Orders'!C216</f>
        <v>A4616</v>
      </c>
      <c r="D217" s="14">
        <v>0</v>
      </c>
      <c r="E217" s="17" t="str" cm="1">
        <f t="array" ref="E217">IF(C217=0,"",
HYPERLINK(
"#'2026 Orders'!C"&amp;
MATCH(1,
('2026 Orders'!C:C=C217)*
('2026 Orders'!G:G=G217)*
('2026 Orders'!N:N=N217),
0),
"Open "&amp;C217
))</f>
        <v>Open A4616</v>
      </c>
      <c r="F217" s="14">
        <v>0</v>
      </c>
      <c r="G217" s="14" t="str">
        <f>'2026 Orders'!G216</f>
        <v>WFSPLS-180-CS-NI</v>
      </c>
      <c r="H217" s="14" t="str">
        <f>'2026 Orders'!H216</f>
        <v>WFSPLS-180</v>
      </c>
      <c r="I217" s="15" t="str">
        <f>'2026 Orders'!I216</f>
        <v>NI</v>
      </c>
      <c r="J217" s="14">
        <f>'2026 Orders'!J216</f>
        <v>120</v>
      </c>
      <c r="K217" t="s">
        <v>731</v>
      </c>
      <c r="L217">
        <v>1500</v>
      </c>
      <c r="N217" s="10" t="str">
        <f>'2026 Orders'!N216</f>
        <v>D/W Sent</v>
      </c>
      <c r="O217">
        <v>0</v>
      </c>
      <c r="P217" t="s">
        <v>1077</v>
      </c>
      <c r="Q217">
        <v>609788968399</v>
      </c>
      <c r="R217">
        <v>10775</v>
      </c>
      <c r="S217">
        <v>5055</v>
      </c>
      <c r="T217">
        <v>46250</v>
      </c>
      <c r="U217" t="s">
        <v>1091</v>
      </c>
      <c r="V217">
        <v>0</v>
      </c>
      <c r="W217">
        <v>0</v>
      </c>
      <c r="X217">
        <v>0</v>
      </c>
      <c r="Y217">
        <v>0</v>
      </c>
      <c r="Z217">
        <v>0</v>
      </c>
      <c r="AC217" t="str">
        <f>IF(OR(B217="",B217=0),"",$AJ$2&amp;"/"&amp;J217)</f>
        <v>/120</v>
      </c>
      <c r="AD217" t="e">
        <f t="shared" si="3"/>
        <v>#VALUE!</v>
      </c>
    </row>
    <row r="218" spans="2:30" ht="33" hidden="1" customHeight="1" x14ac:dyDescent="0.3">
      <c r="B218" s="14" t="str">
        <f>'2026 Orders'!B217</f>
        <v>Nigeria</v>
      </c>
      <c r="C218" s="14" t="str">
        <f>'2026 Orders'!C217</f>
        <v>A4616</v>
      </c>
      <c r="D218" s="14">
        <v>0</v>
      </c>
      <c r="E218" s="17" t="str" cm="1">
        <f t="array" ref="E218">IF(C218=0,"",
HYPERLINK(
"#'2026 Orders'!C"&amp;
MATCH(1,
('2026 Orders'!C:C=C218)*
('2026 Orders'!G:G=G218)*
('2026 Orders'!N:N=N218),
0),
"Open "&amp;C218
))</f>
        <v>Open A4616</v>
      </c>
      <c r="F218" s="14">
        <v>0</v>
      </c>
      <c r="G218" s="14" t="str">
        <f>'2026 Orders'!G217</f>
        <v>VELMARA-60-CS-NI</v>
      </c>
      <c r="H218" s="14" t="str">
        <f>'2026 Orders'!H217</f>
        <v>VELMARA-60</v>
      </c>
      <c r="I218" s="15" t="str">
        <f>'2026 Orders'!I217</f>
        <v>NI</v>
      </c>
      <c r="J218" s="14">
        <f>'2026 Orders'!J217</f>
        <v>72</v>
      </c>
      <c r="K218" t="s">
        <v>735</v>
      </c>
      <c r="L218">
        <v>0</v>
      </c>
      <c r="N218" s="10" t="str">
        <f>'2026 Orders'!N217</f>
        <v>D/W Sent</v>
      </c>
      <c r="O218">
        <v>0</v>
      </c>
      <c r="P218" t="s">
        <v>1085</v>
      </c>
      <c r="Q218">
        <v>604776739203</v>
      </c>
      <c r="R218">
        <v>5000</v>
      </c>
      <c r="S218">
        <v>5034</v>
      </c>
      <c r="T218" t="s">
        <v>1108</v>
      </c>
      <c r="U218" t="s">
        <v>1149</v>
      </c>
      <c r="V218">
        <v>0</v>
      </c>
      <c r="W218">
        <v>0</v>
      </c>
      <c r="X218">
        <v>0</v>
      </c>
      <c r="Y218">
        <v>0</v>
      </c>
      <c r="Z218">
        <v>0</v>
      </c>
      <c r="AC218" t="str">
        <f>IF(OR(B218="",B218=0),"",$AJ$2&amp;"/"&amp;J218)</f>
        <v>/72</v>
      </c>
      <c r="AD218" t="e">
        <f t="shared" si="3"/>
        <v>#VALUE!</v>
      </c>
    </row>
    <row r="219" spans="2:30" ht="33" hidden="1" customHeight="1" x14ac:dyDescent="0.3">
      <c r="B219" s="14">
        <f>'2026 Orders'!B218</f>
        <v>0</v>
      </c>
      <c r="C219" s="14">
        <f>'2026 Orders'!C218</f>
        <v>0</v>
      </c>
      <c r="D219" s="14">
        <v>0</v>
      </c>
      <c r="E219" s="17" t="str" cm="1">
        <f t="array" ref="E219">IF(C219=0,"",
HYPERLINK(
"#'2026 Orders'!C"&amp;
MATCH(1,
('2026 Orders'!C:C=C219)*
('2026 Orders'!G:G=G219)*
('2026 Orders'!N:N=N219),
0),
"Open "&amp;C219
))</f>
        <v/>
      </c>
      <c r="F219" s="14">
        <v>0</v>
      </c>
      <c r="G219" s="14">
        <f>'2026 Orders'!G218</f>
        <v>0</v>
      </c>
      <c r="H219" s="14">
        <f>'2026 Orders'!H218</f>
        <v>0</v>
      </c>
      <c r="I219" s="15" t="str">
        <f>'2026 Orders'!I218</f>
        <v/>
      </c>
      <c r="J219" s="14">
        <f>'2026 Orders'!J218</f>
        <v>0</v>
      </c>
      <c r="K219" t="s">
        <v>451</v>
      </c>
      <c r="L219">
        <v>800</v>
      </c>
      <c r="N219" s="10">
        <f>'2026 Orders'!N218</f>
        <v>0</v>
      </c>
      <c r="O219">
        <v>0</v>
      </c>
      <c r="P219" t="s">
        <v>1085</v>
      </c>
      <c r="Q219">
        <v>609788968702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C219" t="str">
        <f>IF(OR(B219="",B219=0),"",$AJ$2&amp;"/"&amp;J219)</f>
        <v/>
      </c>
      <c r="AD219" t="str">
        <f t="shared" si="3"/>
        <v/>
      </c>
    </row>
    <row r="220" spans="2:30" ht="33" hidden="1" customHeight="1" x14ac:dyDescent="0.3">
      <c r="B220" s="14" t="str">
        <f>'2026 Orders'!B219</f>
        <v>Libya</v>
      </c>
      <c r="C220" s="14" t="str">
        <f>'2026 Orders'!C219</f>
        <v>A4617</v>
      </c>
      <c r="D220" s="14">
        <v>0</v>
      </c>
      <c r="E220" s="17" t="str" cm="1">
        <f t="array" ref="E220">IF(C220=0,"",
HYPERLINK(
"#'2026 Orders'!C"&amp;
MATCH(1,
('2026 Orders'!C:C=C220)*
('2026 Orders'!G:G=G220)*
('2026 Orders'!N:N=N220),
0),
"Open "&amp;C220
))</f>
        <v>Open A4617</v>
      </c>
      <c r="F220" s="14">
        <v>0</v>
      </c>
      <c r="G220" s="14" t="str">
        <f>'2026 Orders'!G219</f>
        <v>FERTMX-90-CS-LY</v>
      </c>
      <c r="H220" s="14" t="str">
        <f>'2026 Orders'!H219</f>
        <v>FERTMX-90</v>
      </c>
      <c r="I220" s="15" t="str">
        <f>'2026 Orders'!I219</f>
        <v>LY</v>
      </c>
      <c r="J220" s="14">
        <f>'2026 Orders'!J219</f>
        <v>500</v>
      </c>
      <c r="K220" t="s">
        <v>959</v>
      </c>
      <c r="L220">
        <v>0</v>
      </c>
      <c r="N220" s="10" t="str">
        <f>'2026 Orders'!N219</f>
        <v>D/W Sent</v>
      </c>
      <c r="O220">
        <v>0</v>
      </c>
      <c r="P220" t="s">
        <v>1077</v>
      </c>
      <c r="Q220">
        <v>604776739142</v>
      </c>
      <c r="R220">
        <v>7572</v>
      </c>
      <c r="S220">
        <v>5043</v>
      </c>
      <c r="T220">
        <v>46286</v>
      </c>
      <c r="U220" t="s">
        <v>1089</v>
      </c>
      <c r="V220">
        <v>0</v>
      </c>
      <c r="W220">
        <v>0</v>
      </c>
      <c r="X220">
        <v>0</v>
      </c>
      <c r="Y220">
        <v>0</v>
      </c>
      <c r="Z220">
        <v>0</v>
      </c>
      <c r="AC220" t="str">
        <f>IF(OR(B220="",B220=0),"",$AJ$2&amp;"/"&amp;J220)</f>
        <v>/500</v>
      </c>
      <c r="AD220" t="e">
        <f t="shared" si="3"/>
        <v>#VALUE!</v>
      </c>
    </row>
    <row r="221" spans="2:30" ht="33" hidden="1" customHeight="1" x14ac:dyDescent="0.3">
      <c r="B221" s="14" t="str">
        <f>'2026 Orders'!B220</f>
        <v>Libya</v>
      </c>
      <c r="C221" s="14" t="str">
        <f>'2026 Orders'!C220</f>
        <v>A4617</v>
      </c>
      <c r="D221" s="14">
        <v>0</v>
      </c>
      <c r="E221" s="17" t="str" cm="1">
        <f t="array" ref="E221">IF(C221=0,"",
HYPERLINK(
"#'2026 Orders'!C"&amp;
MATCH(1,
('2026 Orders'!C:C=C221)*
('2026 Orders'!G:G=G221)*
('2026 Orders'!N:N=N221),
0),
"Open "&amp;C221
))</f>
        <v>Open A4617</v>
      </c>
      <c r="F221" s="14">
        <v>0</v>
      </c>
      <c r="G221" s="14" t="str">
        <f>'2026 Orders'!G220</f>
        <v>METRIO-60-CS-LY</v>
      </c>
      <c r="H221" s="14" t="str">
        <f>'2026 Orders'!H220</f>
        <v>METRIO-60</v>
      </c>
      <c r="I221" s="15" t="str">
        <f>'2026 Orders'!I220</f>
        <v>LY</v>
      </c>
      <c r="J221" s="14">
        <f>'2026 Orders'!J220</f>
        <v>300</v>
      </c>
      <c r="K221" t="s">
        <v>960</v>
      </c>
      <c r="L221">
        <v>200</v>
      </c>
      <c r="N221" s="10" t="str">
        <f>'2026 Orders'!N220</f>
        <v>D/W Sent</v>
      </c>
      <c r="O221">
        <v>0</v>
      </c>
      <c r="P221" t="s">
        <v>1077</v>
      </c>
      <c r="Q221">
        <v>604776739128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C221" t="str">
        <f>IF(OR(B221="",B221=0),"",$AJ$2&amp;"/"&amp;J221)</f>
        <v>/300</v>
      </c>
      <c r="AD221" t="e">
        <f t="shared" si="3"/>
        <v>#VALUE!</v>
      </c>
    </row>
    <row r="222" spans="2:30" ht="33" hidden="1" customHeight="1" x14ac:dyDescent="0.3">
      <c r="B222" s="14" t="str">
        <f>'2026 Orders'!B221</f>
        <v>Libya</v>
      </c>
      <c r="C222" s="14" t="str">
        <f>'2026 Orders'!C221</f>
        <v>A4617</v>
      </c>
      <c r="D222" s="14">
        <v>0</v>
      </c>
      <c r="E222" s="17" t="str" cm="1">
        <f t="array" ref="E222">IF(C222=0,"",
HYPERLINK(
"#'2026 Orders'!C"&amp;
MATCH(1,
('2026 Orders'!C:C=C222)*
('2026 Orders'!G:G=G222)*
('2026 Orders'!N:N=N222),
0),
"Open "&amp;C222
))</f>
        <v>Open A4617</v>
      </c>
      <c r="F222" s="14">
        <v>0</v>
      </c>
      <c r="G222" s="14" t="str">
        <f>'2026 Orders'!G221</f>
        <v>MFSPLS-120-CS-LY</v>
      </c>
      <c r="H222" s="14" t="str">
        <f>'2026 Orders'!H221</f>
        <v>MFSPLS-120</v>
      </c>
      <c r="I222" s="15" t="str">
        <f>'2026 Orders'!I221</f>
        <v>LY</v>
      </c>
      <c r="J222" s="14">
        <f>'2026 Orders'!J221</f>
        <v>800</v>
      </c>
      <c r="K222" t="s">
        <v>647</v>
      </c>
      <c r="L222">
        <v>775</v>
      </c>
      <c r="N222" s="10" t="str">
        <f>'2026 Orders'!N221</f>
        <v>D/W Sent</v>
      </c>
      <c r="O222">
        <v>0</v>
      </c>
      <c r="P222" t="s">
        <v>1085</v>
      </c>
      <c r="Q222" t="s">
        <v>1166</v>
      </c>
      <c r="R222">
        <v>7000</v>
      </c>
      <c r="S222">
        <v>4971</v>
      </c>
      <c r="T222" t="s">
        <v>1103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C222" t="str">
        <f>IF(OR(B222="",B222=0),"",$AJ$2&amp;"/"&amp;J222)</f>
        <v>/800</v>
      </c>
      <c r="AD222" t="e">
        <f t="shared" si="3"/>
        <v>#VALUE!</v>
      </c>
    </row>
    <row r="223" spans="2:30" ht="33" hidden="1" customHeight="1" x14ac:dyDescent="0.3">
      <c r="B223" s="14" t="str">
        <f>'2026 Orders'!B222</f>
        <v>Libya</v>
      </c>
      <c r="C223" s="14" t="str">
        <f>'2026 Orders'!C222</f>
        <v>A4617</v>
      </c>
      <c r="D223" s="14">
        <v>0</v>
      </c>
      <c r="E223" s="17" t="str" cm="1">
        <f t="array" ref="E223">IF(C223=0,"",
HYPERLINK(
"#'2026 Orders'!C"&amp;
MATCH(1,
('2026 Orders'!C:C=C223)*
('2026 Orders'!G:G=G223)*
('2026 Orders'!N:N=N223),
0),
"Open "&amp;C223
))</f>
        <v>Open A4617</v>
      </c>
      <c r="F223" s="14" t="s">
        <v>1261</v>
      </c>
      <c r="G223" s="14" t="str">
        <f>'2026 Orders'!G222</f>
        <v>OVAMAX-120-CS-LY</v>
      </c>
      <c r="H223" s="14" t="str">
        <f>'2026 Orders'!H222</f>
        <v>OVAMAX-120</v>
      </c>
      <c r="I223" s="15" t="str">
        <f>'2026 Orders'!I222</f>
        <v>LY</v>
      </c>
      <c r="J223" s="14">
        <f>'2026 Orders'!J222</f>
        <v>500</v>
      </c>
      <c r="K223">
        <v>0</v>
      </c>
      <c r="L223">
        <v>25</v>
      </c>
      <c r="N223" s="10" t="str">
        <f>'2026 Orders'!N222</f>
        <v>D/W Sent</v>
      </c>
      <c r="O223">
        <v>0</v>
      </c>
      <c r="P223" t="s">
        <v>1085</v>
      </c>
      <c r="Q223" t="s">
        <v>1166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C223" t="str">
        <f>IF(OR(B223="",B223=0),"",$AJ$2&amp;"/"&amp;J223)</f>
        <v>/500</v>
      </c>
      <c r="AD223" t="e">
        <f t="shared" si="3"/>
        <v>#VALUE!</v>
      </c>
    </row>
    <row r="224" spans="2:30" ht="33" hidden="1" customHeight="1" x14ac:dyDescent="0.3">
      <c r="B224" s="14" t="str">
        <f>'2026 Orders'!B223</f>
        <v>Libya</v>
      </c>
      <c r="C224" s="14" t="str">
        <f>'2026 Orders'!C223</f>
        <v>A4617</v>
      </c>
      <c r="D224" s="14">
        <v>0</v>
      </c>
      <c r="E224" s="17" t="str" cm="1">
        <f t="array" ref="E224">IF(C224=0,"",
HYPERLINK(
"#'2026 Orders'!C"&amp;
MATCH(1,
('2026 Orders'!C:C=C224)*
('2026 Orders'!G:G=G224)*
('2026 Orders'!N:N=N224),
0),
"Open "&amp;C224
))</f>
        <v>Open A4617</v>
      </c>
      <c r="F224" s="14">
        <v>0</v>
      </c>
      <c r="G224" s="14" t="str">
        <f>'2026 Orders'!G223</f>
        <v>LIPODIS-60-FD</v>
      </c>
      <c r="H224" s="14" t="str">
        <f>'2026 Orders'!H223</f>
        <v>LIPODIS-60</v>
      </c>
      <c r="I224" s="15" t="str">
        <f>'2026 Orders'!I223</f>
        <v>FD</v>
      </c>
      <c r="J224" s="14">
        <f>'2026 Orders'!J223</f>
        <v>300</v>
      </c>
      <c r="K224" t="s">
        <v>621</v>
      </c>
      <c r="L224">
        <v>300</v>
      </c>
      <c r="N224" s="10" t="str">
        <f>'2026 Orders'!N223</f>
        <v>D/W Sent</v>
      </c>
      <c r="O224">
        <v>0</v>
      </c>
      <c r="P224" t="s">
        <v>1085</v>
      </c>
      <c r="Q224" t="s">
        <v>1167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C224" t="str">
        <f>IF(OR(B224="",B224=0),"",$AJ$2&amp;"/"&amp;J224)</f>
        <v>/300</v>
      </c>
      <c r="AD224" t="e">
        <f t="shared" si="3"/>
        <v>#VALUE!</v>
      </c>
    </row>
    <row r="225" spans="2:30" ht="33" hidden="1" customHeight="1" x14ac:dyDescent="0.3">
      <c r="B225" s="14">
        <f>'2026 Orders'!B224</f>
        <v>0</v>
      </c>
      <c r="C225" s="14">
        <f>'2026 Orders'!C224</f>
        <v>0</v>
      </c>
      <c r="D225" s="14">
        <v>0</v>
      </c>
      <c r="E225" s="17" t="str" cm="1">
        <f t="array" ref="E225">IF(C225=0,"",
HYPERLINK(
"#'2026 Orders'!C"&amp;
MATCH(1,
('2026 Orders'!C:C=C225)*
('2026 Orders'!G:G=G225)*
('2026 Orders'!N:N=N225),
0),
"Open "&amp;C225
))</f>
        <v/>
      </c>
      <c r="F225" s="14">
        <v>0</v>
      </c>
      <c r="G225" s="14">
        <f>'2026 Orders'!G224</f>
        <v>0</v>
      </c>
      <c r="H225" s="14">
        <f>'2026 Orders'!H224</f>
        <v>0</v>
      </c>
      <c r="I225" s="15" t="str">
        <f>'2026 Orders'!I224</f>
        <v/>
      </c>
      <c r="J225" s="14">
        <f>'2026 Orders'!J224</f>
        <v>0</v>
      </c>
      <c r="K225" t="s">
        <v>964</v>
      </c>
      <c r="L225">
        <v>500</v>
      </c>
      <c r="N225" s="10">
        <f>'2026 Orders'!N224</f>
        <v>0</v>
      </c>
      <c r="O225">
        <v>0</v>
      </c>
      <c r="P225" t="s">
        <v>1077</v>
      </c>
      <c r="Q225" t="s">
        <v>1118</v>
      </c>
      <c r="R225">
        <v>4000</v>
      </c>
      <c r="S225">
        <v>4973</v>
      </c>
      <c r="T225" t="s">
        <v>1103</v>
      </c>
      <c r="U225" t="s">
        <v>1159</v>
      </c>
      <c r="V225">
        <v>0</v>
      </c>
      <c r="W225">
        <v>0</v>
      </c>
      <c r="X225">
        <v>0</v>
      </c>
      <c r="Y225">
        <v>0</v>
      </c>
      <c r="Z225">
        <v>0</v>
      </c>
      <c r="AC225" t="str">
        <f>IF(OR(B225="",B225=0),"",$AJ$2&amp;"/"&amp;J225)</f>
        <v/>
      </c>
      <c r="AD225" t="str">
        <f t="shared" si="3"/>
        <v/>
      </c>
    </row>
    <row r="226" spans="2:30" ht="33" hidden="1" customHeight="1" x14ac:dyDescent="0.3">
      <c r="B226" s="14" t="str">
        <f>'2026 Orders'!B225</f>
        <v>Libya</v>
      </c>
      <c r="C226" s="14" t="str">
        <f>'2026 Orders'!C225</f>
        <v>A4706</v>
      </c>
      <c r="D226" s="14">
        <v>0</v>
      </c>
      <c r="E226" s="17" t="str" cm="1">
        <f t="array" ref="E226">IF(C226=0,"",
HYPERLINK(
"#'2026 Orders'!C"&amp;
MATCH(1,
('2026 Orders'!C:C=C226)*
('2026 Orders'!G:G=G226)*
('2026 Orders'!N:N=N226),
0),
"Open "&amp;C226
))</f>
        <v>Open A4706</v>
      </c>
      <c r="F226" s="14" t="s">
        <v>965</v>
      </c>
      <c r="G226" s="14" t="str">
        <f>'2026 Orders'!G225</f>
        <v>POLYSIT-90-CS-LY</v>
      </c>
      <c r="H226" s="14" t="str">
        <f>'2026 Orders'!H225</f>
        <v>POLYSIT-90</v>
      </c>
      <c r="I226" s="15" t="str">
        <f>'2026 Orders'!I225</f>
        <v>LY</v>
      </c>
      <c r="J226" s="14">
        <f>'2026 Orders'!J225</f>
        <v>300</v>
      </c>
      <c r="K226" t="s">
        <v>966</v>
      </c>
      <c r="L226">
        <v>500</v>
      </c>
      <c r="N226" s="10" t="str">
        <f>'2026 Orders'!N225</f>
        <v>In Production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C226" t="str">
        <f>IF(OR(B226="",B226=0),"",$AJ$2&amp;"/"&amp;J226)</f>
        <v>/300</v>
      </c>
      <c r="AD226" t="e">
        <f t="shared" si="3"/>
        <v>#VALUE!</v>
      </c>
    </row>
    <row r="227" spans="2:30" ht="33" hidden="1" customHeight="1" x14ac:dyDescent="0.3">
      <c r="B227" s="14">
        <f>'2026 Orders'!B226</f>
        <v>0</v>
      </c>
      <c r="C227" s="14">
        <f>'2026 Orders'!C226</f>
        <v>0</v>
      </c>
      <c r="D227" s="14">
        <v>0</v>
      </c>
      <c r="E227" s="17" t="str" cm="1">
        <f t="array" ref="E227">IF(C227=0,"",
HYPERLINK(
"#'2026 Orders'!C"&amp;
MATCH(1,
('2026 Orders'!C:C=C227)*
('2026 Orders'!G:G=G227)*
('2026 Orders'!N:N=N227),
0),
"Open "&amp;C227
))</f>
        <v/>
      </c>
      <c r="F227" s="14">
        <v>0</v>
      </c>
      <c r="G227" s="14">
        <f>'2026 Orders'!G226</f>
        <v>0</v>
      </c>
      <c r="H227" s="14">
        <f>'2026 Orders'!H226</f>
        <v>0</v>
      </c>
      <c r="I227" s="15" t="str">
        <f>'2026 Orders'!I226</f>
        <v/>
      </c>
      <c r="J227" s="14">
        <f>'2026 Orders'!J226</f>
        <v>0</v>
      </c>
      <c r="K227">
        <v>0</v>
      </c>
      <c r="L227">
        <v>0</v>
      </c>
      <c r="N227" s="10">
        <f>'2026 Orders'!N226</f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C227" t="str">
        <f>IF(OR(B227="",B227=0),"",$AJ$2&amp;"/"&amp;J227)</f>
        <v/>
      </c>
      <c r="AD227" t="str">
        <f t="shared" si="3"/>
        <v/>
      </c>
    </row>
    <row r="228" spans="2:30" ht="33" hidden="1" customHeight="1" x14ac:dyDescent="0.3">
      <c r="B228" s="14" t="str">
        <f>'2026 Orders'!B227</f>
        <v>Kuwait</v>
      </c>
      <c r="C228" s="14" t="str">
        <f>'2026 Orders'!C227</f>
        <v>A4696</v>
      </c>
      <c r="D228" s="14" t="s">
        <v>969</v>
      </c>
      <c r="E228" s="17" t="str" cm="1">
        <f t="array" ref="E228">IF(C228=0,"",
HYPERLINK(
"#'2026 Orders'!C"&amp;
MATCH(1,
('2026 Orders'!C:C=C228)*
('2026 Orders'!G:G=G228)*
('2026 Orders'!N:N=N228),
0),
"Open "&amp;C228
))</f>
        <v>Open A4696</v>
      </c>
      <c r="F228" s="14" t="s">
        <v>1246</v>
      </c>
      <c r="G228" s="14" t="str">
        <f>'2026 Orders'!G227</f>
        <v>CAVINADV-60-CS-KW</v>
      </c>
      <c r="H228" s="14" t="str">
        <f>'2026 Orders'!H227</f>
        <v>CAVINADV-60</v>
      </c>
      <c r="I228" s="15" t="str">
        <f>'2026 Orders'!I227</f>
        <v>KW</v>
      </c>
      <c r="J228" s="14">
        <f>'2026 Orders'!J227</f>
        <v>1</v>
      </c>
      <c r="K228" t="s">
        <v>634</v>
      </c>
      <c r="L228">
        <v>0</v>
      </c>
      <c r="N228" s="10" t="str">
        <f>'2026 Orders'!N227</f>
        <v>D/W Sent</v>
      </c>
      <c r="O228" t="s">
        <v>1168</v>
      </c>
      <c r="P228" t="s">
        <v>1085</v>
      </c>
      <c r="Q228">
        <v>0</v>
      </c>
      <c r="R228">
        <v>5000</v>
      </c>
      <c r="S228">
        <v>0</v>
      </c>
      <c r="T228" t="s">
        <v>1108</v>
      </c>
      <c r="U228" t="s">
        <v>1142</v>
      </c>
      <c r="V228">
        <v>0</v>
      </c>
      <c r="W228">
        <v>0</v>
      </c>
      <c r="X228">
        <v>0</v>
      </c>
      <c r="Y228">
        <v>0</v>
      </c>
      <c r="Z228" t="s">
        <v>1086</v>
      </c>
      <c r="AC228" t="str">
        <f>IF(OR(B228="",B228=0),"",$AJ$2&amp;"/"&amp;J228)</f>
        <v>/1</v>
      </c>
      <c r="AD228" t="e">
        <f t="shared" si="3"/>
        <v>#VALUE!</v>
      </c>
    </row>
    <row r="229" spans="2:30" ht="33" hidden="1" customHeight="1" x14ac:dyDescent="0.3">
      <c r="B229" s="14">
        <f>'2026 Orders'!B228</f>
        <v>0</v>
      </c>
      <c r="C229" s="14">
        <f>'2026 Orders'!C228</f>
        <v>0</v>
      </c>
      <c r="D229" s="14">
        <v>0</v>
      </c>
      <c r="E229" s="17" t="str" cm="1">
        <f t="array" ref="E229">IF(C229=0,"",
HYPERLINK(
"#'2026 Orders'!C"&amp;
MATCH(1,
('2026 Orders'!C:C=C229)*
('2026 Orders'!G:G=G229)*
('2026 Orders'!N:N=N229),
0),
"Open "&amp;C229
))</f>
        <v/>
      </c>
      <c r="F229" s="14">
        <v>0</v>
      </c>
      <c r="G229" s="14">
        <f>'2026 Orders'!G228</f>
        <v>0</v>
      </c>
      <c r="H229" s="14">
        <f>'2026 Orders'!H228</f>
        <v>0</v>
      </c>
      <c r="I229" s="15" t="str">
        <f>'2026 Orders'!I228</f>
        <v/>
      </c>
      <c r="J229" s="14">
        <f>'2026 Orders'!J228</f>
        <v>0</v>
      </c>
      <c r="K229">
        <v>0</v>
      </c>
      <c r="L229">
        <v>0</v>
      </c>
      <c r="N229" s="10">
        <f>'2026 Orders'!N228</f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C229" t="str">
        <f>IF(OR(B229="",B229=0),"",$AJ$2&amp;"/"&amp;J229)</f>
        <v/>
      </c>
      <c r="AD229" t="str">
        <f t="shared" si="3"/>
        <v/>
      </c>
    </row>
    <row r="230" spans="2:30" ht="33" hidden="1" customHeight="1" x14ac:dyDescent="0.3">
      <c r="B230" s="14" t="str">
        <f>'2026 Orders'!B229</f>
        <v>Kuwait</v>
      </c>
      <c r="C230" s="14" t="str">
        <f>'2026 Orders'!C229</f>
        <v>A4648</v>
      </c>
      <c r="D230" s="14" t="s">
        <v>1324</v>
      </c>
      <c r="E230" s="17" t="str" cm="1">
        <f t="array" ref="E230">IF(C230=0,"",
HYPERLINK(
"#'2026 Orders'!C"&amp;
MATCH(1,
('2026 Orders'!C:C=C230)*
('2026 Orders'!G:G=G230)*
('2026 Orders'!N:N=N230),
0),
"Open "&amp;C230
))</f>
        <v>Open A4648</v>
      </c>
      <c r="F230" s="14" t="s">
        <v>976</v>
      </c>
      <c r="G230" s="14" t="str">
        <f>'2026 Orders'!G229</f>
        <v>EYECAP-30-CS-KW</v>
      </c>
      <c r="H230" s="14" t="str">
        <f>'2026 Orders'!H229</f>
        <v>EYECAP-30</v>
      </c>
      <c r="I230" s="15" t="str">
        <f>'2026 Orders'!I229</f>
        <v>KW</v>
      </c>
      <c r="J230" s="14">
        <f>'2026 Orders'!J229</f>
        <v>5</v>
      </c>
      <c r="K230" t="s">
        <v>977</v>
      </c>
      <c r="L230">
        <v>5</v>
      </c>
      <c r="N230" s="10" t="str">
        <f>'2026 Orders'!N229</f>
        <v>ON HOLD</v>
      </c>
      <c r="O230" t="s">
        <v>1169</v>
      </c>
      <c r="P230" t="s">
        <v>1077</v>
      </c>
      <c r="Q230">
        <v>609788968344</v>
      </c>
      <c r="R230">
        <v>0</v>
      </c>
      <c r="S230">
        <v>4935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 t="s">
        <v>1086</v>
      </c>
      <c r="AC230" t="str">
        <f>IF(OR(B230="",B230=0),"",$AJ$2&amp;"/"&amp;J230)</f>
        <v>/5</v>
      </c>
      <c r="AD230" t="e">
        <f t="shared" si="3"/>
        <v>#VALUE!</v>
      </c>
    </row>
    <row r="231" spans="2:30" ht="33" hidden="1" customHeight="1" x14ac:dyDescent="0.3">
      <c r="B231" s="14">
        <f>'2026 Orders'!B230</f>
        <v>0</v>
      </c>
      <c r="C231" s="14">
        <f>'2026 Orders'!C230</f>
        <v>0</v>
      </c>
      <c r="D231" s="14" t="s">
        <v>1325</v>
      </c>
      <c r="E231" s="17" t="str" cm="1">
        <f t="array" ref="E231">IF(C231=0,"",
HYPERLINK(
"#'2026 Orders'!C"&amp;
MATCH(1,
('2026 Orders'!C:C=C231)*
('2026 Orders'!G:G=G231)*
('2026 Orders'!N:N=N231),
0),
"Open "&amp;C231
))</f>
        <v/>
      </c>
      <c r="F231" s="14" t="s">
        <v>978</v>
      </c>
      <c r="G231" s="14">
        <f>'2026 Orders'!G230</f>
        <v>0</v>
      </c>
      <c r="H231" s="14">
        <f>'2026 Orders'!H230</f>
        <v>0</v>
      </c>
      <c r="I231" s="15" t="str">
        <f>'2026 Orders'!I230</f>
        <v/>
      </c>
      <c r="J231" s="14">
        <f>'2026 Orders'!J230</f>
        <v>0</v>
      </c>
      <c r="K231" t="s">
        <v>548</v>
      </c>
      <c r="L231">
        <v>3</v>
      </c>
      <c r="N231" s="10">
        <f>'2026 Orders'!N230</f>
        <v>0</v>
      </c>
      <c r="O231" t="s">
        <v>1169</v>
      </c>
      <c r="P231" t="s">
        <v>1077</v>
      </c>
      <c r="Q231">
        <v>609788968092</v>
      </c>
      <c r="R231">
        <v>0</v>
      </c>
      <c r="S231">
        <v>4907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C231" t="str">
        <f>IF(OR(B231="",B231=0),"",$AJ$2&amp;"/"&amp;J231)</f>
        <v/>
      </c>
      <c r="AD231" t="str">
        <f t="shared" si="3"/>
        <v/>
      </c>
    </row>
    <row r="232" spans="2:30" ht="33" hidden="1" customHeight="1" x14ac:dyDescent="0.3">
      <c r="B232" s="14" t="str">
        <f>'2026 Orders'!B231</f>
        <v>Iraq</v>
      </c>
      <c r="C232" s="14" t="str">
        <f>'2026 Orders'!C231</f>
        <v>A4626</v>
      </c>
      <c r="D232" s="14">
        <v>0</v>
      </c>
      <c r="E232" s="17" t="str" cm="1">
        <f t="array" ref="E232">IF(C232=0,"",
HYPERLINK(
"#'2026 Orders'!C"&amp;
MATCH(1,
('2026 Orders'!C:C=C232)*
('2026 Orders'!G:G=G232)*
('2026 Orders'!N:N=N232),
0),
"Open "&amp;C232
))</f>
        <v>Open A4626</v>
      </c>
      <c r="F232" s="14">
        <v>0</v>
      </c>
      <c r="G232" s="14" t="str">
        <f>'2026 Orders'!G231</f>
        <v>CAVINAD-60-FD</v>
      </c>
      <c r="H232" s="14" t="str">
        <f>'2026 Orders'!H231</f>
        <v>CAVINAD-60</v>
      </c>
      <c r="I232" s="15" t="str">
        <f>'2026 Orders'!I231</f>
        <v>FD</v>
      </c>
      <c r="J232" s="14">
        <f>'2026 Orders'!J231</f>
        <v>4000</v>
      </c>
      <c r="K232">
        <v>0</v>
      </c>
      <c r="L232">
        <v>0</v>
      </c>
      <c r="N232" s="10" t="str">
        <f>'2026 Orders'!N231</f>
        <v>ON HOLD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C232" t="str">
        <f>IF(OR(B232="",B232=0),"",$AJ$2&amp;"/"&amp;J232)</f>
        <v>/4000</v>
      </c>
      <c r="AD232" t="e">
        <f t="shared" si="3"/>
        <v>#VALUE!</v>
      </c>
    </row>
    <row r="233" spans="2:30" ht="33" hidden="1" customHeight="1" x14ac:dyDescent="0.3">
      <c r="B233" s="14">
        <f>'2026 Orders'!B232</f>
        <v>0</v>
      </c>
      <c r="C233" s="14">
        <f>'2026 Orders'!C232</f>
        <v>0</v>
      </c>
      <c r="D233" s="14" t="s">
        <v>980</v>
      </c>
      <c r="E233" s="17" t="str" cm="1">
        <f t="array" ref="E233">IF(C233=0,"",
HYPERLINK(
"#'2026 Orders'!C"&amp;
MATCH(1,
('2026 Orders'!C:C=C233)*
('2026 Orders'!G:G=G233)*
('2026 Orders'!N:N=N233),
0),
"Open "&amp;C233
))</f>
        <v/>
      </c>
      <c r="F233" s="14">
        <v>0</v>
      </c>
      <c r="G233" s="14">
        <f>'2026 Orders'!G232</f>
        <v>0</v>
      </c>
      <c r="H233" s="14">
        <f>'2026 Orders'!H232</f>
        <v>0</v>
      </c>
      <c r="I233" s="15" t="str">
        <f>'2026 Orders'!I232</f>
        <v/>
      </c>
      <c r="J233" s="14">
        <f>'2026 Orders'!J232</f>
        <v>0</v>
      </c>
      <c r="K233" t="s">
        <v>977</v>
      </c>
      <c r="L233">
        <v>0</v>
      </c>
      <c r="N233" s="10">
        <f>'2026 Orders'!N232</f>
        <v>0</v>
      </c>
      <c r="O233">
        <v>0</v>
      </c>
      <c r="P233" t="s">
        <v>1077</v>
      </c>
      <c r="Q233">
        <v>609788968344</v>
      </c>
      <c r="R233">
        <v>9195</v>
      </c>
      <c r="S233">
        <v>5032</v>
      </c>
      <c r="T233" t="s">
        <v>1094</v>
      </c>
      <c r="U233" t="s">
        <v>1104</v>
      </c>
      <c r="V233">
        <v>0</v>
      </c>
      <c r="W233">
        <v>0</v>
      </c>
      <c r="X233">
        <v>0</v>
      </c>
      <c r="Y233">
        <v>0</v>
      </c>
      <c r="Z233" t="s">
        <v>1086</v>
      </c>
      <c r="AC233" t="str">
        <f>IF(OR(B233="",B233=0),"",$AJ$2&amp;"/"&amp;J233)</f>
        <v/>
      </c>
      <c r="AD233" t="str">
        <f t="shared" si="3"/>
        <v/>
      </c>
    </row>
    <row r="234" spans="2:30" ht="33" hidden="1" customHeight="1" x14ac:dyDescent="0.3">
      <c r="B234" s="14" t="str">
        <f>'2026 Orders'!B233</f>
        <v>Somalia</v>
      </c>
      <c r="C234" s="14" t="str">
        <f>'2026 Orders'!C233</f>
        <v>A4708</v>
      </c>
      <c r="D234" s="14">
        <v>0</v>
      </c>
      <c r="E234" s="17" t="str" cm="1">
        <f t="array" ref="E234">IF(C234=0,"",
HYPERLINK(
"#'2026 Orders'!C"&amp;
MATCH(1,
('2026 Orders'!C:C=C234)*
('2026 Orders'!G:G=G234)*
('2026 Orders'!N:N=N234),
0),
"Open "&amp;C234
))</f>
        <v>Open A4708</v>
      </c>
      <c r="F234" s="14">
        <v>0</v>
      </c>
      <c r="G234" s="14" t="str">
        <f>'2026 Orders'!G233</f>
        <v>DHEA50-60-FD</v>
      </c>
      <c r="H234" s="14" t="str">
        <f>'2026 Orders'!H233</f>
        <v>DHEA50-60</v>
      </c>
      <c r="I234" s="15" t="str">
        <f>'2026 Orders'!I233</f>
        <v>FD</v>
      </c>
      <c r="J234" s="14">
        <f>'2026 Orders'!J233</f>
        <v>1320</v>
      </c>
      <c r="K234" t="s">
        <v>981</v>
      </c>
      <c r="L234">
        <v>0</v>
      </c>
      <c r="N234" s="10" t="str">
        <f>'2026 Orders'!N233</f>
        <v>In Production</v>
      </c>
      <c r="O234">
        <v>0</v>
      </c>
      <c r="P234" t="s">
        <v>1077</v>
      </c>
      <c r="Q234">
        <v>609788968351</v>
      </c>
      <c r="R234">
        <v>7572</v>
      </c>
      <c r="S234">
        <v>5043</v>
      </c>
      <c r="T234">
        <v>46286</v>
      </c>
      <c r="U234" t="s">
        <v>1089</v>
      </c>
      <c r="V234">
        <v>0</v>
      </c>
      <c r="W234">
        <v>0</v>
      </c>
      <c r="X234">
        <v>0</v>
      </c>
      <c r="Y234">
        <v>0</v>
      </c>
      <c r="Z234">
        <v>0</v>
      </c>
      <c r="AC234" t="str">
        <f>IF(OR(B234="",B234=0),"",$AJ$2&amp;"/"&amp;J234)</f>
        <v>/1320</v>
      </c>
      <c r="AD234" t="e">
        <f t="shared" si="3"/>
        <v>#VALUE!</v>
      </c>
    </row>
    <row r="235" spans="2:30" ht="33" hidden="1" customHeight="1" x14ac:dyDescent="0.3">
      <c r="B235" s="14">
        <f>'2026 Orders'!B234</f>
        <v>0</v>
      </c>
      <c r="C235" s="14">
        <f>'2026 Orders'!C234</f>
        <v>0</v>
      </c>
      <c r="D235" s="14">
        <v>0</v>
      </c>
      <c r="E235" s="17" t="str" cm="1">
        <f t="array" ref="E235">IF(C235=0,"",
HYPERLINK(
"#'2026 Orders'!C"&amp;
MATCH(1,
('2026 Orders'!C:C=C235)*
('2026 Orders'!G:G=G235)*
('2026 Orders'!N:N=N235),
0),
"Open "&amp;C235
))</f>
        <v/>
      </c>
      <c r="F235" s="14">
        <v>0</v>
      </c>
      <c r="G235" s="14">
        <f>'2026 Orders'!G234</f>
        <v>0</v>
      </c>
      <c r="H235" s="14">
        <f>'2026 Orders'!H234</f>
        <v>0</v>
      </c>
      <c r="I235" s="15" t="str">
        <f>'2026 Orders'!I234</f>
        <v/>
      </c>
      <c r="J235" s="14">
        <f>'2026 Orders'!J234</f>
        <v>0</v>
      </c>
      <c r="K235" t="s">
        <v>982</v>
      </c>
      <c r="L235">
        <v>0</v>
      </c>
      <c r="N235" s="10">
        <f>'2026 Orders'!N234</f>
        <v>0</v>
      </c>
      <c r="O235">
        <v>0</v>
      </c>
      <c r="P235" t="s">
        <v>1077</v>
      </c>
      <c r="Q235">
        <v>609788968375</v>
      </c>
      <c r="R235">
        <v>5000</v>
      </c>
      <c r="S235">
        <v>5060</v>
      </c>
      <c r="T235" t="s">
        <v>1094</v>
      </c>
      <c r="U235" t="s">
        <v>1095</v>
      </c>
      <c r="V235">
        <v>0</v>
      </c>
      <c r="W235">
        <v>0</v>
      </c>
      <c r="X235">
        <v>0</v>
      </c>
      <c r="Y235">
        <v>0</v>
      </c>
      <c r="Z235">
        <v>0</v>
      </c>
      <c r="AC235" t="str">
        <f>IF(OR(B235="",B235=0),"",$AJ$2&amp;"/"&amp;J235)</f>
        <v/>
      </c>
      <c r="AD235" t="str">
        <f t="shared" si="3"/>
        <v/>
      </c>
    </row>
    <row r="236" spans="2:30" ht="33" hidden="1" customHeight="1" x14ac:dyDescent="0.3">
      <c r="B236" s="14" t="str">
        <f>'2026 Orders'!B235</f>
        <v>Qatar</v>
      </c>
      <c r="C236" s="14" t="str">
        <f>'2026 Orders'!C235</f>
        <v>A4693</v>
      </c>
      <c r="D236" s="14">
        <v>0</v>
      </c>
      <c r="E236" s="17" t="str" cm="1">
        <f t="array" ref="E236">IF(C236=0,"",
HYPERLINK(
"#'2026 Orders'!C"&amp;
MATCH(1,
('2026 Orders'!C:C=C236)*
('2026 Orders'!G:G=G236)*
('2026 Orders'!N:N=N236),
0),
"Open "&amp;C236
))</f>
        <v>Open A4693</v>
      </c>
      <c r="F236" s="14">
        <v>0</v>
      </c>
      <c r="G236" s="14" t="str">
        <f>'2026 Orders'!G235</f>
        <v>MFSPLS-120-CS-QT</v>
      </c>
      <c r="H236" s="14" t="str">
        <f>'2026 Orders'!H235</f>
        <v>MFSPLS-120</v>
      </c>
      <c r="I236" s="15" t="str">
        <f>'2026 Orders'!I235</f>
        <v>QT</v>
      </c>
      <c r="J236" s="14">
        <f>'2026 Orders'!J235</f>
        <v>1008</v>
      </c>
      <c r="K236" t="s">
        <v>621</v>
      </c>
      <c r="L236">
        <v>998</v>
      </c>
      <c r="N236" s="10" t="str">
        <f>'2026 Orders'!N235</f>
        <v>D/W Sent</v>
      </c>
      <c r="O236">
        <v>0</v>
      </c>
      <c r="P236" t="s">
        <v>1085</v>
      </c>
      <c r="Q236" t="s">
        <v>1167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C236" t="str">
        <f>IF(OR(B236="",B236=0),"",$AJ$2&amp;"/"&amp;J236)</f>
        <v>/1008</v>
      </c>
      <c r="AD236" t="e">
        <f t="shared" si="3"/>
        <v>#VALUE!</v>
      </c>
    </row>
    <row r="237" spans="2:30" ht="33" hidden="1" customHeight="1" x14ac:dyDescent="0.3">
      <c r="B237" s="14" t="str">
        <f>'2026 Orders'!B236</f>
        <v>Qatar</v>
      </c>
      <c r="C237" s="14" t="str">
        <f>'2026 Orders'!C236</f>
        <v>A4693</v>
      </c>
      <c r="D237" s="14">
        <v>0</v>
      </c>
      <c r="E237" s="17" t="str" cm="1">
        <f t="array" ref="E237">IF(C237=0,"",
HYPERLINK(
"#'2026 Orders'!C"&amp;
MATCH(1,
('2026 Orders'!C:C=C237)*
('2026 Orders'!G:G=G237)*
('2026 Orders'!N:N=N237),
0),
"Open "&amp;C237
))</f>
        <v>Open A4693</v>
      </c>
      <c r="F237" s="14">
        <v>0</v>
      </c>
      <c r="G237" s="14" t="str">
        <f>'2026 Orders'!G236</f>
        <v>MFSPLS-120-CS-QT</v>
      </c>
      <c r="H237" s="14" t="str">
        <f>'2026 Orders'!H236</f>
        <v>MFSPLS-120</v>
      </c>
      <c r="I237" s="15" t="str">
        <f>'2026 Orders'!I236</f>
        <v>QT</v>
      </c>
      <c r="J237" s="14">
        <f>'2026 Orders'!J236</f>
        <v>598</v>
      </c>
      <c r="K237" t="s">
        <v>453</v>
      </c>
      <c r="L237">
        <v>0</v>
      </c>
      <c r="N237" s="10" t="str">
        <f>'2026 Orders'!N236</f>
        <v>D/W Sent</v>
      </c>
      <c r="O237">
        <v>0</v>
      </c>
      <c r="P237" t="s">
        <v>1077</v>
      </c>
      <c r="Q237">
        <v>609788968221</v>
      </c>
      <c r="R237">
        <v>7000</v>
      </c>
      <c r="S237">
        <v>5027</v>
      </c>
      <c r="T237" t="s">
        <v>1079</v>
      </c>
      <c r="U237" t="s">
        <v>1092</v>
      </c>
      <c r="V237">
        <v>0</v>
      </c>
      <c r="W237">
        <v>0</v>
      </c>
      <c r="X237">
        <v>0</v>
      </c>
      <c r="Y237">
        <v>0</v>
      </c>
      <c r="Z237">
        <v>0</v>
      </c>
      <c r="AC237" t="str">
        <f>IF(OR(B237="",B237=0),"",$AJ$2&amp;"/"&amp;J237)</f>
        <v>/598</v>
      </c>
      <c r="AD237" t="e">
        <f t="shared" si="3"/>
        <v>#VALUE!</v>
      </c>
    </row>
    <row r="238" spans="2:30" ht="33" hidden="1" customHeight="1" x14ac:dyDescent="0.3">
      <c r="B238" s="14" t="str">
        <f>'2026 Orders'!B237</f>
        <v>Qatar</v>
      </c>
      <c r="C238" s="14" t="str">
        <f>'2026 Orders'!C237</f>
        <v>A4693</v>
      </c>
      <c r="D238" s="14">
        <v>0</v>
      </c>
      <c r="E238" s="17" t="str" cm="1">
        <f t="array" ref="E238">IF(C238=0,"",
HYPERLINK(
"#'2026 Orders'!C"&amp;
MATCH(1,
('2026 Orders'!C:C=C238)*
('2026 Orders'!G:G=G238)*
('2026 Orders'!N:N=N238),
0),
"Open "&amp;C238
))</f>
        <v>Open A4693</v>
      </c>
      <c r="F238" s="14" t="s">
        <v>983</v>
      </c>
      <c r="G238" s="14" t="str">
        <f>'2026 Orders'!G237</f>
        <v>MOTILMX-60-CS-QT</v>
      </c>
      <c r="H238" s="14" t="str">
        <f>'2026 Orders'!H237</f>
        <v>MOTILMX-60</v>
      </c>
      <c r="I238" s="15" t="str">
        <f>'2026 Orders'!I237</f>
        <v>QT</v>
      </c>
      <c r="J238" s="14">
        <f>'2026 Orders'!J237</f>
        <v>2200</v>
      </c>
      <c r="K238" t="s">
        <v>513</v>
      </c>
      <c r="L238">
        <v>1396</v>
      </c>
      <c r="N238" s="10" t="str">
        <f>'2026 Orders'!N237</f>
        <v>D/W Sent</v>
      </c>
      <c r="O238">
        <v>0</v>
      </c>
      <c r="P238" t="s">
        <v>1077</v>
      </c>
      <c r="Q238">
        <v>609788968467</v>
      </c>
      <c r="R238">
        <v>4000</v>
      </c>
      <c r="S238">
        <v>4808</v>
      </c>
      <c r="T238" t="s">
        <v>1079</v>
      </c>
      <c r="U238" t="s">
        <v>1170</v>
      </c>
      <c r="V238">
        <v>0</v>
      </c>
      <c r="W238">
        <v>0</v>
      </c>
      <c r="X238">
        <v>0</v>
      </c>
      <c r="Y238">
        <v>0</v>
      </c>
      <c r="Z238">
        <v>0</v>
      </c>
      <c r="AC238" t="str">
        <f>IF(OR(B238="",B238=0),"",$AJ$2&amp;"/"&amp;J238)</f>
        <v>/2200</v>
      </c>
      <c r="AD238" t="e">
        <f t="shared" si="3"/>
        <v>#VALUE!</v>
      </c>
    </row>
    <row r="239" spans="2:30" ht="33" hidden="1" customHeight="1" x14ac:dyDescent="0.3">
      <c r="B239" s="14">
        <f>'2026 Orders'!B238</f>
        <v>0</v>
      </c>
      <c r="C239" s="14">
        <f>'2026 Orders'!C238</f>
        <v>0</v>
      </c>
      <c r="D239" s="14">
        <v>0</v>
      </c>
      <c r="E239" s="17" t="str" cm="1">
        <f t="array" ref="E239">IF(C239=0,"",
HYPERLINK(
"#'2026 Orders'!C"&amp;
MATCH(1,
('2026 Orders'!C:C=C239)*
('2026 Orders'!G:G=G239)*
('2026 Orders'!N:N=N239),
0),
"Open "&amp;C239
))</f>
        <v/>
      </c>
      <c r="F239" s="14" t="s">
        <v>1262</v>
      </c>
      <c r="G239" s="14">
        <f>'2026 Orders'!G238</f>
        <v>0</v>
      </c>
      <c r="H239" s="14">
        <f>'2026 Orders'!H238</f>
        <v>0</v>
      </c>
      <c r="I239" s="15" t="str">
        <f>'2026 Orders'!I238</f>
        <v/>
      </c>
      <c r="J239" s="14">
        <f>'2026 Orders'!J238</f>
        <v>0</v>
      </c>
      <c r="K239" t="s">
        <v>513</v>
      </c>
      <c r="L239">
        <v>851</v>
      </c>
      <c r="N239" s="10">
        <f>'2026 Orders'!N238</f>
        <v>0</v>
      </c>
      <c r="O239">
        <v>0</v>
      </c>
      <c r="P239" t="s">
        <v>1077</v>
      </c>
      <c r="Q239">
        <v>609788968467</v>
      </c>
      <c r="R239">
        <v>4000</v>
      </c>
      <c r="S239">
        <v>4808</v>
      </c>
      <c r="T239" t="s">
        <v>1079</v>
      </c>
      <c r="U239" t="s">
        <v>1170</v>
      </c>
      <c r="V239">
        <v>0</v>
      </c>
      <c r="W239">
        <v>0</v>
      </c>
      <c r="X239">
        <v>0</v>
      </c>
      <c r="Y239">
        <v>0</v>
      </c>
      <c r="Z239">
        <v>0</v>
      </c>
      <c r="AC239" t="str">
        <f>IF(OR(B239="",B239=0),"",$AJ$2&amp;"/"&amp;J239)</f>
        <v/>
      </c>
      <c r="AD239" t="str">
        <f t="shared" si="3"/>
        <v/>
      </c>
    </row>
    <row r="240" spans="2:30" ht="33" hidden="1" customHeight="1" x14ac:dyDescent="0.3">
      <c r="B240" s="14" t="str">
        <f>'2026 Orders'!B239</f>
        <v>Qatar</v>
      </c>
      <c r="C240" s="14" t="str">
        <f>'2026 Orders'!C239</f>
        <v>A4701</v>
      </c>
      <c r="D240" s="14">
        <v>0</v>
      </c>
      <c r="E240" s="17" t="str" cm="1">
        <f t="array" ref="E240">IF(C240=0,"",
HYPERLINK(
"#'2026 Orders'!C"&amp;
MATCH(1,
('2026 Orders'!C:C=C240)*
('2026 Orders'!G:G=G240)*
('2026 Orders'!N:N=N240),
0),
"Open "&amp;C240
))</f>
        <v>Open A4701</v>
      </c>
      <c r="F240" s="14">
        <v>0</v>
      </c>
      <c r="G240" s="14" t="str">
        <f>'2026 Orders'!G239</f>
        <v>MFSPLS-120-CS-QT</v>
      </c>
      <c r="H240" s="14" t="str">
        <f>'2026 Orders'!H239</f>
        <v>MFSPLS-120</v>
      </c>
      <c r="I240" s="15" t="str">
        <f>'2026 Orders'!I239</f>
        <v>QT</v>
      </c>
      <c r="J240" s="14">
        <f>'2026 Orders'!J239</f>
        <v>44</v>
      </c>
      <c r="K240" t="s">
        <v>984</v>
      </c>
      <c r="L240">
        <v>0</v>
      </c>
      <c r="N240" s="10" t="str">
        <f>'2026 Orders'!N239</f>
        <v>In Production</v>
      </c>
      <c r="O240">
        <v>0</v>
      </c>
      <c r="P240" t="s">
        <v>1077</v>
      </c>
      <c r="Q240">
        <v>609788968399</v>
      </c>
      <c r="R240">
        <v>10775</v>
      </c>
      <c r="S240">
        <v>5055</v>
      </c>
      <c r="T240">
        <v>46250</v>
      </c>
      <c r="U240" t="s">
        <v>1091</v>
      </c>
      <c r="V240">
        <v>0</v>
      </c>
      <c r="W240">
        <v>0</v>
      </c>
      <c r="X240">
        <v>0</v>
      </c>
      <c r="Y240">
        <v>0</v>
      </c>
      <c r="Z240">
        <v>0</v>
      </c>
      <c r="AC240" t="str">
        <f>IF(OR(B240="",B240=0),"",$AJ$2&amp;"/"&amp;J240)</f>
        <v>/44</v>
      </c>
      <c r="AD240" t="e">
        <f t="shared" si="3"/>
        <v>#VALUE!</v>
      </c>
    </row>
    <row r="241" spans="2:30" ht="33" hidden="1" customHeight="1" x14ac:dyDescent="0.3">
      <c r="B241" s="14">
        <f>'2026 Orders'!B240</f>
        <v>0</v>
      </c>
      <c r="C241" s="14">
        <f>'2026 Orders'!C240</f>
        <v>0</v>
      </c>
      <c r="D241" s="14">
        <v>0</v>
      </c>
      <c r="E241" s="17" t="str" cm="1">
        <f t="array" ref="E241">IF(C241=0,"",
HYPERLINK(
"#'2026 Orders'!C"&amp;
MATCH(1,
('2026 Orders'!C:C=C241)*
('2026 Orders'!G:G=G241)*
('2026 Orders'!N:N=N241),
0),
"Open "&amp;C241
))</f>
        <v/>
      </c>
      <c r="F241" s="14">
        <v>0</v>
      </c>
      <c r="G241" s="14">
        <f>'2026 Orders'!G240</f>
        <v>0</v>
      </c>
      <c r="H241" s="14">
        <f>'2026 Orders'!H240</f>
        <v>0</v>
      </c>
      <c r="I241" s="15" t="str">
        <f>'2026 Orders'!I240</f>
        <v/>
      </c>
      <c r="J241" s="14">
        <f>'2026 Orders'!J240</f>
        <v>0</v>
      </c>
      <c r="K241">
        <v>0</v>
      </c>
      <c r="L241">
        <v>0</v>
      </c>
      <c r="N241" s="10">
        <f>'2026 Orders'!N240</f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C241" t="str">
        <f>IF(OR(B241="",B241=0),"",$AJ$2&amp;"/"&amp;J241)</f>
        <v/>
      </c>
      <c r="AD241" t="str">
        <f t="shared" si="3"/>
        <v/>
      </c>
    </row>
    <row r="242" spans="2:30" ht="33" hidden="1" customHeight="1" x14ac:dyDescent="0.3">
      <c r="B242" s="14" t="str">
        <f>'2026 Orders'!B241</f>
        <v>KSA</v>
      </c>
      <c r="C242" s="14" t="str">
        <f>'2026 Orders'!C241</f>
        <v>A4654</v>
      </c>
      <c r="D242" s="14" t="s">
        <v>987</v>
      </c>
      <c r="E242" s="17" t="str" cm="1">
        <f t="array" ref="E242">IF(C242=0,"",
HYPERLINK(
"#'2026 Orders'!C"&amp;
MATCH(1,
('2026 Orders'!C:C=C242)*
('2026 Orders'!G:G=G242)*
('2026 Orders'!N:N=N242),
0),
"Open "&amp;C242
))</f>
        <v>Open A4654</v>
      </c>
      <c r="F242" s="14" t="s">
        <v>989</v>
      </c>
      <c r="G242" s="14" t="str">
        <f>'2026 Orders'!G241</f>
        <v>WFSPLS-180-FD</v>
      </c>
      <c r="H242" s="14" t="str">
        <f>'2026 Orders'!H241</f>
        <v>WFSPLS-180</v>
      </c>
      <c r="I242" s="15" t="str">
        <f>'2026 Orders'!I241</f>
        <v>FD</v>
      </c>
      <c r="J242" s="14">
        <f>'2026 Orders'!J241</f>
        <v>48</v>
      </c>
      <c r="K242" t="s">
        <v>441</v>
      </c>
      <c r="L242">
        <v>488</v>
      </c>
      <c r="N242" s="10" t="str">
        <f>'2026 Orders'!N241</f>
        <v>D/W Sent</v>
      </c>
      <c r="O242" t="s">
        <v>1171</v>
      </c>
      <c r="P242" t="s">
        <v>1085</v>
      </c>
      <c r="Q242">
        <v>609788968726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 t="s">
        <v>1086</v>
      </c>
      <c r="AC242" t="str">
        <f>IF(OR(B242="",B242=0),"",$AJ$2&amp;"/"&amp;J242)</f>
        <v>/48</v>
      </c>
      <c r="AD242" t="e">
        <f t="shared" si="3"/>
        <v>#VALUE!</v>
      </c>
    </row>
    <row r="243" spans="2:30" ht="33" hidden="1" customHeight="1" x14ac:dyDescent="0.3">
      <c r="B243" s="14" t="str">
        <f>'2026 Orders'!B242</f>
        <v>KSA</v>
      </c>
      <c r="C243" s="14" t="str">
        <f>'2026 Orders'!C242</f>
        <v>A4654</v>
      </c>
      <c r="D243" s="14">
        <v>0</v>
      </c>
      <c r="E243" s="17" t="str" cm="1">
        <f t="array" ref="E243">IF(C243=0,"",
HYPERLINK(
"#'2026 Orders'!C"&amp;
MATCH(1,
('2026 Orders'!C:C=C243)*
('2026 Orders'!G:G=G243)*
('2026 Orders'!N:N=N243),
0),
"Open "&amp;C243
))</f>
        <v>Open A4654</v>
      </c>
      <c r="F243" s="14">
        <v>0</v>
      </c>
      <c r="G243" s="14" t="str">
        <f>'2026 Orders'!G242</f>
        <v>EYECAP-30-FD</v>
      </c>
      <c r="H243" s="14" t="str">
        <f>'2026 Orders'!H242</f>
        <v>EYECAP-30</v>
      </c>
      <c r="I243" s="15" t="str">
        <f>'2026 Orders'!I242</f>
        <v>FD</v>
      </c>
      <c r="J243" s="14">
        <f>'2026 Orders'!J242</f>
        <v>72</v>
      </c>
      <c r="K243">
        <v>0</v>
      </c>
      <c r="L243">
        <v>0</v>
      </c>
      <c r="N243" s="10" t="str">
        <f>'2026 Orders'!N242</f>
        <v>D/W Sent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C243" t="str">
        <f>IF(OR(B243="",B243=0),"",$AJ$2&amp;"/"&amp;J243)</f>
        <v>/72</v>
      </c>
      <c r="AD243" t="e">
        <f t="shared" si="3"/>
        <v>#VALUE!</v>
      </c>
    </row>
    <row r="244" spans="2:30" ht="33" hidden="1" customHeight="1" x14ac:dyDescent="0.3">
      <c r="B244" s="14" t="str">
        <f>'2026 Orders'!B243</f>
        <v>KSA</v>
      </c>
      <c r="C244" s="14" t="str">
        <f>'2026 Orders'!C243</f>
        <v>A4654</v>
      </c>
      <c r="D244" s="14" t="s">
        <v>991</v>
      </c>
      <c r="E244" s="17" t="str" cm="1">
        <f t="array" ref="E244">IF(C244=0,"",
HYPERLINK(
"#'2026 Orders'!C"&amp;
MATCH(1,
('2026 Orders'!C:C=C244)*
('2026 Orders'!G:G=G244)*
('2026 Orders'!N:N=N244),
0),
"Open "&amp;C244
))</f>
        <v>Open A4654</v>
      </c>
      <c r="F244" s="14">
        <v>0</v>
      </c>
      <c r="G244" s="14" t="str">
        <f>'2026 Orders'!G243</f>
        <v>PEARLY-60-FD</v>
      </c>
      <c r="H244" s="14" t="str">
        <f>'2026 Orders'!H243</f>
        <v>PEARLY-60</v>
      </c>
      <c r="I244" s="15" t="str">
        <f>'2026 Orders'!I243</f>
        <v>FD</v>
      </c>
      <c r="J244" s="14">
        <f>'2026 Orders'!J243</f>
        <v>120</v>
      </c>
      <c r="K244" t="s">
        <v>623</v>
      </c>
      <c r="L244">
        <v>168</v>
      </c>
      <c r="N244" s="10" t="str">
        <f>'2026 Orders'!N243</f>
        <v>D/W Sent</v>
      </c>
      <c r="O244">
        <v>0</v>
      </c>
      <c r="P244" t="s">
        <v>1077</v>
      </c>
      <c r="Q244">
        <v>609788968498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 t="s">
        <v>1086</v>
      </c>
      <c r="AC244" t="str">
        <f>IF(OR(B244="",B244=0),"",$AJ$2&amp;"/"&amp;J244)</f>
        <v>/120</v>
      </c>
      <c r="AD244" t="e">
        <f t="shared" si="3"/>
        <v>#VALUE!</v>
      </c>
    </row>
    <row r="245" spans="2:30" ht="33" hidden="1" customHeight="1" x14ac:dyDescent="0.3">
      <c r="B245" s="14" t="str">
        <f>'2026 Orders'!B244</f>
        <v>KSA</v>
      </c>
      <c r="C245" s="14" t="str">
        <f>'2026 Orders'!C244</f>
        <v>A4654</v>
      </c>
      <c r="D245" s="14">
        <v>0</v>
      </c>
      <c r="E245" s="17" t="str" cm="1">
        <f t="array" ref="E245">IF(C245=0,"",
HYPERLINK(
"#'2026 Orders'!C"&amp;
MATCH(1,
('2026 Orders'!C:C=C245)*
('2026 Orders'!G:G=G245)*
('2026 Orders'!N:N=N245),
0),
"Open "&amp;C245
))</f>
        <v>Open A4654</v>
      </c>
      <c r="F245" s="14">
        <v>0</v>
      </c>
      <c r="G245" s="14" t="str">
        <f>'2026 Orders'!G244</f>
        <v>PEARLY-60-FD</v>
      </c>
      <c r="H245" s="14" t="str">
        <f>'2026 Orders'!H244</f>
        <v>PEARLY-60</v>
      </c>
      <c r="I245" s="15" t="str">
        <f>'2026 Orders'!I244</f>
        <v>FD</v>
      </c>
      <c r="J245" s="14">
        <f>'2026 Orders'!J244</f>
        <v>24</v>
      </c>
      <c r="K245" t="s">
        <v>438</v>
      </c>
      <c r="L245">
        <v>0</v>
      </c>
      <c r="N245" s="10" t="str">
        <f>'2026 Orders'!N244</f>
        <v>D/W Sent</v>
      </c>
      <c r="O245">
        <v>0</v>
      </c>
      <c r="P245" t="s">
        <v>1077</v>
      </c>
      <c r="Q245">
        <v>609788968351</v>
      </c>
      <c r="R245">
        <v>7572</v>
      </c>
      <c r="S245">
        <v>5043</v>
      </c>
      <c r="T245">
        <v>46286</v>
      </c>
      <c r="U245" t="s">
        <v>1089</v>
      </c>
      <c r="V245">
        <v>0</v>
      </c>
      <c r="W245">
        <v>0</v>
      </c>
      <c r="X245">
        <v>0</v>
      </c>
      <c r="Y245">
        <v>0</v>
      </c>
      <c r="Z245">
        <v>0</v>
      </c>
      <c r="AC245" t="str">
        <f>IF(OR(B245="",B245=0),"",$AJ$2&amp;"/"&amp;J245)</f>
        <v>/24</v>
      </c>
      <c r="AD245" t="e">
        <f t="shared" si="3"/>
        <v>#VALUE!</v>
      </c>
    </row>
    <row r="246" spans="2:30" ht="33" hidden="1" customHeight="1" x14ac:dyDescent="0.3">
      <c r="B246" s="14" t="str">
        <f>'2026 Orders'!B245</f>
        <v>KSA</v>
      </c>
      <c r="C246" s="14" t="str">
        <f>'2026 Orders'!C245</f>
        <v>A4654</v>
      </c>
      <c r="D246" s="14">
        <v>0</v>
      </c>
      <c r="E246" s="17" t="str" cm="1">
        <f t="array" ref="E246">IF(C246=0,"",
HYPERLINK(
"#'2026 Orders'!C"&amp;
MATCH(1,
('2026 Orders'!C:C=C246)*
('2026 Orders'!G:G=G246)*
('2026 Orders'!N:N=N246),
0),
"Open "&amp;C246
))</f>
        <v>Open A4654</v>
      </c>
      <c r="F246" s="14">
        <v>0</v>
      </c>
      <c r="G246" s="14" t="str">
        <f>'2026 Orders'!G245</f>
        <v>QWELL4-30-SG-FD</v>
      </c>
      <c r="H246" s="14" t="str">
        <f>'2026 Orders'!H245</f>
        <v>QWELL4-30</v>
      </c>
      <c r="I246" s="15" t="str">
        <f>'2026 Orders'!I245</f>
        <v>FD</v>
      </c>
      <c r="J246" s="14">
        <f>'2026 Orders'!J245</f>
        <v>144</v>
      </c>
      <c r="K246" t="s">
        <v>435</v>
      </c>
      <c r="L246">
        <v>24</v>
      </c>
      <c r="N246" s="10" t="str">
        <f>'2026 Orders'!N245</f>
        <v>D/W Sent</v>
      </c>
      <c r="O246">
        <v>0</v>
      </c>
      <c r="P246" t="s">
        <v>1077</v>
      </c>
      <c r="Q246">
        <v>609788968405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C246" t="str">
        <f>IF(OR(B246="",B246=0),"",$AJ$2&amp;"/"&amp;J246)</f>
        <v>/144</v>
      </c>
      <c r="AD246" t="e">
        <f t="shared" si="3"/>
        <v>#VALUE!</v>
      </c>
    </row>
    <row r="247" spans="2:30" ht="33" hidden="1" customHeight="1" x14ac:dyDescent="0.3">
      <c r="B247" s="14" t="str">
        <f>'2026 Orders'!B246</f>
        <v>KSA</v>
      </c>
      <c r="C247" s="14" t="str">
        <f>'2026 Orders'!C246</f>
        <v>A4654</v>
      </c>
      <c r="D247" s="14">
        <v>0</v>
      </c>
      <c r="E247" s="17" t="str" cm="1">
        <f t="array" ref="E247">IF(C247=0,"",
HYPERLINK(
"#'2026 Orders'!C"&amp;
MATCH(1,
('2026 Orders'!C:C=C247)*
('2026 Orders'!G:G=G247)*
('2026 Orders'!N:N=N247),
0),
"Open "&amp;C247
))</f>
        <v>Open A4654</v>
      </c>
      <c r="F247" s="14">
        <v>0</v>
      </c>
      <c r="G247" s="14" t="str">
        <f>'2026 Orders'!G246</f>
        <v>PRECON-90-FD</v>
      </c>
      <c r="H247" s="14" t="str">
        <f>'2026 Orders'!H246</f>
        <v>PRECON-90</v>
      </c>
      <c r="I247" s="15" t="str">
        <f>'2026 Orders'!I246</f>
        <v>FD</v>
      </c>
      <c r="J247" s="14">
        <f>'2026 Orders'!J246</f>
        <v>72</v>
      </c>
      <c r="K247" t="s">
        <v>447</v>
      </c>
      <c r="L247">
        <v>312</v>
      </c>
      <c r="N247" s="10" t="str">
        <f>'2026 Orders'!N246</f>
        <v>D/W Sent</v>
      </c>
      <c r="O247">
        <v>0</v>
      </c>
      <c r="P247" t="s">
        <v>1077</v>
      </c>
      <c r="Q247">
        <v>810131199586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C247" t="str">
        <f>IF(OR(B247="",B247=0),"",$AJ$2&amp;"/"&amp;J247)</f>
        <v>/72</v>
      </c>
      <c r="AD247" t="e">
        <f t="shared" si="3"/>
        <v>#VALUE!</v>
      </c>
    </row>
    <row r="248" spans="2:30" ht="33" hidden="1" customHeight="1" x14ac:dyDescent="0.3">
      <c r="B248" s="14" t="str">
        <f>'2026 Orders'!B247</f>
        <v>KSA</v>
      </c>
      <c r="C248" s="14" t="str">
        <f>'2026 Orders'!C247</f>
        <v>A4654</v>
      </c>
      <c r="D248" s="14">
        <v>0</v>
      </c>
      <c r="E248" s="17" t="str" cm="1">
        <f t="array" ref="E248">IF(C248=0,"",
HYPERLINK(
"#'2026 Orders'!C"&amp;
MATCH(1,
('2026 Orders'!C:C=C248)*
('2026 Orders'!G:G=G248)*
('2026 Orders'!N:N=N248),
0),
"Open "&amp;C248
))</f>
        <v>Open A4654</v>
      </c>
      <c r="F248" s="14" t="s">
        <v>1263</v>
      </c>
      <c r="G248" s="14" t="str">
        <f>'2026 Orders'!G247</f>
        <v>DHEA25-60-FD</v>
      </c>
      <c r="H248" s="14" t="str">
        <f>'2026 Orders'!H247</f>
        <v>DHEA25-60</v>
      </c>
      <c r="I248" s="15" t="str">
        <f>'2026 Orders'!I247</f>
        <v>FD</v>
      </c>
      <c r="J248" s="14">
        <f>'2026 Orders'!J247</f>
        <v>160</v>
      </c>
      <c r="K248" t="s">
        <v>441</v>
      </c>
      <c r="L248">
        <v>0</v>
      </c>
      <c r="N248" s="10" t="str">
        <f>'2026 Orders'!N247</f>
        <v>D/W Sent</v>
      </c>
      <c r="O248" t="s">
        <v>1172</v>
      </c>
      <c r="P248" t="s">
        <v>1085</v>
      </c>
      <c r="Q248">
        <v>609788968726</v>
      </c>
      <c r="R248">
        <v>5000</v>
      </c>
      <c r="S248">
        <v>5041</v>
      </c>
      <c r="T248">
        <v>46248</v>
      </c>
      <c r="U248" t="s">
        <v>1090</v>
      </c>
      <c r="V248">
        <v>0</v>
      </c>
      <c r="W248">
        <v>0</v>
      </c>
      <c r="X248">
        <v>0</v>
      </c>
      <c r="Y248">
        <v>0</v>
      </c>
      <c r="Z248">
        <v>0</v>
      </c>
      <c r="AC248" t="str">
        <f>IF(OR(B248="",B248=0),"",$AJ$2&amp;"/"&amp;J248)</f>
        <v>/160</v>
      </c>
      <c r="AD248" t="e">
        <f t="shared" si="3"/>
        <v>#VALUE!</v>
      </c>
    </row>
    <row r="249" spans="2:30" ht="33" hidden="1" customHeight="1" x14ac:dyDescent="0.3">
      <c r="B249" s="14" t="str">
        <f>'2026 Orders'!B248</f>
        <v>KSA</v>
      </c>
      <c r="C249" s="14" t="str">
        <f>'2026 Orders'!C248</f>
        <v>A4654</v>
      </c>
      <c r="D249" s="14">
        <v>0</v>
      </c>
      <c r="E249" s="17" t="str" cm="1">
        <f t="array" ref="E249">IF(C249=0,"",
HYPERLINK(
"#'2026 Orders'!C"&amp;
MATCH(1,
('2026 Orders'!C:C=C249)*
('2026 Orders'!G:G=G249)*
('2026 Orders'!N:N=N249),
0),
"Open "&amp;C249
))</f>
        <v>Open A4654</v>
      </c>
      <c r="F249" s="14">
        <v>0</v>
      </c>
      <c r="G249" s="14" t="str">
        <f>'2026 Orders'!G248</f>
        <v>DHEA25-60-FD</v>
      </c>
      <c r="H249" s="14" t="str">
        <f>'2026 Orders'!H248</f>
        <v>DHEA25-60</v>
      </c>
      <c r="I249" s="15" t="str">
        <f>'2026 Orders'!I248</f>
        <v>FD</v>
      </c>
      <c r="J249" s="14">
        <f>'2026 Orders'!J248</f>
        <v>240</v>
      </c>
      <c r="K249" t="s">
        <v>443</v>
      </c>
      <c r="L249">
        <v>24</v>
      </c>
      <c r="N249" s="10" t="str">
        <f>'2026 Orders'!N248</f>
        <v>D/W Sent</v>
      </c>
      <c r="O249">
        <v>0</v>
      </c>
      <c r="P249" t="s">
        <v>1077</v>
      </c>
      <c r="Q249">
        <v>609788968368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C249" t="str">
        <f>IF(OR(B249="",B249=0),"",$AJ$2&amp;"/"&amp;J249)</f>
        <v>/240</v>
      </c>
      <c r="AD249" t="e">
        <f t="shared" si="3"/>
        <v>#VALUE!</v>
      </c>
    </row>
    <row r="250" spans="2:30" ht="33" hidden="1" customHeight="1" x14ac:dyDescent="0.3">
      <c r="B250" s="14" t="str">
        <f>'2026 Orders'!B249</f>
        <v>KSA</v>
      </c>
      <c r="C250" s="14" t="str">
        <f>'2026 Orders'!C249</f>
        <v>A4654</v>
      </c>
      <c r="D250" s="14">
        <v>0</v>
      </c>
      <c r="E250" s="17" t="str" cm="1">
        <f t="array" ref="E250">IF(C250=0,"",
HYPERLINK(
"#'2026 Orders'!C"&amp;
MATCH(1,
('2026 Orders'!C:C=C250)*
('2026 Orders'!G:G=G250)*
('2026 Orders'!N:N=N250),
0),
"Open "&amp;C250
))</f>
        <v>Open A4654</v>
      </c>
      <c r="F250" s="14">
        <v>0</v>
      </c>
      <c r="G250" s="14" t="str">
        <f>'2026 Orders'!G249</f>
        <v>KETONEG-60-FD</v>
      </c>
      <c r="H250" s="14" t="str">
        <f>'2026 Orders'!H249</f>
        <v>KETONEG-60</v>
      </c>
      <c r="I250" s="15" t="str">
        <f>'2026 Orders'!I249</f>
        <v>FD</v>
      </c>
      <c r="J250" s="14">
        <f>'2026 Orders'!J249</f>
        <v>168</v>
      </c>
      <c r="K250" t="s">
        <v>992</v>
      </c>
      <c r="L250">
        <v>0</v>
      </c>
      <c r="N250" s="10" t="str">
        <f>'2026 Orders'!N249</f>
        <v>D/W Sent</v>
      </c>
      <c r="O250">
        <v>0</v>
      </c>
      <c r="P250" t="s">
        <v>1085</v>
      </c>
      <c r="Q250">
        <v>609788969006</v>
      </c>
      <c r="R250">
        <v>5000</v>
      </c>
      <c r="S250">
        <v>5034</v>
      </c>
      <c r="T250" t="s">
        <v>1108</v>
      </c>
      <c r="U250" t="s">
        <v>1149</v>
      </c>
      <c r="V250">
        <v>0</v>
      </c>
      <c r="W250">
        <v>0</v>
      </c>
      <c r="X250">
        <v>0</v>
      </c>
      <c r="Y250">
        <v>0</v>
      </c>
      <c r="Z250">
        <v>0</v>
      </c>
      <c r="AC250" t="str">
        <f>IF(OR(B250="",B250=0),"",$AJ$2&amp;"/"&amp;J250)</f>
        <v>/168</v>
      </c>
      <c r="AD250" t="e">
        <f t="shared" si="3"/>
        <v>#VALUE!</v>
      </c>
    </row>
    <row r="251" spans="2:30" ht="33" hidden="1" customHeight="1" x14ac:dyDescent="0.3">
      <c r="B251" s="14" t="str">
        <f>'2026 Orders'!B250</f>
        <v>KSA</v>
      </c>
      <c r="C251" s="14" t="str">
        <f>'2026 Orders'!C250</f>
        <v>A4654</v>
      </c>
      <c r="D251" s="14">
        <v>0</v>
      </c>
      <c r="E251" s="17" t="str" cm="1">
        <f t="array" ref="E251">IF(C251=0,"",
HYPERLINK(
"#'2026 Orders'!C"&amp;
MATCH(1,
('2026 Orders'!C:C=C251)*
('2026 Orders'!G:G=G251)*
('2026 Orders'!N:N=N251),
0),
"Open "&amp;C251
))</f>
        <v>Open A4654</v>
      </c>
      <c r="F251" s="14">
        <v>0</v>
      </c>
      <c r="G251" s="14" t="str">
        <f>'2026 Orders'!G250</f>
        <v>WFSPLS-90-FD</v>
      </c>
      <c r="H251" s="14" t="str">
        <f>'2026 Orders'!H250</f>
        <v>WFSPLS-90</v>
      </c>
      <c r="I251" s="15" t="str">
        <f>'2026 Orders'!I250</f>
        <v>FD</v>
      </c>
      <c r="J251" s="14">
        <f>'2026 Orders'!J250</f>
        <v>96</v>
      </c>
      <c r="K251" t="s">
        <v>789</v>
      </c>
      <c r="L251">
        <v>24</v>
      </c>
      <c r="N251" s="10" t="str">
        <f>'2026 Orders'!N250</f>
        <v>D/W Sent</v>
      </c>
      <c r="O251">
        <v>0</v>
      </c>
      <c r="P251" t="s">
        <v>1077</v>
      </c>
      <c r="Q251">
        <v>609788968481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C251" t="str">
        <f>IF(OR(B251="",B251=0),"",$AJ$2&amp;"/"&amp;J251)</f>
        <v>/96</v>
      </c>
      <c r="AD251" t="e">
        <f t="shared" si="3"/>
        <v>#VALUE!</v>
      </c>
    </row>
    <row r="252" spans="2:30" ht="33" hidden="1" customHeight="1" x14ac:dyDescent="0.3">
      <c r="B252" s="14" t="str">
        <f>'2026 Orders'!B251</f>
        <v>KSA</v>
      </c>
      <c r="C252" s="14" t="str">
        <f>'2026 Orders'!C251</f>
        <v>A4654</v>
      </c>
      <c r="D252" s="14">
        <v>0</v>
      </c>
      <c r="E252" s="17" t="str" cm="1">
        <f t="array" ref="E252">IF(C252=0,"",
HYPERLINK(
"#'2026 Orders'!C"&amp;
MATCH(1,
('2026 Orders'!C:C=C252)*
('2026 Orders'!G:G=G252)*
('2026 Orders'!N:N=N252),
0),
"Open "&amp;C252
))</f>
        <v>Open A4654</v>
      </c>
      <c r="F252" s="14">
        <v>0</v>
      </c>
      <c r="G252" s="14" t="str">
        <f>'2026 Orders'!G251</f>
        <v>PRECON-180-FD</v>
      </c>
      <c r="H252" s="14" t="str">
        <f>'2026 Orders'!H251</f>
        <v>PRECON-180</v>
      </c>
      <c r="I252" s="15" t="str">
        <f>'2026 Orders'!I251</f>
        <v>FD</v>
      </c>
      <c r="J252" s="14">
        <f>'2026 Orders'!J251</f>
        <v>72</v>
      </c>
      <c r="K252">
        <v>0</v>
      </c>
      <c r="L252">
        <v>0</v>
      </c>
      <c r="N252" s="10" t="str">
        <f>'2026 Orders'!N251</f>
        <v>D/W Sent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C252" t="str">
        <f>IF(OR(B252="",B252=0),"",$AJ$2&amp;"/"&amp;J252)</f>
        <v>/72</v>
      </c>
      <c r="AD252" t="e">
        <f t="shared" si="3"/>
        <v>#VALUE!</v>
      </c>
    </row>
    <row r="253" spans="2:30" ht="33" hidden="1" customHeight="1" x14ac:dyDescent="0.3">
      <c r="B253" s="14" t="str">
        <f>'2026 Orders'!B252</f>
        <v>KSA</v>
      </c>
      <c r="C253" s="14" t="str">
        <f>'2026 Orders'!C252</f>
        <v>A4654</v>
      </c>
      <c r="D253" s="14" t="s">
        <v>994</v>
      </c>
      <c r="E253" s="17" t="str" cm="1">
        <f t="array" ref="E253">IF(C253=0,"",
HYPERLINK(
"#'2026 Orders'!C"&amp;
MATCH(1,
('2026 Orders'!C:C=C253)*
('2026 Orders'!G:G=G253)*
('2026 Orders'!N:N=N253),
0),
"Open "&amp;C253
))</f>
        <v>Open A4654</v>
      </c>
      <c r="F253" s="14" t="s">
        <v>1264</v>
      </c>
      <c r="G253" s="14" t="str">
        <f>'2026 Orders'!G252</f>
        <v>GINKGO-60-FD</v>
      </c>
      <c r="H253" s="14" t="str">
        <f>'2026 Orders'!H252</f>
        <v>GINKGO-60</v>
      </c>
      <c r="I253" s="15" t="str">
        <f>'2026 Orders'!I252</f>
        <v>FD</v>
      </c>
      <c r="J253" s="14">
        <f>'2026 Orders'!J252</f>
        <v>120</v>
      </c>
      <c r="K253" t="s">
        <v>506</v>
      </c>
      <c r="L253">
        <v>0</v>
      </c>
      <c r="N253" s="10" t="str">
        <f>'2026 Orders'!N252</f>
        <v>D/W Sent</v>
      </c>
      <c r="O253">
        <v>0</v>
      </c>
      <c r="P253">
        <v>0</v>
      </c>
      <c r="Q253">
        <v>604776739272</v>
      </c>
      <c r="R253" t="s">
        <v>1138</v>
      </c>
      <c r="S253">
        <v>5064</v>
      </c>
      <c r="T253" t="s">
        <v>1108</v>
      </c>
      <c r="U253" t="s">
        <v>1173</v>
      </c>
      <c r="V253">
        <v>0</v>
      </c>
      <c r="W253">
        <v>0</v>
      </c>
      <c r="X253">
        <v>0</v>
      </c>
      <c r="Y253">
        <v>0</v>
      </c>
      <c r="Z253" t="s">
        <v>1083</v>
      </c>
      <c r="AC253" t="str">
        <f>IF(OR(B253="",B253=0),"",$AJ$2&amp;"/"&amp;J253)</f>
        <v>/120</v>
      </c>
      <c r="AD253" t="e">
        <f t="shared" si="3"/>
        <v>#VALUE!</v>
      </c>
    </row>
    <row r="254" spans="2:30" ht="33" hidden="1" customHeight="1" x14ac:dyDescent="0.3">
      <c r="B254" s="14" t="str">
        <f>'2026 Orders'!B253</f>
        <v>KSA</v>
      </c>
      <c r="C254" s="14" t="str">
        <f>'2026 Orders'!C253</f>
        <v>A4654</v>
      </c>
      <c r="D254" s="14">
        <v>0</v>
      </c>
      <c r="E254" s="17" t="str" cm="1">
        <f t="array" ref="E254">IF(C254=0,"",
HYPERLINK(
"#'2026 Orders'!C"&amp;
MATCH(1,
('2026 Orders'!C:C=C254)*
('2026 Orders'!G:G=G254)*
('2026 Orders'!N:N=N254),
0),
"Open "&amp;C254
))</f>
        <v>Open A4654</v>
      </c>
      <c r="F254" s="14">
        <v>0</v>
      </c>
      <c r="G254" s="14" t="str">
        <f>'2026 Orders'!G253</f>
        <v>OSTEOPL-96-FD</v>
      </c>
      <c r="H254" s="14" t="str">
        <f>'2026 Orders'!H253</f>
        <v>OSTEOPL-96</v>
      </c>
      <c r="I254" s="15" t="str">
        <f>'2026 Orders'!I253</f>
        <v>FD</v>
      </c>
      <c r="J254" s="14">
        <f>'2026 Orders'!J253</f>
        <v>96</v>
      </c>
      <c r="K254">
        <v>0</v>
      </c>
      <c r="L254">
        <v>0</v>
      </c>
      <c r="N254" s="10" t="str">
        <f>'2026 Orders'!N253</f>
        <v>D/W Sent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C254" t="str">
        <f>IF(OR(B254="",B254=0),"",$AJ$2&amp;"/"&amp;J254)</f>
        <v>/96</v>
      </c>
      <c r="AD254" t="e">
        <f t="shared" si="3"/>
        <v>#VALUE!</v>
      </c>
    </row>
    <row r="255" spans="2:30" ht="33" hidden="1" customHeight="1" x14ac:dyDescent="0.3">
      <c r="B255" s="14" t="str">
        <f>'2026 Orders'!B254</f>
        <v>KSA</v>
      </c>
      <c r="C255" s="14" t="str">
        <f>'2026 Orders'!C254</f>
        <v>A4654</v>
      </c>
      <c r="D255" s="14" t="s">
        <v>997</v>
      </c>
      <c r="E255" s="17" t="str" cm="1">
        <f t="array" ref="E255">IF(C255=0,"",
HYPERLINK(
"#'2026 Orders'!C"&amp;
MATCH(1,
('2026 Orders'!C:C=C255)*
('2026 Orders'!G:G=G255)*
('2026 Orders'!N:N=N255),
0),
"Open "&amp;C255
))</f>
        <v>Open A4654</v>
      </c>
      <c r="F255" s="14">
        <v>0</v>
      </c>
      <c r="G255" s="14" t="str">
        <f>'2026 Orders'!G254</f>
        <v>COQ100-125-FD</v>
      </c>
      <c r="H255" s="14" t="str">
        <f>'2026 Orders'!H254</f>
        <v>COQ100-125</v>
      </c>
      <c r="I255" s="15" t="str">
        <f>'2026 Orders'!I254</f>
        <v>FD</v>
      </c>
      <c r="J255" s="14">
        <f>'2026 Orders'!J254</f>
        <v>140</v>
      </c>
      <c r="K255" t="s">
        <v>445</v>
      </c>
      <c r="L255">
        <v>72</v>
      </c>
      <c r="N255" s="10" t="str">
        <f>'2026 Orders'!N254</f>
        <v>D/W Sent</v>
      </c>
      <c r="O255">
        <v>0</v>
      </c>
      <c r="P255" t="s">
        <v>1077</v>
      </c>
      <c r="Q255">
        <v>609788968504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 t="s">
        <v>1086</v>
      </c>
      <c r="AC255" t="str">
        <f>IF(OR(B255="",B255=0),"",$AJ$2&amp;"/"&amp;J255)</f>
        <v>/140</v>
      </c>
      <c r="AD255" t="e">
        <f t="shared" si="3"/>
        <v>#VALUE!</v>
      </c>
    </row>
    <row r="256" spans="2:30" ht="33" hidden="1" customHeight="1" x14ac:dyDescent="0.3">
      <c r="B256" s="14" t="str">
        <f>'2026 Orders'!B255</f>
        <v>KSA</v>
      </c>
      <c r="C256" s="14" t="str">
        <f>'2026 Orders'!C255</f>
        <v>A4654</v>
      </c>
      <c r="D256" s="14">
        <v>0</v>
      </c>
      <c r="E256" s="17" t="str" cm="1">
        <f t="array" ref="E256">IF(C256=0,"",
HYPERLINK(
"#'2026 Orders'!C"&amp;
MATCH(1,
('2026 Orders'!C:C=C256)*
('2026 Orders'!G:G=G256)*
('2026 Orders'!N:N=N256),
0),
"Open "&amp;C256
))</f>
        <v>Open A4654</v>
      </c>
      <c r="F256" s="14">
        <v>0</v>
      </c>
      <c r="G256" s="14" t="str">
        <f>'2026 Orders'!G255</f>
        <v>MFSPLS-120-FD</v>
      </c>
      <c r="H256" s="14" t="str">
        <f>'2026 Orders'!H255</f>
        <v>MFSPLS-120</v>
      </c>
      <c r="I256" s="15" t="str">
        <f>'2026 Orders'!I255</f>
        <v>FD</v>
      </c>
      <c r="J256" s="14">
        <f>'2026 Orders'!J255</f>
        <v>216</v>
      </c>
      <c r="K256" t="s">
        <v>622</v>
      </c>
      <c r="L256">
        <v>0</v>
      </c>
      <c r="N256" s="10" t="str">
        <f>'2026 Orders'!N255</f>
        <v>D/W Sent</v>
      </c>
      <c r="O256" t="s">
        <v>1131</v>
      </c>
      <c r="P256" t="s">
        <v>1077</v>
      </c>
      <c r="Q256" t="s">
        <v>1132</v>
      </c>
      <c r="R256">
        <v>0</v>
      </c>
      <c r="S256">
        <v>4690</v>
      </c>
      <c r="T256">
        <v>0</v>
      </c>
      <c r="U256" t="s">
        <v>1174</v>
      </c>
      <c r="V256">
        <v>0</v>
      </c>
      <c r="W256">
        <v>0</v>
      </c>
      <c r="X256">
        <v>0</v>
      </c>
      <c r="Y256">
        <v>0</v>
      </c>
      <c r="Z256">
        <v>0</v>
      </c>
      <c r="AC256" t="str">
        <f>IF(OR(B256="",B256=0),"",$AJ$2&amp;"/"&amp;J256)</f>
        <v>/216</v>
      </c>
      <c r="AD256" t="e">
        <f t="shared" si="3"/>
        <v>#VALUE!</v>
      </c>
    </row>
    <row r="257" spans="2:30" ht="33" hidden="1" customHeight="1" x14ac:dyDescent="0.3">
      <c r="B257" s="14">
        <f>'2026 Orders'!B256</f>
        <v>0</v>
      </c>
      <c r="C257" s="14">
        <f>'2026 Orders'!C256</f>
        <v>0</v>
      </c>
      <c r="D257" s="14">
        <v>0</v>
      </c>
      <c r="E257" s="17" t="str" cm="1">
        <f t="array" ref="E257">IF(C257=0,"",
HYPERLINK(
"#'2026 Orders'!C"&amp;
MATCH(1,
('2026 Orders'!C:C=C257)*
('2026 Orders'!G:G=G257)*
('2026 Orders'!N:N=N257),
0),
"Open "&amp;C257
))</f>
        <v/>
      </c>
      <c r="F257" s="14">
        <v>0</v>
      </c>
      <c r="G257" s="14">
        <f>'2026 Orders'!G256</f>
        <v>0</v>
      </c>
      <c r="H257" s="14">
        <f>'2026 Orders'!H256</f>
        <v>0</v>
      </c>
      <c r="I257" s="15" t="str">
        <f>'2026 Orders'!I256</f>
        <v/>
      </c>
      <c r="J257" s="14">
        <f>'2026 Orders'!J256</f>
        <v>0</v>
      </c>
      <c r="K257" t="s">
        <v>462</v>
      </c>
      <c r="L257">
        <v>0</v>
      </c>
      <c r="N257" s="10">
        <f>'2026 Orders'!N256</f>
        <v>0</v>
      </c>
      <c r="O257">
        <v>0</v>
      </c>
      <c r="P257" t="s">
        <v>1077</v>
      </c>
      <c r="Q257">
        <v>609788968344</v>
      </c>
      <c r="R257">
        <v>9195</v>
      </c>
      <c r="S257">
        <v>5032</v>
      </c>
      <c r="T257" t="s">
        <v>1094</v>
      </c>
      <c r="U257" t="s">
        <v>1104</v>
      </c>
      <c r="V257">
        <v>0</v>
      </c>
      <c r="W257">
        <v>0</v>
      </c>
      <c r="X257">
        <v>0</v>
      </c>
      <c r="Y257">
        <v>0</v>
      </c>
      <c r="Z257">
        <v>0</v>
      </c>
      <c r="AC257" t="str">
        <f>IF(OR(B257="",B257=0),"",$AJ$2&amp;"/"&amp;J257)</f>
        <v/>
      </c>
      <c r="AD257" t="str">
        <f t="shared" si="3"/>
        <v/>
      </c>
    </row>
    <row r="258" spans="2:30" ht="33" hidden="1" customHeight="1" x14ac:dyDescent="0.3">
      <c r="B258" s="14" t="str">
        <f>'2026 Orders'!B257</f>
        <v>KSA</v>
      </c>
      <c r="C258" s="14" t="str">
        <f>'2026 Orders'!C257</f>
        <v>A4679</v>
      </c>
      <c r="D258" s="14">
        <v>0</v>
      </c>
      <c r="E258" s="17" t="str" cm="1">
        <f t="array" ref="E258">IF(C258=0,"",
HYPERLINK(
"#'2026 Orders'!C"&amp;
MATCH(1,
('2026 Orders'!C:C=C258)*
('2026 Orders'!G:G=G258)*
('2026 Orders'!N:N=N258),
0),
"Open "&amp;C258
))</f>
        <v>Open A4679</v>
      </c>
      <c r="F258" s="14">
        <v>0</v>
      </c>
      <c r="G258" s="14" t="str">
        <f>'2026 Orders'!G257</f>
        <v>MFSADV-120-FD</v>
      </c>
      <c r="H258" s="14" t="str">
        <f>'2026 Orders'!H257</f>
        <v>MFSADV-120</v>
      </c>
      <c r="I258" s="15" t="str">
        <f>'2026 Orders'!I257</f>
        <v>FD</v>
      </c>
      <c r="J258" s="14">
        <f>'2026 Orders'!J257</f>
        <v>288</v>
      </c>
      <c r="K258" t="s">
        <v>453</v>
      </c>
      <c r="L258">
        <v>0</v>
      </c>
      <c r="N258" s="10" t="str">
        <f>'2026 Orders'!N257</f>
        <v>Not Meet MOQ</v>
      </c>
      <c r="O258">
        <v>0</v>
      </c>
      <c r="P258" t="s">
        <v>1077</v>
      </c>
      <c r="Q258">
        <v>609788968221</v>
      </c>
      <c r="R258">
        <v>7000</v>
      </c>
      <c r="S258">
        <v>5027</v>
      </c>
      <c r="T258" t="s">
        <v>1079</v>
      </c>
      <c r="U258" t="s">
        <v>1092</v>
      </c>
      <c r="V258">
        <v>0</v>
      </c>
      <c r="W258">
        <v>0</v>
      </c>
      <c r="X258">
        <v>0</v>
      </c>
      <c r="Y258">
        <v>0</v>
      </c>
      <c r="Z258">
        <v>0</v>
      </c>
      <c r="AC258" t="str">
        <f>IF(OR(B258="",B258=0),"",$AJ$2&amp;"/"&amp;J258)</f>
        <v>/288</v>
      </c>
      <c r="AD258" t="e">
        <f t="shared" si="3"/>
        <v>#VALUE!</v>
      </c>
    </row>
    <row r="259" spans="2:30" ht="33" hidden="1" customHeight="1" x14ac:dyDescent="0.3">
      <c r="B259" s="14" t="str">
        <f>'2026 Orders'!B258</f>
        <v>KSA</v>
      </c>
      <c r="C259" s="14" t="str">
        <f>'2026 Orders'!C258</f>
        <v>A4679</v>
      </c>
      <c r="D259" s="14">
        <v>0</v>
      </c>
      <c r="E259" s="17" t="str" cm="1">
        <f t="array" ref="E259">IF(C259=0,"",
HYPERLINK(
"#'2026 Orders'!C"&amp;
MATCH(1,
('2026 Orders'!C:C=C259)*
('2026 Orders'!G:G=G259)*
('2026 Orders'!N:N=N259),
0),
"Open "&amp;C259
))</f>
        <v>Open A4679</v>
      </c>
      <c r="F259" s="14">
        <v>0</v>
      </c>
      <c r="G259" s="14" t="str">
        <f>'2026 Orders'!G258</f>
        <v>PEDIACM-50-FD</v>
      </c>
      <c r="H259" s="14" t="str">
        <f>'2026 Orders'!H258</f>
        <v>PEDIACM-50</v>
      </c>
      <c r="I259" s="15" t="str">
        <f>'2026 Orders'!I258</f>
        <v>FD</v>
      </c>
      <c r="J259" s="14">
        <f>'2026 Orders'!J258</f>
        <v>144</v>
      </c>
      <c r="K259" t="s">
        <v>625</v>
      </c>
      <c r="L259">
        <v>96</v>
      </c>
      <c r="N259" s="10" t="str">
        <f>'2026 Orders'!N258</f>
        <v>PO submitted</v>
      </c>
      <c r="O259">
        <v>0</v>
      </c>
      <c r="P259" t="s">
        <v>1077</v>
      </c>
      <c r="Q259">
        <v>609788968597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C259" t="str">
        <f>IF(OR(B259="",B259=0),"",$AJ$2&amp;"/"&amp;J259)</f>
        <v>/144</v>
      </c>
      <c r="AD259" t="e">
        <f t="shared" ref="AD259:AD322" si="4">IF(OR(J259="",J259=0),"",$AK$2&amp;" -&gt; "&amp;I259)</f>
        <v>#VALUE!</v>
      </c>
    </row>
    <row r="260" spans="2:30" ht="33" hidden="1" customHeight="1" x14ac:dyDescent="0.3">
      <c r="B260" s="14" t="str">
        <f>'2026 Orders'!B259</f>
        <v>KSA</v>
      </c>
      <c r="C260" s="14" t="str">
        <f>'2026 Orders'!C259</f>
        <v>A4679</v>
      </c>
      <c r="D260" s="14">
        <v>0</v>
      </c>
      <c r="E260" s="17" t="str" cm="1">
        <f t="array" ref="E260">IF(C260=0,"",
HYPERLINK(
"#'2026 Orders'!C"&amp;
MATCH(1,
('2026 Orders'!C:C=C260)*
('2026 Orders'!G:G=G260)*
('2026 Orders'!N:N=N260),
0),
"Open "&amp;C260
))</f>
        <v>Open A4679</v>
      </c>
      <c r="F260" s="14">
        <v>0</v>
      </c>
      <c r="G260" s="14" t="str">
        <f>'2026 Orders'!G259</f>
        <v>PEDIAZI-50-FD</v>
      </c>
      <c r="H260" s="14" t="str">
        <f>'2026 Orders'!H259</f>
        <v>PEDIAZI-50</v>
      </c>
      <c r="I260" s="15" t="str">
        <f>'2026 Orders'!I259</f>
        <v>FD</v>
      </c>
      <c r="J260" s="14">
        <f>'2026 Orders'!J259</f>
        <v>216</v>
      </c>
      <c r="K260">
        <v>0</v>
      </c>
      <c r="L260">
        <v>0</v>
      </c>
      <c r="N260" s="10" t="str">
        <f>'2026 Orders'!N259</f>
        <v>PO submitted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C260" t="str">
        <f>IF(OR(B260="",B260=0),"",$AJ$2&amp;"/"&amp;J260)</f>
        <v>/216</v>
      </c>
      <c r="AD260" t="e">
        <f t="shared" si="4"/>
        <v>#VALUE!</v>
      </c>
    </row>
    <row r="261" spans="2:30" ht="33" hidden="1" customHeight="1" x14ac:dyDescent="0.3">
      <c r="B261" s="14" t="str">
        <f>'2026 Orders'!B260</f>
        <v>KSA</v>
      </c>
      <c r="C261" s="14" t="str">
        <f>'2026 Orders'!C260</f>
        <v>A4679</v>
      </c>
      <c r="D261" s="14" t="s">
        <v>1006</v>
      </c>
      <c r="E261" s="17" t="str" cm="1">
        <f t="array" ref="E261">IF(C261=0,"",
HYPERLINK(
"#'2026 Orders'!C"&amp;
MATCH(1,
('2026 Orders'!C:C=C261)*
('2026 Orders'!G:G=G261)*
('2026 Orders'!N:N=N261),
0),
"Open "&amp;C261
))</f>
        <v>Open A4679</v>
      </c>
      <c r="F261" s="14">
        <v>0</v>
      </c>
      <c r="G261" s="14" t="str">
        <f>'2026 Orders'!G260</f>
        <v>MEMOUP-60-FD</v>
      </c>
      <c r="H261" s="14" t="str">
        <f>'2026 Orders'!H260</f>
        <v>MEMOUP-60</v>
      </c>
      <c r="I261" s="15" t="str">
        <f>'2026 Orders'!I260</f>
        <v>FD</v>
      </c>
      <c r="J261" s="14">
        <f>'2026 Orders'!J260</f>
        <v>105</v>
      </c>
      <c r="K261" t="s">
        <v>1007</v>
      </c>
      <c r="L261">
        <v>0</v>
      </c>
      <c r="N261" s="10" t="str">
        <f>'2026 Orders'!N260</f>
        <v>Not Meet MOQ</v>
      </c>
      <c r="O261">
        <v>0</v>
      </c>
      <c r="P261" t="s">
        <v>1077</v>
      </c>
      <c r="Q261">
        <v>810131194680</v>
      </c>
      <c r="R261">
        <v>7572</v>
      </c>
      <c r="S261">
        <v>5043</v>
      </c>
      <c r="T261">
        <v>46286</v>
      </c>
      <c r="U261" t="s">
        <v>1089</v>
      </c>
      <c r="V261">
        <v>0</v>
      </c>
      <c r="W261">
        <v>0</v>
      </c>
      <c r="X261">
        <v>0</v>
      </c>
      <c r="Y261">
        <v>0</v>
      </c>
      <c r="Z261" t="s">
        <v>1083</v>
      </c>
      <c r="AC261" t="str">
        <f>IF(OR(B261="",B261=0),"",$AJ$2&amp;"/"&amp;J261)</f>
        <v>/105</v>
      </c>
      <c r="AD261" t="e">
        <f t="shared" si="4"/>
        <v>#VALUE!</v>
      </c>
    </row>
    <row r="262" spans="2:30" ht="33" hidden="1" customHeight="1" x14ac:dyDescent="0.3">
      <c r="B262" s="14" t="str">
        <f>'2026 Orders'!B261</f>
        <v>KSA</v>
      </c>
      <c r="C262" s="14" t="str">
        <f>'2026 Orders'!C261</f>
        <v>A4679</v>
      </c>
      <c r="D262" s="14" t="s">
        <v>1008</v>
      </c>
      <c r="E262" s="17" t="str" cm="1">
        <f t="array" ref="E262">IF(C262=0,"",
HYPERLINK(
"#'2026 Orders'!C"&amp;
MATCH(1,
('2026 Orders'!C:C=C262)*
('2026 Orders'!G:G=G262)*
('2026 Orders'!N:N=N262),
0),
"Open "&amp;C262
))</f>
        <v>Open A4679</v>
      </c>
      <c r="F262" s="14">
        <v>0</v>
      </c>
      <c r="G262" s="14" t="str">
        <f>'2026 Orders'!G261</f>
        <v>ROYALJE-60-FD</v>
      </c>
      <c r="H262" s="14" t="str">
        <f>'2026 Orders'!H261</f>
        <v>ROYALJE-60</v>
      </c>
      <c r="I262" s="15" t="str">
        <f>'2026 Orders'!I261</f>
        <v>FD</v>
      </c>
      <c r="J262" s="14">
        <f>'2026 Orders'!J261</f>
        <v>432</v>
      </c>
      <c r="K262" t="s">
        <v>1009</v>
      </c>
      <c r="L262">
        <v>0</v>
      </c>
      <c r="N262" s="10" t="str">
        <f>'2026 Orders'!N261</f>
        <v>Not Meet MOQ</v>
      </c>
      <c r="O262">
        <v>0</v>
      </c>
      <c r="P262" t="s">
        <v>1077</v>
      </c>
      <c r="Q262">
        <v>810131194666</v>
      </c>
      <c r="R262">
        <v>5000</v>
      </c>
      <c r="S262">
        <v>5060</v>
      </c>
      <c r="T262" t="s">
        <v>1094</v>
      </c>
      <c r="U262" t="s">
        <v>1095</v>
      </c>
      <c r="V262">
        <v>0</v>
      </c>
      <c r="W262">
        <v>0</v>
      </c>
      <c r="X262">
        <v>0</v>
      </c>
      <c r="Y262">
        <v>0</v>
      </c>
      <c r="Z262">
        <v>0</v>
      </c>
      <c r="AC262" t="str">
        <f>IF(OR(B262="",B262=0),"",$AJ$2&amp;"/"&amp;J262)</f>
        <v>/432</v>
      </c>
      <c r="AD262" t="e">
        <f t="shared" si="4"/>
        <v>#VALUE!</v>
      </c>
    </row>
    <row r="263" spans="2:30" ht="33" hidden="1" customHeight="1" x14ac:dyDescent="0.3">
      <c r="B263" s="14" t="str">
        <f>'2026 Orders'!B262</f>
        <v>KSA</v>
      </c>
      <c r="C263" s="14" t="str">
        <f>'2026 Orders'!C262</f>
        <v>A4679</v>
      </c>
      <c r="D263" s="14">
        <v>0</v>
      </c>
      <c r="E263" s="17" t="str" cm="1">
        <f t="array" ref="E263">IF(C263=0,"",
HYPERLINK(
"#'2026 Orders'!C"&amp;
MATCH(1,
('2026 Orders'!C:C=C263)*
('2026 Orders'!G:G=G263)*
('2026 Orders'!N:N=N263),
0),
"Open "&amp;C263
))</f>
        <v>Open A4679</v>
      </c>
      <c r="F263" s="14">
        <v>0</v>
      </c>
      <c r="G263" s="14" t="str">
        <f>'2026 Orders'!G262</f>
        <v>PEDIAFL-50-FD</v>
      </c>
      <c r="H263" s="14" t="str">
        <f>'2026 Orders'!H262</f>
        <v>PEDIAFL-50</v>
      </c>
      <c r="I263" s="15" t="str">
        <f>'2026 Orders'!I262</f>
        <v>FD</v>
      </c>
      <c r="J263" s="14">
        <f>'2026 Orders'!J262</f>
        <v>72</v>
      </c>
      <c r="K263" t="s">
        <v>1010</v>
      </c>
      <c r="L263">
        <v>0</v>
      </c>
      <c r="N263" s="10" t="str">
        <f>'2026 Orders'!N262</f>
        <v>Not Meet MOQ</v>
      </c>
      <c r="O263">
        <v>0</v>
      </c>
      <c r="P263" t="s">
        <v>1077</v>
      </c>
      <c r="Q263">
        <v>810131194628</v>
      </c>
      <c r="R263">
        <v>5000</v>
      </c>
      <c r="S263">
        <v>5041</v>
      </c>
      <c r="T263">
        <v>46248</v>
      </c>
      <c r="U263" t="s">
        <v>1090</v>
      </c>
      <c r="V263">
        <v>0</v>
      </c>
      <c r="W263">
        <v>0</v>
      </c>
      <c r="X263">
        <v>0</v>
      </c>
      <c r="Y263">
        <v>0</v>
      </c>
      <c r="Z263">
        <v>0</v>
      </c>
      <c r="AC263" t="str">
        <f>IF(OR(B263="",B263=0),"",$AJ$2&amp;"/"&amp;J263)</f>
        <v>/72</v>
      </c>
      <c r="AD263" t="e">
        <f t="shared" si="4"/>
        <v>#VALUE!</v>
      </c>
    </row>
    <row r="264" spans="2:30" ht="33" hidden="1" customHeight="1" x14ac:dyDescent="0.3">
      <c r="B264" s="14" t="str">
        <f>'2026 Orders'!B263</f>
        <v>KSA</v>
      </c>
      <c r="C264" s="14" t="str">
        <f>'2026 Orders'!C263</f>
        <v>A4679</v>
      </c>
      <c r="D264" s="14">
        <v>0</v>
      </c>
      <c r="E264" s="17" t="str" cm="1">
        <f t="array" ref="E264">IF(C264=0,"",
HYPERLINK(
"#'2026 Orders'!C"&amp;
MATCH(1,
('2026 Orders'!C:C=C264)*
('2026 Orders'!G:G=G264)*
('2026 Orders'!N:N=N264),
0),
"Open "&amp;C264
))</f>
        <v>Open A4679</v>
      </c>
      <c r="F264" s="14">
        <v>0</v>
      </c>
      <c r="G264" s="14" t="str">
        <f>'2026 Orders'!G263</f>
        <v>PEDIABS-50-FD</v>
      </c>
      <c r="H264" s="14" t="str">
        <f>'2026 Orders'!H263</f>
        <v>PEDIABS-50</v>
      </c>
      <c r="I264" s="15" t="str">
        <f>'2026 Orders'!I263</f>
        <v>FD</v>
      </c>
      <c r="J264" s="14">
        <f>'2026 Orders'!J263</f>
        <v>120</v>
      </c>
      <c r="K264" t="s">
        <v>1011</v>
      </c>
      <c r="L264">
        <v>70</v>
      </c>
      <c r="N264" s="10" t="str">
        <f>'2026 Orders'!N263</f>
        <v>Not Meet MOQ</v>
      </c>
      <c r="O264" t="s">
        <v>1175</v>
      </c>
      <c r="P264" t="s">
        <v>1077</v>
      </c>
      <c r="Q264">
        <v>810131194642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C264" t="str">
        <f>IF(OR(B264="",B264=0),"",$AJ$2&amp;"/"&amp;J264)</f>
        <v>/120</v>
      </c>
      <c r="AD264" t="e">
        <f t="shared" si="4"/>
        <v>#VALUE!</v>
      </c>
    </row>
    <row r="265" spans="2:30" ht="33" hidden="1" customHeight="1" x14ac:dyDescent="0.3">
      <c r="B265" s="14">
        <f>'2026 Orders'!B264</f>
        <v>0</v>
      </c>
      <c r="C265" s="14">
        <f>'2026 Orders'!C264</f>
        <v>0</v>
      </c>
      <c r="D265" s="14">
        <v>0</v>
      </c>
      <c r="E265" s="17" t="str" cm="1">
        <f t="array" ref="E265">IF(C265=0,"",
HYPERLINK(
"#'2026 Orders'!C"&amp;
MATCH(1,
('2026 Orders'!C:C=C265)*
('2026 Orders'!G:G=G265)*
('2026 Orders'!N:N=N265),
0),
"Open "&amp;C265
))</f>
        <v/>
      </c>
      <c r="F265" s="14">
        <v>0</v>
      </c>
      <c r="G265" s="14">
        <f>'2026 Orders'!G264</f>
        <v>0</v>
      </c>
      <c r="H265" s="14">
        <f>'2026 Orders'!H264</f>
        <v>0</v>
      </c>
      <c r="I265" s="15" t="str">
        <f>'2026 Orders'!I264</f>
        <v/>
      </c>
      <c r="J265" s="14">
        <f>'2026 Orders'!J264</f>
        <v>0</v>
      </c>
      <c r="K265" t="s">
        <v>1011</v>
      </c>
      <c r="L265">
        <v>0</v>
      </c>
      <c r="N265" s="10">
        <f>'2026 Orders'!N264</f>
        <v>0</v>
      </c>
      <c r="O265">
        <v>0</v>
      </c>
      <c r="P265" t="s">
        <v>1077</v>
      </c>
      <c r="Q265">
        <v>810131194642</v>
      </c>
      <c r="R265">
        <v>5000</v>
      </c>
      <c r="S265">
        <v>5095</v>
      </c>
      <c r="T265">
        <v>46286</v>
      </c>
      <c r="U265" t="s">
        <v>1089</v>
      </c>
      <c r="V265">
        <v>0</v>
      </c>
      <c r="W265">
        <v>0</v>
      </c>
      <c r="X265">
        <v>0</v>
      </c>
      <c r="Y265">
        <v>0</v>
      </c>
      <c r="Z265">
        <v>0</v>
      </c>
      <c r="AC265" t="str">
        <f>IF(OR(B265="",B265=0),"",$AJ$2&amp;"/"&amp;J265)</f>
        <v/>
      </c>
      <c r="AD265" t="str">
        <f t="shared" si="4"/>
        <v/>
      </c>
    </row>
    <row r="266" spans="2:30" ht="33" hidden="1" customHeight="1" x14ac:dyDescent="0.3">
      <c r="B266" s="14" t="str">
        <f>'2026 Orders'!B265</f>
        <v>China</v>
      </c>
      <c r="C266" s="14" t="str">
        <f>'2026 Orders'!C265</f>
        <v>A4658</v>
      </c>
      <c r="D266" s="14">
        <v>0</v>
      </c>
      <c r="E266" s="17" t="str" cm="1">
        <f t="array" ref="E266">IF(C266=0,"",
HYPERLINK(
"#'2026 Orders'!C"&amp;
MATCH(1,
('2026 Orders'!C:C=C266)*
('2026 Orders'!G:G=G266)*
('2026 Orders'!N:N=N266),
0),
"Open "&amp;C266
))</f>
        <v>Open A4658</v>
      </c>
      <c r="F266" s="14">
        <v>0</v>
      </c>
      <c r="G266" s="14" t="str">
        <f>'2026 Orders'!G265</f>
        <v>PENAMAX-60-GE-FD</v>
      </c>
      <c r="H266" s="14" t="str">
        <f>'2026 Orders'!H265</f>
        <v>PENAMAX-60</v>
      </c>
      <c r="I266" s="15" t="str">
        <f>'2026 Orders'!I265</f>
        <v>FD</v>
      </c>
      <c r="J266" s="14">
        <f>'2026 Orders'!J265</f>
        <v>100</v>
      </c>
      <c r="K266" t="s">
        <v>1012</v>
      </c>
      <c r="L266">
        <v>120</v>
      </c>
      <c r="N266" s="10" t="str">
        <f>'2026 Orders'!N265</f>
        <v>Picked</v>
      </c>
      <c r="O266">
        <v>0</v>
      </c>
      <c r="P266" t="s">
        <v>1077</v>
      </c>
      <c r="Q266">
        <v>810131194673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C266" t="str">
        <f>IF(OR(B266="",B266=0),"",$AJ$2&amp;"/"&amp;J266)</f>
        <v>/100</v>
      </c>
      <c r="AD266" t="e">
        <f t="shared" si="4"/>
        <v>#VALUE!</v>
      </c>
    </row>
    <row r="267" spans="2:30" ht="33" hidden="1" customHeight="1" x14ac:dyDescent="0.3">
      <c r="B267" s="14" t="str">
        <f>'2026 Orders'!B266</f>
        <v>China</v>
      </c>
      <c r="C267" s="14" t="str">
        <f>'2026 Orders'!C266</f>
        <v>A4658</v>
      </c>
      <c r="D267" s="14">
        <v>0</v>
      </c>
      <c r="E267" s="17" t="str" cm="1">
        <f t="array" ref="E267">IF(C267=0,"",
HYPERLINK(
"#'2026 Orders'!C"&amp;
MATCH(1,
('2026 Orders'!C:C=C267)*
('2026 Orders'!G:G=G267)*
('2026 Orders'!N:N=N267),
0),
"Open "&amp;C267
))</f>
        <v>Open A4658</v>
      </c>
      <c r="F267" s="14">
        <v>0</v>
      </c>
      <c r="G267" s="14" t="str">
        <f>'2026 Orders'!G266</f>
        <v>LARGIN-100-FD</v>
      </c>
      <c r="H267" s="14" t="str">
        <f>'2026 Orders'!H266</f>
        <v>LARGIN-100</v>
      </c>
      <c r="I267" s="15" t="str">
        <f>'2026 Orders'!I266</f>
        <v>FD</v>
      </c>
      <c r="J267" s="14">
        <f>'2026 Orders'!J266</f>
        <v>100</v>
      </c>
      <c r="K267">
        <v>0</v>
      </c>
      <c r="L267">
        <v>0</v>
      </c>
      <c r="N267" s="10" t="str">
        <f>'2026 Orders'!N266</f>
        <v>In Production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C267" t="str">
        <f>IF(OR(B267="",B267=0),"",$AJ$2&amp;"/"&amp;J267)</f>
        <v>/100</v>
      </c>
      <c r="AD267" t="e">
        <f t="shared" si="4"/>
        <v>#VALUE!</v>
      </c>
    </row>
    <row r="268" spans="2:30" ht="33" hidden="1" customHeight="1" x14ac:dyDescent="0.3">
      <c r="B268" s="14" t="str">
        <f>'2026 Orders'!B267</f>
        <v>China</v>
      </c>
      <c r="C268" s="14" t="str">
        <f>'2026 Orders'!C267</f>
        <v>A4658</v>
      </c>
      <c r="D268" s="14">
        <v>0</v>
      </c>
      <c r="E268" s="17" t="str" cm="1">
        <f t="array" ref="E268">IF(C268=0,"",
HYPERLINK(
"#'2026 Orders'!C"&amp;
MATCH(1,
('2026 Orders'!C:C=C268)*
('2026 Orders'!G:G=G268)*
('2026 Orders'!N:N=N268),
0),
"Open "&amp;C268
))</f>
        <v>Open A4658</v>
      </c>
      <c r="F268" s="14" t="s">
        <v>1265</v>
      </c>
      <c r="G268" s="14" t="str">
        <f>'2026 Orders'!G267</f>
        <v>QWELL2-60-SG-FD</v>
      </c>
      <c r="H268" s="14" t="str">
        <f>'2026 Orders'!H267</f>
        <v>QWELL2-60</v>
      </c>
      <c r="I268" s="15" t="str">
        <f>'2026 Orders'!I267</f>
        <v>FD</v>
      </c>
      <c r="J268" s="14">
        <f>'2026 Orders'!J267</f>
        <v>100</v>
      </c>
      <c r="K268" t="s">
        <v>977</v>
      </c>
      <c r="L268">
        <v>0</v>
      </c>
      <c r="N268" s="10" t="str">
        <f>'2026 Orders'!N267</f>
        <v>Picked</v>
      </c>
      <c r="O268">
        <v>0</v>
      </c>
      <c r="P268" t="s">
        <v>1077</v>
      </c>
      <c r="Q268">
        <v>609788968344</v>
      </c>
      <c r="R268">
        <v>9524</v>
      </c>
      <c r="S268">
        <v>5109</v>
      </c>
      <c r="T268">
        <v>46286</v>
      </c>
      <c r="U268" t="s">
        <v>1089</v>
      </c>
      <c r="V268">
        <v>0</v>
      </c>
      <c r="W268">
        <v>0</v>
      </c>
      <c r="X268">
        <v>0</v>
      </c>
      <c r="Y268">
        <v>0</v>
      </c>
      <c r="Z268" t="s">
        <v>1086</v>
      </c>
      <c r="AC268" t="str">
        <f>IF(OR(B268="",B268=0),"",$AJ$2&amp;"/"&amp;J268)</f>
        <v>/100</v>
      </c>
      <c r="AD268" t="e">
        <f t="shared" si="4"/>
        <v>#VALUE!</v>
      </c>
    </row>
    <row r="269" spans="2:30" ht="33" hidden="1" customHeight="1" x14ac:dyDescent="0.3">
      <c r="B269" s="14">
        <f>'2026 Orders'!B268</f>
        <v>0</v>
      </c>
      <c r="C269" s="14">
        <f>'2026 Orders'!C268</f>
        <v>0</v>
      </c>
      <c r="D269" s="14">
        <v>0</v>
      </c>
      <c r="E269" s="17" t="str" cm="1">
        <f t="array" ref="E269">IF(C269=0,"",
HYPERLINK(
"#'2026 Orders'!C"&amp;
MATCH(1,
('2026 Orders'!C:C=C269)*
('2026 Orders'!G:G=G269)*
('2026 Orders'!N:N=N269),
0),
"Open "&amp;C269
))</f>
        <v/>
      </c>
      <c r="F269" s="14">
        <v>0</v>
      </c>
      <c r="G269" s="14">
        <f>'2026 Orders'!G268</f>
        <v>0</v>
      </c>
      <c r="H269" s="14">
        <f>'2026 Orders'!H268</f>
        <v>0</v>
      </c>
      <c r="I269" s="15" t="str">
        <f>'2026 Orders'!I268</f>
        <v/>
      </c>
      <c r="J269" s="14">
        <f>'2026 Orders'!J268</f>
        <v>0</v>
      </c>
      <c r="K269" t="s">
        <v>1016</v>
      </c>
      <c r="L269">
        <v>0</v>
      </c>
      <c r="N269" s="10">
        <f>'2026 Orders'!N268</f>
        <v>0</v>
      </c>
      <c r="O269">
        <v>0</v>
      </c>
      <c r="P269" t="s">
        <v>1077</v>
      </c>
      <c r="Q269">
        <v>609788968399</v>
      </c>
      <c r="R269">
        <v>5000</v>
      </c>
      <c r="S269">
        <v>5095</v>
      </c>
      <c r="T269">
        <v>46286</v>
      </c>
      <c r="U269" t="s">
        <v>1089</v>
      </c>
      <c r="V269">
        <v>0</v>
      </c>
      <c r="W269">
        <v>0</v>
      </c>
      <c r="X269">
        <v>0</v>
      </c>
      <c r="Y269">
        <v>0</v>
      </c>
      <c r="Z269">
        <v>0</v>
      </c>
      <c r="AC269" t="str">
        <f>IF(OR(B269="",B269=0),"",$AJ$2&amp;"/"&amp;J269)</f>
        <v/>
      </c>
      <c r="AD269" t="str">
        <f t="shared" si="4"/>
        <v/>
      </c>
    </row>
    <row r="270" spans="2:30" ht="33" hidden="1" customHeight="1" x14ac:dyDescent="0.3">
      <c r="B270" s="14" t="str">
        <f>'2026 Orders'!B269</f>
        <v>China</v>
      </c>
      <c r="C270" s="14" t="str">
        <f>'2026 Orders'!C269</f>
        <v>A4659</v>
      </c>
      <c r="D270" s="14">
        <v>0</v>
      </c>
      <c r="E270" s="17" t="str" cm="1">
        <f t="array" ref="E270">IF(C270=0,"",
HYPERLINK(
"#'2026 Orders'!C"&amp;
MATCH(1,
('2026 Orders'!C:C=C270)*
('2026 Orders'!G:G=G270)*
('2026 Orders'!N:N=N270),
0),
"Open "&amp;C270
))</f>
        <v>Open A4659</v>
      </c>
      <c r="F270" s="14" t="s">
        <v>1266</v>
      </c>
      <c r="G270" s="14" t="str">
        <f>'2026 Orders'!G269</f>
        <v>FERTMX-90-RE</v>
      </c>
      <c r="H270" s="14" t="str">
        <f>'2026 Orders'!H269</f>
        <v>FERTMX-90</v>
      </c>
      <c r="I270" s="15" t="str">
        <f>'2026 Orders'!I269</f>
        <v>RE</v>
      </c>
      <c r="J270" s="14">
        <f>'2026 Orders'!J269</f>
        <v>76</v>
      </c>
      <c r="K270" t="s">
        <v>634</v>
      </c>
      <c r="L270">
        <v>0</v>
      </c>
      <c r="N270" s="10" t="str">
        <f>'2026 Orders'!N269</f>
        <v>Picked</v>
      </c>
      <c r="O270">
        <v>0</v>
      </c>
      <c r="P270" t="s">
        <v>1085</v>
      </c>
      <c r="Q270">
        <v>810131199623</v>
      </c>
      <c r="R270">
        <v>5000</v>
      </c>
      <c r="S270">
        <v>0</v>
      </c>
      <c r="T270" t="s">
        <v>1108</v>
      </c>
      <c r="U270" t="s">
        <v>1142</v>
      </c>
      <c r="V270">
        <v>0</v>
      </c>
      <c r="W270">
        <v>0</v>
      </c>
      <c r="X270">
        <v>0</v>
      </c>
      <c r="Y270">
        <v>0</v>
      </c>
      <c r="Z270">
        <v>0</v>
      </c>
      <c r="AC270" t="str">
        <f>IF(OR(B270="",B270=0),"",$AJ$2&amp;"/"&amp;J270)</f>
        <v>/76</v>
      </c>
      <c r="AD270" t="e">
        <f t="shared" si="4"/>
        <v>#VALUE!</v>
      </c>
    </row>
    <row r="271" spans="2:30" ht="33" hidden="1" customHeight="1" x14ac:dyDescent="0.3">
      <c r="B271" s="14" t="str">
        <f>'2026 Orders'!B270</f>
        <v>China</v>
      </c>
      <c r="C271" s="14" t="str">
        <f>'2026 Orders'!C270</f>
        <v>A4659</v>
      </c>
      <c r="D271" s="14">
        <v>0</v>
      </c>
      <c r="E271" s="17" t="str" cm="1">
        <f t="array" ref="E271">IF(C271=0,"",
HYPERLINK(
"#'2026 Orders'!C"&amp;
MATCH(1,
('2026 Orders'!C:C=C271)*
('2026 Orders'!G:G=G271)*
('2026 Orders'!N:N=N271),
0),
"Open "&amp;C271
))</f>
        <v>Open A4659</v>
      </c>
      <c r="F271" s="14" t="s">
        <v>1267</v>
      </c>
      <c r="G271" s="14" t="str">
        <f>'2026 Orders'!G270</f>
        <v>FERTMX-90-RE</v>
      </c>
      <c r="H271" s="14" t="str">
        <f>'2026 Orders'!H270</f>
        <v>FERTMX-90</v>
      </c>
      <c r="I271" s="15" t="str">
        <f>'2026 Orders'!I270</f>
        <v>RE</v>
      </c>
      <c r="J271" s="14">
        <f>'2026 Orders'!J270</f>
        <v>34</v>
      </c>
      <c r="K271" t="s">
        <v>640</v>
      </c>
      <c r="L271">
        <v>0</v>
      </c>
      <c r="N271" s="10" t="str">
        <f>'2026 Orders'!N270</f>
        <v>Picked</v>
      </c>
      <c r="O271">
        <v>0</v>
      </c>
      <c r="P271" t="s">
        <v>1085</v>
      </c>
      <c r="Q271">
        <v>609788969006</v>
      </c>
      <c r="R271">
        <v>5000</v>
      </c>
      <c r="S271">
        <v>5034</v>
      </c>
      <c r="T271" t="s">
        <v>1108</v>
      </c>
      <c r="U271" t="s">
        <v>1149</v>
      </c>
      <c r="V271">
        <v>0</v>
      </c>
      <c r="W271">
        <v>0</v>
      </c>
      <c r="X271">
        <v>0</v>
      </c>
      <c r="Y271">
        <v>0</v>
      </c>
      <c r="Z271">
        <v>0</v>
      </c>
      <c r="AC271" t="str">
        <f>IF(OR(B271="",B271=0),"",$AJ$2&amp;"/"&amp;J271)</f>
        <v>/34</v>
      </c>
      <c r="AD271" t="e">
        <f t="shared" si="4"/>
        <v>#VALUE!</v>
      </c>
    </row>
    <row r="272" spans="2:30" ht="33" hidden="1" customHeight="1" x14ac:dyDescent="0.3">
      <c r="B272" s="14" t="str">
        <f>'2026 Orders'!B271</f>
        <v>China</v>
      </c>
      <c r="C272" s="14" t="str">
        <f>'2026 Orders'!C271</f>
        <v>A4659</v>
      </c>
      <c r="D272" s="14">
        <v>0</v>
      </c>
      <c r="E272" s="17" t="str" cm="1">
        <f t="array" ref="E272">IF(C272=0,"",
HYPERLINK(
"#'2026 Orders'!C"&amp;
MATCH(1,
('2026 Orders'!C:C=C272)*
('2026 Orders'!G:G=G272)*
('2026 Orders'!N:N=N272),
0),
"Open "&amp;C272
))</f>
        <v>Open A4659</v>
      </c>
      <c r="F272" s="14" t="s">
        <v>1268</v>
      </c>
      <c r="G272" s="14" t="str">
        <f>'2026 Orders'!G271</f>
        <v>METRIO-60-FD</v>
      </c>
      <c r="H272" s="14" t="str">
        <f>'2026 Orders'!H271</f>
        <v>METRIO-60</v>
      </c>
      <c r="I272" s="15" t="str">
        <f>'2026 Orders'!I271</f>
        <v>FD</v>
      </c>
      <c r="J272" s="14">
        <f>'2026 Orders'!J271</f>
        <v>110</v>
      </c>
      <c r="K272" t="s">
        <v>518</v>
      </c>
      <c r="L272">
        <v>0</v>
      </c>
      <c r="N272" s="10" t="str">
        <f>'2026 Orders'!N271</f>
        <v>Picked</v>
      </c>
      <c r="O272">
        <v>0</v>
      </c>
      <c r="P272" t="s">
        <v>1077</v>
      </c>
      <c r="Q272" t="s">
        <v>1111</v>
      </c>
      <c r="R272">
        <v>5000</v>
      </c>
      <c r="S272">
        <v>5031</v>
      </c>
      <c r="T272" t="s">
        <v>1108</v>
      </c>
      <c r="U272" t="s">
        <v>1176</v>
      </c>
      <c r="V272">
        <v>0</v>
      </c>
      <c r="W272">
        <v>0</v>
      </c>
      <c r="X272">
        <v>0</v>
      </c>
      <c r="Y272">
        <v>0</v>
      </c>
      <c r="Z272">
        <v>0</v>
      </c>
      <c r="AC272" t="str">
        <f>IF(OR(B272="",B272=0),"",$AJ$2&amp;"/"&amp;J272)</f>
        <v>/110</v>
      </c>
      <c r="AD272" t="e">
        <f t="shared" si="4"/>
        <v>#VALUE!</v>
      </c>
    </row>
    <row r="273" spans="2:30" ht="33" hidden="1" customHeight="1" x14ac:dyDescent="0.3">
      <c r="B273" s="14" t="str">
        <f>'2026 Orders'!B272</f>
        <v>China</v>
      </c>
      <c r="C273" s="14" t="str">
        <f>'2026 Orders'!C272</f>
        <v>A4659</v>
      </c>
      <c r="D273" s="14">
        <v>0</v>
      </c>
      <c r="E273" s="17" t="str" cm="1">
        <f t="array" ref="E273">IF(C273=0,"",
HYPERLINK(
"#'2026 Orders'!C"&amp;
MATCH(1,
('2026 Orders'!C:C=C273)*
('2026 Orders'!G:G=G273)*
('2026 Orders'!N:N=N273),
0),
"Open "&amp;C273
))</f>
        <v>Open A4659</v>
      </c>
      <c r="F273" s="14" t="s">
        <v>1269</v>
      </c>
      <c r="G273" s="14" t="str">
        <f>'2026 Orders'!G272</f>
        <v>MFSPLS-120-CS-CN</v>
      </c>
      <c r="H273" s="14" t="str">
        <f>'2026 Orders'!H272</f>
        <v>MFSPLS-120</v>
      </c>
      <c r="I273" s="15" t="str">
        <f>'2026 Orders'!I272</f>
        <v>CN</v>
      </c>
      <c r="J273" s="14">
        <f>'2026 Orders'!J272</f>
        <v>550</v>
      </c>
      <c r="K273" t="s">
        <v>630</v>
      </c>
      <c r="L273">
        <v>0</v>
      </c>
      <c r="N273" s="10" t="str">
        <f>'2026 Orders'!N272</f>
        <v>PO submitted</v>
      </c>
      <c r="O273" t="s">
        <v>1177</v>
      </c>
      <c r="P273" t="s">
        <v>1085</v>
      </c>
      <c r="Q273">
        <v>609788968443</v>
      </c>
      <c r="R273">
        <v>5000</v>
      </c>
      <c r="S273">
        <v>4934</v>
      </c>
      <c r="T273" t="s">
        <v>1108</v>
      </c>
      <c r="U273" t="s">
        <v>1176</v>
      </c>
      <c r="V273">
        <v>0</v>
      </c>
      <c r="W273">
        <v>0</v>
      </c>
      <c r="X273">
        <v>0</v>
      </c>
      <c r="Y273">
        <v>0</v>
      </c>
      <c r="Z273">
        <v>0</v>
      </c>
      <c r="AC273" t="str">
        <f>IF(OR(B273="",B273=0),"",$AJ$2&amp;"/"&amp;J273)</f>
        <v>/550</v>
      </c>
      <c r="AD273" t="e">
        <f t="shared" si="4"/>
        <v>#VALUE!</v>
      </c>
    </row>
    <row r="274" spans="2:30" ht="33" hidden="1" customHeight="1" x14ac:dyDescent="0.3">
      <c r="B274" s="14" t="str">
        <f>'2026 Orders'!B273</f>
        <v>China</v>
      </c>
      <c r="C274" s="14" t="str">
        <f>'2026 Orders'!C273</f>
        <v>A4659</v>
      </c>
      <c r="D274" s="14">
        <v>0</v>
      </c>
      <c r="E274" s="17" t="str" cm="1">
        <f t="array" ref="E274">IF(C274=0,"",
HYPERLINK(
"#'2026 Orders'!C"&amp;
MATCH(1,
('2026 Orders'!C:C=C274)*
('2026 Orders'!G:G=G274)*
('2026 Orders'!N:N=N274),
0),
"Open "&amp;C274
))</f>
        <v>Open A4659</v>
      </c>
      <c r="F274" s="14" t="s">
        <v>1270</v>
      </c>
      <c r="G274" s="14" t="str">
        <f>'2026 Orders'!G273</f>
        <v>OVAMAXPLUS-120-CS-CN</v>
      </c>
      <c r="H274" s="14" t="str">
        <f>'2026 Orders'!H273</f>
        <v>OVAMAXPLUS-120</v>
      </c>
      <c r="I274" s="15" t="str">
        <f>'2026 Orders'!I273</f>
        <v>CN</v>
      </c>
      <c r="J274" s="14">
        <f>'2026 Orders'!J273</f>
        <v>1650</v>
      </c>
      <c r="K274" t="s">
        <v>638</v>
      </c>
      <c r="L274">
        <v>0</v>
      </c>
      <c r="N274" s="10" t="str">
        <f>'2026 Orders'!N273</f>
        <v>Picked</v>
      </c>
      <c r="O274" t="s">
        <v>1178</v>
      </c>
      <c r="P274" t="s">
        <v>1085</v>
      </c>
      <c r="Q274">
        <v>604776735892</v>
      </c>
      <c r="R274">
        <v>3000</v>
      </c>
      <c r="S274">
        <v>5028</v>
      </c>
      <c r="T274" t="s">
        <v>1108</v>
      </c>
      <c r="U274" t="s">
        <v>1176</v>
      </c>
      <c r="V274">
        <v>0</v>
      </c>
      <c r="W274">
        <v>0</v>
      </c>
      <c r="X274">
        <v>0</v>
      </c>
      <c r="Y274">
        <v>0</v>
      </c>
      <c r="Z274">
        <v>0</v>
      </c>
      <c r="AC274" t="str">
        <f>IF(OR(B274="",B274=0),"",$AJ$2&amp;"/"&amp;J274)</f>
        <v>/1650</v>
      </c>
      <c r="AD274" t="e">
        <f t="shared" si="4"/>
        <v>#VALUE!</v>
      </c>
    </row>
    <row r="275" spans="2:30" ht="33" hidden="1" customHeight="1" x14ac:dyDescent="0.3">
      <c r="B275" s="14" t="str">
        <f>'2026 Orders'!B274</f>
        <v>China</v>
      </c>
      <c r="C275" s="14" t="str">
        <f>'2026 Orders'!C274</f>
        <v>A4659</v>
      </c>
      <c r="D275" s="14">
        <v>0</v>
      </c>
      <c r="E275" s="17" t="str" cm="1">
        <f t="array" ref="E275">IF(C275=0,"",
HYPERLINK(
"#'2026 Orders'!C"&amp;
MATCH(1,
('2026 Orders'!C:C=C275)*
('2026 Orders'!G:G=G275)*
('2026 Orders'!N:N=N275),
0),
"Open "&amp;C275
))</f>
        <v>Open A4659</v>
      </c>
      <c r="F275" s="14">
        <v>0</v>
      </c>
      <c r="G275" s="14" t="str">
        <f>'2026 Orders'!G274</f>
        <v>PRECON-180-FD</v>
      </c>
      <c r="H275" s="14" t="str">
        <f>'2026 Orders'!H274</f>
        <v>PRECON-180</v>
      </c>
      <c r="I275" s="15" t="str">
        <f>'2026 Orders'!I274</f>
        <v>FD</v>
      </c>
      <c r="J275" s="14">
        <f>'2026 Orders'!J274</f>
        <v>330</v>
      </c>
      <c r="K275">
        <v>0</v>
      </c>
      <c r="L275">
        <v>0</v>
      </c>
      <c r="N275" s="10" t="str">
        <f>'2026 Orders'!N274</f>
        <v>Picked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C275" t="str">
        <f>IF(OR(B275="",B275=0),"",$AJ$2&amp;"/"&amp;J275)</f>
        <v>/330</v>
      </c>
      <c r="AD275" t="e">
        <f t="shared" si="4"/>
        <v>#VALUE!</v>
      </c>
    </row>
    <row r="276" spans="2:30" ht="33" hidden="1" customHeight="1" x14ac:dyDescent="0.3">
      <c r="B276" s="14" t="str">
        <f>'2026 Orders'!B275</f>
        <v>China</v>
      </c>
      <c r="C276" s="14" t="str">
        <f>'2026 Orders'!C275</f>
        <v>A4659</v>
      </c>
      <c r="D276" s="14" t="s">
        <v>1022</v>
      </c>
      <c r="E276" s="17" t="str" cm="1">
        <f t="array" ref="E276">IF(C276=0,"",
HYPERLINK(
"#'2026 Orders'!C"&amp;
MATCH(1,
('2026 Orders'!C:C=C276)*
('2026 Orders'!G:G=G276)*
('2026 Orders'!N:N=N276),
0),
"Open "&amp;C276
))</f>
        <v>Open A4659</v>
      </c>
      <c r="F276" s="14">
        <v>0</v>
      </c>
      <c r="G276" s="14" t="str">
        <f>'2026 Orders'!G275</f>
        <v>SPERMCT-60-FD</v>
      </c>
      <c r="H276" s="14" t="str">
        <f>'2026 Orders'!H275</f>
        <v>SPERMCT-60</v>
      </c>
      <c r="I276" s="15" t="str">
        <f>'2026 Orders'!I275</f>
        <v>FD</v>
      </c>
      <c r="J276" s="14">
        <f>'2026 Orders'!J275</f>
        <v>110</v>
      </c>
      <c r="K276" t="s">
        <v>1341</v>
      </c>
      <c r="L276">
        <v>1100</v>
      </c>
      <c r="N276" s="10" t="str">
        <f>'2026 Orders'!N275</f>
        <v>Picked</v>
      </c>
      <c r="O276" t="s">
        <v>1179</v>
      </c>
      <c r="P276" t="s">
        <v>1077</v>
      </c>
      <c r="Q276">
        <v>604776736820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 t="s">
        <v>1086</v>
      </c>
      <c r="AC276" t="str">
        <f>IF(OR(B276="",B276=0),"",$AJ$2&amp;"/"&amp;J276)</f>
        <v>/110</v>
      </c>
      <c r="AD276" t="e">
        <f t="shared" si="4"/>
        <v>#VALUE!</v>
      </c>
    </row>
    <row r="277" spans="2:30" ht="33" hidden="1" customHeight="1" x14ac:dyDescent="0.3">
      <c r="B277" s="14" t="str">
        <f>'2026 Orders'!B276</f>
        <v>China</v>
      </c>
      <c r="C277" s="14" t="str">
        <f>'2026 Orders'!C276</f>
        <v>A4659</v>
      </c>
      <c r="D277" s="14" t="s">
        <v>1026</v>
      </c>
      <c r="E277" s="17" t="str" cm="1">
        <f t="array" ref="E277">IF(C277=0,"",
HYPERLINK(
"#'2026 Orders'!C"&amp;
MATCH(1,
('2026 Orders'!C:C=C277)*
('2026 Orders'!G:G=G277)*
('2026 Orders'!N:N=N277),
0),
"Open "&amp;C277
))</f>
        <v>Open A4659</v>
      </c>
      <c r="F277" s="14">
        <v>0</v>
      </c>
      <c r="G277" s="14" t="str">
        <f>'2026 Orders'!G276</f>
        <v>WFSPLS-180-FD</v>
      </c>
      <c r="H277" s="14" t="str">
        <f>'2026 Orders'!H276</f>
        <v>WFSPLS-180</v>
      </c>
      <c r="I277" s="15" t="str">
        <f>'2026 Orders'!I276</f>
        <v>FD</v>
      </c>
      <c r="J277" s="14">
        <f>'2026 Orders'!J276</f>
        <v>110</v>
      </c>
      <c r="K277">
        <v>24</v>
      </c>
      <c r="L277">
        <v>550</v>
      </c>
      <c r="N277" s="10" t="str">
        <f>'2026 Orders'!N276</f>
        <v>PO Drafted</v>
      </c>
      <c r="O277" t="s">
        <v>1179</v>
      </c>
      <c r="P277" t="s">
        <v>1077</v>
      </c>
      <c r="Q277">
        <v>604776736738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C277" t="str">
        <f>IF(OR(B277="",B277=0),"",$AJ$2&amp;"/"&amp;J277)</f>
        <v>/110</v>
      </c>
      <c r="AD277" t="e">
        <f t="shared" si="4"/>
        <v>#VALUE!</v>
      </c>
    </row>
    <row r="278" spans="2:30" ht="33" hidden="1" customHeight="1" x14ac:dyDescent="0.3">
      <c r="B278" s="14" t="str">
        <f>'2026 Orders'!B277</f>
        <v>China</v>
      </c>
      <c r="C278" s="14" t="str">
        <f>'2026 Orders'!C277</f>
        <v>A4659</v>
      </c>
      <c r="D278" s="14" t="s">
        <v>1326</v>
      </c>
      <c r="E278" s="17" t="str" cm="1">
        <f t="array" ref="E278">IF(C278=0,"",
HYPERLINK(
"#'2026 Orders'!C"&amp;
MATCH(1,
('2026 Orders'!C:C=C278)*
('2026 Orders'!G:G=G278)*
('2026 Orders'!N:N=N278),
0),
"Open "&amp;C278
))</f>
        <v>Open A4659</v>
      </c>
      <c r="F278" s="14" t="s">
        <v>1028</v>
      </c>
      <c r="G278" s="14" t="str">
        <f>'2026 Orders'!G277</f>
        <v>TESTRON-60-FD</v>
      </c>
      <c r="H278" s="14" t="str">
        <f>'2026 Orders'!H277</f>
        <v>TESTRON-60</v>
      </c>
      <c r="I278" s="15" t="str">
        <f>'2026 Orders'!I277</f>
        <v>FD</v>
      </c>
      <c r="J278" s="14">
        <f>'2026 Orders'!J277</f>
        <v>100</v>
      </c>
      <c r="K278">
        <v>24</v>
      </c>
      <c r="L278">
        <v>126</v>
      </c>
      <c r="N278" s="10" t="str">
        <f>'2026 Orders'!N277</f>
        <v>Picked</v>
      </c>
      <c r="O278" t="s">
        <v>1180</v>
      </c>
      <c r="P278" t="s">
        <v>1077</v>
      </c>
      <c r="Q278">
        <v>604776739371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C278" t="str">
        <f>IF(OR(B278="",B278=0),"",$AJ$2&amp;"/"&amp;J278)</f>
        <v>/100</v>
      </c>
      <c r="AD278" t="e">
        <f t="shared" si="4"/>
        <v>#VALUE!</v>
      </c>
    </row>
    <row r="279" spans="2:30" ht="33" hidden="1" customHeight="1" x14ac:dyDescent="0.3">
      <c r="B279" s="14">
        <f>'2026 Orders'!B278</f>
        <v>0</v>
      </c>
      <c r="C279" s="14">
        <f>'2026 Orders'!C278</f>
        <v>0</v>
      </c>
      <c r="D279" s="14">
        <v>0</v>
      </c>
      <c r="E279" s="17" t="str" cm="1">
        <f t="array" ref="E279">IF(C279=0,"",
HYPERLINK(
"#'2026 Orders'!C"&amp;
MATCH(1,
('2026 Orders'!C:C=C279)*
('2026 Orders'!G:G=G279)*
('2026 Orders'!N:N=N279),
0),
"Open "&amp;C279
))</f>
        <v/>
      </c>
      <c r="F279" s="14">
        <v>0</v>
      </c>
      <c r="G279" s="14">
        <f>'2026 Orders'!G278</f>
        <v>0</v>
      </c>
      <c r="H279" s="14">
        <f>'2026 Orders'!H278</f>
        <v>0</v>
      </c>
      <c r="I279" s="15" t="str">
        <f>'2026 Orders'!I278</f>
        <v/>
      </c>
      <c r="J279" s="14">
        <f>'2026 Orders'!J278</f>
        <v>0</v>
      </c>
      <c r="K279">
        <v>0</v>
      </c>
      <c r="L279">
        <v>0</v>
      </c>
      <c r="N279" s="10">
        <f>'2026 Orders'!N278</f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C279" t="str">
        <f>IF(OR(B279="",B279=0),"",$AJ$2&amp;"/"&amp;J279)</f>
        <v/>
      </c>
      <c r="AD279" t="str">
        <f t="shared" si="4"/>
        <v/>
      </c>
    </row>
    <row r="280" spans="2:30" ht="33" hidden="1" customHeight="1" x14ac:dyDescent="0.3">
      <c r="B280" s="14" t="str">
        <f>'2026 Orders'!B279</f>
        <v>China</v>
      </c>
      <c r="C280" s="14" t="str">
        <f>'2026 Orders'!C279</f>
        <v>A4680</v>
      </c>
      <c r="D280" s="14" t="s">
        <v>1022</v>
      </c>
      <c r="E280" s="17" t="str" cm="1">
        <f t="array" ref="E280">IF(C280=0,"",
HYPERLINK(
"#'2026 Orders'!C"&amp;
MATCH(1,
('2026 Orders'!C:C=C280)*
('2026 Orders'!G:G=G280)*
('2026 Orders'!N:N=N280),
0),
"Open "&amp;C280
))</f>
        <v>Open A4680</v>
      </c>
      <c r="F280" s="14">
        <v>0</v>
      </c>
      <c r="G280" s="14" t="str">
        <f>'2026 Orders'!G279</f>
        <v>DHEA25-60-FD</v>
      </c>
      <c r="H280" s="14" t="str">
        <f>'2026 Orders'!H279</f>
        <v>DHEA25-60</v>
      </c>
      <c r="I280" s="15" t="str">
        <f>'2026 Orders'!I279</f>
        <v>FD</v>
      </c>
      <c r="J280" s="14">
        <f>'2026 Orders'!J279</f>
        <v>300</v>
      </c>
      <c r="K280">
        <v>24</v>
      </c>
      <c r="L280">
        <v>928</v>
      </c>
      <c r="N280" s="10" t="str">
        <f>'2026 Orders'!N279</f>
        <v>D/W Sent</v>
      </c>
      <c r="O280" t="s">
        <v>1179</v>
      </c>
      <c r="P280" t="s">
        <v>1077</v>
      </c>
      <c r="Q280">
        <v>604776736813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 t="s">
        <v>1086</v>
      </c>
      <c r="AC280" t="str">
        <f>IF(OR(B280="",B280=0),"",$AJ$2&amp;"/"&amp;J280)</f>
        <v>/300</v>
      </c>
      <c r="AD280" t="e">
        <f t="shared" si="4"/>
        <v>#VALUE!</v>
      </c>
    </row>
    <row r="281" spans="2:30" ht="33" hidden="1" customHeight="1" x14ac:dyDescent="0.3">
      <c r="B281" s="14" t="str">
        <f>'2026 Orders'!B280</f>
        <v>China</v>
      </c>
      <c r="C281" s="14" t="str">
        <f>'2026 Orders'!C280</f>
        <v>A4680</v>
      </c>
      <c r="D281" s="14" t="s">
        <v>1022</v>
      </c>
      <c r="E281" s="17" t="str" cm="1">
        <f t="array" ref="E281">IF(C281=0,"",
HYPERLINK(
"#'2026 Orders'!C"&amp;
MATCH(1,
('2026 Orders'!C:C=C281)*
('2026 Orders'!G:G=G281)*
('2026 Orders'!N:N=N281),
0),
"Open "&amp;C281
))</f>
        <v>Open A4680</v>
      </c>
      <c r="F281" s="14" t="s">
        <v>1271</v>
      </c>
      <c r="G281" s="14" t="str">
        <f>'2026 Orders'!G280</f>
        <v>RAPIDC5-100-FD</v>
      </c>
      <c r="H281" s="14" t="str">
        <f>'2026 Orders'!H280</f>
        <v>RAPIDC5-100</v>
      </c>
      <c r="I281" s="15" t="str">
        <f>'2026 Orders'!I280</f>
        <v>FD</v>
      </c>
      <c r="J281" s="14">
        <f>'2026 Orders'!J280</f>
        <v>500</v>
      </c>
      <c r="K281">
        <v>24</v>
      </c>
      <c r="L281">
        <v>172</v>
      </c>
      <c r="N281" s="10" t="str">
        <f>'2026 Orders'!N280</f>
        <v>D/W Sent</v>
      </c>
      <c r="O281">
        <v>0</v>
      </c>
      <c r="P281" t="s">
        <v>1077</v>
      </c>
      <c r="Q281">
        <v>604776736813</v>
      </c>
      <c r="R281">
        <v>0</v>
      </c>
      <c r="S281">
        <v>4974</v>
      </c>
      <c r="T281" t="s">
        <v>1079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C281" t="str">
        <f>IF(OR(B281="",B281=0),"",$AJ$2&amp;"/"&amp;J281)</f>
        <v>/500</v>
      </c>
      <c r="AD281" t="e">
        <f t="shared" si="4"/>
        <v>#VALUE!</v>
      </c>
    </row>
    <row r="282" spans="2:30" ht="33" hidden="1" customHeight="1" x14ac:dyDescent="0.3">
      <c r="B282" s="14">
        <f>'2026 Orders'!B281</f>
        <v>0</v>
      </c>
      <c r="C282" s="14">
        <f>'2026 Orders'!C281</f>
        <v>0</v>
      </c>
      <c r="D282" s="14" t="s">
        <v>1026</v>
      </c>
      <c r="E282" s="17" t="str" cm="1">
        <f t="array" ref="E282">IF(C282=0,"",
HYPERLINK(
"#'2026 Orders'!C"&amp;
MATCH(1,
('2026 Orders'!C:C=C282)*
('2026 Orders'!G:G=G282)*
('2026 Orders'!N:N=N282),
0),
"Open "&amp;C282
))</f>
        <v/>
      </c>
      <c r="F282" s="14">
        <v>0</v>
      </c>
      <c r="G282" s="14">
        <f>'2026 Orders'!G281</f>
        <v>0</v>
      </c>
      <c r="H282" s="14">
        <f>'2026 Orders'!H281</f>
        <v>0</v>
      </c>
      <c r="I282" s="15" t="str">
        <f>'2026 Orders'!I281</f>
        <v/>
      </c>
      <c r="J282" s="14">
        <f>'2026 Orders'!J281</f>
        <v>0</v>
      </c>
      <c r="K282">
        <v>24</v>
      </c>
      <c r="L282">
        <v>1650</v>
      </c>
      <c r="N282" s="10">
        <f>'2026 Orders'!N281</f>
        <v>0</v>
      </c>
      <c r="O282" t="s">
        <v>1179</v>
      </c>
      <c r="P282" t="s">
        <v>1077</v>
      </c>
      <c r="Q282">
        <v>604776736790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C282" t="str">
        <f>IF(OR(B282="",B282=0),"",$AJ$2&amp;"/"&amp;J282)</f>
        <v/>
      </c>
      <c r="AD282" t="str">
        <f t="shared" si="4"/>
        <v/>
      </c>
    </row>
    <row r="283" spans="2:30" ht="33" hidden="1" customHeight="1" x14ac:dyDescent="0.3">
      <c r="B283" s="14" t="str">
        <f>'2026 Orders'!B282</f>
        <v>Kuwait</v>
      </c>
      <c r="C283" s="14" t="str">
        <f>'2026 Orders'!C282</f>
        <v>A4668</v>
      </c>
      <c r="D283" s="14" t="s">
        <v>1326</v>
      </c>
      <c r="E283" s="17" t="str" cm="1">
        <f t="array" ref="E283">IF(C283=0,"",
HYPERLINK(
"#'2026 Orders'!C"&amp;
MATCH(1,
('2026 Orders'!C:C=C283)*
('2026 Orders'!G:G=G283)*
('2026 Orders'!N:N=N283),
0),
"Open "&amp;C283
))</f>
        <v>Open A4668</v>
      </c>
      <c r="F283" s="14" t="s">
        <v>1272</v>
      </c>
      <c r="G283" s="14" t="str">
        <f>'2026 Orders'!G282</f>
        <v>OVAMAX-120-CS-KW</v>
      </c>
      <c r="H283" s="14" t="str">
        <f>'2026 Orders'!H282</f>
        <v>OVAMAX-120</v>
      </c>
      <c r="I283" s="15" t="str">
        <f>'2026 Orders'!I282</f>
        <v>KW</v>
      </c>
      <c r="J283" s="14">
        <f>'2026 Orders'!J282</f>
        <v>223</v>
      </c>
      <c r="K283">
        <v>26</v>
      </c>
      <c r="L283">
        <v>720</v>
      </c>
      <c r="N283" s="10" t="str">
        <f>'2026 Orders'!N282</f>
        <v>Picked</v>
      </c>
      <c r="O283" t="s">
        <v>1181</v>
      </c>
      <c r="P283" t="s">
        <v>1077</v>
      </c>
      <c r="Q283">
        <v>604776739395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C283" t="str">
        <f>IF(OR(B283="",B283=0),"",$AJ$2&amp;"/"&amp;J283)</f>
        <v>/223</v>
      </c>
      <c r="AD283" t="e">
        <f t="shared" si="4"/>
        <v>#VALUE!</v>
      </c>
    </row>
    <row r="284" spans="2:30" ht="33" hidden="1" customHeight="1" x14ac:dyDescent="0.3">
      <c r="B284" s="14" t="str">
        <f>'2026 Orders'!B283</f>
        <v>Kuwait</v>
      </c>
      <c r="C284" s="14" t="str">
        <f>'2026 Orders'!C283</f>
        <v>A4668</v>
      </c>
      <c r="D284" s="14">
        <v>0</v>
      </c>
      <c r="E284" s="17" t="str" cm="1">
        <f t="array" ref="E284">IF(C284=0,"",
HYPERLINK(
"#'2026 Orders'!C"&amp;
MATCH(1,
('2026 Orders'!C:C=C284)*
('2026 Orders'!G:G=G284)*
('2026 Orders'!N:N=N284),
0),
"Open "&amp;C284
))</f>
        <v>Open A4668</v>
      </c>
      <c r="F284" s="14">
        <v>0</v>
      </c>
      <c r="G284" s="14" t="str">
        <f>'2026 Orders'!G283</f>
        <v>OVAMAX-120-CS-KW</v>
      </c>
      <c r="H284" s="14" t="str">
        <f>'2026 Orders'!H283</f>
        <v>OVAMAX-120</v>
      </c>
      <c r="I284" s="15" t="str">
        <f>'2026 Orders'!I283</f>
        <v>KW</v>
      </c>
      <c r="J284" s="14">
        <f>'2026 Orders'!J283</f>
        <v>1977</v>
      </c>
      <c r="K284">
        <v>0</v>
      </c>
      <c r="L284">
        <v>0</v>
      </c>
      <c r="N284" s="10" t="str">
        <f>'2026 Orders'!N283</f>
        <v>PO submitted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C284" t="str">
        <f>IF(OR(B284="",B284=0),"",$AJ$2&amp;"/"&amp;J284)</f>
        <v>/1977</v>
      </c>
      <c r="AD284" t="e">
        <f t="shared" si="4"/>
        <v>#VALUE!</v>
      </c>
    </row>
    <row r="285" spans="2:30" ht="33" hidden="1" customHeight="1" x14ac:dyDescent="0.3">
      <c r="B285" s="14" t="str">
        <f>'2026 Orders'!B284</f>
        <v>Kuwait</v>
      </c>
      <c r="C285" s="14" t="str">
        <f>'2026 Orders'!C284</f>
        <v>A4668</v>
      </c>
      <c r="D285" s="14">
        <v>0</v>
      </c>
      <c r="E285" s="17" t="str" cm="1">
        <f t="array" ref="E285">IF(C285=0,"",
HYPERLINK(
"#'2026 Orders'!C"&amp;
MATCH(1,
('2026 Orders'!C:C=C285)*
('2026 Orders'!G:G=G285)*
('2026 Orders'!N:N=N285),
0),
"Open "&amp;C285
))</f>
        <v>Open A4668</v>
      </c>
      <c r="F285" s="14">
        <v>0</v>
      </c>
      <c r="G285" s="14" t="str">
        <f>'2026 Orders'!G284</f>
        <v>MOTILMX-60-CS-KW</v>
      </c>
      <c r="H285" s="14" t="str">
        <f>'2026 Orders'!H284</f>
        <v>MOTILMX-60</v>
      </c>
      <c r="I285" s="15" t="str">
        <f>'2026 Orders'!I284</f>
        <v>KW</v>
      </c>
      <c r="J285" s="14">
        <f>'2026 Orders'!J284</f>
        <v>2100</v>
      </c>
      <c r="K285" t="s">
        <v>1341</v>
      </c>
      <c r="L285">
        <v>0</v>
      </c>
      <c r="N285" s="10" t="str">
        <f>'2026 Orders'!N284</f>
        <v>In Production</v>
      </c>
      <c r="O285">
        <v>0</v>
      </c>
      <c r="P285" t="s">
        <v>1077</v>
      </c>
      <c r="Q285">
        <v>604776736844</v>
      </c>
      <c r="R285">
        <v>7572</v>
      </c>
      <c r="S285">
        <v>5043</v>
      </c>
      <c r="T285">
        <v>46286</v>
      </c>
      <c r="U285" t="s">
        <v>1089</v>
      </c>
      <c r="V285">
        <v>0</v>
      </c>
      <c r="W285">
        <v>0</v>
      </c>
      <c r="X285">
        <v>0</v>
      </c>
      <c r="Y285">
        <v>0</v>
      </c>
      <c r="Z285" t="s">
        <v>1086</v>
      </c>
      <c r="AC285" t="str">
        <f>IF(OR(B285="",B285=0),"",$AJ$2&amp;"/"&amp;J285)</f>
        <v>/2100</v>
      </c>
      <c r="AD285" t="e">
        <f t="shared" si="4"/>
        <v>#VALUE!</v>
      </c>
    </row>
    <row r="286" spans="2:30" ht="33" hidden="1" customHeight="1" x14ac:dyDescent="0.3">
      <c r="B286" s="14" t="str">
        <f>'2026 Orders'!B285</f>
        <v>Kuwait</v>
      </c>
      <c r="C286" s="14" t="str">
        <f>'2026 Orders'!C285</f>
        <v>A4668</v>
      </c>
      <c r="D286" s="14">
        <v>0</v>
      </c>
      <c r="E286" s="17" t="str" cm="1">
        <f t="array" ref="E286">IF(C286=0,"",
HYPERLINK(
"#'2026 Orders'!C"&amp;
MATCH(1,
('2026 Orders'!C:C=C286)*
('2026 Orders'!G:G=G286)*
('2026 Orders'!N:N=N286),
0),
"Open "&amp;C286
))</f>
        <v>Open A4668</v>
      </c>
      <c r="F286" s="14">
        <v>0</v>
      </c>
      <c r="G286" s="14" t="str">
        <f>'2026 Orders'!G285</f>
        <v>COLLA-60-CS-KW</v>
      </c>
      <c r="H286" s="14" t="str">
        <f>'2026 Orders'!H285</f>
        <v>COLLA-60</v>
      </c>
      <c r="I286" s="15" t="str">
        <f>'2026 Orders'!I285</f>
        <v>KW</v>
      </c>
      <c r="J286" s="14">
        <f>'2026 Orders'!J285</f>
        <v>399</v>
      </c>
      <c r="K286">
        <v>24</v>
      </c>
      <c r="L286">
        <v>0</v>
      </c>
      <c r="N286" s="10" t="str">
        <f>'2026 Orders'!N285</f>
        <v>Picked</v>
      </c>
      <c r="O286">
        <v>0</v>
      </c>
      <c r="P286" t="s">
        <v>1077</v>
      </c>
      <c r="Q286">
        <v>604776736776</v>
      </c>
      <c r="R286">
        <v>5000</v>
      </c>
      <c r="S286">
        <v>5095</v>
      </c>
      <c r="T286">
        <v>46286</v>
      </c>
      <c r="U286" t="s">
        <v>1089</v>
      </c>
      <c r="V286">
        <v>0</v>
      </c>
      <c r="W286">
        <v>0</v>
      </c>
      <c r="X286">
        <v>0</v>
      </c>
      <c r="Y286">
        <v>0</v>
      </c>
      <c r="Z286">
        <v>0</v>
      </c>
      <c r="AC286" t="str">
        <f>IF(OR(B286="",B286=0),"",$AJ$2&amp;"/"&amp;J286)</f>
        <v>/399</v>
      </c>
      <c r="AD286" t="e">
        <f t="shared" si="4"/>
        <v>#VALUE!</v>
      </c>
    </row>
    <row r="287" spans="2:30" ht="33" hidden="1" customHeight="1" x14ac:dyDescent="0.3">
      <c r="B287" s="14" t="str">
        <f>'2026 Orders'!B286</f>
        <v>Kuwait</v>
      </c>
      <c r="C287" s="14" t="str">
        <f>'2026 Orders'!C286</f>
        <v>A4668</v>
      </c>
      <c r="D287" s="14">
        <v>0</v>
      </c>
      <c r="E287" s="17" t="str" cm="1">
        <f t="array" ref="E287">IF(C287=0,"",
HYPERLINK(
"#'2026 Orders'!C"&amp;
MATCH(1,
('2026 Orders'!C:C=C287)*
('2026 Orders'!G:G=G287)*
('2026 Orders'!N:N=N287),
0),
"Open "&amp;C287
))</f>
        <v>Open A4668</v>
      </c>
      <c r="F287" s="14">
        <v>0</v>
      </c>
      <c r="G287" s="14" t="str">
        <f>'2026 Orders'!G286</f>
        <v>COLLA-60-CS-KW</v>
      </c>
      <c r="H287" s="14" t="str">
        <f>'2026 Orders'!H286</f>
        <v>COLLA-60</v>
      </c>
      <c r="I287" s="15" t="str">
        <f>'2026 Orders'!I286</f>
        <v>KW</v>
      </c>
      <c r="J287" s="14">
        <f>'2026 Orders'!J286</f>
        <v>301</v>
      </c>
      <c r="K287">
        <v>0</v>
      </c>
      <c r="L287">
        <v>0</v>
      </c>
      <c r="N287" s="10" t="str">
        <f>'2026 Orders'!N286</f>
        <v>Picked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C287" t="str">
        <f>IF(OR(B287="",B287=0),"",$AJ$2&amp;"/"&amp;J287)</f>
        <v>/301</v>
      </c>
      <c r="AD287" t="e">
        <f t="shared" si="4"/>
        <v>#VALUE!</v>
      </c>
    </row>
    <row r="288" spans="2:30" ht="33" hidden="1" customHeight="1" x14ac:dyDescent="0.3">
      <c r="B288" s="14" t="str">
        <f>'2026 Orders'!B287</f>
        <v>Kuwait</v>
      </c>
      <c r="C288" s="14" t="str">
        <f>'2026 Orders'!C287</f>
        <v>A4668</v>
      </c>
      <c r="D288" s="14" t="s">
        <v>1035</v>
      </c>
      <c r="E288" s="17" t="str" cm="1">
        <f t="array" ref="E288">IF(C288=0,"",
HYPERLINK(
"#'2026 Orders'!C"&amp;
MATCH(1,
('2026 Orders'!C:C=C288)*
('2026 Orders'!G:G=G288)*
('2026 Orders'!N:N=N288),
0),
"Open "&amp;C288
))</f>
        <v>Open A4668</v>
      </c>
      <c r="F288" s="14">
        <v>0</v>
      </c>
      <c r="G288" s="14" t="str">
        <f>'2026 Orders'!G287</f>
        <v>DHEA50-60-CS-KW</v>
      </c>
      <c r="H288" s="14" t="str">
        <f>'2026 Orders'!H287</f>
        <v>DHEA50-60</v>
      </c>
      <c r="I288" s="15" t="str">
        <f>'2026 Orders'!I287</f>
        <v>KW</v>
      </c>
      <c r="J288" s="14">
        <f>'2026 Orders'!J287</f>
        <v>1000</v>
      </c>
      <c r="K288">
        <v>0</v>
      </c>
      <c r="L288">
        <v>0</v>
      </c>
      <c r="N288" s="10" t="str">
        <f>'2026 Orders'!N287</f>
        <v>In Production</v>
      </c>
      <c r="O288">
        <v>0</v>
      </c>
      <c r="P288" t="s">
        <v>1077</v>
      </c>
      <c r="Q288">
        <v>609788968344</v>
      </c>
      <c r="R288">
        <v>9524</v>
      </c>
      <c r="S288">
        <v>5109</v>
      </c>
      <c r="T288">
        <v>46286</v>
      </c>
      <c r="U288" t="s">
        <v>1089</v>
      </c>
      <c r="V288">
        <v>0</v>
      </c>
      <c r="W288">
        <v>0</v>
      </c>
      <c r="X288">
        <v>0</v>
      </c>
      <c r="Y288">
        <v>0</v>
      </c>
      <c r="Z288" t="s">
        <v>1086</v>
      </c>
      <c r="AC288" t="str">
        <f>IF(OR(B288="",B288=0),"",$AJ$2&amp;"/"&amp;J288)</f>
        <v>/1000</v>
      </c>
      <c r="AD288" t="e">
        <f t="shared" si="4"/>
        <v>#VALUE!</v>
      </c>
    </row>
    <row r="289" spans="2:30" ht="33" hidden="1" customHeight="1" x14ac:dyDescent="0.3">
      <c r="B289" s="14" t="str">
        <f>'2026 Orders'!B288</f>
        <v>Kuwait</v>
      </c>
      <c r="C289" s="14" t="str">
        <f>'2026 Orders'!C288</f>
        <v>A4668</v>
      </c>
      <c r="D289" s="14" t="s">
        <v>1036</v>
      </c>
      <c r="E289" s="17" t="str" cm="1">
        <f t="array" ref="E289">IF(C289=0,"",
HYPERLINK(
"#'2026 Orders'!C"&amp;
MATCH(1,
('2026 Orders'!C:C=C289)*
('2026 Orders'!G:G=G289)*
('2026 Orders'!N:N=N289),
0),
"Open "&amp;C289
))</f>
        <v>Open A4668</v>
      </c>
      <c r="F289" s="14">
        <v>0</v>
      </c>
      <c r="G289" s="14" t="str">
        <f>'2026 Orders'!G288</f>
        <v>OMEGA3-60-FD</v>
      </c>
      <c r="H289" s="14" t="str">
        <f>'2026 Orders'!H288</f>
        <v>OMEGA3-60</v>
      </c>
      <c r="I289" s="15" t="str">
        <f>'2026 Orders'!I288</f>
        <v>FD</v>
      </c>
      <c r="J289" s="14">
        <f>'2026 Orders'!J288</f>
        <v>1500</v>
      </c>
      <c r="K289">
        <v>0</v>
      </c>
      <c r="L289">
        <v>0</v>
      </c>
      <c r="N289" s="10" t="str">
        <f>'2026 Orders'!N288</f>
        <v>PO submitted</v>
      </c>
      <c r="O289">
        <v>0</v>
      </c>
      <c r="P289" t="s">
        <v>1077</v>
      </c>
      <c r="Q289">
        <v>609788968351</v>
      </c>
      <c r="R289">
        <v>7572</v>
      </c>
      <c r="S289">
        <v>5043</v>
      </c>
      <c r="T289">
        <v>46286</v>
      </c>
      <c r="U289" t="s">
        <v>1089</v>
      </c>
      <c r="V289">
        <v>0</v>
      </c>
      <c r="W289">
        <v>0</v>
      </c>
      <c r="X289">
        <v>0</v>
      </c>
      <c r="Y289">
        <v>0</v>
      </c>
      <c r="Z289">
        <v>0</v>
      </c>
      <c r="AC289" t="str">
        <f>IF(OR(B289="",B289=0),"",$AJ$2&amp;"/"&amp;J289)</f>
        <v>/1500</v>
      </c>
      <c r="AD289" t="e">
        <f t="shared" si="4"/>
        <v>#VALUE!</v>
      </c>
    </row>
    <row r="290" spans="2:30" ht="33" hidden="1" customHeight="1" x14ac:dyDescent="0.3">
      <c r="B290" s="14" t="str">
        <f>'2026 Orders'!B289</f>
        <v>Kuwait</v>
      </c>
      <c r="C290" s="14" t="str">
        <f>'2026 Orders'!C289</f>
        <v>A4668</v>
      </c>
      <c r="D290" s="14">
        <v>0</v>
      </c>
      <c r="E290" s="17" t="str" cm="1">
        <f t="array" ref="E290">IF(C290=0,"",
HYPERLINK(
"#'2026 Orders'!C"&amp;
MATCH(1,
('2026 Orders'!C:C=C290)*
('2026 Orders'!G:G=G290)*
('2026 Orders'!N:N=N290),
0),
"Open "&amp;C290
))</f>
        <v>Open A4668</v>
      </c>
      <c r="F290" s="14">
        <v>0</v>
      </c>
      <c r="G290" s="14" t="str">
        <f>'2026 Orders'!G289</f>
        <v>OME369-90-FD</v>
      </c>
      <c r="H290" s="14" t="str">
        <f>'2026 Orders'!H289</f>
        <v>OME369-90</v>
      </c>
      <c r="I290" s="15" t="str">
        <f>'2026 Orders'!I289</f>
        <v>FD</v>
      </c>
      <c r="J290" s="14">
        <f>'2026 Orders'!J289</f>
        <v>300</v>
      </c>
      <c r="K290">
        <v>0</v>
      </c>
      <c r="L290">
        <v>0</v>
      </c>
      <c r="N290" s="10" t="str">
        <f>'2026 Orders'!N289</f>
        <v>Picked</v>
      </c>
      <c r="O290">
        <v>0</v>
      </c>
      <c r="P290" t="s">
        <v>1077</v>
      </c>
      <c r="Q290">
        <v>609788968375</v>
      </c>
      <c r="R290">
        <v>5000</v>
      </c>
      <c r="S290">
        <v>5060</v>
      </c>
      <c r="T290" t="s">
        <v>1094</v>
      </c>
      <c r="U290" t="s">
        <v>1095</v>
      </c>
      <c r="V290">
        <v>0</v>
      </c>
      <c r="W290">
        <v>0</v>
      </c>
      <c r="X290">
        <v>0</v>
      </c>
      <c r="Y290">
        <v>0</v>
      </c>
      <c r="Z290">
        <v>0</v>
      </c>
      <c r="AC290" t="str">
        <f>IF(OR(B290="",B290=0),"",$AJ$2&amp;"/"&amp;J290)</f>
        <v>/300</v>
      </c>
      <c r="AD290" t="e">
        <f t="shared" si="4"/>
        <v>#VALUE!</v>
      </c>
    </row>
    <row r="291" spans="2:30" ht="33" hidden="1" customHeight="1" x14ac:dyDescent="0.3">
      <c r="B291" s="14" t="str">
        <f>'2026 Orders'!B290</f>
        <v xml:space="preserve">Kuwait </v>
      </c>
      <c r="C291" s="14" t="str">
        <f>'2026 Orders'!C290</f>
        <v>A4668</v>
      </c>
      <c r="D291" s="14">
        <v>0</v>
      </c>
      <c r="E291" s="17" t="str" cm="1">
        <f t="array" ref="E291">IF(C291=0,"",
HYPERLINK(
"#'2026 Orders'!C"&amp;
MATCH(1,
('2026 Orders'!C:C=C291)*
('2026 Orders'!G:G=G291)*
('2026 Orders'!N:N=N291),
0),
"Open "&amp;C291
))</f>
        <v>Open A4668</v>
      </c>
      <c r="F291" s="14">
        <v>0</v>
      </c>
      <c r="G291" s="14" t="str">
        <f>'2026 Orders'!G290</f>
        <v>OSTEOPL-96-CS-KW</v>
      </c>
      <c r="H291" s="14" t="str">
        <f>'2026 Orders'!H290</f>
        <v>OSTEOPL-96</v>
      </c>
      <c r="I291" s="15" t="str">
        <f>'2026 Orders'!I290</f>
        <v>KW</v>
      </c>
      <c r="J291" s="14">
        <f>'2026 Orders'!J290</f>
        <v>500</v>
      </c>
      <c r="K291">
        <v>0</v>
      </c>
      <c r="L291">
        <v>0</v>
      </c>
      <c r="N291" s="10" t="str">
        <f>'2026 Orders'!N290</f>
        <v>Rework</v>
      </c>
      <c r="O291">
        <v>0</v>
      </c>
      <c r="P291" t="s">
        <v>1077</v>
      </c>
      <c r="Q291">
        <v>609788968221</v>
      </c>
      <c r="R291">
        <v>7000</v>
      </c>
      <c r="S291">
        <v>5119</v>
      </c>
      <c r="T291" t="s">
        <v>1108</v>
      </c>
      <c r="U291" t="s">
        <v>1182</v>
      </c>
      <c r="V291">
        <v>0</v>
      </c>
      <c r="W291">
        <v>0</v>
      </c>
      <c r="X291">
        <v>0</v>
      </c>
      <c r="Y291">
        <v>0</v>
      </c>
      <c r="Z291">
        <v>0</v>
      </c>
      <c r="AC291" t="str">
        <f>IF(OR(B291="",B291=0),"",$AJ$2&amp;"/"&amp;J291)</f>
        <v>/500</v>
      </c>
      <c r="AD291" t="e">
        <f t="shared" si="4"/>
        <v>#VALUE!</v>
      </c>
    </row>
    <row r="292" spans="2:30" ht="33" hidden="1" customHeight="1" x14ac:dyDescent="0.3">
      <c r="B292" s="14">
        <f>'2026 Orders'!B291</f>
        <v>0</v>
      </c>
      <c r="C292" s="14">
        <f>'2026 Orders'!C291</f>
        <v>0</v>
      </c>
      <c r="D292" s="14">
        <v>0</v>
      </c>
      <c r="E292" s="17" t="str" cm="1">
        <f t="array" ref="E292">IF(C292=0,"",
HYPERLINK(
"#'2026 Orders'!C"&amp;
MATCH(1,
('2026 Orders'!C:C=C292)*
('2026 Orders'!G:G=G292)*
('2026 Orders'!N:N=N292),
0),
"Open "&amp;C292
))</f>
        <v/>
      </c>
      <c r="F292" s="14">
        <v>0</v>
      </c>
      <c r="G292" s="14">
        <f>'2026 Orders'!G291</f>
        <v>0</v>
      </c>
      <c r="H292" s="14">
        <f>'2026 Orders'!H291</f>
        <v>0</v>
      </c>
      <c r="I292" s="15" t="str">
        <f>'2026 Orders'!I291</f>
        <v/>
      </c>
      <c r="J292" s="14">
        <f>'2026 Orders'!J291</f>
        <v>0</v>
      </c>
      <c r="K292">
        <v>0</v>
      </c>
      <c r="L292">
        <v>0</v>
      </c>
      <c r="N292" s="10">
        <f>'2026 Orders'!N291</f>
        <v>0</v>
      </c>
      <c r="O292">
        <v>0</v>
      </c>
      <c r="P292" t="s">
        <v>1077</v>
      </c>
      <c r="Q292">
        <v>609788968399</v>
      </c>
      <c r="R292">
        <v>7419</v>
      </c>
      <c r="S292">
        <v>5107</v>
      </c>
      <c r="T292">
        <v>46286</v>
      </c>
      <c r="U292" t="s">
        <v>1089</v>
      </c>
      <c r="V292">
        <v>0</v>
      </c>
      <c r="W292">
        <v>0</v>
      </c>
      <c r="X292">
        <v>0</v>
      </c>
      <c r="Y292">
        <v>0</v>
      </c>
      <c r="Z292">
        <v>0</v>
      </c>
      <c r="AC292" t="str">
        <f>IF(OR(B292="",B292=0),"",$AJ$2&amp;"/"&amp;J292)</f>
        <v/>
      </c>
      <c r="AD292" t="str">
        <f t="shared" si="4"/>
        <v/>
      </c>
    </row>
    <row r="293" spans="2:30" ht="33" hidden="1" customHeight="1" x14ac:dyDescent="0.3">
      <c r="B293" s="14" t="str">
        <f>'2026 Orders'!B292</f>
        <v>Greece</v>
      </c>
      <c r="C293" s="14" t="str">
        <f>'2026 Orders'!C292</f>
        <v>A4672</v>
      </c>
      <c r="D293" s="14">
        <v>0</v>
      </c>
      <c r="E293" s="17" t="str" cm="1">
        <f t="array" ref="E293">IF(C293=0,"",
HYPERLINK(
"#'2026 Orders'!C"&amp;
MATCH(1,
('2026 Orders'!C:C=C293)*
('2026 Orders'!G:G=G293)*
('2026 Orders'!N:N=N293),
0),
"Open "&amp;C293
))</f>
        <v>Open A4672</v>
      </c>
      <c r="F293" s="14">
        <v>0</v>
      </c>
      <c r="G293" s="14" t="str">
        <f>'2026 Orders'!G292</f>
        <v>OVAMAX-120-CS-GR</v>
      </c>
      <c r="H293" s="14" t="str">
        <f>'2026 Orders'!H292</f>
        <v>OVAMAX-120</v>
      </c>
      <c r="I293" s="15" t="str">
        <f>'2026 Orders'!I292</f>
        <v>GR</v>
      </c>
      <c r="J293" s="14">
        <f>'2026 Orders'!J292</f>
        <v>552</v>
      </c>
      <c r="K293">
        <v>0</v>
      </c>
      <c r="L293">
        <v>1048</v>
      </c>
      <c r="N293" s="10" t="str">
        <f>'2026 Orders'!N292</f>
        <v>D/W Sent</v>
      </c>
      <c r="O293">
        <v>0</v>
      </c>
      <c r="P293" t="s">
        <v>1085</v>
      </c>
      <c r="Q293" t="s">
        <v>1167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C293" t="str">
        <f>IF(OR(B293="",B293=0),"",$AJ$2&amp;"/"&amp;J293)</f>
        <v>/552</v>
      </c>
      <c r="AD293" t="e">
        <f t="shared" si="4"/>
        <v>#VALUE!</v>
      </c>
    </row>
    <row r="294" spans="2:30" ht="33" hidden="1" customHeight="1" x14ac:dyDescent="0.3">
      <c r="B294" s="14" t="str">
        <f>'2026 Orders'!B293</f>
        <v>Greece</v>
      </c>
      <c r="C294" s="14" t="str">
        <f>'2026 Orders'!C293</f>
        <v>A4672</v>
      </c>
      <c r="D294" s="14">
        <v>0</v>
      </c>
      <c r="E294" s="17" t="str" cm="1">
        <f t="array" ref="E294">IF(C294=0,"",
HYPERLINK(
"#'2026 Orders'!C"&amp;
MATCH(1,
('2026 Orders'!C:C=C294)*
('2026 Orders'!G:G=G294)*
('2026 Orders'!N:N=N294),
0),
"Open "&amp;C294
))</f>
        <v>Open A4672</v>
      </c>
      <c r="F294" s="14">
        <v>0</v>
      </c>
      <c r="G294" s="14" t="str">
        <f>'2026 Orders'!G293</f>
        <v>METRIO-60-CS-GR</v>
      </c>
      <c r="H294" s="14" t="str">
        <f>'2026 Orders'!H293</f>
        <v>METRIO-60</v>
      </c>
      <c r="I294" s="15" t="str">
        <f>'2026 Orders'!I293</f>
        <v>GR</v>
      </c>
      <c r="J294" s="14">
        <f>'2026 Orders'!J293</f>
        <v>144</v>
      </c>
      <c r="K294">
        <v>0</v>
      </c>
      <c r="L294">
        <v>749</v>
      </c>
      <c r="N294" s="10" t="str">
        <f>'2026 Orders'!N293</f>
        <v>D/W Sent</v>
      </c>
      <c r="O294" t="s">
        <v>1183</v>
      </c>
      <c r="P294" t="s">
        <v>1085</v>
      </c>
      <c r="Q294">
        <v>604776736875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C294" t="str">
        <f>IF(OR(B294="",B294=0),"",$AJ$2&amp;"/"&amp;J294)</f>
        <v>/144</v>
      </c>
      <c r="AD294" t="e">
        <f t="shared" si="4"/>
        <v>#VALUE!</v>
      </c>
    </row>
    <row r="295" spans="2:30" ht="33" hidden="1" customHeight="1" x14ac:dyDescent="0.3">
      <c r="B295" s="14" t="str">
        <f>'2026 Orders'!B294</f>
        <v>Greece</v>
      </c>
      <c r="C295" s="14" t="str">
        <f>'2026 Orders'!C294</f>
        <v>A4672</v>
      </c>
      <c r="D295" s="14">
        <v>0</v>
      </c>
      <c r="E295" s="17" t="str" cm="1">
        <f t="array" ref="E295">IF(C295=0,"",
HYPERLINK(
"#'2026 Orders'!C"&amp;
MATCH(1,
('2026 Orders'!C:C=C295)*
('2026 Orders'!G:G=G295)*
('2026 Orders'!N:N=N295),
0),
"Open "&amp;C295
))</f>
        <v>Open A4672</v>
      </c>
      <c r="F295" s="14" t="s">
        <v>1273</v>
      </c>
      <c r="G295" s="14" t="str">
        <f>'2026 Orders'!G294</f>
        <v>PEARLY-60-CS-GR</v>
      </c>
      <c r="H295" s="14" t="str">
        <f>'2026 Orders'!H294</f>
        <v>PEARLY-60</v>
      </c>
      <c r="I295" s="15" t="str">
        <f>'2026 Orders'!I294</f>
        <v>GR</v>
      </c>
      <c r="J295" s="14">
        <f>'2026 Orders'!J294</f>
        <v>72</v>
      </c>
      <c r="K295">
        <v>0</v>
      </c>
      <c r="L295">
        <v>1822</v>
      </c>
      <c r="N295" s="10" t="str">
        <f>'2026 Orders'!N294</f>
        <v>D/W Sent</v>
      </c>
      <c r="O295">
        <v>0</v>
      </c>
      <c r="P295" t="s">
        <v>1077</v>
      </c>
      <c r="Q295">
        <v>609788968467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C295" t="str">
        <f>IF(OR(B295="",B295=0),"",$AJ$2&amp;"/"&amp;J295)</f>
        <v>/72</v>
      </c>
      <c r="AD295" t="e">
        <f t="shared" si="4"/>
        <v>#VALUE!</v>
      </c>
    </row>
    <row r="296" spans="2:30" ht="33" hidden="1" customHeight="1" x14ac:dyDescent="0.3">
      <c r="B296" s="14" t="str">
        <f>'2026 Orders'!B295</f>
        <v>Greece</v>
      </c>
      <c r="C296" s="14" t="str">
        <f>'2026 Orders'!C295</f>
        <v>A4672</v>
      </c>
      <c r="D296" s="14">
        <v>0</v>
      </c>
      <c r="E296" s="17" t="str" cm="1">
        <f t="array" ref="E296">IF(C296=0,"",
HYPERLINK(
"#'2026 Orders'!C"&amp;
MATCH(1,
('2026 Orders'!C:C=C296)*
('2026 Orders'!G:G=G296)*
('2026 Orders'!N:N=N296),
0),
"Open "&amp;C296
))</f>
        <v>Open A4672</v>
      </c>
      <c r="F296" s="14">
        <v>0</v>
      </c>
      <c r="G296" s="14" t="str">
        <f>'2026 Orders'!G295</f>
        <v>PEDIAMU-50-FD</v>
      </c>
      <c r="H296" s="14" t="str">
        <f>'2026 Orders'!H295</f>
        <v>PEDIAMU-50</v>
      </c>
      <c r="I296" s="15" t="str">
        <f>'2026 Orders'!I295</f>
        <v>FD</v>
      </c>
      <c r="J296" s="14">
        <f>'2026 Orders'!J295</f>
        <v>48</v>
      </c>
      <c r="K296">
        <v>0</v>
      </c>
      <c r="L296">
        <v>0</v>
      </c>
      <c r="N296" s="10" t="str">
        <f>'2026 Orders'!N295</f>
        <v>D/W Sent</v>
      </c>
      <c r="O296">
        <v>0</v>
      </c>
      <c r="P296" t="s">
        <v>1077</v>
      </c>
      <c r="Q296">
        <v>609788968467</v>
      </c>
      <c r="R296">
        <v>5000</v>
      </c>
      <c r="S296">
        <v>5118</v>
      </c>
      <c r="T296">
        <v>46286</v>
      </c>
      <c r="U296" t="s">
        <v>1089</v>
      </c>
      <c r="V296">
        <v>0</v>
      </c>
      <c r="W296">
        <v>0</v>
      </c>
      <c r="X296">
        <v>0</v>
      </c>
      <c r="Y296">
        <v>0</v>
      </c>
      <c r="Z296">
        <v>0</v>
      </c>
      <c r="AC296" t="str">
        <f>IF(OR(B296="",B296=0),"",$AJ$2&amp;"/"&amp;J296)</f>
        <v>/48</v>
      </c>
      <c r="AD296" t="e">
        <f t="shared" si="4"/>
        <v>#VALUE!</v>
      </c>
    </row>
    <row r="297" spans="2:30" ht="33" hidden="1" customHeight="1" x14ac:dyDescent="0.3">
      <c r="B297" s="14">
        <f>'2026 Orders'!B296</f>
        <v>0</v>
      </c>
      <c r="C297" s="14">
        <f>'2026 Orders'!C296</f>
        <v>0</v>
      </c>
      <c r="D297" s="14">
        <v>0</v>
      </c>
      <c r="E297" s="17" t="str" cm="1">
        <f t="array" ref="E297">IF(C297=0,"",
HYPERLINK(
"#'2026 Orders'!C"&amp;
MATCH(1,
('2026 Orders'!C:C=C297)*
('2026 Orders'!G:G=G297)*
('2026 Orders'!N:N=N297),
0),
"Open "&amp;C297
))</f>
        <v/>
      </c>
      <c r="F297" s="14">
        <v>0</v>
      </c>
      <c r="G297" s="14">
        <f>'2026 Orders'!G296</f>
        <v>0</v>
      </c>
      <c r="H297" s="14">
        <f>'2026 Orders'!H296</f>
        <v>0</v>
      </c>
      <c r="I297" s="15" t="str">
        <f>'2026 Orders'!I296</f>
        <v/>
      </c>
      <c r="J297" s="14">
        <f>'2026 Orders'!J296</f>
        <v>0</v>
      </c>
      <c r="K297">
        <v>0</v>
      </c>
      <c r="L297">
        <v>0</v>
      </c>
      <c r="N297" s="10">
        <f>'2026 Orders'!N296</f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C297" t="str">
        <f>IF(OR(B297="",B297=0),"",$AJ$2&amp;"/"&amp;J297)</f>
        <v/>
      </c>
      <c r="AD297" t="str">
        <f t="shared" si="4"/>
        <v/>
      </c>
    </row>
    <row r="298" spans="2:30" ht="33" hidden="1" customHeight="1" x14ac:dyDescent="0.3">
      <c r="B298" s="14" t="str">
        <f>'2026 Orders'!B297</f>
        <v>Greece</v>
      </c>
      <c r="C298" s="14" t="str">
        <f>'2026 Orders'!C297</f>
        <v>A4673</v>
      </c>
      <c r="D298" s="14" t="s">
        <v>1039</v>
      </c>
      <c r="E298" s="17" t="str" cm="1">
        <f t="array" ref="E298">IF(C298=0,"",
HYPERLINK(
"#'2026 Orders'!C"&amp;
MATCH(1,
('2026 Orders'!C:C=C298)*
('2026 Orders'!G:G=G298)*
('2026 Orders'!N:N=N298),
0),
"Open "&amp;C298
))</f>
        <v>Open A4673</v>
      </c>
      <c r="F298" s="14" t="s">
        <v>1274</v>
      </c>
      <c r="G298" s="14" t="str">
        <f>'2026 Orders'!G297</f>
        <v>FIBRO-60-CS-GR</v>
      </c>
      <c r="H298" s="14" t="str">
        <f>'2026 Orders'!H297</f>
        <v>FIBRO-60</v>
      </c>
      <c r="I298" s="15" t="str">
        <f>'2026 Orders'!I297</f>
        <v>GR</v>
      </c>
      <c r="J298" s="14">
        <f>'2026 Orders'!J297</f>
        <v>48</v>
      </c>
      <c r="K298">
        <v>26</v>
      </c>
      <c r="L298">
        <v>10</v>
      </c>
      <c r="N298" s="10" t="str">
        <f>'2026 Orders'!N297</f>
        <v>D/W Sent</v>
      </c>
      <c r="O298">
        <v>46232</v>
      </c>
      <c r="P298" t="s">
        <v>1077</v>
      </c>
      <c r="Q298">
        <v>810131195212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 t="s">
        <v>1086</v>
      </c>
      <c r="AC298" t="str">
        <f>IF(OR(B298="",B298=0),"",$AJ$2&amp;"/"&amp;J298)</f>
        <v>/48</v>
      </c>
      <c r="AD298" t="e">
        <f t="shared" si="4"/>
        <v>#VALUE!</v>
      </c>
    </row>
    <row r="299" spans="2:30" ht="33" hidden="1" customHeight="1" x14ac:dyDescent="0.3">
      <c r="B299" s="14" t="str">
        <f>'2026 Orders'!B298</f>
        <v>Greece</v>
      </c>
      <c r="C299" s="14" t="str">
        <f>'2026 Orders'!C298</f>
        <v>A4673</v>
      </c>
      <c r="D299" s="14" t="s">
        <v>1327</v>
      </c>
      <c r="E299" s="17" t="str" cm="1">
        <f t="array" ref="E299">IF(C299=0,"",
HYPERLINK(
"#'2026 Orders'!C"&amp;
MATCH(1,
('2026 Orders'!C:C=C299)*
('2026 Orders'!G:G=G299)*
('2026 Orders'!N:N=N299),
0),
"Open "&amp;C299
))</f>
        <v>Open A4673</v>
      </c>
      <c r="F299" s="14">
        <v>0</v>
      </c>
      <c r="G299" s="14" t="str">
        <f>'2026 Orders'!G298</f>
        <v>XTRAD10-60-CS-GR</v>
      </c>
      <c r="H299" s="14" t="str">
        <f>'2026 Orders'!H298</f>
        <v>XTRAD10-60</v>
      </c>
      <c r="I299" s="15" t="str">
        <f>'2026 Orders'!I298</f>
        <v>GR</v>
      </c>
      <c r="J299" s="14">
        <f>'2026 Orders'!J298</f>
        <v>96</v>
      </c>
      <c r="K299">
        <v>26</v>
      </c>
      <c r="L299">
        <v>10</v>
      </c>
      <c r="N299" s="10" t="str">
        <f>'2026 Orders'!N298</f>
        <v>D/W Sent</v>
      </c>
      <c r="O299">
        <v>0</v>
      </c>
      <c r="P299" t="s">
        <v>1077</v>
      </c>
      <c r="Q299">
        <v>810131195182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C299" t="str">
        <f>IF(OR(B299="",B299=0),"",$AJ$2&amp;"/"&amp;J299)</f>
        <v>/96</v>
      </c>
      <c r="AD299" t="e">
        <f t="shared" si="4"/>
        <v>#VALUE!</v>
      </c>
    </row>
    <row r="300" spans="2:30" ht="33" hidden="1" customHeight="1" x14ac:dyDescent="0.3">
      <c r="B300" s="14" t="str">
        <f>'2026 Orders'!B299</f>
        <v>Greece</v>
      </c>
      <c r="C300" s="14" t="str">
        <f>'2026 Orders'!C299</f>
        <v>A4673</v>
      </c>
      <c r="D300" s="14">
        <v>0</v>
      </c>
      <c r="E300" s="17" t="str" cm="1">
        <f t="array" ref="E300">IF(C300=0,"",
HYPERLINK(
"#'2026 Orders'!C"&amp;
MATCH(1,
('2026 Orders'!C:C=C300)*
('2026 Orders'!G:G=G300)*
('2026 Orders'!N:N=N300),
0),
"Open "&amp;C300
))</f>
        <v>Open A4673</v>
      </c>
      <c r="F300" s="14">
        <v>0</v>
      </c>
      <c r="G300" s="14" t="str">
        <f>'2026 Orders'!G299</f>
        <v>PENAMAX-60-GE-CS-GR</v>
      </c>
      <c r="H300" s="14" t="str">
        <f>'2026 Orders'!H299</f>
        <v>PENAMAX-60</v>
      </c>
      <c r="I300" s="15" t="str">
        <f>'2026 Orders'!I299</f>
        <v>GR</v>
      </c>
      <c r="J300" s="14">
        <f>'2026 Orders'!J299</f>
        <v>228</v>
      </c>
      <c r="K300">
        <v>26</v>
      </c>
      <c r="L300">
        <v>10</v>
      </c>
      <c r="N300" s="10" t="str">
        <f>'2026 Orders'!N299</f>
        <v>D/W Sent</v>
      </c>
      <c r="O300">
        <v>0</v>
      </c>
      <c r="P300" t="s">
        <v>1077</v>
      </c>
      <c r="Q300">
        <v>810131195175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C300" t="str">
        <f>IF(OR(B300="",B300=0),"",$AJ$2&amp;"/"&amp;J300)</f>
        <v>/228</v>
      </c>
      <c r="AD300" t="e">
        <f t="shared" si="4"/>
        <v>#VALUE!</v>
      </c>
    </row>
    <row r="301" spans="2:30" ht="33" hidden="1" customHeight="1" x14ac:dyDescent="0.3">
      <c r="B301" s="14">
        <f>'2026 Orders'!B300</f>
        <v>0</v>
      </c>
      <c r="C301" s="14">
        <f>'2026 Orders'!C300</f>
        <v>0</v>
      </c>
      <c r="D301" s="14">
        <v>0</v>
      </c>
      <c r="E301" s="17" t="str" cm="1">
        <f t="array" ref="E301">IF(C301=0,"",
HYPERLINK(
"#'2026 Orders'!C"&amp;
MATCH(1,
('2026 Orders'!C:C=C301)*
('2026 Orders'!G:G=G301)*
('2026 Orders'!N:N=N301),
0),
"Open "&amp;C301
))</f>
        <v/>
      </c>
      <c r="F301" s="14" t="s">
        <v>1275</v>
      </c>
      <c r="G301" s="14">
        <f>'2026 Orders'!G300</f>
        <v>0</v>
      </c>
      <c r="H301" s="14">
        <f>'2026 Orders'!H300</f>
        <v>0</v>
      </c>
      <c r="I301" s="15" t="str">
        <f>'2026 Orders'!I300</f>
        <v/>
      </c>
      <c r="J301" s="14">
        <f>'2026 Orders'!J300</f>
        <v>0</v>
      </c>
      <c r="K301">
        <v>26</v>
      </c>
      <c r="L301">
        <v>10</v>
      </c>
      <c r="N301" s="10">
        <f>'2026 Orders'!N300</f>
        <v>0</v>
      </c>
      <c r="O301">
        <v>0</v>
      </c>
      <c r="P301" t="s">
        <v>1077</v>
      </c>
      <c r="Q301">
        <v>810131195243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C301" t="str">
        <f>IF(OR(B301="",B301=0),"",$AJ$2&amp;"/"&amp;J301)</f>
        <v/>
      </c>
      <c r="AD301" t="str">
        <f t="shared" si="4"/>
        <v/>
      </c>
    </row>
    <row r="302" spans="2:30" ht="33" hidden="1" customHeight="1" x14ac:dyDescent="0.3">
      <c r="B302" s="14" t="str">
        <f>'2026 Orders'!B301</f>
        <v>Greece</v>
      </c>
      <c r="C302" s="14" t="str">
        <f>'2026 Orders'!C301</f>
        <v>A4674</v>
      </c>
      <c r="D302" s="14">
        <v>0</v>
      </c>
      <c r="E302" s="17" t="str" cm="1">
        <f t="array" ref="E302">IF(C302=0,"",
HYPERLINK(
"#'2026 Orders'!C"&amp;
MATCH(1,
('2026 Orders'!C:C=C302)*
('2026 Orders'!G:G=G302)*
('2026 Orders'!N:N=N302),
0),
"Open "&amp;C302
))</f>
        <v>Open A4674</v>
      </c>
      <c r="F302" s="14">
        <v>0</v>
      </c>
      <c r="G302" s="14" t="str">
        <f>'2026 Orders'!G301</f>
        <v>MFSADV-120-CS-GR</v>
      </c>
      <c r="H302" s="14" t="str">
        <f>'2026 Orders'!H301</f>
        <v>MFSADV-120</v>
      </c>
      <c r="I302" s="15" t="str">
        <f>'2026 Orders'!I301</f>
        <v>GR</v>
      </c>
      <c r="J302" s="14">
        <f>'2026 Orders'!J301</f>
        <v>600</v>
      </c>
      <c r="K302">
        <v>26</v>
      </c>
      <c r="L302">
        <v>10</v>
      </c>
      <c r="N302" s="10" t="str">
        <f>'2026 Orders'!N301</f>
        <v>D/W Sent</v>
      </c>
      <c r="O302">
        <v>0</v>
      </c>
      <c r="P302" t="s">
        <v>1077</v>
      </c>
      <c r="Q302">
        <v>810131195229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C302" t="str">
        <f>IF(OR(B302="",B302=0),"",$AJ$2&amp;"/"&amp;J302)</f>
        <v>/600</v>
      </c>
      <c r="AD302" t="e">
        <f t="shared" si="4"/>
        <v>#VALUE!</v>
      </c>
    </row>
    <row r="303" spans="2:30" ht="33" hidden="1" customHeight="1" x14ac:dyDescent="0.3">
      <c r="B303" s="14" t="str">
        <f>'2026 Orders'!B302</f>
        <v>Greece</v>
      </c>
      <c r="C303" s="14" t="str">
        <f>'2026 Orders'!C302</f>
        <v>A4674</v>
      </c>
      <c r="D303" s="14">
        <v>0</v>
      </c>
      <c r="E303" s="17" t="str" cm="1">
        <f t="array" ref="E303">IF(C303=0,"",
HYPERLINK(
"#'2026 Orders'!C"&amp;
MATCH(1,
('2026 Orders'!C:C=C303)*
('2026 Orders'!G:G=G303)*
('2026 Orders'!N:N=N303),
0),
"Open "&amp;C303
))</f>
        <v>Open A4674</v>
      </c>
      <c r="F303" s="14">
        <v>0</v>
      </c>
      <c r="G303" s="14" t="str">
        <f>'2026 Orders'!G302</f>
        <v>FIBRO-60-CS-GR</v>
      </c>
      <c r="H303" s="14" t="str">
        <f>'2026 Orders'!H302</f>
        <v>FIBRO-60</v>
      </c>
      <c r="I303" s="15" t="str">
        <f>'2026 Orders'!I302</f>
        <v>GR</v>
      </c>
      <c r="J303" s="14">
        <f>'2026 Orders'!J302</f>
        <v>24</v>
      </c>
      <c r="K303">
        <v>26</v>
      </c>
      <c r="L303">
        <v>10</v>
      </c>
      <c r="N303" s="10" t="str">
        <f>'2026 Orders'!N302</f>
        <v>D/W Sent</v>
      </c>
      <c r="O303">
        <v>0</v>
      </c>
      <c r="P303" t="s">
        <v>1077</v>
      </c>
      <c r="Q303">
        <v>810131195199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C303" t="str">
        <f>IF(OR(B303="",B303=0),"",$AJ$2&amp;"/"&amp;J303)</f>
        <v>/24</v>
      </c>
      <c r="AD303" t="e">
        <f t="shared" si="4"/>
        <v>#VALUE!</v>
      </c>
    </row>
    <row r="304" spans="2:30" ht="33" hidden="1" customHeight="1" x14ac:dyDescent="0.3">
      <c r="B304" s="14" t="str">
        <f>'2026 Orders'!B303</f>
        <v>Greece</v>
      </c>
      <c r="C304" s="14" t="str">
        <f>'2026 Orders'!C303</f>
        <v>A4674</v>
      </c>
      <c r="D304" s="14">
        <v>0</v>
      </c>
      <c r="E304" s="17" t="str" cm="1">
        <f t="array" ref="E304">IF(C304=0,"",
HYPERLINK(
"#'2026 Orders'!C"&amp;
MATCH(1,
('2026 Orders'!C:C=C304)*
('2026 Orders'!G:G=G304)*
('2026 Orders'!N:N=N304),
0),
"Open "&amp;C304
))</f>
        <v>Open A4674</v>
      </c>
      <c r="F304" s="14">
        <v>0</v>
      </c>
      <c r="G304" s="14" t="str">
        <f>'2026 Orders'!G303</f>
        <v>XTRAD10-60-CS-GR</v>
      </c>
      <c r="H304" s="14" t="str">
        <f>'2026 Orders'!H303</f>
        <v>XTRAD10-60</v>
      </c>
      <c r="I304" s="15" t="str">
        <f>'2026 Orders'!I303</f>
        <v>GR</v>
      </c>
      <c r="J304" s="14">
        <f>'2026 Orders'!J303</f>
        <v>96</v>
      </c>
      <c r="K304">
        <v>26</v>
      </c>
      <c r="L304">
        <v>10</v>
      </c>
      <c r="N304" s="10" t="str">
        <f>'2026 Orders'!N303</f>
        <v>D/W Sent</v>
      </c>
      <c r="O304">
        <v>0</v>
      </c>
      <c r="P304" t="s">
        <v>1077</v>
      </c>
      <c r="Q304">
        <v>810131195236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C304" t="str">
        <f>IF(OR(B304="",B304=0),"",$AJ$2&amp;"/"&amp;J304)</f>
        <v>/96</v>
      </c>
      <c r="AD304" t="e">
        <f t="shared" si="4"/>
        <v>#VALUE!</v>
      </c>
    </row>
    <row r="305" spans="2:30" ht="33" hidden="1" customHeight="1" x14ac:dyDescent="0.3">
      <c r="B305" s="14" t="str">
        <f>'2026 Orders'!B304</f>
        <v>Greece</v>
      </c>
      <c r="C305" s="14" t="str">
        <f>'2026 Orders'!C304</f>
        <v>A4674</v>
      </c>
      <c r="D305" s="14">
        <v>0</v>
      </c>
      <c r="E305" s="17" t="str" cm="1">
        <f t="array" ref="E305">IF(C305=0,"",
HYPERLINK(
"#'2026 Orders'!C"&amp;
MATCH(1,
('2026 Orders'!C:C=C305)*
('2026 Orders'!G:G=G305)*
('2026 Orders'!N:N=N305),
0),
"Open "&amp;C305
))</f>
        <v>Open A4674</v>
      </c>
      <c r="F305" s="14" t="s">
        <v>1276</v>
      </c>
      <c r="G305" s="14" t="str">
        <f>'2026 Orders'!G304</f>
        <v>PENAMAX-60-GE-CS-GR</v>
      </c>
      <c r="H305" s="14" t="str">
        <f>'2026 Orders'!H304</f>
        <v>PENAMAX-60</v>
      </c>
      <c r="I305" s="15" t="str">
        <f>'2026 Orders'!I304</f>
        <v>GR</v>
      </c>
      <c r="J305" s="14">
        <f>'2026 Orders'!J304</f>
        <v>228</v>
      </c>
      <c r="K305">
        <v>26</v>
      </c>
      <c r="L305">
        <v>10</v>
      </c>
      <c r="N305" s="10" t="str">
        <f>'2026 Orders'!N304</f>
        <v>D/W Sent</v>
      </c>
      <c r="O305">
        <v>0</v>
      </c>
      <c r="P305" t="s">
        <v>1077</v>
      </c>
      <c r="Q305">
        <v>810131195359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C305" t="str">
        <f>IF(OR(B305="",B305=0),"",$AJ$2&amp;"/"&amp;J305)</f>
        <v>/228</v>
      </c>
      <c r="AD305" t="e">
        <f t="shared" si="4"/>
        <v>#VALUE!</v>
      </c>
    </row>
    <row r="306" spans="2:30" ht="33" hidden="1" customHeight="1" x14ac:dyDescent="0.3">
      <c r="B306" s="14">
        <f>'2026 Orders'!B305</f>
        <v>0</v>
      </c>
      <c r="C306" s="14">
        <f>'2026 Orders'!C305</f>
        <v>0</v>
      </c>
      <c r="D306" s="14">
        <v>0</v>
      </c>
      <c r="E306" s="17" t="str" cm="1">
        <f t="array" ref="E306">IF(C306=0,"",
HYPERLINK(
"#'2026 Orders'!C"&amp;
MATCH(1,
('2026 Orders'!C:C=C306)*
('2026 Orders'!G:G=G306)*
('2026 Orders'!N:N=N306),
0),
"Open "&amp;C306
))</f>
        <v/>
      </c>
      <c r="F306" s="14">
        <v>0</v>
      </c>
      <c r="G306" s="14">
        <f>'2026 Orders'!G305</f>
        <v>0</v>
      </c>
      <c r="H306" s="14">
        <f>'2026 Orders'!H305</f>
        <v>0</v>
      </c>
      <c r="I306" s="15" t="str">
        <f>'2026 Orders'!I305</f>
        <v/>
      </c>
      <c r="J306" s="14">
        <f>'2026 Orders'!J305</f>
        <v>0</v>
      </c>
      <c r="K306">
        <v>0</v>
      </c>
      <c r="L306">
        <v>0</v>
      </c>
      <c r="N306" s="10">
        <f>'2026 Orders'!N305</f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C306" t="str">
        <f>IF(OR(B306="",B306=0),"",$AJ$2&amp;"/"&amp;J306)</f>
        <v/>
      </c>
      <c r="AD306" t="str">
        <f t="shared" si="4"/>
        <v/>
      </c>
    </row>
    <row r="307" spans="2:30" ht="33" hidden="1" customHeight="1" x14ac:dyDescent="0.3">
      <c r="B307" s="14" t="str">
        <f>'2026 Orders'!B306</f>
        <v>Cyprus</v>
      </c>
      <c r="C307" s="14" t="str">
        <f>'2026 Orders'!C306</f>
        <v>A4676</v>
      </c>
      <c r="D307" s="14">
        <v>0</v>
      </c>
      <c r="E307" s="17" t="str" cm="1">
        <f t="array" ref="E307">IF(C307=0,"",
HYPERLINK(
"#'2026 Orders'!C"&amp;
MATCH(1,
('2026 Orders'!C:C=C307)*
('2026 Orders'!G:G=G307)*
('2026 Orders'!N:N=N307),
0),
"Open "&amp;C307
))</f>
        <v>Open A4676</v>
      </c>
      <c r="F307" s="14" t="s">
        <v>1277</v>
      </c>
      <c r="G307" s="14" t="str">
        <f>'2026 Orders'!G306</f>
        <v>FERTNOM-90-CS-CY</v>
      </c>
      <c r="H307" s="14" t="str">
        <f>'2026 Orders'!H306</f>
        <v>FERTNOM-90</v>
      </c>
      <c r="I307" s="15" t="str">
        <f>'2026 Orders'!I306</f>
        <v>CY</v>
      </c>
      <c r="J307" s="14">
        <f>'2026 Orders'!J306</f>
        <v>528</v>
      </c>
      <c r="K307">
        <v>26</v>
      </c>
      <c r="L307">
        <v>10</v>
      </c>
      <c r="N307" s="10" t="str">
        <f>'2026 Orders'!N306</f>
        <v>Rework</v>
      </c>
      <c r="O307">
        <v>0</v>
      </c>
      <c r="P307" t="s">
        <v>1077</v>
      </c>
      <c r="Q307">
        <v>810131195205</v>
      </c>
      <c r="R307">
        <v>5000</v>
      </c>
      <c r="S307">
        <v>5034</v>
      </c>
      <c r="T307" t="s">
        <v>1108</v>
      </c>
      <c r="U307" t="s">
        <v>1149</v>
      </c>
      <c r="V307">
        <v>0</v>
      </c>
      <c r="W307">
        <v>0</v>
      </c>
      <c r="X307">
        <v>0</v>
      </c>
      <c r="Y307">
        <v>0</v>
      </c>
      <c r="Z307" t="s">
        <v>1086</v>
      </c>
      <c r="AC307" t="str">
        <f>IF(OR(B307="",B307=0),"",$AJ$2&amp;"/"&amp;J307)</f>
        <v>/528</v>
      </c>
      <c r="AD307" t="e">
        <f t="shared" si="4"/>
        <v>#VALUE!</v>
      </c>
    </row>
    <row r="308" spans="2:30" ht="33" hidden="1" customHeight="1" x14ac:dyDescent="0.3">
      <c r="B308" s="14" t="str">
        <f>'2026 Orders'!B307</f>
        <v>Cyprus</v>
      </c>
      <c r="C308" s="14" t="str">
        <f>'2026 Orders'!C307</f>
        <v>A4676</v>
      </c>
      <c r="D308" s="14">
        <v>0</v>
      </c>
      <c r="E308" s="17" t="str" cm="1">
        <f t="array" ref="E308">IF(C308=0,"",
HYPERLINK(
"#'2026 Orders'!C"&amp;
MATCH(1,
('2026 Orders'!C:C=C308)*
('2026 Orders'!G:G=G308)*
('2026 Orders'!N:N=N308),
0),
"Open "&amp;C308
))</f>
        <v>Open A4676</v>
      </c>
      <c r="F308" s="14">
        <v>0</v>
      </c>
      <c r="G308" s="14" t="str">
        <f>'2026 Orders'!G307</f>
        <v>MFSADV-120-CS-GR</v>
      </c>
      <c r="H308" s="14" t="str">
        <f>'2026 Orders'!H307</f>
        <v>MFSADV-120</v>
      </c>
      <c r="I308" s="15" t="str">
        <f>'2026 Orders'!I307</f>
        <v>GR</v>
      </c>
      <c r="J308" s="14">
        <f>'2026 Orders'!J307</f>
        <v>576</v>
      </c>
      <c r="K308">
        <v>0</v>
      </c>
      <c r="L308">
        <v>0</v>
      </c>
      <c r="N308" s="10" t="str">
        <f>'2026 Orders'!N307</f>
        <v>Picked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C308" t="str">
        <f>IF(OR(B308="",B308=0),"",$AJ$2&amp;"/"&amp;J308)</f>
        <v>/576</v>
      </c>
      <c r="AD308" t="e">
        <f t="shared" si="4"/>
        <v>#VALUE!</v>
      </c>
    </row>
    <row r="309" spans="2:30" ht="33" hidden="1" customHeight="1" x14ac:dyDescent="0.3">
      <c r="B309" s="14" t="str">
        <f>'2026 Orders'!B308</f>
        <v>Cyprus</v>
      </c>
      <c r="C309" s="14" t="str">
        <f>'2026 Orders'!C308</f>
        <v>A4676</v>
      </c>
      <c r="D309" s="14" t="s">
        <v>1328</v>
      </c>
      <c r="E309" s="17" t="str" cm="1">
        <f t="array" ref="E309">IF(C309=0,"",
HYPERLINK(
"#'2026 Orders'!C"&amp;
MATCH(1,
('2026 Orders'!C:C=C309)*
('2026 Orders'!G:G=G309)*
('2026 Orders'!N:N=N309),
0),
"Open "&amp;C309
))</f>
        <v>Open A4676</v>
      </c>
      <c r="F309" s="14" t="s">
        <v>1278</v>
      </c>
      <c r="G309" s="14" t="str">
        <f>'2026 Orders'!G308</f>
        <v>MOTILMX-60-CS-GR</v>
      </c>
      <c r="H309" s="14" t="str">
        <f>'2026 Orders'!H308</f>
        <v>MOTILMX-60</v>
      </c>
      <c r="I309" s="15" t="str">
        <f>'2026 Orders'!I308</f>
        <v>GR</v>
      </c>
      <c r="J309" s="14">
        <f>'2026 Orders'!J308</f>
        <v>120</v>
      </c>
      <c r="K309">
        <v>0</v>
      </c>
      <c r="L309">
        <v>696</v>
      </c>
      <c r="N309" s="10" t="str">
        <f>'2026 Orders'!N308</f>
        <v>Picked</v>
      </c>
      <c r="O309">
        <v>0</v>
      </c>
      <c r="P309" t="s">
        <v>1077</v>
      </c>
      <c r="Q309" t="s">
        <v>1093</v>
      </c>
      <c r="R309">
        <v>0</v>
      </c>
      <c r="S309">
        <v>4945</v>
      </c>
      <c r="T309">
        <v>0</v>
      </c>
      <c r="U309" t="s">
        <v>1184</v>
      </c>
      <c r="V309">
        <v>0</v>
      </c>
      <c r="W309">
        <v>0</v>
      </c>
      <c r="X309">
        <v>0</v>
      </c>
      <c r="Y309">
        <v>0</v>
      </c>
      <c r="Z309" t="s">
        <v>1083</v>
      </c>
      <c r="AC309" t="str">
        <f>IF(OR(B309="",B309=0),"",$AJ$2&amp;"/"&amp;J309)</f>
        <v>/120</v>
      </c>
      <c r="AD309" t="e">
        <f t="shared" si="4"/>
        <v>#VALUE!</v>
      </c>
    </row>
    <row r="310" spans="2:30" ht="33" hidden="1" customHeight="1" x14ac:dyDescent="0.3">
      <c r="B310" s="14">
        <f>'2026 Orders'!B309</f>
        <v>0</v>
      </c>
      <c r="C310" s="14">
        <f>'2026 Orders'!C309</f>
        <v>0</v>
      </c>
      <c r="D310" s="14">
        <v>0</v>
      </c>
      <c r="E310" s="17" t="str" cm="1">
        <f t="array" ref="E310">IF(C310=0,"",
HYPERLINK(
"#'2026 Orders'!C"&amp;
MATCH(1,
('2026 Orders'!C:C=C310)*
('2026 Orders'!G:G=G310)*
('2026 Orders'!N:N=N310),
0),
"Open "&amp;C310
))</f>
        <v/>
      </c>
      <c r="F310" s="14">
        <v>0</v>
      </c>
      <c r="G310" s="14">
        <f>'2026 Orders'!G309</f>
        <v>0</v>
      </c>
      <c r="H310" s="14">
        <f>'2026 Orders'!H309</f>
        <v>0</v>
      </c>
      <c r="I310" s="15" t="str">
        <f>'2026 Orders'!I309</f>
        <v/>
      </c>
      <c r="J310" s="14">
        <f>'2026 Orders'!J309</f>
        <v>0</v>
      </c>
      <c r="K310">
        <v>0</v>
      </c>
      <c r="L310">
        <v>240</v>
      </c>
      <c r="N310" s="10">
        <f>'2026 Orders'!N309</f>
        <v>0</v>
      </c>
      <c r="O310">
        <v>0</v>
      </c>
      <c r="P310" t="s">
        <v>1077</v>
      </c>
      <c r="Q310" t="s">
        <v>1082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C310" t="str">
        <f>IF(OR(B310="",B310=0),"",$AJ$2&amp;"/"&amp;J310)</f>
        <v/>
      </c>
      <c r="AD310" t="str">
        <f t="shared" si="4"/>
        <v/>
      </c>
    </row>
    <row r="311" spans="2:30" ht="33" hidden="1" customHeight="1" x14ac:dyDescent="0.3">
      <c r="B311" s="14" t="str">
        <f>'2026 Orders'!B310</f>
        <v>China</v>
      </c>
      <c r="C311" s="14" t="str">
        <f>'2026 Orders'!C310</f>
        <v>A4681</v>
      </c>
      <c r="D311" s="14">
        <v>0</v>
      </c>
      <c r="E311" s="17" t="str" cm="1">
        <f t="array" ref="E311">IF(C311=0,"",
HYPERLINK(
"#'2026 Orders'!C"&amp;
MATCH(1,
('2026 Orders'!C:C=C311)*
('2026 Orders'!G:G=G311)*
('2026 Orders'!N:N=N311),
0),
"Open "&amp;C311
))</f>
        <v>Open A4681</v>
      </c>
      <c r="F311" s="14">
        <v>0</v>
      </c>
      <c r="G311" s="14" t="str">
        <f>'2026 Orders'!G310</f>
        <v>OME369-90-FD</v>
      </c>
      <c r="H311" s="14" t="str">
        <f>'2026 Orders'!H310</f>
        <v>OME369-90</v>
      </c>
      <c r="I311" s="15" t="str">
        <f>'2026 Orders'!I310</f>
        <v>FD</v>
      </c>
      <c r="J311" s="14">
        <f>'2026 Orders'!J310</f>
        <v>192</v>
      </c>
      <c r="K311">
        <v>0</v>
      </c>
      <c r="L311">
        <v>0</v>
      </c>
      <c r="N311" s="10" t="str">
        <f>'2026 Orders'!N310</f>
        <v>D/W Sent</v>
      </c>
      <c r="O311" t="s">
        <v>1185</v>
      </c>
      <c r="P311" t="s">
        <v>1077</v>
      </c>
      <c r="Q311" t="s">
        <v>1132</v>
      </c>
      <c r="R311">
        <v>0</v>
      </c>
      <c r="S311">
        <v>4690</v>
      </c>
      <c r="T311">
        <v>0</v>
      </c>
      <c r="U311" t="s">
        <v>1186</v>
      </c>
      <c r="V311">
        <v>0</v>
      </c>
      <c r="W311">
        <v>0</v>
      </c>
      <c r="X311">
        <v>0</v>
      </c>
      <c r="Y311">
        <v>0</v>
      </c>
      <c r="Z311">
        <v>0</v>
      </c>
      <c r="AC311" t="str">
        <f>IF(OR(B311="",B311=0),"",$AJ$2&amp;"/"&amp;J311)</f>
        <v>/192</v>
      </c>
      <c r="AD311" t="e">
        <f t="shared" si="4"/>
        <v>#VALUE!</v>
      </c>
    </row>
    <row r="312" spans="2:30" ht="33" hidden="1" customHeight="1" x14ac:dyDescent="0.3">
      <c r="B312" s="14">
        <f>'2026 Orders'!B311</f>
        <v>0</v>
      </c>
      <c r="C312" s="14">
        <f>'2026 Orders'!C311</f>
        <v>0</v>
      </c>
      <c r="D312" s="14">
        <v>0</v>
      </c>
      <c r="E312" s="17" t="str" cm="1">
        <f t="array" ref="E312">IF(C312=0,"",
HYPERLINK(
"#'2026 Orders'!C"&amp;
MATCH(1,
('2026 Orders'!C:C=C312)*
('2026 Orders'!G:G=G312)*
('2026 Orders'!N:N=N312),
0),
"Open "&amp;C312
))</f>
        <v/>
      </c>
      <c r="F312" s="14">
        <v>0</v>
      </c>
      <c r="G312" s="14">
        <f>'2026 Orders'!G311</f>
        <v>0</v>
      </c>
      <c r="H312" s="14">
        <f>'2026 Orders'!H311</f>
        <v>0</v>
      </c>
      <c r="I312" s="15" t="str">
        <f>'2026 Orders'!I311</f>
        <v/>
      </c>
      <c r="J312" s="14">
        <f>'2026 Orders'!J311</f>
        <v>0</v>
      </c>
      <c r="K312">
        <v>0</v>
      </c>
      <c r="L312">
        <v>72</v>
      </c>
      <c r="N312" s="10">
        <f>'2026 Orders'!N311</f>
        <v>0</v>
      </c>
      <c r="O312">
        <v>0</v>
      </c>
      <c r="P312" t="s">
        <v>1077</v>
      </c>
      <c r="Q312" t="s">
        <v>1187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C312" t="str">
        <f>IF(OR(B312="",B312=0),"",$AJ$2&amp;"/"&amp;J312)</f>
        <v/>
      </c>
      <c r="AD312" t="str">
        <f t="shared" si="4"/>
        <v/>
      </c>
    </row>
    <row r="313" spans="2:30" ht="33" hidden="1" customHeight="1" x14ac:dyDescent="0.3">
      <c r="B313" s="14" t="str">
        <f>'2026 Orders'!B312</f>
        <v>Egypt</v>
      </c>
      <c r="C313" s="14" t="str">
        <f>'2026 Orders'!C312</f>
        <v>A4683</v>
      </c>
      <c r="D313" s="14">
        <v>0</v>
      </c>
      <c r="E313" s="17" t="str" cm="1">
        <f t="array" ref="E313">IF(C313=0,"",
HYPERLINK(
"#'2026 Orders'!C"&amp;
MATCH(1,
('2026 Orders'!C:C=C313)*
('2026 Orders'!G:G=G313)*
('2026 Orders'!N:N=N313),
0),
"Open "&amp;C313
))</f>
        <v>Open A4683</v>
      </c>
      <c r="F313" s="14">
        <v>0</v>
      </c>
      <c r="G313" s="14" t="str">
        <f>'2026 Orders'!G312</f>
        <v>MFSPLS-120-CS-EG</v>
      </c>
      <c r="H313" s="14" t="str">
        <f>'2026 Orders'!H312</f>
        <v>MFSPLS-120</v>
      </c>
      <c r="I313" s="15" t="str">
        <f>'2026 Orders'!I312</f>
        <v>EG</v>
      </c>
      <c r="J313" s="14">
        <f>'2026 Orders'!J312</f>
        <v>1057</v>
      </c>
      <c r="K313">
        <v>0</v>
      </c>
      <c r="L313">
        <v>72</v>
      </c>
      <c r="N313" s="10" t="str">
        <f>'2026 Orders'!N312</f>
        <v>Picked</v>
      </c>
      <c r="O313">
        <v>0</v>
      </c>
      <c r="P313" t="s">
        <v>1077</v>
      </c>
      <c r="Q313" t="s">
        <v>1113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C313" t="str">
        <f>IF(OR(B313="",B313=0),"",$AJ$2&amp;"/"&amp;J313)</f>
        <v>/1057</v>
      </c>
      <c r="AD313" t="e">
        <f t="shared" si="4"/>
        <v>#VALUE!</v>
      </c>
    </row>
    <row r="314" spans="2:30" ht="33" hidden="1" customHeight="1" x14ac:dyDescent="0.3">
      <c r="B314" s="14" t="str">
        <f>'2026 Orders'!B313</f>
        <v>Egypt</v>
      </c>
      <c r="C314" s="14" t="str">
        <f>'2026 Orders'!C313</f>
        <v>A4683</v>
      </c>
      <c r="D314" s="14">
        <v>0</v>
      </c>
      <c r="E314" s="17" t="str" cm="1">
        <f t="array" ref="E314">IF(C314=0,"",
HYPERLINK(
"#'2026 Orders'!C"&amp;
MATCH(1,
('2026 Orders'!C:C=C314)*
('2026 Orders'!G:G=G314)*
('2026 Orders'!N:N=N314),
0),
"Open "&amp;C314
))</f>
        <v>Open A4683</v>
      </c>
      <c r="F314" s="14" t="s">
        <v>1279</v>
      </c>
      <c r="G314" s="14" t="str">
        <f>'2026 Orders'!G313</f>
        <v>WFSPLS-180-CS-EG</v>
      </c>
      <c r="H314" s="14" t="str">
        <f>'2026 Orders'!H313</f>
        <v>WFSPLS-180</v>
      </c>
      <c r="I314" s="15" t="str">
        <f>'2026 Orders'!I313</f>
        <v>EG</v>
      </c>
      <c r="J314" s="14">
        <f>'2026 Orders'!J313</f>
        <v>2100</v>
      </c>
      <c r="K314">
        <v>0</v>
      </c>
      <c r="L314">
        <v>0</v>
      </c>
      <c r="N314" s="10" t="str">
        <f>'2026 Orders'!N313</f>
        <v>Picked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C314" t="str">
        <f>IF(OR(B314="",B314=0),"",$AJ$2&amp;"/"&amp;J314)</f>
        <v>/2100</v>
      </c>
      <c r="AD314" t="e">
        <f t="shared" si="4"/>
        <v>#VALUE!</v>
      </c>
    </row>
    <row r="315" spans="2:30" ht="33" hidden="1" customHeight="1" x14ac:dyDescent="0.3">
      <c r="B315" s="14" t="str">
        <f>'2026 Orders'!B314</f>
        <v>Egypt</v>
      </c>
      <c r="C315" s="14" t="str">
        <f>'2026 Orders'!C314</f>
        <v>A4683</v>
      </c>
      <c r="D315" s="14">
        <v>0</v>
      </c>
      <c r="E315" s="17" t="str" cm="1">
        <f t="array" ref="E315">IF(C315=0,"",
HYPERLINK(
"#'2026 Orders'!C"&amp;
MATCH(1,
('2026 Orders'!C:C=C315)*
('2026 Orders'!G:G=G315)*
('2026 Orders'!N:N=N315),
0),
"Open "&amp;C315
))</f>
        <v>Open A4683</v>
      </c>
      <c r="F315" s="14" t="s">
        <v>1280</v>
      </c>
      <c r="G315" s="14" t="str">
        <f>'2026 Orders'!G314</f>
        <v>OVAMAX-120-CS-EG</v>
      </c>
      <c r="H315" s="14" t="str">
        <f>'2026 Orders'!H314</f>
        <v>OVAMAX-120</v>
      </c>
      <c r="I315" s="15" t="str">
        <f>'2026 Orders'!I314</f>
        <v>EG</v>
      </c>
      <c r="J315" s="14">
        <f>'2026 Orders'!J314</f>
        <v>570</v>
      </c>
      <c r="K315">
        <v>0</v>
      </c>
      <c r="L315">
        <v>0</v>
      </c>
      <c r="N315" s="10" t="str">
        <f>'2026 Orders'!N314</f>
        <v>Picked</v>
      </c>
      <c r="O315">
        <v>0</v>
      </c>
      <c r="P315" t="s">
        <v>1077</v>
      </c>
      <c r="Q315">
        <v>604776738657</v>
      </c>
      <c r="R315">
        <v>2000</v>
      </c>
      <c r="S315">
        <v>4998</v>
      </c>
      <c r="T315">
        <v>46232</v>
      </c>
      <c r="U315" t="s">
        <v>1126</v>
      </c>
      <c r="V315">
        <v>0</v>
      </c>
      <c r="W315">
        <v>0</v>
      </c>
      <c r="X315">
        <v>0</v>
      </c>
      <c r="Y315">
        <v>0</v>
      </c>
      <c r="Z315">
        <v>0</v>
      </c>
      <c r="AC315" t="str">
        <f>IF(OR(B315="",B315=0),"",$AJ$2&amp;"/"&amp;J315)</f>
        <v>/570</v>
      </c>
      <c r="AD315" t="e">
        <f t="shared" si="4"/>
        <v>#VALUE!</v>
      </c>
    </row>
    <row r="316" spans="2:30" ht="33" hidden="1" customHeight="1" x14ac:dyDescent="0.3">
      <c r="B316" s="14" t="str">
        <f>'2026 Orders'!B315</f>
        <v>Egypt</v>
      </c>
      <c r="C316" s="14" t="str">
        <f>'2026 Orders'!C315</f>
        <v>A4683</v>
      </c>
      <c r="D316" s="14">
        <v>0</v>
      </c>
      <c r="E316" s="17" t="str" cm="1">
        <f t="array" ref="E316">IF(C316=0,"",
HYPERLINK(
"#'2026 Orders'!C"&amp;
MATCH(1,
('2026 Orders'!C:C=C316)*
('2026 Orders'!G:G=G316)*
('2026 Orders'!N:N=N316),
0),
"Open "&amp;C316
))</f>
        <v>Open A4683</v>
      </c>
      <c r="F316" s="14">
        <v>0</v>
      </c>
      <c r="G316" s="14" t="str">
        <f>'2026 Orders'!G315</f>
        <v>OVAMAX-120-CS-EG</v>
      </c>
      <c r="H316" s="14" t="str">
        <f>'2026 Orders'!H315</f>
        <v>OVAMAX-120</v>
      </c>
      <c r="I316" s="15" t="str">
        <f>'2026 Orders'!I315</f>
        <v>EG</v>
      </c>
      <c r="J316" s="14">
        <f>'2026 Orders'!J315</f>
        <v>3750</v>
      </c>
      <c r="K316">
        <v>0</v>
      </c>
      <c r="L316">
        <v>0</v>
      </c>
      <c r="N316" s="10" t="str">
        <f>'2026 Orders'!N315</f>
        <v>Picked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C316" t="str">
        <f>IF(OR(B316="",B316=0),"",$AJ$2&amp;"/"&amp;J316)</f>
        <v>/3750</v>
      </c>
      <c r="AD316" t="e">
        <f t="shared" si="4"/>
        <v>#VALUE!</v>
      </c>
    </row>
    <row r="317" spans="2:30" ht="33" hidden="1" customHeight="1" x14ac:dyDescent="0.3">
      <c r="B317" s="14" t="str">
        <f>'2026 Orders'!B316</f>
        <v>Egypt</v>
      </c>
      <c r="C317" s="14" t="str">
        <f>'2026 Orders'!C316</f>
        <v>A4683</v>
      </c>
      <c r="D317" s="14">
        <v>0</v>
      </c>
      <c r="E317" s="17" t="str" cm="1">
        <f t="array" ref="E317">IF(C317=0,"",
HYPERLINK(
"#'2026 Orders'!C"&amp;
MATCH(1,
('2026 Orders'!C:C=C317)*
('2026 Orders'!G:G=G317)*
('2026 Orders'!N:N=N317),
0),
"Open "&amp;C317
))</f>
        <v>Open A4683</v>
      </c>
      <c r="F317" s="14" t="s">
        <v>1281</v>
      </c>
      <c r="G317" s="14" t="str">
        <f>'2026 Orders'!G316</f>
        <v>PRECON-180-CS-EG</v>
      </c>
      <c r="H317" s="14" t="str">
        <f>'2026 Orders'!H316</f>
        <v>PRECON-180</v>
      </c>
      <c r="I317" s="15" t="str">
        <f>'2026 Orders'!I316</f>
        <v>EG</v>
      </c>
      <c r="J317" s="14">
        <f>'2026 Orders'!J316</f>
        <v>516</v>
      </c>
      <c r="K317">
        <v>0</v>
      </c>
      <c r="L317">
        <v>1001</v>
      </c>
      <c r="N317" s="10" t="str">
        <f>'2026 Orders'!N316</f>
        <v>Picked</v>
      </c>
      <c r="O317">
        <v>0</v>
      </c>
      <c r="P317" t="s">
        <v>1085</v>
      </c>
      <c r="Q317" t="s">
        <v>1188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 t="s">
        <v>1086</v>
      </c>
      <c r="AC317" t="str">
        <f>IF(OR(B317="",B317=0),"",$AJ$2&amp;"/"&amp;J317)</f>
        <v>/516</v>
      </c>
      <c r="AD317" t="e">
        <f t="shared" si="4"/>
        <v>#VALUE!</v>
      </c>
    </row>
    <row r="318" spans="2:30" ht="33" hidden="1" customHeight="1" x14ac:dyDescent="0.3">
      <c r="B318" s="14" t="str">
        <f>'2026 Orders'!B317</f>
        <v>Egypt</v>
      </c>
      <c r="C318" s="14" t="str">
        <f>'2026 Orders'!C317</f>
        <v>A4683</v>
      </c>
      <c r="D318" s="14" t="s">
        <v>565</v>
      </c>
      <c r="E318" s="17" t="str" cm="1">
        <f t="array" ref="E318">IF(C318=0,"",
HYPERLINK(
"#'2026 Orders'!C"&amp;
MATCH(1,
('2026 Orders'!C:C=C318)*
('2026 Orders'!G:G=G318)*
('2026 Orders'!N:N=N318),
0),
"Open "&amp;C318
))</f>
        <v>Open A4683</v>
      </c>
      <c r="F318" s="14" t="s">
        <v>1282</v>
      </c>
      <c r="G318" s="14" t="str">
        <f>'2026 Orders'!G317</f>
        <v>PRECON-180-CS-EG</v>
      </c>
      <c r="H318" s="14" t="str">
        <f>'2026 Orders'!H317</f>
        <v>PRECON-180</v>
      </c>
      <c r="I318" s="15" t="str">
        <f>'2026 Orders'!I317</f>
        <v>EG</v>
      </c>
      <c r="J318" s="14">
        <f>'2026 Orders'!J317</f>
        <v>261</v>
      </c>
      <c r="K318" t="s">
        <v>568</v>
      </c>
      <c r="L318">
        <v>5280</v>
      </c>
      <c r="N318" s="10" t="str">
        <f>'2026 Orders'!N317</f>
        <v>Picked</v>
      </c>
      <c r="O318">
        <v>0</v>
      </c>
      <c r="P318" t="s">
        <v>1085</v>
      </c>
      <c r="Q318" t="s">
        <v>1122</v>
      </c>
      <c r="R318">
        <v>8000</v>
      </c>
      <c r="S318">
        <v>4916</v>
      </c>
      <c r="T318" t="s">
        <v>1103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C318" t="str">
        <f>IF(OR(B318="",B318=0),"",$AJ$2&amp;"/"&amp;J318)</f>
        <v>/261</v>
      </c>
      <c r="AD318" t="e">
        <f t="shared" si="4"/>
        <v>#VALUE!</v>
      </c>
    </row>
    <row r="319" spans="2:30" ht="33" hidden="1" customHeight="1" x14ac:dyDescent="0.3">
      <c r="B319" s="14" t="str">
        <f>'2026 Orders'!B318</f>
        <v>Egypt</v>
      </c>
      <c r="C319" s="14" t="str">
        <f>'2026 Orders'!C318</f>
        <v>A4683</v>
      </c>
      <c r="D319" s="14">
        <v>0</v>
      </c>
      <c r="E319" s="17" t="str" cm="1">
        <f t="array" ref="E319">IF(C319=0,"",
HYPERLINK(
"#'2026 Orders'!C"&amp;
MATCH(1,
('2026 Orders'!C:C=C319)*
('2026 Orders'!G:G=G319)*
('2026 Orders'!N:N=N319),
0),
"Open "&amp;C319
))</f>
        <v>Open A4683</v>
      </c>
      <c r="F319" s="14" t="s">
        <v>1283</v>
      </c>
      <c r="G319" s="14" t="str">
        <f>'2026 Orders'!G318</f>
        <v>MOTILMX-60-CS-EG</v>
      </c>
      <c r="H319" s="14" t="str">
        <f>'2026 Orders'!H318</f>
        <v>MOTILMX-60</v>
      </c>
      <c r="I319" s="15" t="str">
        <f>'2026 Orders'!I318</f>
        <v>EG</v>
      </c>
      <c r="J319" s="14">
        <f>'2026 Orders'!J318</f>
        <v>1680</v>
      </c>
      <c r="K319">
        <v>0</v>
      </c>
      <c r="L319">
        <v>433</v>
      </c>
      <c r="N319" s="10" t="str">
        <f>'2026 Orders'!N318</f>
        <v>Picked</v>
      </c>
      <c r="O319">
        <v>0</v>
      </c>
      <c r="P319" t="s">
        <v>1085</v>
      </c>
      <c r="Q319" t="s">
        <v>1189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C319" t="str">
        <f>IF(OR(B319="",B319=0),"",$AJ$2&amp;"/"&amp;J319)</f>
        <v>/1680</v>
      </c>
      <c r="AD319" t="e">
        <f t="shared" si="4"/>
        <v>#VALUE!</v>
      </c>
    </row>
    <row r="320" spans="2:30" ht="33" hidden="1" customHeight="1" x14ac:dyDescent="0.3">
      <c r="B320" s="14" t="str">
        <f>'2026 Orders'!B319</f>
        <v>Egypt</v>
      </c>
      <c r="C320" s="14" t="str">
        <f>'2026 Orders'!C319</f>
        <v>A4683</v>
      </c>
      <c r="D320" s="14">
        <v>0</v>
      </c>
      <c r="E320" s="17" t="str" cm="1">
        <f t="array" ref="E320">IF(C320=0,"",
HYPERLINK(
"#'2026 Orders'!C"&amp;
MATCH(1,
('2026 Orders'!C:C=C320)*
('2026 Orders'!G:G=G320)*
('2026 Orders'!N:N=N320),
0),
"Open "&amp;C320
))</f>
        <v>Open A4683</v>
      </c>
      <c r="F320" s="14" t="s">
        <v>1284</v>
      </c>
      <c r="G320" s="14" t="str">
        <f>'2026 Orders'!G319</f>
        <v xml:space="preserve">WFSPLS-90-CS-EG  </v>
      </c>
      <c r="H320" s="14" t="str">
        <f>'2026 Orders'!H319</f>
        <v>WFSPLS-90</v>
      </c>
      <c r="I320" s="15" t="str">
        <f>'2026 Orders'!I319</f>
        <v xml:space="preserve">EG  </v>
      </c>
      <c r="J320" s="14">
        <f>'2026 Orders'!J319</f>
        <v>840</v>
      </c>
      <c r="K320">
        <v>0</v>
      </c>
      <c r="L320">
        <v>1515</v>
      </c>
      <c r="N320" s="10" t="str">
        <f>'2026 Orders'!N319</f>
        <v>Picked</v>
      </c>
      <c r="O320">
        <v>0</v>
      </c>
      <c r="P320" t="s">
        <v>1085</v>
      </c>
      <c r="Q320" t="s">
        <v>1160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C320" t="str">
        <f>IF(OR(B320="",B320=0),"",$AJ$2&amp;"/"&amp;J320)</f>
        <v>/840</v>
      </c>
      <c r="AD320" t="e">
        <f t="shared" si="4"/>
        <v>#VALUE!</v>
      </c>
    </row>
    <row r="321" spans="2:30" ht="33" hidden="1" customHeight="1" x14ac:dyDescent="0.3">
      <c r="B321" s="14" t="str">
        <f>'2026 Orders'!B320</f>
        <v>Egypt</v>
      </c>
      <c r="C321" s="14" t="str">
        <f>'2026 Orders'!C320</f>
        <v>A4683</v>
      </c>
      <c r="D321" s="14">
        <v>0</v>
      </c>
      <c r="E321" s="17" t="str" cm="1">
        <f t="array" ref="E321">IF(C321=0,"",
HYPERLINK(
"#'2026 Orders'!C"&amp;
MATCH(1,
('2026 Orders'!C:C=C321)*
('2026 Orders'!G:G=G321)*
('2026 Orders'!N:N=N321),
0),
"Open "&amp;C321
))</f>
        <v>Open A4683</v>
      </c>
      <c r="F321" s="14" t="s">
        <v>1285</v>
      </c>
      <c r="G321" s="14" t="str">
        <f>'2026 Orders'!G320</f>
        <v>MFSPLS-60-CS-EG</v>
      </c>
      <c r="H321" s="14" t="str">
        <f>'2026 Orders'!H320</f>
        <v>MFSPLS-60</v>
      </c>
      <c r="I321" s="15" t="str">
        <f>'2026 Orders'!I320</f>
        <v>EG</v>
      </c>
      <c r="J321" s="14">
        <f>'2026 Orders'!J320</f>
        <v>840</v>
      </c>
      <c r="K321">
        <v>0</v>
      </c>
      <c r="L321">
        <v>3000</v>
      </c>
      <c r="N321" s="10" t="str">
        <f>'2026 Orders'!N320</f>
        <v>Picked</v>
      </c>
      <c r="O321" t="s">
        <v>1179</v>
      </c>
      <c r="P321" t="s">
        <v>1085</v>
      </c>
      <c r="Q321" t="s">
        <v>1190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C321" t="str">
        <f>IF(OR(B321="",B321=0),"",$AJ$2&amp;"/"&amp;J321)</f>
        <v>/840</v>
      </c>
      <c r="AD321" t="e">
        <f t="shared" si="4"/>
        <v>#VALUE!</v>
      </c>
    </row>
    <row r="322" spans="2:30" ht="33" hidden="1" customHeight="1" x14ac:dyDescent="0.3">
      <c r="B322" s="14" t="str">
        <f>'2026 Orders'!B321</f>
        <v>Egypt</v>
      </c>
      <c r="C322" s="14" t="str">
        <f>'2026 Orders'!C321</f>
        <v>A4683</v>
      </c>
      <c r="D322" s="14">
        <v>0</v>
      </c>
      <c r="E322" s="17" t="str" cm="1">
        <f t="array" ref="E322">IF(C322=0,"",
HYPERLINK(
"#'2026 Orders'!C"&amp;
MATCH(1,
('2026 Orders'!C:C=C322)*
('2026 Orders'!G:G=G322)*
('2026 Orders'!N:N=N322),
0),
"Open "&amp;C322
))</f>
        <v>Open A4683</v>
      </c>
      <c r="F322" s="14" t="s">
        <v>1286</v>
      </c>
      <c r="G322" s="14" t="str">
        <f>'2026 Orders'!G321</f>
        <v>QWELL2-60-SG-CS-EG</v>
      </c>
      <c r="H322" s="14" t="str">
        <f>'2026 Orders'!H321</f>
        <v>QWELL2-60</v>
      </c>
      <c r="I322" s="15" t="str">
        <f>'2026 Orders'!I321</f>
        <v>EG</v>
      </c>
      <c r="J322" s="14">
        <f>'2026 Orders'!J321</f>
        <v>1050</v>
      </c>
      <c r="K322">
        <v>26</v>
      </c>
      <c r="L322">
        <v>0</v>
      </c>
      <c r="N322" s="10" t="str">
        <f>'2026 Orders'!N321</f>
        <v>Picked</v>
      </c>
      <c r="O322" t="s">
        <v>1191</v>
      </c>
      <c r="P322" t="s">
        <v>1077</v>
      </c>
      <c r="Q322">
        <v>604776737650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C322" t="str">
        <f>IF(OR(B322="",B322=0),"",$AJ$2&amp;"/"&amp;J322)</f>
        <v>/1050</v>
      </c>
      <c r="AD322" t="e">
        <f t="shared" si="4"/>
        <v>#VALUE!</v>
      </c>
    </row>
    <row r="323" spans="2:30" ht="33" hidden="1" customHeight="1" x14ac:dyDescent="0.3">
      <c r="B323" s="14" t="str">
        <f>'2026 Orders'!B322</f>
        <v>Egypt</v>
      </c>
      <c r="C323" s="14" t="str">
        <f>'2026 Orders'!C322</f>
        <v>A4683</v>
      </c>
      <c r="D323" s="14">
        <v>0</v>
      </c>
      <c r="E323" s="17" t="str" cm="1">
        <f t="array" ref="E323">IF(C323=0,"",
HYPERLINK(
"#'2026 Orders'!C"&amp;
MATCH(1,
('2026 Orders'!C:C=C323)*
('2026 Orders'!G:G=G323)*
('2026 Orders'!N:N=N323),
0),
"Open "&amp;C323
))</f>
        <v>Open A4683</v>
      </c>
      <c r="F323" s="14">
        <v>0</v>
      </c>
      <c r="G323" s="14" t="str">
        <f>'2026 Orders'!G322</f>
        <v>UTIC-60-CS-EG</v>
      </c>
      <c r="H323" s="14" t="str">
        <f>'2026 Orders'!H322</f>
        <v>UTIC-60</v>
      </c>
      <c r="I323" s="15" t="str">
        <f>'2026 Orders'!I322</f>
        <v>EG</v>
      </c>
      <c r="J323" s="14">
        <f>'2026 Orders'!J322</f>
        <v>1050</v>
      </c>
      <c r="K323">
        <v>0</v>
      </c>
      <c r="L323">
        <v>0</v>
      </c>
      <c r="N323" s="10" t="str">
        <f>'2026 Orders'!N322</f>
        <v>Rework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C323" t="str">
        <f>IF(OR(B323="",B323=0),"",$AJ$2&amp;"/"&amp;J323)</f>
        <v>/1050</v>
      </c>
      <c r="AD323" t="e">
        <f t="shared" ref="AD323:AD386" si="5">IF(OR(J323="",J323=0),"",$AK$2&amp;" -&gt; "&amp;I323)</f>
        <v>#VALUE!</v>
      </c>
    </row>
    <row r="324" spans="2:30" ht="33" hidden="1" customHeight="1" x14ac:dyDescent="0.3">
      <c r="B324" s="14">
        <f>'2026 Orders'!B323</f>
        <v>0</v>
      </c>
      <c r="C324" s="14">
        <f>'2026 Orders'!C323</f>
        <v>0</v>
      </c>
      <c r="D324" s="14" t="s">
        <v>1329</v>
      </c>
      <c r="E324" s="17" t="str" cm="1">
        <f t="array" ref="E324">IF(C324=0,"",
HYPERLINK(
"#'2026 Orders'!C"&amp;
MATCH(1,
('2026 Orders'!C:C=C324)*
('2026 Orders'!G:G=G324)*
('2026 Orders'!N:N=N324),
0),
"Open "&amp;C324
))</f>
        <v/>
      </c>
      <c r="F324" s="14" t="s">
        <v>1287</v>
      </c>
      <c r="G324" s="14">
        <f>'2026 Orders'!G323</f>
        <v>0</v>
      </c>
      <c r="H324" s="14">
        <f>'2026 Orders'!H323</f>
        <v>0</v>
      </c>
      <c r="I324" s="15" t="str">
        <f>'2026 Orders'!I323</f>
        <v/>
      </c>
      <c r="J324" s="14">
        <f>'2026 Orders'!J323</f>
        <v>0</v>
      </c>
      <c r="K324">
        <v>26</v>
      </c>
      <c r="L324">
        <v>0</v>
      </c>
      <c r="N324" s="10">
        <f>'2026 Orders'!N323</f>
        <v>0</v>
      </c>
      <c r="O324">
        <v>0</v>
      </c>
      <c r="P324" t="s">
        <v>1077</v>
      </c>
      <c r="Q324">
        <v>810131193843</v>
      </c>
      <c r="R324">
        <v>5000</v>
      </c>
      <c r="S324">
        <v>5060</v>
      </c>
      <c r="T324" t="s">
        <v>1094</v>
      </c>
      <c r="U324" t="s">
        <v>1095</v>
      </c>
      <c r="V324">
        <v>0</v>
      </c>
      <c r="W324">
        <v>0</v>
      </c>
      <c r="X324">
        <v>0</v>
      </c>
      <c r="Y324">
        <v>0</v>
      </c>
      <c r="Z324" t="s">
        <v>1083</v>
      </c>
      <c r="AC324" t="str">
        <f>IF(OR(B324="",B324=0),"",$AJ$2&amp;"/"&amp;J324)</f>
        <v/>
      </c>
      <c r="AD324" t="str">
        <f t="shared" si="5"/>
        <v/>
      </c>
    </row>
    <row r="325" spans="2:30" ht="33" hidden="1" customHeight="1" x14ac:dyDescent="0.3">
      <c r="B325" s="14" t="str">
        <f>'2026 Orders'!B324</f>
        <v>Egypt</v>
      </c>
      <c r="C325" s="14" t="str">
        <f>'2026 Orders'!C324</f>
        <v>A4709</v>
      </c>
      <c r="D325" s="14" t="s">
        <v>1330</v>
      </c>
      <c r="E325" s="17" t="str" cm="1">
        <f t="array" ref="E325">IF(C325=0,"",
HYPERLINK(
"#'2026 Orders'!C"&amp;
MATCH(1,
('2026 Orders'!C:C=C325)*
('2026 Orders'!G:G=G325)*
('2026 Orders'!N:N=N325),
0),
"Open "&amp;C325
))</f>
        <v>Open A4709</v>
      </c>
      <c r="F325" s="14">
        <v>0</v>
      </c>
      <c r="G325" s="14" t="str">
        <f>'2026 Orders'!G324</f>
        <v>MFSPLS-120-CS-EG</v>
      </c>
      <c r="H325" s="14" t="str">
        <f>'2026 Orders'!H324</f>
        <v>MFSPLS-120</v>
      </c>
      <c r="I325" s="15" t="str">
        <f>'2026 Orders'!I324</f>
        <v>EG</v>
      </c>
      <c r="J325" s="14">
        <f>'2026 Orders'!J324</f>
        <v>2093</v>
      </c>
      <c r="K325">
        <v>26</v>
      </c>
      <c r="L325">
        <v>1050</v>
      </c>
      <c r="N325" s="10" t="str">
        <f>'2026 Orders'!N324</f>
        <v>In Production</v>
      </c>
      <c r="O325">
        <v>0</v>
      </c>
      <c r="P325" t="s">
        <v>1077</v>
      </c>
      <c r="Q325">
        <v>810131191030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C325" t="str">
        <f>IF(OR(B325="",B325=0),"",$AJ$2&amp;"/"&amp;J325)</f>
        <v>/2093</v>
      </c>
      <c r="AD325" t="e">
        <f t="shared" si="5"/>
        <v>#VALUE!</v>
      </c>
    </row>
    <row r="326" spans="2:30" ht="33" hidden="1" customHeight="1" x14ac:dyDescent="0.3">
      <c r="B326" s="14">
        <f>'2026 Orders'!B325</f>
        <v>0</v>
      </c>
      <c r="C326" s="14">
        <f>'2026 Orders'!C325</f>
        <v>0</v>
      </c>
      <c r="D326" s="14">
        <v>0</v>
      </c>
      <c r="E326" s="17" t="str" cm="1">
        <f t="array" ref="E326">IF(C326=0,"",
HYPERLINK(
"#'2026 Orders'!C"&amp;
MATCH(1,
('2026 Orders'!C:C=C326)*
('2026 Orders'!G:G=G326)*
('2026 Orders'!N:N=N326),
0),
"Open "&amp;C326
))</f>
        <v/>
      </c>
      <c r="F326" s="14">
        <v>0</v>
      </c>
      <c r="G326" s="14">
        <f>'2026 Orders'!G325</f>
        <v>0</v>
      </c>
      <c r="H326" s="14">
        <f>'2026 Orders'!H325</f>
        <v>0</v>
      </c>
      <c r="I326" s="15" t="str">
        <f>'2026 Orders'!I325</f>
        <v/>
      </c>
      <c r="J326" s="14">
        <f>'2026 Orders'!J325</f>
        <v>0</v>
      </c>
      <c r="K326">
        <v>26</v>
      </c>
      <c r="L326">
        <v>525</v>
      </c>
      <c r="N326" s="10">
        <f>'2026 Orders'!N325</f>
        <v>0</v>
      </c>
      <c r="O326">
        <v>0</v>
      </c>
      <c r="P326" t="s">
        <v>1077</v>
      </c>
      <c r="Q326">
        <v>810131193805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C326" t="str">
        <f>IF(OR(B326="",B326=0),"",$AJ$2&amp;"/"&amp;J326)</f>
        <v/>
      </c>
      <c r="AD326" t="str">
        <f t="shared" si="5"/>
        <v/>
      </c>
    </row>
    <row r="327" spans="2:30" ht="33" hidden="1" customHeight="1" x14ac:dyDescent="0.3">
      <c r="B327" s="14" t="str">
        <f>'2026 Orders'!B326</f>
        <v>Chad</v>
      </c>
      <c r="C327" s="14" t="str">
        <f>'2026 Orders'!C326</f>
        <v>A4687</v>
      </c>
      <c r="D327" s="14">
        <v>0</v>
      </c>
      <c r="E327" s="17" t="str" cm="1">
        <f t="array" ref="E327">IF(C327=0,"",
HYPERLINK(
"#'2026 Orders'!C"&amp;
MATCH(1,
('2026 Orders'!C:C=C327)*
('2026 Orders'!G:G=G327)*
('2026 Orders'!N:N=N327),
0),
"Open "&amp;C327
))</f>
        <v>Open A4687</v>
      </c>
      <c r="F327" s="14">
        <v>0</v>
      </c>
      <c r="G327" s="14" t="str">
        <f>'2026 Orders'!G326</f>
        <v xml:space="preserve"> PENAMAX-60-GE-CS-CH (PENNAMAX-60-VE-LAB-CS-CH)</v>
      </c>
      <c r="H327" s="14" t="str">
        <f>'2026 Orders'!H326</f>
        <v xml:space="preserve"> PENAMAX-60</v>
      </c>
      <c r="I327" s="15" t="str">
        <f>'2026 Orders'!I326</f>
        <v>CH)</v>
      </c>
      <c r="J327" s="14">
        <f>'2026 Orders'!J326</f>
        <v>277</v>
      </c>
      <c r="K327">
        <v>26</v>
      </c>
      <c r="L327">
        <v>1050</v>
      </c>
      <c r="N327" s="10" t="str">
        <f>'2026 Orders'!N326</f>
        <v>Rework</v>
      </c>
      <c r="O327">
        <v>0</v>
      </c>
      <c r="P327" t="s">
        <v>1077</v>
      </c>
      <c r="Q327">
        <v>810131193904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C327" t="str">
        <f>IF(OR(B327="",B327=0),"",$AJ$2&amp;"/"&amp;J327)</f>
        <v>/277</v>
      </c>
      <c r="AD327" t="e">
        <f t="shared" si="5"/>
        <v>#VALUE!</v>
      </c>
    </row>
    <row r="328" spans="2:30" ht="33" hidden="1" customHeight="1" x14ac:dyDescent="0.3">
      <c r="B328" s="14" t="str">
        <f>'2026 Orders'!B327</f>
        <v>Chad</v>
      </c>
      <c r="C328" s="14" t="str">
        <f>'2026 Orders'!C327</f>
        <v>A4687</v>
      </c>
      <c r="D328" s="14">
        <v>0</v>
      </c>
      <c r="E328" s="17" t="str" cm="1">
        <f t="array" ref="E328">IF(C328=0,"",
HYPERLINK(
"#'2026 Orders'!C"&amp;
MATCH(1,
('2026 Orders'!C:C=C328)*
('2026 Orders'!G:G=G328)*
('2026 Orders'!N:N=N328),
0),
"Open "&amp;C328
))</f>
        <v>Open A4687</v>
      </c>
      <c r="F328" s="14" t="s">
        <v>1288</v>
      </c>
      <c r="G328" s="14" t="str">
        <f>'2026 Orders'!G327</f>
        <v>OSTEOPL-96-CS-CH</v>
      </c>
      <c r="H328" s="14" t="str">
        <f>'2026 Orders'!H327</f>
        <v>OSTEOPL-96</v>
      </c>
      <c r="I328" s="15" t="str">
        <f>'2026 Orders'!I327</f>
        <v>CH</v>
      </c>
      <c r="J328" s="14">
        <f>'2026 Orders'!J327</f>
        <v>1290</v>
      </c>
      <c r="K328">
        <v>26.1</v>
      </c>
      <c r="L328">
        <v>0</v>
      </c>
      <c r="N328" s="10" t="str">
        <f>'2026 Orders'!N327</f>
        <v>Picked</v>
      </c>
      <c r="O328">
        <v>0</v>
      </c>
      <c r="P328" t="s">
        <v>1077</v>
      </c>
      <c r="Q328">
        <v>604776737407</v>
      </c>
      <c r="R328">
        <v>0</v>
      </c>
      <c r="S328">
        <v>0</v>
      </c>
      <c r="T328">
        <v>0</v>
      </c>
      <c r="U328" t="s">
        <v>1192</v>
      </c>
      <c r="V328">
        <v>0</v>
      </c>
      <c r="W328">
        <v>0</v>
      </c>
      <c r="X328">
        <v>0</v>
      </c>
      <c r="Y328">
        <v>0</v>
      </c>
      <c r="Z328">
        <v>0</v>
      </c>
      <c r="AC328" t="str">
        <f>IF(OR(B328="",B328=0),"",$AJ$2&amp;"/"&amp;J328)</f>
        <v>/1290</v>
      </c>
      <c r="AD328" t="e">
        <f t="shared" si="5"/>
        <v>#VALUE!</v>
      </c>
    </row>
    <row r="329" spans="2:30" ht="33" hidden="1" customHeight="1" x14ac:dyDescent="0.3">
      <c r="B329" s="14" t="str">
        <f>'2026 Orders'!B328</f>
        <v>Chad</v>
      </c>
      <c r="C329" s="14" t="str">
        <f>'2026 Orders'!C328</f>
        <v>A4687</v>
      </c>
      <c r="D329" s="14">
        <v>0</v>
      </c>
      <c r="E329" s="17" t="str" cm="1">
        <f t="array" ref="E329">IF(C329=0,"",
HYPERLINK(
"#'2026 Orders'!C"&amp;
MATCH(1,
('2026 Orders'!C:C=C329)*
('2026 Orders'!G:G=G329)*
('2026 Orders'!N:N=N329),
0),
"Open "&amp;C329
))</f>
        <v>Open A4687</v>
      </c>
      <c r="F329" s="14" t="s">
        <v>1289</v>
      </c>
      <c r="G329" s="14" t="str">
        <f>'2026 Orders'!G328</f>
        <v>DHEA50-60-CS-CH</v>
      </c>
      <c r="H329" s="14" t="str">
        <f>'2026 Orders'!H328</f>
        <v>DHEA50-60</v>
      </c>
      <c r="I329" s="15" t="str">
        <f>'2026 Orders'!I328</f>
        <v>CH</v>
      </c>
      <c r="J329" s="14">
        <f>'2026 Orders'!J328</f>
        <v>270</v>
      </c>
      <c r="K329">
        <v>26.1</v>
      </c>
      <c r="L329">
        <v>0</v>
      </c>
      <c r="N329" s="10" t="str">
        <f>'2026 Orders'!N328</f>
        <v>In Production</v>
      </c>
      <c r="O329">
        <v>0</v>
      </c>
      <c r="P329" t="s">
        <v>1077</v>
      </c>
      <c r="Q329">
        <v>810131193836</v>
      </c>
      <c r="R329">
        <v>5000</v>
      </c>
      <c r="S329">
        <v>5034</v>
      </c>
      <c r="T329" t="s">
        <v>1108</v>
      </c>
      <c r="U329" t="s">
        <v>1149</v>
      </c>
      <c r="V329">
        <v>0</v>
      </c>
      <c r="W329">
        <v>0</v>
      </c>
      <c r="X329">
        <v>0</v>
      </c>
      <c r="Y329">
        <v>0</v>
      </c>
      <c r="Z329">
        <v>0</v>
      </c>
      <c r="AC329" t="str">
        <f>IF(OR(B329="",B329=0),"",$AJ$2&amp;"/"&amp;J329)</f>
        <v>/270</v>
      </c>
      <c r="AD329" t="e">
        <f t="shared" si="5"/>
        <v>#VALUE!</v>
      </c>
    </row>
    <row r="330" spans="2:30" ht="33" hidden="1" customHeight="1" x14ac:dyDescent="0.3">
      <c r="B330" s="14" t="str">
        <f>'2026 Orders'!B329</f>
        <v>Chad</v>
      </c>
      <c r="C330" s="14" t="str">
        <f>'2026 Orders'!C329</f>
        <v>A4687</v>
      </c>
      <c r="D330" s="14">
        <v>0</v>
      </c>
      <c r="E330" s="17" t="str" cm="1">
        <f t="array" ref="E330">IF(C330=0,"",
HYPERLINK(
"#'2026 Orders'!C"&amp;
MATCH(1,
('2026 Orders'!C:C=C330)*
('2026 Orders'!G:G=G330)*
('2026 Orders'!N:N=N330),
0),
"Open "&amp;C330
))</f>
        <v>Open A4687</v>
      </c>
      <c r="F330" s="14" t="s">
        <v>1290</v>
      </c>
      <c r="G330" s="14" t="str">
        <f>'2026 Orders'!G329</f>
        <v>WFSPLS-180-CS-CH</v>
      </c>
      <c r="H330" s="14" t="str">
        <f>'2026 Orders'!H329</f>
        <v>WFSPLS-180</v>
      </c>
      <c r="I330" s="15" t="str">
        <f>'2026 Orders'!I329</f>
        <v>CH</v>
      </c>
      <c r="J330" s="14">
        <f>'2026 Orders'!J329</f>
        <v>282</v>
      </c>
      <c r="K330">
        <v>26.1</v>
      </c>
      <c r="L330">
        <v>848</v>
      </c>
      <c r="N330" s="10" t="str">
        <f>'2026 Orders'!N329</f>
        <v>Out of Stock</v>
      </c>
      <c r="O330">
        <v>0</v>
      </c>
      <c r="P330" t="s">
        <v>1077</v>
      </c>
      <c r="Q330">
        <v>810131193782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C330" t="str">
        <f>IF(OR(B330="",B330=0),"",$AJ$2&amp;"/"&amp;J330)</f>
        <v>/282</v>
      </c>
      <c r="AD330" t="e">
        <f t="shared" si="5"/>
        <v>#VALUE!</v>
      </c>
    </row>
    <row r="331" spans="2:30" ht="33" hidden="1" customHeight="1" x14ac:dyDescent="0.3">
      <c r="B331" s="14" t="str">
        <f>'2026 Orders'!B330</f>
        <v>Chad</v>
      </c>
      <c r="C331" s="14" t="str">
        <f>'2026 Orders'!C330</f>
        <v>A4687</v>
      </c>
      <c r="D331" s="14">
        <v>0</v>
      </c>
      <c r="E331" s="17" t="str" cm="1">
        <f t="array" ref="E331">IF(C331=0,"",
HYPERLINK(
"#'2026 Orders'!C"&amp;
MATCH(1,
('2026 Orders'!C:C=C331)*
('2026 Orders'!G:G=G331)*
('2026 Orders'!N:N=N331),
0),
"Open "&amp;C331
))</f>
        <v>Open A4687</v>
      </c>
      <c r="F331" s="14" t="s">
        <v>1291</v>
      </c>
      <c r="G331" s="14" t="str">
        <f>'2026 Orders'!G330</f>
        <v>WFSPLS-180-CS-CH</v>
      </c>
      <c r="H331" s="14" t="str">
        <f>'2026 Orders'!H330</f>
        <v>WFSPLS-180</v>
      </c>
      <c r="I331" s="15" t="str">
        <f>'2026 Orders'!I330</f>
        <v>CH</v>
      </c>
      <c r="J331" s="14">
        <f>'2026 Orders'!J330</f>
        <v>354</v>
      </c>
      <c r="K331">
        <v>26.1</v>
      </c>
      <c r="L331">
        <v>0</v>
      </c>
      <c r="N331" s="10" t="str">
        <f>'2026 Orders'!N330</f>
        <v>Picked</v>
      </c>
      <c r="O331">
        <v>0</v>
      </c>
      <c r="P331" t="s">
        <v>1077</v>
      </c>
      <c r="Q331">
        <v>810131193782</v>
      </c>
      <c r="R331">
        <v>0</v>
      </c>
      <c r="S331">
        <v>0</v>
      </c>
      <c r="T331">
        <v>0</v>
      </c>
      <c r="U331" t="s">
        <v>1193</v>
      </c>
      <c r="V331">
        <v>0</v>
      </c>
      <c r="W331">
        <v>0</v>
      </c>
      <c r="X331">
        <v>0</v>
      </c>
      <c r="Y331">
        <v>0</v>
      </c>
      <c r="Z331">
        <v>0</v>
      </c>
      <c r="AC331" t="str">
        <f>IF(OR(B331="",B331=0),"",$AJ$2&amp;"/"&amp;J331)</f>
        <v>/354</v>
      </c>
      <c r="AD331" t="e">
        <f t="shared" si="5"/>
        <v>#VALUE!</v>
      </c>
    </row>
    <row r="332" spans="2:30" ht="33" hidden="1" customHeight="1" x14ac:dyDescent="0.3">
      <c r="B332" s="14" t="str">
        <f>'2026 Orders'!B331</f>
        <v>Chad</v>
      </c>
      <c r="C332" s="14" t="str">
        <f>'2026 Orders'!C331</f>
        <v>A4687</v>
      </c>
      <c r="D332" s="14">
        <v>0</v>
      </c>
      <c r="E332" s="17" t="str" cm="1">
        <f t="array" ref="E332">IF(C332=0,"",
HYPERLINK(
"#'2026 Orders'!C"&amp;
MATCH(1,
('2026 Orders'!C:C=C332)*
('2026 Orders'!G:G=G332)*
('2026 Orders'!N:N=N332),
0),
"Open "&amp;C332
))</f>
        <v>Open A4687</v>
      </c>
      <c r="F332" s="14" t="s">
        <v>1290</v>
      </c>
      <c r="G332" s="14" t="str">
        <f>'2026 Orders'!G331</f>
        <v>MFSPLS-120-CS-CH</v>
      </c>
      <c r="H332" s="14" t="str">
        <f>'2026 Orders'!H331</f>
        <v>MFSPLS-120</v>
      </c>
      <c r="I332" s="15" t="str">
        <f>'2026 Orders'!I331</f>
        <v>CH</v>
      </c>
      <c r="J332" s="14">
        <f>'2026 Orders'!J331</f>
        <v>780</v>
      </c>
      <c r="K332">
        <v>26.1</v>
      </c>
      <c r="L332">
        <v>1575</v>
      </c>
      <c r="N332" s="10" t="str">
        <f>'2026 Orders'!N331</f>
        <v>PO submitted</v>
      </c>
      <c r="O332">
        <v>0</v>
      </c>
      <c r="P332" t="s">
        <v>1077</v>
      </c>
      <c r="Q332">
        <v>810131193775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C332" t="str">
        <f>IF(OR(B332="",B332=0),"",$AJ$2&amp;"/"&amp;J332)</f>
        <v>/780</v>
      </c>
      <c r="AD332" t="e">
        <f t="shared" si="5"/>
        <v>#VALUE!</v>
      </c>
    </row>
    <row r="333" spans="2:30" ht="33" hidden="1" customHeight="1" x14ac:dyDescent="0.3">
      <c r="B333" s="14" t="str">
        <f>'2026 Orders'!B332</f>
        <v>Chad</v>
      </c>
      <c r="C333" s="14" t="str">
        <f>'2026 Orders'!C332</f>
        <v>A4687</v>
      </c>
      <c r="D333" s="14">
        <v>0</v>
      </c>
      <c r="E333" s="17" t="str" cm="1">
        <f t="array" ref="E333">IF(C333=0,"",
HYPERLINK(
"#'2026 Orders'!C"&amp;
MATCH(1,
('2026 Orders'!C:C=C333)*
('2026 Orders'!G:G=G333)*
('2026 Orders'!N:N=N333),
0),
"Open "&amp;C333
))</f>
        <v>Open A4687</v>
      </c>
      <c r="F333" s="14" t="s">
        <v>1290</v>
      </c>
      <c r="G333" s="14" t="str">
        <f>'2026 Orders'!G332</f>
        <v>FLORA30-30-FD</v>
      </c>
      <c r="H333" s="14" t="str">
        <f>'2026 Orders'!H332</f>
        <v>FLORA30-30</v>
      </c>
      <c r="I333" s="15" t="str">
        <f>'2026 Orders'!I332</f>
        <v>FD</v>
      </c>
      <c r="J333" s="14">
        <f>'2026 Orders'!J332</f>
        <v>1351</v>
      </c>
      <c r="K333">
        <v>26.1</v>
      </c>
      <c r="L333">
        <v>787</v>
      </c>
      <c r="N333" s="10" t="str">
        <f>'2026 Orders'!N332</f>
        <v>Rework</v>
      </c>
      <c r="O333">
        <v>0</v>
      </c>
      <c r="P333" t="s">
        <v>1077</v>
      </c>
      <c r="Q333">
        <v>810131193768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C333" t="str">
        <f>IF(OR(B333="",B333=0),"",$AJ$2&amp;"/"&amp;J333)</f>
        <v>/1351</v>
      </c>
      <c r="AD333" t="e">
        <f t="shared" si="5"/>
        <v>#VALUE!</v>
      </c>
    </row>
    <row r="334" spans="2:30" ht="33" hidden="1" customHeight="1" x14ac:dyDescent="0.3">
      <c r="B334" s="14" t="str">
        <f>'2026 Orders'!B333</f>
        <v>Chad</v>
      </c>
      <c r="C334" s="14" t="str">
        <f>'2026 Orders'!C333</f>
        <v>A4687</v>
      </c>
      <c r="D334" s="14">
        <v>0</v>
      </c>
      <c r="E334" s="17" t="str" cm="1">
        <f t="array" ref="E334">IF(C334=0,"",
HYPERLINK(
"#'2026 Orders'!C"&amp;
MATCH(1,
('2026 Orders'!C:C=C334)*
('2026 Orders'!G:G=G334)*
('2026 Orders'!N:N=N334),
0),
"Open "&amp;C334
))</f>
        <v>Open A4687</v>
      </c>
      <c r="F334" s="14" t="s">
        <v>1290</v>
      </c>
      <c r="G334" s="14" t="str">
        <f>'2026 Orders'!G333</f>
        <v>PEDIAMU-50-FD</v>
      </c>
      <c r="H334" s="14" t="str">
        <f>'2026 Orders'!H333</f>
        <v>PEDIAMU-50</v>
      </c>
      <c r="I334" s="15" t="str">
        <f>'2026 Orders'!I333</f>
        <v>FD</v>
      </c>
      <c r="J334" s="14">
        <f>'2026 Orders'!J333</f>
        <v>1125</v>
      </c>
      <c r="K334">
        <v>26.1</v>
      </c>
      <c r="L334">
        <v>2625</v>
      </c>
      <c r="N334" s="10" t="str">
        <f>'2026 Orders'!N333</f>
        <v>Not Meet MOQ</v>
      </c>
      <c r="O334">
        <v>0</v>
      </c>
      <c r="P334" t="s">
        <v>1077</v>
      </c>
      <c r="Q334">
        <v>810131193829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C334" t="str">
        <f>IF(OR(B334="",B334=0),"",$AJ$2&amp;"/"&amp;J334)</f>
        <v>/1125</v>
      </c>
      <c r="AD334" t="e">
        <f t="shared" si="5"/>
        <v>#VALUE!</v>
      </c>
    </row>
    <row r="335" spans="2:30" ht="33" hidden="1" customHeight="1" x14ac:dyDescent="0.3">
      <c r="B335" s="14" t="str">
        <f>'2026 Orders'!B334</f>
        <v>Chad</v>
      </c>
      <c r="C335" s="14" t="str">
        <f>'2026 Orders'!C334</f>
        <v>A4687</v>
      </c>
      <c r="D335" s="14">
        <v>0</v>
      </c>
      <c r="E335" s="17" t="str" cm="1">
        <f t="array" ref="E335">IF(C335=0,"",
HYPERLINK(
"#'2026 Orders'!C"&amp;
MATCH(1,
('2026 Orders'!C:C=C335)*
('2026 Orders'!G:G=G335)*
('2026 Orders'!N:N=N335),
0),
"Open "&amp;C335
))</f>
        <v>Open A4687</v>
      </c>
      <c r="F335" s="14" t="s">
        <v>1290</v>
      </c>
      <c r="G335" s="14" t="str">
        <f>'2026 Orders'!G334</f>
        <v>PEDIAZI-50-FD</v>
      </c>
      <c r="H335" s="14" t="str">
        <f>'2026 Orders'!H334</f>
        <v>PEDIAZI-50</v>
      </c>
      <c r="I335" s="15" t="str">
        <f>'2026 Orders'!I334</f>
        <v>FD</v>
      </c>
      <c r="J335" s="14">
        <f>'2026 Orders'!J334</f>
        <v>2100</v>
      </c>
      <c r="K335">
        <v>26.1</v>
      </c>
      <c r="L335">
        <v>867</v>
      </c>
      <c r="N335" s="10" t="str">
        <f>'2026 Orders'!N334</f>
        <v>PO submitted</v>
      </c>
      <c r="O335">
        <v>0</v>
      </c>
      <c r="P335" t="s">
        <v>1077</v>
      </c>
      <c r="Q335">
        <v>810131193881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C335" t="str">
        <f>IF(OR(B335="",B335=0),"",$AJ$2&amp;"/"&amp;J335)</f>
        <v>/2100</v>
      </c>
      <c r="AD335" t="e">
        <f t="shared" si="5"/>
        <v>#VALUE!</v>
      </c>
    </row>
    <row r="336" spans="2:30" ht="33" hidden="1" customHeight="1" x14ac:dyDescent="0.3">
      <c r="B336" s="14" t="str">
        <f>'2026 Orders'!B335</f>
        <v>Chad</v>
      </c>
      <c r="C336" s="14" t="str">
        <f>'2026 Orders'!C335</f>
        <v>A4687</v>
      </c>
      <c r="D336" s="14">
        <v>0</v>
      </c>
      <c r="E336" s="17" t="str" cm="1">
        <f t="array" ref="E336">IF(C336=0,"",
HYPERLINK(
"#'2026 Orders'!C"&amp;
MATCH(1,
('2026 Orders'!C:C=C336)*
('2026 Orders'!G:G=G336)*
('2026 Orders'!N:N=N336),
0),
"Open "&amp;C336
))</f>
        <v>Open A4687</v>
      </c>
      <c r="F336" s="14" t="s">
        <v>1292</v>
      </c>
      <c r="G336" s="14" t="str">
        <f>'2026 Orders'!G335</f>
        <v>OMEGA3-60-FD</v>
      </c>
      <c r="H336" s="14" t="str">
        <f>'2026 Orders'!H335</f>
        <v>OMEGA3-60</v>
      </c>
      <c r="I336" s="15" t="str">
        <f>'2026 Orders'!I335</f>
        <v>FD</v>
      </c>
      <c r="J336" s="14">
        <f>'2026 Orders'!J335</f>
        <v>504</v>
      </c>
      <c r="K336" t="s">
        <v>878</v>
      </c>
      <c r="L336">
        <v>0</v>
      </c>
      <c r="N336" s="10" t="str">
        <f>'2026 Orders'!N335</f>
        <v>In Production</v>
      </c>
      <c r="O336">
        <v>0</v>
      </c>
      <c r="P336" t="s">
        <v>1077</v>
      </c>
      <c r="Q336">
        <v>810131193799</v>
      </c>
      <c r="R336">
        <v>9195</v>
      </c>
      <c r="S336">
        <v>5032</v>
      </c>
      <c r="T336" t="s">
        <v>1094</v>
      </c>
      <c r="U336" t="s">
        <v>1104</v>
      </c>
      <c r="V336" t="s">
        <v>488</v>
      </c>
      <c r="W336" t="s">
        <v>488</v>
      </c>
      <c r="X336" t="s">
        <v>488</v>
      </c>
      <c r="Y336" t="s">
        <v>488</v>
      </c>
      <c r="Z336">
        <v>0</v>
      </c>
      <c r="AC336" t="str">
        <f>IF(OR(B336="",B336=0),"",$AJ$2&amp;"/"&amp;J336)</f>
        <v>/504</v>
      </c>
      <c r="AD336" t="e">
        <f t="shared" si="5"/>
        <v>#VALUE!</v>
      </c>
    </row>
    <row r="337" spans="2:30" ht="33" hidden="1" customHeight="1" x14ac:dyDescent="0.3">
      <c r="B337" s="14" t="str">
        <f>'2026 Orders'!B336</f>
        <v>Chad</v>
      </c>
      <c r="C337" s="14" t="str">
        <f>'2026 Orders'!C336</f>
        <v>A4687</v>
      </c>
      <c r="D337" s="14">
        <v>0</v>
      </c>
      <c r="E337" s="17" t="str" cm="1">
        <f t="array" ref="E337">IF(C337=0,"",
HYPERLINK(
"#'2026 Orders'!C"&amp;
MATCH(1,
('2026 Orders'!C:C=C337)*
('2026 Orders'!G:G=G337)*
('2026 Orders'!N:N=N337),
0),
"Open "&amp;C337
))</f>
        <v>Open A4687</v>
      </c>
      <c r="F337" s="14" t="s">
        <v>1293</v>
      </c>
      <c r="G337" s="14" t="str">
        <f>'2026 Orders'!G336</f>
        <v>UTIC-60-FD</v>
      </c>
      <c r="H337" s="14" t="str">
        <f>'2026 Orders'!H336</f>
        <v>UTIC-60</v>
      </c>
      <c r="I337" s="15" t="str">
        <f>'2026 Orders'!I336</f>
        <v>FD</v>
      </c>
      <c r="J337" s="14">
        <f>'2026 Orders'!J336</f>
        <v>378</v>
      </c>
      <c r="K337">
        <v>0</v>
      </c>
      <c r="L337">
        <v>0</v>
      </c>
      <c r="N337" s="10" t="str">
        <f>'2026 Orders'!N336</f>
        <v>Rework</v>
      </c>
      <c r="O337">
        <v>0</v>
      </c>
      <c r="P337" t="s">
        <v>1077</v>
      </c>
      <c r="Q337" t="s">
        <v>1194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C337" t="str">
        <f>IF(OR(B337="",B337=0),"",$AJ$2&amp;"/"&amp;J337)</f>
        <v>/378</v>
      </c>
      <c r="AD337" t="e">
        <f t="shared" si="5"/>
        <v>#VALUE!</v>
      </c>
    </row>
    <row r="338" spans="2:30" ht="33" hidden="1" customHeight="1" x14ac:dyDescent="0.3">
      <c r="B338" s="14" t="str">
        <f>'2026 Orders'!B337</f>
        <v>Chad</v>
      </c>
      <c r="C338" s="14" t="str">
        <f>'2026 Orders'!C337</f>
        <v>A4687</v>
      </c>
      <c r="D338" s="14">
        <v>0</v>
      </c>
      <c r="E338" s="17" t="str" cm="1">
        <f t="array" ref="E338">IF(C338=0,"",
HYPERLINK(
"#'2026 Orders'!C"&amp;
MATCH(1,
('2026 Orders'!C:C=C338)*
('2026 Orders'!G:G=G338)*
('2026 Orders'!N:N=N338),
0),
"Open "&amp;C338
))</f>
        <v>Open A4687</v>
      </c>
      <c r="F338" s="14" t="s">
        <v>1293</v>
      </c>
      <c r="G338" s="14" t="str">
        <f>'2026 Orders'!G337</f>
        <v>METRIO-60-FD</v>
      </c>
      <c r="H338" s="14" t="str">
        <f>'2026 Orders'!H337</f>
        <v>METRIO-60</v>
      </c>
      <c r="I338" s="15" t="str">
        <f>'2026 Orders'!I337</f>
        <v>FD</v>
      </c>
      <c r="J338" s="14">
        <f>'2026 Orders'!J337</f>
        <v>63</v>
      </c>
      <c r="K338">
        <v>0</v>
      </c>
      <c r="L338">
        <v>0</v>
      </c>
      <c r="N338" s="10" t="str">
        <f>'2026 Orders'!N337</f>
        <v>Rework</v>
      </c>
      <c r="O338">
        <v>0</v>
      </c>
      <c r="P338" t="s">
        <v>1077</v>
      </c>
      <c r="Q338">
        <v>810131193768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C338" t="str">
        <f>IF(OR(B338="",B338=0),"",$AJ$2&amp;"/"&amp;J338)</f>
        <v>/63</v>
      </c>
      <c r="AD338" t="e">
        <f t="shared" si="5"/>
        <v>#VALUE!</v>
      </c>
    </row>
    <row r="339" spans="2:30" ht="33" hidden="1" customHeight="1" x14ac:dyDescent="0.3">
      <c r="B339" s="14" t="str">
        <f>'2026 Orders'!B338</f>
        <v>Chad</v>
      </c>
      <c r="C339" s="14" t="str">
        <f>'2026 Orders'!C338</f>
        <v>A4687</v>
      </c>
      <c r="D339" s="14">
        <v>0</v>
      </c>
      <c r="E339" s="17" t="str" cm="1">
        <f t="array" ref="E339">IF(C339=0,"",
HYPERLINK(
"#'2026 Orders'!C"&amp;
MATCH(1,
('2026 Orders'!C:C=C339)*
('2026 Orders'!G:G=G339)*
('2026 Orders'!N:N=N339),
0),
"Open "&amp;C339
))</f>
        <v>Open A4687</v>
      </c>
      <c r="F339" s="14" t="s">
        <v>1293</v>
      </c>
      <c r="G339" s="14" t="str">
        <f>'2026 Orders'!G338</f>
        <v>VIVAWOM-60-FD</v>
      </c>
      <c r="H339" s="14" t="str">
        <f>'2026 Orders'!H338</f>
        <v>VIVAWOM-60</v>
      </c>
      <c r="I339" s="15" t="str">
        <f>'2026 Orders'!I338</f>
        <v>FD</v>
      </c>
      <c r="J339" s="14">
        <f>'2026 Orders'!J338</f>
        <v>126</v>
      </c>
      <c r="K339">
        <v>0</v>
      </c>
      <c r="L339">
        <v>0</v>
      </c>
      <c r="N339" s="10" t="str">
        <f>'2026 Orders'!N338</f>
        <v>Rework</v>
      </c>
      <c r="O339">
        <v>0</v>
      </c>
      <c r="P339" t="s">
        <v>1077</v>
      </c>
      <c r="Q339">
        <v>810131193829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C339" t="str">
        <f>IF(OR(B339="",B339=0),"",$AJ$2&amp;"/"&amp;J339)</f>
        <v>/126</v>
      </c>
      <c r="AD339" t="e">
        <f t="shared" si="5"/>
        <v>#VALUE!</v>
      </c>
    </row>
    <row r="340" spans="2:30" ht="33" hidden="1" customHeight="1" x14ac:dyDescent="0.3">
      <c r="B340" s="14" t="str">
        <f>'2026 Orders'!B339</f>
        <v>Chad</v>
      </c>
      <c r="C340" s="14" t="str">
        <f>'2026 Orders'!C339</f>
        <v>A4687</v>
      </c>
      <c r="D340" s="14">
        <v>0</v>
      </c>
      <c r="E340" s="17" t="str" cm="1">
        <f t="array" ref="E340">IF(C340=0,"",
HYPERLINK(
"#'2026 Orders'!C"&amp;
MATCH(1,
('2026 Orders'!C:C=C340)*
('2026 Orders'!G:G=G340)*
('2026 Orders'!N:N=N340),
0),
"Open "&amp;C340
))</f>
        <v>Open A4687</v>
      </c>
      <c r="F340" s="14">
        <v>0</v>
      </c>
      <c r="G340" s="14" t="str">
        <f>'2026 Orders'!G339</f>
        <v>FIBRO-60-CS-CH</v>
      </c>
      <c r="H340" s="14" t="str">
        <f>'2026 Orders'!H339</f>
        <v>FIBRO-60</v>
      </c>
      <c r="I340" s="15" t="str">
        <f>'2026 Orders'!I339</f>
        <v>CH</v>
      </c>
      <c r="J340" s="14">
        <f>'2026 Orders'!J339</f>
        <v>12</v>
      </c>
      <c r="K340">
        <v>0</v>
      </c>
      <c r="L340">
        <v>0</v>
      </c>
      <c r="N340" s="10" t="str">
        <f>'2026 Orders'!N339</f>
        <v>Rework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C340" t="str">
        <f>IF(OR(B340="",B340=0),"",$AJ$2&amp;"/"&amp;J340)</f>
        <v>/12</v>
      </c>
      <c r="AD340" t="e">
        <f t="shared" si="5"/>
        <v>#VALUE!</v>
      </c>
    </row>
    <row r="341" spans="2:30" ht="33" hidden="1" customHeight="1" x14ac:dyDescent="0.3">
      <c r="B341" s="14" t="str">
        <f>'2026 Orders'!B340</f>
        <v>Chad</v>
      </c>
      <c r="C341" s="14" t="str">
        <f>'2026 Orders'!C340</f>
        <v>A4687</v>
      </c>
      <c r="D341" s="14">
        <v>0</v>
      </c>
      <c r="E341" s="17" t="str" cm="1">
        <f t="array" ref="E341">IF(C341=0,"",
HYPERLINK(
"#'2026 Orders'!C"&amp;
MATCH(1,
('2026 Orders'!C:C=C341)*
('2026 Orders'!G:G=G341)*
('2026 Orders'!N:N=N341),
0),
"Open "&amp;C341
))</f>
        <v>Open A4687</v>
      </c>
      <c r="F341" s="14">
        <v>0</v>
      </c>
      <c r="G341" s="14" t="str">
        <f>'2026 Orders'!G340</f>
        <v>OVAMAX-120-CS-CH</v>
      </c>
      <c r="H341" s="14" t="str">
        <f>'2026 Orders'!H340</f>
        <v>OVAMAX-120</v>
      </c>
      <c r="I341" s="15" t="str">
        <f>'2026 Orders'!I340</f>
        <v>CH</v>
      </c>
      <c r="J341" s="14">
        <f>'2026 Orders'!J340</f>
        <v>18</v>
      </c>
      <c r="K341">
        <v>26.1</v>
      </c>
      <c r="L341">
        <v>0</v>
      </c>
      <c r="N341" s="10" t="str">
        <f>'2026 Orders'!N340</f>
        <v>Rework</v>
      </c>
      <c r="O341">
        <v>0</v>
      </c>
      <c r="P341" t="s">
        <v>1077</v>
      </c>
      <c r="Q341">
        <v>810131193881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 t="s">
        <v>1083</v>
      </c>
      <c r="AC341" t="str">
        <f>IF(OR(B341="",B341=0),"",$AJ$2&amp;"/"&amp;J341)</f>
        <v>/18</v>
      </c>
      <c r="AD341" t="e">
        <f t="shared" si="5"/>
        <v>#VALUE!</v>
      </c>
    </row>
    <row r="342" spans="2:30" ht="33" hidden="1" customHeight="1" x14ac:dyDescent="0.3">
      <c r="B342" s="14" t="str">
        <f>'2026 Orders'!B341</f>
        <v>Chad</v>
      </c>
      <c r="C342" s="14" t="str">
        <f>'2026 Orders'!C341</f>
        <v>A4687</v>
      </c>
      <c r="D342" s="14" t="s">
        <v>1331</v>
      </c>
      <c r="E342" s="17" t="str" cm="1">
        <f t="array" ref="E342">IF(C342=0,"",
HYPERLINK(
"#'2026 Orders'!C"&amp;
MATCH(1,
('2026 Orders'!C:C=C342)*
('2026 Orders'!G:G=G342)*
('2026 Orders'!N:N=N342),
0),
"Open "&amp;C342
))</f>
        <v>Open A4687</v>
      </c>
      <c r="F342" s="14" t="s">
        <v>1294</v>
      </c>
      <c r="G342" s="14" t="str">
        <f>'2026 Orders'!G341</f>
        <v>PRECON-180-CS-CH</v>
      </c>
      <c r="H342" s="14" t="str">
        <f>'2026 Orders'!H341</f>
        <v>PRECON-180</v>
      </c>
      <c r="I342" s="15" t="str">
        <f>'2026 Orders'!I341</f>
        <v>CH</v>
      </c>
      <c r="J342" s="14">
        <f>'2026 Orders'!J341</f>
        <v>24</v>
      </c>
      <c r="K342">
        <v>26</v>
      </c>
      <c r="L342">
        <v>0</v>
      </c>
      <c r="N342" s="10" t="str">
        <f>'2026 Orders'!N341</f>
        <v>In Production</v>
      </c>
      <c r="O342">
        <v>0</v>
      </c>
      <c r="P342" t="s">
        <v>1077</v>
      </c>
      <c r="Q342">
        <v>810131193812</v>
      </c>
      <c r="R342">
        <v>7836</v>
      </c>
      <c r="S342">
        <v>5115</v>
      </c>
      <c r="T342">
        <v>46286</v>
      </c>
      <c r="U342" t="s">
        <v>1089</v>
      </c>
      <c r="V342">
        <v>0</v>
      </c>
      <c r="W342">
        <v>0</v>
      </c>
      <c r="X342">
        <v>0</v>
      </c>
      <c r="Y342">
        <v>0</v>
      </c>
      <c r="Z342">
        <v>0</v>
      </c>
      <c r="AC342" t="str">
        <f>IF(OR(B342="",B342=0),"",$AJ$2&amp;"/"&amp;J342)</f>
        <v>/24</v>
      </c>
      <c r="AD342" t="e">
        <f t="shared" si="5"/>
        <v>#VALUE!</v>
      </c>
    </row>
    <row r="343" spans="2:30" ht="33" hidden="1" customHeight="1" x14ac:dyDescent="0.3">
      <c r="B343" s="14" t="str">
        <f>'2026 Orders'!B342</f>
        <v>Chad</v>
      </c>
      <c r="C343" s="14" t="str">
        <f>'2026 Orders'!C342</f>
        <v>A4687</v>
      </c>
      <c r="D343" s="14" t="s">
        <v>1332</v>
      </c>
      <c r="E343" s="17" t="str" cm="1">
        <f t="array" ref="E343">IF(C343=0,"",
HYPERLINK(
"#'2026 Orders'!C"&amp;
MATCH(1,
('2026 Orders'!C:C=C343)*
('2026 Orders'!G:G=G343)*
('2026 Orders'!N:N=N343),
0),
"Open "&amp;C343
))</f>
        <v>Open A4687</v>
      </c>
      <c r="F343" s="14" t="s">
        <v>1295</v>
      </c>
      <c r="G343" s="14" t="str">
        <f>'2026 Orders'!G342</f>
        <v>QWELL4-30-SG-CS-CH</v>
      </c>
      <c r="H343" s="14" t="str">
        <f>'2026 Orders'!H342</f>
        <v>QWELL4-30</v>
      </c>
      <c r="I343" s="15" t="str">
        <f>'2026 Orders'!I342</f>
        <v>CH</v>
      </c>
      <c r="J343" s="14">
        <f>'2026 Orders'!J342</f>
        <v>12</v>
      </c>
      <c r="K343">
        <v>26</v>
      </c>
      <c r="L343">
        <v>0</v>
      </c>
      <c r="N343" s="10" t="str">
        <f>'2026 Orders'!N342</f>
        <v>Rework</v>
      </c>
      <c r="O343">
        <v>0</v>
      </c>
      <c r="P343" t="s">
        <v>1077</v>
      </c>
      <c r="Q343">
        <v>810131193799</v>
      </c>
      <c r="R343">
        <v>5250</v>
      </c>
      <c r="S343">
        <v>5116</v>
      </c>
      <c r="T343">
        <v>46286</v>
      </c>
      <c r="U343" t="s">
        <v>1089</v>
      </c>
      <c r="V343">
        <v>0</v>
      </c>
      <c r="W343">
        <v>0</v>
      </c>
      <c r="X343">
        <v>0</v>
      </c>
      <c r="Y343">
        <v>0</v>
      </c>
      <c r="Z343">
        <v>0</v>
      </c>
      <c r="AC343" t="str">
        <f>IF(OR(B343="",B343=0),"",$AJ$2&amp;"/"&amp;J343)</f>
        <v>/12</v>
      </c>
      <c r="AD343" t="e">
        <f t="shared" si="5"/>
        <v>#VALUE!</v>
      </c>
    </row>
    <row r="344" spans="2:30" ht="33" hidden="1" customHeight="1" x14ac:dyDescent="0.3">
      <c r="B344" s="14" t="str">
        <f>'2026 Orders'!B343</f>
        <v>Chad</v>
      </c>
      <c r="C344" s="14" t="str">
        <f>'2026 Orders'!C343</f>
        <v>A4687</v>
      </c>
      <c r="D344" s="14">
        <v>0</v>
      </c>
      <c r="E344" s="17" t="str" cm="1">
        <f t="array" ref="E344">IF(C344=0,"",
HYPERLINK(
"#'2026 Orders'!C"&amp;
MATCH(1,
('2026 Orders'!C:C=C344)*
('2026 Orders'!G:G=G344)*
('2026 Orders'!N:N=N344),
0),
"Open "&amp;C344
))</f>
        <v>Open A4687</v>
      </c>
      <c r="F344" s="14" t="s">
        <v>1295</v>
      </c>
      <c r="G344" s="14" t="str">
        <f>'2026 Orders'!G343</f>
        <v>VITAE4-60-CS-CH</v>
      </c>
      <c r="H344" s="14" t="str">
        <f>'2026 Orders'!H343</f>
        <v>VITAE4-60</v>
      </c>
      <c r="I344" s="15" t="str">
        <f>'2026 Orders'!I343</f>
        <v>CH</v>
      </c>
      <c r="J344" s="14">
        <f>'2026 Orders'!J343</f>
        <v>9</v>
      </c>
      <c r="K344">
        <v>26</v>
      </c>
      <c r="L344">
        <v>0</v>
      </c>
      <c r="N344" s="10" t="str">
        <f>'2026 Orders'!N343</f>
        <v>Rework</v>
      </c>
      <c r="O344">
        <v>0</v>
      </c>
      <c r="P344" t="s">
        <v>1077</v>
      </c>
      <c r="Q344">
        <v>810131193898</v>
      </c>
      <c r="R344">
        <v>5000</v>
      </c>
      <c r="S344">
        <v>5117</v>
      </c>
      <c r="T344">
        <v>46286</v>
      </c>
      <c r="U344" t="s">
        <v>1089</v>
      </c>
      <c r="V344">
        <v>0</v>
      </c>
      <c r="W344">
        <v>0</v>
      </c>
      <c r="X344">
        <v>0</v>
      </c>
      <c r="Y344">
        <v>0</v>
      </c>
      <c r="Z344">
        <v>0</v>
      </c>
      <c r="AC344" t="str">
        <f>IF(OR(B344="",B344=0),"",$AJ$2&amp;"/"&amp;J344)</f>
        <v>/9</v>
      </c>
      <c r="AD344" t="e">
        <f t="shared" si="5"/>
        <v>#VALUE!</v>
      </c>
    </row>
    <row r="345" spans="2:30" ht="33" hidden="1" customHeight="1" x14ac:dyDescent="0.3">
      <c r="B345" s="14" t="str">
        <f>'2026 Orders'!B344</f>
        <v>Chad</v>
      </c>
      <c r="C345" s="14" t="str">
        <f>'2026 Orders'!C344</f>
        <v>A4687</v>
      </c>
      <c r="D345" s="14">
        <v>0</v>
      </c>
      <c r="E345" s="17" t="str" cm="1">
        <f t="array" ref="E345">IF(C345=0,"",
HYPERLINK(
"#'2026 Orders'!C"&amp;
MATCH(1,
('2026 Orders'!C:C=C345)*
('2026 Orders'!G:G=G345)*
('2026 Orders'!N:N=N345),
0),
"Open "&amp;C345
))</f>
        <v>Open A4687</v>
      </c>
      <c r="F345" s="14">
        <v>0</v>
      </c>
      <c r="G345" s="14" t="str">
        <f>'2026 Orders'!G344</f>
        <v>CHARCO-100-FD</v>
      </c>
      <c r="H345" s="14" t="str">
        <f>'2026 Orders'!H344</f>
        <v>CHARCO-100</v>
      </c>
      <c r="I345" s="15" t="str">
        <f>'2026 Orders'!I344</f>
        <v>FD</v>
      </c>
      <c r="J345" s="14">
        <f>'2026 Orders'!J344</f>
        <v>12</v>
      </c>
      <c r="K345">
        <v>0</v>
      </c>
      <c r="L345">
        <v>0</v>
      </c>
      <c r="N345" s="10" t="str">
        <f>'2026 Orders'!N344</f>
        <v>Rework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C345" t="str">
        <f>IF(OR(B345="",B345=0),"",$AJ$2&amp;"/"&amp;J345)</f>
        <v>/12</v>
      </c>
      <c r="AD345" t="e">
        <f t="shared" si="5"/>
        <v>#VALUE!</v>
      </c>
    </row>
    <row r="346" spans="2:30" ht="33" hidden="1" customHeight="1" x14ac:dyDescent="0.3">
      <c r="B346" s="14">
        <f>'2026 Orders'!B345</f>
        <v>0</v>
      </c>
      <c r="C346" s="14">
        <f>'2026 Orders'!C345</f>
        <v>0</v>
      </c>
      <c r="D346" s="14" t="s">
        <v>1329</v>
      </c>
      <c r="E346" s="17" t="str" cm="1">
        <f t="array" ref="E346">IF(C346=0,"",
HYPERLINK(
"#'2026 Orders'!C"&amp;
MATCH(1,
('2026 Orders'!C:C=C346)*
('2026 Orders'!G:G=G346)*
('2026 Orders'!N:N=N346),
0),
"Open "&amp;C346
))</f>
        <v/>
      </c>
      <c r="F346" s="14" t="s">
        <v>1296</v>
      </c>
      <c r="G346" s="14">
        <f>'2026 Orders'!G345</f>
        <v>0</v>
      </c>
      <c r="H346" s="14">
        <f>'2026 Orders'!H345</f>
        <v>0</v>
      </c>
      <c r="I346" s="15" t="str">
        <f>'2026 Orders'!I345</f>
        <v/>
      </c>
      <c r="J346" s="14">
        <f>'2026 Orders'!J345</f>
        <v>0</v>
      </c>
      <c r="K346" t="s">
        <v>1342</v>
      </c>
      <c r="L346">
        <v>0</v>
      </c>
      <c r="N346" s="10">
        <f>'2026 Orders'!N345</f>
        <v>0</v>
      </c>
      <c r="O346" t="s">
        <v>1195</v>
      </c>
      <c r="P346" t="s">
        <v>1085</v>
      </c>
      <c r="Q346">
        <v>604776737551</v>
      </c>
      <c r="R346">
        <v>5000</v>
      </c>
      <c r="S346">
        <v>5041</v>
      </c>
      <c r="T346">
        <v>46248</v>
      </c>
      <c r="U346" t="s">
        <v>1090</v>
      </c>
      <c r="V346">
        <v>0</v>
      </c>
      <c r="W346">
        <v>0</v>
      </c>
      <c r="X346">
        <v>0</v>
      </c>
      <c r="Y346">
        <v>0</v>
      </c>
      <c r="Z346" t="s">
        <v>1083</v>
      </c>
      <c r="AC346" t="str">
        <f>IF(OR(B346="",B346=0),"",$AJ$2&amp;"/"&amp;J346)</f>
        <v/>
      </c>
      <c r="AD346" t="str">
        <f t="shared" si="5"/>
        <v/>
      </c>
    </row>
    <row r="347" spans="2:30" ht="33" hidden="1" customHeight="1" x14ac:dyDescent="0.3">
      <c r="B347" s="14" t="str">
        <f>'2026 Orders'!B346</f>
        <v>Morocco</v>
      </c>
      <c r="C347" s="14" t="str">
        <f>'2026 Orders'!C346</f>
        <v>A4688</v>
      </c>
      <c r="D347" s="14">
        <v>0</v>
      </c>
      <c r="E347" s="17" t="str" cm="1">
        <f t="array" ref="E347">IF(C347=0,"",
HYPERLINK(
"#'2026 Orders'!C"&amp;
MATCH(1,
('2026 Orders'!C:C=C347)*
('2026 Orders'!G:G=G347)*
('2026 Orders'!N:N=N347),
0),
"Open "&amp;C347
))</f>
        <v>Open A4688</v>
      </c>
      <c r="F347" s="14">
        <v>0</v>
      </c>
      <c r="G347" s="14" t="str">
        <f>'2026 Orders'!G346</f>
        <v>OMEGA3-90-CS-MO</v>
      </c>
      <c r="H347" s="14" t="str">
        <f>'2026 Orders'!H346</f>
        <v>OMEGA3-90</v>
      </c>
      <c r="I347" s="15" t="str">
        <f>'2026 Orders'!I346</f>
        <v>MO</v>
      </c>
      <c r="J347" s="14">
        <f>'2026 Orders'!J346</f>
        <v>13464</v>
      </c>
      <c r="K347">
        <v>0</v>
      </c>
      <c r="L347">
        <v>0</v>
      </c>
      <c r="N347" s="10" t="str">
        <f>'2026 Orders'!N346</f>
        <v>Out of Stock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C347" t="str">
        <f>IF(OR(B347="",B347=0),"",$AJ$2&amp;"/"&amp;J347)</f>
        <v>/13464</v>
      </c>
      <c r="AD347" t="e">
        <f t="shared" si="5"/>
        <v>#VALUE!</v>
      </c>
    </row>
    <row r="348" spans="2:30" ht="33" hidden="1" customHeight="1" x14ac:dyDescent="0.3">
      <c r="B348" s="14" t="str">
        <f>'2026 Orders'!B347</f>
        <v>Morocco</v>
      </c>
      <c r="C348" s="14" t="str">
        <f>'2026 Orders'!C347</f>
        <v>A4688</v>
      </c>
      <c r="D348" s="14" t="s">
        <v>1329</v>
      </c>
      <c r="E348" s="17" t="str" cm="1">
        <f t="array" ref="E348">IF(C348=0,"",
HYPERLINK(
"#'2026 Orders'!C"&amp;
MATCH(1,
('2026 Orders'!C:C=C348)*
('2026 Orders'!G:G=G348)*
('2026 Orders'!N:N=N348),
0),
"Open "&amp;C348
))</f>
        <v>Open A4688</v>
      </c>
      <c r="F348" s="14">
        <v>0</v>
      </c>
      <c r="G348" s="14" t="str">
        <f>'2026 Orders'!G347</f>
        <v>OMEGA3-60-CS-MO</v>
      </c>
      <c r="H348" s="14" t="str">
        <f>'2026 Orders'!H347</f>
        <v>OMEGA3-60</v>
      </c>
      <c r="I348" s="15" t="str">
        <f>'2026 Orders'!I347</f>
        <v>MO</v>
      </c>
      <c r="J348" s="14">
        <f>'2026 Orders'!J347</f>
        <v>4496</v>
      </c>
      <c r="K348" t="s">
        <v>1342</v>
      </c>
      <c r="L348">
        <v>0</v>
      </c>
      <c r="N348" s="10" t="str">
        <f>'2026 Orders'!N347</f>
        <v>Out of Stock</v>
      </c>
      <c r="O348">
        <v>0</v>
      </c>
      <c r="P348" t="s">
        <v>1085</v>
      </c>
      <c r="Q348">
        <v>604776737551</v>
      </c>
      <c r="R348">
        <v>5000</v>
      </c>
      <c r="S348">
        <v>5041</v>
      </c>
      <c r="T348">
        <v>46248</v>
      </c>
      <c r="U348" t="s">
        <v>1090</v>
      </c>
      <c r="V348">
        <v>0</v>
      </c>
      <c r="W348">
        <v>0</v>
      </c>
      <c r="X348">
        <v>0</v>
      </c>
      <c r="Y348">
        <v>0</v>
      </c>
      <c r="Z348" t="s">
        <v>1083</v>
      </c>
      <c r="AC348" t="str">
        <f>IF(OR(B348="",B348=0),"",$AJ$2&amp;"/"&amp;J348)</f>
        <v>/4496</v>
      </c>
      <c r="AD348" t="e">
        <f t="shared" si="5"/>
        <v>#VALUE!</v>
      </c>
    </row>
    <row r="349" spans="2:30" ht="33" hidden="1" customHeight="1" x14ac:dyDescent="0.3">
      <c r="B349" s="14">
        <f>'2026 Orders'!B348</f>
        <v>0</v>
      </c>
      <c r="C349" s="14">
        <f>'2026 Orders'!C348</f>
        <v>0</v>
      </c>
      <c r="D349" s="14" t="s">
        <v>1330</v>
      </c>
      <c r="E349" s="17" t="str" cm="1">
        <f t="array" ref="E349">IF(C349=0,"",
HYPERLINK(
"#'2026 Orders'!C"&amp;
MATCH(1,
('2026 Orders'!C:C=C349)*
('2026 Orders'!G:G=G349)*
('2026 Orders'!N:N=N349),
0),
"Open "&amp;C349
))</f>
        <v/>
      </c>
      <c r="F349" s="14" t="s">
        <v>1297</v>
      </c>
      <c r="G349" s="14">
        <f>'2026 Orders'!G348</f>
        <v>0</v>
      </c>
      <c r="H349" s="14">
        <f>'2026 Orders'!H348</f>
        <v>0</v>
      </c>
      <c r="I349" s="15" t="str">
        <f>'2026 Orders'!I348</f>
        <v/>
      </c>
      <c r="J349" s="14">
        <f>'2026 Orders'!J348</f>
        <v>0</v>
      </c>
      <c r="K349">
        <v>26</v>
      </c>
      <c r="L349">
        <v>0</v>
      </c>
      <c r="N349" s="10">
        <f>'2026 Orders'!N348</f>
        <v>0</v>
      </c>
      <c r="O349">
        <v>0</v>
      </c>
      <c r="P349" t="s">
        <v>1085</v>
      </c>
      <c r="Q349" t="s">
        <v>1196</v>
      </c>
      <c r="R349" t="s">
        <v>1107</v>
      </c>
      <c r="S349">
        <v>5064</v>
      </c>
      <c r="T349" t="s">
        <v>1108</v>
      </c>
      <c r="U349" t="s">
        <v>1109</v>
      </c>
      <c r="V349">
        <v>0</v>
      </c>
      <c r="W349">
        <v>0</v>
      </c>
      <c r="X349">
        <v>0</v>
      </c>
      <c r="Y349">
        <v>0</v>
      </c>
      <c r="Z349">
        <v>0</v>
      </c>
      <c r="AC349" t="str">
        <f>IF(OR(B349="",B349=0),"",$AJ$2&amp;"/"&amp;J349)</f>
        <v/>
      </c>
      <c r="AD349" t="str">
        <f t="shared" si="5"/>
        <v/>
      </c>
    </row>
    <row r="350" spans="2:30" ht="33" hidden="1" customHeight="1" x14ac:dyDescent="0.3">
      <c r="B350" s="14" t="str">
        <f>'2026 Orders'!B349</f>
        <v>Lebanon</v>
      </c>
      <c r="C350" s="14" t="str">
        <f>'2026 Orders'!C349</f>
        <v>A4690</v>
      </c>
      <c r="D350" s="14">
        <v>0</v>
      </c>
      <c r="E350" s="17" t="str" cm="1">
        <f t="array" ref="E350">IF(C350=0,"",
HYPERLINK(
"#'2026 Orders'!C"&amp;
MATCH(1,
('2026 Orders'!C:C=C350)*
('2026 Orders'!G:G=G350)*
('2026 Orders'!N:N=N350),
0),
"Open "&amp;C350
))</f>
        <v>Open A4690</v>
      </c>
      <c r="F350" s="14">
        <v>0</v>
      </c>
      <c r="G350" s="14" t="str">
        <f>'2026 Orders'!G349</f>
        <v>MFSPLS-120-CS-LB</v>
      </c>
      <c r="H350" s="14" t="str">
        <f>'2026 Orders'!H349</f>
        <v>MFSPLS-120</v>
      </c>
      <c r="I350" s="15" t="str">
        <f>'2026 Orders'!I349</f>
        <v>LB</v>
      </c>
      <c r="J350" s="14">
        <f>'2026 Orders'!J349</f>
        <v>330</v>
      </c>
      <c r="K350">
        <v>26</v>
      </c>
      <c r="L350">
        <v>168</v>
      </c>
      <c r="N350" s="10" t="str">
        <f>'2026 Orders'!N349</f>
        <v>Picked</v>
      </c>
      <c r="O350">
        <v>0</v>
      </c>
      <c r="P350" t="s">
        <v>1077</v>
      </c>
      <c r="Q350">
        <v>604776736998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C350" t="str">
        <f>IF(OR(B350="",B350=0),"",$AJ$2&amp;"/"&amp;J350)</f>
        <v>/330</v>
      </c>
      <c r="AD350" t="e">
        <f t="shared" si="5"/>
        <v>#VALUE!</v>
      </c>
    </row>
    <row r="351" spans="2:30" ht="33" hidden="1" customHeight="1" x14ac:dyDescent="0.3">
      <c r="B351" s="14" t="str">
        <f>'2026 Orders'!B350</f>
        <v>Lebanon</v>
      </c>
      <c r="C351" s="14" t="str">
        <f>'2026 Orders'!C350</f>
        <v>A4690</v>
      </c>
      <c r="D351" s="14">
        <v>0</v>
      </c>
      <c r="E351" s="17" t="str" cm="1">
        <f t="array" ref="E351">IF(C351=0,"",
HYPERLINK(
"#'2026 Orders'!C"&amp;
MATCH(1,
('2026 Orders'!C:C=C351)*
('2026 Orders'!G:G=G351)*
('2026 Orders'!N:N=N351),
0),
"Open "&amp;C351
))</f>
        <v>Open A4690</v>
      </c>
      <c r="F351" s="14">
        <v>0</v>
      </c>
      <c r="G351" s="14" t="str">
        <f>'2026 Orders'!G350</f>
        <v>MOTILMX-60-CS-LB</v>
      </c>
      <c r="H351" s="14" t="str">
        <f>'2026 Orders'!H350</f>
        <v>MOTILMX-60</v>
      </c>
      <c r="I351" s="15" t="str">
        <f>'2026 Orders'!I350</f>
        <v>LB</v>
      </c>
      <c r="J351" s="14">
        <f>'2026 Orders'!J350</f>
        <v>330</v>
      </c>
      <c r="K351">
        <v>0</v>
      </c>
      <c r="L351">
        <v>0</v>
      </c>
      <c r="N351" s="10" t="str">
        <f>'2026 Orders'!N350</f>
        <v>D/W Sent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C351" t="str">
        <f>IF(OR(B351="",B351=0),"",$AJ$2&amp;"/"&amp;J351)</f>
        <v>/330</v>
      </c>
      <c r="AD351" t="e">
        <f t="shared" si="5"/>
        <v>#VALUE!</v>
      </c>
    </row>
    <row r="352" spans="2:30" ht="33" hidden="1" customHeight="1" x14ac:dyDescent="0.3">
      <c r="B352" s="14" t="str">
        <f>'2026 Orders'!B351</f>
        <v>Lebanon</v>
      </c>
      <c r="C352" s="14" t="str">
        <f>'2026 Orders'!C351</f>
        <v>A4690</v>
      </c>
      <c r="D352" s="14" t="s">
        <v>1329</v>
      </c>
      <c r="E352" s="17" t="str" cm="1">
        <f t="array" ref="E352">IF(C352=0,"",
HYPERLINK(
"#'2026 Orders'!C"&amp;
MATCH(1,
('2026 Orders'!C:C=C352)*
('2026 Orders'!G:G=G352)*
('2026 Orders'!N:N=N352),
0),
"Open "&amp;C352
))</f>
        <v>Open A4690</v>
      </c>
      <c r="F352" s="14" t="s">
        <v>1298</v>
      </c>
      <c r="G352" s="14" t="str">
        <f>'2026 Orders'!G351</f>
        <v>SPERMCT-60-CS-LB</v>
      </c>
      <c r="H352" s="14" t="str">
        <f>'2026 Orders'!H351</f>
        <v>SPERMCT-60</v>
      </c>
      <c r="I352" s="15" t="str">
        <f>'2026 Orders'!I351</f>
        <v>LB</v>
      </c>
      <c r="J352" s="14">
        <f>'2026 Orders'!J351</f>
        <v>220</v>
      </c>
      <c r="K352">
        <v>26</v>
      </c>
      <c r="L352">
        <v>0</v>
      </c>
      <c r="N352" s="10" t="str">
        <f>'2026 Orders'!N351</f>
        <v>D/W Sent</v>
      </c>
      <c r="O352">
        <v>0</v>
      </c>
      <c r="P352" t="s">
        <v>1077</v>
      </c>
      <c r="Q352">
        <v>604776736943</v>
      </c>
      <c r="R352">
        <v>7419</v>
      </c>
      <c r="S352">
        <v>5107</v>
      </c>
      <c r="T352">
        <v>46286</v>
      </c>
      <c r="U352" t="s">
        <v>1089</v>
      </c>
      <c r="V352">
        <v>0</v>
      </c>
      <c r="W352">
        <v>0</v>
      </c>
      <c r="X352">
        <v>0</v>
      </c>
      <c r="Y352">
        <v>0</v>
      </c>
      <c r="Z352" t="s">
        <v>1083</v>
      </c>
      <c r="AC352" t="str">
        <f>IF(OR(B352="",B352=0),"",$AJ$2&amp;"/"&amp;J352)</f>
        <v>/220</v>
      </c>
      <c r="AD352" t="e">
        <f t="shared" si="5"/>
        <v>#VALUE!</v>
      </c>
    </row>
    <row r="353" spans="2:30" ht="33" hidden="1" customHeight="1" x14ac:dyDescent="0.3">
      <c r="B353" s="14" t="str">
        <f>'2026 Orders'!B352</f>
        <v>Lebanon</v>
      </c>
      <c r="C353" s="14" t="str">
        <f>'2026 Orders'!C352</f>
        <v>A4690</v>
      </c>
      <c r="D353" s="14" t="s">
        <v>1330</v>
      </c>
      <c r="E353" s="17" t="str" cm="1">
        <f t="array" ref="E353">IF(C353=0,"",
HYPERLINK(
"#'2026 Orders'!C"&amp;
MATCH(1,
('2026 Orders'!C:C=C353)*
('2026 Orders'!G:G=G353)*
('2026 Orders'!N:N=N353),
0),
"Open "&amp;C353
))</f>
        <v>Open A4690</v>
      </c>
      <c r="F353" s="14" t="s">
        <v>1299</v>
      </c>
      <c r="G353" s="14" t="str">
        <f>'2026 Orders'!G352</f>
        <v>WFSPLS-180-CS-LB</v>
      </c>
      <c r="H353" s="14" t="str">
        <f>'2026 Orders'!H352</f>
        <v>WFSPLS-180</v>
      </c>
      <c r="I353" s="15" t="str">
        <f>'2026 Orders'!I352</f>
        <v>LB</v>
      </c>
      <c r="J353" s="14">
        <f>'2026 Orders'!J352</f>
        <v>350</v>
      </c>
      <c r="K353">
        <v>26</v>
      </c>
      <c r="L353">
        <v>0</v>
      </c>
      <c r="N353" s="10" t="str">
        <f>'2026 Orders'!N352</f>
        <v>D/W Sent</v>
      </c>
      <c r="O353">
        <v>0</v>
      </c>
      <c r="P353" t="s">
        <v>1077</v>
      </c>
      <c r="Q353">
        <v>604776736936</v>
      </c>
      <c r="R353">
        <v>0</v>
      </c>
      <c r="S353">
        <v>0</v>
      </c>
      <c r="T353">
        <v>0</v>
      </c>
      <c r="U353" t="s">
        <v>1197</v>
      </c>
      <c r="V353">
        <v>0</v>
      </c>
      <c r="W353">
        <v>0</v>
      </c>
      <c r="X353">
        <v>0</v>
      </c>
      <c r="Y353">
        <v>0</v>
      </c>
      <c r="Z353">
        <v>0</v>
      </c>
      <c r="AC353" t="str">
        <f>IF(OR(B353="",B353=0),"",$AJ$2&amp;"/"&amp;J353)</f>
        <v>/350</v>
      </c>
      <c r="AD353" t="e">
        <f t="shared" si="5"/>
        <v>#VALUE!</v>
      </c>
    </row>
    <row r="354" spans="2:30" ht="33" hidden="1" customHeight="1" x14ac:dyDescent="0.3">
      <c r="B354" s="14" t="str">
        <f>'2026 Orders'!B353</f>
        <v>Lebanon</v>
      </c>
      <c r="C354" s="14" t="str">
        <f>'2026 Orders'!C353</f>
        <v>A4690</v>
      </c>
      <c r="D354" s="14">
        <v>0</v>
      </c>
      <c r="E354" s="17" t="str" cm="1">
        <f t="array" ref="E354">IF(C354=0,"",
HYPERLINK(
"#'2026 Orders'!C"&amp;
MATCH(1,
('2026 Orders'!C:C=C354)*
('2026 Orders'!G:G=G354)*
('2026 Orders'!N:N=N354),
0),
"Open "&amp;C354
))</f>
        <v>Open A4690</v>
      </c>
      <c r="F354" s="14">
        <v>0</v>
      </c>
      <c r="G354" s="14" t="str">
        <f>'2026 Orders'!G353</f>
        <v>OVAMAX-120-CS-LB</v>
      </c>
      <c r="H354" s="14" t="str">
        <f>'2026 Orders'!H353</f>
        <v>OVAMAX-120</v>
      </c>
      <c r="I354" s="15" t="str">
        <f>'2026 Orders'!I353</f>
        <v>LB</v>
      </c>
      <c r="J354" s="14">
        <f>'2026 Orders'!J353</f>
        <v>385</v>
      </c>
      <c r="K354">
        <v>0</v>
      </c>
      <c r="L354">
        <v>0</v>
      </c>
      <c r="N354" s="10" t="str">
        <f>'2026 Orders'!N353</f>
        <v>D/W Sent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C354" t="str">
        <f>IF(OR(B354="",B354=0),"",$AJ$2&amp;"/"&amp;J354)</f>
        <v>/385</v>
      </c>
      <c r="AD354" t="e">
        <f t="shared" si="5"/>
        <v>#VALUE!</v>
      </c>
    </row>
    <row r="355" spans="2:30" ht="33" hidden="1" customHeight="1" x14ac:dyDescent="0.3">
      <c r="B355" s="14" t="str">
        <f>'2026 Orders'!B354</f>
        <v>Lebanon</v>
      </c>
      <c r="C355" s="14" t="str">
        <f>'2026 Orders'!C354</f>
        <v>A4690</v>
      </c>
      <c r="D355" s="14" t="s">
        <v>1329</v>
      </c>
      <c r="E355" s="17" t="str" cm="1">
        <f t="array" ref="E355">IF(C355=0,"",
HYPERLINK(
"#'2026 Orders'!C"&amp;
MATCH(1,
('2026 Orders'!C:C=C355)*
('2026 Orders'!G:G=G355)*
('2026 Orders'!N:N=N355),
0),
"Open "&amp;C355
))</f>
        <v>Open A4690</v>
      </c>
      <c r="F355" s="14" t="s">
        <v>1300</v>
      </c>
      <c r="G355" s="14" t="str">
        <f>'2026 Orders'!G354</f>
        <v>PRECON-180-CS-LB</v>
      </c>
      <c r="H355" s="14" t="str">
        <f>'2026 Orders'!H354</f>
        <v>PRECON-180</v>
      </c>
      <c r="I355" s="15" t="str">
        <f>'2026 Orders'!I354</f>
        <v>LB</v>
      </c>
      <c r="J355" s="14">
        <f>'2026 Orders'!J354</f>
        <v>161</v>
      </c>
      <c r="K355">
        <v>26</v>
      </c>
      <c r="L355">
        <v>424</v>
      </c>
      <c r="N355" s="10" t="str">
        <f>'2026 Orders'!N354</f>
        <v>Rework</v>
      </c>
      <c r="O355">
        <v>46217</v>
      </c>
      <c r="P355" t="s">
        <v>1085</v>
      </c>
      <c r="Q355" t="s">
        <v>1196</v>
      </c>
      <c r="R355" t="s">
        <v>1107</v>
      </c>
      <c r="S355">
        <v>5064</v>
      </c>
      <c r="T355" t="s">
        <v>1108</v>
      </c>
      <c r="U355" t="s">
        <v>1109</v>
      </c>
      <c r="V355">
        <v>0</v>
      </c>
      <c r="W355">
        <v>0</v>
      </c>
      <c r="X355">
        <v>0</v>
      </c>
      <c r="Y355">
        <v>0</v>
      </c>
      <c r="Z355" t="s">
        <v>1083</v>
      </c>
      <c r="AC355" t="str">
        <f>IF(OR(B355="",B355=0),"",$AJ$2&amp;"/"&amp;J355)</f>
        <v>/161</v>
      </c>
      <c r="AD355" t="e">
        <f t="shared" si="5"/>
        <v>#VALUE!</v>
      </c>
    </row>
    <row r="356" spans="2:30" ht="33" hidden="1" customHeight="1" x14ac:dyDescent="0.3">
      <c r="B356" s="14">
        <f>'2026 Orders'!B355</f>
        <v>0</v>
      </c>
      <c r="C356" s="14">
        <f>'2026 Orders'!C355</f>
        <v>0</v>
      </c>
      <c r="D356" s="14" t="s">
        <v>1330</v>
      </c>
      <c r="E356" s="17" t="str" cm="1">
        <f t="array" ref="E356">IF(C356=0,"",
HYPERLINK(
"#'2026 Orders'!C"&amp;
MATCH(1,
('2026 Orders'!C:C=C356)*
('2026 Orders'!G:G=G356)*
('2026 Orders'!N:N=N356),
0),
"Open "&amp;C356
))</f>
        <v/>
      </c>
      <c r="F356" s="14">
        <v>0</v>
      </c>
      <c r="G356" s="14">
        <f>'2026 Orders'!G355</f>
        <v>0</v>
      </c>
      <c r="H356" s="14">
        <f>'2026 Orders'!H355</f>
        <v>0</v>
      </c>
      <c r="I356" s="15" t="str">
        <f>'2026 Orders'!I355</f>
        <v/>
      </c>
      <c r="J356" s="14">
        <f>'2026 Orders'!J355</f>
        <v>0</v>
      </c>
      <c r="K356">
        <v>26</v>
      </c>
      <c r="L356">
        <v>48</v>
      </c>
      <c r="N356" s="10">
        <f>'2026 Orders'!N355</f>
        <v>0</v>
      </c>
      <c r="O356">
        <v>0</v>
      </c>
      <c r="P356" t="s">
        <v>1077</v>
      </c>
      <c r="Q356">
        <v>604776736882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C356" t="str">
        <f>IF(OR(B356="",B356=0),"",$AJ$2&amp;"/"&amp;J356)</f>
        <v/>
      </c>
      <c r="AD356" t="str">
        <f t="shared" si="5"/>
        <v/>
      </c>
    </row>
    <row r="357" spans="2:30" ht="33" hidden="1" customHeight="1" x14ac:dyDescent="0.3">
      <c r="B357" s="14" t="str">
        <f>'2026 Orders'!B356</f>
        <v>Iraq</v>
      </c>
      <c r="C357" s="14" t="str">
        <f>'2026 Orders'!C356</f>
        <v>A4691</v>
      </c>
      <c r="D357" s="14">
        <v>0</v>
      </c>
      <c r="E357" s="17" t="str" cm="1">
        <f t="array" ref="E357">IF(C357=0,"",
HYPERLINK(
"#'2026 Orders'!C"&amp;
MATCH(1,
('2026 Orders'!C:C=C357)*
('2026 Orders'!G:G=G357)*
('2026 Orders'!N:N=N357),
0),
"Open "&amp;C357
))</f>
        <v>Open A4691</v>
      </c>
      <c r="F357" s="14">
        <v>0</v>
      </c>
      <c r="G357" s="14" t="str">
        <f>'2026 Orders'!G356</f>
        <v>COQ100-125-FD</v>
      </c>
      <c r="H357" s="14" t="str">
        <f>'2026 Orders'!H356</f>
        <v>COQ100-125</v>
      </c>
      <c r="I357" s="15" t="str">
        <f>'2026 Orders'!I356</f>
        <v>FD</v>
      </c>
      <c r="J357" s="14">
        <f>'2026 Orders'!J356</f>
        <v>30</v>
      </c>
      <c r="K357">
        <v>26</v>
      </c>
      <c r="L357">
        <v>192</v>
      </c>
      <c r="N357" s="10" t="str">
        <f>'2026 Orders'!N356</f>
        <v>Rework</v>
      </c>
      <c r="O357">
        <v>0</v>
      </c>
      <c r="P357" t="s">
        <v>1085</v>
      </c>
      <c r="Q357">
        <v>604776736905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C357" t="str">
        <f>IF(OR(B357="",B357=0),"",$AJ$2&amp;"/"&amp;J357)</f>
        <v>/30</v>
      </c>
      <c r="AD357" t="e">
        <f t="shared" si="5"/>
        <v>#VALUE!</v>
      </c>
    </row>
    <row r="358" spans="2:30" ht="33" hidden="1" customHeight="1" x14ac:dyDescent="0.3">
      <c r="B358" s="14" t="str">
        <f>'2026 Orders'!B357</f>
        <v>Iraq</v>
      </c>
      <c r="C358" s="14" t="str">
        <f>'2026 Orders'!C357</f>
        <v>A4691</v>
      </c>
      <c r="D358" s="14">
        <v>0</v>
      </c>
      <c r="E358" s="17" t="str" cm="1">
        <f t="array" ref="E358">IF(C358=0,"",
HYPERLINK(
"#'2026 Orders'!C"&amp;
MATCH(1,
('2026 Orders'!C:C=C358)*
('2026 Orders'!G:G=G358)*
('2026 Orders'!N:N=N358),
0),
"Open "&amp;C358
))</f>
        <v>Open A4691</v>
      </c>
      <c r="F358" s="14">
        <v>0</v>
      </c>
      <c r="G358" s="14" t="str">
        <f>'2026 Orders'!G357</f>
        <v>MEMOUP-60-FD</v>
      </c>
      <c r="H358" s="14" t="str">
        <f>'2026 Orders'!H357</f>
        <v>MEMOUP-60</v>
      </c>
      <c r="I358" s="15" t="str">
        <f>'2026 Orders'!I357</f>
        <v>FD</v>
      </c>
      <c r="J358" s="14">
        <f>'2026 Orders'!J357</f>
        <v>30</v>
      </c>
      <c r="K358">
        <v>0</v>
      </c>
      <c r="L358">
        <v>0</v>
      </c>
      <c r="N358" s="10" t="str">
        <f>'2026 Orders'!N357</f>
        <v>Rework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C358" t="str">
        <f>IF(OR(B358="",B358=0),"",$AJ$2&amp;"/"&amp;J358)</f>
        <v>/30</v>
      </c>
      <c r="AD358" t="e">
        <f t="shared" si="5"/>
        <v>#VALUE!</v>
      </c>
    </row>
    <row r="359" spans="2:30" ht="33" hidden="1" customHeight="1" x14ac:dyDescent="0.3">
      <c r="B359" s="14">
        <f>'2026 Orders'!B358</f>
        <v>0</v>
      </c>
      <c r="C359" s="14">
        <f>'2026 Orders'!C358</f>
        <v>0</v>
      </c>
      <c r="D359" s="14">
        <v>0</v>
      </c>
      <c r="E359" s="17" t="str" cm="1">
        <f t="array" ref="E359">IF(C359=0,"",
HYPERLINK(
"#'2026 Orders'!C"&amp;
MATCH(1,
('2026 Orders'!C:C=C359)*
('2026 Orders'!G:G=G359)*
('2026 Orders'!N:N=N359),
0),
"Open "&amp;C359
))</f>
        <v/>
      </c>
      <c r="F359" s="14" t="s">
        <v>1301</v>
      </c>
      <c r="G359" s="14">
        <f>'2026 Orders'!G358</f>
        <v>0</v>
      </c>
      <c r="H359" s="14">
        <f>'2026 Orders'!H358</f>
        <v>0</v>
      </c>
      <c r="I359" s="15" t="str">
        <f>'2026 Orders'!I358</f>
        <v/>
      </c>
      <c r="J359" s="14">
        <f>'2026 Orders'!J358</f>
        <v>0</v>
      </c>
      <c r="K359">
        <v>26</v>
      </c>
      <c r="L359">
        <v>0</v>
      </c>
      <c r="N359" s="10">
        <f>'2026 Orders'!N358</f>
        <v>0</v>
      </c>
      <c r="O359">
        <v>0</v>
      </c>
      <c r="P359" t="s">
        <v>1085</v>
      </c>
      <c r="Q359" t="s">
        <v>1196</v>
      </c>
      <c r="R359" t="s">
        <v>1107</v>
      </c>
      <c r="S359">
        <v>5064</v>
      </c>
      <c r="T359" t="s">
        <v>1108</v>
      </c>
      <c r="U359" t="s">
        <v>1109</v>
      </c>
      <c r="V359">
        <v>0</v>
      </c>
      <c r="W359">
        <v>0</v>
      </c>
      <c r="X359">
        <v>0</v>
      </c>
      <c r="Y359">
        <v>0</v>
      </c>
      <c r="Z359" t="s">
        <v>1083</v>
      </c>
      <c r="AC359" t="str">
        <f>IF(OR(B359="",B359=0),"",$AJ$2&amp;"/"&amp;J359)</f>
        <v/>
      </c>
      <c r="AD359" t="str">
        <f t="shared" si="5"/>
        <v/>
      </c>
    </row>
    <row r="360" spans="2:30" ht="33" hidden="1" customHeight="1" x14ac:dyDescent="0.3">
      <c r="B360" s="14" t="str">
        <f>'2026 Orders'!B359</f>
        <v>Libya</v>
      </c>
      <c r="C360" s="14" t="str">
        <f>'2026 Orders'!C359</f>
        <v>A4692</v>
      </c>
      <c r="D360" s="14">
        <v>0</v>
      </c>
      <c r="E360" s="17" t="str" cm="1">
        <f t="array" ref="E360">IF(C360=0,"",
HYPERLINK(
"#'2026 Orders'!C"&amp;
MATCH(1,
('2026 Orders'!C:C=C360)*
('2026 Orders'!G:G=G360)*
('2026 Orders'!N:N=N360),
0),
"Open "&amp;C360
))</f>
        <v>Open A4692</v>
      </c>
      <c r="F360" s="14">
        <v>0</v>
      </c>
      <c r="G360" s="14" t="str">
        <f>'2026 Orders'!G359</f>
        <v>FERTMX-90-CS-LY</v>
      </c>
      <c r="H360" s="14" t="str">
        <f>'2026 Orders'!H359</f>
        <v>FERTMX-90</v>
      </c>
      <c r="I360" s="15" t="str">
        <f>'2026 Orders'!I359</f>
        <v>LY</v>
      </c>
      <c r="J360" s="14">
        <f>'2026 Orders'!J359</f>
        <v>1000</v>
      </c>
      <c r="K360">
        <v>0</v>
      </c>
      <c r="L360">
        <v>0</v>
      </c>
      <c r="N360" s="10" t="str">
        <f>'2026 Orders'!N359</f>
        <v>PO submitted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C360" t="str">
        <f>IF(OR(B360="",B360=0),"",$AJ$2&amp;"/"&amp;J360)</f>
        <v>/1000</v>
      </c>
      <c r="AD360" t="e">
        <f t="shared" si="5"/>
        <v>#VALUE!</v>
      </c>
    </row>
    <row r="361" spans="2:30" ht="33" hidden="1" customHeight="1" x14ac:dyDescent="0.3">
      <c r="B361" s="14" t="str">
        <f>'2026 Orders'!B360</f>
        <v>Libya</v>
      </c>
      <c r="C361" s="14" t="str">
        <f>'2026 Orders'!C360</f>
        <v>A4692</v>
      </c>
      <c r="D361" s="14" t="s">
        <v>1329</v>
      </c>
      <c r="E361" s="17" t="str" cm="1">
        <f t="array" ref="E361">IF(C361=0,"",
HYPERLINK(
"#'2026 Orders'!C"&amp;
MATCH(1,
('2026 Orders'!C:C=C361)*
('2026 Orders'!G:G=G361)*
('2026 Orders'!N:N=N361),
0),
"Open "&amp;C361
))</f>
        <v>Open A4692</v>
      </c>
      <c r="F361" s="14" t="s">
        <v>1302</v>
      </c>
      <c r="G361" s="14" t="str">
        <f>'2026 Orders'!G360</f>
        <v>FIBRO-60-CS-LY</v>
      </c>
      <c r="H361" s="14" t="str">
        <f>'2026 Orders'!H360</f>
        <v>FIBRO-60</v>
      </c>
      <c r="I361" s="15" t="str">
        <f>'2026 Orders'!I360</f>
        <v>LY</v>
      </c>
      <c r="J361" s="14">
        <f>'2026 Orders'!J360</f>
        <v>300</v>
      </c>
      <c r="K361">
        <v>26</v>
      </c>
      <c r="L361">
        <v>0</v>
      </c>
      <c r="N361" s="10" t="str">
        <f>'2026 Orders'!N360</f>
        <v>Rework</v>
      </c>
      <c r="O361">
        <v>0</v>
      </c>
      <c r="P361" t="s">
        <v>1077</v>
      </c>
      <c r="Q361">
        <v>604776736943</v>
      </c>
      <c r="R361">
        <v>7419</v>
      </c>
      <c r="S361">
        <v>5107</v>
      </c>
      <c r="T361">
        <v>46286</v>
      </c>
      <c r="U361" t="s">
        <v>1089</v>
      </c>
      <c r="V361">
        <v>0</v>
      </c>
      <c r="W361">
        <v>0</v>
      </c>
      <c r="X361">
        <v>0</v>
      </c>
      <c r="Y361">
        <v>0</v>
      </c>
      <c r="Z361" t="s">
        <v>1083</v>
      </c>
      <c r="AC361" t="str">
        <f>IF(OR(B361="",B361=0),"",$AJ$2&amp;"/"&amp;J361)</f>
        <v>/300</v>
      </c>
      <c r="AD361" t="e">
        <f t="shared" si="5"/>
        <v>#VALUE!</v>
      </c>
    </row>
    <row r="362" spans="2:30" ht="33" hidden="1" customHeight="1" x14ac:dyDescent="0.3">
      <c r="B362" s="14" t="str">
        <f>'2026 Orders'!B361</f>
        <v>Libya</v>
      </c>
      <c r="C362" s="14" t="str">
        <f>'2026 Orders'!C361</f>
        <v>A4692</v>
      </c>
      <c r="D362" s="14" t="s">
        <v>1330</v>
      </c>
      <c r="E362" s="17" t="str" cm="1">
        <f t="array" ref="E362">IF(C362=0,"",
HYPERLINK(
"#'2026 Orders'!C"&amp;
MATCH(1,
('2026 Orders'!C:C=C362)*
('2026 Orders'!G:G=G362)*
('2026 Orders'!N:N=N362),
0),
"Open "&amp;C362
))</f>
        <v>Open A4692</v>
      </c>
      <c r="F362" s="14" t="s">
        <v>1299</v>
      </c>
      <c r="G362" s="14" t="str">
        <f>'2026 Orders'!G361</f>
        <v>MOTILMX-60-CS-LY</v>
      </c>
      <c r="H362" s="14" t="str">
        <f>'2026 Orders'!H361</f>
        <v>MOTILMX-60</v>
      </c>
      <c r="I362" s="15" t="str">
        <f>'2026 Orders'!I361</f>
        <v>LY</v>
      </c>
      <c r="J362" s="14">
        <f>'2026 Orders'!J361</f>
        <v>1500</v>
      </c>
      <c r="K362">
        <v>26</v>
      </c>
      <c r="L362">
        <v>0</v>
      </c>
      <c r="N362" s="10" t="str">
        <f>'2026 Orders'!N361</f>
        <v>Picked</v>
      </c>
      <c r="O362">
        <v>0</v>
      </c>
      <c r="P362" t="s">
        <v>1077</v>
      </c>
      <c r="Q362">
        <v>604776736936</v>
      </c>
      <c r="R362">
        <v>5000</v>
      </c>
      <c r="S362">
        <v>5108</v>
      </c>
      <c r="T362" t="s">
        <v>1108</v>
      </c>
      <c r="U362" t="s">
        <v>1197</v>
      </c>
      <c r="V362">
        <v>0</v>
      </c>
      <c r="W362">
        <v>0</v>
      </c>
      <c r="X362">
        <v>0</v>
      </c>
      <c r="Y362">
        <v>0</v>
      </c>
      <c r="Z362">
        <v>0</v>
      </c>
      <c r="AC362" t="str">
        <f>IF(OR(B362="",B362=0),"",$AJ$2&amp;"/"&amp;J362)</f>
        <v>/1500</v>
      </c>
      <c r="AD362" t="e">
        <f t="shared" si="5"/>
        <v>#VALUE!</v>
      </c>
    </row>
    <row r="363" spans="2:30" ht="33" hidden="1" customHeight="1" x14ac:dyDescent="0.3">
      <c r="B363" s="14" t="str">
        <f>'2026 Orders'!B362</f>
        <v>Libya</v>
      </c>
      <c r="C363" s="14" t="str">
        <f>'2026 Orders'!C362</f>
        <v>A4692</v>
      </c>
      <c r="D363" s="14">
        <v>0</v>
      </c>
      <c r="E363" s="17" t="str" cm="1">
        <f t="array" ref="E363">IF(C363=0,"",
HYPERLINK(
"#'2026 Orders'!C"&amp;
MATCH(1,
('2026 Orders'!C:C=C363)*
('2026 Orders'!G:G=G363)*
('2026 Orders'!N:N=N363),
0),
"Open "&amp;C363
))</f>
        <v>Open A4692</v>
      </c>
      <c r="F363" s="14">
        <v>0</v>
      </c>
      <c r="G363" s="14" t="str">
        <f>'2026 Orders'!G362</f>
        <v>OVAMAX-120-CS-LY</v>
      </c>
      <c r="H363" s="14" t="str">
        <f>'2026 Orders'!H362</f>
        <v>OVAMAX-120</v>
      </c>
      <c r="I363" s="15" t="str">
        <f>'2026 Orders'!I362</f>
        <v>LY</v>
      </c>
      <c r="J363" s="14">
        <f>'2026 Orders'!J362</f>
        <v>1500</v>
      </c>
      <c r="K363">
        <v>0</v>
      </c>
      <c r="L363">
        <v>0</v>
      </c>
      <c r="N363" s="10" t="str">
        <f>'2026 Orders'!N362</f>
        <v>In Production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C363" t="str">
        <f>IF(OR(B363="",B363=0),"",$AJ$2&amp;"/"&amp;J363)</f>
        <v>/1500</v>
      </c>
      <c r="AD363" t="e">
        <f t="shared" si="5"/>
        <v>#VALUE!</v>
      </c>
    </row>
    <row r="364" spans="2:30" ht="33" hidden="1" customHeight="1" x14ac:dyDescent="0.3">
      <c r="B364" s="14" t="str">
        <f>'2026 Orders'!B363</f>
        <v>Libya</v>
      </c>
      <c r="C364" s="14" t="str">
        <f>'2026 Orders'!C363</f>
        <v>A4692</v>
      </c>
      <c r="D364" s="14" t="s">
        <v>1329</v>
      </c>
      <c r="E364" s="17" t="str" cm="1">
        <f t="array" ref="E364">IF(C364=0,"",
HYPERLINK(
"#'2026 Orders'!C"&amp;
MATCH(1,
('2026 Orders'!C:C=C364)*
('2026 Orders'!G:G=G364)*
('2026 Orders'!N:N=N364),
0),
"Open "&amp;C364
))</f>
        <v>Open A4692</v>
      </c>
      <c r="F364" s="14">
        <v>0</v>
      </c>
      <c r="G364" s="14" t="str">
        <f>'2026 Orders'!G363</f>
        <v>POLYSIT-90-CS-LY</v>
      </c>
      <c r="H364" s="14" t="str">
        <f>'2026 Orders'!H363</f>
        <v>POLYSIT-90</v>
      </c>
      <c r="I364" s="15" t="str">
        <f>'2026 Orders'!I363</f>
        <v>LY</v>
      </c>
      <c r="J364" s="14">
        <f>'2026 Orders'!J363</f>
        <v>300</v>
      </c>
      <c r="K364">
        <v>26</v>
      </c>
      <c r="L364">
        <v>48</v>
      </c>
      <c r="N364" s="10" t="str">
        <f>'2026 Orders'!N363</f>
        <v>In Production</v>
      </c>
      <c r="O364">
        <v>46217</v>
      </c>
      <c r="P364" t="s">
        <v>1077</v>
      </c>
      <c r="Q364">
        <v>604776736882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 t="s">
        <v>1083</v>
      </c>
      <c r="AC364" t="str">
        <f>IF(OR(B364="",B364=0),"",$AJ$2&amp;"/"&amp;J364)</f>
        <v>/300</v>
      </c>
      <c r="AD364" t="e">
        <f t="shared" si="5"/>
        <v>#VALUE!</v>
      </c>
    </row>
    <row r="365" spans="2:30" ht="33" hidden="1" customHeight="1" x14ac:dyDescent="0.3">
      <c r="B365" s="14" t="str">
        <f>'2026 Orders'!B364</f>
        <v>Libya</v>
      </c>
      <c r="C365" s="14" t="str">
        <f>'2026 Orders'!C364</f>
        <v>A4692</v>
      </c>
      <c r="D365" s="14" t="s">
        <v>1330</v>
      </c>
      <c r="E365" s="17" t="str" cm="1">
        <f t="array" ref="E365">IF(C365=0,"",
HYPERLINK(
"#'2026 Orders'!C"&amp;
MATCH(1,
('2026 Orders'!C:C=C365)*
('2026 Orders'!G:G=G365)*
('2026 Orders'!N:N=N365),
0),
"Open "&amp;C365
))</f>
        <v>Open A4692</v>
      </c>
      <c r="F365" s="14">
        <v>0</v>
      </c>
      <c r="G365" s="14" t="str">
        <f>'2026 Orders'!G364</f>
        <v>PENAMAX-60-GE-FD</v>
      </c>
      <c r="H365" s="14" t="str">
        <f>'2026 Orders'!H364</f>
        <v>PENAMAX-60</v>
      </c>
      <c r="I365" s="15" t="str">
        <f>'2026 Orders'!I364</f>
        <v>FD</v>
      </c>
      <c r="J365" s="14">
        <f>'2026 Orders'!J364</f>
        <v>800</v>
      </c>
      <c r="K365">
        <v>26</v>
      </c>
      <c r="L365">
        <v>192</v>
      </c>
      <c r="N365" s="10" t="str">
        <f>'2026 Orders'!N364</f>
        <v>Rework</v>
      </c>
      <c r="O365">
        <v>0</v>
      </c>
      <c r="P365" t="s">
        <v>1085</v>
      </c>
      <c r="Q365">
        <v>604776736905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C365" t="str">
        <f>IF(OR(B365="",B365=0),"",$AJ$2&amp;"/"&amp;J365)</f>
        <v>/800</v>
      </c>
      <c r="AD365" t="e">
        <f t="shared" si="5"/>
        <v>#VALUE!</v>
      </c>
    </row>
    <row r="366" spans="2:30" ht="33" hidden="1" customHeight="1" x14ac:dyDescent="0.3">
      <c r="B366" s="14" t="str">
        <f>'2026 Orders'!B365</f>
        <v>Libya</v>
      </c>
      <c r="C366" s="14" t="str">
        <f>'2026 Orders'!C365</f>
        <v>A4692</v>
      </c>
      <c r="D366" s="14">
        <v>0</v>
      </c>
      <c r="E366" s="17" t="str" cm="1">
        <f t="array" ref="E366">IF(C366=0,"",
HYPERLINK(
"#'2026 Orders'!C"&amp;
MATCH(1,
('2026 Orders'!C:C=C366)*
('2026 Orders'!G:G=G366)*
('2026 Orders'!N:N=N366),
0),
"Open "&amp;C366
))</f>
        <v>Open A4692</v>
      </c>
      <c r="F366" s="14">
        <v>0</v>
      </c>
      <c r="G366" s="14" t="str">
        <f>'2026 Orders'!G365</f>
        <v>WFSPLS-180-CS-LY</v>
      </c>
      <c r="H366" s="14" t="str">
        <f>'2026 Orders'!H365</f>
        <v>WFSPLS-180</v>
      </c>
      <c r="I366" s="15" t="str">
        <f>'2026 Orders'!I365</f>
        <v>LY</v>
      </c>
      <c r="J366" s="14">
        <f>'2026 Orders'!J365</f>
        <v>500</v>
      </c>
      <c r="K366">
        <v>0</v>
      </c>
      <c r="L366">
        <v>0</v>
      </c>
      <c r="N366" s="10" t="str">
        <f>'2026 Orders'!N365</f>
        <v>PO Drafted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C366" t="str">
        <f>IF(OR(B366="",B366=0),"",$AJ$2&amp;"/"&amp;J366)</f>
        <v>/500</v>
      </c>
      <c r="AD366" t="e">
        <f t="shared" si="5"/>
        <v>#VALUE!</v>
      </c>
    </row>
    <row r="367" spans="2:30" ht="33" hidden="1" customHeight="1" x14ac:dyDescent="0.3">
      <c r="B367" s="14" t="str">
        <f>'2026 Orders'!B366</f>
        <v>Libya</v>
      </c>
      <c r="C367" s="14" t="str">
        <f>'2026 Orders'!C366</f>
        <v>A4692</v>
      </c>
      <c r="D367" s="14" t="s">
        <v>1333</v>
      </c>
      <c r="E367" s="17" t="str" cm="1">
        <f t="array" ref="E367">IF(C367=0,"",
HYPERLINK(
"#'2026 Orders'!C"&amp;
MATCH(1,
('2026 Orders'!C:C=C367)*
('2026 Orders'!G:G=G367)*
('2026 Orders'!N:N=N367),
0),
"Open "&amp;C367
))</f>
        <v>Open A4692</v>
      </c>
      <c r="F367" s="14" t="s">
        <v>1303</v>
      </c>
      <c r="G367" s="14" t="str">
        <f>'2026 Orders'!G366</f>
        <v>SPERMCT-60-CS-LY</v>
      </c>
      <c r="H367" s="14" t="str">
        <f>'2026 Orders'!H366</f>
        <v>SPERMCT-60</v>
      </c>
      <c r="I367" s="15" t="str">
        <f>'2026 Orders'!I366</f>
        <v>LY</v>
      </c>
      <c r="J367" s="14">
        <f>'2026 Orders'!J366</f>
        <v>200</v>
      </c>
      <c r="K367">
        <v>0</v>
      </c>
      <c r="L367">
        <v>0</v>
      </c>
      <c r="N367" s="10" t="str">
        <f>'2026 Orders'!N366</f>
        <v>Rework</v>
      </c>
      <c r="O367">
        <v>0</v>
      </c>
      <c r="P367" t="s">
        <v>1085</v>
      </c>
      <c r="Q367" t="s">
        <v>1108</v>
      </c>
      <c r="R367">
        <v>5000</v>
      </c>
      <c r="S367">
        <v>5110</v>
      </c>
      <c r="T367" t="s">
        <v>1108</v>
      </c>
      <c r="U367" t="s">
        <v>1198</v>
      </c>
      <c r="V367">
        <v>0</v>
      </c>
      <c r="W367">
        <v>0</v>
      </c>
      <c r="X367">
        <v>0</v>
      </c>
      <c r="Y367">
        <v>0</v>
      </c>
      <c r="Z367" t="s">
        <v>1086</v>
      </c>
      <c r="AC367" t="str">
        <f>IF(OR(B367="",B367=0),"",$AJ$2&amp;"/"&amp;J367)</f>
        <v>/200</v>
      </c>
      <c r="AD367" t="e">
        <f t="shared" si="5"/>
        <v>#VALUE!</v>
      </c>
    </row>
    <row r="368" spans="2:30" ht="33" hidden="1" customHeight="1" x14ac:dyDescent="0.3">
      <c r="B368" s="14" t="str">
        <f>'2026 Orders'!B367</f>
        <v>Libya</v>
      </c>
      <c r="C368" s="14" t="str">
        <f>'2026 Orders'!C367</f>
        <v>A4692</v>
      </c>
      <c r="D368" s="14">
        <v>0</v>
      </c>
      <c r="E368" s="17" t="str" cm="1">
        <f t="array" ref="E368">IF(C368=0,"",
HYPERLINK(
"#'2026 Orders'!C"&amp;
MATCH(1,
('2026 Orders'!C:C=C368)*
('2026 Orders'!G:G=G368)*
('2026 Orders'!N:N=N368),
0),
"Open "&amp;C368
))</f>
        <v>Open A4692</v>
      </c>
      <c r="F368" s="14">
        <v>0</v>
      </c>
      <c r="G368" s="14" t="str">
        <f>'2026 Orders'!G367</f>
        <v>GRAVFER-90-CS-GO</v>
      </c>
      <c r="H368" s="14" t="str">
        <f>'2026 Orders'!H367</f>
        <v>GRAVFER-90</v>
      </c>
      <c r="I368" s="15" t="str">
        <f>'2026 Orders'!I367</f>
        <v>GO</v>
      </c>
      <c r="J368" s="14">
        <f>'2026 Orders'!J367</f>
        <v>1000</v>
      </c>
      <c r="K368">
        <v>0</v>
      </c>
      <c r="L368">
        <v>0</v>
      </c>
      <c r="N368" s="10" t="str">
        <f>'2026 Orders'!N367</f>
        <v>Not Meet MOQ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C368" t="str">
        <f>IF(OR(B368="",B368=0),"",$AJ$2&amp;"/"&amp;J368)</f>
        <v>/1000</v>
      </c>
      <c r="AD368" t="e">
        <f t="shared" si="5"/>
        <v>#VALUE!</v>
      </c>
    </row>
    <row r="369" spans="2:30" ht="33" hidden="1" customHeight="1" x14ac:dyDescent="0.3">
      <c r="B369" s="14" t="str">
        <f>'2026 Orders'!B368</f>
        <v>Libya</v>
      </c>
      <c r="C369" s="14" t="str">
        <f>'2026 Orders'!C368</f>
        <v>A4692</v>
      </c>
      <c r="D369" s="14" t="s">
        <v>1334</v>
      </c>
      <c r="E369" s="17" t="str" cm="1">
        <f t="array" ref="E369">IF(C369=0,"",
HYPERLINK(
"#'2026 Orders'!C"&amp;
MATCH(1,
('2026 Orders'!C:C=C369)*
('2026 Orders'!G:G=G369)*
('2026 Orders'!N:N=N369),
0),
"Open "&amp;C369
))</f>
        <v>Open A4692</v>
      </c>
      <c r="F369" s="14">
        <v>0</v>
      </c>
      <c r="G369" s="14" t="str">
        <f>'2026 Orders'!G368</f>
        <v>LIPODIS-60-FD</v>
      </c>
      <c r="H369" s="14" t="str">
        <f>'2026 Orders'!H368</f>
        <v>LIPODIS-60</v>
      </c>
      <c r="I369" s="15" t="str">
        <f>'2026 Orders'!I368</f>
        <v>FD</v>
      </c>
      <c r="J369" s="14">
        <f>'2026 Orders'!J368</f>
        <v>800</v>
      </c>
      <c r="K369">
        <v>0</v>
      </c>
      <c r="L369">
        <v>0</v>
      </c>
      <c r="N369" s="10" t="str">
        <f>'2026 Orders'!N368</f>
        <v>Rework</v>
      </c>
      <c r="O369">
        <v>0</v>
      </c>
      <c r="P369" t="s">
        <v>1077</v>
      </c>
      <c r="Q369">
        <v>609788968344</v>
      </c>
      <c r="R369">
        <v>9524</v>
      </c>
      <c r="S369">
        <v>5109</v>
      </c>
      <c r="T369">
        <v>46286</v>
      </c>
      <c r="U369" t="s">
        <v>1089</v>
      </c>
      <c r="V369">
        <v>0</v>
      </c>
      <c r="W369">
        <v>0</v>
      </c>
      <c r="X369">
        <v>0</v>
      </c>
      <c r="Y369">
        <v>0</v>
      </c>
      <c r="Z369" t="s">
        <v>1086</v>
      </c>
      <c r="AC369" t="str">
        <f>IF(OR(B369="",B369=0),"",$AJ$2&amp;"/"&amp;J369)</f>
        <v>/800</v>
      </c>
      <c r="AD369" t="e">
        <f t="shared" si="5"/>
        <v>#VALUE!</v>
      </c>
    </row>
    <row r="370" spans="2:30" ht="33" hidden="1" customHeight="1" x14ac:dyDescent="0.3">
      <c r="B370" s="14" t="str">
        <f>'2026 Orders'!B369</f>
        <v>Libya</v>
      </c>
      <c r="C370" s="14" t="str">
        <f>'2026 Orders'!C369</f>
        <v>A4692</v>
      </c>
      <c r="D370" s="14" t="s">
        <v>1335</v>
      </c>
      <c r="E370" s="17" t="str" cm="1">
        <f t="array" ref="E370">IF(C370=0,"",
HYPERLINK(
"#'2026 Orders'!C"&amp;
MATCH(1,
('2026 Orders'!C:C=C370)*
('2026 Orders'!G:G=G370)*
('2026 Orders'!N:N=N370),
0),
"Open "&amp;C370
))</f>
        <v>Open A4692</v>
      </c>
      <c r="F370" s="14">
        <v>0</v>
      </c>
      <c r="G370" s="14" t="str">
        <f>'2026 Orders'!G369</f>
        <v>OSTEOPL-96-FD</v>
      </c>
      <c r="H370" s="14" t="str">
        <f>'2026 Orders'!H369</f>
        <v>OSTEOPL-96</v>
      </c>
      <c r="I370" s="15" t="str">
        <f>'2026 Orders'!I369</f>
        <v>FD</v>
      </c>
      <c r="J370" s="14">
        <f>'2026 Orders'!J369</f>
        <v>300</v>
      </c>
      <c r="K370">
        <v>0</v>
      </c>
      <c r="L370">
        <v>0</v>
      </c>
      <c r="N370" s="10" t="str">
        <f>'2026 Orders'!N369</f>
        <v>Rework</v>
      </c>
      <c r="O370">
        <v>0</v>
      </c>
      <c r="P370" t="s">
        <v>1077</v>
      </c>
      <c r="Q370">
        <v>609788968351</v>
      </c>
      <c r="R370">
        <v>7572</v>
      </c>
      <c r="S370">
        <v>5043</v>
      </c>
      <c r="T370">
        <v>46286</v>
      </c>
      <c r="U370" t="s">
        <v>1089</v>
      </c>
      <c r="V370">
        <v>0</v>
      </c>
      <c r="W370">
        <v>0</v>
      </c>
      <c r="X370">
        <v>0</v>
      </c>
      <c r="Y370">
        <v>0</v>
      </c>
      <c r="Z370">
        <v>0</v>
      </c>
      <c r="AC370" t="str">
        <f>IF(OR(B370="",B370=0),"",$AJ$2&amp;"/"&amp;J370)</f>
        <v>/300</v>
      </c>
      <c r="AD370" t="e">
        <f t="shared" si="5"/>
        <v>#VALUE!</v>
      </c>
    </row>
    <row r="371" spans="2:30" ht="33" hidden="1" customHeight="1" x14ac:dyDescent="0.3">
      <c r="B371" s="14" t="str">
        <f>'2026 Orders'!B370</f>
        <v>Libya</v>
      </c>
      <c r="C371" s="14" t="str">
        <f>'2026 Orders'!C370</f>
        <v>A4692</v>
      </c>
      <c r="D371" s="14">
        <v>0</v>
      </c>
      <c r="E371" s="17" t="str" cm="1">
        <f t="array" ref="E371">IF(C371=0,"",
HYPERLINK(
"#'2026 Orders'!C"&amp;
MATCH(1,
('2026 Orders'!C:C=C371)*
('2026 Orders'!G:G=G371)*
('2026 Orders'!N:N=N371),
0),
"Open "&amp;C371
))</f>
        <v>Open A4692</v>
      </c>
      <c r="F371" s="14">
        <v>0</v>
      </c>
      <c r="G371" s="14" t="str">
        <f>'2026 Orders'!G370</f>
        <v xml:space="preserve">UTIC-60-FD </v>
      </c>
      <c r="H371" s="14" t="str">
        <f>'2026 Orders'!H370</f>
        <v>UTIC-60</v>
      </c>
      <c r="I371" s="15" t="str">
        <f>'2026 Orders'!I370</f>
        <v xml:space="preserve">FD </v>
      </c>
      <c r="J371" s="14">
        <f>'2026 Orders'!J370</f>
        <v>500</v>
      </c>
      <c r="K371">
        <v>0</v>
      </c>
      <c r="L371">
        <v>0</v>
      </c>
      <c r="N371" s="10" t="str">
        <f>'2026 Orders'!N370</f>
        <v>Rework</v>
      </c>
      <c r="O371">
        <v>0</v>
      </c>
      <c r="P371" t="s">
        <v>1077</v>
      </c>
      <c r="Q371">
        <v>609788968375</v>
      </c>
      <c r="R371">
        <v>5000</v>
      </c>
      <c r="S371">
        <v>5060</v>
      </c>
      <c r="T371">
        <v>46231</v>
      </c>
      <c r="U371" t="s">
        <v>1199</v>
      </c>
      <c r="V371">
        <v>0</v>
      </c>
      <c r="W371">
        <v>0</v>
      </c>
      <c r="X371">
        <v>0</v>
      </c>
      <c r="Y371">
        <v>0</v>
      </c>
      <c r="Z371">
        <v>0</v>
      </c>
      <c r="AC371" t="str">
        <f>IF(OR(B371="",B371=0),"",$AJ$2&amp;"/"&amp;J371)</f>
        <v>/500</v>
      </c>
      <c r="AD371" t="e">
        <f t="shared" si="5"/>
        <v>#VALUE!</v>
      </c>
    </row>
    <row r="372" spans="2:30" ht="33" hidden="1" customHeight="1" x14ac:dyDescent="0.3">
      <c r="B372" s="14" t="str">
        <f>'2026 Orders'!B371</f>
        <v>Libya</v>
      </c>
      <c r="C372" s="14" t="str">
        <f>'2026 Orders'!C371</f>
        <v>A4692</v>
      </c>
      <c r="D372" s="14">
        <v>0</v>
      </c>
      <c r="E372" s="17" t="str" cm="1">
        <f t="array" ref="E372">IF(C372=0,"",
HYPERLINK(
"#'2026 Orders'!C"&amp;
MATCH(1,
('2026 Orders'!C:C=C372)*
('2026 Orders'!G:G=G372)*
('2026 Orders'!N:N=N372),
0),
"Open "&amp;C372
))</f>
        <v>Open A4692</v>
      </c>
      <c r="F372" s="14">
        <v>0</v>
      </c>
      <c r="G372" s="14" t="str">
        <f>'2026 Orders'!G371</f>
        <v>BRSTW-60-CS-LY</v>
      </c>
      <c r="H372" s="14" t="str">
        <f>'2026 Orders'!H371</f>
        <v>BRSTW-60</v>
      </c>
      <c r="I372" s="15" t="str">
        <f>'2026 Orders'!I371</f>
        <v>LY</v>
      </c>
      <c r="J372" s="14">
        <f>'2026 Orders'!J371</f>
        <v>500</v>
      </c>
      <c r="K372">
        <v>0</v>
      </c>
      <c r="L372">
        <v>0</v>
      </c>
      <c r="N372" s="10" t="str">
        <f>'2026 Orders'!N371</f>
        <v>Pending Picking</v>
      </c>
      <c r="O372">
        <v>0</v>
      </c>
      <c r="P372" t="s">
        <v>1077</v>
      </c>
      <c r="Q372">
        <v>609788968221</v>
      </c>
      <c r="R372">
        <v>7000</v>
      </c>
      <c r="S372">
        <v>5119</v>
      </c>
      <c r="T372" t="s">
        <v>1108</v>
      </c>
      <c r="U372" t="s">
        <v>1200</v>
      </c>
      <c r="V372">
        <v>0</v>
      </c>
      <c r="W372">
        <v>0</v>
      </c>
      <c r="X372">
        <v>0</v>
      </c>
      <c r="Y372">
        <v>0</v>
      </c>
      <c r="Z372">
        <v>0</v>
      </c>
      <c r="AC372" t="str">
        <f>IF(OR(B372="",B372=0),"",$AJ$2&amp;"/"&amp;J372)</f>
        <v>/500</v>
      </c>
      <c r="AD372" t="e">
        <f t="shared" si="5"/>
        <v>#VALUE!</v>
      </c>
    </row>
    <row r="373" spans="2:30" ht="33" hidden="1" customHeight="1" x14ac:dyDescent="0.3">
      <c r="B373" s="14">
        <f>'2026 Orders'!B372</f>
        <v>0</v>
      </c>
      <c r="C373" s="14">
        <f>'2026 Orders'!C372</f>
        <v>0</v>
      </c>
      <c r="D373" s="14">
        <v>0</v>
      </c>
      <c r="E373" s="17" t="str" cm="1">
        <f t="array" ref="E373">IF(C373=0,"",
HYPERLINK(
"#'2026 Orders'!C"&amp;
MATCH(1,
('2026 Orders'!C:C=C373)*
('2026 Orders'!G:G=G373)*
('2026 Orders'!N:N=N373),
0),
"Open "&amp;C373
))</f>
        <v/>
      </c>
      <c r="F373" s="14">
        <v>0</v>
      </c>
      <c r="G373" s="14">
        <f>'2026 Orders'!G372</f>
        <v>0</v>
      </c>
      <c r="H373" s="14">
        <f>'2026 Orders'!H372</f>
        <v>0</v>
      </c>
      <c r="I373" s="15" t="str">
        <f>'2026 Orders'!I372</f>
        <v/>
      </c>
      <c r="J373" s="14">
        <f>'2026 Orders'!J372</f>
        <v>0</v>
      </c>
      <c r="K373">
        <v>0</v>
      </c>
      <c r="L373">
        <v>0</v>
      </c>
      <c r="N373" s="10">
        <f>'2026 Orders'!N372</f>
        <v>0</v>
      </c>
      <c r="O373">
        <v>0</v>
      </c>
      <c r="P373" t="s">
        <v>1077</v>
      </c>
      <c r="Q373">
        <v>609788968399</v>
      </c>
      <c r="R373">
        <v>7419</v>
      </c>
      <c r="S373">
        <v>5107</v>
      </c>
      <c r="T373">
        <v>46286</v>
      </c>
      <c r="U373" t="s">
        <v>1089</v>
      </c>
      <c r="V373">
        <v>0</v>
      </c>
      <c r="W373">
        <v>0</v>
      </c>
      <c r="X373">
        <v>0</v>
      </c>
      <c r="Y373">
        <v>0</v>
      </c>
      <c r="Z373">
        <v>0</v>
      </c>
      <c r="AC373" t="str">
        <f>IF(OR(B373="",B373=0),"",$AJ$2&amp;"/"&amp;J373)</f>
        <v/>
      </c>
      <c r="AD373" t="str">
        <f t="shared" si="5"/>
        <v/>
      </c>
    </row>
    <row r="374" spans="2:30" ht="33" hidden="1" customHeight="1" x14ac:dyDescent="0.3">
      <c r="B374" s="14" t="str">
        <f>'2026 Orders'!B373</f>
        <v>Qatar</v>
      </c>
      <c r="C374" s="14" t="str">
        <f>'2026 Orders'!C373</f>
        <v>A4694</v>
      </c>
      <c r="D374" s="14">
        <v>0</v>
      </c>
      <c r="E374" s="17" t="str" cm="1">
        <f t="array" ref="E374">IF(C374=0,"",
HYPERLINK(
"#'2026 Orders'!C"&amp;
MATCH(1,
('2026 Orders'!C:C=C374)*
('2026 Orders'!G:G=G374)*
('2026 Orders'!N:N=N374),
0),
"Open "&amp;C374
))</f>
        <v>Open A4694</v>
      </c>
      <c r="F374" s="14" t="s">
        <v>1304</v>
      </c>
      <c r="G374" s="14" t="str">
        <f>'2026 Orders'!G373</f>
        <v>PEDIAD4-50-CS-QT</v>
      </c>
      <c r="H374" s="14" t="str">
        <f>'2026 Orders'!H373</f>
        <v>PEDIAD4-50</v>
      </c>
      <c r="I374" s="15" t="str">
        <f>'2026 Orders'!I373</f>
        <v>QT</v>
      </c>
      <c r="J374" s="14">
        <f>'2026 Orders'!J373</f>
        <v>2000</v>
      </c>
      <c r="K374">
        <v>0</v>
      </c>
      <c r="L374">
        <v>1572</v>
      </c>
      <c r="N374" s="10" t="str">
        <f>'2026 Orders'!N373</f>
        <v>PO submitted</v>
      </c>
      <c r="O374" t="s">
        <v>1201</v>
      </c>
      <c r="P374" t="s">
        <v>1085</v>
      </c>
      <c r="Q374" t="s">
        <v>1167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C374" t="str">
        <f>IF(OR(B374="",B374=0),"",$AJ$2&amp;"/"&amp;J374)</f>
        <v>/2000</v>
      </c>
      <c r="AD374" t="e">
        <f t="shared" si="5"/>
        <v>#VALUE!</v>
      </c>
    </row>
    <row r="375" spans="2:30" ht="33" hidden="1" customHeight="1" x14ac:dyDescent="0.3">
      <c r="B375" s="14">
        <f>'2026 Orders'!B374</f>
        <v>0</v>
      </c>
      <c r="C375" s="14">
        <f>'2026 Orders'!C374</f>
        <v>0</v>
      </c>
      <c r="D375" s="14">
        <v>0</v>
      </c>
      <c r="E375" s="17" t="str" cm="1">
        <f t="array" ref="E375">IF(C375=0,"",
HYPERLINK(
"#'2026 Orders'!C"&amp;
MATCH(1,
('2026 Orders'!C:C=C375)*
('2026 Orders'!G:G=G375)*
('2026 Orders'!N:N=N375),
0),
"Open "&amp;C375
))</f>
        <v/>
      </c>
      <c r="F375" s="14">
        <v>0</v>
      </c>
      <c r="G375" s="14">
        <f>'2026 Orders'!G374</f>
        <v>0</v>
      </c>
      <c r="H375" s="14">
        <f>'2026 Orders'!H374</f>
        <v>0</v>
      </c>
      <c r="I375" s="15" t="str">
        <f>'2026 Orders'!I374</f>
        <v/>
      </c>
      <c r="J375" s="14">
        <f>'2026 Orders'!J374</f>
        <v>0</v>
      </c>
      <c r="K375">
        <v>0</v>
      </c>
      <c r="L375">
        <v>1572</v>
      </c>
      <c r="N375" s="10">
        <f>'2026 Orders'!N374</f>
        <v>0</v>
      </c>
      <c r="O375">
        <v>0</v>
      </c>
      <c r="P375" t="s">
        <v>1085</v>
      </c>
      <c r="Q375">
        <v>604776736875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C375" t="str">
        <f>IF(OR(B375="",B375=0),"",$AJ$2&amp;"/"&amp;J375)</f>
        <v/>
      </c>
      <c r="AD375" t="str">
        <f t="shared" si="5"/>
        <v/>
      </c>
    </row>
    <row r="376" spans="2:30" ht="33" hidden="1" customHeight="1" x14ac:dyDescent="0.3">
      <c r="B376" s="14" t="str">
        <f>'2026 Orders'!B375</f>
        <v>Iraq</v>
      </c>
      <c r="C376" s="14" t="str">
        <f>'2026 Orders'!C375</f>
        <v>A4695</v>
      </c>
      <c r="D376" s="14">
        <v>0</v>
      </c>
      <c r="E376" s="17" t="str" cm="1">
        <f t="array" ref="E376">IF(C376=0,"",
HYPERLINK(
"#'2026 Orders'!C"&amp;
MATCH(1,
('2026 Orders'!C:C=C376)*
('2026 Orders'!G:G=G376)*
('2026 Orders'!N:N=N376),
0),
"Open "&amp;C376
))</f>
        <v>Open A4695</v>
      </c>
      <c r="F376" s="14">
        <v>0</v>
      </c>
      <c r="G376" s="14" t="str">
        <f>'2026 Orders'!G375</f>
        <v>MFSPLS-120-RE</v>
      </c>
      <c r="H376" s="14" t="str">
        <f>'2026 Orders'!H375</f>
        <v>MFSPLS-120</v>
      </c>
      <c r="I376" s="15" t="str">
        <f>'2026 Orders'!I375</f>
        <v>RE</v>
      </c>
      <c r="J376" s="14">
        <f>'2026 Orders'!J375</f>
        <v>5</v>
      </c>
      <c r="K376">
        <v>0</v>
      </c>
      <c r="L376">
        <v>0</v>
      </c>
      <c r="N376" s="10" t="str">
        <f>'2026 Orders'!N375</f>
        <v>D/W Sent</v>
      </c>
      <c r="O376">
        <v>0</v>
      </c>
      <c r="P376" t="s">
        <v>1077</v>
      </c>
      <c r="Q376">
        <v>609788968467</v>
      </c>
      <c r="R376">
        <v>5000</v>
      </c>
      <c r="S376">
        <v>5118</v>
      </c>
      <c r="T376">
        <v>46286</v>
      </c>
      <c r="U376" t="s">
        <v>1089</v>
      </c>
      <c r="V376">
        <v>0</v>
      </c>
      <c r="W376">
        <v>0</v>
      </c>
      <c r="X376">
        <v>0</v>
      </c>
      <c r="Y376">
        <v>0</v>
      </c>
      <c r="Z376">
        <v>0</v>
      </c>
      <c r="AC376" t="str">
        <f>IF(OR(B376="",B376=0),"",$AJ$2&amp;"/"&amp;J376)</f>
        <v>/5</v>
      </c>
      <c r="AD376" t="e">
        <f t="shared" si="5"/>
        <v>#VALUE!</v>
      </c>
    </row>
    <row r="377" spans="2:30" ht="33" hidden="1" customHeight="1" x14ac:dyDescent="0.3">
      <c r="B377" s="14" t="str">
        <f>'2026 Orders'!B376</f>
        <v>Iraq</v>
      </c>
      <c r="C377" s="14" t="str">
        <f>'2026 Orders'!C376</f>
        <v>A4695</v>
      </c>
      <c r="D377" s="14">
        <v>0</v>
      </c>
      <c r="E377" s="17" t="str" cm="1">
        <f t="array" ref="E377">IF(C377=0,"",
HYPERLINK(
"#'2026 Orders'!C"&amp;
MATCH(1,
('2026 Orders'!C:C=C377)*
('2026 Orders'!G:G=G377)*
('2026 Orders'!N:N=N377),
0),
"Open "&amp;C377
))</f>
        <v>Open A4695</v>
      </c>
      <c r="F377" s="14">
        <v>0</v>
      </c>
      <c r="G377" s="14" t="str">
        <f>'2026 Orders'!G376</f>
        <v>MFSPLS-60-RE</v>
      </c>
      <c r="H377" s="14" t="str">
        <f>'2026 Orders'!H376</f>
        <v>MFSPLS-60</v>
      </c>
      <c r="I377" s="15" t="str">
        <f>'2026 Orders'!I376</f>
        <v>RE</v>
      </c>
      <c r="J377" s="14">
        <f>'2026 Orders'!J376</f>
        <v>3</v>
      </c>
      <c r="K377">
        <v>0</v>
      </c>
      <c r="L377">
        <v>0</v>
      </c>
      <c r="N377" s="10" t="str">
        <f>'2026 Orders'!N376</f>
        <v>D/W Sent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C377" t="str">
        <f>IF(OR(B377="",B377=0),"",$AJ$2&amp;"/"&amp;J377)</f>
        <v>/3</v>
      </c>
      <c r="AD377" t="e">
        <f t="shared" si="5"/>
        <v>#VALUE!</v>
      </c>
    </row>
    <row r="378" spans="2:30" ht="33" hidden="1" customHeight="1" x14ac:dyDescent="0.3">
      <c r="B378" s="14">
        <f>'2026 Orders'!B377</f>
        <v>0</v>
      </c>
      <c r="C378" s="14">
        <f>'2026 Orders'!C377</f>
        <v>0</v>
      </c>
      <c r="D378" s="14" t="s">
        <v>1336</v>
      </c>
      <c r="E378" s="17" t="str" cm="1">
        <f t="array" ref="E378">IF(C378=0,"",
HYPERLINK(
"#'2026 Orders'!C"&amp;
MATCH(1,
('2026 Orders'!C:C=C378)*
('2026 Orders'!G:G=G378)*
('2026 Orders'!N:N=N378),
0),
"Open "&amp;C378
))</f>
        <v/>
      </c>
      <c r="F378" s="14">
        <v>0</v>
      </c>
      <c r="G378" s="14">
        <f>'2026 Orders'!G377</f>
        <v>0</v>
      </c>
      <c r="H378" s="14">
        <f>'2026 Orders'!H377</f>
        <v>0</v>
      </c>
      <c r="I378" s="15" t="str">
        <f>'2026 Orders'!I377</f>
        <v/>
      </c>
      <c r="J378" s="14">
        <f>'2026 Orders'!J377</f>
        <v>0</v>
      </c>
      <c r="K378">
        <v>0</v>
      </c>
      <c r="L378">
        <v>168</v>
      </c>
      <c r="N378" s="10">
        <f>'2026 Orders'!N377</f>
        <v>0</v>
      </c>
      <c r="O378" t="s">
        <v>1202</v>
      </c>
      <c r="P378" t="s">
        <v>1077</v>
      </c>
      <c r="Q378">
        <v>810131199586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t="s">
        <v>1086</v>
      </c>
      <c r="AC378" t="str">
        <f>IF(OR(B378="",B378=0),"",$AJ$2&amp;"/"&amp;J378)</f>
        <v/>
      </c>
      <c r="AD378" t="str">
        <f t="shared" si="5"/>
        <v/>
      </c>
    </row>
    <row r="379" spans="2:30" ht="33" hidden="1" customHeight="1" x14ac:dyDescent="0.3">
      <c r="B379" s="14" t="str">
        <f>'2026 Orders'!B378</f>
        <v>Sudan</v>
      </c>
      <c r="C379" s="14" t="str">
        <f>'2026 Orders'!C378</f>
        <v>A4697</v>
      </c>
      <c r="D379" s="14" t="s">
        <v>1337</v>
      </c>
      <c r="E379" s="17" t="str" cm="1">
        <f t="array" ref="E379">IF(C379=0,"",
HYPERLINK(
"#'2026 Orders'!C"&amp;
MATCH(1,
('2026 Orders'!C:C=C379)*
('2026 Orders'!G:G=G379)*
('2026 Orders'!N:N=N379),
0),
"Open "&amp;C379
))</f>
        <v>Open A4697</v>
      </c>
      <c r="F379" s="14" t="s">
        <v>1305</v>
      </c>
      <c r="G379" s="14" t="str">
        <f>'2026 Orders'!G378</f>
        <v>MFSPLS-120-RE</v>
      </c>
      <c r="H379" s="14" t="str">
        <f>'2026 Orders'!H378</f>
        <v>MFSPLS-120</v>
      </c>
      <c r="I379" s="15" t="str">
        <f>'2026 Orders'!I378</f>
        <v>RE</v>
      </c>
      <c r="J379" s="14">
        <f>'2026 Orders'!J378</f>
        <v>3245</v>
      </c>
      <c r="K379">
        <v>0</v>
      </c>
      <c r="L379">
        <v>72</v>
      </c>
      <c r="N379" s="10" t="str">
        <f>'2026 Orders'!N378</f>
        <v>In Production</v>
      </c>
      <c r="O379">
        <v>0</v>
      </c>
      <c r="P379" t="s">
        <v>1077</v>
      </c>
      <c r="Q379">
        <v>609788968351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C379" t="str">
        <f>IF(OR(B379="",B379=0),"",$AJ$2&amp;"/"&amp;J379)</f>
        <v>/3245</v>
      </c>
      <c r="AD379" t="e">
        <f t="shared" si="5"/>
        <v>#VALUE!</v>
      </c>
    </row>
    <row r="380" spans="2:30" ht="33" hidden="1" customHeight="1" x14ac:dyDescent="0.3">
      <c r="B380" s="14" t="str">
        <f>'2026 Orders'!B379</f>
        <v>Sudan</v>
      </c>
      <c r="C380" s="14" t="str">
        <f>'2026 Orders'!C379</f>
        <v>A4697</v>
      </c>
      <c r="D380" s="14">
        <v>0</v>
      </c>
      <c r="E380" s="17" t="str" cm="1">
        <f t="array" ref="E380">IF(C380=0,"",
HYPERLINK(
"#'2026 Orders'!C"&amp;
MATCH(1,
('2026 Orders'!C:C=C380)*
('2026 Orders'!G:G=G380)*
('2026 Orders'!N:N=N380),
0),
"Open "&amp;C380
))</f>
        <v>Open A4697</v>
      </c>
      <c r="F380" s="14" t="s">
        <v>1306</v>
      </c>
      <c r="G380" s="14" t="str">
        <f>'2026 Orders'!G379</f>
        <v>WFSPLS-180-RE</v>
      </c>
      <c r="H380" s="14" t="str">
        <f>'2026 Orders'!H379</f>
        <v>WFSPLS-180</v>
      </c>
      <c r="I380" s="15" t="str">
        <f>'2026 Orders'!I379</f>
        <v>RE</v>
      </c>
      <c r="J380" s="14">
        <f>'2026 Orders'!J379</f>
        <v>1248</v>
      </c>
      <c r="K380">
        <v>0</v>
      </c>
      <c r="L380">
        <v>120</v>
      </c>
      <c r="N380" s="10" t="str">
        <f>'2026 Orders'!N379</f>
        <v>PO Drafted</v>
      </c>
      <c r="O380">
        <v>0</v>
      </c>
      <c r="P380" t="s">
        <v>1077</v>
      </c>
      <c r="Q380">
        <v>609788968344</v>
      </c>
      <c r="R380">
        <v>9524</v>
      </c>
      <c r="S380">
        <v>5109</v>
      </c>
      <c r="T380" t="s">
        <v>1108</v>
      </c>
      <c r="U380" t="s">
        <v>1182</v>
      </c>
      <c r="V380">
        <v>0</v>
      </c>
      <c r="W380">
        <v>0</v>
      </c>
      <c r="X380">
        <v>0</v>
      </c>
      <c r="Y380">
        <v>0</v>
      </c>
      <c r="Z380">
        <v>0</v>
      </c>
      <c r="AC380" t="str">
        <f>IF(OR(B380="",B380=0),"",$AJ$2&amp;"/"&amp;J380)</f>
        <v>/1248</v>
      </c>
      <c r="AD380" t="e">
        <f t="shared" si="5"/>
        <v>#VALUE!</v>
      </c>
    </row>
    <row r="381" spans="2:30" ht="33" hidden="1" customHeight="1" x14ac:dyDescent="0.3">
      <c r="B381" s="14" t="str">
        <f>'2026 Orders'!B380</f>
        <v>Sudan</v>
      </c>
      <c r="C381" s="14" t="str">
        <f>'2026 Orders'!C380</f>
        <v>A4697</v>
      </c>
      <c r="D381" s="14">
        <v>0</v>
      </c>
      <c r="E381" s="17" t="str" cm="1">
        <f t="array" ref="E381">IF(C381=0,"",
HYPERLINK(
"#'2026 Orders'!C"&amp;
MATCH(1,
('2026 Orders'!C:C=C381)*
('2026 Orders'!G:G=G381)*
('2026 Orders'!N:N=N381),
0),
"Open "&amp;C381
))</f>
        <v>Open A4697</v>
      </c>
      <c r="F381" s="14" t="s">
        <v>1307</v>
      </c>
      <c r="G381" s="14" t="str">
        <f>'2026 Orders'!G380</f>
        <v>PRECON-180-RE</v>
      </c>
      <c r="H381" s="14" t="str">
        <f>'2026 Orders'!H380</f>
        <v>PRECON-180</v>
      </c>
      <c r="I381" s="15" t="str">
        <f>'2026 Orders'!I380</f>
        <v>RE</v>
      </c>
      <c r="J381" s="14">
        <f>'2026 Orders'!J380</f>
        <v>998</v>
      </c>
      <c r="K381">
        <v>0</v>
      </c>
      <c r="L381">
        <v>72</v>
      </c>
      <c r="N381" s="10" t="str">
        <f>'2026 Orders'!N380</f>
        <v>In Production</v>
      </c>
      <c r="O381">
        <v>0</v>
      </c>
      <c r="P381" t="s">
        <v>1077</v>
      </c>
      <c r="Q381">
        <v>609788968368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C381" t="str">
        <f>IF(OR(B381="",B381=0),"",$AJ$2&amp;"/"&amp;J381)</f>
        <v>/998</v>
      </c>
      <c r="AD381" t="e">
        <f t="shared" si="5"/>
        <v>#VALUE!</v>
      </c>
    </row>
    <row r="382" spans="2:30" ht="33" hidden="1" customHeight="1" x14ac:dyDescent="0.3">
      <c r="B382" s="14" t="str">
        <f>'2026 Orders'!B381</f>
        <v>Sudan</v>
      </c>
      <c r="C382" s="14" t="str">
        <f>'2026 Orders'!C381</f>
        <v>A4697</v>
      </c>
      <c r="D382" s="14">
        <v>0</v>
      </c>
      <c r="E382" s="17" t="str" cm="1">
        <f t="array" ref="E382">IF(C382=0,"",
HYPERLINK(
"#'2026 Orders'!C"&amp;
MATCH(1,
('2026 Orders'!C:C=C382)*
('2026 Orders'!G:G=G382)*
('2026 Orders'!N:N=N382),
0),
"Open "&amp;C382
))</f>
        <v>Open A4697</v>
      </c>
      <c r="F382" s="14">
        <v>0</v>
      </c>
      <c r="G382" s="14" t="str">
        <f>'2026 Orders'!G381</f>
        <v>OSTEOPL-96-FD</v>
      </c>
      <c r="H382" s="14" t="str">
        <f>'2026 Orders'!H381</f>
        <v>OSTEOPL-96</v>
      </c>
      <c r="I382" s="15" t="str">
        <f>'2026 Orders'!I381</f>
        <v>FD</v>
      </c>
      <c r="J382" s="14">
        <f>'2026 Orders'!J381</f>
        <v>998</v>
      </c>
      <c r="K382">
        <v>0</v>
      </c>
      <c r="L382">
        <v>48</v>
      </c>
      <c r="N382" s="10" t="str">
        <f>'2026 Orders'!N381</f>
        <v>Rework</v>
      </c>
      <c r="O382">
        <v>0</v>
      </c>
      <c r="P382" t="s">
        <v>1077</v>
      </c>
      <c r="Q382">
        <v>609788968221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C382" t="str">
        <f>IF(OR(B382="",B382=0),"",$AJ$2&amp;"/"&amp;J382)</f>
        <v>/998</v>
      </c>
      <c r="AD382" t="e">
        <f t="shared" si="5"/>
        <v>#VALUE!</v>
      </c>
    </row>
    <row r="383" spans="2:30" ht="33" hidden="1" customHeight="1" x14ac:dyDescent="0.3">
      <c r="B383" s="14" t="str">
        <f>'2026 Orders'!B382</f>
        <v>Sudan</v>
      </c>
      <c r="C383" s="14" t="str">
        <f>'2026 Orders'!C382</f>
        <v>A4697</v>
      </c>
      <c r="D383" s="14">
        <v>0</v>
      </c>
      <c r="E383" s="17" t="str" cm="1">
        <f t="array" ref="E383">IF(C383=0,"",
HYPERLINK(
"#'2026 Orders'!C"&amp;
MATCH(1,
('2026 Orders'!C:C=C383)*
('2026 Orders'!G:G=G383)*
('2026 Orders'!N:N=N383),
0),
"Open "&amp;C383
))</f>
        <v>Open A4697</v>
      </c>
      <c r="F383" s="14">
        <v>0</v>
      </c>
      <c r="G383" s="14" t="str">
        <f>'2026 Orders'!G382</f>
        <v>DHEA50-60-FD</v>
      </c>
      <c r="H383" s="14" t="str">
        <f>'2026 Orders'!H382</f>
        <v>DHEA50-60</v>
      </c>
      <c r="I383" s="15" t="str">
        <f>'2026 Orders'!I382</f>
        <v>FD</v>
      </c>
      <c r="J383" s="14">
        <f>'2026 Orders'!J382</f>
        <v>3245</v>
      </c>
      <c r="K383">
        <v>0</v>
      </c>
      <c r="L383">
        <v>48</v>
      </c>
      <c r="N383" s="10" t="str">
        <f>'2026 Orders'!N382</f>
        <v>In Production</v>
      </c>
      <c r="O383">
        <v>0</v>
      </c>
      <c r="P383" t="s">
        <v>1077</v>
      </c>
      <c r="Q383" t="s">
        <v>1203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C383" t="str">
        <f>IF(OR(B383="",B383=0),"",$AJ$2&amp;"/"&amp;J383)</f>
        <v>/3245</v>
      </c>
      <c r="AD383" t="e">
        <f t="shared" si="5"/>
        <v>#VALUE!</v>
      </c>
    </row>
    <row r="384" spans="2:30" ht="33" hidden="1" customHeight="1" x14ac:dyDescent="0.3">
      <c r="B384" s="14" t="str">
        <f>'2026 Orders'!B383</f>
        <v>Sudan</v>
      </c>
      <c r="C384" s="14" t="str">
        <f>'2026 Orders'!C383</f>
        <v>A4697</v>
      </c>
      <c r="D384" s="14">
        <v>0</v>
      </c>
      <c r="E384" s="17" t="str" cm="1">
        <f t="array" ref="E384">IF(C384=0,"",
HYPERLINK(
"#'2026 Orders'!C"&amp;
MATCH(1,
('2026 Orders'!C:C=C384)*
('2026 Orders'!G:G=G384)*
('2026 Orders'!N:N=N384),
0),
"Open "&amp;C384
))</f>
        <v>Open A4697</v>
      </c>
      <c r="F384" s="14">
        <v>0</v>
      </c>
      <c r="G384" s="14" t="str">
        <f>'2026 Orders'!G383</f>
        <v>COQ400-30-VE-CS-SU</v>
      </c>
      <c r="H384" s="14" t="str">
        <f>'2026 Orders'!H383</f>
        <v>COQ400-30</v>
      </c>
      <c r="I384" s="15" t="str">
        <f>'2026 Orders'!I383</f>
        <v>SU</v>
      </c>
      <c r="J384" s="14">
        <f>'2026 Orders'!J383</f>
        <v>2246</v>
      </c>
      <c r="K384">
        <v>0</v>
      </c>
      <c r="L384">
        <v>24</v>
      </c>
      <c r="N384" s="10" t="str">
        <f>'2026 Orders'!N383</f>
        <v>Transit to Warehouse</v>
      </c>
      <c r="O384">
        <v>0</v>
      </c>
      <c r="P384" t="s">
        <v>1077</v>
      </c>
      <c r="Q384">
        <v>609788968481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C384" t="str">
        <f>IF(OR(B384="",B384=0),"",$AJ$2&amp;"/"&amp;J384)</f>
        <v>/2246</v>
      </c>
      <c r="AD384" t="e">
        <f t="shared" si="5"/>
        <v>#VALUE!</v>
      </c>
    </row>
    <row r="385" spans="2:30" ht="33" hidden="1" customHeight="1" x14ac:dyDescent="0.3">
      <c r="B385" s="14" t="str">
        <f>'2026 Orders'!B384</f>
        <v>Sudan</v>
      </c>
      <c r="C385" s="14" t="str">
        <f>'2026 Orders'!C384</f>
        <v>A4697</v>
      </c>
      <c r="D385" s="14">
        <v>0</v>
      </c>
      <c r="E385" s="17" t="str" cm="1">
        <f t="array" ref="E385">IF(C385=0,"",
HYPERLINK(
"#'2026 Orders'!C"&amp;
MATCH(1,
('2026 Orders'!C:C=C385)*
('2026 Orders'!G:G=G385)*
('2026 Orders'!N:N=N385),
0),
"Open "&amp;C385
))</f>
        <v>Open A4697</v>
      </c>
      <c r="F385" s="14" t="s">
        <v>1308</v>
      </c>
      <c r="G385" s="14" t="str">
        <f>'2026 Orders'!G384</f>
        <v>OVAMAX-120-RE</v>
      </c>
      <c r="H385" s="14" t="str">
        <f>'2026 Orders'!H384</f>
        <v>OVAMAX-120</v>
      </c>
      <c r="I385" s="15" t="str">
        <f>'2026 Orders'!I384</f>
        <v>RE</v>
      </c>
      <c r="J385" s="14">
        <f>'2026 Orders'!J384</f>
        <v>1758</v>
      </c>
      <c r="K385">
        <v>0</v>
      </c>
      <c r="L385">
        <v>24</v>
      </c>
      <c r="N385" s="10" t="str">
        <f>'2026 Orders'!N384</f>
        <v>In Production</v>
      </c>
      <c r="O385">
        <v>0</v>
      </c>
      <c r="P385" t="s">
        <v>1077</v>
      </c>
      <c r="Q385">
        <v>609788968405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C385" t="str">
        <f>IF(OR(B385="",B385=0),"",$AJ$2&amp;"/"&amp;J385)</f>
        <v>/1758</v>
      </c>
      <c r="AD385" t="e">
        <f t="shared" si="5"/>
        <v>#VALUE!</v>
      </c>
    </row>
    <row r="386" spans="2:30" ht="33" hidden="1" customHeight="1" x14ac:dyDescent="0.3">
      <c r="B386" s="14">
        <f>'2026 Orders'!B385</f>
        <v>0</v>
      </c>
      <c r="C386" s="14">
        <f>'2026 Orders'!C385</f>
        <v>0</v>
      </c>
      <c r="D386" s="14">
        <v>0</v>
      </c>
      <c r="E386" s="17" t="str" cm="1">
        <f t="array" ref="E386">IF(C386=0,"",
HYPERLINK(
"#'2026 Orders'!C"&amp;
MATCH(1,
('2026 Orders'!C:C=C386)*
('2026 Orders'!G:G=G386)*
('2026 Orders'!N:N=N386),
0),
"Open "&amp;C386
))</f>
        <v/>
      </c>
      <c r="F386" s="14" t="s">
        <v>1309</v>
      </c>
      <c r="G386" s="14">
        <f>'2026 Orders'!G385</f>
        <v>0</v>
      </c>
      <c r="H386" s="14">
        <f>'2026 Orders'!H385</f>
        <v>0</v>
      </c>
      <c r="I386" s="15" t="str">
        <f>'2026 Orders'!I385</f>
        <v/>
      </c>
      <c r="J386" s="14">
        <f>'2026 Orders'!J385</f>
        <v>0</v>
      </c>
      <c r="K386">
        <v>0</v>
      </c>
      <c r="L386">
        <v>34</v>
      </c>
      <c r="N386" s="10">
        <f>'2026 Orders'!N385</f>
        <v>0</v>
      </c>
      <c r="O386">
        <v>0</v>
      </c>
      <c r="P386" t="s">
        <v>1077</v>
      </c>
      <c r="Q386">
        <v>609788968191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C386" t="str">
        <f>IF(OR(B386="",B386=0),"",$AJ$2&amp;"/"&amp;J386)</f>
        <v/>
      </c>
      <c r="AD386" t="str">
        <f t="shared" si="5"/>
        <v/>
      </c>
    </row>
    <row r="387" spans="2:30" ht="33" hidden="1" customHeight="1" x14ac:dyDescent="0.3">
      <c r="B387" s="14" t="str">
        <f>'2026 Orders'!B386</f>
        <v>Kenya</v>
      </c>
      <c r="C387" s="14" t="str">
        <f>'2026 Orders'!C386</f>
        <v>A4699</v>
      </c>
      <c r="D387" s="14">
        <v>0</v>
      </c>
      <c r="E387" s="17" t="str" cm="1">
        <f t="array" ref="E387">IF(C387=0,"",
HYPERLINK(
"#'2026 Orders'!C"&amp;
MATCH(1,
('2026 Orders'!C:C=C387)*
('2026 Orders'!G:G=G387)*
('2026 Orders'!N:N=N387),
0),
"Open "&amp;C387
))</f>
        <v>Open A4699</v>
      </c>
      <c r="F387" s="14">
        <v>0</v>
      </c>
      <c r="G387" s="14" t="str">
        <f>'2026 Orders'!G386</f>
        <v>FERTMX-90-RE</v>
      </c>
      <c r="H387" s="14" t="str">
        <f>'2026 Orders'!H386</f>
        <v>FERTMX-90</v>
      </c>
      <c r="I387" s="15" t="str">
        <f>'2026 Orders'!I386</f>
        <v>RE</v>
      </c>
      <c r="J387" s="14">
        <f>'2026 Orders'!J386</f>
        <v>488</v>
      </c>
      <c r="K387">
        <v>0</v>
      </c>
      <c r="L387">
        <v>14</v>
      </c>
      <c r="N387" s="10" t="str">
        <f>'2026 Orders'!N386</f>
        <v>D/W Sent</v>
      </c>
      <c r="O387">
        <v>0</v>
      </c>
      <c r="P387" t="s">
        <v>1077</v>
      </c>
      <c r="Q387">
        <v>609788968191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C387" t="str">
        <f>IF(OR(B387="",B387=0),"",$AJ$2&amp;"/"&amp;J387)</f>
        <v>/488</v>
      </c>
      <c r="AD387" t="e">
        <f t="shared" ref="AD387:AD450" si="6">IF(OR(J387="",J387=0),"",$AK$2&amp;" -&gt; "&amp;I387)</f>
        <v>#VALUE!</v>
      </c>
    </row>
    <row r="388" spans="2:30" ht="33" hidden="1" customHeight="1" x14ac:dyDescent="0.3">
      <c r="B388" s="14">
        <f>'2026 Orders'!B387</f>
        <v>0</v>
      </c>
      <c r="C388" s="14">
        <f>'2026 Orders'!C387</f>
        <v>0</v>
      </c>
      <c r="D388" s="14">
        <v>0</v>
      </c>
      <c r="E388" s="17" t="str" cm="1">
        <f t="array" ref="E388">IF(C388=0,"",
HYPERLINK(
"#'2026 Orders'!C"&amp;
MATCH(1,
('2026 Orders'!C:C=C388)*
('2026 Orders'!G:G=G388)*
('2026 Orders'!N:N=N388),
0),
"Open "&amp;C388
))</f>
        <v/>
      </c>
      <c r="F388" s="14" t="s">
        <v>1310</v>
      </c>
      <c r="G388" s="14">
        <f>'2026 Orders'!G387</f>
        <v>0</v>
      </c>
      <c r="H388" s="14">
        <f>'2026 Orders'!H387</f>
        <v>0</v>
      </c>
      <c r="I388" s="15" t="str">
        <f>'2026 Orders'!I387</f>
        <v/>
      </c>
      <c r="J388" s="14">
        <f>'2026 Orders'!J387</f>
        <v>0</v>
      </c>
      <c r="K388">
        <v>0</v>
      </c>
      <c r="L388">
        <v>72</v>
      </c>
      <c r="N388" s="10">
        <f>'2026 Orders'!N387</f>
        <v>0</v>
      </c>
      <c r="O388">
        <v>0</v>
      </c>
      <c r="P388" t="s">
        <v>1077</v>
      </c>
      <c r="Q388" t="s">
        <v>1093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C388" t="str">
        <f>IF(OR(B388="",B388=0),"",$AJ$2&amp;"/"&amp;J388)</f>
        <v/>
      </c>
      <c r="AD388" t="str">
        <f t="shared" si="6"/>
        <v/>
      </c>
    </row>
    <row r="389" spans="2:30" ht="33" hidden="1" customHeight="1" x14ac:dyDescent="0.3">
      <c r="B389" s="14" t="str">
        <f>'2026 Orders'!B388</f>
        <v>Kenya</v>
      </c>
      <c r="C389" s="14" t="str">
        <f>'2026 Orders'!C388</f>
        <v>A4700</v>
      </c>
      <c r="D389" s="14">
        <v>0</v>
      </c>
      <c r="E389" s="17" t="str" cm="1">
        <f t="array" ref="E389">IF(C389=0,"",
HYPERLINK(
"#'2026 Orders'!C"&amp;
MATCH(1,
('2026 Orders'!C:C=C389)*
('2026 Orders'!G:G=G389)*
('2026 Orders'!N:N=N389),
0),
"Open "&amp;C389
))</f>
        <v>Open A4700</v>
      </c>
      <c r="F389" s="14">
        <v>0</v>
      </c>
      <c r="G389" s="14" t="str">
        <f>'2026 Orders'!G388</f>
        <v>FIBRO-60-FD</v>
      </c>
      <c r="H389" s="14" t="str">
        <f>'2026 Orders'!H388</f>
        <v>FIBRO-60</v>
      </c>
      <c r="I389" s="15" t="str">
        <f>'2026 Orders'!I388</f>
        <v>FD</v>
      </c>
      <c r="J389" s="14">
        <f>'2026 Orders'!J388</f>
        <v>168</v>
      </c>
      <c r="K389">
        <v>0</v>
      </c>
      <c r="L389">
        <v>0</v>
      </c>
      <c r="N389" s="10" t="str">
        <f>'2026 Orders'!N388</f>
        <v>Rework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C389" t="str">
        <f>IF(OR(B389="",B389=0),"",$AJ$2&amp;"/"&amp;J389)</f>
        <v>/168</v>
      </c>
      <c r="AD389" t="e">
        <f t="shared" si="6"/>
        <v>#VALUE!</v>
      </c>
    </row>
    <row r="390" spans="2:30" ht="33" hidden="1" customHeight="1" x14ac:dyDescent="0.3">
      <c r="B390" s="14" t="str">
        <f>'2026 Orders'!B389</f>
        <v>Kenya</v>
      </c>
      <c r="C390" s="14" t="str">
        <f>'2026 Orders'!C389</f>
        <v>A4700</v>
      </c>
      <c r="D390" s="14" t="s">
        <v>1338</v>
      </c>
      <c r="E390" s="17" t="str" cm="1">
        <f t="array" ref="E390">IF(C390=0,"",
HYPERLINK(
"#'2026 Orders'!C"&amp;
MATCH(1,
('2026 Orders'!C:C=C390)*
('2026 Orders'!G:G=G390)*
('2026 Orders'!N:N=N390),
0),
"Open "&amp;C390
))</f>
        <v>Open A4700</v>
      </c>
      <c r="F390" s="14">
        <v>0</v>
      </c>
      <c r="G390" s="14" t="str">
        <f>'2026 Orders'!G389</f>
        <v>WFSPLS-180-FD</v>
      </c>
      <c r="H390" s="14" t="str">
        <f>'2026 Orders'!H389</f>
        <v>WFSPLS-180</v>
      </c>
      <c r="I390" s="15" t="str">
        <f>'2026 Orders'!I389</f>
        <v>FD</v>
      </c>
      <c r="J390" s="14">
        <f>'2026 Orders'!J389</f>
        <v>120</v>
      </c>
      <c r="K390">
        <v>26</v>
      </c>
      <c r="L390">
        <v>120</v>
      </c>
      <c r="N390" s="10" t="str">
        <f>'2026 Orders'!N389</f>
        <v>PO Drafted</v>
      </c>
      <c r="O390">
        <v>0</v>
      </c>
      <c r="P390" t="s">
        <v>1077</v>
      </c>
      <c r="Q390">
        <v>810131195175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 t="s">
        <v>1086</v>
      </c>
      <c r="AC390" t="str">
        <f>IF(OR(B390="",B390=0),"",$AJ$2&amp;"/"&amp;J390)</f>
        <v>/120</v>
      </c>
      <c r="AD390" t="e">
        <f t="shared" si="6"/>
        <v>#VALUE!</v>
      </c>
    </row>
    <row r="391" spans="2:30" ht="33" hidden="1" customHeight="1" x14ac:dyDescent="0.3">
      <c r="B391" s="14" t="str">
        <f>'2026 Orders'!B390</f>
        <v>Kenya</v>
      </c>
      <c r="C391" s="14" t="str">
        <f>'2026 Orders'!C390</f>
        <v>A4700</v>
      </c>
      <c r="D391" s="14" t="s">
        <v>1339</v>
      </c>
      <c r="E391" s="17" t="str" cm="1">
        <f t="array" ref="E391">IF(C391=0,"",
HYPERLINK(
"#'2026 Orders'!C"&amp;
MATCH(1,
('2026 Orders'!C:C=C391)*
('2026 Orders'!G:G=G391)*
('2026 Orders'!N:N=N391),
0),
"Open "&amp;C391
))</f>
        <v>Open A4700</v>
      </c>
      <c r="F391" s="14">
        <v>0</v>
      </c>
      <c r="G391" s="14" t="str">
        <f>'2026 Orders'!G390</f>
        <v>SPERMCT-60-FD</v>
      </c>
      <c r="H391" s="14" t="str">
        <f>'2026 Orders'!H390</f>
        <v>SPERMCT-60</v>
      </c>
      <c r="I391" s="15" t="str">
        <f>'2026 Orders'!I390</f>
        <v>FD</v>
      </c>
      <c r="J391" s="14">
        <f>'2026 Orders'!J390</f>
        <v>24</v>
      </c>
      <c r="K391">
        <v>26</v>
      </c>
      <c r="L391">
        <v>120</v>
      </c>
      <c r="N391" s="10" t="str">
        <f>'2026 Orders'!N390</f>
        <v>Rework</v>
      </c>
      <c r="O391">
        <v>0</v>
      </c>
      <c r="P391" t="s">
        <v>1077</v>
      </c>
      <c r="Q391">
        <v>810131195229</v>
      </c>
      <c r="R391">
        <v>0</v>
      </c>
      <c r="S391">
        <v>4974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C391" t="str">
        <f>IF(OR(B391="",B391=0),"",$AJ$2&amp;"/"&amp;J391)</f>
        <v>/24</v>
      </c>
      <c r="AD391" t="e">
        <f t="shared" si="6"/>
        <v>#VALUE!</v>
      </c>
    </row>
    <row r="392" spans="2:30" ht="33" hidden="1" customHeight="1" x14ac:dyDescent="0.3">
      <c r="B392" s="14" t="str">
        <f>'2026 Orders'!B391</f>
        <v>Kenya</v>
      </c>
      <c r="C392" s="14" t="str">
        <f>'2026 Orders'!C391</f>
        <v>A4700</v>
      </c>
      <c r="D392" s="14">
        <v>0</v>
      </c>
      <c r="E392" s="17" t="str" cm="1">
        <f t="array" ref="E392">IF(C392=0,"",
HYPERLINK(
"#'2026 Orders'!C"&amp;
MATCH(1,
('2026 Orders'!C:C=C392)*
('2026 Orders'!G:G=G392)*
('2026 Orders'!N:N=N392),
0),
"Open "&amp;C392
))</f>
        <v>Open A4700</v>
      </c>
      <c r="F392" s="14">
        <v>0</v>
      </c>
      <c r="G392" s="14" t="str">
        <f>'2026 Orders'!G391</f>
        <v>OVAMAX-120-FD</v>
      </c>
      <c r="H392" s="14" t="str">
        <f>'2026 Orders'!H391</f>
        <v>OVAMAX-120</v>
      </c>
      <c r="I392" s="15" t="str">
        <f>'2026 Orders'!I391</f>
        <v>FD</v>
      </c>
      <c r="J392" s="14">
        <f>'2026 Orders'!J391</f>
        <v>312</v>
      </c>
      <c r="K392">
        <v>26</v>
      </c>
      <c r="L392">
        <v>120</v>
      </c>
      <c r="N392" s="10" t="str">
        <f>'2026 Orders'!N391</f>
        <v>In Production</v>
      </c>
      <c r="O392">
        <v>0</v>
      </c>
      <c r="P392" t="s">
        <v>1077</v>
      </c>
      <c r="Q392">
        <v>810131195236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C392" t="str">
        <f>IF(OR(B392="",B392=0),"",$AJ$2&amp;"/"&amp;J392)</f>
        <v>/312</v>
      </c>
      <c r="AD392" t="e">
        <f t="shared" si="6"/>
        <v>#VALUE!</v>
      </c>
    </row>
    <row r="393" spans="2:30" ht="33" hidden="1" customHeight="1" x14ac:dyDescent="0.3">
      <c r="B393" s="14" t="str">
        <f>'2026 Orders'!B392</f>
        <v>Kenya</v>
      </c>
      <c r="C393" s="14" t="str">
        <f>'2026 Orders'!C392</f>
        <v>A4700</v>
      </c>
      <c r="D393" s="14">
        <v>0</v>
      </c>
      <c r="E393" s="17" t="str" cm="1">
        <f t="array" ref="E393">IF(C393=0,"",
HYPERLINK(
"#'2026 Orders'!C"&amp;
MATCH(1,
('2026 Orders'!C:C=C393)*
('2026 Orders'!G:G=G393)*
('2026 Orders'!N:N=N393),
0),
"Open "&amp;C393
))</f>
        <v>Open A4700</v>
      </c>
      <c r="F393" s="14">
        <v>0</v>
      </c>
      <c r="G393" s="14" t="str">
        <f>'2026 Orders'!G392</f>
        <v>FERTMX-90-RE</v>
      </c>
      <c r="H393" s="14" t="str">
        <f>'2026 Orders'!H392</f>
        <v>FERTMX-90</v>
      </c>
      <c r="I393" s="15" t="str">
        <f>'2026 Orders'!I392</f>
        <v>RE</v>
      </c>
      <c r="J393" s="14">
        <f>'2026 Orders'!J392</f>
        <v>480</v>
      </c>
      <c r="K393">
        <v>26</v>
      </c>
      <c r="L393">
        <v>120</v>
      </c>
      <c r="N393" s="10" t="str">
        <f>'2026 Orders'!N392</f>
        <v>PO submitted</v>
      </c>
      <c r="O393">
        <v>0</v>
      </c>
      <c r="P393" t="s">
        <v>1077</v>
      </c>
      <c r="Q393">
        <v>810131195243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C393" t="str">
        <f>IF(OR(B393="",B393=0),"",$AJ$2&amp;"/"&amp;J393)</f>
        <v>/480</v>
      </c>
      <c r="AD393" t="e">
        <f t="shared" si="6"/>
        <v>#VALUE!</v>
      </c>
    </row>
    <row r="394" spans="2:30" ht="33" hidden="1" customHeight="1" x14ac:dyDescent="0.3">
      <c r="B394" s="14" t="str">
        <f>'2026 Orders'!B393</f>
        <v>Kenya</v>
      </c>
      <c r="C394" s="14" t="str">
        <f>'2026 Orders'!C393</f>
        <v>A4700</v>
      </c>
      <c r="D394" s="14">
        <v>0</v>
      </c>
      <c r="E394" s="17" t="str" cm="1">
        <f t="array" ref="E394">IF(C394=0,"",
HYPERLINK(
"#'2026 Orders'!C"&amp;
MATCH(1,
('2026 Orders'!C:C=C394)*
('2026 Orders'!G:G=G394)*
('2026 Orders'!N:N=N394),
0),
"Open "&amp;C394
))</f>
        <v>Open A4700</v>
      </c>
      <c r="F394" s="14">
        <v>0</v>
      </c>
      <c r="G394" s="14" t="str">
        <f>'2026 Orders'!G393</f>
        <v>PRECON-90-FD</v>
      </c>
      <c r="H394" s="14" t="str">
        <f>'2026 Orders'!H393</f>
        <v>PRECON-90</v>
      </c>
      <c r="I394" s="15" t="str">
        <f>'2026 Orders'!I393</f>
        <v>FD</v>
      </c>
      <c r="J394" s="14">
        <f>'2026 Orders'!J393</f>
        <v>24</v>
      </c>
      <c r="K394">
        <v>26</v>
      </c>
      <c r="L394">
        <v>0</v>
      </c>
      <c r="N394" s="10" t="str">
        <f>'2026 Orders'!N393</f>
        <v>Rework</v>
      </c>
      <c r="O394">
        <v>0</v>
      </c>
      <c r="P394" t="s">
        <v>1077</v>
      </c>
      <c r="Q394">
        <v>810131195205</v>
      </c>
      <c r="R394">
        <v>0</v>
      </c>
      <c r="S394">
        <v>5034</v>
      </c>
      <c r="T394" t="s">
        <v>1108</v>
      </c>
      <c r="U394" t="s">
        <v>1204</v>
      </c>
      <c r="V394">
        <v>0</v>
      </c>
      <c r="W394">
        <v>0</v>
      </c>
      <c r="X394">
        <v>0</v>
      </c>
      <c r="Y394">
        <v>0</v>
      </c>
      <c r="Z394">
        <v>0</v>
      </c>
      <c r="AC394" t="str">
        <f>IF(OR(B394="",B394=0),"",$AJ$2&amp;"/"&amp;J394)</f>
        <v>/24</v>
      </c>
      <c r="AD394" t="e">
        <f t="shared" si="6"/>
        <v>#VALUE!</v>
      </c>
    </row>
    <row r="395" spans="2:30" ht="33" hidden="1" customHeight="1" x14ac:dyDescent="0.3">
      <c r="B395" s="14" t="str">
        <f>'2026 Orders'!B394</f>
        <v>Kenya</v>
      </c>
      <c r="C395" s="14" t="str">
        <f>'2026 Orders'!C394</f>
        <v>A4700</v>
      </c>
      <c r="D395" s="14">
        <v>0</v>
      </c>
      <c r="E395" s="17" t="str" cm="1">
        <f t="array" ref="E395">IF(C395=0,"",
HYPERLINK(
"#'2026 Orders'!C"&amp;
MATCH(1,
('2026 Orders'!C:C=C395)*
('2026 Orders'!G:G=G395)*
('2026 Orders'!N:N=N395),
0),
"Open "&amp;C395
))</f>
        <v>Open A4700</v>
      </c>
      <c r="F395" s="14">
        <v>0</v>
      </c>
      <c r="G395" s="14" t="str">
        <f>'2026 Orders'!G394</f>
        <v>POLYSIT-90-FD</v>
      </c>
      <c r="H395" s="14" t="str">
        <f>'2026 Orders'!H394</f>
        <v>POLYSIT-90</v>
      </c>
      <c r="I395" s="15" t="str">
        <f>'2026 Orders'!I394</f>
        <v>FD</v>
      </c>
      <c r="J395" s="14">
        <f>'2026 Orders'!J394</f>
        <v>24</v>
      </c>
      <c r="K395">
        <v>26</v>
      </c>
      <c r="L395">
        <v>120</v>
      </c>
      <c r="N395" s="10" t="str">
        <f>'2026 Orders'!N394</f>
        <v>In Production</v>
      </c>
      <c r="O395">
        <v>0</v>
      </c>
      <c r="P395" t="s">
        <v>1077</v>
      </c>
      <c r="Q395">
        <v>810131195199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C395" t="str">
        <f>IF(OR(B395="",B395=0),"",$AJ$2&amp;"/"&amp;J395)</f>
        <v>/24</v>
      </c>
      <c r="AD395" t="e">
        <f t="shared" si="6"/>
        <v>#VALUE!</v>
      </c>
    </row>
    <row r="396" spans="2:30" ht="33" hidden="1" customHeight="1" x14ac:dyDescent="0.3">
      <c r="B396" s="14" t="str">
        <f>'2026 Orders'!B395</f>
        <v>Kenya</v>
      </c>
      <c r="C396" s="14" t="str">
        <f>'2026 Orders'!C395</f>
        <v>A4700</v>
      </c>
      <c r="D396" s="14">
        <v>0</v>
      </c>
      <c r="E396" s="17" t="str" cm="1">
        <f t="array" ref="E396">IF(C396=0,"",
HYPERLINK(
"#'2026 Orders'!C"&amp;
MATCH(1,
('2026 Orders'!C:C=C396)*
('2026 Orders'!G:G=G396)*
('2026 Orders'!N:N=N396),
0),
"Open "&amp;C396
))</f>
        <v>Open A4700</v>
      </c>
      <c r="F396" s="14">
        <v>0</v>
      </c>
      <c r="G396" s="14" t="str">
        <f>'2026 Orders'!G395</f>
        <v>METRIO-60-FD</v>
      </c>
      <c r="H396" s="14" t="str">
        <f>'2026 Orders'!H395</f>
        <v>METRIO-60</v>
      </c>
      <c r="I396" s="15" t="str">
        <f>'2026 Orders'!I395</f>
        <v>FD</v>
      </c>
      <c r="J396" s="14">
        <f>'2026 Orders'!J395</f>
        <v>24</v>
      </c>
      <c r="K396">
        <v>26</v>
      </c>
      <c r="L396">
        <v>120</v>
      </c>
      <c r="N396" s="10" t="str">
        <f>'2026 Orders'!N395</f>
        <v>Rework</v>
      </c>
      <c r="O396">
        <v>0</v>
      </c>
      <c r="P396" t="s">
        <v>1077</v>
      </c>
      <c r="Q396">
        <v>810131195182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C396" t="str">
        <f>IF(OR(B396="",B396=0),"",$AJ$2&amp;"/"&amp;J396)</f>
        <v>/24</v>
      </c>
      <c r="AD396" t="e">
        <f t="shared" si="6"/>
        <v>#VALUE!</v>
      </c>
    </row>
    <row r="397" spans="2:30" ht="33" hidden="1" customHeight="1" x14ac:dyDescent="0.3">
      <c r="B397" s="14">
        <f>'2026 Orders'!B396</f>
        <v>0</v>
      </c>
      <c r="C397" s="14">
        <f>'2026 Orders'!C396</f>
        <v>0</v>
      </c>
      <c r="D397" s="14">
        <v>0</v>
      </c>
      <c r="E397" s="17" t="str" cm="1">
        <f t="array" ref="E397">IF(C397=0,"",
HYPERLINK(
"#'2026 Orders'!C"&amp;
MATCH(1,
('2026 Orders'!C:C=C397)*
('2026 Orders'!G:G=G397)*
('2026 Orders'!N:N=N397),
0),
"Open "&amp;C397
))</f>
        <v/>
      </c>
      <c r="F397" s="14">
        <v>0</v>
      </c>
      <c r="G397" s="14">
        <f>'2026 Orders'!G396</f>
        <v>0</v>
      </c>
      <c r="H397" s="14">
        <f>'2026 Orders'!H396</f>
        <v>0</v>
      </c>
      <c r="I397" s="15" t="str">
        <f>'2026 Orders'!I396</f>
        <v/>
      </c>
      <c r="J397" s="14">
        <f>'2026 Orders'!J396</f>
        <v>0</v>
      </c>
      <c r="K397">
        <v>26</v>
      </c>
      <c r="L397">
        <v>120</v>
      </c>
      <c r="N397" s="10">
        <f>'2026 Orders'!N396</f>
        <v>0</v>
      </c>
      <c r="O397">
        <v>0</v>
      </c>
      <c r="P397" t="s">
        <v>1077</v>
      </c>
      <c r="Q397">
        <v>810131195212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C397" t="str">
        <f>IF(OR(B397="",B397=0),"",$AJ$2&amp;"/"&amp;J397)</f>
        <v/>
      </c>
      <c r="AD397" t="str">
        <f t="shared" si="6"/>
        <v/>
      </c>
    </row>
    <row r="398" spans="2:30" ht="33" hidden="1" customHeight="1" x14ac:dyDescent="0.3">
      <c r="B398" s="14" t="str">
        <f>'2026 Orders'!B397</f>
        <v>Greece</v>
      </c>
      <c r="C398" s="14" t="str">
        <f>'2026 Orders'!C397</f>
        <v>A4702</v>
      </c>
      <c r="D398" s="14">
        <v>0</v>
      </c>
      <c r="E398" s="17" t="str" cm="1">
        <f t="array" ref="E398">IF(C398=0,"",
HYPERLINK(
"#'2026 Orders'!C"&amp;
MATCH(1,
('2026 Orders'!C:C=C398)*
('2026 Orders'!G:G=G398)*
('2026 Orders'!N:N=N398),
0),
"Open "&amp;C398
))</f>
        <v>Open A4702</v>
      </c>
      <c r="F398" s="14">
        <v>0</v>
      </c>
      <c r="G398" s="14" t="str">
        <f>'2026 Orders'!G397</f>
        <v>MFSADV-120-CS-GR</v>
      </c>
      <c r="H398" s="14" t="str">
        <f>'2026 Orders'!H397</f>
        <v>MFSADV-120</v>
      </c>
      <c r="I398" s="15" t="str">
        <f>'2026 Orders'!I397</f>
        <v>GR</v>
      </c>
      <c r="J398" s="14">
        <f>'2026 Orders'!J397</f>
        <v>1000</v>
      </c>
      <c r="K398">
        <v>0</v>
      </c>
      <c r="L398">
        <v>0</v>
      </c>
      <c r="N398" s="10" t="str">
        <f>'2026 Orders'!N397</f>
        <v>PO submitted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C398" t="str">
        <f>IF(OR(B398="",B398=0),"",$AJ$2&amp;"/"&amp;J398)</f>
        <v>/1000</v>
      </c>
      <c r="AD398" t="e">
        <f t="shared" si="6"/>
        <v>#VALUE!</v>
      </c>
    </row>
    <row r="399" spans="2:30" ht="33" hidden="1" customHeight="1" x14ac:dyDescent="0.3">
      <c r="B399" s="14">
        <f>'2026 Orders'!B398</f>
        <v>0</v>
      </c>
      <c r="C399" s="14">
        <f>'2026 Orders'!C398</f>
        <v>0</v>
      </c>
      <c r="D399" s="14">
        <v>0</v>
      </c>
      <c r="E399" s="17" t="str" cm="1">
        <f t="array" ref="E399">IF(C399=0,"",
HYPERLINK(
"#'2026 Orders'!C"&amp;
MATCH(1,
('2026 Orders'!C:C=C399)*
('2026 Orders'!G:G=G399)*
('2026 Orders'!N:N=N399),
0),
"Open "&amp;C399
))</f>
        <v/>
      </c>
      <c r="F399" s="14" t="s">
        <v>1311</v>
      </c>
      <c r="G399" s="14">
        <f>'2026 Orders'!G398</f>
        <v>0</v>
      </c>
      <c r="H399" s="14">
        <f>'2026 Orders'!H398</f>
        <v>0</v>
      </c>
      <c r="I399" s="15" t="str">
        <f>'2026 Orders'!I398</f>
        <v/>
      </c>
      <c r="J399" s="14">
        <f>'2026 Orders'!J398</f>
        <v>0</v>
      </c>
      <c r="K399">
        <v>26</v>
      </c>
      <c r="L399">
        <v>0</v>
      </c>
      <c r="N399" s="10">
        <f>'2026 Orders'!N398</f>
        <v>0</v>
      </c>
      <c r="O399">
        <v>0</v>
      </c>
      <c r="P399" t="s">
        <v>1077</v>
      </c>
      <c r="Q399">
        <v>604776737650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C399" t="str">
        <f>IF(OR(B399="",B399=0),"",$AJ$2&amp;"/"&amp;J399)</f>
        <v/>
      </c>
      <c r="AD399" t="str">
        <f t="shared" si="6"/>
        <v/>
      </c>
    </row>
    <row r="400" spans="2:30" ht="33" hidden="1" customHeight="1" x14ac:dyDescent="0.3">
      <c r="B400" s="14" t="str">
        <f>'2026 Orders'!B399</f>
        <v>Botswana</v>
      </c>
      <c r="C400" s="14" t="str">
        <f>'2026 Orders'!C399</f>
        <v>A4705</v>
      </c>
      <c r="D400" s="14">
        <v>0</v>
      </c>
      <c r="E400" s="17" t="str" cm="1">
        <f t="array" ref="E400">IF(C400=0,"",
HYPERLINK(
"#'2026 Orders'!C"&amp;
MATCH(1,
('2026 Orders'!C:C=C400)*
('2026 Orders'!G:G=G400)*
('2026 Orders'!N:N=N400),
0),
"Open "&amp;C400
))</f>
        <v>Open A4705</v>
      </c>
      <c r="F400" s="14">
        <v>0</v>
      </c>
      <c r="G400" s="14" t="str">
        <f>'2026 Orders'!G399</f>
        <v>PROSTA-90-FD</v>
      </c>
      <c r="H400" s="14" t="str">
        <f>'2026 Orders'!H399</f>
        <v>PROSTA-90</v>
      </c>
      <c r="I400" s="15" t="str">
        <f>'2026 Orders'!I399</f>
        <v>FD</v>
      </c>
      <c r="J400" s="14">
        <f>'2026 Orders'!J399</f>
        <v>72</v>
      </c>
      <c r="K400">
        <v>0</v>
      </c>
      <c r="L400">
        <v>0</v>
      </c>
      <c r="N400" s="10" t="str">
        <f>'2026 Orders'!N399</f>
        <v>Rework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C400" t="str">
        <f>IF(OR(B400="",B400=0),"",$AJ$2&amp;"/"&amp;J400)</f>
        <v>/72</v>
      </c>
      <c r="AD400" t="e">
        <f t="shared" si="6"/>
        <v>#VALUE!</v>
      </c>
    </row>
    <row r="401" spans="2:30" ht="33" hidden="1" customHeight="1" x14ac:dyDescent="0.3">
      <c r="B401" s="14" t="str">
        <f>'2026 Orders'!B400</f>
        <v>Botswana</v>
      </c>
      <c r="C401" s="14" t="str">
        <f>'2026 Orders'!C400</f>
        <v>A4705</v>
      </c>
      <c r="D401" s="14" t="s">
        <v>1340</v>
      </c>
      <c r="E401" s="17" t="str" cm="1">
        <f t="array" ref="E401">IF(C401=0,"",
HYPERLINK(
"#'2026 Orders'!C"&amp;
MATCH(1,
('2026 Orders'!C:C=C401)*
('2026 Orders'!G:G=G401)*
('2026 Orders'!N:N=N401),
0),
"Open "&amp;C401
))</f>
        <v>Open A4705</v>
      </c>
      <c r="F401" s="14">
        <v>0</v>
      </c>
      <c r="G401" s="14" t="str">
        <f>'2026 Orders'!G400</f>
        <v>XTRAD10-60-FD</v>
      </c>
      <c r="H401" s="14" t="str">
        <f>'2026 Orders'!H400</f>
        <v>XTRAD10-60</v>
      </c>
      <c r="I401" s="15" t="str">
        <f>'2026 Orders'!I400</f>
        <v>FD</v>
      </c>
      <c r="J401" s="14">
        <f>'2026 Orders'!J400</f>
        <v>1440</v>
      </c>
      <c r="K401">
        <v>0</v>
      </c>
      <c r="L401">
        <v>0</v>
      </c>
      <c r="N401" s="10" t="str">
        <f>'2026 Orders'!N400</f>
        <v>Bulk Production Complete</v>
      </c>
      <c r="O401">
        <v>0</v>
      </c>
      <c r="P401">
        <v>0</v>
      </c>
      <c r="Q401" t="s">
        <v>1205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C401" t="str">
        <f>IF(OR(B401="",B401=0),"",$AJ$2&amp;"/"&amp;J401)</f>
        <v>/1440</v>
      </c>
      <c r="AD401" t="e">
        <f t="shared" si="6"/>
        <v>#VALUE!</v>
      </c>
    </row>
    <row r="402" spans="2:30" ht="33" hidden="1" customHeight="1" x14ac:dyDescent="0.3">
      <c r="B402" s="14" t="str">
        <f>'2026 Orders'!B401</f>
        <v>Botswana</v>
      </c>
      <c r="C402" s="14" t="str">
        <f>'2026 Orders'!C401</f>
        <v>A4705</v>
      </c>
      <c r="D402" s="14">
        <v>0</v>
      </c>
      <c r="E402" s="17" t="str" cm="1">
        <f t="array" ref="E402">IF(C402=0,"",
HYPERLINK(
"#'2026 Orders'!C"&amp;
MATCH(1,
('2026 Orders'!C:C=C402)*
('2026 Orders'!G:G=G402)*
('2026 Orders'!N:N=N402),
0),
"Open "&amp;C402
))</f>
        <v>Open A4705</v>
      </c>
      <c r="F402" s="14">
        <v>0</v>
      </c>
      <c r="G402" s="14" t="str">
        <f>'2026 Orders'!G401</f>
        <v>MFSPLS-120-FD</v>
      </c>
      <c r="H402" s="14" t="str">
        <f>'2026 Orders'!H401</f>
        <v>MFSPLS-120</v>
      </c>
      <c r="I402" s="15" t="str">
        <f>'2026 Orders'!I401</f>
        <v>FD</v>
      </c>
      <c r="J402" s="14">
        <f>'2026 Orders'!J401</f>
        <v>96</v>
      </c>
      <c r="K402">
        <v>0</v>
      </c>
      <c r="L402">
        <v>0</v>
      </c>
      <c r="N402" s="10" t="str">
        <f>'2026 Orders'!N401</f>
        <v>In Production</v>
      </c>
      <c r="O402">
        <v>0</v>
      </c>
      <c r="P402">
        <v>0</v>
      </c>
      <c r="Q402" t="s">
        <v>1206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C402" t="str">
        <f>IF(OR(B402="",B402=0),"",$AJ$2&amp;"/"&amp;J402)</f>
        <v>/96</v>
      </c>
      <c r="AD402" t="e">
        <f t="shared" si="6"/>
        <v>#VALUE!</v>
      </c>
    </row>
    <row r="403" spans="2:30" ht="33" hidden="1" customHeight="1" x14ac:dyDescent="0.3">
      <c r="B403" s="14" t="str">
        <f>'2026 Orders'!B402</f>
        <v>Botswana</v>
      </c>
      <c r="C403" s="14" t="str">
        <f>'2026 Orders'!C402</f>
        <v>A4705</v>
      </c>
      <c r="D403" s="14">
        <v>0</v>
      </c>
      <c r="E403" s="17" t="str" cm="1">
        <f t="array" ref="E403">IF(C403=0,"",
HYPERLINK(
"#'2026 Orders'!C"&amp;
MATCH(1,
('2026 Orders'!C:C=C403)*
('2026 Orders'!G:G=G403)*
('2026 Orders'!N:N=N403),
0),
"Open "&amp;C403
))</f>
        <v>Open A4705</v>
      </c>
      <c r="F403" s="14">
        <v>0</v>
      </c>
      <c r="G403" s="14" t="str">
        <f>'2026 Orders'!G402</f>
        <v>DHEA50-60-FD</v>
      </c>
      <c r="H403" s="14" t="str">
        <f>'2026 Orders'!H402</f>
        <v>DHEA50-60</v>
      </c>
      <c r="I403" s="15" t="str">
        <f>'2026 Orders'!I402</f>
        <v>FD</v>
      </c>
      <c r="J403" s="14">
        <f>'2026 Orders'!J402</f>
        <v>120</v>
      </c>
      <c r="K403">
        <v>0</v>
      </c>
      <c r="L403">
        <v>0</v>
      </c>
      <c r="N403" s="10" t="str">
        <f>'2026 Orders'!N402</f>
        <v>In Production</v>
      </c>
      <c r="O403">
        <v>0</v>
      </c>
      <c r="P403">
        <v>0</v>
      </c>
      <c r="Q403" t="s">
        <v>1207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C403" t="str">
        <f>IF(OR(B403="",B403=0),"",$AJ$2&amp;"/"&amp;J403)</f>
        <v>/120</v>
      </c>
      <c r="AD403" t="e">
        <f t="shared" si="6"/>
        <v>#VALUE!</v>
      </c>
    </row>
    <row r="404" spans="2:30" ht="33" hidden="1" customHeight="1" x14ac:dyDescent="0.3">
      <c r="B404" s="14" t="str">
        <f>'2026 Orders'!B403</f>
        <v>Botswana</v>
      </c>
      <c r="C404" s="14" t="str">
        <f>'2026 Orders'!C403</f>
        <v>A4705</v>
      </c>
      <c r="D404" s="14">
        <v>0</v>
      </c>
      <c r="E404" s="17" t="str" cm="1">
        <f t="array" ref="E404">IF(C404=0,"",
HYPERLINK(
"#'2026 Orders'!C"&amp;
MATCH(1,
('2026 Orders'!C:C=C404)*
('2026 Orders'!G:G=G404)*
('2026 Orders'!N:N=N404),
0),
"Open "&amp;C404
))</f>
        <v>Open A4705</v>
      </c>
      <c r="F404" s="14">
        <v>0</v>
      </c>
      <c r="G404" s="14" t="str">
        <f>'2026 Orders'!G403</f>
        <v>CAVIN-60-FD</v>
      </c>
      <c r="H404" s="14" t="str">
        <f>'2026 Orders'!H403</f>
        <v>CAVIN-60</v>
      </c>
      <c r="I404" s="15" t="str">
        <f>'2026 Orders'!I403</f>
        <v>FD</v>
      </c>
      <c r="J404" s="14">
        <f>'2026 Orders'!J403</f>
        <v>96</v>
      </c>
      <c r="K404">
        <v>0</v>
      </c>
      <c r="L404">
        <v>0</v>
      </c>
      <c r="N404" s="10" t="str">
        <f>'2026 Orders'!N403</f>
        <v>Rework</v>
      </c>
      <c r="O404">
        <v>0</v>
      </c>
      <c r="P404">
        <v>0</v>
      </c>
      <c r="Q404" t="s">
        <v>1208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C404" t="str">
        <f>IF(OR(B404="",B404=0),"",$AJ$2&amp;"/"&amp;J404)</f>
        <v>/96</v>
      </c>
      <c r="AD404" t="e">
        <f t="shared" si="6"/>
        <v>#VALUE!</v>
      </c>
    </row>
    <row r="405" spans="2:30" ht="33" hidden="1" customHeight="1" x14ac:dyDescent="0.3">
      <c r="B405" s="14">
        <f>'2026 Orders'!B404</f>
        <v>0</v>
      </c>
      <c r="C405" s="14">
        <f>'2026 Orders'!C404</f>
        <v>0</v>
      </c>
      <c r="D405" s="14">
        <v>0</v>
      </c>
      <c r="E405" s="17" t="str" cm="1">
        <f t="array" ref="E405">IF(C405=0,"",
HYPERLINK(
"#'2026 Orders'!C"&amp;
MATCH(1,
('2026 Orders'!C:C=C405)*
('2026 Orders'!G:G=G405)*
('2026 Orders'!N:N=N405),
0),
"Open "&amp;C405
))</f>
        <v/>
      </c>
      <c r="F405" s="14">
        <v>0</v>
      </c>
      <c r="G405" s="14">
        <f>'2026 Orders'!G404</f>
        <v>0</v>
      </c>
      <c r="H405" s="14">
        <f>'2026 Orders'!H404</f>
        <v>0</v>
      </c>
      <c r="I405" s="15" t="str">
        <f>'2026 Orders'!I404</f>
        <v/>
      </c>
      <c r="J405" s="14">
        <f>'2026 Orders'!J404</f>
        <v>0</v>
      </c>
      <c r="K405">
        <v>0</v>
      </c>
      <c r="L405">
        <v>0</v>
      </c>
      <c r="N405" s="10">
        <f>'2026 Orders'!N404</f>
        <v>0</v>
      </c>
      <c r="O405">
        <v>0</v>
      </c>
      <c r="P405">
        <v>0</v>
      </c>
      <c r="Q405" t="s">
        <v>1209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C405" t="str">
        <f>IF(OR(B405="",B405=0),"",$AJ$2&amp;"/"&amp;J405)</f>
        <v/>
      </c>
      <c r="AD405" t="str">
        <f t="shared" si="6"/>
        <v/>
      </c>
    </row>
    <row r="406" spans="2:30" ht="33" hidden="1" customHeight="1" x14ac:dyDescent="0.3">
      <c r="B406" s="14" t="str">
        <f>'2026 Orders'!B405</f>
        <v>Bahrain</v>
      </c>
      <c r="C406" s="14" t="str">
        <f>'2026 Orders'!C405</f>
        <v>A4707</v>
      </c>
      <c r="D406" s="14">
        <v>0</v>
      </c>
      <c r="E406" s="17" t="str" cm="1">
        <f t="array" ref="E406">IF(C406=0,"",
HYPERLINK(
"#'2026 Orders'!C"&amp;
MATCH(1,
('2026 Orders'!C:C=C406)*
('2026 Orders'!G:G=G406)*
('2026 Orders'!N:N=N406),
0),
"Open "&amp;C406
))</f>
        <v>Open A4707</v>
      </c>
      <c r="F406" s="14">
        <v>0</v>
      </c>
      <c r="G406" s="14" t="str">
        <f>'2026 Orders'!G405</f>
        <v>MOTILMX-60-CS-BN</v>
      </c>
      <c r="H406" s="14" t="str">
        <f>'2026 Orders'!H405</f>
        <v>MOTILMX-60</v>
      </c>
      <c r="I406" s="15" t="str">
        <f>'2026 Orders'!I405</f>
        <v>BN</v>
      </c>
      <c r="J406" s="14">
        <f>'2026 Orders'!J405</f>
        <v>500</v>
      </c>
      <c r="K406">
        <v>0</v>
      </c>
      <c r="L406">
        <v>0</v>
      </c>
      <c r="N406" s="10" t="str">
        <f>'2026 Orders'!N405</f>
        <v>D/W Sent</v>
      </c>
      <c r="O406">
        <v>0</v>
      </c>
      <c r="P406">
        <v>0</v>
      </c>
      <c r="Q406" t="s">
        <v>1210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C406" t="str">
        <f>IF(OR(B406="",B406=0),"",$AJ$2&amp;"/"&amp;J406)</f>
        <v>/500</v>
      </c>
      <c r="AD406" t="e">
        <f t="shared" si="6"/>
        <v>#VALUE!</v>
      </c>
    </row>
    <row r="407" spans="2:30" ht="33" hidden="1" customHeight="1" x14ac:dyDescent="0.3">
      <c r="B407" s="14">
        <f>'2026 Orders'!B406</f>
        <v>0</v>
      </c>
      <c r="C407" s="14">
        <f>'2026 Orders'!C406</f>
        <v>0</v>
      </c>
      <c r="D407" s="14">
        <v>0</v>
      </c>
      <c r="E407" s="17" t="str" cm="1">
        <f t="array" ref="E407">IF(C407=0,"",
HYPERLINK(
"#'2026 Orders'!C"&amp;
MATCH(1,
('2026 Orders'!C:C=C407)*
('2026 Orders'!G:G=G407)*
('2026 Orders'!N:N=N407),
0),
"Open "&amp;C407
))</f>
        <v/>
      </c>
      <c r="F407" s="14">
        <v>0</v>
      </c>
      <c r="G407" s="14">
        <f>'2026 Orders'!G406</f>
        <v>0</v>
      </c>
      <c r="H407" s="14">
        <f>'2026 Orders'!H406</f>
        <v>0</v>
      </c>
      <c r="I407" s="15" t="str">
        <f>'2026 Orders'!I406</f>
        <v/>
      </c>
      <c r="J407" s="14">
        <f>'2026 Orders'!J406</f>
        <v>0</v>
      </c>
      <c r="K407">
        <v>0</v>
      </c>
      <c r="L407">
        <v>0</v>
      </c>
      <c r="N407" s="10">
        <f>'2026 Orders'!N406</f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C407" t="str">
        <f>IF(OR(B407="",B407=0),"",$AJ$2&amp;"/"&amp;J407)</f>
        <v/>
      </c>
      <c r="AD407" t="str">
        <f t="shared" si="6"/>
        <v/>
      </c>
    </row>
    <row r="408" spans="2:30" ht="33" hidden="1" customHeight="1" x14ac:dyDescent="0.3">
      <c r="B408" s="14" t="str">
        <f>'2026 Orders'!B407</f>
        <v>Tanzania</v>
      </c>
      <c r="C408" s="14" t="str">
        <f>'2026 Orders'!C407</f>
        <v>A4710</v>
      </c>
      <c r="D408" s="14">
        <v>0</v>
      </c>
      <c r="E408" s="17" t="str" cm="1">
        <f t="array" ref="E408">IF(C408=0,"",
HYPERLINK(
"#'2026 Orders'!C"&amp;
MATCH(1,
('2026 Orders'!C:C=C408)*
('2026 Orders'!G:G=G408)*
('2026 Orders'!N:N=N408),
0),
"Open "&amp;C408
))</f>
        <v>Open A4710</v>
      </c>
      <c r="F408" s="14" t="s">
        <v>1052</v>
      </c>
      <c r="G408" s="14" t="str">
        <f>'2026 Orders'!G407</f>
        <v>WFSPLS-180-CS-TA</v>
      </c>
      <c r="H408" s="14" t="str">
        <f>'2026 Orders'!H407</f>
        <v>WFSPLS-180</v>
      </c>
      <c r="I408" s="15" t="str">
        <f>'2026 Orders'!I407</f>
        <v>TA</v>
      </c>
      <c r="J408" s="14">
        <f>'2026 Orders'!J407</f>
        <v>48</v>
      </c>
      <c r="K408">
        <v>0</v>
      </c>
      <c r="L408">
        <v>0</v>
      </c>
      <c r="N408" s="10" t="str">
        <f>'2026 Orders'!N407</f>
        <v>PO Drafted</v>
      </c>
      <c r="O408">
        <v>0</v>
      </c>
      <c r="P408" t="s">
        <v>1077</v>
      </c>
      <c r="Q408">
        <v>609788968559</v>
      </c>
      <c r="R408">
        <v>2000</v>
      </c>
      <c r="S408">
        <v>4998</v>
      </c>
      <c r="T408">
        <v>46232</v>
      </c>
      <c r="U408" t="s">
        <v>1126</v>
      </c>
      <c r="V408">
        <v>0</v>
      </c>
      <c r="W408">
        <v>0</v>
      </c>
      <c r="X408">
        <v>0</v>
      </c>
      <c r="Y408">
        <v>0</v>
      </c>
      <c r="Z408" t="s">
        <v>1083</v>
      </c>
      <c r="AC408" t="str">
        <f>IF(OR(B408="",B408=0),"",$AJ$2&amp;"/"&amp;J408)</f>
        <v>/48</v>
      </c>
      <c r="AD408" t="e">
        <f t="shared" si="6"/>
        <v>#VALUE!</v>
      </c>
    </row>
    <row r="409" spans="2:30" ht="33" hidden="1" customHeight="1" x14ac:dyDescent="0.3">
      <c r="B409" s="14" t="str">
        <f>'2026 Orders'!B408</f>
        <v>Tanzania</v>
      </c>
      <c r="C409" s="14" t="str">
        <f>'2026 Orders'!C408</f>
        <v>A4710</v>
      </c>
      <c r="D409" s="14">
        <v>0</v>
      </c>
      <c r="E409" s="17" t="str" cm="1">
        <f t="array" ref="E409">IF(C409=0,"",
HYPERLINK(
"#'2026 Orders'!C"&amp;
MATCH(1,
('2026 Orders'!C:C=C409)*
('2026 Orders'!G:G=G409)*
('2026 Orders'!N:N=N409),
0),
"Open "&amp;C409
))</f>
        <v>Open A4710</v>
      </c>
      <c r="F409" s="14" t="s">
        <v>1054</v>
      </c>
      <c r="G409" s="14" t="str">
        <f>'2026 Orders'!G408</f>
        <v>PRECON-180-CS-TA</v>
      </c>
      <c r="H409" s="14" t="str">
        <f>'2026 Orders'!H408</f>
        <v>PRECON-180</v>
      </c>
      <c r="I409" s="15" t="str">
        <f>'2026 Orders'!I408</f>
        <v>TA</v>
      </c>
      <c r="J409" s="14">
        <f>'2026 Orders'!J408</f>
        <v>120</v>
      </c>
      <c r="K409">
        <v>0</v>
      </c>
      <c r="L409">
        <v>0</v>
      </c>
      <c r="N409" s="10" t="str">
        <f>'2026 Orders'!N408</f>
        <v>In Production</v>
      </c>
      <c r="O409">
        <v>0</v>
      </c>
      <c r="P409" t="s">
        <v>1077</v>
      </c>
      <c r="Q409" t="s">
        <v>1117</v>
      </c>
      <c r="R409">
        <v>5000</v>
      </c>
      <c r="S409">
        <v>4946</v>
      </c>
      <c r="T409">
        <v>46094</v>
      </c>
      <c r="U409" t="s">
        <v>1211</v>
      </c>
      <c r="V409">
        <v>0</v>
      </c>
      <c r="W409">
        <v>0</v>
      </c>
      <c r="X409">
        <v>0</v>
      </c>
      <c r="Y409">
        <v>0</v>
      </c>
      <c r="Z409">
        <v>0</v>
      </c>
      <c r="AC409" t="str">
        <f>IF(OR(B409="",B409=0),"",$AJ$2&amp;"/"&amp;J409)</f>
        <v>/120</v>
      </c>
      <c r="AD409" t="e">
        <f t="shared" si="6"/>
        <v>#VALUE!</v>
      </c>
    </row>
    <row r="410" spans="2:30" ht="33" hidden="1" customHeight="1" x14ac:dyDescent="0.3">
      <c r="B410" s="14" t="str">
        <f>'2026 Orders'!B409</f>
        <v>Tanzania</v>
      </c>
      <c r="C410" s="14" t="str">
        <f>'2026 Orders'!C409</f>
        <v>A4710</v>
      </c>
      <c r="D410" s="14">
        <v>0</v>
      </c>
      <c r="E410" s="17" t="str" cm="1">
        <f t="array" ref="E410">IF(C410=0,"",
HYPERLINK(
"#'2026 Orders'!C"&amp;
MATCH(1,
('2026 Orders'!C:C=C410)*
('2026 Orders'!G:G=G410)*
('2026 Orders'!N:N=N410),
0),
"Open "&amp;C410
))</f>
        <v>Open A4710</v>
      </c>
      <c r="F410" s="14" t="s">
        <v>1052</v>
      </c>
      <c r="G410" s="14" t="str">
        <f>'2026 Orders'!G409</f>
        <v>FERTMX-90-CS-TA</v>
      </c>
      <c r="H410" s="14" t="str">
        <f>'2026 Orders'!H409</f>
        <v>FERTMX-90</v>
      </c>
      <c r="I410" s="15" t="str">
        <f>'2026 Orders'!I409</f>
        <v>TA</v>
      </c>
      <c r="J410" s="14">
        <f>'2026 Orders'!J409</f>
        <v>240</v>
      </c>
      <c r="K410">
        <v>0</v>
      </c>
      <c r="L410">
        <v>216</v>
      </c>
      <c r="N410" s="10" t="str">
        <f>'2026 Orders'!N409</f>
        <v>PO submitted</v>
      </c>
      <c r="O410">
        <v>0</v>
      </c>
      <c r="P410" t="s">
        <v>1077</v>
      </c>
      <c r="Q410">
        <v>609788968344</v>
      </c>
      <c r="R410">
        <v>7000</v>
      </c>
      <c r="S410">
        <v>4935</v>
      </c>
      <c r="T410" t="s">
        <v>1079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C410" t="str">
        <f>IF(OR(B410="",B410=0),"",$AJ$2&amp;"/"&amp;J410)</f>
        <v>/240</v>
      </c>
      <c r="AD410" t="e">
        <f t="shared" si="6"/>
        <v>#VALUE!</v>
      </c>
    </row>
    <row r="411" spans="2:30" ht="33" hidden="1" customHeight="1" x14ac:dyDescent="0.3">
      <c r="B411" s="14" t="str">
        <f>'2026 Orders'!B410</f>
        <v>Tanzania</v>
      </c>
      <c r="C411" s="14" t="str">
        <f>'2026 Orders'!C410</f>
        <v>A4710</v>
      </c>
      <c r="D411" s="14">
        <v>0</v>
      </c>
      <c r="E411" s="17" t="str" cm="1">
        <f t="array" ref="E411">IF(C411=0,"",
HYPERLINK(
"#'2026 Orders'!C"&amp;
MATCH(1,
('2026 Orders'!C:C=C411)*
('2026 Orders'!G:G=G411)*
('2026 Orders'!N:N=N411),
0),
"Open "&amp;C411
))</f>
        <v>Open A4710</v>
      </c>
      <c r="F411" s="14" t="s">
        <v>1312</v>
      </c>
      <c r="G411" s="14" t="str">
        <f>'2026 Orders'!G410</f>
        <v>OVAMANM-120-CS-TA</v>
      </c>
      <c r="H411" s="14" t="str">
        <f>'2026 Orders'!H410</f>
        <v>OVAMANM-120</v>
      </c>
      <c r="I411" s="15" t="str">
        <f>'2026 Orders'!I410</f>
        <v>TA</v>
      </c>
      <c r="J411" s="14">
        <f>'2026 Orders'!J410</f>
        <v>240</v>
      </c>
      <c r="K411">
        <v>0</v>
      </c>
      <c r="L411">
        <v>120</v>
      </c>
      <c r="N411" s="10" t="str">
        <f>'2026 Orders'!N410</f>
        <v>Not Meet MOQ</v>
      </c>
      <c r="O411">
        <v>0</v>
      </c>
      <c r="P411" t="s">
        <v>1077</v>
      </c>
      <c r="Q411">
        <v>810131192990</v>
      </c>
      <c r="R411">
        <v>5000</v>
      </c>
      <c r="S411">
        <v>4798</v>
      </c>
      <c r="T411">
        <v>46041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C411" t="str">
        <f>IF(OR(B411="",B411=0),"",$AJ$2&amp;"/"&amp;J411)</f>
        <v>/240</v>
      </c>
      <c r="AD411" t="e">
        <f t="shared" si="6"/>
        <v>#VALUE!</v>
      </c>
    </row>
    <row r="412" spans="2:30" ht="33" hidden="1" customHeight="1" x14ac:dyDescent="0.3">
      <c r="B412" s="14" t="str">
        <f>'2026 Orders'!B411</f>
        <v>Tanzania</v>
      </c>
      <c r="C412" s="14" t="str">
        <f>'2026 Orders'!C411</f>
        <v>A4710</v>
      </c>
      <c r="D412" s="14">
        <v>0</v>
      </c>
      <c r="E412" s="17" t="str" cm="1">
        <f t="array" ref="E412">IF(C412=0,"",
HYPERLINK(
"#'2026 Orders'!C"&amp;
MATCH(1,
('2026 Orders'!C:C=C412)*
('2026 Orders'!G:G=G412)*
('2026 Orders'!N:N=N412),
0),
"Open "&amp;C412
))</f>
        <v>Open A4710</v>
      </c>
      <c r="F412" s="14" t="s">
        <v>1052</v>
      </c>
      <c r="G412" s="14" t="str">
        <f>'2026 Orders'!G411</f>
        <v>QWELL4-30-SG-CS-TA</v>
      </c>
      <c r="H412" s="14" t="str">
        <f>'2026 Orders'!H411</f>
        <v>QWELL4-30</v>
      </c>
      <c r="I412" s="15" t="str">
        <f>'2026 Orders'!I411</f>
        <v>TA</v>
      </c>
      <c r="J412" s="14">
        <f>'2026 Orders'!J411</f>
        <v>120</v>
      </c>
      <c r="K412">
        <v>0</v>
      </c>
      <c r="L412">
        <v>48</v>
      </c>
      <c r="N412" s="10" t="str">
        <f>'2026 Orders'!N411</f>
        <v>Rework</v>
      </c>
      <c r="O412">
        <v>0</v>
      </c>
      <c r="P412" t="s">
        <v>1077</v>
      </c>
      <c r="Q412">
        <v>609788968597</v>
      </c>
      <c r="R412">
        <v>5000</v>
      </c>
      <c r="S412">
        <v>4924</v>
      </c>
      <c r="T412">
        <v>46042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C412" t="str">
        <f>IF(OR(B412="",B412=0),"",$AJ$2&amp;"/"&amp;J412)</f>
        <v>/120</v>
      </c>
      <c r="AD412" t="e">
        <f t="shared" si="6"/>
        <v>#VALUE!</v>
      </c>
    </row>
    <row r="413" spans="2:30" ht="33" hidden="1" customHeight="1" x14ac:dyDescent="0.3">
      <c r="B413" s="14">
        <f>'2026 Orders'!B412</f>
        <v>0</v>
      </c>
      <c r="C413" s="14">
        <f>'2026 Orders'!C412</f>
        <v>0</v>
      </c>
      <c r="D413" s="14">
        <v>0</v>
      </c>
      <c r="E413" s="17" t="str" cm="1">
        <f t="array" ref="E413">IF(C413=0,"",
HYPERLINK(
"#'2026 Orders'!C"&amp;
MATCH(1,
('2026 Orders'!C:C=C413)*
('2026 Orders'!G:G=G413)*
('2026 Orders'!N:N=N413),
0),
"Open "&amp;C413
))</f>
        <v/>
      </c>
      <c r="F413" s="14" t="s">
        <v>1052</v>
      </c>
      <c r="G413" s="14">
        <f>'2026 Orders'!G412</f>
        <v>0</v>
      </c>
      <c r="H413" s="14">
        <f>'2026 Orders'!H412</f>
        <v>0</v>
      </c>
      <c r="I413" s="15" t="str">
        <f>'2026 Orders'!I412</f>
        <v/>
      </c>
      <c r="J413" s="14">
        <f>'2026 Orders'!J412</f>
        <v>0</v>
      </c>
      <c r="K413">
        <v>0</v>
      </c>
      <c r="L413">
        <v>24</v>
      </c>
      <c r="N413" s="10">
        <f>'2026 Orders'!N412</f>
        <v>0</v>
      </c>
      <c r="O413">
        <v>0</v>
      </c>
      <c r="P413" t="s">
        <v>1077</v>
      </c>
      <c r="Q413">
        <v>810131199449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C413" t="str">
        <f>IF(OR(B413="",B413=0),"",$AJ$2&amp;"/"&amp;J413)</f>
        <v/>
      </c>
      <c r="AD413" t="str">
        <f t="shared" si="6"/>
        <v/>
      </c>
    </row>
    <row r="414" spans="2:30" ht="33" hidden="1" customHeight="1" x14ac:dyDescent="0.3">
      <c r="B414" s="14" t="str">
        <f>'2026 Orders'!B413</f>
        <v>UAE</v>
      </c>
      <c r="C414" s="14" t="str">
        <f>'2026 Orders'!C413</f>
        <v>A4712</v>
      </c>
      <c r="D414" s="14">
        <v>0</v>
      </c>
      <c r="E414" s="17" t="str" cm="1">
        <f t="array" ref="E414">IF(C414=0,"",
HYPERLINK(
"#'2026 Orders'!C"&amp;
MATCH(1,
('2026 Orders'!C:C=C414)*
('2026 Orders'!G:G=G414)*
('2026 Orders'!N:N=N414),
0),
"Open "&amp;C414
))</f>
        <v>Open A4712</v>
      </c>
      <c r="F414" s="14">
        <v>0</v>
      </c>
      <c r="G414" s="14" t="str">
        <f>'2026 Orders'!G413</f>
        <v>QWELL4-30-SG-FD</v>
      </c>
      <c r="H414" s="14" t="str">
        <f>'2026 Orders'!H413</f>
        <v>QWELL4-30</v>
      </c>
      <c r="I414" s="15" t="str">
        <f>'2026 Orders'!I413</f>
        <v>FD</v>
      </c>
      <c r="J414" s="14">
        <f>'2026 Orders'!J413</f>
        <v>1008</v>
      </c>
      <c r="K414">
        <v>0</v>
      </c>
      <c r="L414">
        <v>0</v>
      </c>
      <c r="N414" s="10" t="str">
        <f>'2026 Orders'!N413</f>
        <v>Available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C414" t="str">
        <f>IF(OR(B414="",B414=0),"",$AJ$2&amp;"/"&amp;J414)</f>
        <v>/1008</v>
      </c>
      <c r="AD414" t="e">
        <f t="shared" si="6"/>
        <v>#VALUE!</v>
      </c>
    </row>
    <row r="415" spans="2:30" ht="33" hidden="1" customHeight="1" x14ac:dyDescent="0.3">
      <c r="B415" s="14" t="str">
        <f>'2026 Orders'!B414</f>
        <v>UAE</v>
      </c>
      <c r="C415" s="14" t="str">
        <f>'2026 Orders'!C414</f>
        <v>A4712</v>
      </c>
      <c r="D415" s="14" t="s">
        <v>1069</v>
      </c>
      <c r="E415" s="17" t="str" cm="1">
        <f t="array" ref="E415">IF(C415=0,"",
HYPERLINK(
"#'2026 Orders'!C"&amp;
MATCH(1,
('2026 Orders'!C:C=C415)*
('2026 Orders'!G:G=G415)*
('2026 Orders'!N:N=N415),
0),
"Open "&amp;C415
))</f>
        <v>Open A4712</v>
      </c>
      <c r="F415" s="14" t="s">
        <v>1052</v>
      </c>
      <c r="G415" s="14" t="str">
        <f>'2026 Orders'!G414</f>
        <v>MFSPLS-120-RE</v>
      </c>
      <c r="H415" s="14" t="str">
        <f>'2026 Orders'!H414</f>
        <v>MFSPLS-120</v>
      </c>
      <c r="I415" s="15" t="str">
        <f>'2026 Orders'!I414</f>
        <v>RE</v>
      </c>
      <c r="J415" s="14">
        <f>'2026 Orders'!J414</f>
        <v>1512</v>
      </c>
      <c r="K415">
        <v>0</v>
      </c>
      <c r="L415">
        <v>0</v>
      </c>
      <c r="N415" s="10" t="str">
        <f>'2026 Orders'!N414</f>
        <v>Out of Stock</v>
      </c>
      <c r="O415">
        <v>0</v>
      </c>
      <c r="P415" t="s">
        <v>1077</v>
      </c>
      <c r="Q415">
        <v>609788968559</v>
      </c>
      <c r="R415">
        <v>2000</v>
      </c>
      <c r="S415">
        <v>4998</v>
      </c>
      <c r="T415">
        <v>46232</v>
      </c>
      <c r="U415" t="s">
        <v>1126</v>
      </c>
      <c r="V415">
        <v>0</v>
      </c>
      <c r="W415">
        <v>0</v>
      </c>
      <c r="X415">
        <v>0</v>
      </c>
      <c r="Y415">
        <v>0</v>
      </c>
      <c r="Z415" t="s">
        <v>1083</v>
      </c>
      <c r="AC415" t="str">
        <f>IF(OR(B415="",B415=0),"",$AJ$2&amp;"/"&amp;J415)</f>
        <v>/1512</v>
      </c>
      <c r="AD415" t="e">
        <f t="shared" si="6"/>
        <v>#VALUE!</v>
      </c>
    </row>
    <row r="416" spans="2:30" ht="33" hidden="1" customHeight="1" x14ac:dyDescent="0.3">
      <c r="B416" s="14" t="str">
        <f>'2026 Orders'!B415</f>
        <v>UAE</v>
      </c>
      <c r="C416" s="14" t="str">
        <f>'2026 Orders'!C415</f>
        <v>A4712</v>
      </c>
      <c r="D416" s="14" t="s">
        <v>1070</v>
      </c>
      <c r="E416" s="17" t="str" cm="1">
        <f t="array" ref="E416">IF(C416=0,"",
HYPERLINK(
"#'2026 Orders'!C"&amp;
MATCH(1,
('2026 Orders'!C:C=C416)*
('2026 Orders'!G:G=G416)*
('2026 Orders'!N:N=N416),
0),
"Open "&amp;C416
))</f>
        <v>Open A4712</v>
      </c>
      <c r="F416" s="14" t="s">
        <v>1052</v>
      </c>
      <c r="G416" s="14" t="str">
        <f>'2026 Orders'!G415</f>
        <v>OMEGA3-60-CS-UA</v>
      </c>
      <c r="H416" s="14" t="str">
        <f>'2026 Orders'!H415</f>
        <v>OMEGA3-60</v>
      </c>
      <c r="I416" s="15" t="str">
        <f>'2026 Orders'!I415</f>
        <v>UA</v>
      </c>
      <c r="J416" s="14">
        <f>'2026 Orders'!J415</f>
        <v>2160</v>
      </c>
      <c r="K416">
        <v>0</v>
      </c>
      <c r="L416">
        <v>0</v>
      </c>
      <c r="N416" s="10" t="str">
        <f>'2026 Orders'!N415</f>
        <v>Out of Stock</v>
      </c>
      <c r="O416">
        <v>0</v>
      </c>
      <c r="P416" t="s">
        <v>1077</v>
      </c>
      <c r="Q416">
        <v>0</v>
      </c>
      <c r="R416">
        <v>5000</v>
      </c>
      <c r="S416">
        <v>0</v>
      </c>
      <c r="T416" t="s">
        <v>1108</v>
      </c>
      <c r="U416" t="s">
        <v>1142</v>
      </c>
      <c r="V416">
        <v>0</v>
      </c>
      <c r="W416">
        <v>0</v>
      </c>
      <c r="X416">
        <v>0</v>
      </c>
      <c r="Y416">
        <v>0</v>
      </c>
      <c r="Z416">
        <v>0</v>
      </c>
      <c r="AC416" t="str">
        <f>IF(OR(B416="",B416=0),"",$AJ$2&amp;"/"&amp;J416)</f>
        <v>/2160</v>
      </c>
      <c r="AD416" t="e">
        <f t="shared" si="6"/>
        <v>#VALUE!</v>
      </c>
    </row>
    <row r="417" spans="2:30" ht="33" hidden="1" customHeight="1" x14ac:dyDescent="0.3">
      <c r="B417" s="14" t="str">
        <f>'2026 Orders'!B416</f>
        <v>UAE</v>
      </c>
      <c r="C417" s="14" t="str">
        <f>'2026 Orders'!C416</f>
        <v>A4712</v>
      </c>
      <c r="D417" s="14" t="s">
        <v>1071</v>
      </c>
      <c r="E417" s="17" t="str" cm="1">
        <f t="array" ref="E417">IF(C417=0,"",
HYPERLINK(
"#'2026 Orders'!C"&amp;
MATCH(1,
('2026 Orders'!C:C=C417)*
('2026 Orders'!G:G=G417)*
('2026 Orders'!N:N=N417),
0),
"Open "&amp;C417
))</f>
        <v>Open A4712</v>
      </c>
      <c r="F417" s="14" t="s">
        <v>1052</v>
      </c>
      <c r="G417" s="14" t="str">
        <f>'2026 Orders'!G416</f>
        <v>OVAMANM-120-CS-UA</v>
      </c>
      <c r="H417" s="14" t="str">
        <f>'2026 Orders'!H416</f>
        <v>OVAMANM-120</v>
      </c>
      <c r="I417" s="15" t="str">
        <f>'2026 Orders'!I416</f>
        <v>UA</v>
      </c>
      <c r="J417" s="14">
        <f>'2026 Orders'!J416</f>
        <v>1512</v>
      </c>
      <c r="K417">
        <v>0</v>
      </c>
      <c r="L417">
        <v>0</v>
      </c>
      <c r="N417" s="10" t="str">
        <f>'2026 Orders'!N416</f>
        <v>Out of Stock</v>
      </c>
      <c r="O417">
        <v>0</v>
      </c>
      <c r="P417" t="s">
        <v>1077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C417" t="str">
        <f>IF(OR(B417="",B417=0),"",$AJ$2&amp;"/"&amp;J417)</f>
        <v>/1512</v>
      </c>
      <c r="AD417" t="e">
        <f t="shared" si="6"/>
        <v>#VALUE!</v>
      </c>
    </row>
    <row r="418" spans="2:30" ht="33" hidden="1" customHeight="1" x14ac:dyDescent="0.3">
      <c r="B418" s="14" t="str">
        <f>'2026 Orders'!B417</f>
        <v>UAE</v>
      </c>
      <c r="C418" s="14" t="str">
        <f>'2026 Orders'!C417</f>
        <v>A4712</v>
      </c>
      <c r="D418" s="14" t="s">
        <v>1073</v>
      </c>
      <c r="E418" s="17" t="str" cm="1">
        <f t="array" ref="E418">IF(C418=0,"",
HYPERLINK(
"#'2026 Orders'!C"&amp;
MATCH(1,
('2026 Orders'!C:C=C418)*
('2026 Orders'!G:G=G418)*
('2026 Orders'!N:N=N418),
0),
"Open "&amp;C418
))</f>
        <v>Open A4712</v>
      </c>
      <c r="F418" s="14" t="s">
        <v>1052</v>
      </c>
      <c r="G418" s="14" t="str">
        <f>'2026 Orders'!G417</f>
        <v>PEDIAD4-50-FD</v>
      </c>
      <c r="H418" s="14" t="str">
        <f>'2026 Orders'!H417</f>
        <v>PEDIAD4-50</v>
      </c>
      <c r="I418" s="15" t="str">
        <f>'2026 Orders'!I417</f>
        <v>FD</v>
      </c>
      <c r="J418" s="14">
        <f>'2026 Orders'!J417</f>
        <v>1008</v>
      </c>
      <c r="K418">
        <v>0</v>
      </c>
      <c r="L418">
        <v>0</v>
      </c>
      <c r="N418" s="10" t="str">
        <f>'2026 Orders'!N417</f>
        <v>Out of Stock</v>
      </c>
      <c r="O418">
        <v>0</v>
      </c>
      <c r="P418" t="s">
        <v>1077</v>
      </c>
      <c r="Q418">
        <v>0</v>
      </c>
      <c r="R418">
        <v>5000</v>
      </c>
      <c r="S418">
        <v>5041</v>
      </c>
      <c r="T418">
        <v>46248</v>
      </c>
      <c r="U418" t="s">
        <v>1090</v>
      </c>
      <c r="V418">
        <v>0</v>
      </c>
      <c r="W418">
        <v>0</v>
      </c>
      <c r="X418">
        <v>0</v>
      </c>
      <c r="Y418">
        <v>0</v>
      </c>
      <c r="Z418">
        <v>0</v>
      </c>
      <c r="AC418" t="str">
        <f>IF(OR(B418="",B418=0),"",$AJ$2&amp;"/"&amp;J418)</f>
        <v>/1008</v>
      </c>
      <c r="AD418" t="e">
        <f t="shared" si="6"/>
        <v>#VALUE!</v>
      </c>
    </row>
    <row r="419" spans="2:30" ht="33" hidden="1" customHeight="1" x14ac:dyDescent="0.3">
      <c r="B419" s="14" t="str">
        <f>'2026 Orders'!B418</f>
        <v>UAE</v>
      </c>
      <c r="C419" s="14" t="str">
        <f>'2026 Orders'!C418</f>
        <v>A4712</v>
      </c>
      <c r="D419" s="14" t="s">
        <v>1073</v>
      </c>
      <c r="E419" s="17" t="str" cm="1">
        <f t="array" ref="E419">IF(C419=0,"",
HYPERLINK(
"#'2026 Orders'!C"&amp;
MATCH(1,
('2026 Orders'!C:C=C419)*
('2026 Orders'!G:G=G419)*
('2026 Orders'!N:N=N419),
0),
"Open "&amp;C419
))</f>
        <v>Open A4712</v>
      </c>
      <c r="F419" s="14" t="s">
        <v>1052</v>
      </c>
      <c r="G419" s="14" t="str">
        <f>'2026 Orders'!G418</f>
        <v>POLYSIT-90-RE</v>
      </c>
      <c r="H419" s="14" t="str">
        <f>'2026 Orders'!H418</f>
        <v>POLYSIT-90</v>
      </c>
      <c r="I419" s="15" t="str">
        <f>'2026 Orders'!I418</f>
        <v>RE</v>
      </c>
      <c r="J419" s="14">
        <f>'2026 Orders'!J418</f>
        <v>1008</v>
      </c>
      <c r="K419">
        <v>0</v>
      </c>
      <c r="L419">
        <v>0</v>
      </c>
      <c r="N419" s="10" t="str">
        <f>'2026 Orders'!N418</f>
        <v>Out of Stock</v>
      </c>
      <c r="O419">
        <v>0</v>
      </c>
      <c r="P419">
        <v>0</v>
      </c>
      <c r="Q419">
        <v>0</v>
      </c>
      <c r="R419">
        <v>5000</v>
      </c>
      <c r="S419">
        <v>5041</v>
      </c>
      <c r="T419">
        <v>46248</v>
      </c>
      <c r="U419" t="s">
        <v>1090</v>
      </c>
      <c r="V419">
        <v>0</v>
      </c>
      <c r="W419">
        <v>0</v>
      </c>
      <c r="X419">
        <v>0</v>
      </c>
      <c r="Y419">
        <v>0</v>
      </c>
      <c r="Z419">
        <v>0</v>
      </c>
      <c r="AC419" t="str">
        <f>IF(OR(B419="",B419=0),"",$AJ$2&amp;"/"&amp;J419)</f>
        <v>/1008</v>
      </c>
      <c r="AD419" t="e">
        <f t="shared" si="6"/>
        <v>#VALUE!</v>
      </c>
    </row>
    <row r="420" spans="2:30" ht="33" hidden="1" customHeight="1" x14ac:dyDescent="0.3">
      <c r="B420" s="14" t="str">
        <f>'2026 Orders'!B419</f>
        <v>UAE</v>
      </c>
      <c r="C420" s="14" t="str">
        <f>'2026 Orders'!C419</f>
        <v>A4712</v>
      </c>
      <c r="D420" s="14" t="s">
        <v>1074</v>
      </c>
      <c r="E420" s="17" t="str" cm="1">
        <f t="array" ref="E420">IF(C420=0,"",
HYPERLINK(
"#'2026 Orders'!C"&amp;
MATCH(1,
('2026 Orders'!C:C=C420)*
('2026 Orders'!G:G=G420)*
('2026 Orders'!N:N=N420),
0),
"Open "&amp;C420
))</f>
        <v>Open A4712</v>
      </c>
      <c r="F420" s="14" t="s">
        <v>1052</v>
      </c>
      <c r="G420" s="14" t="str">
        <f>'2026 Orders'!G419</f>
        <v>XTRAD10-60-FD</v>
      </c>
      <c r="H420" s="14" t="str">
        <f>'2026 Orders'!H419</f>
        <v>XTRAD10-60</v>
      </c>
      <c r="I420" s="15" t="str">
        <f>'2026 Orders'!I419</f>
        <v>FD</v>
      </c>
      <c r="J420" s="14">
        <f>'2026 Orders'!J419</f>
        <v>2016</v>
      </c>
      <c r="K420">
        <v>0</v>
      </c>
      <c r="L420">
        <v>0</v>
      </c>
      <c r="N420" s="10" t="str">
        <f>'2026 Orders'!N419</f>
        <v>Out of Stock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C420" t="str">
        <f>IF(OR(B420="",B420=0),"",$AJ$2&amp;"/"&amp;J420)</f>
        <v>/2016</v>
      </c>
      <c r="AD420" t="e">
        <f t="shared" si="6"/>
        <v>#VALUE!</v>
      </c>
    </row>
    <row r="421" spans="2:30" ht="33" hidden="1" customHeight="1" x14ac:dyDescent="0.3">
      <c r="B421" s="14" t="str">
        <f>'2026 Orders'!B420</f>
        <v>UAE</v>
      </c>
      <c r="C421" s="14" t="str">
        <f>'2026 Orders'!C420</f>
        <v>A4712</v>
      </c>
      <c r="D421" s="14">
        <v>0</v>
      </c>
      <c r="E421" s="17" t="str" cm="1">
        <f t="array" ref="E421">IF(C421=0,"",
HYPERLINK(
"#'2026 Orders'!C"&amp;
MATCH(1,
('2026 Orders'!C:C=C421)*
('2026 Orders'!G:G=G421)*
('2026 Orders'!N:N=N421),
0),
"Open "&amp;C421
))</f>
        <v>Open A4712</v>
      </c>
      <c r="F421" s="14">
        <v>0</v>
      </c>
      <c r="G421" s="14" t="str">
        <f>'2026 Orders'!G420</f>
        <v xml:space="preserve">ZINC25-60-FD </v>
      </c>
      <c r="H421" s="14" t="str">
        <f>'2026 Orders'!H420</f>
        <v>ZINC25-60</v>
      </c>
      <c r="I421" s="15" t="str">
        <f>'2026 Orders'!I420</f>
        <v xml:space="preserve">FD </v>
      </c>
      <c r="J421" s="14">
        <f>'2026 Orders'!J420</f>
        <v>1008</v>
      </c>
      <c r="K421">
        <v>0</v>
      </c>
      <c r="L421">
        <v>0</v>
      </c>
      <c r="N421" s="10" t="str">
        <f>'2026 Orders'!N420</f>
        <v>Out of Stock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C421" t="str">
        <f>IF(OR(B421="",B421=0),"",$AJ$2&amp;"/"&amp;J421)</f>
        <v>/1008</v>
      </c>
      <c r="AD421" t="e">
        <f t="shared" si="6"/>
        <v>#VALUE!</v>
      </c>
    </row>
    <row r="422" spans="2:30" ht="33" hidden="1" customHeight="1" x14ac:dyDescent="0.3">
      <c r="B422" s="14" t="str">
        <f>'2026 Orders'!B421</f>
        <v>UAE</v>
      </c>
      <c r="C422" s="14" t="str">
        <f>'2026 Orders'!C421</f>
        <v>A4712</v>
      </c>
      <c r="D422" s="14" t="s">
        <v>1057</v>
      </c>
      <c r="E422" s="17" t="str" cm="1">
        <f t="array" ref="E422">IF(C422=0,"",
HYPERLINK(
"#'2026 Orders'!C"&amp;
MATCH(1,
('2026 Orders'!C:C=C422)*
('2026 Orders'!G:G=G422)*
('2026 Orders'!N:N=N422),
0),
"Open "&amp;C422
))</f>
        <v>Open A4712</v>
      </c>
      <c r="F422" s="14" t="s">
        <v>1059</v>
      </c>
      <c r="G422" s="14" t="str">
        <f>'2026 Orders'!G421</f>
        <v>ZINC50-60-FD</v>
      </c>
      <c r="H422" s="14" t="str">
        <f>'2026 Orders'!H421</f>
        <v>ZINC50-60</v>
      </c>
      <c r="I422" s="15" t="str">
        <f>'2026 Orders'!I421</f>
        <v>FD</v>
      </c>
      <c r="J422" s="14">
        <f>'2026 Orders'!J421</f>
        <v>1008</v>
      </c>
      <c r="K422">
        <v>0</v>
      </c>
      <c r="L422">
        <v>240</v>
      </c>
      <c r="N422" s="10" t="str">
        <f>'2026 Orders'!N421</f>
        <v>Out of Stock</v>
      </c>
      <c r="O422">
        <v>46227</v>
      </c>
      <c r="P422" t="s">
        <v>1077</v>
      </c>
      <c r="Q422">
        <v>609788968108</v>
      </c>
      <c r="R422">
        <v>4000</v>
      </c>
      <c r="S422">
        <v>4941</v>
      </c>
      <c r="T422" t="s">
        <v>1103</v>
      </c>
      <c r="U422">
        <v>0</v>
      </c>
      <c r="V422">
        <v>0</v>
      </c>
      <c r="W422">
        <v>0</v>
      </c>
      <c r="X422">
        <v>0</v>
      </c>
      <c r="Y422">
        <v>0</v>
      </c>
      <c r="Z422" t="s">
        <v>1083</v>
      </c>
      <c r="AC422" t="str">
        <f>IF(OR(B422="",B422=0),"",$AJ$2&amp;"/"&amp;J422)</f>
        <v>/1008</v>
      </c>
      <c r="AD422" t="e">
        <f t="shared" si="6"/>
        <v>#VALUE!</v>
      </c>
    </row>
    <row r="423" spans="2:30" ht="33" hidden="1" customHeight="1" x14ac:dyDescent="0.3">
      <c r="B423" s="14">
        <f>'2026 Orders'!B422</f>
        <v>0</v>
      </c>
      <c r="C423" s="14">
        <f>'2026 Orders'!C422</f>
        <v>0</v>
      </c>
      <c r="D423" s="14">
        <v>0</v>
      </c>
      <c r="E423" s="17" t="str" cm="1">
        <f t="array" ref="E423">IF(C423=0,"",
HYPERLINK(
"#'2026 Orders'!C"&amp;
MATCH(1,
('2026 Orders'!C:C=C423)*
('2026 Orders'!G:G=G423)*
('2026 Orders'!N:N=N423),
0),
"Open "&amp;C423
))</f>
        <v/>
      </c>
      <c r="F423" s="14">
        <v>0</v>
      </c>
      <c r="G423" s="14">
        <f>'2026 Orders'!G422</f>
        <v>0</v>
      </c>
      <c r="H423" s="14">
        <f>'2026 Orders'!H422</f>
        <v>0</v>
      </c>
      <c r="I423" s="15" t="str">
        <f>'2026 Orders'!I422</f>
        <v/>
      </c>
      <c r="J423" s="14">
        <f>'2026 Orders'!J422</f>
        <v>0</v>
      </c>
      <c r="K423">
        <v>0</v>
      </c>
      <c r="L423">
        <v>0</v>
      </c>
      <c r="N423" s="10">
        <f>'2026 Orders'!N422</f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C423" t="str">
        <f>IF(OR(B423="",B423=0),"",$AJ$2&amp;"/"&amp;J423)</f>
        <v/>
      </c>
      <c r="AD423" t="str">
        <f t="shared" si="6"/>
        <v/>
      </c>
    </row>
    <row r="424" spans="2:30" ht="33" hidden="1" customHeight="1" x14ac:dyDescent="0.3">
      <c r="B424" s="14" t="str">
        <f>'2026 Orders'!B423</f>
        <v>Lebanon</v>
      </c>
      <c r="C424" s="14" t="str">
        <f>'2026 Orders'!C423</f>
        <v>A4713</v>
      </c>
      <c r="D424" s="14">
        <v>0</v>
      </c>
      <c r="E424" s="17" t="str" cm="1">
        <f t="array" ref="E424">IF(C424=0,"",
HYPERLINK(
"#'2026 Orders'!C"&amp;
MATCH(1,
('2026 Orders'!C:C=C424)*
('2026 Orders'!G:G=G424)*
('2026 Orders'!N:N=N424),
0),
"Open "&amp;C424
))</f>
        <v>Open A4713</v>
      </c>
      <c r="F424" s="14">
        <v>0</v>
      </c>
      <c r="G424" s="14" t="str">
        <f>'2026 Orders'!G423</f>
        <v>NMNH-60-FD</v>
      </c>
      <c r="H424" s="14" t="str">
        <f>'2026 Orders'!H423</f>
        <v>NMNH-60</v>
      </c>
      <c r="I424" s="15" t="str">
        <f>'2026 Orders'!I423</f>
        <v>FD</v>
      </c>
      <c r="J424" s="14">
        <f>'2026 Orders'!J423</f>
        <v>400</v>
      </c>
      <c r="K424">
        <v>0</v>
      </c>
      <c r="L424">
        <v>0</v>
      </c>
      <c r="N424" s="10" t="str">
        <f>'2026 Orders'!N423</f>
        <v>Rework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C424" t="str">
        <f>IF(OR(B424="",B424=0),"",$AJ$2&amp;"/"&amp;J424)</f>
        <v>/400</v>
      </c>
      <c r="AD424" t="e">
        <f t="shared" si="6"/>
        <v>#VALUE!</v>
      </c>
    </row>
    <row r="425" spans="2:30" ht="33" hidden="1" customHeight="1" x14ac:dyDescent="0.3">
      <c r="B425" s="14" t="str">
        <f>'2026 Orders'!B424</f>
        <v>Lebanon</v>
      </c>
      <c r="C425" s="14" t="str">
        <f>'2026 Orders'!C424</f>
        <v>A4713</v>
      </c>
      <c r="D425" s="14">
        <v>0</v>
      </c>
      <c r="E425" s="17" t="str" cm="1">
        <f t="array" ref="E425">IF(C425=0,"",
HYPERLINK(
"#'2026 Orders'!C"&amp;
MATCH(1,
('2026 Orders'!C:C=C425)*
('2026 Orders'!G:G=G425)*
('2026 Orders'!N:N=N425),
0),
"Open "&amp;C425
))</f>
        <v>Open A4713</v>
      </c>
      <c r="F425" s="14">
        <v>0</v>
      </c>
      <c r="G425" s="14" t="str">
        <f>'2026 Orders'!G424</f>
        <v>PEARLY-60-FD</v>
      </c>
      <c r="H425" s="14" t="str">
        <f>'2026 Orders'!H424</f>
        <v>PEARLY-60</v>
      </c>
      <c r="I425" s="15" t="str">
        <f>'2026 Orders'!I424</f>
        <v>FD</v>
      </c>
      <c r="J425" s="14">
        <f>'2026 Orders'!J424</f>
        <v>300</v>
      </c>
      <c r="K425">
        <v>0</v>
      </c>
      <c r="L425">
        <v>0</v>
      </c>
      <c r="N425" s="10" t="str">
        <f>'2026 Orders'!N424</f>
        <v>Rework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C425" t="str">
        <f>IF(OR(B425="",B425=0),"",$AJ$2&amp;"/"&amp;J425)</f>
        <v>/300</v>
      </c>
      <c r="AD425" t="e">
        <f t="shared" si="6"/>
        <v>#VALUE!</v>
      </c>
    </row>
    <row r="426" spans="2:30" ht="33" hidden="1" customHeight="1" x14ac:dyDescent="0.3">
      <c r="B426" s="14">
        <f>'2026 Orders'!B425</f>
        <v>0</v>
      </c>
      <c r="C426" s="14">
        <f>'2026 Orders'!C425</f>
        <v>0</v>
      </c>
      <c r="D426" s="14">
        <v>0</v>
      </c>
      <c r="E426" s="17" t="str" cm="1">
        <f t="array" ref="E426">IF(C426=0,"",
HYPERLINK(
"#'2026 Orders'!C"&amp;
MATCH(1,
('2026 Orders'!C:C=C426)*
('2026 Orders'!G:G=G426)*
('2026 Orders'!N:N=N426),
0),
"Open "&amp;C426
))</f>
        <v/>
      </c>
      <c r="F426" s="14">
        <v>0</v>
      </c>
      <c r="G426" s="14">
        <f>'2026 Orders'!G425</f>
        <v>0</v>
      </c>
      <c r="H426" s="14">
        <f>'2026 Orders'!H425</f>
        <v>0</v>
      </c>
      <c r="I426" s="15" t="str">
        <f>'2026 Orders'!I425</f>
        <v/>
      </c>
      <c r="J426" s="14">
        <f>'2026 Orders'!J425</f>
        <v>0</v>
      </c>
      <c r="K426">
        <v>0</v>
      </c>
      <c r="L426">
        <v>0</v>
      </c>
      <c r="N426" s="10">
        <f>'2026 Orders'!N425</f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C426" t="str">
        <f>IF(OR(B426="",B426=0),"",$AJ$2&amp;"/"&amp;J426)</f>
        <v/>
      </c>
      <c r="AD426" t="str">
        <f t="shared" si="6"/>
        <v/>
      </c>
    </row>
    <row r="427" spans="2:30" ht="33" hidden="1" customHeight="1" x14ac:dyDescent="0.3">
      <c r="B427" s="14" t="str">
        <f>'2026 Orders'!B426</f>
        <v>Qatar</v>
      </c>
      <c r="C427" s="14" t="str">
        <f>'2026 Orders'!C426</f>
        <v>A4714</v>
      </c>
      <c r="D427" s="14">
        <v>0</v>
      </c>
      <c r="E427" s="17" t="str" cm="1">
        <f t="array" ref="E427">IF(C427=0,"",
HYPERLINK(
"#'2026 Orders'!C"&amp;
MATCH(1,
('2026 Orders'!C:C=C427)*
('2026 Orders'!G:G=G427)*
('2026 Orders'!N:N=N427),
0),
"Open "&amp;C427
))</f>
        <v>Open A4714</v>
      </c>
      <c r="F427" s="14">
        <v>0</v>
      </c>
      <c r="G427" s="14" t="str">
        <f>'2026 Orders'!G426</f>
        <v>SPERMCT-60-CS-QT</v>
      </c>
      <c r="H427" s="14" t="str">
        <f>'2026 Orders'!H426</f>
        <v>SPERMCT-60</v>
      </c>
      <c r="I427" s="15" t="str">
        <f>'2026 Orders'!I426</f>
        <v>QT</v>
      </c>
      <c r="J427" s="14">
        <f>'2026 Orders'!J426</f>
        <v>1100</v>
      </c>
      <c r="K427">
        <v>0</v>
      </c>
      <c r="L427">
        <v>0</v>
      </c>
      <c r="N427" s="10" t="str">
        <f>'2026 Orders'!N426</f>
        <v>Available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C427" t="str">
        <f>IF(OR(B427="",B427=0),"",$AJ$2&amp;"/"&amp;J427)</f>
        <v>/1100</v>
      </c>
      <c r="AD427" t="e">
        <f t="shared" si="6"/>
        <v>#VALUE!</v>
      </c>
    </row>
    <row r="428" spans="2:30" ht="33" hidden="1" customHeight="1" x14ac:dyDescent="0.3">
      <c r="B428" s="14" t="str">
        <f>'2026 Orders'!B427</f>
        <v>Qatar</v>
      </c>
      <c r="C428" s="14" t="str">
        <f>'2026 Orders'!C427</f>
        <v>A4714</v>
      </c>
      <c r="D428" s="14">
        <v>0</v>
      </c>
      <c r="E428" s="17" t="str" cm="1">
        <f t="array" ref="E428">IF(C428=0,"",
HYPERLINK(
"#'2026 Orders'!C"&amp;
MATCH(1,
('2026 Orders'!C:C=C428)*
('2026 Orders'!G:G=G428)*
('2026 Orders'!N:N=N428),
0),
"Open "&amp;C428
))</f>
        <v>Open A4714</v>
      </c>
      <c r="F428" s="14">
        <v>0</v>
      </c>
      <c r="G428" s="14" t="str">
        <f>'2026 Orders'!G427</f>
        <v>WFSPLS-180-CS-QT</v>
      </c>
      <c r="H428" s="14" t="str">
        <f>'2026 Orders'!H427</f>
        <v>WFSPLS-180</v>
      </c>
      <c r="I428" s="15" t="str">
        <f>'2026 Orders'!I427</f>
        <v>QT</v>
      </c>
      <c r="J428" s="14">
        <f>'2026 Orders'!J427</f>
        <v>550</v>
      </c>
      <c r="K428">
        <v>0</v>
      </c>
      <c r="L428">
        <v>0</v>
      </c>
      <c r="N428" s="10" t="str">
        <f>'2026 Orders'!N427</f>
        <v>Available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C428" t="str">
        <f>IF(OR(B428="",B428=0),"",$AJ$2&amp;"/"&amp;J428)</f>
        <v>/550</v>
      </c>
      <c r="AD428" t="e">
        <f t="shared" si="6"/>
        <v>#VALUE!</v>
      </c>
    </row>
    <row r="429" spans="2:30" ht="33" hidden="1" customHeight="1" x14ac:dyDescent="0.3">
      <c r="B429" s="14" t="str">
        <f>'2026 Orders'!B428</f>
        <v>Qatar</v>
      </c>
      <c r="C429" s="14" t="str">
        <f>'2026 Orders'!C428</f>
        <v>A4714</v>
      </c>
      <c r="D429" s="14">
        <v>0</v>
      </c>
      <c r="E429" s="17" t="str" cm="1">
        <f t="array" ref="E429">IF(C429=0,"",
HYPERLINK(
"#'2026 Orders'!C"&amp;
MATCH(1,
('2026 Orders'!C:C=C429)*
('2026 Orders'!G:G=G429)*
('2026 Orders'!N:N=N429),
0),
"Open "&amp;C429
))</f>
        <v>Open A4714</v>
      </c>
      <c r="F429" s="14">
        <v>0</v>
      </c>
      <c r="G429" s="14" t="str">
        <f>'2026 Orders'!G428</f>
        <v>METRIO-60-CS-QT</v>
      </c>
      <c r="H429" s="14" t="str">
        <f>'2026 Orders'!H428</f>
        <v>METRIO-60</v>
      </c>
      <c r="I429" s="15" t="str">
        <f>'2026 Orders'!I428</f>
        <v>QT</v>
      </c>
      <c r="J429" s="14">
        <f>'2026 Orders'!J428</f>
        <v>550</v>
      </c>
      <c r="K429">
        <v>0</v>
      </c>
      <c r="L429">
        <v>0</v>
      </c>
      <c r="N429" s="10" t="str">
        <f>'2026 Orders'!N428</f>
        <v>Rework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C429" t="str">
        <f>IF(OR(B429="",B429=0),"",$AJ$2&amp;"/"&amp;J429)</f>
        <v>/550</v>
      </c>
      <c r="AD429" t="e">
        <f t="shared" si="6"/>
        <v>#VALUE!</v>
      </c>
    </row>
    <row r="430" spans="2:30" ht="33" hidden="1" customHeight="1" x14ac:dyDescent="0.3">
      <c r="B430" s="14" t="str">
        <f>'2026 Orders'!B429</f>
        <v>Qatar</v>
      </c>
      <c r="C430" s="14" t="str">
        <f>'2026 Orders'!C429</f>
        <v>A4714</v>
      </c>
      <c r="D430" s="14">
        <v>0</v>
      </c>
      <c r="E430" s="17" t="str" cm="1">
        <f t="array" ref="E430">IF(C430=0,"",
HYPERLINK(
"#'2026 Orders'!C"&amp;
MATCH(1,
('2026 Orders'!C:C=C430)*
('2026 Orders'!G:G=G430)*
('2026 Orders'!N:N=N430),
0),
"Open "&amp;C430
))</f>
        <v>Open A4714</v>
      </c>
      <c r="F430" s="14">
        <v>0</v>
      </c>
      <c r="G430" s="14" t="str">
        <f>'2026 Orders'!G429</f>
        <v>BIO5K-60-CS-QT</v>
      </c>
      <c r="H430" s="14" t="str">
        <f>'2026 Orders'!H429</f>
        <v>BIO5K-60</v>
      </c>
      <c r="I430" s="15" t="str">
        <f>'2026 Orders'!I429</f>
        <v>QT</v>
      </c>
      <c r="J430" s="14">
        <f>'2026 Orders'!J429</f>
        <v>126</v>
      </c>
      <c r="K430">
        <v>0</v>
      </c>
      <c r="L430">
        <v>0</v>
      </c>
      <c r="N430" s="10" t="str">
        <f>'2026 Orders'!N429</f>
        <v>Available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C430" t="str">
        <f>IF(OR(B430="",B430=0),"",$AJ$2&amp;"/"&amp;J430)</f>
        <v>/126</v>
      </c>
      <c r="AD430" t="e">
        <f t="shared" si="6"/>
        <v>#VALUE!</v>
      </c>
    </row>
    <row r="431" spans="2:30" ht="33" hidden="1" customHeight="1" x14ac:dyDescent="0.3">
      <c r="B431" s="14" t="str">
        <f>'2026 Orders'!B430</f>
        <v>Qatar</v>
      </c>
      <c r="C431" s="14" t="str">
        <f>'2026 Orders'!C430</f>
        <v>A4714</v>
      </c>
      <c r="D431" s="14">
        <v>0</v>
      </c>
      <c r="E431" s="17" t="str" cm="1">
        <f t="array" ref="E431">IF(C431=0,"",
HYPERLINK(
"#'2026 Orders'!C"&amp;
MATCH(1,
('2026 Orders'!C:C=C431)*
('2026 Orders'!G:G=G431)*
('2026 Orders'!N:N=N431),
0),
"Open "&amp;C431
))</f>
        <v>Open A4714</v>
      </c>
      <c r="F431" s="14">
        <v>0</v>
      </c>
      <c r="G431" s="14" t="str">
        <f>'2026 Orders'!G430</f>
        <v>EYECAP-30-CS-QT</v>
      </c>
      <c r="H431" s="14" t="str">
        <f>'2026 Orders'!H430</f>
        <v>EYECAP-30</v>
      </c>
      <c r="I431" s="15" t="str">
        <f>'2026 Orders'!I430</f>
        <v>QT</v>
      </c>
      <c r="J431" s="14">
        <f>'2026 Orders'!J430</f>
        <v>720</v>
      </c>
      <c r="K431">
        <v>0</v>
      </c>
      <c r="L431">
        <v>0</v>
      </c>
      <c r="N431" s="10" t="str">
        <f>'2026 Orders'!N430</f>
        <v>Available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C431" t="str">
        <f>IF(OR(B431="",B431=0),"",$AJ$2&amp;"/"&amp;J431)</f>
        <v>/720</v>
      </c>
      <c r="AD431" t="e">
        <f t="shared" si="6"/>
        <v>#VALUE!</v>
      </c>
    </row>
    <row r="432" spans="2:30" ht="33" hidden="1" customHeight="1" x14ac:dyDescent="0.3">
      <c r="B432" s="14">
        <f>'2026 Orders'!B431</f>
        <v>0</v>
      </c>
      <c r="C432" s="14">
        <f>'2026 Orders'!C431</f>
        <v>0</v>
      </c>
      <c r="D432" s="14">
        <v>0</v>
      </c>
      <c r="E432" s="17" t="str" cm="1">
        <f t="array" ref="E432">IF(C432=0,"",
HYPERLINK(
"#'2026 Orders'!C"&amp;
MATCH(1,
('2026 Orders'!C:C=C432)*
('2026 Orders'!G:G=G432)*
('2026 Orders'!N:N=N432),
0),
"Open "&amp;C432
))</f>
        <v/>
      </c>
      <c r="F432" s="14">
        <v>0</v>
      </c>
      <c r="G432" s="14">
        <f>'2026 Orders'!G431</f>
        <v>0</v>
      </c>
      <c r="H432" s="14">
        <f>'2026 Orders'!H431</f>
        <v>0</v>
      </c>
      <c r="I432" s="15" t="str">
        <f>'2026 Orders'!I431</f>
        <v/>
      </c>
      <c r="J432" s="14">
        <f>'2026 Orders'!J431</f>
        <v>0</v>
      </c>
      <c r="K432">
        <v>0</v>
      </c>
      <c r="L432">
        <v>0</v>
      </c>
      <c r="N432" s="10">
        <f>'2026 Orders'!N431</f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C432" t="str">
        <f>IF(OR(B432="",B432=0),"",$AJ$2&amp;"/"&amp;J432)</f>
        <v/>
      </c>
      <c r="AD432" t="str">
        <f t="shared" si="6"/>
        <v/>
      </c>
    </row>
    <row r="433" spans="2:30" ht="33" hidden="1" customHeight="1" x14ac:dyDescent="0.3">
      <c r="B433" s="14" t="str">
        <f>'2026 Orders'!B432</f>
        <v>Qatar</v>
      </c>
      <c r="C433" s="14" t="str">
        <f>'2026 Orders'!C432</f>
        <v>A4715</v>
      </c>
      <c r="D433" s="14">
        <v>0</v>
      </c>
      <c r="E433" s="17" t="str" cm="1">
        <f t="array" ref="E433">IF(C433=0,"",
HYPERLINK(
"#'2026 Orders'!C"&amp;
MATCH(1,
('2026 Orders'!C:C=C433)*
('2026 Orders'!G:G=G433)*
('2026 Orders'!N:N=N433),
0),
"Open "&amp;C433
))</f>
        <v>Open A4715</v>
      </c>
      <c r="F433" s="14">
        <v>0</v>
      </c>
      <c r="G433" s="14" t="str">
        <f>'2026 Orders'!G432</f>
        <v>ROYALPL-30-CS-QT</v>
      </c>
      <c r="H433" s="14" t="str">
        <f>'2026 Orders'!H432</f>
        <v>ROYALPL-30</v>
      </c>
      <c r="I433" s="15" t="str">
        <f>'2026 Orders'!I432</f>
        <v>QT</v>
      </c>
      <c r="J433" s="14">
        <f>'2026 Orders'!J432</f>
        <v>1000</v>
      </c>
      <c r="K433">
        <v>0</v>
      </c>
      <c r="L433">
        <v>0</v>
      </c>
      <c r="N433" s="10" t="str">
        <f>'2026 Orders'!N432</f>
        <v>Available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C433" t="str">
        <f>IF(OR(B433="",B433=0),"",$AJ$2&amp;"/"&amp;J433)</f>
        <v>/1000</v>
      </c>
      <c r="AD433" t="e">
        <f t="shared" si="6"/>
        <v>#VALUE!</v>
      </c>
    </row>
    <row r="434" spans="2:30" ht="33" hidden="1" customHeight="1" x14ac:dyDescent="0.3">
      <c r="B434" s="14" t="str">
        <f>'2026 Orders'!B433</f>
        <v>Qatar</v>
      </c>
      <c r="C434" s="14" t="str">
        <f>'2026 Orders'!C433</f>
        <v>A4715</v>
      </c>
      <c r="D434" s="14">
        <v>0</v>
      </c>
      <c r="E434" s="17" t="str" cm="1">
        <f t="array" ref="E434">IF(C434=0,"",
HYPERLINK(
"#'2026 Orders'!C"&amp;
MATCH(1,
('2026 Orders'!C:C=C434)*
('2026 Orders'!G:G=G434)*
('2026 Orders'!N:N=N434),
0),
"Open "&amp;C434
))</f>
        <v>Open A4715</v>
      </c>
      <c r="F434" s="14">
        <v>0</v>
      </c>
      <c r="G434" s="14" t="str">
        <f>'2026 Orders'!G433</f>
        <v>OVAMANM-120-CS-QT</v>
      </c>
      <c r="H434" s="14" t="str">
        <f>'2026 Orders'!H433</f>
        <v>OVAMANM-120</v>
      </c>
      <c r="I434" s="15" t="str">
        <f>'2026 Orders'!I433</f>
        <v>QT</v>
      </c>
      <c r="J434" s="14">
        <f>'2026 Orders'!J433</f>
        <v>1500</v>
      </c>
      <c r="K434">
        <v>0</v>
      </c>
      <c r="L434">
        <v>0</v>
      </c>
      <c r="N434" s="10" t="str">
        <f>'2026 Orders'!N433</f>
        <v>Available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C434" t="str">
        <f>IF(OR(B434="",B434=0),"",$AJ$2&amp;"/"&amp;J434)</f>
        <v>/1500</v>
      </c>
      <c r="AD434" t="e">
        <f t="shared" si="6"/>
        <v>#VALUE!</v>
      </c>
    </row>
    <row r="435" spans="2:30" ht="33" hidden="1" customHeight="1" x14ac:dyDescent="0.3">
      <c r="B435" s="14" t="str">
        <f>'2026 Orders'!B434</f>
        <v>Qatar</v>
      </c>
      <c r="C435" s="14" t="str">
        <f>'2026 Orders'!C434</f>
        <v>A4715</v>
      </c>
      <c r="D435" s="14">
        <v>0</v>
      </c>
      <c r="E435" s="17" t="str" cm="1">
        <f t="array" ref="E435">IF(C435=0,"",
HYPERLINK(
"#'2026 Orders'!C"&amp;
MATCH(1,
('2026 Orders'!C:C=C435)*
('2026 Orders'!G:G=G435)*
('2026 Orders'!N:N=N435),
0),
"Open "&amp;C435
))</f>
        <v>Open A4715</v>
      </c>
      <c r="F435" s="14">
        <v>0</v>
      </c>
      <c r="G435" s="14" t="str">
        <f>'2026 Orders'!G434</f>
        <v>PRECON-90-CS-QT</v>
      </c>
      <c r="H435" s="14" t="str">
        <f>'2026 Orders'!H434</f>
        <v>PRECON-90</v>
      </c>
      <c r="I435" s="15" t="str">
        <f>'2026 Orders'!I434</f>
        <v>QT</v>
      </c>
      <c r="J435" s="14">
        <f>'2026 Orders'!J434</f>
        <v>1500</v>
      </c>
      <c r="K435">
        <v>0</v>
      </c>
      <c r="L435">
        <v>0</v>
      </c>
      <c r="N435" s="10" t="str">
        <f>'2026 Orders'!N434</f>
        <v>Available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C435" t="str">
        <f>IF(OR(B435="",B435=0),"",$AJ$2&amp;"/"&amp;J435)</f>
        <v>/1500</v>
      </c>
      <c r="AD435" t="e">
        <f t="shared" si="6"/>
        <v>#VALUE!</v>
      </c>
    </row>
    <row r="436" spans="2:30" ht="33" hidden="1" customHeight="1" x14ac:dyDescent="0.3">
      <c r="B436" s="14">
        <f>'2026 Orders'!B435</f>
        <v>0</v>
      </c>
      <c r="C436" s="14">
        <f>'2026 Orders'!C435</f>
        <v>0</v>
      </c>
      <c r="D436" s="14">
        <v>0</v>
      </c>
      <c r="E436" s="17" t="str" cm="1">
        <f t="array" ref="E436">IF(C436=0,"",
HYPERLINK(
"#'2026 Orders'!C"&amp;
MATCH(1,
('2026 Orders'!C:C=C436)*
('2026 Orders'!G:G=G436)*
('2026 Orders'!N:N=N436),
0),
"Open "&amp;C436
))</f>
        <v/>
      </c>
      <c r="F436" s="14">
        <v>0</v>
      </c>
      <c r="G436" s="14">
        <f>'2026 Orders'!G435</f>
        <v>0</v>
      </c>
      <c r="H436" s="14">
        <f>'2026 Orders'!H435</f>
        <v>0</v>
      </c>
      <c r="I436" s="15" t="str">
        <f>'2026 Orders'!I435</f>
        <v/>
      </c>
      <c r="J436" s="14">
        <f>'2026 Orders'!J435</f>
        <v>0</v>
      </c>
      <c r="K436">
        <v>0</v>
      </c>
      <c r="L436">
        <v>0</v>
      </c>
      <c r="N436" s="10">
        <f>'2026 Orders'!N435</f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C436" t="str">
        <f>IF(OR(B436="",B436=0),"",$AJ$2&amp;"/"&amp;J436)</f>
        <v/>
      </c>
      <c r="AD436" t="str">
        <f t="shared" si="6"/>
        <v/>
      </c>
    </row>
    <row r="437" spans="2:30" ht="33" hidden="1" customHeight="1" x14ac:dyDescent="0.3">
      <c r="B437" s="14" t="str">
        <f>'2026 Orders'!B436</f>
        <v>Sudan</v>
      </c>
      <c r="C437" s="14" t="str">
        <f>'2026 Orders'!C436</f>
        <v>A4716</v>
      </c>
      <c r="D437" s="14">
        <v>0</v>
      </c>
      <c r="E437" s="17" t="str" cm="1">
        <f t="array" ref="E437">IF(C437=0,"",
HYPERLINK(
"#'2026 Orders'!C"&amp;
MATCH(1,
('2026 Orders'!C:C=C437)*
('2026 Orders'!G:G=G437)*
('2026 Orders'!N:N=N437),
0),
"Open "&amp;C437
))</f>
        <v>Open A4716</v>
      </c>
      <c r="F437" s="14">
        <v>0</v>
      </c>
      <c r="G437" s="14" t="str">
        <f>'2026 Orders'!G436</f>
        <v>MFSPLS-120-RE</v>
      </c>
      <c r="H437" s="14" t="str">
        <f>'2026 Orders'!H436</f>
        <v>MFSPLS-120</v>
      </c>
      <c r="I437" s="15" t="str">
        <f>'2026 Orders'!I436</f>
        <v>RE</v>
      </c>
      <c r="J437" s="14">
        <f>'2026 Orders'!J436</f>
        <v>3395</v>
      </c>
      <c r="K437">
        <v>0</v>
      </c>
      <c r="L437">
        <v>0</v>
      </c>
      <c r="N437" s="10" t="str">
        <f>'2026 Orders'!N436</f>
        <v>Out of Stock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C437" t="str">
        <f>IF(OR(B437="",B437=0),"",$AJ$2&amp;"/"&amp;J437)</f>
        <v>/3395</v>
      </c>
      <c r="AD437" t="e">
        <f t="shared" si="6"/>
        <v>#VALUE!</v>
      </c>
    </row>
    <row r="438" spans="2:30" ht="33" hidden="1" customHeight="1" x14ac:dyDescent="0.3">
      <c r="B438" s="14" t="str">
        <f>'2026 Orders'!B437</f>
        <v>Sudan</v>
      </c>
      <c r="C438" s="14" t="str">
        <f>'2026 Orders'!C437</f>
        <v>A4716</v>
      </c>
      <c r="D438" s="14">
        <v>0</v>
      </c>
      <c r="E438" s="17" t="str" cm="1">
        <f t="array" ref="E438">IF(C438=0,"",
HYPERLINK(
"#'2026 Orders'!C"&amp;
MATCH(1,
('2026 Orders'!C:C=C438)*
('2026 Orders'!G:G=G438)*
('2026 Orders'!N:N=N438),
0),
"Open "&amp;C438
))</f>
        <v>Open A4716</v>
      </c>
      <c r="F438" s="14">
        <v>0</v>
      </c>
      <c r="G438" s="14" t="str">
        <f>'2026 Orders'!G437</f>
        <v>WFSPLS-180-RE</v>
      </c>
      <c r="H438" s="14" t="str">
        <f>'2026 Orders'!H437</f>
        <v>WFSPLS-180</v>
      </c>
      <c r="I438" s="15" t="str">
        <f>'2026 Orders'!I437</f>
        <v>RE</v>
      </c>
      <c r="J438" s="14">
        <f>'2026 Orders'!J437</f>
        <v>1298</v>
      </c>
      <c r="K438">
        <v>0</v>
      </c>
      <c r="L438">
        <v>0</v>
      </c>
      <c r="N438" s="10" t="str">
        <f>'2026 Orders'!N437</f>
        <v>Out of Stock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C438" t="str">
        <f>IF(OR(B438="",B438=0),"",$AJ$2&amp;"/"&amp;J438)</f>
        <v>/1298</v>
      </c>
      <c r="AD438" t="e">
        <f t="shared" si="6"/>
        <v>#VALUE!</v>
      </c>
    </row>
    <row r="439" spans="2:30" ht="33" hidden="1" customHeight="1" x14ac:dyDescent="0.3">
      <c r="B439" s="14" t="str">
        <f>'2026 Orders'!B438</f>
        <v>Sudan</v>
      </c>
      <c r="C439" s="14" t="str">
        <f>'2026 Orders'!C438</f>
        <v>A4716</v>
      </c>
      <c r="D439" s="14">
        <v>0</v>
      </c>
      <c r="E439" s="17" t="str" cm="1">
        <f t="array" ref="E439">IF(C439=0,"",
HYPERLINK(
"#'2026 Orders'!C"&amp;
MATCH(1,
('2026 Orders'!C:C=C439)*
('2026 Orders'!G:G=G439)*
('2026 Orders'!N:N=N439),
0),
"Open "&amp;C439
))</f>
        <v>Open A4716</v>
      </c>
      <c r="F439" s="14">
        <v>0</v>
      </c>
      <c r="G439" s="14" t="str">
        <f>'2026 Orders'!G438</f>
        <v>PRECON-180-RE</v>
      </c>
      <c r="H439" s="14" t="str">
        <f>'2026 Orders'!H438</f>
        <v>PRECON-180</v>
      </c>
      <c r="I439" s="15" t="str">
        <f>'2026 Orders'!I438</f>
        <v>RE</v>
      </c>
      <c r="J439" s="14">
        <f>'2026 Orders'!J438</f>
        <v>1048</v>
      </c>
      <c r="K439">
        <v>0</v>
      </c>
      <c r="L439">
        <v>0</v>
      </c>
      <c r="N439" s="10" t="str">
        <f>'2026 Orders'!N438</f>
        <v>Out of Stock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C439" t="str">
        <f>IF(OR(B439="",B439=0),"",$AJ$2&amp;"/"&amp;J439)</f>
        <v>/1048</v>
      </c>
      <c r="AD439" t="e">
        <f t="shared" si="6"/>
        <v>#VALUE!</v>
      </c>
    </row>
    <row r="440" spans="2:30" ht="33" hidden="1" customHeight="1" x14ac:dyDescent="0.3">
      <c r="B440" s="14" t="str">
        <f>'2026 Orders'!B439</f>
        <v>Sudan</v>
      </c>
      <c r="C440" s="14" t="str">
        <f>'2026 Orders'!C439</f>
        <v>A4716</v>
      </c>
      <c r="D440" s="14">
        <v>0</v>
      </c>
      <c r="E440" s="17" t="str" cm="1">
        <f t="array" ref="E440">IF(C440=0,"",
HYPERLINK(
"#'2026 Orders'!C"&amp;
MATCH(1,
('2026 Orders'!C:C=C440)*
('2026 Orders'!G:G=G440)*
('2026 Orders'!N:N=N440),
0),
"Open "&amp;C440
))</f>
        <v>Open A4716</v>
      </c>
      <c r="F440" s="14">
        <v>0</v>
      </c>
      <c r="G440" s="14" t="str">
        <f>'2026 Orders'!G439</f>
        <v>DHEA50-60-FD</v>
      </c>
      <c r="H440" s="14" t="str">
        <f>'2026 Orders'!H439</f>
        <v>DHEA50-60</v>
      </c>
      <c r="I440" s="15" t="str">
        <f>'2026 Orders'!I439</f>
        <v>FD</v>
      </c>
      <c r="J440" s="14">
        <f>'2026 Orders'!J439</f>
        <v>3395</v>
      </c>
      <c r="K440">
        <v>0</v>
      </c>
      <c r="L440">
        <v>0</v>
      </c>
      <c r="N440" s="10" t="str">
        <f>'2026 Orders'!N439</f>
        <v>Out of Stock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C440" t="str">
        <f>IF(OR(B440="",B440=0),"",$AJ$2&amp;"/"&amp;J440)</f>
        <v>/3395</v>
      </c>
      <c r="AD440" t="e">
        <f t="shared" si="6"/>
        <v>#VALUE!</v>
      </c>
    </row>
    <row r="441" spans="2:30" ht="33" hidden="1" customHeight="1" x14ac:dyDescent="0.3">
      <c r="B441" s="14" t="str">
        <f>'2026 Orders'!B440</f>
        <v>Sudan</v>
      </c>
      <c r="C441" s="14" t="str">
        <f>'2026 Orders'!C440</f>
        <v>A4716</v>
      </c>
      <c r="D441" s="14">
        <v>0</v>
      </c>
      <c r="E441" s="17" t="str" cm="1">
        <f t="array" ref="E441">IF(C441=0,"",
HYPERLINK(
"#'2026 Orders'!C"&amp;
MATCH(1,
('2026 Orders'!C:C=C441)*
('2026 Orders'!G:G=G441)*
('2026 Orders'!N:N=N441),
0),
"Open "&amp;C441
))</f>
        <v>Open A4716</v>
      </c>
      <c r="F441" s="14">
        <v>0</v>
      </c>
      <c r="G441" s="14" t="str">
        <f>'2026 Orders'!G440</f>
        <v>OVAMAX-120-RE</v>
      </c>
      <c r="H441" s="14" t="str">
        <f>'2026 Orders'!H440</f>
        <v>OVAMAX-120</v>
      </c>
      <c r="I441" s="15" t="str">
        <f>'2026 Orders'!I440</f>
        <v>RE</v>
      </c>
      <c r="J441" s="14">
        <f>'2026 Orders'!J440</f>
        <v>1847</v>
      </c>
      <c r="K441">
        <v>0</v>
      </c>
      <c r="L441">
        <v>0</v>
      </c>
      <c r="N441" s="10" t="str">
        <f>'2026 Orders'!N440</f>
        <v>PO Drafted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C441" t="str">
        <f>IF(OR(B441="",B441=0),"",$AJ$2&amp;"/"&amp;J441)</f>
        <v>/1847</v>
      </c>
      <c r="AD441" t="e">
        <f t="shared" si="6"/>
        <v>#VALUE!</v>
      </c>
    </row>
    <row r="442" spans="2:30" ht="33" hidden="1" customHeight="1" x14ac:dyDescent="0.3">
      <c r="B442" s="14" t="str">
        <f>'2026 Orders'!B441</f>
        <v>Sudan</v>
      </c>
      <c r="C442" s="14" t="str">
        <f>'2026 Orders'!C441</f>
        <v>A4716</v>
      </c>
      <c r="D442" s="14">
        <v>0</v>
      </c>
      <c r="E442" s="17" t="str" cm="1">
        <f t="array" ref="E442">IF(C442=0,"",
HYPERLINK(
"#'2026 Orders'!C"&amp;
MATCH(1,
('2026 Orders'!C:C=C442)*
('2026 Orders'!G:G=G442)*
('2026 Orders'!N:N=N442),
0),
"Open "&amp;C442
))</f>
        <v>Open A4716</v>
      </c>
      <c r="F442" s="14">
        <v>0</v>
      </c>
      <c r="G442" s="14" t="str">
        <f>'2026 Orders'!G441</f>
        <v>OSTEOPL-96-FD</v>
      </c>
      <c r="H442" s="14" t="str">
        <f>'2026 Orders'!H441</f>
        <v>OSTEOPL-96</v>
      </c>
      <c r="I442" s="15" t="str">
        <f>'2026 Orders'!I441</f>
        <v>FD</v>
      </c>
      <c r="J442" s="14">
        <f>'2026 Orders'!J441</f>
        <v>1048</v>
      </c>
      <c r="K442">
        <v>0</v>
      </c>
      <c r="L442">
        <v>0</v>
      </c>
      <c r="N442" s="10" t="str">
        <f>'2026 Orders'!N441</f>
        <v>Rework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C442" t="str">
        <f>IF(OR(B442="",B442=0),"",$AJ$2&amp;"/"&amp;J442)</f>
        <v>/1048</v>
      </c>
      <c r="AD442" t="e">
        <f t="shared" si="6"/>
        <v>#VALUE!</v>
      </c>
    </row>
    <row r="443" spans="2:30" ht="33" hidden="1" customHeight="1" x14ac:dyDescent="0.3">
      <c r="B443" s="14" t="str">
        <f>'2026 Orders'!B442</f>
        <v>Sudan</v>
      </c>
      <c r="C443" s="14" t="str">
        <f>'2026 Orders'!C442</f>
        <v>A4716</v>
      </c>
      <c r="D443" s="14">
        <v>0</v>
      </c>
      <c r="E443" s="17" t="str" cm="1">
        <f t="array" ref="E443">IF(C443=0,"",
HYPERLINK(
"#'2026 Orders'!C"&amp;
MATCH(1,
('2026 Orders'!C:C=C443)*
('2026 Orders'!G:G=G443)*
('2026 Orders'!N:N=N443),
0),
"Open "&amp;C443
))</f>
        <v>Open A4716</v>
      </c>
      <c r="F443" s="14">
        <v>0</v>
      </c>
      <c r="G443" s="14" t="str">
        <f>'2026 Orders'!G442</f>
        <v>PENAMAX-60-GE-CS-SU</v>
      </c>
      <c r="H443" s="14" t="str">
        <f>'2026 Orders'!H442</f>
        <v>PENAMAX-60</v>
      </c>
      <c r="I443" s="15" t="str">
        <f>'2026 Orders'!I442</f>
        <v>SU</v>
      </c>
      <c r="J443" s="14">
        <f>'2026 Orders'!J442</f>
        <v>749</v>
      </c>
      <c r="K443">
        <v>0</v>
      </c>
      <c r="L443">
        <v>0</v>
      </c>
      <c r="N443" s="10" t="str">
        <f>'2026 Orders'!N442</f>
        <v>Rework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C443" t="str">
        <f>IF(OR(B443="",B443=0),"",$AJ$2&amp;"/"&amp;J443)</f>
        <v>/749</v>
      </c>
      <c r="AD443" t="e">
        <f t="shared" si="6"/>
        <v>#VALUE!</v>
      </c>
    </row>
    <row r="444" spans="2:30" ht="33" hidden="1" customHeight="1" x14ac:dyDescent="0.3">
      <c r="B444" s="14" t="str">
        <f>'2026 Orders'!B443</f>
        <v>Sudan</v>
      </c>
      <c r="C444" s="14" t="str">
        <f>'2026 Orders'!C443</f>
        <v>A4716</v>
      </c>
      <c r="D444" s="14">
        <v>0</v>
      </c>
      <c r="E444" s="17" t="str" cm="1">
        <f t="array" ref="E444">IF(C444=0,"",
HYPERLINK(
"#'2026 Orders'!C"&amp;
MATCH(1,
('2026 Orders'!C:C=C444)*
('2026 Orders'!G:G=G444)*
('2026 Orders'!N:N=N444),
0),
"Open "&amp;C444
))</f>
        <v>Open A4716</v>
      </c>
      <c r="F444" s="14">
        <v>0</v>
      </c>
      <c r="G444" s="14" t="str">
        <f>'2026 Orders'!G443</f>
        <v>COQ400-30-VE-CS-SU</v>
      </c>
      <c r="H444" s="14" t="str">
        <f>'2026 Orders'!H443</f>
        <v>COQ400-30</v>
      </c>
      <c r="I444" s="15" t="str">
        <f>'2026 Orders'!I443</f>
        <v>SU</v>
      </c>
      <c r="J444" s="14">
        <f>'2026 Orders'!J443</f>
        <v>1800</v>
      </c>
      <c r="K444">
        <v>0</v>
      </c>
      <c r="L444">
        <v>0</v>
      </c>
      <c r="N444" s="10" t="str">
        <f>'2026 Orders'!N443</f>
        <v>Transit to Warehouse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C444" t="str">
        <f>IF(OR(B444="",B444=0),"",$AJ$2&amp;"/"&amp;J444)</f>
        <v>/1800</v>
      </c>
      <c r="AD444" t="e">
        <f t="shared" si="6"/>
        <v>#VALUE!</v>
      </c>
    </row>
    <row r="445" spans="2:30" ht="33" hidden="1" customHeight="1" x14ac:dyDescent="0.3">
      <c r="B445" s="14" t="str">
        <f>'2026 Orders'!B444</f>
        <v>Sudan</v>
      </c>
      <c r="C445" s="14" t="str">
        <f>'2026 Orders'!C444</f>
        <v>A4716</v>
      </c>
      <c r="D445" s="14">
        <v>0</v>
      </c>
      <c r="E445" s="17" t="str" cm="1">
        <f t="array" ref="E445">IF(C445=0,"",
HYPERLINK(
"#'2026 Orders'!C"&amp;
MATCH(1,
('2026 Orders'!C:C=C445)*
('2026 Orders'!G:G=G445)*
('2026 Orders'!N:N=N445),
0),
"Open "&amp;C445
))</f>
        <v>Open A4716</v>
      </c>
      <c r="F445" s="14">
        <v>0</v>
      </c>
      <c r="G445" s="14" t="str">
        <f>'2026 Orders'!G444</f>
        <v>COQ400-30-VE-CS-SU</v>
      </c>
      <c r="H445" s="14" t="str">
        <f>'2026 Orders'!H444</f>
        <v>COQ400-30</v>
      </c>
      <c r="I445" s="15" t="str">
        <f>'2026 Orders'!I444</f>
        <v>SU</v>
      </c>
      <c r="J445" s="14">
        <f>'2026 Orders'!J444</f>
        <v>546</v>
      </c>
      <c r="K445">
        <v>0</v>
      </c>
      <c r="L445">
        <v>0</v>
      </c>
      <c r="N445" s="10" t="str">
        <f>'2026 Orders'!N444</f>
        <v>Out of Stock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C445" t="str">
        <f>IF(OR(B445="",B445=0),"",$AJ$2&amp;"/"&amp;J445)</f>
        <v>/546</v>
      </c>
      <c r="AD445" t="e">
        <f t="shared" si="6"/>
        <v>#VALUE!</v>
      </c>
    </row>
    <row r="446" spans="2:30" ht="33" hidden="1" customHeight="1" x14ac:dyDescent="0.3">
      <c r="B446" s="14">
        <f>'2026 Orders'!B445</f>
        <v>0</v>
      </c>
      <c r="C446" s="14">
        <f>'2026 Orders'!C445</f>
        <v>0</v>
      </c>
      <c r="D446" s="14">
        <v>0</v>
      </c>
      <c r="E446" s="17" t="str" cm="1">
        <f t="array" ref="E446">IF(C446=0,"",
HYPERLINK(
"#'2026 Orders'!C"&amp;
MATCH(1,
('2026 Orders'!C:C=C446)*
('2026 Orders'!G:G=G446)*
('2026 Orders'!N:N=N446),
0),
"Open "&amp;C446
))</f>
        <v/>
      </c>
      <c r="F446" s="14">
        <v>0</v>
      </c>
      <c r="G446" s="14">
        <f>'2026 Orders'!G445</f>
        <v>0</v>
      </c>
      <c r="H446" s="14">
        <f>'2026 Orders'!H445</f>
        <v>0</v>
      </c>
      <c r="I446" s="15" t="str">
        <f>'2026 Orders'!I445</f>
        <v/>
      </c>
      <c r="J446" s="14">
        <f>'2026 Orders'!J445</f>
        <v>0</v>
      </c>
      <c r="K446">
        <v>0</v>
      </c>
      <c r="L446">
        <v>0</v>
      </c>
      <c r="N446" s="10">
        <f>'2026 Orders'!N445</f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C446" t="str">
        <f>IF(OR(B446="",B446=0),"",$AJ$2&amp;"/"&amp;J446)</f>
        <v/>
      </c>
      <c r="AD446" t="str">
        <f t="shared" si="6"/>
        <v/>
      </c>
    </row>
    <row r="447" spans="2:30" ht="33" hidden="1" customHeight="1" x14ac:dyDescent="0.3">
      <c r="B447" s="14" t="str">
        <f>'2026 Orders'!B446</f>
        <v>Tanzania</v>
      </c>
      <c r="C447" s="14" t="str">
        <f>'2026 Orders'!C446</f>
        <v>A4717</v>
      </c>
      <c r="D447" s="14">
        <v>0</v>
      </c>
      <c r="E447" s="17" t="str" cm="1">
        <f t="array" ref="E447">IF(C447=0,"",
HYPERLINK(
"#'2026 Orders'!C"&amp;
MATCH(1,
('2026 Orders'!C:C=C447)*
('2026 Orders'!G:G=G447)*
('2026 Orders'!N:N=N447),
0),
"Open "&amp;C447
))</f>
        <v>Open A4717</v>
      </c>
      <c r="F447" s="14">
        <v>0</v>
      </c>
      <c r="G447" s="14" t="str">
        <f>'2026 Orders'!G446</f>
        <v>PROSTA-90-CS-TA</v>
      </c>
      <c r="H447" s="14" t="str">
        <f>'2026 Orders'!H446</f>
        <v>PROSTA-90</v>
      </c>
      <c r="I447" s="15" t="str">
        <f>'2026 Orders'!I446</f>
        <v>TA</v>
      </c>
      <c r="J447" s="14">
        <f>'2026 Orders'!J446</f>
        <v>10</v>
      </c>
      <c r="K447">
        <v>0</v>
      </c>
      <c r="L447">
        <v>0</v>
      </c>
      <c r="N447" s="10" t="str">
        <f>'2026 Orders'!N446</f>
        <v>Available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C447" t="str">
        <f>IF(OR(B447="",B447=0),"",$AJ$2&amp;"/"&amp;J447)</f>
        <v>/10</v>
      </c>
      <c r="AD447" t="e">
        <f t="shared" si="6"/>
        <v>#VALUE!</v>
      </c>
    </row>
    <row r="448" spans="2:30" ht="33" hidden="1" customHeight="1" x14ac:dyDescent="0.3">
      <c r="B448" s="14" t="str">
        <f>'2026 Orders'!B447</f>
        <v>Tanzania</v>
      </c>
      <c r="C448" s="14" t="str">
        <f>'2026 Orders'!C447</f>
        <v>A4717</v>
      </c>
      <c r="D448" s="14">
        <v>0</v>
      </c>
      <c r="E448" s="17" t="str" cm="1">
        <f t="array" ref="E448">IF(C448=0,"",
HYPERLINK(
"#'2026 Orders'!C"&amp;
MATCH(1,
('2026 Orders'!C:C=C448)*
('2026 Orders'!G:G=G448)*
('2026 Orders'!N:N=N448),
0),
"Open "&amp;C448
))</f>
        <v>Open A4717</v>
      </c>
      <c r="F448" s="14">
        <v>0</v>
      </c>
      <c r="G448" s="14" t="str">
        <f>'2026 Orders'!G447</f>
        <v>METRIO-60-CS-TA</v>
      </c>
      <c r="H448" s="14" t="str">
        <f>'2026 Orders'!H447</f>
        <v>METRIO-60</v>
      </c>
      <c r="I448" s="15" t="str">
        <f>'2026 Orders'!I447</f>
        <v>TA</v>
      </c>
      <c r="J448" s="14">
        <f>'2026 Orders'!J447</f>
        <v>10</v>
      </c>
      <c r="K448">
        <v>0</v>
      </c>
      <c r="L448">
        <v>0</v>
      </c>
      <c r="N448" s="10" t="str">
        <f>'2026 Orders'!N447</f>
        <v>Available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C448" t="str">
        <f>IF(OR(B448="",B448=0),"",$AJ$2&amp;"/"&amp;J448)</f>
        <v>/10</v>
      </c>
      <c r="AD448" t="e">
        <f t="shared" si="6"/>
        <v>#VALUE!</v>
      </c>
    </row>
    <row r="449" spans="2:30" ht="33" hidden="1" customHeight="1" x14ac:dyDescent="0.3">
      <c r="B449" s="14" t="str">
        <f>'2026 Orders'!B448</f>
        <v>Tanzania</v>
      </c>
      <c r="C449" s="14" t="str">
        <f>'2026 Orders'!C448</f>
        <v>A4717</v>
      </c>
      <c r="D449" s="14">
        <v>0</v>
      </c>
      <c r="E449" s="17" t="str" cm="1">
        <f t="array" ref="E449">IF(C449=0,"",
HYPERLINK(
"#'2026 Orders'!C"&amp;
MATCH(1,
('2026 Orders'!C:C=C449)*
('2026 Orders'!G:G=G449)*
('2026 Orders'!N:N=N449),
0),
"Open "&amp;C449
))</f>
        <v>Open A4717</v>
      </c>
      <c r="F449" s="14">
        <v>0</v>
      </c>
      <c r="G449" s="14" t="str">
        <f>'2026 Orders'!G448</f>
        <v>FIBRO-60-CS-TA</v>
      </c>
      <c r="H449" s="14" t="str">
        <f>'2026 Orders'!H448</f>
        <v>FIBRO-60</v>
      </c>
      <c r="I449" s="15" t="str">
        <f>'2026 Orders'!I448</f>
        <v>TA</v>
      </c>
      <c r="J449" s="14">
        <f>'2026 Orders'!J448</f>
        <v>10</v>
      </c>
      <c r="K449">
        <v>0</v>
      </c>
      <c r="L449">
        <v>0</v>
      </c>
      <c r="N449" s="10" t="str">
        <f>'2026 Orders'!N448</f>
        <v>Available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C449" t="str">
        <f>IF(OR(B449="",B449=0),"",$AJ$2&amp;"/"&amp;J449)</f>
        <v>/10</v>
      </c>
      <c r="AD449" t="e">
        <f t="shared" si="6"/>
        <v>#VALUE!</v>
      </c>
    </row>
    <row r="450" spans="2:30" ht="33" hidden="1" customHeight="1" x14ac:dyDescent="0.3">
      <c r="B450" s="14" t="str">
        <f>'2026 Orders'!B449</f>
        <v>Tanzania</v>
      </c>
      <c r="C450" s="14" t="str">
        <f>'2026 Orders'!C449</f>
        <v>A4717</v>
      </c>
      <c r="D450" s="14">
        <v>0</v>
      </c>
      <c r="E450" s="17" t="str" cm="1">
        <f t="array" ref="E450">IF(C450=0,"",
HYPERLINK(
"#'2026 Orders'!C"&amp;
MATCH(1,
('2026 Orders'!C:C=C450)*
('2026 Orders'!G:G=G450)*
('2026 Orders'!N:N=N450),
0),
"Open "&amp;C450
))</f>
        <v>Open A4717</v>
      </c>
      <c r="F450" s="14">
        <v>0</v>
      </c>
      <c r="G450" s="14" t="str">
        <f>'2026 Orders'!G449</f>
        <v>UTIC-60-CS-TA</v>
      </c>
      <c r="H450" s="14" t="str">
        <f>'2026 Orders'!H449</f>
        <v>UTIC-60</v>
      </c>
      <c r="I450" s="15" t="str">
        <f>'2026 Orders'!I449</f>
        <v>TA</v>
      </c>
      <c r="J450" s="14">
        <f>'2026 Orders'!J449</f>
        <v>10</v>
      </c>
      <c r="K450">
        <v>0</v>
      </c>
      <c r="L450">
        <v>0</v>
      </c>
      <c r="N450" s="10" t="str">
        <f>'2026 Orders'!N449</f>
        <v>Available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C450" t="str">
        <f>IF(OR(B450="",B450=0),"",$AJ$2&amp;"/"&amp;J450)</f>
        <v>/10</v>
      </c>
      <c r="AD450" t="e">
        <f t="shared" si="6"/>
        <v>#VALUE!</v>
      </c>
    </row>
    <row r="451" spans="2:30" ht="33" hidden="1" customHeight="1" x14ac:dyDescent="0.3">
      <c r="B451" s="14" t="str">
        <f>'2026 Orders'!B450</f>
        <v>Tanzania</v>
      </c>
      <c r="C451" s="14" t="str">
        <f>'2026 Orders'!C450</f>
        <v>A4717</v>
      </c>
      <c r="D451" s="14">
        <v>0</v>
      </c>
      <c r="E451" s="17" t="str" cm="1">
        <f t="array" ref="E451">IF(C451=0,"",
HYPERLINK(
"#'2026 Orders'!C"&amp;
MATCH(1,
('2026 Orders'!C:C=C451)*
('2026 Orders'!G:G=G451)*
('2026 Orders'!N:N=N451),
0),
"Open "&amp;C451
))</f>
        <v>Open A4717</v>
      </c>
      <c r="F451" s="14">
        <v>0</v>
      </c>
      <c r="G451" s="14" t="str">
        <f>'2026 Orders'!G450</f>
        <v>ROYALPL-30-CS-TA</v>
      </c>
      <c r="H451" s="14" t="str">
        <f>'2026 Orders'!H450</f>
        <v>ROYALPL-30</v>
      </c>
      <c r="I451" s="15" t="str">
        <f>'2026 Orders'!I450</f>
        <v>TA</v>
      </c>
      <c r="J451" s="14">
        <f>'2026 Orders'!J450</f>
        <v>10</v>
      </c>
      <c r="K451">
        <v>0</v>
      </c>
      <c r="L451">
        <v>0</v>
      </c>
      <c r="N451" s="10" t="str">
        <f>'2026 Orders'!N450</f>
        <v>Available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C451" t="str">
        <f>IF(OR(B451="",B451=0),"",$AJ$2&amp;"/"&amp;J451)</f>
        <v>/10</v>
      </c>
      <c r="AD451" t="e">
        <f t="shared" ref="AD451:AD514" si="7">IF(OR(J451="",J451=0),"",$AK$2&amp;" -&gt; "&amp;I451)</f>
        <v>#VALUE!</v>
      </c>
    </row>
    <row r="452" spans="2:30" ht="33" hidden="1" customHeight="1" x14ac:dyDescent="0.3">
      <c r="B452" s="14" t="str">
        <f>'2026 Orders'!B451</f>
        <v>Tanzania</v>
      </c>
      <c r="C452" s="14" t="str">
        <f>'2026 Orders'!C451</f>
        <v>A4717</v>
      </c>
      <c r="D452" s="14">
        <v>0</v>
      </c>
      <c r="E452" s="17" t="str" cm="1">
        <f t="array" ref="E452">IF(C452=0,"",
HYPERLINK(
"#'2026 Orders'!C"&amp;
MATCH(1,
('2026 Orders'!C:C=C452)*
('2026 Orders'!G:G=G452)*
('2026 Orders'!N:N=N452),
0),
"Open "&amp;C452
))</f>
        <v>Open A4717</v>
      </c>
      <c r="F452" s="14">
        <v>0</v>
      </c>
      <c r="G452" s="14" t="str">
        <f>'2026 Orders'!G451</f>
        <v>MOTILMX-60-CS-TA</v>
      </c>
      <c r="H452" s="14" t="str">
        <f>'2026 Orders'!H451</f>
        <v>MOTILMX-60</v>
      </c>
      <c r="I452" s="15" t="str">
        <f>'2026 Orders'!I451</f>
        <v>TA</v>
      </c>
      <c r="J452" s="14">
        <f>'2026 Orders'!J451</f>
        <v>10</v>
      </c>
      <c r="K452">
        <v>0</v>
      </c>
      <c r="L452">
        <v>0</v>
      </c>
      <c r="N452" s="10" t="str">
        <f>'2026 Orders'!N451</f>
        <v>PO Drafted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C452" t="str">
        <f>IF(OR(B452="",B452=0),"",$AJ$2&amp;"/"&amp;J452)</f>
        <v>/10</v>
      </c>
      <c r="AD452" t="e">
        <f t="shared" si="7"/>
        <v>#VALUE!</v>
      </c>
    </row>
    <row r="453" spans="2:30" ht="33" hidden="1" customHeight="1" x14ac:dyDescent="0.3">
      <c r="B453" s="14" t="str">
        <f>'2026 Orders'!B452</f>
        <v>Tanzania</v>
      </c>
      <c r="C453" s="14" t="str">
        <f>'2026 Orders'!C452</f>
        <v>A4717</v>
      </c>
      <c r="D453" s="14">
        <v>0</v>
      </c>
      <c r="E453" s="17" t="str" cm="1">
        <f t="array" ref="E453">IF(C453=0,"",
HYPERLINK(
"#'2026 Orders'!C"&amp;
MATCH(1,
('2026 Orders'!C:C=C453)*
('2026 Orders'!G:G=G453)*
('2026 Orders'!N:N=N453),
0),
"Open "&amp;C453
))</f>
        <v>Open A4717</v>
      </c>
      <c r="F453" s="14">
        <v>0</v>
      </c>
      <c r="G453" s="14" t="str">
        <f>'2026 Orders'!G452</f>
        <v>POLYSIT-90-CS-TA</v>
      </c>
      <c r="H453" s="14" t="str">
        <f>'2026 Orders'!H452</f>
        <v>POLYSIT-90</v>
      </c>
      <c r="I453" s="15" t="str">
        <f>'2026 Orders'!I452</f>
        <v>TA</v>
      </c>
      <c r="J453" s="14">
        <f>'2026 Orders'!J452</f>
        <v>10</v>
      </c>
      <c r="K453">
        <v>0</v>
      </c>
      <c r="L453">
        <v>0</v>
      </c>
      <c r="N453" s="10" t="str">
        <f>'2026 Orders'!N452</f>
        <v>Available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C453" t="str">
        <f>IF(OR(B453="",B453=0),"",$AJ$2&amp;"/"&amp;J453)</f>
        <v>/10</v>
      </c>
      <c r="AD453" t="e">
        <f t="shared" si="7"/>
        <v>#VALUE!</v>
      </c>
    </row>
    <row r="454" spans="2:30" ht="33" hidden="1" customHeight="1" x14ac:dyDescent="0.3">
      <c r="B454" s="14" t="str">
        <f>'2026 Orders'!B453</f>
        <v>Tanzania</v>
      </c>
      <c r="C454" s="14" t="str">
        <f>'2026 Orders'!C453</f>
        <v>A4717</v>
      </c>
      <c r="D454" s="14">
        <v>0</v>
      </c>
      <c r="E454" s="17" t="str" cm="1">
        <f t="array" ref="E454">IF(C454=0,"",
HYPERLINK(
"#'2026 Orders'!C"&amp;
MATCH(1,
('2026 Orders'!C:C=C454)*
('2026 Orders'!G:G=G454)*
('2026 Orders'!N:N=N454),
0),
"Open "&amp;C454
))</f>
        <v>Open A4717</v>
      </c>
      <c r="F454" s="14">
        <v>0</v>
      </c>
      <c r="G454" s="14" t="str">
        <f>'2026 Orders'!G453</f>
        <v>SPERMCT-60-CS-TA</v>
      </c>
      <c r="H454" s="14" t="str">
        <f>'2026 Orders'!H453</f>
        <v>SPERMCT-60</v>
      </c>
      <c r="I454" s="15" t="str">
        <f>'2026 Orders'!I453</f>
        <v>TA</v>
      </c>
      <c r="J454" s="14">
        <f>'2026 Orders'!J453</f>
        <v>10</v>
      </c>
      <c r="K454">
        <v>0</v>
      </c>
      <c r="L454">
        <v>0</v>
      </c>
      <c r="N454" s="10" t="str">
        <f>'2026 Orders'!N453</f>
        <v>Available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C454" t="str">
        <f>IF(OR(B454="",B454=0),"",$AJ$2&amp;"/"&amp;J454)</f>
        <v>/10</v>
      </c>
      <c r="AD454" t="e">
        <f t="shared" si="7"/>
        <v>#VALUE!</v>
      </c>
    </row>
    <row r="455" spans="2:30" ht="33" hidden="1" customHeight="1" x14ac:dyDescent="0.3">
      <c r="B455" s="14">
        <f>'2026 Orders'!B454</f>
        <v>0</v>
      </c>
      <c r="C455" s="14">
        <f>'2026 Orders'!C454</f>
        <v>0</v>
      </c>
      <c r="D455" s="14">
        <v>0</v>
      </c>
      <c r="E455" s="17" t="str" cm="1">
        <f t="array" ref="E455">IF(C455=0,"",
HYPERLINK(
"#'2026 Orders'!C"&amp;
MATCH(1,
('2026 Orders'!C:C=C455)*
('2026 Orders'!G:G=G455)*
('2026 Orders'!N:N=N455),
0),
"Open "&amp;C455
))</f>
        <v/>
      </c>
      <c r="F455" s="14">
        <v>0</v>
      </c>
      <c r="G455" s="14">
        <f>'2026 Orders'!G454</f>
        <v>0</v>
      </c>
      <c r="H455" s="14">
        <f>'2026 Orders'!H454</f>
        <v>0</v>
      </c>
      <c r="I455" s="15" t="str">
        <f>'2026 Orders'!I454</f>
        <v/>
      </c>
      <c r="J455" s="14">
        <f>'2026 Orders'!J454</f>
        <v>0</v>
      </c>
      <c r="K455">
        <v>0</v>
      </c>
      <c r="L455">
        <v>0</v>
      </c>
      <c r="N455" s="10">
        <f>'2026 Orders'!N454</f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C455" t="str">
        <f>IF(OR(B455="",B455=0),"",$AJ$2&amp;"/"&amp;J455)</f>
        <v/>
      </c>
      <c r="AD455" t="str">
        <f t="shared" si="7"/>
        <v/>
      </c>
    </row>
    <row r="456" spans="2:30" ht="33" hidden="1" customHeight="1" x14ac:dyDescent="0.3">
      <c r="B456" s="14" t="str">
        <f>'2026 Orders'!B455</f>
        <v>Amazon FBA</v>
      </c>
      <c r="C456" s="14" t="str">
        <f>'2026 Orders'!C455</f>
        <v>FBA 42</v>
      </c>
      <c r="D456" s="14">
        <v>0</v>
      </c>
      <c r="E456" s="17" t="str" cm="1">
        <f t="array" ref="E456">IF(C456=0,"",
HYPERLINK(
"#'2026 Orders'!C"&amp;
MATCH(1,
('2026 Orders'!C:C=C456)*
('2026 Orders'!G:G=G456)*
('2026 Orders'!N:N=N456),
0),
"Open "&amp;C456
))</f>
        <v>Open FBA 42</v>
      </c>
      <c r="F456" s="14">
        <v>0</v>
      </c>
      <c r="G456" s="14" t="str">
        <f>'2026 Orders'!G455</f>
        <v>LARGINE-100-FD</v>
      </c>
      <c r="H456" s="14" t="str">
        <f>'2026 Orders'!H455</f>
        <v>LARGINE-100</v>
      </c>
      <c r="I456" s="15" t="str">
        <f>'2026 Orders'!I455</f>
        <v>FD</v>
      </c>
      <c r="J456" s="14">
        <f>'2026 Orders'!J455</f>
        <v>120</v>
      </c>
      <c r="K456">
        <v>0</v>
      </c>
      <c r="L456">
        <v>0</v>
      </c>
      <c r="N456" s="10" t="str">
        <f>'2026 Orders'!N455</f>
        <v>In Production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C456" t="str">
        <f>IF(OR(B456="",B456=0),"",$AJ$2&amp;"/"&amp;J456)</f>
        <v>/120</v>
      </c>
      <c r="AD456" t="e">
        <f t="shared" si="7"/>
        <v>#VALUE!</v>
      </c>
    </row>
    <row r="457" spans="2:30" ht="33" hidden="1" customHeight="1" x14ac:dyDescent="0.3">
      <c r="B457" s="14" t="str">
        <f>'2026 Orders'!B456</f>
        <v>Amazon FBA</v>
      </c>
      <c r="C457" s="14" t="str">
        <f>'2026 Orders'!C456</f>
        <v>FBA 42</v>
      </c>
      <c r="D457" s="14">
        <v>0</v>
      </c>
      <c r="E457" s="17" t="str" cm="1">
        <f t="array" ref="E457">IF(C457=0,"",
HYPERLINK(
"#'2026 Orders'!C"&amp;
MATCH(1,
('2026 Orders'!C:C=C457)*
('2026 Orders'!G:G=G457)*
('2026 Orders'!N:N=N457),
0),
"Open "&amp;C457
))</f>
        <v>Open FBA 42</v>
      </c>
      <c r="F457" s="14">
        <v>0</v>
      </c>
      <c r="G457" s="14" t="str">
        <f>'2026 Orders'!G456</f>
        <v>XTRAD5-60-FD</v>
      </c>
      <c r="H457" s="14" t="str">
        <f>'2026 Orders'!H456</f>
        <v>XTRAD5-60</v>
      </c>
      <c r="I457" s="15" t="str">
        <f>'2026 Orders'!I456</f>
        <v>FD</v>
      </c>
      <c r="J457" s="14">
        <f>'2026 Orders'!J456</f>
        <v>96</v>
      </c>
      <c r="K457">
        <v>0</v>
      </c>
      <c r="L457">
        <v>0</v>
      </c>
      <c r="N457" s="10" t="str">
        <f>'2026 Orders'!N456</f>
        <v>Production complete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C457" t="str">
        <f>IF(OR(B457="",B457=0),"",$AJ$2&amp;"/"&amp;J457)</f>
        <v>/96</v>
      </c>
      <c r="AD457" t="e">
        <f t="shared" si="7"/>
        <v>#VALUE!</v>
      </c>
    </row>
    <row r="458" spans="2:30" ht="33" hidden="1" customHeight="1" x14ac:dyDescent="0.3">
      <c r="B458" s="14">
        <f>'2026 Orders'!B457</f>
        <v>0</v>
      </c>
      <c r="C458" s="14">
        <f>'2026 Orders'!C457</f>
        <v>0</v>
      </c>
      <c r="D458" s="14">
        <v>0</v>
      </c>
      <c r="E458" s="17" t="str" cm="1">
        <f t="array" ref="E458">IF(C458=0,"",
HYPERLINK(
"#'2026 Orders'!C"&amp;
MATCH(1,
('2026 Orders'!C:C=C458)*
('2026 Orders'!G:G=G458)*
('2026 Orders'!N:N=N458),
0),
"Open "&amp;C458
))</f>
        <v/>
      </c>
      <c r="F458" s="14">
        <v>0</v>
      </c>
      <c r="G458" s="14">
        <f>'2026 Orders'!G457</f>
        <v>0</v>
      </c>
      <c r="H458" s="14">
        <f>'2026 Orders'!H457</f>
        <v>0</v>
      </c>
      <c r="I458" s="15" t="str">
        <f>'2026 Orders'!I457</f>
        <v/>
      </c>
      <c r="J458" s="14">
        <f>'2026 Orders'!J457</f>
        <v>0</v>
      </c>
      <c r="K458">
        <v>0</v>
      </c>
      <c r="L458">
        <v>0</v>
      </c>
      <c r="N458" s="10">
        <f>'2026 Orders'!N457</f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C458" t="str">
        <f>IF(OR(B458="",B458=0),"",$AJ$2&amp;"/"&amp;J458)</f>
        <v/>
      </c>
      <c r="AD458" t="str">
        <f t="shared" si="7"/>
        <v/>
      </c>
    </row>
    <row r="459" spans="2:30" ht="33" hidden="1" customHeight="1" x14ac:dyDescent="0.3">
      <c r="B459" s="14" t="str">
        <f>'2026 Orders'!B458</f>
        <v>Amazon AWD</v>
      </c>
      <c r="C459" s="14" t="str">
        <f>'2026 Orders'!C458</f>
        <v>AWD 13</v>
      </c>
      <c r="D459" s="14">
        <v>0</v>
      </c>
      <c r="E459" s="17" t="str" cm="1">
        <f t="array" ref="E459">IF(C459=0,"",
HYPERLINK(
"#'2026 Orders'!C"&amp;
MATCH(1,
('2026 Orders'!C:C=C459)*
('2026 Orders'!G:G=G459)*
('2026 Orders'!N:N=N459),
0),
"Open "&amp;C459
))</f>
        <v>Open AWD 13</v>
      </c>
      <c r="F459" s="14">
        <v>0</v>
      </c>
      <c r="G459" s="14" t="str">
        <f>'2026 Orders'!G458</f>
        <v>WFSPLS-90-FD</v>
      </c>
      <c r="H459" s="14" t="str">
        <f>'2026 Orders'!H458</f>
        <v>WFSPLS-90</v>
      </c>
      <c r="I459" s="15" t="str">
        <f>'2026 Orders'!I458</f>
        <v>FD</v>
      </c>
      <c r="J459" s="14">
        <f>'2026 Orders'!J458</f>
        <v>240</v>
      </c>
      <c r="K459">
        <v>0</v>
      </c>
      <c r="L459">
        <v>0</v>
      </c>
      <c r="N459" s="10" t="str">
        <f>'2026 Orders'!N458</f>
        <v>Available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C459" t="str">
        <f>IF(OR(B459="",B459=0),"",$AJ$2&amp;"/"&amp;J459)</f>
        <v>/240</v>
      </c>
      <c r="AD459" t="e">
        <f t="shared" si="7"/>
        <v>#VALUE!</v>
      </c>
    </row>
    <row r="460" spans="2:30" ht="33" hidden="1" customHeight="1" x14ac:dyDescent="0.3">
      <c r="B460" s="14" t="str">
        <f>'2026 Orders'!B459</f>
        <v>Amazon AWD</v>
      </c>
      <c r="C460" s="14" t="str">
        <f>'2026 Orders'!C459</f>
        <v>AWD 13</v>
      </c>
      <c r="D460" s="14">
        <v>0</v>
      </c>
      <c r="E460" s="17" t="str" cm="1">
        <f t="array" ref="E460">IF(C460=0,"",
HYPERLINK(
"#'2026 Orders'!C"&amp;
MATCH(1,
('2026 Orders'!C:C=C460)*
('2026 Orders'!G:G=G460)*
('2026 Orders'!N:N=N460),
0),
"Open "&amp;C460
))</f>
        <v>Open AWD 13</v>
      </c>
      <c r="F460" s="14">
        <v>0</v>
      </c>
      <c r="G460" s="14" t="str">
        <f>'2026 Orders'!G459</f>
        <v>MFSPLS-120-FD</v>
      </c>
      <c r="H460" s="14" t="str">
        <f>'2026 Orders'!H459</f>
        <v>MFSPLS-120</v>
      </c>
      <c r="I460" s="15" t="str">
        <f>'2026 Orders'!I459</f>
        <v>FD</v>
      </c>
      <c r="J460" s="14">
        <f>'2026 Orders'!J459</f>
        <v>240</v>
      </c>
      <c r="K460">
        <v>0</v>
      </c>
      <c r="L460">
        <v>0</v>
      </c>
      <c r="N460" s="10" t="str">
        <f>'2026 Orders'!N459</f>
        <v>Available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C460" t="str">
        <f>IF(OR(B460="",B460=0),"",$AJ$2&amp;"/"&amp;J460)</f>
        <v>/240</v>
      </c>
      <c r="AD460" t="e">
        <f t="shared" si="7"/>
        <v>#VALUE!</v>
      </c>
    </row>
    <row r="461" spans="2:30" ht="33" hidden="1" customHeight="1" x14ac:dyDescent="0.3">
      <c r="B461" s="14" t="str">
        <f>'2026 Orders'!B460</f>
        <v>Amazon AWD</v>
      </c>
      <c r="C461" s="14" t="str">
        <f>'2026 Orders'!C460</f>
        <v>AWD 13</v>
      </c>
      <c r="D461" s="14">
        <v>0</v>
      </c>
      <c r="E461" s="17" t="str" cm="1">
        <f t="array" ref="E461">IF(C461=0,"",
HYPERLINK(
"#'2026 Orders'!C"&amp;
MATCH(1,
('2026 Orders'!C:C=C461)*
('2026 Orders'!G:G=G461)*
('2026 Orders'!N:N=N461),
0),
"Open "&amp;C461
))</f>
        <v>Open AWD 13</v>
      </c>
      <c r="F461" s="14">
        <v>0</v>
      </c>
      <c r="G461" s="14" t="str">
        <f>'2026 Orders'!G460</f>
        <v>OVAMAX-120-FD</v>
      </c>
      <c r="H461" s="14" t="str">
        <f>'2026 Orders'!H460</f>
        <v>OVAMAX-120</v>
      </c>
      <c r="I461" s="15" t="str">
        <f>'2026 Orders'!I460</f>
        <v>FD</v>
      </c>
      <c r="J461" s="14">
        <f>'2026 Orders'!J460</f>
        <v>240</v>
      </c>
      <c r="K461">
        <v>0</v>
      </c>
      <c r="L461">
        <v>0</v>
      </c>
      <c r="N461" s="10" t="str">
        <f>'2026 Orders'!N460</f>
        <v>Available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C461" t="str">
        <f>IF(OR(B461="",B461=0),"",$AJ$2&amp;"/"&amp;J461)</f>
        <v>/240</v>
      </c>
      <c r="AD461" t="e">
        <f t="shared" si="7"/>
        <v>#VALUE!</v>
      </c>
    </row>
    <row r="462" spans="2:30" ht="33" hidden="1" customHeight="1" x14ac:dyDescent="0.3">
      <c r="B462" s="14" t="str">
        <f>'2026 Orders'!B461</f>
        <v>Amazon AWD</v>
      </c>
      <c r="C462" s="14" t="str">
        <f>'2026 Orders'!C461</f>
        <v>AWD 13</v>
      </c>
      <c r="D462" s="14">
        <v>0</v>
      </c>
      <c r="E462" s="17" t="str" cm="1">
        <f t="array" ref="E462">IF(C462=0,"",
HYPERLINK(
"#'2026 Orders'!C"&amp;
MATCH(1,
('2026 Orders'!C:C=C462)*
('2026 Orders'!G:G=G462)*
('2026 Orders'!N:N=N462),
0),
"Open "&amp;C462
))</f>
        <v>Open AWD 13</v>
      </c>
      <c r="F462" s="14">
        <v>0</v>
      </c>
      <c r="G462" s="14" t="str">
        <f>'2026 Orders'!G461</f>
        <v>MFSPLS-60-FD</v>
      </c>
      <c r="H462" s="14" t="str">
        <f>'2026 Orders'!H461</f>
        <v>MFSPLS-60</v>
      </c>
      <c r="I462" s="15" t="str">
        <f>'2026 Orders'!I461</f>
        <v>FD</v>
      </c>
      <c r="J462" s="14">
        <f>'2026 Orders'!J461</f>
        <v>72</v>
      </c>
      <c r="K462">
        <v>0</v>
      </c>
      <c r="L462">
        <v>0</v>
      </c>
      <c r="N462" s="10" t="str">
        <f>'2026 Orders'!N461</f>
        <v>Available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C462" t="str">
        <f>IF(OR(B462="",B462=0),"",$AJ$2&amp;"/"&amp;J462)</f>
        <v>/72</v>
      </c>
      <c r="AD462" t="e">
        <f t="shared" si="7"/>
        <v>#VALUE!</v>
      </c>
    </row>
    <row r="463" spans="2:30" ht="33" hidden="1" customHeight="1" x14ac:dyDescent="0.3">
      <c r="B463" s="14" t="str">
        <f>'2026 Orders'!B462</f>
        <v>Amazon FBA</v>
      </c>
      <c r="C463" s="14" t="str">
        <f>'2026 Orders'!C462</f>
        <v>AWD 13</v>
      </c>
      <c r="D463" s="14">
        <v>0</v>
      </c>
      <c r="E463" s="17" t="str" cm="1">
        <f t="array" ref="E463">IF(C463=0,"",
HYPERLINK(
"#'2026 Orders'!C"&amp;
MATCH(1,
('2026 Orders'!C:C=C463)*
('2026 Orders'!G:G=G463)*
('2026 Orders'!N:N=N463),
0),
"Open "&amp;C463
))</f>
        <v>Open AWD 13</v>
      </c>
      <c r="F463" s="14">
        <v>0</v>
      </c>
      <c r="G463" s="14" t="str">
        <f>'2026 Orders'!G462</f>
        <v>MFSPLS-120-FD</v>
      </c>
      <c r="H463" s="14" t="str">
        <f>'2026 Orders'!H462</f>
        <v>MFSPLS-120</v>
      </c>
      <c r="I463" s="15" t="str">
        <f>'2026 Orders'!I462</f>
        <v>FD</v>
      </c>
      <c r="J463" s="14">
        <f>'2026 Orders'!J462</f>
        <v>216</v>
      </c>
      <c r="K463">
        <v>0</v>
      </c>
      <c r="L463">
        <v>0</v>
      </c>
      <c r="N463" s="10" t="str">
        <f>'2026 Orders'!N462</f>
        <v>Available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C463" t="str">
        <f>IF(OR(B463="",B463=0),"",$AJ$2&amp;"/"&amp;J463)</f>
        <v>/216</v>
      </c>
      <c r="AD463" t="e">
        <f t="shared" si="7"/>
        <v>#VALUE!</v>
      </c>
    </row>
    <row r="464" spans="2:30" ht="33" hidden="1" customHeight="1" x14ac:dyDescent="0.3">
      <c r="B464" s="14" t="str">
        <f>'2026 Orders'!B463</f>
        <v>Amazon FBA</v>
      </c>
      <c r="C464" s="14" t="str">
        <f>'2026 Orders'!C463</f>
        <v>AWD 13</v>
      </c>
      <c r="D464" s="14">
        <v>0</v>
      </c>
      <c r="E464" s="17" t="str" cm="1">
        <f t="array" ref="E464">IF(C464=0,"",
HYPERLINK(
"#'2026 Orders'!C"&amp;
MATCH(1,
('2026 Orders'!C:C=C464)*
('2026 Orders'!G:G=G464)*
('2026 Orders'!N:N=N464),
0),
"Open "&amp;C464
))</f>
        <v>Open AWD 13</v>
      </c>
      <c r="F464" s="14">
        <v>0</v>
      </c>
      <c r="G464" s="14" t="str">
        <f>'2026 Orders'!G463</f>
        <v>NMNH-60-FD</v>
      </c>
      <c r="H464" s="14" t="str">
        <f>'2026 Orders'!H463</f>
        <v>NMNH-60</v>
      </c>
      <c r="I464" s="15" t="str">
        <f>'2026 Orders'!I463</f>
        <v>FD</v>
      </c>
      <c r="J464" s="14">
        <f>'2026 Orders'!J463</f>
        <v>120</v>
      </c>
      <c r="K464">
        <v>0</v>
      </c>
      <c r="L464">
        <v>0</v>
      </c>
      <c r="N464" s="10" t="str">
        <f>'2026 Orders'!N463</f>
        <v>Available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C464" t="str">
        <f>IF(OR(B464="",B464=0),"",$AJ$2&amp;"/"&amp;J464)</f>
        <v>/120</v>
      </c>
      <c r="AD464" t="e">
        <f t="shared" si="7"/>
        <v>#VALUE!</v>
      </c>
    </row>
    <row r="465" spans="2:30" ht="33" hidden="1" customHeight="1" x14ac:dyDescent="0.3">
      <c r="B465" s="14" t="str">
        <f>'2026 Orders'!B464</f>
        <v>Amazon FBA</v>
      </c>
      <c r="C465" s="14" t="str">
        <f>'2026 Orders'!C464</f>
        <v>AWD 13</v>
      </c>
      <c r="D465" s="14">
        <v>0</v>
      </c>
      <c r="E465" s="17" t="str" cm="1">
        <f t="array" ref="E465">IF(C465=0,"",
HYPERLINK(
"#'2026 Orders'!C"&amp;
MATCH(1,
('2026 Orders'!C:C=C465)*
('2026 Orders'!G:G=G465)*
('2026 Orders'!N:N=N465),
0),
"Open "&amp;C465
))</f>
        <v>Open AWD 13</v>
      </c>
      <c r="F465" s="14">
        <v>0</v>
      </c>
      <c r="G465" s="14" t="str">
        <f>'2026 Orders'!G464</f>
        <v>FERTMX-90-FD</v>
      </c>
      <c r="H465" s="14" t="str">
        <f>'2026 Orders'!H464</f>
        <v>FERTMX-90</v>
      </c>
      <c r="I465" s="15" t="str">
        <f>'2026 Orders'!I464</f>
        <v>FD</v>
      </c>
      <c r="J465" s="14">
        <f>'2026 Orders'!J464</f>
        <v>168</v>
      </c>
      <c r="K465">
        <v>0</v>
      </c>
      <c r="L465">
        <v>0</v>
      </c>
      <c r="N465" s="10" t="str">
        <f>'2026 Orders'!N464</f>
        <v>Available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C465" t="str">
        <f>IF(OR(B465="",B465=0),"",$AJ$2&amp;"/"&amp;J465)</f>
        <v>/168</v>
      </c>
      <c r="AD465" t="e">
        <f t="shared" si="7"/>
        <v>#VALUE!</v>
      </c>
    </row>
    <row r="466" spans="2:30" ht="33" hidden="1" customHeight="1" x14ac:dyDescent="0.3">
      <c r="B466" s="14" t="str">
        <f>'2026 Orders'!B465</f>
        <v>Amazon FBA</v>
      </c>
      <c r="C466" s="14" t="str">
        <f>'2026 Orders'!C465</f>
        <v>AWD 13</v>
      </c>
      <c r="D466" s="14">
        <v>0</v>
      </c>
      <c r="E466" s="17" t="str" cm="1">
        <f t="array" ref="E466">IF(C466=0,"",
HYPERLINK(
"#'2026 Orders'!C"&amp;
MATCH(1,
('2026 Orders'!C:C=C466)*
('2026 Orders'!G:G=G466)*
('2026 Orders'!N:N=N466),
0),
"Open "&amp;C466
))</f>
        <v>Open AWD 13</v>
      </c>
      <c r="F466" s="14">
        <v>0</v>
      </c>
      <c r="G466" s="14" t="str">
        <f>'2026 Orders'!G465</f>
        <v>PRECON-180-FD</v>
      </c>
      <c r="H466" s="14" t="str">
        <f>'2026 Orders'!H465</f>
        <v>PRECON-180</v>
      </c>
      <c r="I466" s="15" t="str">
        <f>'2026 Orders'!I465</f>
        <v>FD</v>
      </c>
      <c r="J466" s="14">
        <f>'2026 Orders'!J465</f>
        <v>120</v>
      </c>
      <c r="K466">
        <v>0</v>
      </c>
      <c r="L466">
        <v>0</v>
      </c>
      <c r="N466" s="10" t="str">
        <f>'2026 Orders'!N465</f>
        <v>Available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C466" t="str">
        <f>IF(OR(B466="",B466=0),"",$AJ$2&amp;"/"&amp;J466)</f>
        <v>/120</v>
      </c>
      <c r="AD466" t="e">
        <f t="shared" si="7"/>
        <v>#VALUE!</v>
      </c>
    </row>
    <row r="467" spans="2:30" ht="33" hidden="1" customHeight="1" x14ac:dyDescent="0.3">
      <c r="B467" s="14" t="str">
        <f>'2026 Orders'!B466</f>
        <v>Amazon FBA</v>
      </c>
      <c r="C467" s="14" t="str">
        <f>'2026 Orders'!C466</f>
        <v>AWD 13</v>
      </c>
      <c r="D467" s="14">
        <v>0</v>
      </c>
      <c r="E467" s="17" t="str" cm="1">
        <f t="array" ref="E467">IF(C467=0,"",
HYPERLINK(
"#'2026 Orders'!C"&amp;
MATCH(1,
('2026 Orders'!C:C=C467)*
('2026 Orders'!G:G=G467)*
('2026 Orders'!N:N=N467),
0),
"Open "&amp;C467
))</f>
        <v>Open AWD 13</v>
      </c>
      <c r="F467" s="14">
        <v>0</v>
      </c>
      <c r="G467" s="14" t="str">
        <f>'2026 Orders'!G466</f>
        <v>CAVIN-60-FD</v>
      </c>
      <c r="H467" s="14" t="str">
        <f>'2026 Orders'!H466</f>
        <v>CAVIN-60</v>
      </c>
      <c r="I467" s="15" t="str">
        <f>'2026 Orders'!I466</f>
        <v>FD</v>
      </c>
      <c r="J467" s="14">
        <f>'2026 Orders'!J466</f>
        <v>48</v>
      </c>
      <c r="K467">
        <v>0</v>
      </c>
      <c r="L467">
        <v>0</v>
      </c>
      <c r="N467" s="10" t="str">
        <f>'2026 Orders'!N466</f>
        <v>Available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C467" t="str">
        <f>IF(OR(B467="",B467=0),"",$AJ$2&amp;"/"&amp;J467)</f>
        <v>/48</v>
      </c>
      <c r="AD467" t="e">
        <f t="shared" si="7"/>
        <v>#VALUE!</v>
      </c>
    </row>
    <row r="468" spans="2:30" ht="33" hidden="1" customHeight="1" x14ac:dyDescent="0.3">
      <c r="B468" s="14" t="str">
        <f>'2026 Orders'!B467</f>
        <v>Amazon FBA</v>
      </c>
      <c r="C468" s="14" t="str">
        <f>'2026 Orders'!C467</f>
        <v>AWD 13</v>
      </c>
      <c r="D468" s="14">
        <v>0</v>
      </c>
      <c r="E468" s="17" t="str" cm="1">
        <f t="array" ref="E468">IF(C468=0,"",
HYPERLINK(
"#'2026 Orders'!C"&amp;
MATCH(1,
('2026 Orders'!C:C=C468)*
('2026 Orders'!G:G=G468)*
('2026 Orders'!N:N=N468),
0),
"Open "&amp;C468
))</f>
        <v>Open AWD 13</v>
      </c>
      <c r="F468" s="14">
        <v>0</v>
      </c>
      <c r="G468" s="14" t="str">
        <f>'2026 Orders'!G467</f>
        <v>MEMOUP-60-FD</v>
      </c>
      <c r="H468" s="14" t="str">
        <f>'2026 Orders'!H467</f>
        <v>MEMOUP-60</v>
      </c>
      <c r="I468" s="15" t="str">
        <f>'2026 Orders'!I467</f>
        <v>FD</v>
      </c>
      <c r="J468" s="14">
        <f>'2026 Orders'!J467</f>
        <v>24</v>
      </c>
      <c r="K468">
        <v>0</v>
      </c>
      <c r="L468">
        <v>0</v>
      </c>
      <c r="N468" s="10" t="str">
        <f>'2026 Orders'!N467</f>
        <v>Available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C468" t="str">
        <f>IF(OR(B468="",B468=0),"",$AJ$2&amp;"/"&amp;J468)</f>
        <v>/24</v>
      </c>
      <c r="AD468" t="e">
        <f t="shared" si="7"/>
        <v>#VALUE!</v>
      </c>
    </row>
    <row r="469" spans="2:30" ht="33" hidden="1" customHeight="1" x14ac:dyDescent="0.3">
      <c r="B469" s="14" t="str">
        <f>'2026 Orders'!B468</f>
        <v>Amazon FBA</v>
      </c>
      <c r="C469" s="14" t="str">
        <f>'2026 Orders'!C468</f>
        <v>AWD 13</v>
      </c>
      <c r="D469" s="14">
        <v>0</v>
      </c>
      <c r="E469" s="17" t="str" cm="1">
        <f t="array" ref="E469">IF(C469=0,"",
HYPERLINK(
"#'2026 Orders'!C"&amp;
MATCH(1,
('2026 Orders'!C:C=C469)*
('2026 Orders'!G:G=G469)*
('2026 Orders'!N:N=N469),
0),
"Open "&amp;C469
))</f>
        <v>Open AWD 13</v>
      </c>
      <c r="F469" s="14">
        <v>0</v>
      </c>
      <c r="G469" s="14" t="str">
        <f>'2026 Orders'!G468</f>
        <v>GINKGO-60-FD</v>
      </c>
      <c r="H469" s="14" t="str">
        <f>'2026 Orders'!H468</f>
        <v>GINKGO-60</v>
      </c>
      <c r="I469" s="15" t="str">
        <f>'2026 Orders'!I468</f>
        <v>FD</v>
      </c>
      <c r="J469" s="14">
        <f>'2026 Orders'!J468</f>
        <v>48</v>
      </c>
      <c r="K469">
        <v>0</v>
      </c>
      <c r="L469">
        <v>0</v>
      </c>
      <c r="N469" s="10" t="str">
        <f>'2026 Orders'!N468</f>
        <v>Available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C469" t="str">
        <f>IF(OR(B469="",B469=0),"",$AJ$2&amp;"/"&amp;J469)</f>
        <v>/48</v>
      </c>
      <c r="AD469" t="e">
        <f t="shared" si="7"/>
        <v>#VALUE!</v>
      </c>
    </row>
    <row r="470" spans="2:30" ht="33" hidden="1" customHeight="1" x14ac:dyDescent="0.3">
      <c r="B470" s="14">
        <f>'2026 Orders'!B469</f>
        <v>0</v>
      </c>
      <c r="C470" s="14">
        <f>'2026 Orders'!C469</f>
        <v>0</v>
      </c>
      <c r="D470" s="14">
        <v>0</v>
      </c>
      <c r="E470" s="17" t="str" cm="1">
        <f t="array" ref="E470">IF(C470=0,"",
HYPERLINK(
"#'2026 Orders'!C"&amp;
MATCH(1,
('2026 Orders'!C:C=C470)*
('2026 Orders'!G:G=G470)*
('2026 Orders'!N:N=N470),
0),
"Open "&amp;C470
))</f>
        <v/>
      </c>
      <c r="F470" s="14">
        <v>0</v>
      </c>
      <c r="G470" s="14">
        <f>'2026 Orders'!G469</f>
        <v>0</v>
      </c>
      <c r="H470" s="14">
        <f>'2026 Orders'!H469</f>
        <v>0</v>
      </c>
      <c r="I470" s="15" t="str">
        <f>'2026 Orders'!I469</f>
        <v/>
      </c>
      <c r="J470" s="14">
        <f>'2026 Orders'!J469</f>
        <v>0</v>
      </c>
      <c r="K470">
        <v>0</v>
      </c>
      <c r="L470">
        <v>0</v>
      </c>
      <c r="N470" s="10">
        <f>'2026 Orders'!N469</f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C470" t="str">
        <f>IF(OR(B470="",B470=0),"",$AJ$2&amp;"/"&amp;J470)</f>
        <v/>
      </c>
      <c r="AD470" t="str">
        <f t="shared" si="7"/>
        <v/>
      </c>
    </row>
    <row r="471" spans="2:30" ht="33" hidden="1" customHeight="1" x14ac:dyDescent="0.3">
      <c r="B471" s="14" t="str">
        <f>'2026 Orders'!B470</f>
        <v>Amazon AWD</v>
      </c>
      <c r="C471" s="14" t="str">
        <f>'2026 Orders'!C470</f>
        <v>AWD Backorder</v>
      </c>
      <c r="D471" s="14">
        <v>0</v>
      </c>
      <c r="E471" s="17" t="str" cm="1">
        <f t="array" ref="E471">IF(C471=0,"",
HYPERLINK(
"#'2026 Orders'!C"&amp;
MATCH(1,
('2026 Orders'!C:C=C471)*
('2026 Orders'!G:G=G471)*
('2026 Orders'!N:N=N471),
0),
"Open "&amp;C471
))</f>
        <v>Open AWD Backorder</v>
      </c>
      <c r="F471" s="14">
        <v>0</v>
      </c>
      <c r="G471" s="14" t="str">
        <f>'2026 Orders'!G470</f>
        <v>LARGIN-100-FD</v>
      </c>
      <c r="H471" s="14" t="str">
        <f>'2026 Orders'!H470</f>
        <v>LARGIN-100</v>
      </c>
      <c r="I471" s="15" t="str">
        <f>'2026 Orders'!I470</f>
        <v>FD</v>
      </c>
      <c r="J471" s="14">
        <f>'2026 Orders'!J470</f>
        <v>120</v>
      </c>
      <c r="K471">
        <v>0</v>
      </c>
      <c r="L471">
        <v>0</v>
      </c>
      <c r="N471" s="10" t="str">
        <f>'2026 Orders'!N470</f>
        <v>In Production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C471" t="str">
        <f>IF(OR(B471="",B471=0),"",$AJ$2&amp;"/"&amp;J471)</f>
        <v>/120</v>
      </c>
      <c r="AD471" t="e">
        <f t="shared" si="7"/>
        <v>#VALUE!</v>
      </c>
    </row>
    <row r="472" spans="2:30" ht="33" hidden="1" customHeight="1" x14ac:dyDescent="0.3">
      <c r="B472" s="14" t="str">
        <f>'2026 Orders'!B471</f>
        <v>Amazon AWD</v>
      </c>
      <c r="C472" s="14" t="str">
        <f>'2026 Orders'!C471</f>
        <v>AWD Backorder</v>
      </c>
      <c r="D472" s="14">
        <v>0</v>
      </c>
      <c r="E472" s="17" t="str" cm="1">
        <f t="array" ref="E472">IF(C472=0,"",
HYPERLINK(
"#'2026 Orders'!C"&amp;
MATCH(1,
('2026 Orders'!C:C=C472)*
('2026 Orders'!G:G=G472)*
('2026 Orders'!N:N=N472),
0),
"Open "&amp;C472
))</f>
        <v>Open AWD Backorder</v>
      </c>
      <c r="F472" s="14">
        <v>0</v>
      </c>
      <c r="G472" s="14" t="str">
        <f>'2026 Orders'!G471</f>
        <v>PEDIAD4-50-FD</v>
      </c>
      <c r="H472" s="14" t="str">
        <f>'2026 Orders'!H471</f>
        <v>PEDIAD4-50</v>
      </c>
      <c r="I472" s="15" t="str">
        <f>'2026 Orders'!I471</f>
        <v>FD</v>
      </c>
      <c r="J472" s="14">
        <f>'2026 Orders'!J471</f>
        <v>120</v>
      </c>
      <c r="K472">
        <v>0</v>
      </c>
      <c r="L472">
        <v>0</v>
      </c>
      <c r="N472" s="10" t="str">
        <f>'2026 Orders'!N471</f>
        <v>PO submitted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C472" t="str">
        <f>IF(OR(B472="",B472=0),"",$AJ$2&amp;"/"&amp;J472)</f>
        <v>/120</v>
      </c>
      <c r="AD472" t="e">
        <f t="shared" si="7"/>
        <v>#VALUE!</v>
      </c>
    </row>
    <row r="473" spans="2:30" ht="33" hidden="1" customHeight="1" x14ac:dyDescent="0.3">
      <c r="B473" s="14" t="str">
        <f>'2026 Orders'!B472</f>
        <v>Amazon AWD</v>
      </c>
      <c r="C473" s="14" t="str">
        <f>'2026 Orders'!C472</f>
        <v>AWD Backorder</v>
      </c>
      <c r="D473" s="14">
        <v>0</v>
      </c>
      <c r="E473" s="17" t="str" cm="1">
        <f t="array" ref="E473">IF(C473=0,"",
HYPERLINK(
"#'2026 Orders'!C"&amp;
MATCH(1,
('2026 Orders'!C:C=C473)*
('2026 Orders'!G:G=G473)*
('2026 Orders'!N:N=N473),
0),
"Open "&amp;C473
))</f>
        <v>Open AWD Backorder</v>
      </c>
      <c r="F473" s="14">
        <v>0</v>
      </c>
      <c r="G473" s="14" t="str">
        <f>'2026 Orders'!G472</f>
        <v>PEDIAD8-50-FD</v>
      </c>
      <c r="H473" s="14" t="str">
        <f>'2026 Orders'!H472</f>
        <v>PEDIAD8-50</v>
      </c>
      <c r="I473" s="15" t="str">
        <f>'2026 Orders'!I472</f>
        <v>FD</v>
      </c>
      <c r="J473" s="14">
        <f>'2026 Orders'!J472</f>
        <v>120</v>
      </c>
      <c r="K473">
        <v>0</v>
      </c>
      <c r="L473">
        <v>0</v>
      </c>
      <c r="N473" s="10" t="str">
        <f>'2026 Orders'!N472</f>
        <v>Not Meet MOQ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C473" t="str">
        <f>IF(OR(B473="",B473=0),"",$AJ$2&amp;"/"&amp;J473)</f>
        <v>/120</v>
      </c>
      <c r="AD473" t="e">
        <f t="shared" si="7"/>
        <v>#VALUE!</v>
      </c>
    </row>
    <row r="474" spans="2:30" ht="33" hidden="1" customHeight="1" x14ac:dyDescent="0.3">
      <c r="B474" s="14" t="str">
        <f>'2026 Orders'!B473</f>
        <v>Amazon AWD</v>
      </c>
      <c r="C474" s="14" t="str">
        <f>'2026 Orders'!C473</f>
        <v>AWD Backorder</v>
      </c>
      <c r="D474" s="14">
        <v>0</v>
      </c>
      <c r="E474" s="17" t="str" cm="1">
        <f t="array" ref="E474">IF(C474=0,"",
HYPERLINK(
"#'2026 Orders'!C"&amp;
MATCH(1,
('2026 Orders'!C:C=C474)*
('2026 Orders'!G:G=G474)*
('2026 Orders'!N:N=N474),
0),
"Open "&amp;C474
))</f>
        <v>Open AWD Backorder</v>
      </c>
      <c r="F474" s="14">
        <v>0</v>
      </c>
      <c r="G474" s="14" t="str">
        <f>'2026 Orders'!G473</f>
        <v>FERTMX-90-FD</v>
      </c>
      <c r="H474" s="14" t="str">
        <f>'2026 Orders'!H473</f>
        <v>FERTMX-90</v>
      </c>
      <c r="I474" s="15" t="str">
        <f>'2026 Orders'!I473</f>
        <v>FD</v>
      </c>
      <c r="J474" s="14">
        <f>'2026 Orders'!J473</f>
        <v>120</v>
      </c>
      <c r="K474">
        <v>0</v>
      </c>
      <c r="L474">
        <v>0</v>
      </c>
      <c r="N474" s="10" t="str">
        <f>'2026 Orders'!N473</f>
        <v>PO submitted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C474" t="str">
        <f>IF(OR(B474="",B474=0),"",$AJ$2&amp;"/"&amp;J474)</f>
        <v>/120</v>
      </c>
      <c r="AD474" t="e">
        <f t="shared" si="7"/>
        <v>#VALUE!</v>
      </c>
    </row>
    <row r="475" spans="2:30" ht="33" hidden="1" customHeight="1" x14ac:dyDescent="0.3">
      <c r="B475" s="14" t="str">
        <f>'2026 Orders'!B474</f>
        <v>Amazon AWD</v>
      </c>
      <c r="C475" s="14" t="str">
        <f>'2026 Orders'!C474</f>
        <v>AWD Backorder</v>
      </c>
      <c r="D475" s="14">
        <v>0</v>
      </c>
      <c r="E475" s="17" t="str" cm="1">
        <f t="array" ref="E475">IF(C475=0,"",
HYPERLINK(
"#'2026 Orders'!C"&amp;
MATCH(1,
('2026 Orders'!C:C=C475)*
('2026 Orders'!G:G=G475)*
('2026 Orders'!N:N=N475),
0),
"Open "&amp;C475
))</f>
        <v>Open AWD Backorder</v>
      </c>
      <c r="F475" s="14">
        <v>0</v>
      </c>
      <c r="G475" s="14" t="str">
        <f>'2026 Orders'!G474</f>
        <v>FERTMX-90-FD</v>
      </c>
      <c r="H475" s="14" t="str">
        <f>'2026 Orders'!H474</f>
        <v>FERTMX-90</v>
      </c>
      <c r="I475" s="15" t="str">
        <f>'2026 Orders'!I474</f>
        <v>FD</v>
      </c>
      <c r="J475" s="14">
        <f>'2026 Orders'!J474</f>
        <v>72</v>
      </c>
      <c r="K475">
        <v>0</v>
      </c>
      <c r="L475">
        <v>0</v>
      </c>
      <c r="N475" s="10" t="str">
        <f>'2026 Orders'!N474</f>
        <v>PO submitted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C475" t="str">
        <f>IF(OR(B475="",B475=0),"",$AJ$2&amp;"/"&amp;J475)</f>
        <v>/72</v>
      </c>
      <c r="AD475" t="e">
        <f t="shared" si="7"/>
        <v>#VALUE!</v>
      </c>
    </row>
    <row r="476" spans="2:30" ht="33" hidden="1" customHeight="1" x14ac:dyDescent="0.3">
      <c r="B476" s="14" t="str">
        <f>'2026 Orders'!B475</f>
        <v>Amazon AWD</v>
      </c>
      <c r="C476" s="14" t="str">
        <f>'2026 Orders'!C475</f>
        <v>AWD Backorder</v>
      </c>
      <c r="D476" s="14">
        <v>0</v>
      </c>
      <c r="E476" s="17" t="str" cm="1">
        <f t="array" ref="E476">IF(C476=0,"",
HYPERLINK(
"#'2026 Orders'!C"&amp;
MATCH(1,
('2026 Orders'!C:C=C476)*
('2026 Orders'!G:G=G476)*
('2026 Orders'!N:N=N476),
0),
"Open "&amp;C476
))</f>
        <v>Open AWD Backorder</v>
      </c>
      <c r="F476" s="14">
        <v>0</v>
      </c>
      <c r="G476" s="14" t="str">
        <f>'2026 Orders'!G475</f>
        <v>ADVTH-60-FD</v>
      </c>
      <c r="H476" s="14" t="str">
        <f>'2026 Orders'!H475</f>
        <v>ADVTH-60</v>
      </c>
      <c r="I476" s="15" t="str">
        <f>'2026 Orders'!I475</f>
        <v>FD</v>
      </c>
      <c r="J476" s="14">
        <f>'2026 Orders'!J475</f>
        <v>24</v>
      </c>
      <c r="K476">
        <v>0</v>
      </c>
      <c r="L476">
        <v>0</v>
      </c>
      <c r="N476" s="10" t="str">
        <f>'2026 Orders'!N475</f>
        <v>Not Meet MOQ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C476" t="str">
        <f>IF(OR(B476="",B476=0),"",$AJ$2&amp;"/"&amp;J476)</f>
        <v>/24</v>
      </c>
      <c r="AD476" t="e">
        <f t="shared" si="7"/>
        <v>#VALUE!</v>
      </c>
    </row>
    <row r="477" spans="2:30" ht="33" hidden="1" customHeight="1" x14ac:dyDescent="0.3">
      <c r="B477" s="14">
        <f>'2026 Orders'!B476</f>
        <v>0</v>
      </c>
      <c r="C477" s="14">
        <f>'2026 Orders'!C476</f>
        <v>0</v>
      </c>
      <c r="D477" s="14">
        <v>0</v>
      </c>
      <c r="E477" s="17" t="str" cm="1">
        <f t="array" ref="E477">IF(C477=0,"",
HYPERLINK(
"#'2026 Orders'!C"&amp;
MATCH(1,
('2026 Orders'!C:C=C477)*
('2026 Orders'!G:G=G477)*
('2026 Orders'!N:N=N477),
0),
"Open "&amp;C477
))</f>
        <v/>
      </c>
      <c r="F477" s="14">
        <v>0</v>
      </c>
      <c r="G477" s="14">
        <f>'2026 Orders'!G476</f>
        <v>0</v>
      </c>
      <c r="H477" s="14" t="str">
        <f>'2026 Orders'!H476</f>
        <v/>
      </c>
      <c r="I477" s="15" t="str">
        <f>'2026 Orders'!I476</f>
        <v/>
      </c>
      <c r="J477" s="14">
        <f>'2026 Orders'!J476</f>
        <v>0</v>
      </c>
      <c r="K477">
        <v>0</v>
      </c>
      <c r="L477">
        <v>0</v>
      </c>
      <c r="N477" s="10">
        <f>'2026 Orders'!N476</f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C477" t="str">
        <f>IF(OR(B477="",B477=0),"",$AJ$2&amp;"/"&amp;J477)</f>
        <v/>
      </c>
      <c r="AD477" t="str">
        <f t="shared" si="7"/>
        <v/>
      </c>
    </row>
    <row r="478" spans="2:30" ht="33" hidden="1" customHeight="1" x14ac:dyDescent="0.3">
      <c r="B478" s="14">
        <f>'2026 Orders'!B477</f>
        <v>0</v>
      </c>
      <c r="C478" s="14">
        <f>'2026 Orders'!C477</f>
        <v>0</v>
      </c>
      <c r="D478" s="14">
        <v>0</v>
      </c>
      <c r="E478" s="17" t="str" cm="1">
        <f t="array" ref="E478">IF(C478=0,"",
HYPERLINK(
"#'2026 Orders'!C"&amp;
MATCH(1,
('2026 Orders'!C:C=C478)*
('2026 Orders'!G:G=G478)*
('2026 Orders'!N:N=N478),
0),
"Open "&amp;C478
))</f>
        <v/>
      </c>
      <c r="F478" s="14">
        <v>0</v>
      </c>
      <c r="G478" s="14">
        <f>'2026 Orders'!G477</f>
        <v>0</v>
      </c>
      <c r="H478" s="14" t="str">
        <f>'2026 Orders'!H477</f>
        <v/>
      </c>
      <c r="I478" s="15" t="str">
        <f>'2026 Orders'!I477</f>
        <v/>
      </c>
      <c r="J478" s="14">
        <f>'2026 Orders'!J477</f>
        <v>0</v>
      </c>
      <c r="K478">
        <v>0</v>
      </c>
      <c r="L478">
        <v>0</v>
      </c>
      <c r="N478" s="10">
        <f>'2026 Orders'!N477</f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C478" t="str">
        <f>IF(OR(B478="",B478=0),"",$AJ$2&amp;"/"&amp;J478)</f>
        <v/>
      </c>
      <c r="AD478" t="str">
        <f t="shared" si="7"/>
        <v/>
      </c>
    </row>
    <row r="479" spans="2:30" ht="33" hidden="1" customHeight="1" x14ac:dyDescent="0.3">
      <c r="B479" s="14">
        <f>'2026 Orders'!B478</f>
        <v>0</v>
      </c>
      <c r="C479" s="14">
        <f>'2026 Orders'!C478</f>
        <v>0</v>
      </c>
      <c r="D479" s="14">
        <v>0</v>
      </c>
      <c r="E479" s="17" t="str" cm="1">
        <f t="array" ref="E479">IF(C479=0,"",
HYPERLINK(
"#'2026 Orders'!C"&amp;
MATCH(1,
('2026 Orders'!C:C=C479)*
('2026 Orders'!G:G=G479)*
('2026 Orders'!N:N=N479),
0),
"Open "&amp;C479
))</f>
        <v/>
      </c>
      <c r="F479" s="14">
        <v>0</v>
      </c>
      <c r="G479" s="14">
        <f>'2026 Orders'!G478</f>
        <v>0</v>
      </c>
      <c r="H479" s="14" t="str">
        <f>'2026 Orders'!H478</f>
        <v/>
      </c>
      <c r="I479" s="15" t="str">
        <f>'2026 Orders'!I478</f>
        <v/>
      </c>
      <c r="J479" s="14">
        <f>'2026 Orders'!J478</f>
        <v>0</v>
      </c>
      <c r="K479">
        <v>0</v>
      </c>
      <c r="L479">
        <v>0</v>
      </c>
      <c r="N479" s="10">
        <f>'2026 Orders'!N478</f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C479" t="str">
        <f>IF(OR(B479="",B479=0),"",$AJ$2&amp;"/"&amp;J479)</f>
        <v/>
      </c>
      <c r="AD479" t="str">
        <f t="shared" si="7"/>
        <v/>
      </c>
    </row>
    <row r="480" spans="2:30" ht="33" hidden="1" customHeight="1" x14ac:dyDescent="0.3">
      <c r="B480" s="14">
        <f>'2026 Orders'!B479</f>
        <v>0</v>
      </c>
      <c r="C480" s="14">
        <f>'2026 Orders'!C479</f>
        <v>0</v>
      </c>
      <c r="D480" s="14">
        <v>0</v>
      </c>
      <c r="E480" s="17" t="str" cm="1">
        <f t="array" ref="E480">IF(C480=0,"",
HYPERLINK(
"#'2026 Orders'!C"&amp;
MATCH(1,
('2026 Orders'!C:C=C480)*
('2026 Orders'!G:G=G480)*
('2026 Orders'!N:N=N480),
0),
"Open "&amp;C480
))</f>
        <v/>
      </c>
      <c r="F480" s="14">
        <v>0</v>
      </c>
      <c r="G480" s="14">
        <f>'2026 Orders'!G479</f>
        <v>0</v>
      </c>
      <c r="H480" s="14" t="str">
        <f>'2026 Orders'!H479</f>
        <v/>
      </c>
      <c r="I480" s="15" t="str">
        <f>'2026 Orders'!I479</f>
        <v/>
      </c>
      <c r="J480" s="14">
        <f>'2026 Orders'!J479</f>
        <v>0</v>
      </c>
      <c r="K480">
        <v>0</v>
      </c>
      <c r="L480">
        <v>0</v>
      </c>
      <c r="N480" s="10">
        <f>'2026 Orders'!N479</f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C480" t="str">
        <f>IF(OR(B480="",B480=0),"",$AJ$2&amp;"/"&amp;J480)</f>
        <v/>
      </c>
      <c r="AD480" t="str">
        <f t="shared" si="7"/>
        <v/>
      </c>
    </row>
    <row r="481" spans="2:30" ht="33" hidden="1" customHeight="1" x14ac:dyDescent="0.3">
      <c r="B481" s="14">
        <f>'2026 Orders'!B480</f>
        <v>0</v>
      </c>
      <c r="C481" s="14">
        <f>'2026 Orders'!C480</f>
        <v>0</v>
      </c>
      <c r="D481" s="14">
        <v>0</v>
      </c>
      <c r="E481" s="17" t="str" cm="1">
        <f t="array" ref="E481">IF(C481=0,"",
HYPERLINK(
"#'2026 Orders'!C"&amp;
MATCH(1,
('2026 Orders'!C:C=C481)*
('2026 Orders'!G:G=G481)*
('2026 Orders'!N:N=N481),
0),
"Open "&amp;C481
))</f>
        <v/>
      </c>
      <c r="F481" s="14">
        <v>0</v>
      </c>
      <c r="G481" s="14">
        <f>'2026 Orders'!G480</f>
        <v>0</v>
      </c>
      <c r="H481" s="14" t="str">
        <f>'2026 Orders'!H480</f>
        <v/>
      </c>
      <c r="I481" s="15" t="str">
        <f>'2026 Orders'!I480</f>
        <v/>
      </c>
      <c r="J481" s="14">
        <f>'2026 Orders'!J480</f>
        <v>0</v>
      </c>
      <c r="K481">
        <v>0</v>
      </c>
      <c r="L481">
        <v>0</v>
      </c>
      <c r="N481" s="10">
        <f>'2026 Orders'!N480</f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C481" t="str">
        <f>IF(OR(B481="",B481=0),"",$AJ$2&amp;"/"&amp;J481)</f>
        <v/>
      </c>
      <c r="AD481" t="str">
        <f t="shared" si="7"/>
        <v/>
      </c>
    </row>
    <row r="482" spans="2:30" ht="33" hidden="1" customHeight="1" x14ac:dyDescent="0.3">
      <c r="B482" s="14">
        <f>'2026 Orders'!B481</f>
        <v>0</v>
      </c>
      <c r="C482" s="14">
        <f>'2026 Orders'!C481</f>
        <v>0</v>
      </c>
      <c r="D482" s="14">
        <v>0</v>
      </c>
      <c r="E482" s="17" t="str" cm="1">
        <f t="array" ref="E482">IF(C482=0,"",
HYPERLINK(
"#'2026 Orders'!C"&amp;
MATCH(1,
('2026 Orders'!C:C=C482)*
('2026 Orders'!G:G=G482)*
('2026 Orders'!N:N=N482),
0),
"Open "&amp;C482
))</f>
        <v/>
      </c>
      <c r="F482" s="14">
        <v>0</v>
      </c>
      <c r="G482" s="14">
        <f>'2026 Orders'!G481</f>
        <v>0</v>
      </c>
      <c r="H482" s="14" t="str">
        <f>'2026 Orders'!H481</f>
        <v/>
      </c>
      <c r="I482" s="15" t="str">
        <f>'2026 Orders'!I481</f>
        <v/>
      </c>
      <c r="J482" s="14">
        <f>'2026 Orders'!J481</f>
        <v>0</v>
      </c>
      <c r="K482">
        <v>0</v>
      </c>
      <c r="L482">
        <v>0</v>
      </c>
      <c r="N482" s="10">
        <f>'2026 Orders'!N481</f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C482" t="str">
        <f>IF(OR(B482="",B482=0),"",$AJ$2&amp;"/"&amp;J482)</f>
        <v/>
      </c>
      <c r="AD482" t="str">
        <f t="shared" si="7"/>
        <v/>
      </c>
    </row>
    <row r="483" spans="2:30" ht="33" hidden="1" customHeight="1" x14ac:dyDescent="0.3">
      <c r="B483" s="14">
        <f>'2026 Orders'!B482</f>
        <v>0</v>
      </c>
      <c r="C483" s="14">
        <f>'2026 Orders'!C482</f>
        <v>0</v>
      </c>
      <c r="D483" s="14">
        <v>0</v>
      </c>
      <c r="E483" s="17" t="str" cm="1">
        <f t="array" ref="E483">IF(C483=0,"",
HYPERLINK(
"#'2026 Orders'!C"&amp;
MATCH(1,
('2026 Orders'!C:C=C483)*
('2026 Orders'!G:G=G483)*
('2026 Orders'!N:N=N483),
0),
"Open "&amp;C483
))</f>
        <v/>
      </c>
      <c r="F483" s="14">
        <v>0</v>
      </c>
      <c r="G483" s="14">
        <f>'2026 Orders'!G482</f>
        <v>0</v>
      </c>
      <c r="H483" s="14" t="str">
        <f>'2026 Orders'!H482</f>
        <v/>
      </c>
      <c r="I483" s="15" t="str">
        <f>'2026 Orders'!I482</f>
        <v/>
      </c>
      <c r="J483" s="14">
        <f>'2026 Orders'!J482</f>
        <v>0</v>
      </c>
      <c r="K483">
        <v>0</v>
      </c>
      <c r="L483">
        <v>0</v>
      </c>
      <c r="N483" s="10">
        <f>'2026 Orders'!N482</f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C483" t="str">
        <f>IF(OR(B483="",B483=0),"",$AJ$2&amp;"/"&amp;J483)</f>
        <v/>
      </c>
      <c r="AD483" t="str">
        <f t="shared" si="7"/>
        <v/>
      </c>
    </row>
    <row r="484" spans="2:30" ht="33" hidden="1" customHeight="1" x14ac:dyDescent="0.3">
      <c r="B484" s="14">
        <f>'2026 Orders'!B483</f>
        <v>0</v>
      </c>
      <c r="C484" s="14">
        <f>'2026 Orders'!C483</f>
        <v>0</v>
      </c>
      <c r="D484" s="14">
        <v>0</v>
      </c>
      <c r="E484" s="17" t="str" cm="1">
        <f t="array" ref="E484">IF(C484=0,"",
HYPERLINK(
"#'2026 Orders'!C"&amp;
MATCH(1,
('2026 Orders'!C:C=C484)*
('2026 Orders'!G:G=G484)*
('2026 Orders'!N:N=N484),
0),
"Open "&amp;C484
))</f>
        <v/>
      </c>
      <c r="F484" s="14">
        <v>0</v>
      </c>
      <c r="G484" s="14">
        <f>'2026 Orders'!G483</f>
        <v>0</v>
      </c>
      <c r="H484" s="14" t="str">
        <f>'2026 Orders'!H483</f>
        <v/>
      </c>
      <c r="I484" s="15" t="str">
        <f>'2026 Orders'!I483</f>
        <v/>
      </c>
      <c r="J484" s="14">
        <f>'2026 Orders'!J483</f>
        <v>0</v>
      </c>
      <c r="K484">
        <v>0</v>
      </c>
      <c r="L484">
        <v>0</v>
      </c>
      <c r="N484" s="10">
        <f>'2026 Orders'!N483</f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C484" t="str">
        <f>IF(OR(B484="",B484=0),"",$AJ$2&amp;"/"&amp;J484)</f>
        <v/>
      </c>
      <c r="AD484" t="str">
        <f t="shared" si="7"/>
        <v/>
      </c>
    </row>
    <row r="485" spans="2:30" ht="33" hidden="1" customHeight="1" x14ac:dyDescent="0.3">
      <c r="B485" s="14">
        <f>'2026 Orders'!B484</f>
        <v>0</v>
      </c>
      <c r="C485" s="14">
        <f>'2026 Orders'!C484</f>
        <v>0</v>
      </c>
      <c r="D485" s="14">
        <v>0</v>
      </c>
      <c r="E485" s="17" t="str" cm="1">
        <f t="array" ref="E485">IF(C485=0,"",
HYPERLINK(
"#'2026 Orders'!C"&amp;
MATCH(1,
('2026 Orders'!C:C=C485)*
('2026 Orders'!G:G=G485)*
('2026 Orders'!N:N=N485),
0),
"Open "&amp;C485
))</f>
        <v/>
      </c>
      <c r="F485" s="14">
        <v>0</v>
      </c>
      <c r="G485" s="14">
        <f>'2026 Orders'!G484</f>
        <v>0</v>
      </c>
      <c r="H485" s="14" t="str">
        <f>'2026 Orders'!H484</f>
        <v/>
      </c>
      <c r="I485" s="15" t="str">
        <f>'2026 Orders'!I484</f>
        <v/>
      </c>
      <c r="J485" s="14">
        <f>'2026 Orders'!J484</f>
        <v>0</v>
      </c>
      <c r="K485">
        <v>0</v>
      </c>
      <c r="L485">
        <v>0</v>
      </c>
      <c r="N485" s="10">
        <f>'2026 Orders'!N484</f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C485" t="str">
        <f>IF(OR(B485="",B485=0),"",$AJ$2&amp;"/"&amp;J485)</f>
        <v/>
      </c>
      <c r="AD485" t="str">
        <f t="shared" si="7"/>
        <v/>
      </c>
    </row>
    <row r="486" spans="2:30" ht="33" hidden="1" customHeight="1" x14ac:dyDescent="0.3">
      <c r="B486" s="14">
        <f>'2026 Orders'!B485</f>
        <v>0</v>
      </c>
      <c r="C486" s="14">
        <f>'2026 Orders'!C485</f>
        <v>0</v>
      </c>
      <c r="D486" s="14">
        <v>0</v>
      </c>
      <c r="E486" s="17" t="str" cm="1">
        <f t="array" ref="E486">IF(C486=0,"",
HYPERLINK(
"#'2026 Orders'!C"&amp;
MATCH(1,
('2026 Orders'!C:C=C486)*
('2026 Orders'!G:G=G486)*
('2026 Orders'!N:N=N486),
0),
"Open "&amp;C486
))</f>
        <v/>
      </c>
      <c r="F486" s="14">
        <v>0</v>
      </c>
      <c r="G486" s="14">
        <f>'2026 Orders'!G485</f>
        <v>0</v>
      </c>
      <c r="H486" s="14" t="str">
        <f>'2026 Orders'!H485</f>
        <v/>
      </c>
      <c r="I486" s="15" t="str">
        <f>'2026 Orders'!I485</f>
        <v/>
      </c>
      <c r="J486" s="14">
        <f>'2026 Orders'!J485</f>
        <v>0</v>
      </c>
      <c r="K486">
        <v>0</v>
      </c>
      <c r="L486">
        <v>0</v>
      </c>
      <c r="N486" s="10">
        <f>'2026 Orders'!N485</f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C486" t="str">
        <f>IF(OR(B486="",B486=0),"",$AJ$2&amp;"/"&amp;J486)</f>
        <v/>
      </c>
      <c r="AD486" t="str">
        <f t="shared" si="7"/>
        <v/>
      </c>
    </row>
    <row r="487" spans="2:30" ht="33" hidden="1" customHeight="1" x14ac:dyDescent="0.3">
      <c r="B487" s="14">
        <f>'2026 Orders'!B486</f>
        <v>0</v>
      </c>
      <c r="C487" s="14">
        <f>'2026 Orders'!C486</f>
        <v>0</v>
      </c>
      <c r="D487" s="14">
        <v>0</v>
      </c>
      <c r="E487" s="17" t="str" cm="1">
        <f t="array" ref="E487">IF(C487=0,"",
HYPERLINK(
"#'2026 Orders'!C"&amp;
MATCH(1,
('2026 Orders'!C:C=C487)*
('2026 Orders'!G:G=G487)*
('2026 Orders'!N:N=N487),
0),
"Open "&amp;C487
))</f>
        <v/>
      </c>
      <c r="F487" s="14">
        <v>0</v>
      </c>
      <c r="G487" s="14">
        <f>'2026 Orders'!G486</f>
        <v>0</v>
      </c>
      <c r="H487" s="14" t="str">
        <f>'2026 Orders'!H486</f>
        <v/>
      </c>
      <c r="I487" s="15" t="str">
        <f>'2026 Orders'!I486</f>
        <v/>
      </c>
      <c r="J487" s="14">
        <f>'2026 Orders'!J486</f>
        <v>0</v>
      </c>
      <c r="K487">
        <v>0</v>
      </c>
      <c r="L487">
        <v>0</v>
      </c>
      <c r="N487" s="10">
        <f>'2026 Orders'!N486</f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C487" t="str">
        <f>IF(OR(B487="",B487=0),"",$AJ$2&amp;"/"&amp;J487)</f>
        <v/>
      </c>
      <c r="AD487" t="str">
        <f t="shared" si="7"/>
        <v/>
      </c>
    </row>
    <row r="488" spans="2:30" ht="33" hidden="1" customHeight="1" x14ac:dyDescent="0.3">
      <c r="B488" s="14">
        <f>'2026 Orders'!B487</f>
        <v>0</v>
      </c>
      <c r="C488" s="14">
        <f>'2026 Orders'!C487</f>
        <v>0</v>
      </c>
      <c r="D488" s="14">
        <v>0</v>
      </c>
      <c r="E488" s="17" t="str" cm="1">
        <f t="array" ref="E488">IF(C488=0,"",
HYPERLINK(
"#'2026 Orders'!C"&amp;
MATCH(1,
('2026 Orders'!C:C=C488)*
('2026 Orders'!G:G=G488)*
('2026 Orders'!N:N=N488),
0),
"Open "&amp;C488
))</f>
        <v/>
      </c>
      <c r="F488" s="14">
        <v>0</v>
      </c>
      <c r="G488" s="14">
        <f>'2026 Orders'!G487</f>
        <v>0</v>
      </c>
      <c r="H488" s="14" t="str">
        <f>'2026 Orders'!H487</f>
        <v/>
      </c>
      <c r="I488" s="15" t="str">
        <f>'2026 Orders'!I487</f>
        <v/>
      </c>
      <c r="J488" s="14">
        <f>'2026 Orders'!J487</f>
        <v>0</v>
      </c>
      <c r="K488">
        <v>0</v>
      </c>
      <c r="L488">
        <v>0</v>
      </c>
      <c r="N488" s="10">
        <f>'2026 Orders'!N487</f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C488" t="str">
        <f>IF(OR(B488="",B488=0),"",$AJ$2&amp;"/"&amp;J488)</f>
        <v/>
      </c>
      <c r="AD488" t="str">
        <f t="shared" si="7"/>
        <v/>
      </c>
    </row>
    <row r="489" spans="2:30" ht="33" hidden="1" customHeight="1" x14ac:dyDescent="0.3">
      <c r="B489" s="14">
        <f>'2026 Orders'!B488</f>
        <v>0</v>
      </c>
      <c r="C489" s="14">
        <f>'2026 Orders'!C488</f>
        <v>0</v>
      </c>
      <c r="D489" s="14">
        <v>0</v>
      </c>
      <c r="E489" s="17" t="str" cm="1">
        <f t="array" ref="E489">IF(C489=0,"",
HYPERLINK(
"#'2026 Orders'!C"&amp;
MATCH(1,
('2026 Orders'!C:C=C489)*
('2026 Orders'!G:G=G489)*
('2026 Orders'!N:N=N489),
0),
"Open "&amp;C489
))</f>
        <v/>
      </c>
      <c r="F489" s="14">
        <v>0</v>
      </c>
      <c r="G489" s="14">
        <f>'2026 Orders'!G488</f>
        <v>0</v>
      </c>
      <c r="H489" s="14" t="str">
        <f>'2026 Orders'!H488</f>
        <v/>
      </c>
      <c r="I489" s="15" t="str">
        <f>'2026 Orders'!I488</f>
        <v/>
      </c>
      <c r="J489" s="14">
        <f>'2026 Orders'!J488</f>
        <v>0</v>
      </c>
      <c r="K489">
        <v>0</v>
      </c>
      <c r="L489">
        <v>0</v>
      </c>
      <c r="N489" s="10">
        <f>'2026 Orders'!N488</f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C489" t="str">
        <f>IF(OR(B489="",B489=0),"",$AJ$2&amp;"/"&amp;J489)</f>
        <v/>
      </c>
      <c r="AD489" t="str">
        <f t="shared" si="7"/>
        <v/>
      </c>
    </row>
    <row r="490" spans="2:30" ht="33" hidden="1" customHeight="1" x14ac:dyDescent="0.3">
      <c r="B490" s="14">
        <f>'2026 Orders'!B489</f>
        <v>0</v>
      </c>
      <c r="C490" s="14">
        <f>'2026 Orders'!C489</f>
        <v>0</v>
      </c>
      <c r="D490" s="14">
        <v>0</v>
      </c>
      <c r="E490" s="17" t="str" cm="1">
        <f t="array" ref="E490">IF(C490=0,"",
HYPERLINK(
"#'2026 Orders'!C"&amp;
MATCH(1,
('2026 Orders'!C:C=C490)*
('2026 Orders'!G:G=G490)*
('2026 Orders'!N:N=N490),
0),
"Open "&amp;C490
))</f>
        <v/>
      </c>
      <c r="F490" s="14">
        <v>0</v>
      </c>
      <c r="G490" s="14">
        <f>'2026 Orders'!G489</f>
        <v>0</v>
      </c>
      <c r="H490" s="14" t="str">
        <f>'2026 Orders'!H489</f>
        <v/>
      </c>
      <c r="I490" s="15" t="str">
        <f>'2026 Orders'!I489</f>
        <v/>
      </c>
      <c r="J490" s="14">
        <f>'2026 Orders'!J489</f>
        <v>0</v>
      </c>
      <c r="K490">
        <v>0</v>
      </c>
      <c r="L490">
        <v>0</v>
      </c>
      <c r="N490" s="10">
        <f>'2026 Orders'!N489</f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C490" t="str">
        <f>IF(OR(B490="",B490=0),"",$AJ$2&amp;"/"&amp;J490)</f>
        <v/>
      </c>
      <c r="AD490" t="str">
        <f t="shared" si="7"/>
        <v/>
      </c>
    </row>
    <row r="491" spans="2:30" ht="33" hidden="1" customHeight="1" x14ac:dyDescent="0.3">
      <c r="B491" s="14">
        <f>'2026 Orders'!B490</f>
        <v>0</v>
      </c>
      <c r="C491" s="14">
        <f>'2026 Orders'!C490</f>
        <v>0</v>
      </c>
      <c r="D491" s="14">
        <v>0</v>
      </c>
      <c r="E491" s="17" t="str" cm="1">
        <f t="array" ref="E491">IF(C491=0,"",
HYPERLINK(
"#'2026 Orders'!C"&amp;
MATCH(1,
('2026 Orders'!C:C=C491)*
('2026 Orders'!G:G=G491)*
('2026 Orders'!N:N=N491),
0),
"Open "&amp;C491
))</f>
        <v/>
      </c>
      <c r="F491" s="14">
        <v>0</v>
      </c>
      <c r="G491" s="14">
        <f>'2026 Orders'!G490</f>
        <v>0</v>
      </c>
      <c r="H491" s="14" t="str">
        <f>'2026 Orders'!H490</f>
        <v/>
      </c>
      <c r="I491" s="15" t="str">
        <f>'2026 Orders'!I490</f>
        <v/>
      </c>
      <c r="J491" s="14">
        <f>'2026 Orders'!J490</f>
        <v>0</v>
      </c>
      <c r="K491">
        <v>0</v>
      </c>
      <c r="L491">
        <v>0</v>
      </c>
      <c r="N491" s="10">
        <f>'2026 Orders'!N490</f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C491" t="str">
        <f>IF(OR(B491="",B491=0),"",$AJ$2&amp;"/"&amp;J491)</f>
        <v/>
      </c>
      <c r="AD491" t="str">
        <f t="shared" si="7"/>
        <v/>
      </c>
    </row>
    <row r="492" spans="2:30" ht="33" hidden="1" customHeight="1" x14ac:dyDescent="0.3">
      <c r="B492" s="14">
        <f>'2026 Orders'!B491</f>
        <v>0</v>
      </c>
      <c r="C492" s="14">
        <f>'2026 Orders'!C491</f>
        <v>0</v>
      </c>
      <c r="D492" s="14">
        <v>0</v>
      </c>
      <c r="E492" s="17" t="str" cm="1">
        <f t="array" ref="E492">IF(C492=0,"",
HYPERLINK(
"#'2026 Orders'!C"&amp;
MATCH(1,
('2026 Orders'!C:C=C492)*
('2026 Orders'!G:G=G492)*
('2026 Orders'!N:N=N492),
0),
"Open "&amp;C492
))</f>
        <v/>
      </c>
      <c r="F492" s="14">
        <v>0</v>
      </c>
      <c r="G492" s="14">
        <f>'2026 Orders'!G491</f>
        <v>0</v>
      </c>
      <c r="H492" s="14" t="str">
        <f>'2026 Orders'!H491</f>
        <v/>
      </c>
      <c r="I492" s="15" t="str">
        <f>'2026 Orders'!I491</f>
        <v/>
      </c>
      <c r="J492" s="14">
        <f>'2026 Orders'!J491</f>
        <v>0</v>
      </c>
      <c r="K492">
        <v>0</v>
      </c>
      <c r="L492">
        <v>0</v>
      </c>
      <c r="N492" s="10">
        <f>'2026 Orders'!N491</f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C492" t="str">
        <f>IF(OR(B492="",B492=0),"",$AJ$2&amp;"/"&amp;J492)</f>
        <v/>
      </c>
      <c r="AD492" t="str">
        <f t="shared" si="7"/>
        <v/>
      </c>
    </row>
    <row r="493" spans="2:30" ht="33" hidden="1" customHeight="1" x14ac:dyDescent="0.3">
      <c r="B493" s="14">
        <f>'2026 Orders'!B492</f>
        <v>0</v>
      </c>
      <c r="C493" s="14">
        <f>'2026 Orders'!C492</f>
        <v>0</v>
      </c>
      <c r="D493" s="14">
        <v>0</v>
      </c>
      <c r="E493" s="17" t="str" cm="1">
        <f t="array" ref="E493">IF(C493=0,"",
HYPERLINK(
"#'2026 Orders'!C"&amp;
MATCH(1,
('2026 Orders'!C:C=C493)*
('2026 Orders'!G:G=G493)*
('2026 Orders'!N:N=N493),
0),
"Open "&amp;C493
))</f>
        <v/>
      </c>
      <c r="F493" s="14">
        <v>0</v>
      </c>
      <c r="G493" s="14">
        <f>'2026 Orders'!G492</f>
        <v>0</v>
      </c>
      <c r="H493" s="14" t="str">
        <f>'2026 Orders'!H492</f>
        <v/>
      </c>
      <c r="I493" s="15" t="str">
        <f>'2026 Orders'!I492</f>
        <v/>
      </c>
      <c r="J493" s="14">
        <f>'2026 Orders'!J492</f>
        <v>0</v>
      </c>
      <c r="K493">
        <v>0</v>
      </c>
      <c r="L493">
        <v>0</v>
      </c>
      <c r="N493" s="10">
        <f>'2026 Orders'!N492</f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C493" t="str">
        <f>IF(OR(B493="",B493=0),"",$AJ$2&amp;"/"&amp;J493)</f>
        <v/>
      </c>
      <c r="AD493" t="str">
        <f t="shared" si="7"/>
        <v/>
      </c>
    </row>
    <row r="494" spans="2:30" ht="33" hidden="1" customHeight="1" x14ac:dyDescent="0.3">
      <c r="B494" s="14">
        <f>'2026 Orders'!B493</f>
        <v>0</v>
      </c>
      <c r="C494" s="14">
        <f>'2026 Orders'!C493</f>
        <v>0</v>
      </c>
      <c r="D494" s="14">
        <v>0</v>
      </c>
      <c r="E494" s="17" t="str" cm="1">
        <f t="array" ref="E494">IF(C494=0,"",
HYPERLINK(
"#'2026 Orders'!C"&amp;
MATCH(1,
('2026 Orders'!C:C=C494)*
('2026 Orders'!G:G=G494)*
('2026 Orders'!N:N=N494),
0),
"Open "&amp;C494
))</f>
        <v/>
      </c>
      <c r="F494" s="14">
        <v>0</v>
      </c>
      <c r="G494" s="14">
        <f>'2026 Orders'!G493</f>
        <v>0</v>
      </c>
      <c r="H494" s="14" t="str">
        <f>'2026 Orders'!H493</f>
        <v/>
      </c>
      <c r="I494" s="15" t="str">
        <f>'2026 Orders'!I493</f>
        <v/>
      </c>
      <c r="J494" s="14">
        <f>'2026 Orders'!J493</f>
        <v>0</v>
      </c>
      <c r="K494">
        <v>0</v>
      </c>
      <c r="L494">
        <v>0</v>
      </c>
      <c r="N494" s="10">
        <f>'2026 Orders'!N493</f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C494" t="str">
        <f>IF(OR(B494="",B494=0),"",$AJ$2&amp;"/"&amp;J494)</f>
        <v/>
      </c>
      <c r="AD494" t="str">
        <f t="shared" si="7"/>
        <v/>
      </c>
    </row>
    <row r="495" spans="2:30" ht="33" hidden="1" customHeight="1" x14ac:dyDescent="0.3">
      <c r="B495" s="14">
        <f>'2026 Orders'!B494</f>
        <v>0</v>
      </c>
      <c r="C495" s="14">
        <f>'2026 Orders'!C494</f>
        <v>0</v>
      </c>
      <c r="D495" s="14">
        <v>0</v>
      </c>
      <c r="E495" s="17" t="str" cm="1">
        <f t="array" ref="E495">IF(C495=0,"",
HYPERLINK(
"#'2026 Orders'!C"&amp;
MATCH(1,
('2026 Orders'!C:C=C495)*
('2026 Orders'!G:G=G495)*
('2026 Orders'!N:N=N495),
0),
"Open "&amp;C495
))</f>
        <v/>
      </c>
      <c r="F495" s="14">
        <v>0</v>
      </c>
      <c r="G495" s="14">
        <f>'2026 Orders'!G494</f>
        <v>0</v>
      </c>
      <c r="H495" s="14" t="str">
        <f>'2026 Orders'!H494</f>
        <v/>
      </c>
      <c r="I495" s="15" t="str">
        <f>'2026 Orders'!I494</f>
        <v/>
      </c>
      <c r="J495" s="14">
        <f>'2026 Orders'!J494</f>
        <v>0</v>
      </c>
      <c r="K495">
        <v>0</v>
      </c>
      <c r="L495">
        <v>0</v>
      </c>
      <c r="N495" s="10">
        <f>'2026 Orders'!N494</f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C495" t="str">
        <f>IF(OR(B495="",B495=0),"",$AJ$2&amp;"/"&amp;J495)</f>
        <v/>
      </c>
      <c r="AD495" t="str">
        <f t="shared" si="7"/>
        <v/>
      </c>
    </row>
    <row r="496" spans="2:30" ht="33" hidden="1" customHeight="1" x14ac:dyDescent="0.3">
      <c r="B496" s="14">
        <f>'2026 Orders'!B495</f>
        <v>0</v>
      </c>
      <c r="C496" s="14">
        <f>'2026 Orders'!C495</f>
        <v>0</v>
      </c>
      <c r="D496" s="14">
        <v>0</v>
      </c>
      <c r="E496" s="17" t="str" cm="1">
        <f t="array" ref="E496">IF(C496=0,"",
HYPERLINK(
"#'2026 Orders'!C"&amp;
MATCH(1,
('2026 Orders'!C:C=C496)*
('2026 Orders'!G:G=G496)*
('2026 Orders'!N:N=N496),
0),
"Open "&amp;C496
))</f>
        <v/>
      </c>
      <c r="F496" s="14">
        <v>0</v>
      </c>
      <c r="G496" s="14">
        <f>'2026 Orders'!G495</f>
        <v>0</v>
      </c>
      <c r="H496" s="14" t="str">
        <f>'2026 Orders'!H495</f>
        <v/>
      </c>
      <c r="I496" s="15" t="str">
        <f>'2026 Orders'!I495</f>
        <v/>
      </c>
      <c r="J496" s="14">
        <f>'2026 Orders'!J495</f>
        <v>0</v>
      </c>
      <c r="K496">
        <v>0</v>
      </c>
      <c r="L496">
        <v>0</v>
      </c>
      <c r="N496" s="10">
        <f>'2026 Orders'!N495</f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C496" t="str">
        <f>IF(OR(B496="",B496=0),"",$AJ$2&amp;"/"&amp;J496)</f>
        <v/>
      </c>
      <c r="AD496" t="str">
        <f t="shared" si="7"/>
        <v/>
      </c>
    </row>
    <row r="497" spans="2:30" ht="33" hidden="1" customHeight="1" x14ac:dyDescent="0.3">
      <c r="B497" s="14">
        <f>'2026 Orders'!B496</f>
        <v>0</v>
      </c>
      <c r="C497" s="14">
        <f>'2026 Orders'!C496</f>
        <v>0</v>
      </c>
      <c r="D497" s="14">
        <v>0</v>
      </c>
      <c r="E497" s="17" t="str" cm="1">
        <f t="array" ref="E497">IF(C497=0,"",
HYPERLINK(
"#'2026 Orders'!C"&amp;
MATCH(1,
('2026 Orders'!C:C=C497)*
('2026 Orders'!G:G=G497)*
('2026 Orders'!N:N=N497),
0),
"Open "&amp;C497
))</f>
        <v/>
      </c>
      <c r="F497" s="14">
        <v>0</v>
      </c>
      <c r="G497" s="14">
        <f>'2026 Orders'!G496</f>
        <v>0</v>
      </c>
      <c r="H497" s="14" t="str">
        <f>'2026 Orders'!H496</f>
        <v/>
      </c>
      <c r="I497" s="15" t="str">
        <f>'2026 Orders'!I496</f>
        <v/>
      </c>
      <c r="J497" s="14">
        <f>'2026 Orders'!J496</f>
        <v>0</v>
      </c>
      <c r="K497">
        <v>0</v>
      </c>
      <c r="L497">
        <v>0</v>
      </c>
      <c r="N497" s="10">
        <f>'2026 Orders'!N496</f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C497" t="str">
        <f>IF(OR(B497="",B497=0),"",$AJ$2&amp;"/"&amp;J497)</f>
        <v/>
      </c>
      <c r="AD497" t="str">
        <f t="shared" si="7"/>
        <v/>
      </c>
    </row>
    <row r="498" spans="2:30" ht="33" hidden="1" customHeight="1" x14ac:dyDescent="0.3">
      <c r="B498" s="14">
        <f>'2026 Orders'!B497</f>
        <v>0</v>
      </c>
      <c r="C498" s="14">
        <f>'2026 Orders'!C497</f>
        <v>0</v>
      </c>
      <c r="D498" s="14">
        <v>0</v>
      </c>
      <c r="E498" s="17" t="str" cm="1">
        <f t="array" ref="E498">IF(C498=0,"",
HYPERLINK(
"#'2026 Orders'!C"&amp;
MATCH(1,
('2026 Orders'!C:C=C498)*
('2026 Orders'!G:G=G498)*
('2026 Orders'!N:N=N498),
0),
"Open "&amp;C498
))</f>
        <v/>
      </c>
      <c r="F498" s="14">
        <v>0</v>
      </c>
      <c r="G498" s="14">
        <f>'2026 Orders'!G497</f>
        <v>0</v>
      </c>
      <c r="H498" s="14" t="str">
        <f>'2026 Orders'!H497</f>
        <v/>
      </c>
      <c r="I498" s="15" t="str">
        <f>'2026 Orders'!I497</f>
        <v/>
      </c>
      <c r="J498" s="14">
        <f>'2026 Orders'!J497</f>
        <v>0</v>
      </c>
      <c r="K498">
        <v>0</v>
      </c>
      <c r="L498">
        <v>0</v>
      </c>
      <c r="N498" s="10">
        <f>'2026 Orders'!N497</f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C498" t="str">
        <f>IF(OR(B498="",B498=0),"",$AJ$2&amp;"/"&amp;J498)</f>
        <v/>
      </c>
      <c r="AD498" t="str">
        <f t="shared" si="7"/>
        <v/>
      </c>
    </row>
    <row r="499" spans="2:30" ht="33" hidden="1" customHeight="1" x14ac:dyDescent="0.3">
      <c r="B499" s="14">
        <f>'2026 Orders'!B498</f>
        <v>0</v>
      </c>
      <c r="C499" s="14">
        <f>'2026 Orders'!C498</f>
        <v>0</v>
      </c>
      <c r="D499" s="14">
        <v>0</v>
      </c>
      <c r="E499" s="17" t="str" cm="1">
        <f t="array" ref="E499">IF(C499=0,"",
HYPERLINK(
"#'2026 Orders'!C"&amp;
MATCH(1,
('2026 Orders'!C:C=C499)*
('2026 Orders'!G:G=G499)*
('2026 Orders'!N:N=N499),
0),
"Open "&amp;C499
))</f>
        <v/>
      </c>
      <c r="F499" s="14">
        <v>0</v>
      </c>
      <c r="G499" s="14">
        <f>'2026 Orders'!G498</f>
        <v>0</v>
      </c>
      <c r="H499" s="14" t="str">
        <f>'2026 Orders'!H498</f>
        <v/>
      </c>
      <c r="I499" s="15" t="str">
        <f>'2026 Orders'!I498</f>
        <v/>
      </c>
      <c r="J499" s="14">
        <f>'2026 Orders'!J498</f>
        <v>0</v>
      </c>
      <c r="K499">
        <v>0</v>
      </c>
      <c r="L499">
        <v>0</v>
      </c>
      <c r="N499" s="10">
        <f>'2026 Orders'!N498</f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C499" t="str">
        <f>IF(OR(B499="",B499=0),"",$AJ$2&amp;"/"&amp;J499)</f>
        <v/>
      </c>
      <c r="AD499" t="str">
        <f t="shared" si="7"/>
        <v/>
      </c>
    </row>
    <row r="500" spans="2:30" ht="33" hidden="1" customHeight="1" x14ac:dyDescent="0.3">
      <c r="B500" s="14">
        <f>'2026 Orders'!B499</f>
        <v>0</v>
      </c>
      <c r="C500" s="14">
        <f>'2026 Orders'!C499</f>
        <v>0</v>
      </c>
      <c r="D500" s="14">
        <v>0</v>
      </c>
      <c r="E500" s="17" t="str" cm="1">
        <f t="array" ref="E500">IF(C500=0,"",
HYPERLINK(
"#'2026 Orders'!C"&amp;
MATCH(1,
('2026 Orders'!C:C=C500)*
('2026 Orders'!G:G=G500)*
('2026 Orders'!N:N=N500),
0),
"Open "&amp;C500
))</f>
        <v/>
      </c>
      <c r="F500" s="14">
        <v>0</v>
      </c>
      <c r="G500" s="14">
        <f>'2026 Orders'!G499</f>
        <v>0</v>
      </c>
      <c r="H500" s="14" t="str">
        <f>'2026 Orders'!H499</f>
        <v/>
      </c>
      <c r="I500" s="15" t="str">
        <f>'2026 Orders'!I499</f>
        <v/>
      </c>
      <c r="J500" s="14">
        <f>'2026 Orders'!J499</f>
        <v>0</v>
      </c>
      <c r="K500">
        <v>0</v>
      </c>
      <c r="L500">
        <v>0</v>
      </c>
      <c r="N500" s="10">
        <f>'2026 Orders'!N499</f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C500" t="str">
        <f>IF(OR(B500="",B500=0),"",$AJ$2&amp;"/"&amp;J500)</f>
        <v/>
      </c>
      <c r="AD500" t="str">
        <f t="shared" si="7"/>
        <v/>
      </c>
    </row>
    <row r="501" spans="2:30" ht="33" hidden="1" customHeight="1" x14ac:dyDescent="0.3">
      <c r="B501" s="14">
        <f>'2026 Orders'!B500</f>
        <v>0</v>
      </c>
      <c r="C501" s="14">
        <f>'2026 Orders'!C500</f>
        <v>0</v>
      </c>
      <c r="D501" s="14">
        <v>0</v>
      </c>
      <c r="E501" s="17" t="str" cm="1">
        <f t="array" ref="E501">IF(C501=0,"",
HYPERLINK(
"#'2026 Orders'!C"&amp;
MATCH(1,
('2026 Orders'!C:C=C501)*
('2026 Orders'!G:G=G501)*
('2026 Orders'!N:N=N501),
0),
"Open "&amp;C501
))</f>
        <v/>
      </c>
      <c r="F501" s="14">
        <v>0</v>
      </c>
      <c r="G501" s="14">
        <f>'2026 Orders'!G500</f>
        <v>0</v>
      </c>
      <c r="H501" s="14" t="str">
        <f>'2026 Orders'!H500</f>
        <v/>
      </c>
      <c r="I501" s="15" t="str">
        <f>'2026 Orders'!I500</f>
        <v/>
      </c>
      <c r="J501" s="14">
        <f>'2026 Orders'!J500</f>
        <v>0</v>
      </c>
      <c r="K501">
        <v>0</v>
      </c>
      <c r="L501">
        <v>0</v>
      </c>
      <c r="N501" s="10">
        <f>'2026 Orders'!N500</f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C501" t="str">
        <f>IF(OR(B501="",B501=0),"",$AJ$2&amp;"/"&amp;J501)</f>
        <v/>
      </c>
      <c r="AD501" t="str">
        <f t="shared" si="7"/>
        <v/>
      </c>
    </row>
    <row r="502" spans="2:30" ht="33" hidden="1" customHeight="1" x14ac:dyDescent="0.3">
      <c r="B502" s="14">
        <f>'2026 Orders'!B501</f>
        <v>0</v>
      </c>
      <c r="C502" s="14">
        <f>'2026 Orders'!C501</f>
        <v>0</v>
      </c>
      <c r="D502" s="14">
        <v>0</v>
      </c>
      <c r="E502" s="17" t="str" cm="1">
        <f t="array" ref="E502">IF(C502=0,"",
HYPERLINK(
"#'2026 Orders'!C"&amp;
MATCH(1,
('2026 Orders'!C:C=C502)*
('2026 Orders'!G:G=G502)*
('2026 Orders'!N:N=N502),
0),
"Open "&amp;C502
))</f>
        <v/>
      </c>
      <c r="F502" s="14">
        <v>0</v>
      </c>
      <c r="G502" s="14">
        <f>'2026 Orders'!G501</f>
        <v>0</v>
      </c>
      <c r="H502" s="14" t="str">
        <f>'2026 Orders'!H501</f>
        <v/>
      </c>
      <c r="I502" s="15" t="str">
        <f>'2026 Orders'!I501</f>
        <v/>
      </c>
      <c r="J502" s="14">
        <f>'2026 Orders'!J501</f>
        <v>0</v>
      </c>
      <c r="K502">
        <v>0</v>
      </c>
      <c r="L502">
        <v>0</v>
      </c>
      <c r="N502" s="10">
        <f>'2026 Orders'!N501</f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C502" t="str">
        <f>IF(OR(B502="",B502=0),"",$AJ$2&amp;"/"&amp;J502)</f>
        <v/>
      </c>
      <c r="AD502" t="str">
        <f t="shared" si="7"/>
        <v/>
      </c>
    </row>
    <row r="503" spans="2:30" ht="33" hidden="1" customHeight="1" x14ac:dyDescent="0.3">
      <c r="B503" s="14">
        <f>'2026 Orders'!B502</f>
        <v>0</v>
      </c>
      <c r="C503" s="14">
        <f>'2026 Orders'!C502</f>
        <v>0</v>
      </c>
      <c r="D503" s="14">
        <v>0</v>
      </c>
      <c r="E503" s="17" t="str" cm="1">
        <f t="array" ref="E503">IF(C503=0,"",
HYPERLINK(
"#'2026 Orders'!C"&amp;
MATCH(1,
('2026 Orders'!C:C=C503)*
('2026 Orders'!G:G=G503)*
('2026 Orders'!N:N=N503),
0),
"Open "&amp;C503
))</f>
        <v/>
      </c>
      <c r="F503" s="14">
        <v>0</v>
      </c>
      <c r="G503" s="14">
        <f>'2026 Orders'!G502</f>
        <v>0</v>
      </c>
      <c r="H503" s="14" t="str">
        <f>'2026 Orders'!H502</f>
        <v/>
      </c>
      <c r="I503" s="15" t="str">
        <f>'2026 Orders'!I502</f>
        <v/>
      </c>
      <c r="J503" s="14">
        <f>'2026 Orders'!J502</f>
        <v>0</v>
      </c>
      <c r="K503">
        <v>0</v>
      </c>
      <c r="L503">
        <v>0</v>
      </c>
      <c r="N503" s="10">
        <f>'2026 Orders'!N502</f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C503" t="str">
        <f>IF(OR(B503="",B503=0),"",$AJ$2&amp;"/"&amp;J503)</f>
        <v/>
      </c>
      <c r="AD503" t="str">
        <f t="shared" si="7"/>
        <v/>
      </c>
    </row>
    <row r="504" spans="2:30" ht="33" hidden="1" customHeight="1" x14ac:dyDescent="0.3">
      <c r="B504" s="14">
        <f>'2026 Orders'!B503</f>
        <v>0</v>
      </c>
      <c r="C504" s="14">
        <f>'2026 Orders'!C503</f>
        <v>0</v>
      </c>
      <c r="D504" s="14">
        <v>0</v>
      </c>
      <c r="E504" s="17" t="str" cm="1">
        <f t="array" ref="E504">IF(C504=0,"",
HYPERLINK(
"#'2026 Orders'!C"&amp;
MATCH(1,
('2026 Orders'!C:C=C504)*
('2026 Orders'!G:G=G504)*
('2026 Orders'!N:N=N504),
0),
"Open "&amp;C504
))</f>
        <v/>
      </c>
      <c r="F504" s="14">
        <v>0</v>
      </c>
      <c r="G504" s="14">
        <f>'2026 Orders'!G503</f>
        <v>0</v>
      </c>
      <c r="H504" s="14" t="str">
        <f>'2026 Orders'!H503</f>
        <v/>
      </c>
      <c r="I504" s="15" t="str">
        <f>'2026 Orders'!I503</f>
        <v/>
      </c>
      <c r="J504" s="14">
        <f>'2026 Orders'!J503</f>
        <v>0</v>
      </c>
      <c r="K504">
        <v>0</v>
      </c>
      <c r="L504">
        <v>0</v>
      </c>
      <c r="N504" s="10">
        <f>'2026 Orders'!N503</f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C504" t="str">
        <f>IF(OR(B504="",B504=0),"",$AJ$2&amp;"/"&amp;J504)</f>
        <v/>
      </c>
      <c r="AD504" t="str">
        <f t="shared" si="7"/>
        <v/>
      </c>
    </row>
    <row r="505" spans="2:30" ht="33" hidden="1" customHeight="1" x14ac:dyDescent="0.3">
      <c r="B505" s="14">
        <f>'2026 Orders'!B504</f>
        <v>0</v>
      </c>
      <c r="C505" s="14">
        <f>'2026 Orders'!C504</f>
        <v>0</v>
      </c>
      <c r="D505" s="14">
        <v>0</v>
      </c>
      <c r="E505" s="17" t="str" cm="1">
        <f t="array" ref="E505">IF(C505=0,"",
HYPERLINK(
"#'2026 Orders'!C"&amp;
MATCH(1,
('2026 Orders'!C:C=C505)*
('2026 Orders'!G:G=G505)*
('2026 Orders'!N:N=N505),
0),
"Open "&amp;C505
))</f>
        <v/>
      </c>
      <c r="F505" s="14">
        <v>0</v>
      </c>
      <c r="G505" s="14">
        <f>'2026 Orders'!G504</f>
        <v>0</v>
      </c>
      <c r="H505" s="14" t="str">
        <f>'2026 Orders'!H504</f>
        <v/>
      </c>
      <c r="I505" s="15" t="str">
        <f>'2026 Orders'!I504</f>
        <v/>
      </c>
      <c r="J505" s="14">
        <f>'2026 Orders'!J504</f>
        <v>0</v>
      </c>
      <c r="K505">
        <v>0</v>
      </c>
      <c r="L505">
        <v>0</v>
      </c>
      <c r="N505" s="10">
        <f>'2026 Orders'!N504</f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C505" t="str">
        <f>IF(OR(B505="",B505=0),"",$AJ$2&amp;"/"&amp;J505)</f>
        <v/>
      </c>
      <c r="AD505" t="str">
        <f t="shared" si="7"/>
        <v/>
      </c>
    </row>
    <row r="506" spans="2:30" ht="33" hidden="1" customHeight="1" x14ac:dyDescent="0.3">
      <c r="B506" s="14">
        <f>'2026 Orders'!B505</f>
        <v>0</v>
      </c>
      <c r="C506" s="14">
        <f>'2026 Orders'!C505</f>
        <v>0</v>
      </c>
      <c r="D506" s="14">
        <v>0</v>
      </c>
      <c r="E506" s="17" t="str" cm="1">
        <f t="array" ref="E506">IF(C506=0,"",
HYPERLINK(
"#'2026 Orders'!C"&amp;
MATCH(1,
('2026 Orders'!C:C=C506)*
('2026 Orders'!G:G=G506)*
('2026 Orders'!N:N=N506),
0),
"Open "&amp;C506
))</f>
        <v/>
      </c>
      <c r="F506" s="14">
        <v>0</v>
      </c>
      <c r="G506" s="14">
        <f>'2026 Orders'!G505</f>
        <v>0</v>
      </c>
      <c r="H506" s="14" t="str">
        <f>'2026 Orders'!H505</f>
        <v/>
      </c>
      <c r="I506" s="15" t="str">
        <f>'2026 Orders'!I505</f>
        <v/>
      </c>
      <c r="J506" s="14">
        <f>'2026 Orders'!J505</f>
        <v>0</v>
      </c>
      <c r="K506">
        <v>0</v>
      </c>
      <c r="L506">
        <v>0</v>
      </c>
      <c r="N506" s="10">
        <f>'2026 Orders'!N505</f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C506" t="str">
        <f>IF(OR(B506="",B506=0),"",$AJ$2&amp;"/"&amp;J506)</f>
        <v/>
      </c>
      <c r="AD506" t="str">
        <f t="shared" si="7"/>
        <v/>
      </c>
    </row>
    <row r="507" spans="2:30" ht="33" hidden="1" customHeight="1" x14ac:dyDescent="0.3">
      <c r="B507" s="14">
        <f>'2026 Orders'!B506</f>
        <v>0</v>
      </c>
      <c r="C507" s="14">
        <f>'2026 Orders'!C506</f>
        <v>0</v>
      </c>
      <c r="D507" s="14">
        <v>0</v>
      </c>
      <c r="E507" s="17" t="str" cm="1">
        <f t="array" ref="E507">IF(C507=0,"",
HYPERLINK(
"#'2026 Orders'!C"&amp;
MATCH(1,
('2026 Orders'!C:C=C507)*
('2026 Orders'!G:G=G507)*
('2026 Orders'!N:N=N507),
0),
"Open "&amp;C507
))</f>
        <v/>
      </c>
      <c r="F507" s="14">
        <v>0</v>
      </c>
      <c r="G507" s="14">
        <f>'2026 Orders'!G506</f>
        <v>0</v>
      </c>
      <c r="H507" s="14" t="str">
        <f>'2026 Orders'!H506</f>
        <v/>
      </c>
      <c r="I507" s="15" t="str">
        <f>'2026 Orders'!I506</f>
        <v/>
      </c>
      <c r="J507" s="14">
        <f>'2026 Orders'!J506</f>
        <v>0</v>
      </c>
      <c r="K507">
        <v>0</v>
      </c>
      <c r="L507">
        <v>0</v>
      </c>
      <c r="N507" s="10">
        <f>'2026 Orders'!N506</f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C507" t="str">
        <f>IF(OR(B507="",B507=0),"",$AJ$2&amp;"/"&amp;J507)</f>
        <v/>
      </c>
      <c r="AD507" t="str">
        <f t="shared" si="7"/>
        <v/>
      </c>
    </row>
    <row r="508" spans="2:30" ht="33" hidden="1" customHeight="1" x14ac:dyDescent="0.3">
      <c r="B508" s="14">
        <f>'2026 Orders'!B507</f>
        <v>0</v>
      </c>
      <c r="C508" s="14">
        <f>'2026 Orders'!C507</f>
        <v>0</v>
      </c>
      <c r="D508" s="14">
        <v>0</v>
      </c>
      <c r="E508" s="17" t="str" cm="1">
        <f t="array" ref="E508">IF(C508=0,"",
HYPERLINK(
"#'2026 Orders'!C"&amp;
MATCH(1,
('2026 Orders'!C:C=C508)*
('2026 Orders'!G:G=G508)*
('2026 Orders'!N:N=N508),
0),
"Open "&amp;C508
))</f>
        <v/>
      </c>
      <c r="F508" s="14">
        <v>0</v>
      </c>
      <c r="G508" s="14">
        <f>'2026 Orders'!G507</f>
        <v>0</v>
      </c>
      <c r="H508" s="14" t="str">
        <f>'2026 Orders'!H507</f>
        <v/>
      </c>
      <c r="I508" s="15" t="str">
        <f>'2026 Orders'!I507</f>
        <v/>
      </c>
      <c r="J508" s="14">
        <f>'2026 Orders'!J507</f>
        <v>0</v>
      </c>
      <c r="K508">
        <v>0</v>
      </c>
      <c r="L508">
        <v>0</v>
      </c>
      <c r="N508" s="10">
        <f>'2026 Orders'!N507</f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C508" t="str">
        <f>IF(OR(B508="",B508=0),"",$AJ$2&amp;"/"&amp;J508)</f>
        <v/>
      </c>
      <c r="AD508" t="str">
        <f t="shared" si="7"/>
        <v/>
      </c>
    </row>
    <row r="509" spans="2:30" ht="33" hidden="1" customHeight="1" x14ac:dyDescent="0.3">
      <c r="B509" s="14">
        <f>'2026 Orders'!B508</f>
        <v>0</v>
      </c>
      <c r="C509" s="14">
        <f>'2026 Orders'!C508</f>
        <v>0</v>
      </c>
      <c r="D509" s="14">
        <v>0</v>
      </c>
      <c r="E509" s="17" t="str" cm="1">
        <f t="array" ref="E509">IF(C509=0,"",
HYPERLINK(
"#'2026 Orders'!C"&amp;
MATCH(1,
('2026 Orders'!C:C=C509)*
('2026 Orders'!G:G=G509)*
('2026 Orders'!N:N=N509),
0),
"Open "&amp;C509
))</f>
        <v/>
      </c>
      <c r="F509" s="14">
        <v>0</v>
      </c>
      <c r="G509" s="14">
        <f>'2026 Orders'!G508</f>
        <v>0</v>
      </c>
      <c r="H509" s="14" t="str">
        <f>'2026 Orders'!H508</f>
        <v/>
      </c>
      <c r="I509" s="15" t="str">
        <f>'2026 Orders'!I508</f>
        <v/>
      </c>
      <c r="J509" s="14">
        <f>'2026 Orders'!J508</f>
        <v>0</v>
      </c>
      <c r="K509">
        <v>0</v>
      </c>
      <c r="L509">
        <v>0</v>
      </c>
      <c r="N509" s="10">
        <f>'2026 Orders'!N508</f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C509" t="str">
        <f>IF(OR(B509="",B509=0),"",$AJ$2&amp;"/"&amp;J509)</f>
        <v/>
      </c>
      <c r="AD509" t="str">
        <f t="shared" si="7"/>
        <v/>
      </c>
    </row>
    <row r="510" spans="2:30" ht="33" hidden="1" customHeight="1" x14ac:dyDescent="0.3">
      <c r="B510" s="14">
        <f>'2026 Orders'!B509</f>
        <v>0</v>
      </c>
      <c r="C510" s="14">
        <f>'2026 Orders'!C509</f>
        <v>0</v>
      </c>
      <c r="D510" s="14">
        <v>0</v>
      </c>
      <c r="E510" s="17" t="str" cm="1">
        <f t="array" ref="E510">IF(C510=0,"",
HYPERLINK(
"#'2026 Orders'!C"&amp;
MATCH(1,
('2026 Orders'!C:C=C510)*
('2026 Orders'!G:G=G510)*
('2026 Orders'!N:N=N510),
0),
"Open "&amp;C510
))</f>
        <v/>
      </c>
      <c r="F510" s="14">
        <v>0</v>
      </c>
      <c r="G510" s="14">
        <f>'2026 Orders'!G509</f>
        <v>0</v>
      </c>
      <c r="H510" s="14" t="str">
        <f>'2026 Orders'!H509</f>
        <v/>
      </c>
      <c r="I510" s="15" t="str">
        <f>'2026 Orders'!I509</f>
        <v/>
      </c>
      <c r="J510" s="14">
        <f>'2026 Orders'!J509</f>
        <v>0</v>
      </c>
      <c r="K510">
        <v>0</v>
      </c>
      <c r="L510">
        <v>0</v>
      </c>
      <c r="N510" s="10">
        <f>'2026 Orders'!N509</f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C510" t="str">
        <f>IF(OR(B510="",B510=0),"",$AJ$2&amp;"/"&amp;J510)</f>
        <v/>
      </c>
      <c r="AD510" t="str">
        <f t="shared" si="7"/>
        <v/>
      </c>
    </row>
    <row r="511" spans="2:30" ht="33" hidden="1" customHeight="1" x14ac:dyDescent="0.3">
      <c r="B511" s="14">
        <f>'2026 Orders'!B510</f>
        <v>0</v>
      </c>
      <c r="C511" s="14">
        <f>'2026 Orders'!C510</f>
        <v>0</v>
      </c>
      <c r="D511" s="14">
        <v>0</v>
      </c>
      <c r="E511" s="17" t="str" cm="1">
        <f t="array" ref="E511">IF(C511=0,"",
HYPERLINK(
"#'2026 Orders'!C"&amp;
MATCH(1,
('2026 Orders'!C:C=C511)*
('2026 Orders'!G:G=G511)*
('2026 Orders'!N:N=N511),
0),
"Open "&amp;C511
))</f>
        <v/>
      </c>
      <c r="F511" s="14">
        <v>0</v>
      </c>
      <c r="G511" s="14">
        <f>'2026 Orders'!G510</f>
        <v>0</v>
      </c>
      <c r="H511" s="14" t="str">
        <f>'2026 Orders'!H510</f>
        <v/>
      </c>
      <c r="I511" s="15" t="str">
        <f>'2026 Orders'!I510</f>
        <v/>
      </c>
      <c r="J511" s="14">
        <f>'2026 Orders'!J510</f>
        <v>0</v>
      </c>
      <c r="K511">
        <v>0</v>
      </c>
      <c r="L511">
        <v>0</v>
      </c>
      <c r="N511" s="10">
        <f>'2026 Orders'!N510</f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C511" t="str">
        <f>IF(OR(B511="",B511=0),"",$AJ$2&amp;"/"&amp;J511)</f>
        <v/>
      </c>
      <c r="AD511" t="str">
        <f t="shared" si="7"/>
        <v/>
      </c>
    </row>
    <row r="512" spans="2:30" ht="33" hidden="1" customHeight="1" x14ac:dyDescent="0.3">
      <c r="B512" s="14">
        <f>'2026 Orders'!B511</f>
        <v>0</v>
      </c>
      <c r="C512" s="14">
        <f>'2026 Orders'!C511</f>
        <v>0</v>
      </c>
      <c r="D512" s="14">
        <v>0</v>
      </c>
      <c r="E512" s="17" t="str" cm="1">
        <f t="array" ref="E512">IF(C512=0,"",
HYPERLINK(
"#'2026 Orders'!C"&amp;
MATCH(1,
('2026 Orders'!C:C=C512)*
('2026 Orders'!G:G=G512)*
('2026 Orders'!N:N=N512),
0),
"Open "&amp;C512
))</f>
        <v/>
      </c>
      <c r="F512" s="14">
        <v>0</v>
      </c>
      <c r="G512" s="14">
        <f>'2026 Orders'!G511</f>
        <v>0</v>
      </c>
      <c r="H512" s="14" t="str">
        <f>'2026 Orders'!H511</f>
        <v/>
      </c>
      <c r="I512" s="15" t="str">
        <f>'2026 Orders'!I511</f>
        <v/>
      </c>
      <c r="J512" s="14">
        <f>'2026 Orders'!J511</f>
        <v>0</v>
      </c>
      <c r="K512">
        <v>0</v>
      </c>
      <c r="L512">
        <v>0</v>
      </c>
      <c r="N512" s="10">
        <f>'2026 Orders'!N511</f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C512" t="str">
        <f>IF(OR(B512="",B512=0),"",$AJ$2&amp;"/"&amp;J512)</f>
        <v/>
      </c>
      <c r="AD512" t="str">
        <f t="shared" si="7"/>
        <v/>
      </c>
    </row>
    <row r="513" spans="2:30" ht="33" hidden="1" customHeight="1" x14ac:dyDescent="0.3">
      <c r="B513" s="14">
        <f>'2026 Orders'!B512</f>
        <v>0</v>
      </c>
      <c r="C513" s="14">
        <f>'2026 Orders'!C512</f>
        <v>0</v>
      </c>
      <c r="D513" s="14">
        <v>0</v>
      </c>
      <c r="E513" s="17" t="str" cm="1">
        <f t="array" ref="E513">IF(C513=0,"",
HYPERLINK(
"#'2026 Orders'!C"&amp;
MATCH(1,
('2026 Orders'!C:C=C513)*
('2026 Orders'!G:G=G513)*
('2026 Orders'!N:N=N513),
0),
"Open "&amp;C513
))</f>
        <v/>
      </c>
      <c r="F513" s="14">
        <v>0</v>
      </c>
      <c r="G513" s="14">
        <f>'2026 Orders'!G512</f>
        <v>0</v>
      </c>
      <c r="H513" s="14" t="str">
        <f>'2026 Orders'!H512</f>
        <v/>
      </c>
      <c r="I513" s="15" t="str">
        <f>'2026 Orders'!I512</f>
        <v/>
      </c>
      <c r="J513" s="14">
        <f>'2026 Orders'!J512</f>
        <v>0</v>
      </c>
      <c r="K513">
        <v>0</v>
      </c>
      <c r="L513">
        <v>0</v>
      </c>
      <c r="N513" s="10">
        <f>'2026 Orders'!N512</f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C513" t="str">
        <f>IF(OR(B513="",B513=0),"",$AJ$2&amp;"/"&amp;J513)</f>
        <v/>
      </c>
      <c r="AD513" t="str">
        <f t="shared" si="7"/>
        <v/>
      </c>
    </row>
    <row r="514" spans="2:30" ht="33" hidden="1" customHeight="1" x14ac:dyDescent="0.3">
      <c r="B514" s="14">
        <f>'2026 Orders'!B513</f>
        <v>0</v>
      </c>
      <c r="C514" s="14">
        <f>'2026 Orders'!C513</f>
        <v>0</v>
      </c>
      <c r="D514" s="14">
        <v>0</v>
      </c>
      <c r="E514" s="17" t="str" cm="1">
        <f t="array" ref="E514">IF(C514=0,"",
HYPERLINK(
"#'2026 Orders'!C"&amp;
MATCH(1,
('2026 Orders'!C:C=C514)*
('2026 Orders'!G:G=G514)*
('2026 Orders'!N:N=N514),
0),
"Open "&amp;C514
))</f>
        <v/>
      </c>
      <c r="F514" s="14">
        <v>0</v>
      </c>
      <c r="G514" s="14">
        <f>'2026 Orders'!G513</f>
        <v>0</v>
      </c>
      <c r="H514" s="14" t="str">
        <f>'2026 Orders'!H513</f>
        <v/>
      </c>
      <c r="I514" s="15" t="str">
        <f>'2026 Orders'!I513</f>
        <v/>
      </c>
      <c r="J514" s="14">
        <f>'2026 Orders'!J513</f>
        <v>0</v>
      </c>
      <c r="K514">
        <v>0</v>
      </c>
      <c r="L514">
        <v>0</v>
      </c>
      <c r="N514" s="10">
        <f>'2026 Orders'!N513</f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C514" t="str">
        <f>IF(OR(B514="",B514=0),"",$AJ$2&amp;"/"&amp;J514)</f>
        <v/>
      </c>
      <c r="AD514" t="str">
        <f t="shared" si="7"/>
        <v/>
      </c>
    </row>
    <row r="515" spans="2:30" ht="33" hidden="1" customHeight="1" x14ac:dyDescent="0.3">
      <c r="B515" s="14">
        <f>'2026 Orders'!B514</f>
        <v>0</v>
      </c>
      <c r="C515" s="14">
        <f>'2026 Orders'!C514</f>
        <v>0</v>
      </c>
      <c r="D515" s="14">
        <v>0</v>
      </c>
      <c r="E515" s="17" t="str" cm="1">
        <f t="array" ref="E515">IF(C515=0,"",
HYPERLINK(
"#'2026 Orders'!C"&amp;
MATCH(1,
('2026 Orders'!C:C=C515)*
('2026 Orders'!G:G=G515)*
('2026 Orders'!N:N=N515),
0),
"Open "&amp;C515
))</f>
        <v/>
      </c>
      <c r="F515" s="14">
        <v>0</v>
      </c>
      <c r="G515" s="14">
        <f>'2026 Orders'!G514</f>
        <v>0</v>
      </c>
      <c r="H515" s="14" t="str">
        <f>'2026 Orders'!H514</f>
        <v/>
      </c>
      <c r="I515" s="15" t="str">
        <f>'2026 Orders'!I514</f>
        <v/>
      </c>
      <c r="J515" s="14">
        <f>'2026 Orders'!J514</f>
        <v>0</v>
      </c>
      <c r="K515">
        <v>0</v>
      </c>
      <c r="L515">
        <v>0</v>
      </c>
      <c r="N515" s="10">
        <f>'2026 Orders'!N514</f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C515" t="str">
        <f>IF(OR(B515="",B515=0),"",$AJ$2&amp;"/"&amp;J515)</f>
        <v/>
      </c>
      <c r="AD515" t="str">
        <f t="shared" ref="AD515:AD578" si="8">IF(OR(J515="",J515=0),"",$AK$2&amp;" -&gt; "&amp;I515)</f>
        <v/>
      </c>
    </row>
    <row r="516" spans="2:30" ht="33" hidden="1" customHeight="1" x14ac:dyDescent="0.3">
      <c r="B516" s="14">
        <f>'2026 Orders'!B515</f>
        <v>0</v>
      </c>
      <c r="C516" s="14">
        <f>'2026 Orders'!C515</f>
        <v>0</v>
      </c>
      <c r="D516" s="14">
        <v>0</v>
      </c>
      <c r="E516" s="17" t="str" cm="1">
        <f t="array" ref="E516">IF(C516=0,"",
HYPERLINK(
"#'2026 Orders'!C"&amp;
MATCH(1,
('2026 Orders'!C:C=C516)*
('2026 Orders'!G:G=G516)*
('2026 Orders'!N:N=N516),
0),
"Open "&amp;C516
))</f>
        <v/>
      </c>
      <c r="F516" s="14">
        <v>0</v>
      </c>
      <c r="G516" s="14">
        <f>'2026 Orders'!G515</f>
        <v>0</v>
      </c>
      <c r="H516" s="14" t="str">
        <f>'2026 Orders'!H515</f>
        <v/>
      </c>
      <c r="I516" s="15" t="str">
        <f>'2026 Orders'!I515</f>
        <v/>
      </c>
      <c r="J516" s="14">
        <f>'2026 Orders'!J515</f>
        <v>0</v>
      </c>
      <c r="K516">
        <v>0</v>
      </c>
      <c r="L516">
        <v>0</v>
      </c>
      <c r="N516" s="10">
        <f>'2026 Orders'!N515</f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C516" t="str">
        <f>IF(OR(B516="",B516=0),"",$AJ$2&amp;"/"&amp;J516)</f>
        <v/>
      </c>
      <c r="AD516" t="str">
        <f t="shared" si="8"/>
        <v/>
      </c>
    </row>
    <row r="517" spans="2:30" ht="33" hidden="1" customHeight="1" x14ac:dyDescent="0.3">
      <c r="B517" s="14">
        <f>'2026 Orders'!B516</f>
        <v>0</v>
      </c>
      <c r="C517" s="14">
        <f>'2026 Orders'!C516</f>
        <v>0</v>
      </c>
      <c r="D517" s="14">
        <v>0</v>
      </c>
      <c r="E517" s="17" t="str" cm="1">
        <f t="array" ref="E517">IF(C517=0,"",
HYPERLINK(
"#'2026 Orders'!C"&amp;
MATCH(1,
('2026 Orders'!C:C=C517)*
('2026 Orders'!G:G=G517)*
('2026 Orders'!N:N=N517),
0),
"Open "&amp;C517
))</f>
        <v/>
      </c>
      <c r="F517" s="14">
        <v>0</v>
      </c>
      <c r="G517" s="14">
        <f>'2026 Orders'!G516</f>
        <v>0</v>
      </c>
      <c r="H517" s="14" t="str">
        <f>'2026 Orders'!H516</f>
        <v/>
      </c>
      <c r="I517" s="15" t="str">
        <f>'2026 Orders'!I516</f>
        <v/>
      </c>
      <c r="J517" s="14">
        <f>'2026 Orders'!J516</f>
        <v>0</v>
      </c>
      <c r="K517">
        <v>0</v>
      </c>
      <c r="L517">
        <v>0</v>
      </c>
      <c r="N517" s="10">
        <f>'2026 Orders'!N516</f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C517" t="str">
        <f>IF(OR(B517="",B517=0),"",$AJ$2&amp;"/"&amp;J517)</f>
        <v/>
      </c>
      <c r="AD517" t="str">
        <f t="shared" si="8"/>
        <v/>
      </c>
    </row>
    <row r="518" spans="2:30" ht="33" hidden="1" customHeight="1" x14ac:dyDescent="0.3">
      <c r="B518" s="14">
        <f>'2026 Orders'!B517</f>
        <v>0</v>
      </c>
      <c r="C518" s="14">
        <f>'2026 Orders'!C517</f>
        <v>0</v>
      </c>
      <c r="D518" s="14">
        <v>0</v>
      </c>
      <c r="E518" s="17" t="str" cm="1">
        <f t="array" ref="E518">IF(C518=0,"",
HYPERLINK(
"#'2026 Orders'!C"&amp;
MATCH(1,
('2026 Orders'!C:C=C518)*
('2026 Orders'!G:G=G518)*
('2026 Orders'!N:N=N518),
0),
"Open "&amp;C518
))</f>
        <v/>
      </c>
      <c r="F518" s="14">
        <v>0</v>
      </c>
      <c r="G518" s="14">
        <f>'2026 Orders'!G517</f>
        <v>0</v>
      </c>
      <c r="H518" s="14" t="str">
        <f>'2026 Orders'!H517</f>
        <v/>
      </c>
      <c r="I518" s="15" t="str">
        <f>'2026 Orders'!I517</f>
        <v/>
      </c>
      <c r="J518" s="14">
        <f>'2026 Orders'!J517</f>
        <v>0</v>
      </c>
      <c r="K518">
        <v>0</v>
      </c>
      <c r="L518">
        <v>0</v>
      </c>
      <c r="N518" s="10">
        <f>'2026 Orders'!N517</f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C518" t="str">
        <f>IF(OR(B518="",B518=0),"",$AJ$2&amp;"/"&amp;J518)</f>
        <v/>
      </c>
      <c r="AD518" t="str">
        <f t="shared" si="8"/>
        <v/>
      </c>
    </row>
    <row r="519" spans="2:30" ht="33" hidden="1" customHeight="1" x14ac:dyDescent="0.3">
      <c r="B519" s="14">
        <f>'2026 Orders'!B518</f>
        <v>0</v>
      </c>
      <c r="C519" s="14">
        <f>'2026 Orders'!C518</f>
        <v>0</v>
      </c>
      <c r="D519" s="14">
        <v>0</v>
      </c>
      <c r="E519" s="17" t="str" cm="1">
        <f t="array" ref="E519">IF(C519=0,"",
HYPERLINK(
"#'2026 Orders'!C"&amp;
MATCH(1,
('2026 Orders'!C:C=C519)*
('2026 Orders'!G:G=G519)*
('2026 Orders'!N:N=N519),
0),
"Open "&amp;C519
))</f>
        <v/>
      </c>
      <c r="F519" s="14">
        <v>0</v>
      </c>
      <c r="G519" s="14">
        <f>'2026 Orders'!G518</f>
        <v>0</v>
      </c>
      <c r="H519" s="14" t="str">
        <f>'2026 Orders'!H518</f>
        <v/>
      </c>
      <c r="I519" s="15" t="str">
        <f>'2026 Orders'!I518</f>
        <v/>
      </c>
      <c r="J519" s="14">
        <f>'2026 Orders'!J518</f>
        <v>0</v>
      </c>
      <c r="K519">
        <v>0</v>
      </c>
      <c r="L519">
        <v>0</v>
      </c>
      <c r="N519" s="10">
        <f>'2026 Orders'!N518</f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C519" t="str">
        <f>IF(OR(B519="",B519=0),"",$AJ$2&amp;"/"&amp;J519)</f>
        <v/>
      </c>
      <c r="AD519" t="str">
        <f t="shared" si="8"/>
        <v/>
      </c>
    </row>
    <row r="520" spans="2:30" ht="33" hidden="1" customHeight="1" x14ac:dyDescent="0.3">
      <c r="B520" s="14">
        <f>'2026 Orders'!B519</f>
        <v>0</v>
      </c>
      <c r="C520" s="14">
        <f>'2026 Orders'!C519</f>
        <v>0</v>
      </c>
      <c r="D520" s="14">
        <v>0</v>
      </c>
      <c r="E520" s="17" t="str" cm="1">
        <f t="array" ref="E520">IF(C520=0,"",
HYPERLINK(
"#'2026 Orders'!C"&amp;
MATCH(1,
('2026 Orders'!C:C=C520)*
('2026 Orders'!G:G=G520)*
('2026 Orders'!N:N=N520),
0),
"Open "&amp;C520
))</f>
        <v/>
      </c>
      <c r="F520" s="14">
        <v>0</v>
      </c>
      <c r="G520" s="14">
        <f>'2026 Orders'!G519</f>
        <v>0</v>
      </c>
      <c r="H520" s="14" t="str">
        <f>'2026 Orders'!H519</f>
        <v/>
      </c>
      <c r="I520" s="15" t="str">
        <f>'2026 Orders'!I519</f>
        <v/>
      </c>
      <c r="J520" s="14">
        <f>'2026 Orders'!J519</f>
        <v>0</v>
      </c>
      <c r="K520">
        <v>0</v>
      </c>
      <c r="L520">
        <v>0</v>
      </c>
      <c r="N520" s="10">
        <f>'2026 Orders'!N519</f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C520" t="str">
        <f>IF(OR(B520="",B520=0),"",$AJ$2&amp;"/"&amp;J520)</f>
        <v/>
      </c>
      <c r="AD520" t="str">
        <f t="shared" si="8"/>
        <v/>
      </c>
    </row>
    <row r="521" spans="2:30" ht="33" hidden="1" customHeight="1" x14ac:dyDescent="0.3">
      <c r="B521" s="14">
        <f>'2026 Orders'!B520</f>
        <v>0</v>
      </c>
      <c r="C521" s="14">
        <f>'2026 Orders'!C520</f>
        <v>0</v>
      </c>
      <c r="D521" s="14">
        <v>0</v>
      </c>
      <c r="E521" s="17" t="str" cm="1">
        <f t="array" ref="E521">IF(C521=0,"",
HYPERLINK(
"#'2026 Orders'!C"&amp;
MATCH(1,
('2026 Orders'!C:C=C521)*
('2026 Orders'!G:G=G521)*
('2026 Orders'!N:N=N521),
0),
"Open "&amp;C521
))</f>
        <v/>
      </c>
      <c r="F521" s="14">
        <v>0</v>
      </c>
      <c r="G521" s="14">
        <f>'2026 Orders'!G520</f>
        <v>0</v>
      </c>
      <c r="H521" s="14" t="str">
        <f>'2026 Orders'!H520</f>
        <v/>
      </c>
      <c r="I521" s="15" t="str">
        <f>'2026 Orders'!I520</f>
        <v/>
      </c>
      <c r="J521" s="14">
        <f>'2026 Orders'!J520</f>
        <v>0</v>
      </c>
      <c r="K521">
        <v>0</v>
      </c>
      <c r="L521">
        <v>0</v>
      </c>
      <c r="N521" s="10">
        <f>'2026 Orders'!N520</f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C521" t="str">
        <f>IF(OR(B521="",B521=0),"",$AJ$2&amp;"/"&amp;J521)</f>
        <v/>
      </c>
      <c r="AD521" t="str">
        <f t="shared" si="8"/>
        <v/>
      </c>
    </row>
    <row r="522" spans="2:30" ht="33" hidden="1" customHeight="1" x14ac:dyDescent="0.3">
      <c r="B522" s="14">
        <f>'2026 Orders'!B521</f>
        <v>0</v>
      </c>
      <c r="C522" s="14">
        <f>'2026 Orders'!C521</f>
        <v>0</v>
      </c>
      <c r="D522" s="14">
        <v>0</v>
      </c>
      <c r="E522" s="17" t="str" cm="1">
        <f t="array" ref="E522">IF(C522=0,"",
HYPERLINK(
"#'2026 Orders'!C"&amp;
MATCH(1,
('2026 Orders'!C:C=C522)*
('2026 Orders'!G:G=G522)*
('2026 Orders'!N:N=N522),
0),
"Open "&amp;C522
))</f>
        <v/>
      </c>
      <c r="F522" s="14">
        <v>0</v>
      </c>
      <c r="G522" s="14">
        <f>'2026 Orders'!G521</f>
        <v>0</v>
      </c>
      <c r="H522" s="14" t="str">
        <f>'2026 Orders'!H521</f>
        <v/>
      </c>
      <c r="I522" s="15" t="str">
        <f>'2026 Orders'!I521</f>
        <v/>
      </c>
      <c r="J522" s="14">
        <f>'2026 Orders'!J521</f>
        <v>0</v>
      </c>
      <c r="K522">
        <v>0</v>
      </c>
      <c r="L522">
        <v>0</v>
      </c>
      <c r="N522" s="10">
        <f>'2026 Orders'!N521</f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C522" t="str">
        <f>IF(OR(B522="",B522=0),"",$AJ$2&amp;"/"&amp;J522)</f>
        <v/>
      </c>
      <c r="AD522" t="str">
        <f t="shared" si="8"/>
        <v/>
      </c>
    </row>
    <row r="523" spans="2:30" ht="33" hidden="1" customHeight="1" x14ac:dyDescent="0.3">
      <c r="B523" s="14">
        <f>'2026 Orders'!B522</f>
        <v>0</v>
      </c>
      <c r="C523" s="14">
        <f>'2026 Orders'!C522</f>
        <v>0</v>
      </c>
      <c r="D523" s="14">
        <v>0</v>
      </c>
      <c r="E523" s="17" t="str" cm="1">
        <f t="array" ref="E523">IF(C523=0,"",
HYPERLINK(
"#'2026 Orders'!C"&amp;
MATCH(1,
('2026 Orders'!C:C=C523)*
('2026 Orders'!G:G=G523)*
('2026 Orders'!N:N=N523),
0),
"Open "&amp;C523
))</f>
        <v/>
      </c>
      <c r="F523" s="14">
        <v>0</v>
      </c>
      <c r="G523" s="14">
        <f>'2026 Orders'!G522</f>
        <v>0</v>
      </c>
      <c r="H523" s="14" t="str">
        <f>'2026 Orders'!H522</f>
        <v/>
      </c>
      <c r="I523" s="15" t="str">
        <f>'2026 Orders'!I522</f>
        <v/>
      </c>
      <c r="J523" s="14">
        <f>'2026 Orders'!J522</f>
        <v>0</v>
      </c>
      <c r="K523">
        <v>0</v>
      </c>
      <c r="L523">
        <v>0</v>
      </c>
      <c r="N523" s="10">
        <f>'2026 Orders'!N522</f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C523" t="str">
        <f>IF(OR(B523="",B523=0),"",$AJ$2&amp;"/"&amp;J523)</f>
        <v/>
      </c>
      <c r="AD523" t="str">
        <f t="shared" si="8"/>
        <v/>
      </c>
    </row>
    <row r="524" spans="2:30" ht="33" hidden="1" customHeight="1" x14ac:dyDescent="0.3">
      <c r="B524" s="14">
        <f>'2026 Orders'!B523</f>
        <v>0</v>
      </c>
      <c r="C524" s="14">
        <f>'2026 Orders'!C523</f>
        <v>0</v>
      </c>
      <c r="D524" s="14">
        <v>0</v>
      </c>
      <c r="E524" s="17" t="str" cm="1">
        <f t="array" ref="E524">IF(C524=0,"",
HYPERLINK(
"#'2026 Orders'!C"&amp;
MATCH(1,
('2026 Orders'!C:C=C524)*
('2026 Orders'!G:G=G524)*
('2026 Orders'!N:N=N524),
0),
"Open "&amp;C524
))</f>
        <v/>
      </c>
      <c r="F524" s="14">
        <v>0</v>
      </c>
      <c r="G524" s="14">
        <f>'2026 Orders'!G523</f>
        <v>0</v>
      </c>
      <c r="H524" s="14" t="str">
        <f>'2026 Orders'!H523</f>
        <v/>
      </c>
      <c r="I524" s="15" t="str">
        <f>'2026 Orders'!I523</f>
        <v/>
      </c>
      <c r="J524" s="14">
        <f>'2026 Orders'!J523</f>
        <v>0</v>
      </c>
      <c r="K524">
        <v>0</v>
      </c>
      <c r="L524">
        <v>0</v>
      </c>
      <c r="N524" s="10">
        <f>'2026 Orders'!N523</f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C524" t="str">
        <f>IF(OR(B524="",B524=0),"",$AJ$2&amp;"/"&amp;J524)</f>
        <v/>
      </c>
      <c r="AD524" t="str">
        <f t="shared" si="8"/>
        <v/>
      </c>
    </row>
    <row r="525" spans="2:30" ht="33" hidden="1" customHeight="1" x14ac:dyDescent="0.3">
      <c r="B525" s="14">
        <f>'2026 Orders'!B524</f>
        <v>0</v>
      </c>
      <c r="C525" s="14">
        <f>'2026 Orders'!C524</f>
        <v>0</v>
      </c>
      <c r="D525" s="14">
        <v>0</v>
      </c>
      <c r="E525" s="17" t="str" cm="1">
        <f t="array" ref="E525">IF(C525=0,"",
HYPERLINK(
"#'2026 Orders'!C"&amp;
MATCH(1,
('2026 Orders'!C:C=C525)*
('2026 Orders'!G:G=G525)*
('2026 Orders'!N:N=N525),
0),
"Open "&amp;C525
))</f>
        <v/>
      </c>
      <c r="F525" s="14">
        <v>0</v>
      </c>
      <c r="G525" s="14">
        <f>'2026 Orders'!G524</f>
        <v>0</v>
      </c>
      <c r="H525" s="14" t="str">
        <f>'2026 Orders'!H524</f>
        <v/>
      </c>
      <c r="I525" s="15" t="str">
        <f>'2026 Orders'!I524</f>
        <v/>
      </c>
      <c r="J525" s="14">
        <f>'2026 Orders'!J524</f>
        <v>0</v>
      </c>
      <c r="K525">
        <v>0</v>
      </c>
      <c r="L525">
        <v>0</v>
      </c>
      <c r="N525" s="10">
        <f>'2026 Orders'!N524</f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C525" t="str">
        <f>IF(OR(B525="",B525=0),"",$AJ$2&amp;"/"&amp;J525)</f>
        <v/>
      </c>
      <c r="AD525" t="str">
        <f t="shared" si="8"/>
        <v/>
      </c>
    </row>
    <row r="526" spans="2:30" ht="33" hidden="1" customHeight="1" x14ac:dyDescent="0.3">
      <c r="B526" s="14">
        <f>'2026 Orders'!B525</f>
        <v>0</v>
      </c>
      <c r="C526" s="14">
        <f>'2026 Orders'!C525</f>
        <v>0</v>
      </c>
      <c r="D526" s="14">
        <v>0</v>
      </c>
      <c r="E526" s="17" t="str" cm="1">
        <f t="array" ref="E526">IF(C526=0,"",
HYPERLINK(
"#'2026 Orders'!C"&amp;
MATCH(1,
('2026 Orders'!C:C=C526)*
('2026 Orders'!G:G=G526)*
('2026 Orders'!N:N=N526),
0),
"Open "&amp;C526
))</f>
        <v/>
      </c>
      <c r="F526" s="14">
        <v>0</v>
      </c>
      <c r="G526" s="14">
        <f>'2026 Orders'!G525</f>
        <v>0</v>
      </c>
      <c r="H526" s="14" t="str">
        <f>'2026 Orders'!H525</f>
        <v/>
      </c>
      <c r="I526" s="15" t="str">
        <f>'2026 Orders'!I525</f>
        <v/>
      </c>
      <c r="J526" s="14">
        <f>'2026 Orders'!J525</f>
        <v>0</v>
      </c>
      <c r="K526">
        <v>0</v>
      </c>
      <c r="L526">
        <v>0</v>
      </c>
      <c r="N526" s="10">
        <f>'2026 Orders'!N525</f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C526" t="str">
        <f>IF(OR(B526="",B526=0),"",$AJ$2&amp;"/"&amp;J526)</f>
        <v/>
      </c>
      <c r="AD526" t="str">
        <f t="shared" si="8"/>
        <v/>
      </c>
    </row>
    <row r="527" spans="2:30" ht="33" hidden="1" customHeight="1" x14ac:dyDescent="0.3">
      <c r="B527" s="14">
        <f>'2026 Orders'!B526</f>
        <v>0</v>
      </c>
      <c r="C527" s="14">
        <f>'2026 Orders'!C526</f>
        <v>0</v>
      </c>
      <c r="D527" s="14">
        <v>0</v>
      </c>
      <c r="E527" s="17" t="str" cm="1">
        <f t="array" ref="E527">IF(C527=0,"",
HYPERLINK(
"#'2026 Orders'!C"&amp;
MATCH(1,
('2026 Orders'!C:C=C527)*
('2026 Orders'!G:G=G527)*
('2026 Orders'!N:N=N527),
0),
"Open "&amp;C527
))</f>
        <v/>
      </c>
      <c r="F527" s="14">
        <v>0</v>
      </c>
      <c r="G527" s="14">
        <f>'2026 Orders'!G526</f>
        <v>0</v>
      </c>
      <c r="H527" s="14" t="str">
        <f>'2026 Orders'!H526</f>
        <v/>
      </c>
      <c r="I527" s="15" t="str">
        <f>'2026 Orders'!I526</f>
        <v/>
      </c>
      <c r="J527" s="14">
        <f>'2026 Orders'!J526</f>
        <v>0</v>
      </c>
      <c r="K527">
        <v>0</v>
      </c>
      <c r="L527">
        <v>0</v>
      </c>
      <c r="N527" s="10">
        <f>'2026 Orders'!N526</f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C527" t="str">
        <f>IF(OR(B527="",B527=0),"",$AJ$2&amp;"/"&amp;J527)</f>
        <v/>
      </c>
      <c r="AD527" t="str">
        <f t="shared" si="8"/>
        <v/>
      </c>
    </row>
    <row r="528" spans="2:30" ht="33" hidden="1" customHeight="1" x14ac:dyDescent="0.3">
      <c r="B528" s="14">
        <f>'2026 Orders'!B527</f>
        <v>0</v>
      </c>
      <c r="C528" s="14">
        <f>'2026 Orders'!C527</f>
        <v>0</v>
      </c>
      <c r="D528" s="14">
        <v>0</v>
      </c>
      <c r="E528" s="17" t="str" cm="1">
        <f t="array" ref="E528">IF(C528=0,"",
HYPERLINK(
"#'2026 Orders'!C"&amp;
MATCH(1,
('2026 Orders'!C:C=C528)*
('2026 Orders'!G:G=G528)*
('2026 Orders'!N:N=N528),
0),
"Open "&amp;C528
))</f>
        <v/>
      </c>
      <c r="F528" s="14">
        <v>0</v>
      </c>
      <c r="G528" s="14">
        <f>'2026 Orders'!G527</f>
        <v>0</v>
      </c>
      <c r="H528" s="14" t="str">
        <f>'2026 Orders'!H527</f>
        <v/>
      </c>
      <c r="I528" s="15" t="str">
        <f>'2026 Orders'!I527</f>
        <v/>
      </c>
      <c r="J528" s="14">
        <f>'2026 Orders'!J527</f>
        <v>0</v>
      </c>
      <c r="K528">
        <v>0</v>
      </c>
      <c r="L528">
        <v>0</v>
      </c>
      <c r="N528" s="10">
        <f>'2026 Orders'!N527</f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C528" t="str">
        <f>IF(OR(B528="",B528=0),"",$AJ$2&amp;"/"&amp;J528)</f>
        <v/>
      </c>
      <c r="AD528" t="str">
        <f t="shared" si="8"/>
        <v/>
      </c>
    </row>
    <row r="529" spans="2:30" ht="33" hidden="1" customHeight="1" x14ac:dyDescent="0.3">
      <c r="B529" s="14">
        <f>'2026 Orders'!B528</f>
        <v>0</v>
      </c>
      <c r="C529" s="14">
        <f>'2026 Orders'!C528</f>
        <v>0</v>
      </c>
      <c r="D529" s="14">
        <v>0</v>
      </c>
      <c r="E529" s="17" t="str" cm="1">
        <f t="array" ref="E529">IF(C529=0,"",
HYPERLINK(
"#'2026 Orders'!C"&amp;
MATCH(1,
('2026 Orders'!C:C=C529)*
('2026 Orders'!G:G=G529)*
('2026 Orders'!N:N=N529),
0),
"Open "&amp;C529
))</f>
        <v/>
      </c>
      <c r="F529" s="14">
        <v>0</v>
      </c>
      <c r="G529" s="14">
        <f>'2026 Orders'!G528</f>
        <v>0</v>
      </c>
      <c r="H529" s="14" t="str">
        <f>'2026 Orders'!H528</f>
        <v/>
      </c>
      <c r="I529" s="15" t="str">
        <f>'2026 Orders'!I528</f>
        <v/>
      </c>
      <c r="J529" s="14">
        <f>'2026 Orders'!J528</f>
        <v>0</v>
      </c>
      <c r="K529">
        <v>0</v>
      </c>
      <c r="L529">
        <v>0</v>
      </c>
      <c r="N529" s="10">
        <f>'2026 Orders'!N528</f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C529" t="str">
        <f>IF(OR(B529="",B529=0),"",$AJ$2&amp;"/"&amp;J529)</f>
        <v/>
      </c>
      <c r="AD529" t="str">
        <f t="shared" si="8"/>
        <v/>
      </c>
    </row>
    <row r="530" spans="2:30" ht="33" hidden="1" customHeight="1" x14ac:dyDescent="0.3">
      <c r="B530" s="14">
        <f>'2026 Orders'!B529</f>
        <v>0</v>
      </c>
      <c r="C530" s="14">
        <f>'2026 Orders'!C529</f>
        <v>0</v>
      </c>
      <c r="D530" s="14">
        <v>0</v>
      </c>
      <c r="E530" s="17" t="str" cm="1">
        <f t="array" ref="E530">IF(C530=0,"",
HYPERLINK(
"#'2026 Orders'!C"&amp;
MATCH(1,
('2026 Orders'!C:C=C530)*
('2026 Orders'!G:G=G530)*
('2026 Orders'!N:N=N530),
0),
"Open "&amp;C530
))</f>
        <v/>
      </c>
      <c r="F530" s="14">
        <v>0</v>
      </c>
      <c r="G530" s="14">
        <f>'2026 Orders'!G529</f>
        <v>0</v>
      </c>
      <c r="H530" s="14" t="str">
        <f>'2026 Orders'!H529</f>
        <v/>
      </c>
      <c r="I530" s="15" t="str">
        <f>'2026 Orders'!I529</f>
        <v/>
      </c>
      <c r="J530" s="14">
        <f>'2026 Orders'!J529</f>
        <v>0</v>
      </c>
      <c r="K530">
        <v>0</v>
      </c>
      <c r="L530">
        <v>0</v>
      </c>
      <c r="N530" s="10">
        <f>'2026 Orders'!N529</f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C530" t="str">
        <f>IF(OR(B530="",B530=0),"",$AJ$2&amp;"/"&amp;J530)</f>
        <v/>
      </c>
      <c r="AD530" t="str">
        <f t="shared" si="8"/>
        <v/>
      </c>
    </row>
    <row r="531" spans="2:30" ht="33" hidden="1" customHeight="1" x14ac:dyDescent="0.3">
      <c r="B531" s="14">
        <f>'2026 Orders'!B530</f>
        <v>0</v>
      </c>
      <c r="C531" s="14">
        <f>'2026 Orders'!C530</f>
        <v>0</v>
      </c>
      <c r="D531" s="14">
        <v>0</v>
      </c>
      <c r="E531" s="17" t="str" cm="1">
        <f t="array" ref="E531">IF(C531=0,"",
HYPERLINK(
"#'2026 Orders'!C"&amp;
MATCH(1,
('2026 Orders'!C:C=C531)*
('2026 Orders'!G:G=G531)*
('2026 Orders'!N:N=N531),
0),
"Open "&amp;C531
))</f>
        <v/>
      </c>
      <c r="F531" s="14">
        <v>0</v>
      </c>
      <c r="G531" s="14">
        <f>'2026 Orders'!G530</f>
        <v>0</v>
      </c>
      <c r="H531" s="14" t="str">
        <f>'2026 Orders'!H530</f>
        <v/>
      </c>
      <c r="I531" s="15" t="str">
        <f>'2026 Orders'!I530</f>
        <v/>
      </c>
      <c r="J531" s="14">
        <f>'2026 Orders'!J530</f>
        <v>0</v>
      </c>
      <c r="K531">
        <v>0</v>
      </c>
      <c r="L531">
        <v>0</v>
      </c>
      <c r="N531" s="10">
        <f>'2026 Orders'!N530</f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C531" t="str">
        <f>IF(OR(B531="",B531=0),"",$AJ$2&amp;"/"&amp;J531)</f>
        <v/>
      </c>
      <c r="AD531" t="str">
        <f t="shared" si="8"/>
        <v/>
      </c>
    </row>
    <row r="532" spans="2:30" ht="33" hidden="1" customHeight="1" x14ac:dyDescent="0.3">
      <c r="B532" s="14">
        <f>'2026 Orders'!B531</f>
        <v>0</v>
      </c>
      <c r="C532" s="14">
        <f>'2026 Orders'!C531</f>
        <v>0</v>
      </c>
      <c r="D532" s="14">
        <v>0</v>
      </c>
      <c r="E532" s="17" t="str" cm="1">
        <f t="array" ref="E532">IF(C532=0,"",
HYPERLINK(
"#'2026 Orders'!C"&amp;
MATCH(1,
('2026 Orders'!C:C=C532)*
('2026 Orders'!G:G=G532)*
('2026 Orders'!N:N=N532),
0),
"Open "&amp;C532
))</f>
        <v/>
      </c>
      <c r="F532" s="14">
        <v>0</v>
      </c>
      <c r="G532" s="14">
        <f>'2026 Orders'!G531</f>
        <v>0</v>
      </c>
      <c r="H532" s="14" t="str">
        <f>'2026 Orders'!H531</f>
        <v/>
      </c>
      <c r="I532" s="15" t="str">
        <f>'2026 Orders'!I531</f>
        <v/>
      </c>
      <c r="J532" s="14">
        <f>'2026 Orders'!J531</f>
        <v>0</v>
      </c>
      <c r="K532">
        <v>0</v>
      </c>
      <c r="L532">
        <v>0</v>
      </c>
      <c r="N532" s="10">
        <f>'2026 Orders'!N531</f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C532" t="str">
        <f>IF(OR(B532="",B532=0),"",$AJ$2&amp;"/"&amp;J532)</f>
        <v/>
      </c>
      <c r="AD532" t="str">
        <f t="shared" si="8"/>
        <v/>
      </c>
    </row>
    <row r="533" spans="2:30" ht="33" hidden="1" customHeight="1" x14ac:dyDescent="0.3">
      <c r="B533" s="14">
        <f>'2026 Orders'!B532</f>
        <v>0</v>
      </c>
      <c r="C533" s="14">
        <f>'2026 Orders'!C532</f>
        <v>0</v>
      </c>
      <c r="D533" s="14">
        <v>0</v>
      </c>
      <c r="E533" s="17" t="str" cm="1">
        <f t="array" ref="E533">IF(C533=0,"",
HYPERLINK(
"#'2026 Orders'!C"&amp;
MATCH(1,
('2026 Orders'!C:C=C533)*
('2026 Orders'!G:G=G533)*
('2026 Orders'!N:N=N533),
0),
"Open "&amp;C533
))</f>
        <v/>
      </c>
      <c r="F533" s="14">
        <v>0</v>
      </c>
      <c r="G533" s="14">
        <f>'2026 Orders'!G532</f>
        <v>0</v>
      </c>
      <c r="H533" s="14" t="str">
        <f>'2026 Orders'!H532</f>
        <v/>
      </c>
      <c r="I533" s="15" t="str">
        <f>'2026 Orders'!I532</f>
        <v/>
      </c>
      <c r="J533" s="14">
        <f>'2026 Orders'!J532</f>
        <v>0</v>
      </c>
      <c r="K533">
        <v>0</v>
      </c>
      <c r="L533">
        <v>0</v>
      </c>
      <c r="N533" s="10">
        <f>'2026 Orders'!N532</f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C533" t="str">
        <f>IF(OR(B533="",B533=0),"",$AJ$2&amp;"/"&amp;J533)</f>
        <v/>
      </c>
      <c r="AD533" t="str">
        <f t="shared" si="8"/>
        <v/>
      </c>
    </row>
    <row r="534" spans="2:30" ht="33" hidden="1" customHeight="1" x14ac:dyDescent="0.3">
      <c r="B534" s="14">
        <f>'2026 Orders'!B533</f>
        <v>0</v>
      </c>
      <c r="C534" s="14">
        <f>'2026 Orders'!C533</f>
        <v>0</v>
      </c>
      <c r="D534" s="14">
        <v>0</v>
      </c>
      <c r="E534" s="17" t="str" cm="1">
        <f t="array" ref="E534">IF(C534=0,"",
HYPERLINK(
"#'2026 Orders'!C"&amp;
MATCH(1,
('2026 Orders'!C:C=C534)*
('2026 Orders'!G:G=G534)*
('2026 Orders'!N:N=N534),
0),
"Open "&amp;C534
))</f>
        <v/>
      </c>
      <c r="F534" s="14">
        <v>0</v>
      </c>
      <c r="G534" s="14">
        <f>'2026 Orders'!G533</f>
        <v>0</v>
      </c>
      <c r="H534" s="14" t="str">
        <f>'2026 Orders'!H533</f>
        <v/>
      </c>
      <c r="I534" s="15" t="str">
        <f>'2026 Orders'!I533</f>
        <v/>
      </c>
      <c r="J534" s="14">
        <f>'2026 Orders'!J533</f>
        <v>0</v>
      </c>
      <c r="K534">
        <v>0</v>
      </c>
      <c r="L534">
        <v>0</v>
      </c>
      <c r="N534" s="10">
        <f>'2026 Orders'!N533</f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C534" t="str">
        <f>IF(OR(B534="",B534=0),"",$AJ$2&amp;"/"&amp;J534)</f>
        <v/>
      </c>
      <c r="AD534" t="str">
        <f t="shared" si="8"/>
        <v/>
      </c>
    </row>
    <row r="535" spans="2:30" ht="33" hidden="1" customHeight="1" x14ac:dyDescent="0.3">
      <c r="B535" s="14">
        <f>'2026 Orders'!B534</f>
        <v>0</v>
      </c>
      <c r="C535" s="14">
        <f>'2026 Orders'!C534</f>
        <v>0</v>
      </c>
      <c r="D535" s="14">
        <v>0</v>
      </c>
      <c r="E535" s="17" t="str" cm="1">
        <f t="array" ref="E535">IF(C535=0,"",
HYPERLINK(
"#'2026 Orders'!C"&amp;
MATCH(1,
('2026 Orders'!C:C=C535)*
('2026 Orders'!G:G=G535)*
('2026 Orders'!N:N=N535),
0),
"Open "&amp;C535
))</f>
        <v/>
      </c>
      <c r="F535" s="14">
        <v>0</v>
      </c>
      <c r="G535" s="14">
        <f>'2026 Orders'!G534</f>
        <v>0</v>
      </c>
      <c r="H535" s="14" t="str">
        <f>'2026 Orders'!H534</f>
        <v/>
      </c>
      <c r="I535" s="15" t="str">
        <f>'2026 Orders'!I534</f>
        <v/>
      </c>
      <c r="J535" s="14">
        <f>'2026 Orders'!J534</f>
        <v>0</v>
      </c>
      <c r="K535">
        <v>0</v>
      </c>
      <c r="L535">
        <v>0</v>
      </c>
      <c r="N535" s="10">
        <f>'2026 Orders'!N534</f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C535" t="str">
        <f>IF(OR(B535="",B535=0),"",$AJ$2&amp;"/"&amp;J535)</f>
        <v/>
      </c>
      <c r="AD535" t="str">
        <f t="shared" si="8"/>
        <v/>
      </c>
    </row>
    <row r="536" spans="2:30" ht="33" hidden="1" customHeight="1" x14ac:dyDescent="0.3">
      <c r="B536" s="14">
        <f>'2026 Orders'!B535</f>
        <v>0</v>
      </c>
      <c r="C536" s="14">
        <f>'2026 Orders'!C535</f>
        <v>0</v>
      </c>
      <c r="D536" s="14">
        <v>0</v>
      </c>
      <c r="E536" s="17" t="str" cm="1">
        <f t="array" ref="E536">IF(C536=0,"",
HYPERLINK(
"#'2026 Orders'!C"&amp;
MATCH(1,
('2026 Orders'!C:C=C536)*
('2026 Orders'!G:G=G536)*
('2026 Orders'!N:N=N536),
0),
"Open "&amp;C536
))</f>
        <v/>
      </c>
      <c r="F536" s="14">
        <v>0</v>
      </c>
      <c r="G536" s="14">
        <f>'2026 Orders'!G535</f>
        <v>0</v>
      </c>
      <c r="H536" s="14" t="str">
        <f>'2026 Orders'!H535</f>
        <v/>
      </c>
      <c r="I536" s="15" t="str">
        <f>'2026 Orders'!I535</f>
        <v/>
      </c>
      <c r="J536" s="14">
        <f>'2026 Orders'!J535</f>
        <v>0</v>
      </c>
      <c r="K536">
        <v>0</v>
      </c>
      <c r="L536">
        <v>0</v>
      </c>
      <c r="N536" s="10">
        <f>'2026 Orders'!N535</f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C536" t="str">
        <f>IF(OR(B536="",B536=0),"",$AJ$2&amp;"/"&amp;J536)</f>
        <v/>
      </c>
      <c r="AD536" t="str">
        <f t="shared" si="8"/>
        <v/>
      </c>
    </row>
    <row r="537" spans="2:30" ht="33" hidden="1" customHeight="1" x14ac:dyDescent="0.3">
      <c r="B537" s="14">
        <f>'2026 Orders'!B536</f>
        <v>0</v>
      </c>
      <c r="C537" s="14">
        <f>'2026 Orders'!C536</f>
        <v>0</v>
      </c>
      <c r="D537" s="14">
        <v>0</v>
      </c>
      <c r="E537" s="17" t="str" cm="1">
        <f t="array" ref="E537">IF(C537=0,"",
HYPERLINK(
"#'2026 Orders'!C"&amp;
MATCH(1,
('2026 Orders'!C:C=C537)*
('2026 Orders'!G:G=G537)*
('2026 Orders'!N:N=N537),
0),
"Open "&amp;C537
))</f>
        <v/>
      </c>
      <c r="F537" s="14">
        <v>0</v>
      </c>
      <c r="G537" s="14">
        <f>'2026 Orders'!G536</f>
        <v>0</v>
      </c>
      <c r="H537" s="14" t="str">
        <f>'2026 Orders'!H536</f>
        <v/>
      </c>
      <c r="I537" s="15" t="str">
        <f>'2026 Orders'!I536</f>
        <v/>
      </c>
      <c r="J537" s="14">
        <f>'2026 Orders'!J536</f>
        <v>0</v>
      </c>
      <c r="K537">
        <v>0</v>
      </c>
      <c r="L537">
        <v>0</v>
      </c>
      <c r="N537" s="10">
        <f>'2026 Orders'!N536</f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C537" t="str">
        <f>IF(OR(B537="",B537=0),"",$AJ$2&amp;"/"&amp;J537)</f>
        <v/>
      </c>
      <c r="AD537" t="str">
        <f t="shared" si="8"/>
        <v/>
      </c>
    </row>
    <row r="538" spans="2:30" ht="33" hidden="1" customHeight="1" x14ac:dyDescent="0.3">
      <c r="B538" s="14">
        <f>'2026 Orders'!B537</f>
        <v>0</v>
      </c>
      <c r="C538" s="14">
        <f>'2026 Orders'!C537</f>
        <v>0</v>
      </c>
      <c r="D538" s="14">
        <v>0</v>
      </c>
      <c r="E538" s="17" t="str" cm="1">
        <f t="array" ref="E538">IF(C538=0,"",
HYPERLINK(
"#'2026 Orders'!C"&amp;
MATCH(1,
('2026 Orders'!C:C=C538)*
('2026 Orders'!G:G=G538)*
('2026 Orders'!N:N=N538),
0),
"Open "&amp;C538
))</f>
        <v/>
      </c>
      <c r="F538" s="14">
        <v>0</v>
      </c>
      <c r="G538" s="14">
        <f>'2026 Orders'!G537</f>
        <v>0</v>
      </c>
      <c r="H538" s="14" t="str">
        <f>'2026 Orders'!H537</f>
        <v/>
      </c>
      <c r="I538" s="15" t="str">
        <f>'2026 Orders'!I537</f>
        <v/>
      </c>
      <c r="J538" s="14">
        <f>'2026 Orders'!J537</f>
        <v>0</v>
      </c>
      <c r="K538">
        <v>0</v>
      </c>
      <c r="L538">
        <v>0</v>
      </c>
      <c r="N538" s="10">
        <f>'2026 Orders'!N537</f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C538" t="str">
        <f>IF(OR(B538="",B538=0),"",$AJ$2&amp;"/"&amp;J538)</f>
        <v/>
      </c>
      <c r="AD538" t="str">
        <f t="shared" si="8"/>
        <v/>
      </c>
    </row>
    <row r="539" spans="2:30" ht="33" hidden="1" customHeight="1" x14ac:dyDescent="0.3">
      <c r="B539" s="14">
        <f>'2026 Orders'!B538</f>
        <v>0</v>
      </c>
      <c r="C539" s="14">
        <f>'2026 Orders'!C538</f>
        <v>0</v>
      </c>
      <c r="D539" s="14">
        <v>0</v>
      </c>
      <c r="E539" s="17" t="str" cm="1">
        <f t="array" ref="E539">IF(C539=0,"",
HYPERLINK(
"#'2026 Orders'!C"&amp;
MATCH(1,
('2026 Orders'!C:C=C539)*
('2026 Orders'!G:G=G539)*
('2026 Orders'!N:N=N539),
0),
"Open "&amp;C539
))</f>
        <v/>
      </c>
      <c r="F539" s="14">
        <v>0</v>
      </c>
      <c r="G539" s="14">
        <f>'2026 Orders'!G538</f>
        <v>0</v>
      </c>
      <c r="H539" s="14" t="str">
        <f>'2026 Orders'!H538</f>
        <v/>
      </c>
      <c r="I539" s="15" t="str">
        <f>'2026 Orders'!I538</f>
        <v/>
      </c>
      <c r="J539" s="14">
        <f>'2026 Orders'!J538</f>
        <v>0</v>
      </c>
      <c r="K539">
        <v>0</v>
      </c>
      <c r="L539">
        <v>0</v>
      </c>
      <c r="N539" s="10">
        <f>'2026 Orders'!N538</f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C539" t="str">
        <f>IF(OR(B539="",B539=0),"",$AJ$2&amp;"/"&amp;J539)</f>
        <v/>
      </c>
      <c r="AD539" t="str">
        <f t="shared" si="8"/>
        <v/>
      </c>
    </row>
    <row r="540" spans="2:30" ht="33" hidden="1" customHeight="1" x14ac:dyDescent="0.3">
      <c r="B540" s="14">
        <f>'2026 Orders'!B539</f>
        <v>0</v>
      </c>
      <c r="C540" s="14">
        <f>'2026 Orders'!C539</f>
        <v>0</v>
      </c>
      <c r="D540" s="14">
        <v>0</v>
      </c>
      <c r="E540" s="17" t="str" cm="1">
        <f t="array" ref="E540">IF(C540=0,"",
HYPERLINK(
"#'2026 Orders'!C"&amp;
MATCH(1,
('2026 Orders'!C:C=C540)*
('2026 Orders'!G:G=G540)*
('2026 Orders'!N:N=N540),
0),
"Open "&amp;C540
))</f>
        <v/>
      </c>
      <c r="F540" s="14">
        <v>0</v>
      </c>
      <c r="G540" s="14">
        <f>'2026 Orders'!G539</f>
        <v>0</v>
      </c>
      <c r="H540" s="14" t="str">
        <f>'2026 Orders'!H539</f>
        <v/>
      </c>
      <c r="I540" s="15" t="str">
        <f>'2026 Orders'!I539</f>
        <v/>
      </c>
      <c r="J540" s="14">
        <f>'2026 Orders'!J539</f>
        <v>0</v>
      </c>
      <c r="K540">
        <v>0</v>
      </c>
      <c r="L540">
        <v>0</v>
      </c>
      <c r="N540" s="10">
        <f>'2026 Orders'!N539</f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C540" t="str">
        <f>IF(OR(B540="",B540=0),"",$AJ$2&amp;"/"&amp;J540)</f>
        <v/>
      </c>
      <c r="AD540" t="str">
        <f t="shared" si="8"/>
        <v/>
      </c>
    </row>
    <row r="541" spans="2:30" ht="33" hidden="1" customHeight="1" x14ac:dyDescent="0.3">
      <c r="B541" s="14">
        <f>'2026 Orders'!B540</f>
        <v>0</v>
      </c>
      <c r="C541" s="14">
        <f>'2026 Orders'!C540</f>
        <v>0</v>
      </c>
      <c r="D541" s="14">
        <v>0</v>
      </c>
      <c r="E541" s="17" t="str" cm="1">
        <f t="array" ref="E541">IF(C541=0,"",
HYPERLINK(
"#'2026 Orders'!C"&amp;
MATCH(1,
('2026 Orders'!C:C=C541)*
('2026 Orders'!G:G=G541)*
('2026 Orders'!N:N=N541),
0),
"Open "&amp;C541
))</f>
        <v/>
      </c>
      <c r="F541" s="14">
        <v>0</v>
      </c>
      <c r="G541" s="14">
        <f>'2026 Orders'!G540</f>
        <v>0</v>
      </c>
      <c r="H541" s="14" t="str">
        <f>'2026 Orders'!H540</f>
        <v/>
      </c>
      <c r="I541" s="15" t="str">
        <f>'2026 Orders'!I540</f>
        <v/>
      </c>
      <c r="J541" s="14">
        <f>'2026 Orders'!J540</f>
        <v>0</v>
      </c>
      <c r="K541">
        <v>0</v>
      </c>
      <c r="L541">
        <v>0</v>
      </c>
      <c r="N541" s="10">
        <f>'2026 Orders'!N540</f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C541" t="str">
        <f>IF(OR(B541="",B541=0),"",$AJ$2&amp;"/"&amp;J541)</f>
        <v/>
      </c>
      <c r="AD541" t="str">
        <f t="shared" si="8"/>
        <v/>
      </c>
    </row>
    <row r="542" spans="2:30" ht="33" hidden="1" customHeight="1" x14ac:dyDescent="0.3">
      <c r="B542" s="14">
        <f>'2026 Orders'!B541</f>
        <v>0</v>
      </c>
      <c r="C542" s="14">
        <f>'2026 Orders'!C541</f>
        <v>0</v>
      </c>
      <c r="D542" s="14">
        <v>0</v>
      </c>
      <c r="E542" s="17" t="str" cm="1">
        <f t="array" ref="E542">IF(C542=0,"",
HYPERLINK(
"#'2026 Orders'!C"&amp;
MATCH(1,
('2026 Orders'!C:C=C542)*
('2026 Orders'!G:G=G542)*
('2026 Orders'!N:N=N542),
0),
"Open "&amp;C542
))</f>
        <v/>
      </c>
      <c r="F542" s="14">
        <v>0</v>
      </c>
      <c r="G542" s="14">
        <f>'2026 Orders'!G541</f>
        <v>0</v>
      </c>
      <c r="H542" s="14" t="str">
        <f>'2026 Orders'!H541</f>
        <v/>
      </c>
      <c r="I542" s="15" t="str">
        <f>'2026 Orders'!I541</f>
        <v/>
      </c>
      <c r="J542" s="14">
        <f>'2026 Orders'!J541</f>
        <v>0</v>
      </c>
      <c r="K542">
        <v>0</v>
      </c>
      <c r="L542">
        <v>0</v>
      </c>
      <c r="N542" s="10">
        <f>'2026 Orders'!N541</f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C542" t="str">
        <f>IF(OR(B542="",B542=0),"",$AJ$2&amp;"/"&amp;J542)</f>
        <v/>
      </c>
      <c r="AD542" t="str">
        <f t="shared" si="8"/>
        <v/>
      </c>
    </row>
    <row r="543" spans="2:30" ht="33" hidden="1" customHeight="1" x14ac:dyDescent="0.3">
      <c r="B543" s="14">
        <f>'2026 Orders'!B542</f>
        <v>0</v>
      </c>
      <c r="C543" s="14">
        <f>'2026 Orders'!C542</f>
        <v>0</v>
      </c>
      <c r="D543" s="14">
        <v>0</v>
      </c>
      <c r="E543" s="17" t="str" cm="1">
        <f t="array" ref="E543">IF(C543=0,"",
HYPERLINK(
"#'2026 Orders'!C"&amp;
MATCH(1,
('2026 Orders'!C:C=C543)*
('2026 Orders'!G:G=G543)*
('2026 Orders'!N:N=N543),
0),
"Open "&amp;C543
))</f>
        <v/>
      </c>
      <c r="F543" s="14">
        <v>0</v>
      </c>
      <c r="G543" s="14">
        <f>'2026 Orders'!G542</f>
        <v>0</v>
      </c>
      <c r="H543" s="14" t="str">
        <f>'2026 Orders'!H542</f>
        <v/>
      </c>
      <c r="I543" s="15" t="str">
        <f>'2026 Orders'!I542</f>
        <v/>
      </c>
      <c r="J543" s="14">
        <f>'2026 Orders'!J542</f>
        <v>0</v>
      </c>
      <c r="K543">
        <v>0</v>
      </c>
      <c r="L543">
        <v>0</v>
      </c>
      <c r="N543" s="10">
        <f>'2026 Orders'!N542</f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C543" t="str">
        <f>IF(OR(B543="",B543=0),"",$AJ$2&amp;"/"&amp;J543)</f>
        <v/>
      </c>
      <c r="AD543" t="str">
        <f t="shared" si="8"/>
        <v/>
      </c>
    </row>
    <row r="544" spans="2:30" ht="33" hidden="1" customHeight="1" x14ac:dyDescent="0.3">
      <c r="B544" s="14">
        <f>'2026 Orders'!B543</f>
        <v>0</v>
      </c>
      <c r="C544" s="14">
        <f>'2026 Orders'!C543</f>
        <v>0</v>
      </c>
      <c r="D544" s="14">
        <v>0</v>
      </c>
      <c r="E544" s="17" t="str" cm="1">
        <f t="array" ref="E544">IF(C544=0,"",
HYPERLINK(
"#'2026 Orders'!C"&amp;
MATCH(1,
('2026 Orders'!C:C=C544)*
('2026 Orders'!G:G=G544)*
('2026 Orders'!N:N=N544),
0),
"Open "&amp;C544
))</f>
        <v/>
      </c>
      <c r="F544" s="14">
        <v>0</v>
      </c>
      <c r="G544" s="14">
        <f>'2026 Orders'!G543</f>
        <v>0</v>
      </c>
      <c r="H544" s="14" t="str">
        <f>'2026 Orders'!H543</f>
        <v/>
      </c>
      <c r="I544" s="15" t="str">
        <f>'2026 Orders'!I543</f>
        <v/>
      </c>
      <c r="J544" s="14">
        <f>'2026 Orders'!J543</f>
        <v>0</v>
      </c>
      <c r="K544">
        <v>0</v>
      </c>
      <c r="L544">
        <v>0</v>
      </c>
      <c r="N544" s="10">
        <f>'2026 Orders'!N543</f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C544" t="str">
        <f>IF(OR(B544="",B544=0),"",$AJ$2&amp;"/"&amp;J544)</f>
        <v/>
      </c>
      <c r="AD544" t="str">
        <f t="shared" si="8"/>
        <v/>
      </c>
    </row>
    <row r="545" spans="2:30" ht="33" hidden="1" customHeight="1" x14ac:dyDescent="0.3">
      <c r="B545" s="14">
        <f>'2026 Orders'!B544</f>
        <v>0</v>
      </c>
      <c r="C545" s="14">
        <f>'2026 Orders'!C544</f>
        <v>0</v>
      </c>
      <c r="D545" s="14">
        <v>0</v>
      </c>
      <c r="E545" s="17" t="str" cm="1">
        <f t="array" ref="E545">IF(C545=0,"",
HYPERLINK(
"#'2026 Orders'!C"&amp;
MATCH(1,
('2026 Orders'!C:C=C545)*
('2026 Orders'!G:G=G545)*
('2026 Orders'!N:N=N545),
0),
"Open "&amp;C545
))</f>
        <v/>
      </c>
      <c r="F545" s="14">
        <v>0</v>
      </c>
      <c r="G545" s="14">
        <f>'2026 Orders'!G544</f>
        <v>0</v>
      </c>
      <c r="H545" s="14" t="str">
        <f>'2026 Orders'!H544</f>
        <v/>
      </c>
      <c r="I545" s="15" t="str">
        <f>'2026 Orders'!I544</f>
        <v/>
      </c>
      <c r="J545" s="14">
        <f>'2026 Orders'!J544</f>
        <v>0</v>
      </c>
      <c r="K545">
        <v>0</v>
      </c>
      <c r="L545">
        <v>0</v>
      </c>
      <c r="N545" s="10">
        <f>'2026 Orders'!N544</f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C545" t="str">
        <f>IF(OR(B545="",B545=0),"",$AJ$2&amp;"/"&amp;J545)</f>
        <v/>
      </c>
      <c r="AD545" t="str">
        <f t="shared" si="8"/>
        <v/>
      </c>
    </row>
    <row r="546" spans="2:30" ht="33" hidden="1" customHeight="1" x14ac:dyDescent="0.3">
      <c r="B546" s="14">
        <f>'2026 Orders'!B545</f>
        <v>0</v>
      </c>
      <c r="C546" s="14">
        <f>'2026 Orders'!C545</f>
        <v>0</v>
      </c>
      <c r="D546" s="14">
        <v>0</v>
      </c>
      <c r="E546" s="17" t="str" cm="1">
        <f t="array" ref="E546">IF(C546=0,"",
HYPERLINK(
"#'2026 Orders'!C"&amp;
MATCH(1,
('2026 Orders'!C:C=C546)*
('2026 Orders'!G:G=G546)*
('2026 Orders'!N:N=N546),
0),
"Open "&amp;C546
))</f>
        <v/>
      </c>
      <c r="F546" s="14">
        <v>0</v>
      </c>
      <c r="G546" s="14">
        <f>'2026 Orders'!G545</f>
        <v>0</v>
      </c>
      <c r="H546" s="14" t="str">
        <f>'2026 Orders'!H545</f>
        <v/>
      </c>
      <c r="I546" s="15" t="str">
        <f>'2026 Orders'!I545</f>
        <v/>
      </c>
      <c r="J546" s="14">
        <f>'2026 Orders'!J545</f>
        <v>0</v>
      </c>
      <c r="K546">
        <v>0</v>
      </c>
      <c r="L546">
        <v>0</v>
      </c>
      <c r="N546" s="10">
        <f>'2026 Orders'!N545</f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C546" t="str">
        <f>IF(OR(B546="",B546=0),"",$AJ$2&amp;"/"&amp;J546)</f>
        <v/>
      </c>
      <c r="AD546" t="str">
        <f t="shared" si="8"/>
        <v/>
      </c>
    </row>
    <row r="547" spans="2:30" ht="33" hidden="1" customHeight="1" x14ac:dyDescent="0.3">
      <c r="B547" s="14">
        <f>'2026 Orders'!B546</f>
        <v>0</v>
      </c>
      <c r="C547" s="14">
        <f>'2026 Orders'!C546</f>
        <v>0</v>
      </c>
      <c r="D547" s="14">
        <v>0</v>
      </c>
      <c r="E547" s="17" t="str" cm="1">
        <f t="array" ref="E547">IF(C547=0,"",
HYPERLINK(
"#'2026 Orders'!C"&amp;
MATCH(1,
('2026 Orders'!C:C=C547)*
('2026 Orders'!G:G=G547)*
('2026 Orders'!N:N=N547),
0),
"Open "&amp;C547
))</f>
        <v/>
      </c>
      <c r="F547" s="14">
        <v>0</v>
      </c>
      <c r="G547" s="14">
        <f>'2026 Orders'!G546</f>
        <v>0</v>
      </c>
      <c r="H547" s="14" t="str">
        <f>'2026 Orders'!H546</f>
        <v/>
      </c>
      <c r="I547" s="15" t="str">
        <f>'2026 Orders'!I546</f>
        <v/>
      </c>
      <c r="J547" s="14">
        <f>'2026 Orders'!J546</f>
        <v>0</v>
      </c>
      <c r="K547">
        <v>0</v>
      </c>
      <c r="L547">
        <v>0</v>
      </c>
      <c r="N547" s="10">
        <f>'2026 Orders'!N546</f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C547" t="str">
        <f>IF(OR(B547="",B547=0),"",$AJ$2&amp;"/"&amp;J547)</f>
        <v/>
      </c>
      <c r="AD547" t="str">
        <f t="shared" si="8"/>
        <v/>
      </c>
    </row>
    <row r="548" spans="2:30" ht="33" hidden="1" customHeight="1" x14ac:dyDescent="0.3">
      <c r="B548" s="14">
        <f>'2026 Orders'!B547</f>
        <v>0</v>
      </c>
      <c r="C548" s="14">
        <f>'2026 Orders'!C547</f>
        <v>0</v>
      </c>
      <c r="D548" s="14">
        <v>0</v>
      </c>
      <c r="E548" s="17" t="str" cm="1">
        <f t="array" ref="E548">IF(C548=0,"",
HYPERLINK(
"#'2026 Orders'!C"&amp;
MATCH(1,
('2026 Orders'!C:C=C548)*
('2026 Orders'!G:G=G548)*
('2026 Orders'!N:N=N548),
0),
"Open "&amp;C548
))</f>
        <v/>
      </c>
      <c r="F548" s="14">
        <v>0</v>
      </c>
      <c r="G548" s="14">
        <f>'2026 Orders'!G547</f>
        <v>0</v>
      </c>
      <c r="H548" s="14" t="str">
        <f>'2026 Orders'!H547</f>
        <v/>
      </c>
      <c r="I548" s="15" t="str">
        <f>'2026 Orders'!I547</f>
        <v/>
      </c>
      <c r="J548" s="14">
        <f>'2026 Orders'!J547</f>
        <v>0</v>
      </c>
      <c r="K548">
        <v>0</v>
      </c>
      <c r="L548">
        <v>0</v>
      </c>
      <c r="N548" s="10">
        <f>'2026 Orders'!N547</f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C548" t="str">
        <f>IF(OR(B548="",B548=0),"",$AJ$2&amp;"/"&amp;J548)</f>
        <v/>
      </c>
      <c r="AD548" t="str">
        <f t="shared" si="8"/>
        <v/>
      </c>
    </row>
    <row r="549" spans="2:30" ht="33" hidden="1" customHeight="1" x14ac:dyDescent="0.3">
      <c r="B549" s="14">
        <f>'2026 Orders'!B548</f>
        <v>0</v>
      </c>
      <c r="C549" s="14">
        <f>'2026 Orders'!C548</f>
        <v>0</v>
      </c>
      <c r="D549" s="14">
        <v>0</v>
      </c>
      <c r="E549" s="17" t="str" cm="1">
        <f t="array" ref="E549">IF(C549=0,"",
HYPERLINK(
"#'2026 Orders'!C"&amp;
MATCH(1,
('2026 Orders'!C:C=C549)*
('2026 Orders'!G:G=G549)*
('2026 Orders'!N:N=N549),
0),
"Open "&amp;C549
))</f>
        <v/>
      </c>
      <c r="F549" s="14">
        <v>0</v>
      </c>
      <c r="G549" s="14">
        <f>'2026 Orders'!G548</f>
        <v>0</v>
      </c>
      <c r="H549" s="14" t="str">
        <f>'2026 Orders'!H548</f>
        <v/>
      </c>
      <c r="I549" s="15" t="str">
        <f>'2026 Orders'!I548</f>
        <v/>
      </c>
      <c r="J549" s="14">
        <f>'2026 Orders'!J548</f>
        <v>0</v>
      </c>
      <c r="K549">
        <v>0</v>
      </c>
      <c r="L549">
        <v>0</v>
      </c>
      <c r="N549" s="10">
        <f>'2026 Orders'!N548</f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C549" t="str">
        <f>IF(OR(B549="",B549=0),"",$AJ$2&amp;"/"&amp;J549)</f>
        <v/>
      </c>
      <c r="AD549" t="str">
        <f t="shared" si="8"/>
        <v/>
      </c>
    </row>
    <row r="550" spans="2:30" ht="33" hidden="1" customHeight="1" x14ac:dyDescent="0.3">
      <c r="B550" s="14">
        <f>'2026 Orders'!B549</f>
        <v>0</v>
      </c>
      <c r="C550" s="14">
        <f>'2026 Orders'!C549</f>
        <v>0</v>
      </c>
      <c r="D550" s="14">
        <v>0</v>
      </c>
      <c r="E550" s="17" t="str" cm="1">
        <f t="array" ref="E550">IF(C550=0,"",
HYPERLINK(
"#'2026 Orders'!C"&amp;
MATCH(1,
('2026 Orders'!C:C=C550)*
('2026 Orders'!G:G=G550)*
('2026 Orders'!N:N=N550),
0),
"Open "&amp;C550
))</f>
        <v/>
      </c>
      <c r="F550" s="14">
        <v>0</v>
      </c>
      <c r="G550" s="14">
        <f>'2026 Orders'!G549</f>
        <v>0</v>
      </c>
      <c r="H550" s="14" t="str">
        <f>'2026 Orders'!H549</f>
        <v/>
      </c>
      <c r="I550" s="15" t="str">
        <f>'2026 Orders'!I549</f>
        <v/>
      </c>
      <c r="J550" s="14">
        <f>'2026 Orders'!J549</f>
        <v>0</v>
      </c>
      <c r="K550">
        <v>0</v>
      </c>
      <c r="L550">
        <v>0</v>
      </c>
      <c r="N550" s="10">
        <f>'2026 Orders'!N549</f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C550" t="str">
        <f>IF(OR(B550="",B550=0),"",$AJ$2&amp;"/"&amp;J550)</f>
        <v/>
      </c>
      <c r="AD550" t="str">
        <f t="shared" si="8"/>
        <v/>
      </c>
    </row>
    <row r="551" spans="2:30" ht="33" hidden="1" customHeight="1" x14ac:dyDescent="0.3">
      <c r="B551" s="14">
        <f>'2026 Orders'!B550</f>
        <v>0</v>
      </c>
      <c r="C551" s="14">
        <f>'2026 Orders'!C550</f>
        <v>0</v>
      </c>
      <c r="D551" s="14">
        <v>0</v>
      </c>
      <c r="E551" s="17" t="str" cm="1">
        <f t="array" ref="E551">IF(C551=0,"",
HYPERLINK(
"#'2026 Orders'!C"&amp;
MATCH(1,
('2026 Orders'!C:C=C551)*
('2026 Orders'!G:G=G551)*
('2026 Orders'!N:N=N551),
0),
"Open "&amp;C551
))</f>
        <v/>
      </c>
      <c r="F551" s="14">
        <v>0</v>
      </c>
      <c r="G551" s="14">
        <f>'2026 Orders'!G550</f>
        <v>0</v>
      </c>
      <c r="H551" s="14" t="str">
        <f>'2026 Orders'!H550</f>
        <v/>
      </c>
      <c r="I551" s="15" t="str">
        <f>'2026 Orders'!I550</f>
        <v/>
      </c>
      <c r="J551" s="14">
        <f>'2026 Orders'!J550</f>
        <v>0</v>
      </c>
      <c r="K551">
        <v>0</v>
      </c>
      <c r="L551">
        <v>0</v>
      </c>
      <c r="N551" s="10">
        <f>'2026 Orders'!N550</f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C551" t="str">
        <f>IF(OR(B551="",B551=0),"",$AJ$2&amp;"/"&amp;J551)</f>
        <v/>
      </c>
      <c r="AD551" t="str">
        <f t="shared" si="8"/>
        <v/>
      </c>
    </row>
    <row r="552" spans="2:30" ht="33" hidden="1" customHeight="1" x14ac:dyDescent="0.3">
      <c r="B552" s="14">
        <f>'2026 Orders'!B551</f>
        <v>0</v>
      </c>
      <c r="C552" s="14">
        <f>'2026 Orders'!C551</f>
        <v>0</v>
      </c>
      <c r="D552" s="14">
        <v>0</v>
      </c>
      <c r="E552" s="17" t="str" cm="1">
        <f t="array" ref="E552">IF(C552=0,"",
HYPERLINK(
"#'2026 Orders'!C"&amp;
MATCH(1,
('2026 Orders'!C:C=C552)*
('2026 Orders'!G:G=G552)*
('2026 Orders'!N:N=N552),
0),
"Open "&amp;C552
))</f>
        <v/>
      </c>
      <c r="F552" s="14">
        <v>0</v>
      </c>
      <c r="G552" s="14">
        <f>'2026 Orders'!G551</f>
        <v>0</v>
      </c>
      <c r="H552" s="14" t="str">
        <f>'2026 Orders'!H551</f>
        <v/>
      </c>
      <c r="I552" s="15" t="str">
        <f>'2026 Orders'!I551</f>
        <v/>
      </c>
      <c r="J552" s="14">
        <f>'2026 Orders'!J551</f>
        <v>0</v>
      </c>
      <c r="K552">
        <v>0</v>
      </c>
      <c r="L552">
        <v>0</v>
      </c>
      <c r="N552" s="10">
        <f>'2026 Orders'!N551</f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C552" t="str">
        <f>IF(OR(B552="",B552=0),"",$AJ$2&amp;"/"&amp;J552)</f>
        <v/>
      </c>
      <c r="AD552" t="str">
        <f t="shared" si="8"/>
        <v/>
      </c>
    </row>
    <row r="553" spans="2:30" ht="33" hidden="1" customHeight="1" x14ac:dyDescent="0.3">
      <c r="B553" s="14">
        <f>'2026 Orders'!B552</f>
        <v>0</v>
      </c>
      <c r="C553" s="14">
        <f>'2026 Orders'!C552</f>
        <v>0</v>
      </c>
      <c r="D553" s="14">
        <v>0</v>
      </c>
      <c r="E553" s="17" t="str" cm="1">
        <f t="array" ref="E553">IF(C553=0,"",
HYPERLINK(
"#'2026 Orders'!C"&amp;
MATCH(1,
('2026 Orders'!C:C=C553)*
('2026 Orders'!G:G=G553)*
('2026 Orders'!N:N=N553),
0),
"Open "&amp;C553
))</f>
        <v/>
      </c>
      <c r="F553" s="14">
        <v>0</v>
      </c>
      <c r="G553" s="14">
        <f>'2026 Orders'!G552</f>
        <v>0</v>
      </c>
      <c r="H553" s="14" t="str">
        <f>'2026 Orders'!H552</f>
        <v/>
      </c>
      <c r="I553" s="15" t="str">
        <f>'2026 Orders'!I552</f>
        <v/>
      </c>
      <c r="J553" s="14">
        <f>'2026 Orders'!J552</f>
        <v>0</v>
      </c>
      <c r="K553">
        <v>0</v>
      </c>
      <c r="L553">
        <v>0</v>
      </c>
      <c r="N553" s="10">
        <f>'2026 Orders'!N552</f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C553" t="str">
        <f>IF(OR(B553="",B553=0),"",$AJ$2&amp;"/"&amp;J553)</f>
        <v/>
      </c>
      <c r="AD553" t="str">
        <f t="shared" si="8"/>
        <v/>
      </c>
    </row>
    <row r="554" spans="2:30" ht="33" hidden="1" customHeight="1" x14ac:dyDescent="0.3">
      <c r="B554" s="14">
        <f>'2026 Orders'!B553</f>
        <v>0</v>
      </c>
      <c r="C554" s="14">
        <f>'2026 Orders'!C553</f>
        <v>0</v>
      </c>
      <c r="D554" s="14">
        <v>0</v>
      </c>
      <c r="E554" s="17" t="str" cm="1">
        <f t="array" ref="E554">IF(C554=0,"",
HYPERLINK(
"#'2026 Orders'!C"&amp;
MATCH(1,
('2026 Orders'!C:C=C554)*
('2026 Orders'!G:G=G554)*
('2026 Orders'!N:N=N554),
0),
"Open "&amp;C554
))</f>
        <v/>
      </c>
      <c r="F554" s="14">
        <v>0</v>
      </c>
      <c r="G554" s="14">
        <f>'2026 Orders'!G553</f>
        <v>0</v>
      </c>
      <c r="H554" s="14" t="str">
        <f>'2026 Orders'!H553</f>
        <v/>
      </c>
      <c r="I554" s="15" t="str">
        <f>'2026 Orders'!I553</f>
        <v/>
      </c>
      <c r="J554" s="14">
        <f>'2026 Orders'!J553</f>
        <v>0</v>
      </c>
      <c r="K554">
        <v>0</v>
      </c>
      <c r="L554">
        <v>0</v>
      </c>
      <c r="N554" s="10">
        <f>'2026 Orders'!N553</f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C554" t="str">
        <f>IF(OR(B554="",B554=0),"",$AJ$2&amp;"/"&amp;J554)</f>
        <v/>
      </c>
      <c r="AD554" t="str">
        <f t="shared" si="8"/>
        <v/>
      </c>
    </row>
    <row r="555" spans="2:30" ht="33" hidden="1" customHeight="1" x14ac:dyDescent="0.3">
      <c r="B555" s="14">
        <f>'2026 Orders'!B554</f>
        <v>0</v>
      </c>
      <c r="C555" s="14">
        <f>'2026 Orders'!C554</f>
        <v>0</v>
      </c>
      <c r="D555" s="14">
        <v>0</v>
      </c>
      <c r="E555" s="17" t="str" cm="1">
        <f t="array" ref="E555">IF(C555=0,"",
HYPERLINK(
"#'2026 Orders'!C"&amp;
MATCH(1,
('2026 Orders'!C:C=C555)*
('2026 Orders'!G:G=G555)*
('2026 Orders'!N:N=N555),
0),
"Open "&amp;C555
))</f>
        <v/>
      </c>
      <c r="F555" s="14">
        <v>0</v>
      </c>
      <c r="G555" s="14">
        <f>'2026 Orders'!G554</f>
        <v>0</v>
      </c>
      <c r="H555" s="14" t="str">
        <f>'2026 Orders'!H554</f>
        <v/>
      </c>
      <c r="I555" s="15" t="str">
        <f>'2026 Orders'!I554</f>
        <v/>
      </c>
      <c r="J555" s="14">
        <f>'2026 Orders'!J554</f>
        <v>0</v>
      </c>
      <c r="K555">
        <v>0</v>
      </c>
      <c r="L555">
        <v>0</v>
      </c>
      <c r="N555" s="10">
        <f>'2026 Orders'!N554</f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C555" t="str">
        <f>IF(OR(B555="",B555=0),"",$AJ$2&amp;"/"&amp;J555)</f>
        <v/>
      </c>
      <c r="AD555" t="str">
        <f t="shared" si="8"/>
        <v/>
      </c>
    </row>
    <row r="556" spans="2:30" ht="33" hidden="1" customHeight="1" x14ac:dyDescent="0.3">
      <c r="B556" s="14">
        <f>'2026 Orders'!B555</f>
        <v>0</v>
      </c>
      <c r="C556" s="14">
        <f>'2026 Orders'!C555</f>
        <v>0</v>
      </c>
      <c r="D556" s="14">
        <v>0</v>
      </c>
      <c r="E556" s="17" t="str" cm="1">
        <f t="array" ref="E556">IF(C556=0,"",
HYPERLINK(
"#'2026 Orders'!C"&amp;
MATCH(1,
('2026 Orders'!C:C=C556)*
('2026 Orders'!G:G=G556)*
('2026 Orders'!N:N=N556),
0),
"Open "&amp;C556
))</f>
        <v/>
      </c>
      <c r="F556" s="14">
        <v>0</v>
      </c>
      <c r="G556" s="14">
        <f>'2026 Orders'!G555</f>
        <v>0</v>
      </c>
      <c r="H556" s="14" t="str">
        <f>'2026 Orders'!H555</f>
        <v/>
      </c>
      <c r="I556" s="15" t="str">
        <f>'2026 Orders'!I555</f>
        <v/>
      </c>
      <c r="J556" s="14">
        <f>'2026 Orders'!J555</f>
        <v>0</v>
      </c>
      <c r="K556">
        <v>0</v>
      </c>
      <c r="L556">
        <v>0</v>
      </c>
      <c r="N556" s="10">
        <f>'2026 Orders'!N555</f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C556" t="str">
        <f>IF(OR(B556="",B556=0),"",$AJ$2&amp;"/"&amp;J556)</f>
        <v/>
      </c>
      <c r="AD556" t="str">
        <f t="shared" si="8"/>
        <v/>
      </c>
    </row>
    <row r="557" spans="2:30" ht="33" hidden="1" customHeight="1" x14ac:dyDescent="0.3">
      <c r="B557" s="14">
        <f>'2026 Orders'!B556</f>
        <v>0</v>
      </c>
      <c r="C557" s="14">
        <f>'2026 Orders'!C556</f>
        <v>0</v>
      </c>
      <c r="D557" s="14">
        <v>0</v>
      </c>
      <c r="E557" s="17" t="str" cm="1">
        <f t="array" ref="E557">IF(C557=0,"",
HYPERLINK(
"#'2026 Orders'!C"&amp;
MATCH(1,
('2026 Orders'!C:C=C557)*
('2026 Orders'!G:G=G557)*
('2026 Orders'!N:N=N557),
0),
"Open "&amp;C557
))</f>
        <v/>
      </c>
      <c r="F557" s="14">
        <v>0</v>
      </c>
      <c r="G557" s="14">
        <f>'2026 Orders'!G556</f>
        <v>0</v>
      </c>
      <c r="H557" s="14" t="str">
        <f>'2026 Orders'!H556</f>
        <v/>
      </c>
      <c r="I557" s="15" t="str">
        <f>'2026 Orders'!I556</f>
        <v/>
      </c>
      <c r="J557" s="14">
        <f>'2026 Orders'!J556</f>
        <v>0</v>
      </c>
      <c r="K557">
        <v>0</v>
      </c>
      <c r="L557">
        <v>0</v>
      </c>
      <c r="N557" s="10">
        <f>'2026 Orders'!N556</f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C557" t="str">
        <f>IF(OR(B557="",B557=0),"",$AJ$2&amp;"/"&amp;J557)</f>
        <v/>
      </c>
      <c r="AD557" t="str">
        <f t="shared" si="8"/>
        <v/>
      </c>
    </row>
    <row r="558" spans="2:30" ht="33" hidden="1" customHeight="1" x14ac:dyDescent="0.3">
      <c r="B558" s="14">
        <f>'2026 Orders'!B557</f>
        <v>0</v>
      </c>
      <c r="C558" s="14">
        <f>'2026 Orders'!C557</f>
        <v>0</v>
      </c>
      <c r="D558" s="14">
        <v>0</v>
      </c>
      <c r="E558" s="17" t="str" cm="1">
        <f t="array" ref="E558">IF(C558=0,"",
HYPERLINK(
"#'2026 Orders'!C"&amp;
MATCH(1,
('2026 Orders'!C:C=C558)*
('2026 Orders'!G:G=G558)*
('2026 Orders'!N:N=N558),
0),
"Open "&amp;C558
))</f>
        <v/>
      </c>
      <c r="F558" s="14">
        <v>0</v>
      </c>
      <c r="G558" s="14">
        <f>'2026 Orders'!G557</f>
        <v>0</v>
      </c>
      <c r="H558" s="14" t="str">
        <f>'2026 Orders'!H557</f>
        <v/>
      </c>
      <c r="I558" s="15" t="str">
        <f>'2026 Orders'!I557</f>
        <v/>
      </c>
      <c r="J558" s="14">
        <f>'2026 Orders'!J557</f>
        <v>0</v>
      </c>
      <c r="K558">
        <v>0</v>
      </c>
      <c r="L558">
        <v>0</v>
      </c>
      <c r="N558" s="10">
        <f>'2026 Orders'!N557</f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C558" t="str">
        <f>IF(OR(B558="",B558=0),"",$AJ$2&amp;"/"&amp;J558)</f>
        <v/>
      </c>
      <c r="AD558" t="str">
        <f t="shared" si="8"/>
        <v/>
      </c>
    </row>
    <row r="559" spans="2:30" ht="33" hidden="1" customHeight="1" x14ac:dyDescent="0.3">
      <c r="B559" s="14">
        <f>'2026 Orders'!B558</f>
        <v>0</v>
      </c>
      <c r="C559" s="14">
        <f>'2026 Orders'!C558</f>
        <v>0</v>
      </c>
      <c r="D559" s="14">
        <v>0</v>
      </c>
      <c r="E559" s="17" t="str" cm="1">
        <f t="array" ref="E559">IF(C559=0,"",
HYPERLINK(
"#'2026 Orders'!C"&amp;
MATCH(1,
('2026 Orders'!C:C=C559)*
('2026 Orders'!G:G=G559)*
('2026 Orders'!N:N=N559),
0),
"Open "&amp;C559
))</f>
        <v/>
      </c>
      <c r="F559" s="14">
        <v>0</v>
      </c>
      <c r="G559" s="14">
        <f>'2026 Orders'!G558</f>
        <v>0</v>
      </c>
      <c r="H559" s="14" t="str">
        <f>'2026 Orders'!H558</f>
        <v/>
      </c>
      <c r="I559" s="15" t="str">
        <f>'2026 Orders'!I558</f>
        <v/>
      </c>
      <c r="J559" s="14">
        <f>'2026 Orders'!J558</f>
        <v>0</v>
      </c>
      <c r="K559">
        <v>0</v>
      </c>
      <c r="L559">
        <v>0</v>
      </c>
      <c r="N559" s="10">
        <f>'2026 Orders'!N558</f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C559" t="str">
        <f>IF(OR(B559="",B559=0),"",$AJ$2&amp;"/"&amp;J559)</f>
        <v/>
      </c>
      <c r="AD559" t="str">
        <f t="shared" si="8"/>
        <v/>
      </c>
    </row>
    <row r="560" spans="2:30" ht="33" hidden="1" customHeight="1" x14ac:dyDescent="0.3">
      <c r="B560" s="14">
        <f>'2026 Orders'!B559</f>
        <v>0</v>
      </c>
      <c r="C560" s="14">
        <f>'2026 Orders'!C559</f>
        <v>0</v>
      </c>
      <c r="D560" s="14">
        <v>0</v>
      </c>
      <c r="E560" s="17" t="str" cm="1">
        <f t="array" ref="E560">IF(C560=0,"",
HYPERLINK(
"#'2026 Orders'!C"&amp;
MATCH(1,
('2026 Orders'!C:C=C560)*
('2026 Orders'!G:G=G560)*
('2026 Orders'!N:N=N560),
0),
"Open "&amp;C560
))</f>
        <v/>
      </c>
      <c r="F560" s="14">
        <v>0</v>
      </c>
      <c r="G560" s="14">
        <f>'2026 Orders'!G559</f>
        <v>0</v>
      </c>
      <c r="H560" s="14" t="str">
        <f>'2026 Orders'!H559</f>
        <v/>
      </c>
      <c r="I560" s="15" t="str">
        <f>'2026 Orders'!I559</f>
        <v/>
      </c>
      <c r="J560" s="14">
        <f>'2026 Orders'!J559</f>
        <v>0</v>
      </c>
      <c r="K560">
        <v>0</v>
      </c>
      <c r="L560">
        <v>0</v>
      </c>
      <c r="N560" s="10">
        <f>'2026 Orders'!N559</f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C560" t="str">
        <f>IF(OR(B560="",B560=0),"",$AJ$2&amp;"/"&amp;J560)</f>
        <v/>
      </c>
      <c r="AD560" t="str">
        <f t="shared" si="8"/>
        <v/>
      </c>
    </row>
    <row r="561" spans="2:30" ht="33" hidden="1" customHeight="1" x14ac:dyDescent="0.3">
      <c r="B561" s="14">
        <f>'2026 Orders'!B560</f>
        <v>0</v>
      </c>
      <c r="C561" s="14">
        <f>'2026 Orders'!C560</f>
        <v>0</v>
      </c>
      <c r="D561" s="14">
        <v>0</v>
      </c>
      <c r="E561" s="17" t="str" cm="1">
        <f t="array" ref="E561">IF(C561=0,"",
HYPERLINK(
"#'2026 Orders'!C"&amp;
MATCH(1,
('2026 Orders'!C:C=C561)*
('2026 Orders'!G:G=G561)*
('2026 Orders'!N:N=N561),
0),
"Open "&amp;C561
))</f>
        <v/>
      </c>
      <c r="F561" s="14">
        <v>0</v>
      </c>
      <c r="G561" s="14">
        <f>'2026 Orders'!G560</f>
        <v>0</v>
      </c>
      <c r="H561" s="14" t="str">
        <f>'2026 Orders'!H560</f>
        <v/>
      </c>
      <c r="I561" s="15" t="str">
        <f>'2026 Orders'!I560</f>
        <v/>
      </c>
      <c r="J561" s="14">
        <f>'2026 Orders'!J560</f>
        <v>0</v>
      </c>
      <c r="K561">
        <v>0</v>
      </c>
      <c r="L561">
        <v>0</v>
      </c>
      <c r="N561" s="10">
        <f>'2026 Orders'!N560</f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C561" t="str">
        <f>IF(OR(B561="",B561=0),"",$AJ$2&amp;"/"&amp;J561)</f>
        <v/>
      </c>
      <c r="AD561" t="str">
        <f t="shared" si="8"/>
        <v/>
      </c>
    </row>
    <row r="562" spans="2:30" ht="33" hidden="1" customHeight="1" x14ac:dyDescent="0.3">
      <c r="B562" s="14">
        <f>'2026 Orders'!B561</f>
        <v>0</v>
      </c>
      <c r="C562" s="14">
        <f>'2026 Orders'!C561</f>
        <v>0</v>
      </c>
      <c r="D562" s="14">
        <v>0</v>
      </c>
      <c r="E562" s="17" t="str" cm="1">
        <f t="array" ref="E562">IF(C562=0,"",
HYPERLINK(
"#'2026 Orders'!C"&amp;
MATCH(1,
('2026 Orders'!C:C=C562)*
('2026 Orders'!G:G=G562)*
('2026 Orders'!N:N=N562),
0),
"Open "&amp;C562
))</f>
        <v/>
      </c>
      <c r="F562" s="14">
        <v>0</v>
      </c>
      <c r="G562" s="14">
        <f>'2026 Orders'!G561</f>
        <v>0</v>
      </c>
      <c r="H562" s="14" t="str">
        <f>'2026 Orders'!H561</f>
        <v/>
      </c>
      <c r="I562" s="15" t="str">
        <f>'2026 Orders'!I561</f>
        <v/>
      </c>
      <c r="J562" s="14">
        <f>'2026 Orders'!J561</f>
        <v>0</v>
      </c>
      <c r="K562">
        <v>0</v>
      </c>
      <c r="L562">
        <v>0</v>
      </c>
      <c r="N562" s="10">
        <f>'2026 Orders'!N561</f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C562" t="str">
        <f>IF(OR(B562="",B562=0),"",$AJ$2&amp;"/"&amp;J562)</f>
        <v/>
      </c>
      <c r="AD562" t="str">
        <f t="shared" si="8"/>
        <v/>
      </c>
    </row>
    <row r="563" spans="2:30" ht="33" hidden="1" customHeight="1" x14ac:dyDescent="0.3">
      <c r="B563" s="14">
        <f>'2026 Orders'!B562</f>
        <v>0</v>
      </c>
      <c r="C563" s="14">
        <f>'2026 Orders'!C562</f>
        <v>0</v>
      </c>
      <c r="D563" s="14">
        <v>0</v>
      </c>
      <c r="E563" s="17" t="str" cm="1">
        <f t="array" ref="E563">IF(C563=0,"",
HYPERLINK(
"#'2026 Orders'!C"&amp;
MATCH(1,
('2026 Orders'!C:C=C563)*
('2026 Orders'!G:G=G563)*
('2026 Orders'!N:N=N563),
0),
"Open "&amp;C563
))</f>
        <v/>
      </c>
      <c r="F563" s="14">
        <v>0</v>
      </c>
      <c r="G563" s="14">
        <f>'2026 Orders'!G562</f>
        <v>0</v>
      </c>
      <c r="H563" s="14" t="str">
        <f>'2026 Orders'!H562</f>
        <v/>
      </c>
      <c r="I563" s="15" t="str">
        <f>'2026 Orders'!I562</f>
        <v/>
      </c>
      <c r="J563" s="14">
        <f>'2026 Orders'!J562</f>
        <v>0</v>
      </c>
      <c r="K563">
        <v>0</v>
      </c>
      <c r="L563">
        <v>0</v>
      </c>
      <c r="N563" s="10">
        <f>'2026 Orders'!N562</f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C563" t="str">
        <f>IF(OR(B563="",B563=0),"",$AJ$2&amp;"/"&amp;J563)</f>
        <v/>
      </c>
      <c r="AD563" t="str">
        <f t="shared" si="8"/>
        <v/>
      </c>
    </row>
    <row r="564" spans="2:30" ht="33" hidden="1" customHeight="1" x14ac:dyDescent="0.3">
      <c r="B564" s="14">
        <f>'2026 Orders'!B563</f>
        <v>0</v>
      </c>
      <c r="C564" s="14">
        <f>'2026 Orders'!C563</f>
        <v>0</v>
      </c>
      <c r="D564" s="14">
        <v>0</v>
      </c>
      <c r="E564" s="17" t="str" cm="1">
        <f t="array" ref="E564">IF(C564=0,"",
HYPERLINK(
"#'2026 Orders'!C"&amp;
MATCH(1,
('2026 Orders'!C:C=C564)*
('2026 Orders'!G:G=G564)*
('2026 Orders'!N:N=N564),
0),
"Open "&amp;C564
))</f>
        <v/>
      </c>
      <c r="F564" s="14">
        <v>0</v>
      </c>
      <c r="G564" s="14">
        <f>'2026 Orders'!G563</f>
        <v>0</v>
      </c>
      <c r="H564" s="14" t="str">
        <f>'2026 Orders'!H563</f>
        <v/>
      </c>
      <c r="I564" s="15" t="str">
        <f>'2026 Orders'!I563</f>
        <v/>
      </c>
      <c r="J564" s="14">
        <f>'2026 Orders'!J563</f>
        <v>0</v>
      </c>
      <c r="K564">
        <v>0</v>
      </c>
      <c r="L564">
        <v>0</v>
      </c>
      <c r="N564" s="10">
        <f>'2026 Orders'!N563</f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C564" t="str">
        <f>IF(OR(B564="",B564=0),"",$AJ$2&amp;"/"&amp;J564)</f>
        <v/>
      </c>
      <c r="AD564" t="str">
        <f t="shared" si="8"/>
        <v/>
      </c>
    </row>
    <row r="565" spans="2:30" ht="33" hidden="1" customHeight="1" x14ac:dyDescent="0.3">
      <c r="B565" s="14">
        <f>'2026 Orders'!B564</f>
        <v>0</v>
      </c>
      <c r="C565" s="14">
        <f>'2026 Orders'!C564</f>
        <v>0</v>
      </c>
      <c r="D565" s="14">
        <v>0</v>
      </c>
      <c r="E565" s="17" t="str" cm="1">
        <f t="array" ref="E565">IF(C565=0,"",
HYPERLINK(
"#'2026 Orders'!C"&amp;
MATCH(1,
('2026 Orders'!C:C=C565)*
('2026 Orders'!G:G=G565)*
('2026 Orders'!N:N=N565),
0),
"Open "&amp;C565
))</f>
        <v/>
      </c>
      <c r="F565" s="14">
        <v>0</v>
      </c>
      <c r="G565" s="14">
        <f>'2026 Orders'!G564</f>
        <v>0</v>
      </c>
      <c r="H565" s="14" t="str">
        <f>'2026 Orders'!H564</f>
        <v/>
      </c>
      <c r="I565" s="15" t="str">
        <f>'2026 Orders'!I564</f>
        <v/>
      </c>
      <c r="J565" s="14">
        <f>'2026 Orders'!J564</f>
        <v>0</v>
      </c>
      <c r="K565">
        <v>0</v>
      </c>
      <c r="L565">
        <v>0</v>
      </c>
      <c r="N565" s="10">
        <f>'2026 Orders'!N564</f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C565" t="str">
        <f>IF(OR(B565="",B565=0),"",$AJ$2&amp;"/"&amp;J565)</f>
        <v/>
      </c>
      <c r="AD565" t="str">
        <f t="shared" si="8"/>
        <v/>
      </c>
    </row>
    <row r="566" spans="2:30" ht="33" hidden="1" customHeight="1" x14ac:dyDescent="0.3">
      <c r="B566" s="14">
        <f>'2026 Orders'!B565</f>
        <v>0</v>
      </c>
      <c r="C566" s="14">
        <f>'2026 Orders'!C565</f>
        <v>0</v>
      </c>
      <c r="D566" s="14">
        <v>0</v>
      </c>
      <c r="E566" s="17" t="str" cm="1">
        <f t="array" ref="E566">IF(C566=0,"",
HYPERLINK(
"#'2026 Orders'!C"&amp;
MATCH(1,
('2026 Orders'!C:C=C566)*
('2026 Orders'!G:G=G566)*
('2026 Orders'!N:N=N566),
0),
"Open "&amp;C566
))</f>
        <v/>
      </c>
      <c r="F566" s="14">
        <v>0</v>
      </c>
      <c r="G566" s="14">
        <f>'2026 Orders'!G565</f>
        <v>0</v>
      </c>
      <c r="H566" s="14" t="str">
        <f>'2026 Orders'!H565</f>
        <v/>
      </c>
      <c r="I566" s="15" t="str">
        <f>'2026 Orders'!I565</f>
        <v/>
      </c>
      <c r="J566" s="14">
        <f>'2026 Orders'!J565</f>
        <v>0</v>
      </c>
      <c r="K566">
        <v>0</v>
      </c>
      <c r="L566">
        <v>0</v>
      </c>
      <c r="N566" s="10">
        <f>'2026 Orders'!N565</f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C566" t="str">
        <f>IF(OR(B566="",B566=0),"",$AJ$2&amp;"/"&amp;J566)</f>
        <v/>
      </c>
      <c r="AD566" t="str">
        <f t="shared" si="8"/>
        <v/>
      </c>
    </row>
    <row r="567" spans="2:30" ht="33" hidden="1" customHeight="1" x14ac:dyDescent="0.3">
      <c r="B567" s="14">
        <f>'2026 Orders'!B566</f>
        <v>0</v>
      </c>
      <c r="C567" s="14">
        <f>'2026 Orders'!C566</f>
        <v>0</v>
      </c>
      <c r="D567" s="14">
        <v>0</v>
      </c>
      <c r="E567" s="17" t="str" cm="1">
        <f t="array" ref="E567">IF(C567=0,"",
HYPERLINK(
"#'2026 Orders'!C"&amp;
MATCH(1,
('2026 Orders'!C:C=C567)*
('2026 Orders'!G:G=G567)*
('2026 Orders'!N:N=N567),
0),
"Open "&amp;C567
))</f>
        <v/>
      </c>
      <c r="F567" s="14">
        <v>0</v>
      </c>
      <c r="G567" s="14">
        <f>'2026 Orders'!G566</f>
        <v>0</v>
      </c>
      <c r="H567" s="14" t="str">
        <f>'2026 Orders'!H566</f>
        <v/>
      </c>
      <c r="I567" s="15" t="str">
        <f>'2026 Orders'!I566</f>
        <v/>
      </c>
      <c r="J567" s="14">
        <f>'2026 Orders'!J566</f>
        <v>0</v>
      </c>
      <c r="K567">
        <v>0</v>
      </c>
      <c r="L567">
        <v>0</v>
      </c>
      <c r="N567" s="10">
        <f>'2026 Orders'!N566</f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C567" t="str">
        <f>IF(OR(B567="",B567=0),"",$AJ$2&amp;"/"&amp;J567)</f>
        <v/>
      </c>
      <c r="AD567" t="str">
        <f t="shared" si="8"/>
        <v/>
      </c>
    </row>
    <row r="568" spans="2:30" ht="33" hidden="1" customHeight="1" x14ac:dyDescent="0.3">
      <c r="B568" s="14">
        <f>'2026 Orders'!B567</f>
        <v>0</v>
      </c>
      <c r="C568" s="14">
        <f>'2026 Orders'!C567</f>
        <v>0</v>
      </c>
      <c r="D568" s="14">
        <v>0</v>
      </c>
      <c r="E568" s="17" t="str" cm="1">
        <f t="array" ref="E568">IF(C568=0,"",
HYPERLINK(
"#'2026 Orders'!C"&amp;
MATCH(1,
('2026 Orders'!C:C=C568)*
('2026 Orders'!G:G=G568)*
('2026 Orders'!N:N=N568),
0),
"Open "&amp;C568
))</f>
        <v/>
      </c>
      <c r="F568" s="14">
        <v>0</v>
      </c>
      <c r="G568" s="14">
        <f>'2026 Orders'!G567</f>
        <v>0</v>
      </c>
      <c r="H568" s="14" t="str">
        <f>'2026 Orders'!H567</f>
        <v/>
      </c>
      <c r="I568" s="15" t="str">
        <f>'2026 Orders'!I567</f>
        <v/>
      </c>
      <c r="J568" s="14">
        <f>'2026 Orders'!J567</f>
        <v>0</v>
      </c>
      <c r="K568">
        <v>0</v>
      </c>
      <c r="L568">
        <v>0</v>
      </c>
      <c r="N568" s="10">
        <f>'2026 Orders'!N567</f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C568" t="str">
        <f>IF(OR(B568="",B568=0),"",$AJ$2&amp;"/"&amp;J568)</f>
        <v/>
      </c>
      <c r="AD568" t="str">
        <f t="shared" si="8"/>
        <v/>
      </c>
    </row>
    <row r="569" spans="2:30" ht="33" hidden="1" customHeight="1" x14ac:dyDescent="0.3">
      <c r="B569" s="14">
        <f>'2026 Orders'!B568</f>
        <v>0</v>
      </c>
      <c r="C569" s="14">
        <f>'2026 Orders'!C568</f>
        <v>0</v>
      </c>
      <c r="D569" s="14">
        <v>0</v>
      </c>
      <c r="E569" s="17" t="str" cm="1">
        <f t="array" ref="E569">IF(C569=0,"",
HYPERLINK(
"#'2026 Orders'!C"&amp;
MATCH(1,
('2026 Orders'!C:C=C569)*
('2026 Orders'!G:G=G569)*
('2026 Orders'!N:N=N569),
0),
"Open "&amp;C569
))</f>
        <v/>
      </c>
      <c r="F569" s="14">
        <v>0</v>
      </c>
      <c r="G569" s="14">
        <f>'2026 Orders'!G568</f>
        <v>0</v>
      </c>
      <c r="H569" s="14" t="str">
        <f>'2026 Orders'!H568</f>
        <v/>
      </c>
      <c r="I569" s="15" t="str">
        <f>'2026 Orders'!I568</f>
        <v/>
      </c>
      <c r="J569" s="14">
        <f>'2026 Orders'!J568</f>
        <v>0</v>
      </c>
      <c r="K569">
        <v>0</v>
      </c>
      <c r="L569">
        <v>0</v>
      </c>
      <c r="N569" s="10">
        <f>'2026 Orders'!N568</f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C569" t="str">
        <f>IF(OR(B569="",B569=0),"",$AJ$2&amp;"/"&amp;J569)</f>
        <v/>
      </c>
      <c r="AD569" t="str">
        <f t="shared" si="8"/>
        <v/>
      </c>
    </row>
    <row r="570" spans="2:30" ht="33" hidden="1" customHeight="1" x14ac:dyDescent="0.3">
      <c r="B570" s="14">
        <f>'2026 Orders'!B569</f>
        <v>0</v>
      </c>
      <c r="C570" s="14">
        <f>'2026 Orders'!C569</f>
        <v>0</v>
      </c>
      <c r="D570" s="14">
        <v>0</v>
      </c>
      <c r="E570" s="17" t="str" cm="1">
        <f t="array" ref="E570">IF(C570=0,"",
HYPERLINK(
"#'2026 Orders'!C"&amp;
MATCH(1,
('2026 Orders'!C:C=C570)*
('2026 Orders'!G:G=G570)*
('2026 Orders'!N:N=N570),
0),
"Open "&amp;C570
))</f>
        <v/>
      </c>
      <c r="F570" s="14">
        <v>0</v>
      </c>
      <c r="G570" s="14">
        <f>'2026 Orders'!G569</f>
        <v>0</v>
      </c>
      <c r="H570" s="14" t="str">
        <f>'2026 Orders'!H569</f>
        <v/>
      </c>
      <c r="I570" s="15" t="str">
        <f>'2026 Orders'!I569</f>
        <v/>
      </c>
      <c r="J570" s="14">
        <f>'2026 Orders'!J569</f>
        <v>0</v>
      </c>
      <c r="K570">
        <v>0</v>
      </c>
      <c r="L570">
        <v>0</v>
      </c>
      <c r="N570" s="10">
        <f>'2026 Orders'!N569</f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C570" t="str">
        <f>IF(OR(B570="",B570=0),"",$AJ$2&amp;"/"&amp;J570)</f>
        <v/>
      </c>
      <c r="AD570" t="str">
        <f t="shared" si="8"/>
        <v/>
      </c>
    </row>
    <row r="571" spans="2:30" ht="33" hidden="1" customHeight="1" x14ac:dyDescent="0.3">
      <c r="B571" s="14">
        <f>'2026 Orders'!B570</f>
        <v>0</v>
      </c>
      <c r="C571" s="14">
        <f>'2026 Orders'!C570</f>
        <v>0</v>
      </c>
      <c r="D571" s="14">
        <v>0</v>
      </c>
      <c r="E571" s="17" t="str" cm="1">
        <f t="array" ref="E571">IF(C571=0,"",
HYPERLINK(
"#'2026 Orders'!C"&amp;
MATCH(1,
('2026 Orders'!C:C=C571)*
('2026 Orders'!G:G=G571)*
('2026 Orders'!N:N=N571),
0),
"Open "&amp;C571
))</f>
        <v/>
      </c>
      <c r="F571" s="14">
        <v>0</v>
      </c>
      <c r="G571" s="14">
        <f>'2026 Orders'!G570</f>
        <v>0</v>
      </c>
      <c r="H571" s="14" t="str">
        <f>'2026 Orders'!H570</f>
        <v/>
      </c>
      <c r="I571" s="15" t="str">
        <f>'2026 Orders'!I570</f>
        <v/>
      </c>
      <c r="J571" s="14">
        <f>'2026 Orders'!J570</f>
        <v>0</v>
      </c>
      <c r="K571">
        <v>0</v>
      </c>
      <c r="L571">
        <v>0</v>
      </c>
      <c r="N571" s="10">
        <f>'2026 Orders'!N570</f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C571" t="str">
        <f>IF(OR(B571="",B571=0),"",$AJ$2&amp;"/"&amp;J571)</f>
        <v/>
      </c>
      <c r="AD571" t="str">
        <f t="shared" si="8"/>
        <v/>
      </c>
    </row>
    <row r="572" spans="2:30" ht="33" hidden="1" customHeight="1" x14ac:dyDescent="0.3">
      <c r="B572" s="14">
        <f>'2026 Orders'!B571</f>
        <v>0</v>
      </c>
      <c r="C572" s="14">
        <f>'2026 Orders'!C571</f>
        <v>0</v>
      </c>
      <c r="D572" s="14">
        <v>0</v>
      </c>
      <c r="E572" s="17" t="str" cm="1">
        <f t="array" ref="E572">IF(C572=0,"",
HYPERLINK(
"#'2026 Orders'!C"&amp;
MATCH(1,
('2026 Orders'!C:C=C572)*
('2026 Orders'!G:G=G572)*
('2026 Orders'!N:N=N572),
0),
"Open "&amp;C572
))</f>
        <v/>
      </c>
      <c r="F572" s="14">
        <v>0</v>
      </c>
      <c r="G572" s="14">
        <f>'2026 Orders'!G571</f>
        <v>0</v>
      </c>
      <c r="H572" s="14" t="str">
        <f>'2026 Orders'!H571</f>
        <v/>
      </c>
      <c r="I572" s="15" t="str">
        <f>'2026 Orders'!I571</f>
        <v/>
      </c>
      <c r="J572" s="14">
        <f>'2026 Orders'!J571</f>
        <v>0</v>
      </c>
      <c r="K572">
        <v>0</v>
      </c>
      <c r="L572">
        <v>0</v>
      </c>
      <c r="N572" s="10">
        <f>'2026 Orders'!N571</f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C572" t="str">
        <f>IF(OR(B572="",B572=0),"",$AJ$2&amp;"/"&amp;J572)</f>
        <v/>
      </c>
      <c r="AD572" t="str">
        <f t="shared" si="8"/>
        <v/>
      </c>
    </row>
    <row r="573" spans="2:30" ht="33" hidden="1" customHeight="1" x14ac:dyDescent="0.3">
      <c r="B573" s="14">
        <f>'2026 Orders'!B572</f>
        <v>0</v>
      </c>
      <c r="C573" s="14">
        <f>'2026 Orders'!C572</f>
        <v>0</v>
      </c>
      <c r="D573" s="14">
        <v>0</v>
      </c>
      <c r="E573" s="17" t="str" cm="1">
        <f t="array" ref="E573">IF(C573=0,"",
HYPERLINK(
"#'2026 Orders'!C"&amp;
MATCH(1,
('2026 Orders'!C:C=C573)*
('2026 Orders'!G:G=G573)*
('2026 Orders'!N:N=N573),
0),
"Open "&amp;C573
))</f>
        <v/>
      </c>
      <c r="F573" s="14">
        <v>0</v>
      </c>
      <c r="G573" s="14">
        <f>'2026 Orders'!G572</f>
        <v>0</v>
      </c>
      <c r="H573" s="14" t="str">
        <f>'2026 Orders'!H572</f>
        <v/>
      </c>
      <c r="I573" s="15" t="str">
        <f>'2026 Orders'!I572</f>
        <v/>
      </c>
      <c r="J573" s="14">
        <f>'2026 Orders'!J572</f>
        <v>0</v>
      </c>
      <c r="K573">
        <v>0</v>
      </c>
      <c r="L573">
        <v>0</v>
      </c>
      <c r="N573" s="10">
        <f>'2026 Orders'!N572</f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C573" t="str">
        <f>IF(OR(B573="",B573=0),"",$AJ$2&amp;"/"&amp;J573)</f>
        <v/>
      </c>
      <c r="AD573" t="str">
        <f t="shared" si="8"/>
        <v/>
      </c>
    </row>
    <row r="574" spans="2:30" ht="33" hidden="1" customHeight="1" x14ac:dyDescent="0.3">
      <c r="B574" s="14">
        <f>'2026 Orders'!B573</f>
        <v>0</v>
      </c>
      <c r="C574" s="14">
        <f>'2026 Orders'!C573</f>
        <v>0</v>
      </c>
      <c r="D574" s="14">
        <v>0</v>
      </c>
      <c r="E574" s="17" t="str" cm="1">
        <f t="array" ref="E574">IF(C574=0,"",
HYPERLINK(
"#'2026 Orders'!C"&amp;
MATCH(1,
('2026 Orders'!C:C=C574)*
('2026 Orders'!G:G=G574)*
('2026 Orders'!N:N=N574),
0),
"Open "&amp;C574
))</f>
        <v/>
      </c>
      <c r="F574" s="14">
        <v>0</v>
      </c>
      <c r="G574" s="14">
        <f>'2026 Orders'!G573</f>
        <v>0</v>
      </c>
      <c r="H574" s="14" t="str">
        <f>'2026 Orders'!H573</f>
        <v/>
      </c>
      <c r="I574" s="15" t="str">
        <f>'2026 Orders'!I573</f>
        <v/>
      </c>
      <c r="J574" s="14">
        <f>'2026 Orders'!J573</f>
        <v>0</v>
      </c>
      <c r="K574">
        <v>0</v>
      </c>
      <c r="L574">
        <v>0</v>
      </c>
      <c r="N574" s="10">
        <f>'2026 Orders'!N573</f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C574" t="str">
        <f>IF(OR(B574="",B574=0),"",$AJ$2&amp;"/"&amp;J574)</f>
        <v/>
      </c>
      <c r="AD574" t="str">
        <f t="shared" si="8"/>
        <v/>
      </c>
    </row>
    <row r="575" spans="2:30" ht="33" hidden="1" customHeight="1" x14ac:dyDescent="0.3">
      <c r="B575" s="14">
        <f>'2026 Orders'!B574</f>
        <v>0</v>
      </c>
      <c r="C575" s="14">
        <f>'2026 Orders'!C574</f>
        <v>0</v>
      </c>
      <c r="D575" s="14">
        <v>0</v>
      </c>
      <c r="E575" s="17" t="str" cm="1">
        <f t="array" ref="E575">IF(C575=0,"",
HYPERLINK(
"#'2026 Orders'!C"&amp;
MATCH(1,
('2026 Orders'!C:C=C575)*
('2026 Orders'!G:G=G575)*
('2026 Orders'!N:N=N575),
0),
"Open "&amp;C575
))</f>
        <v/>
      </c>
      <c r="F575" s="14">
        <v>0</v>
      </c>
      <c r="G575" s="14">
        <f>'2026 Orders'!G574</f>
        <v>0</v>
      </c>
      <c r="H575" s="14" t="str">
        <f>'2026 Orders'!H574</f>
        <v/>
      </c>
      <c r="I575" s="15" t="str">
        <f>'2026 Orders'!I574</f>
        <v/>
      </c>
      <c r="J575" s="14">
        <f>'2026 Orders'!J574</f>
        <v>0</v>
      </c>
      <c r="K575">
        <v>0</v>
      </c>
      <c r="L575">
        <v>0</v>
      </c>
      <c r="N575" s="10">
        <f>'2026 Orders'!N574</f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C575" t="str">
        <f>IF(OR(B575="",B575=0),"",$AJ$2&amp;"/"&amp;J575)</f>
        <v/>
      </c>
      <c r="AD575" t="str">
        <f t="shared" si="8"/>
        <v/>
      </c>
    </row>
    <row r="576" spans="2:30" ht="33" hidden="1" customHeight="1" x14ac:dyDescent="0.3">
      <c r="B576" s="14">
        <f>'2026 Orders'!B575</f>
        <v>0</v>
      </c>
      <c r="C576" s="14">
        <f>'2026 Orders'!C575</f>
        <v>0</v>
      </c>
      <c r="D576" s="14">
        <v>0</v>
      </c>
      <c r="E576" s="17" t="str" cm="1">
        <f t="array" ref="E576">IF(C576=0,"",
HYPERLINK(
"#'2026 Orders'!C"&amp;
MATCH(1,
('2026 Orders'!C:C=C576)*
('2026 Orders'!G:G=G576)*
('2026 Orders'!N:N=N576),
0),
"Open "&amp;C576
))</f>
        <v/>
      </c>
      <c r="F576" s="14">
        <v>0</v>
      </c>
      <c r="G576" s="14">
        <f>'2026 Orders'!G575</f>
        <v>0</v>
      </c>
      <c r="H576" s="14" t="str">
        <f>'2026 Orders'!H575</f>
        <v/>
      </c>
      <c r="I576" s="15" t="str">
        <f>'2026 Orders'!I575</f>
        <v/>
      </c>
      <c r="J576" s="14">
        <f>'2026 Orders'!J575</f>
        <v>0</v>
      </c>
      <c r="K576">
        <v>0</v>
      </c>
      <c r="L576">
        <v>0</v>
      </c>
      <c r="N576" s="10">
        <f>'2026 Orders'!N575</f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C576" t="str">
        <f>IF(OR(B576="",B576=0),"",$AJ$2&amp;"/"&amp;J576)</f>
        <v/>
      </c>
      <c r="AD576" t="str">
        <f t="shared" si="8"/>
        <v/>
      </c>
    </row>
    <row r="577" spans="2:30" ht="33" hidden="1" customHeight="1" x14ac:dyDescent="0.3">
      <c r="B577" s="14">
        <f>'2026 Orders'!B576</f>
        <v>0</v>
      </c>
      <c r="C577" s="14">
        <f>'2026 Orders'!C576</f>
        <v>0</v>
      </c>
      <c r="D577" s="14">
        <v>0</v>
      </c>
      <c r="E577" s="17" t="str" cm="1">
        <f t="array" ref="E577">IF(C577=0,"",
HYPERLINK(
"#'2026 Orders'!C"&amp;
MATCH(1,
('2026 Orders'!C:C=C577)*
('2026 Orders'!G:G=G577)*
('2026 Orders'!N:N=N577),
0),
"Open "&amp;C577
))</f>
        <v/>
      </c>
      <c r="F577" s="14">
        <v>0</v>
      </c>
      <c r="G577" s="14">
        <f>'2026 Orders'!G576</f>
        <v>0</v>
      </c>
      <c r="H577" s="14" t="str">
        <f>'2026 Orders'!H576</f>
        <v/>
      </c>
      <c r="I577" s="15" t="str">
        <f>'2026 Orders'!I576</f>
        <v/>
      </c>
      <c r="J577" s="14">
        <f>'2026 Orders'!J576</f>
        <v>0</v>
      </c>
      <c r="K577">
        <v>0</v>
      </c>
      <c r="L577">
        <v>0</v>
      </c>
      <c r="N577" s="10">
        <f>'2026 Orders'!N576</f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C577" t="str">
        <f>IF(OR(B577="",B577=0),"",$AJ$2&amp;"/"&amp;J577)</f>
        <v/>
      </c>
      <c r="AD577" t="str">
        <f t="shared" si="8"/>
        <v/>
      </c>
    </row>
    <row r="578" spans="2:30" ht="33" hidden="1" customHeight="1" x14ac:dyDescent="0.3">
      <c r="B578" s="14">
        <f>'2026 Orders'!B577</f>
        <v>0</v>
      </c>
      <c r="C578" s="14">
        <f>'2026 Orders'!C577</f>
        <v>0</v>
      </c>
      <c r="D578" s="14">
        <v>0</v>
      </c>
      <c r="E578" s="17" t="str" cm="1">
        <f t="array" ref="E578">IF(C578=0,"",
HYPERLINK(
"#'2026 Orders'!C"&amp;
MATCH(1,
('2026 Orders'!C:C=C578)*
('2026 Orders'!G:G=G578)*
('2026 Orders'!N:N=N578),
0),
"Open "&amp;C578
))</f>
        <v/>
      </c>
      <c r="F578" s="14">
        <v>0</v>
      </c>
      <c r="G578" s="14">
        <f>'2026 Orders'!G577</f>
        <v>0</v>
      </c>
      <c r="H578" s="14" t="str">
        <f>'2026 Orders'!H577</f>
        <v/>
      </c>
      <c r="I578" s="15" t="str">
        <f>'2026 Orders'!I577</f>
        <v/>
      </c>
      <c r="J578" s="14">
        <f>'2026 Orders'!J577</f>
        <v>0</v>
      </c>
      <c r="K578">
        <v>0</v>
      </c>
      <c r="L578">
        <v>0</v>
      </c>
      <c r="N578" s="10">
        <f>'2026 Orders'!N577</f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C578" t="str">
        <f>IF(OR(B578="",B578=0),"",$AJ$2&amp;"/"&amp;J578)</f>
        <v/>
      </c>
      <c r="AD578" t="str">
        <f t="shared" si="8"/>
        <v/>
      </c>
    </row>
    <row r="579" spans="2:30" ht="33" hidden="1" customHeight="1" x14ac:dyDescent="0.3">
      <c r="B579" s="14">
        <f>'2026 Orders'!B578</f>
        <v>0</v>
      </c>
      <c r="C579" s="14">
        <f>'2026 Orders'!C578</f>
        <v>0</v>
      </c>
      <c r="D579" s="14">
        <v>0</v>
      </c>
      <c r="E579" s="17" t="str" cm="1">
        <f t="array" ref="E579">IF(C579=0,"",
HYPERLINK(
"#'2026 Orders'!C"&amp;
MATCH(1,
('2026 Orders'!C:C=C579)*
('2026 Orders'!G:G=G579)*
('2026 Orders'!N:N=N579),
0),
"Open "&amp;C579
))</f>
        <v/>
      </c>
      <c r="F579" s="14">
        <v>0</v>
      </c>
      <c r="G579" s="14">
        <f>'2026 Orders'!G578</f>
        <v>0</v>
      </c>
      <c r="H579" s="14" t="str">
        <f>'2026 Orders'!H578</f>
        <v/>
      </c>
      <c r="I579" s="15" t="str">
        <f>'2026 Orders'!I578</f>
        <v/>
      </c>
      <c r="J579" s="14">
        <f>'2026 Orders'!J578</f>
        <v>0</v>
      </c>
      <c r="K579">
        <v>0</v>
      </c>
      <c r="L579">
        <v>0</v>
      </c>
      <c r="N579" s="10">
        <f>'2026 Orders'!N578</f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C579" t="str">
        <f>IF(OR(B579="",B579=0),"",$AJ$2&amp;"/"&amp;J579)</f>
        <v/>
      </c>
      <c r="AD579" t="str">
        <f t="shared" ref="AD579:AD642" si="9">IF(OR(J579="",J579=0),"",$AK$2&amp;" -&gt; "&amp;I579)</f>
        <v/>
      </c>
    </row>
    <row r="580" spans="2:30" ht="33" hidden="1" customHeight="1" x14ac:dyDescent="0.3">
      <c r="B580" s="14">
        <f>'2026 Orders'!B579</f>
        <v>0</v>
      </c>
      <c r="C580" s="14">
        <f>'2026 Orders'!C579</f>
        <v>0</v>
      </c>
      <c r="D580" s="14">
        <v>0</v>
      </c>
      <c r="E580" s="17" t="str" cm="1">
        <f t="array" ref="E580">IF(C580=0,"",
HYPERLINK(
"#'2026 Orders'!C"&amp;
MATCH(1,
('2026 Orders'!C:C=C580)*
('2026 Orders'!G:G=G580)*
('2026 Orders'!N:N=N580),
0),
"Open "&amp;C580
))</f>
        <v/>
      </c>
      <c r="F580" s="14">
        <v>0</v>
      </c>
      <c r="G580" s="14">
        <f>'2026 Orders'!G579</f>
        <v>0</v>
      </c>
      <c r="H580" s="14" t="str">
        <f>'2026 Orders'!H579</f>
        <v/>
      </c>
      <c r="I580" s="15" t="str">
        <f>'2026 Orders'!I579</f>
        <v/>
      </c>
      <c r="J580" s="14">
        <f>'2026 Orders'!J579</f>
        <v>0</v>
      </c>
      <c r="K580">
        <v>0</v>
      </c>
      <c r="L580">
        <v>0</v>
      </c>
      <c r="N580" s="10">
        <f>'2026 Orders'!N579</f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C580" t="str">
        <f>IF(OR(B580="",B580=0),"",$AJ$2&amp;"/"&amp;J580)</f>
        <v/>
      </c>
      <c r="AD580" t="str">
        <f t="shared" si="9"/>
        <v/>
      </c>
    </row>
    <row r="581" spans="2:30" ht="33" hidden="1" customHeight="1" x14ac:dyDescent="0.3">
      <c r="B581" s="14">
        <f>'2026 Orders'!B580</f>
        <v>0</v>
      </c>
      <c r="C581" s="14">
        <f>'2026 Orders'!C580</f>
        <v>0</v>
      </c>
      <c r="D581" s="14">
        <v>0</v>
      </c>
      <c r="E581" s="17" t="str" cm="1">
        <f t="array" ref="E581">IF(C581=0,"",
HYPERLINK(
"#'2026 Orders'!C"&amp;
MATCH(1,
('2026 Orders'!C:C=C581)*
('2026 Orders'!G:G=G581)*
('2026 Orders'!N:N=N581),
0),
"Open "&amp;C581
))</f>
        <v/>
      </c>
      <c r="F581" s="14">
        <v>0</v>
      </c>
      <c r="G581" s="14">
        <f>'2026 Orders'!G580</f>
        <v>0</v>
      </c>
      <c r="H581" s="14" t="str">
        <f>'2026 Orders'!H580</f>
        <v/>
      </c>
      <c r="I581" s="15" t="str">
        <f>'2026 Orders'!I580</f>
        <v/>
      </c>
      <c r="J581" s="14">
        <f>'2026 Orders'!J580</f>
        <v>0</v>
      </c>
      <c r="K581">
        <v>0</v>
      </c>
      <c r="L581">
        <v>0</v>
      </c>
      <c r="N581" s="10">
        <f>'2026 Orders'!N580</f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C581" t="str">
        <f>IF(OR(B581="",B581=0),"",$AJ$2&amp;"/"&amp;J581)</f>
        <v/>
      </c>
      <c r="AD581" t="str">
        <f t="shared" si="9"/>
        <v/>
      </c>
    </row>
    <row r="582" spans="2:30" ht="33" hidden="1" customHeight="1" x14ac:dyDescent="0.3">
      <c r="B582" s="14">
        <f>'2026 Orders'!B581</f>
        <v>0</v>
      </c>
      <c r="C582" s="14">
        <f>'2026 Orders'!C581</f>
        <v>0</v>
      </c>
      <c r="D582" s="14">
        <v>0</v>
      </c>
      <c r="E582" s="17" t="str" cm="1">
        <f t="array" ref="E582">IF(C582=0,"",
HYPERLINK(
"#'2026 Orders'!C"&amp;
MATCH(1,
('2026 Orders'!C:C=C582)*
('2026 Orders'!G:G=G582)*
('2026 Orders'!N:N=N582),
0),
"Open "&amp;C582
))</f>
        <v/>
      </c>
      <c r="F582" s="14">
        <v>0</v>
      </c>
      <c r="G582" s="14">
        <f>'2026 Orders'!G581</f>
        <v>0</v>
      </c>
      <c r="H582" s="14" t="str">
        <f>'2026 Orders'!H581</f>
        <v/>
      </c>
      <c r="I582" s="15" t="str">
        <f>'2026 Orders'!I581</f>
        <v/>
      </c>
      <c r="J582" s="14">
        <f>'2026 Orders'!J581</f>
        <v>0</v>
      </c>
      <c r="K582">
        <v>0</v>
      </c>
      <c r="L582">
        <v>0</v>
      </c>
      <c r="N582" s="10">
        <f>'2026 Orders'!N581</f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C582" t="str">
        <f>IF(OR(B582="",B582=0),"",$AJ$2&amp;"/"&amp;J582)</f>
        <v/>
      </c>
      <c r="AD582" t="str">
        <f t="shared" si="9"/>
        <v/>
      </c>
    </row>
    <row r="583" spans="2:30" ht="33" hidden="1" customHeight="1" x14ac:dyDescent="0.3">
      <c r="B583" s="14">
        <f>'2026 Orders'!B582</f>
        <v>0</v>
      </c>
      <c r="C583" s="14">
        <f>'2026 Orders'!C582</f>
        <v>0</v>
      </c>
      <c r="D583" s="14">
        <v>0</v>
      </c>
      <c r="E583" s="17" t="str" cm="1">
        <f t="array" ref="E583">IF(C583=0,"",
HYPERLINK(
"#'2026 Orders'!C"&amp;
MATCH(1,
('2026 Orders'!C:C=C583)*
('2026 Orders'!G:G=G583)*
('2026 Orders'!N:N=N583),
0),
"Open "&amp;C583
))</f>
        <v/>
      </c>
      <c r="F583" s="14">
        <v>0</v>
      </c>
      <c r="G583" s="14">
        <f>'2026 Orders'!G582</f>
        <v>0</v>
      </c>
      <c r="H583" s="14" t="str">
        <f>'2026 Orders'!H582</f>
        <v/>
      </c>
      <c r="I583" s="15" t="str">
        <f>'2026 Orders'!I582</f>
        <v/>
      </c>
      <c r="J583" s="14">
        <f>'2026 Orders'!J582</f>
        <v>0</v>
      </c>
      <c r="K583">
        <v>0</v>
      </c>
      <c r="L583">
        <v>0</v>
      </c>
      <c r="N583" s="10">
        <f>'2026 Orders'!N582</f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C583" t="str">
        <f>IF(OR(B583="",B583=0),"",$AJ$2&amp;"/"&amp;J583)</f>
        <v/>
      </c>
      <c r="AD583" t="str">
        <f t="shared" si="9"/>
        <v/>
      </c>
    </row>
    <row r="584" spans="2:30" ht="33" hidden="1" customHeight="1" x14ac:dyDescent="0.3">
      <c r="B584" s="14">
        <f>'2026 Orders'!B583</f>
        <v>0</v>
      </c>
      <c r="C584" s="14">
        <f>'2026 Orders'!C583</f>
        <v>0</v>
      </c>
      <c r="D584" s="14">
        <v>0</v>
      </c>
      <c r="E584" s="17" t="str" cm="1">
        <f t="array" ref="E584">IF(C584=0,"",
HYPERLINK(
"#'2026 Orders'!C"&amp;
MATCH(1,
('2026 Orders'!C:C=C584)*
('2026 Orders'!G:G=G584)*
('2026 Orders'!N:N=N584),
0),
"Open "&amp;C584
))</f>
        <v/>
      </c>
      <c r="F584" s="14">
        <v>0</v>
      </c>
      <c r="G584" s="14">
        <f>'2026 Orders'!G583</f>
        <v>0</v>
      </c>
      <c r="H584" s="14" t="str">
        <f>'2026 Orders'!H583</f>
        <v/>
      </c>
      <c r="I584" s="15" t="str">
        <f>'2026 Orders'!I583</f>
        <v/>
      </c>
      <c r="J584" s="14">
        <f>'2026 Orders'!J583</f>
        <v>0</v>
      </c>
      <c r="K584">
        <v>0</v>
      </c>
      <c r="L584">
        <v>0</v>
      </c>
      <c r="N584" s="10">
        <f>'2026 Orders'!N583</f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C584" t="str">
        <f>IF(OR(B584="",B584=0),"",$AJ$2&amp;"/"&amp;J584)</f>
        <v/>
      </c>
      <c r="AD584" t="str">
        <f t="shared" si="9"/>
        <v/>
      </c>
    </row>
    <row r="585" spans="2:30" ht="33" hidden="1" customHeight="1" x14ac:dyDescent="0.3">
      <c r="B585" s="14">
        <f>'2026 Orders'!B584</f>
        <v>0</v>
      </c>
      <c r="C585" s="14">
        <f>'2026 Orders'!C584</f>
        <v>0</v>
      </c>
      <c r="D585" s="14">
        <v>0</v>
      </c>
      <c r="E585" s="17" t="str" cm="1">
        <f t="array" ref="E585">IF(C585=0,"",
HYPERLINK(
"#'2026 Orders'!C"&amp;
MATCH(1,
('2026 Orders'!C:C=C585)*
('2026 Orders'!G:G=G585)*
('2026 Orders'!N:N=N585),
0),
"Open "&amp;C585
))</f>
        <v/>
      </c>
      <c r="F585" s="14">
        <v>0</v>
      </c>
      <c r="G585" s="14">
        <f>'2026 Orders'!G584</f>
        <v>0</v>
      </c>
      <c r="H585" s="14" t="str">
        <f>'2026 Orders'!H584</f>
        <v/>
      </c>
      <c r="I585" s="15" t="str">
        <f>'2026 Orders'!I584</f>
        <v/>
      </c>
      <c r="J585" s="14">
        <f>'2026 Orders'!J584</f>
        <v>0</v>
      </c>
      <c r="K585">
        <v>0</v>
      </c>
      <c r="L585">
        <v>0</v>
      </c>
      <c r="N585" s="10">
        <f>'2026 Orders'!N584</f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C585" t="str">
        <f>IF(OR(B585="",B585=0),"",$AJ$2&amp;"/"&amp;J585)</f>
        <v/>
      </c>
      <c r="AD585" t="str">
        <f t="shared" si="9"/>
        <v/>
      </c>
    </row>
    <row r="586" spans="2:30" ht="33" hidden="1" customHeight="1" x14ac:dyDescent="0.3">
      <c r="B586" s="14">
        <f>'2026 Orders'!B585</f>
        <v>0</v>
      </c>
      <c r="C586" s="14">
        <f>'2026 Orders'!C585</f>
        <v>0</v>
      </c>
      <c r="D586" s="14">
        <v>0</v>
      </c>
      <c r="E586" s="17" t="str" cm="1">
        <f t="array" ref="E586">IF(C586=0,"",
HYPERLINK(
"#'2026 Orders'!C"&amp;
MATCH(1,
('2026 Orders'!C:C=C586)*
('2026 Orders'!G:G=G586)*
('2026 Orders'!N:N=N586),
0),
"Open "&amp;C586
))</f>
        <v/>
      </c>
      <c r="F586" s="14">
        <v>0</v>
      </c>
      <c r="G586" s="14">
        <f>'2026 Orders'!G585</f>
        <v>0</v>
      </c>
      <c r="H586" s="14" t="str">
        <f>'2026 Orders'!H585</f>
        <v/>
      </c>
      <c r="I586" s="15" t="str">
        <f>'2026 Orders'!I585</f>
        <v/>
      </c>
      <c r="J586" s="14">
        <f>'2026 Orders'!J585</f>
        <v>0</v>
      </c>
      <c r="K586">
        <v>0</v>
      </c>
      <c r="L586">
        <v>0</v>
      </c>
      <c r="N586" s="10">
        <f>'2026 Orders'!N585</f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C586" t="str">
        <f>IF(OR(B586="",B586=0),"",$AJ$2&amp;"/"&amp;J586)</f>
        <v/>
      </c>
      <c r="AD586" t="str">
        <f t="shared" si="9"/>
        <v/>
      </c>
    </row>
    <row r="587" spans="2:30" ht="33" hidden="1" customHeight="1" x14ac:dyDescent="0.3">
      <c r="B587" s="14">
        <f>'2026 Orders'!B586</f>
        <v>0</v>
      </c>
      <c r="C587" s="14">
        <f>'2026 Orders'!C586</f>
        <v>0</v>
      </c>
      <c r="D587" s="14">
        <v>0</v>
      </c>
      <c r="E587" s="17" t="str" cm="1">
        <f t="array" ref="E587">IF(C587=0,"",
HYPERLINK(
"#'2026 Orders'!C"&amp;
MATCH(1,
('2026 Orders'!C:C=C587)*
('2026 Orders'!G:G=G587)*
('2026 Orders'!N:N=N587),
0),
"Open "&amp;C587
))</f>
        <v/>
      </c>
      <c r="F587" s="14">
        <v>0</v>
      </c>
      <c r="G587" s="14">
        <f>'2026 Orders'!G586</f>
        <v>0</v>
      </c>
      <c r="H587" s="14" t="str">
        <f>'2026 Orders'!H586</f>
        <v/>
      </c>
      <c r="I587" s="15" t="str">
        <f>'2026 Orders'!I586</f>
        <v/>
      </c>
      <c r="J587" s="14">
        <f>'2026 Orders'!J586</f>
        <v>0</v>
      </c>
      <c r="K587">
        <v>0</v>
      </c>
      <c r="L587">
        <v>0</v>
      </c>
      <c r="N587" s="10">
        <f>'2026 Orders'!N586</f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C587" t="str">
        <f>IF(OR(B587="",B587=0),"",$AJ$2&amp;"/"&amp;J587)</f>
        <v/>
      </c>
      <c r="AD587" t="str">
        <f t="shared" si="9"/>
        <v/>
      </c>
    </row>
    <row r="588" spans="2:30" ht="33" hidden="1" customHeight="1" x14ac:dyDescent="0.3">
      <c r="B588" s="14">
        <f>'2026 Orders'!B587</f>
        <v>0</v>
      </c>
      <c r="C588" s="14">
        <f>'2026 Orders'!C587</f>
        <v>0</v>
      </c>
      <c r="D588" s="14">
        <v>0</v>
      </c>
      <c r="E588" s="17" t="str" cm="1">
        <f t="array" ref="E588">IF(C588=0,"",
HYPERLINK(
"#'2026 Orders'!C"&amp;
MATCH(1,
('2026 Orders'!C:C=C588)*
('2026 Orders'!G:G=G588)*
('2026 Orders'!N:N=N588),
0),
"Open "&amp;C588
))</f>
        <v/>
      </c>
      <c r="F588" s="14">
        <v>0</v>
      </c>
      <c r="G588" s="14">
        <f>'2026 Orders'!G587</f>
        <v>0</v>
      </c>
      <c r="H588" s="14" t="str">
        <f>'2026 Orders'!H587</f>
        <v/>
      </c>
      <c r="I588" s="15" t="str">
        <f>'2026 Orders'!I587</f>
        <v/>
      </c>
      <c r="J588" s="14">
        <f>'2026 Orders'!J587</f>
        <v>0</v>
      </c>
      <c r="K588">
        <v>0</v>
      </c>
      <c r="L588">
        <v>0</v>
      </c>
      <c r="N588" s="10">
        <f>'2026 Orders'!N587</f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C588" t="str">
        <f>IF(OR(B588="",B588=0),"",$AJ$2&amp;"/"&amp;J588)</f>
        <v/>
      </c>
      <c r="AD588" t="str">
        <f t="shared" si="9"/>
        <v/>
      </c>
    </row>
    <row r="589" spans="2:30" ht="33" hidden="1" customHeight="1" x14ac:dyDescent="0.3">
      <c r="B589" s="14">
        <f>'2026 Orders'!B588</f>
        <v>0</v>
      </c>
      <c r="C589" s="14">
        <f>'2026 Orders'!C588</f>
        <v>0</v>
      </c>
      <c r="D589" s="14">
        <v>0</v>
      </c>
      <c r="E589" s="17" t="str" cm="1">
        <f t="array" ref="E589">IF(C589=0,"",
HYPERLINK(
"#'2026 Orders'!C"&amp;
MATCH(1,
('2026 Orders'!C:C=C589)*
('2026 Orders'!G:G=G589)*
('2026 Orders'!N:N=N589),
0),
"Open "&amp;C589
))</f>
        <v/>
      </c>
      <c r="F589" s="14">
        <v>0</v>
      </c>
      <c r="G589" s="14">
        <f>'2026 Orders'!G588</f>
        <v>0</v>
      </c>
      <c r="H589" s="14" t="str">
        <f>'2026 Orders'!H588</f>
        <v/>
      </c>
      <c r="I589" s="15" t="str">
        <f>'2026 Orders'!I588</f>
        <v/>
      </c>
      <c r="J589" s="14">
        <f>'2026 Orders'!J588</f>
        <v>0</v>
      </c>
      <c r="K589">
        <v>0</v>
      </c>
      <c r="L589">
        <v>0</v>
      </c>
      <c r="N589" s="10">
        <f>'2026 Orders'!N588</f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C589" t="str">
        <f>IF(OR(B589="",B589=0),"",$AJ$2&amp;"/"&amp;J589)</f>
        <v/>
      </c>
      <c r="AD589" t="str">
        <f t="shared" si="9"/>
        <v/>
      </c>
    </row>
    <row r="590" spans="2:30" ht="33" hidden="1" customHeight="1" x14ac:dyDescent="0.3">
      <c r="B590" s="14">
        <f>'2026 Orders'!B589</f>
        <v>0</v>
      </c>
      <c r="C590" s="14">
        <f>'2026 Orders'!C589</f>
        <v>0</v>
      </c>
      <c r="D590" s="14">
        <v>0</v>
      </c>
      <c r="E590" s="17" t="str" cm="1">
        <f t="array" ref="E590">IF(C590=0,"",
HYPERLINK(
"#'2026 Orders'!C"&amp;
MATCH(1,
('2026 Orders'!C:C=C590)*
('2026 Orders'!G:G=G590)*
('2026 Orders'!N:N=N590),
0),
"Open "&amp;C590
))</f>
        <v/>
      </c>
      <c r="F590" s="14">
        <v>0</v>
      </c>
      <c r="G590" s="14">
        <f>'2026 Orders'!G589</f>
        <v>0</v>
      </c>
      <c r="H590" s="14" t="str">
        <f>'2026 Orders'!H589</f>
        <v/>
      </c>
      <c r="I590" s="15" t="str">
        <f>'2026 Orders'!I589</f>
        <v/>
      </c>
      <c r="J590" s="14">
        <f>'2026 Orders'!J589</f>
        <v>0</v>
      </c>
      <c r="K590">
        <v>0</v>
      </c>
      <c r="L590">
        <v>0</v>
      </c>
      <c r="N590" s="10">
        <f>'2026 Orders'!N589</f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C590" t="str">
        <f>IF(OR(B590="",B590=0),"",$AJ$2&amp;"/"&amp;J590)</f>
        <v/>
      </c>
      <c r="AD590" t="str">
        <f t="shared" si="9"/>
        <v/>
      </c>
    </row>
    <row r="591" spans="2:30" ht="33" hidden="1" customHeight="1" x14ac:dyDescent="0.3">
      <c r="B591" s="14">
        <f>'2026 Orders'!B590</f>
        <v>0</v>
      </c>
      <c r="C591" s="14">
        <f>'2026 Orders'!C590</f>
        <v>0</v>
      </c>
      <c r="D591" s="14">
        <v>0</v>
      </c>
      <c r="E591" s="17" t="str" cm="1">
        <f t="array" ref="E591">IF(C591=0,"",
HYPERLINK(
"#'2026 Orders'!C"&amp;
MATCH(1,
('2026 Orders'!C:C=C591)*
('2026 Orders'!G:G=G591)*
('2026 Orders'!N:N=N591),
0),
"Open "&amp;C591
))</f>
        <v/>
      </c>
      <c r="F591" s="14">
        <v>0</v>
      </c>
      <c r="G591" s="14">
        <f>'2026 Orders'!G590</f>
        <v>0</v>
      </c>
      <c r="H591" s="14" t="str">
        <f>'2026 Orders'!H590</f>
        <v/>
      </c>
      <c r="I591" s="15" t="str">
        <f>'2026 Orders'!I590</f>
        <v/>
      </c>
      <c r="J591" s="14">
        <f>'2026 Orders'!J590</f>
        <v>0</v>
      </c>
      <c r="K591">
        <v>0</v>
      </c>
      <c r="L591">
        <v>0</v>
      </c>
      <c r="N591" s="10">
        <f>'2026 Orders'!N590</f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C591" t="str">
        <f>IF(OR(B591="",B591=0),"",$AJ$2&amp;"/"&amp;J591)</f>
        <v/>
      </c>
      <c r="AD591" t="str">
        <f t="shared" si="9"/>
        <v/>
      </c>
    </row>
    <row r="592" spans="2:30" ht="33" hidden="1" customHeight="1" x14ac:dyDescent="0.3">
      <c r="B592" s="14">
        <f>'2026 Orders'!B591</f>
        <v>0</v>
      </c>
      <c r="C592" s="14">
        <f>'2026 Orders'!C591</f>
        <v>0</v>
      </c>
      <c r="D592" s="14">
        <v>0</v>
      </c>
      <c r="E592" s="17" t="str" cm="1">
        <f t="array" ref="E592">IF(C592=0,"",
HYPERLINK(
"#'2026 Orders'!C"&amp;
MATCH(1,
('2026 Orders'!C:C=C592)*
('2026 Orders'!G:G=G592)*
('2026 Orders'!N:N=N592),
0),
"Open "&amp;C592
))</f>
        <v/>
      </c>
      <c r="F592" s="14">
        <v>0</v>
      </c>
      <c r="G592" s="14">
        <f>'2026 Orders'!G591</f>
        <v>0</v>
      </c>
      <c r="H592" s="14" t="str">
        <f>'2026 Orders'!H591</f>
        <v/>
      </c>
      <c r="I592" s="15" t="str">
        <f>'2026 Orders'!I591</f>
        <v/>
      </c>
      <c r="J592" s="14">
        <f>'2026 Orders'!J591</f>
        <v>0</v>
      </c>
      <c r="K592">
        <v>0</v>
      </c>
      <c r="L592">
        <v>0</v>
      </c>
      <c r="N592" s="10">
        <f>'2026 Orders'!N591</f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C592" t="str">
        <f>IF(OR(B592="",B592=0),"",$AJ$2&amp;"/"&amp;J592)</f>
        <v/>
      </c>
      <c r="AD592" t="str">
        <f t="shared" si="9"/>
        <v/>
      </c>
    </row>
    <row r="593" spans="2:30" ht="33" hidden="1" customHeight="1" x14ac:dyDescent="0.3">
      <c r="B593" s="14">
        <f>'2026 Orders'!B592</f>
        <v>0</v>
      </c>
      <c r="C593" s="14">
        <f>'2026 Orders'!C592</f>
        <v>0</v>
      </c>
      <c r="D593" s="14">
        <v>0</v>
      </c>
      <c r="E593" s="17" t="str" cm="1">
        <f t="array" ref="E593">IF(C593=0,"",
HYPERLINK(
"#'2026 Orders'!C"&amp;
MATCH(1,
('2026 Orders'!C:C=C593)*
('2026 Orders'!G:G=G593)*
('2026 Orders'!N:N=N593),
0),
"Open "&amp;C593
))</f>
        <v/>
      </c>
      <c r="F593" s="14">
        <v>0</v>
      </c>
      <c r="G593" s="14">
        <f>'2026 Orders'!G592</f>
        <v>0</v>
      </c>
      <c r="H593" s="14" t="str">
        <f>'2026 Orders'!H592</f>
        <v/>
      </c>
      <c r="I593" s="15" t="str">
        <f>'2026 Orders'!I592</f>
        <v/>
      </c>
      <c r="J593" s="14">
        <f>'2026 Orders'!J592</f>
        <v>0</v>
      </c>
      <c r="K593">
        <v>0</v>
      </c>
      <c r="L593">
        <v>0</v>
      </c>
      <c r="N593" s="10">
        <f>'2026 Orders'!N592</f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C593" t="str">
        <f>IF(OR(B593="",B593=0),"",$AJ$2&amp;"/"&amp;J593)</f>
        <v/>
      </c>
      <c r="AD593" t="str">
        <f t="shared" si="9"/>
        <v/>
      </c>
    </row>
    <row r="594" spans="2:30" ht="33" hidden="1" customHeight="1" x14ac:dyDescent="0.3">
      <c r="B594" s="14">
        <f>'2026 Orders'!B593</f>
        <v>0</v>
      </c>
      <c r="C594" s="14">
        <f>'2026 Orders'!C593</f>
        <v>0</v>
      </c>
      <c r="D594" s="14">
        <v>0</v>
      </c>
      <c r="E594" s="17" t="str" cm="1">
        <f t="array" ref="E594">IF(C594=0,"",
HYPERLINK(
"#'2026 Orders'!C"&amp;
MATCH(1,
('2026 Orders'!C:C=C594)*
('2026 Orders'!G:G=G594)*
('2026 Orders'!N:N=N594),
0),
"Open "&amp;C594
))</f>
        <v/>
      </c>
      <c r="F594" s="14">
        <v>0</v>
      </c>
      <c r="G594" s="14">
        <f>'2026 Orders'!G593</f>
        <v>0</v>
      </c>
      <c r="H594" s="14" t="str">
        <f>'2026 Orders'!H593</f>
        <v/>
      </c>
      <c r="I594" s="15" t="str">
        <f>'2026 Orders'!I593</f>
        <v/>
      </c>
      <c r="J594" s="14">
        <f>'2026 Orders'!J593</f>
        <v>0</v>
      </c>
      <c r="K594">
        <v>0</v>
      </c>
      <c r="L594">
        <v>0</v>
      </c>
      <c r="N594" s="10">
        <f>'2026 Orders'!N593</f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C594" t="str">
        <f>IF(OR(B594="",B594=0),"",$AJ$2&amp;"/"&amp;J594)</f>
        <v/>
      </c>
      <c r="AD594" t="str">
        <f t="shared" si="9"/>
        <v/>
      </c>
    </row>
    <row r="595" spans="2:30" ht="33" hidden="1" customHeight="1" x14ac:dyDescent="0.3">
      <c r="B595" s="14">
        <f>'2026 Orders'!B594</f>
        <v>0</v>
      </c>
      <c r="C595" s="14">
        <f>'2026 Orders'!C594</f>
        <v>0</v>
      </c>
      <c r="D595" s="14">
        <v>0</v>
      </c>
      <c r="E595" s="17" t="str" cm="1">
        <f t="array" ref="E595">IF(C595=0,"",
HYPERLINK(
"#'2026 Orders'!C"&amp;
MATCH(1,
('2026 Orders'!C:C=C595)*
('2026 Orders'!G:G=G595)*
('2026 Orders'!N:N=N595),
0),
"Open "&amp;C595
))</f>
        <v/>
      </c>
      <c r="F595" s="14">
        <v>0</v>
      </c>
      <c r="G595" s="14">
        <f>'2026 Orders'!G594</f>
        <v>0</v>
      </c>
      <c r="H595" s="14" t="str">
        <f>'2026 Orders'!H594</f>
        <v/>
      </c>
      <c r="I595" s="15" t="str">
        <f>'2026 Orders'!I594</f>
        <v/>
      </c>
      <c r="J595" s="14">
        <f>'2026 Orders'!J594</f>
        <v>0</v>
      </c>
      <c r="K595">
        <v>0</v>
      </c>
      <c r="L595">
        <v>0</v>
      </c>
      <c r="N595" s="10">
        <f>'2026 Orders'!N594</f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C595" t="str">
        <f>IF(OR(B595="",B595=0),"",$AJ$2&amp;"/"&amp;J595)</f>
        <v/>
      </c>
      <c r="AD595" t="str">
        <f t="shared" si="9"/>
        <v/>
      </c>
    </row>
    <row r="596" spans="2:30" ht="33" hidden="1" customHeight="1" x14ac:dyDescent="0.3">
      <c r="B596" s="14">
        <f>'2026 Orders'!B595</f>
        <v>0</v>
      </c>
      <c r="C596" s="14">
        <f>'2026 Orders'!C595</f>
        <v>0</v>
      </c>
      <c r="D596" s="14">
        <v>0</v>
      </c>
      <c r="E596" s="17" t="str" cm="1">
        <f t="array" ref="E596">IF(C596=0,"",
HYPERLINK(
"#'2026 Orders'!C"&amp;
MATCH(1,
('2026 Orders'!C:C=C596)*
('2026 Orders'!G:G=G596)*
('2026 Orders'!N:N=N596),
0),
"Open "&amp;C596
))</f>
        <v/>
      </c>
      <c r="F596" s="14">
        <v>0</v>
      </c>
      <c r="G596" s="14">
        <f>'2026 Orders'!G595</f>
        <v>0</v>
      </c>
      <c r="H596" s="14" t="str">
        <f>'2026 Orders'!H595</f>
        <v/>
      </c>
      <c r="I596" s="15" t="str">
        <f>'2026 Orders'!I595</f>
        <v/>
      </c>
      <c r="J596" s="14">
        <f>'2026 Orders'!J595</f>
        <v>0</v>
      </c>
      <c r="K596">
        <v>0</v>
      </c>
      <c r="L596">
        <v>0</v>
      </c>
      <c r="N596" s="10">
        <f>'2026 Orders'!N595</f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C596" t="str">
        <f>IF(OR(B596="",B596=0),"",$AJ$2&amp;"/"&amp;J596)</f>
        <v/>
      </c>
      <c r="AD596" t="str">
        <f t="shared" si="9"/>
        <v/>
      </c>
    </row>
    <row r="597" spans="2:30" ht="33" hidden="1" customHeight="1" x14ac:dyDescent="0.3">
      <c r="B597" s="14">
        <f>'2026 Orders'!B596</f>
        <v>0</v>
      </c>
      <c r="C597" s="14">
        <f>'2026 Orders'!C596</f>
        <v>0</v>
      </c>
      <c r="D597" s="14">
        <v>0</v>
      </c>
      <c r="E597" s="17" t="str" cm="1">
        <f t="array" ref="E597">IF(C597=0,"",
HYPERLINK(
"#'2026 Orders'!C"&amp;
MATCH(1,
('2026 Orders'!C:C=C597)*
('2026 Orders'!G:G=G597)*
('2026 Orders'!N:N=N597),
0),
"Open "&amp;C597
))</f>
        <v/>
      </c>
      <c r="F597" s="14">
        <v>0</v>
      </c>
      <c r="G597" s="14">
        <f>'2026 Orders'!G596</f>
        <v>0</v>
      </c>
      <c r="H597" s="14" t="str">
        <f>'2026 Orders'!H596</f>
        <v/>
      </c>
      <c r="I597" s="15" t="str">
        <f>'2026 Orders'!I596</f>
        <v/>
      </c>
      <c r="J597" s="14">
        <f>'2026 Orders'!J596</f>
        <v>0</v>
      </c>
      <c r="K597">
        <v>0</v>
      </c>
      <c r="L597">
        <v>0</v>
      </c>
      <c r="N597" s="10">
        <f>'2026 Orders'!N596</f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C597" t="str">
        <f>IF(OR(B597="",B597=0),"",$AJ$2&amp;"/"&amp;J597)</f>
        <v/>
      </c>
      <c r="AD597" t="str">
        <f t="shared" si="9"/>
        <v/>
      </c>
    </row>
    <row r="598" spans="2:30" ht="33" hidden="1" customHeight="1" x14ac:dyDescent="0.3">
      <c r="B598" s="14">
        <f>'2026 Orders'!B597</f>
        <v>0</v>
      </c>
      <c r="C598" s="14">
        <f>'2026 Orders'!C597</f>
        <v>0</v>
      </c>
      <c r="D598" s="14">
        <v>0</v>
      </c>
      <c r="E598" s="17" t="str" cm="1">
        <f t="array" ref="E598">IF(C598=0,"",
HYPERLINK(
"#'2026 Orders'!C"&amp;
MATCH(1,
('2026 Orders'!C:C=C598)*
('2026 Orders'!G:G=G598)*
('2026 Orders'!N:N=N598),
0),
"Open "&amp;C598
))</f>
        <v/>
      </c>
      <c r="F598" s="14">
        <v>0</v>
      </c>
      <c r="G598" s="14">
        <f>'2026 Orders'!G597</f>
        <v>0</v>
      </c>
      <c r="H598" s="14" t="str">
        <f>'2026 Orders'!H597</f>
        <v/>
      </c>
      <c r="I598" s="15" t="str">
        <f>'2026 Orders'!I597</f>
        <v/>
      </c>
      <c r="J598" s="14">
        <f>'2026 Orders'!J597</f>
        <v>0</v>
      </c>
      <c r="K598">
        <v>0</v>
      </c>
      <c r="L598">
        <v>0</v>
      </c>
      <c r="N598" s="10">
        <f>'2026 Orders'!N597</f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C598" t="str">
        <f>IF(OR(B598="",B598=0),"",$AJ$2&amp;"/"&amp;J598)</f>
        <v/>
      </c>
      <c r="AD598" t="str">
        <f t="shared" si="9"/>
        <v/>
      </c>
    </row>
    <row r="599" spans="2:30" ht="33" hidden="1" customHeight="1" x14ac:dyDescent="0.3">
      <c r="B599" s="14">
        <f>'2026 Orders'!B598</f>
        <v>0</v>
      </c>
      <c r="C599" s="14">
        <f>'2026 Orders'!C598</f>
        <v>0</v>
      </c>
      <c r="D599" s="14">
        <v>0</v>
      </c>
      <c r="E599" s="17" t="str" cm="1">
        <f t="array" ref="E599">IF(C599=0,"",
HYPERLINK(
"#'2026 Orders'!C"&amp;
MATCH(1,
('2026 Orders'!C:C=C599)*
('2026 Orders'!G:G=G599)*
('2026 Orders'!N:N=N599),
0),
"Open "&amp;C599
))</f>
        <v/>
      </c>
      <c r="F599" s="14">
        <v>0</v>
      </c>
      <c r="G599" s="14">
        <f>'2026 Orders'!G598</f>
        <v>0</v>
      </c>
      <c r="H599" s="14" t="str">
        <f>'2026 Orders'!H598</f>
        <v/>
      </c>
      <c r="I599" s="15" t="str">
        <f>'2026 Orders'!I598</f>
        <v/>
      </c>
      <c r="J599" s="14">
        <f>'2026 Orders'!J598</f>
        <v>0</v>
      </c>
      <c r="K599">
        <v>0</v>
      </c>
      <c r="L599">
        <v>0</v>
      </c>
      <c r="N599" s="10">
        <f>'2026 Orders'!N598</f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C599" t="str">
        <f>IF(OR(B599="",B599=0),"",$AJ$2&amp;"/"&amp;J599)</f>
        <v/>
      </c>
      <c r="AD599" t="str">
        <f t="shared" si="9"/>
        <v/>
      </c>
    </row>
    <row r="600" spans="2:30" ht="33" hidden="1" customHeight="1" x14ac:dyDescent="0.3">
      <c r="B600" s="14">
        <f>'2026 Orders'!B599</f>
        <v>0</v>
      </c>
      <c r="C600" s="14">
        <f>'2026 Orders'!C599</f>
        <v>0</v>
      </c>
      <c r="D600" s="14">
        <v>0</v>
      </c>
      <c r="E600" s="17" t="str" cm="1">
        <f t="array" ref="E600">IF(C600=0,"",
HYPERLINK(
"#'2026 Orders'!C"&amp;
MATCH(1,
('2026 Orders'!C:C=C600)*
('2026 Orders'!G:G=G600)*
('2026 Orders'!N:N=N600),
0),
"Open "&amp;C600
))</f>
        <v/>
      </c>
      <c r="F600" s="14">
        <v>0</v>
      </c>
      <c r="G600" s="14">
        <f>'2026 Orders'!G599</f>
        <v>0</v>
      </c>
      <c r="H600" s="14" t="str">
        <f>'2026 Orders'!H599</f>
        <v/>
      </c>
      <c r="I600" s="15" t="str">
        <f>'2026 Orders'!I599</f>
        <v/>
      </c>
      <c r="J600" s="14">
        <f>'2026 Orders'!J599</f>
        <v>0</v>
      </c>
      <c r="K600">
        <v>0</v>
      </c>
      <c r="L600">
        <v>0</v>
      </c>
      <c r="N600" s="10">
        <f>'2026 Orders'!N599</f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C600" t="str">
        <f>IF(OR(B600="",B600=0),"",$AJ$2&amp;"/"&amp;J600)</f>
        <v/>
      </c>
      <c r="AD600" t="str">
        <f t="shared" si="9"/>
        <v/>
      </c>
    </row>
    <row r="601" spans="2:30" ht="33" hidden="1" customHeight="1" x14ac:dyDescent="0.3">
      <c r="B601" s="14">
        <f>'2026 Orders'!B600</f>
        <v>0</v>
      </c>
      <c r="C601" s="14">
        <f>'2026 Orders'!C600</f>
        <v>0</v>
      </c>
      <c r="D601" s="14">
        <v>0</v>
      </c>
      <c r="E601" s="17" t="str" cm="1">
        <f t="array" ref="E601">IF(C601=0,"",
HYPERLINK(
"#'2026 Orders'!C"&amp;
MATCH(1,
('2026 Orders'!C:C=C601)*
('2026 Orders'!G:G=G601)*
('2026 Orders'!N:N=N601),
0),
"Open "&amp;C601
))</f>
        <v/>
      </c>
      <c r="F601" s="14">
        <v>0</v>
      </c>
      <c r="G601" s="14">
        <f>'2026 Orders'!G600</f>
        <v>0</v>
      </c>
      <c r="H601" s="14" t="str">
        <f>'2026 Orders'!H600</f>
        <v/>
      </c>
      <c r="I601" s="15" t="str">
        <f>'2026 Orders'!I600</f>
        <v/>
      </c>
      <c r="J601" s="14">
        <f>'2026 Orders'!J600</f>
        <v>0</v>
      </c>
      <c r="K601">
        <v>0</v>
      </c>
      <c r="L601">
        <v>0</v>
      </c>
      <c r="N601" s="10">
        <f>'2026 Orders'!N600</f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C601" t="str">
        <f>IF(OR(B601="",B601=0),"",$AJ$2&amp;"/"&amp;J601)</f>
        <v/>
      </c>
      <c r="AD601" t="str">
        <f t="shared" si="9"/>
        <v/>
      </c>
    </row>
    <row r="602" spans="2:30" ht="33" hidden="1" customHeight="1" x14ac:dyDescent="0.3">
      <c r="B602" s="14">
        <f>'2026 Orders'!B601</f>
        <v>0</v>
      </c>
      <c r="C602" s="14">
        <f>'2026 Orders'!C601</f>
        <v>0</v>
      </c>
      <c r="D602" s="14">
        <v>0</v>
      </c>
      <c r="E602" s="17" t="str" cm="1">
        <f t="array" ref="E602">IF(C602=0,"",
HYPERLINK(
"#'2026 Orders'!C"&amp;
MATCH(1,
('2026 Orders'!C:C=C602)*
('2026 Orders'!G:G=G602)*
('2026 Orders'!N:N=N602),
0),
"Open "&amp;C602
))</f>
        <v/>
      </c>
      <c r="F602" s="14">
        <v>0</v>
      </c>
      <c r="G602" s="14">
        <f>'2026 Orders'!G601</f>
        <v>0</v>
      </c>
      <c r="H602" s="14" t="str">
        <f>'2026 Orders'!H601</f>
        <v/>
      </c>
      <c r="I602" s="15" t="str">
        <f>'2026 Orders'!I601</f>
        <v/>
      </c>
      <c r="J602" s="14">
        <f>'2026 Orders'!J601</f>
        <v>0</v>
      </c>
      <c r="K602">
        <v>0</v>
      </c>
      <c r="L602">
        <v>0</v>
      </c>
      <c r="N602" s="10">
        <f>'2026 Orders'!N601</f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C602" t="str">
        <f>IF(OR(B602="",B602=0),"",$AJ$2&amp;"/"&amp;J602)</f>
        <v/>
      </c>
      <c r="AD602" t="str">
        <f t="shared" si="9"/>
        <v/>
      </c>
    </row>
    <row r="603" spans="2:30" ht="33" hidden="1" customHeight="1" x14ac:dyDescent="0.3">
      <c r="B603" s="14">
        <f>'2026 Orders'!B602</f>
        <v>0</v>
      </c>
      <c r="C603" s="14">
        <f>'2026 Orders'!C602</f>
        <v>0</v>
      </c>
      <c r="D603" s="14">
        <v>0</v>
      </c>
      <c r="E603" s="17" t="str" cm="1">
        <f t="array" ref="E603">IF(C603=0,"",
HYPERLINK(
"#'2026 Orders'!C"&amp;
MATCH(1,
('2026 Orders'!C:C=C603)*
('2026 Orders'!G:G=G603)*
('2026 Orders'!N:N=N603),
0),
"Open "&amp;C603
))</f>
        <v/>
      </c>
      <c r="F603" s="14">
        <v>0</v>
      </c>
      <c r="G603" s="14">
        <f>'2026 Orders'!G602</f>
        <v>0</v>
      </c>
      <c r="H603" s="14" t="str">
        <f>'2026 Orders'!H602</f>
        <v/>
      </c>
      <c r="I603" s="15" t="str">
        <f>'2026 Orders'!I602</f>
        <v/>
      </c>
      <c r="J603" s="14">
        <f>'2026 Orders'!J602</f>
        <v>0</v>
      </c>
      <c r="K603">
        <v>0</v>
      </c>
      <c r="L603">
        <v>0</v>
      </c>
      <c r="N603" s="10">
        <f>'2026 Orders'!N602</f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C603" t="str">
        <f>IF(OR(B603="",B603=0),"",$AJ$2&amp;"/"&amp;J603)</f>
        <v/>
      </c>
      <c r="AD603" t="str">
        <f t="shared" si="9"/>
        <v/>
      </c>
    </row>
    <row r="604" spans="2:30" ht="33" hidden="1" customHeight="1" x14ac:dyDescent="0.3">
      <c r="B604" s="14">
        <f>'2026 Orders'!B603</f>
        <v>0</v>
      </c>
      <c r="C604" s="14">
        <f>'2026 Orders'!C603</f>
        <v>0</v>
      </c>
      <c r="D604" s="14">
        <v>0</v>
      </c>
      <c r="E604" s="17" t="str" cm="1">
        <f t="array" ref="E604">IF(C604=0,"",
HYPERLINK(
"#'2026 Orders'!C"&amp;
MATCH(1,
('2026 Orders'!C:C=C604)*
('2026 Orders'!G:G=G604)*
('2026 Orders'!N:N=N604),
0),
"Open "&amp;C604
))</f>
        <v/>
      </c>
      <c r="F604" s="14">
        <v>0</v>
      </c>
      <c r="G604" s="14">
        <f>'2026 Orders'!G603</f>
        <v>0</v>
      </c>
      <c r="H604" s="14" t="str">
        <f>'2026 Orders'!H603</f>
        <v/>
      </c>
      <c r="I604" s="15" t="str">
        <f>'2026 Orders'!I603</f>
        <v/>
      </c>
      <c r="J604" s="14">
        <f>'2026 Orders'!J603</f>
        <v>0</v>
      </c>
      <c r="K604">
        <v>0</v>
      </c>
      <c r="L604">
        <v>0</v>
      </c>
      <c r="N604" s="10">
        <f>'2026 Orders'!N603</f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C604" t="str">
        <f>IF(OR(B604="",B604=0),"",$AJ$2&amp;"/"&amp;J604)</f>
        <v/>
      </c>
      <c r="AD604" t="str">
        <f t="shared" si="9"/>
        <v/>
      </c>
    </row>
    <row r="605" spans="2:30" ht="33" hidden="1" customHeight="1" x14ac:dyDescent="0.3">
      <c r="B605" s="14">
        <f>'2026 Orders'!B604</f>
        <v>0</v>
      </c>
      <c r="C605" s="14">
        <f>'2026 Orders'!C604</f>
        <v>0</v>
      </c>
      <c r="D605" s="14">
        <v>0</v>
      </c>
      <c r="E605" s="17" t="str" cm="1">
        <f t="array" ref="E605">IF(C605=0,"",
HYPERLINK(
"#'2026 Orders'!C"&amp;
MATCH(1,
('2026 Orders'!C:C=C605)*
('2026 Orders'!G:G=G605)*
('2026 Orders'!N:N=N605),
0),
"Open "&amp;C605
))</f>
        <v/>
      </c>
      <c r="F605" s="14">
        <v>0</v>
      </c>
      <c r="G605" s="14">
        <f>'2026 Orders'!G604</f>
        <v>0</v>
      </c>
      <c r="H605" s="14" t="str">
        <f>'2026 Orders'!H604</f>
        <v/>
      </c>
      <c r="I605" s="15" t="str">
        <f>'2026 Orders'!I604</f>
        <v/>
      </c>
      <c r="J605" s="14">
        <f>'2026 Orders'!J604</f>
        <v>0</v>
      </c>
      <c r="K605">
        <v>0</v>
      </c>
      <c r="L605">
        <v>0</v>
      </c>
      <c r="N605" s="10">
        <f>'2026 Orders'!N604</f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C605" t="str">
        <f>IF(OR(B605="",B605=0),"",$AJ$2&amp;"/"&amp;J605)</f>
        <v/>
      </c>
      <c r="AD605" t="str">
        <f t="shared" si="9"/>
        <v/>
      </c>
    </row>
    <row r="606" spans="2:30" ht="33" hidden="1" customHeight="1" x14ac:dyDescent="0.3">
      <c r="B606" s="14">
        <f>'2026 Orders'!B605</f>
        <v>0</v>
      </c>
      <c r="C606" s="14">
        <f>'2026 Orders'!C605</f>
        <v>0</v>
      </c>
      <c r="D606" s="14">
        <v>0</v>
      </c>
      <c r="E606" s="17" t="str" cm="1">
        <f t="array" ref="E606">IF(C606=0,"",
HYPERLINK(
"#'2026 Orders'!C"&amp;
MATCH(1,
('2026 Orders'!C:C=C606)*
('2026 Orders'!G:G=G606)*
('2026 Orders'!N:N=N606),
0),
"Open "&amp;C606
))</f>
        <v/>
      </c>
      <c r="F606" s="14">
        <v>0</v>
      </c>
      <c r="G606" s="14">
        <f>'2026 Orders'!G605</f>
        <v>0</v>
      </c>
      <c r="H606" s="14" t="str">
        <f>'2026 Orders'!H605</f>
        <v/>
      </c>
      <c r="I606" s="15" t="str">
        <f>'2026 Orders'!I605</f>
        <v/>
      </c>
      <c r="J606" s="14">
        <f>'2026 Orders'!J605</f>
        <v>0</v>
      </c>
      <c r="K606">
        <v>0</v>
      </c>
      <c r="L606">
        <v>0</v>
      </c>
      <c r="N606" s="10">
        <f>'2026 Orders'!N605</f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C606" t="str">
        <f>IF(OR(B606="",B606=0),"",$AJ$2&amp;"/"&amp;J606)</f>
        <v/>
      </c>
      <c r="AD606" t="str">
        <f t="shared" si="9"/>
        <v/>
      </c>
    </row>
    <row r="607" spans="2:30" ht="33" hidden="1" customHeight="1" x14ac:dyDescent="0.3">
      <c r="B607" s="14">
        <f>'2026 Orders'!B606</f>
        <v>0</v>
      </c>
      <c r="C607" s="14">
        <f>'2026 Orders'!C606</f>
        <v>0</v>
      </c>
      <c r="D607" s="14">
        <v>0</v>
      </c>
      <c r="E607" s="17" t="str" cm="1">
        <f t="array" ref="E607">IF(C607=0,"",
HYPERLINK(
"#'2026 Orders'!C"&amp;
MATCH(1,
('2026 Orders'!C:C=C607)*
('2026 Orders'!G:G=G607)*
('2026 Orders'!N:N=N607),
0),
"Open "&amp;C607
))</f>
        <v/>
      </c>
      <c r="F607" s="14">
        <v>0</v>
      </c>
      <c r="G607" s="14">
        <f>'2026 Orders'!G606</f>
        <v>0</v>
      </c>
      <c r="H607" s="14" t="str">
        <f>'2026 Orders'!H606</f>
        <v/>
      </c>
      <c r="I607" s="15" t="str">
        <f>'2026 Orders'!I606</f>
        <v/>
      </c>
      <c r="J607" s="14">
        <f>'2026 Orders'!J606</f>
        <v>0</v>
      </c>
      <c r="K607">
        <v>0</v>
      </c>
      <c r="L607">
        <v>0</v>
      </c>
      <c r="N607" s="10">
        <f>'2026 Orders'!N606</f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C607" t="str">
        <f>IF(OR(B607="",B607=0),"",$AJ$2&amp;"/"&amp;J607)</f>
        <v/>
      </c>
      <c r="AD607" t="str">
        <f t="shared" si="9"/>
        <v/>
      </c>
    </row>
    <row r="608" spans="2:30" ht="33" hidden="1" customHeight="1" x14ac:dyDescent="0.3">
      <c r="B608" s="14">
        <f>'2026 Orders'!B607</f>
        <v>0</v>
      </c>
      <c r="C608" s="14">
        <f>'2026 Orders'!C607</f>
        <v>0</v>
      </c>
      <c r="D608" s="14">
        <v>0</v>
      </c>
      <c r="E608" s="17" t="str" cm="1">
        <f t="array" ref="E608">IF(C608=0,"",
HYPERLINK(
"#'2026 Orders'!C"&amp;
MATCH(1,
('2026 Orders'!C:C=C608)*
('2026 Orders'!G:G=G608)*
('2026 Orders'!N:N=N608),
0),
"Open "&amp;C608
))</f>
        <v/>
      </c>
      <c r="F608" s="14">
        <v>0</v>
      </c>
      <c r="G608" s="14">
        <f>'2026 Orders'!G607</f>
        <v>0</v>
      </c>
      <c r="H608" s="14" t="str">
        <f>'2026 Orders'!H607</f>
        <v/>
      </c>
      <c r="I608" s="15" t="str">
        <f>'2026 Orders'!I607</f>
        <v/>
      </c>
      <c r="J608" s="14">
        <f>'2026 Orders'!J607</f>
        <v>0</v>
      </c>
      <c r="K608">
        <v>0</v>
      </c>
      <c r="L608">
        <v>0</v>
      </c>
      <c r="N608" s="10">
        <f>'2026 Orders'!N607</f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C608" t="str">
        <f>IF(OR(B608="",B608=0),"",$AJ$2&amp;"/"&amp;J608)</f>
        <v/>
      </c>
      <c r="AD608" t="str">
        <f t="shared" si="9"/>
        <v/>
      </c>
    </row>
    <row r="609" spans="2:30" ht="33" hidden="1" customHeight="1" x14ac:dyDescent="0.3">
      <c r="B609" s="14">
        <f>'2026 Orders'!B608</f>
        <v>0</v>
      </c>
      <c r="C609" s="14">
        <f>'2026 Orders'!C608</f>
        <v>0</v>
      </c>
      <c r="D609" s="14">
        <v>0</v>
      </c>
      <c r="E609" s="17" t="str" cm="1">
        <f t="array" ref="E609">IF(C609=0,"",
HYPERLINK(
"#'2026 Orders'!C"&amp;
MATCH(1,
('2026 Orders'!C:C=C609)*
('2026 Orders'!G:G=G609)*
('2026 Orders'!N:N=N609),
0),
"Open "&amp;C609
))</f>
        <v/>
      </c>
      <c r="F609" s="14">
        <v>0</v>
      </c>
      <c r="G609" s="14">
        <f>'2026 Orders'!G608</f>
        <v>0</v>
      </c>
      <c r="H609" s="14" t="str">
        <f>'2026 Orders'!H608</f>
        <v/>
      </c>
      <c r="I609" s="15" t="str">
        <f>'2026 Orders'!I608</f>
        <v/>
      </c>
      <c r="J609" s="14">
        <f>'2026 Orders'!J608</f>
        <v>0</v>
      </c>
      <c r="K609">
        <v>0</v>
      </c>
      <c r="L609">
        <v>0</v>
      </c>
      <c r="N609" s="10">
        <f>'2026 Orders'!N608</f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C609" t="str">
        <f>IF(OR(B609="",B609=0),"",$AJ$2&amp;"/"&amp;J609)</f>
        <v/>
      </c>
      <c r="AD609" t="str">
        <f t="shared" si="9"/>
        <v/>
      </c>
    </row>
    <row r="610" spans="2:30" ht="33" hidden="1" customHeight="1" x14ac:dyDescent="0.3">
      <c r="B610" s="14">
        <f>'2026 Orders'!B609</f>
        <v>0</v>
      </c>
      <c r="C610" s="14">
        <f>'2026 Orders'!C609</f>
        <v>0</v>
      </c>
      <c r="D610" s="14">
        <v>0</v>
      </c>
      <c r="E610" s="17" t="str" cm="1">
        <f t="array" ref="E610">IF(C610=0,"",
HYPERLINK(
"#'2026 Orders'!C"&amp;
MATCH(1,
('2026 Orders'!C:C=C610)*
('2026 Orders'!G:G=G610)*
('2026 Orders'!N:N=N610),
0),
"Open "&amp;C610
))</f>
        <v/>
      </c>
      <c r="F610" s="14">
        <v>0</v>
      </c>
      <c r="G610" s="14">
        <f>'2026 Orders'!G609</f>
        <v>0</v>
      </c>
      <c r="H610" s="14" t="str">
        <f>'2026 Orders'!H609</f>
        <v/>
      </c>
      <c r="I610" s="15" t="str">
        <f>'2026 Orders'!I609</f>
        <v/>
      </c>
      <c r="J610" s="14">
        <f>'2026 Orders'!J609</f>
        <v>0</v>
      </c>
      <c r="K610">
        <v>0</v>
      </c>
      <c r="L610">
        <v>0</v>
      </c>
      <c r="N610" s="10">
        <f>'2026 Orders'!N609</f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C610" t="str">
        <f>IF(OR(B610="",B610=0),"",$AJ$2&amp;"/"&amp;J610)</f>
        <v/>
      </c>
      <c r="AD610" t="str">
        <f t="shared" si="9"/>
        <v/>
      </c>
    </row>
    <row r="611" spans="2:30" ht="33" hidden="1" customHeight="1" x14ac:dyDescent="0.3">
      <c r="B611" s="14">
        <f>'2026 Orders'!B610</f>
        <v>0</v>
      </c>
      <c r="C611" s="14">
        <f>'2026 Orders'!C610</f>
        <v>0</v>
      </c>
      <c r="D611" s="14">
        <v>0</v>
      </c>
      <c r="E611" s="17" t="str" cm="1">
        <f t="array" ref="E611">IF(C611=0,"",
HYPERLINK(
"#'2026 Orders'!C"&amp;
MATCH(1,
('2026 Orders'!C:C=C611)*
('2026 Orders'!G:G=G611)*
('2026 Orders'!N:N=N611),
0),
"Open "&amp;C611
))</f>
        <v/>
      </c>
      <c r="F611" s="14">
        <v>0</v>
      </c>
      <c r="G611" s="14">
        <f>'2026 Orders'!G610</f>
        <v>0</v>
      </c>
      <c r="H611" s="14" t="str">
        <f>'2026 Orders'!H610</f>
        <v/>
      </c>
      <c r="I611" s="15" t="str">
        <f>'2026 Orders'!I610</f>
        <v/>
      </c>
      <c r="J611" s="14">
        <f>'2026 Orders'!J610</f>
        <v>0</v>
      </c>
      <c r="K611">
        <v>0</v>
      </c>
      <c r="L611">
        <v>0</v>
      </c>
      <c r="N611" s="10">
        <f>'2026 Orders'!N610</f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C611" t="str">
        <f>IF(OR(B611="",B611=0),"",$AJ$2&amp;"/"&amp;J611)</f>
        <v/>
      </c>
      <c r="AD611" t="str">
        <f t="shared" si="9"/>
        <v/>
      </c>
    </row>
    <row r="612" spans="2:30" ht="33" hidden="1" customHeight="1" x14ac:dyDescent="0.3">
      <c r="B612" s="14">
        <f>'2026 Orders'!B611</f>
        <v>0</v>
      </c>
      <c r="C612" s="14">
        <f>'2026 Orders'!C611</f>
        <v>0</v>
      </c>
      <c r="D612" s="14">
        <v>0</v>
      </c>
      <c r="E612" s="17" t="str" cm="1">
        <f t="array" ref="E612">IF(C612=0,"",
HYPERLINK(
"#'2026 Orders'!C"&amp;
MATCH(1,
('2026 Orders'!C:C=C612)*
('2026 Orders'!G:G=G612)*
('2026 Orders'!N:N=N612),
0),
"Open "&amp;C612
))</f>
        <v/>
      </c>
      <c r="F612" s="14">
        <v>0</v>
      </c>
      <c r="G612" s="14">
        <f>'2026 Orders'!G611</f>
        <v>0</v>
      </c>
      <c r="H612" s="14" t="str">
        <f>'2026 Orders'!H611</f>
        <v/>
      </c>
      <c r="I612" s="15" t="str">
        <f>'2026 Orders'!I611</f>
        <v/>
      </c>
      <c r="J612" s="14">
        <f>'2026 Orders'!J611</f>
        <v>0</v>
      </c>
      <c r="K612">
        <v>0</v>
      </c>
      <c r="L612">
        <v>0</v>
      </c>
      <c r="N612" s="10">
        <f>'2026 Orders'!N611</f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C612" t="str">
        <f>IF(OR(B612="",B612=0),"",$AJ$2&amp;"/"&amp;J612)</f>
        <v/>
      </c>
      <c r="AD612" t="str">
        <f t="shared" si="9"/>
        <v/>
      </c>
    </row>
    <row r="613" spans="2:30" ht="33" hidden="1" customHeight="1" x14ac:dyDescent="0.3">
      <c r="B613" s="14">
        <f>'2026 Orders'!B612</f>
        <v>0</v>
      </c>
      <c r="C613" s="14">
        <f>'2026 Orders'!C612</f>
        <v>0</v>
      </c>
      <c r="D613" s="14">
        <v>0</v>
      </c>
      <c r="E613" s="17" t="str" cm="1">
        <f t="array" ref="E613">IF(C613=0,"",
HYPERLINK(
"#'2026 Orders'!C"&amp;
MATCH(1,
('2026 Orders'!C:C=C613)*
('2026 Orders'!G:G=G613)*
('2026 Orders'!N:N=N613),
0),
"Open "&amp;C613
))</f>
        <v/>
      </c>
      <c r="F613" s="14">
        <v>0</v>
      </c>
      <c r="G613" s="14">
        <f>'2026 Orders'!G612</f>
        <v>0</v>
      </c>
      <c r="H613" s="14" t="str">
        <f>'2026 Orders'!H612</f>
        <v/>
      </c>
      <c r="I613" s="15" t="str">
        <f>'2026 Orders'!I612</f>
        <v/>
      </c>
      <c r="J613" s="14">
        <f>'2026 Orders'!J612</f>
        <v>0</v>
      </c>
      <c r="K613">
        <v>0</v>
      </c>
      <c r="L613">
        <v>0</v>
      </c>
      <c r="N613" s="10">
        <f>'2026 Orders'!N612</f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C613" t="str">
        <f>IF(OR(B613="",B613=0),"",$AJ$2&amp;"/"&amp;J613)</f>
        <v/>
      </c>
      <c r="AD613" t="str">
        <f t="shared" si="9"/>
        <v/>
      </c>
    </row>
    <row r="614" spans="2:30" ht="33" hidden="1" customHeight="1" x14ac:dyDescent="0.3">
      <c r="B614" s="14">
        <f>'2026 Orders'!B613</f>
        <v>0</v>
      </c>
      <c r="C614" s="14">
        <f>'2026 Orders'!C613</f>
        <v>0</v>
      </c>
      <c r="D614" s="14">
        <v>0</v>
      </c>
      <c r="E614" s="17" t="str" cm="1">
        <f t="array" ref="E614">IF(C614=0,"",
HYPERLINK(
"#'2026 Orders'!C"&amp;
MATCH(1,
('2026 Orders'!C:C=C614)*
('2026 Orders'!G:G=G614)*
('2026 Orders'!N:N=N614),
0),
"Open "&amp;C614
))</f>
        <v/>
      </c>
      <c r="F614" s="14">
        <v>0</v>
      </c>
      <c r="G614" s="14">
        <f>'2026 Orders'!G613</f>
        <v>0</v>
      </c>
      <c r="H614" s="14" t="str">
        <f>'2026 Orders'!H613</f>
        <v/>
      </c>
      <c r="I614" s="15" t="str">
        <f>'2026 Orders'!I613</f>
        <v/>
      </c>
      <c r="J614" s="14">
        <f>'2026 Orders'!J613</f>
        <v>0</v>
      </c>
      <c r="K614">
        <v>0</v>
      </c>
      <c r="L614">
        <v>0</v>
      </c>
      <c r="N614" s="10">
        <f>'2026 Orders'!N613</f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C614" t="str">
        <f>IF(OR(B614="",B614=0),"",$AJ$2&amp;"/"&amp;J614)</f>
        <v/>
      </c>
      <c r="AD614" t="str">
        <f t="shared" si="9"/>
        <v/>
      </c>
    </row>
    <row r="615" spans="2:30" ht="33" hidden="1" customHeight="1" x14ac:dyDescent="0.3">
      <c r="B615" s="14">
        <f>'2026 Orders'!B614</f>
        <v>0</v>
      </c>
      <c r="C615" s="14">
        <f>'2026 Orders'!C614</f>
        <v>0</v>
      </c>
      <c r="D615" s="14">
        <v>0</v>
      </c>
      <c r="E615" s="17" t="str" cm="1">
        <f t="array" ref="E615">IF(C615=0,"",
HYPERLINK(
"#'2026 Orders'!C"&amp;
MATCH(1,
('2026 Orders'!C:C=C615)*
('2026 Orders'!G:G=G615)*
('2026 Orders'!N:N=N615),
0),
"Open "&amp;C615
))</f>
        <v/>
      </c>
      <c r="F615" s="14">
        <v>0</v>
      </c>
      <c r="G615" s="14">
        <f>'2026 Orders'!G614</f>
        <v>0</v>
      </c>
      <c r="H615" s="14" t="str">
        <f>'2026 Orders'!H614</f>
        <v/>
      </c>
      <c r="I615" s="15" t="str">
        <f>'2026 Orders'!I614</f>
        <v/>
      </c>
      <c r="J615" s="14">
        <f>'2026 Orders'!J614</f>
        <v>0</v>
      </c>
      <c r="K615">
        <v>0</v>
      </c>
      <c r="L615">
        <v>0</v>
      </c>
      <c r="N615" s="10">
        <f>'2026 Orders'!N614</f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C615" t="str">
        <f>IF(OR(B615="",B615=0),"",$AJ$2&amp;"/"&amp;J615)</f>
        <v/>
      </c>
      <c r="AD615" t="str">
        <f t="shared" si="9"/>
        <v/>
      </c>
    </row>
    <row r="616" spans="2:30" ht="33" hidden="1" customHeight="1" x14ac:dyDescent="0.3">
      <c r="B616" s="14">
        <f>'2026 Orders'!B615</f>
        <v>0</v>
      </c>
      <c r="C616" s="14">
        <f>'2026 Orders'!C615</f>
        <v>0</v>
      </c>
      <c r="D616" s="14">
        <v>0</v>
      </c>
      <c r="E616" s="17" t="str" cm="1">
        <f t="array" ref="E616">IF(C616=0,"",
HYPERLINK(
"#'2026 Orders'!C"&amp;
MATCH(1,
('2026 Orders'!C:C=C616)*
('2026 Orders'!G:G=G616)*
('2026 Orders'!N:N=N616),
0),
"Open "&amp;C616
))</f>
        <v/>
      </c>
      <c r="F616" s="14">
        <v>0</v>
      </c>
      <c r="G616" s="14">
        <f>'2026 Orders'!G615</f>
        <v>0</v>
      </c>
      <c r="H616" s="14" t="str">
        <f>'2026 Orders'!H615</f>
        <v/>
      </c>
      <c r="I616" s="15" t="str">
        <f>'2026 Orders'!I615</f>
        <v/>
      </c>
      <c r="J616" s="14">
        <f>'2026 Orders'!J615</f>
        <v>0</v>
      </c>
      <c r="K616">
        <v>0</v>
      </c>
      <c r="L616">
        <v>0</v>
      </c>
      <c r="N616" s="10">
        <f>'2026 Orders'!N615</f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C616" t="str">
        <f>IF(OR(B616="",B616=0),"",$AJ$2&amp;"/"&amp;J616)</f>
        <v/>
      </c>
      <c r="AD616" t="str">
        <f t="shared" si="9"/>
        <v/>
      </c>
    </row>
    <row r="617" spans="2:30" ht="33" hidden="1" customHeight="1" x14ac:dyDescent="0.3">
      <c r="B617" s="14">
        <f>'2026 Orders'!B616</f>
        <v>0</v>
      </c>
      <c r="C617" s="14">
        <f>'2026 Orders'!C616</f>
        <v>0</v>
      </c>
      <c r="D617" s="14">
        <v>0</v>
      </c>
      <c r="E617" s="17" t="str" cm="1">
        <f t="array" ref="E617">IF(C617=0,"",
HYPERLINK(
"#'2026 Orders'!C"&amp;
MATCH(1,
('2026 Orders'!C:C=C617)*
('2026 Orders'!G:G=G617)*
('2026 Orders'!N:N=N617),
0),
"Open "&amp;C617
))</f>
        <v/>
      </c>
      <c r="F617" s="14">
        <v>0</v>
      </c>
      <c r="G617" s="14">
        <f>'2026 Orders'!G616</f>
        <v>0</v>
      </c>
      <c r="H617" s="14" t="str">
        <f>'2026 Orders'!H616</f>
        <v/>
      </c>
      <c r="I617" s="15" t="str">
        <f>'2026 Orders'!I616</f>
        <v/>
      </c>
      <c r="J617" s="14">
        <f>'2026 Orders'!J616</f>
        <v>0</v>
      </c>
      <c r="K617">
        <v>0</v>
      </c>
      <c r="L617">
        <v>0</v>
      </c>
      <c r="N617" s="10">
        <f>'2026 Orders'!N616</f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C617" t="str">
        <f>IF(OR(B617="",B617=0),"",$AJ$2&amp;"/"&amp;J617)</f>
        <v/>
      </c>
      <c r="AD617" t="str">
        <f t="shared" si="9"/>
        <v/>
      </c>
    </row>
    <row r="618" spans="2:30" ht="33" hidden="1" customHeight="1" x14ac:dyDescent="0.3">
      <c r="B618" s="14">
        <f>'2026 Orders'!B617</f>
        <v>0</v>
      </c>
      <c r="C618" s="14">
        <f>'2026 Orders'!C617</f>
        <v>0</v>
      </c>
      <c r="D618" s="14">
        <v>0</v>
      </c>
      <c r="E618" s="17" t="str" cm="1">
        <f t="array" ref="E618">IF(C618=0,"",
HYPERLINK(
"#'2026 Orders'!C"&amp;
MATCH(1,
('2026 Orders'!C:C=C618)*
('2026 Orders'!G:G=G618)*
('2026 Orders'!N:N=N618),
0),
"Open "&amp;C618
))</f>
        <v/>
      </c>
      <c r="F618" s="14">
        <v>0</v>
      </c>
      <c r="G618" s="14">
        <f>'2026 Orders'!G617</f>
        <v>0</v>
      </c>
      <c r="H618" s="14" t="str">
        <f>'2026 Orders'!H617</f>
        <v/>
      </c>
      <c r="I618" s="15" t="str">
        <f>'2026 Orders'!I617</f>
        <v/>
      </c>
      <c r="J618" s="14">
        <f>'2026 Orders'!J617</f>
        <v>0</v>
      </c>
      <c r="K618">
        <v>0</v>
      </c>
      <c r="L618">
        <v>0</v>
      </c>
      <c r="N618" s="10">
        <f>'2026 Orders'!N617</f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C618" t="str">
        <f>IF(OR(B618="",B618=0),"",$AJ$2&amp;"/"&amp;J618)</f>
        <v/>
      </c>
      <c r="AD618" t="str">
        <f t="shared" si="9"/>
        <v/>
      </c>
    </row>
    <row r="619" spans="2:30" ht="33" hidden="1" customHeight="1" x14ac:dyDescent="0.3">
      <c r="B619" s="14">
        <f>'2026 Orders'!B618</f>
        <v>0</v>
      </c>
      <c r="C619" s="14">
        <f>'2026 Orders'!C618</f>
        <v>0</v>
      </c>
      <c r="D619" s="14">
        <v>0</v>
      </c>
      <c r="E619" s="17" t="str" cm="1">
        <f t="array" ref="E619">IF(C619=0,"",
HYPERLINK(
"#'2026 Orders'!C"&amp;
MATCH(1,
('2026 Orders'!C:C=C619)*
('2026 Orders'!G:G=G619)*
('2026 Orders'!N:N=N619),
0),
"Open "&amp;C619
))</f>
        <v/>
      </c>
      <c r="F619" s="14">
        <v>0</v>
      </c>
      <c r="G619" s="14">
        <f>'2026 Orders'!G618</f>
        <v>0</v>
      </c>
      <c r="H619" s="14" t="str">
        <f>'2026 Orders'!H618</f>
        <v/>
      </c>
      <c r="I619" s="15" t="str">
        <f>'2026 Orders'!I618</f>
        <v/>
      </c>
      <c r="J619" s="14">
        <f>'2026 Orders'!J618</f>
        <v>0</v>
      </c>
      <c r="K619">
        <v>0</v>
      </c>
      <c r="L619">
        <v>0</v>
      </c>
      <c r="N619" s="10">
        <f>'2026 Orders'!N618</f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C619" t="str">
        <f>IF(OR(B619="",B619=0),"",$AJ$2&amp;"/"&amp;J619)</f>
        <v/>
      </c>
      <c r="AD619" t="str">
        <f t="shared" si="9"/>
        <v/>
      </c>
    </row>
    <row r="620" spans="2:30" ht="33" hidden="1" customHeight="1" x14ac:dyDescent="0.3">
      <c r="B620" s="14">
        <f>'2026 Orders'!B619</f>
        <v>0</v>
      </c>
      <c r="C620" s="14">
        <f>'2026 Orders'!C619</f>
        <v>0</v>
      </c>
      <c r="D620" s="14">
        <v>0</v>
      </c>
      <c r="E620" s="17" t="str" cm="1">
        <f t="array" ref="E620">IF(C620=0,"",
HYPERLINK(
"#'2026 Orders'!C"&amp;
MATCH(1,
('2026 Orders'!C:C=C620)*
('2026 Orders'!G:G=G620)*
('2026 Orders'!N:N=N620),
0),
"Open "&amp;C620
))</f>
        <v/>
      </c>
      <c r="F620" s="14">
        <v>0</v>
      </c>
      <c r="G620" s="14">
        <f>'2026 Orders'!G619</f>
        <v>0</v>
      </c>
      <c r="H620" s="14" t="str">
        <f>'2026 Orders'!H619</f>
        <v/>
      </c>
      <c r="I620" s="15" t="str">
        <f>'2026 Orders'!I619</f>
        <v/>
      </c>
      <c r="J620" s="14">
        <f>'2026 Orders'!J619</f>
        <v>0</v>
      </c>
      <c r="K620">
        <v>0</v>
      </c>
      <c r="L620">
        <v>0</v>
      </c>
      <c r="N620" s="10">
        <f>'2026 Orders'!N619</f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C620" t="str">
        <f>IF(OR(B620="",B620=0),"",$AJ$2&amp;"/"&amp;J620)</f>
        <v/>
      </c>
      <c r="AD620" t="str">
        <f t="shared" si="9"/>
        <v/>
      </c>
    </row>
    <row r="621" spans="2:30" ht="33" hidden="1" customHeight="1" x14ac:dyDescent="0.3">
      <c r="B621" s="14">
        <f>'2026 Orders'!B620</f>
        <v>0</v>
      </c>
      <c r="C621" s="14">
        <f>'2026 Orders'!C620</f>
        <v>0</v>
      </c>
      <c r="D621" s="14">
        <v>0</v>
      </c>
      <c r="E621" s="17" t="str" cm="1">
        <f t="array" ref="E621">IF(C621=0,"",
HYPERLINK(
"#'2026 Orders'!C"&amp;
MATCH(1,
('2026 Orders'!C:C=C621)*
('2026 Orders'!G:G=G621)*
('2026 Orders'!N:N=N621),
0),
"Open "&amp;C621
))</f>
        <v/>
      </c>
      <c r="F621" s="14">
        <v>0</v>
      </c>
      <c r="G621" s="14">
        <f>'2026 Orders'!G620</f>
        <v>0</v>
      </c>
      <c r="H621" s="14" t="str">
        <f>'2026 Orders'!H620</f>
        <v/>
      </c>
      <c r="I621" s="15" t="str">
        <f>'2026 Orders'!I620</f>
        <v/>
      </c>
      <c r="J621" s="14">
        <f>'2026 Orders'!J620</f>
        <v>0</v>
      </c>
      <c r="K621">
        <v>0</v>
      </c>
      <c r="L621">
        <v>0</v>
      </c>
      <c r="N621" s="10">
        <f>'2026 Orders'!N620</f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C621" t="str">
        <f>IF(OR(B621="",B621=0),"",$AJ$2&amp;"/"&amp;J621)</f>
        <v/>
      </c>
      <c r="AD621" t="str">
        <f t="shared" si="9"/>
        <v/>
      </c>
    </row>
    <row r="622" spans="2:30" ht="33" hidden="1" customHeight="1" x14ac:dyDescent="0.3">
      <c r="B622" s="14">
        <f>'2026 Orders'!B621</f>
        <v>0</v>
      </c>
      <c r="C622" s="14">
        <f>'2026 Orders'!C621</f>
        <v>0</v>
      </c>
      <c r="D622" s="14">
        <v>0</v>
      </c>
      <c r="E622" s="17" t="str" cm="1">
        <f t="array" ref="E622">IF(C622=0,"",
HYPERLINK(
"#'2026 Orders'!C"&amp;
MATCH(1,
('2026 Orders'!C:C=C622)*
('2026 Orders'!G:G=G622)*
('2026 Orders'!N:N=N622),
0),
"Open "&amp;C622
))</f>
        <v/>
      </c>
      <c r="F622" s="14">
        <v>0</v>
      </c>
      <c r="G622" s="14">
        <f>'2026 Orders'!G621</f>
        <v>0</v>
      </c>
      <c r="H622" s="14" t="str">
        <f>'2026 Orders'!H621</f>
        <v/>
      </c>
      <c r="I622" s="15" t="str">
        <f>'2026 Orders'!I621</f>
        <v/>
      </c>
      <c r="J622" s="14">
        <f>'2026 Orders'!J621</f>
        <v>0</v>
      </c>
      <c r="K622">
        <v>0</v>
      </c>
      <c r="L622">
        <v>0</v>
      </c>
      <c r="N622" s="10">
        <f>'2026 Orders'!N621</f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C622" t="str">
        <f>IF(OR(B622="",B622=0),"",$AJ$2&amp;"/"&amp;J622)</f>
        <v/>
      </c>
      <c r="AD622" t="str">
        <f t="shared" si="9"/>
        <v/>
      </c>
    </row>
    <row r="623" spans="2:30" ht="33" hidden="1" customHeight="1" x14ac:dyDescent="0.3">
      <c r="B623" s="14">
        <f>'2026 Orders'!B622</f>
        <v>0</v>
      </c>
      <c r="C623" s="14">
        <f>'2026 Orders'!C622</f>
        <v>0</v>
      </c>
      <c r="D623" s="14">
        <v>0</v>
      </c>
      <c r="E623" s="17" t="str" cm="1">
        <f t="array" ref="E623">IF(C623=0,"",
HYPERLINK(
"#'2026 Orders'!C"&amp;
MATCH(1,
('2026 Orders'!C:C=C623)*
('2026 Orders'!G:G=G623)*
('2026 Orders'!N:N=N623),
0),
"Open "&amp;C623
))</f>
        <v/>
      </c>
      <c r="F623" s="14">
        <v>0</v>
      </c>
      <c r="G623" s="14">
        <f>'2026 Orders'!G622</f>
        <v>0</v>
      </c>
      <c r="H623" s="14" t="str">
        <f>'2026 Orders'!H622</f>
        <v/>
      </c>
      <c r="I623" s="15" t="str">
        <f>'2026 Orders'!I622</f>
        <v/>
      </c>
      <c r="J623" s="14">
        <f>'2026 Orders'!J622</f>
        <v>0</v>
      </c>
      <c r="K623">
        <v>0</v>
      </c>
      <c r="L623">
        <v>0</v>
      </c>
      <c r="N623" s="10">
        <f>'2026 Orders'!N622</f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C623" t="str">
        <f>IF(OR(B623="",B623=0),"",$AJ$2&amp;"/"&amp;J623)</f>
        <v/>
      </c>
      <c r="AD623" t="str">
        <f t="shared" si="9"/>
        <v/>
      </c>
    </row>
    <row r="624" spans="2:30" ht="33" hidden="1" customHeight="1" x14ac:dyDescent="0.3">
      <c r="B624" s="14">
        <f>'2026 Orders'!B623</f>
        <v>0</v>
      </c>
      <c r="C624" s="14">
        <f>'2026 Orders'!C623</f>
        <v>0</v>
      </c>
      <c r="D624" s="14">
        <v>0</v>
      </c>
      <c r="E624" s="17" t="str" cm="1">
        <f t="array" ref="E624">IF(C624=0,"",
HYPERLINK(
"#'2026 Orders'!C"&amp;
MATCH(1,
('2026 Orders'!C:C=C624)*
('2026 Orders'!G:G=G624)*
('2026 Orders'!N:N=N624),
0),
"Open "&amp;C624
))</f>
        <v/>
      </c>
      <c r="F624" s="14">
        <v>0</v>
      </c>
      <c r="G624" s="14">
        <f>'2026 Orders'!G623</f>
        <v>0</v>
      </c>
      <c r="H624" s="14" t="str">
        <f>'2026 Orders'!H623</f>
        <v/>
      </c>
      <c r="I624" s="15" t="str">
        <f>'2026 Orders'!I623</f>
        <v/>
      </c>
      <c r="J624" s="14">
        <f>'2026 Orders'!J623</f>
        <v>0</v>
      </c>
      <c r="K624">
        <v>0</v>
      </c>
      <c r="L624">
        <v>0</v>
      </c>
      <c r="N624" s="10">
        <f>'2026 Orders'!N623</f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C624" t="str">
        <f>IF(OR(B624="",B624=0),"",$AJ$2&amp;"/"&amp;J624)</f>
        <v/>
      </c>
      <c r="AD624" t="str">
        <f t="shared" si="9"/>
        <v/>
      </c>
    </row>
    <row r="625" spans="2:30" ht="33" hidden="1" customHeight="1" x14ac:dyDescent="0.3">
      <c r="B625" s="14">
        <f>'2026 Orders'!B624</f>
        <v>0</v>
      </c>
      <c r="C625" s="14">
        <f>'2026 Orders'!C624</f>
        <v>0</v>
      </c>
      <c r="D625" s="14">
        <v>0</v>
      </c>
      <c r="E625" s="17" t="str" cm="1">
        <f t="array" ref="E625">IF(C625=0,"",
HYPERLINK(
"#'2026 Orders'!C"&amp;
MATCH(1,
('2026 Orders'!C:C=C625)*
('2026 Orders'!G:G=G625)*
('2026 Orders'!N:N=N625),
0),
"Open "&amp;C625
))</f>
        <v/>
      </c>
      <c r="F625" s="14">
        <v>0</v>
      </c>
      <c r="G625" s="14">
        <f>'2026 Orders'!G624</f>
        <v>0</v>
      </c>
      <c r="H625" s="14" t="str">
        <f>'2026 Orders'!H624</f>
        <v/>
      </c>
      <c r="I625" s="15" t="str">
        <f>'2026 Orders'!I624</f>
        <v/>
      </c>
      <c r="J625" s="14">
        <f>'2026 Orders'!J624</f>
        <v>0</v>
      </c>
      <c r="K625">
        <v>0</v>
      </c>
      <c r="L625">
        <v>0</v>
      </c>
      <c r="N625" s="10">
        <f>'2026 Orders'!N624</f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C625" t="str">
        <f>IF(OR(B625="",B625=0),"",$AJ$2&amp;"/"&amp;J625)</f>
        <v/>
      </c>
      <c r="AD625" t="str">
        <f t="shared" si="9"/>
        <v/>
      </c>
    </row>
    <row r="626" spans="2:30" ht="33" hidden="1" customHeight="1" x14ac:dyDescent="0.3">
      <c r="B626" s="14">
        <f>'2026 Orders'!B625</f>
        <v>0</v>
      </c>
      <c r="C626" s="14">
        <f>'2026 Orders'!C625</f>
        <v>0</v>
      </c>
      <c r="D626" s="14">
        <v>0</v>
      </c>
      <c r="E626" s="17" t="str" cm="1">
        <f t="array" ref="E626">IF(C626=0,"",
HYPERLINK(
"#'2026 Orders'!C"&amp;
MATCH(1,
('2026 Orders'!C:C=C626)*
('2026 Orders'!G:G=G626)*
('2026 Orders'!N:N=N626),
0),
"Open "&amp;C626
))</f>
        <v/>
      </c>
      <c r="F626" s="14">
        <v>0</v>
      </c>
      <c r="G626" s="14">
        <f>'2026 Orders'!G625</f>
        <v>0</v>
      </c>
      <c r="H626" s="14" t="str">
        <f>'2026 Orders'!H625</f>
        <v/>
      </c>
      <c r="I626" s="15" t="str">
        <f>'2026 Orders'!I625</f>
        <v/>
      </c>
      <c r="J626" s="14">
        <f>'2026 Orders'!J625</f>
        <v>0</v>
      </c>
      <c r="K626">
        <v>0</v>
      </c>
      <c r="L626">
        <v>0</v>
      </c>
      <c r="N626" s="10">
        <f>'2026 Orders'!N625</f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C626" t="str">
        <f>IF(OR(B626="",B626=0),"",$AJ$2&amp;"/"&amp;J626)</f>
        <v/>
      </c>
      <c r="AD626" t="str">
        <f t="shared" si="9"/>
        <v/>
      </c>
    </row>
    <row r="627" spans="2:30" ht="33" hidden="1" customHeight="1" x14ac:dyDescent="0.3">
      <c r="B627" s="14">
        <f>'2026 Orders'!B626</f>
        <v>0</v>
      </c>
      <c r="C627" s="14">
        <f>'2026 Orders'!C626</f>
        <v>0</v>
      </c>
      <c r="D627" s="14">
        <v>0</v>
      </c>
      <c r="E627" s="17" t="str" cm="1">
        <f t="array" ref="E627">IF(C627=0,"",
HYPERLINK(
"#'2026 Orders'!C"&amp;
MATCH(1,
('2026 Orders'!C:C=C627)*
('2026 Orders'!G:G=G627)*
('2026 Orders'!N:N=N627),
0),
"Open "&amp;C627
))</f>
        <v/>
      </c>
      <c r="F627" s="14">
        <v>0</v>
      </c>
      <c r="G627" s="14">
        <f>'2026 Orders'!G626</f>
        <v>0</v>
      </c>
      <c r="H627" s="14" t="str">
        <f>'2026 Orders'!H626</f>
        <v/>
      </c>
      <c r="I627" s="15" t="str">
        <f>'2026 Orders'!I626</f>
        <v/>
      </c>
      <c r="J627" s="14">
        <f>'2026 Orders'!J626</f>
        <v>0</v>
      </c>
      <c r="K627">
        <v>0</v>
      </c>
      <c r="L627">
        <v>0</v>
      </c>
      <c r="N627" s="10">
        <f>'2026 Orders'!N626</f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C627" t="str">
        <f>IF(OR(B627="",B627=0),"",$AJ$2&amp;"/"&amp;J627)</f>
        <v/>
      </c>
      <c r="AD627" t="str">
        <f t="shared" si="9"/>
        <v/>
      </c>
    </row>
    <row r="628" spans="2:30" ht="33" hidden="1" customHeight="1" x14ac:dyDescent="0.3">
      <c r="B628" s="14">
        <f>'2026 Orders'!B627</f>
        <v>0</v>
      </c>
      <c r="C628" s="14">
        <f>'2026 Orders'!C627</f>
        <v>0</v>
      </c>
      <c r="D628" s="14">
        <v>0</v>
      </c>
      <c r="E628" s="17" t="str" cm="1">
        <f t="array" ref="E628">IF(C628=0,"",
HYPERLINK(
"#'2026 Orders'!C"&amp;
MATCH(1,
('2026 Orders'!C:C=C628)*
('2026 Orders'!G:G=G628)*
('2026 Orders'!N:N=N628),
0),
"Open "&amp;C628
))</f>
        <v/>
      </c>
      <c r="F628" s="14">
        <v>0</v>
      </c>
      <c r="G628" s="14">
        <f>'2026 Orders'!G627</f>
        <v>0</v>
      </c>
      <c r="H628" s="14" t="str">
        <f>'2026 Orders'!H627</f>
        <v/>
      </c>
      <c r="I628" s="15" t="str">
        <f>'2026 Orders'!I627</f>
        <v/>
      </c>
      <c r="J628" s="14">
        <f>'2026 Orders'!J627</f>
        <v>0</v>
      </c>
      <c r="K628">
        <v>0</v>
      </c>
      <c r="L628">
        <v>0</v>
      </c>
      <c r="N628" s="10">
        <f>'2026 Orders'!N627</f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C628" t="str">
        <f>IF(OR(B628="",B628=0),"",$AJ$2&amp;"/"&amp;J628)</f>
        <v/>
      </c>
      <c r="AD628" t="str">
        <f t="shared" si="9"/>
        <v/>
      </c>
    </row>
    <row r="629" spans="2:30" ht="33" hidden="1" customHeight="1" x14ac:dyDescent="0.3">
      <c r="B629" s="14">
        <f>'2026 Orders'!B628</f>
        <v>0</v>
      </c>
      <c r="C629" s="14">
        <f>'2026 Orders'!C628</f>
        <v>0</v>
      </c>
      <c r="D629" s="14">
        <v>0</v>
      </c>
      <c r="E629" s="17" t="str" cm="1">
        <f t="array" ref="E629">IF(C629=0,"",
HYPERLINK(
"#'2026 Orders'!C"&amp;
MATCH(1,
('2026 Orders'!C:C=C629)*
('2026 Orders'!G:G=G629)*
('2026 Orders'!N:N=N629),
0),
"Open "&amp;C629
))</f>
        <v/>
      </c>
      <c r="F629" s="14">
        <v>0</v>
      </c>
      <c r="G629" s="14">
        <f>'2026 Orders'!G628</f>
        <v>0</v>
      </c>
      <c r="H629" s="14" t="str">
        <f>'2026 Orders'!H628</f>
        <v/>
      </c>
      <c r="I629" s="15" t="str">
        <f>'2026 Orders'!I628</f>
        <v/>
      </c>
      <c r="J629" s="14">
        <f>'2026 Orders'!J628</f>
        <v>0</v>
      </c>
      <c r="K629">
        <v>0</v>
      </c>
      <c r="L629">
        <v>0</v>
      </c>
      <c r="N629" s="10">
        <f>'2026 Orders'!N628</f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C629" t="str">
        <f>IF(OR(B629="",B629=0),"",$AJ$2&amp;"/"&amp;J629)</f>
        <v/>
      </c>
      <c r="AD629" t="str">
        <f t="shared" si="9"/>
        <v/>
      </c>
    </row>
    <row r="630" spans="2:30" ht="33" hidden="1" customHeight="1" x14ac:dyDescent="0.3">
      <c r="B630" s="14">
        <f>'2026 Orders'!B629</f>
        <v>0</v>
      </c>
      <c r="C630" s="14">
        <f>'2026 Orders'!C629</f>
        <v>0</v>
      </c>
      <c r="D630" s="14">
        <v>0</v>
      </c>
      <c r="E630" s="17" t="str" cm="1">
        <f t="array" ref="E630">IF(C630=0,"",
HYPERLINK(
"#'2026 Orders'!C"&amp;
MATCH(1,
('2026 Orders'!C:C=C630)*
('2026 Orders'!G:G=G630)*
('2026 Orders'!N:N=N630),
0),
"Open "&amp;C630
))</f>
        <v/>
      </c>
      <c r="F630" s="14">
        <v>0</v>
      </c>
      <c r="G630" s="14">
        <f>'2026 Orders'!G629</f>
        <v>0</v>
      </c>
      <c r="H630" s="14" t="str">
        <f>'2026 Orders'!H629</f>
        <v/>
      </c>
      <c r="I630" s="15" t="str">
        <f>'2026 Orders'!I629</f>
        <v/>
      </c>
      <c r="J630" s="14">
        <f>'2026 Orders'!J629</f>
        <v>0</v>
      </c>
      <c r="K630">
        <v>0</v>
      </c>
      <c r="L630">
        <v>0</v>
      </c>
      <c r="N630" s="10">
        <f>'2026 Orders'!N629</f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C630" t="str">
        <f>IF(OR(B630="",B630=0),"",$AJ$2&amp;"/"&amp;J630)</f>
        <v/>
      </c>
      <c r="AD630" t="str">
        <f t="shared" si="9"/>
        <v/>
      </c>
    </row>
    <row r="631" spans="2:30" ht="33" hidden="1" customHeight="1" x14ac:dyDescent="0.3">
      <c r="B631" s="14">
        <f>'2026 Orders'!B630</f>
        <v>0</v>
      </c>
      <c r="C631" s="14">
        <f>'2026 Orders'!C630</f>
        <v>0</v>
      </c>
      <c r="D631" s="14">
        <v>0</v>
      </c>
      <c r="E631" s="17" t="str" cm="1">
        <f t="array" ref="E631">IF(C631=0,"",
HYPERLINK(
"#'2026 Orders'!C"&amp;
MATCH(1,
('2026 Orders'!C:C=C631)*
('2026 Orders'!G:G=G631)*
('2026 Orders'!N:N=N631),
0),
"Open "&amp;C631
))</f>
        <v/>
      </c>
      <c r="F631" s="14">
        <v>0</v>
      </c>
      <c r="G631" s="14">
        <f>'2026 Orders'!G630</f>
        <v>0</v>
      </c>
      <c r="H631" s="14" t="str">
        <f>'2026 Orders'!H630</f>
        <v/>
      </c>
      <c r="I631" s="15" t="str">
        <f>'2026 Orders'!I630</f>
        <v/>
      </c>
      <c r="J631" s="14">
        <f>'2026 Orders'!J630</f>
        <v>0</v>
      </c>
      <c r="K631">
        <v>0</v>
      </c>
      <c r="L631">
        <v>0</v>
      </c>
      <c r="N631" s="10">
        <f>'2026 Orders'!N630</f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C631" t="str">
        <f>IF(OR(B631="",B631=0),"",$AJ$2&amp;"/"&amp;J631)</f>
        <v/>
      </c>
      <c r="AD631" t="str">
        <f t="shared" si="9"/>
        <v/>
      </c>
    </row>
    <row r="632" spans="2:30" ht="33" hidden="1" customHeight="1" x14ac:dyDescent="0.3">
      <c r="B632" s="14">
        <f>'2026 Orders'!B631</f>
        <v>0</v>
      </c>
      <c r="C632" s="14">
        <f>'2026 Orders'!C631</f>
        <v>0</v>
      </c>
      <c r="D632" s="14">
        <v>0</v>
      </c>
      <c r="E632" s="17" t="str" cm="1">
        <f t="array" ref="E632">IF(C632=0,"",
HYPERLINK(
"#'2026 Orders'!C"&amp;
MATCH(1,
('2026 Orders'!C:C=C632)*
('2026 Orders'!G:G=G632)*
('2026 Orders'!N:N=N632),
0),
"Open "&amp;C632
))</f>
        <v/>
      </c>
      <c r="F632" s="14">
        <v>0</v>
      </c>
      <c r="G632" s="14">
        <f>'2026 Orders'!G631</f>
        <v>0</v>
      </c>
      <c r="H632" s="14" t="str">
        <f>'2026 Orders'!H631</f>
        <v/>
      </c>
      <c r="I632" s="15" t="str">
        <f>'2026 Orders'!I631</f>
        <v/>
      </c>
      <c r="J632" s="14">
        <f>'2026 Orders'!J631</f>
        <v>0</v>
      </c>
      <c r="K632">
        <v>0</v>
      </c>
      <c r="L632">
        <v>0</v>
      </c>
      <c r="N632" s="10">
        <f>'2026 Orders'!N631</f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C632" t="str">
        <f>IF(OR(B632="",B632=0),"",$AJ$2&amp;"/"&amp;J632)</f>
        <v/>
      </c>
      <c r="AD632" t="str">
        <f t="shared" si="9"/>
        <v/>
      </c>
    </row>
    <row r="633" spans="2:30" ht="33" hidden="1" customHeight="1" x14ac:dyDescent="0.3">
      <c r="B633" s="14">
        <f>'2026 Orders'!B632</f>
        <v>0</v>
      </c>
      <c r="C633" s="14">
        <f>'2026 Orders'!C632</f>
        <v>0</v>
      </c>
      <c r="D633" s="14">
        <v>0</v>
      </c>
      <c r="E633" s="17" t="str" cm="1">
        <f t="array" ref="E633">IF(C633=0,"",
HYPERLINK(
"#'2026 Orders'!C"&amp;
MATCH(1,
('2026 Orders'!C:C=C633)*
('2026 Orders'!G:G=G633)*
('2026 Orders'!N:N=N633),
0),
"Open "&amp;C633
))</f>
        <v/>
      </c>
      <c r="F633" s="14">
        <v>0</v>
      </c>
      <c r="G633" s="14">
        <f>'2026 Orders'!G632</f>
        <v>0</v>
      </c>
      <c r="H633" s="14" t="str">
        <f>'2026 Orders'!H632</f>
        <v/>
      </c>
      <c r="I633" s="15" t="str">
        <f>'2026 Orders'!I632</f>
        <v/>
      </c>
      <c r="J633" s="14">
        <f>'2026 Orders'!J632</f>
        <v>0</v>
      </c>
      <c r="K633">
        <v>0</v>
      </c>
      <c r="L633">
        <v>0</v>
      </c>
      <c r="N633" s="10">
        <f>'2026 Orders'!N632</f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C633" t="str">
        <f>IF(OR(B633="",B633=0),"",$AJ$2&amp;"/"&amp;J633)</f>
        <v/>
      </c>
      <c r="AD633" t="str">
        <f t="shared" si="9"/>
        <v/>
      </c>
    </row>
    <row r="634" spans="2:30" ht="33" hidden="1" customHeight="1" x14ac:dyDescent="0.3">
      <c r="B634" s="14">
        <f>'2026 Orders'!B633</f>
        <v>0</v>
      </c>
      <c r="C634" s="14">
        <f>'2026 Orders'!C633</f>
        <v>0</v>
      </c>
      <c r="D634" s="14">
        <v>0</v>
      </c>
      <c r="E634" s="17" t="str" cm="1">
        <f t="array" ref="E634">IF(C634=0,"",
HYPERLINK(
"#'2026 Orders'!C"&amp;
MATCH(1,
('2026 Orders'!C:C=C634)*
('2026 Orders'!G:G=G634)*
('2026 Orders'!N:N=N634),
0),
"Open "&amp;C634
))</f>
        <v/>
      </c>
      <c r="F634" s="14">
        <v>0</v>
      </c>
      <c r="G634" s="14">
        <f>'2026 Orders'!G633</f>
        <v>0</v>
      </c>
      <c r="H634" s="14" t="str">
        <f>'2026 Orders'!H633</f>
        <v/>
      </c>
      <c r="I634" s="15" t="str">
        <f>'2026 Orders'!I633</f>
        <v/>
      </c>
      <c r="J634" s="14">
        <f>'2026 Orders'!J633</f>
        <v>0</v>
      </c>
      <c r="K634">
        <v>0</v>
      </c>
      <c r="L634">
        <v>0</v>
      </c>
      <c r="N634" s="10">
        <f>'2026 Orders'!N633</f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C634" t="str">
        <f>IF(OR(B634="",B634=0),"",$AJ$2&amp;"/"&amp;J634)</f>
        <v/>
      </c>
      <c r="AD634" t="str">
        <f t="shared" si="9"/>
        <v/>
      </c>
    </row>
    <row r="635" spans="2:30" ht="33" hidden="1" customHeight="1" x14ac:dyDescent="0.3">
      <c r="B635" s="14">
        <f>'2026 Orders'!B634</f>
        <v>0</v>
      </c>
      <c r="C635" s="14">
        <f>'2026 Orders'!C634</f>
        <v>0</v>
      </c>
      <c r="D635" s="14">
        <v>0</v>
      </c>
      <c r="E635" s="17" t="str" cm="1">
        <f t="array" ref="E635">IF(C635=0,"",
HYPERLINK(
"#'2026 Orders'!C"&amp;
MATCH(1,
('2026 Orders'!C:C=C635)*
('2026 Orders'!G:G=G635)*
('2026 Orders'!N:N=N635),
0),
"Open "&amp;C635
))</f>
        <v/>
      </c>
      <c r="F635" s="14">
        <v>0</v>
      </c>
      <c r="G635" s="14">
        <f>'2026 Orders'!G634</f>
        <v>0</v>
      </c>
      <c r="H635" s="14" t="str">
        <f>'2026 Orders'!H634</f>
        <v/>
      </c>
      <c r="I635" s="15" t="str">
        <f>'2026 Orders'!I634</f>
        <v/>
      </c>
      <c r="J635" s="14">
        <f>'2026 Orders'!J634</f>
        <v>0</v>
      </c>
      <c r="K635">
        <v>0</v>
      </c>
      <c r="L635">
        <v>0</v>
      </c>
      <c r="N635" s="10">
        <f>'2026 Orders'!N634</f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C635" t="str">
        <f>IF(OR(B635="",B635=0),"",$AJ$2&amp;"/"&amp;J635)</f>
        <v/>
      </c>
      <c r="AD635" t="str">
        <f t="shared" si="9"/>
        <v/>
      </c>
    </row>
    <row r="636" spans="2:30" ht="33" hidden="1" customHeight="1" x14ac:dyDescent="0.3">
      <c r="B636" s="14">
        <f>'2026 Orders'!B635</f>
        <v>0</v>
      </c>
      <c r="C636" s="14">
        <f>'2026 Orders'!C635</f>
        <v>0</v>
      </c>
      <c r="D636" s="14">
        <v>0</v>
      </c>
      <c r="E636" s="17" t="str" cm="1">
        <f t="array" ref="E636">IF(C636=0,"",
HYPERLINK(
"#'2026 Orders'!C"&amp;
MATCH(1,
('2026 Orders'!C:C=C636)*
('2026 Orders'!G:G=G636)*
('2026 Orders'!N:N=N636),
0),
"Open "&amp;C636
))</f>
        <v/>
      </c>
      <c r="F636" s="14">
        <v>0</v>
      </c>
      <c r="G636" s="14">
        <f>'2026 Orders'!G635</f>
        <v>0</v>
      </c>
      <c r="H636" s="14" t="str">
        <f>'2026 Orders'!H635</f>
        <v/>
      </c>
      <c r="I636" s="15" t="str">
        <f>'2026 Orders'!I635</f>
        <v/>
      </c>
      <c r="J636" s="14">
        <f>'2026 Orders'!J635</f>
        <v>0</v>
      </c>
      <c r="K636">
        <v>0</v>
      </c>
      <c r="L636">
        <v>0</v>
      </c>
      <c r="N636" s="10">
        <f>'2026 Orders'!N635</f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C636" t="str">
        <f>IF(OR(B636="",B636=0),"",$AJ$2&amp;"/"&amp;J636)</f>
        <v/>
      </c>
      <c r="AD636" t="str">
        <f t="shared" si="9"/>
        <v/>
      </c>
    </row>
    <row r="637" spans="2:30" ht="33" hidden="1" customHeight="1" x14ac:dyDescent="0.3">
      <c r="B637" s="14">
        <f>'2026 Orders'!B636</f>
        <v>0</v>
      </c>
      <c r="C637" s="14">
        <f>'2026 Orders'!C636</f>
        <v>0</v>
      </c>
      <c r="D637" s="14">
        <v>0</v>
      </c>
      <c r="E637" s="17" t="str" cm="1">
        <f t="array" ref="E637">IF(C637=0,"",
HYPERLINK(
"#'2026 Orders'!C"&amp;
MATCH(1,
('2026 Orders'!C:C=C637)*
('2026 Orders'!G:G=G637)*
('2026 Orders'!N:N=N637),
0),
"Open "&amp;C637
))</f>
        <v/>
      </c>
      <c r="F637" s="14">
        <v>0</v>
      </c>
      <c r="G637" s="14">
        <f>'2026 Orders'!G636</f>
        <v>0</v>
      </c>
      <c r="H637" s="14" t="str">
        <f>'2026 Orders'!H636</f>
        <v/>
      </c>
      <c r="I637" s="15" t="str">
        <f>'2026 Orders'!I636</f>
        <v/>
      </c>
      <c r="J637" s="14">
        <f>'2026 Orders'!J636</f>
        <v>0</v>
      </c>
      <c r="K637">
        <v>0</v>
      </c>
      <c r="L637">
        <v>0</v>
      </c>
      <c r="N637" s="10">
        <f>'2026 Orders'!N636</f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C637" t="str">
        <f>IF(OR(B637="",B637=0),"",$AJ$2&amp;"/"&amp;J637)</f>
        <v/>
      </c>
      <c r="AD637" t="str">
        <f t="shared" si="9"/>
        <v/>
      </c>
    </row>
    <row r="638" spans="2:30" ht="33" hidden="1" customHeight="1" x14ac:dyDescent="0.3">
      <c r="B638" s="14">
        <f>'2026 Orders'!B637</f>
        <v>0</v>
      </c>
      <c r="C638" s="14">
        <f>'2026 Orders'!C637</f>
        <v>0</v>
      </c>
      <c r="D638" s="14">
        <v>0</v>
      </c>
      <c r="E638" s="17" t="str" cm="1">
        <f t="array" ref="E638">IF(C638=0,"",
HYPERLINK(
"#'2026 Orders'!C"&amp;
MATCH(1,
('2026 Orders'!C:C=C638)*
('2026 Orders'!G:G=G638)*
('2026 Orders'!N:N=N638),
0),
"Open "&amp;C638
))</f>
        <v/>
      </c>
      <c r="F638" s="14">
        <v>0</v>
      </c>
      <c r="G638" s="14">
        <f>'2026 Orders'!G637</f>
        <v>0</v>
      </c>
      <c r="H638" s="14" t="str">
        <f>'2026 Orders'!H637</f>
        <v/>
      </c>
      <c r="I638" s="15" t="str">
        <f>'2026 Orders'!I637</f>
        <v/>
      </c>
      <c r="J638" s="14">
        <f>'2026 Orders'!J637</f>
        <v>0</v>
      </c>
      <c r="K638">
        <v>0</v>
      </c>
      <c r="L638">
        <v>0</v>
      </c>
      <c r="N638" s="10">
        <f>'2026 Orders'!N637</f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C638" t="str">
        <f>IF(OR(B638="",B638=0),"",$AJ$2&amp;"/"&amp;J638)</f>
        <v/>
      </c>
      <c r="AD638" t="str">
        <f t="shared" si="9"/>
        <v/>
      </c>
    </row>
    <row r="639" spans="2:30" ht="33" hidden="1" customHeight="1" x14ac:dyDescent="0.3">
      <c r="B639" s="14">
        <f>'2026 Orders'!B638</f>
        <v>0</v>
      </c>
      <c r="C639" s="14">
        <f>'2026 Orders'!C638</f>
        <v>0</v>
      </c>
      <c r="D639" s="14">
        <v>0</v>
      </c>
      <c r="E639" s="17" t="str" cm="1">
        <f t="array" ref="E639">IF(C639=0,"",
HYPERLINK(
"#'2026 Orders'!C"&amp;
MATCH(1,
('2026 Orders'!C:C=C639)*
('2026 Orders'!G:G=G639)*
('2026 Orders'!N:N=N639),
0),
"Open "&amp;C639
))</f>
        <v/>
      </c>
      <c r="F639" s="14">
        <v>0</v>
      </c>
      <c r="G639" s="14">
        <f>'2026 Orders'!G638</f>
        <v>0</v>
      </c>
      <c r="H639" s="14" t="str">
        <f>'2026 Orders'!H638</f>
        <v/>
      </c>
      <c r="I639" s="15" t="str">
        <f>'2026 Orders'!I638</f>
        <v/>
      </c>
      <c r="J639" s="14">
        <f>'2026 Orders'!J638</f>
        <v>0</v>
      </c>
      <c r="K639">
        <v>0</v>
      </c>
      <c r="L639">
        <v>0</v>
      </c>
      <c r="N639" s="10">
        <f>'2026 Orders'!N638</f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C639" t="str">
        <f>IF(OR(B639="",B639=0),"",$AJ$2&amp;"/"&amp;J639)</f>
        <v/>
      </c>
      <c r="AD639" t="str">
        <f t="shared" si="9"/>
        <v/>
      </c>
    </row>
    <row r="640" spans="2:30" ht="33" hidden="1" customHeight="1" x14ac:dyDescent="0.3">
      <c r="B640" s="14">
        <f>'2026 Orders'!B639</f>
        <v>0</v>
      </c>
      <c r="C640" s="14">
        <f>'2026 Orders'!C639</f>
        <v>0</v>
      </c>
      <c r="D640" s="14">
        <v>0</v>
      </c>
      <c r="E640" s="17" t="str" cm="1">
        <f t="array" ref="E640">IF(C640=0,"",
HYPERLINK(
"#'2026 Orders'!C"&amp;
MATCH(1,
('2026 Orders'!C:C=C640)*
('2026 Orders'!G:G=G640)*
('2026 Orders'!N:N=N640),
0),
"Open "&amp;C640
))</f>
        <v/>
      </c>
      <c r="F640" s="14">
        <v>0</v>
      </c>
      <c r="G640" s="14">
        <f>'2026 Orders'!G639</f>
        <v>0</v>
      </c>
      <c r="H640" s="14" t="str">
        <f>'2026 Orders'!H639</f>
        <v/>
      </c>
      <c r="I640" s="15" t="str">
        <f>'2026 Orders'!I639</f>
        <v/>
      </c>
      <c r="J640" s="14">
        <f>'2026 Orders'!J639</f>
        <v>0</v>
      </c>
      <c r="K640">
        <v>0</v>
      </c>
      <c r="L640">
        <v>0</v>
      </c>
      <c r="N640" s="10">
        <f>'2026 Orders'!N639</f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C640" t="str">
        <f>IF(OR(B640="",B640=0),"",$AJ$2&amp;"/"&amp;J640)</f>
        <v/>
      </c>
      <c r="AD640" t="str">
        <f t="shared" si="9"/>
        <v/>
      </c>
    </row>
    <row r="641" spans="2:30" ht="33" hidden="1" customHeight="1" x14ac:dyDescent="0.3">
      <c r="B641" s="14">
        <f>'2026 Orders'!B640</f>
        <v>0</v>
      </c>
      <c r="C641" s="14">
        <f>'2026 Orders'!C640</f>
        <v>0</v>
      </c>
      <c r="D641" s="14">
        <v>0</v>
      </c>
      <c r="E641" s="17" t="str" cm="1">
        <f t="array" ref="E641">IF(C641=0,"",
HYPERLINK(
"#'2026 Orders'!C"&amp;
MATCH(1,
('2026 Orders'!C:C=C641)*
('2026 Orders'!G:G=G641)*
('2026 Orders'!N:N=N641),
0),
"Open "&amp;C641
))</f>
        <v/>
      </c>
      <c r="F641" s="14">
        <v>0</v>
      </c>
      <c r="G641" s="14">
        <f>'2026 Orders'!G640</f>
        <v>0</v>
      </c>
      <c r="H641" s="14" t="str">
        <f>'2026 Orders'!H640</f>
        <v/>
      </c>
      <c r="I641" s="15" t="str">
        <f>'2026 Orders'!I640</f>
        <v/>
      </c>
      <c r="J641" s="14">
        <f>'2026 Orders'!J640</f>
        <v>0</v>
      </c>
      <c r="K641">
        <v>0</v>
      </c>
      <c r="L641">
        <v>0</v>
      </c>
      <c r="N641" s="10">
        <f>'2026 Orders'!N640</f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C641" t="str">
        <f>IF(OR(B641="",B641=0),"",$AJ$2&amp;"/"&amp;J641)</f>
        <v/>
      </c>
      <c r="AD641" t="str">
        <f t="shared" si="9"/>
        <v/>
      </c>
    </row>
    <row r="642" spans="2:30" ht="33" hidden="1" customHeight="1" x14ac:dyDescent="0.3">
      <c r="B642" s="14">
        <f>'2026 Orders'!B641</f>
        <v>0</v>
      </c>
      <c r="C642" s="14">
        <f>'2026 Orders'!C641</f>
        <v>0</v>
      </c>
      <c r="D642" s="14">
        <v>0</v>
      </c>
      <c r="E642" s="17" t="str" cm="1">
        <f t="array" ref="E642">IF(C642=0,"",
HYPERLINK(
"#'2026 Orders'!C"&amp;
MATCH(1,
('2026 Orders'!C:C=C642)*
('2026 Orders'!G:G=G642)*
('2026 Orders'!N:N=N642),
0),
"Open "&amp;C642
))</f>
        <v/>
      </c>
      <c r="F642" s="14">
        <v>0</v>
      </c>
      <c r="G642" s="14">
        <f>'2026 Orders'!G641</f>
        <v>0</v>
      </c>
      <c r="H642" s="14" t="str">
        <f>'2026 Orders'!H641</f>
        <v/>
      </c>
      <c r="I642" s="15" t="str">
        <f>'2026 Orders'!I641</f>
        <v/>
      </c>
      <c r="J642" s="14">
        <f>'2026 Orders'!J641</f>
        <v>0</v>
      </c>
      <c r="K642">
        <v>0</v>
      </c>
      <c r="L642">
        <v>0</v>
      </c>
      <c r="N642" s="10">
        <f>'2026 Orders'!N641</f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C642" t="str">
        <f>IF(OR(B642="",B642=0),"",$AJ$2&amp;"/"&amp;J642)</f>
        <v/>
      </c>
      <c r="AD642" t="str">
        <f t="shared" si="9"/>
        <v/>
      </c>
    </row>
    <row r="643" spans="2:30" ht="33" hidden="1" customHeight="1" x14ac:dyDescent="0.3">
      <c r="B643" s="14">
        <f>'2026 Orders'!B642</f>
        <v>0</v>
      </c>
      <c r="C643" s="14">
        <f>'2026 Orders'!C642</f>
        <v>0</v>
      </c>
      <c r="D643" s="14">
        <v>0</v>
      </c>
      <c r="E643" s="17" t="str" cm="1">
        <f t="array" ref="E643">IF(C643=0,"",
HYPERLINK(
"#'2026 Orders'!C"&amp;
MATCH(1,
('2026 Orders'!C:C=C643)*
('2026 Orders'!G:G=G643)*
('2026 Orders'!N:N=N643),
0),
"Open "&amp;C643
))</f>
        <v/>
      </c>
      <c r="F643" s="14">
        <v>0</v>
      </c>
      <c r="G643" s="14">
        <f>'2026 Orders'!G642</f>
        <v>0</v>
      </c>
      <c r="H643" s="14" t="str">
        <f>'2026 Orders'!H642</f>
        <v/>
      </c>
      <c r="I643" s="15" t="str">
        <f>'2026 Orders'!I642</f>
        <v/>
      </c>
      <c r="J643" s="14">
        <f>'2026 Orders'!J642</f>
        <v>0</v>
      </c>
      <c r="K643">
        <v>0</v>
      </c>
      <c r="L643">
        <v>0</v>
      </c>
      <c r="N643" s="10">
        <f>'2026 Orders'!N642</f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C643" t="str">
        <f>IF(OR(B643="",B643=0),"",$AJ$2&amp;"/"&amp;J643)</f>
        <v/>
      </c>
      <c r="AD643" t="str">
        <f t="shared" ref="AD643:AD652" si="10">IF(OR(J643="",J643=0),"",$AK$2&amp;" -&gt; "&amp;I643)</f>
        <v/>
      </c>
    </row>
    <row r="644" spans="2:30" ht="33" hidden="1" customHeight="1" x14ac:dyDescent="0.3">
      <c r="B644" s="14">
        <f>'2026 Orders'!B643</f>
        <v>0</v>
      </c>
      <c r="C644" s="14">
        <f>'2026 Orders'!C643</f>
        <v>0</v>
      </c>
      <c r="D644" s="14">
        <v>0</v>
      </c>
      <c r="E644" s="17" t="str" cm="1">
        <f t="array" ref="E644">IF(C644=0,"",
HYPERLINK(
"#'2026 Orders'!C"&amp;
MATCH(1,
('2026 Orders'!C:C=C644)*
('2026 Orders'!G:G=G644)*
('2026 Orders'!N:N=N644),
0),
"Open "&amp;C644
))</f>
        <v/>
      </c>
      <c r="F644" s="14">
        <v>0</v>
      </c>
      <c r="G644" s="14">
        <f>'2026 Orders'!G643</f>
        <v>0</v>
      </c>
      <c r="H644" s="14" t="str">
        <f>'2026 Orders'!H643</f>
        <v/>
      </c>
      <c r="I644" s="15" t="str">
        <f>'2026 Orders'!I643</f>
        <v/>
      </c>
      <c r="J644" s="14">
        <f>'2026 Orders'!J643</f>
        <v>0</v>
      </c>
      <c r="K644">
        <v>0</v>
      </c>
      <c r="L644">
        <v>0</v>
      </c>
      <c r="N644" s="10">
        <f>'2026 Orders'!N643</f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C644" t="str">
        <f>IF(OR(B644="",B644=0),"",$AJ$2&amp;"/"&amp;J644)</f>
        <v/>
      </c>
      <c r="AD644" t="str">
        <f t="shared" si="10"/>
        <v/>
      </c>
    </row>
    <row r="645" spans="2:30" ht="33" hidden="1" customHeight="1" x14ac:dyDescent="0.3">
      <c r="B645" s="14">
        <f>'2026 Orders'!B644</f>
        <v>0</v>
      </c>
      <c r="C645" s="14">
        <f>'2026 Orders'!C644</f>
        <v>0</v>
      </c>
      <c r="D645" s="14">
        <v>0</v>
      </c>
      <c r="E645" s="17" t="str" cm="1">
        <f t="array" ref="E645">IF(C645=0,"",
HYPERLINK(
"#'2026 Orders'!C"&amp;
MATCH(1,
('2026 Orders'!C:C=C645)*
('2026 Orders'!G:G=G645)*
('2026 Orders'!N:N=N645),
0),
"Open "&amp;C645
))</f>
        <v/>
      </c>
      <c r="F645" s="14">
        <v>0</v>
      </c>
      <c r="G645" s="14">
        <f>'2026 Orders'!G644</f>
        <v>0</v>
      </c>
      <c r="H645" s="14" t="str">
        <f>'2026 Orders'!H644</f>
        <v/>
      </c>
      <c r="I645" s="15" t="str">
        <f>'2026 Orders'!I644</f>
        <v/>
      </c>
      <c r="J645" s="14">
        <f>'2026 Orders'!J644</f>
        <v>0</v>
      </c>
      <c r="K645">
        <v>0</v>
      </c>
      <c r="L645">
        <v>0</v>
      </c>
      <c r="N645" s="10">
        <f>'2026 Orders'!N644</f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C645" t="str">
        <f>IF(OR(B645="",B645=0),"",$AJ$2&amp;"/"&amp;J645)</f>
        <v/>
      </c>
      <c r="AD645" t="str">
        <f t="shared" si="10"/>
        <v/>
      </c>
    </row>
    <row r="646" spans="2:30" ht="33" hidden="1" customHeight="1" x14ac:dyDescent="0.3">
      <c r="B646" s="14">
        <f>'2026 Orders'!B645</f>
        <v>0</v>
      </c>
      <c r="C646" s="14">
        <f>'2026 Orders'!C645</f>
        <v>0</v>
      </c>
      <c r="D646" s="14">
        <v>0</v>
      </c>
      <c r="E646" s="17" t="str" cm="1">
        <f t="array" ref="E646">IF(C646=0,"",
HYPERLINK(
"#'2026 Orders'!C"&amp;
MATCH(1,
('2026 Orders'!C:C=C646)*
('2026 Orders'!G:G=G646)*
('2026 Orders'!N:N=N646),
0),
"Open "&amp;C646
))</f>
        <v/>
      </c>
      <c r="F646" s="14">
        <v>0</v>
      </c>
      <c r="G646" s="14">
        <f>'2026 Orders'!G645</f>
        <v>0</v>
      </c>
      <c r="H646" s="14" t="str">
        <f>'2026 Orders'!H645</f>
        <v/>
      </c>
      <c r="I646" s="15" t="str">
        <f>'2026 Orders'!I645</f>
        <v/>
      </c>
      <c r="J646" s="14">
        <f>'2026 Orders'!J645</f>
        <v>0</v>
      </c>
      <c r="K646">
        <v>0</v>
      </c>
      <c r="L646">
        <v>0</v>
      </c>
      <c r="N646" s="10">
        <f>'2026 Orders'!N645</f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C646" t="str">
        <f>IF(OR(B646="",B646=0),"",$AJ$2&amp;"/"&amp;J646)</f>
        <v/>
      </c>
      <c r="AD646" t="str">
        <f t="shared" si="10"/>
        <v/>
      </c>
    </row>
    <row r="647" spans="2:30" ht="33" hidden="1" customHeight="1" x14ac:dyDescent="0.3">
      <c r="B647" s="14">
        <f>'2026 Orders'!B646</f>
        <v>0</v>
      </c>
      <c r="C647" s="14">
        <f>'2026 Orders'!C646</f>
        <v>0</v>
      </c>
      <c r="D647" s="14">
        <v>0</v>
      </c>
      <c r="E647" s="17" t="str" cm="1">
        <f t="array" ref="E647">IF(C647=0,"",
HYPERLINK(
"#'2026 Orders'!C"&amp;
MATCH(1,
('2026 Orders'!C:C=C647)*
('2026 Orders'!G:G=G647)*
('2026 Orders'!N:N=N647),
0),
"Open "&amp;C647
))</f>
        <v/>
      </c>
      <c r="F647" s="14">
        <v>0</v>
      </c>
      <c r="G647" s="14">
        <f>'2026 Orders'!G646</f>
        <v>0</v>
      </c>
      <c r="H647" s="14" t="str">
        <f>'2026 Orders'!H646</f>
        <v/>
      </c>
      <c r="I647" s="15" t="str">
        <f>'2026 Orders'!I646</f>
        <v/>
      </c>
      <c r="J647" s="14">
        <f>'2026 Orders'!J646</f>
        <v>0</v>
      </c>
      <c r="K647">
        <v>0</v>
      </c>
      <c r="L647">
        <v>0</v>
      </c>
      <c r="N647" s="10">
        <f>'2026 Orders'!N646</f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C647" t="str">
        <f>IF(OR(B647="",B647=0),"",$AJ$2&amp;"/"&amp;J647)</f>
        <v/>
      </c>
      <c r="AD647" t="str">
        <f t="shared" si="10"/>
        <v/>
      </c>
    </row>
    <row r="648" spans="2:30" ht="33" hidden="1" customHeight="1" x14ac:dyDescent="0.3">
      <c r="B648" s="14">
        <f>'2026 Orders'!B647</f>
        <v>0</v>
      </c>
      <c r="C648" s="14">
        <f>'2026 Orders'!C647</f>
        <v>0</v>
      </c>
      <c r="D648" s="14">
        <v>0</v>
      </c>
      <c r="E648" s="17" t="str" cm="1">
        <f t="array" ref="E648">IF(C648=0,"",
HYPERLINK(
"#'2026 Orders'!C"&amp;
MATCH(1,
('2026 Orders'!C:C=C648)*
('2026 Orders'!G:G=G648)*
('2026 Orders'!N:N=N648),
0),
"Open "&amp;C648
))</f>
        <v/>
      </c>
      <c r="F648" s="14">
        <v>0</v>
      </c>
      <c r="G648" s="14">
        <f>'2026 Orders'!G647</f>
        <v>0</v>
      </c>
      <c r="H648" s="14" t="str">
        <f>'2026 Orders'!H647</f>
        <v/>
      </c>
      <c r="I648" s="15" t="str">
        <f>'2026 Orders'!I647</f>
        <v/>
      </c>
      <c r="J648" s="14">
        <f>'2026 Orders'!J647</f>
        <v>0</v>
      </c>
      <c r="K648">
        <v>0</v>
      </c>
      <c r="L648">
        <v>0</v>
      </c>
      <c r="N648" s="10">
        <f>'2026 Orders'!N647</f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C648" t="str">
        <f>IF(OR(B648="",B648=0),"",$AJ$2&amp;"/"&amp;J648)</f>
        <v/>
      </c>
      <c r="AD648" t="str">
        <f t="shared" si="10"/>
        <v/>
      </c>
    </row>
    <row r="649" spans="2:30" ht="33" hidden="1" customHeight="1" x14ac:dyDescent="0.3">
      <c r="B649" s="14">
        <f>'2026 Orders'!B648</f>
        <v>0</v>
      </c>
      <c r="C649" s="14">
        <f>'2026 Orders'!C648</f>
        <v>0</v>
      </c>
      <c r="D649" s="14">
        <v>0</v>
      </c>
      <c r="E649" s="17" t="str" cm="1">
        <f t="array" ref="E649">IF(C649=0,"",
HYPERLINK(
"#'2026 Orders'!C"&amp;
MATCH(1,
('2026 Orders'!C:C=C649)*
('2026 Orders'!G:G=G649)*
('2026 Orders'!N:N=N649),
0),
"Open "&amp;C649
))</f>
        <v/>
      </c>
      <c r="F649" s="14">
        <v>0</v>
      </c>
      <c r="G649" s="14">
        <f>'2026 Orders'!G648</f>
        <v>0</v>
      </c>
      <c r="H649" s="14" t="str">
        <f>'2026 Orders'!H648</f>
        <v/>
      </c>
      <c r="I649" s="15" t="str">
        <f>'2026 Orders'!I648</f>
        <v/>
      </c>
      <c r="J649" s="14">
        <f>'2026 Orders'!J648</f>
        <v>0</v>
      </c>
      <c r="K649">
        <v>0</v>
      </c>
      <c r="L649">
        <v>0</v>
      </c>
      <c r="N649" s="10">
        <f>'2026 Orders'!N648</f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C649" t="str">
        <f>IF(OR(B649="",B649=0),"",$AJ$2&amp;"/"&amp;J649)</f>
        <v/>
      </c>
      <c r="AD649" t="str">
        <f t="shared" si="10"/>
        <v/>
      </c>
    </row>
    <row r="650" spans="2:30" ht="33" hidden="1" customHeight="1" x14ac:dyDescent="0.3">
      <c r="B650" s="14">
        <f>'2026 Orders'!B649</f>
        <v>0</v>
      </c>
      <c r="C650" s="14">
        <f>'2026 Orders'!C649</f>
        <v>0</v>
      </c>
      <c r="D650" s="14">
        <v>0</v>
      </c>
      <c r="E650" s="17" t="str" cm="1">
        <f t="array" ref="E650">IF(C650=0,"",
HYPERLINK(
"#'2026 Orders'!C"&amp;
MATCH(1,
('2026 Orders'!C:C=C650)*
('2026 Orders'!G:G=G650)*
('2026 Orders'!N:N=N650),
0),
"Open "&amp;C650
))</f>
        <v/>
      </c>
      <c r="F650" s="14">
        <v>0</v>
      </c>
      <c r="G650" s="14">
        <f>'2026 Orders'!G649</f>
        <v>0</v>
      </c>
      <c r="H650" s="14" t="str">
        <f>'2026 Orders'!H649</f>
        <v/>
      </c>
      <c r="I650" s="15" t="str">
        <f>'2026 Orders'!I649</f>
        <v/>
      </c>
      <c r="J650" s="14">
        <f>'2026 Orders'!J649</f>
        <v>0</v>
      </c>
      <c r="K650">
        <v>0</v>
      </c>
      <c r="L650">
        <v>0</v>
      </c>
      <c r="N650" s="10">
        <f>'2026 Orders'!N649</f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C650" t="str">
        <f>IF(OR(B650="",B650=0),"",$AJ$2&amp;"/"&amp;J650)</f>
        <v/>
      </c>
      <c r="AD650" t="str">
        <f t="shared" si="10"/>
        <v/>
      </c>
    </row>
    <row r="651" spans="2:30" ht="33" hidden="1" customHeight="1" x14ac:dyDescent="0.3">
      <c r="B651" s="14">
        <f>'2026 Orders'!B650</f>
        <v>0</v>
      </c>
      <c r="C651" s="14">
        <f>'2026 Orders'!C650</f>
        <v>0</v>
      </c>
      <c r="D651" s="14">
        <v>0</v>
      </c>
      <c r="E651" s="17" t="str" cm="1">
        <f t="array" ref="E651">IF(C651=0,"",
HYPERLINK(
"#'2026 Orders'!C"&amp;
MATCH(1,
('2026 Orders'!C:C=C651)*
('2026 Orders'!G:G=G651)*
('2026 Orders'!N:N=N651),
0),
"Open "&amp;C651
))</f>
        <v/>
      </c>
      <c r="F651" s="14">
        <v>0</v>
      </c>
      <c r="G651" s="14">
        <f>'2026 Orders'!G650</f>
        <v>0</v>
      </c>
      <c r="H651" s="14" t="str">
        <f>'2026 Orders'!H650</f>
        <v/>
      </c>
      <c r="I651" s="15" t="str">
        <f>'2026 Orders'!I650</f>
        <v/>
      </c>
      <c r="J651" s="14">
        <f>'2026 Orders'!J650</f>
        <v>0</v>
      </c>
      <c r="K651">
        <v>0</v>
      </c>
      <c r="L651">
        <v>0</v>
      </c>
      <c r="N651" s="10">
        <f>'2026 Orders'!N650</f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C651" t="str">
        <f>IF(OR(B651="",B651=0),"",$AJ$2&amp;"/"&amp;J651)</f>
        <v/>
      </c>
      <c r="AD651" t="str">
        <f t="shared" si="10"/>
        <v/>
      </c>
    </row>
    <row r="652" spans="2:30" ht="33" hidden="1" customHeight="1" x14ac:dyDescent="0.3">
      <c r="B652" s="14">
        <f>'2026 Orders'!B651</f>
        <v>0</v>
      </c>
      <c r="C652" s="14">
        <f>'2026 Orders'!C651</f>
        <v>0</v>
      </c>
      <c r="D652" s="14">
        <v>0</v>
      </c>
      <c r="E652" s="17" t="str" cm="1">
        <f t="array" ref="E652">IF(C652=0,"",
HYPERLINK(
"#'2026 Orders'!C"&amp;
MATCH(1,
('2026 Orders'!C:C=C652)*
('2026 Orders'!G:G=G652)*
('2026 Orders'!N:N=N652),
0),
"Open "&amp;C652
))</f>
        <v/>
      </c>
      <c r="F652" s="14">
        <v>0</v>
      </c>
      <c r="G652" s="14">
        <f>'2026 Orders'!G651</f>
        <v>0</v>
      </c>
      <c r="H652" s="14" t="str">
        <f>'2026 Orders'!H651</f>
        <v/>
      </c>
      <c r="I652" s="15" t="str">
        <f>'2026 Orders'!I651</f>
        <v/>
      </c>
      <c r="J652" s="14">
        <f>'2026 Orders'!J651</f>
        <v>0</v>
      </c>
      <c r="K652">
        <v>0</v>
      </c>
      <c r="L652">
        <v>0</v>
      </c>
      <c r="N652" s="10">
        <f>'2026 Orders'!N651</f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C652" t="str">
        <f>IF(OR(B652="",B652=0),"",$AJ$2&amp;"/"&amp;J652)</f>
        <v/>
      </c>
      <c r="AD652" t="str">
        <f t="shared" si="10"/>
        <v/>
      </c>
    </row>
    <row r="653" spans="2:30" ht="33" customHeight="1" thickTop="1" x14ac:dyDescent="0.3">
      <c r="B653" s="10"/>
      <c r="C653" s="10"/>
      <c r="D653" s="10"/>
      <c r="E653" s="10"/>
      <c r="F653" s="10"/>
      <c r="G653" s="10"/>
      <c r="H653" s="10"/>
      <c r="I653" s="10"/>
      <c r="J653" s="10"/>
    </row>
    <row r="654" spans="2:30" ht="33" customHeight="1" x14ac:dyDescent="0.3">
      <c r="B654" s="10"/>
      <c r="C654" s="10"/>
      <c r="D654" s="10"/>
      <c r="E654" s="10"/>
      <c r="F654" s="10"/>
      <c r="G654" s="10"/>
      <c r="H654" s="10"/>
      <c r="I654" s="10"/>
      <c r="J654" s="10"/>
    </row>
    <row r="655" spans="2:30" ht="33" customHeight="1" x14ac:dyDescent="0.3">
      <c r="B655" s="10"/>
      <c r="C655" s="10"/>
      <c r="D655" s="10"/>
      <c r="E655" s="10"/>
      <c r="F655" s="10"/>
      <c r="G655" s="10"/>
      <c r="H655" s="10"/>
      <c r="I655" s="10"/>
      <c r="J655" s="10"/>
    </row>
    <row r="656" spans="2:30" ht="33" customHeight="1" x14ac:dyDescent="0.3">
      <c r="B656" s="10"/>
      <c r="C656" s="10"/>
      <c r="D656" s="10"/>
      <c r="E656" s="10"/>
      <c r="F656" s="10"/>
      <c r="G656" s="10"/>
      <c r="H656" s="10"/>
      <c r="I656" s="10"/>
      <c r="J656" s="10"/>
    </row>
    <row r="657" spans="2:10" ht="33" customHeight="1" x14ac:dyDescent="0.3">
      <c r="B657" s="10"/>
      <c r="C657" s="10"/>
      <c r="D657" s="10"/>
      <c r="E657" s="10"/>
      <c r="F657" s="10"/>
      <c r="G657" s="10"/>
      <c r="H657" s="10"/>
      <c r="I657" s="10"/>
      <c r="J657" s="10"/>
    </row>
    <row r="658" spans="2:10" ht="33" customHeight="1" x14ac:dyDescent="0.3">
      <c r="B658" s="10"/>
      <c r="C658" s="10"/>
      <c r="D658" s="10"/>
      <c r="E658" s="10"/>
      <c r="F658" s="10"/>
      <c r="G658" s="10"/>
      <c r="H658" s="10"/>
      <c r="I658" s="10"/>
      <c r="J658" s="10"/>
    </row>
    <row r="659" spans="2:10" ht="33" customHeight="1" x14ac:dyDescent="0.3">
      <c r="B659" s="10"/>
      <c r="C659" s="10"/>
      <c r="D659" s="10"/>
      <c r="E659" s="10"/>
      <c r="F659" s="10"/>
      <c r="G659" s="10"/>
      <c r="H659" s="10"/>
      <c r="I659" s="10"/>
      <c r="J659" s="10"/>
    </row>
    <row r="660" spans="2:10" ht="33" customHeight="1" x14ac:dyDescent="0.3">
      <c r="B660" s="10"/>
      <c r="C660" s="10"/>
      <c r="D660" s="10"/>
      <c r="E660" s="10"/>
      <c r="F660" s="10"/>
      <c r="G660" s="10"/>
      <c r="H660" s="10"/>
      <c r="I660" s="10"/>
      <c r="J660" s="10"/>
    </row>
    <row r="661" spans="2:10" ht="33" customHeight="1" x14ac:dyDescent="0.3">
      <c r="B661" s="10"/>
      <c r="C661" s="10"/>
      <c r="D661" s="10"/>
      <c r="E661" s="10"/>
      <c r="F661" s="10"/>
      <c r="G661" s="10"/>
      <c r="H661" s="10"/>
      <c r="I661" s="10"/>
      <c r="J661" s="10"/>
    </row>
    <row r="662" spans="2:10" ht="33" customHeight="1" x14ac:dyDescent="0.3">
      <c r="B662" s="10"/>
      <c r="C662" s="10"/>
      <c r="D662" s="10"/>
      <c r="E662" s="10"/>
      <c r="F662" s="10"/>
      <c r="G662" s="10"/>
      <c r="H662" s="10"/>
      <c r="I662" s="10"/>
      <c r="J662" s="10"/>
    </row>
    <row r="663" spans="2:10" ht="33" customHeight="1" x14ac:dyDescent="0.3">
      <c r="B663" s="10"/>
      <c r="C663" s="10"/>
      <c r="D663" s="10"/>
      <c r="E663" s="10"/>
      <c r="F663" s="10"/>
      <c r="G663" s="10"/>
      <c r="H663" s="10"/>
      <c r="I663" s="10"/>
      <c r="J663" s="10"/>
    </row>
    <row r="664" spans="2:10" ht="33" customHeight="1" x14ac:dyDescent="0.3">
      <c r="B664" s="10"/>
      <c r="C664" s="10"/>
      <c r="D664" s="10"/>
      <c r="E664" s="10"/>
      <c r="F664" s="10"/>
      <c r="G664" s="10"/>
      <c r="H664" s="10"/>
      <c r="I664" s="10"/>
      <c r="J664" s="10"/>
    </row>
    <row r="665" spans="2:10" ht="33" customHeight="1" x14ac:dyDescent="0.3">
      <c r="B665" s="10"/>
      <c r="C665" s="10"/>
      <c r="D665" s="10"/>
      <c r="E665" s="10"/>
      <c r="F665" s="10"/>
      <c r="G665" s="10"/>
      <c r="H665" s="10"/>
      <c r="I665" s="10"/>
      <c r="J665" s="10"/>
    </row>
    <row r="666" spans="2:10" ht="33" customHeight="1" x14ac:dyDescent="0.3">
      <c r="B666" s="10"/>
      <c r="C666" s="10"/>
      <c r="D666" s="10"/>
      <c r="E666" s="10"/>
      <c r="F666" s="10"/>
      <c r="G666" s="10"/>
      <c r="H666" s="10"/>
      <c r="I666" s="10"/>
      <c r="J666" s="10"/>
    </row>
    <row r="667" spans="2:10" ht="33" customHeight="1" x14ac:dyDescent="0.3">
      <c r="B667" s="10"/>
      <c r="C667" s="10"/>
      <c r="D667" s="10"/>
      <c r="E667" s="10"/>
      <c r="F667" s="10"/>
      <c r="G667" s="10"/>
      <c r="H667" s="10"/>
      <c r="I667" s="10"/>
      <c r="J667" s="10"/>
    </row>
    <row r="668" spans="2:10" ht="33" customHeight="1" x14ac:dyDescent="0.3">
      <c r="B668" s="10"/>
      <c r="C668" s="10"/>
      <c r="D668" s="10"/>
      <c r="E668" s="10"/>
      <c r="F668" s="10"/>
      <c r="G668" s="10"/>
      <c r="H668" s="10"/>
      <c r="I668" s="10"/>
      <c r="J668" s="10"/>
    </row>
    <row r="669" spans="2:10" ht="33" customHeight="1" x14ac:dyDescent="0.3">
      <c r="B669" s="10"/>
      <c r="C669" s="10"/>
      <c r="D669" s="10"/>
      <c r="E669" s="10"/>
      <c r="F669" s="10"/>
      <c r="G669" s="10"/>
      <c r="H669" s="10"/>
      <c r="I669" s="10"/>
      <c r="J669" s="10"/>
    </row>
    <row r="670" spans="2:10" ht="33" customHeight="1" x14ac:dyDescent="0.3">
      <c r="B670" s="10"/>
      <c r="C670" s="10"/>
      <c r="D670" s="10"/>
      <c r="E670" s="10"/>
      <c r="F670" s="10"/>
      <c r="G670" s="10"/>
      <c r="H670" s="10"/>
      <c r="I670" s="10"/>
      <c r="J670" s="10"/>
    </row>
    <row r="671" spans="2:10" ht="33" customHeight="1" x14ac:dyDescent="0.3">
      <c r="B671" s="10"/>
      <c r="C671" s="10"/>
      <c r="D671" s="10"/>
      <c r="E671" s="10"/>
      <c r="F671" s="10"/>
      <c r="G671" s="10"/>
      <c r="H671" s="10"/>
      <c r="I671" s="10"/>
      <c r="J671" s="10"/>
    </row>
    <row r="672" spans="2:10" ht="33" customHeight="1" x14ac:dyDescent="0.3">
      <c r="B672" s="10"/>
      <c r="C672" s="10"/>
      <c r="D672" s="10"/>
      <c r="E672" s="10"/>
      <c r="F672" s="10"/>
      <c r="G672" s="10"/>
      <c r="H672" s="10"/>
      <c r="I672" s="10"/>
      <c r="J672" s="10"/>
    </row>
    <row r="673" spans="2:10" ht="33" customHeight="1" x14ac:dyDescent="0.3">
      <c r="B673" s="10"/>
      <c r="C673" s="10"/>
      <c r="D673" s="10"/>
      <c r="E673" s="10"/>
      <c r="F673" s="10"/>
      <c r="G673" s="10"/>
      <c r="H673" s="10"/>
      <c r="I673" s="10"/>
      <c r="J673" s="10"/>
    </row>
    <row r="674" spans="2:10" ht="33" customHeight="1" x14ac:dyDescent="0.3">
      <c r="B674" s="10"/>
      <c r="C674" s="10"/>
      <c r="D674" s="10"/>
      <c r="E674" s="10"/>
      <c r="F674" s="10"/>
      <c r="G674" s="10"/>
      <c r="H674" s="10"/>
      <c r="I674" s="10"/>
      <c r="J674" s="10"/>
    </row>
    <row r="675" spans="2:10" ht="33" customHeight="1" x14ac:dyDescent="0.3">
      <c r="B675" s="10"/>
      <c r="C675" s="10"/>
      <c r="D675" s="10"/>
      <c r="E675" s="10"/>
      <c r="F675" s="10"/>
      <c r="G675" s="10"/>
      <c r="H675" s="10"/>
      <c r="I675" s="10"/>
      <c r="J675" s="10"/>
    </row>
    <row r="676" spans="2:10" ht="33" customHeight="1" x14ac:dyDescent="0.3">
      <c r="B676" s="10"/>
      <c r="C676" s="10"/>
      <c r="D676" s="10"/>
      <c r="E676" s="10"/>
      <c r="F676" s="10"/>
      <c r="G676" s="10"/>
      <c r="H676" s="10"/>
      <c r="I676" s="10"/>
      <c r="J676" s="10"/>
    </row>
    <row r="677" spans="2:10" ht="33" customHeight="1" x14ac:dyDescent="0.3">
      <c r="B677" s="10"/>
      <c r="C677" s="10"/>
      <c r="D677" s="10"/>
      <c r="E677" s="10"/>
      <c r="F677" s="10"/>
      <c r="G677" s="10"/>
      <c r="H677" s="10"/>
      <c r="I677" s="10"/>
      <c r="J677" s="10"/>
    </row>
    <row r="678" spans="2:10" ht="33" customHeight="1" x14ac:dyDescent="0.3">
      <c r="B678" s="10"/>
      <c r="C678" s="10"/>
      <c r="D678" s="10"/>
      <c r="E678" s="10"/>
      <c r="F678" s="10"/>
      <c r="G678" s="10"/>
      <c r="H678" s="10"/>
      <c r="I678" s="10"/>
      <c r="J678" s="10"/>
    </row>
    <row r="679" spans="2:10" ht="33" customHeight="1" x14ac:dyDescent="0.3">
      <c r="B679" s="10"/>
      <c r="C679" s="10"/>
      <c r="D679" s="10"/>
      <c r="E679" s="10"/>
      <c r="F679" s="10"/>
      <c r="G679" s="10"/>
      <c r="H679" s="10"/>
      <c r="I679" s="10"/>
      <c r="J679" s="10"/>
    </row>
    <row r="680" spans="2:10" ht="33" customHeight="1" x14ac:dyDescent="0.3">
      <c r="B680" s="10"/>
      <c r="C680" s="10"/>
      <c r="D680" s="10"/>
      <c r="E680" s="10"/>
      <c r="F680" s="10"/>
      <c r="G680" s="10"/>
      <c r="H680" s="10"/>
      <c r="I680" s="10"/>
      <c r="J680" s="10"/>
    </row>
    <row r="681" spans="2:10" ht="33" customHeight="1" x14ac:dyDescent="0.3">
      <c r="B681" s="10"/>
      <c r="C681" s="10"/>
      <c r="D681" s="10"/>
      <c r="E681" s="10"/>
      <c r="F681" s="10"/>
      <c r="G681" s="10"/>
      <c r="H681" s="10"/>
      <c r="I681" s="10"/>
      <c r="J681" s="10"/>
    </row>
    <row r="682" spans="2:10" ht="33" customHeight="1" x14ac:dyDescent="0.3">
      <c r="B682" s="10"/>
      <c r="C682" s="10"/>
      <c r="D682" s="10"/>
      <c r="E682" s="10"/>
      <c r="F682" s="10"/>
      <c r="G682" s="10"/>
      <c r="H682" s="10"/>
      <c r="I682" s="10"/>
      <c r="J682" s="10"/>
    </row>
    <row r="683" spans="2:10" ht="33" customHeight="1" x14ac:dyDescent="0.3">
      <c r="B683" s="10"/>
      <c r="C683" s="10"/>
      <c r="D683" s="10"/>
      <c r="E683" s="10"/>
      <c r="F683" s="10"/>
      <c r="G683" s="10"/>
      <c r="H683" s="10"/>
      <c r="I683" s="10"/>
      <c r="J683" s="10"/>
    </row>
    <row r="684" spans="2:10" ht="33" customHeight="1" x14ac:dyDescent="0.3">
      <c r="B684" s="10"/>
      <c r="C684" s="10"/>
      <c r="D684" s="10"/>
      <c r="E684" s="10"/>
      <c r="F684" s="10"/>
      <c r="G684" s="10"/>
      <c r="H684" s="10"/>
      <c r="I684" s="10"/>
      <c r="J684" s="10"/>
    </row>
    <row r="685" spans="2:10" ht="33" customHeight="1" x14ac:dyDescent="0.3">
      <c r="B685" s="10"/>
      <c r="C685" s="10"/>
      <c r="D685" s="10"/>
      <c r="E685" s="10"/>
      <c r="F685" s="10"/>
      <c r="G685" s="10"/>
      <c r="H685" s="10"/>
      <c r="I685" s="10"/>
      <c r="J685" s="10"/>
    </row>
    <row r="686" spans="2:10" ht="33" customHeight="1" x14ac:dyDescent="0.3">
      <c r="B686" s="10"/>
      <c r="C686" s="10"/>
      <c r="D686" s="10"/>
      <c r="E686" s="10"/>
      <c r="F686" s="10"/>
      <c r="G686" s="10"/>
      <c r="H686" s="10"/>
      <c r="I686" s="10"/>
      <c r="J686" s="10"/>
    </row>
    <row r="687" spans="2:10" ht="33" customHeight="1" x14ac:dyDescent="0.3">
      <c r="B687" s="10"/>
      <c r="C687" s="10"/>
      <c r="D687" s="10"/>
      <c r="E687" s="10"/>
      <c r="F687" s="10"/>
      <c r="G687" s="10"/>
      <c r="H687" s="10"/>
      <c r="I687" s="10"/>
      <c r="J687" s="10"/>
    </row>
    <row r="688" spans="2:10" ht="33" customHeight="1" x14ac:dyDescent="0.3">
      <c r="B688" s="10"/>
      <c r="C688" s="10"/>
      <c r="D688" s="10"/>
      <c r="E688" s="10"/>
      <c r="F688" s="10"/>
      <c r="G688" s="10"/>
      <c r="H688" s="10"/>
      <c r="I688" s="10"/>
      <c r="J688" s="10"/>
    </row>
    <row r="689" spans="2:10" ht="33" customHeight="1" x14ac:dyDescent="0.3">
      <c r="B689" s="10"/>
      <c r="C689" s="10"/>
      <c r="D689" s="10"/>
      <c r="E689" s="10"/>
      <c r="F689" s="10"/>
      <c r="G689" s="10"/>
      <c r="H689" s="10"/>
      <c r="I689" s="10"/>
      <c r="J689" s="10"/>
    </row>
    <row r="690" spans="2:10" ht="33" customHeight="1" x14ac:dyDescent="0.3">
      <c r="B690" s="10"/>
      <c r="C690" s="10"/>
      <c r="D690" s="10"/>
      <c r="E690" s="10"/>
      <c r="F690" s="10"/>
      <c r="G690" s="10"/>
      <c r="H690" s="10"/>
      <c r="I690" s="10"/>
      <c r="J690" s="10"/>
    </row>
    <row r="691" spans="2:10" ht="33" customHeight="1" x14ac:dyDescent="0.3">
      <c r="B691" s="10"/>
      <c r="C691" s="10"/>
      <c r="D691" s="10"/>
      <c r="E691" s="10"/>
      <c r="F691" s="10"/>
      <c r="G691" s="10"/>
      <c r="H691" s="10"/>
      <c r="I691" s="10"/>
      <c r="J691" s="10"/>
    </row>
    <row r="692" spans="2:10" ht="33" customHeight="1" x14ac:dyDescent="0.3">
      <c r="B692" s="10"/>
      <c r="C692" s="10"/>
      <c r="D692" s="10"/>
      <c r="E692" s="10"/>
      <c r="F692" s="10"/>
      <c r="G692" s="10"/>
      <c r="H692" s="10"/>
      <c r="I692" s="10"/>
      <c r="J692" s="10"/>
    </row>
    <row r="693" spans="2:10" ht="33" customHeight="1" x14ac:dyDescent="0.3">
      <c r="B693" s="10"/>
      <c r="C693" s="10"/>
      <c r="D693" s="10"/>
      <c r="E693" s="10"/>
      <c r="F693" s="10"/>
      <c r="G693" s="10"/>
      <c r="H693" s="10"/>
      <c r="I693" s="10"/>
      <c r="J693" s="10"/>
    </row>
    <row r="694" spans="2:10" ht="33" customHeight="1" x14ac:dyDescent="0.3">
      <c r="B694" s="10"/>
      <c r="C694" s="10"/>
      <c r="D694" s="10"/>
      <c r="E694" s="10"/>
      <c r="F694" s="10"/>
      <c r="G694" s="10"/>
      <c r="H694" s="10"/>
      <c r="I694" s="10"/>
      <c r="J694" s="10"/>
    </row>
    <row r="695" spans="2:10" ht="33" customHeight="1" x14ac:dyDescent="0.3">
      <c r="B695" s="10"/>
      <c r="C695" s="10"/>
      <c r="D695" s="10"/>
      <c r="E695" s="10"/>
      <c r="F695" s="10"/>
      <c r="G695" s="10"/>
      <c r="H695" s="10"/>
      <c r="I695" s="10"/>
      <c r="J695" s="10"/>
    </row>
    <row r="696" spans="2:10" ht="33" customHeight="1" x14ac:dyDescent="0.3">
      <c r="B696" s="10"/>
      <c r="C696" s="10"/>
      <c r="D696" s="10"/>
      <c r="E696" s="10"/>
      <c r="F696" s="10"/>
      <c r="G696" s="10"/>
      <c r="H696" s="10"/>
      <c r="I696" s="10"/>
      <c r="J696" s="10"/>
    </row>
    <row r="697" spans="2:10" ht="33" customHeight="1" x14ac:dyDescent="0.3">
      <c r="B697" s="10"/>
      <c r="C697" s="10"/>
      <c r="D697" s="10"/>
      <c r="E697" s="10"/>
      <c r="F697" s="10"/>
      <c r="G697" s="10"/>
      <c r="H697" s="10"/>
      <c r="I697" s="10"/>
      <c r="J697" s="10"/>
    </row>
    <row r="698" spans="2:10" ht="33" customHeight="1" x14ac:dyDescent="0.3">
      <c r="B698" s="10"/>
      <c r="C698" s="10"/>
      <c r="D698" s="10"/>
      <c r="E698" s="10"/>
      <c r="F698" s="10"/>
      <c r="G698" s="10"/>
      <c r="H698" s="10"/>
      <c r="I698" s="10"/>
      <c r="J698" s="10"/>
    </row>
    <row r="699" spans="2:10" ht="33" customHeight="1" x14ac:dyDescent="0.3">
      <c r="B699" s="10"/>
      <c r="C699" s="10"/>
      <c r="D699" s="10"/>
      <c r="E699" s="10"/>
      <c r="F699" s="10"/>
      <c r="G699" s="10"/>
      <c r="H699" s="10"/>
      <c r="I699" s="10"/>
      <c r="J699" s="10"/>
    </row>
    <row r="700" spans="2:10" ht="33" customHeight="1" x14ac:dyDescent="0.3">
      <c r="B700" s="10"/>
      <c r="C700" s="10"/>
      <c r="D700" s="10"/>
      <c r="E700" s="10"/>
      <c r="F700" s="10"/>
      <c r="G700" s="10"/>
      <c r="H700" s="10"/>
      <c r="I700" s="10"/>
      <c r="J700" s="10"/>
    </row>
    <row r="701" spans="2:10" ht="33" customHeight="1" x14ac:dyDescent="0.3">
      <c r="B701" s="10"/>
      <c r="C701" s="10"/>
      <c r="D701" s="10"/>
      <c r="E701" s="10"/>
      <c r="F701" s="10"/>
      <c r="G701" s="10"/>
      <c r="H701" s="10"/>
      <c r="I701" s="10"/>
      <c r="J701" s="10"/>
    </row>
    <row r="702" spans="2:10" ht="33" customHeight="1" x14ac:dyDescent="0.3">
      <c r="B702" s="10"/>
      <c r="C702" s="10"/>
      <c r="D702" s="10"/>
      <c r="E702" s="10"/>
      <c r="F702" s="10"/>
      <c r="G702" s="10"/>
      <c r="H702" s="10"/>
      <c r="I702" s="10"/>
      <c r="J702" s="10"/>
    </row>
    <row r="703" spans="2:10" ht="33" customHeight="1" x14ac:dyDescent="0.3">
      <c r="B703" s="10"/>
      <c r="C703" s="10"/>
      <c r="D703" s="10"/>
      <c r="E703" s="10"/>
      <c r="F703" s="10"/>
      <c r="G703" s="10"/>
      <c r="H703" s="10"/>
      <c r="I703" s="10"/>
      <c r="J703" s="10"/>
    </row>
    <row r="704" spans="2:10" ht="33" customHeight="1" x14ac:dyDescent="0.3">
      <c r="B704" s="10"/>
      <c r="C704" s="10"/>
      <c r="D704" s="10"/>
      <c r="E704" s="10"/>
      <c r="F704" s="10"/>
      <c r="G704" s="10"/>
      <c r="H704" s="10"/>
      <c r="I704" s="10"/>
      <c r="J704" s="10"/>
    </row>
    <row r="705" spans="2:10" ht="33" customHeight="1" x14ac:dyDescent="0.3">
      <c r="B705" s="10"/>
      <c r="C705" s="10"/>
      <c r="D705" s="10"/>
      <c r="E705" s="10"/>
      <c r="F705" s="10"/>
      <c r="G705" s="10"/>
      <c r="H705" s="10"/>
      <c r="I705" s="10"/>
      <c r="J705" s="10"/>
    </row>
    <row r="706" spans="2:10" ht="33" customHeight="1" x14ac:dyDescent="0.3">
      <c r="B706" s="10"/>
      <c r="C706" s="10"/>
      <c r="D706" s="10"/>
      <c r="E706" s="10"/>
      <c r="F706" s="10"/>
      <c r="G706" s="10"/>
      <c r="H706" s="10"/>
      <c r="I706" s="10"/>
      <c r="J706" s="10"/>
    </row>
    <row r="707" spans="2:10" ht="33" customHeight="1" x14ac:dyDescent="0.3">
      <c r="B707" s="10"/>
      <c r="C707" s="10"/>
      <c r="D707" s="10"/>
      <c r="E707" s="10"/>
      <c r="F707" s="10"/>
      <c r="G707" s="10"/>
      <c r="H707" s="10"/>
      <c r="I707" s="10"/>
      <c r="J707" s="10"/>
    </row>
    <row r="708" spans="2:10" ht="33" customHeight="1" x14ac:dyDescent="0.3">
      <c r="B708" s="10"/>
      <c r="C708" s="10"/>
      <c r="D708" s="10"/>
      <c r="E708" s="10"/>
      <c r="F708" s="10"/>
      <c r="G708" s="10"/>
      <c r="H708" s="10"/>
      <c r="I708" s="10"/>
      <c r="J708" s="10"/>
    </row>
    <row r="709" spans="2:10" ht="33" customHeight="1" x14ac:dyDescent="0.3">
      <c r="B709" s="10"/>
      <c r="C709" s="10"/>
      <c r="D709" s="10"/>
      <c r="E709" s="10"/>
      <c r="F709" s="10"/>
      <c r="G709" s="10"/>
      <c r="H709" s="10"/>
      <c r="I709" s="10"/>
      <c r="J709" s="10"/>
    </row>
    <row r="710" spans="2:10" ht="33" customHeight="1" x14ac:dyDescent="0.3">
      <c r="B710" s="10"/>
      <c r="C710" s="10"/>
      <c r="D710" s="10"/>
      <c r="E710" s="10"/>
      <c r="F710" s="10"/>
      <c r="G710" s="10"/>
      <c r="H710" s="10"/>
      <c r="I710" s="10"/>
      <c r="J710" s="10"/>
    </row>
    <row r="711" spans="2:10" ht="33" customHeight="1" x14ac:dyDescent="0.3">
      <c r="B711" s="10"/>
      <c r="C711" s="10"/>
      <c r="D711" s="10"/>
      <c r="E711" s="10"/>
      <c r="F711" s="10"/>
      <c r="G711" s="10"/>
      <c r="H711" s="10"/>
      <c r="I711" s="10"/>
      <c r="J711" s="10"/>
    </row>
    <row r="712" spans="2:10" ht="33" customHeight="1" x14ac:dyDescent="0.3">
      <c r="B712" s="10"/>
      <c r="C712" s="10"/>
      <c r="D712" s="10"/>
      <c r="E712" s="10"/>
      <c r="F712" s="10"/>
      <c r="G712" s="10"/>
      <c r="H712" s="10"/>
      <c r="I712" s="10"/>
      <c r="J712" s="10"/>
    </row>
    <row r="713" spans="2:10" ht="33" customHeight="1" x14ac:dyDescent="0.3">
      <c r="B713" s="10"/>
      <c r="C713" s="10"/>
      <c r="D713" s="10"/>
      <c r="E713" s="10"/>
      <c r="F713" s="10"/>
      <c r="G713" s="10"/>
      <c r="H713" s="10"/>
      <c r="I713" s="10"/>
      <c r="J713" s="10"/>
    </row>
    <row r="714" spans="2:10" ht="33" customHeight="1" x14ac:dyDescent="0.3">
      <c r="B714" s="10"/>
      <c r="C714" s="10"/>
      <c r="D714" s="10"/>
      <c r="E714" s="10"/>
      <c r="F714" s="10"/>
      <c r="G714" s="10"/>
      <c r="H714" s="10"/>
      <c r="I714" s="10"/>
      <c r="J714" s="10"/>
    </row>
    <row r="715" spans="2:10" ht="33" customHeight="1" x14ac:dyDescent="0.3">
      <c r="B715" s="10"/>
      <c r="C715" s="10"/>
      <c r="D715" s="10"/>
      <c r="E715" s="10"/>
      <c r="F715" s="10"/>
      <c r="G715" s="10"/>
      <c r="H715" s="10"/>
      <c r="I715" s="10"/>
      <c r="J715" s="10"/>
    </row>
    <row r="716" spans="2:10" ht="33" customHeight="1" x14ac:dyDescent="0.3">
      <c r="B716" s="10"/>
      <c r="C716" s="10"/>
      <c r="D716" s="10"/>
      <c r="E716" s="10"/>
      <c r="F716" s="10"/>
      <c r="G716" s="10"/>
      <c r="H716" s="10"/>
      <c r="I716" s="10"/>
      <c r="J716" s="10"/>
    </row>
    <row r="717" spans="2:10" ht="33" customHeight="1" x14ac:dyDescent="0.3">
      <c r="B717" s="10"/>
      <c r="C717" s="10"/>
      <c r="D717" s="10"/>
      <c r="E717" s="10"/>
      <c r="F717" s="10"/>
      <c r="G717" s="10"/>
      <c r="H717" s="10"/>
      <c r="I717" s="10"/>
      <c r="J717" s="10"/>
    </row>
    <row r="718" spans="2:10" ht="33" customHeight="1" x14ac:dyDescent="0.3">
      <c r="B718" s="10"/>
      <c r="C718" s="10"/>
      <c r="D718" s="10"/>
      <c r="E718" s="10"/>
      <c r="F718" s="10"/>
      <c r="G718" s="10"/>
      <c r="H718" s="10"/>
      <c r="I718" s="10"/>
      <c r="J718" s="10"/>
    </row>
    <row r="719" spans="2:10" ht="33" customHeight="1" x14ac:dyDescent="0.3">
      <c r="B719" s="10"/>
      <c r="C719" s="10"/>
      <c r="D719" s="10"/>
      <c r="E719" s="10"/>
      <c r="F719" s="10"/>
      <c r="G719" s="10"/>
      <c r="H719" s="10"/>
      <c r="I719" s="10"/>
      <c r="J719" s="10"/>
    </row>
    <row r="720" spans="2:10" ht="33" customHeight="1" x14ac:dyDescent="0.3">
      <c r="B720" s="10"/>
      <c r="C720" s="10"/>
      <c r="D720" s="10"/>
      <c r="E720" s="10"/>
      <c r="F720" s="10"/>
      <c r="G720" s="10"/>
      <c r="H720" s="10"/>
      <c r="I720" s="10"/>
      <c r="J720" s="10"/>
    </row>
    <row r="721" spans="2:10" ht="33" customHeight="1" x14ac:dyDescent="0.3">
      <c r="B721" s="10"/>
      <c r="C721" s="10"/>
      <c r="D721" s="10"/>
      <c r="E721" s="10"/>
      <c r="F721" s="10"/>
      <c r="G721" s="10"/>
      <c r="H721" s="10"/>
      <c r="I721" s="10"/>
      <c r="J721" s="10"/>
    </row>
    <row r="722" spans="2:10" ht="33" customHeight="1" x14ac:dyDescent="0.3">
      <c r="B722" s="10"/>
      <c r="C722" s="10"/>
      <c r="D722" s="10"/>
      <c r="E722" s="10"/>
      <c r="F722" s="10"/>
      <c r="G722" s="10"/>
      <c r="H722" s="10"/>
      <c r="I722" s="10"/>
      <c r="J722" s="10"/>
    </row>
    <row r="723" spans="2:10" ht="33" customHeight="1" x14ac:dyDescent="0.3">
      <c r="B723" s="10"/>
      <c r="C723" s="10"/>
      <c r="D723" s="10"/>
      <c r="E723" s="10"/>
      <c r="F723" s="10"/>
      <c r="G723" s="10"/>
      <c r="H723" s="10"/>
      <c r="I723" s="10"/>
      <c r="J723" s="10"/>
    </row>
    <row r="724" spans="2:10" ht="33" customHeight="1" x14ac:dyDescent="0.3">
      <c r="B724" s="10"/>
      <c r="C724" s="10"/>
      <c r="D724" s="10"/>
      <c r="E724" s="10"/>
      <c r="F724" s="10"/>
      <c r="G724" s="10"/>
      <c r="H724" s="10"/>
      <c r="I724" s="10"/>
      <c r="J724" s="10"/>
    </row>
    <row r="725" spans="2:10" ht="33" customHeight="1" x14ac:dyDescent="0.3">
      <c r="B725" s="10"/>
      <c r="C725" s="10"/>
      <c r="D725" s="10"/>
      <c r="E725" s="10"/>
      <c r="F725" s="10"/>
      <c r="G725" s="10"/>
      <c r="H725" s="10"/>
      <c r="I725" s="10"/>
      <c r="J725" s="10"/>
    </row>
    <row r="726" spans="2:10" ht="33" customHeight="1" x14ac:dyDescent="0.3">
      <c r="B726" s="10"/>
      <c r="C726" s="10"/>
      <c r="D726" s="10"/>
      <c r="E726" s="10"/>
      <c r="F726" s="10"/>
      <c r="G726" s="10"/>
      <c r="H726" s="10"/>
      <c r="I726" s="10"/>
      <c r="J726" s="10"/>
    </row>
    <row r="727" spans="2:10" ht="33" customHeight="1" x14ac:dyDescent="0.3">
      <c r="B727" s="10"/>
      <c r="C727" s="10"/>
      <c r="D727" s="10"/>
      <c r="E727" s="10"/>
      <c r="F727" s="10"/>
      <c r="G727" s="10"/>
      <c r="H727" s="10"/>
      <c r="I727" s="10"/>
      <c r="J727" s="10"/>
    </row>
    <row r="728" spans="2:10" ht="33" customHeight="1" x14ac:dyDescent="0.3">
      <c r="B728" s="10"/>
      <c r="C728" s="10"/>
      <c r="D728" s="10"/>
      <c r="E728" s="10"/>
      <c r="F728" s="10"/>
      <c r="G728" s="10"/>
      <c r="H728" s="10"/>
      <c r="I728" s="10"/>
      <c r="J728" s="10"/>
    </row>
    <row r="729" spans="2:10" ht="33" customHeight="1" x14ac:dyDescent="0.3">
      <c r="B729" s="10"/>
      <c r="C729" s="10"/>
      <c r="D729" s="10"/>
      <c r="E729" s="10"/>
      <c r="F729" s="10"/>
      <c r="G729" s="10"/>
      <c r="H729" s="10"/>
      <c r="I729" s="10"/>
      <c r="J729" s="10"/>
    </row>
    <row r="730" spans="2:10" ht="33" customHeight="1" x14ac:dyDescent="0.3">
      <c r="B730" s="10"/>
      <c r="C730" s="10"/>
      <c r="D730" s="10"/>
      <c r="E730" s="10"/>
      <c r="F730" s="10"/>
      <c r="G730" s="10"/>
      <c r="H730" s="10"/>
      <c r="I730" s="10"/>
      <c r="J730" s="10"/>
    </row>
    <row r="731" spans="2:10" ht="33" customHeight="1" x14ac:dyDescent="0.3">
      <c r="B731" s="10"/>
      <c r="C731" s="10"/>
      <c r="D731" s="10"/>
      <c r="E731" s="10"/>
      <c r="F731" s="10"/>
      <c r="G731" s="10"/>
      <c r="H731" s="10"/>
      <c r="I731" s="10"/>
      <c r="J731" s="10"/>
    </row>
    <row r="732" spans="2:10" ht="33" customHeight="1" x14ac:dyDescent="0.3">
      <c r="B732" s="10"/>
      <c r="C732" s="10"/>
      <c r="D732" s="10"/>
      <c r="E732" s="10"/>
      <c r="F732" s="10"/>
      <c r="G732" s="10"/>
      <c r="H732" s="10"/>
      <c r="I732" s="10"/>
      <c r="J732" s="10"/>
    </row>
    <row r="733" spans="2:10" ht="33" customHeight="1" x14ac:dyDescent="0.3">
      <c r="B733" s="10"/>
      <c r="C733" s="10"/>
      <c r="D733" s="10"/>
      <c r="E733" s="10"/>
      <c r="F733" s="10"/>
      <c r="G733" s="10"/>
      <c r="H733" s="10"/>
      <c r="I733" s="10"/>
      <c r="J733" s="10"/>
    </row>
    <row r="734" spans="2:10" ht="33" customHeight="1" x14ac:dyDescent="0.3">
      <c r="B734" s="10"/>
      <c r="C734" s="10"/>
      <c r="D734" s="10"/>
      <c r="E734" s="10"/>
      <c r="F734" s="10"/>
      <c r="G734" s="10"/>
      <c r="H734" s="10"/>
      <c r="I734" s="10"/>
      <c r="J734" s="10"/>
    </row>
    <row r="735" spans="2:10" ht="33" customHeight="1" x14ac:dyDescent="0.3">
      <c r="B735" s="10"/>
      <c r="C735" s="10"/>
      <c r="D735" s="10"/>
      <c r="E735" s="10"/>
      <c r="F735" s="10"/>
      <c r="G735" s="10"/>
      <c r="H735" s="10"/>
      <c r="I735" s="10"/>
      <c r="J735" s="10"/>
    </row>
    <row r="736" spans="2:10" ht="33" customHeight="1" x14ac:dyDescent="0.3">
      <c r="B736" s="10"/>
      <c r="C736" s="10"/>
      <c r="D736" s="10"/>
      <c r="E736" s="10"/>
      <c r="F736" s="10"/>
      <c r="G736" s="10"/>
      <c r="H736" s="10"/>
      <c r="I736" s="10"/>
      <c r="J736" s="10"/>
    </row>
    <row r="737" spans="2:10" ht="33" customHeight="1" x14ac:dyDescent="0.3">
      <c r="B737" s="10"/>
      <c r="C737" s="10"/>
      <c r="D737" s="10"/>
      <c r="E737" s="10"/>
      <c r="F737" s="10"/>
      <c r="G737" s="10"/>
      <c r="H737" s="10"/>
      <c r="I737" s="10"/>
      <c r="J737" s="10"/>
    </row>
    <row r="738" spans="2:10" ht="33" customHeight="1" x14ac:dyDescent="0.3">
      <c r="B738" s="10"/>
      <c r="C738" s="10"/>
      <c r="D738" s="10"/>
      <c r="E738" s="10"/>
      <c r="F738" s="10"/>
      <c r="G738" s="10"/>
      <c r="H738" s="10"/>
      <c r="I738" s="10"/>
      <c r="J738" s="10"/>
    </row>
    <row r="739" spans="2:10" ht="33" customHeight="1" x14ac:dyDescent="0.3">
      <c r="B739" s="10"/>
      <c r="C739" s="10"/>
      <c r="D739" s="10"/>
      <c r="E739" s="10"/>
      <c r="F739" s="10"/>
      <c r="G739" s="10"/>
      <c r="H739" s="10"/>
      <c r="I739" s="10"/>
      <c r="J739" s="10"/>
    </row>
    <row r="740" spans="2:10" ht="33" customHeight="1" x14ac:dyDescent="0.3">
      <c r="B740" s="10"/>
      <c r="C740" s="10"/>
      <c r="D740" s="10"/>
      <c r="E740" s="10"/>
      <c r="F740" s="10"/>
      <c r="G740" s="10"/>
      <c r="H740" s="10"/>
      <c r="I740" s="10"/>
      <c r="J740" s="10"/>
    </row>
    <row r="741" spans="2:10" ht="33" customHeight="1" x14ac:dyDescent="0.3">
      <c r="B741" s="10"/>
      <c r="C741" s="10"/>
      <c r="D741" s="10"/>
      <c r="E741" s="10"/>
      <c r="F741" s="10"/>
      <c r="G741" s="10"/>
      <c r="H741" s="10"/>
      <c r="I741" s="10"/>
      <c r="J741" s="10"/>
    </row>
    <row r="742" spans="2:10" ht="33" customHeight="1" x14ac:dyDescent="0.3">
      <c r="B742" s="10"/>
      <c r="C742" s="10"/>
      <c r="D742" s="10"/>
      <c r="E742" s="10"/>
      <c r="F742" s="10"/>
      <c r="G742" s="10"/>
      <c r="H742" s="10"/>
      <c r="I742" s="10"/>
      <c r="J742" s="10"/>
    </row>
    <row r="743" spans="2:10" ht="33" customHeight="1" x14ac:dyDescent="0.3">
      <c r="B743" s="10"/>
      <c r="C743" s="10"/>
      <c r="D743" s="10"/>
      <c r="E743" s="10"/>
      <c r="F743" s="10"/>
      <c r="G743" s="10"/>
      <c r="H743" s="10"/>
      <c r="I743" s="10"/>
      <c r="J743" s="10"/>
    </row>
    <row r="744" spans="2:10" ht="33" customHeight="1" x14ac:dyDescent="0.3">
      <c r="B744" s="10"/>
      <c r="C744" s="10"/>
      <c r="D744" s="10"/>
      <c r="E744" s="10"/>
      <c r="F744" s="10"/>
      <c r="G744" s="10"/>
      <c r="H744" s="10"/>
      <c r="I744" s="10"/>
      <c r="J744" s="10"/>
    </row>
    <row r="745" spans="2:10" ht="33" customHeight="1" x14ac:dyDescent="0.3">
      <c r="B745" s="10"/>
      <c r="C745" s="10"/>
      <c r="D745" s="10"/>
      <c r="E745" s="10"/>
      <c r="F745" s="10"/>
      <c r="G745" s="10"/>
      <c r="H745" s="10"/>
      <c r="I745" s="10"/>
      <c r="J745" s="10"/>
    </row>
    <row r="746" spans="2:10" ht="33" customHeight="1" x14ac:dyDescent="0.3">
      <c r="B746" s="10"/>
      <c r="C746" s="10"/>
      <c r="D746" s="10"/>
      <c r="E746" s="10"/>
      <c r="F746" s="10"/>
      <c r="G746" s="10"/>
      <c r="H746" s="10"/>
      <c r="I746" s="10"/>
      <c r="J746" s="10"/>
    </row>
    <row r="747" spans="2:10" ht="33" customHeight="1" x14ac:dyDescent="0.3">
      <c r="B747" s="10"/>
      <c r="C747" s="10"/>
      <c r="D747" s="10"/>
      <c r="E747" s="10"/>
      <c r="F747" s="10"/>
      <c r="G747" s="10"/>
      <c r="H747" s="10"/>
      <c r="I747" s="10"/>
      <c r="J747" s="10"/>
    </row>
    <row r="748" spans="2:10" ht="33" customHeight="1" x14ac:dyDescent="0.3">
      <c r="B748" s="10"/>
      <c r="C748" s="10"/>
      <c r="D748" s="10"/>
      <c r="F748" s="10"/>
      <c r="G748" s="10"/>
      <c r="H748" s="10"/>
      <c r="I748" s="10"/>
      <c r="J748" s="10"/>
    </row>
    <row r="749" spans="2:10" ht="33" customHeight="1" x14ac:dyDescent="0.3">
      <c r="B749" s="10"/>
      <c r="C749" s="10"/>
      <c r="D749" s="10"/>
      <c r="F749" s="10"/>
      <c r="G749" s="10"/>
      <c r="H749" s="10"/>
      <c r="I749" s="10"/>
      <c r="J749" s="10"/>
    </row>
    <row r="750" spans="2:10" ht="33" customHeight="1" x14ac:dyDescent="0.3">
      <c r="B750" s="10"/>
      <c r="C750" s="10"/>
      <c r="D750" s="10"/>
      <c r="F750" s="10"/>
      <c r="G750" s="10"/>
      <c r="H750" s="10"/>
      <c r="I750" s="10"/>
      <c r="J750" s="10"/>
    </row>
    <row r="751" spans="2:10" ht="33" customHeight="1" x14ac:dyDescent="0.3">
      <c r="B751" s="10"/>
      <c r="C751" s="10"/>
      <c r="D751" s="10"/>
      <c r="F751" s="10"/>
      <c r="G751" s="10"/>
      <c r="H751" s="10"/>
      <c r="I751" s="10"/>
      <c r="J751" s="10"/>
    </row>
    <row r="752" spans="2:10" ht="33" customHeight="1" x14ac:dyDescent="0.3">
      <c r="B752" s="10"/>
      <c r="C752" s="10"/>
      <c r="D752" s="10"/>
      <c r="F752" s="10"/>
      <c r="G752" s="10"/>
      <c r="H752" s="10"/>
      <c r="I752" s="10"/>
      <c r="J752" s="10"/>
    </row>
    <row r="753" spans="2:10" ht="33" customHeight="1" x14ac:dyDescent="0.3">
      <c r="B753" s="10"/>
      <c r="C753" s="10"/>
      <c r="D753" s="10"/>
      <c r="F753" s="10"/>
      <c r="G753" s="10"/>
      <c r="H753" s="10"/>
      <c r="I753" s="10"/>
      <c r="J753" s="10"/>
    </row>
    <row r="754" spans="2:10" ht="33" customHeight="1" x14ac:dyDescent="0.3">
      <c r="B754" s="10"/>
      <c r="C754" s="10"/>
      <c r="D754" s="10"/>
      <c r="F754" s="10"/>
      <c r="G754" s="10"/>
      <c r="H754" s="10"/>
      <c r="I754" s="10"/>
      <c r="J754" s="10"/>
    </row>
    <row r="755" spans="2:10" ht="33" customHeight="1" x14ac:dyDescent="0.3">
      <c r="B755" s="10"/>
      <c r="C755" s="10"/>
      <c r="D755" s="10"/>
      <c r="F755" s="10"/>
      <c r="G755" s="10"/>
      <c r="H755" s="10"/>
      <c r="I755" s="10"/>
      <c r="J755" s="10"/>
    </row>
    <row r="756" spans="2:10" ht="33" customHeight="1" x14ac:dyDescent="0.3">
      <c r="B756" s="10"/>
      <c r="C756" s="10"/>
      <c r="D756" s="10"/>
      <c r="F756" s="10"/>
      <c r="G756" s="10"/>
      <c r="H756" s="10"/>
      <c r="I756" s="10"/>
      <c r="J756" s="10"/>
    </row>
    <row r="757" spans="2:10" ht="33" customHeight="1" x14ac:dyDescent="0.3">
      <c r="B757" s="10"/>
      <c r="C757" s="10"/>
      <c r="D757" s="10"/>
      <c r="F757" s="10"/>
      <c r="G757" s="10"/>
      <c r="H757" s="10"/>
      <c r="I757" s="10"/>
      <c r="J757" s="10"/>
    </row>
    <row r="758" spans="2:10" ht="33" customHeight="1" x14ac:dyDescent="0.3">
      <c r="B758" s="10"/>
      <c r="C758" s="10"/>
      <c r="D758" s="10"/>
      <c r="F758" s="10"/>
      <c r="G758" s="10"/>
      <c r="H758" s="10"/>
      <c r="I758" s="10"/>
      <c r="J758" s="10"/>
    </row>
    <row r="759" spans="2:10" ht="33" customHeight="1" x14ac:dyDescent="0.3">
      <c r="B759" s="10"/>
      <c r="C759" s="10"/>
      <c r="D759" s="10"/>
      <c r="F759" s="10"/>
      <c r="G759" s="10"/>
      <c r="H759" s="10"/>
      <c r="I759" s="10"/>
      <c r="J759" s="10"/>
    </row>
    <row r="760" spans="2:10" ht="33" customHeight="1" x14ac:dyDescent="0.3">
      <c r="B760" s="10"/>
      <c r="C760" s="10"/>
      <c r="D760" s="10"/>
      <c r="F760" s="10"/>
      <c r="G760" s="10"/>
      <c r="H760" s="10"/>
      <c r="I760" s="10"/>
      <c r="J760" s="10"/>
    </row>
    <row r="761" spans="2:10" ht="33" customHeight="1" x14ac:dyDescent="0.3">
      <c r="B761" s="10"/>
      <c r="C761" s="10"/>
      <c r="D761" s="10"/>
      <c r="F761" s="10"/>
      <c r="G761" s="10"/>
      <c r="H761" s="10"/>
      <c r="I761" s="10"/>
      <c r="J761" s="10"/>
    </row>
    <row r="762" spans="2:10" ht="33" customHeight="1" x14ac:dyDescent="0.3">
      <c r="B762" s="10"/>
      <c r="C762" s="10"/>
      <c r="D762" s="10"/>
      <c r="F762" s="10"/>
      <c r="G762" s="10"/>
      <c r="H762" s="10"/>
      <c r="I762" s="10"/>
      <c r="J762" s="10"/>
    </row>
    <row r="763" spans="2:10" ht="33" customHeight="1" x14ac:dyDescent="0.3">
      <c r="B763" s="10"/>
      <c r="C763" s="10"/>
      <c r="D763" s="10"/>
      <c r="F763" s="10"/>
      <c r="G763" s="10"/>
      <c r="H763" s="10"/>
      <c r="I763" s="10"/>
      <c r="J763" s="10"/>
    </row>
    <row r="764" spans="2:10" ht="33" customHeight="1" x14ac:dyDescent="0.3">
      <c r="B764" s="10"/>
      <c r="C764" s="10"/>
      <c r="D764" s="10"/>
      <c r="F764" s="10"/>
      <c r="G764" s="10"/>
      <c r="H764" s="10"/>
      <c r="I764" s="10"/>
      <c r="J764" s="10"/>
    </row>
    <row r="765" spans="2:10" ht="33" customHeight="1" x14ac:dyDescent="0.3">
      <c r="B765" s="10"/>
      <c r="C765" s="10"/>
      <c r="D765" s="10"/>
      <c r="F765" s="10"/>
      <c r="G765" s="10"/>
      <c r="H765" s="10"/>
      <c r="I765" s="10"/>
      <c r="J765" s="10"/>
    </row>
    <row r="766" spans="2:10" ht="33" customHeight="1" x14ac:dyDescent="0.3">
      <c r="B766" s="10"/>
      <c r="C766" s="10"/>
      <c r="D766" s="10"/>
      <c r="F766" s="10"/>
      <c r="G766" s="10"/>
      <c r="H766" s="10"/>
      <c r="I766" s="10"/>
      <c r="J766" s="10"/>
    </row>
    <row r="767" spans="2:10" ht="33" customHeight="1" x14ac:dyDescent="0.3">
      <c r="B767" s="10"/>
      <c r="C767" s="10"/>
      <c r="D767" s="10"/>
      <c r="F767" s="10"/>
      <c r="G767" s="10"/>
      <c r="H767" s="10"/>
      <c r="I767" s="10"/>
      <c r="J767" s="10"/>
    </row>
    <row r="768" spans="2:10" ht="33" customHeight="1" x14ac:dyDescent="0.3">
      <c r="B768" s="10"/>
      <c r="C768" s="10"/>
      <c r="D768" s="10"/>
      <c r="F768" s="10"/>
      <c r="G768" s="10"/>
      <c r="H768" s="10"/>
      <c r="I768" s="10"/>
      <c r="J768" s="10"/>
    </row>
    <row r="769" spans="2:10" ht="33" customHeight="1" x14ac:dyDescent="0.3">
      <c r="B769" s="10"/>
      <c r="C769" s="10"/>
      <c r="D769" s="10"/>
      <c r="F769" s="10"/>
      <c r="G769" s="10"/>
      <c r="H769" s="10"/>
      <c r="I769" s="10"/>
      <c r="J769" s="10"/>
    </row>
    <row r="770" spans="2:10" ht="33" customHeight="1" x14ac:dyDescent="0.3">
      <c r="B770" s="10"/>
      <c r="C770" s="10"/>
      <c r="D770" s="10"/>
      <c r="F770" s="10"/>
      <c r="G770" s="10"/>
      <c r="H770" s="10"/>
      <c r="I770" s="10"/>
      <c r="J770" s="10"/>
    </row>
    <row r="771" spans="2:10" ht="33" customHeight="1" x14ac:dyDescent="0.3">
      <c r="B771" s="10"/>
      <c r="C771" s="10"/>
      <c r="D771" s="10"/>
      <c r="F771" s="10"/>
      <c r="G771" s="10"/>
      <c r="H771" s="10"/>
      <c r="I771" s="10"/>
      <c r="J771" s="10"/>
    </row>
    <row r="772" spans="2:10" ht="33" customHeight="1" x14ac:dyDescent="0.3">
      <c r="B772" s="10"/>
      <c r="C772" s="10"/>
      <c r="D772" s="10"/>
      <c r="F772" s="10"/>
      <c r="G772" s="10"/>
      <c r="H772" s="10"/>
      <c r="I772" s="10"/>
      <c r="J772" s="10"/>
    </row>
    <row r="773" spans="2:10" ht="33" customHeight="1" x14ac:dyDescent="0.3">
      <c r="B773" s="10"/>
      <c r="C773" s="10"/>
      <c r="D773" s="10"/>
      <c r="F773" s="10"/>
      <c r="G773" s="10"/>
      <c r="H773" s="10"/>
      <c r="I773" s="10"/>
      <c r="J773" s="10"/>
    </row>
    <row r="774" spans="2:10" ht="33" customHeight="1" x14ac:dyDescent="0.3">
      <c r="B774" s="10"/>
      <c r="C774" s="10"/>
      <c r="D774" s="10"/>
      <c r="F774" s="10"/>
      <c r="G774" s="10"/>
      <c r="H774" s="10"/>
      <c r="I774" s="10"/>
      <c r="J774" s="10"/>
    </row>
    <row r="775" spans="2:10" ht="33" customHeight="1" x14ac:dyDescent="0.3">
      <c r="B775" s="10"/>
      <c r="C775" s="10"/>
      <c r="D775" s="10"/>
      <c r="F775" s="10"/>
      <c r="G775" s="10"/>
      <c r="H775" s="10"/>
      <c r="I775" s="10"/>
      <c r="J775" s="10"/>
    </row>
    <row r="776" spans="2:10" ht="33" customHeight="1" x14ac:dyDescent="0.3">
      <c r="B776" s="10"/>
      <c r="C776" s="10"/>
      <c r="D776" s="10"/>
      <c r="F776" s="10"/>
      <c r="G776" s="10"/>
      <c r="H776" s="10"/>
      <c r="I776" s="10"/>
      <c r="J776" s="10"/>
    </row>
    <row r="777" spans="2:10" ht="33" customHeight="1" x14ac:dyDescent="0.3">
      <c r="B777" s="10"/>
      <c r="C777" s="10"/>
      <c r="D777" s="10"/>
      <c r="F777" s="10"/>
      <c r="G777" s="10"/>
      <c r="H777" s="10"/>
      <c r="I777" s="10"/>
      <c r="J777" s="10"/>
    </row>
    <row r="778" spans="2:10" ht="33" customHeight="1" x14ac:dyDescent="0.3">
      <c r="B778" s="10"/>
      <c r="C778" s="10"/>
      <c r="D778" s="10"/>
      <c r="F778" s="10"/>
      <c r="G778" s="10"/>
      <c r="H778" s="10"/>
      <c r="I778" s="10"/>
      <c r="J778" s="10"/>
    </row>
    <row r="779" spans="2:10" ht="33" customHeight="1" x14ac:dyDescent="0.3">
      <c r="B779" s="10"/>
      <c r="C779" s="10"/>
      <c r="D779" s="10"/>
      <c r="F779" s="10"/>
      <c r="G779" s="10"/>
      <c r="H779" s="10"/>
      <c r="I779" s="10"/>
      <c r="J779" s="10"/>
    </row>
    <row r="780" spans="2:10" ht="33" customHeight="1" x14ac:dyDescent="0.3">
      <c r="B780" s="10"/>
      <c r="C780" s="10"/>
      <c r="D780" s="10"/>
      <c r="F780" s="10"/>
      <c r="G780" s="10"/>
      <c r="H780" s="10"/>
      <c r="I780" s="10"/>
      <c r="J780" s="10"/>
    </row>
    <row r="781" spans="2:10" ht="33" customHeight="1" x14ac:dyDescent="0.3">
      <c r="B781" s="10"/>
      <c r="C781" s="10"/>
      <c r="D781" s="10"/>
      <c r="F781" s="10"/>
      <c r="G781" s="10"/>
      <c r="H781" s="10"/>
      <c r="I781" s="10"/>
      <c r="J781" s="10"/>
    </row>
    <row r="782" spans="2:10" ht="33" customHeight="1" x14ac:dyDescent="0.3">
      <c r="B782" s="10"/>
      <c r="C782" s="10"/>
      <c r="D782" s="10"/>
      <c r="F782" s="10"/>
      <c r="G782" s="10"/>
      <c r="H782" s="10"/>
      <c r="I782" s="10"/>
      <c r="J782" s="10"/>
    </row>
    <row r="783" spans="2:10" ht="33" customHeight="1" x14ac:dyDescent="0.3">
      <c r="B783" s="10"/>
      <c r="C783" s="10"/>
      <c r="D783" s="10"/>
      <c r="F783" s="10"/>
      <c r="G783" s="10"/>
      <c r="H783" s="10"/>
      <c r="I783" s="10"/>
      <c r="J783" s="10"/>
    </row>
    <row r="784" spans="2:10" ht="33" customHeight="1" x14ac:dyDescent="0.3">
      <c r="B784" s="10"/>
      <c r="C784" s="10"/>
      <c r="D784" s="10"/>
      <c r="F784" s="10"/>
      <c r="G784" s="10"/>
      <c r="H784" s="10"/>
      <c r="I784" s="10"/>
      <c r="J784" s="10"/>
    </row>
    <row r="785" spans="2:10" ht="33" customHeight="1" x14ac:dyDescent="0.3">
      <c r="B785" s="10"/>
      <c r="C785" s="10"/>
      <c r="D785" s="10"/>
      <c r="F785" s="10"/>
      <c r="G785" s="10"/>
      <c r="H785" s="10"/>
      <c r="I785" s="10"/>
      <c r="J785" s="10"/>
    </row>
    <row r="786" spans="2:10" ht="33" customHeight="1" x14ac:dyDescent="0.3">
      <c r="B786" s="10"/>
      <c r="C786" s="10"/>
      <c r="D786" s="10"/>
      <c r="F786" s="10"/>
      <c r="G786" s="10"/>
      <c r="H786" s="10"/>
      <c r="I786" s="10"/>
      <c r="J786" s="10"/>
    </row>
    <row r="787" spans="2:10" ht="33" customHeight="1" x14ac:dyDescent="0.3">
      <c r="B787" s="10"/>
      <c r="C787" s="10"/>
      <c r="D787" s="10"/>
      <c r="F787" s="10"/>
      <c r="G787" s="10"/>
      <c r="H787" s="10"/>
      <c r="I787" s="10"/>
      <c r="J787" s="10"/>
    </row>
    <row r="788" spans="2:10" ht="33" customHeight="1" x14ac:dyDescent="0.3">
      <c r="B788" s="10"/>
      <c r="C788" s="10"/>
      <c r="D788" s="10"/>
      <c r="F788" s="10"/>
      <c r="G788" s="10"/>
      <c r="H788" s="10"/>
      <c r="I788" s="10"/>
      <c r="J788" s="10"/>
    </row>
    <row r="789" spans="2:10" ht="33" customHeight="1" x14ac:dyDescent="0.3">
      <c r="B789" s="10"/>
      <c r="C789" s="10"/>
      <c r="D789" s="10"/>
      <c r="F789" s="10"/>
      <c r="G789" s="10"/>
      <c r="H789" s="10"/>
      <c r="I789" s="10"/>
      <c r="J789" s="10"/>
    </row>
    <row r="790" spans="2:10" ht="33" customHeight="1" x14ac:dyDescent="0.3">
      <c r="B790" s="10"/>
      <c r="C790" s="10"/>
      <c r="D790" s="10"/>
      <c r="F790" s="10"/>
      <c r="G790" s="10"/>
      <c r="H790" s="10"/>
      <c r="I790" s="10"/>
      <c r="J790" s="10"/>
    </row>
    <row r="791" spans="2:10" ht="33" customHeight="1" x14ac:dyDescent="0.3">
      <c r="B791" s="10"/>
      <c r="C791" s="10"/>
      <c r="D791" s="10"/>
      <c r="F791" s="10"/>
      <c r="G791" s="10"/>
      <c r="H791" s="10"/>
      <c r="I791" s="10"/>
      <c r="J791" s="10"/>
    </row>
    <row r="792" spans="2:10" ht="33" customHeight="1" x14ac:dyDescent="0.3">
      <c r="B792" s="10"/>
      <c r="C792" s="10"/>
      <c r="D792" s="10"/>
      <c r="F792" s="10"/>
      <c r="G792" s="10"/>
      <c r="H792" s="10"/>
      <c r="I792" s="10"/>
      <c r="J792" s="10"/>
    </row>
    <row r="793" spans="2:10" ht="33" customHeight="1" x14ac:dyDescent="0.3">
      <c r="B793" s="10"/>
      <c r="C793" s="10"/>
      <c r="D793" s="10"/>
      <c r="F793" s="10"/>
      <c r="G793" s="10"/>
      <c r="H793" s="10"/>
      <c r="I793" s="10"/>
      <c r="J793" s="10"/>
    </row>
    <row r="794" spans="2:10" ht="33" customHeight="1" x14ac:dyDescent="0.3">
      <c r="B794" s="10"/>
      <c r="C794" s="10"/>
      <c r="D794" s="10"/>
      <c r="F794" s="10"/>
      <c r="G794" s="10"/>
      <c r="H794" s="10"/>
      <c r="I794" s="10"/>
      <c r="J794" s="10"/>
    </row>
    <row r="795" spans="2:10" ht="33" customHeight="1" x14ac:dyDescent="0.3">
      <c r="B795" s="10"/>
      <c r="C795" s="10"/>
      <c r="D795" s="10"/>
      <c r="F795" s="10"/>
      <c r="G795" s="10"/>
      <c r="H795" s="10"/>
      <c r="I795" s="10"/>
      <c r="J795" s="10"/>
    </row>
    <row r="796" spans="2:10" ht="33" customHeight="1" x14ac:dyDescent="0.3">
      <c r="B796" s="10"/>
      <c r="C796" s="10"/>
      <c r="D796" s="10"/>
      <c r="F796" s="10"/>
      <c r="G796" s="10"/>
      <c r="H796" s="10"/>
      <c r="I796" s="10"/>
      <c r="J796" s="10"/>
    </row>
    <row r="797" spans="2:10" ht="33" customHeight="1" x14ac:dyDescent="0.3">
      <c r="B797" s="10"/>
      <c r="C797" s="10"/>
      <c r="D797" s="10"/>
      <c r="F797" s="10"/>
      <c r="G797" s="10"/>
      <c r="H797" s="10"/>
      <c r="I797" s="10"/>
      <c r="J797" s="10"/>
    </row>
    <row r="798" spans="2:10" ht="33" customHeight="1" x14ac:dyDescent="0.3">
      <c r="B798" s="10"/>
      <c r="C798" s="10"/>
      <c r="D798" s="10"/>
      <c r="F798" s="10"/>
      <c r="G798" s="10"/>
      <c r="H798" s="10"/>
      <c r="I798" s="10"/>
      <c r="J798" s="10"/>
    </row>
    <row r="799" spans="2:10" ht="33" customHeight="1" x14ac:dyDescent="0.3">
      <c r="B799" s="10"/>
      <c r="C799" s="10"/>
      <c r="D799" s="10"/>
      <c r="F799" s="10"/>
      <c r="G799" s="10"/>
      <c r="H799" s="10"/>
      <c r="I799" s="10"/>
      <c r="J799" s="10"/>
    </row>
    <row r="800" spans="2:10" ht="33" customHeight="1" x14ac:dyDescent="0.3">
      <c r="B800" s="10"/>
      <c r="C800" s="10"/>
      <c r="D800" s="10"/>
      <c r="F800" s="10"/>
      <c r="G800" s="10"/>
      <c r="H800" s="10"/>
      <c r="I800" s="10"/>
      <c r="J800" s="10"/>
    </row>
    <row r="801" spans="2:10" ht="33" customHeight="1" x14ac:dyDescent="0.3">
      <c r="B801" s="10"/>
      <c r="C801" s="10"/>
      <c r="D801" s="10"/>
      <c r="F801" s="10"/>
      <c r="G801" s="10"/>
      <c r="H801" s="10"/>
      <c r="I801" s="10"/>
      <c r="J801" s="10"/>
    </row>
    <row r="802" spans="2:10" ht="33" customHeight="1" x14ac:dyDescent="0.3">
      <c r="B802" s="10"/>
      <c r="C802" s="10"/>
      <c r="D802" s="10"/>
      <c r="F802" s="10"/>
      <c r="G802" s="10"/>
      <c r="H802" s="10"/>
      <c r="I802" s="10"/>
      <c r="J802" s="10"/>
    </row>
    <row r="803" spans="2:10" ht="33" customHeight="1" x14ac:dyDescent="0.3">
      <c r="B803" s="10"/>
      <c r="C803" s="10"/>
      <c r="D803" s="10"/>
      <c r="F803" s="10"/>
      <c r="G803" s="10"/>
      <c r="H803" s="10"/>
      <c r="I803" s="10"/>
      <c r="J803" s="10"/>
    </row>
    <row r="804" spans="2:10" ht="33" customHeight="1" x14ac:dyDescent="0.3">
      <c r="B804" s="10"/>
      <c r="C804" s="10"/>
      <c r="D804" s="10"/>
      <c r="F804" s="10"/>
      <c r="G804" s="10"/>
      <c r="H804" s="10"/>
      <c r="I804" s="10"/>
      <c r="J804" s="10"/>
    </row>
    <row r="805" spans="2:10" ht="33" customHeight="1" x14ac:dyDescent="0.3">
      <c r="B805" s="10"/>
      <c r="C805" s="10"/>
      <c r="D805" s="10"/>
      <c r="F805" s="10"/>
      <c r="G805" s="10"/>
      <c r="H805" s="10"/>
      <c r="I805" s="10"/>
      <c r="J805" s="10"/>
    </row>
    <row r="806" spans="2:10" ht="33" customHeight="1" x14ac:dyDescent="0.3">
      <c r="B806" s="10"/>
      <c r="C806" s="10"/>
      <c r="D806" s="10"/>
      <c r="F806" s="10"/>
      <c r="G806" s="10"/>
      <c r="H806" s="10"/>
      <c r="I806" s="10"/>
      <c r="J806" s="10"/>
    </row>
    <row r="807" spans="2:10" ht="33" customHeight="1" x14ac:dyDescent="0.3">
      <c r="B807" s="10"/>
      <c r="C807" s="10"/>
      <c r="D807" s="10"/>
      <c r="F807" s="10"/>
      <c r="G807" s="10"/>
      <c r="H807" s="10"/>
      <c r="I807" s="10"/>
      <c r="J807" s="10"/>
    </row>
    <row r="808" spans="2:10" ht="33" customHeight="1" x14ac:dyDescent="0.3">
      <c r="B808" s="10"/>
      <c r="C808" s="10"/>
      <c r="D808" s="10"/>
      <c r="F808" s="10"/>
      <c r="G808" s="10"/>
      <c r="H808" s="10"/>
      <c r="I808" s="10"/>
      <c r="J808" s="10"/>
    </row>
    <row r="809" spans="2:10" ht="33" customHeight="1" x14ac:dyDescent="0.3">
      <c r="B809" s="10"/>
      <c r="C809" s="10"/>
      <c r="D809" s="10"/>
      <c r="F809" s="10"/>
      <c r="G809" s="10"/>
      <c r="H809" s="10"/>
      <c r="I809" s="10"/>
      <c r="J809" s="10"/>
    </row>
    <row r="810" spans="2:10" ht="33" customHeight="1" x14ac:dyDescent="0.3">
      <c r="B810" s="10"/>
      <c r="C810" s="10"/>
      <c r="D810" s="10"/>
      <c r="F810" s="10"/>
      <c r="G810" s="10"/>
      <c r="H810" s="10"/>
      <c r="I810" s="10"/>
      <c r="J810" s="10"/>
    </row>
    <row r="811" spans="2:10" ht="33" customHeight="1" x14ac:dyDescent="0.3">
      <c r="B811" s="10"/>
      <c r="C811" s="10"/>
      <c r="D811" s="10"/>
      <c r="F811" s="10"/>
      <c r="G811" s="10"/>
      <c r="H811" s="10"/>
      <c r="I811" s="10"/>
      <c r="J811" s="10"/>
    </row>
    <row r="812" spans="2:10" ht="33" customHeight="1" x14ac:dyDescent="0.3">
      <c r="B812" s="10"/>
      <c r="C812" s="10"/>
      <c r="D812" s="10"/>
      <c r="F812" s="10"/>
      <c r="G812" s="10"/>
      <c r="H812" s="10"/>
      <c r="I812" s="10"/>
      <c r="J812" s="10"/>
    </row>
    <row r="813" spans="2:10" ht="33" customHeight="1" x14ac:dyDescent="0.3">
      <c r="B813" s="10"/>
      <c r="C813" s="10"/>
      <c r="D813" s="10"/>
      <c r="F813" s="10"/>
      <c r="G813" s="10"/>
      <c r="H813" s="10"/>
      <c r="I813" s="10"/>
      <c r="J813" s="10"/>
    </row>
    <row r="814" spans="2:10" ht="33" customHeight="1" x14ac:dyDescent="0.3">
      <c r="B814" s="10"/>
      <c r="C814" s="10"/>
      <c r="D814" s="10"/>
      <c r="F814" s="10"/>
      <c r="G814" s="10"/>
      <c r="H814" s="10"/>
      <c r="I814" s="10"/>
      <c r="J814" s="10"/>
    </row>
    <row r="815" spans="2:10" ht="33" customHeight="1" x14ac:dyDescent="0.3">
      <c r="B815" s="10"/>
      <c r="C815" s="10"/>
      <c r="D815" s="10"/>
      <c r="F815" s="10"/>
      <c r="G815" s="10"/>
      <c r="H815" s="10"/>
      <c r="I815" s="10"/>
      <c r="J815" s="10"/>
    </row>
    <row r="816" spans="2:10" ht="33" customHeight="1" x14ac:dyDescent="0.3">
      <c r="B816" s="10"/>
      <c r="C816" s="10"/>
      <c r="D816" s="10"/>
      <c r="F816" s="10"/>
      <c r="G816" s="10"/>
      <c r="H816" s="10"/>
      <c r="I816" s="10"/>
      <c r="J816" s="10"/>
    </row>
    <row r="817" spans="2:10" ht="33" customHeight="1" x14ac:dyDescent="0.3">
      <c r="B817" s="10"/>
      <c r="C817" s="10"/>
      <c r="D817" s="10"/>
      <c r="F817" s="10"/>
      <c r="G817" s="10"/>
      <c r="H817" s="10"/>
      <c r="I817" s="10"/>
      <c r="J817" s="10"/>
    </row>
    <row r="818" spans="2:10" ht="33" customHeight="1" x14ac:dyDescent="0.3">
      <c r="B818" s="10"/>
      <c r="C818" s="10"/>
      <c r="D818" s="10"/>
      <c r="F818" s="10"/>
      <c r="G818" s="10"/>
      <c r="H818" s="10"/>
      <c r="I818" s="10"/>
      <c r="J818" s="10"/>
    </row>
    <row r="819" spans="2:10" ht="33" customHeight="1" x14ac:dyDescent="0.3">
      <c r="B819" s="10"/>
      <c r="C819" s="10"/>
      <c r="D819" s="10"/>
      <c r="F819" s="10"/>
      <c r="G819" s="10"/>
      <c r="H819" s="10"/>
      <c r="I819" s="10"/>
      <c r="J819" s="10"/>
    </row>
    <row r="820" spans="2:10" ht="33" customHeight="1" x14ac:dyDescent="0.3">
      <c r="B820" s="10"/>
      <c r="C820" s="10"/>
      <c r="D820" s="10"/>
      <c r="F820" s="10"/>
      <c r="G820" s="10"/>
      <c r="H820" s="10"/>
      <c r="I820" s="10"/>
      <c r="J820" s="10"/>
    </row>
    <row r="821" spans="2:10" ht="33" customHeight="1" x14ac:dyDescent="0.3">
      <c r="B821" s="10"/>
      <c r="C821" s="10"/>
      <c r="D821" s="10"/>
      <c r="F821" s="10"/>
      <c r="G821" s="10"/>
      <c r="H821" s="10"/>
      <c r="I821" s="10"/>
      <c r="J821" s="10"/>
    </row>
    <row r="822" spans="2:10" ht="33" customHeight="1" x14ac:dyDescent="0.3">
      <c r="B822" s="10"/>
      <c r="C822" s="10"/>
      <c r="D822" s="10"/>
      <c r="F822" s="10"/>
      <c r="G822" s="10"/>
      <c r="H822" s="10"/>
      <c r="I822" s="10"/>
      <c r="J822" s="10"/>
    </row>
    <row r="823" spans="2:10" ht="33" customHeight="1" x14ac:dyDescent="0.3">
      <c r="B823" s="10"/>
      <c r="C823" s="10"/>
      <c r="D823" s="10"/>
      <c r="F823" s="10"/>
      <c r="G823" s="10"/>
      <c r="H823" s="10"/>
      <c r="I823" s="10"/>
      <c r="J823" s="10"/>
    </row>
    <row r="824" spans="2:10" ht="33" customHeight="1" x14ac:dyDescent="0.3">
      <c r="B824" s="10"/>
      <c r="C824" s="10"/>
      <c r="D824" s="10"/>
      <c r="F824" s="10"/>
      <c r="G824" s="10"/>
      <c r="H824" s="10"/>
      <c r="I824" s="10"/>
      <c r="J824" s="10"/>
    </row>
    <row r="825" spans="2:10" ht="33" customHeight="1" x14ac:dyDescent="0.3">
      <c r="B825" s="10"/>
      <c r="C825" s="10"/>
      <c r="D825" s="10"/>
      <c r="F825" s="10"/>
      <c r="G825" s="10"/>
      <c r="H825" s="10"/>
      <c r="I825" s="10"/>
      <c r="J825" s="10"/>
    </row>
    <row r="826" spans="2:10" ht="33" customHeight="1" x14ac:dyDescent="0.3">
      <c r="B826" s="10"/>
      <c r="C826" s="10"/>
      <c r="D826" s="10"/>
      <c r="F826" s="10"/>
      <c r="G826" s="10"/>
      <c r="H826" s="10"/>
      <c r="I826" s="10"/>
      <c r="J826" s="10"/>
    </row>
    <row r="827" spans="2:10" ht="33" customHeight="1" x14ac:dyDescent="0.3">
      <c r="B827" s="10"/>
      <c r="C827" s="10"/>
      <c r="D827" s="10"/>
      <c r="F827" s="10"/>
      <c r="G827" s="10"/>
      <c r="H827" s="10"/>
      <c r="I827" s="10"/>
      <c r="J827" s="10"/>
    </row>
    <row r="828" spans="2:10" ht="33" customHeight="1" x14ac:dyDescent="0.3">
      <c r="B828" s="10"/>
      <c r="C828" s="10"/>
      <c r="D828" s="10"/>
      <c r="F828" s="10"/>
      <c r="G828" s="10"/>
      <c r="H828" s="10"/>
      <c r="I828" s="10"/>
      <c r="J828" s="10"/>
    </row>
    <row r="829" spans="2:10" ht="33" customHeight="1" x14ac:dyDescent="0.3">
      <c r="B829" s="10"/>
      <c r="C829" s="10"/>
      <c r="D829" s="10"/>
      <c r="F829" s="10"/>
      <c r="G829" s="10"/>
      <c r="H829" s="10"/>
      <c r="I829" s="10"/>
      <c r="J829" s="10"/>
    </row>
    <row r="830" spans="2:10" ht="33" customHeight="1" x14ac:dyDescent="0.3">
      <c r="B830" s="10"/>
      <c r="C830" s="10"/>
      <c r="D830" s="10"/>
      <c r="F830" s="10"/>
      <c r="G830" s="10"/>
      <c r="H830" s="10"/>
      <c r="I830" s="10"/>
      <c r="J830" s="10"/>
    </row>
    <row r="831" spans="2:10" ht="33" customHeight="1" x14ac:dyDescent="0.3">
      <c r="B831" s="10"/>
      <c r="C831" s="10"/>
      <c r="D831" s="10"/>
      <c r="F831" s="10"/>
      <c r="G831" s="10"/>
      <c r="H831" s="10"/>
      <c r="I831" s="10"/>
      <c r="J831" s="10"/>
    </row>
    <row r="832" spans="2:10" ht="33" customHeight="1" x14ac:dyDescent="0.3">
      <c r="B832" s="10"/>
      <c r="C832" s="10"/>
      <c r="D832" s="10"/>
      <c r="F832" s="10"/>
      <c r="G832" s="10"/>
      <c r="H832" s="10"/>
      <c r="I832" s="10"/>
      <c r="J832" s="10"/>
    </row>
    <row r="833" spans="2:10" ht="33" customHeight="1" x14ac:dyDescent="0.3">
      <c r="B833" s="10"/>
      <c r="C833" s="10"/>
      <c r="D833" s="10"/>
      <c r="F833" s="10"/>
      <c r="G833" s="10"/>
      <c r="H833" s="10"/>
      <c r="I833" s="10"/>
      <c r="J833" s="10"/>
    </row>
    <row r="834" spans="2:10" ht="33" customHeight="1" x14ac:dyDescent="0.3">
      <c r="B834" s="10"/>
      <c r="C834" s="10"/>
      <c r="D834" s="10"/>
      <c r="F834" s="10"/>
      <c r="G834" s="10"/>
      <c r="H834" s="10"/>
      <c r="I834" s="10"/>
      <c r="J834" s="10"/>
    </row>
    <row r="835" spans="2:10" ht="33" customHeight="1" x14ac:dyDescent="0.3">
      <c r="B835" s="10"/>
      <c r="C835" s="10"/>
      <c r="D835" s="10"/>
      <c r="F835" s="10"/>
      <c r="G835" s="10"/>
      <c r="H835" s="10"/>
      <c r="I835" s="10"/>
      <c r="J835" s="10"/>
    </row>
    <row r="836" spans="2:10" ht="33" customHeight="1" x14ac:dyDescent="0.3">
      <c r="B836" s="10"/>
      <c r="C836" s="10"/>
      <c r="D836" s="10"/>
      <c r="F836" s="10"/>
      <c r="G836" s="10"/>
      <c r="H836" s="10"/>
      <c r="I836" s="10"/>
      <c r="J836" s="10"/>
    </row>
    <row r="837" spans="2:10" ht="33" customHeight="1" x14ac:dyDescent="0.3">
      <c r="B837" s="10"/>
      <c r="C837" s="10"/>
      <c r="D837" s="10"/>
      <c r="F837" s="10"/>
      <c r="G837" s="10"/>
      <c r="H837" s="10"/>
      <c r="I837" s="10"/>
      <c r="J837" s="10"/>
    </row>
    <row r="838" spans="2:10" ht="33" customHeight="1" x14ac:dyDescent="0.3">
      <c r="B838" s="10"/>
      <c r="C838" s="10"/>
      <c r="D838" s="10"/>
      <c r="F838" s="10"/>
      <c r="G838" s="10"/>
      <c r="H838" s="10"/>
      <c r="I838" s="10"/>
      <c r="J838" s="10"/>
    </row>
    <row r="839" spans="2:10" ht="33" customHeight="1" x14ac:dyDescent="0.3">
      <c r="B839" s="10"/>
      <c r="C839" s="10"/>
      <c r="D839" s="10"/>
      <c r="F839" s="10"/>
      <c r="G839" s="10"/>
      <c r="H839" s="10"/>
      <c r="I839" s="10"/>
      <c r="J839" s="10"/>
    </row>
    <row r="840" spans="2:10" ht="33" customHeight="1" x14ac:dyDescent="0.3">
      <c r="B840" s="10"/>
      <c r="C840" s="10"/>
      <c r="D840" s="10"/>
      <c r="F840" s="10"/>
      <c r="G840" s="10"/>
      <c r="H840" s="10"/>
      <c r="I840" s="10"/>
      <c r="J840" s="10"/>
    </row>
    <row r="841" spans="2:10" ht="33" customHeight="1" x14ac:dyDescent="0.3">
      <c r="B841" s="10"/>
      <c r="C841" s="10"/>
      <c r="D841" s="10"/>
      <c r="F841" s="10"/>
      <c r="G841" s="10"/>
      <c r="H841" s="10"/>
      <c r="I841" s="10"/>
      <c r="J841" s="10"/>
    </row>
    <row r="842" spans="2:10" ht="33" customHeight="1" x14ac:dyDescent="0.3">
      <c r="B842" s="10"/>
      <c r="C842" s="10"/>
      <c r="D842" s="10"/>
      <c r="F842" s="10"/>
      <c r="G842" s="10"/>
      <c r="H842" s="10"/>
      <c r="I842" s="10"/>
      <c r="J842" s="10"/>
    </row>
    <row r="843" spans="2:10" ht="33" customHeight="1" x14ac:dyDescent="0.3">
      <c r="B843" s="10"/>
      <c r="C843" s="10"/>
      <c r="D843" s="10"/>
      <c r="F843" s="10"/>
      <c r="G843" s="10"/>
      <c r="H843" s="10"/>
      <c r="I843" s="10"/>
      <c r="J843" s="10"/>
    </row>
    <row r="844" spans="2:10" ht="33" customHeight="1" x14ac:dyDescent="0.3">
      <c r="B844" s="10"/>
      <c r="C844" s="10"/>
      <c r="D844" s="10"/>
      <c r="F844" s="10"/>
      <c r="G844" s="10"/>
      <c r="H844" s="10"/>
      <c r="I844" s="10"/>
      <c r="J844" s="10"/>
    </row>
    <row r="845" spans="2:10" ht="33" customHeight="1" x14ac:dyDescent="0.3">
      <c r="B845" s="10"/>
      <c r="C845" s="10"/>
      <c r="D845" s="10"/>
      <c r="F845" s="10"/>
      <c r="G845" s="10"/>
      <c r="H845" s="10"/>
      <c r="I845" s="10"/>
      <c r="J845" s="10"/>
    </row>
    <row r="846" spans="2:10" ht="33" customHeight="1" x14ac:dyDescent="0.3">
      <c r="B846" s="10"/>
      <c r="C846" s="10"/>
      <c r="D846" s="10"/>
      <c r="F846" s="10"/>
      <c r="G846" s="10"/>
      <c r="H846" s="10"/>
      <c r="I846" s="10"/>
      <c r="J846" s="10"/>
    </row>
    <row r="847" spans="2:10" ht="33" customHeight="1" x14ac:dyDescent="0.3">
      <c r="B847" s="10"/>
      <c r="C847" s="10"/>
      <c r="D847" s="10"/>
      <c r="F847" s="10"/>
      <c r="G847" s="10"/>
      <c r="H847" s="10"/>
      <c r="I847" s="10"/>
      <c r="J847" s="10"/>
    </row>
    <row r="848" spans="2:10" ht="33" customHeight="1" x14ac:dyDescent="0.3">
      <c r="B848" s="10"/>
      <c r="C848" s="10"/>
      <c r="D848" s="10"/>
      <c r="F848" s="10"/>
      <c r="G848" s="10"/>
      <c r="H848" s="10"/>
      <c r="I848" s="10"/>
      <c r="J848" s="10"/>
    </row>
    <row r="849" spans="2:10" ht="33" customHeight="1" x14ac:dyDescent="0.3">
      <c r="B849" s="10"/>
      <c r="C849" s="10"/>
      <c r="D849" s="10"/>
      <c r="F849" s="10"/>
      <c r="G849" s="10"/>
      <c r="H849" s="10"/>
      <c r="I849" s="10"/>
      <c r="J849" s="10"/>
    </row>
    <row r="850" spans="2:10" ht="33" customHeight="1" x14ac:dyDescent="0.3">
      <c r="B850" s="10"/>
      <c r="C850" s="10"/>
      <c r="D850" s="10"/>
      <c r="F850" s="10"/>
      <c r="G850" s="10"/>
      <c r="H850" s="10"/>
      <c r="I850" s="10"/>
      <c r="J850" s="10"/>
    </row>
    <row r="851" spans="2:10" ht="33" customHeight="1" x14ac:dyDescent="0.3">
      <c r="B851" s="10"/>
      <c r="C851" s="10"/>
      <c r="D851" s="10"/>
      <c r="F851" s="10"/>
      <c r="G851" s="10"/>
      <c r="H851" s="10"/>
      <c r="I851" s="10"/>
      <c r="J851" s="10"/>
    </row>
    <row r="852" spans="2:10" ht="33" customHeight="1" x14ac:dyDescent="0.3">
      <c r="B852" s="10"/>
      <c r="C852" s="10"/>
      <c r="D852" s="10"/>
      <c r="F852" s="10"/>
      <c r="G852" s="10"/>
      <c r="H852" s="10"/>
      <c r="I852" s="10"/>
      <c r="J852" s="10"/>
    </row>
    <row r="853" spans="2:10" ht="33" customHeight="1" x14ac:dyDescent="0.3">
      <c r="B853" s="10"/>
      <c r="C853" s="10"/>
      <c r="D853" s="10"/>
      <c r="F853" s="10"/>
      <c r="G853" s="10"/>
      <c r="H853" s="10"/>
      <c r="I853" s="10"/>
      <c r="J853" s="10"/>
    </row>
    <row r="854" spans="2:10" ht="33" customHeight="1" x14ac:dyDescent="0.3">
      <c r="B854" s="10"/>
      <c r="C854" s="10"/>
      <c r="D854" s="10"/>
      <c r="F854" s="10"/>
      <c r="G854" s="10"/>
      <c r="H854" s="10"/>
      <c r="I854" s="10"/>
      <c r="J854" s="10"/>
    </row>
    <row r="855" spans="2:10" ht="33" customHeight="1" x14ac:dyDescent="0.3">
      <c r="B855" s="10"/>
      <c r="C855" s="10"/>
      <c r="D855" s="10"/>
      <c r="F855" s="10"/>
      <c r="G855" s="10"/>
      <c r="H855" s="10"/>
      <c r="I855" s="10"/>
      <c r="J855" s="10"/>
    </row>
    <row r="856" spans="2:10" ht="33" customHeight="1" x14ac:dyDescent="0.3">
      <c r="B856" s="10"/>
      <c r="C856" s="10"/>
      <c r="D856" s="10"/>
      <c r="F856" s="10"/>
      <c r="G856" s="10"/>
      <c r="H856" s="10"/>
      <c r="I856" s="10"/>
      <c r="J856" s="10"/>
    </row>
    <row r="857" spans="2:10" ht="33" customHeight="1" x14ac:dyDescent="0.3">
      <c r="B857" s="10"/>
      <c r="C857" s="10"/>
      <c r="D857" s="10"/>
      <c r="F857" s="10"/>
      <c r="G857" s="10"/>
      <c r="H857" s="10"/>
      <c r="I857" s="10"/>
      <c r="J857" s="10"/>
    </row>
    <row r="858" spans="2:10" ht="33" customHeight="1" x14ac:dyDescent="0.3">
      <c r="B858" s="10"/>
      <c r="C858" s="10"/>
      <c r="D858" s="10"/>
      <c r="F858" s="10"/>
      <c r="G858" s="10"/>
      <c r="H858" s="10"/>
      <c r="I858" s="10"/>
      <c r="J858" s="10"/>
    </row>
    <row r="859" spans="2:10" ht="33" customHeight="1" x14ac:dyDescent="0.3">
      <c r="B859" s="10"/>
      <c r="C859" s="10"/>
      <c r="D859" s="10"/>
      <c r="F859" s="10"/>
      <c r="G859" s="10"/>
      <c r="H859" s="10"/>
      <c r="I859" s="10"/>
      <c r="J859" s="10"/>
    </row>
    <row r="860" spans="2:10" ht="33" customHeight="1" x14ac:dyDescent="0.3">
      <c r="B860" s="10"/>
      <c r="C860" s="10"/>
      <c r="D860" s="10"/>
      <c r="F860" s="10"/>
      <c r="G860" s="10"/>
      <c r="H860" s="10"/>
      <c r="I860" s="10"/>
      <c r="J860" s="10"/>
    </row>
    <row r="861" spans="2:10" ht="33" customHeight="1" x14ac:dyDescent="0.3">
      <c r="B861" s="10"/>
      <c r="C861" s="10"/>
      <c r="D861" s="10"/>
      <c r="F861" s="10"/>
      <c r="G861" s="10"/>
      <c r="H861" s="10"/>
      <c r="I861" s="10"/>
      <c r="J861" s="10"/>
    </row>
    <row r="862" spans="2:10" ht="33" customHeight="1" x14ac:dyDescent="0.3">
      <c r="B862" s="10"/>
      <c r="C862" s="10"/>
      <c r="D862" s="10"/>
      <c r="F862" s="10"/>
      <c r="G862" s="10"/>
      <c r="H862" s="10"/>
      <c r="I862" s="10"/>
      <c r="J862" s="10"/>
    </row>
    <row r="863" spans="2:10" ht="33" customHeight="1" x14ac:dyDescent="0.3">
      <c r="B863" s="10"/>
      <c r="C863" s="10"/>
      <c r="D863" s="10"/>
      <c r="F863" s="10"/>
      <c r="G863" s="10"/>
      <c r="H863" s="10"/>
      <c r="I863" s="10"/>
      <c r="J863" s="10"/>
    </row>
    <row r="864" spans="2:10" ht="33" customHeight="1" x14ac:dyDescent="0.3">
      <c r="B864" s="10"/>
      <c r="C864" s="10"/>
      <c r="D864" s="10"/>
      <c r="F864" s="10"/>
      <c r="G864" s="10"/>
      <c r="H864" s="10"/>
      <c r="I864" s="10"/>
      <c r="J864" s="10"/>
    </row>
    <row r="865" spans="2:10" ht="33" customHeight="1" x14ac:dyDescent="0.3">
      <c r="B865" s="10"/>
      <c r="C865" s="10"/>
      <c r="D865" s="10"/>
      <c r="F865" s="10"/>
      <c r="G865" s="10"/>
      <c r="H865" s="10"/>
      <c r="I865" s="10"/>
      <c r="J865" s="10"/>
    </row>
    <row r="866" spans="2:10" ht="33" customHeight="1" x14ac:dyDescent="0.3">
      <c r="B866" s="10"/>
      <c r="C866" s="10"/>
      <c r="D866" s="10"/>
      <c r="F866" s="10"/>
      <c r="G866" s="10"/>
      <c r="H866" s="10"/>
      <c r="I866" s="10"/>
      <c r="J866" s="10"/>
    </row>
    <row r="867" spans="2:10" ht="33" customHeight="1" x14ac:dyDescent="0.3">
      <c r="B867" s="10"/>
      <c r="C867" s="10"/>
      <c r="D867" s="10"/>
      <c r="F867" s="10"/>
      <c r="G867" s="10"/>
      <c r="H867" s="10"/>
      <c r="I867" s="10"/>
      <c r="J867" s="10"/>
    </row>
    <row r="868" spans="2:10" ht="33" customHeight="1" x14ac:dyDescent="0.3">
      <c r="B868" s="10"/>
      <c r="C868" s="10"/>
      <c r="D868" s="10"/>
      <c r="F868" s="10"/>
      <c r="G868" s="10"/>
      <c r="H868" s="10"/>
      <c r="I868" s="10"/>
      <c r="J868" s="10"/>
    </row>
    <row r="869" spans="2:10" ht="33" customHeight="1" x14ac:dyDescent="0.3">
      <c r="B869" s="10"/>
      <c r="C869" s="10"/>
      <c r="D869" s="10"/>
      <c r="F869" s="10"/>
      <c r="G869" s="10"/>
      <c r="H869" s="10"/>
      <c r="I869" s="10"/>
      <c r="J869" s="10"/>
    </row>
    <row r="870" spans="2:10" ht="33" customHeight="1" x14ac:dyDescent="0.3">
      <c r="B870" s="10"/>
      <c r="C870" s="10"/>
      <c r="D870" s="10"/>
      <c r="F870" s="10"/>
      <c r="G870" s="10"/>
      <c r="H870" s="10"/>
      <c r="I870" s="10"/>
      <c r="J870" s="10"/>
    </row>
    <row r="871" spans="2:10" ht="33" customHeight="1" x14ac:dyDescent="0.3">
      <c r="B871" s="10"/>
      <c r="C871" s="10"/>
      <c r="D871" s="10"/>
      <c r="F871" s="10"/>
      <c r="G871" s="10"/>
      <c r="H871" s="10"/>
      <c r="I871" s="10"/>
      <c r="J871" s="10"/>
    </row>
    <row r="872" spans="2:10" ht="33" customHeight="1" x14ac:dyDescent="0.3">
      <c r="B872" s="10"/>
      <c r="C872" s="10"/>
      <c r="D872" s="10"/>
      <c r="F872" s="10"/>
      <c r="G872" s="10"/>
      <c r="H872" s="10"/>
      <c r="I872" s="10"/>
      <c r="J872" s="10"/>
    </row>
    <row r="873" spans="2:10" ht="33" customHeight="1" x14ac:dyDescent="0.3">
      <c r="B873" s="10"/>
      <c r="C873" s="10"/>
      <c r="D873" s="10"/>
      <c r="F873" s="10"/>
      <c r="G873" s="10"/>
      <c r="H873" s="10"/>
      <c r="I873" s="10"/>
      <c r="J873" s="10"/>
    </row>
    <row r="874" spans="2:10" ht="33" customHeight="1" x14ac:dyDescent="0.3">
      <c r="B874" s="10"/>
      <c r="C874" s="10"/>
      <c r="D874" s="10"/>
      <c r="F874" s="10"/>
      <c r="G874" s="10"/>
      <c r="H874" s="10"/>
      <c r="I874" s="10"/>
      <c r="J874" s="10"/>
    </row>
    <row r="875" spans="2:10" ht="33" customHeight="1" x14ac:dyDescent="0.3">
      <c r="B875" s="10"/>
      <c r="C875" s="10"/>
      <c r="D875" s="10"/>
      <c r="F875" s="10"/>
      <c r="G875" s="10"/>
      <c r="H875" s="10"/>
      <c r="I875" s="10"/>
      <c r="J875" s="10"/>
    </row>
    <row r="876" spans="2:10" ht="33" customHeight="1" x14ac:dyDescent="0.3">
      <c r="B876" s="10"/>
      <c r="C876" s="10"/>
      <c r="D876" s="10"/>
      <c r="F876" s="10"/>
      <c r="G876" s="10"/>
      <c r="H876" s="10"/>
      <c r="I876" s="10"/>
      <c r="J876" s="10"/>
    </row>
    <row r="877" spans="2:10" ht="33" customHeight="1" x14ac:dyDescent="0.3">
      <c r="B877" s="10"/>
      <c r="C877" s="10"/>
      <c r="D877" s="10"/>
      <c r="F877" s="10"/>
      <c r="G877" s="10"/>
      <c r="H877" s="10"/>
      <c r="I877" s="10"/>
      <c r="J877" s="10"/>
    </row>
    <row r="878" spans="2:10" ht="33" customHeight="1" x14ac:dyDescent="0.3">
      <c r="B878" s="10"/>
      <c r="C878" s="10"/>
      <c r="D878" s="10"/>
      <c r="F878" s="10"/>
      <c r="G878" s="10"/>
      <c r="H878" s="10"/>
      <c r="I878" s="10"/>
      <c r="J878" s="10"/>
    </row>
    <row r="879" spans="2:10" ht="33" customHeight="1" x14ac:dyDescent="0.3">
      <c r="B879" s="10"/>
      <c r="C879" s="10"/>
      <c r="D879" s="10"/>
      <c r="F879" s="10"/>
      <c r="G879" s="10"/>
      <c r="H879" s="10"/>
      <c r="I879" s="10"/>
      <c r="J879" s="10"/>
    </row>
    <row r="880" spans="2:10" ht="33" customHeight="1" x14ac:dyDescent="0.3">
      <c r="B880" s="10"/>
      <c r="C880" s="10"/>
      <c r="D880" s="10"/>
      <c r="F880" s="10"/>
      <c r="G880" s="10"/>
      <c r="H880" s="10"/>
      <c r="I880" s="10"/>
      <c r="J880" s="10"/>
    </row>
    <row r="881" spans="2:10" ht="33" customHeight="1" x14ac:dyDescent="0.3">
      <c r="B881" s="10"/>
      <c r="C881" s="10"/>
      <c r="D881" s="10"/>
      <c r="F881" s="10"/>
      <c r="G881" s="10"/>
      <c r="H881" s="10"/>
      <c r="I881" s="10"/>
      <c r="J881" s="10"/>
    </row>
    <row r="882" spans="2:10" ht="33" customHeight="1" x14ac:dyDescent="0.3">
      <c r="B882" s="10"/>
      <c r="C882" s="10"/>
      <c r="D882" s="10"/>
      <c r="F882" s="10"/>
      <c r="G882" s="10"/>
      <c r="H882" s="10"/>
      <c r="I882" s="10"/>
      <c r="J882" s="10"/>
    </row>
    <row r="883" spans="2:10" ht="33" customHeight="1" x14ac:dyDescent="0.3">
      <c r="B883" s="10"/>
      <c r="C883" s="10"/>
      <c r="D883" s="10"/>
      <c r="F883" s="10"/>
      <c r="G883" s="10"/>
      <c r="H883" s="10"/>
      <c r="I883" s="10"/>
      <c r="J883" s="10"/>
    </row>
    <row r="884" spans="2:10" ht="33" customHeight="1" x14ac:dyDescent="0.3">
      <c r="B884" s="10"/>
      <c r="C884" s="10"/>
      <c r="D884" s="10"/>
      <c r="F884" s="10"/>
      <c r="G884" s="10"/>
      <c r="H884" s="10"/>
      <c r="I884" s="10"/>
      <c r="J884" s="10"/>
    </row>
    <row r="885" spans="2:10" ht="33" customHeight="1" x14ac:dyDescent="0.3">
      <c r="B885" s="10"/>
      <c r="C885" s="10"/>
      <c r="D885" s="10"/>
      <c r="F885" s="10"/>
      <c r="G885" s="10"/>
      <c r="H885" s="10"/>
      <c r="I885" s="10"/>
      <c r="J885" s="10"/>
    </row>
    <row r="886" spans="2:10" ht="33" customHeight="1" x14ac:dyDescent="0.3">
      <c r="B886" s="10"/>
      <c r="C886" s="10"/>
      <c r="D886" s="10"/>
      <c r="F886" s="10"/>
      <c r="G886" s="10"/>
      <c r="H886" s="10"/>
      <c r="I886" s="10"/>
      <c r="J886" s="10"/>
    </row>
    <row r="887" spans="2:10" ht="33" customHeight="1" x14ac:dyDescent="0.3">
      <c r="B887" s="10"/>
      <c r="C887" s="10"/>
      <c r="D887" s="10"/>
      <c r="F887" s="10"/>
      <c r="G887" s="10"/>
      <c r="H887" s="10"/>
      <c r="I887" s="10"/>
      <c r="J887" s="10"/>
    </row>
    <row r="888" spans="2:10" ht="33" customHeight="1" x14ac:dyDescent="0.3">
      <c r="B888" s="10"/>
      <c r="C888" s="10"/>
      <c r="D888" s="10"/>
      <c r="F888" s="10"/>
      <c r="G888" s="10"/>
      <c r="H888" s="10"/>
      <c r="I888" s="10"/>
      <c r="J888" s="10"/>
    </row>
    <row r="889" spans="2:10" ht="33" customHeight="1" x14ac:dyDescent="0.3">
      <c r="B889" s="10"/>
      <c r="C889" s="10"/>
      <c r="D889" s="10"/>
      <c r="F889" s="10"/>
      <c r="G889" s="10"/>
      <c r="H889" s="10"/>
      <c r="I889" s="10"/>
      <c r="J889" s="10"/>
    </row>
    <row r="890" spans="2:10" ht="33" customHeight="1" x14ac:dyDescent="0.3">
      <c r="B890" s="10"/>
      <c r="C890" s="10"/>
      <c r="D890" s="10"/>
      <c r="F890" s="10"/>
      <c r="G890" s="10"/>
      <c r="H890" s="10"/>
      <c r="I890" s="10"/>
      <c r="J890" s="10"/>
    </row>
    <row r="891" spans="2:10" ht="33" customHeight="1" x14ac:dyDescent="0.3">
      <c r="B891" s="10"/>
      <c r="C891" s="10"/>
      <c r="D891" s="10"/>
      <c r="F891" s="10"/>
      <c r="G891" s="10"/>
      <c r="H891" s="10"/>
      <c r="I891" s="10"/>
      <c r="J891" s="10"/>
    </row>
    <row r="892" spans="2:10" ht="33" customHeight="1" x14ac:dyDescent="0.3">
      <c r="B892" s="10"/>
      <c r="C892" s="10"/>
      <c r="D892" s="10"/>
      <c r="F892" s="10"/>
      <c r="G892" s="10"/>
      <c r="H892" s="10"/>
      <c r="I892" s="10"/>
      <c r="J892" s="10"/>
    </row>
    <row r="893" spans="2:10" ht="33" customHeight="1" x14ac:dyDescent="0.3">
      <c r="B893" s="10"/>
      <c r="C893" s="10"/>
      <c r="D893" s="10"/>
      <c r="F893" s="10"/>
      <c r="G893" s="10"/>
      <c r="H893" s="10"/>
      <c r="I893" s="10"/>
      <c r="J893" s="10"/>
    </row>
    <row r="894" spans="2:10" ht="33" customHeight="1" x14ac:dyDescent="0.3">
      <c r="B894" s="10"/>
      <c r="C894" s="10"/>
      <c r="D894" s="10"/>
      <c r="F894" s="10"/>
      <c r="G894" s="10"/>
      <c r="H894" s="10"/>
      <c r="I894" s="10"/>
      <c r="J894" s="10"/>
    </row>
    <row r="895" spans="2:10" ht="33" customHeight="1" x14ac:dyDescent="0.3">
      <c r="B895" s="10"/>
      <c r="C895" s="10"/>
      <c r="D895" s="10"/>
      <c r="F895" s="10"/>
      <c r="G895" s="10"/>
      <c r="H895" s="10"/>
      <c r="I895" s="10"/>
      <c r="J895" s="10"/>
    </row>
    <row r="896" spans="2:10" ht="33" customHeight="1" x14ac:dyDescent="0.3">
      <c r="B896" s="10"/>
      <c r="C896" s="10"/>
      <c r="D896" s="10"/>
      <c r="F896" s="10"/>
      <c r="G896" s="10"/>
      <c r="H896" s="10"/>
      <c r="I896" s="10"/>
      <c r="J896" s="10"/>
    </row>
    <row r="897" spans="2:10" ht="33" customHeight="1" x14ac:dyDescent="0.3">
      <c r="B897" s="10"/>
      <c r="C897" s="10"/>
      <c r="D897" s="10"/>
      <c r="F897" s="10"/>
      <c r="G897" s="10"/>
      <c r="H897" s="10"/>
      <c r="I897" s="10"/>
      <c r="J897" s="10"/>
    </row>
    <row r="898" spans="2:10" ht="33" customHeight="1" x14ac:dyDescent="0.3">
      <c r="B898" s="10"/>
      <c r="C898" s="10"/>
      <c r="D898" s="10"/>
      <c r="F898" s="10"/>
      <c r="G898" s="10"/>
      <c r="H898" s="10"/>
      <c r="I898" s="10"/>
      <c r="J898" s="10"/>
    </row>
    <row r="899" spans="2:10" ht="33" customHeight="1" x14ac:dyDescent="0.3">
      <c r="B899" s="10"/>
      <c r="C899" s="10"/>
      <c r="D899" s="10"/>
      <c r="F899" s="10"/>
      <c r="G899" s="10"/>
      <c r="H899" s="10"/>
      <c r="I899" s="10"/>
      <c r="J899" s="10"/>
    </row>
    <row r="900" spans="2:10" ht="33" customHeight="1" x14ac:dyDescent="0.3">
      <c r="B900" s="10"/>
      <c r="C900" s="10"/>
      <c r="D900" s="10"/>
      <c r="F900" s="10"/>
      <c r="G900" s="10"/>
      <c r="H900" s="10"/>
      <c r="I900" s="10"/>
      <c r="J900" s="10"/>
    </row>
    <row r="901" spans="2:10" ht="33" customHeight="1" x14ac:dyDescent="0.3">
      <c r="B901" s="10"/>
      <c r="C901" s="10"/>
      <c r="D901" s="10"/>
      <c r="F901" s="10"/>
      <c r="G901" s="10"/>
      <c r="H901" s="10"/>
      <c r="I901" s="10"/>
      <c r="J901" s="10"/>
    </row>
    <row r="902" spans="2:10" ht="33" customHeight="1" x14ac:dyDescent="0.3">
      <c r="B902" s="10"/>
      <c r="C902" s="10"/>
      <c r="D902" s="10"/>
      <c r="F902" s="10"/>
      <c r="G902" s="10"/>
      <c r="H902" s="10"/>
      <c r="I902" s="10"/>
      <c r="J902" s="10"/>
    </row>
    <row r="903" spans="2:10" ht="33" customHeight="1" x14ac:dyDescent="0.3">
      <c r="B903" s="10"/>
      <c r="C903" s="10"/>
      <c r="D903" s="10"/>
      <c r="F903" s="10"/>
      <c r="G903" s="10"/>
      <c r="H903" s="10"/>
      <c r="I903" s="10"/>
      <c r="J903" s="10"/>
    </row>
    <row r="904" spans="2:10" ht="33" customHeight="1" x14ac:dyDescent="0.3">
      <c r="B904" s="10"/>
      <c r="C904" s="10"/>
      <c r="D904" s="10"/>
      <c r="F904" s="10"/>
      <c r="G904" s="10"/>
      <c r="H904" s="10"/>
      <c r="I904" s="10"/>
      <c r="J904" s="10"/>
    </row>
    <row r="905" spans="2:10" ht="33" customHeight="1" x14ac:dyDescent="0.3">
      <c r="B905" s="10"/>
      <c r="C905" s="10"/>
      <c r="D905" s="10"/>
      <c r="F905" s="10"/>
      <c r="G905" s="10"/>
      <c r="H905" s="10"/>
      <c r="I905" s="10"/>
      <c r="J905" s="10"/>
    </row>
    <row r="906" spans="2:10" ht="33" customHeight="1" x14ac:dyDescent="0.3">
      <c r="B906" s="10"/>
      <c r="C906" s="10"/>
      <c r="D906" s="10"/>
      <c r="F906" s="10"/>
      <c r="G906" s="10"/>
      <c r="H906" s="10"/>
      <c r="I906" s="10"/>
      <c r="J906" s="10"/>
    </row>
    <row r="907" spans="2:10" ht="33" customHeight="1" x14ac:dyDescent="0.3">
      <c r="B907" s="10"/>
      <c r="C907" s="10"/>
      <c r="D907" s="10"/>
      <c r="F907" s="10"/>
      <c r="G907" s="10"/>
      <c r="H907" s="10"/>
      <c r="I907" s="10"/>
      <c r="J907" s="10"/>
    </row>
    <row r="908" spans="2:10" ht="33" customHeight="1" x14ac:dyDescent="0.3">
      <c r="B908" s="10"/>
      <c r="C908" s="10"/>
      <c r="D908" s="10"/>
      <c r="F908" s="10"/>
      <c r="G908" s="10"/>
      <c r="H908" s="10"/>
      <c r="I908" s="10"/>
      <c r="J908" s="10"/>
    </row>
    <row r="909" spans="2:10" ht="33" customHeight="1" x14ac:dyDescent="0.3">
      <c r="B909" s="10"/>
      <c r="C909" s="10"/>
      <c r="D909" s="10"/>
      <c r="F909" s="10"/>
      <c r="G909" s="10"/>
      <c r="H909" s="10"/>
      <c r="I909" s="10"/>
      <c r="J909" s="10"/>
    </row>
    <row r="910" spans="2:10" ht="33" customHeight="1" x14ac:dyDescent="0.3">
      <c r="B910" s="10"/>
      <c r="C910" s="10"/>
      <c r="D910" s="10"/>
      <c r="F910" s="10"/>
      <c r="G910" s="10"/>
      <c r="H910" s="10"/>
      <c r="I910" s="10"/>
      <c r="J910" s="10"/>
    </row>
    <row r="911" spans="2:10" ht="33" customHeight="1" x14ac:dyDescent="0.3">
      <c r="B911" s="10"/>
      <c r="C911" s="10"/>
      <c r="D911" s="10"/>
      <c r="F911" s="10"/>
      <c r="G911" s="10"/>
      <c r="H911" s="10"/>
      <c r="I911" s="10"/>
      <c r="J911" s="10"/>
    </row>
    <row r="912" spans="2:10" ht="33" customHeight="1" x14ac:dyDescent="0.3">
      <c r="B912" s="10"/>
      <c r="C912" s="10"/>
      <c r="D912" s="10"/>
      <c r="F912" s="10"/>
      <c r="G912" s="10"/>
      <c r="H912" s="10"/>
      <c r="I912" s="10"/>
      <c r="J912" s="10"/>
    </row>
    <row r="913" spans="2:10" ht="33" customHeight="1" x14ac:dyDescent="0.3">
      <c r="B913" s="10"/>
      <c r="C913" s="10"/>
      <c r="D913" s="10"/>
      <c r="F913" s="10"/>
      <c r="G913" s="10"/>
      <c r="H913" s="10"/>
      <c r="I913" s="10"/>
      <c r="J913" s="10"/>
    </row>
    <row r="914" spans="2:10" ht="33" customHeight="1" x14ac:dyDescent="0.3">
      <c r="B914" s="10"/>
      <c r="C914" s="10"/>
      <c r="D914" s="10"/>
      <c r="F914" s="10"/>
      <c r="G914" s="10"/>
      <c r="H914" s="10"/>
      <c r="I914" s="10"/>
      <c r="J914" s="10"/>
    </row>
    <row r="915" spans="2:10" ht="33" customHeight="1" x14ac:dyDescent="0.3">
      <c r="B915" s="10"/>
      <c r="C915" s="10"/>
      <c r="D915" s="10"/>
      <c r="F915" s="10"/>
      <c r="G915" s="10"/>
      <c r="H915" s="10"/>
      <c r="I915" s="10"/>
      <c r="J915" s="10"/>
    </row>
    <row r="916" spans="2:10" ht="33" customHeight="1" x14ac:dyDescent="0.3">
      <c r="B916" s="10"/>
      <c r="C916" s="10"/>
      <c r="D916" s="10"/>
      <c r="F916" s="10"/>
      <c r="G916" s="10"/>
      <c r="H916" s="10"/>
      <c r="I916" s="10"/>
      <c r="J916" s="10"/>
    </row>
    <row r="917" spans="2:10" ht="33" customHeight="1" x14ac:dyDescent="0.3">
      <c r="B917" s="10"/>
      <c r="C917" s="10"/>
      <c r="D917" s="10"/>
      <c r="F917" s="10"/>
      <c r="G917" s="10"/>
      <c r="H917" s="10"/>
      <c r="I917" s="10"/>
      <c r="J917" s="10"/>
    </row>
    <row r="918" spans="2:10" ht="33" customHeight="1" x14ac:dyDescent="0.3">
      <c r="B918" s="10"/>
      <c r="C918" s="10"/>
      <c r="D918" s="10"/>
      <c r="F918" s="10"/>
      <c r="G918" s="10"/>
      <c r="H918" s="10"/>
      <c r="I918" s="10"/>
      <c r="J918" s="10"/>
    </row>
    <row r="919" spans="2:10" ht="33" customHeight="1" x14ac:dyDescent="0.3">
      <c r="B919" s="10"/>
      <c r="C919" s="10"/>
      <c r="D919" s="10"/>
      <c r="F919" s="10"/>
      <c r="G919" s="10"/>
      <c r="H919" s="10"/>
      <c r="I919" s="10"/>
      <c r="J919" s="10"/>
    </row>
    <row r="920" spans="2:10" ht="33" customHeight="1" x14ac:dyDescent="0.3">
      <c r="B920" s="10"/>
      <c r="C920" s="10"/>
      <c r="D920" s="10"/>
      <c r="F920" s="10"/>
      <c r="G920" s="10"/>
      <c r="H920" s="10"/>
      <c r="I920" s="10"/>
      <c r="J920" s="10"/>
    </row>
    <row r="921" spans="2:10" ht="33" customHeight="1" x14ac:dyDescent="0.3">
      <c r="B921" s="10"/>
      <c r="C921" s="10"/>
      <c r="D921" s="10"/>
      <c r="F921" s="10"/>
      <c r="G921" s="10"/>
      <c r="H921" s="10"/>
      <c r="I921" s="10"/>
      <c r="J921" s="10"/>
    </row>
    <row r="922" spans="2:10" ht="33" customHeight="1" x14ac:dyDescent="0.3">
      <c r="B922" s="10"/>
      <c r="C922" s="10"/>
      <c r="D922" s="10"/>
      <c r="F922" s="10"/>
      <c r="G922" s="10"/>
      <c r="H922" s="10"/>
      <c r="I922" s="10"/>
      <c r="J922" s="10"/>
    </row>
    <row r="923" spans="2:10" ht="33" customHeight="1" x14ac:dyDescent="0.3">
      <c r="B923" s="10"/>
      <c r="C923" s="10"/>
      <c r="D923" s="10"/>
      <c r="F923" s="10"/>
      <c r="G923" s="10"/>
      <c r="H923" s="10"/>
      <c r="I923" s="10"/>
      <c r="J923" s="10"/>
    </row>
    <row r="924" spans="2:10" ht="33" customHeight="1" x14ac:dyDescent="0.3">
      <c r="B924" s="10"/>
      <c r="C924" s="10"/>
      <c r="D924" s="10"/>
      <c r="F924" s="10"/>
      <c r="G924" s="10"/>
      <c r="H924" s="10"/>
      <c r="I924" s="10"/>
      <c r="J924" s="10"/>
    </row>
    <row r="925" spans="2:10" ht="33" customHeight="1" x14ac:dyDescent="0.3">
      <c r="B925" s="10"/>
      <c r="C925" s="10"/>
      <c r="D925" s="10"/>
      <c r="F925" s="10"/>
      <c r="G925" s="10"/>
      <c r="H925" s="10"/>
      <c r="I925" s="10"/>
      <c r="J925" s="10"/>
    </row>
    <row r="926" spans="2:10" ht="33" customHeight="1" x14ac:dyDescent="0.3">
      <c r="B926" s="10"/>
      <c r="C926" s="10"/>
      <c r="D926" s="10"/>
      <c r="F926" s="10"/>
      <c r="G926" s="10"/>
      <c r="H926" s="10"/>
      <c r="I926" s="10"/>
      <c r="J926" s="10"/>
    </row>
    <row r="927" spans="2:10" ht="33" customHeight="1" x14ac:dyDescent="0.3">
      <c r="B927" s="10"/>
      <c r="C927" s="10"/>
      <c r="D927" s="10"/>
      <c r="F927" s="10"/>
      <c r="G927" s="10"/>
      <c r="H927" s="10"/>
      <c r="I927" s="10"/>
      <c r="J927" s="10"/>
    </row>
    <row r="928" spans="2:10" ht="33" customHeight="1" x14ac:dyDescent="0.3">
      <c r="B928" s="10"/>
      <c r="C928" s="10"/>
      <c r="D928" s="10"/>
      <c r="F928" s="10"/>
      <c r="G928" s="10"/>
      <c r="H928" s="10"/>
      <c r="I928" s="10"/>
      <c r="J928" s="10"/>
    </row>
    <row r="929" spans="2:10" ht="33" customHeight="1" x14ac:dyDescent="0.3">
      <c r="B929" s="10"/>
      <c r="C929" s="10"/>
      <c r="D929" s="10"/>
      <c r="F929" s="10"/>
      <c r="G929" s="10"/>
      <c r="H929" s="10"/>
      <c r="I929" s="10"/>
      <c r="J929" s="10"/>
    </row>
    <row r="930" spans="2:10" ht="33" customHeight="1" x14ac:dyDescent="0.3">
      <c r="B930" s="10"/>
      <c r="C930" s="10"/>
      <c r="D930" s="10"/>
      <c r="F930" s="10"/>
      <c r="G930" s="10"/>
      <c r="H930" s="10"/>
      <c r="I930" s="10"/>
      <c r="J930" s="10"/>
    </row>
    <row r="931" spans="2:10" ht="33" customHeight="1" x14ac:dyDescent="0.3">
      <c r="B931" s="10"/>
      <c r="C931" s="10"/>
      <c r="D931" s="10"/>
      <c r="F931" s="10"/>
      <c r="G931" s="10"/>
      <c r="H931" s="10"/>
      <c r="I931" s="10"/>
      <c r="J931" s="10"/>
    </row>
    <row r="932" spans="2:10" ht="33" customHeight="1" x14ac:dyDescent="0.3">
      <c r="B932" s="10"/>
      <c r="C932" s="10"/>
      <c r="D932" s="10"/>
      <c r="F932" s="10"/>
      <c r="G932" s="10"/>
      <c r="H932" s="10"/>
      <c r="I932" s="10"/>
      <c r="J932" s="10"/>
    </row>
    <row r="933" spans="2:10" ht="33" customHeight="1" x14ac:dyDescent="0.3">
      <c r="B933" s="10"/>
      <c r="C933" s="10"/>
      <c r="D933" s="10"/>
      <c r="F933" s="10"/>
      <c r="G933" s="10"/>
      <c r="H933" s="10"/>
      <c r="I933" s="10"/>
      <c r="J933" s="10"/>
    </row>
    <row r="934" spans="2:10" ht="33" customHeight="1" x14ac:dyDescent="0.3">
      <c r="B934" s="10"/>
      <c r="C934" s="10"/>
      <c r="D934" s="10"/>
      <c r="F934" s="10"/>
      <c r="G934" s="10"/>
      <c r="H934" s="10"/>
      <c r="I934" s="10"/>
      <c r="J934" s="10"/>
    </row>
    <row r="935" spans="2:10" ht="33" customHeight="1" x14ac:dyDescent="0.3">
      <c r="B935" s="10"/>
      <c r="C935" s="10"/>
      <c r="D935" s="10"/>
      <c r="F935" s="10"/>
      <c r="G935" s="10"/>
      <c r="H935" s="10"/>
      <c r="I935" s="10"/>
      <c r="J935" s="10"/>
    </row>
    <row r="936" spans="2:10" ht="33" customHeight="1" x14ac:dyDescent="0.3">
      <c r="B936" s="10"/>
      <c r="C936" s="10"/>
      <c r="D936" s="10"/>
      <c r="F936" s="10"/>
      <c r="G936" s="10"/>
      <c r="H936" s="10"/>
      <c r="I936" s="10"/>
      <c r="J936" s="10"/>
    </row>
    <row r="937" spans="2:10" ht="33" customHeight="1" x14ac:dyDescent="0.3">
      <c r="B937" s="10"/>
      <c r="C937" s="10"/>
      <c r="D937" s="10"/>
      <c r="F937" s="10"/>
      <c r="G937" s="10"/>
      <c r="H937" s="10"/>
      <c r="I937" s="10"/>
      <c r="J937" s="10"/>
    </row>
    <row r="938" spans="2:10" ht="33" customHeight="1" x14ac:dyDescent="0.3">
      <c r="B938" s="10"/>
      <c r="C938" s="10"/>
      <c r="D938" s="10"/>
      <c r="F938" s="10"/>
      <c r="G938" s="10"/>
      <c r="H938" s="10"/>
      <c r="I938" s="10"/>
      <c r="J938" s="10"/>
    </row>
    <row r="939" spans="2:10" ht="33" customHeight="1" x14ac:dyDescent="0.3">
      <c r="B939" s="10"/>
      <c r="C939" s="10"/>
      <c r="D939" s="10"/>
      <c r="F939" s="10"/>
      <c r="G939" s="10"/>
      <c r="H939" s="10"/>
      <c r="I939" s="10"/>
      <c r="J939" s="10"/>
    </row>
    <row r="940" spans="2:10" ht="33" customHeight="1" x14ac:dyDescent="0.3">
      <c r="B940" s="10"/>
      <c r="C940" s="10"/>
      <c r="D940" s="10"/>
      <c r="F940" s="10"/>
      <c r="G940" s="10"/>
      <c r="H940" s="10"/>
      <c r="I940" s="10"/>
      <c r="J940" s="10"/>
    </row>
    <row r="941" spans="2:10" ht="33" customHeight="1" x14ac:dyDescent="0.3">
      <c r="B941" s="10"/>
      <c r="C941" s="10"/>
      <c r="D941" s="10"/>
      <c r="F941" s="10"/>
      <c r="G941" s="10"/>
      <c r="H941" s="10"/>
      <c r="I941" s="10"/>
      <c r="J941" s="10"/>
    </row>
    <row r="942" spans="2:10" ht="33" customHeight="1" x14ac:dyDescent="0.3">
      <c r="B942" s="10"/>
      <c r="C942" s="10"/>
      <c r="D942" s="10"/>
      <c r="F942" s="10"/>
      <c r="G942" s="10"/>
      <c r="H942" s="10"/>
      <c r="I942" s="10"/>
      <c r="J942" s="10"/>
    </row>
    <row r="943" spans="2:10" ht="33" customHeight="1" x14ac:dyDescent="0.3">
      <c r="B943" s="10"/>
      <c r="C943" s="10"/>
      <c r="D943" s="10"/>
      <c r="F943" s="10"/>
      <c r="G943" s="10"/>
      <c r="H943" s="10"/>
      <c r="I943" s="10"/>
      <c r="J943" s="10"/>
    </row>
    <row r="944" spans="2:10" ht="33" customHeight="1" x14ac:dyDescent="0.3">
      <c r="B944" s="10"/>
      <c r="C944" s="10"/>
      <c r="D944" s="10"/>
      <c r="F944" s="10"/>
      <c r="G944" s="10"/>
      <c r="H944" s="10"/>
      <c r="I944" s="10"/>
      <c r="J944" s="10"/>
    </row>
    <row r="945" spans="2:10" ht="33" customHeight="1" x14ac:dyDescent="0.3">
      <c r="B945" s="10"/>
      <c r="C945" s="10"/>
      <c r="D945" s="10"/>
      <c r="F945" s="10"/>
      <c r="G945" s="10"/>
      <c r="H945" s="10"/>
      <c r="I945" s="10"/>
      <c r="J945" s="10"/>
    </row>
    <row r="946" spans="2:10" ht="33" customHeight="1" x14ac:dyDescent="0.3">
      <c r="B946" s="10"/>
      <c r="C946" s="10"/>
      <c r="D946" s="10"/>
      <c r="F946" s="10"/>
      <c r="G946" s="10"/>
      <c r="H946" s="10"/>
      <c r="I946" s="10"/>
      <c r="J946" s="10"/>
    </row>
    <row r="947" spans="2:10" ht="33" customHeight="1" x14ac:dyDescent="0.3">
      <c r="B947" s="10"/>
      <c r="C947" s="10"/>
      <c r="D947" s="10"/>
      <c r="F947" s="10"/>
      <c r="G947" s="10"/>
      <c r="H947" s="10"/>
      <c r="I947" s="10"/>
      <c r="J947" s="10"/>
    </row>
    <row r="948" spans="2:10" ht="33" customHeight="1" x14ac:dyDescent="0.3">
      <c r="B948" s="10"/>
      <c r="C948" s="10"/>
      <c r="D948" s="10"/>
      <c r="F948" s="10"/>
      <c r="G948" s="10"/>
      <c r="H948" s="10"/>
      <c r="I948" s="10"/>
      <c r="J948" s="10"/>
    </row>
    <row r="949" spans="2:10" ht="33" customHeight="1" x14ac:dyDescent="0.3">
      <c r="B949" s="10"/>
      <c r="C949" s="10"/>
      <c r="D949" s="10"/>
      <c r="F949" s="10"/>
      <c r="G949" s="10"/>
      <c r="H949" s="10"/>
      <c r="I949" s="10"/>
      <c r="J949" s="10"/>
    </row>
    <row r="950" spans="2:10" ht="33" customHeight="1" x14ac:dyDescent="0.3">
      <c r="B950" s="10"/>
      <c r="C950" s="10"/>
      <c r="D950" s="10"/>
      <c r="F950" s="10"/>
      <c r="G950" s="10"/>
      <c r="H950" s="10"/>
      <c r="I950" s="10"/>
      <c r="J950" s="10"/>
    </row>
    <row r="951" spans="2:10" ht="33" customHeight="1" x14ac:dyDescent="0.3">
      <c r="B951" s="10"/>
      <c r="C951" s="10"/>
      <c r="D951" s="10"/>
      <c r="F951" s="10"/>
      <c r="G951" s="10"/>
      <c r="H951" s="10"/>
      <c r="I951" s="10"/>
      <c r="J951" s="10"/>
    </row>
    <row r="952" spans="2:10" ht="33" customHeight="1" x14ac:dyDescent="0.3">
      <c r="B952" s="10"/>
      <c r="C952" s="10"/>
      <c r="D952" s="10"/>
      <c r="F952" s="10"/>
      <c r="G952" s="10"/>
      <c r="H952" s="10"/>
      <c r="I952" s="10"/>
      <c r="J952" s="10"/>
    </row>
    <row r="953" spans="2:10" ht="33" customHeight="1" x14ac:dyDescent="0.3">
      <c r="B953" s="10"/>
      <c r="C953" s="10"/>
      <c r="D953" s="10"/>
      <c r="F953" s="10"/>
      <c r="G953" s="10"/>
      <c r="H953" s="10"/>
      <c r="I953" s="10"/>
      <c r="J953" s="10"/>
    </row>
    <row r="954" spans="2:10" ht="33" customHeight="1" x14ac:dyDescent="0.3">
      <c r="B954" s="10"/>
      <c r="C954" s="10"/>
      <c r="D954" s="10"/>
      <c r="F954" s="10"/>
      <c r="G954" s="10"/>
      <c r="H954" s="10"/>
      <c r="I954" s="10"/>
      <c r="J954" s="10"/>
    </row>
    <row r="955" spans="2:10" ht="33" customHeight="1" x14ac:dyDescent="0.3">
      <c r="B955" s="10"/>
      <c r="C955" s="10"/>
      <c r="D955" s="10"/>
      <c r="F955" s="10"/>
      <c r="G955" s="10"/>
      <c r="H955" s="10"/>
      <c r="I955" s="10"/>
      <c r="J955" s="10"/>
    </row>
    <row r="956" spans="2:10" ht="33" customHeight="1" x14ac:dyDescent="0.3">
      <c r="B956" s="10"/>
      <c r="C956" s="10"/>
      <c r="D956" s="10"/>
      <c r="F956" s="10"/>
      <c r="G956" s="10"/>
      <c r="H956" s="10"/>
      <c r="I956" s="10"/>
      <c r="J956" s="10"/>
    </row>
    <row r="957" spans="2:10" ht="33" customHeight="1" x14ac:dyDescent="0.3">
      <c r="B957" s="10"/>
      <c r="C957" s="10"/>
      <c r="D957" s="10"/>
      <c r="F957" s="10"/>
      <c r="G957" s="10"/>
      <c r="H957" s="10"/>
      <c r="I957" s="10"/>
      <c r="J957" s="10"/>
    </row>
    <row r="958" spans="2:10" ht="33" customHeight="1" x14ac:dyDescent="0.3">
      <c r="B958" s="10"/>
      <c r="C958" s="10"/>
      <c r="D958" s="10"/>
      <c r="F958" s="10"/>
      <c r="G958" s="10"/>
      <c r="H958" s="10"/>
      <c r="I958" s="10"/>
      <c r="J958" s="10"/>
    </row>
    <row r="959" spans="2:10" ht="33" customHeight="1" x14ac:dyDescent="0.3">
      <c r="B959" s="10"/>
      <c r="C959" s="10"/>
      <c r="D959" s="10"/>
      <c r="F959" s="10"/>
      <c r="G959" s="10"/>
      <c r="H959" s="10"/>
      <c r="I959" s="10"/>
      <c r="J959" s="10"/>
    </row>
    <row r="960" spans="2:10" ht="33" customHeight="1" x14ac:dyDescent="0.3">
      <c r="B960" s="10"/>
      <c r="C960" s="10"/>
      <c r="D960" s="10"/>
      <c r="F960" s="10"/>
      <c r="G960" s="10"/>
      <c r="H960" s="10"/>
      <c r="I960" s="10"/>
      <c r="J960" s="10"/>
    </row>
    <row r="961" spans="2:10" ht="33" customHeight="1" x14ac:dyDescent="0.3">
      <c r="B961" s="10"/>
      <c r="C961" s="10"/>
      <c r="D961" s="10"/>
      <c r="F961" s="10"/>
      <c r="G961" s="10"/>
      <c r="H961" s="10"/>
      <c r="I961" s="10"/>
      <c r="J961" s="10"/>
    </row>
    <row r="962" spans="2:10" ht="33" customHeight="1" x14ac:dyDescent="0.3">
      <c r="B962" s="10"/>
      <c r="C962" s="10"/>
      <c r="D962" s="10"/>
      <c r="F962" s="10"/>
      <c r="G962" s="10"/>
      <c r="H962" s="10"/>
      <c r="I962" s="10"/>
      <c r="J962" s="10"/>
    </row>
    <row r="963" spans="2:10" ht="33" customHeight="1" x14ac:dyDescent="0.3">
      <c r="B963" s="10"/>
      <c r="C963" s="10"/>
      <c r="D963" s="10"/>
      <c r="F963" s="10"/>
      <c r="G963" s="10"/>
      <c r="H963" s="10"/>
      <c r="I963" s="10"/>
      <c r="J963" s="10"/>
    </row>
    <row r="964" spans="2:10" ht="33" customHeight="1" x14ac:dyDescent="0.3">
      <c r="B964" s="10"/>
      <c r="C964" s="10"/>
      <c r="D964" s="10"/>
      <c r="F964" s="10"/>
      <c r="G964" s="10"/>
      <c r="H964" s="10"/>
      <c r="I964" s="10"/>
      <c r="J964" s="10"/>
    </row>
    <row r="965" spans="2:10" ht="33" customHeight="1" x14ac:dyDescent="0.3">
      <c r="B965" s="10"/>
      <c r="C965" s="10"/>
      <c r="D965" s="10"/>
      <c r="F965" s="10"/>
      <c r="G965" s="10"/>
      <c r="H965" s="10"/>
      <c r="I965" s="10"/>
      <c r="J965" s="10"/>
    </row>
    <row r="966" spans="2:10" ht="33" customHeight="1" x14ac:dyDescent="0.3">
      <c r="B966" s="10"/>
      <c r="C966" s="10"/>
      <c r="D966" s="10"/>
      <c r="F966" s="10"/>
      <c r="G966" s="10"/>
      <c r="H966" s="10"/>
      <c r="I966" s="10"/>
      <c r="J966" s="10"/>
    </row>
    <row r="967" spans="2:10" ht="33" customHeight="1" x14ac:dyDescent="0.3">
      <c r="B967" s="10"/>
      <c r="C967" s="10"/>
      <c r="D967" s="10"/>
      <c r="F967" s="10"/>
      <c r="G967" s="10"/>
      <c r="H967" s="10"/>
      <c r="I967" s="10"/>
      <c r="J967" s="10"/>
    </row>
    <row r="968" spans="2:10" ht="33" customHeight="1" x14ac:dyDescent="0.3">
      <c r="B968" s="10"/>
      <c r="C968" s="10"/>
      <c r="D968" s="10"/>
      <c r="F968" s="10"/>
      <c r="G968" s="10"/>
      <c r="H968" s="10"/>
      <c r="I968" s="10"/>
      <c r="J968" s="10"/>
    </row>
    <row r="969" spans="2:10" ht="33" customHeight="1" x14ac:dyDescent="0.3">
      <c r="B969" s="10"/>
      <c r="C969" s="10"/>
      <c r="D969" s="10"/>
      <c r="F969" s="10"/>
      <c r="G969" s="10"/>
      <c r="H969" s="10"/>
      <c r="I969" s="10"/>
      <c r="J969" s="10"/>
    </row>
    <row r="970" spans="2:10" ht="33" customHeight="1" x14ac:dyDescent="0.3">
      <c r="B970" s="10"/>
      <c r="C970" s="10"/>
      <c r="D970" s="10"/>
      <c r="F970" s="10"/>
      <c r="G970" s="10"/>
      <c r="H970" s="10"/>
      <c r="I970" s="10"/>
      <c r="J970" s="10"/>
    </row>
    <row r="971" spans="2:10" ht="33" customHeight="1" x14ac:dyDescent="0.3">
      <c r="B971" s="10"/>
      <c r="C971" s="10"/>
      <c r="D971" s="10"/>
      <c r="F971" s="10"/>
      <c r="G971" s="10"/>
      <c r="H971" s="10"/>
      <c r="I971" s="10"/>
      <c r="J971" s="10"/>
    </row>
    <row r="972" spans="2:10" ht="33" customHeight="1" x14ac:dyDescent="0.3">
      <c r="B972" s="10"/>
      <c r="C972" s="10"/>
      <c r="D972" s="10"/>
      <c r="F972" s="10"/>
      <c r="G972" s="10"/>
      <c r="H972" s="10"/>
      <c r="I972" s="10"/>
      <c r="J972" s="10"/>
    </row>
    <row r="973" spans="2:10" ht="33" customHeight="1" x14ac:dyDescent="0.3">
      <c r="B973" s="10"/>
      <c r="C973" s="10"/>
      <c r="D973" s="10"/>
      <c r="F973" s="10"/>
      <c r="G973" s="10"/>
      <c r="H973" s="10"/>
      <c r="I973" s="10"/>
      <c r="J973" s="10"/>
    </row>
    <row r="974" spans="2:10" ht="33" customHeight="1" x14ac:dyDescent="0.3">
      <c r="B974" s="10"/>
      <c r="C974" s="10"/>
      <c r="D974" s="10"/>
      <c r="F974" s="10"/>
      <c r="G974" s="10"/>
      <c r="H974" s="10"/>
      <c r="I974" s="10"/>
      <c r="J974" s="10"/>
    </row>
    <row r="975" spans="2:10" ht="33" customHeight="1" x14ac:dyDescent="0.3">
      <c r="B975" s="10"/>
      <c r="C975" s="10"/>
      <c r="D975" s="10"/>
      <c r="F975" s="10"/>
      <c r="G975" s="10"/>
      <c r="H975" s="10"/>
      <c r="I975" s="10"/>
      <c r="J975" s="10"/>
    </row>
    <row r="976" spans="2:10" ht="33" customHeight="1" x14ac:dyDescent="0.3">
      <c r="B976" s="10"/>
      <c r="C976" s="10"/>
      <c r="D976" s="10"/>
      <c r="F976" s="10"/>
      <c r="G976" s="10"/>
      <c r="H976" s="10"/>
      <c r="I976" s="10"/>
      <c r="J976" s="10"/>
    </row>
    <row r="977" spans="2:10" ht="33" customHeight="1" x14ac:dyDescent="0.3">
      <c r="B977" s="10"/>
      <c r="C977" s="10"/>
      <c r="D977" s="10"/>
      <c r="F977" s="10"/>
      <c r="G977" s="10"/>
      <c r="H977" s="10"/>
      <c r="I977" s="10"/>
      <c r="J977" s="10"/>
    </row>
    <row r="978" spans="2:10" ht="33" customHeight="1" x14ac:dyDescent="0.3">
      <c r="B978" s="10"/>
      <c r="C978" s="10"/>
      <c r="D978" s="10"/>
      <c r="F978" s="10"/>
      <c r="G978" s="10"/>
      <c r="H978" s="10"/>
      <c r="I978" s="10"/>
      <c r="J978" s="10"/>
    </row>
    <row r="979" spans="2:10" ht="33" customHeight="1" x14ac:dyDescent="0.3">
      <c r="B979" s="10"/>
      <c r="C979" s="10"/>
      <c r="D979" s="10"/>
      <c r="F979" s="10"/>
      <c r="G979" s="10"/>
      <c r="H979" s="10"/>
      <c r="I979" s="10"/>
      <c r="J979" s="10"/>
    </row>
    <row r="980" spans="2:10" ht="33" customHeight="1" x14ac:dyDescent="0.3">
      <c r="B980" s="10"/>
      <c r="C980" s="10"/>
      <c r="D980" s="10"/>
      <c r="F980" s="10"/>
      <c r="G980" s="10"/>
      <c r="H980" s="10"/>
      <c r="I980" s="10"/>
      <c r="J980" s="10"/>
    </row>
    <row r="981" spans="2:10" ht="33" customHeight="1" x14ac:dyDescent="0.3">
      <c r="B981" s="10"/>
      <c r="C981" s="10"/>
      <c r="D981" s="10"/>
      <c r="F981" s="10"/>
      <c r="G981" s="10"/>
      <c r="H981" s="10"/>
      <c r="I981" s="10"/>
      <c r="J981" s="10"/>
    </row>
    <row r="982" spans="2:10" ht="33" customHeight="1" x14ac:dyDescent="0.3">
      <c r="B982" s="10"/>
      <c r="C982" s="10"/>
      <c r="D982" s="10"/>
      <c r="F982" s="10"/>
      <c r="G982" s="10"/>
      <c r="H982" s="10"/>
      <c r="I982" s="10"/>
      <c r="J982" s="10"/>
    </row>
    <row r="983" spans="2:10" ht="33" customHeight="1" x14ac:dyDescent="0.3">
      <c r="B983" s="10"/>
      <c r="C983" s="10"/>
      <c r="D983" s="10"/>
      <c r="F983" s="10"/>
      <c r="G983" s="10"/>
      <c r="H983" s="10"/>
      <c r="I983" s="10"/>
      <c r="J983" s="10"/>
    </row>
    <row r="984" spans="2:10" ht="33" customHeight="1" x14ac:dyDescent="0.3">
      <c r="B984" s="10"/>
      <c r="C984" s="10"/>
      <c r="D984" s="10"/>
      <c r="F984" s="10"/>
      <c r="G984" s="10"/>
      <c r="H984" s="10"/>
      <c r="I984" s="10"/>
      <c r="J984" s="10"/>
    </row>
    <row r="985" spans="2:10" ht="33" customHeight="1" x14ac:dyDescent="0.3">
      <c r="B985" s="10"/>
      <c r="C985" s="10"/>
      <c r="D985" s="10"/>
      <c r="F985" s="10"/>
      <c r="G985" s="10"/>
      <c r="H985" s="10"/>
      <c r="I985" s="10"/>
      <c r="J985" s="10"/>
    </row>
    <row r="986" spans="2:10" ht="33" customHeight="1" x14ac:dyDescent="0.3">
      <c r="B986" s="10"/>
      <c r="C986" s="10"/>
      <c r="D986" s="10"/>
      <c r="F986" s="10"/>
      <c r="G986" s="10"/>
      <c r="H986" s="10"/>
      <c r="I986" s="10"/>
      <c r="J986" s="10"/>
    </row>
    <row r="987" spans="2:10" ht="33" customHeight="1" x14ac:dyDescent="0.3">
      <c r="B987" s="10"/>
      <c r="C987" s="10"/>
      <c r="D987" s="10"/>
      <c r="F987" s="10"/>
      <c r="G987" s="10"/>
      <c r="H987" s="10"/>
      <c r="I987" s="10"/>
      <c r="J987" s="10"/>
    </row>
    <row r="988" spans="2:10" ht="33" customHeight="1" x14ac:dyDescent="0.3">
      <c r="B988" s="10"/>
      <c r="C988" s="10"/>
      <c r="D988" s="10"/>
      <c r="F988" s="10"/>
      <c r="G988" s="10"/>
      <c r="H988" s="10"/>
      <c r="I988" s="10"/>
      <c r="J988" s="10"/>
    </row>
    <row r="989" spans="2:10" ht="33" customHeight="1" x14ac:dyDescent="0.3">
      <c r="B989" s="10"/>
      <c r="C989" s="10"/>
      <c r="D989" s="10"/>
      <c r="F989" s="10"/>
      <c r="G989" s="10"/>
      <c r="H989" s="10"/>
      <c r="I989" s="10"/>
      <c r="J989" s="10"/>
    </row>
    <row r="990" spans="2:10" ht="33" customHeight="1" x14ac:dyDescent="0.3">
      <c r="B990" s="10"/>
      <c r="C990" s="10"/>
      <c r="D990" s="10"/>
      <c r="F990" s="10"/>
      <c r="G990" s="10"/>
      <c r="H990" s="10"/>
      <c r="I990" s="10"/>
      <c r="J990" s="10"/>
    </row>
    <row r="991" spans="2:10" ht="33" customHeight="1" x14ac:dyDescent="0.3">
      <c r="B991" s="10"/>
      <c r="C991" s="10"/>
      <c r="D991" s="10"/>
      <c r="F991" s="10"/>
      <c r="G991" s="10"/>
      <c r="H991" s="10"/>
      <c r="I991" s="10"/>
      <c r="J991" s="10"/>
    </row>
    <row r="992" spans="2:10" ht="33" customHeight="1" x14ac:dyDescent="0.3">
      <c r="B992" s="10"/>
      <c r="C992" s="10"/>
      <c r="D992" s="10"/>
      <c r="F992" s="10"/>
      <c r="G992" s="10"/>
      <c r="H992" s="10"/>
      <c r="I992" s="10"/>
      <c r="J992" s="10"/>
    </row>
    <row r="993" spans="2:10" ht="33" customHeight="1" x14ac:dyDescent="0.3">
      <c r="B993" s="10"/>
      <c r="C993" s="10"/>
      <c r="D993" s="10"/>
      <c r="F993" s="10"/>
      <c r="G993" s="10"/>
      <c r="H993" s="10"/>
      <c r="I993" s="10"/>
      <c r="J993" s="10"/>
    </row>
    <row r="994" spans="2:10" ht="33" customHeight="1" x14ac:dyDescent="0.3">
      <c r="B994" s="10"/>
      <c r="C994" s="10"/>
      <c r="D994" s="10"/>
      <c r="F994" s="10"/>
      <c r="G994" s="10"/>
      <c r="H994" s="10"/>
      <c r="I994" s="10"/>
      <c r="J994" s="10"/>
    </row>
    <row r="995" spans="2:10" ht="33" customHeight="1" x14ac:dyDescent="0.3">
      <c r="B995" s="10"/>
      <c r="C995" s="10"/>
      <c r="D995" s="10"/>
      <c r="F995" s="10"/>
      <c r="G995" s="10"/>
      <c r="H995" s="10"/>
      <c r="I995" s="10"/>
      <c r="J995" s="10"/>
    </row>
    <row r="996" spans="2:10" ht="33" customHeight="1" x14ac:dyDescent="0.3">
      <c r="B996" s="10"/>
      <c r="C996" s="10"/>
      <c r="D996" s="10"/>
      <c r="F996" s="10"/>
      <c r="G996" s="10"/>
      <c r="H996" s="10"/>
      <c r="I996" s="10"/>
      <c r="J996" s="10"/>
    </row>
    <row r="997" spans="2:10" ht="33" customHeight="1" x14ac:dyDescent="0.3">
      <c r="B997" s="10"/>
      <c r="C997" s="10"/>
      <c r="D997" s="10"/>
      <c r="F997" s="10"/>
      <c r="G997" s="10"/>
      <c r="H997" s="10"/>
      <c r="I997" s="10"/>
      <c r="J997" s="10"/>
    </row>
    <row r="998" spans="2:10" ht="33" customHeight="1" x14ac:dyDescent="0.3">
      <c r="B998" s="10"/>
      <c r="C998" s="10"/>
      <c r="D998" s="10"/>
      <c r="F998" s="10"/>
      <c r="G998" s="10"/>
      <c r="H998" s="10"/>
      <c r="I998" s="10"/>
      <c r="J998" s="10"/>
    </row>
    <row r="999" spans="2:10" ht="33" customHeight="1" x14ac:dyDescent="0.3">
      <c r="B999" s="10"/>
      <c r="C999" s="10"/>
      <c r="D999" s="10"/>
      <c r="F999" s="10"/>
      <c r="G999" s="10"/>
      <c r="H999" s="10"/>
      <c r="I999" s="10"/>
      <c r="J999" s="10"/>
    </row>
    <row r="1000" spans="2:10" ht="33" customHeight="1" x14ac:dyDescent="0.3">
      <c r="B1000" s="10"/>
      <c r="C1000" s="10"/>
      <c r="D1000" s="10"/>
      <c r="F1000" s="10"/>
      <c r="G1000" s="10"/>
      <c r="H1000" s="10"/>
      <c r="I1000" s="10"/>
      <c r="J1000" s="10"/>
    </row>
    <row r="1001" spans="2:10" ht="33" customHeight="1" x14ac:dyDescent="0.3">
      <c r="B1001" s="10"/>
      <c r="C1001" s="10"/>
      <c r="D1001" s="10"/>
      <c r="F1001" s="10"/>
      <c r="G1001" s="10"/>
      <c r="H1001" s="10"/>
      <c r="I1001" s="10"/>
      <c r="J1001" s="10"/>
    </row>
    <row r="1002" spans="2:10" ht="33" customHeight="1" x14ac:dyDescent="0.3">
      <c r="B1002" s="10"/>
      <c r="C1002" s="10"/>
      <c r="D1002" s="10"/>
      <c r="F1002" s="10"/>
      <c r="G1002" s="10"/>
      <c r="H1002" s="10"/>
      <c r="I1002" s="10"/>
      <c r="J1002" s="10"/>
    </row>
    <row r="1003" spans="2:10" ht="33" customHeight="1" x14ac:dyDescent="0.3">
      <c r="B1003" s="10"/>
      <c r="C1003" s="10"/>
      <c r="D1003" s="10"/>
      <c r="F1003" s="10"/>
      <c r="G1003" s="10"/>
      <c r="H1003" s="10"/>
      <c r="I1003" s="10"/>
      <c r="J1003" s="10"/>
    </row>
    <row r="1004" spans="2:10" ht="33" customHeight="1" x14ac:dyDescent="0.3">
      <c r="B1004" s="10"/>
      <c r="C1004" s="10"/>
      <c r="D1004" s="10"/>
      <c r="F1004" s="10"/>
      <c r="G1004" s="10"/>
      <c r="H1004" s="10"/>
      <c r="I1004" s="10"/>
      <c r="J1004" s="10"/>
    </row>
    <row r="1005" spans="2:10" ht="33" customHeight="1" x14ac:dyDescent="0.3">
      <c r="B1005" s="10"/>
      <c r="C1005" s="10"/>
      <c r="D1005" s="10"/>
      <c r="F1005" s="10"/>
      <c r="G1005" s="10"/>
      <c r="H1005" s="10"/>
      <c r="I1005" s="10"/>
      <c r="J1005" s="10"/>
    </row>
    <row r="1006" spans="2:10" ht="33" customHeight="1" x14ac:dyDescent="0.3">
      <c r="B1006" s="10"/>
      <c r="C1006" s="10"/>
      <c r="D1006" s="10"/>
      <c r="F1006" s="10"/>
      <c r="G1006" s="10"/>
      <c r="H1006" s="10"/>
      <c r="I1006" s="10"/>
      <c r="J1006" s="10"/>
    </row>
    <row r="1007" spans="2:10" ht="33" customHeight="1" x14ac:dyDescent="0.3">
      <c r="B1007" s="10"/>
      <c r="C1007" s="10"/>
      <c r="D1007" s="10"/>
      <c r="F1007" s="10"/>
      <c r="G1007" s="10"/>
      <c r="H1007" s="10"/>
      <c r="I1007" s="10"/>
      <c r="J1007" s="10"/>
    </row>
    <row r="1008" spans="2:10" ht="33" customHeight="1" x14ac:dyDescent="0.3">
      <c r="B1008" s="10"/>
      <c r="C1008" s="10"/>
      <c r="D1008" s="10"/>
      <c r="F1008" s="10"/>
      <c r="G1008" s="10"/>
      <c r="H1008" s="10"/>
      <c r="I1008" s="10"/>
      <c r="J1008" s="10"/>
    </row>
    <row r="1009" spans="2:10" ht="33" customHeight="1" x14ac:dyDescent="0.3">
      <c r="B1009" s="10"/>
      <c r="C1009" s="10"/>
      <c r="D1009" s="10"/>
      <c r="F1009" s="10"/>
      <c r="G1009" s="10"/>
      <c r="H1009" s="10"/>
      <c r="I1009" s="10"/>
      <c r="J1009" s="10"/>
    </row>
    <row r="1010" spans="2:10" ht="33" customHeight="1" x14ac:dyDescent="0.3">
      <c r="B1010" s="10"/>
      <c r="C1010" s="10"/>
      <c r="D1010" s="10"/>
      <c r="F1010" s="10"/>
      <c r="G1010" s="10"/>
      <c r="H1010" s="10"/>
      <c r="I1010" s="10"/>
      <c r="J1010" s="10"/>
    </row>
    <row r="1011" spans="2:10" ht="33" customHeight="1" x14ac:dyDescent="0.3">
      <c r="B1011" s="10"/>
      <c r="C1011" s="10"/>
      <c r="D1011" s="10"/>
      <c r="F1011" s="10"/>
      <c r="G1011" s="10"/>
      <c r="H1011" s="10"/>
      <c r="I1011" s="10"/>
      <c r="J1011" s="10"/>
    </row>
    <row r="1012" spans="2:10" ht="33" customHeight="1" x14ac:dyDescent="0.3">
      <c r="B1012" s="10"/>
      <c r="C1012" s="10"/>
      <c r="D1012" s="10"/>
      <c r="F1012" s="10"/>
      <c r="G1012" s="10"/>
      <c r="H1012" s="10"/>
      <c r="I1012" s="10"/>
      <c r="J1012" s="10"/>
    </row>
    <row r="1013" spans="2:10" ht="33" customHeight="1" x14ac:dyDescent="0.3">
      <c r="B1013" s="10"/>
      <c r="C1013" s="10"/>
      <c r="D1013" s="10"/>
      <c r="F1013" s="10"/>
      <c r="G1013" s="10"/>
      <c r="H1013" s="10"/>
      <c r="I1013" s="10"/>
      <c r="J1013" s="10"/>
    </row>
    <row r="1014" spans="2:10" ht="33" customHeight="1" x14ac:dyDescent="0.3">
      <c r="B1014" s="10"/>
      <c r="C1014" s="10"/>
      <c r="D1014" s="10"/>
      <c r="F1014" s="10"/>
      <c r="G1014" s="10"/>
      <c r="H1014" s="10"/>
      <c r="I1014" s="10"/>
      <c r="J1014" s="10"/>
    </row>
    <row r="1015" spans="2:10" ht="33" customHeight="1" x14ac:dyDescent="0.3">
      <c r="B1015" s="10"/>
      <c r="C1015" s="10"/>
      <c r="D1015" s="10"/>
      <c r="F1015" s="10"/>
      <c r="G1015" s="10"/>
      <c r="H1015" s="10"/>
      <c r="I1015" s="10"/>
      <c r="J1015" s="10"/>
    </row>
    <row r="1016" spans="2:10" ht="33" customHeight="1" x14ac:dyDescent="0.3">
      <c r="B1016" s="10"/>
      <c r="C1016" s="10"/>
      <c r="D1016" s="10"/>
      <c r="F1016" s="10"/>
      <c r="G1016" s="10"/>
      <c r="H1016" s="10"/>
      <c r="I1016" s="10"/>
      <c r="J1016" s="10"/>
    </row>
    <row r="1017" spans="2:10" ht="33" customHeight="1" x14ac:dyDescent="0.3">
      <c r="B1017" s="10"/>
      <c r="C1017" s="10"/>
      <c r="D1017" s="10"/>
      <c r="F1017" s="10"/>
      <c r="G1017" s="10"/>
      <c r="H1017" s="10"/>
      <c r="I1017" s="10"/>
      <c r="J1017" s="10"/>
    </row>
    <row r="1018" spans="2:10" ht="33" customHeight="1" x14ac:dyDescent="0.3">
      <c r="B1018" s="10"/>
      <c r="C1018" s="10"/>
      <c r="D1018" s="10"/>
      <c r="F1018" s="10"/>
      <c r="G1018" s="10"/>
      <c r="H1018" s="10"/>
      <c r="I1018" s="10"/>
      <c r="J1018" s="10"/>
    </row>
    <row r="1019" spans="2:10" ht="33" customHeight="1" x14ac:dyDescent="0.3">
      <c r="B1019" s="10"/>
      <c r="C1019" s="10"/>
      <c r="D1019" s="10"/>
      <c r="F1019" s="10"/>
      <c r="G1019" s="10"/>
      <c r="H1019" s="10"/>
      <c r="I1019" s="10"/>
      <c r="J1019" s="10"/>
    </row>
    <row r="1020" spans="2:10" ht="33" customHeight="1" x14ac:dyDescent="0.3">
      <c r="B1020" s="10"/>
      <c r="C1020" s="10"/>
      <c r="D1020" s="10"/>
      <c r="F1020" s="10"/>
      <c r="G1020" s="10"/>
      <c r="H1020" s="10"/>
      <c r="I1020" s="10"/>
      <c r="J1020" s="10"/>
    </row>
    <row r="1021" spans="2:10" ht="33" customHeight="1" x14ac:dyDescent="0.3">
      <c r="B1021" s="10"/>
      <c r="C1021" s="10"/>
      <c r="D1021" s="10"/>
      <c r="F1021" s="10"/>
      <c r="G1021" s="10"/>
      <c r="H1021" s="10"/>
      <c r="I1021" s="10"/>
      <c r="J1021" s="10"/>
    </row>
    <row r="1022" spans="2:10" ht="33" customHeight="1" x14ac:dyDescent="0.3">
      <c r="B1022" s="10"/>
      <c r="C1022" s="10"/>
      <c r="D1022" s="10"/>
      <c r="F1022" s="10"/>
      <c r="G1022" s="10"/>
      <c r="H1022" s="10"/>
      <c r="I1022" s="10"/>
      <c r="J1022" s="10"/>
    </row>
    <row r="1023" spans="2:10" ht="33" customHeight="1" x14ac:dyDescent="0.3">
      <c r="B1023" s="10"/>
      <c r="C1023" s="10"/>
      <c r="D1023" s="10"/>
      <c r="F1023" s="10"/>
      <c r="G1023" s="10"/>
      <c r="H1023" s="10"/>
      <c r="I1023" s="10"/>
      <c r="J1023" s="10"/>
    </row>
    <row r="1024" spans="2:10" ht="33" customHeight="1" x14ac:dyDescent="0.3">
      <c r="B1024" s="10"/>
      <c r="C1024" s="10"/>
      <c r="D1024" s="10"/>
      <c r="F1024" s="10"/>
      <c r="G1024" s="10"/>
      <c r="H1024" s="10"/>
      <c r="I1024" s="10"/>
      <c r="J1024" s="10"/>
    </row>
    <row r="1025" spans="2:10" ht="33" customHeight="1" x14ac:dyDescent="0.3">
      <c r="B1025" s="10"/>
      <c r="C1025" s="10"/>
      <c r="D1025" s="10"/>
      <c r="F1025" s="10"/>
      <c r="G1025" s="10"/>
      <c r="H1025" s="10"/>
      <c r="I1025" s="10"/>
      <c r="J1025" s="10"/>
    </row>
    <row r="1026" spans="2:10" ht="33" customHeight="1" x14ac:dyDescent="0.3">
      <c r="B1026" s="10"/>
      <c r="C1026" s="10"/>
      <c r="D1026" s="10"/>
      <c r="F1026" s="10"/>
      <c r="G1026" s="10"/>
      <c r="H1026" s="10"/>
      <c r="I1026" s="10"/>
      <c r="J1026" s="10"/>
    </row>
    <row r="1027" spans="2:10" ht="33" customHeight="1" x14ac:dyDescent="0.3">
      <c r="B1027" s="10"/>
      <c r="C1027" s="10"/>
      <c r="D1027" s="10"/>
      <c r="F1027" s="10"/>
      <c r="G1027" s="10"/>
      <c r="H1027" s="10"/>
      <c r="I1027" s="10"/>
      <c r="J1027" s="10"/>
    </row>
    <row r="1028" spans="2:10" ht="33" customHeight="1" x14ac:dyDescent="0.3">
      <c r="B1028" s="10"/>
      <c r="C1028" s="10"/>
      <c r="D1028" s="10"/>
      <c r="F1028" s="10"/>
      <c r="G1028" s="10"/>
      <c r="H1028" s="10"/>
      <c r="I1028" s="10"/>
      <c r="J1028" s="10"/>
    </row>
    <row r="1029" spans="2:10" ht="33" customHeight="1" x14ac:dyDescent="0.3">
      <c r="B1029" s="10"/>
      <c r="C1029" s="10"/>
      <c r="D1029" s="10"/>
      <c r="F1029" s="10"/>
      <c r="G1029" s="10"/>
      <c r="H1029" s="10"/>
      <c r="I1029" s="10"/>
      <c r="J1029" s="10"/>
    </row>
    <row r="1030" spans="2:10" ht="33" customHeight="1" x14ac:dyDescent="0.3">
      <c r="B1030" s="10"/>
      <c r="C1030" s="10"/>
      <c r="D1030" s="10"/>
      <c r="F1030" s="10"/>
      <c r="G1030" s="10"/>
      <c r="H1030" s="10"/>
      <c r="I1030" s="10"/>
      <c r="J1030" s="10"/>
    </row>
    <row r="1031" spans="2:10" ht="33" customHeight="1" x14ac:dyDescent="0.3">
      <c r="B1031" s="10"/>
      <c r="C1031" s="10"/>
      <c r="D1031" s="10"/>
      <c r="F1031" s="10"/>
      <c r="G1031" s="10"/>
      <c r="H1031" s="10"/>
      <c r="I1031" s="10"/>
      <c r="J1031" s="10"/>
    </row>
    <row r="1032" spans="2:10" ht="33" customHeight="1" x14ac:dyDescent="0.3">
      <c r="B1032" s="10"/>
      <c r="C1032" s="10"/>
      <c r="D1032" s="10"/>
      <c r="F1032" s="10"/>
      <c r="G1032" s="10"/>
      <c r="H1032" s="10"/>
      <c r="I1032" s="10"/>
      <c r="J1032" s="10"/>
    </row>
    <row r="1033" spans="2:10" ht="33" customHeight="1" x14ac:dyDescent="0.3">
      <c r="B1033" s="10"/>
      <c r="C1033" s="10"/>
      <c r="D1033" s="10"/>
      <c r="F1033" s="10"/>
      <c r="G1033" s="10"/>
      <c r="H1033" s="10"/>
      <c r="I1033" s="10"/>
      <c r="J1033" s="10"/>
    </row>
    <row r="1034" spans="2:10" ht="33" customHeight="1" x14ac:dyDescent="0.3">
      <c r="B1034" s="10"/>
      <c r="C1034" s="10"/>
      <c r="D1034" s="10"/>
      <c r="F1034" s="10"/>
      <c r="G1034" s="10"/>
      <c r="H1034" s="10"/>
      <c r="I1034" s="10"/>
      <c r="J1034" s="10"/>
    </row>
    <row r="1035" spans="2:10" ht="33" customHeight="1" x14ac:dyDescent="0.3">
      <c r="B1035" s="10"/>
      <c r="C1035" s="10"/>
      <c r="D1035" s="10"/>
      <c r="F1035" s="10"/>
      <c r="G1035" s="10"/>
      <c r="H1035" s="10"/>
      <c r="I1035" s="10"/>
      <c r="J1035" s="10"/>
    </row>
    <row r="1036" spans="2:10" ht="33" customHeight="1" x14ac:dyDescent="0.3">
      <c r="B1036" s="10"/>
      <c r="C1036" s="10"/>
      <c r="D1036" s="10"/>
      <c r="F1036" s="10"/>
      <c r="G1036" s="10"/>
      <c r="H1036" s="10"/>
      <c r="I1036" s="10"/>
      <c r="J1036" s="10"/>
    </row>
    <row r="1037" spans="2:10" ht="33" customHeight="1" x14ac:dyDescent="0.3">
      <c r="B1037" s="10"/>
      <c r="C1037" s="10"/>
      <c r="D1037" s="10"/>
      <c r="F1037" s="10"/>
      <c r="G1037" s="10"/>
      <c r="H1037" s="10"/>
      <c r="I1037" s="10"/>
      <c r="J1037" s="10"/>
    </row>
    <row r="1038" spans="2:10" ht="33" customHeight="1" x14ac:dyDescent="0.3">
      <c r="B1038" s="10"/>
      <c r="C1038" s="10"/>
      <c r="D1038" s="10"/>
      <c r="F1038" s="10"/>
      <c r="G1038" s="10"/>
      <c r="H1038" s="10"/>
      <c r="I1038" s="10"/>
      <c r="J1038" s="10"/>
    </row>
    <row r="1039" spans="2:10" ht="33" customHeight="1" x14ac:dyDescent="0.3">
      <c r="B1039" s="10"/>
      <c r="C1039" s="10"/>
      <c r="D1039" s="10"/>
      <c r="F1039" s="10"/>
      <c r="G1039" s="10"/>
      <c r="H1039" s="10"/>
      <c r="I1039" s="10"/>
      <c r="J1039" s="10"/>
    </row>
    <row r="1040" spans="2:10" ht="33" customHeight="1" x14ac:dyDescent="0.3">
      <c r="B1040" s="10"/>
      <c r="C1040" s="10"/>
      <c r="D1040" s="10"/>
      <c r="F1040" s="10"/>
      <c r="G1040" s="10"/>
      <c r="H1040" s="10"/>
      <c r="I1040" s="10"/>
      <c r="J1040" s="10"/>
    </row>
    <row r="1041" spans="2:10" ht="33" customHeight="1" x14ac:dyDescent="0.3">
      <c r="B1041" s="10"/>
      <c r="C1041" s="10"/>
      <c r="D1041" s="10"/>
      <c r="F1041" s="10"/>
      <c r="G1041" s="10"/>
      <c r="H1041" s="10"/>
      <c r="I1041" s="10"/>
      <c r="J1041" s="10"/>
    </row>
    <row r="1042" spans="2:10" ht="33" customHeight="1" x14ac:dyDescent="0.3">
      <c r="B1042" s="10"/>
      <c r="C1042" s="10"/>
      <c r="D1042" s="10"/>
      <c r="F1042" s="10"/>
      <c r="G1042" s="10"/>
      <c r="H1042" s="10"/>
      <c r="I1042" s="10"/>
      <c r="J1042" s="10"/>
    </row>
    <row r="1043" spans="2:10" ht="33" customHeight="1" x14ac:dyDescent="0.3">
      <c r="B1043" s="10"/>
      <c r="C1043" s="10"/>
      <c r="D1043" s="10"/>
      <c r="F1043" s="10"/>
      <c r="G1043" s="10"/>
      <c r="H1043" s="10"/>
      <c r="I1043" s="10"/>
      <c r="J1043" s="10"/>
    </row>
    <row r="1044" spans="2:10" ht="33" customHeight="1" x14ac:dyDescent="0.3">
      <c r="B1044" s="10"/>
      <c r="C1044" s="10"/>
      <c r="D1044" s="10"/>
      <c r="F1044" s="10"/>
      <c r="G1044" s="10"/>
      <c r="H1044" s="10"/>
      <c r="I1044" s="10"/>
      <c r="J1044" s="10"/>
    </row>
    <row r="1045" spans="2:10" ht="33" customHeight="1" x14ac:dyDescent="0.3">
      <c r="B1045" s="10"/>
      <c r="C1045" s="10"/>
      <c r="D1045" s="10"/>
      <c r="F1045" s="10"/>
      <c r="G1045" s="10"/>
      <c r="H1045" s="10"/>
      <c r="I1045" s="10"/>
      <c r="J1045" s="10"/>
    </row>
    <row r="1046" spans="2:10" ht="33" customHeight="1" x14ac:dyDescent="0.3">
      <c r="B1046" s="10"/>
      <c r="C1046" s="10"/>
      <c r="D1046" s="10"/>
      <c r="F1046" s="10"/>
      <c r="G1046" s="10"/>
      <c r="H1046" s="10"/>
      <c r="I1046" s="10"/>
      <c r="J1046" s="10"/>
    </row>
    <row r="1047" spans="2:10" ht="33" customHeight="1" x14ac:dyDescent="0.3">
      <c r="B1047" s="10"/>
      <c r="C1047" s="10"/>
      <c r="D1047" s="10"/>
      <c r="F1047" s="10"/>
      <c r="G1047" s="10"/>
      <c r="H1047" s="10"/>
      <c r="I1047" s="10"/>
      <c r="J1047" s="10"/>
    </row>
    <row r="1048" spans="2:10" ht="33" customHeight="1" x14ac:dyDescent="0.3">
      <c r="B1048" s="10"/>
      <c r="C1048" s="10"/>
      <c r="D1048" s="10"/>
      <c r="F1048" s="10"/>
      <c r="G1048" s="10"/>
      <c r="H1048" s="10"/>
      <c r="I1048" s="10"/>
      <c r="J1048" s="10"/>
    </row>
    <row r="1049" spans="2:10" ht="33" customHeight="1" x14ac:dyDescent="0.3">
      <c r="B1049" s="10"/>
      <c r="C1049" s="10"/>
      <c r="D1049" s="10"/>
      <c r="F1049" s="10"/>
      <c r="G1049" s="10"/>
      <c r="H1049" s="10"/>
      <c r="I1049" s="10"/>
      <c r="J1049" s="10"/>
    </row>
    <row r="1050" spans="2:10" ht="33" customHeight="1" x14ac:dyDescent="0.3">
      <c r="B1050" s="10"/>
      <c r="C1050" s="10"/>
      <c r="D1050" s="10"/>
      <c r="F1050" s="10"/>
      <c r="G1050" s="10"/>
      <c r="H1050" s="10"/>
      <c r="I1050" s="10"/>
      <c r="J1050" s="10"/>
    </row>
    <row r="1051" spans="2:10" ht="33" customHeight="1" x14ac:dyDescent="0.3">
      <c r="B1051" s="10"/>
      <c r="C1051" s="10"/>
      <c r="D1051" s="10"/>
      <c r="F1051" s="10"/>
      <c r="G1051" s="10"/>
      <c r="H1051" s="10"/>
      <c r="I1051" s="10"/>
      <c r="J1051" s="10"/>
    </row>
    <row r="1052" spans="2:10" ht="33" customHeight="1" x14ac:dyDescent="0.3">
      <c r="B1052" s="10"/>
      <c r="C1052" s="10"/>
      <c r="D1052" s="10"/>
      <c r="F1052" s="10"/>
      <c r="G1052" s="10"/>
      <c r="H1052" s="10"/>
      <c r="I1052" s="10"/>
      <c r="J1052" s="10"/>
    </row>
    <row r="1053" spans="2:10" ht="33" customHeight="1" x14ac:dyDescent="0.3">
      <c r="B1053" s="10"/>
      <c r="C1053" s="10"/>
      <c r="D1053" s="10"/>
      <c r="F1053" s="10"/>
      <c r="G1053" s="10"/>
      <c r="H1053" s="10"/>
      <c r="I1053" s="10"/>
      <c r="J1053" s="10"/>
    </row>
    <row r="1054" spans="2:10" ht="33" customHeight="1" x14ac:dyDescent="0.3">
      <c r="B1054" s="10"/>
      <c r="C1054" s="10"/>
      <c r="D1054" s="10"/>
      <c r="F1054" s="10"/>
      <c r="G1054" s="10"/>
      <c r="H1054" s="10"/>
      <c r="I1054" s="10"/>
      <c r="J1054" s="10"/>
    </row>
    <row r="1055" spans="2:10" ht="33" customHeight="1" x14ac:dyDescent="0.3">
      <c r="B1055" s="10"/>
      <c r="C1055" s="10"/>
      <c r="D1055" s="10"/>
      <c r="F1055" s="10"/>
      <c r="G1055" s="10"/>
      <c r="H1055" s="10"/>
      <c r="I1055" s="10"/>
      <c r="J1055" s="10"/>
    </row>
    <row r="1056" spans="2:10" ht="33" customHeight="1" x14ac:dyDescent="0.3">
      <c r="B1056" s="10"/>
      <c r="C1056" s="10"/>
      <c r="D1056" s="10"/>
      <c r="F1056" s="10"/>
      <c r="G1056" s="10"/>
      <c r="H1056" s="10"/>
      <c r="I1056" s="10"/>
      <c r="J1056" s="10"/>
    </row>
    <row r="1057" spans="2:10" ht="33" customHeight="1" x14ac:dyDescent="0.3">
      <c r="B1057" s="10"/>
      <c r="C1057" s="10"/>
      <c r="D1057" s="10"/>
      <c r="F1057" s="10"/>
      <c r="G1057" s="10"/>
      <c r="H1057" s="10"/>
      <c r="I1057" s="10"/>
      <c r="J1057" s="10"/>
    </row>
    <row r="1058" spans="2:10" ht="33" customHeight="1" x14ac:dyDescent="0.3">
      <c r="B1058" s="10"/>
      <c r="C1058" s="10"/>
      <c r="D1058" s="10"/>
      <c r="F1058" s="10"/>
      <c r="G1058" s="10"/>
      <c r="H1058" s="10"/>
      <c r="I1058" s="10"/>
      <c r="J1058" s="10"/>
    </row>
    <row r="1059" spans="2:10" ht="33" customHeight="1" x14ac:dyDescent="0.3">
      <c r="B1059" s="10"/>
      <c r="C1059" s="10"/>
      <c r="D1059" s="10"/>
      <c r="F1059" s="10"/>
      <c r="G1059" s="10"/>
      <c r="H1059" s="10"/>
      <c r="I1059" s="10"/>
      <c r="J1059" s="10"/>
    </row>
    <row r="1060" spans="2:10" ht="33" customHeight="1" x14ac:dyDescent="0.3">
      <c r="B1060" s="10"/>
      <c r="C1060" s="10"/>
      <c r="D1060" s="10"/>
      <c r="F1060" s="10"/>
      <c r="G1060" s="10"/>
      <c r="H1060" s="10"/>
      <c r="I1060" s="10"/>
      <c r="J1060" s="10"/>
    </row>
    <row r="1061" spans="2:10" ht="33" customHeight="1" x14ac:dyDescent="0.3">
      <c r="B1061" s="10"/>
      <c r="C1061" s="10"/>
      <c r="D1061" s="10"/>
      <c r="F1061" s="10"/>
      <c r="G1061" s="10"/>
      <c r="H1061" s="10"/>
      <c r="I1061" s="10"/>
      <c r="J1061" s="10"/>
    </row>
    <row r="1062" spans="2:10" ht="33" customHeight="1" x14ac:dyDescent="0.3">
      <c r="B1062" s="10"/>
      <c r="C1062" s="10"/>
      <c r="D1062" s="10"/>
      <c r="F1062" s="10"/>
      <c r="G1062" s="10"/>
      <c r="H1062" s="10"/>
      <c r="I1062" s="10"/>
      <c r="J1062" s="10"/>
    </row>
    <row r="1063" spans="2:10" ht="33" customHeight="1" x14ac:dyDescent="0.3">
      <c r="B1063" s="10"/>
      <c r="C1063" s="10"/>
      <c r="D1063" s="10"/>
      <c r="F1063" s="10"/>
      <c r="G1063" s="10"/>
      <c r="H1063" s="10"/>
      <c r="I1063" s="10"/>
      <c r="J1063" s="10"/>
    </row>
    <row r="1064" spans="2:10" ht="33" customHeight="1" x14ac:dyDescent="0.3">
      <c r="B1064" s="10"/>
      <c r="C1064" s="10"/>
      <c r="D1064" s="10"/>
      <c r="F1064" s="10"/>
      <c r="G1064" s="10"/>
      <c r="H1064" s="10"/>
      <c r="I1064" s="10"/>
      <c r="J1064" s="10"/>
    </row>
    <row r="1065" spans="2:10" ht="33" customHeight="1" x14ac:dyDescent="0.3">
      <c r="B1065" s="10"/>
      <c r="C1065" s="10"/>
      <c r="D1065" s="10"/>
      <c r="F1065" s="10"/>
      <c r="G1065" s="10"/>
      <c r="H1065" s="10"/>
      <c r="I1065" s="10"/>
      <c r="J1065" s="10"/>
    </row>
    <row r="1066" spans="2:10" ht="33" customHeight="1" x14ac:dyDescent="0.3">
      <c r="B1066" s="10"/>
      <c r="C1066" s="10"/>
      <c r="D1066" s="10"/>
      <c r="F1066" s="10"/>
      <c r="G1066" s="10"/>
      <c r="H1066" s="10"/>
      <c r="I1066" s="10"/>
      <c r="J1066" s="10"/>
    </row>
    <row r="1067" spans="2:10" ht="33" customHeight="1" x14ac:dyDescent="0.3">
      <c r="B1067" s="10"/>
      <c r="C1067" s="10"/>
      <c r="D1067" s="10"/>
      <c r="F1067" s="10"/>
      <c r="G1067" s="10"/>
      <c r="H1067" s="10"/>
      <c r="I1067" s="10"/>
      <c r="J1067" s="10"/>
    </row>
    <row r="1068" spans="2:10" ht="33" customHeight="1" x14ac:dyDescent="0.3">
      <c r="B1068" s="10"/>
      <c r="C1068" s="10"/>
      <c r="D1068" s="10"/>
      <c r="F1068" s="10"/>
      <c r="G1068" s="10"/>
      <c r="H1068" s="10"/>
      <c r="I1068" s="10"/>
      <c r="J1068" s="10"/>
    </row>
    <row r="1069" spans="2:10" ht="33" customHeight="1" x14ac:dyDescent="0.3">
      <c r="B1069" s="10"/>
      <c r="C1069" s="10"/>
      <c r="D1069" s="10"/>
      <c r="F1069" s="10"/>
      <c r="G1069" s="10"/>
      <c r="H1069" s="10"/>
      <c r="I1069" s="10"/>
      <c r="J1069" s="10"/>
    </row>
    <row r="1070" spans="2:10" ht="33" customHeight="1" x14ac:dyDescent="0.3">
      <c r="B1070" s="10"/>
      <c r="C1070" s="10"/>
      <c r="D1070" s="10"/>
      <c r="F1070" s="10"/>
      <c r="G1070" s="10"/>
      <c r="H1070" s="10"/>
      <c r="I1070" s="10"/>
      <c r="J1070" s="10"/>
    </row>
    <row r="1071" spans="2:10" ht="33" customHeight="1" x14ac:dyDescent="0.3">
      <c r="B1071" s="10"/>
      <c r="C1071" s="10"/>
      <c r="D1071" s="10"/>
      <c r="F1071" s="10"/>
      <c r="G1071" s="10"/>
      <c r="H1071" s="10"/>
      <c r="I1071" s="10"/>
      <c r="J1071" s="10"/>
    </row>
    <row r="1072" spans="2:10" ht="33" customHeight="1" x14ac:dyDescent="0.3">
      <c r="B1072" s="10"/>
      <c r="C1072" s="10"/>
      <c r="D1072" s="10"/>
      <c r="F1072" s="10"/>
      <c r="G1072" s="10"/>
      <c r="H1072" s="10"/>
      <c r="I1072" s="10"/>
      <c r="J1072" s="10"/>
    </row>
    <row r="1073" spans="2:10" ht="33" customHeight="1" x14ac:dyDescent="0.3">
      <c r="B1073" s="10"/>
      <c r="C1073" s="10"/>
      <c r="D1073" s="10"/>
      <c r="F1073" s="10"/>
      <c r="G1073" s="10"/>
      <c r="H1073" s="10"/>
      <c r="I1073" s="10"/>
      <c r="J1073" s="10"/>
    </row>
    <row r="1074" spans="2:10" ht="33" customHeight="1" x14ac:dyDescent="0.3">
      <c r="B1074" s="10"/>
      <c r="C1074" s="10"/>
      <c r="D1074" s="10"/>
      <c r="F1074" s="10"/>
      <c r="G1074" s="10"/>
      <c r="H1074" s="10"/>
      <c r="I1074" s="10"/>
      <c r="J1074" s="10"/>
    </row>
    <row r="1075" spans="2:10" ht="33" customHeight="1" x14ac:dyDescent="0.3">
      <c r="B1075" s="10"/>
      <c r="C1075" s="10"/>
      <c r="D1075" s="10"/>
      <c r="F1075" s="10"/>
      <c r="G1075" s="10"/>
      <c r="H1075" s="10"/>
      <c r="I1075" s="10"/>
      <c r="J1075" s="10"/>
    </row>
    <row r="1076" spans="2:10" ht="33" customHeight="1" x14ac:dyDescent="0.3">
      <c r="B1076" s="10"/>
      <c r="C1076" s="10"/>
      <c r="D1076" s="10"/>
      <c r="F1076" s="10"/>
      <c r="G1076" s="10"/>
      <c r="H1076" s="10"/>
      <c r="I1076" s="10"/>
      <c r="J1076" s="10"/>
    </row>
    <row r="1077" spans="2:10" ht="33" customHeight="1" x14ac:dyDescent="0.3">
      <c r="B1077" s="10"/>
      <c r="C1077" s="10"/>
      <c r="D1077" s="10"/>
      <c r="F1077" s="10"/>
      <c r="G1077" s="10"/>
      <c r="H1077" s="10"/>
      <c r="I1077" s="10"/>
      <c r="J1077" s="10"/>
    </row>
    <row r="1078" spans="2:10" ht="33" customHeight="1" x14ac:dyDescent="0.3">
      <c r="B1078" s="10"/>
      <c r="C1078" s="10"/>
      <c r="D1078" s="10"/>
      <c r="F1078" s="10"/>
      <c r="G1078" s="10"/>
      <c r="H1078" s="10"/>
      <c r="I1078" s="10"/>
      <c r="J1078" s="10"/>
    </row>
    <row r="1079" spans="2:10" ht="33" customHeight="1" x14ac:dyDescent="0.3">
      <c r="B1079" s="10"/>
      <c r="C1079" s="10"/>
      <c r="D1079" s="10"/>
      <c r="F1079" s="10"/>
      <c r="G1079" s="10"/>
      <c r="H1079" s="10"/>
      <c r="I1079" s="10"/>
      <c r="J1079" s="10"/>
    </row>
    <row r="1080" spans="2:10" ht="33" customHeight="1" x14ac:dyDescent="0.3">
      <c r="B1080" s="10"/>
      <c r="C1080" s="10"/>
      <c r="D1080" s="10"/>
      <c r="F1080" s="10"/>
      <c r="G1080" s="10"/>
      <c r="H1080" s="10"/>
      <c r="I1080" s="10"/>
      <c r="J1080" s="10"/>
    </row>
    <row r="1081" spans="2:10" ht="33" customHeight="1" x14ac:dyDescent="0.3">
      <c r="B1081" s="10"/>
      <c r="C1081" s="10"/>
      <c r="D1081" s="10"/>
      <c r="F1081" s="10"/>
      <c r="G1081" s="10"/>
      <c r="H1081" s="10"/>
      <c r="I1081" s="10"/>
      <c r="J1081" s="10"/>
    </row>
    <row r="1082" spans="2:10" ht="33" customHeight="1" x14ac:dyDescent="0.3">
      <c r="B1082" s="10"/>
      <c r="C1082" s="10"/>
      <c r="D1082" s="10"/>
      <c r="F1082" s="10"/>
      <c r="G1082" s="10"/>
      <c r="H1082" s="10"/>
      <c r="I1082" s="10"/>
      <c r="J1082" s="10"/>
    </row>
    <row r="1083" spans="2:10" ht="33" customHeight="1" x14ac:dyDescent="0.3">
      <c r="B1083" s="10"/>
      <c r="C1083" s="10"/>
      <c r="D1083" s="10"/>
      <c r="F1083" s="10"/>
      <c r="G1083" s="10"/>
      <c r="H1083" s="10"/>
      <c r="I1083" s="10"/>
      <c r="J1083" s="10"/>
    </row>
    <row r="1084" spans="2:10" ht="33" customHeight="1" x14ac:dyDescent="0.3">
      <c r="B1084" s="10"/>
      <c r="C1084" s="10"/>
      <c r="D1084" s="10"/>
      <c r="F1084" s="10"/>
      <c r="G1084" s="10"/>
      <c r="H1084" s="10"/>
      <c r="I1084" s="10"/>
      <c r="J1084" s="10"/>
    </row>
    <row r="1085" spans="2:10" ht="33" customHeight="1" x14ac:dyDescent="0.3">
      <c r="B1085" s="10"/>
      <c r="C1085" s="10"/>
      <c r="D1085" s="10"/>
      <c r="F1085" s="10"/>
      <c r="G1085" s="10"/>
      <c r="H1085" s="10"/>
      <c r="I1085" s="10"/>
      <c r="J1085" s="10"/>
    </row>
    <row r="1086" spans="2:10" ht="33" customHeight="1" x14ac:dyDescent="0.3">
      <c r="B1086" s="10"/>
      <c r="C1086" s="10"/>
      <c r="D1086" s="10"/>
      <c r="F1086" s="10"/>
      <c r="G1086" s="10"/>
      <c r="H1086" s="10"/>
      <c r="I1086" s="10"/>
      <c r="J1086" s="10"/>
    </row>
    <row r="1087" spans="2:10" ht="33" customHeight="1" x14ac:dyDescent="0.3">
      <c r="B1087" s="10"/>
      <c r="C1087" s="10"/>
      <c r="D1087" s="10"/>
      <c r="F1087" s="10"/>
      <c r="G1087" s="10"/>
      <c r="H1087" s="10"/>
      <c r="I1087" s="10"/>
      <c r="J1087" s="10"/>
    </row>
    <row r="1088" spans="2:10" ht="33" customHeight="1" x14ac:dyDescent="0.3">
      <c r="B1088" s="10"/>
      <c r="C1088" s="10"/>
      <c r="D1088" s="10"/>
      <c r="F1088" s="10"/>
      <c r="G1088" s="10"/>
      <c r="H1088" s="10"/>
      <c r="I1088" s="10"/>
      <c r="J1088" s="10"/>
    </row>
    <row r="1089" spans="2:10" ht="33" customHeight="1" x14ac:dyDescent="0.3">
      <c r="B1089" s="10"/>
      <c r="C1089" s="10"/>
      <c r="D1089" s="10"/>
      <c r="F1089" s="10"/>
      <c r="G1089" s="10"/>
      <c r="H1089" s="10"/>
      <c r="I1089" s="10"/>
      <c r="J1089" s="10"/>
    </row>
    <row r="1090" spans="2:10" ht="33" customHeight="1" x14ac:dyDescent="0.3">
      <c r="B1090" s="10"/>
      <c r="C1090" s="10"/>
      <c r="D1090" s="10"/>
      <c r="F1090" s="10"/>
      <c r="G1090" s="10"/>
      <c r="H1090" s="10"/>
      <c r="I1090" s="10"/>
      <c r="J1090" s="10"/>
    </row>
    <row r="1091" spans="2:10" ht="33" customHeight="1" x14ac:dyDescent="0.3">
      <c r="B1091" s="10"/>
      <c r="C1091" s="10"/>
      <c r="D1091" s="10"/>
      <c r="F1091" s="10"/>
      <c r="G1091" s="10"/>
      <c r="H1091" s="10"/>
      <c r="I1091" s="10"/>
      <c r="J1091" s="10"/>
    </row>
    <row r="1092" spans="2:10" ht="33" customHeight="1" x14ac:dyDescent="0.3">
      <c r="B1092" s="10"/>
      <c r="C1092" s="10"/>
      <c r="D1092" s="10"/>
      <c r="F1092" s="10"/>
      <c r="G1092" s="10"/>
      <c r="H1092" s="10"/>
      <c r="I1092" s="10"/>
      <c r="J1092" s="10"/>
    </row>
    <row r="1093" spans="2:10" ht="33" customHeight="1" x14ac:dyDescent="0.3">
      <c r="B1093" s="10"/>
      <c r="C1093" s="10"/>
      <c r="D1093" s="10"/>
      <c r="F1093" s="10"/>
      <c r="G1093" s="10"/>
      <c r="H1093" s="10"/>
      <c r="I1093" s="10"/>
      <c r="J1093" s="10"/>
    </row>
    <row r="1094" spans="2:10" ht="33" customHeight="1" x14ac:dyDescent="0.3">
      <c r="B1094" s="10"/>
      <c r="C1094" s="10"/>
      <c r="D1094" s="10"/>
      <c r="F1094" s="10"/>
      <c r="G1094" s="10"/>
      <c r="H1094" s="10"/>
      <c r="I1094" s="10"/>
      <c r="J1094" s="10"/>
    </row>
    <row r="1095" spans="2:10" ht="33" customHeight="1" x14ac:dyDescent="0.3">
      <c r="B1095" s="10"/>
      <c r="C1095" s="10"/>
      <c r="D1095" s="10"/>
      <c r="F1095" s="10"/>
      <c r="G1095" s="10"/>
      <c r="H1095" s="10"/>
      <c r="I1095" s="10"/>
      <c r="J1095" s="10"/>
    </row>
    <row r="1096" spans="2:10" ht="33" customHeight="1" x14ac:dyDescent="0.3">
      <c r="B1096" s="10"/>
      <c r="C1096" s="10"/>
      <c r="D1096" s="10"/>
      <c r="F1096" s="10"/>
      <c r="G1096" s="10"/>
      <c r="H1096" s="10"/>
      <c r="I1096" s="10"/>
      <c r="J1096" s="10"/>
    </row>
    <row r="1097" spans="2:10" ht="33" customHeight="1" x14ac:dyDescent="0.3">
      <c r="B1097" s="10"/>
      <c r="C1097" s="10"/>
      <c r="D1097" s="10"/>
      <c r="F1097" s="10"/>
      <c r="G1097" s="10"/>
      <c r="H1097" s="10"/>
      <c r="I1097" s="10"/>
      <c r="J1097" s="10"/>
    </row>
    <row r="1098" spans="2:10" ht="33" customHeight="1" x14ac:dyDescent="0.3">
      <c r="B1098" s="10"/>
      <c r="C1098" s="10"/>
      <c r="D1098" s="10"/>
      <c r="F1098" s="10"/>
      <c r="G1098" s="10"/>
      <c r="H1098" s="10"/>
      <c r="I1098" s="10"/>
      <c r="J1098" s="10"/>
    </row>
    <row r="1099" spans="2:10" ht="33" customHeight="1" x14ac:dyDescent="0.3">
      <c r="B1099" s="10"/>
      <c r="C1099" s="10"/>
      <c r="D1099" s="10"/>
      <c r="F1099" s="10"/>
      <c r="G1099" s="10"/>
      <c r="H1099" s="10"/>
      <c r="I1099" s="10"/>
      <c r="J1099" s="10"/>
    </row>
    <row r="1100" spans="2:10" ht="33" customHeight="1" x14ac:dyDescent="0.3">
      <c r="B1100" s="10"/>
      <c r="C1100" s="10"/>
      <c r="D1100" s="10"/>
      <c r="F1100" s="10"/>
      <c r="G1100" s="10"/>
      <c r="H1100" s="10"/>
      <c r="I1100" s="10"/>
      <c r="J1100" s="10"/>
    </row>
    <row r="1101" spans="2:10" ht="33" customHeight="1" x14ac:dyDescent="0.3">
      <c r="B1101" s="10"/>
      <c r="C1101" s="10"/>
      <c r="D1101" s="10"/>
      <c r="F1101" s="10"/>
      <c r="G1101" s="10"/>
      <c r="H1101" s="10"/>
      <c r="I1101" s="10"/>
      <c r="J1101" s="10"/>
    </row>
    <row r="1102" spans="2:10" ht="33" customHeight="1" x14ac:dyDescent="0.3">
      <c r="B1102" s="10"/>
      <c r="C1102" s="10"/>
      <c r="D1102" s="10"/>
      <c r="F1102" s="10"/>
      <c r="G1102" s="10"/>
      <c r="H1102" s="10"/>
      <c r="I1102" s="10"/>
      <c r="J1102" s="10"/>
    </row>
    <row r="1103" spans="2:10" ht="33" customHeight="1" x14ac:dyDescent="0.3">
      <c r="B1103" s="10"/>
      <c r="C1103" s="10"/>
      <c r="D1103" s="10"/>
      <c r="F1103" s="10"/>
      <c r="G1103" s="10"/>
      <c r="H1103" s="10"/>
      <c r="I1103" s="10"/>
      <c r="J1103" s="10"/>
    </row>
    <row r="1104" spans="2:10" ht="33" customHeight="1" x14ac:dyDescent="0.3">
      <c r="B1104" s="10"/>
      <c r="C1104" s="10"/>
      <c r="D1104" s="10"/>
      <c r="F1104" s="10"/>
      <c r="G1104" s="10"/>
      <c r="H1104" s="10"/>
      <c r="I1104" s="10"/>
      <c r="J1104" s="10"/>
    </row>
    <row r="1105" spans="2:10" ht="33" customHeight="1" x14ac:dyDescent="0.3">
      <c r="B1105" s="10"/>
      <c r="C1105" s="10"/>
      <c r="D1105" s="10"/>
      <c r="F1105" s="10"/>
      <c r="G1105" s="10"/>
      <c r="H1105" s="10"/>
      <c r="I1105" s="10"/>
      <c r="J1105" s="10"/>
    </row>
    <row r="1106" spans="2:10" ht="33" customHeight="1" x14ac:dyDescent="0.3">
      <c r="B1106" s="10"/>
      <c r="C1106" s="10"/>
      <c r="D1106" s="10"/>
      <c r="F1106" s="10"/>
      <c r="G1106" s="10"/>
      <c r="H1106" s="10"/>
      <c r="I1106" s="10"/>
      <c r="J1106" s="10"/>
    </row>
    <row r="1107" spans="2:10" ht="33" customHeight="1" x14ac:dyDescent="0.3">
      <c r="B1107" s="10"/>
      <c r="C1107" s="10"/>
      <c r="D1107" s="10"/>
      <c r="F1107" s="10"/>
      <c r="G1107" s="10"/>
      <c r="H1107" s="10"/>
      <c r="I1107" s="10"/>
      <c r="J1107" s="10"/>
    </row>
    <row r="1108" spans="2:10" ht="33" customHeight="1" x14ac:dyDescent="0.3">
      <c r="B1108" s="10"/>
      <c r="C1108" s="10"/>
      <c r="D1108" s="10"/>
      <c r="F1108" s="10"/>
      <c r="G1108" s="10"/>
      <c r="H1108" s="10"/>
      <c r="I1108" s="10"/>
      <c r="J1108" s="10"/>
    </row>
    <row r="1109" spans="2:10" ht="33" customHeight="1" x14ac:dyDescent="0.3">
      <c r="B1109" s="10"/>
      <c r="C1109" s="10"/>
      <c r="D1109" s="10"/>
      <c r="F1109" s="10"/>
      <c r="G1109" s="10"/>
      <c r="H1109" s="10"/>
      <c r="I1109" s="10"/>
      <c r="J1109" s="10"/>
    </row>
    <row r="1110" spans="2:10" ht="33" customHeight="1" x14ac:dyDescent="0.3">
      <c r="B1110" s="10"/>
      <c r="C1110" s="10"/>
      <c r="D1110" s="10"/>
      <c r="F1110" s="10"/>
      <c r="G1110" s="10"/>
      <c r="H1110" s="10"/>
      <c r="I1110" s="10"/>
      <c r="J1110" s="10"/>
    </row>
    <row r="1111" spans="2:10" ht="33" customHeight="1" x14ac:dyDescent="0.3">
      <c r="B1111" s="10"/>
      <c r="C1111" s="10"/>
      <c r="D1111" s="10"/>
      <c r="F1111" s="10"/>
      <c r="G1111" s="10"/>
      <c r="H1111" s="10"/>
      <c r="I1111" s="10"/>
      <c r="J1111" s="10"/>
    </row>
    <row r="1112" spans="2:10" ht="33" customHeight="1" x14ac:dyDescent="0.3">
      <c r="B1112" s="10"/>
      <c r="C1112" s="10"/>
      <c r="D1112" s="10"/>
      <c r="F1112" s="10"/>
      <c r="G1112" s="10"/>
      <c r="H1112" s="10"/>
      <c r="I1112" s="10"/>
      <c r="J1112" s="10"/>
    </row>
    <row r="1113" spans="2:10" ht="33" customHeight="1" x14ac:dyDescent="0.3">
      <c r="B1113" s="10"/>
      <c r="C1113" s="10"/>
      <c r="D1113" s="10"/>
      <c r="F1113" s="10"/>
      <c r="G1113" s="10"/>
      <c r="H1113" s="10"/>
      <c r="I1113" s="10"/>
      <c r="J1113" s="10"/>
    </row>
    <row r="1114" spans="2:10" ht="33" customHeight="1" x14ac:dyDescent="0.3">
      <c r="B1114" s="10"/>
      <c r="C1114" s="10"/>
      <c r="D1114" s="10"/>
      <c r="F1114" s="10"/>
      <c r="G1114" s="10"/>
      <c r="H1114" s="10"/>
      <c r="I1114" s="10"/>
      <c r="J1114" s="10"/>
    </row>
    <row r="1115" spans="2:10" ht="33" customHeight="1" x14ac:dyDescent="0.3">
      <c r="B1115" s="10"/>
      <c r="C1115" s="10"/>
      <c r="D1115" s="10"/>
      <c r="F1115" s="10"/>
      <c r="G1115" s="10"/>
      <c r="H1115" s="10"/>
      <c r="I1115" s="10"/>
      <c r="J1115" s="10"/>
    </row>
    <row r="1116" spans="2:10" ht="33" customHeight="1" x14ac:dyDescent="0.3">
      <c r="B1116" s="10"/>
      <c r="C1116" s="10"/>
      <c r="D1116" s="10"/>
      <c r="F1116" s="10"/>
      <c r="G1116" s="10"/>
      <c r="H1116" s="10"/>
      <c r="I1116" s="10"/>
      <c r="J1116" s="10"/>
    </row>
    <row r="1117" spans="2:10" ht="33" customHeight="1" x14ac:dyDescent="0.3">
      <c r="B1117" s="10"/>
      <c r="C1117" s="10"/>
      <c r="D1117" s="10"/>
      <c r="F1117" s="10"/>
      <c r="G1117" s="10"/>
      <c r="H1117" s="10"/>
      <c r="I1117" s="10"/>
      <c r="J1117" s="10"/>
    </row>
    <row r="1118" spans="2:10" ht="33" customHeight="1" x14ac:dyDescent="0.3">
      <c r="B1118" s="10"/>
      <c r="C1118" s="10"/>
      <c r="D1118" s="10"/>
      <c r="F1118" s="10"/>
      <c r="G1118" s="10"/>
      <c r="H1118" s="10"/>
      <c r="I1118" s="10"/>
      <c r="J1118" s="10"/>
    </row>
    <row r="1119" spans="2:10" ht="33" customHeight="1" x14ac:dyDescent="0.3">
      <c r="B1119" s="10"/>
      <c r="C1119" s="10"/>
      <c r="D1119" s="10"/>
      <c r="F1119" s="10"/>
      <c r="G1119" s="10"/>
      <c r="H1119" s="10"/>
      <c r="I1119" s="10"/>
      <c r="J1119" s="10"/>
    </row>
    <row r="1120" spans="2:10" ht="33" customHeight="1" x14ac:dyDescent="0.3">
      <c r="B1120" s="10"/>
      <c r="C1120" s="10"/>
      <c r="D1120" s="10"/>
      <c r="F1120" s="10"/>
      <c r="G1120" s="10"/>
      <c r="H1120" s="10"/>
      <c r="I1120" s="10"/>
      <c r="J1120" s="10"/>
    </row>
    <row r="1121" spans="2:10" ht="33" customHeight="1" x14ac:dyDescent="0.3">
      <c r="B1121" s="10"/>
      <c r="C1121" s="10"/>
      <c r="D1121" s="10"/>
      <c r="F1121" s="10"/>
      <c r="G1121" s="10"/>
      <c r="H1121" s="10"/>
      <c r="I1121" s="10"/>
      <c r="J1121" s="10"/>
    </row>
    <row r="1122" spans="2:10" ht="33" customHeight="1" x14ac:dyDescent="0.3">
      <c r="B1122" s="10"/>
      <c r="C1122" s="10"/>
      <c r="D1122" s="10"/>
      <c r="F1122" s="10"/>
      <c r="G1122" s="10"/>
      <c r="H1122" s="10"/>
      <c r="I1122" s="10"/>
      <c r="J1122" s="10"/>
    </row>
    <row r="1123" spans="2:10" ht="33" customHeight="1" x14ac:dyDescent="0.3">
      <c r="B1123" s="10"/>
      <c r="C1123" s="10"/>
      <c r="D1123" s="10"/>
      <c r="F1123" s="10"/>
      <c r="G1123" s="10"/>
      <c r="H1123" s="10"/>
      <c r="I1123" s="10"/>
      <c r="J1123" s="10"/>
    </row>
    <row r="1124" spans="2:10" ht="33" customHeight="1" x14ac:dyDescent="0.3">
      <c r="B1124" s="10"/>
      <c r="C1124" s="10"/>
      <c r="D1124" s="10"/>
      <c r="F1124" s="10"/>
      <c r="G1124" s="10"/>
      <c r="H1124" s="10"/>
      <c r="I1124" s="10"/>
      <c r="J1124" s="10"/>
    </row>
    <row r="1125" spans="2:10" ht="33" customHeight="1" x14ac:dyDescent="0.3">
      <c r="B1125" s="10"/>
      <c r="C1125" s="10"/>
      <c r="D1125" s="10"/>
      <c r="F1125" s="10"/>
      <c r="G1125" s="10"/>
      <c r="H1125" s="10"/>
      <c r="I1125" s="10"/>
      <c r="J1125" s="10"/>
    </row>
    <row r="1126" spans="2:10" ht="33" customHeight="1" x14ac:dyDescent="0.3">
      <c r="B1126" s="10"/>
      <c r="C1126" s="10"/>
      <c r="D1126" s="10"/>
      <c r="F1126" s="10"/>
      <c r="G1126" s="10"/>
      <c r="H1126" s="10"/>
      <c r="I1126" s="10"/>
      <c r="J1126" s="10"/>
    </row>
    <row r="1127" spans="2:10" ht="33" customHeight="1" x14ac:dyDescent="0.3">
      <c r="B1127" s="10"/>
      <c r="C1127" s="10"/>
      <c r="D1127" s="10"/>
      <c r="F1127" s="10"/>
      <c r="G1127" s="10"/>
      <c r="H1127" s="10"/>
      <c r="I1127" s="10"/>
      <c r="J1127" s="10"/>
    </row>
    <row r="1128" spans="2:10" ht="33" customHeight="1" x14ac:dyDescent="0.3">
      <c r="B1128" s="10"/>
      <c r="C1128" s="10"/>
      <c r="D1128" s="10"/>
      <c r="F1128" s="10"/>
      <c r="G1128" s="10"/>
      <c r="H1128" s="10"/>
      <c r="I1128" s="10"/>
      <c r="J1128" s="10"/>
    </row>
    <row r="1129" spans="2:10" ht="33" customHeight="1" x14ac:dyDescent="0.3">
      <c r="B1129" s="10"/>
      <c r="C1129" s="10"/>
      <c r="D1129" s="10"/>
      <c r="F1129" s="10"/>
      <c r="G1129" s="10"/>
      <c r="H1129" s="10"/>
      <c r="I1129" s="10"/>
      <c r="J1129" s="10"/>
    </row>
    <row r="1130" spans="2:10" ht="33" customHeight="1" x14ac:dyDescent="0.3">
      <c r="B1130" s="10"/>
      <c r="C1130" s="10"/>
      <c r="D1130" s="10"/>
      <c r="F1130" s="10"/>
      <c r="G1130" s="10"/>
      <c r="H1130" s="10"/>
      <c r="I1130" s="10"/>
      <c r="J1130" s="10"/>
    </row>
    <row r="1131" spans="2:10" ht="33" customHeight="1" x14ac:dyDescent="0.3">
      <c r="B1131" s="10"/>
      <c r="C1131" s="10"/>
      <c r="D1131" s="10"/>
      <c r="F1131" s="10"/>
      <c r="G1131" s="10"/>
      <c r="H1131" s="10"/>
      <c r="I1131" s="10"/>
      <c r="J1131" s="10"/>
    </row>
    <row r="1132" spans="2:10" ht="33" customHeight="1" x14ac:dyDescent="0.3">
      <c r="B1132" s="10"/>
      <c r="C1132" s="10"/>
      <c r="D1132" s="10"/>
      <c r="F1132" s="10"/>
      <c r="G1132" s="10"/>
      <c r="H1132" s="10"/>
      <c r="I1132" s="10"/>
      <c r="J1132" s="10"/>
    </row>
    <row r="1133" spans="2:10" ht="33" customHeight="1" x14ac:dyDescent="0.3">
      <c r="B1133" s="10"/>
      <c r="C1133" s="10"/>
      <c r="D1133" s="10"/>
      <c r="F1133" s="10"/>
      <c r="G1133" s="10"/>
      <c r="H1133" s="10"/>
      <c r="I1133" s="10"/>
      <c r="J1133" s="10"/>
    </row>
    <row r="1134" spans="2:10" ht="33" customHeight="1" x14ac:dyDescent="0.3">
      <c r="B1134" s="10"/>
      <c r="C1134" s="10"/>
      <c r="D1134" s="10"/>
      <c r="F1134" s="10"/>
      <c r="G1134" s="10"/>
      <c r="H1134" s="10"/>
      <c r="I1134" s="10"/>
      <c r="J1134" s="10"/>
    </row>
    <row r="1135" spans="2:10" ht="33" customHeight="1" x14ac:dyDescent="0.3">
      <c r="B1135" s="10"/>
      <c r="C1135" s="10"/>
      <c r="D1135" s="10"/>
      <c r="F1135" s="10"/>
      <c r="G1135" s="10"/>
      <c r="H1135" s="10"/>
      <c r="I1135" s="10"/>
      <c r="J1135" s="10"/>
    </row>
    <row r="1136" spans="2:10" ht="33" customHeight="1" x14ac:dyDescent="0.3">
      <c r="B1136" s="10"/>
      <c r="C1136" s="10"/>
      <c r="D1136" s="10"/>
      <c r="F1136" s="10"/>
      <c r="G1136" s="10"/>
      <c r="H1136" s="10"/>
      <c r="I1136" s="10"/>
      <c r="J1136" s="10"/>
    </row>
    <row r="1137" spans="2:10" ht="33" customHeight="1" x14ac:dyDescent="0.3">
      <c r="B1137" s="10"/>
      <c r="C1137" s="10"/>
      <c r="D1137" s="10"/>
      <c r="F1137" s="10"/>
      <c r="G1137" s="10"/>
      <c r="H1137" s="10"/>
      <c r="I1137" s="10"/>
      <c r="J1137" s="10"/>
    </row>
    <row r="1138" spans="2:10" ht="33" customHeight="1" x14ac:dyDescent="0.3">
      <c r="B1138" s="10"/>
      <c r="C1138" s="10"/>
      <c r="D1138" s="10"/>
      <c r="F1138" s="10"/>
      <c r="G1138" s="10"/>
      <c r="H1138" s="10"/>
      <c r="I1138" s="10"/>
      <c r="J1138" s="10"/>
    </row>
    <row r="1139" spans="2:10" ht="33" customHeight="1" x14ac:dyDescent="0.3">
      <c r="B1139" s="10"/>
      <c r="C1139" s="10"/>
      <c r="D1139" s="10"/>
      <c r="F1139" s="10"/>
      <c r="G1139" s="10"/>
      <c r="H1139" s="10"/>
      <c r="I1139" s="10"/>
      <c r="J1139" s="10"/>
    </row>
    <row r="1140" spans="2:10" ht="33" customHeight="1" x14ac:dyDescent="0.3">
      <c r="B1140" s="10"/>
      <c r="C1140" s="10"/>
      <c r="D1140" s="10"/>
      <c r="F1140" s="10"/>
      <c r="G1140" s="10"/>
      <c r="H1140" s="10"/>
      <c r="I1140" s="10"/>
      <c r="J1140" s="10"/>
    </row>
    <row r="1141" spans="2:10" ht="33" customHeight="1" x14ac:dyDescent="0.3">
      <c r="B1141" s="10"/>
      <c r="C1141" s="10"/>
      <c r="D1141" s="10"/>
      <c r="F1141" s="10"/>
      <c r="G1141" s="10"/>
      <c r="H1141" s="10"/>
      <c r="I1141" s="10"/>
      <c r="J1141" s="10"/>
    </row>
    <row r="1142" spans="2:10" ht="33" customHeight="1" x14ac:dyDescent="0.3">
      <c r="B1142" s="10"/>
      <c r="C1142" s="10"/>
      <c r="D1142" s="10"/>
      <c r="F1142" s="10"/>
      <c r="G1142" s="10"/>
      <c r="H1142" s="10"/>
      <c r="I1142" s="10"/>
      <c r="J1142" s="10"/>
    </row>
    <row r="1143" spans="2:10" ht="33" customHeight="1" x14ac:dyDescent="0.3">
      <c r="B1143" s="10"/>
      <c r="C1143" s="10"/>
      <c r="D1143" s="10"/>
      <c r="F1143" s="10"/>
      <c r="G1143" s="10"/>
      <c r="H1143" s="10"/>
      <c r="I1143" s="10"/>
      <c r="J1143" s="10"/>
    </row>
    <row r="1144" spans="2:10" ht="33" customHeight="1" x14ac:dyDescent="0.3">
      <c r="B1144" s="10"/>
      <c r="C1144" s="10"/>
      <c r="D1144" s="10"/>
      <c r="F1144" s="10"/>
      <c r="G1144" s="10"/>
      <c r="H1144" s="10"/>
      <c r="I1144" s="10"/>
      <c r="J1144" s="10"/>
    </row>
    <row r="1145" spans="2:10" ht="33" customHeight="1" x14ac:dyDescent="0.3">
      <c r="B1145" s="10"/>
      <c r="C1145" s="10"/>
      <c r="D1145" s="10"/>
      <c r="F1145" s="10"/>
      <c r="G1145" s="10"/>
      <c r="H1145" s="10"/>
      <c r="I1145" s="10"/>
      <c r="J1145" s="10"/>
    </row>
    <row r="1146" spans="2:10" ht="33" customHeight="1" x14ac:dyDescent="0.3">
      <c r="B1146" s="10"/>
      <c r="C1146" s="10"/>
      <c r="D1146" s="10"/>
      <c r="F1146" s="10"/>
      <c r="G1146" s="10"/>
      <c r="H1146" s="10"/>
      <c r="I1146" s="10"/>
      <c r="J1146" s="10"/>
    </row>
    <row r="1147" spans="2:10" ht="33" customHeight="1" x14ac:dyDescent="0.3">
      <c r="B1147" s="10"/>
      <c r="C1147" s="10"/>
      <c r="D1147" s="10"/>
      <c r="F1147" s="10"/>
      <c r="G1147" s="10"/>
      <c r="H1147" s="10"/>
      <c r="I1147" s="10"/>
      <c r="J1147" s="10"/>
    </row>
    <row r="1148" spans="2:10" ht="33" customHeight="1" x14ac:dyDescent="0.3">
      <c r="B1148" s="10"/>
      <c r="C1148" s="10"/>
      <c r="D1148" s="10"/>
      <c r="F1148" s="10"/>
      <c r="G1148" s="10"/>
      <c r="H1148" s="10"/>
      <c r="I1148" s="10"/>
      <c r="J1148" s="10"/>
    </row>
    <row r="1149" spans="2:10" ht="33" customHeight="1" x14ac:dyDescent="0.3">
      <c r="B1149" s="10"/>
      <c r="C1149" s="10"/>
      <c r="D1149" s="10"/>
      <c r="F1149" s="10"/>
      <c r="G1149" s="10"/>
      <c r="H1149" s="10"/>
      <c r="I1149" s="10"/>
      <c r="J1149" s="10"/>
    </row>
    <row r="1150" spans="2:10" ht="33" customHeight="1" x14ac:dyDescent="0.3">
      <c r="B1150" s="10"/>
      <c r="C1150" s="10"/>
      <c r="D1150" s="10"/>
      <c r="F1150" s="10"/>
      <c r="G1150" s="10"/>
      <c r="H1150" s="10"/>
      <c r="I1150" s="10"/>
      <c r="J1150" s="10"/>
    </row>
    <row r="1151" spans="2:10" ht="33" customHeight="1" x14ac:dyDescent="0.3">
      <c r="B1151" s="10"/>
      <c r="C1151" s="10"/>
      <c r="D1151" s="10"/>
      <c r="F1151" s="10"/>
      <c r="G1151" s="10"/>
      <c r="H1151" s="10"/>
      <c r="I1151" s="10"/>
      <c r="J1151" s="10"/>
    </row>
    <row r="1152" spans="2:10" ht="33" customHeight="1" x14ac:dyDescent="0.3">
      <c r="B1152" s="10"/>
      <c r="C1152" s="10"/>
      <c r="D1152" s="10"/>
      <c r="F1152" s="10"/>
      <c r="G1152" s="10"/>
      <c r="H1152" s="10"/>
      <c r="I1152" s="10"/>
      <c r="J1152" s="10"/>
    </row>
    <row r="1153" spans="2:10" ht="33" customHeight="1" x14ac:dyDescent="0.3">
      <c r="B1153" s="10"/>
      <c r="C1153" s="10"/>
      <c r="D1153" s="10"/>
      <c r="F1153" s="10"/>
      <c r="G1153" s="10"/>
      <c r="H1153" s="10"/>
      <c r="I1153" s="10"/>
      <c r="J1153" s="10"/>
    </row>
    <row r="1154" spans="2:10" ht="33" customHeight="1" x14ac:dyDescent="0.3">
      <c r="B1154" s="10"/>
      <c r="C1154" s="10"/>
      <c r="D1154" s="10"/>
      <c r="F1154" s="10"/>
      <c r="G1154" s="10"/>
      <c r="H1154" s="10"/>
      <c r="I1154" s="10"/>
      <c r="J1154" s="10"/>
    </row>
    <row r="1155" spans="2:10" ht="33" customHeight="1" x14ac:dyDescent="0.3">
      <c r="B1155" s="10"/>
      <c r="C1155" s="10"/>
      <c r="D1155" s="10"/>
      <c r="F1155" s="10"/>
      <c r="G1155" s="10"/>
      <c r="H1155" s="10"/>
      <c r="I1155" s="10"/>
      <c r="J1155" s="10"/>
    </row>
    <row r="1156" spans="2:10" ht="33" customHeight="1" x14ac:dyDescent="0.3">
      <c r="B1156" s="10"/>
      <c r="C1156" s="10"/>
      <c r="D1156" s="10"/>
      <c r="F1156" s="10"/>
      <c r="G1156" s="10"/>
      <c r="H1156" s="10"/>
      <c r="I1156" s="10"/>
      <c r="J1156" s="10"/>
    </row>
    <row r="1157" spans="2:10" ht="33" customHeight="1" x14ac:dyDescent="0.3">
      <c r="B1157" s="10"/>
      <c r="C1157" s="10"/>
      <c r="D1157" s="10"/>
      <c r="F1157" s="10"/>
      <c r="G1157" s="10"/>
      <c r="H1157" s="10"/>
      <c r="I1157" s="10"/>
      <c r="J1157" s="10"/>
    </row>
    <row r="1158" spans="2:10" ht="33" customHeight="1" x14ac:dyDescent="0.3">
      <c r="B1158" s="10"/>
      <c r="C1158" s="10"/>
      <c r="D1158" s="10"/>
      <c r="F1158" s="10"/>
      <c r="G1158" s="10"/>
      <c r="H1158" s="10"/>
      <c r="I1158" s="10"/>
      <c r="J1158" s="10"/>
    </row>
    <row r="1159" spans="2:10" ht="33" customHeight="1" x14ac:dyDescent="0.3">
      <c r="B1159" s="10"/>
      <c r="C1159" s="10"/>
      <c r="D1159" s="10"/>
      <c r="F1159" s="10"/>
      <c r="G1159" s="10"/>
      <c r="H1159" s="10"/>
      <c r="I1159" s="10"/>
      <c r="J1159" s="10"/>
    </row>
    <row r="1160" spans="2:10" ht="33" customHeight="1" x14ac:dyDescent="0.3">
      <c r="B1160" s="10"/>
      <c r="C1160" s="10"/>
      <c r="D1160" s="10"/>
      <c r="F1160" s="10"/>
      <c r="G1160" s="10"/>
      <c r="H1160" s="10"/>
      <c r="I1160" s="10"/>
      <c r="J1160" s="10"/>
    </row>
    <row r="1161" spans="2:10" ht="33" customHeight="1" x14ac:dyDescent="0.3">
      <c r="B1161" s="10"/>
      <c r="C1161" s="10"/>
      <c r="D1161" s="10"/>
      <c r="F1161" s="10"/>
      <c r="G1161" s="10"/>
      <c r="H1161" s="10"/>
      <c r="I1161" s="10"/>
      <c r="J1161" s="10"/>
    </row>
    <row r="1162" spans="2:10" ht="33" customHeight="1" x14ac:dyDescent="0.3">
      <c r="B1162" s="10"/>
      <c r="C1162" s="10"/>
      <c r="D1162" s="10"/>
      <c r="F1162" s="10"/>
      <c r="G1162" s="10"/>
      <c r="H1162" s="10"/>
      <c r="I1162" s="10"/>
      <c r="J1162" s="10"/>
    </row>
    <row r="1163" spans="2:10" ht="33" customHeight="1" x14ac:dyDescent="0.3">
      <c r="B1163" s="10"/>
      <c r="C1163" s="10"/>
      <c r="D1163" s="10"/>
      <c r="F1163" s="10"/>
      <c r="G1163" s="10"/>
      <c r="H1163" s="10"/>
      <c r="I1163" s="10"/>
      <c r="J1163" s="10"/>
    </row>
    <row r="1164" spans="2:10" ht="33" customHeight="1" x14ac:dyDescent="0.3">
      <c r="B1164" s="10"/>
      <c r="C1164" s="10"/>
      <c r="D1164" s="10"/>
      <c r="F1164" s="10"/>
      <c r="G1164" s="10"/>
      <c r="H1164" s="10"/>
      <c r="I1164" s="10"/>
      <c r="J1164" s="10"/>
    </row>
  </sheetData>
  <mergeCells count="3">
    <mergeCell ref="AG1:AJ1"/>
    <mergeCell ref="B1:AD1"/>
    <mergeCell ref="AL1:AM2"/>
  </mergeCells>
  <conditionalFormatting sqref="N2:N652">
    <cfRule type="containsText" dxfId="125" priority="54" operator="containsText" text="PO Drafted">
      <formula>NOT(ISERROR(SEARCH("PO Drafted",N2)))</formula>
    </cfRule>
    <cfRule type="containsText" dxfId="124" priority="55" operator="containsText" text="Production Complete">
      <formula>NOT(ISERROR(SEARCH("Production Complete",N2)))</formula>
    </cfRule>
    <cfRule type="containsText" dxfId="123" priority="56" operator="containsText" text="ON HOLD">
      <formula>NOT(ISERROR(SEARCH("ON HOLD",N2)))</formula>
    </cfRule>
    <cfRule type="containsText" dxfId="122" priority="66" operator="containsText" text="D/W Sent">
      <formula>NOT(ISERROR(SEARCH("D/W Sent",N2)))</formula>
    </cfRule>
    <cfRule type="containsText" dxfId="121" priority="76" operator="containsText" text="Picked">
      <formula>NOT(ISERROR(SEARCH("Picked",N2)))</formula>
    </cfRule>
    <cfRule type="containsText" dxfId="120" priority="77" operator="containsText" text="Rework">
      <formula>NOT(ISERROR(SEARCH("Rework",N2)))</formula>
    </cfRule>
    <cfRule type="containsText" dxfId="119" priority="78" operator="containsText" text="In Production">
      <formula>NOT(ISERROR(SEARCH("In Production",N2)))</formula>
    </cfRule>
    <cfRule type="containsText" dxfId="118" priority="79" operator="containsText" text="Out of stock">
      <formula>NOT(ISERROR(SEARCH("Out of stock",N2)))</formula>
    </cfRule>
    <cfRule type="containsText" dxfId="117" priority="80" operator="containsText" text="Not Meet MOQ">
      <formula>NOT(ISERROR(SEARCH("Not Meet MOQ",N2)))</formula>
    </cfRule>
    <cfRule type="containsText" dxfId="116" priority="81" operator="containsText" text="Available">
      <formula>NOT(ISERROR(SEARCH("Available",N2)))</formula>
    </cfRule>
    <cfRule type="containsText" dxfId="115" priority="82" operator="containsText" text="Pending Picking">
      <formula>NOT(ISERROR(SEARCH("Pending Picking",N2)))</formula>
    </cfRule>
    <cfRule type="containsText" dxfId="114" priority="83" operator="containsText" text="PO Submitted">
      <formula>NOT(ISERROR(SEARCH("PO Submitted",N2)))</formula>
    </cfRule>
    <cfRule type="containsText" dxfId="113" priority="84" operator="containsText" text="Transit to Warehouse">
      <formula>NOT(ISERROR(SEARCH("Transit to Warehouse",N2)))</formula>
    </cfRule>
  </conditionalFormatting>
  <conditionalFormatting sqref="N2:AD652 B2:L652">
    <cfRule type="expression" dxfId="112" priority="65">
      <formula>AND(LEN(B2)&gt;0,NOT(ISERROR(B2)),B2&lt;&gt;0)</formula>
    </cfRule>
    <cfRule type="cellIs" dxfId="111" priority="68" operator="equal">
      <formula>0</formula>
    </cfRule>
  </conditionalFormatting>
  <conditionalFormatting sqref="N2:AD652 E2:E652 H2:L652">
    <cfRule type="containsBlanks" dxfId="110" priority="67">
      <formula>LEN(TRIM(E2))=0</formula>
    </cfRule>
  </conditionalFormatting>
  <conditionalFormatting sqref="AC3:AC652">
    <cfRule type="expression" dxfId="109" priority="59" stopIfTrue="1">
      <formula>AND( AC3&lt;&gt;"", VALUE(LEFT(AC3,FIND("/",AC3)-1)) &gt;= VALUE(MID(AC3,FIND("/",AC3)+1,999)) )</formula>
    </cfRule>
    <cfRule type="expression" dxfId="108" priority="62" stopIfTrue="1">
      <formula>AND(   AC3&lt;&gt;"",   --_xlfn.TEXTBEFORE(AC3,"/") &lt; 0.4 * --_xlfn.TEXTAFTER(AC3,"/") )</formula>
    </cfRule>
    <cfRule type="expression" dxfId="107" priority="64" stopIfTrue="1">
      <formula>IF(AC3&lt;&gt;"","TRUE","FALSE")</formula>
    </cfRule>
  </conditionalFormatting>
  <conditionalFormatting sqref="AD3:AD652">
    <cfRule type="expression" dxfId="106" priority="5" stopIfTrue="1">
      <formula>$AK$2 =I3</formula>
    </cfRule>
    <cfRule type="expression" dxfId="105" priority="6" stopIfTrue="1">
      <formula>AND(I3&lt;&gt;"",$AK$2&lt;&gt;I3)</formula>
    </cfRule>
  </conditionalFormatting>
  <dataValidations disablePrompts="1" count="1">
    <dataValidation allowBlank="1" showInputMessage="1" showErrorMessage="1" sqref="O2:Z2 B2:L2" xr:uid="{5B1303CC-ADD4-4D53-B1BF-0DABF6C4F8CA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xr:uid="{2E4151B1-0B4D-4DA4-ACEF-1ED2D7C5ADDE}">
          <x14:formula1>
            <xm:f>'SKU''S'!$A:$A</xm:f>
          </x14:formula1>
          <xm:sqref>AH2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AE9E4-6DD8-4815-8598-E7830ECCCDF1}">
  <dimension ref="B1:W839"/>
  <sheetViews>
    <sheetView tabSelected="1" topLeftCell="B1" workbookViewId="0">
      <pane ySplit="1" topLeftCell="A2" activePane="bottomLeft" state="frozen"/>
      <selection pane="bottomLeft" activeCell="Q1" sqref="Q1:S1"/>
    </sheetView>
  </sheetViews>
  <sheetFormatPr defaultRowHeight="33" customHeight="1" x14ac:dyDescent="0.3"/>
  <cols>
    <col min="1" max="1" width="0" hidden="1" customWidth="1"/>
    <col min="2" max="2" width="13.33203125" style="12" bestFit="1" customWidth="1"/>
    <col min="3" max="3" width="15.109375" style="12" bestFit="1" customWidth="1"/>
    <col min="4" max="5" width="30.6640625" style="12" hidden="1" customWidth="1"/>
    <col min="6" max="6" width="0.109375" style="12" customWidth="1"/>
    <col min="7" max="7" width="34.5546875" style="12" customWidth="1"/>
    <col min="8" max="8" width="16.33203125" style="12" customWidth="1"/>
    <col min="9" max="9" width="13" style="13" customWidth="1"/>
    <col min="10" max="10" width="13.33203125" style="12" customWidth="1"/>
    <col min="11" max="11" width="11.44140625" hidden="1" customWidth="1"/>
    <col min="12" max="13" width="12.44140625" hidden="1" customWidth="1"/>
    <col min="14" max="14" width="25.33203125" style="10" customWidth="1"/>
    <col min="17" max="19" width="11" customWidth="1"/>
  </cols>
  <sheetData>
    <row r="1" spans="2:23" ht="38.4" customHeight="1" thickTop="1" thickBot="1" x14ac:dyDescent="0.4">
      <c r="B1" s="9" t="s">
        <v>3</v>
      </c>
      <c r="C1" s="9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11</v>
      </c>
      <c r="K1" s="9" t="s">
        <v>12</v>
      </c>
      <c r="L1" s="9" t="s">
        <v>13</v>
      </c>
      <c r="M1" s="9" t="s">
        <v>14</v>
      </c>
      <c r="N1" s="9" t="s">
        <v>15</v>
      </c>
      <c r="Q1" s="47" t="s">
        <v>36</v>
      </c>
      <c r="R1" s="48"/>
      <c r="S1" s="49"/>
      <c r="T1" s="50"/>
      <c r="U1" s="48"/>
      <c r="V1" s="48"/>
      <c r="W1" s="49"/>
    </row>
    <row r="2" spans="2:23" ht="33" customHeight="1" thickTop="1" x14ac:dyDescent="0.3">
      <c r="B2" s="14" t="s">
        <v>410</v>
      </c>
      <c r="C2" s="14" t="s">
        <v>411</v>
      </c>
      <c r="D2" s="14">
        <v>0</v>
      </c>
      <c r="E2" s="14" t="s">
        <v>412</v>
      </c>
      <c r="F2" s="14">
        <v>0</v>
      </c>
      <c r="G2" s="14" t="s">
        <v>384</v>
      </c>
      <c r="H2" s="14" t="str">
        <f>IFERROR(_xlfn.TEXTBEFORE(G2,"-",2),G2)</f>
        <v>SELENIU-60</v>
      </c>
      <c r="I2" s="15" t="str">
        <f>IFERROR(_xlfn.TEXTAFTER(G2,"-",-1),"")</f>
        <v>FD</v>
      </c>
      <c r="J2" s="14">
        <v>200</v>
      </c>
      <c r="K2" t="s">
        <v>413</v>
      </c>
      <c r="L2">
        <v>0</v>
      </c>
      <c r="M2">
        <v>200</v>
      </c>
      <c r="N2" s="10" t="s">
        <v>414</v>
      </c>
    </row>
    <row r="3" spans="2:23" ht="33" customHeight="1" x14ac:dyDescent="0.3"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f t="shared" ref="H3:H66" si="0">IFERROR(_xlfn.TEXTBEFORE(G3,"-",2),G3)</f>
        <v>0</v>
      </c>
      <c r="I3" s="15" t="str">
        <f t="shared" ref="I3:I66" si="1">IFERROR(_xlfn.TEXTAFTER(G3,"-",-1),"")</f>
        <v/>
      </c>
      <c r="J3" s="14">
        <v>0</v>
      </c>
      <c r="K3">
        <v>0</v>
      </c>
      <c r="L3">
        <v>0</v>
      </c>
      <c r="M3">
        <v>0</v>
      </c>
      <c r="N3" s="10">
        <v>0</v>
      </c>
    </row>
    <row r="4" spans="2:23" ht="33" customHeight="1" x14ac:dyDescent="0.3">
      <c r="B4" s="14" t="s">
        <v>410</v>
      </c>
      <c r="C4" s="14" t="s">
        <v>416</v>
      </c>
      <c r="D4" s="14">
        <v>0</v>
      </c>
      <c r="E4" s="14" t="s">
        <v>417</v>
      </c>
      <c r="F4" s="14">
        <v>0</v>
      </c>
      <c r="G4" s="14" t="s">
        <v>388</v>
      </c>
      <c r="H4" s="14" t="str">
        <f t="shared" si="0"/>
        <v>VIACAL-60</v>
      </c>
      <c r="I4" s="15" t="str">
        <f t="shared" si="1"/>
        <v>FD</v>
      </c>
      <c r="J4" s="14">
        <v>200</v>
      </c>
      <c r="K4" t="s">
        <v>418</v>
      </c>
      <c r="L4">
        <v>200</v>
      </c>
      <c r="M4">
        <v>0</v>
      </c>
      <c r="N4" s="10" t="s">
        <v>414</v>
      </c>
    </row>
    <row r="5" spans="2:23" ht="33" customHeight="1" x14ac:dyDescent="0.3"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f t="shared" si="0"/>
        <v>0</v>
      </c>
      <c r="I5" s="15" t="str">
        <f t="shared" si="1"/>
        <v/>
      </c>
      <c r="J5" s="14">
        <v>0</v>
      </c>
      <c r="K5">
        <v>0</v>
      </c>
      <c r="L5">
        <v>0</v>
      </c>
      <c r="M5">
        <v>0</v>
      </c>
      <c r="N5" s="10">
        <v>0</v>
      </c>
    </row>
    <row r="6" spans="2:23" ht="33" customHeight="1" x14ac:dyDescent="0.3">
      <c r="B6" s="14" t="s">
        <v>419</v>
      </c>
      <c r="C6" s="14" t="s">
        <v>420</v>
      </c>
      <c r="D6" s="14" t="s">
        <v>421</v>
      </c>
      <c r="E6" s="14" t="s">
        <v>422</v>
      </c>
      <c r="F6" s="14" t="s">
        <v>423</v>
      </c>
      <c r="G6" s="14" t="s">
        <v>355</v>
      </c>
      <c r="H6" s="14" t="str">
        <f t="shared" si="0"/>
        <v>NERUFLX-60</v>
      </c>
      <c r="I6" s="15" t="str">
        <f t="shared" si="1"/>
        <v>FD</v>
      </c>
      <c r="J6" s="14">
        <v>1054</v>
      </c>
      <c r="K6" t="s">
        <v>424</v>
      </c>
      <c r="L6">
        <v>1054</v>
      </c>
      <c r="M6">
        <v>0</v>
      </c>
      <c r="N6" s="10" t="s">
        <v>414</v>
      </c>
    </row>
    <row r="7" spans="2:23" ht="33" customHeight="1" x14ac:dyDescent="0.3"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f t="shared" si="0"/>
        <v>0</v>
      </c>
      <c r="I7" s="15" t="str">
        <f t="shared" si="1"/>
        <v/>
      </c>
      <c r="J7" s="14">
        <v>0</v>
      </c>
      <c r="K7">
        <v>0</v>
      </c>
      <c r="L7">
        <v>0</v>
      </c>
      <c r="M7">
        <v>0</v>
      </c>
      <c r="N7" s="10">
        <v>0</v>
      </c>
    </row>
    <row r="8" spans="2:23" ht="33" customHeight="1" x14ac:dyDescent="0.3">
      <c r="B8" s="14" t="s">
        <v>425</v>
      </c>
      <c r="C8" s="14" t="s">
        <v>426</v>
      </c>
      <c r="D8" s="14" t="s">
        <v>427</v>
      </c>
      <c r="E8" s="14" t="s">
        <v>428</v>
      </c>
      <c r="F8" s="14" t="s">
        <v>429</v>
      </c>
      <c r="G8" s="14" t="s">
        <v>270</v>
      </c>
      <c r="H8" s="14" t="str">
        <f t="shared" si="0"/>
        <v>EYECAP-30</v>
      </c>
      <c r="I8" s="15" t="str">
        <f t="shared" si="1"/>
        <v>FD</v>
      </c>
      <c r="J8" s="14">
        <v>500</v>
      </c>
      <c r="K8" t="s">
        <v>430</v>
      </c>
      <c r="L8">
        <v>0</v>
      </c>
      <c r="M8">
        <v>500</v>
      </c>
      <c r="N8" s="10" t="s">
        <v>431</v>
      </c>
    </row>
    <row r="9" spans="2:23" ht="33" customHeight="1" x14ac:dyDescent="0.3"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f t="shared" si="0"/>
        <v>0</v>
      </c>
      <c r="I9" s="15" t="str">
        <f t="shared" si="1"/>
        <v/>
      </c>
      <c r="J9" s="14">
        <v>0</v>
      </c>
      <c r="K9">
        <v>0</v>
      </c>
      <c r="L9">
        <v>0</v>
      </c>
      <c r="M9">
        <v>0</v>
      </c>
      <c r="N9" s="10">
        <v>0</v>
      </c>
    </row>
    <row r="10" spans="2:23" ht="33" customHeight="1" x14ac:dyDescent="0.3">
      <c r="B10" s="14" t="s">
        <v>432</v>
      </c>
      <c r="C10" s="14" t="s">
        <v>433</v>
      </c>
      <c r="D10" s="14">
        <v>0</v>
      </c>
      <c r="E10" s="14" t="s">
        <v>434</v>
      </c>
      <c r="F10" s="14">
        <v>0</v>
      </c>
      <c r="G10" s="14" t="s">
        <v>220</v>
      </c>
      <c r="H10" s="14" t="str">
        <f t="shared" si="0"/>
        <v>SPERMCT-60</v>
      </c>
      <c r="I10" s="15" t="str">
        <f t="shared" si="1"/>
        <v>FD</v>
      </c>
      <c r="J10" s="14">
        <v>96</v>
      </c>
      <c r="K10" t="s">
        <v>435</v>
      </c>
      <c r="L10">
        <v>96</v>
      </c>
      <c r="M10">
        <v>0</v>
      </c>
      <c r="N10" s="10" t="s">
        <v>436</v>
      </c>
    </row>
    <row r="11" spans="2:23" ht="33" customHeight="1" x14ac:dyDescent="0.3">
      <c r="B11" s="14" t="s">
        <v>432</v>
      </c>
      <c r="C11" s="14" t="s">
        <v>433</v>
      </c>
      <c r="D11" s="14">
        <v>0</v>
      </c>
      <c r="E11" s="14">
        <v>0</v>
      </c>
      <c r="F11" s="14" t="s">
        <v>437</v>
      </c>
      <c r="G11" s="14" t="s">
        <v>39</v>
      </c>
      <c r="H11" s="14" t="str">
        <f t="shared" si="0"/>
        <v>WFSPLS-180</v>
      </c>
      <c r="I11" s="15" t="str">
        <f t="shared" si="1"/>
        <v>FD</v>
      </c>
      <c r="J11" s="14">
        <v>120</v>
      </c>
      <c r="K11" t="s">
        <v>438</v>
      </c>
      <c r="L11">
        <v>120</v>
      </c>
      <c r="M11">
        <v>0</v>
      </c>
      <c r="N11" s="10" t="s">
        <v>439</v>
      </c>
    </row>
    <row r="12" spans="2:23" ht="33" customHeight="1" x14ac:dyDescent="0.3">
      <c r="B12" s="14" t="s">
        <v>432</v>
      </c>
      <c r="C12" s="14" t="s">
        <v>433</v>
      </c>
      <c r="D12" s="14">
        <v>0</v>
      </c>
      <c r="E12" s="14">
        <v>0</v>
      </c>
      <c r="F12" s="14" t="s">
        <v>440</v>
      </c>
      <c r="G12" s="14" t="s">
        <v>42</v>
      </c>
      <c r="H12" s="14" t="str">
        <f t="shared" si="0"/>
        <v>FERTMX-90</v>
      </c>
      <c r="I12" s="15" t="str">
        <f t="shared" si="1"/>
        <v>RE</v>
      </c>
      <c r="J12" s="14">
        <v>288</v>
      </c>
      <c r="K12" t="s">
        <v>441</v>
      </c>
      <c r="L12">
        <v>0</v>
      </c>
      <c r="M12">
        <v>288</v>
      </c>
      <c r="N12" s="10" t="s">
        <v>442</v>
      </c>
    </row>
    <row r="13" spans="2:23" ht="33" customHeight="1" x14ac:dyDescent="0.3">
      <c r="B13" s="14" t="s">
        <v>432</v>
      </c>
      <c r="C13" s="14" t="s">
        <v>433</v>
      </c>
      <c r="D13" s="14">
        <v>0</v>
      </c>
      <c r="E13" s="14">
        <v>0</v>
      </c>
      <c r="F13" s="14">
        <v>0</v>
      </c>
      <c r="G13" s="14" t="s">
        <v>196</v>
      </c>
      <c r="H13" s="14" t="str">
        <f t="shared" si="0"/>
        <v>PRECON-90</v>
      </c>
      <c r="I13" s="15" t="str">
        <f t="shared" si="1"/>
        <v>FD</v>
      </c>
      <c r="J13" s="14">
        <v>120</v>
      </c>
      <c r="K13" t="s">
        <v>443</v>
      </c>
      <c r="L13">
        <v>120</v>
      </c>
      <c r="M13">
        <v>0</v>
      </c>
      <c r="N13" s="10" t="s">
        <v>436</v>
      </c>
    </row>
    <row r="14" spans="2:23" ht="33" customHeight="1" x14ac:dyDescent="0.3">
      <c r="B14" s="14" t="s">
        <v>432</v>
      </c>
      <c r="C14" s="14" t="s">
        <v>433</v>
      </c>
      <c r="D14" s="14">
        <v>0</v>
      </c>
      <c r="E14" s="14">
        <v>0</v>
      </c>
      <c r="F14" s="14">
        <v>0</v>
      </c>
      <c r="G14" s="14" t="s">
        <v>373</v>
      </c>
      <c r="H14" s="14" t="str">
        <f t="shared" si="0"/>
        <v>QWELL4-30</v>
      </c>
      <c r="I14" s="15" t="str">
        <f t="shared" si="1"/>
        <v>FD</v>
      </c>
      <c r="J14" s="14">
        <v>96</v>
      </c>
      <c r="K14" t="s">
        <v>444</v>
      </c>
      <c r="L14">
        <v>96</v>
      </c>
      <c r="M14">
        <v>0</v>
      </c>
      <c r="N14" s="10" t="s">
        <v>436</v>
      </c>
    </row>
    <row r="15" spans="2:23" ht="33" customHeight="1" x14ac:dyDescent="0.3">
      <c r="B15" s="14" t="s">
        <v>432</v>
      </c>
      <c r="C15" s="14" t="s">
        <v>433</v>
      </c>
      <c r="D15" s="14">
        <v>0</v>
      </c>
      <c r="E15" s="14">
        <v>0</v>
      </c>
      <c r="F15" s="14">
        <v>0</v>
      </c>
      <c r="G15" s="14" t="s">
        <v>207</v>
      </c>
      <c r="H15" s="14" t="str">
        <f t="shared" si="0"/>
        <v>PROSTA-90</v>
      </c>
      <c r="I15" s="15" t="str">
        <f t="shared" si="1"/>
        <v>FD</v>
      </c>
      <c r="J15" s="14">
        <v>24</v>
      </c>
      <c r="K15" t="s">
        <v>445</v>
      </c>
      <c r="L15">
        <v>24</v>
      </c>
      <c r="M15">
        <v>0</v>
      </c>
      <c r="N15" s="10" t="s">
        <v>436</v>
      </c>
    </row>
    <row r="16" spans="2:23" ht="33" customHeight="1" x14ac:dyDescent="0.3">
      <c r="B16" s="14" t="s">
        <v>432</v>
      </c>
      <c r="C16" s="14" t="s">
        <v>433</v>
      </c>
      <c r="D16" s="14">
        <v>0</v>
      </c>
      <c r="E16" s="14">
        <v>0</v>
      </c>
      <c r="F16" s="14" t="s">
        <v>446</v>
      </c>
      <c r="G16" s="14" t="s">
        <v>144</v>
      </c>
      <c r="H16" s="14" t="str">
        <f t="shared" si="0"/>
        <v>OVAMAX-120</v>
      </c>
      <c r="I16" s="15" t="str">
        <f t="shared" si="1"/>
        <v>FD</v>
      </c>
      <c r="J16" s="14">
        <v>192</v>
      </c>
      <c r="K16" t="s">
        <v>447</v>
      </c>
      <c r="L16">
        <v>0</v>
      </c>
      <c r="M16">
        <v>192</v>
      </c>
      <c r="N16" s="10" t="s">
        <v>448</v>
      </c>
    </row>
    <row r="17" spans="2:14" ht="33" customHeight="1" x14ac:dyDescent="0.3">
      <c r="B17" s="14" t="s">
        <v>432</v>
      </c>
      <c r="C17" s="14" t="s">
        <v>433</v>
      </c>
      <c r="D17" s="14">
        <v>0</v>
      </c>
      <c r="E17" s="14">
        <v>0</v>
      </c>
      <c r="F17" s="14">
        <v>0</v>
      </c>
      <c r="G17" s="14" t="s">
        <v>39</v>
      </c>
      <c r="H17" s="14" t="str">
        <f t="shared" si="0"/>
        <v>WFSPLS-180</v>
      </c>
      <c r="I17" s="15" t="str">
        <f t="shared" si="1"/>
        <v>FD</v>
      </c>
      <c r="J17" s="14">
        <v>48</v>
      </c>
      <c r="K17" t="s">
        <v>438</v>
      </c>
      <c r="L17">
        <v>0</v>
      </c>
      <c r="M17">
        <v>48</v>
      </c>
      <c r="N17" s="10" t="s">
        <v>436</v>
      </c>
    </row>
    <row r="18" spans="2:14" ht="33" customHeight="1" x14ac:dyDescent="0.3">
      <c r="B18" s="14" t="s">
        <v>432</v>
      </c>
      <c r="C18" s="14" t="s">
        <v>433</v>
      </c>
      <c r="D18" s="14">
        <v>0</v>
      </c>
      <c r="E18" s="14">
        <v>0</v>
      </c>
      <c r="F18" s="14">
        <v>0</v>
      </c>
      <c r="G18" s="14" t="s">
        <v>42</v>
      </c>
      <c r="H18" s="14" t="str">
        <f t="shared" si="0"/>
        <v>FERTMX-90</v>
      </c>
      <c r="I18" s="15" t="str">
        <f t="shared" si="1"/>
        <v>RE</v>
      </c>
      <c r="J18" s="14">
        <v>40</v>
      </c>
      <c r="K18" t="s">
        <v>441</v>
      </c>
      <c r="L18">
        <v>40</v>
      </c>
      <c r="M18">
        <v>0</v>
      </c>
      <c r="N18" s="10" t="s">
        <v>436</v>
      </c>
    </row>
    <row r="19" spans="2:14" ht="33" customHeight="1" x14ac:dyDescent="0.3">
      <c r="B19" s="14" t="s">
        <v>432</v>
      </c>
      <c r="C19" s="14" t="s">
        <v>433</v>
      </c>
      <c r="D19" s="14">
        <v>0</v>
      </c>
      <c r="E19" s="14">
        <v>0</v>
      </c>
      <c r="F19" s="14" t="s">
        <v>449</v>
      </c>
      <c r="G19" s="14" t="s">
        <v>42</v>
      </c>
      <c r="H19" s="14" t="str">
        <f t="shared" si="0"/>
        <v>FERTMX-90</v>
      </c>
      <c r="I19" s="15" t="str">
        <f t="shared" si="1"/>
        <v>RE</v>
      </c>
      <c r="J19" s="14">
        <v>200</v>
      </c>
      <c r="K19" t="s">
        <v>441</v>
      </c>
      <c r="L19">
        <v>0</v>
      </c>
      <c r="M19">
        <v>200</v>
      </c>
      <c r="N19" s="10" t="s">
        <v>442</v>
      </c>
    </row>
    <row r="20" spans="2:14" ht="33" customHeight="1" x14ac:dyDescent="0.3">
      <c r="B20" s="14" t="s">
        <v>432</v>
      </c>
      <c r="C20" s="14" t="s">
        <v>433</v>
      </c>
      <c r="D20" s="14" t="s">
        <v>450</v>
      </c>
      <c r="E20" s="14">
        <v>0</v>
      </c>
      <c r="F20" s="14">
        <v>0</v>
      </c>
      <c r="G20" s="14" t="s">
        <v>161</v>
      </c>
      <c r="H20" s="14" t="str">
        <f t="shared" si="0"/>
        <v>PENAMAX-60</v>
      </c>
      <c r="I20" s="15" t="str">
        <f t="shared" si="1"/>
        <v>FD</v>
      </c>
      <c r="J20" s="14">
        <v>96</v>
      </c>
      <c r="K20" t="s">
        <v>451</v>
      </c>
      <c r="L20">
        <v>96</v>
      </c>
      <c r="M20">
        <v>0</v>
      </c>
      <c r="N20" s="10" t="s">
        <v>436</v>
      </c>
    </row>
    <row r="21" spans="2:14" ht="33" customHeight="1" x14ac:dyDescent="0.3">
      <c r="B21" s="14" t="s">
        <v>432</v>
      </c>
      <c r="C21" s="14" t="s">
        <v>433</v>
      </c>
      <c r="D21" s="14">
        <v>0</v>
      </c>
      <c r="E21" s="14">
        <v>0</v>
      </c>
      <c r="F21" s="14" t="s">
        <v>452</v>
      </c>
      <c r="G21" s="14" t="s">
        <v>34</v>
      </c>
      <c r="H21" s="14" t="str">
        <f t="shared" si="0"/>
        <v>DHEA50-60</v>
      </c>
      <c r="I21" s="15" t="str">
        <f t="shared" si="1"/>
        <v>FD</v>
      </c>
      <c r="J21" s="14">
        <v>72</v>
      </c>
      <c r="K21" t="s">
        <v>453</v>
      </c>
      <c r="L21">
        <v>0</v>
      </c>
      <c r="M21">
        <v>72</v>
      </c>
      <c r="N21" s="10" t="s">
        <v>448</v>
      </c>
    </row>
    <row r="22" spans="2:14" ht="33" customHeight="1" x14ac:dyDescent="0.3">
      <c r="B22" s="14" t="s">
        <v>432</v>
      </c>
      <c r="C22" s="14" t="s">
        <v>433</v>
      </c>
      <c r="D22" s="14">
        <v>0</v>
      </c>
      <c r="E22" s="14">
        <v>0</v>
      </c>
      <c r="F22" s="14" t="s">
        <v>454</v>
      </c>
      <c r="G22" s="14" t="s">
        <v>373</v>
      </c>
      <c r="H22" s="14" t="str">
        <f t="shared" si="0"/>
        <v>QWELL4-30</v>
      </c>
      <c r="I22" s="15" t="str">
        <f t="shared" si="1"/>
        <v>FD</v>
      </c>
      <c r="J22" s="14">
        <v>48</v>
      </c>
      <c r="K22" t="s">
        <v>444</v>
      </c>
      <c r="L22">
        <v>48</v>
      </c>
      <c r="M22">
        <v>0</v>
      </c>
      <c r="N22" s="10" t="s">
        <v>436</v>
      </c>
    </row>
    <row r="23" spans="2:14" ht="33" customHeight="1" x14ac:dyDescent="0.3">
      <c r="B23" s="14" t="s">
        <v>432</v>
      </c>
      <c r="C23" s="14" t="s">
        <v>433</v>
      </c>
      <c r="D23" s="14">
        <v>0</v>
      </c>
      <c r="E23" s="14">
        <v>0</v>
      </c>
      <c r="F23" s="14">
        <v>0</v>
      </c>
      <c r="G23" s="14" t="s">
        <v>186</v>
      </c>
      <c r="H23" s="14" t="str">
        <f t="shared" si="0"/>
        <v>PRECON-180</v>
      </c>
      <c r="I23" s="15" t="str">
        <f t="shared" si="1"/>
        <v>FD</v>
      </c>
      <c r="J23" s="14">
        <v>50</v>
      </c>
      <c r="K23" t="s">
        <v>455</v>
      </c>
      <c r="L23">
        <v>0</v>
      </c>
      <c r="M23">
        <v>50</v>
      </c>
      <c r="N23" s="10" t="s">
        <v>448</v>
      </c>
    </row>
    <row r="24" spans="2:14" ht="33" customHeight="1" x14ac:dyDescent="0.3"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f t="shared" si="0"/>
        <v>0</v>
      </c>
      <c r="I24" s="15" t="str">
        <f t="shared" si="1"/>
        <v/>
      </c>
      <c r="J24" s="14">
        <v>0</v>
      </c>
      <c r="K24">
        <v>0</v>
      </c>
      <c r="L24">
        <v>0</v>
      </c>
      <c r="M24">
        <v>0</v>
      </c>
      <c r="N24" s="10">
        <v>0</v>
      </c>
    </row>
    <row r="25" spans="2:14" ht="33" customHeight="1" x14ac:dyDescent="0.3">
      <c r="B25" s="14" t="s">
        <v>456</v>
      </c>
      <c r="C25" s="14" t="s">
        <v>457</v>
      </c>
      <c r="D25" s="14" t="s">
        <v>458</v>
      </c>
      <c r="E25" s="14" t="s">
        <v>459</v>
      </c>
      <c r="F25" s="14">
        <v>0</v>
      </c>
      <c r="G25" s="14" t="s">
        <v>125</v>
      </c>
      <c r="H25" s="14" t="str">
        <f t="shared" si="0"/>
        <v>MOTILMX-60</v>
      </c>
      <c r="I25" s="15" t="str">
        <f t="shared" si="1"/>
        <v>FD</v>
      </c>
      <c r="J25" s="14">
        <v>1</v>
      </c>
      <c r="K25" t="s">
        <v>460</v>
      </c>
      <c r="L25">
        <v>1</v>
      </c>
      <c r="M25">
        <v>0</v>
      </c>
      <c r="N25" s="10" t="s">
        <v>414</v>
      </c>
    </row>
    <row r="26" spans="2:14" ht="33" customHeight="1" x14ac:dyDescent="0.3">
      <c r="B26" s="14" t="s">
        <v>456</v>
      </c>
      <c r="C26" s="14" t="s">
        <v>457</v>
      </c>
      <c r="D26" s="14">
        <v>0</v>
      </c>
      <c r="E26" s="14">
        <v>0</v>
      </c>
      <c r="F26" s="14">
        <v>0</v>
      </c>
      <c r="G26" s="14" t="s">
        <v>107</v>
      </c>
      <c r="H26" s="14" t="str">
        <f t="shared" si="0"/>
        <v>MFSPLS-60</v>
      </c>
      <c r="I26" s="15" t="str">
        <f t="shared" si="1"/>
        <v>FD</v>
      </c>
      <c r="J26" s="14">
        <v>1</v>
      </c>
      <c r="K26" t="s">
        <v>461</v>
      </c>
      <c r="L26">
        <v>1</v>
      </c>
      <c r="M26">
        <v>0</v>
      </c>
      <c r="N26" s="10" t="s">
        <v>414</v>
      </c>
    </row>
    <row r="27" spans="2:14" ht="33" customHeight="1" x14ac:dyDescent="0.3">
      <c r="B27" s="14" t="s">
        <v>456</v>
      </c>
      <c r="C27" s="14" t="s">
        <v>457</v>
      </c>
      <c r="D27" s="14">
        <v>0</v>
      </c>
      <c r="E27" s="14">
        <v>0</v>
      </c>
      <c r="F27" s="14">
        <v>0</v>
      </c>
      <c r="G27" s="14" t="s">
        <v>406</v>
      </c>
      <c r="H27" s="14" t="str">
        <f t="shared" si="0"/>
        <v>MFSPLS-120</v>
      </c>
      <c r="I27" s="15" t="str">
        <f t="shared" si="1"/>
        <v>FD</v>
      </c>
      <c r="J27" s="14">
        <v>1</v>
      </c>
      <c r="K27" t="s">
        <v>462</v>
      </c>
      <c r="L27">
        <v>1</v>
      </c>
      <c r="M27">
        <v>0</v>
      </c>
      <c r="N27" s="10" t="s">
        <v>414</v>
      </c>
    </row>
    <row r="28" spans="2:14" ht="33" customHeight="1" x14ac:dyDescent="0.3">
      <c r="B28" s="14" t="s">
        <v>456</v>
      </c>
      <c r="C28" s="14" t="s">
        <v>457</v>
      </c>
      <c r="D28" s="14">
        <v>0</v>
      </c>
      <c r="E28" s="14">
        <v>0</v>
      </c>
      <c r="F28" s="14">
        <v>0</v>
      </c>
      <c r="G28" s="14" t="s">
        <v>178</v>
      </c>
      <c r="H28" s="14" t="str">
        <f t="shared" si="0"/>
        <v>POLYSIT-90</v>
      </c>
      <c r="I28" s="15" t="str">
        <f t="shared" si="1"/>
        <v>FD</v>
      </c>
      <c r="J28" s="14">
        <v>1</v>
      </c>
      <c r="K28" t="s">
        <v>463</v>
      </c>
      <c r="L28">
        <v>1</v>
      </c>
      <c r="M28">
        <v>0</v>
      </c>
      <c r="N28" s="10" t="s">
        <v>414</v>
      </c>
    </row>
    <row r="29" spans="2:14" ht="33" customHeight="1" x14ac:dyDescent="0.3">
      <c r="B29" s="14" t="s">
        <v>456</v>
      </c>
      <c r="C29" s="14" t="s">
        <v>457</v>
      </c>
      <c r="D29" s="14">
        <v>0</v>
      </c>
      <c r="E29" s="14">
        <v>0</v>
      </c>
      <c r="F29" s="14">
        <v>0</v>
      </c>
      <c r="G29" s="14" t="s">
        <v>161</v>
      </c>
      <c r="H29" s="14" t="str">
        <f t="shared" si="0"/>
        <v>PENAMAX-60</v>
      </c>
      <c r="I29" s="15" t="str">
        <f t="shared" si="1"/>
        <v>FD</v>
      </c>
      <c r="J29" s="14">
        <v>1</v>
      </c>
      <c r="K29" t="s">
        <v>451</v>
      </c>
      <c r="L29">
        <v>1</v>
      </c>
      <c r="M29">
        <v>0</v>
      </c>
      <c r="N29" s="10" t="s">
        <v>414</v>
      </c>
    </row>
    <row r="30" spans="2:14" ht="33" customHeight="1" x14ac:dyDescent="0.3">
      <c r="B30" s="14" t="s">
        <v>456</v>
      </c>
      <c r="C30" s="14" t="s">
        <v>457</v>
      </c>
      <c r="D30" s="14">
        <v>0</v>
      </c>
      <c r="E30" s="14">
        <v>0</v>
      </c>
      <c r="F30" s="14">
        <v>0</v>
      </c>
      <c r="G30" s="14" t="s">
        <v>42</v>
      </c>
      <c r="H30" s="14" t="str">
        <f t="shared" si="0"/>
        <v>FERTMX-90</v>
      </c>
      <c r="I30" s="15" t="str">
        <f t="shared" si="1"/>
        <v>RE</v>
      </c>
      <c r="J30" s="14">
        <v>1</v>
      </c>
      <c r="K30" t="s">
        <v>441</v>
      </c>
      <c r="L30">
        <v>1</v>
      </c>
      <c r="M30">
        <v>0</v>
      </c>
      <c r="N30" s="10" t="s">
        <v>414</v>
      </c>
    </row>
    <row r="31" spans="2:14" ht="33" customHeight="1" x14ac:dyDescent="0.3">
      <c r="B31" s="14" t="s">
        <v>456</v>
      </c>
      <c r="C31" s="14" t="s">
        <v>457</v>
      </c>
      <c r="D31" s="14">
        <v>0</v>
      </c>
      <c r="E31" s="14">
        <v>0</v>
      </c>
      <c r="F31" s="14">
        <v>0</v>
      </c>
      <c r="G31" s="14" t="s">
        <v>144</v>
      </c>
      <c r="H31" s="14" t="str">
        <f t="shared" si="0"/>
        <v>OVAMAX-120</v>
      </c>
      <c r="I31" s="15" t="str">
        <f t="shared" si="1"/>
        <v>FD</v>
      </c>
      <c r="J31" s="14">
        <v>1</v>
      </c>
      <c r="K31" t="s">
        <v>447</v>
      </c>
      <c r="L31">
        <v>1</v>
      </c>
      <c r="M31">
        <v>0</v>
      </c>
      <c r="N31" s="10" t="s">
        <v>414</v>
      </c>
    </row>
    <row r="32" spans="2:14" ht="33" customHeight="1" x14ac:dyDescent="0.3">
      <c r="B32" s="14" t="s">
        <v>456</v>
      </c>
      <c r="C32" s="14" t="s">
        <v>457</v>
      </c>
      <c r="D32" s="14">
        <v>0</v>
      </c>
      <c r="E32" s="14">
        <v>0</v>
      </c>
      <c r="F32" s="14" t="s">
        <v>464</v>
      </c>
      <c r="G32" s="14" t="s">
        <v>290</v>
      </c>
      <c r="H32" s="14" t="str">
        <f t="shared" si="0"/>
        <v>NMNH-60</v>
      </c>
      <c r="I32" s="15" t="str">
        <f t="shared" si="1"/>
        <v>FD</v>
      </c>
      <c r="J32" s="14">
        <v>3</v>
      </c>
      <c r="K32" t="s">
        <v>465</v>
      </c>
      <c r="L32">
        <v>3</v>
      </c>
      <c r="M32">
        <v>0</v>
      </c>
      <c r="N32" s="10" t="s">
        <v>414</v>
      </c>
    </row>
    <row r="33" spans="2:14" ht="33" customHeight="1" x14ac:dyDescent="0.3"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f t="shared" si="0"/>
        <v>0</v>
      </c>
      <c r="I33" s="15" t="str">
        <f t="shared" si="1"/>
        <v/>
      </c>
      <c r="J33" s="14">
        <v>0</v>
      </c>
      <c r="K33">
        <v>0</v>
      </c>
      <c r="L33">
        <v>0</v>
      </c>
      <c r="M33">
        <v>0</v>
      </c>
      <c r="N33" s="10">
        <v>0</v>
      </c>
    </row>
    <row r="34" spans="2:14" ht="33" customHeight="1" x14ac:dyDescent="0.3">
      <c r="B34" s="14" t="s">
        <v>410</v>
      </c>
      <c r="C34" s="14" t="s">
        <v>466</v>
      </c>
      <c r="D34" s="14">
        <v>0</v>
      </c>
      <c r="E34" s="14" t="s">
        <v>467</v>
      </c>
      <c r="F34" s="14" t="s">
        <v>468</v>
      </c>
      <c r="G34" s="14" t="s">
        <v>143</v>
      </c>
      <c r="H34" s="14" t="str">
        <f t="shared" si="0"/>
        <v>OVAMAXPLUS-120</v>
      </c>
      <c r="I34" s="15" t="str">
        <f t="shared" si="1"/>
        <v>CN</v>
      </c>
      <c r="J34" s="14">
        <v>1100</v>
      </c>
      <c r="K34" t="s">
        <v>469</v>
      </c>
      <c r="L34">
        <v>1100</v>
      </c>
      <c r="M34">
        <v>0</v>
      </c>
      <c r="N34" s="10" t="s">
        <v>414</v>
      </c>
    </row>
    <row r="35" spans="2:14" ht="33" customHeight="1" x14ac:dyDescent="0.3"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f t="shared" si="0"/>
        <v>0</v>
      </c>
      <c r="I35" s="15" t="str">
        <f t="shared" si="1"/>
        <v/>
      </c>
      <c r="J35" s="14">
        <v>0</v>
      </c>
      <c r="K35">
        <v>0</v>
      </c>
      <c r="L35">
        <v>0</v>
      </c>
      <c r="M35">
        <v>0</v>
      </c>
      <c r="N35" s="10">
        <v>0</v>
      </c>
    </row>
    <row r="36" spans="2:14" ht="33" customHeight="1" x14ac:dyDescent="0.3">
      <c r="B36" s="14" t="s">
        <v>470</v>
      </c>
      <c r="C36" s="14" t="s">
        <v>471</v>
      </c>
      <c r="D36" s="14" t="s">
        <v>472</v>
      </c>
      <c r="E36" s="14" t="s">
        <v>473</v>
      </c>
      <c r="F36" s="14">
        <v>0</v>
      </c>
      <c r="G36" s="14" t="s">
        <v>474</v>
      </c>
      <c r="H36" s="14" t="str">
        <f t="shared" si="0"/>
        <v>FIBRO-10</v>
      </c>
      <c r="I36" s="15" t="str">
        <f t="shared" si="1"/>
        <v xml:space="preserve">JO  </v>
      </c>
      <c r="J36" s="14">
        <v>420</v>
      </c>
      <c r="K36" t="s">
        <v>475</v>
      </c>
      <c r="L36">
        <v>0</v>
      </c>
      <c r="M36">
        <v>420</v>
      </c>
      <c r="N36" s="10" t="s">
        <v>476</v>
      </c>
    </row>
    <row r="37" spans="2:14" ht="33" customHeight="1" x14ac:dyDescent="0.3">
      <c r="B37" s="14" t="s">
        <v>470</v>
      </c>
      <c r="C37" s="14" t="s">
        <v>471</v>
      </c>
      <c r="D37" s="14">
        <v>0</v>
      </c>
      <c r="E37" s="14">
        <v>0</v>
      </c>
      <c r="F37" s="14">
        <v>0</v>
      </c>
      <c r="G37" s="14" t="s">
        <v>477</v>
      </c>
      <c r="H37" s="14" t="str">
        <f t="shared" si="0"/>
        <v>WFSPLS-30</v>
      </c>
      <c r="I37" s="15" t="str">
        <f t="shared" si="1"/>
        <v>JO</v>
      </c>
      <c r="J37" s="14">
        <v>345</v>
      </c>
      <c r="K37" t="s">
        <v>478</v>
      </c>
      <c r="L37">
        <v>0</v>
      </c>
      <c r="M37">
        <v>345</v>
      </c>
      <c r="N37" s="10" t="s">
        <v>476</v>
      </c>
    </row>
    <row r="38" spans="2:14" ht="33" customHeight="1" x14ac:dyDescent="0.3">
      <c r="B38" s="14" t="s">
        <v>470</v>
      </c>
      <c r="C38" s="14" t="s">
        <v>471</v>
      </c>
      <c r="D38" s="14">
        <v>0</v>
      </c>
      <c r="E38" s="14">
        <v>0</v>
      </c>
      <c r="F38" s="14">
        <v>0</v>
      </c>
      <c r="G38" s="14" t="s">
        <v>479</v>
      </c>
      <c r="H38" s="14" t="str">
        <f t="shared" si="0"/>
        <v>OVAMAX-20</v>
      </c>
      <c r="I38" s="15" t="str">
        <f t="shared" si="1"/>
        <v>JO</v>
      </c>
      <c r="J38" s="14">
        <v>300</v>
      </c>
      <c r="K38" t="s">
        <v>480</v>
      </c>
      <c r="L38">
        <v>0</v>
      </c>
      <c r="M38">
        <v>300</v>
      </c>
      <c r="N38" s="10" t="s">
        <v>476</v>
      </c>
    </row>
    <row r="39" spans="2:14" ht="33" customHeight="1" x14ac:dyDescent="0.3">
      <c r="B39" s="14" t="s">
        <v>470</v>
      </c>
      <c r="C39" s="14" t="s">
        <v>471</v>
      </c>
      <c r="D39" s="14">
        <v>0</v>
      </c>
      <c r="E39" s="14">
        <v>0</v>
      </c>
      <c r="F39" s="14">
        <v>0</v>
      </c>
      <c r="G39" s="14" t="s">
        <v>481</v>
      </c>
      <c r="H39" s="14" t="str">
        <f t="shared" si="0"/>
        <v>DHEA50-5</v>
      </c>
      <c r="I39" s="15" t="str">
        <f t="shared" si="1"/>
        <v>JO</v>
      </c>
      <c r="J39" s="14">
        <v>300</v>
      </c>
      <c r="K39" t="s">
        <v>482</v>
      </c>
      <c r="L39">
        <v>0</v>
      </c>
      <c r="M39">
        <v>300</v>
      </c>
      <c r="N39" s="10" t="s">
        <v>476</v>
      </c>
    </row>
    <row r="40" spans="2:14" ht="33" customHeight="1" x14ac:dyDescent="0.3"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f t="shared" si="0"/>
        <v>0</v>
      </c>
      <c r="I40" s="15" t="str">
        <f t="shared" si="1"/>
        <v/>
      </c>
      <c r="J40" s="14">
        <v>0</v>
      </c>
      <c r="K40">
        <v>0</v>
      </c>
      <c r="L40">
        <v>0</v>
      </c>
      <c r="M40">
        <v>0</v>
      </c>
      <c r="N40" s="10">
        <v>0</v>
      </c>
    </row>
    <row r="41" spans="2:14" ht="33" customHeight="1" x14ac:dyDescent="0.3">
      <c r="B41" s="14" t="s">
        <v>483</v>
      </c>
      <c r="C41" s="14" t="s">
        <v>484</v>
      </c>
      <c r="D41" s="14" t="s">
        <v>485</v>
      </c>
      <c r="E41" s="14" t="s">
        <v>486</v>
      </c>
      <c r="F41" s="14" t="s">
        <v>487</v>
      </c>
      <c r="G41" s="14" t="s">
        <v>406</v>
      </c>
      <c r="H41" s="14" t="str">
        <f t="shared" si="0"/>
        <v>MFSPLS-120</v>
      </c>
      <c r="I41" s="15" t="str">
        <f t="shared" si="1"/>
        <v>FD</v>
      </c>
      <c r="J41" s="14">
        <v>817</v>
      </c>
      <c r="K41" t="s">
        <v>462</v>
      </c>
      <c r="L41">
        <v>817</v>
      </c>
      <c r="M41">
        <v>0</v>
      </c>
      <c r="N41" s="10" t="s">
        <v>448</v>
      </c>
    </row>
    <row r="42" spans="2:14" ht="33" customHeight="1" x14ac:dyDescent="0.3">
      <c r="B42" s="14" t="s">
        <v>483</v>
      </c>
      <c r="C42" s="14" t="s">
        <v>484</v>
      </c>
      <c r="D42" s="14" t="s">
        <v>488</v>
      </c>
      <c r="E42" s="14">
        <v>0</v>
      </c>
      <c r="F42" s="14" t="s">
        <v>489</v>
      </c>
      <c r="G42" s="14" t="s">
        <v>39</v>
      </c>
      <c r="H42" s="14" t="str">
        <f t="shared" si="0"/>
        <v>WFSPLS-180</v>
      </c>
      <c r="I42" s="15" t="str">
        <f t="shared" si="1"/>
        <v>FD</v>
      </c>
      <c r="J42" s="14">
        <v>77</v>
      </c>
      <c r="K42" t="s">
        <v>438</v>
      </c>
      <c r="L42">
        <v>77</v>
      </c>
      <c r="M42">
        <v>0</v>
      </c>
      <c r="N42" s="10" t="s">
        <v>436</v>
      </c>
    </row>
    <row r="43" spans="2:14" ht="33" customHeight="1" x14ac:dyDescent="0.3">
      <c r="B43" s="14" t="s">
        <v>483</v>
      </c>
      <c r="C43" s="14" t="s">
        <v>484</v>
      </c>
      <c r="D43" s="14" t="s">
        <v>488</v>
      </c>
      <c r="E43" s="14">
        <v>0</v>
      </c>
      <c r="F43" s="14" t="s">
        <v>490</v>
      </c>
      <c r="G43" s="14" t="s">
        <v>144</v>
      </c>
      <c r="H43" s="14" t="str">
        <f t="shared" si="0"/>
        <v>OVAMAX-120</v>
      </c>
      <c r="I43" s="15" t="str">
        <f t="shared" si="1"/>
        <v>FD</v>
      </c>
      <c r="J43" s="14">
        <v>480</v>
      </c>
      <c r="K43" t="s">
        <v>447</v>
      </c>
      <c r="L43">
        <v>0</v>
      </c>
      <c r="M43">
        <v>480</v>
      </c>
      <c r="N43" s="10" t="s">
        <v>436</v>
      </c>
    </row>
    <row r="44" spans="2:14" ht="33" customHeight="1" x14ac:dyDescent="0.3">
      <c r="B44" s="14" t="s">
        <v>483</v>
      </c>
      <c r="C44" s="14" t="s">
        <v>484</v>
      </c>
      <c r="D44" s="14" t="s">
        <v>488</v>
      </c>
      <c r="E44" s="14">
        <v>0</v>
      </c>
      <c r="F44" s="14" t="s">
        <v>491</v>
      </c>
      <c r="G44" s="14" t="s">
        <v>42</v>
      </c>
      <c r="H44" s="14" t="str">
        <f t="shared" si="0"/>
        <v>FERTMX-90</v>
      </c>
      <c r="I44" s="15" t="str">
        <f t="shared" si="1"/>
        <v>RE</v>
      </c>
      <c r="J44" s="14">
        <v>528</v>
      </c>
      <c r="K44" t="s">
        <v>441</v>
      </c>
      <c r="L44">
        <v>528</v>
      </c>
      <c r="M44">
        <v>0</v>
      </c>
      <c r="N44" s="10" t="s">
        <v>442</v>
      </c>
    </row>
    <row r="45" spans="2:14" ht="33" customHeight="1" x14ac:dyDescent="0.3">
      <c r="B45" s="14" t="s">
        <v>483</v>
      </c>
      <c r="C45" s="14" t="s">
        <v>484</v>
      </c>
      <c r="D45" s="14">
        <v>0</v>
      </c>
      <c r="E45" s="14">
        <v>0</v>
      </c>
      <c r="F45" s="14">
        <v>0</v>
      </c>
      <c r="G45" s="14" t="s">
        <v>42</v>
      </c>
      <c r="H45" s="14" t="str">
        <f t="shared" si="0"/>
        <v>FERTMX-90</v>
      </c>
      <c r="I45" s="15" t="str">
        <f t="shared" si="1"/>
        <v>RE</v>
      </c>
      <c r="J45" s="14">
        <v>192</v>
      </c>
      <c r="K45" t="s">
        <v>441</v>
      </c>
      <c r="L45">
        <v>192</v>
      </c>
      <c r="M45">
        <v>0</v>
      </c>
      <c r="N45" s="10" t="s">
        <v>436</v>
      </c>
    </row>
    <row r="46" spans="2:14" ht="33" customHeight="1" x14ac:dyDescent="0.3">
      <c r="B46" s="14" t="s">
        <v>483</v>
      </c>
      <c r="C46" s="14" t="s">
        <v>484</v>
      </c>
      <c r="D46" s="14">
        <v>0</v>
      </c>
      <c r="E46" s="14">
        <v>0</v>
      </c>
      <c r="F46" s="14" t="s">
        <v>492</v>
      </c>
      <c r="G46" s="14" t="s">
        <v>34</v>
      </c>
      <c r="H46" s="14" t="str">
        <f t="shared" si="0"/>
        <v>DHEA50-60</v>
      </c>
      <c r="I46" s="15" t="str">
        <f t="shared" si="1"/>
        <v>FD</v>
      </c>
      <c r="J46" s="14">
        <v>120</v>
      </c>
      <c r="K46" t="s">
        <v>493</v>
      </c>
      <c r="L46">
        <v>120</v>
      </c>
      <c r="M46">
        <v>0</v>
      </c>
      <c r="N46" s="10" t="s">
        <v>448</v>
      </c>
    </row>
    <row r="47" spans="2:14" ht="33" customHeight="1" x14ac:dyDescent="0.3">
      <c r="B47" s="14" t="s">
        <v>483</v>
      </c>
      <c r="C47" s="14" t="s">
        <v>484</v>
      </c>
      <c r="D47" s="14" t="s">
        <v>488</v>
      </c>
      <c r="E47" s="14">
        <v>0</v>
      </c>
      <c r="F47" s="14" t="s">
        <v>494</v>
      </c>
      <c r="G47" s="14" t="s">
        <v>161</v>
      </c>
      <c r="H47" s="14" t="str">
        <f t="shared" si="0"/>
        <v>PENAMAX-60</v>
      </c>
      <c r="I47" s="15" t="str">
        <f t="shared" si="1"/>
        <v>FD</v>
      </c>
      <c r="J47" s="14">
        <v>205</v>
      </c>
      <c r="K47" t="s">
        <v>451</v>
      </c>
      <c r="L47">
        <v>205</v>
      </c>
      <c r="M47">
        <v>0</v>
      </c>
      <c r="N47" s="10" t="s">
        <v>436</v>
      </c>
    </row>
    <row r="48" spans="2:14" ht="33" customHeight="1" x14ac:dyDescent="0.3">
      <c r="B48" s="14" t="s">
        <v>483</v>
      </c>
      <c r="C48" s="14" t="s">
        <v>484</v>
      </c>
      <c r="D48" s="14" t="s">
        <v>488</v>
      </c>
      <c r="E48" s="14">
        <v>0</v>
      </c>
      <c r="F48" s="14" t="s">
        <v>495</v>
      </c>
      <c r="G48" s="14" t="s">
        <v>186</v>
      </c>
      <c r="H48" s="14" t="str">
        <f t="shared" si="0"/>
        <v>PRECON-180</v>
      </c>
      <c r="I48" s="15" t="str">
        <f t="shared" si="1"/>
        <v>FD</v>
      </c>
      <c r="J48" s="14">
        <v>245</v>
      </c>
      <c r="K48" t="s">
        <v>455</v>
      </c>
      <c r="L48">
        <v>245</v>
      </c>
      <c r="M48">
        <v>0</v>
      </c>
      <c r="N48" s="10" t="s">
        <v>448</v>
      </c>
    </row>
    <row r="49" spans="2:14" ht="33" customHeight="1" x14ac:dyDescent="0.3">
      <c r="B49" s="14" t="s">
        <v>483</v>
      </c>
      <c r="C49" s="14" t="s">
        <v>484</v>
      </c>
      <c r="D49" s="14">
        <v>0</v>
      </c>
      <c r="E49" s="14">
        <v>0</v>
      </c>
      <c r="F49" s="14" t="s">
        <v>496</v>
      </c>
      <c r="G49" s="14" t="s">
        <v>373</v>
      </c>
      <c r="H49" s="14" t="str">
        <f t="shared" si="0"/>
        <v>QWELL4-30</v>
      </c>
      <c r="I49" s="15" t="str">
        <f t="shared" si="1"/>
        <v>FD</v>
      </c>
      <c r="J49" s="14">
        <v>484</v>
      </c>
      <c r="K49" t="s">
        <v>444</v>
      </c>
      <c r="L49">
        <v>484</v>
      </c>
      <c r="M49">
        <v>0</v>
      </c>
      <c r="N49" s="10" t="s">
        <v>436</v>
      </c>
    </row>
    <row r="50" spans="2:14" ht="33" customHeight="1" x14ac:dyDescent="0.3">
      <c r="B50" s="14" t="s">
        <v>483</v>
      </c>
      <c r="C50" s="14" t="s">
        <v>484</v>
      </c>
      <c r="D50" s="14">
        <v>0</v>
      </c>
      <c r="E50" s="14">
        <v>0</v>
      </c>
      <c r="F50" s="14" t="s">
        <v>497</v>
      </c>
      <c r="G50" s="14" t="s">
        <v>125</v>
      </c>
      <c r="H50" s="14" t="str">
        <f t="shared" si="0"/>
        <v>MOTILMX-60</v>
      </c>
      <c r="I50" s="15" t="str">
        <f t="shared" si="1"/>
        <v>FD</v>
      </c>
      <c r="J50" s="14">
        <v>34</v>
      </c>
      <c r="K50" t="s">
        <v>460</v>
      </c>
      <c r="L50">
        <v>34</v>
      </c>
      <c r="M50">
        <v>0</v>
      </c>
      <c r="N50" s="10" t="s">
        <v>436</v>
      </c>
    </row>
    <row r="51" spans="2:14" ht="33" customHeight="1" x14ac:dyDescent="0.3"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f t="shared" si="0"/>
        <v>0</v>
      </c>
      <c r="I51" s="15" t="str">
        <f t="shared" si="1"/>
        <v/>
      </c>
      <c r="J51" s="14">
        <v>0</v>
      </c>
      <c r="K51">
        <v>0</v>
      </c>
      <c r="L51">
        <v>0</v>
      </c>
      <c r="M51">
        <v>0</v>
      </c>
      <c r="N51" s="10">
        <v>0</v>
      </c>
    </row>
    <row r="52" spans="2:14" ht="33" customHeight="1" x14ac:dyDescent="0.3">
      <c r="B52" s="14" t="s">
        <v>432</v>
      </c>
      <c r="C52" s="14" t="s">
        <v>498</v>
      </c>
      <c r="D52" s="14">
        <v>0</v>
      </c>
      <c r="E52" s="14" t="s">
        <v>499</v>
      </c>
      <c r="F52" s="14" t="s">
        <v>452</v>
      </c>
      <c r="G52" s="14" t="s">
        <v>406</v>
      </c>
      <c r="H52" s="14" t="str">
        <f t="shared" si="0"/>
        <v>MFSPLS-120</v>
      </c>
      <c r="I52" s="15" t="str">
        <f t="shared" si="1"/>
        <v>FD</v>
      </c>
      <c r="J52" s="14">
        <v>240</v>
      </c>
      <c r="K52" t="s">
        <v>462</v>
      </c>
      <c r="L52">
        <v>0</v>
      </c>
      <c r="M52">
        <v>240</v>
      </c>
      <c r="N52" s="10" t="s">
        <v>442</v>
      </c>
    </row>
    <row r="53" spans="2:14" ht="33" customHeight="1" x14ac:dyDescent="0.3">
      <c r="B53" s="14" t="s">
        <v>432</v>
      </c>
      <c r="C53" s="14" t="s">
        <v>498</v>
      </c>
      <c r="D53" s="14">
        <v>0</v>
      </c>
      <c r="E53" s="14">
        <v>0</v>
      </c>
      <c r="F53" s="14">
        <v>0</v>
      </c>
      <c r="G53" s="14" t="s">
        <v>196</v>
      </c>
      <c r="H53" s="14" t="str">
        <f t="shared" si="0"/>
        <v>PRECON-90</v>
      </c>
      <c r="I53" s="15" t="str">
        <f t="shared" si="1"/>
        <v>FD</v>
      </c>
      <c r="J53" s="14">
        <v>72</v>
      </c>
      <c r="K53" t="s">
        <v>443</v>
      </c>
      <c r="L53">
        <v>72</v>
      </c>
      <c r="M53">
        <v>0</v>
      </c>
      <c r="N53" s="10" t="s">
        <v>436</v>
      </c>
    </row>
    <row r="54" spans="2:14" ht="33" customHeight="1" x14ac:dyDescent="0.3"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f t="shared" si="0"/>
        <v>0</v>
      </c>
      <c r="I54" s="15" t="str">
        <f t="shared" si="1"/>
        <v/>
      </c>
      <c r="J54" s="14">
        <v>0</v>
      </c>
      <c r="K54">
        <v>0</v>
      </c>
      <c r="L54">
        <v>0</v>
      </c>
      <c r="M54">
        <v>0</v>
      </c>
      <c r="N54" s="10">
        <v>0</v>
      </c>
    </row>
    <row r="55" spans="2:14" ht="33" customHeight="1" x14ac:dyDescent="0.3">
      <c r="B55" s="14" t="s">
        <v>500</v>
      </c>
      <c r="C55" s="14" t="s">
        <v>501</v>
      </c>
      <c r="D55" s="14" t="s">
        <v>502</v>
      </c>
      <c r="E55" s="14" t="s">
        <v>503</v>
      </c>
      <c r="F55" s="14" t="s">
        <v>504</v>
      </c>
      <c r="G55" s="14" t="s">
        <v>505</v>
      </c>
      <c r="H55" s="14" t="str">
        <f t="shared" si="0"/>
        <v>MFSADV-120</v>
      </c>
      <c r="I55" s="15" t="str">
        <f t="shared" si="1"/>
        <v>GR</v>
      </c>
      <c r="J55" s="14">
        <v>424</v>
      </c>
      <c r="K55" t="s">
        <v>506</v>
      </c>
      <c r="L55">
        <v>424</v>
      </c>
      <c r="M55">
        <v>0</v>
      </c>
      <c r="N55" s="10" t="s">
        <v>414</v>
      </c>
    </row>
    <row r="56" spans="2:14" ht="33" customHeight="1" x14ac:dyDescent="0.3"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f t="shared" si="0"/>
        <v>0</v>
      </c>
      <c r="I56" s="15" t="str">
        <f t="shared" si="1"/>
        <v/>
      </c>
      <c r="J56" s="14">
        <v>0</v>
      </c>
      <c r="K56">
        <v>0</v>
      </c>
      <c r="L56">
        <v>0</v>
      </c>
      <c r="M56">
        <v>0</v>
      </c>
      <c r="N56" s="10">
        <v>0</v>
      </c>
    </row>
    <row r="57" spans="2:14" ht="33" customHeight="1" x14ac:dyDescent="0.3">
      <c r="B57" s="14" t="s">
        <v>507</v>
      </c>
      <c r="C57" s="14" t="s">
        <v>508</v>
      </c>
      <c r="D57" s="14" t="s">
        <v>509</v>
      </c>
      <c r="E57" s="14" t="s">
        <v>510</v>
      </c>
      <c r="F57" s="14" t="s">
        <v>511</v>
      </c>
      <c r="G57" s="14" t="s">
        <v>512</v>
      </c>
      <c r="H57" s="14" t="str">
        <f t="shared" si="0"/>
        <v>COQ400-30</v>
      </c>
      <c r="I57" s="15" t="str">
        <f t="shared" si="1"/>
        <v>SU</v>
      </c>
      <c r="J57" s="14">
        <v>1476</v>
      </c>
      <c r="K57" t="s">
        <v>513</v>
      </c>
      <c r="L57">
        <v>1476</v>
      </c>
      <c r="M57">
        <v>0</v>
      </c>
      <c r="N57" s="10" t="s">
        <v>514</v>
      </c>
    </row>
    <row r="58" spans="2:14" ht="33" customHeight="1" x14ac:dyDescent="0.3"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f t="shared" si="0"/>
        <v>0</v>
      </c>
      <c r="I58" s="15" t="str">
        <f t="shared" si="1"/>
        <v/>
      </c>
      <c r="J58" s="14">
        <v>0</v>
      </c>
      <c r="K58">
        <v>0</v>
      </c>
      <c r="L58">
        <v>0</v>
      </c>
      <c r="M58">
        <v>0</v>
      </c>
      <c r="N58" s="10">
        <v>0</v>
      </c>
    </row>
    <row r="59" spans="2:14" ht="33" customHeight="1" x14ac:dyDescent="0.3">
      <c r="B59" s="14" t="s">
        <v>410</v>
      </c>
      <c r="C59" s="14" t="s">
        <v>515</v>
      </c>
      <c r="D59" s="14">
        <v>0</v>
      </c>
      <c r="E59" s="14" t="s">
        <v>516</v>
      </c>
      <c r="F59" s="14" t="s">
        <v>517</v>
      </c>
      <c r="G59" s="14" t="s">
        <v>396</v>
      </c>
      <c r="H59" s="14" t="str">
        <f t="shared" si="0"/>
        <v>ZINC25-60</v>
      </c>
      <c r="I59" s="15" t="str">
        <f t="shared" si="1"/>
        <v>FD</v>
      </c>
      <c r="J59" s="14">
        <v>240</v>
      </c>
      <c r="K59" t="s">
        <v>518</v>
      </c>
      <c r="L59">
        <v>240</v>
      </c>
      <c r="M59">
        <v>0</v>
      </c>
      <c r="N59" s="10" t="s">
        <v>414</v>
      </c>
    </row>
    <row r="60" spans="2:14" ht="33" customHeight="1" x14ac:dyDescent="0.3"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f t="shared" si="0"/>
        <v>0</v>
      </c>
      <c r="I60" s="15" t="str">
        <f t="shared" si="1"/>
        <v/>
      </c>
      <c r="J60" s="14">
        <v>0</v>
      </c>
      <c r="K60">
        <v>0</v>
      </c>
      <c r="L60">
        <v>0</v>
      </c>
      <c r="M60">
        <v>0</v>
      </c>
      <c r="N60" s="10">
        <v>0</v>
      </c>
    </row>
    <row r="61" spans="2:14" ht="33" customHeight="1" x14ac:dyDescent="0.3">
      <c r="B61" s="14" t="s">
        <v>519</v>
      </c>
      <c r="C61" s="14" t="s">
        <v>520</v>
      </c>
      <c r="D61" s="14" t="s">
        <v>521</v>
      </c>
      <c r="E61" s="14" t="s">
        <v>522</v>
      </c>
      <c r="F61" s="14" t="s">
        <v>523</v>
      </c>
      <c r="G61" s="14" t="s">
        <v>258</v>
      </c>
      <c r="H61" s="14" t="str">
        <f t="shared" si="0"/>
        <v>ADVTH-60</v>
      </c>
      <c r="I61" s="15" t="str">
        <f t="shared" si="1"/>
        <v>FD</v>
      </c>
      <c r="J61" s="14">
        <v>3240</v>
      </c>
      <c r="K61" t="s">
        <v>524</v>
      </c>
      <c r="L61">
        <v>3240</v>
      </c>
      <c r="M61">
        <v>0</v>
      </c>
      <c r="N61" s="10" t="s">
        <v>431</v>
      </c>
    </row>
    <row r="62" spans="2:14" ht="33" customHeight="1" x14ac:dyDescent="0.3">
      <c r="B62" s="14" t="s">
        <v>519</v>
      </c>
      <c r="C62" s="14" t="s">
        <v>520</v>
      </c>
      <c r="D62" s="14" t="s">
        <v>525</v>
      </c>
      <c r="E62" s="14">
        <v>0</v>
      </c>
      <c r="F62" s="14" t="s">
        <v>523</v>
      </c>
      <c r="G62" s="14" t="s">
        <v>265</v>
      </c>
      <c r="H62" s="14" t="str">
        <f t="shared" si="0"/>
        <v>COLLA-60</v>
      </c>
      <c r="I62" s="15" t="str">
        <f t="shared" si="1"/>
        <v>FD</v>
      </c>
      <c r="J62" s="14">
        <v>6960</v>
      </c>
      <c r="K62" t="s">
        <v>526</v>
      </c>
      <c r="L62">
        <v>6960</v>
      </c>
      <c r="M62">
        <v>0</v>
      </c>
      <c r="N62" s="10" t="s">
        <v>431</v>
      </c>
    </row>
    <row r="63" spans="2:14" ht="33" customHeight="1" x14ac:dyDescent="0.3">
      <c r="B63" s="14" t="s">
        <v>519</v>
      </c>
      <c r="C63" s="14" t="s">
        <v>520</v>
      </c>
      <c r="D63" s="14" t="s">
        <v>527</v>
      </c>
      <c r="E63" s="14">
        <v>0</v>
      </c>
      <c r="F63" s="14" t="s">
        <v>528</v>
      </c>
      <c r="G63" s="14" t="s">
        <v>529</v>
      </c>
      <c r="H63" s="14" t="str">
        <f t="shared" si="0"/>
        <v>METRIO-60</v>
      </c>
      <c r="I63" s="15" t="str">
        <f t="shared" si="1"/>
        <v>IQ</v>
      </c>
      <c r="J63" s="14">
        <v>3000</v>
      </c>
      <c r="K63" t="s">
        <v>530</v>
      </c>
      <c r="L63">
        <v>3000</v>
      </c>
      <c r="M63">
        <v>0</v>
      </c>
      <c r="N63" s="10" t="s">
        <v>431</v>
      </c>
    </row>
    <row r="64" spans="2:14" ht="33" customHeight="1" x14ac:dyDescent="0.3">
      <c r="B64" s="14" t="s">
        <v>519</v>
      </c>
      <c r="C64" s="14" t="s">
        <v>520</v>
      </c>
      <c r="D64" s="14" t="s">
        <v>531</v>
      </c>
      <c r="E64" s="14">
        <v>0</v>
      </c>
      <c r="F64" s="14" t="s">
        <v>528</v>
      </c>
      <c r="G64" s="14" t="s">
        <v>204</v>
      </c>
      <c r="H64" s="14" t="str">
        <f t="shared" si="0"/>
        <v>PROSTA-45</v>
      </c>
      <c r="I64" s="15" t="str">
        <f t="shared" si="1"/>
        <v>RE</v>
      </c>
      <c r="J64" s="14">
        <v>8520</v>
      </c>
      <c r="K64" t="s">
        <v>532</v>
      </c>
      <c r="L64">
        <v>8520</v>
      </c>
      <c r="M64">
        <v>0</v>
      </c>
      <c r="N64" s="10" t="s">
        <v>431</v>
      </c>
    </row>
    <row r="65" spans="2:14" ht="33" customHeight="1" x14ac:dyDescent="0.3">
      <c r="B65" s="14" t="s">
        <v>519</v>
      </c>
      <c r="C65" s="14" t="s">
        <v>520</v>
      </c>
      <c r="D65" s="14" t="s">
        <v>533</v>
      </c>
      <c r="E65" s="14">
        <v>0</v>
      </c>
      <c r="F65" s="14" t="s">
        <v>528</v>
      </c>
      <c r="G65" s="14" t="s">
        <v>218</v>
      </c>
      <c r="H65" s="14" t="str">
        <f t="shared" si="0"/>
        <v>SPERMCT-60</v>
      </c>
      <c r="I65" s="15" t="str">
        <f t="shared" si="1"/>
        <v>RE</v>
      </c>
      <c r="J65" s="14">
        <v>1200</v>
      </c>
      <c r="K65" t="s">
        <v>534</v>
      </c>
      <c r="L65">
        <v>1200</v>
      </c>
      <c r="M65">
        <v>0</v>
      </c>
      <c r="N65" s="10" t="s">
        <v>431</v>
      </c>
    </row>
    <row r="66" spans="2:14" ht="33" customHeight="1" x14ac:dyDescent="0.3"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f t="shared" si="0"/>
        <v>0</v>
      </c>
      <c r="I66" s="15" t="str">
        <f t="shared" si="1"/>
        <v/>
      </c>
      <c r="J66" s="14">
        <v>0</v>
      </c>
      <c r="K66">
        <v>0</v>
      </c>
      <c r="L66">
        <v>0</v>
      </c>
      <c r="M66">
        <v>0</v>
      </c>
      <c r="N66" s="10">
        <v>0</v>
      </c>
    </row>
    <row r="67" spans="2:14" ht="33" customHeight="1" x14ac:dyDescent="0.3">
      <c r="B67" s="14" t="s">
        <v>519</v>
      </c>
      <c r="C67" s="14" t="s">
        <v>535</v>
      </c>
      <c r="D67" s="14" t="s">
        <v>536</v>
      </c>
      <c r="E67" s="14" t="s">
        <v>537</v>
      </c>
      <c r="F67" s="14" t="s">
        <v>538</v>
      </c>
      <c r="G67" s="14" t="s">
        <v>539</v>
      </c>
      <c r="H67" s="14" t="str">
        <f t="shared" ref="H67:H130" si="2">IFERROR(_xlfn.TEXTBEFORE(G67,"-",2),G67)</f>
        <v>OVAMAX-60</v>
      </c>
      <c r="I67" s="15" t="str">
        <f t="shared" ref="I67:I130" si="3">IFERROR(_xlfn.TEXTAFTER(G67,"-",-1),"")</f>
        <v>IQ</v>
      </c>
      <c r="J67" s="14">
        <v>18960</v>
      </c>
      <c r="K67" t="s">
        <v>540</v>
      </c>
      <c r="L67">
        <v>18960</v>
      </c>
      <c r="M67">
        <v>0</v>
      </c>
      <c r="N67" s="10" t="s">
        <v>431</v>
      </c>
    </row>
    <row r="68" spans="2:14" ht="33" customHeight="1" x14ac:dyDescent="0.3">
      <c r="B68" s="14" t="s">
        <v>519</v>
      </c>
      <c r="C68" s="14" t="s">
        <v>535</v>
      </c>
      <c r="D68" s="14" t="s">
        <v>541</v>
      </c>
      <c r="E68" s="14">
        <v>0</v>
      </c>
      <c r="F68" s="14" t="s">
        <v>528</v>
      </c>
      <c r="G68" s="14" t="s">
        <v>542</v>
      </c>
      <c r="H68" s="14" t="str">
        <f t="shared" si="2"/>
        <v>PEARLY-60</v>
      </c>
      <c r="I68" s="15" t="str">
        <f t="shared" si="3"/>
        <v>IQ</v>
      </c>
      <c r="J68" s="14">
        <v>24672</v>
      </c>
      <c r="K68" t="s">
        <v>543</v>
      </c>
      <c r="L68">
        <v>24672</v>
      </c>
      <c r="M68">
        <v>0</v>
      </c>
      <c r="N68" s="10" t="s">
        <v>431</v>
      </c>
    </row>
    <row r="69" spans="2:14" ht="33" customHeight="1" x14ac:dyDescent="0.3"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f t="shared" si="2"/>
        <v>0</v>
      </c>
      <c r="I69" s="15" t="str">
        <f t="shared" si="3"/>
        <v/>
      </c>
      <c r="J69" s="14">
        <v>0</v>
      </c>
      <c r="K69">
        <v>0</v>
      </c>
      <c r="L69">
        <v>0</v>
      </c>
      <c r="M69">
        <v>0</v>
      </c>
      <c r="N69" s="10">
        <v>0</v>
      </c>
    </row>
    <row r="70" spans="2:14" ht="33" customHeight="1" x14ac:dyDescent="0.3">
      <c r="B70" s="14" t="s">
        <v>519</v>
      </c>
      <c r="C70" s="14" t="s">
        <v>544</v>
      </c>
      <c r="D70" s="14" t="s">
        <v>545</v>
      </c>
      <c r="E70" s="14" t="s">
        <v>546</v>
      </c>
      <c r="F70" s="14" t="s">
        <v>547</v>
      </c>
      <c r="G70" s="14" t="s">
        <v>106</v>
      </c>
      <c r="H70" s="14" t="str">
        <f t="shared" si="2"/>
        <v>MFSPLS-60</v>
      </c>
      <c r="I70" s="15" t="str">
        <f t="shared" si="3"/>
        <v>RE</v>
      </c>
      <c r="J70" s="14">
        <v>8880</v>
      </c>
      <c r="K70" t="s">
        <v>548</v>
      </c>
      <c r="L70">
        <v>8880</v>
      </c>
      <c r="M70">
        <v>0</v>
      </c>
      <c r="N70" s="10" t="s">
        <v>431</v>
      </c>
    </row>
    <row r="71" spans="2:14" ht="33" customHeight="1" x14ac:dyDescent="0.3">
      <c r="B71" s="14" t="s">
        <v>519</v>
      </c>
      <c r="C71" s="14" t="s">
        <v>544</v>
      </c>
      <c r="D71" s="14">
        <v>0</v>
      </c>
      <c r="E71" s="14">
        <v>0</v>
      </c>
      <c r="F71" s="14" t="s">
        <v>549</v>
      </c>
      <c r="G71" s="14" t="s">
        <v>550</v>
      </c>
      <c r="H71" s="14" t="str">
        <f t="shared" si="2"/>
        <v>MOTILMX-60</v>
      </c>
      <c r="I71" s="15" t="str">
        <f t="shared" si="3"/>
        <v>IQ</v>
      </c>
      <c r="J71" s="14">
        <v>30000</v>
      </c>
      <c r="K71" t="s">
        <v>551</v>
      </c>
      <c r="L71">
        <v>30000</v>
      </c>
      <c r="M71">
        <v>0</v>
      </c>
      <c r="N71" s="10" t="s">
        <v>431</v>
      </c>
    </row>
    <row r="72" spans="2:14" ht="33" customHeight="1" x14ac:dyDescent="0.3"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f t="shared" si="2"/>
        <v>0</v>
      </c>
      <c r="I72" s="15" t="str">
        <f t="shared" si="3"/>
        <v/>
      </c>
      <c r="J72" s="14">
        <v>0</v>
      </c>
      <c r="K72">
        <v>0</v>
      </c>
      <c r="L72">
        <v>0</v>
      </c>
      <c r="M72">
        <v>0</v>
      </c>
      <c r="N72" s="10">
        <v>0</v>
      </c>
    </row>
    <row r="73" spans="2:14" ht="33" customHeight="1" x14ac:dyDescent="0.3">
      <c r="B73" s="14" t="s">
        <v>519</v>
      </c>
      <c r="C73" s="14" t="s">
        <v>552</v>
      </c>
      <c r="D73" s="14" t="s">
        <v>553</v>
      </c>
      <c r="E73" s="14" t="s">
        <v>554</v>
      </c>
      <c r="F73" s="14" t="s">
        <v>555</v>
      </c>
      <c r="G73" s="14" t="s">
        <v>556</v>
      </c>
      <c r="H73" s="14" t="str">
        <f t="shared" si="2"/>
        <v>FIBRO-60</v>
      </c>
      <c r="I73" s="15" t="str">
        <f t="shared" si="3"/>
        <v>IQ</v>
      </c>
      <c r="J73" s="14">
        <v>2808</v>
      </c>
      <c r="K73" t="s">
        <v>557</v>
      </c>
      <c r="L73">
        <v>2208</v>
      </c>
      <c r="M73">
        <v>0</v>
      </c>
      <c r="N73" s="10" t="s">
        <v>431</v>
      </c>
    </row>
    <row r="74" spans="2:14" ht="33" customHeight="1" x14ac:dyDescent="0.3">
      <c r="B74" s="14" t="s">
        <v>519</v>
      </c>
      <c r="C74" s="14" t="s">
        <v>552</v>
      </c>
      <c r="D74" s="14" t="s">
        <v>558</v>
      </c>
      <c r="E74" s="14">
        <v>0</v>
      </c>
      <c r="F74" s="14" t="s">
        <v>559</v>
      </c>
      <c r="G74" s="14" t="s">
        <v>265</v>
      </c>
      <c r="H74" s="14" t="str">
        <f t="shared" si="2"/>
        <v>COLLA-60</v>
      </c>
      <c r="I74" s="15" t="str">
        <f t="shared" si="3"/>
        <v>FD</v>
      </c>
      <c r="J74" s="14">
        <v>4800</v>
      </c>
      <c r="K74" t="s">
        <v>526</v>
      </c>
      <c r="L74">
        <v>4800</v>
      </c>
      <c r="M74">
        <v>0</v>
      </c>
      <c r="N74" s="10" t="s">
        <v>431</v>
      </c>
    </row>
    <row r="75" spans="2:14" ht="33" customHeight="1" x14ac:dyDescent="0.3">
      <c r="B75" s="14" t="s">
        <v>519</v>
      </c>
      <c r="C75" s="14" t="s">
        <v>552</v>
      </c>
      <c r="D75" s="14" t="s">
        <v>560</v>
      </c>
      <c r="E75" s="14">
        <v>0</v>
      </c>
      <c r="F75" s="14" t="s">
        <v>561</v>
      </c>
      <c r="G75" s="14" t="s">
        <v>106</v>
      </c>
      <c r="H75" s="14" t="str">
        <f t="shared" si="2"/>
        <v>MFSPLS-60</v>
      </c>
      <c r="I75" s="15" t="str">
        <f t="shared" si="3"/>
        <v>RE</v>
      </c>
      <c r="J75" s="14">
        <v>5280</v>
      </c>
      <c r="K75" t="s">
        <v>548</v>
      </c>
      <c r="L75">
        <v>5280</v>
      </c>
      <c r="M75">
        <v>0</v>
      </c>
      <c r="N75" s="10" t="s">
        <v>431</v>
      </c>
    </row>
    <row r="76" spans="2:14" ht="33" customHeight="1" x14ac:dyDescent="0.3">
      <c r="B76" s="14" t="s">
        <v>519</v>
      </c>
      <c r="C76" s="14" t="s">
        <v>552</v>
      </c>
      <c r="D76" s="14" t="s">
        <v>562</v>
      </c>
      <c r="E76" s="14">
        <v>0</v>
      </c>
      <c r="F76" s="14" t="s">
        <v>563</v>
      </c>
      <c r="G76" s="14" t="s">
        <v>542</v>
      </c>
      <c r="H76" s="14" t="str">
        <f t="shared" si="2"/>
        <v>PEARLY-60</v>
      </c>
      <c r="I76" s="15" t="str">
        <f t="shared" si="3"/>
        <v>IQ</v>
      </c>
      <c r="J76" s="14">
        <v>5208</v>
      </c>
      <c r="K76" t="s">
        <v>543</v>
      </c>
      <c r="L76">
        <v>5208</v>
      </c>
      <c r="M76">
        <v>0</v>
      </c>
      <c r="N76" s="10" t="s">
        <v>431</v>
      </c>
    </row>
    <row r="77" spans="2:14" ht="33" customHeight="1" x14ac:dyDescent="0.3">
      <c r="B77" s="14"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f t="shared" si="2"/>
        <v>0</v>
      </c>
      <c r="I77" s="15" t="str">
        <f t="shared" si="3"/>
        <v/>
      </c>
      <c r="J77" s="14">
        <v>0</v>
      </c>
      <c r="K77">
        <v>0</v>
      </c>
      <c r="L77">
        <v>0</v>
      </c>
      <c r="M77">
        <v>0</v>
      </c>
      <c r="N77" s="10">
        <v>0</v>
      </c>
    </row>
    <row r="78" spans="2:14" ht="33" customHeight="1" x14ac:dyDescent="0.3">
      <c r="B78" s="14" t="s">
        <v>519</v>
      </c>
      <c r="C78" s="14" t="s">
        <v>564</v>
      </c>
      <c r="D78" s="14" t="s">
        <v>565</v>
      </c>
      <c r="E78" s="14" t="s">
        <v>566</v>
      </c>
      <c r="F78" s="14" t="s">
        <v>567</v>
      </c>
      <c r="G78" s="14" t="s">
        <v>268</v>
      </c>
      <c r="H78" s="14" t="str">
        <f t="shared" si="2"/>
        <v>COQ100-125</v>
      </c>
      <c r="I78" s="15" t="str">
        <f t="shared" si="3"/>
        <v>FD</v>
      </c>
      <c r="J78" s="14">
        <v>7968</v>
      </c>
      <c r="K78" t="s">
        <v>568</v>
      </c>
      <c r="L78">
        <v>7968</v>
      </c>
      <c r="M78">
        <v>0</v>
      </c>
      <c r="N78" s="10" t="s">
        <v>431</v>
      </c>
    </row>
    <row r="79" spans="2:14" ht="33" customHeight="1" x14ac:dyDescent="0.3">
      <c r="B79" s="14" t="s">
        <v>519</v>
      </c>
      <c r="C79" s="14" t="s">
        <v>564</v>
      </c>
      <c r="D79" s="14" t="s">
        <v>569</v>
      </c>
      <c r="E79" s="14">
        <v>0</v>
      </c>
      <c r="F79" s="14" t="s">
        <v>570</v>
      </c>
      <c r="G79" s="14" t="s">
        <v>268</v>
      </c>
      <c r="H79" s="14" t="str">
        <f t="shared" si="2"/>
        <v>COQ100-125</v>
      </c>
      <c r="I79" s="15" t="str">
        <f t="shared" si="3"/>
        <v>FD</v>
      </c>
      <c r="J79" s="14">
        <v>1329</v>
      </c>
      <c r="K79">
        <v>0</v>
      </c>
      <c r="L79">
        <v>1329</v>
      </c>
      <c r="M79">
        <v>0</v>
      </c>
      <c r="N79" s="10" t="s">
        <v>431</v>
      </c>
    </row>
    <row r="80" spans="2:14" ht="33" customHeight="1" x14ac:dyDescent="0.3">
      <c r="B80" s="14" t="s">
        <v>519</v>
      </c>
      <c r="C80" s="14" t="s">
        <v>564</v>
      </c>
      <c r="D80" s="14" t="s">
        <v>571</v>
      </c>
      <c r="E80" s="14">
        <v>0</v>
      </c>
      <c r="F80" s="14" t="s">
        <v>572</v>
      </c>
      <c r="G80" s="14" t="s">
        <v>289</v>
      </c>
      <c r="H80" s="14" t="str">
        <f t="shared" si="2"/>
        <v>MEMOUP-60</v>
      </c>
      <c r="I80" s="15" t="str">
        <f t="shared" si="3"/>
        <v>FD</v>
      </c>
      <c r="J80" s="14">
        <v>4507</v>
      </c>
      <c r="K80" t="s">
        <v>573</v>
      </c>
      <c r="L80">
        <v>4507</v>
      </c>
      <c r="M80">
        <v>0</v>
      </c>
      <c r="N80" s="10" t="s">
        <v>431</v>
      </c>
    </row>
    <row r="81" spans="2:14" ht="33" customHeight="1" x14ac:dyDescent="0.3">
      <c r="B81" s="14" t="s">
        <v>519</v>
      </c>
      <c r="C81" s="14" t="s">
        <v>564</v>
      </c>
      <c r="D81" s="14" t="s">
        <v>574</v>
      </c>
      <c r="E81" s="14">
        <v>0</v>
      </c>
      <c r="F81" s="14" t="s">
        <v>575</v>
      </c>
      <c r="G81" s="14" t="s">
        <v>289</v>
      </c>
      <c r="H81" s="14" t="str">
        <f t="shared" si="2"/>
        <v>MEMOUP-60</v>
      </c>
      <c r="I81" s="15" t="str">
        <f t="shared" si="3"/>
        <v>FD</v>
      </c>
      <c r="J81" s="14">
        <v>1142</v>
      </c>
      <c r="K81" t="s">
        <v>573</v>
      </c>
      <c r="L81">
        <v>1142</v>
      </c>
      <c r="M81">
        <v>0</v>
      </c>
      <c r="N81" s="10" t="s">
        <v>431</v>
      </c>
    </row>
    <row r="82" spans="2:14" ht="33" customHeight="1" x14ac:dyDescent="0.3">
      <c r="B82" s="14" t="s">
        <v>519</v>
      </c>
      <c r="C82" s="14" t="s">
        <v>564</v>
      </c>
      <c r="D82" s="14" t="s">
        <v>576</v>
      </c>
      <c r="E82" s="14">
        <v>0</v>
      </c>
      <c r="F82" s="14" t="s">
        <v>577</v>
      </c>
      <c r="G82" s="14" t="s">
        <v>371</v>
      </c>
      <c r="H82" s="14" t="str">
        <f t="shared" si="2"/>
        <v>QWELL2-60</v>
      </c>
      <c r="I82" s="15" t="str">
        <f t="shared" si="3"/>
        <v>IQ</v>
      </c>
      <c r="J82" s="14">
        <v>6250</v>
      </c>
      <c r="K82" t="s">
        <v>578</v>
      </c>
      <c r="L82">
        <v>0</v>
      </c>
      <c r="M82">
        <v>6250</v>
      </c>
      <c r="N82" s="10" t="s">
        <v>431</v>
      </c>
    </row>
    <row r="83" spans="2:14" ht="33" customHeight="1" x14ac:dyDescent="0.3">
      <c r="B83" s="14" t="s">
        <v>519</v>
      </c>
      <c r="C83" s="14" t="s">
        <v>564</v>
      </c>
      <c r="D83" s="14" t="s">
        <v>579</v>
      </c>
      <c r="E83" s="14">
        <v>0</v>
      </c>
      <c r="F83" s="14" t="s">
        <v>577</v>
      </c>
      <c r="G83" s="14" t="s">
        <v>580</v>
      </c>
      <c r="H83" s="14" t="str">
        <f t="shared" si="2"/>
        <v>QWELL4-30</v>
      </c>
      <c r="I83" s="15" t="str">
        <f t="shared" si="3"/>
        <v>IQ</v>
      </c>
      <c r="J83" s="14">
        <v>12250</v>
      </c>
      <c r="K83" t="s">
        <v>581</v>
      </c>
      <c r="L83">
        <v>0</v>
      </c>
      <c r="M83">
        <v>12250</v>
      </c>
      <c r="N83" s="10" t="s">
        <v>431</v>
      </c>
    </row>
    <row r="84" spans="2:14" ht="33" customHeight="1" x14ac:dyDescent="0.3">
      <c r="B84" s="14" t="s">
        <v>519</v>
      </c>
      <c r="C84" s="14" t="s">
        <v>564</v>
      </c>
      <c r="D84" s="14" t="s">
        <v>582</v>
      </c>
      <c r="E84" s="14">
        <v>0</v>
      </c>
      <c r="F84" s="14" t="s">
        <v>583</v>
      </c>
      <c r="G84" s="14" t="s">
        <v>584</v>
      </c>
      <c r="H84" s="14" t="str">
        <f t="shared" si="2"/>
        <v>XTRAD50-12</v>
      </c>
      <c r="I84" s="15" t="str">
        <f t="shared" si="3"/>
        <v>FD</v>
      </c>
      <c r="J84" s="14">
        <v>4872</v>
      </c>
      <c r="K84" t="s">
        <v>585</v>
      </c>
      <c r="L84">
        <v>4872</v>
      </c>
      <c r="M84">
        <v>0</v>
      </c>
      <c r="N84" s="10" t="s">
        <v>431</v>
      </c>
    </row>
    <row r="85" spans="2:14" ht="33" customHeight="1" x14ac:dyDescent="0.3">
      <c r="B85" s="14" t="s">
        <v>519</v>
      </c>
      <c r="C85" s="14" t="s">
        <v>564</v>
      </c>
      <c r="D85" s="14" t="s">
        <v>586</v>
      </c>
      <c r="E85" s="14">
        <v>0</v>
      </c>
      <c r="F85" s="14" t="s">
        <v>577</v>
      </c>
      <c r="G85" s="14" t="s">
        <v>389</v>
      </c>
      <c r="H85" s="14" t="str">
        <f t="shared" si="2"/>
        <v>XTRAD5-60</v>
      </c>
      <c r="I85" s="15" t="str">
        <f t="shared" si="3"/>
        <v>FD</v>
      </c>
      <c r="J85" s="14">
        <v>4500</v>
      </c>
      <c r="K85" t="s">
        <v>587</v>
      </c>
      <c r="L85">
        <v>0</v>
      </c>
      <c r="M85">
        <v>4500</v>
      </c>
      <c r="N85" s="10" t="s">
        <v>431</v>
      </c>
    </row>
    <row r="86" spans="2:14" ht="33" customHeight="1" x14ac:dyDescent="0.3">
      <c r="B86" s="14">
        <v>0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f t="shared" si="2"/>
        <v>0</v>
      </c>
      <c r="I86" s="15" t="str">
        <f t="shared" si="3"/>
        <v/>
      </c>
      <c r="J86" s="14">
        <v>0</v>
      </c>
      <c r="K86">
        <v>0</v>
      </c>
      <c r="L86">
        <v>0</v>
      </c>
      <c r="M86">
        <v>0</v>
      </c>
      <c r="N86" s="10">
        <v>0</v>
      </c>
    </row>
    <row r="87" spans="2:14" ht="33" customHeight="1" x14ac:dyDescent="0.3">
      <c r="B87" s="14" t="s">
        <v>519</v>
      </c>
      <c r="C87" s="14" t="s">
        <v>588</v>
      </c>
      <c r="D87" s="14" t="s">
        <v>589</v>
      </c>
      <c r="E87" s="14" t="s">
        <v>590</v>
      </c>
      <c r="F87" s="14">
        <v>0</v>
      </c>
      <c r="G87" s="14" t="s">
        <v>591</v>
      </c>
      <c r="H87" s="14" t="str">
        <f t="shared" si="2"/>
        <v>UTIC-60</v>
      </c>
      <c r="I87" s="15" t="str">
        <f t="shared" si="3"/>
        <v>FD</v>
      </c>
      <c r="J87" s="14">
        <v>720</v>
      </c>
      <c r="K87" t="s">
        <v>592</v>
      </c>
      <c r="L87">
        <v>720</v>
      </c>
      <c r="M87">
        <v>0</v>
      </c>
      <c r="N87" s="10" t="s">
        <v>431</v>
      </c>
    </row>
    <row r="88" spans="2:14" ht="33" customHeight="1" x14ac:dyDescent="0.3">
      <c r="B88" s="14" t="s">
        <v>519</v>
      </c>
      <c r="C88" s="14" t="s">
        <v>588</v>
      </c>
      <c r="D88" s="14" t="s">
        <v>593</v>
      </c>
      <c r="E88" s="14">
        <v>0</v>
      </c>
      <c r="F88" s="14">
        <v>0</v>
      </c>
      <c r="G88" s="14" t="s">
        <v>402</v>
      </c>
      <c r="H88" s="14" t="str">
        <f t="shared" si="2"/>
        <v>TESTRON-60</v>
      </c>
      <c r="I88" s="15" t="str">
        <f t="shared" si="3"/>
        <v>FD</v>
      </c>
      <c r="J88" s="14">
        <v>2200</v>
      </c>
      <c r="K88" t="s">
        <v>594</v>
      </c>
      <c r="L88">
        <v>2200</v>
      </c>
      <c r="M88">
        <v>0</v>
      </c>
      <c r="N88" s="10" t="s">
        <v>431</v>
      </c>
    </row>
    <row r="89" spans="2:14" ht="33" customHeight="1" x14ac:dyDescent="0.3">
      <c r="B89" s="14" t="s">
        <v>519</v>
      </c>
      <c r="C89" s="14" t="s">
        <v>588</v>
      </c>
      <c r="D89" s="14" t="s">
        <v>595</v>
      </c>
      <c r="E89" s="14">
        <v>0</v>
      </c>
      <c r="F89" s="14">
        <v>0</v>
      </c>
      <c r="G89" s="14" t="s">
        <v>43</v>
      </c>
      <c r="H89" s="14" t="str">
        <f t="shared" si="2"/>
        <v>BRSTW-60</v>
      </c>
      <c r="I89" s="15" t="str">
        <f t="shared" si="3"/>
        <v>FD</v>
      </c>
      <c r="J89" s="14">
        <v>550</v>
      </c>
      <c r="K89" t="s">
        <v>596</v>
      </c>
      <c r="L89">
        <v>550</v>
      </c>
      <c r="M89">
        <v>0</v>
      </c>
      <c r="N89" s="10" t="s">
        <v>431</v>
      </c>
    </row>
    <row r="90" spans="2:14" ht="33" customHeight="1" x14ac:dyDescent="0.3">
      <c r="B90" s="14" t="s">
        <v>519</v>
      </c>
      <c r="C90" s="14" t="s">
        <v>588</v>
      </c>
      <c r="D90" s="14">
        <v>0</v>
      </c>
      <c r="E90" s="14">
        <v>0</v>
      </c>
      <c r="F90" s="14" t="s">
        <v>597</v>
      </c>
      <c r="G90" s="14" t="s">
        <v>342</v>
      </c>
      <c r="H90" s="14" t="str">
        <f t="shared" si="2"/>
        <v>GINKGO-60</v>
      </c>
      <c r="I90" s="15" t="str">
        <f t="shared" si="3"/>
        <v>FD</v>
      </c>
      <c r="J90" s="14">
        <v>6000</v>
      </c>
      <c r="K90" t="s">
        <v>598</v>
      </c>
      <c r="L90">
        <v>6000</v>
      </c>
      <c r="M90">
        <v>0</v>
      </c>
      <c r="N90" s="10" t="s">
        <v>431</v>
      </c>
    </row>
    <row r="91" spans="2:14" ht="33" customHeight="1" x14ac:dyDescent="0.3">
      <c r="B91" s="14" t="s">
        <v>519</v>
      </c>
      <c r="C91" s="14" t="s">
        <v>588</v>
      </c>
      <c r="D91" s="14" t="s">
        <v>599</v>
      </c>
      <c r="E91" s="14">
        <v>0</v>
      </c>
      <c r="F91" s="14" t="s">
        <v>600</v>
      </c>
      <c r="G91" s="14" t="s">
        <v>371</v>
      </c>
      <c r="H91" s="14" t="str">
        <f t="shared" si="2"/>
        <v>QWELL2-60</v>
      </c>
      <c r="I91" s="15" t="str">
        <f t="shared" si="3"/>
        <v>IQ</v>
      </c>
      <c r="J91" s="14">
        <v>529</v>
      </c>
      <c r="K91" t="s">
        <v>578</v>
      </c>
      <c r="L91">
        <v>529</v>
      </c>
      <c r="M91">
        <v>0</v>
      </c>
      <c r="N91" s="10" t="s">
        <v>431</v>
      </c>
    </row>
    <row r="92" spans="2:14" ht="33" customHeight="1" x14ac:dyDescent="0.3">
      <c r="B92" s="14" t="s">
        <v>519</v>
      </c>
      <c r="C92" s="14" t="s">
        <v>588</v>
      </c>
      <c r="D92" s="14">
        <v>0</v>
      </c>
      <c r="E92" s="14">
        <v>0</v>
      </c>
      <c r="F92" s="14" t="s">
        <v>601</v>
      </c>
      <c r="G92" s="14" t="s">
        <v>371</v>
      </c>
      <c r="H92" s="14" t="str">
        <f t="shared" si="2"/>
        <v>QWELL2-60</v>
      </c>
      <c r="I92" s="15" t="str">
        <f t="shared" si="3"/>
        <v>IQ</v>
      </c>
      <c r="J92" s="14">
        <v>4158</v>
      </c>
      <c r="K92" t="s">
        <v>578</v>
      </c>
      <c r="L92">
        <v>4158</v>
      </c>
      <c r="M92">
        <v>0</v>
      </c>
      <c r="N92" s="10" t="s">
        <v>431</v>
      </c>
    </row>
    <row r="93" spans="2:14" ht="33" customHeight="1" x14ac:dyDescent="0.3">
      <c r="B93" s="14" t="s">
        <v>519</v>
      </c>
      <c r="C93" s="14" t="s">
        <v>588</v>
      </c>
      <c r="D93" s="14">
        <v>0</v>
      </c>
      <c r="E93" s="14">
        <v>0</v>
      </c>
      <c r="F93" s="14" t="s">
        <v>602</v>
      </c>
      <c r="G93" s="14" t="s">
        <v>371</v>
      </c>
      <c r="H93" s="14" t="str">
        <f t="shared" si="2"/>
        <v>QWELL2-60</v>
      </c>
      <c r="I93" s="15" t="str">
        <f t="shared" si="3"/>
        <v>IQ</v>
      </c>
      <c r="J93" s="14">
        <v>953</v>
      </c>
      <c r="K93" t="s">
        <v>581</v>
      </c>
      <c r="L93">
        <v>953</v>
      </c>
      <c r="M93">
        <v>0</v>
      </c>
      <c r="N93" s="10" t="s">
        <v>431</v>
      </c>
    </row>
    <row r="94" spans="2:14" ht="33" customHeight="1" x14ac:dyDescent="0.3">
      <c r="B94" s="14" t="s">
        <v>519</v>
      </c>
      <c r="C94" s="14" t="s">
        <v>588</v>
      </c>
      <c r="D94" s="14" t="s">
        <v>603</v>
      </c>
      <c r="E94" s="14">
        <v>0</v>
      </c>
      <c r="F94" s="14" t="s">
        <v>604</v>
      </c>
      <c r="G94" s="14" t="s">
        <v>294</v>
      </c>
      <c r="H94" s="14" t="str">
        <f t="shared" si="2"/>
        <v>NRGWOM-45</v>
      </c>
      <c r="I94" s="15" t="str">
        <f t="shared" si="3"/>
        <v>FD</v>
      </c>
      <c r="J94" s="14">
        <v>860</v>
      </c>
      <c r="K94" t="s">
        <v>605</v>
      </c>
      <c r="L94">
        <v>860</v>
      </c>
      <c r="M94">
        <v>0</v>
      </c>
      <c r="N94" s="10" t="s">
        <v>431</v>
      </c>
    </row>
    <row r="95" spans="2:14" ht="33" customHeight="1" x14ac:dyDescent="0.3">
      <c r="B95" s="14" t="s">
        <v>519</v>
      </c>
      <c r="C95" s="14" t="s">
        <v>588</v>
      </c>
      <c r="D95" s="14">
        <v>0</v>
      </c>
      <c r="E95" s="14">
        <v>0</v>
      </c>
      <c r="F95" s="14" t="s">
        <v>606</v>
      </c>
      <c r="G95" s="14" t="s">
        <v>290</v>
      </c>
      <c r="H95" s="14" t="str">
        <f t="shared" si="2"/>
        <v>NMNH-60</v>
      </c>
      <c r="I95" s="15" t="str">
        <f t="shared" si="3"/>
        <v>FD</v>
      </c>
      <c r="J95" s="14">
        <v>2200</v>
      </c>
      <c r="K95" t="s">
        <v>465</v>
      </c>
      <c r="L95">
        <v>2200</v>
      </c>
      <c r="M95">
        <v>0</v>
      </c>
      <c r="N95" s="10" t="s">
        <v>431</v>
      </c>
    </row>
    <row r="96" spans="2:14" ht="33" customHeight="1" x14ac:dyDescent="0.3">
      <c r="B96" s="14" t="s">
        <v>519</v>
      </c>
      <c r="C96" s="14" t="s">
        <v>588</v>
      </c>
      <c r="D96" s="14">
        <v>0</v>
      </c>
      <c r="E96" s="14">
        <v>0</v>
      </c>
      <c r="F96" s="14" t="s">
        <v>607</v>
      </c>
      <c r="G96" s="14" t="s">
        <v>608</v>
      </c>
      <c r="H96" s="14" t="str">
        <f t="shared" si="2"/>
        <v>CAVINAD-60</v>
      </c>
      <c r="I96" s="15" t="str">
        <f t="shared" si="3"/>
        <v>FD</v>
      </c>
      <c r="J96" s="14">
        <v>1451</v>
      </c>
      <c r="K96">
        <v>0</v>
      </c>
      <c r="L96">
        <v>1453</v>
      </c>
      <c r="M96">
        <v>0</v>
      </c>
      <c r="N96" s="10" t="s">
        <v>431</v>
      </c>
    </row>
    <row r="97" spans="2:14" ht="33" customHeight="1" x14ac:dyDescent="0.3">
      <c r="B97" s="14" t="s">
        <v>519</v>
      </c>
      <c r="C97" s="14" t="s">
        <v>588</v>
      </c>
      <c r="D97" s="14">
        <v>0</v>
      </c>
      <c r="E97" s="14">
        <v>0</v>
      </c>
      <c r="F97" s="14" t="s">
        <v>609</v>
      </c>
      <c r="G97" s="14" t="s">
        <v>608</v>
      </c>
      <c r="H97" s="14" t="str">
        <f t="shared" si="2"/>
        <v>CAVINAD-60</v>
      </c>
      <c r="I97" s="15" t="str">
        <f t="shared" si="3"/>
        <v>FD</v>
      </c>
      <c r="J97" s="14">
        <v>860</v>
      </c>
      <c r="K97">
        <v>0</v>
      </c>
      <c r="L97">
        <v>860</v>
      </c>
      <c r="M97">
        <v>0</v>
      </c>
      <c r="N97" s="10" t="s">
        <v>431</v>
      </c>
    </row>
    <row r="98" spans="2:14" ht="33" customHeight="1" x14ac:dyDescent="0.3">
      <c r="B98" s="14" t="s">
        <v>519</v>
      </c>
      <c r="C98" s="14" t="s">
        <v>588</v>
      </c>
      <c r="D98" s="14">
        <v>0</v>
      </c>
      <c r="E98" s="14">
        <v>0</v>
      </c>
      <c r="F98" s="14" t="s">
        <v>610</v>
      </c>
      <c r="G98" s="14" t="s">
        <v>303</v>
      </c>
      <c r="H98" s="14" t="str">
        <f t="shared" si="2"/>
        <v>OSTEOPW-74</v>
      </c>
      <c r="I98" s="15" t="str">
        <f t="shared" si="3"/>
        <v>FD</v>
      </c>
      <c r="J98" s="14">
        <v>1001</v>
      </c>
      <c r="K98">
        <v>0</v>
      </c>
      <c r="L98">
        <v>0</v>
      </c>
      <c r="M98">
        <v>0</v>
      </c>
      <c r="N98" s="10" t="s">
        <v>431</v>
      </c>
    </row>
    <row r="99" spans="2:14" ht="33" customHeight="1" x14ac:dyDescent="0.3">
      <c r="B99" s="14">
        <v>0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f t="shared" si="2"/>
        <v>0</v>
      </c>
      <c r="I99" s="15" t="str">
        <f t="shared" si="3"/>
        <v/>
      </c>
      <c r="J99" s="14">
        <v>0</v>
      </c>
      <c r="K99">
        <v>0</v>
      </c>
      <c r="L99">
        <v>0</v>
      </c>
      <c r="M99">
        <v>0</v>
      </c>
      <c r="N99" s="10">
        <v>0</v>
      </c>
    </row>
    <row r="100" spans="2:14" ht="33" customHeight="1" x14ac:dyDescent="0.3">
      <c r="B100" s="14" t="s">
        <v>519</v>
      </c>
      <c r="C100" s="14" t="s">
        <v>611</v>
      </c>
      <c r="D100" s="14">
        <v>0</v>
      </c>
      <c r="E100" s="14" t="s">
        <v>612</v>
      </c>
      <c r="F100" s="14" t="s">
        <v>613</v>
      </c>
      <c r="G100" s="14" t="s">
        <v>614</v>
      </c>
      <c r="H100" s="14" t="str">
        <f t="shared" si="2"/>
        <v>LIPODIS-60</v>
      </c>
      <c r="I100" s="15" t="str">
        <f t="shared" si="3"/>
        <v>IQ</v>
      </c>
      <c r="J100" s="14">
        <v>5000</v>
      </c>
      <c r="K100" t="s">
        <v>615</v>
      </c>
      <c r="L100">
        <v>0</v>
      </c>
      <c r="M100">
        <v>5000</v>
      </c>
      <c r="N100" s="10" t="s">
        <v>431</v>
      </c>
    </row>
    <row r="101" spans="2:14" ht="33" customHeight="1" x14ac:dyDescent="0.3">
      <c r="B101" s="14" t="s">
        <v>519</v>
      </c>
      <c r="C101" s="14" t="s">
        <v>611</v>
      </c>
      <c r="D101" s="14">
        <v>0</v>
      </c>
      <c r="E101" s="14">
        <v>0</v>
      </c>
      <c r="F101" s="14" t="s">
        <v>616</v>
      </c>
      <c r="G101" s="14" t="s">
        <v>591</v>
      </c>
      <c r="H101" s="14" t="str">
        <f t="shared" si="2"/>
        <v>UTIC-60</v>
      </c>
      <c r="I101" s="15" t="str">
        <f t="shared" si="3"/>
        <v>FD</v>
      </c>
      <c r="J101" s="14">
        <v>1480</v>
      </c>
      <c r="K101" t="s">
        <v>592</v>
      </c>
      <c r="L101">
        <v>0</v>
      </c>
      <c r="M101">
        <v>1480</v>
      </c>
      <c r="N101" s="10" t="s">
        <v>431</v>
      </c>
    </row>
    <row r="102" spans="2:14" ht="33" customHeight="1" x14ac:dyDescent="0.3">
      <c r="B102" s="14">
        <v>0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f t="shared" si="2"/>
        <v>0</v>
      </c>
      <c r="I102" s="15" t="str">
        <f t="shared" si="3"/>
        <v/>
      </c>
      <c r="J102" s="14">
        <v>0</v>
      </c>
      <c r="K102">
        <v>0</v>
      </c>
      <c r="L102">
        <v>0</v>
      </c>
      <c r="M102">
        <v>0</v>
      </c>
      <c r="N102" s="10">
        <v>0</v>
      </c>
    </row>
    <row r="103" spans="2:14" ht="33" customHeight="1" x14ac:dyDescent="0.3">
      <c r="B103" s="14" t="s">
        <v>617</v>
      </c>
      <c r="C103" s="14" t="s">
        <v>618</v>
      </c>
      <c r="D103" s="14" t="s">
        <v>619</v>
      </c>
      <c r="E103" s="14" t="s">
        <v>620</v>
      </c>
      <c r="F103" s="14">
        <v>0</v>
      </c>
      <c r="G103" s="14" t="s">
        <v>299</v>
      </c>
      <c r="H103" s="14" t="str">
        <f t="shared" si="2"/>
        <v>OSTEOPL-96</v>
      </c>
      <c r="I103" s="15" t="str">
        <f t="shared" si="3"/>
        <v>FD</v>
      </c>
      <c r="J103" s="14">
        <v>96</v>
      </c>
      <c r="K103" t="s">
        <v>621</v>
      </c>
      <c r="L103">
        <v>96</v>
      </c>
      <c r="M103">
        <v>0</v>
      </c>
      <c r="N103" s="10" t="s">
        <v>414</v>
      </c>
    </row>
    <row r="104" spans="2:14" ht="33" customHeight="1" x14ac:dyDescent="0.3">
      <c r="B104" s="14" t="s">
        <v>617</v>
      </c>
      <c r="C104" s="14" t="s">
        <v>618</v>
      </c>
      <c r="D104" s="14">
        <v>0</v>
      </c>
      <c r="E104" s="14">
        <v>0</v>
      </c>
      <c r="F104" s="14">
        <v>0</v>
      </c>
      <c r="G104" s="14" t="s">
        <v>342</v>
      </c>
      <c r="H104" s="14" t="str">
        <f t="shared" si="2"/>
        <v>GINKGO-60</v>
      </c>
      <c r="I104" s="15" t="str">
        <f t="shared" si="3"/>
        <v>FD</v>
      </c>
      <c r="J104" s="14">
        <v>48</v>
      </c>
      <c r="K104" t="s">
        <v>598</v>
      </c>
      <c r="L104">
        <v>48</v>
      </c>
      <c r="M104">
        <v>0</v>
      </c>
      <c r="N104" s="10" t="s">
        <v>414</v>
      </c>
    </row>
    <row r="105" spans="2:14" ht="33" customHeight="1" x14ac:dyDescent="0.3">
      <c r="B105" s="14" t="s">
        <v>617</v>
      </c>
      <c r="C105" s="14" t="s">
        <v>618</v>
      </c>
      <c r="D105" s="14">
        <v>0</v>
      </c>
      <c r="E105" s="14">
        <v>0</v>
      </c>
      <c r="F105" s="14">
        <v>0</v>
      </c>
      <c r="G105" s="14" t="s">
        <v>207</v>
      </c>
      <c r="H105" s="14" t="str">
        <f t="shared" si="2"/>
        <v>PROSTA-90</v>
      </c>
      <c r="I105" s="15" t="str">
        <f t="shared" si="3"/>
        <v>FD</v>
      </c>
      <c r="J105" s="14">
        <v>48</v>
      </c>
      <c r="K105" t="s">
        <v>445</v>
      </c>
      <c r="L105">
        <v>48</v>
      </c>
      <c r="M105">
        <v>0</v>
      </c>
      <c r="N105" s="10" t="s">
        <v>414</v>
      </c>
    </row>
    <row r="106" spans="2:14" ht="33" customHeight="1" x14ac:dyDescent="0.3">
      <c r="B106" s="14" t="s">
        <v>617</v>
      </c>
      <c r="C106" s="14" t="s">
        <v>618</v>
      </c>
      <c r="D106" s="14">
        <v>0</v>
      </c>
      <c r="E106" s="14">
        <v>0</v>
      </c>
      <c r="F106" s="14">
        <v>0</v>
      </c>
      <c r="G106" s="14" t="s">
        <v>390</v>
      </c>
      <c r="H106" s="14" t="str">
        <f t="shared" si="2"/>
        <v>XTRAD10-60</v>
      </c>
      <c r="I106" s="15" t="str">
        <f t="shared" si="3"/>
        <v>FD</v>
      </c>
      <c r="J106" s="14">
        <v>120</v>
      </c>
      <c r="K106" t="s">
        <v>622</v>
      </c>
      <c r="L106">
        <v>120</v>
      </c>
      <c r="M106">
        <v>0</v>
      </c>
      <c r="N106" s="10" t="s">
        <v>414</v>
      </c>
    </row>
    <row r="107" spans="2:14" ht="33" customHeight="1" x14ac:dyDescent="0.3">
      <c r="B107" s="14" t="s">
        <v>617</v>
      </c>
      <c r="C107" s="14" t="s">
        <v>618</v>
      </c>
      <c r="D107" s="14">
        <v>0</v>
      </c>
      <c r="E107" s="14">
        <v>0</v>
      </c>
      <c r="F107" s="14">
        <v>0</v>
      </c>
      <c r="G107" s="14" t="s">
        <v>125</v>
      </c>
      <c r="H107" s="14" t="str">
        <f t="shared" si="2"/>
        <v>MOTILMX-60</v>
      </c>
      <c r="I107" s="15" t="str">
        <f t="shared" si="3"/>
        <v>FD</v>
      </c>
      <c r="J107" s="14">
        <v>24</v>
      </c>
      <c r="K107" t="s">
        <v>460</v>
      </c>
      <c r="L107">
        <v>24</v>
      </c>
      <c r="M107">
        <v>0</v>
      </c>
      <c r="N107" s="10" t="s">
        <v>414</v>
      </c>
    </row>
    <row r="108" spans="2:14" ht="33" customHeight="1" x14ac:dyDescent="0.3">
      <c r="B108" s="14" t="s">
        <v>617</v>
      </c>
      <c r="C108" s="14" t="s">
        <v>618</v>
      </c>
      <c r="D108" s="14">
        <v>0</v>
      </c>
      <c r="E108" s="14">
        <v>0</v>
      </c>
      <c r="F108" s="14">
        <v>0</v>
      </c>
      <c r="G108" s="14" t="s">
        <v>406</v>
      </c>
      <c r="H108" s="14" t="str">
        <f t="shared" si="2"/>
        <v>MFSPLS-120</v>
      </c>
      <c r="I108" s="15" t="str">
        <f t="shared" si="3"/>
        <v>FD</v>
      </c>
      <c r="J108" s="14">
        <v>48</v>
      </c>
      <c r="K108" t="s">
        <v>462</v>
      </c>
      <c r="L108">
        <v>48</v>
      </c>
      <c r="M108">
        <v>0</v>
      </c>
      <c r="N108" s="10" t="s">
        <v>414</v>
      </c>
    </row>
    <row r="109" spans="2:14" ht="33" customHeight="1" x14ac:dyDescent="0.3">
      <c r="B109" s="14" t="s">
        <v>617</v>
      </c>
      <c r="C109" s="14" t="s">
        <v>618</v>
      </c>
      <c r="D109" s="14">
        <v>0</v>
      </c>
      <c r="E109" s="14">
        <v>0</v>
      </c>
      <c r="F109" s="14">
        <v>0</v>
      </c>
      <c r="G109" s="14" t="s">
        <v>71</v>
      </c>
      <c r="H109" s="14" t="str">
        <f t="shared" si="2"/>
        <v>FIBRO-60</v>
      </c>
      <c r="I109" s="15" t="str">
        <f t="shared" si="3"/>
        <v>FD</v>
      </c>
      <c r="J109" s="14">
        <v>48</v>
      </c>
      <c r="K109" t="s">
        <v>623</v>
      </c>
      <c r="L109">
        <v>48</v>
      </c>
      <c r="M109">
        <v>0</v>
      </c>
      <c r="N109" s="10" t="s">
        <v>414</v>
      </c>
    </row>
    <row r="110" spans="2:14" ht="33" customHeight="1" x14ac:dyDescent="0.3">
      <c r="B110" s="14" t="s">
        <v>617</v>
      </c>
      <c r="C110" s="14" t="s">
        <v>618</v>
      </c>
      <c r="D110" s="14">
        <v>0</v>
      </c>
      <c r="E110" s="14">
        <v>0</v>
      </c>
      <c r="F110" s="14">
        <v>0</v>
      </c>
      <c r="G110" s="14" t="s">
        <v>331</v>
      </c>
      <c r="H110" s="14" t="str">
        <f t="shared" si="2"/>
        <v>DHEA25-60</v>
      </c>
      <c r="I110" s="15" t="str">
        <f t="shared" si="3"/>
        <v>FD</v>
      </c>
      <c r="J110" s="14">
        <v>48</v>
      </c>
      <c r="K110" t="s">
        <v>493</v>
      </c>
      <c r="L110">
        <v>48</v>
      </c>
      <c r="M110">
        <v>0</v>
      </c>
      <c r="N110" s="10" t="s">
        <v>414</v>
      </c>
    </row>
    <row r="111" spans="2:14" ht="33" customHeight="1" x14ac:dyDescent="0.3">
      <c r="B111" s="14" t="s">
        <v>617</v>
      </c>
      <c r="C111" s="14" t="s">
        <v>618</v>
      </c>
      <c r="D111" s="14">
        <v>0</v>
      </c>
      <c r="E111" s="14">
        <v>0</v>
      </c>
      <c r="F111" s="14">
        <v>0</v>
      </c>
      <c r="G111" s="14" t="s">
        <v>34</v>
      </c>
      <c r="H111" s="14" t="str">
        <f t="shared" si="2"/>
        <v>DHEA50-60</v>
      </c>
      <c r="I111" s="15" t="str">
        <f t="shared" si="3"/>
        <v>FD</v>
      </c>
      <c r="J111" s="14">
        <v>48</v>
      </c>
      <c r="K111" t="s">
        <v>453</v>
      </c>
      <c r="L111">
        <v>48</v>
      </c>
      <c r="M111">
        <v>0</v>
      </c>
      <c r="N111" s="10" t="s">
        <v>414</v>
      </c>
    </row>
    <row r="112" spans="2:14" ht="33" customHeight="1" x14ac:dyDescent="0.3">
      <c r="B112" s="14" t="s">
        <v>617</v>
      </c>
      <c r="C112" s="14" t="s">
        <v>618</v>
      </c>
      <c r="D112" s="14">
        <v>0</v>
      </c>
      <c r="E112" s="14">
        <v>0</v>
      </c>
      <c r="F112" s="14">
        <v>0</v>
      </c>
      <c r="G112" s="14" t="s">
        <v>39</v>
      </c>
      <c r="H112" s="14" t="str">
        <f t="shared" si="2"/>
        <v>WFSPLS-180</v>
      </c>
      <c r="I112" s="15" t="str">
        <f t="shared" si="3"/>
        <v>FD</v>
      </c>
      <c r="J112" s="14">
        <v>48</v>
      </c>
      <c r="K112" t="s">
        <v>438</v>
      </c>
      <c r="L112">
        <v>48</v>
      </c>
      <c r="M112">
        <v>0</v>
      </c>
      <c r="N112" s="10" t="s">
        <v>414</v>
      </c>
    </row>
    <row r="113" spans="2:14" ht="33" customHeight="1" x14ac:dyDescent="0.3">
      <c r="B113" s="14" t="s">
        <v>617</v>
      </c>
      <c r="C113" s="14" t="s">
        <v>618</v>
      </c>
      <c r="D113" s="14">
        <v>0</v>
      </c>
      <c r="E113" s="14">
        <v>0</v>
      </c>
      <c r="F113" s="14">
        <v>0</v>
      </c>
      <c r="G113" s="14" t="s">
        <v>220</v>
      </c>
      <c r="H113" s="14" t="str">
        <f t="shared" si="2"/>
        <v>SPERMCT-60</v>
      </c>
      <c r="I113" s="15" t="str">
        <f t="shared" si="3"/>
        <v>FD</v>
      </c>
      <c r="J113" s="14">
        <v>24</v>
      </c>
      <c r="K113" t="s">
        <v>435</v>
      </c>
      <c r="L113">
        <v>24</v>
      </c>
      <c r="M113">
        <v>0</v>
      </c>
      <c r="N113" s="10" t="s">
        <v>414</v>
      </c>
    </row>
    <row r="114" spans="2:14" ht="33" customHeight="1" x14ac:dyDescent="0.3">
      <c r="B114" s="14" t="s">
        <v>617</v>
      </c>
      <c r="C114" s="14" t="s">
        <v>618</v>
      </c>
      <c r="D114" s="14">
        <v>0</v>
      </c>
      <c r="E114" s="14">
        <v>0</v>
      </c>
      <c r="F114" s="14">
        <v>0</v>
      </c>
      <c r="G114" s="14" t="s">
        <v>144</v>
      </c>
      <c r="H114" s="14" t="str">
        <f t="shared" si="2"/>
        <v>OVAMAX-120</v>
      </c>
      <c r="I114" s="15" t="str">
        <f t="shared" si="3"/>
        <v>FD</v>
      </c>
      <c r="J114" s="14">
        <v>48</v>
      </c>
      <c r="K114" t="s">
        <v>624</v>
      </c>
      <c r="L114">
        <v>48</v>
      </c>
      <c r="M114">
        <v>0</v>
      </c>
      <c r="N114" s="10" t="s">
        <v>414</v>
      </c>
    </row>
    <row r="115" spans="2:14" ht="33" customHeight="1" x14ac:dyDescent="0.3">
      <c r="B115" s="14" t="s">
        <v>617</v>
      </c>
      <c r="C115" s="14" t="s">
        <v>618</v>
      </c>
      <c r="D115" s="14">
        <v>0</v>
      </c>
      <c r="E115" s="14">
        <v>0</v>
      </c>
      <c r="F115" s="14">
        <v>49241225</v>
      </c>
      <c r="G115" s="14" t="s">
        <v>260</v>
      </c>
      <c r="H115" s="14" t="str">
        <f t="shared" si="2"/>
        <v>CAVIN-60</v>
      </c>
      <c r="I115" s="15" t="str">
        <f t="shared" si="3"/>
        <v>FD</v>
      </c>
      <c r="J115" s="14">
        <v>48</v>
      </c>
      <c r="K115" t="s">
        <v>625</v>
      </c>
      <c r="L115">
        <v>48</v>
      </c>
      <c r="M115">
        <v>0</v>
      </c>
      <c r="N115" s="10" t="s">
        <v>414</v>
      </c>
    </row>
    <row r="116" spans="2:14" ht="33" customHeight="1" x14ac:dyDescent="0.3">
      <c r="B116" s="14" t="s">
        <v>617</v>
      </c>
      <c r="C116" s="14" t="s">
        <v>618</v>
      </c>
      <c r="D116" s="14">
        <v>0</v>
      </c>
      <c r="E116" s="14">
        <v>0</v>
      </c>
      <c r="F116" s="14">
        <v>0</v>
      </c>
      <c r="G116" s="14" t="s">
        <v>42</v>
      </c>
      <c r="H116" s="14" t="str">
        <f t="shared" si="2"/>
        <v>FERTMX-90</v>
      </c>
      <c r="I116" s="15" t="str">
        <f t="shared" si="3"/>
        <v>RE</v>
      </c>
      <c r="J116" s="14">
        <v>48</v>
      </c>
      <c r="K116" t="s">
        <v>441</v>
      </c>
      <c r="L116">
        <v>48</v>
      </c>
      <c r="M116">
        <v>0</v>
      </c>
      <c r="N116" s="10" t="s">
        <v>414</v>
      </c>
    </row>
    <row r="117" spans="2:14" ht="33" customHeight="1" x14ac:dyDescent="0.3">
      <c r="B117" s="14" t="s">
        <v>617</v>
      </c>
      <c r="C117" s="14" t="s">
        <v>618</v>
      </c>
      <c r="D117" s="14">
        <v>0</v>
      </c>
      <c r="E117" s="14">
        <v>0</v>
      </c>
      <c r="F117" s="14">
        <v>0</v>
      </c>
      <c r="G117" s="14" t="s">
        <v>366</v>
      </c>
      <c r="H117" s="14" t="str">
        <f t="shared" si="2"/>
        <v>OME369-90</v>
      </c>
      <c r="I117" s="15" t="str">
        <f t="shared" si="3"/>
        <v>FD</v>
      </c>
      <c r="J117" s="14">
        <v>120</v>
      </c>
      <c r="K117" t="s">
        <v>626</v>
      </c>
      <c r="L117">
        <v>120</v>
      </c>
      <c r="M117">
        <v>0</v>
      </c>
      <c r="N117" s="10" t="s">
        <v>414</v>
      </c>
    </row>
    <row r="118" spans="2:14" ht="33" customHeight="1" x14ac:dyDescent="0.3">
      <c r="B118" s="14" t="s">
        <v>617</v>
      </c>
      <c r="C118" s="14" t="s">
        <v>618</v>
      </c>
      <c r="D118" s="14">
        <v>0</v>
      </c>
      <c r="E118" s="14">
        <v>0</v>
      </c>
      <c r="F118" s="14">
        <v>0</v>
      </c>
      <c r="G118" s="14" t="s">
        <v>196</v>
      </c>
      <c r="H118" s="14" t="str">
        <f t="shared" si="2"/>
        <v>PRECON-90</v>
      </c>
      <c r="I118" s="15" t="str">
        <f t="shared" si="3"/>
        <v>FD</v>
      </c>
      <c r="J118" s="14">
        <v>48</v>
      </c>
      <c r="K118" t="s">
        <v>443</v>
      </c>
      <c r="L118">
        <v>48</v>
      </c>
      <c r="M118">
        <v>0</v>
      </c>
      <c r="N118" s="10" t="s">
        <v>414</v>
      </c>
    </row>
    <row r="119" spans="2:14" ht="33" customHeight="1" x14ac:dyDescent="0.3">
      <c r="B119" s="14" t="s">
        <v>617</v>
      </c>
      <c r="C119" s="14" t="s">
        <v>618</v>
      </c>
      <c r="D119" s="14">
        <v>0</v>
      </c>
      <c r="E119" s="14">
        <v>0</v>
      </c>
      <c r="F119" s="14">
        <v>0</v>
      </c>
      <c r="G119" s="14" t="s">
        <v>186</v>
      </c>
      <c r="H119" s="14" t="str">
        <f t="shared" si="2"/>
        <v>PRECON-180</v>
      </c>
      <c r="I119" s="15" t="str">
        <f t="shared" si="3"/>
        <v>FD</v>
      </c>
      <c r="J119" s="14">
        <v>48</v>
      </c>
      <c r="K119" t="s">
        <v>455</v>
      </c>
      <c r="L119">
        <v>48</v>
      </c>
      <c r="M119">
        <v>0</v>
      </c>
      <c r="N119" s="10" t="s">
        <v>414</v>
      </c>
    </row>
    <row r="120" spans="2:14" ht="33" customHeight="1" x14ac:dyDescent="0.3">
      <c r="B120" s="14" t="s">
        <v>617</v>
      </c>
      <c r="C120" s="14" t="s">
        <v>618</v>
      </c>
      <c r="D120" s="14">
        <v>0</v>
      </c>
      <c r="E120" s="14">
        <v>0</v>
      </c>
      <c r="F120" s="14">
        <v>0</v>
      </c>
      <c r="G120" s="14" t="s">
        <v>161</v>
      </c>
      <c r="H120" s="14" t="str">
        <f t="shared" si="2"/>
        <v>PENAMAX-60</v>
      </c>
      <c r="I120" s="15" t="str">
        <f t="shared" si="3"/>
        <v>FD</v>
      </c>
      <c r="J120" s="14">
        <v>24</v>
      </c>
      <c r="K120" t="s">
        <v>451</v>
      </c>
      <c r="L120">
        <v>24</v>
      </c>
      <c r="M120">
        <v>0</v>
      </c>
      <c r="N120" s="10" t="s">
        <v>414</v>
      </c>
    </row>
    <row r="121" spans="2:14" ht="33" customHeight="1" x14ac:dyDescent="0.3">
      <c r="B121" s="14">
        <v>0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f t="shared" si="2"/>
        <v>0</v>
      </c>
      <c r="I121" s="15" t="str">
        <f t="shared" si="3"/>
        <v/>
      </c>
      <c r="J121" s="14">
        <v>0</v>
      </c>
      <c r="K121">
        <v>0</v>
      </c>
      <c r="L121">
        <v>0</v>
      </c>
      <c r="M121">
        <v>0</v>
      </c>
      <c r="N121" s="10">
        <v>0</v>
      </c>
    </row>
    <row r="122" spans="2:14" ht="33" customHeight="1" x14ac:dyDescent="0.3">
      <c r="B122" s="14" t="s">
        <v>419</v>
      </c>
      <c r="C122" s="14" t="s">
        <v>627</v>
      </c>
      <c r="D122" s="14">
        <v>0</v>
      </c>
      <c r="E122" s="14" t="s">
        <v>628</v>
      </c>
      <c r="F122" s="14">
        <v>0</v>
      </c>
      <c r="G122" s="14" t="s">
        <v>322</v>
      </c>
      <c r="H122" s="14" t="str">
        <f t="shared" si="2"/>
        <v>ALC-60</v>
      </c>
      <c r="I122" s="15" t="str">
        <f t="shared" si="3"/>
        <v>FD</v>
      </c>
      <c r="J122" s="14">
        <v>417</v>
      </c>
      <c r="K122" t="s">
        <v>629</v>
      </c>
      <c r="L122">
        <v>0</v>
      </c>
      <c r="M122">
        <v>417</v>
      </c>
      <c r="N122" s="10" t="s">
        <v>448</v>
      </c>
    </row>
    <row r="123" spans="2:14" ht="33" customHeight="1" x14ac:dyDescent="0.3">
      <c r="B123" s="14" t="s">
        <v>419</v>
      </c>
      <c r="C123" s="14" t="s">
        <v>627</v>
      </c>
      <c r="D123" s="14">
        <v>0</v>
      </c>
      <c r="E123" s="14">
        <v>0</v>
      </c>
      <c r="F123" s="14">
        <v>0</v>
      </c>
      <c r="G123" s="14" t="s">
        <v>270</v>
      </c>
      <c r="H123" s="14" t="str">
        <f t="shared" si="2"/>
        <v>EYECAP-30</v>
      </c>
      <c r="I123" s="15" t="str">
        <f t="shared" si="3"/>
        <v>FD</v>
      </c>
      <c r="J123" s="14">
        <v>600</v>
      </c>
      <c r="K123" t="s">
        <v>630</v>
      </c>
      <c r="L123">
        <v>0</v>
      </c>
      <c r="M123">
        <v>1320</v>
      </c>
      <c r="N123" s="10" t="s">
        <v>631</v>
      </c>
    </row>
    <row r="124" spans="2:14" ht="33" customHeight="1" x14ac:dyDescent="0.3">
      <c r="B124" s="14" t="s">
        <v>419</v>
      </c>
      <c r="C124" s="14" t="s">
        <v>627</v>
      </c>
      <c r="D124" s="14">
        <v>0</v>
      </c>
      <c r="E124" s="14">
        <v>0</v>
      </c>
      <c r="F124" s="14" t="s">
        <v>632</v>
      </c>
      <c r="G124" s="14" t="s">
        <v>270</v>
      </c>
      <c r="H124" s="14" t="str">
        <f t="shared" si="2"/>
        <v>EYECAP-30</v>
      </c>
      <c r="I124" s="15" t="str">
        <f t="shared" si="3"/>
        <v>FD</v>
      </c>
      <c r="J124" s="14">
        <v>720</v>
      </c>
      <c r="K124" t="s">
        <v>630</v>
      </c>
      <c r="L124">
        <v>720</v>
      </c>
      <c r="M124">
        <v>0</v>
      </c>
      <c r="N124" s="10" t="s">
        <v>631</v>
      </c>
    </row>
    <row r="125" spans="2:14" ht="33" customHeight="1" x14ac:dyDescent="0.3">
      <c r="B125" s="14" t="s">
        <v>419</v>
      </c>
      <c r="C125" s="14" t="s">
        <v>627</v>
      </c>
      <c r="D125" s="14">
        <v>0</v>
      </c>
      <c r="E125" s="14">
        <v>0</v>
      </c>
      <c r="F125" s="14">
        <v>0</v>
      </c>
      <c r="G125" s="14" t="s">
        <v>633</v>
      </c>
      <c r="H125" s="14" t="str">
        <f t="shared" si="2"/>
        <v>PEDIAD4-50</v>
      </c>
      <c r="I125" s="15" t="str">
        <f t="shared" si="3"/>
        <v>FD</v>
      </c>
      <c r="J125" s="14">
        <v>1350</v>
      </c>
      <c r="K125" t="s">
        <v>634</v>
      </c>
      <c r="L125">
        <v>0</v>
      </c>
      <c r="M125">
        <v>1350</v>
      </c>
      <c r="N125" s="10" t="s">
        <v>442</v>
      </c>
    </row>
    <row r="126" spans="2:14" ht="33" customHeight="1" x14ac:dyDescent="0.3">
      <c r="B126" s="14" t="s">
        <v>419</v>
      </c>
      <c r="C126" s="14" t="s">
        <v>627</v>
      </c>
      <c r="D126" s="14">
        <v>0</v>
      </c>
      <c r="E126" s="14">
        <v>0</v>
      </c>
      <c r="F126" s="14">
        <v>0</v>
      </c>
      <c r="G126" s="14" t="s">
        <v>349</v>
      </c>
      <c r="H126" s="14" t="str">
        <f t="shared" si="2"/>
        <v>LARGIN-100</v>
      </c>
      <c r="I126" s="15" t="str">
        <f t="shared" si="3"/>
        <v>FD</v>
      </c>
      <c r="J126" s="14">
        <v>619</v>
      </c>
      <c r="K126" t="s">
        <v>635</v>
      </c>
      <c r="L126">
        <v>0</v>
      </c>
      <c r="M126">
        <v>619</v>
      </c>
      <c r="N126" s="10" t="s">
        <v>448</v>
      </c>
    </row>
    <row r="127" spans="2:14" ht="33" customHeight="1" x14ac:dyDescent="0.3">
      <c r="B127" s="14" t="s">
        <v>419</v>
      </c>
      <c r="C127" s="14" t="s">
        <v>627</v>
      </c>
      <c r="D127" s="14">
        <v>0</v>
      </c>
      <c r="E127" s="14">
        <v>0</v>
      </c>
      <c r="F127" s="14">
        <v>0</v>
      </c>
      <c r="G127" s="14" t="s">
        <v>396</v>
      </c>
      <c r="H127" s="14" t="str">
        <f t="shared" si="2"/>
        <v>ZINC25-60</v>
      </c>
      <c r="I127" s="15" t="str">
        <f t="shared" si="3"/>
        <v>FD</v>
      </c>
      <c r="J127" s="14">
        <v>1050</v>
      </c>
      <c r="K127" t="s">
        <v>518</v>
      </c>
      <c r="L127">
        <v>0</v>
      </c>
      <c r="M127">
        <v>1050</v>
      </c>
      <c r="N127" s="10" t="s">
        <v>439</v>
      </c>
    </row>
    <row r="128" spans="2:14" ht="33" customHeight="1" x14ac:dyDescent="0.3">
      <c r="B128" s="14" t="s">
        <v>419</v>
      </c>
      <c r="C128" s="14" t="s">
        <v>627</v>
      </c>
      <c r="D128" s="14">
        <v>0</v>
      </c>
      <c r="E128" s="14">
        <v>0</v>
      </c>
      <c r="F128" s="14">
        <v>0</v>
      </c>
      <c r="G128" s="14" t="s">
        <v>350</v>
      </c>
      <c r="H128" s="14" t="str">
        <f t="shared" si="2"/>
        <v>MAGNES-50</v>
      </c>
      <c r="I128" s="15" t="str">
        <f t="shared" si="3"/>
        <v>FD</v>
      </c>
      <c r="J128" s="14">
        <v>1050</v>
      </c>
      <c r="K128" t="s">
        <v>636</v>
      </c>
      <c r="L128">
        <v>0</v>
      </c>
      <c r="M128">
        <v>1050</v>
      </c>
      <c r="N128" s="10" t="s">
        <v>448</v>
      </c>
    </row>
    <row r="129" spans="2:14" ht="33" customHeight="1" x14ac:dyDescent="0.3">
      <c r="B129" s="14" t="s">
        <v>419</v>
      </c>
      <c r="C129" s="14" t="s">
        <v>627</v>
      </c>
      <c r="D129" s="14">
        <v>0</v>
      </c>
      <c r="E129" s="14">
        <v>0</v>
      </c>
      <c r="F129" s="14" t="s">
        <v>637</v>
      </c>
      <c r="G129" s="14" t="s">
        <v>293</v>
      </c>
      <c r="H129" s="14" t="str">
        <f t="shared" si="2"/>
        <v>NRGMEN-45</v>
      </c>
      <c r="I129" s="15" t="str">
        <f t="shared" si="3"/>
        <v>UA</v>
      </c>
      <c r="J129" s="14">
        <v>2000</v>
      </c>
      <c r="K129" t="s">
        <v>638</v>
      </c>
      <c r="L129">
        <v>0</v>
      </c>
      <c r="M129">
        <v>2000</v>
      </c>
      <c r="N129" s="10" t="s">
        <v>439</v>
      </c>
    </row>
    <row r="130" spans="2:14" ht="33" customHeight="1" x14ac:dyDescent="0.3">
      <c r="B130" s="14" t="s">
        <v>419</v>
      </c>
      <c r="C130" s="14" t="s">
        <v>627</v>
      </c>
      <c r="D130" s="14">
        <v>0</v>
      </c>
      <c r="E130" s="14">
        <v>0</v>
      </c>
      <c r="F130" s="14" t="s">
        <v>639</v>
      </c>
      <c r="G130" s="14" t="s">
        <v>176</v>
      </c>
      <c r="H130" s="14" t="str">
        <f t="shared" si="2"/>
        <v>POLYSIT-90</v>
      </c>
      <c r="I130" s="15" t="str">
        <f t="shared" si="3"/>
        <v>RE</v>
      </c>
      <c r="J130" s="14">
        <v>490</v>
      </c>
      <c r="K130" t="s">
        <v>640</v>
      </c>
      <c r="L130">
        <v>0</v>
      </c>
      <c r="M130">
        <v>0</v>
      </c>
      <c r="N130" s="10" t="s">
        <v>448</v>
      </c>
    </row>
    <row r="131" spans="2:14" ht="33" customHeight="1" x14ac:dyDescent="0.3">
      <c r="B131" s="14" t="s">
        <v>419</v>
      </c>
      <c r="C131" s="14" t="s">
        <v>627</v>
      </c>
      <c r="D131" s="14">
        <v>0</v>
      </c>
      <c r="E131" s="14">
        <v>0</v>
      </c>
      <c r="F131" s="14" t="s">
        <v>641</v>
      </c>
      <c r="G131" s="14" t="s">
        <v>214</v>
      </c>
      <c r="H131" s="14" t="str">
        <f t="shared" ref="H131:H194" si="4">IFERROR(_xlfn.TEXTBEFORE(G131,"-",2),G131)</f>
        <v>ROYALPL-30</v>
      </c>
      <c r="I131" s="15" t="str">
        <f t="shared" ref="I131:I194" si="5">IFERROR(_xlfn.TEXTAFTER(G131,"-",-1),"")</f>
        <v>FD</v>
      </c>
      <c r="J131" s="14">
        <v>1485</v>
      </c>
      <c r="K131" t="s">
        <v>642</v>
      </c>
      <c r="L131">
        <v>0</v>
      </c>
      <c r="M131">
        <v>1485</v>
      </c>
      <c r="N131" s="10" t="s">
        <v>643</v>
      </c>
    </row>
    <row r="132" spans="2:14" ht="33" customHeight="1" x14ac:dyDescent="0.3">
      <c r="B132" s="14" t="s">
        <v>419</v>
      </c>
      <c r="C132" s="14" t="s">
        <v>627</v>
      </c>
      <c r="D132" s="14">
        <v>0</v>
      </c>
      <c r="E132" s="14">
        <v>0</v>
      </c>
      <c r="F132" s="14" t="s">
        <v>644</v>
      </c>
      <c r="G132" s="14" t="s">
        <v>359</v>
      </c>
      <c r="H132" s="14" t="str">
        <f t="shared" si="4"/>
        <v>OMEGA3-60</v>
      </c>
      <c r="I132" s="15" t="str">
        <f t="shared" si="5"/>
        <v>UA</v>
      </c>
      <c r="J132" s="14">
        <v>1500</v>
      </c>
      <c r="K132" t="s">
        <v>645</v>
      </c>
      <c r="L132">
        <v>0</v>
      </c>
      <c r="M132">
        <v>1500</v>
      </c>
      <c r="N132" s="10" t="s">
        <v>448</v>
      </c>
    </row>
    <row r="133" spans="2:14" ht="33" customHeight="1" x14ac:dyDescent="0.3">
      <c r="B133" s="14" t="s">
        <v>419</v>
      </c>
      <c r="C133" s="14" t="s">
        <v>627</v>
      </c>
      <c r="D133" s="14">
        <v>0</v>
      </c>
      <c r="E133" s="14">
        <v>0</v>
      </c>
      <c r="F133" s="14" t="s">
        <v>646</v>
      </c>
      <c r="G133" s="14" t="s">
        <v>287</v>
      </c>
      <c r="H133" s="14" t="str">
        <f t="shared" si="4"/>
        <v>LIPODIS-60</v>
      </c>
      <c r="I133" s="15" t="str">
        <f t="shared" si="5"/>
        <v>FD</v>
      </c>
      <c r="J133" s="14">
        <v>1207</v>
      </c>
      <c r="K133" t="s">
        <v>647</v>
      </c>
      <c r="L133">
        <v>0</v>
      </c>
      <c r="M133">
        <v>1207</v>
      </c>
      <c r="N133" s="10" t="s">
        <v>476</v>
      </c>
    </row>
    <row r="134" spans="2:14" ht="33" customHeight="1" x14ac:dyDescent="0.3">
      <c r="B134" s="14">
        <v>0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f t="shared" si="4"/>
        <v>0</v>
      </c>
      <c r="I134" s="15" t="str">
        <f t="shared" si="5"/>
        <v/>
      </c>
      <c r="J134" s="14">
        <v>0</v>
      </c>
      <c r="K134">
        <v>0</v>
      </c>
      <c r="L134">
        <v>0</v>
      </c>
      <c r="M134">
        <v>0</v>
      </c>
      <c r="N134" s="10">
        <v>0</v>
      </c>
    </row>
    <row r="135" spans="2:14" ht="33" customHeight="1" x14ac:dyDescent="0.3">
      <c r="B135" s="14" t="s">
        <v>432</v>
      </c>
      <c r="C135" s="14" t="s">
        <v>648</v>
      </c>
      <c r="D135" s="14" t="s">
        <v>649</v>
      </c>
      <c r="E135" s="14" t="s">
        <v>650</v>
      </c>
      <c r="F135" s="14" t="s">
        <v>651</v>
      </c>
      <c r="G135" s="14" t="s">
        <v>406</v>
      </c>
      <c r="H135" s="14" t="str">
        <f t="shared" si="4"/>
        <v>MFSPLS-120</v>
      </c>
      <c r="I135" s="15" t="str">
        <f t="shared" si="5"/>
        <v>FD</v>
      </c>
      <c r="J135" s="14">
        <v>240</v>
      </c>
      <c r="K135" t="s">
        <v>462</v>
      </c>
      <c r="L135">
        <v>240</v>
      </c>
      <c r="M135">
        <v>0</v>
      </c>
      <c r="N135" s="10" t="s">
        <v>448</v>
      </c>
    </row>
    <row r="136" spans="2:14" ht="33" customHeight="1" x14ac:dyDescent="0.3">
      <c r="B136" s="14" t="s">
        <v>432</v>
      </c>
      <c r="C136" s="14" t="s">
        <v>648</v>
      </c>
      <c r="D136" s="14">
        <v>0</v>
      </c>
      <c r="E136" s="14">
        <v>0</v>
      </c>
      <c r="F136" s="14" t="s">
        <v>652</v>
      </c>
      <c r="G136" s="14" t="s">
        <v>42</v>
      </c>
      <c r="H136" s="14" t="str">
        <f t="shared" si="4"/>
        <v>FERTMX-90</v>
      </c>
      <c r="I136" s="15" t="str">
        <f t="shared" si="5"/>
        <v>RE</v>
      </c>
      <c r="J136" s="14">
        <v>8</v>
      </c>
      <c r="K136" t="s">
        <v>441</v>
      </c>
      <c r="L136">
        <v>8</v>
      </c>
      <c r="M136">
        <v>0</v>
      </c>
      <c r="N136" s="10" t="s">
        <v>442</v>
      </c>
    </row>
    <row r="137" spans="2:14" ht="33" customHeight="1" x14ac:dyDescent="0.3">
      <c r="B137" s="14" t="s">
        <v>432</v>
      </c>
      <c r="C137" s="14" t="s">
        <v>648</v>
      </c>
      <c r="D137" s="14">
        <v>0</v>
      </c>
      <c r="E137" s="14">
        <v>0</v>
      </c>
      <c r="F137" s="14" t="s">
        <v>653</v>
      </c>
      <c r="G137" s="14" t="s">
        <v>42</v>
      </c>
      <c r="H137" s="14" t="str">
        <f t="shared" si="4"/>
        <v>FERTMX-90</v>
      </c>
      <c r="I137" s="15" t="str">
        <f t="shared" si="5"/>
        <v>RE</v>
      </c>
      <c r="J137" s="14">
        <v>192</v>
      </c>
      <c r="K137" t="s">
        <v>441</v>
      </c>
      <c r="L137">
        <v>192</v>
      </c>
      <c r="M137">
        <v>0</v>
      </c>
      <c r="N137" s="10" t="s">
        <v>442</v>
      </c>
    </row>
    <row r="138" spans="2:14" ht="33" customHeight="1" x14ac:dyDescent="0.3">
      <c r="B138" s="14" t="s">
        <v>432</v>
      </c>
      <c r="C138" s="14" t="s">
        <v>648</v>
      </c>
      <c r="D138" s="14">
        <v>0</v>
      </c>
      <c r="E138" s="14">
        <v>0</v>
      </c>
      <c r="F138" s="14" t="s">
        <v>452</v>
      </c>
      <c r="G138" s="14" t="s">
        <v>34</v>
      </c>
      <c r="H138" s="14" t="str">
        <f t="shared" si="4"/>
        <v>DHEA50-60</v>
      </c>
      <c r="I138" s="15" t="str">
        <f t="shared" si="5"/>
        <v>FD</v>
      </c>
      <c r="J138" s="14">
        <v>30</v>
      </c>
      <c r="K138" t="s">
        <v>453</v>
      </c>
      <c r="L138">
        <v>0</v>
      </c>
      <c r="M138">
        <v>30</v>
      </c>
      <c r="N138" s="10" t="s">
        <v>448</v>
      </c>
    </row>
    <row r="139" spans="2:14" ht="33" customHeight="1" x14ac:dyDescent="0.3">
      <c r="B139" s="14" t="s">
        <v>432</v>
      </c>
      <c r="C139" s="14" t="s">
        <v>648</v>
      </c>
      <c r="D139" s="14">
        <v>0</v>
      </c>
      <c r="E139" s="14">
        <v>0</v>
      </c>
      <c r="F139" s="14" t="s">
        <v>654</v>
      </c>
      <c r="G139" s="14" t="s">
        <v>144</v>
      </c>
      <c r="H139" s="14" t="str">
        <f t="shared" si="4"/>
        <v>OVAMAX-120</v>
      </c>
      <c r="I139" s="15" t="str">
        <f t="shared" si="5"/>
        <v>FD</v>
      </c>
      <c r="J139" s="14">
        <v>200</v>
      </c>
      <c r="K139" t="s">
        <v>447</v>
      </c>
      <c r="L139">
        <v>0</v>
      </c>
      <c r="M139">
        <v>200</v>
      </c>
      <c r="N139" s="10" t="s">
        <v>448</v>
      </c>
    </row>
    <row r="140" spans="2:14" ht="33" customHeight="1" x14ac:dyDescent="0.3">
      <c r="B140" s="14" t="s">
        <v>432</v>
      </c>
      <c r="C140" s="14" t="s">
        <v>648</v>
      </c>
      <c r="D140" s="14">
        <v>0</v>
      </c>
      <c r="E140" s="14">
        <v>0</v>
      </c>
      <c r="F140" s="14">
        <v>0</v>
      </c>
      <c r="G140" s="14" t="s">
        <v>39</v>
      </c>
      <c r="H140" s="14" t="str">
        <f t="shared" si="4"/>
        <v>WFSPLS-180</v>
      </c>
      <c r="I140" s="15" t="str">
        <f t="shared" si="5"/>
        <v>FD</v>
      </c>
      <c r="J140" s="14">
        <v>30</v>
      </c>
      <c r="K140" t="s">
        <v>438</v>
      </c>
      <c r="L140">
        <v>30</v>
      </c>
      <c r="M140">
        <v>0</v>
      </c>
      <c r="N140" s="10" t="s">
        <v>436</v>
      </c>
    </row>
    <row r="141" spans="2:14" ht="33" customHeight="1" x14ac:dyDescent="0.3">
      <c r="B141" s="14" t="s">
        <v>432</v>
      </c>
      <c r="C141" s="14" t="s">
        <v>648</v>
      </c>
      <c r="D141" s="14">
        <v>0</v>
      </c>
      <c r="E141" s="14">
        <v>0</v>
      </c>
      <c r="F141" s="14">
        <v>0</v>
      </c>
      <c r="G141" s="14" t="s">
        <v>373</v>
      </c>
      <c r="H141" s="14" t="str">
        <f t="shared" si="4"/>
        <v>QWELL4-30</v>
      </c>
      <c r="I141" s="15" t="str">
        <f t="shared" si="5"/>
        <v>FD</v>
      </c>
      <c r="J141" s="14">
        <v>60</v>
      </c>
      <c r="K141" t="s">
        <v>444</v>
      </c>
      <c r="L141">
        <v>60</v>
      </c>
      <c r="M141">
        <v>0</v>
      </c>
      <c r="N141" s="10" t="s">
        <v>436</v>
      </c>
    </row>
    <row r="142" spans="2:14" ht="33" customHeight="1" x14ac:dyDescent="0.3">
      <c r="B142" s="14" t="s">
        <v>432</v>
      </c>
      <c r="C142" s="14" t="s">
        <v>648</v>
      </c>
      <c r="D142" s="14">
        <v>0</v>
      </c>
      <c r="E142" s="14">
        <v>0</v>
      </c>
      <c r="F142" s="14">
        <v>0</v>
      </c>
      <c r="G142" s="14" t="s">
        <v>186</v>
      </c>
      <c r="H142" s="14" t="str">
        <f t="shared" si="4"/>
        <v>PRECON-180</v>
      </c>
      <c r="I142" s="15" t="str">
        <f t="shared" si="5"/>
        <v>FD</v>
      </c>
      <c r="J142" s="14">
        <v>50</v>
      </c>
      <c r="K142" t="s">
        <v>455</v>
      </c>
      <c r="L142">
        <v>50</v>
      </c>
      <c r="M142">
        <v>0</v>
      </c>
      <c r="N142" s="10" t="s">
        <v>436</v>
      </c>
    </row>
    <row r="143" spans="2:14" ht="33" customHeight="1" x14ac:dyDescent="0.3">
      <c r="B143" s="14" t="s">
        <v>432</v>
      </c>
      <c r="C143" s="14" t="s">
        <v>648</v>
      </c>
      <c r="D143" s="14">
        <v>0</v>
      </c>
      <c r="E143" s="14">
        <v>0</v>
      </c>
      <c r="F143" s="14">
        <v>0</v>
      </c>
      <c r="G143" s="14" t="s">
        <v>161</v>
      </c>
      <c r="H143" s="14" t="str">
        <f t="shared" si="4"/>
        <v>PENAMAX-60</v>
      </c>
      <c r="I143" s="15" t="str">
        <f t="shared" si="5"/>
        <v>FD</v>
      </c>
      <c r="J143" s="14">
        <v>100</v>
      </c>
      <c r="K143" t="s">
        <v>451</v>
      </c>
      <c r="L143">
        <v>100</v>
      </c>
      <c r="M143">
        <v>0</v>
      </c>
      <c r="N143" s="10" t="s">
        <v>436</v>
      </c>
    </row>
    <row r="144" spans="2:14" ht="33" customHeight="1" x14ac:dyDescent="0.3">
      <c r="B144" s="14"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f t="shared" si="4"/>
        <v>0</v>
      </c>
      <c r="I144" s="15" t="str">
        <f t="shared" si="5"/>
        <v/>
      </c>
      <c r="J144" s="14">
        <v>0</v>
      </c>
      <c r="K144">
        <v>0</v>
      </c>
      <c r="L144">
        <v>0</v>
      </c>
      <c r="M144">
        <v>0</v>
      </c>
      <c r="N144" s="10">
        <v>0</v>
      </c>
    </row>
    <row r="145" spans="2:14" ht="33" customHeight="1" x14ac:dyDescent="0.3">
      <c r="B145" s="14" t="s">
        <v>483</v>
      </c>
      <c r="C145" s="14" t="s">
        <v>655</v>
      </c>
      <c r="D145" s="14">
        <v>0</v>
      </c>
      <c r="E145" s="14" t="s">
        <v>656</v>
      </c>
      <c r="F145" s="14" t="s">
        <v>657</v>
      </c>
      <c r="G145" s="14" t="s">
        <v>42</v>
      </c>
      <c r="H145" s="14" t="str">
        <f t="shared" si="4"/>
        <v>FERTMX-90</v>
      </c>
      <c r="I145" s="15" t="str">
        <f t="shared" si="5"/>
        <v>RE</v>
      </c>
      <c r="J145" s="14">
        <v>288</v>
      </c>
      <c r="K145" t="s">
        <v>441</v>
      </c>
      <c r="L145">
        <v>288</v>
      </c>
      <c r="M145">
        <v>0</v>
      </c>
      <c r="N145" s="10" t="s">
        <v>442</v>
      </c>
    </row>
    <row r="146" spans="2:14" ht="33" customHeight="1" x14ac:dyDescent="0.3">
      <c r="B146" s="14" t="s">
        <v>483</v>
      </c>
      <c r="C146" s="14" t="s">
        <v>655</v>
      </c>
      <c r="D146" s="14">
        <v>0</v>
      </c>
      <c r="E146" s="14">
        <v>0</v>
      </c>
      <c r="F146" s="14" t="s">
        <v>658</v>
      </c>
      <c r="G146" s="14" t="s">
        <v>406</v>
      </c>
      <c r="H146" s="14" t="str">
        <f t="shared" si="4"/>
        <v>MFSPLS-120</v>
      </c>
      <c r="I146" s="15" t="str">
        <f t="shared" si="5"/>
        <v>FD</v>
      </c>
      <c r="J146" s="14">
        <v>1008</v>
      </c>
      <c r="K146" t="s">
        <v>462</v>
      </c>
      <c r="L146">
        <v>1008</v>
      </c>
      <c r="M146">
        <v>0</v>
      </c>
      <c r="N146" s="10" t="s">
        <v>442</v>
      </c>
    </row>
    <row r="147" spans="2:14" ht="33" customHeight="1" x14ac:dyDescent="0.3">
      <c r="B147" s="14" t="s">
        <v>483</v>
      </c>
      <c r="C147" s="14" t="s">
        <v>655</v>
      </c>
      <c r="D147" s="14">
        <v>0</v>
      </c>
      <c r="E147" s="14">
        <v>0</v>
      </c>
      <c r="F147" s="14">
        <v>0</v>
      </c>
      <c r="G147" s="14" t="s">
        <v>144</v>
      </c>
      <c r="H147" s="14" t="str">
        <f t="shared" si="4"/>
        <v>OVAMAX-120</v>
      </c>
      <c r="I147" s="15" t="str">
        <f t="shared" si="5"/>
        <v>FD</v>
      </c>
      <c r="J147" s="14">
        <v>288</v>
      </c>
      <c r="K147" t="s">
        <v>447</v>
      </c>
      <c r="L147">
        <v>288</v>
      </c>
      <c r="M147">
        <v>0</v>
      </c>
      <c r="N147" s="10" t="s">
        <v>436</v>
      </c>
    </row>
    <row r="148" spans="2:14" ht="33" customHeight="1" x14ac:dyDescent="0.3">
      <c r="B148" s="14" t="s">
        <v>483</v>
      </c>
      <c r="C148" s="14" t="s">
        <v>655</v>
      </c>
      <c r="D148" s="14">
        <v>0</v>
      </c>
      <c r="E148" s="14">
        <v>0</v>
      </c>
      <c r="F148" s="14" t="s">
        <v>659</v>
      </c>
      <c r="G148" s="14" t="s">
        <v>39</v>
      </c>
      <c r="H148" s="14" t="str">
        <f t="shared" si="4"/>
        <v>WFSPLS-180</v>
      </c>
      <c r="I148" s="15" t="str">
        <f t="shared" si="5"/>
        <v>FD</v>
      </c>
      <c r="J148" s="14">
        <v>120</v>
      </c>
      <c r="K148" t="s">
        <v>438</v>
      </c>
      <c r="L148">
        <v>120</v>
      </c>
      <c r="M148">
        <v>0</v>
      </c>
      <c r="N148" s="10" t="s">
        <v>439</v>
      </c>
    </row>
    <row r="149" spans="2:14" ht="33" customHeight="1" x14ac:dyDescent="0.3">
      <c r="B149" s="14" t="s">
        <v>483</v>
      </c>
      <c r="C149" s="14" t="s">
        <v>655</v>
      </c>
      <c r="D149" s="14">
        <v>0</v>
      </c>
      <c r="E149" s="14">
        <v>0</v>
      </c>
      <c r="F149" s="14" t="s">
        <v>660</v>
      </c>
      <c r="G149" s="14" t="s">
        <v>373</v>
      </c>
      <c r="H149" s="14" t="str">
        <f t="shared" si="4"/>
        <v>QWELL4-30</v>
      </c>
      <c r="I149" s="15" t="str">
        <f t="shared" si="5"/>
        <v>FD</v>
      </c>
      <c r="J149" s="14">
        <v>87</v>
      </c>
      <c r="K149" t="s">
        <v>444</v>
      </c>
      <c r="L149">
        <v>87</v>
      </c>
      <c r="M149">
        <v>0</v>
      </c>
      <c r="N149" s="10" t="s">
        <v>436</v>
      </c>
    </row>
    <row r="150" spans="2:14" ht="33" customHeight="1" x14ac:dyDescent="0.3">
      <c r="B150" s="14" t="s">
        <v>483</v>
      </c>
      <c r="C150" s="14" t="s">
        <v>655</v>
      </c>
      <c r="D150" s="14">
        <v>0</v>
      </c>
      <c r="E150" s="14">
        <v>0</v>
      </c>
      <c r="F150" s="14" t="s">
        <v>661</v>
      </c>
      <c r="G150" s="14" t="s">
        <v>375</v>
      </c>
      <c r="H150" s="14" t="str">
        <f t="shared" si="4"/>
        <v>QWELL4-30</v>
      </c>
      <c r="I150" s="15" t="str">
        <f t="shared" si="5"/>
        <v>FD</v>
      </c>
      <c r="J150" s="14">
        <v>200</v>
      </c>
      <c r="K150" t="s">
        <v>662</v>
      </c>
      <c r="L150">
        <v>0</v>
      </c>
      <c r="M150">
        <v>200</v>
      </c>
      <c r="N150" s="10" t="s">
        <v>663</v>
      </c>
    </row>
    <row r="151" spans="2:14" ht="33" customHeight="1" x14ac:dyDescent="0.3">
      <c r="B151" s="14" t="s">
        <v>483</v>
      </c>
      <c r="C151" s="14" t="s">
        <v>655</v>
      </c>
      <c r="D151" s="14">
        <v>0</v>
      </c>
      <c r="E151" s="14">
        <v>0</v>
      </c>
      <c r="F151" s="14" t="s">
        <v>659</v>
      </c>
      <c r="G151" s="14" t="s">
        <v>186</v>
      </c>
      <c r="H151" s="14" t="str">
        <f t="shared" si="4"/>
        <v>PRECON-180</v>
      </c>
      <c r="I151" s="15" t="str">
        <f t="shared" si="5"/>
        <v>FD</v>
      </c>
      <c r="J151" s="14">
        <v>165</v>
      </c>
      <c r="K151" t="s">
        <v>455</v>
      </c>
      <c r="L151">
        <v>165</v>
      </c>
      <c r="M151">
        <v>0</v>
      </c>
      <c r="N151" s="10" t="s">
        <v>448</v>
      </c>
    </row>
    <row r="152" spans="2:14" ht="33" customHeight="1" x14ac:dyDescent="0.3">
      <c r="B152" s="14" t="s">
        <v>483</v>
      </c>
      <c r="C152" s="14" t="s">
        <v>655</v>
      </c>
      <c r="D152" s="14">
        <v>0</v>
      </c>
      <c r="E152" s="14">
        <v>0</v>
      </c>
      <c r="F152" s="14">
        <v>0</v>
      </c>
      <c r="G152" s="14" t="s">
        <v>186</v>
      </c>
      <c r="H152" s="14" t="str">
        <f t="shared" si="4"/>
        <v>PRECON-180</v>
      </c>
      <c r="I152" s="15" t="str">
        <f t="shared" si="5"/>
        <v>FD</v>
      </c>
      <c r="J152" s="14">
        <v>37</v>
      </c>
      <c r="K152" t="s">
        <v>455</v>
      </c>
      <c r="L152">
        <v>37</v>
      </c>
      <c r="M152">
        <v>0</v>
      </c>
      <c r="N152" s="10" t="s">
        <v>436</v>
      </c>
    </row>
    <row r="153" spans="2:14" ht="33" customHeight="1" x14ac:dyDescent="0.3">
      <c r="B153" s="14" t="s">
        <v>483</v>
      </c>
      <c r="C153" s="14" t="s">
        <v>655</v>
      </c>
      <c r="D153" s="14">
        <v>0</v>
      </c>
      <c r="E153" s="14">
        <v>0</v>
      </c>
      <c r="F153" s="14">
        <v>0</v>
      </c>
      <c r="G153" s="14" t="s">
        <v>161</v>
      </c>
      <c r="H153" s="14" t="str">
        <f t="shared" si="4"/>
        <v>PENAMAX-60</v>
      </c>
      <c r="I153" s="15" t="str">
        <f t="shared" si="5"/>
        <v>FD</v>
      </c>
      <c r="J153" s="14">
        <v>202</v>
      </c>
      <c r="K153" t="s">
        <v>451</v>
      </c>
      <c r="L153">
        <v>202</v>
      </c>
      <c r="M153">
        <v>0</v>
      </c>
      <c r="N153" s="10" t="s">
        <v>436</v>
      </c>
    </row>
    <row r="154" spans="2:14" ht="33" customHeight="1" x14ac:dyDescent="0.3">
      <c r="B154" s="14">
        <v>0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f t="shared" si="4"/>
        <v>0</v>
      </c>
      <c r="I154" s="15" t="str">
        <f t="shared" si="5"/>
        <v/>
      </c>
      <c r="J154" s="14">
        <v>0</v>
      </c>
      <c r="K154">
        <v>0</v>
      </c>
      <c r="L154">
        <v>0</v>
      </c>
      <c r="M154">
        <v>0</v>
      </c>
      <c r="N154" s="10">
        <v>0</v>
      </c>
    </row>
    <row r="155" spans="2:14" ht="33" customHeight="1" x14ac:dyDescent="0.3">
      <c r="B155" s="14" t="s">
        <v>664</v>
      </c>
      <c r="C155" s="14" t="s">
        <v>665</v>
      </c>
      <c r="D155" s="14">
        <v>0</v>
      </c>
      <c r="E155" s="14" t="s">
        <v>666</v>
      </c>
      <c r="F155" s="14" t="s">
        <v>667</v>
      </c>
      <c r="G155" s="14" t="s">
        <v>180</v>
      </c>
      <c r="H155" s="14" t="str">
        <f t="shared" si="4"/>
        <v>POLYSIT-90</v>
      </c>
      <c r="I155" s="15" t="str">
        <f t="shared" si="5"/>
        <v>EG</v>
      </c>
      <c r="J155" s="14">
        <v>1050</v>
      </c>
      <c r="K155" t="s">
        <v>668</v>
      </c>
      <c r="L155">
        <v>0</v>
      </c>
      <c r="M155">
        <v>1050</v>
      </c>
      <c r="N155" s="10" t="s">
        <v>448</v>
      </c>
    </row>
    <row r="156" spans="2:14" ht="33" customHeight="1" x14ac:dyDescent="0.3">
      <c r="B156" s="14"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f t="shared" si="4"/>
        <v>0</v>
      </c>
      <c r="I156" s="15" t="str">
        <f t="shared" si="5"/>
        <v/>
      </c>
      <c r="J156" s="14">
        <v>0</v>
      </c>
      <c r="K156">
        <v>0</v>
      </c>
      <c r="L156">
        <v>0</v>
      </c>
      <c r="M156">
        <v>0</v>
      </c>
      <c r="N156" s="10">
        <v>0</v>
      </c>
    </row>
    <row r="157" spans="2:14" ht="33" customHeight="1" x14ac:dyDescent="0.3">
      <c r="B157" s="14" t="s">
        <v>669</v>
      </c>
      <c r="C157" s="14" t="s">
        <v>670</v>
      </c>
      <c r="D157" s="14">
        <v>0</v>
      </c>
      <c r="E157" s="14" t="s">
        <v>671</v>
      </c>
      <c r="F157" s="14" t="s">
        <v>672</v>
      </c>
      <c r="G157" s="14" t="s">
        <v>673</v>
      </c>
      <c r="H157" s="14" t="str">
        <f t="shared" si="4"/>
        <v>PEDIAIR-50</v>
      </c>
      <c r="I157" s="15" t="str">
        <f t="shared" si="5"/>
        <v>FD</v>
      </c>
      <c r="J157" s="14">
        <v>1800</v>
      </c>
      <c r="K157" t="s">
        <v>674</v>
      </c>
      <c r="L157">
        <v>0</v>
      </c>
      <c r="M157">
        <v>1800</v>
      </c>
      <c r="N157" s="10" t="s">
        <v>442</v>
      </c>
    </row>
    <row r="158" spans="2:14" ht="33" customHeight="1" x14ac:dyDescent="0.3">
      <c r="B158" s="14" t="s">
        <v>669</v>
      </c>
      <c r="C158" s="14" t="s">
        <v>670</v>
      </c>
      <c r="D158" s="14">
        <v>0</v>
      </c>
      <c r="E158" s="14">
        <v>0</v>
      </c>
      <c r="F158" s="14">
        <v>0</v>
      </c>
      <c r="G158" s="14" t="s">
        <v>675</v>
      </c>
      <c r="H158" s="14" t="str">
        <f t="shared" si="4"/>
        <v>PEDIAZI-50</v>
      </c>
      <c r="I158" s="15" t="str">
        <f t="shared" si="5"/>
        <v>FD</v>
      </c>
      <c r="J158" s="14">
        <v>1500</v>
      </c>
      <c r="K158" t="s">
        <v>676</v>
      </c>
      <c r="L158">
        <v>0</v>
      </c>
      <c r="M158">
        <v>1500</v>
      </c>
      <c r="N158" s="10" t="s">
        <v>442</v>
      </c>
    </row>
    <row r="159" spans="2:14" ht="33" customHeight="1" x14ac:dyDescent="0.3">
      <c r="B159" s="14" t="s">
        <v>669</v>
      </c>
      <c r="C159" s="14" t="s">
        <v>670</v>
      </c>
      <c r="D159" s="14">
        <v>0</v>
      </c>
      <c r="E159" s="14">
        <v>0</v>
      </c>
      <c r="F159" s="14" t="s">
        <v>677</v>
      </c>
      <c r="G159" s="14" t="s">
        <v>633</v>
      </c>
      <c r="H159" s="14" t="str">
        <f t="shared" si="4"/>
        <v>PEDIAD4-50</v>
      </c>
      <c r="I159" s="15" t="str">
        <f t="shared" si="5"/>
        <v>FD</v>
      </c>
      <c r="J159" s="14">
        <v>500</v>
      </c>
      <c r="K159" t="s">
        <v>634</v>
      </c>
      <c r="L159">
        <v>0</v>
      </c>
      <c r="M159">
        <v>500</v>
      </c>
      <c r="N159" s="10" t="s">
        <v>442</v>
      </c>
    </row>
    <row r="160" spans="2:14" ht="33" customHeight="1" x14ac:dyDescent="0.3">
      <c r="B160" s="14" t="s">
        <v>669</v>
      </c>
      <c r="C160" s="14" t="s">
        <v>670</v>
      </c>
      <c r="D160" s="14">
        <v>0</v>
      </c>
      <c r="E160" s="14">
        <v>0</v>
      </c>
      <c r="F160" s="14">
        <v>0</v>
      </c>
      <c r="G160" s="14" t="s">
        <v>678</v>
      </c>
      <c r="H160" s="14" t="str">
        <f t="shared" si="4"/>
        <v>PEDIACM-50</v>
      </c>
      <c r="I160" s="15" t="str">
        <f t="shared" si="5"/>
        <v>FD</v>
      </c>
      <c r="J160" s="14">
        <v>1500</v>
      </c>
      <c r="K160" t="s">
        <v>679</v>
      </c>
      <c r="L160">
        <v>0</v>
      </c>
      <c r="M160">
        <v>1500</v>
      </c>
      <c r="N160" s="10" t="s">
        <v>442</v>
      </c>
    </row>
    <row r="161" spans="2:14" ht="33" customHeight="1" x14ac:dyDescent="0.3">
      <c r="B161" s="14"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f t="shared" si="4"/>
        <v>0</v>
      </c>
      <c r="I161" s="15" t="str">
        <f t="shared" si="5"/>
        <v/>
      </c>
      <c r="J161" s="14">
        <v>0</v>
      </c>
      <c r="K161">
        <v>0</v>
      </c>
      <c r="L161">
        <v>0</v>
      </c>
      <c r="M161">
        <v>0</v>
      </c>
      <c r="N161" s="10">
        <v>0</v>
      </c>
    </row>
    <row r="162" spans="2:14" ht="33" customHeight="1" x14ac:dyDescent="0.3">
      <c r="B162" s="14" t="s">
        <v>680</v>
      </c>
      <c r="C162" s="14" t="s">
        <v>681</v>
      </c>
      <c r="D162" s="14">
        <v>0</v>
      </c>
      <c r="E162" s="14" t="s">
        <v>682</v>
      </c>
      <c r="F162" s="14">
        <v>0</v>
      </c>
      <c r="G162" s="14" t="s">
        <v>406</v>
      </c>
      <c r="H162" s="14" t="str">
        <f t="shared" si="4"/>
        <v>MFSPLS-120</v>
      </c>
      <c r="I162" s="15" t="str">
        <f t="shared" si="5"/>
        <v>FD</v>
      </c>
      <c r="J162" s="14">
        <v>300</v>
      </c>
      <c r="K162" t="s">
        <v>462</v>
      </c>
      <c r="L162">
        <v>0</v>
      </c>
      <c r="M162">
        <v>300</v>
      </c>
      <c r="N162" s="10" t="s">
        <v>414</v>
      </c>
    </row>
    <row r="163" spans="2:14" ht="33" customHeight="1" x14ac:dyDescent="0.3">
      <c r="B163" s="14" t="s">
        <v>680</v>
      </c>
      <c r="C163" s="14" t="s">
        <v>681</v>
      </c>
      <c r="D163" s="14">
        <v>0</v>
      </c>
      <c r="E163" s="14">
        <v>0</v>
      </c>
      <c r="F163" s="14">
        <v>0</v>
      </c>
      <c r="G163" s="14" t="s">
        <v>144</v>
      </c>
      <c r="H163" s="14" t="str">
        <f t="shared" si="4"/>
        <v>OVAMAX-120</v>
      </c>
      <c r="I163" s="15" t="str">
        <f t="shared" si="5"/>
        <v>FD</v>
      </c>
      <c r="J163" s="14">
        <v>300</v>
      </c>
      <c r="K163" t="s">
        <v>447</v>
      </c>
      <c r="L163">
        <v>300</v>
      </c>
      <c r="M163">
        <v>0</v>
      </c>
      <c r="N163" s="10" t="s">
        <v>414</v>
      </c>
    </row>
    <row r="164" spans="2:14" ht="33" customHeight="1" x14ac:dyDescent="0.3">
      <c r="B164" s="14" t="s">
        <v>680</v>
      </c>
      <c r="C164" s="14" t="s">
        <v>681</v>
      </c>
      <c r="D164" s="14">
        <v>0</v>
      </c>
      <c r="E164" s="14">
        <v>0</v>
      </c>
      <c r="F164" s="14" t="s">
        <v>683</v>
      </c>
      <c r="G164" s="14" t="s">
        <v>42</v>
      </c>
      <c r="H164" s="14" t="str">
        <f t="shared" si="4"/>
        <v>FERTMX-90</v>
      </c>
      <c r="I164" s="15" t="str">
        <f t="shared" si="5"/>
        <v>RE</v>
      </c>
      <c r="J164" s="14">
        <v>300</v>
      </c>
      <c r="K164" t="s">
        <v>684</v>
      </c>
      <c r="L164">
        <v>300</v>
      </c>
      <c r="M164">
        <v>0</v>
      </c>
      <c r="N164" s="10" t="s">
        <v>414</v>
      </c>
    </row>
    <row r="165" spans="2:14" ht="33" customHeight="1" x14ac:dyDescent="0.3">
      <c r="B165" s="14" t="s">
        <v>680</v>
      </c>
      <c r="C165" s="14" t="s">
        <v>681</v>
      </c>
      <c r="D165" s="14">
        <v>0</v>
      </c>
      <c r="E165" s="14">
        <v>0</v>
      </c>
      <c r="F165" s="14">
        <v>0</v>
      </c>
      <c r="G165" s="14" t="s">
        <v>186</v>
      </c>
      <c r="H165" s="14" t="str">
        <f t="shared" si="4"/>
        <v>PRECON-180</v>
      </c>
      <c r="I165" s="15" t="str">
        <f t="shared" si="5"/>
        <v>FD</v>
      </c>
      <c r="J165" s="14">
        <v>100</v>
      </c>
      <c r="K165" t="s">
        <v>455</v>
      </c>
      <c r="L165">
        <v>100</v>
      </c>
      <c r="M165">
        <v>0</v>
      </c>
      <c r="N165" s="10" t="s">
        <v>414</v>
      </c>
    </row>
    <row r="166" spans="2:14" ht="33" customHeight="1" x14ac:dyDescent="0.3">
      <c r="B166" s="14" t="s">
        <v>680</v>
      </c>
      <c r="C166" s="14" t="s">
        <v>681</v>
      </c>
      <c r="D166" s="14">
        <v>0</v>
      </c>
      <c r="E166" s="14">
        <v>0</v>
      </c>
      <c r="F166" s="14">
        <v>0</v>
      </c>
      <c r="G166" s="14" t="s">
        <v>71</v>
      </c>
      <c r="H166" s="14" t="str">
        <f t="shared" si="4"/>
        <v>FIBRO-60</v>
      </c>
      <c r="I166" s="15" t="str">
        <f t="shared" si="5"/>
        <v>FD</v>
      </c>
      <c r="J166" s="14">
        <v>100</v>
      </c>
      <c r="K166" t="s">
        <v>685</v>
      </c>
      <c r="L166">
        <v>100</v>
      </c>
      <c r="M166">
        <v>0</v>
      </c>
      <c r="N166" s="10" t="s">
        <v>414</v>
      </c>
    </row>
    <row r="167" spans="2:14" ht="33" customHeight="1" x14ac:dyDescent="0.3">
      <c r="B167" s="14" t="s">
        <v>680</v>
      </c>
      <c r="C167" s="14" t="s">
        <v>681</v>
      </c>
      <c r="D167" s="14">
        <v>0</v>
      </c>
      <c r="E167" s="14">
        <v>0</v>
      </c>
      <c r="F167" s="14">
        <v>0</v>
      </c>
      <c r="G167" s="14" t="s">
        <v>512</v>
      </c>
      <c r="H167" s="14" t="str">
        <f t="shared" si="4"/>
        <v>COQ400-30</v>
      </c>
      <c r="I167" s="15" t="str">
        <f t="shared" si="5"/>
        <v>SU</v>
      </c>
      <c r="J167" s="14">
        <v>400</v>
      </c>
      <c r="K167" t="s">
        <v>513</v>
      </c>
      <c r="L167">
        <v>0</v>
      </c>
      <c r="M167">
        <v>400</v>
      </c>
      <c r="N167" s="10" t="s">
        <v>414</v>
      </c>
    </row>
    <row r="168" spans="2:14" ht="33" customHeight="1" x14ac:dyDescent="0.3">
      <c r="B168" s="14" t="s">
        <v>680</v>
      </c>
      <c r="C168" s="14" t="s">
        <v>681</v>
      </c>
      <c r="D168" s="14" t="s">
        <v>686</v>
      </c>
      <c r="E168" s="14">
        <v>0</v>
      </c>
      <c r="F168" s="14">
        <v>0</v>
      </c>
      <c r="G168" s="14" t="s">
        <v>34</v>
      </c>
      <c r="H168" s="14" t="str">
        <f t="shared" si="4"/>
        <v>DHEA50-60</v>
      </c>
      <c r="I168" s="15" t="str">
        <f t="shared" si="5"/>
        <v>FD</v>
      </c>
      <c r="J168" s="14">
        <v>300</v>
      </c>
      <c r="K168" t="s">
        <v>453</v>
      </c>
      <c r="L168">
        <v>300</v>
      </c>
      <c r="M168">
        <v>0</v>
      </c>
      <c r="N168" s="10" t="s">
        <v>414</v>
      </c>
    </row>
    <row r="169" spans="2:14" ht="33" customHeight="1" x14ac:dyDescent="0.3">
      <c r="B169" s="14" t="s">
        <v>680</v>
      </c>
      <c r="C169" s="14" t="s">
        <v>681</v>
      </c>
      <c r="D169" s="14">
        <v>0</v>
      </c>
      <c r="E169" s="14">
        <v>0</v>
      </c>
      <c r="F169" s="14">
        <v>0</v>
      </c>
      <c r="G169" s="14" t="s">
        <v>161</v>
      </c>
      <c r="H169" s="14" t="str">
        <f t="shared" si="4"/>
        <v>PENAMAX-60</v>
      </c>
      <c r="I169" s="15" t="str">
        <f t="shared" si="5"/>
        <v>FD</v>
      </c>
      <c r="J169" s="14">
        <v>100</v>
      </c>
      <c r="K169" t="s">
        <v>451</v>
      </c>
      <c r="L169">
        <v>100</v>
      </c>
      <c r="M169">
        <v>0</v>
      </c>
      <c r="N169" s="10" t="s">
        <v>414</v>
      </c>
    </row>
    <row r="170" spans="2:14" ht="33" customHeight="1" x14ac:dyDescent="0.3">
      <c r="B170" s="14" t="s">
        <v>680</v>
      </c>
      <c r="C170" s="14" t="s">
        <v>681</v>
      </c>
      <c r="D170" s="14">
        <v>0</v>
      </c>
      <c r="E170" s="14">
        <v>0</v>
      </c>
      <c r="F170" s="14">
        <v>0</v>
      </c>
      <c r="G170" s="14" t="s">
        <v>125</v>
      </c>
      <c r="H170" s="14" t="str">
        <f t="shared" si="4"/>
        <v>MOTILMX-60</v>
      </c>
      <c r="I170" s="15" t="str">
        <f t="shared" si="5"/>
        <v>FD</v>
      </c>
      <c r="J170" s="14">
        <v>250</v>
      </c>
      <c r="K170" t="s">
        <v>460</v>
      </c>
      <c r="L170">
        <v>250</v>
      </c>
      <c r="M170">
        <v>0</v>
      </c>
      <c r="N170" s="10" t="s">
        <v>414</v>
      </c>
    </row>
    <row r="171" spans="2:14" ht="33" customHeight="1" x14ac:dyDescent="0.3">
      <c r="B171" s="14" t="s">
        <v>680</v>
      </c>
      <c r="C171" s="14" t="s">
        <v>681</v>
      </c>
      <c r="D171" s="14">
        <v>0</v>
      </c>
      <c r="E171" s="14">
        <v>0</v>
      </c>
      <c r="F171" s="14">
        <v>0</v>
      </c>
      <c r="G171" s="14" t="s">
        <v>39</v>
      </c>
      <c r="H171" s="14" t="str">
        <f t="shared" si="4"/>
        <v>WFSPLS-180</v>
      </c>
      <c r="I171" s="15" t="str">
        <f t="shared" si="5"/>
        <v>FD</v>
      </c>
      <c r="J171" s="14">
        <v>50</v>
      </c>
      <c r="K171" t="s">
        <v>438</v>
      </c>
      <c r="L171">
        <v>0</v>
      </c>
      <c r="M171">
        <v>50</v>
      </c>
      <c r="N171" s="10" t="s">
        <v>414</v>
      </c>
    </row>
    <row r="172" spans="2:14" ht="33" customHeight="1" x14ac:dyDescent="0.3">
      <c r="B172" s="14"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>
        <f t="shared" si="4"/>
        <v>0</v>
      </c>
      <c r="I172" s="15" t="str">
        <f t="shared" si="5"/>
        <v/>
      </c>
      <c r="J172" s="14">
        <v>0</v>
      </c>
      <c r="K172">
        <v>0</v>
      </c>
      <c r="L172">
        <v>0</v>
      </c>
      <c r="M172">
        <v>0</v>
      </c>
      <c r="N172" s="10">
        <v>0</v>
      </c>
    </row>
    <row r="173" spans="2:14" ht="33" customHeight="1" x14ac:dyDescent="0.3">
      <c r="B173" s="14" t="s">
        <v>410</v>
      </c>
      <c r="C173" s="14" t="s">
        <v>687</v>
      </c>
      <c r="D173" s="14">
        <v>0</v>
      </c>
      <c r="E173" s="14" t="s">
        <v>688</v>
      </c>
      <c r="F173" s="14">
        <v>0</v>
      </c>
      <c r="G173" s="14" t="s">
        <v>355</v>
      </c>
      <c r="H173" s="14" t="str">
        <f t="shared" si="4"/>
        <v>NERUFLX-60</v>
      </c>
      <c r="I173" s="15" t="str">
        <f t="shared" si="5"/>
        <v>FD</v>
      </c>
      <c r="J173" s="14">
        <v>100</v>
      </c>
      <c r="K173" t="s">
        <v>424</v>
      </c>
      <c r="L173">
        <v>100</v>
      </c>
      <c r="M173">
        <v>0</v>
      </c>
      <c r="N173" s="10" t="s">
        <v>414</v>
      </c>
    </row>
    <row r="174" spans="2:14" ht="33" customHeight="1" x14ac:dyDescent="0.3">
      <c r="B174" s="14"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>
        <f t="shared" si="4"/>
        <v>0</v>
      </c>
      <c r="I174" s="15" t="str">
        <f t="shared" si="5"/>
        <v/>
      </c>
      <c r="J174" s="14">
        <v>0</v>
      </c>
      <c r="K174">
        <v>0</v>
      </c>
      <c r="L174">
        <v>0</v>
      </c>
      <c r="M174">
        <v>0</v>
      </c>
      <c r="N174" s="10">
        <v>0</v>
      </c>
    </row>
    <row r="175" spans="2:14" ht="33" customHeight="1" x14ac:dyDescent="0.3">
      <c r="B175" s="14" t="s">
        <v>669</v>
      </c>
      <c r="C175" s="14" t="s">
        <v>689</v>
      </c>
      <c r="D175" s="14">
        <v>0</v>
      </c>
      <c r="E175" s="14" t="s">
        <v>690</v>
      </c>
      <c r="F175" s="14">
        <v>0</v>
      </c>
      <c r="G175" s="14" t="s">
        <v>691</v>
      </c>
      <c r="H175" s="14" t="str">
        <f t="shared" si="4"/>
        <v>PEDIAIR-50</v>
      </c>
      <c r="I175" s="15" t="str">
        <f t="shared" si="5"/>
        <v>CH</v>
      </c>
      <c r="J175" s="14">
        <v>10</v>
      </c>
      <c r="K175" t="s">
        <v>692</v>
      </c>
      <c r="L175">
        <v>0</v>
      </c>
      <c r="M175">
        <v>5</v>
      </c>
      <c r="N175" s="10" t="s">
        <v>442</v>
      </c>
    </row>
    <row r="176" spans="2:14" ht="33" customHeight="1" x14ac:dyDescent="0.3">
      <c r="B176" s="14">
        <v>0</v>
      </c>
      <c r="C176" s="14">
        <v>0</v>
      </c>
      <c r="D176" s="14">
        <v>0</v>
      </c>
      <c r="E176" s="14">
        <v>0</v>
      </c>
      <c r="F176" s="14">
        <v>0</v>
      </c>
      <c r="G176" s="14">
        <v>0</v>
      </c>
      <c r="H176" s="14">
        <f t="shared" si="4"/>
        <v>0</v>
      </c>
      <c r="I176" s="15" t="str">
        <f t="shared" si="5"/>
        <v/>
      </c>
      <c r="J176" s="14">
        <v>0</v>
      </c>
      <c r="K176">
        <v>0</v>
      </c>
      <c r="L176">
        <v>0</v>
      </c>
      <c r="M176">
        <v>0</v>
      </c>
      <c r="N176" s="10">
        <v>0</v>
      </c>
    </row>
    <row r="177" spans="2:14" ht="33" customHeight="1" x14ac:dyDescent="0.3">
      <c r="B177" s="14" t="s">
        <v>519</v>
      </c>
      <c r="C177" s="14" t="s">
        <v>693</v>
      </c>
      <c r="D177" s="14" t="s">
        <v>694</v>
      </c>
      <c r="E177" s="14" t="s">
        <v>695</v>
      </c>
      <c r="F177" s="14" t="s">
        <v>696</v>
      </c>
      <c r="G177" s="14" t="s">
        <v>361</v>
      </c>
      <c r="H177" s="14" t="str">
        <f t="shared" si="4"/>
        <v>OMEGA3-40</v>
      </c>
      <c r="I177" s="15" t="str">
        <f t="shared" si="5"/>
        <v>IQ</v>
      </c>
      <c r="J177" s="14">
        <v>62962</v>
      </c>
      <c r="K177" t="s">
        <v>697</v>
      </c>
      <c r="L177">
        <v>0</v>
      </c>
      <c r="M177">
        <v>62962</v>
      </c>
      <c r="N177" s="10" t="s">
        <v>431</v>
      </c>
    </row>
    <row r="178" spans="2:14" ht="33" customHeight="1" x14ac:dyDescent="0.3">
      <c r="B178" s="14" t="s">
        <v>519</v>
      </c>
      <c r="C178" s="14" t="s">
        <v>693</v>
      </c>
      <c r="D178" s="14" t="s">
        <v>694</v>
      </c>
      <c r="E178" s="14">
        <v>0</v>
      </c>
      <c r="F178" s="14" t="s">
        <v>698</v>
      </c>
      <c r="G178" s="14" t="s">
        <v>401</v>
      </c>
      <c r="H178" s="14" t="str">
        <f t="shared" si="4"/>
        <v>ZINC50-30</v>
      </c>
      <c r="I178" s="15" t="str">
        <f t="shared" si="5"/>
        <v>IQ</v>
      </c>
      <c r="J178" s="14">
        <v>50000</v>
      </c>
      <c r="K178" t="s">
        <v>699</v>
      </c>
      <c r="L178">
        <v>0</v>
      </c>
      <c r="M178">
        <v>50000</v>
      </c>
      <c r="N178" s="10" t="s">
        <v>431</v>
      </c>
    </row>
    <row r="179" spans="2:14" ht="33" customHeight="1" x14ac:dyDescent="0.3">
      <c r="B179" s="14">
        <v>0</v>
      </c>
      <c r="C179" s="14">
        <v>0</v>
      </c>
      <c r="D179" s="14">
        <v>0</v>
      </c>
      <c r="E179" s="14">
        <v>0</v>
      </c>
      <c r="F179" s="14">
        <v>0</v>
      </c>
      <c r="G179" s="14">
        <v>0</v>
      </c>
      <c r="H179" s="14">
        <f t="shared" si="4"/>
        <v>0</v>
      </c>
      <c r="I179" s="15" t="str">
        <f t="shared" si="5"/>
        <v/>
      </c>
      <c r="J179" s="14">
        <v>0</v>
      </c>
      <c r="K179">
        <v>0</v>
      </c>
      <c r="L179">
        <v>0</v>
      </c>
      <c r="M179">
        <v>0</v>
      </c>
      <c r="N179" s="10">
        <v>0</v>
      </c>
    </row>
    <row r="180" spans="2:14" ht="33" customHeight="1" x14ac:dyDescent="0.3">
      <c r="B180" s="14" t="s">
        <v>617</v>
      </c>
      <c r="C180" s="14" t="s">
        <v>700</v>
      </c>
      <c r="D180" s="14" t="s">
        <v>619</v>
      </c>
      <c r="E180" s="14" t="s">
        <v>701</v>
      </c>
      <c r="F180" s="14">
        <v>0</v>
      </c>
      <c r="G180" s="14" t="s">
        <v>342</v>
      </c>
      <c r="H180" s="14" t="str">
        <f t="shared" si="4"/>
        <v>GINKGO-60</v>
      </c>
      <c r="I180" s="15" t="str">
        <f t="shared" si="5"/>
        <v>FD</v>
      </c>
      <c r="J180" s="14">
        <v>40</v>
      </c>
      <c r="K180" t="s">
        <v>598</v>
      </c>
      <c r="L180">
        <v>40</v>
      </c>
      <c r="M180">
        <v>0</v>
      </c>
      <c r="N180" s="10" t="s">
        <v>414</v>
      </c>
    </row>
    <row r="181" spans="2:14" ht="33" customHeight="1" x14ac:dyDescent="0.3">
      <c r="B181" s="14" t="s">
        <v>617</v>
      </c>
      <c r="C181" s="14" t="s">
        <v>700</v>
      </c>
      <c r="D181" s="14">
        <v>0</v>
      </c>
      <c r="E181" s="14">
        <v>0</v>
      </c>
      <c r="F181" s="14">
        <v>0</v>
      </c>
      <c r="G181" s="14" t="s">
        <v>390</v>
      </c>
      <c r="H181" s="14" t="str">
        <f t="shared" si="4"/>
        <v>XTRAD10-60</v>
      </c>
      <c r="I181" s="15" t="str">
        <f t="shared" si="5"/>
        <v>FD</v>
      </c>
      <c r="J181" s="14">
        <v>1200</v>
      </c>
      <c r="K181" t="s">
        <v>622</v>
      </c>
      <c r="L181">
        <v>1200</v>
      </c>
      <c r="M181">
        <v>0</v>
      </c>
      <c r="N181" s="10" t="s">
        <v>414</v>
      </c>
    </row>
    <row r="182" spans="2:14" ht="33" customHeight="1" x14ac:dyDescent="0.3">
      <c r="B182" s="14" t="s">
        <v>617</v>
      </c>
      <c r="C182" s="14" t="s">
        <v>700</v>
      </c>
      <c r="D182" s="14">
        <v>0</v>
      </c>
      <c r="E182" s="14">
        <v>0</v>
      </c>
      <c r="F182" s="14">
        <v>0</v>
      </c>
      <c r="G182" s="14" t="s">
        <v>125</v>
      </c>
      <c r="H182" s="14" t="str">
        <f t="shared" si="4"/>
        <v>MOTILMX-60</v>
      </c>
      <c r="I182" s="15" t="str">
        <f t="shared" si="5"/>
        <v>FD</v>
      </c>
      <c r="J182" s="14">
        <v>100</v>
      </c>
      <c r="K182" t="s">
        <v>460</v>
      </c>
      <c r="L182">
        <v>100</v>
      </c>
      <c r="M182">
        <v>0</v>
      </c>
      <c r="N182" s="10" t="s">
        <v>414</v>
      </c>
    </row>
    <row r="183" spans="2:14" ht="33" customHeight="1" x14ac:dyDescent="0.3">
      <c r="B183" s="14" t="s">
        <v>617</v>
      </c>
      <c r="C183" s="14" t="s">
        <v>700</v>
      </c>
      <c r="D183" s="14">
        <v>0</v>
      </c>
      <c r="E183" s="14">
        <v>0</v>
      </c>
      <c r="F183" s="14">
        <v>0</v>
      </c>
      <c r="G183" s="14" t="s">
        <v>406</v>
      </c>
      <c r="H183" s="14" t="str">
        <f t="shared" si="4"/>
        <v>MFSPLS-120</v>
      </c>
      <c r="I183" s="15" t="str">
        <f t="shared" si="5"/>
        <v>FD</v>
      </c>
      <c r="J183" s="14">
        <v>80</v>
      </c>
      <c r="K183" t="s">
        <v>462</v>
      </c>
      <c r="L183">
        <v>80</v>
      </c>
      <c r="M183">
        <v>0</v>
      </c>
      <c r="N183" s="10" t="s">
        <v>414</v>
      </c>
    </row>
    <row r="184" spans="2:14" ht="33" customHeight="1" x14ac:dyDescent="0.3">
      <c r="B184" s="14" t="s">
        <v>617</v>
      </c>
      <c r="C184" s="14" t="s">
        <v>700</v>
      </c>
      <c r="D184" s="14">
        <v>0</v>
      </c>
      <c r="E184" s="14">
        <v>0</v>
      </c>
      <c r="F184" s="14">
        <v>0</v>
      </c>
      <c r="G184" s="14" t="s">
        <v>71</v>
      </c>
      <c r="H184" s="14" t="str">
        <f t="shared" si="4"/>
        <v>FIBRO-60</v>
      </c>
      <c r="I184" s="15" t="str">
        <f t="shared" si="5"/>
        <v>FD</v>
      </c>
      <c r="J184" s="14">
        <v>60</v>
      </c>
      <c r="K184" t="s">
        <v>623</v>
      </c>
      <c r="L184">
        <v>60</v>
      </c>
      <c r="M184">
        <v>0</v>
      </c>
      <c r="N184" s="10" t="s">
        <v>414</v>
      </c>
    </row>
    <row r="185" spans="2:14" ht="33" customHeight="1" x14ac:dyDescent="0.3">
      <c r="B185" s="14" t="s">
        <v>617</v>
      </c>
      <c r="C185" s="14" t="s">
        <v>700</v>
      </c>
      <c r="D185" s="14">
        <v>0</v>
      </c>
      <c r="E185" s="14">
        <v>0</v>
      </c>
      <c r="F185" s="14">
        <v>0</v>
      </c>
      <c r="G185" s="14" t="s">
        <v>34</v>
      </c>
      <c r="H185" s="14" t="str">
        <f t="shared" si="4"/>
        <v>DHEA50-60</v>
      </c>
      <c r="I185" s="15" t="str">
        <f t="shared" si="5"/>
        <v>FD</v>
      </c>
      <c r="J185" s="14">
        <v>60</v>
      </c>
      <c r="K185" t="s">
        <v>453</v>
      </c>
      <c r="L185">
        <v>60</v>
      </c>
      <c r="M185">
        <v>0</v>
      </c>
      <c r="N185" s="10" t="s">
        <v>414</v>
      </c>
    </row>
    <row r="186" spans="2:14" ht="33" customHeight="1" x14ac:dyDescent="0.3">
      <c r="B186" s="14" t="s">
        <v>617</v>
      </c>
      <c r="C186" s="14" t="s">
        <v>700</v>
      </c>
      <c r="D186" s="14">
        <v>0</v>
      </c>
      <c r="E186" s="14">
        <v>0</v>
      </c>
      <c r="F186" s="14">
        <v>0</v>
      </c>
      <c r="G186" s="14" t="s">
        <v>220</v>
      </c>
      <c r="H186" s="14" t="str">
        <f t="shared" si="4"/>
        <v>SPERMCT-60</v>
      </c>
      <c r="I186" s="15" t="str">
        <f t="shared" si="5"/>
        <v>FD</v>
      </c>
      <c r="J186" s="14">
        <v>50</v>
      </c>
      <c r="K186" t="s">
        <v>435</v>
      </c>
      <c r="L186">
        <v>50</v>
      </c>
      <c r="M186">
        <v>0</v>
      </c>
      <c r="N186" s="10" t="s">
        <v>414</v>
      </c>
    </row>
    <row r="187" spans="2:14" ht="33" customHeight="1" x14ac:dyDescent="0.3">
      <c r="B187" s="14" t="s">
        <v>617</v>
      </c>
      <c r="C187" s="14" t="s">
        <v>700</v>
      </c>
      <c r="D187" s="14">
        <v>0</v>
      </c>
      <c r="E187" s="14">
        <v>0</v>
      </c>
      <c r="F187" s="14">
        <v>49241225</v>
      </c>
      <c r="G187" s="14" t="s">
        <v>260</v>
      </c>
      <c r="H187" s="14" t="str">
        <f t="shared" si="4"/>
        <v>CAVIN-60</v>
      </c>
      <c r="I187" s="15" t="str">
        <f t="shared" si="5"/>
        <v>FD</v>
      </c>
      <c r="J187" s="14">
        <v>46</v>
      </c>
      <c r="K187" t="s">
        <v>625</v>
      </c>
      <c r="L187">
        <v>46</v>
      </c>
      <c r="M187">
        <v>0</v>
      </c>
      <c r="N187" s="10" t="s">
        <v>414</v>
      </c>
    </row>
    <row r="188" spans="2:14" ht="33" customHeight="1" x14ac:dyDescent="0.3">
      <c r="B188" s="14" t="s">
        <v>617</v>
      </c>
      <c r="C188" s="14" t="s">
        <v>700</v>
      </c>
      <c r="D188" s="14">
        <v>0</v>
      </c>
      <c r="E188" s="14">
        <v>0</v>
      </c>
      <c r="F188" s="14">
        <v>0</v>
      </c>
      <c r="G188" s="14" t="s">
        <v>260</v>
      </c>
      <c r="H188" s="14" t="str">
        <f t="shared" si="4"/>
        <v>CAVIN-60</v>
      </c>
      <c r="I188" s="15" t="str">
        <f t="shared" si="5"/>
        <v>FD</v>
      </c>
      <c r="J188" s="14">
        <v>12</v>
      </c>
      <c r="K188" t="s">
        <v>625</v>
      </c>
      <c r="L188">
        <v>12</v>
      </c>
      <c r="M188">
        <v>0</v>
      </c>
      <c r="N188" s="10" t="s">
        <v>414</v>
      </c>
    </row>
    <row r="189" spans="2:14" ht="33" customHeight="1" x14ac:dyDescent="0.3">
      <c r="B189" s="14" t="s">
        <v>617</v>
      </c>
      <c r="C189" s="14" t="s">
        <v>700</v>
      </c>
      <c r="D189" s="14">
        <v>0</v>
      </c>
      <c r="E189" s="14">
        <v>0</v>
      </c>
      <c r="F189" s="14">
        <v>0</v>
      </c>
      <c r="G189" s="14" t="s">
        <v>366</v>
      </c>
      <c r="H189" s="14" t="str">
        <f t="shared" si="4"/>
        <v>OME369-90</v>
      </c>
      <c r="I189" s="15" t="str">
        <f t="shared" si="5"/>
        <v>FD</v>
      </c>
      <c r="J189" s="14">
        <v>60</v>
      </c>
      <c r="K189" t="s">
        <v>702</v>
      </c>
      <c r="L189">
        <v>60</v>
      </c>
      <c r="M189">
        <v>0</v>
      </c>
      <c r="N189" s="10" t="s">
        <v>414</v>
      </c>
    </row>
    <row r="190" spans="2:14" ht="33" customHeight="1" x14ac:dyDescent="0.3">
      <c r="B190" s="14">
        <v>0</v>
      </c>
      <c r="C190" s="14">
        <v>0</v>
      </c>
      <c r="D190" s="14">
        <v>0</v>
      </c>
      <c r="E190" s="14">
        <v>0</v>
      </c>
      <c r="F190" s="14">
        <v>0</v>
      </c>
      <c r="G190" s="14">
        <v>0</v>
      </c>
      <c r="H190" s="14">
        <f t="shared" si="4"/>
        <v>0</v>
      </c>
      <c r="I190" s="15" t="str">
        <f t="shared" si="5"/>
        <v/>
      </c>
      <c r="J190" s="14">
        <v>0</v>
      </c>
      <c r="K190">
        <v>0</v>
      </c>
      <c r="L190">
        <v>0</v>
      </c>
      <c r="M190">
        <v>0</v>
      </c>
      <c r="N190" s="10">
        <v>0</v>
      </c>
    </row>
    <row r="191" spans="2:14" ht="33" customHeight="1" x14ac:dyDescent="0.3">
      <c r="B191" s="14" t="s">
        <v>617</v>
      </c>
      <c r="C191" s="14" t="s">
        <v>703</v>
      </c>
      <c r="D191" s="14" t="s">
        <v>619</v>
      </c>
      <c r="E191" s="14" t="s">
        <v>701</v>
      </c>
      <c r="F191" s="14">
        <v>0</v>
      </c>
      <c r="G191" s="14" t="s">
        <v>299</v>
      </c>
      <c r="H191" s="14" t="str">
        <f t="shared" si="4"/>
        <v>OSTEOPL-96</v>
      </c>
      <c r="I191" s="15" t="str">
        <f t="shared" si="5"/>
        <v>FD</v>
      </c>
      <c r="J191" s="14">
        <v>40</v>
      </c>
      <c r="K191" t="s">
        <v>621</v>
      </c>
      <c r="L191">
        <v>40</v>
      </c>
      <c r="M191">
        <v>0</v>
      </c>
      <c r="N191" s="10" t="s">
        <v>414</v>
      </c>
    </row>
    <row r="192" spans="2:14" ht="33" customHeight="1" x14ac:dyDescent="0.3">
      <c r="B192" s="14" t="s">
        <v>617</v>
      </c>
      <c r="C192" s="14" t="s">
        <v>703</v>
      </c>
      <c r="D192" s="14">
        <v>0</v>
      </c>
      <c r="E192" s="14">
        <v>0</v>
      </c>
      <c r="F192" s="14">
        <v>0</v>
      </c>
      <c r="G192" s="14" t="s">
        <v>342</v>
      </c>
      <c r="H192" s="14" t="str">
        <f t="shared" si="4"/>
        <v>GINKGO-60</v>
      </c>
      <c r="I192" s="15" t="str">
        <f t="shared" si="5"/>
        <v>FD</v>
      </c>
      <c r="J192" s="14">
        <v>50</v>
      </c>
      <c r="K192" t="s">
        <v>598</v>
      </c>
      <c r="L192">
        <v>50</v>
      </c>
      <c r="M192">
        <v>0</v>
      </c>
      <c r="N192" s="10" t="s">
        <v>414</v>
      </c>
    </row>
    <row r="193" spans="2:14" ht="33" customHeight="1" x14ac:dyDescent="0.3">
      <c r="B193" s="14" t="s">
        <v>617</v>
      </c>
      <c r="C193" s="14" t="s">
        <v>703</v>
      </c>
      <c r="D193" s="14">
        <v>0</v>
      </c>
      <c r="E193" s="14">
        <v>0</v>
      </c>
      <c r="F193" s="14">
        <v>0</v>
      </c>
      <c r="G193" s="14" t="s">
        <v>207</v>
      </c>
      <c r="H193" s="14" t="str">
        <f t="shared" si="4"/>
        <v>PROSTA-90</v>
      </c>
      <c r="I193" s="15" t="str">
        <f t="shared" si="5"/>
        <v>FD</v>
      </c>
      <c r="J193" s="14">
        <v>40</v>
      </c>
      <c r="K193" t="s">
        <v>445</v>
      </c>
      <c r="L193">
        <v>40</v>
      </c>
      <c r="M193">
        <v>0</v>
      </c>
      <c r="N193" s="10" t="s">
        <v>414</v>
      </c>
    </row>
    <row r="194" spans="2:14" ht="33" customHeight="1" x14ac:dyDescent="0.3">
      <c r="B194" s="14" t="s">
        <v>617</v>
      </c>
      <c r="C194" s="14" t="s">
        <v>703</v>
      </c>
      <c r="D194" s="14">
        <v>0</v>
      </c>
      <c r="E194" s="14">
        <v>0</v>
      </c>
      <c r="F194" s="14">
        <v>0</v>
      </c>
      <c r="G194" s="14" t="s">
        <v>390</v>
      </c>
      <c r="H194" s="14" t="str">
        <f t="shared" si="4"/>
        <v>XTRAD10-60</v>
      </c>
      <c r="I194" s="15" t="str">
        <f t="shared" si="5"/>
        <v>FD</v>
      </c>
      <c r="J194" s="14">
        <v>600</v>
      </c>
      <c r="K194" t="s">
        <v>622</v>
      </c>
      <c r="L194">
        <v>600</v>
      </c>
      <c r="M194">
        <v>0</v>
      </c>
      <c r="N194" s="10" t="s">
        <v>414</v>
      </c>
    </row>
    <row r="195" spans="2:14" ht="33" customHeight="1" x14ac:dyDescent="0.3">
      <c r="B195" s="14" t="s">
        <v>617</v>
      </c>
      <c r="C195" s="14" t="s">
        <v>703</v>
      </c>
      <c r="D195" s="14">
        <v>0</v>
      </c>
      <c r="E195" s="14">
        <v>0</v>
      </c>
      <c r="F195" s="14">
        <v>0</v>
      </c>
      <c r="G195" s="14" t="s">
        <v>125</v>
      </c>
      <c r="H195" s="14" t="str">
        <f t="shared" ref="H195:H258" si="6">IFERROR(_xlfn.TEXTBEFORE(G195,"-",2),G195)</f>
        <v>MOTILMX-60</v>
      </c>
      <c r="I195" s="15" t="str">
        <f t="shared" ref="I195:I258" si="7">IFERROR(_xlfn.TEXTAFTER(G195,"-",-1),"")</f>
        <v>FD</v>
      </c>
      <c r="J195" s="14">
        <v>20</v>
      </c>
      <c r="K195" t="s">
        <v>460</v>
      </c>
      <c r="L195">
        <v>20</v>
      </c>
      <c r="M195">
        <v>0</v>
      </c>
      <c r="N195" s="10" t="s">
        <v>414</v>
      </c>
    </row>
    <row r="196" spans="2:14" ht="33" customHeight="1" x14ac:dyDescent="0.3">
      <c r="B196" s="14" t="s">
        <v>617</v>
      </c>
      <c r="C196" s="14" t="s">
        <v>703</v>
      </c>
      <c r="D196" s="14">
        <v>0</v>
      </c>
      <c r="E196" s="14">
        <v>0</v>
      </c>
      <c r="F196" s="14">
        <v>0</v>
      </c>
      <c r="G196" s="14" t="s">
        <v>406</v>
      </c>
      <c r="H196" s="14" t="str">
        <f t="shared" si="6"/>
        <v>MFSPLS-120</v>
      </c>
      <c r="I196" s="15" t="str">
        <f t="shared" si="7"/>
        <v>FD</v>
      </c>
      <c r="J196" s="14">
        <v>40</v>
      </c>
      <c r="K196" t="s">
        <v>462</v>
      </c>
      <c r="L196">
        <v>40</v>
      </c>
      <c r="M196">
        <v>0</v>
      </c>
      <c r="N196" s="10" t="s">
        <v>414</v>
      </c>
    </row>
    <row r="197" spans="2:14" ht="33" customHeight="1" x14ac:dyDescent="0.3">
      <c r="B197" s="14" t="s">
        <v>617</v>
      </c>
      <c r="C197" s="14" t="s">
        <v>703</v>
      </c>
      <c r="D197" s="14">
        <v>0</v>
      </c>
      <c r="E197" s="14">
        <v>0</v>
      </c>
      <c r="F197" s="14">
        <v>0</v>
      </c>
      <c r="G197" s="14" t="s">
        <v>71</v>
      </c>
      <c r="H197" s="14" t="str">
        <f t="shared" si="6"/>
        <v>FIBRO-60</v>
      </c>
      <c r="I197" s="15" t="str">
        <f t="shared" si="7"/>
        <v>FD</v>
      </c>
      <c r="J197" s="14">
        <v>40</v>
      </c>
      <c r="K197" t="s">
        <v>623</v>
      </c>
      <c r="L197">
        <v>40</v>
      </c>
      <c r="M197">
        <v>0</v>
      </c>
      <c r="N197" s="10" t="s">
        <v>414</v>
      </c>
    </row>
    <row r="198" spans="2:14" ht="33" customHeight="1" x14ac:dyDescent="0.3">
      <c r="B198" s="14" t="s">
        <v>617</v>
      </c>
      <c r="C198" s="14" t="s">
        <v>703</v>
      </c>
      <c r="D198" s="14">
        <v>0</v>
      </c>
      <c r="E198" s="14">
        <v>0</v>
      </c>
      <c r="F198" s="14">
        <v>0</v>
      </c>
      <c r="G198" s="14" t="s">
        <v>331</v>
      </c>
      <c r="H198" s="14" t="str">
        <f t="shared" si="6"/>
        <v>DHEA25-60</v>
      </c>
      <c r="I198" s="15" t="str">
        <f t="shared" si="7"/>
        <v>FD</v>
      </c>
      <c r="J198" s="14">
        <v>50</v>
      </c>
      <c r="K198" t="s">
        <v>493</v>
      </c>
      <c r="L198">
        <v>50</v>
      </c>
      <c r="M198">
        <v>0</v>
      </c>
      <c r="N198" s="10" t="s">
        <v>414</v>
      </c>
    </row>
    <row r="199" spans="2:14" ht="33" customHeight="1" x14ac:dyDescent="0.3">
      <c r="B199" s="14" t="s">
        <v>617</v>
      </c>
      <c r="C199" s="14" t="s">
        <v>703</v>
      </c>
      <c r="D199" s="14">
        <v>0</v>
      </c>
      <c r="E199" s="14">
        <v>0</v>
      </c>
      <c r="F199" s="14">
        <v>0</v>
      </c>
      <c r="G199" s="14" t="s">
        <v>34</v>
      </c>
      <c r="H199" s="14" t="str">
        <f t="shared" si="6"/>
        <v>DHEA50-60</v>
      </c>
      <c r="I199" s="15" t="str">
        <f t="shared" si="7"/>
        <v>FD</v>
      </c>
      <c r="J199" s="14">
        <v>50</v>
      </c>
      <c r="K199" t="s">
        <v>453</v>
      </c>
      <c r="L199">
        <v>50</v>
      </c>
      <c r="M199">
        <v>0</v>
      </c>
      <c r="N199" s="10" t="s">
        <v>414</v>
      </c>
    </row>
    <row r="200" spans="2:14" ht="33" customHeight="1" x14ac:dyDescent="0.3">
      <c r="B200" s="14" t="s">
        <v>617</v>
      </c>
      <c r="C200" s="14" t="s">
        <v>703</v>
      </c>
      <c r="D200" s="14">
        <v>0</v>
      </c>
      <c r="E200" s="14">
        <v>0</v>
      </c>
      <c r="F200" s="14">
        <v>0</v>
      </c>
      <c r="G200" s="14" t="s">
        <v>39</v>
      </c>
      <c r="H200" s="14" t="str">
        <f t="shared" si="6"/>
        <v>WFSPLS-180</v>
      </c>
      <c r="I200" s="15" t="str">
        <f t="shared" si="7"/>
        <v>FD</v>
      </c>
      <c r="J200" s="14">
        <v>40</v>
      </c>
      <c r="K200" t="s">
        <v>438</v>
      </c>
      <c r="L200">
        <v>40</v>
      </c>
      <c r="M200">
        <v>0</v>
      </c>
      <c r="N200" s="10" t="s">
        <v>414</v>
      </c>
    </row>
    <row r="201" spans="2:14" ht="33" customHeight="1" x14ac:dyDescent="0.3">
      <c r="B201" s="14" t="s">
        <v>617</v>
      </c>
      <c r="C201" s="14" t="s">
        <v>703</v>
      </c>
      <c r="D201" s="14">
        <v>0</v>
      </c>
      <c r="E201" s="14">
        <v>0</v>
      </c>
      <c r="F201" s="14">
        <v>0</v>
      </c>
      <c r="G201" s="14" t="s">
        <v>220</v>
      </c>
      <c r="H201" s="14" t="str">
        <f t="shared" si="6"/>
        <v>SPERMCT-60</v>
      </c>
      <c r="I201" s="15" t="str">
        <f t="shared" si="7"/>
        <v>FD</v>
      </c>
      <c r="J201" s="14">
        <v>20</v>
      </c>
      <c r="K201" t="s">
        <v>435</v>
      </c>
      <c r="L201">
        <v>20</v>
      </c>
      <c r="M201">
        <v>0</v>
      </c>
      <c r="N201" s="10" t="s">
        <v>414</v>
      </c>
    </row>
    <row r="202" spans="2:14" ht="33" customHeight="1" x14ac:dyDescent="0.3">
      <c r="B202" s="14" t="s">
        <v>617</v>
      </c>
      <c r="C202" s="14" t="s">
        <v>703</v>
      </c>
      <c r="D202" s="14">
        <v>0</v>
      </c>
      <c r="E202" s="14">
        <v>0</v>
      </c>
      <c r="F202" s="14">
        <v>0</v>
      </c>
      <c r="G202" s="14" t="s">
        <v>144</v>
      </c>
      <c r="H202" s="14" t="str">
        <f t="shared" si="6"/>
        <v>OVAMAX-120</v>
      </c>
      <c r="I202" s="15" t="str">
        <f t="shared" si="7"/>
        <v>FD</v>
      </c>
      <c r="J202" s="14">
        <v>40</v>
      </c>
      <c r="K202" t="s">
        <v>447</v>
      </c>
      <c r="L202">
        <v>40</v>
      </c>
      <c r="M202">
        <v>0</v>
      </c>
      <c r="N202" s="10" t="s">
        <v>414</v>
      </c>
    </row>
    <row r="203" spans="2:14" ht="33" customHeight="1" x14ac:dyDescent="0.3">
      <c r="B203" s="14" t="s">
        <v>617</v>
      </c>
      <c r="C203" s="14" t="s">
        <v>703</v>
      </c>
      <c r="D203" s="14">
        <v>0</v>
      </c>
      <c r="E203" s="14">
        <v>0</v>
      </c>
      <c r="F203" s="14">
        <v>49241225</v>
      </c>
      <c r="G203" s="14" t="s">
        <v>260</v>
      </c>
      <c r="H203" s="14" t="str">
        <f t="shared" si="6"/>
        <v>CAVIN-60</v>
      </c>
      <c r="I203" s="15" t="str">
        <f t="shared" si="7"/>
        <v>FD</v>
      </c>
      <c r="J203" s="14">
        <v>40</v>
      </c>
      <c r="K203" t="s">
        <v>625</v>
      </c>
      <c r="L203">
        <v>0</v>
      </c>
      <c r="M203">
        <v>40</v>
      </c>
      <c r="N203" s="10" t="s">
        <v>414</v>
      </c>
    </row>
    <row r="204" spans="2:14" ht="33" customHeight="1" x14ac:dyDescent="0.3">
      <c r="B204" s="14" t="s">
        <v>617</v>
      </c>
      <c r="C204" s="14" t="s">
        <v>703</v>
      </c>
      <c r="D204" s="14">
        <v>0</v>
      </c>
      <c r="E204" s="14">
        <v>0</v>
      </c>
      <c r="F204" s="14">
        <v>0</v>
      </c>
      <c r="G204" s="14" t="s">
        <v>42</v>
      </c>
      <c r="H204" s="14" t="str">
        <f t="shared" si="6"/>
        <v>FERTMX-90</v>
      </c>
      <c r="I204" s="15" t="str">
        <f t="shared" si="7"/>
        <v>RE</v>
      </c>
      <c r="J204" s="14">
        <v>40</v>
      </c>
      <c r="K204" t="s">
        <v>441</v>
      </c>
      <c r="L204">
        <v>40</v>
      </c>
      <c r="M204">
        <v>0</v>
      </c>
      <c r="N204" s="10" t="s">
        <v>414</v>
      </c>
    </row>
    <row r="205" spans="2:14" ht="33" customHeight="1" x14ac:dyDescent="0.3">
      <c r="B205" s="14" t="s">
        <v>617</v>
      </c>
      <c r="C205" s="14" t="s">
        <v>703</v>
      </c>
      <c r="D205" s="14">
        <v>0</v>
      </c>
      <c r="E205" s="14">
        <v>0</v>
      </c>
      <c r="F205" s="14">
        <v>0</v>
      </c>
      <c r="G205" s="14" t="s">
        <v>366</v>
      </c>
      <c r="H205" s="14" t="str">
        <f t="shared" si="6"/>
        <v>OME369-90</v>
      </c>
      <c r="I205" s="15" t="str">
        <f t="shared" si="7"/>
        <v>FD</v>
      </c>
      <c r="J205" s="14">
        <v>120</v>
      </c>
      <c r="K205" t="s">
        <v>702</v>
      </c>
      <c r="L205">
        <v>120</v>
      </c>
      <c r="M205">
        <v>0</v>
      </c>
      <c r="N205" s="10" t="s">
        <v>414</v>
      </c>
    </row>
    <row r="206" spans="2:14" ht="33" customHeight="1" x14ac:dyDescent="0.3">
      <c r="B206" s="14" t="s">
        <v>617</v>
      </c>
      <c r="C206" s="14" t="s">
        <v>703</v>
      </c>
      <c r="D206" s="14">
        <v>0</v>
      </c>
      <c r="E206" s="14">
        <v>0</v>
      </c>
      <c r="F206" s="14">
        <v>0</v>
      </c>
      <c r="G206" s="14" t="s">
        <v>196</v>
      </c>
      <c r="H206" s="14" t="str">
        <f t="shared" si="6"/>
        <v>PRECON-90</v>
      </c>
      <c r="I206" s="15" t="str">
        <f t="shared" si="7"/>
        <v>FD</v>
      </c>
      <c r="J206" s="14">
        <v>40</v>
      </c>
      <c r="K206" t="s">
        <v>443</v>
      </c>
      <c r="L206">
        <v>40</v>
      </c>
      <c r="M206">
        <v>0</v>
      </c>
      <c r="N206" s="10" t="s">
        <v>414</v>
      </c>
    </row>
    <row r="207" spans="2:14" ht="33" customHeight="1" x14ac:dyDescent="0.3">
      <c r="B207" s="14" t="s">
        <v>617</v>
      </c>
      <c r="C207" s="14" t="s">
        <v>703</v>
      </c>
      <c r="D207" s="14">
        <v>0</v>
      </c>
      <c r="E207" s="14">
        <v>0</v>
      </c>
      <c r="F207" s="14">
        <v>0</v>
      </c>
      <c r="G207" s="14" t="s">
        <v>186</v>
      </c>
      <c r="H207" s="14" t="str">
        <f t="shared" si="6"/>
        <v>PRECON-180</v>
      </c>
      <c r="I207" s="15" t="str">
        <f t="shared" si="7"/>
        <v>FD</v>
      </c>
      <c r="J207" s="14">
        <v>40</v>
      </c>
      <c r="K207" t="s">
        <v>455</v>
      </c>
      <c r="L207">
        <v>40</v>
      </c>
      <c r="M207">
        <v>0</v>
      </c>
      <c r="N207" s="10" t="s">
        <v>414</v>
      </c>
    </row>
    <row r="208" spans="2:14" ht="33" customHeight="1" x14ac:dyDescent="0.3">
      <c r="B208" s="14" t="s">
        <v>617</v>
      </c>
      <c r="C208" s="14" t="s">
        <v>703</v>
      </c>
      <c r="D208" s="14">
        <v>0</v>
      </c>
      <c r="E208" s="14">
        <v>0</v>
      </c>
      <c r="F208" s="14">
        <v>0</v>
      </c>
      <c r="G208" s="14" t="s">
        <v>161</v>
      </c>
      <c r="H208" s="14" t="str">
        <f t="shared" si="6"/>
        <v>PENAMAX-60</v>
      </c>
      <c r="I208" s="15" t="str">
        <f t="shared" si="7"/>
        <v>FD</v>
      </c>
      <c r="J208" s="14">
        <v>20</v>
      </c>
      <c r="K208" t="s">
        <v>451</v>
      </c>
      <c r="L208">
        <v>20</v>
      </c>
      <c r="M208">
        <v>0</v>
      </c>
      <c r="N208" s="10" t="s">
        <v>414</v>
      </c>
    </row>
    <row r="209" spans="2:14" ht="33" customHeight="1" x14ac:dyDescent="0.3">
      <c r="B209" s="14">
        <v>0</v>
      </c>
      <c r="C209" s="14">
        <v>0</v>
      </c>
      <c r="D209" s="14">
        <v>0</v>
      </c>
      <c r="E209" s="14">
        <v>0</v>
      </c>
      <c r="F209" s="14">
        <v>0</v>
      </c>
      <c r="G209" s="14">
        <v>0</v>
      </c>
      <c r="H209" s="14">
        <f t="shared" si="6"/>
        <v>0</v>
      </c>
      <c r="I209" s="15" t="str">
        <f t="shared" si="7"/>
        <v/>
      </c>
      <c r="J209" s="14">
        <v>0</v>
      </c>
      <c r="K209">
        <v>0</v>
      </c>
      <c r="L209">
        <v>0</v>
      </c>
      <c r="M209">
        <v>0</v>
      </c>
      <c r="N209" s="10">
        <v>0</v>
      </c>
    </row>
    <row r="210" spans="2:14" ht="33" customHeight="1" x14ac:dyDescent="0.3">
      <c r="B210" s="14" t="s">
        <v>704</v>
      </c>
      <c r="C210" s="14" t="s">
        <v>705</v>
      </c>
      <c r="D210" s="14">
        <v>0</v>
      </c>
      <c r="E210" s="14" t="s">
        <v>706</v>
      </c>
      <c r="F210" s="14" t="s">
        <v>707</v>
      </c>
      <c r="G210" s="14" t="s">
        <v>320</v>
      </c>
      <c r="H210" s="14" t="str">
        <f t="shared" si="6"/>
        <v>ARGI-100</v>
      </c>
      <c r="I210" s="15" t="str">
        <f t="shared" si="7"/>
        <v>GE</v>
      </c>
      <c r="J210" s="14">
        <v>239</v>
      </c>
      <c r="K210" t="s">
        <v>708</v>
      </c>
      <c r="L210">
        <v>0</v>
      </c>
      <c r="M210">
        <v>239</v>
      </c>
      <c r="N210" s="10" t="s">
        <v>448</v>
      </c>
    </row>
    <row r="211" spans="2:14" ht="33" customHeight="1" x14ac:dyDescent="0.3">
      <c r="B211" s="14">
        <v>0</v>
      </c>
      <c r="C211" s="14">
        <v>0</v>
      </c>
      <c r="D211" s="14">
        <v>0</v>
      </c>
      <c r="E211" s="14">
        <v>0</v>
      </c>
      <c r="F211" s="14">
        <v>0</v>
      </c>
      <c r="G211" s="14">
        <v>0</v>
      </c>
      <c r="H211" s="14">
        <f t="shared" si="6"/>
        <v>0</v>
      </c>
      <c r="I211" s="15" t="str">
        <f t="shared" si="7"/>
        <v/>
      </c>
      <c r="J211" s="14">
        <v>0</v>
      </c>
      <c r="K211">
        <v>0</v>
      </c>
      <c r="L211">
        <v>0</v>
      </c>
      <c r="M211">
        <v>0</v>
      </c>
      <c r="N211" s="10">
        <v>0</v>
      </c>
    </row>
    <row r="212" spans="2:14" ht="33" customHeight="1" x14ac:dyDescent="0.3">
      <c r="B212" s="14" t="s">
        <v>709</v>
      </c>
      <c r="C212" s="14" t="s">
        <v>710</v>
      </c>
      <c r="D212" s="14" t="s">
        <v>711</v>
      </c>
      <c r="E212" s="14" t="s">
        <v>712</v>
      </c>
      <c r="F212" s="14" t="s">
        <v>713</v>
      </c>
      <c r="G212" s="14" t="s">
        <v>53</v>
      </c>
      <c r="H212" s="14" t="str">
        <f t="shared" si="6"/>
        <v>FERTMX-90</v>
      </c>
      <c r="I212" s="15" t="str">
        <f t="shared" si="7"/>
        <v>NI</v>
      </c>
      <c r="J212" s="14">
        <v>216</v>
      </c>
      <c r="K212" t="s">
        <v>714</v>
      </c>
      <c r="L212">
        <v>216</v>
      </c>
      <c r="M212">
        <v>0</v>
      </c>
      <c r="N212" s="10" t="s">
        <v>414</v>
      </c>
    </row>
    <row r="213" spans="2:14" ht="33" customHeight="1" x14ac:dyDescent="0.3">
      <c r="B213" s="14" t="s">
        <v>709</v>
      </c>
      <c r="C213" s="14" t="s">
        <v>710</v>
      </c>
      <c r="D213" s="14">
        <v>0</v>
      </c>
      <c r="E213" s="14">
        <v>0</v>
      </c>
      <c r="F213" s="14">
        <v>0</v>
      </c>
      <c r="G213" s="14" t="s">
        <v>98</v>
      </c>
      <c r="H213" s="14" t="str">
        <f t="shared" si="6"/>
        <v>MFSPLS-120</v>
      </c>
      <c r="I213" s="15" t="str">
        <f t="shared" si="7"/>
        <v>NI</v>
      </c>
      <c r="J213" s="14">
        <v>120</v>
      </c>
      <c r="K213" t="s">
        <v>715</v>
      </c>
      <c r="L213">
        <v>120</v>
      </c>
      <c r="M213">
        <v>0</v>
      </c>
      <c r="N213" s="10" t="s">
        <v>414</v>
      </c>
    </row>
    <row r="214" spans="2:14" ht="33" customHeight="1" x14ac:dyDescent="0.3">
      <c r="B214" s="14" t="s">
        <v>709</v>
      </c>
      <c r="C214" s="14" t="s">
        <v>710</v>
      </c>
      <c r="D214" s="14">
        <v>0</v>
      </c>
      <c r="E214" s="14">
        <v>0</v>
      </c>
      <c r="F214" s="14" t="s">
        <v>713</v>
      </c>
      <c r="G214" s="14" t="s">
        <v>133</v>
      </c>
      <c r="H214" s="14" t="str">
        <f t="shared" si="6"/>
        <v>MOTILMX-60</v>
      </c>
      <c r="I214" s="15" t="str">
        <f t="shared" si="7"/>
        <v>NI</v>
      </c>
      <c r="J214" s="14">
        <v>96</v>
      </c>
      <c r="K214" t="s">
        <v>716</v>
      </c>
      <c r="L214">
        <v>96</v>
      </c>
      <c r="M214">
        <v>0</v>
      </c>
      <c r="N214" s="10" t="s">
        <v>414</v>
      </c>
    </row>
    <row r="215" spans="2:14" ht="33" customHeight="1" x14ac:dyDescent="0.3">
      <c r="B215" s="14" t="s">
        <v>709</v>
      </c>
      <c r="C215" s="14" t="s">
        <v>710</v>
      </c>
      <c r="D215" s="14">
        <v>0</v>
      </c>
      <c r="E215" s="14">
        <v>0</v>
      </c>
      <c r="F215" s="14" t="s">
        <v>717</v>
      </c>
      <c r="G215" s="14" t="s">
        <v>147</v>
      </c>
      <c r="H215" s="14" t="str">
        <f t="shared" si="6"/>
        <v>OVAMAX-120</v>
      </c>
      <c r="I215" s="15" t="str">
        <f t="shared" si="7"/>
        <v>NI</v>
      </c>
      <c r="J215" s="14">
        <v>120</v>
      </c>
      <c r="K215" t="s">
        <v>718</v>
      </c>
      <c r="L215">
        <v>120</v>
      </c>
      <c r="M215">
        <v>0</v>
      </c>
      <c r="N215" s="10" t="s">
        <v>414</v>
      </c>
    </row>
    <row r="216" spans="2:14" ht="33" customHeight="1" x14ac:dyDescent="0.3">
      <c r="B216" s="14" t="s">
        <v>709</v>
      </c>
      <c r="C216" s="14" t="s">
        <v>710</v>
      </c>
      <c r="D216" s="14">
        <v>0</v>
      </c>
      <c r="E216" s="14">
        <v>0</v>
      </c>
      <c r="F216" s="14" t="s">
        <v>717</v>
      </c>
      <c r="G216" s="14" t="s">
        <v>242</v>
      </c>
      <c r="H216" s="14" t="str">
        <f t="shared" si="6"/>
        <v>WFSPLS-180</v>
      </c>
      <c r="I216" s="15" t="str">
        <f t="shared" si="7"/>
        <v>NI</v>
      </c>
      <c r="J216" s="14">
        <v>120</v>
      </c>
      <c r="K216" t="s">
        <v>719</v>
      </c>
      <c r="L216">
        <v>120</v>
      </c>
      <c r="M216">
        <v>0</v>
      </c>
      <c r="N216" s="10" t="s">
        <v>414</v>
      </c>
    </row>
    <row r="217" spans="2:14" ht="33" customHeight="1" x14ac:dyDescent="0.3">
      <c r="B217" s="14" t="s">
        <v>709</v>
      </c>
      <c r="C217" s="14" t="s">
        <v>710</v>
      </c>
      <c r="D217" s="14">
        <v>0</v>
      </c>
      <c r="E217" s="14">
        <v>0</v>
      </c>
      <c r="F217" s="14" t="s">
        <v>720</v>
      </c>
      <c r="G217" s="14" t="s">
        <v>74</v>
      </c>
      <c r="H217" s="14" t="str">
        <f t="shared" si="6"/>
        <v>VELMARA-60</v>
      </c>
      <c r="I217" s="15" t="str">
        <f t="shared" si="7"/>
        <v>NI</v>
      </c>
      <c r="J217" s="14">
        <v>72</v>
      </c>
      <c r="K217" t="s">
        <v>721</v>
      </c>
      <c r="L217">
        <v>72</v>
      </c>
      <c r="M217">
        <v>0</v>
      </c>
      <c r="N217" s="10" t="s">
        <v>414</v>
      </c>
    </row>
    <row r="218" spans="2:14" ht="33" customHeight="1" x14ac:dyDescent="0.3">
      <c r="B218" s="14"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0</v>
      </c>
      <c r="H218" s="14">
        <f t="shared" si="6"/>
        <v>0</v>
      </c>
      <c r="I218" s="15" t="str">
        <f t="shared" si="7"/>
        <v/>
      </c>
      <c r="J218" s="14">
        <v>0</v>
      </c>
      <c r="K218">
        <v>0</v>
      </c>
      <c r="L218">
        <v>0</v>
      </c>
      <c r="M218">
        <v>0</v>
      </c>
      <c r="N218" s="10">
        <v>0</v>
      </c>
    </row>
    <row r="219" spans="2:14" ht="33" customHeight="1" x14ac:dyDescent="0.3">
      <c r="B219" s="14" t="s">
        <v>722</v>
      </c>
      <c r="C219" s="14" t="s">
        <v>723</v>
      </c>
      <c r="D219" s="14" t="s">
        <v>724</v>
      </c>
      <c r="E219" s="14" t="s">
        <v>725</v>
      </c>
      <c r="F219" s="14">
        <v>0</v>
      </c>
      <c r="G219" s="14" t="s">
        <v>59</v>
      </c>
      <c r="H219" s="14" t="str">
        <f t="shared" si="6"/>
        <v>FERTMX-90</v>
      </c>
      <c r="I219" s="15" t="str">
        <f t="shared" si="7"/>
        <v>LY</v>
      </c>
      <c r="J219" s="14">
        <v>500</v>
      </c>
      <c r="K219" t="s">
        <v>726</v>
      </c>
      <c r="L219">
        <v>500</v>
      </c>
      <c r="M219">
        <v>0</v>
      </c>
      <c r="N219" s="10" t="s">
        <v>414</v>
      </c>
    </row>
    <row r="220" spans="2:14" ht="33" customHeight="1" x14ac:dyDescent="0.3">
      <c r="B220" s="14" t="s">
        <v>722</v>
      </c>
      <c r="C220" s="14" t="s">
        <v>723</v>
      </c>
      <c r="D220" s="14" t="s">
        <v>727</v>
      </c>
      <c r="E220" s="14">
        <v>0</v>
      </c>
      <c r="F220" s="14">
        <v>0</v>
      </c>
      <c r="G220" s="14" t="s">
        <v>80</v>
      </c>
      <c r="H220" s="14" t="str">
        <f t="shared" si="6"/>
        <v>METRIO-60</v>
      </c>
      <c r="I220" s="15" t="str">
        <f t="shared" si="7"/>
        <v>LY</v>
      </c>
      <c r="J220" s="14">
        <v>300</v>
      </c>
      <c r="K220" t="s">
        <v>728</v>
      </c>
      <c r="L220">
        <v>300</v>
      </c>
      <c r="M220">
        <v>0</v>
      </c>
      <c r="N220" s="10" t="s">
        <v>414</v>
      </c>
    </row>
    <row r="221" spans="2:14" ht="33" customHeight="1" x14ac:dyDescent="0.3">
      <c r="B221" s="14" t="s">
        <v>722</v>
      </c>
      <c r="C221" s="14" t="s">
        <v>723</v>
      </c>
      <c r="D221" s="14" t="s">
        <v>729</v>
      </c>
      <c r="E221" s="14">
        <v>0</v>
      </c>
      <c r="F221" s="14">
        <v>0</v>
      </c>
      <c r="G221" s="14" t="s">
        <v>105</v>
      </c>
      <c r="H221" s="14" t="str">
        <f t="shared" si="6"/>
        <v>MFSPLS-120</v>
      </c>
      <c r="I221" s="15" t="str">
        <f t="shared" si="7"/>
        <v>LY</v>
      </c>
      <c r="J221" s="14">
        <v>800</v>
      </c>
      <c r="K221" t="s">
        <v>730</v>
      </c>
      <c r="L221">
        <v>800</v>
      </c>
      <c r="M221">
        <v>0</v>
      </c>
      <c r="N221" s="10" t="s">
        <v>414</v>
      </c>
    </row>
    <row r="222" spans="2:14" ht="33" customHeight="1" x14ac:dyDescent="0.3">
      <c r="B222" s="14" t="s">
        <v>722</v>
      </c>
      <c r="C222" s="14" t="s">
        <v>723</v>
      </c>
      <c r="D222" s="14">
        <v>0</v>
      </c>
      <c r="E222" s="14">
        <v>0</v>
      </c>
      <c r="F222" s="14">
        <v>0</v>
      </c>
      <c r="G222" s="14" t="s">
        <v>146</v>
      </c>
      <c r="H222" s="14" t="str">
        <f t="shared" si="6"/>
        <v>OVAMAX-120</v>
      </c>
      <c r="I222" s="15" t="str">
        <f t="shared" si="7"/>
        <v>LY</v>
      </c>
      <c r="J222" s="14">
        <v>500</v>
      </c>
      <c r="K222" t="s">
        <v>731</v>
      </c>
      <c r="L222">
        <v>500</v>
      </c>
      <c r="M222">
        <v>0</v>
      </c>
      <c r="N222" s="10" t="s">
        <v>414</v>
      </c>
    </row>
    <row r="223" spans="2:14" ht="33" customHeight="1" x14ac:dyDescent="0.3">
      <c r="B223" s="14" t="s">
        <v>722</v>
      </c>
      <c r="C223" s="14" t="s">
        <v>723</v>
      </c>
      <c r="D223" s="14">
        <v>0</v>
      </c>
      <c r="E223" s="14">
        <v>0</v>
      </c>
      <c r="F223" s="14">
        <v>0</v>
      </c>
      <c r="G223" s="14" t="s">
        <v>287</v>
      </c>
      <c r="H223" s="14" t="str">
        <f t="shared" si="6"/>
        <v>LIPODIS-60</v>
      </c>
      <c r="I223" s="15" t="str">
        <f t="shared" si="7"/>
        <v>FD</v>
      </c>
      <c r="J223" s="14">
        <v>300</v>
      </c>
      <c r="K223" t="s">
        <v>647</v>
      </c>
      <c r="L223">
        <v>0</v>
      </c>
      <c r="M223">
        <v>300</v>
      </c>
      <c r="N223" s="10" t="s">
        <v>414</v>
      </c>
    </row>
    <row r="224" spans="2:14" ht="33" customHeight="1" x14ac:dyDescent="0.3">
      <c r="B224" s="14">
        <v>0</v>
      </c>
      <c r="C224" s="14">
        <v>0</v>
      </c>
      <c r="D224" s="14">
        <v>0</v>
      </c>
      <c r="E224" s="14">
        <v>0</v>
      </c>
      <c r="F224" s="14">
        <v>0</v>
      </c>
      <c r="G224" s="14">
        <v>0</v>
      </c>
      <c r="H224" s="14">
        <f t="shared" si="6"/>
        <v>0</v>
      </c>
      <c r="I224" s="15" t="str">
        <f t="shared" si="7"/>
        <v/>
      </c>
      <c r="J224" s="14">
        <v>0</v>
      </c>
      <c r="K224">
        <v>0</v>
      </c>
      <c r="L224">
        <v>0</v>
      </c>
      <c r="M224">
        <v>0</v>
      </c>
      <c r="N224" s="10">
        <v>0</v>
      </c>
    </row>
    <row r="225" spans="2:14" ht="33" customHeight="1" x14ac:dyDescent="0.3">
      <c r="B225" s="14" t="s">
        <v>722</v>
      </c>
      <c r="C225" s="14" t="s">
        <v>732</v>
      </c>
      <c r="D225" s="14">
        <v>0</v>
      </c>
      <c r="E225" s="14" t="s">
        <v>733</v>
      </c>
      <c r="F225" s="14" t="s">
        <v>734</v>
      </c>
      <c r="G225" s="14" t="s">
        <v>40</v>
      </c>
      <c r="H225" s="14" t="str">
        <f t="shared" si="6"/>
        <v>POLYSIT-90</v>
      </c>
      <c r="I225" s="15" t="str">
        <f t="shared" si="7"/>
        <v>LY</v>
      </c>
      <c r="J225" s="14">
        <v>300</v>
      </c>
      <c r="K225" t="s">
        <v>735</v>
      </c>
      <c r="L225">
        <v>0</v>
      </c>
      <c r="M225">
        <v>0</v>
      </c>
      <c r="N225" s="10" t="s">
        <v>448</v>
      </c>
    </row>
    <row r="226" spans="2:14" ht="33" customHeight="1" x14ac:dyDescent="0.3">
      <c r="B226" s="14"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>
        <f t="shared" si="6"/>
        <v>0</v>
      </c>
      <c r="I226" s="15" t="str">
        <f t="shared" si="7"/>
        <v/>
      </c>
      <c r="J226" s="14">
        <v>0</v>
      </c>
      <c r="K226">
        <v>0</v>
      </c>
      <c r="L226">
        <v>0</v>
      </c>
      <c r="M226">
        <v>0</v>
      </c>
      <c r="N226" s="10">
        <v>0</v>
      </c>
    </row>
    <row r="227" spans="2:14" ht="33" customHeight="1" x14ac:dyDescent="0.3">
      <c r="B227" s="14" t="s">
        <v>425</v>
      </c>
      <c r="C227" s="14" t="s">
        <v>736</v>
      </c>
      <c r="D227" s="14">
        <v>0</v>
      </c>
      <c r="E227" s="14" t="s">
        <v>737</v>
      </c>
      <c r="F227" s="14" t="s">
        <v>738</v>
      </c>
      <c r="G227" s="14" t="s">
        <v>262</v>
      </c>
      <c r="H227" s="14" t="str">
        <f t="shared" si="6"/>
        <v>CAVINADV-60</v>
      </c>
      <c r="I227" s="15" t="str">
        <f t="shared" si="7"/>
        <v>KW</v>
      </c>
      <c r="J227" s="14">
        <v>1</v>
      </c>
      <c r="K227" t="s">
        <v>739</v>
      </c>
      <c r="L227">
        <v>1</v>
      </c>
      <c r="M227">
        <v>0</v>
      </c>
      <c r="N227" s="10" t="s">
        <v>414</v>
      </c>
    </row>
    <row r="228" spans="2:14" ht="33" customHeight="1" x14ac:dyDescent="0.3">
      <c r="B228" s="14">
        <v>0</v>
      </c>
      <c r="C228" s="14">
        <v>0</v>
      </c>
      <c r="D228" s="14">
        <v>0</v>
      </c>
      <c r="E228" s="14">
        <v>0</v>
      </c>
      <c r="F228" s="14">
        <v>0</v>
      </c>
      <c r="G228" s="14">
        <v>0</v>
      </c>
      <c r="H228" s="14">
        <f t="shared" si="6"/>
        <v>0</v>
      </c>
      <c r="I228" s="15" t="str">
        <f t="shared" si="7"/>
        <v/>
      </c>
      <c r="J228" s="14">
        <v>0</v>
      </c>
      <c r="K228">
        <v>0</v>
      </c>
      <c r="L228">
        <v>0</v>
      </c>
      <c r="M228">
        <v>0</v>
      </c>
      <c r="N228" s="10">
        <v>0</v>
      </c>
    </row>
    <row r="229" spans="2:14" ht="33" customHeight="1" x14ac:dyDescent="0.3">
      <c r="B229" s="14" t="s">
        <v>425</v>
      </c>
      <c r="C229" s="14" t="s">
        <v>740</v>
      </c>
      <c r="D229" s="14" t="s">
        <v>741</v>
      </c>
      <c r="E229" s="14" t="s">
        <v>742</v>
      </c>
      <c r="F229" s="14" t="s">
        <v>743</v>
      </c>
      <c r="G229" s="14" t="s">
        <v>744</v>
      </c>
      <c r="H229" s="14" t="str">
        <f t="shared" si="6"/>
        <v>EYECAP-30</v>
      </c>
      <c r="I229" s="15" t="str">
        <f t="shared" si="7"/>
        <v>KW</v>
      </c>
      <c r="J229" s="14">
        <v>5</v>
      </c>
      <c r="K229" t="s">
        <v>692</v>
      </c>
      <c r="L229">
        <v>5</v>
      </c>
      <c r="M229">
        <v>0</v>
      </c>
      <c r="N229" s="10" t="s">
        <v>431</v>
      </c>
    </row>
    <row r="230" spans="2:14" ht="33" customHeight="1" x14ac:dyDescent="0.3">
      <c r="B230" s="14">
        <v>0</v>
      </c>
      <c r="C230" s="14">
        <v>0</v>
      </c>
      <c r="D230" s="14">
        <v>0</v>
      </c>
      <c r="E230" s="14">
        <v>0</v>
      </c>
      <c r="F230" s="14">
        <v>0</v>
      </c>
      <c r="G230" s="14">
        <v>0</v>
      </c>
      <c r="H230" s="14">
        <f t="shared" si="6"/>
        <v>0</v>
      </c>
      <c r="I230" s="15" t="str">
        <f t="shared" si="7"/>
        <v/>
      </c>
      <c r="J230" s="14">
        <v>0</v>
      </c>
      <c r="K230">
        <v>0</v>
      </c>
      <c r="L230">
        <v>0</v>
      </c>
      <c r="M230">
        <v>0</v>
      </c>
      <c r="N230" s="10">
        <v>0</v>
      </c>
    </row>
    <row r="231" spans="2:14" ht="33" customHeight="1" x14ac:dyDescent="0.3">
      <c r="B231" s="14" t="s">
        <v>519</v>
      </c>
      <c r="C231" s="14" t="s">
        <v>745</v>
      </c>
      <c r="D231" s="14">
        <v>0</v>
      </c>
      <c r="E231" s="14" t="s">
        <v>746</v>
      </c>
      <c r="F231" s="14">
        <v>0</v>
      </c>
      <c r="G231" s="14" t="s">
        <v>608</v>
      </c>
      <c r="H231" s="14" t="str">
        <f t="shared" si="6"/>
        <v>CAVINAD-60</v>
      </c>
      <c r="I231" s="15" t="str">
        <f t="shared" si="7"/>
        <v>FD</v>
      </c>
      <c r="J231" s="14">
        <v>4000</v>
      </c>
      <c r="K231" t="s">
        <v>747</v>
      </c>
      <c r="L231">
        <v>4000</v>
      </c>
      <c r="M231">
        <v>0</v>
      </c>
      <c r="N231" s="10" t="s">
        <v>431</v>
      </c>
    </row>
    <row r="232" spans="2:14" ht="33" customHeight="1" x14ac:dyDescent="0.3">
      <c r="B232" s="14">
        <v>0</v>
      </c>
      <c r="C232" s="14">
        <v>0</v>
      </c>
      <c r="D232" s="14">
        <v>0</v>
      </c>
      <c r="E232" s="14">
        <v>0</v>
      </c>
      <c r="F232" s="14">
        <v>0</v>
      </c>
      <c r="G232" s="14">
        <v>0</v>
      </c>
      <c r="H232" s="14">
        <f t="shared" si="6"/>
        <v>0</v>
      </c>
      <c r="I232" s="15" t="str">
        <f t="shared" si="7"/>
        <v/>
      </c>
      <c r="J232" s="14">
        <v>0</v>
      </c>
      <c r="K232">
        <v>0</v>
      </c>
      <c r="L232">
        <v>0</v>
      </c>
      <c r="M232">
        <v>0</v>
      </c>
      <c r="N232" s="10">
        <v>0</v>
      </c>
    </row>
    <row r="233" spans="2:14" ht="33" customHeight="1" x14ac:dyDescent="0.3">
      <c r="B233" s="14" t="s">
        <v>748</v>
      </c>
      <c r="C233" s="14" t="s">
        <v>749</v>
      </c>
      <c r="D233" s="14">
        <v>0</v>
      </c>
      <c r="E233" s="14" t="s">
        <v>750</v>
      </c>
      <c r="F233" s="14" t="s">
        <v>751</v>
      </c>
      <c r="G233" s="14" t="s">
        <v>34</v>
      </c>
      <c r="H233" s="14" t="str">
        <f t="shared" si="6"/>
        <v>DHEA50-60</v>
      </c>
      <c r="I233" s="15" t="str">
        <f t="shared" si="7"/>
        <v>FD</v>
      </c>
      <c r="J233" s="14">
        <v>1320</v>
      </c>
      <c r="K233" t="s">
        <v>453</v>
      </c>
      <c r="L233">
        <v>0</v>
      </c>
      <c r="M233">
        <v>1320</v>
      </c>
      <c r="N233" s="10" t="s">
        <v>448</v>
      </c>
    </row>
    <row r="234" spans="2:14" ht="33" customHeight="1" x14ac:dyDescent="0.3">
      <c r="B234" s="14"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>
        <f t="shared" si="6"/>
        <v>0</v>
      </c>
      <c r="I234" s="15" t="str">
        <f t="shared" si="7"/>
        <v/>
      </c>
      <c r="J234" s="14">
        <v>0</v>
      </c>
      <c r="K234">
        <v>0</v>
      </c>
      <c r="L234">
        <v>0</v>
      </c>
      <c r="M234">
        <v>0</v>
      </c>
      <c r="N234" s="10">
        <v>0</v>
      </c>
    </row>
    <row r="235" spans="2:14" ht="33" customHeight="1" x14ac:dyDescent="0.3">
      <c r="B235" s="14" t="s">
        <v>752</v>
      </c>
      <c r="C235" s="14" t="s">
        <v>753</v>
      </c>
      <c r="D235" s="14">
        <v>0</v>
      </c>
      <c r="E235" s="14" t="s">
        <v>754</v>
      </c>
      <c r="F235" s="14" t="s">
        <v>755</v>
      </c>
      <c r="G235" s="14" t="s">
        <v>756</v>
      </c>
      <c r="H235" s="14" t="str">
        <f t="shared" si="6"/>
        <v>MFSPLS-120</v>
      </c>
      <c r="I235" s="15" t="str">
        <f t="shared" si="7"/>
        <v>QT</v>
      </c>
      <c r="J235" s="14">
        <v>1008</v>
      </c>
      <c r="K235" t="s">
        <v>757</v>
      </c>
      <c r="L235">
        <v>1008</v>
      </c>
      <c r="M235">
        <v>0</v>
      </c>
      <c r="N235" s="10" t="s">
        <v>414</v>
      </c>
    </row>
    <row r="236" spans="2:14" ht="33" customHeight="1" x14ac:dyDescent="0.3">
      <c r="B236" s="14" t="s">
        <v>752</v>
      </c>
      <c r="C236" s="14" t="s">
        <v>753</v>
      </c>
      <c r="D236" s="14">
        <v>0</v>
      </c>
      <c r="E236" s="14">
        <v>0</v>
      </c>
      <c r="F236" s="14">
        <v>0</v>
      </c>
      <c r="G236" s="14" t="s">
        <v>756</v>
      </c>
      <c r="H236" s="14" t="str">
        <f t="shared" si="6"/>
        <v>MFSPLS-120</v>
      </c>
      <c r="I236" s="15" t="str">
        <f t="shared" si="7"/>
        <v>QT</v>
      </c>
      <c r="J236" s="14">
        <v>598</v>
      </c>
      <c r="K236" t="s">
        <v>757</v>
      </c>
      <c r="L236">
        <v>598</v>
      </c>
      <c r="M236">
        <v>0</v>
      </c>
      <c r="N236" s="10" t="s">
        <v>414</v>
      </c>
    </row>
    <row r="237" spans="2:14" ht="33" customHeight="1" x14ac:dyDescent="0.3">
      <c r="B237" s="14" t="s">
        <v>752</v>
      </c>
      <c r="C237" s="14" t="s">
        <v>753</v>
      </c>
      <c r="D237" s="14">
        <v>0</v>
      </c>
      <c r="E237" s="14">
        <v>0</v>
      </c>
      <c r="F237" s="14">
        <v>0</v>
      </c>
      <c r="G237" s="14" t="s">
        <v>758</v>
      </c>
      <c r="H237" s="14" t="str">
        <f t="shared" si="6"/>
        <v>MOTILMX-60</v>
      </c>
      <c r="I237" s="15" t="str">
        <f t="shared" si="7"/>
        <v>QT</v>
      </c>
      <c r="J237" s="14">
        <v>2200</v>
      </c>
      <c r="K237" t="s">
        <v>759</v>
      </c>
      <c r="L237">
        <v>2200</v>
      </c>
      <c r="M237">
        <v>0</v>
      </c>
      <c r="N237" s="10" t="s">
        <v>414</v>
      </c>
    </row>
    <row r="238" spans="2:14" ht="33" customHeight="1" x14ac:dyDescent="0.3">
      <c r="B238" s="14">
        <v>0</v>
      </c>
      <c r="C238" s="14">
        <v>0</v>
      </c>
      <c r="D238" s="14">
        <v>0</v>
      </c>
      <c r="E238" s="14">
        <v>0</v>
      </c>
      <c r="F238" s="14">
        <v>0</v>
      </c>
      <c r="G238" s="14">
        <v>0</v>
      </c>
      <c r="H238" s="14">
        <f t="shared" si="6"/>
        <v>0</v>
      </c>
      <c r="I238" s="15" t="str">
        <f t="shared" si="7"/>
        <v/>
      </c>
      <c r="J238" s="14">
        <v>0</v>
      </c>
      <c r="K238">
        <v>0</v>
      </c>
      <c r="L238">
        <v>0</v>
      </c>
      <c r="M238">
        <v>0</v>
      </c>
      <c r="N238" s="10">
        <v>0</v>
      </c>
    </row>
    <row r="239" spans="2:14" ht="33" customHeight="1" x14ac:dyDescent="0.3">
      <c r="B239" s="14" t="s">
        <v>752</v>
      </c>
      <c r="C239" s="14" t="s">
        <v>760</v>
      </c>
      <c r="D239" s="14">
        <v>0</v>
      </c>
      <c r="E239" s="14" t="s">
        <v>761</v>
      </c>
      <c r="F239" s="14" t="s">
        <v>762</v>
      </c>
      <c r="G239" s="14" t="s">
        <v>756</v>
      </c>
      <c r="H239" s="14" t="str">
        <f t="shared" si="6"/>
        <v>MFSPLS-120</v>
      </c>
      <c r="I239" s="15" t="str">
        <f t="shared" si="7"/>
        <v>QT</v>
      </c>
      <c r="J239" s="14">
        <v>44</v>
      </c>
      <c r="K239" t="s">
        <v>757</v>
      </c>
      <c r="L239">
        <v>0</v>
      </c>
      <c r="M239">
        <v>0</v>
      </c>
      <c r="N239" s="10" t="s">
        <v>448</v>
      </c>
    </row>
    <row r="240" spans="2:14" ht="33" customHeight="1" x14ac:dyDescent="0.3">
      <c r="B240" s="14">
        <v>0</v>
      </c>
      <c r="C240" s="14">
        <v>0</v>
      </c>
      <c r="D240" s="14">
        <v>0</v>
      </c>
      <c r="E240" s="14">
        <v>0</v>
      </c>
      <c r="F240" s="14">
        <v>0</v>
      </c>
      <c r="G240" s="14">
        <v>0</v>
      </c>
      <c r="H240" s="14">
        <f t="shared" si="6"/>
        <v>0</v>
      </c>
      <c r="I240" s="15" t="str">
        <f t="shared" si="7"/>
        <v/>
      </c>
      <c r="J240" s="14">
        <v>0</v>
      </c>
      <c r="K240">
        <v>0</v>
      </c>
      <c r="L240">
        <v>0</v>
      </c>
      <c r="M240">
        <v>0</v>
      </c>
      <c r="N240" s="10">
        <v>0</v>
      </c>
    </row>
    <row r="241" spans="2:14" ht="33" customHeight="1" x14ac:dyDescent="0.3">
      <c r="B241" s="14" t="s">
        <v>763</v>
      </c>
      <c r="C241" s="14" t="s">
        <v>764</v>
      </c>
      <c r="D241" s="14" t="s">
        <v>765</v>
      </c>
      <c r="E241" s="14" t="s">
        <v>766</v>
      </c>
      <c r="F241" s="14">
        <v>0</v>
      </c>
      <c r="G241" s="14" t="s">
        <v>39</v>
      </c>
      <c r="H241" s="14" t="str">
        <f t="shared" si="6"/>
        <v>WFSPLS-180</v>
      </c>
      <c r="I241" s="15" t="str">
        <f t="shared" si="7"/>
        <v>FD</v>
      </c>
      <c r="J241" s="14">
        <v>48</v>
      </c>
      <c r="K241" t="s">
        <v>438</v>
      </c>
      <c r="L241">
        <v>48</v>
      </c>
      <c r="M241">
        <v>0</v>
      </c>
      <c r="N241" s="10" t="s">
        <v>414</v>
      </c>
    </row>
    <row r="242" spans="2:14" ht="33" customHeight="1" x14ac:dyDescent="0.3">
      <c r="B242" s="14" t="s">
        <v>763</v>
      </c>
      <c r="C242" s="14" t="s">
        <v>764</v>
      </c>
      <c r="D242" s="14">
        <v>0</v>
      </c>
      <c r="E242" s="14">
        <v>0</v>
      </c>
      <c r="F242" s="14">
        <v>0</v>
      </c>
      <c r="G242" s="14" t="s">
        <v>270</v>
      </c>
      <c r="H242" s="14" t="str">
        <f t="shared" si="6"/>
        <v>EYECAP-30</v>
      </c>
      <c r="I242" s="15" t="str">
        <f t="shared" si="7"/>
        <v>FD</v>
      </c>
      <c r="J242" s="14">
        <v>72</v>
      </c>
      <c r="K242" t="s">
        <v>430</v>
      </c>
      <c r="L242">
        <v>72</v>
      </c>
      <c r="M242">
        <v>0</v>
      </c>
      <c r="N242" s="10" t="s">
        <v>414</v>
      </c>
    </row>
    <row r="243" spans="2:14" ht="33" customHeight="1" x14ac:dyDescent="0.3">
      <c r="B243" s="14" t="s">
        <v>763</v>
      </c>
      <c r="C243" s="14" t="s">
        <v>764</v>
      </c>
      <c r="D243" s="14">
        <v>0</v>
      </c>
      <c r="E243" s="14">
        <v>0</v>
      </c>
      <c r="F243" s="14">
        <v>0</v>
      </c>
      <c r="G243" s="14" t="s">
        <v>304</v>
      </c>
      <c r="H243" s="14" t="str">
        <f t="shared" si="6"/>
        <v>PEARLY-60</v>
      </c>
      <c r="I243" s="15" t="str">
        <f t="shared" si="7"/>
        <v>FD</v>
      </c>
      <c r="J243" s="14">
        <v>120</v>
      </c>
      <c r="K243" t="s">
        <v>767</v>
      </c>
      <c r="L243">
        <v>120</v>
      </c>
      <c r="M243">
        <v>0</v>
      </c>
      <c r="N243" s="10" t="s">
        <v>414</v>
      </c>
    </row>
    <row r="244" spans="2:14" ht="33" customHeight="1" x14ac:dyDescent="0.3">
      <c r="B244" s="14" t="s">
        <v>763</v>
      </c>
      <c r="C244" s="14" t="s">
        <v>764</v>
      </c>
      <c r="D244" s="14">
        <v>0</v>
      </c>
      <c r="E244" s="14">
        <v>0</v>
      </c>
      <c r="F244" s="14">
        <v>0</v>
      </c>
      <c r="G244" s="14" t="s">
        <v>304</v>
      </c>
      <c r="H244" s="14" t="str">
        <f t="shared" si="6"/>
        <v>PEARLY-60</v>
      </c>
      <c r="I244" s="15" t="str">
        <f t="shared" si="7"/>
        <v>FD</v>
      </c>
      <c r="J244" s="14">
        <v>24</v>
      </c>
      <c r="K244" t="s">
        <v>767</v>
      </c>
      <c r="L244">
        <v>24</v>
      </c>
      <c r="M244">
        <v>0</v>
      </c>
      <c r="N244" s="10" t="s">
        <v>414</v>
      </c>
    </row>
    <row r="245" spans="2:14" ht="33" customHeight="1" x14ac:dyDescent="0.3">
      <c r="B245" s="14" t="s">
        <v>763</v>
      </c>
      <c r="C245" s="14" t="s">
        <v>764</v>
      </c>
      <c r="D245" s="14">
        <v>0</v>
      </c>
      <c r="E245" s="14">
        <v>0</v>
      </c>
      <c r="F245" s="14">
        <v>0</v>
      </c>
      <c r="G245" s="14" t="s">
        <v>373</v>
      </c>
      <c r="H245" s="14" t="str">
        <f t="shared" si="6"/>
        <v>QWELL4-30</v>
      </c>
      <c r="I245" s="15" t="str">
        <f t="shared" si="7"/>
        <v>FD</v>
      </c>
      <c r="J245" s="14">
        <v>144</v>
      </c>
      <c r="K245" t="s">
        <v>444</v>
      </c>
      <c r="L245">
        <v>144</v>
      </c>
      <c r="M245">
        <v>0</v>
      </c>
      <c r="N245" s="10" t="s">
        <v>414</v>
      </c>
    </row>
    <row r="246" spans="2:14" ht="33" customHeight="1" x14ac:dyDescent="0.3">
      <c r="B246" s="14" t="s">
        <v>763</v>
      </c>
      <c r="C246" s="14" t="s">
        <v>764</v>
      </c>
      <c r="D246" s="14">
        <v>0</v>
      </c>
      <c r="E246" s="14">
        <v>0</v>
      </c>
      <c r="F246" s="14">
        <v>0</v>
      </c>
      <c r="G246" s="14" t="s">
        <v>196</v>
      </c>
      <c r="H246" s="14" t="str">
        <f t="shared" si="6"/>
        <v>PRECON-90</v>
      </c>
      <c r="I246" s="15" t="str">
        <f t="shared" si="7"/>
        <v>FD</v>
      </c>
      <c r="J246" s="14">
        <v>72</v>
      </c>
      <c r="K246" t="s">
        <v>443</v>
      </c>
      <c r="L246">
        <v>72</v>
      </c>
      <c r="M246">
        <v>0</v>
      </c>
      <c r="N246" s="10" t="s">
        <v>414</v>
      </c>
    </row>
    <row r="247" spans="2:14" ht="33" customHeight="1" x14ac:dyDescent="0.3">
      <c r="B247" s="14" t="s">
        <v>763</v>
      </c>
      <c r="C247" s="14" t="s">
        <v>764</v>
      </c>
      <c r="D247" s="14">
        <v>0</v>
      </c>
      <c r="E247" s="14">
        <v>0</v>
      </c>
      <c r="F247" s="14" t="s">
        <v>768</v>
      </c>
      <c r="G247" s="14" t="s">
        <v>331</v>
      </c>
      <c r="H247" s="14" t="str">
        <f t="shared" si="6"/>
        <v>DHEA25-60</v>
      </c>
      <c r="I247" s="15" t="str">
        <f t="shared" si="7"/>
        <v>FD</v>
      </c>
      <c r="J247" s="14">
        <v>160</v>
      </c>
      <c r="K247" t="s">
        <v>493</v>
      </c>
      <c r="L247">
        <v>160</v>
      </c>
      <c r="M247">
        <v>0</v>
      </c>
      <c r="N247" s="10" t="s">
        <v>414</v>
      </c>
    </row>
    <row r="248" spans="2:14" ht="33" customHeight="1" x14ac:dyDescent="0.3">
      <c r="B248" s="14" t="s">
        <v>763</v>
      </c>
      <c r="C248" s="14" t="s">
        <v>764</v>
      </c>
      <c r="D248" s="14">
        <v>0</v>
      </c>
      <c r="E248" s="14">
        <v>0</v>
      </c>
      <c r="F248" s="14" t="s">
        <v>768</v>
      </c>
      <c r="G248" s="14" t="s">
        <v>331</v>
      </c>
      <c r="H248" s="14" t="str">
        <f t="shared" si="6"/>
        <v>DHEA25-60</v>
      </c>
      <c r="I248" s="15" t="str">
        <f t="shared" si="7"/>
        <v>FD</v>
      </c>
      <c r="J248" s="14">
        <v>240</v>
      </c>
      <c r="K248" t="s">
        <v>493</v>
      </c>
      <c r="L248">
        <v>240</v>
      </c>
      <c r="M248">
        <v>0</v>
      </c>
      <c r="N248" s="10" t="s">
        <v>414</v>
      </c>
    </row>
    <row r="249" spans="2:14" ht="33" customHeight="1" x14ac:dyDescent="0.3">
      <c r="B249" s="14" t="s">
        <v>763</v>
      </c>
      <c r="C249" s="14" t="s">
        <v>764</v>
      </c>
      <c r="D249" s="14">
        <v>0</v>
      </c>
      <c r="E249" s="14">
        <v>0</v>
      </c>
      <c r="F249" s="14">
        <v>0</v>
      </c>
      <c r="G249" s="14" t="s">
        <v>284</v>
      </c>
      <c r="H249" s="14" t="str">
        <f t="shared" si="6"/>
        <v>KETONEG-60</v>
      </c>
      <c r="I249" s="15" t="str">
        <f t="shared" si="7"/>
        <v>FD</v>
      </c>
      <c r="J249" s="14">
        <v>168</v>
      </c>
      <c r="K249" t="s">
        <v>769</v>
      </c>
      <c r="L249">
        <v>168</v>
      </c>
      <c r="M249">
        <v>0</v>
      </c>
      <c r="N249" s="10" t="s">
        <v>414</v>
      </c>
    </row>
    <row r="250" spans="2:14" ht="33" customHeight="1" x14ac:dyDescent="0.3">
      <c r="B250" s="14" t="s">
        <v>763</v>
      </c>
      <c r="C250" s="14" t="s">
        <v>764</v>
      </c>
      <c r="D250" s="14">
        <v>0</v>
      </c>
      <c r="E250" s="14">
        <v>0</v>
      </c>
      <c r="F250" s="14">
        <v>0</v>
      </c>
      <c r="G250" s="14" t="s">
        <v>246</v>
      </c>
      <c r="H250" s="14" t="str">
        <f t="shared" si="6"/>
        <v>WFSPLS-90</v>
      </c>
      <c r="I250" s="15" t="str">
        <f t="shared" si="7"/>
        <v>FD</v>
      </c>
      <c r="J250" s="14">
        <v>96</v>
      </c>
      <c r="K250" t="s">
        <v>770</v>
      </c>
      <c r="L250">
        <v>96</v>
      </c>
      <c r="M250">
        <v>0</v>
      </c>
      <c r="N250" s="10" t="s">
        <v>414</v>
      </c>
    </row>
    <row r="251" spans="2:14" ht="33" customHeight="1" x14ac:dyDescent="0.3">
      <c r="B251" s="14" t="s">
        <v>763</v>
      </c>
      <c r="C251" s="14" t="s">
        <v>764</v>
      </c>
      <c r="D251" s="14">
        <v>0</v>
      </c>
      <c r="E251" s="14">
        <v>0</v>
      </c>
      <c r="F251" s="14">
        <v>0</v>
      </c>
      <c r="G251" s="14" t="s">
        <v>186</v>
      </c>
      <c r="H251" s="14" t="str">
        <f t="shared" si="6"/>
        <v>PRECON-180</v>
      </c>
      <c r="I251" s="15" t="str">
        <f t="shared" si="7"/>
        <v>FD</v>
      </c>
      <c r="J251" s="14">
        <v>72</v>
      </c>
      <c r="K251" t="s">
        <v>455</v>
      </c>
      <c r="L251">
        <v>72</v>
      </c>
      <c r="M251">
        <v>0</v>
      </c>
      <c r="N251" s="10" t="s">
        <v>414</v>
      </c>
    </row>
    <row r="252" spans="2:14" ht="33" customHeight="1" x14ac:dyDescent="0.3">
      <c r="B252" s="14" t="s">
        <v>763</v>
      </c>
      <c r="C252" s="14" t="s">
        <v>764</v>
      </c>
      <c r="D252" s="14">
        <v>0</v>
      </c>
      <c r="E252" s="14">
        <v>0</v>
      </c>
      <c r="F252" s="14">
        <v>0</v>
      </c>
      <c r="G252" s="14" t="s">
        <v>342</v>
      </c>
      <c r="H252" s="14" t="str">
        <f t="shared" si="6"/>
        <v>GINKGO-60</v>
      </c>
      <c r="I252" s="15" t="str">
        <f t="shared" si="7"/>
        <v>FD</v>
      </c>
      <c r="J252" s="14">
        <v>120</v>
      </c>
      <c r="K252" t="s">
        <v>598</v>
      </c>
      <c r="L252">
        <v>120</v>
      </c>
      <c r="M252">
        <v>0</v>
      </c>
      <c r="N252" s="10" t="s">
        <v>414</v>
      </c>
    </row>
    <row r="253" spans="2:14" ht="33" customHeight="1" x14ac:dyDescent="0.3">
      <c r="B253" s="14" t="s">
        <v>763</v>
      </c>
      <c r="C253" s="14" t="s">
        <v>764</v>
      </c>
      <c r="D253" s="14">
        <v>0</v>
      </c>
      <c r="E253" s="14">
        <v>0</v>
      </c>
      <c r="F253" s="14">
        <v>0</v>
      </c>
      <c r="G253" s="14" t="s">
        <v>299</v>
      </c>
      <c r="H253" s="14" t="str">
        <f t="shared" si="6"/>
        <v>OSTEOPL-96</v>
      </c>
      <c r="I253" s="15" t="str">
        <f t="shared" si="7"/>
        <v>FD</v>
      </c>
      <c r="J253" s="14">
        <v>96</v>
      </c>
      <c r="K253" t="s">
        <v>621</v>
      </c>
      <c r="L253">
        <v>96</v>
      </c>
      <c r="M253">
        <v>0</v>
      </c>
      <c r="N253" s="10" t="s">
        <v>414</v>
      </c>
    </row>
    <row r="254" spans="2:14" ht="33" customHeight="1" x14ac:dyDescent="0.3">
      <c r="B254" s="14" t="s">
        <v>763</v>
      </c>
      <c r="C254" s="14" t="s">
        <v>764</v>
      </c>
      <c r="D254" s="14">
        <v>0</v>
      </c>
      <c r="E254" s="14">
        <v>0</v>
      </c>
      <c r="F254" s="14" t="s">
        <v>771</v>
      </c>
      <c r="G254" s="14" t="s">
        <v>268</v>
      </c>
      <c r="H254" s="14" t="str">
        <f t="shared" si="6"/>
        <v>COQ100-125</v>
      </c>
      <c r="I254" s="15" t="str">
        <f t="shared" si="7"/>
        <v>FD</v>
      </c>
      <c r="J254" s="14">
        <v>140</v>
      </c>
      <c r="K254" t="s">
        <v>772</v>
      </c>
      <c r="L254">
        <v>140</v>
      </c>
      <c r="M254">
        <v>0</v>
      </c>
      <c r="N254" s="10" t="s">
        <v>414</v>
      </c>
    </row>
    <row r="255" spans="2:14" ht="33" customHeight="1" x14ac:dyDescent="0.3">
      <c r="B255" s="14" t="s">
        <v>763</v>
      </c>
      <c r="C255" s="14" t="s">
        <v>764</v>
      </c>
      <c r="D255" s="14">
        <v>0</v>
      </c>
      <c r="E255" s="14">
        <v>0</v>
      </c>
      <c r="F255" s="14" t="s">
        <v>773</v>
      </c>
      <c r="G255" s="14" t="s">
        <v>406</v>
      </c>
      <c r="H255" s="14" t="str">
        <f t="shared" si="6"/>
        <v>MFSPLS-120</v>
      </c>
      <c r="I255" s="15" t="str">
        <f t="shared" si="7"/>
        <v>FD</v>
      </c>
      <c r="J255" s="14">
        <v>216</v>
      </c>
      <c r="K255" t="s">
        <v>462</v>
      </c>
      <c r="L255">
        <v>216</v>
      </c>
      <c r="M255">
        <v>0</v>
      </c>
      <c r="N255" s="10" t="s">
        <v>414</v>
      </c>
    </row>
    <row r="256" spans="2:14" ht="33" customHeight="1" x14ac:dyDescent="0.3">
      <c r="B256" s="14">
        <v>0</v>
      </c>
      <c r="C256" s="14">
        <v>0</v>
      </c>
      <c r="D256" s="14">
        <v>0</v>
      </c>
      <c r="E256" s="14">
        <v>0</v>
      </c>
      <c r="F256" s="14">
        <v>0</v>
      </c>
      <c r="G256" s="14">
        <v>0</v>
      </c>
      <c r="H256" s="14">
        <f t="shared" si="6"/>
        <v>0</v>
      </c>
      <c r="I256" s="15" t="str">
        <f t="shared" si="7"/>
        <v/>
      </c>
      <c r="J256" s="14">
        <v>0</v>
      </c>
      <c r="K256">
        <v>0</v>
      </c>
      <c r="L256">
        <v>0</v>
      </c>
      <c r="M256">
        <v>0</v>
      </c>
      <c r="N256" s="10">
        <v>0</v>
      </c>
    </row>
    <row r="257" spans="2:14" ht="33" customHeight="1" x14ac:dyDescent="0.3">
      <c r="B257" s="14" t="s">
        <v>763</v>
      </c>
      <c r="C257" s="14" t="s">
        <v>774</v>
      </c>
      <c r="D257" s="14">
        <v>0</v>
      </c>
      <c r="E257" s="14" t="s">
        <v>775</v>
      </c>
      <c r="F257" s="14">
        <v>0</v>
      </c>
      <c r="G257" s="14" t="s">
        <v>85</v>
      </c>
      <c r="H257" s="14" t="str">
        <f t="shared" si="6"/>
        <v>MFSADV-120</v>
      </c>
      <c r="I257" s="15" t="str">
        <f t="shared" si="7"/>
        <v>FD</v>
      </c>
      <c r="J257" s="14">
        <v>288</v>
      </c>
      <c r="K257" t="s">
        <v>776</v>
      </c>
      <c r="L257">
        <v>0</v>
      </c>
      <c r="M257">
        <v>288</v>
      </c>
      <c r="N257" s="10" t="s">
        <v>631</v>
      </c>
    </row>
    <row r="258" spans="2:14" ht="33" customHeight="1" x14ac:dyDescent="0.3">
      <c r="B258" s="14" t="s">
        <v>763</v>
      </c>
      <c r="C258" s="14" t="s">
        <v>774</v>
      </c>
      <c r="D258" s="14">
        <v>0</v>
      </c>
      <c r="E258" s="14">
        <v>0</v>
      </c>
      <c r="F258" s="14">
        <v>0</v>
      </c>
      <c r="G258" s="14" t="s">
        <v>678</v>
      </c>
      <c r="H258" s="14" t="str">
        <f t="shared" si="6"/>
        <v>PEDIACM-50</v>
      </c>
      <c r="I258" s="15" t="str">
        <f t="shared" si="7"/>
        <v>FD</v>
      </c>
      <c r="J258" s="14">
        <v>144</v>
      </c>
      <c r="K258" t="s">
        <v>679</v>
      </c>
      <c r="L258">
        <v>0</v>
      </c>
      <c r="M258">
        <v>144</v>
      </c>
      <c r="N258" s="10" t="s">
        <v>442</v>
      </c>
    </row>
    <row r="259" spans="2:14" ht="33" customHeight="1" x14ac:dyDescent="0.3">
      <c r="B259" s="14" t="s">
        <v>763</v>
      </c>
      <c r="C259" s="14" t="s">
        <v>774</v>
      </c>
      <c r="D259" s="14">
        <v>0</v>
      </c>
      <c r="E259" s="14">
        <v>0</v>
      </c>
      <c r="F259" s="14">
        <v>0</v>
      </c>
      <c r="G259" s="14" t="s">
        <v>675</v>
      </c>
      <c r="H259" s="14" t="str">
        <f t="shared" ref="H259:H322" si="8">IFERROR(_xlfn.TEXTBEFORE(G259,"-",2),G259)</f>
        <v>PEDIAZI-50</v>
      </c>
      <c r="I259" s="15" t="str">
        <f t="shared" ref="I259:I322" si="9">IFERROR(_xlfn.TEXTAFTER(G259,"-",-1),"")</f>
        <v>FD</v>
      </c>
      <c r="J259" s="14">
        <v>216</v>
      </c>
      <c r="K259" t="s">
        <v>676</v>
      </c>
      <c r="L259">
        <v>0</v>
      </c>
      <c r="M259">
        <v>216</v>
      </c>
      <c r="N259" s="10" t="s">
        <v>442</v>
      </c>
    </row>
    <row r="260" spans="2:14" ht="33" customHeight="1" x14ac:dyDescent="0.3">
      <c r="B260" s="14" t="s">
        <v>763</v>
      </c>
      <c r="C260" s="14" t="s">
        <v>774</v>
      </c>
      <c r="D260" s="14">
        <v>0</v>
      </c>
      <c r="E260" s="14">
        <v>0</v>
      </c>
      <c r="F260" s="14" t="s">
        <v>777</v>
      </c>
      <c r="G260" s="14" t="s">
        <v>289</v>
      </c>
      <c r="H260" s="14" t="str">
        <f t="shared" si="8"/>
        <v>MEMOUP-60</v>
      </c>
      <c r="I260" s="15" t="str">
        <f t="shared" si="9"/>
        <v>FD</v>
      </c>
      <c r="J260" s="14">
        <v>105</v>
      </c>
      <c r="K260" t="s">
        <v>778</v>
      </c>
      <c r="L260">
        <v>0</v>
      </c>
      <c r="M260">
        <v>105</v>
      </c>
      <c r="N260" s="10" t="s">
        <v>631</v>
      </c>
    </row>
    <row r="261" spans="2:14" ht="33" customHeight="1" x14ac:dyDescent="0.3">
      <c r="B261" s="14" t="s">
        <v>763</v>
      </c>
      <c r="C261" s="14" t="s">
        <v>774</v>
      </c>
      <c r="D261" s="14">
        <v>0</v>
      </c>
      <c r="E261" s="14">
        <v>0</v>
      </c>
      <c r="F261" s="14">
        <v>0</v>
      </c>
      <c r="G261" s="14" t="s">
        <v>382</v>
      </c>
      <c r="H261" s="14" t="str">
        <f t="shared" si="8"/>
        <v>ROYALJE-60</v>
      </c>
      <c r="I261" s="15" t="str">
        <f t="shared" si="9"/>
        <v>FD</v>
      </c>
      <c r="J261" s="14">
        <v>432</v>
      </c>
      <c r="K261" t="s">
        <v>779</v>
      </c>
      <c r="L261">
        <v>0</v>
      </c>
      <c r="M261">
        <v>432</v>
      </c>
      <c r="N261" s="10" t="s">
        <v>631</v>
      </c>
    </row>
    <row r="262" spans="2:14" ht="33" customHeight="1" x14ac:dyDescent="0.3">
      <c r="B262" s="14" t="s">
        <v>763</v>
      </c>
      <c r="C262" s="14" t="s">
        <v>774</v>
      </c>
      <c r="D262" s="14">
        <v>0</v>
      </c>
      <c r="E262" s="14">
        <v>0</v>
      </c>
      <c r="F262" s="14">
        <v>0</v>
      </c>
      <c r="G262" s="14" t="s">
        <v>780</v>
      </c>
      <c r="H262" s="14" t="str">
        <f t="shared" si="8"/>
        <v>PEDIAFL-50</v>
      </c>
      <c r="I262" s="15" t="str">
        <f t="shared" si="9"/>
        <v>FD</v>
      </c>
      <c r="J262" s="14">
        <v>72</v>
      </c>
      <c r="K262" t="s">
        <v>781</v>
      </c>
      <c r="L262">
        <v>0</v>
      </c>
      <c r="M262">
        <v>72</v>
      </c>
      <c r="N262" s="10" t="s">
        <v>631</v>
      </c>
    </row>
    <row r="263" spans="2:14" ht="33" customHeight="1" x14ac:dyDescent="0.3">
      <c r="B263" s="14" t="s">
        <v>763</v>
      </c>
      <c r="C263" s="14" t="s">
        <v>774</v>
      </c>
      <c r="D263" s="14">
        <v>0</v>
      </c>
      <c r="E263" s="14">
        <v>0</v>
      </c>
      <c r="F263" s="14">
        <v>0</v>
      </c>
      <c r="G263" s="14" t="s">
        <v>782</v>
      </c>
      <c r="H263" s="14" t="str">
        <f t="shared" si="8"/>
        <v>PEDIABS-50</v>
      </c>
      <c r="I263" s="15" t="str">
        <f t="shared" si="9"/>
        <v>FD</v>
      </c>
      <c r="J263" s="14">
        <v>120</v>
      </c>
      <c r="K263" t="s">
        <v>783</v>
      </c>
      <c r="L263">
        <v>120</v>
      </c>
      <c r="M263">
        <v>0</v>
      </c>
      <c r="N263" s="10" t="s">
        <v>631</v>
      </c>
    </row>
    <row r="264" spans="2:14" ht="33" customHeight="1" x14ac:dyDescent="0.3">
      <c r="B264" s="14">
        <v>0</v>
      </c>
      <c r="C264" s="14">
        <v>0</v>
      </c>
      <c r="D264" s="14">
        <v>0</v>
      </c>
      <c r="E264" s="14">
        <v>0</v>
      </c>
      <c r="F264" s="14">
        <v>0</v>
      </c>
      <c r="G264" s="14">
        <v>0</v>
      </c>
      <c r="H264" s="14">
        <f t="shared" si="8"/>
        <v>0</v>
      </c>
      <c r="I264" s="15" t="str">
        <f t="shared" si="9"/>
        <v/>
      </c>
      <c r="J264" s="14">
        <v>0</v>
      </c>
      <c r="K264">
        <v>0</v>
      </c>
      <c r="L264">
        <v>0</v>
      </c>
      <c r="M264">
        <v>0</v>
      </c>
      <c r="N264" s="10">
        <v>0</v>
      </c>
    </row>
    <row r="265" spans="2:14" ht="33" customHeight="1" x14ac:dyDescent="0.3">
      <c r="B265" s="14" t="s">
        <v>410</v>
      </c>
      <c r="C265" s="14" t="s">
        <v>784</v>
      </c>
      <c r="D265" s="14" t="s">
        <v>785</v>
      </c>
      <c r="E265" s="14" t="s">
        <v>786</v>
      </c>
      <c r="F265" s="14">
        <v>0</v>
      </c>
      <c r="G265" s="14" t="s">
        <v>161</v>
      </c>
      <c r="H265" s="14" t="str">
        <f t="shared" si="8"/>
        <v>PENAMAX-60</v>
      </c>
      <c r="I265" s="15" t="str">
        <f t="shared" si="9"/>
        <v>FD</v>
      </c>
      <c r="J265" s="14">
        <v>100</v>
      </c>
      <c r="K265" t="s">
        <v>451</v>
      </c>
      <c r="L265">
        <v>100</v>
      </c>
      <c r="M265">
        <v>0</v>
      </c>
      <c r="N265" s="10" t="s">
        <v>436</v>
      </c>
    </row>
    <row r="266" spans="2:14" ht="33" customHeight="1" x14ac:dyDescent="0.3">
      <c r="B266" s="14" t="s">
        <v>410</v>
      </c>
      <c r="C266" s="14" t="s">
        <v>784</v>
      </c>
      <c r="D266" s="14">
        <v>0</v>
      </c>
      <c r="E266" s="14">
        <v>0</v>
      </c>
      <c r="F266" s="14">
        <v>0</v>
      </c>
      <c r="G266" s="14" t="s">
        <v>349</v>
      </c>
      <c r="H266" s="14" t="str">
        <f t="shared" si="8"/>
        <v>LARGIN-100</v>
      </c>
      <c r="I266" s="15" t="str">
        <f t="shared" si="9"/>
        <v>FD</v>
      </c>
      <c r="J266" s="14">
        <v>100</v>
      </c>
      <c r="K266" t="s">
        <v>635</v>
      </c>
      <c r="L266">
        <v>0</v>
      </c>
      <c r="M266">
        <v>100</v>
      </c>
      <c r="N266" s="10" t="s">
        <v>448</v>
      </c>
    </row>
    <row r="267" spans="2:14" ht="33" customHeight="1" x14ac:dyDescent="0.3">
      <c r="B267" s="14" t="s">
        <v>410</v>
      </c>
      <c r="C267" s="14" t="s">
        <v>784</v>
      </c>
      <c r="D267" s="14">
        <v>0</v>
      </c>
      <c r="E267" s="14">
        <v>0</v>
      </c>
      <c r="F267" s="14">
        <v>0</v>
      </c>
      <c r="G267" s="14" t="s">
        <v>370</v>
      </c>
      <c r="H267" s="14" t="str">
        <f t="shared" si="8"/>
        <v>QWELL2-60</v>
      </c>
      <c r="I267" s="15" t="str">
        <f t="shared" si="9"/>
        <v>FD</v>
      </c>
      <c r="J267" s="14">
        <v>100</v>
      </c>
      <c r="K267" t="s">
        <v>787</v>
      </c>
      <c r="L267">
        <v>100</v>
      </c>
      <c r="M267">
        <v>0</v>
      </c>
      <c r="N267" s="10" t="s">
        <v>436</v>
      </c>
    </row>
    <row r="268" spans="2:14" ht="33" customHeight="1" x14ac:dyDescent="0.3">
      <c r="B268" s="14">
        <v>0</v>
      </c>
      <c r="C268" s="14">
        <v>0</v>
      </c>
      <c r="D268" s="14">
        <v>0</v>
      </c>
      <c r="E268" s="14">
        <v>0</v>
      </c>
      <c r="F268" s="14">
        <v>0</v>
      </c>
      <c r="G268" s="14">
        <v>0</v>
      </c>
      <c r="H268" s="14">
        <f t="shared" si="8"/>
        <v>0</v>
      </c>
      <c r="I268" s="15" t="str">
        <f t="shared" si="9"/>
        <v/>
      </c>
      <c r="J268" s="14">
        <v>0</v>
      </c>
      <c r="K268">
        <v>0</v>
      </c>
      <c r="L268">
        <v>0</v>
      </c>
      <c r="M268">
        <v>0</v>
      </c>
      <c r="N268" s="10">
        <v>0</v>
      </c>
    </row>
    <row r="269" spans="2:14" ht="33" customHeight="1" x14ac:dyDescent="0.3">
      <c r="B269" s="14" t="s">
        <v>410</v>
      </c>
      <c r="C269" s="14" t="s">
        <v>788</v>
      </c>
      <c r="D269" s="14">
        <v>0</v>
      </c>
      <c r="E269" s="14" t="s">
        <v>786</v>
      </c>
      <c r="F269" s="14">
        <v>0</v>
      </c>
      <c r="G269" s="14" t="s">
        <v>42</v>
      </c>
      <c r="H269" s="14" t="str">
        <f t="shared" si="8"/>
        <v>FERTMX-90</v>
      </c>
      <c r="I269" s="15" t="str">
        <f t="shared" si="9"/>
        <v>RE</v>
      </c>
      <c r="J269" s="14">
        <v>76</v>
      </c>
      <c r="K269" t="s">
        <v>441</v>
      </c>
      <c r="L269">
        <v>76</v>
      </c>
      <c r="M269">
        <v>0</v>
      </c>
      <c r="N269" s="10" t="s">
        <v>436</v>
      </c>
    </row>
    <row r="270" spans="2:14" ht="33" customHeight="1" x14ac:dyDescent="0.3">
      <c r="B270" s="14" t="s">
        <v>410</v>
      </c>
      <c r="C270" s="14" t="s">
        <v>788</v>
      </c>
      <c r="D270" s="14">
        <v>0</v>
      </c>
      <c r="E270" s="14">
        <v>0</v>
      </c>
      <c r="F270" s="14">
        <v>0</v>
      </c>
      <c r="G270" s="14" t="s">
        <v>42</v>
      </c>
      <c r="H270" s="14" t="str">
        <f t="shared" si="8"/>
        <v>FERTMX-90</v>
      </c>
      <c r="I270" s="15" t="str">
        <f t="shared" si="9"/>
        <v>RE</v>
      </c>
      <c r="J270" s="14">
        <v>34</v>
      </c>
      <c r="K270" t="s">
        <v>441</v>
      </c>
      <c r="L270">
        <v>34</v>
      </c>
      <c r="M270">
        <v>0</v>
      </c>
      <c r="N270" s="10" t="s">
        <v>436</v>
      </c>
    </row>
    <row r="271" spans="2:14" ht="33" customHeight="1" x14ac:dyDescent="0.3">
      <c r="B271" s="14" t="s">
        <v>410</v>
      </c>
      <c r="C271" s="14" t="s">
        <v>788</v>
      </c>
      <c r="D271" s="14">
        <v>0</v>
      </c>
      <c r="E271" s="14">
        <v>0</v>
      </c>
      <c r="F271" s="14">
        <v>0</v>
      </c>
      <c r="G271" s="14" t="s">
        <v>77</v>
      </c>
      <c r="H271" s="14" t="str">
        <f t="shared" si="8"/>
        <v>METRIO-60</v>
      </c>
      <c r="I271" s="15" t="str">
        <f t="shared" si="9"/>
        <v>FD</v>
      </c>
      <c r="J271" s="14">
        <v>110</v>
      </c>
      <c r="K271" t="s">
        <v>789</v>
      </c>
      <c r="L271">
        <v>110</v>
      </c>
      <c r="M271">
        <v>0</v>
      </c>
      <c r="N271" s="10" t="s">
        <v>436</v>
      </c>
    </row>
    <row r="272" spans="2:14" ht="33" customHeight="1" x14ac:dyDescent="0.3">
      <c r="B272" s="14" t="s">
        <v>410</v>
      </c>
      <c r="C272" s="14" t="s">
        <v>788</v>
      </c>
      <c r="D272" s="14">
        <v>0</v>
      </c>
      <c r="E272" s="14">
        <v>0</v>
      </c>
      <c r="F272" s="14">
        <v>0</v>
      </c>
      <c r="G272" s="14" t="s">
        <v>97</v>
      </c>
      <c r="H272" s="14" t="str">
        <f t="shared" si="8"/>
        <v>MFSPLS-120</v>
      </c>
      <c r="I272" s="15" t="str">
        <f t="shared" si="9"/>
        <v>CN</v>
      </c>
      <c r="J272" s="14">
        <v>550</v>
      </c>
      <c r="K272" t="s">
        <v>790</v>
      </c>
      <c r="L272">
        <v>0</v>
      </c>
      <c r="M272">
        <v>550</v>
      </c>
      <c r="N272" s="10" t="s">
        <v>442</v>
      </c>
    </row>
    <row r="273" spans="2:14" ht="33" customHeight="1" x14ac:dyDescent="0.3">
      <c r="B273" s="14" t="s">
        <v>410</v>
      </c>
      <c r="C273" s="14" t="s">
        <v>788</v>
      </c>
      <c r="D273" s="14">
        <v>0</v>
      </c>
      <c r="E273" s="14">
        <v>0</v>
      </c>
      <c r="F273" s="14">
        <v>0</v>
      </c>
      <c r="G273" s="14" t="s">
        <v>143</v>
      </c>
      <c r="H273" s="14" t="str">
        <f t="shared" si="8"/>
        <v>OVAMAXPLUS-120</v>
      </c>
      <c r="I273" s="15" t="str">
        <f t="shared" si="9"/>
        <v>CN</v>
      </c>
      <c r="J273" s="14">
        <v>1650</v>
      </c>
      <c r="K273" t="s">
        <v>469</v>
      </c>
      <c r="L273">
        <v>1650</v>
      </c>
      <c r="M273">
        <v>0</v>
      </c>
      <c r="N273" s="10" t="s">
        <v>436</v>
      </c>
    </row>
    <row r="274" spans="2:14" ht="33" customHeight="1" x14ac:dyDescent="0.3">
      <c r="B274" s="14" t="s">
        <v>410</v>
      </c>
      <c r="C274" s="14" t="s">
        <v>788</v>
      </c>
      <c r="D274" s="14">
        <v>0</v>
      </c>
      <c r="E274" s="14">
        <v>0</v>
      </c>
      <c r="F274" s="14">
        <v>0</v>
      </c>
      <c r="G274" s="14" t="s">
        <v>186</v>
      </c>
      <c r="H274" s="14" t="str">
        <f t="shared" si="8"/>
        <v>PRECON-180</v>
      </c>
      <c r="I274" s="15" t="str">
        <f t="shared" si="9"/>
        <v>FD</v>
      </c>
      <c r="J274" s="14">
        <v>330</v>
      </c>
      <c r="K274" t="s">
        <v>791</v>
      </c>
      <c r="L274">
        <v>330</v>
      </c>
      <c r="M274">
        <v>0</v>
      </c>
      <c r="N274" s="10" t="s">
        <v>436</v>
      </c>
    </row>
    <row r="275" spans="2:14" ht="33" customHeight="1" x14ac:dyDescent="0.3">
      <c r="B275" s="14" t="s">
        <v>410</v>
      </c>
      <c r="C275" s="14" t="s">
        <v>788</v>
      </c>
      <c r="D275" s="14">
        <v>0</v>
      </c>
      <c r="E275" s="14">
        <v>0</v>
      </c>
      <c r="F275" s="14">
        <v>0</v>
      </c>
      <c r="G275" s="14" t="s">
        <v>220</v>
      </c>
      <c r="H275" s="14" t="str">
        <f t="shared" si="8"/>
        <v>SPERMCT-60</v>
      </c>
      <c r="I275" s="15" t="str">
        <f t="shared" si="9"/>
        <v>FD</v>
      </c>
      <c r="J275" s="14">
        <v>110</v>
      </c>
      <c r="K275" t="s">
        <v>435</v>
      </c>
      <c r="L275">
        <v>110</v>
      </c>
      <c r="M275">
        <v>0</v>
      </c>
      <c r="N275" s="10" t="s">
        <v>436</v>
      </c>
    </row>
    <row r="276" spans="2:14" ht="33" customHeight="1" x14ac:dyDescent="0.3">
      <c r="B276" s="14" t="s">
        <v>410</v>
      </c>
      <c r="C276" s="14" t="s">
        <v>788</v>
      </c>
      <c r="D276" s="14">
        <v>0</v>
      </c>
      <c r="E276" s="14">
        <v>0</v>
      </c>
      <c r="F276" s="14" t="s">
        <v>437</v>
      </c>
      <c r="G276" s="14" t="s">
        <v>39</v>
      </c>
      <c r="H276" s="14" t="str">
        <f t="shared" si="8"/>
        <v>WFSPLS-180</v>
      </c>
      <c r="I276" s="15" t="str">
        <f t="shared" si="9"/>
        <v>FD</v>
      </c>
      <c r="J276" s="14">
        <v>110</v>
      </c>
      <c r="K276" t="s">
        <v>438</v>
      </c>
      <c r="L276">
        <v>110</v>
      </c>
      <c r="M276">
        <v>0</v>
      </c>
      <c r="N276" s="10" t="s">
        <v>439</v>
      </c>
    </row>
    <row r="277" spans="2:14" ht="33" customHeight="1" x14ac:dyDescent="0.3">
      <c r="B277" s="14" t="s">
        <v>410</v>
      </c>
      <c r="C277" s="14" t="s">
        <v>788</v>
      </c>
      <c r="D277" s="14">
        <v>0</v>
      </c>
      <c r="E277" s="14">
        <v>0</v>
      </c>
      <c r="F277" s="14">
        <v>0</v>
      </c>
      <c r="G277" s="14" t="s">
        <v>402</v>
      </c>
      <c r="H277" s="14" t="str">
        <f t="shared" si="8"/>
        <v>TESTRON-60</v>
      </c>
      <c r="I277" s="15" t="str">
        <f t="shared" si="9"/>
        <v>FD</v>
      </c>
      <c r="J277" s="14">
        <v>100</v>
      </c>
      <c r="K277" t="s">
        <v>792</v>
      </c>
      <c r="L277">
        <v>100</v>
      </c>
      <c r="M277">
        <v>0</v>
      </c>
      <c r="N277" s="10" t="s">
        <v>436</v>
      </c>
    </row>
    <row r="278" spans="2:14" ht="33" customHeight="1" x14ac:dyDescent="0.3">
      <c r="B278" s="14">
        <v>0</v>
      </c>
      <c r="C278" s="14">
        <v>0</v>
      </c>
      <c r="D278" s="14">
        <v>0</v>
      </c>
      <c r="E278" s="14">
        <v>0</v>
      </c>
      <c r="F278" s="14">
        <v>0</v>
      </c>
      <c r="G278" s="14">
        <v>0</v>
      </c>
      <c r="H278" s="14">
        <f t="shared" si="8"/>
        <v>0</v>
      </c>
      <c r="I278" s="15" t="str">
        <f t="shared" si="9"/>
        <v/>
      </c>
      <c r="J278" s="14">
        <v>0</v>
      </c>
      <c r="K278">
        <v>0</v>
      </c>
      <c r="L278">
        <v>0</v>
      </c>
      <c r="M278">
        <v>0</v>
      </c>
      <c r="N278" s="10">
        <v>0</v>
      </c>
    </row>
    <row r="279" spans="2:14" ht="33" customHeight="1" x14ac:dyDescent="0.3">
      <c r="B279" s="14" t="s">
        <v>410</v>
      </c>
      <c r="C279" s="14" t="s">
        <v>793</v>
      </c>
      <c r="D279" s="14">
        <v>0</v>
      </c>
      <c r="E279" s="14" t="s">
        <v>794</v>
      </c>
      <c r="F279" s="14" t="s">
        <v>795</v>
      </c>
      <c r="G279" s="14" t="s">
        <v>331</v>
      </c>
      <c r="H279" s="14" t="str">
        <f t="shared" si="8"/>
        <v>DHEA25-60</v>
      </c>
      <c r="I279" s="15" t="str">
        <f t="shared" si="9"/>
        <v>FD</v>
      </c>
      <c r="J279" s="14">
        <v>300</v>
      </c>
      <c r="K279" t="s">
        <v>493</v>
      </c>
      <c r="L279">
        <v>300</v>
      </c>
      <c r="M279">
        <v>0</v>
      </c>
      <c r="N279" s="10" t="s">
        <v>414</v>
      </c>
    </row>
    <row r="280" spans="2:14" ht="33" customHeight="1" x14ac:dyDescent="0.3">
      <c r="B280" s="14" t="s">
        <v>410</v>
      </c>
      <c r="C280" s="14" t="s">
        <v>793</v>
      </c>
      <c r="D280" s="14">
        <v>0</v>
      </c>
      <c r="E280" s="14">
        <v>0</v>
      </c>
      <c r="F280" s="14" t="s">
        <v>795</v>
      </c>
      <c r="G280" s="14" t="s">
        <v>380</v>
      </c>
      <c r="H280" s="14" t="str">
        <f t="shared" si="8"/>
        <v>RAPIDC5-100</v>
      </c>
      <c r="I280" s="15" t="str">
        <f t="shared" si="9"/>
        <v>FD</v>
      </c>
      <c r="J280" s="14">
        <v>500</v>
      </c>
      <c r="K280" t="s">
        <v>796</v>
      </c>
      <c r="L280">
        <v>500</v>
      </c>
      <c r="M280">
        <v>0</v>
      </c>
      <c r="N280" s="10" t="s">
        <v>414</v>
      </c>
    </row>
    <row r="281" spans="2:14" ht="33" customHeight="1" x14ac:dyDescent="0.3">
      <c r="B281" s="14">
        <v>0</v>
      </c>
      <c r="C281" s="14">
        <v>0</v>
      </c>
      <c r="D281" s="14">
        <v>0</v>
      </c>
      <c r="E281" s="14">
        <v>0</v>
      </c>
      <c r="F281" s="14">
        <v>0</v>
      </c>
      <c r="G281" s="14">
        <v>0</v>
      </c>
      <c r="H281" s="14">
        <f t="shared" si="8"/>
        <v>0</v>
      </c>
      <c r="I281" s="15" t="str">
        <f t="shared" si="9"/>
        <v/>
      </c>
      <c r="J281" s="14">
        <v>0</v>
      </c>
      <c r="K281">
        <v>0</v>
      </c>
      <c r="L281">
        <v>0</v>
      </c>
      <c r="M281">
        <v>0</v>
      </c>
      <c r="N281" s="10">
        <v>0</v>
      </c>
    </row>
    <row r="282" spans="2:14" ht="33" customHeight="1" x14ac:dyDescent="0.3">
      <c r="B282" s="14" t="s">
        <v>425</v>
      </c>
      <c r="C282" s="14" t="s">
        <v>797</v>
      </c>
      <c r="D282" s="14" t="s">
        <v>798</v>
      </c>
      <c r="E282" s="14" t="s">
        <v>799</v>
      </c>
      <c r="F282" s="14" t="s">
        <v>800</v>
      </c>
      <c r="G282" s="14" t="s">
        <v>137</v>
      </c>
      <c r="H282" s="14" t="str">
        <f t="shared" si="8"/>
        <v>OVAMAX-120</v>
      </c>
      <c r="I282" s="15" t="str">
        <f t="shared" si="9"/>
        <v>KW</v>
      </c>
      <c r="J282" s="14">
        <v>223</v>
      </c>
      <c r="K282" t="s">
        <v>801</v>
      </c>
      <c r="L282">
        <v>223</v>
      </c>
      <c r="M282">
        <v>0</v>
      </c>
      <c r="N282" s="10" t="s">
        <v>436</v>
      </c>
    </row>
    <row r="283" spans="2:14" ht="33" customHeight="1" x14ac:dyDescent="0.3">
      <c r="B283" s="14" t="s">
        <v>425</v>
      </c>
      <c r="C283" s="14" t="s">
        <v>797</v>
      </c>
      <c r="D283" s="14">
        <v>0</v>
      </c>
      <c r="E283" s="14">
        <v>0</v>
      </c>
      <c r="F283" s="14" t="s">
        <v>800</v>
      </c>
      <c r="G283" s="14" t="s">
        <v>137</v>
      </c>
      <c r="H283" s="14" t="str">
        <f t="shared" si="8"/>
        <v>OVAMAX-120</v>
      </c>
      <c r="I283" s="15" t="str">
        <f t="shared" si="9"/>
        <v>KW</v>
      </c>
      <c r="J283" s="14">
        <v>1977</v>
      </c>
      <c r="K283" t="s">
        <v>801</v>
      </c>
      <c r="L283">
        <v>0</v>
      </c>
      <c r="M283">
        <v>1977</v>
      </c>
      <c r="N283" s="10" t="s">
        <v>442</v>
      </c>
    </row>
    <row r="284" spans="2:14" ht="33" customHeight="1" x14ac:dyDescent="0.3">
      <c r="B284" s="14" t="s">
        <v>425</v>
      </c>
      <c r="C284" s="14" t="s">
        <v>797</v>
      </c>
      <c r="D284" s="14">
        <v>0</v>
      </c>
      <c r="E284" s="14">
        <v>0</v>
      </c>
      <c r="F284" s="14" t="s">
        <v>800</v>
      </c>
      <c r="G284" s="14" t="s">
        <v>129</v>
      </c>
      <c r="H284" s="14" t="str">
        <f t="shared" si="8"/>
        <v>MOTILMX-60</v>
      </c>
      <c r="I284" s="15" t="str">
        <f t="shared" si="9"/>
        <v>KW</v>
      </c>
      <c r="J284" s="14">
        <v>2100</v>
      </c>
      <c r="K284" t="s">
        <v>802</v>
      </c>
      <c r="L284">
        <v>0</v>
      </c>
      <c r="M284">
        <v>2100</v>
      </c>
      <c r="N284" s="10" t="s">
        <v>448</v>
      </c>
    </row>
    <row r="285" spans="2:14" ht="33" customHeight="1" x14ac:dyDescent="0.3">
      <c r="B285" s="14" t="s">
        <v>425</v>
      </c>
      <c r="C285" s="14" t="s">
        <v>797</v>
      </c>
      <c r="D285" s="14">
        <v>0</v>
      </c>
      <c r="E285" s="14">
        <v>0</v>
      </c>
      <c r="F285" s="14" t="s">
        <v>803</v>
      </c>
      <c r="G285" s="14" t="s">
        <v>266</v>
      </c>
      <c r="H285" s="14" t="str">
        <f t="shared" si="8"/>
        <v>COLLA-60</v>
      </c>
      <c r="I285" s="15" t="str">
        <f t="shared" si="9"/>
        <v>KW</v>
      </c>
      <c r="J285" s="14">
        <v>399</v>
      </c>
      <c r="K285" t="s">
        <v>804</v>
      </c>
      <c r="L285">
        <v>399</v>
      </c>
      <c r="M285">
        <v>0</v>
      </c>
      <c r="N285" s="10" t="s">
        <v>436</v>
      </c>
    </row>
    <row r="286" spans="2:14" ht="33" customHeight="1" x14ac:dyDescent="0.3">
      <c r="B286" s="14" t="s">
        <v>425</v>
      </c>
      <c r="C286" s="14" t="s">
        <v>797</v>
      </c>
      <c r="D286" s="14">
        <v>0</v>
      </c>
      <c r="E286" s="14">
        <v>0</v>
      </c>
      <c r="F286" s="14" t="s">
        <v>805</v>
      </c>
      <c r="G286" s="14" t="s">
        <v>266</v>
      </c>
      <c r="H286" s="14" t="str">
        <f t="shared" si="8"/>
        <v>COLLA-60</v>
      </c>
      <c r="I286" s="15" t="str">
        <f t="shared" si="9"/>
        <v>KW</v>
      </c>
      <c r="J286" s="14">
        <v>301</v>
      </c>
      <c r="K286" t="s">
        <v>804</v>
      </c>
      <c r="L286">
        <v>301</v>
      </c>
      <c r="M286">
        <v>0</v>
      </c>
      <c r="N286" s="10" t="s">
        <v>436</v>
      </c>
    </row>
    <row r="287" spans="2:14" ht="33" customHeight="1" x14ac:dyDescent="0.3">
      <c r="B287" s="14" t="s">
        <v>425</v>
      </c>
      <c r="C287" s="14" t="s">
        <v>797</v>
      </c>
      <c r="D287" s="14">
        <v>0</v>
      </c>
      <c r="E287" s="14">
        <v>0</v>
      </c>
      <c r="F287" s="14">
        <v>0</v>
      </c>
      <c r="G287" s="14" t="s">
        <v>340</v>
      </c>
      <c r="H287" s="14" t="str">
        <f t="shared" si="8"/>
        <v>DHEA50-60</v>
      </c>
      <c r="I287" s="15" t="str">
        <f t="shared" si="9"/>
        <v>KW</v>
      </c>
      <c r="J287" s="14">
        <v>1000</v>
      </c>
      <c r="K287" t="s">
        <v>806</v>
      </c>
      <c r="L287">
        <v>0</v>
      </c>
      <c r="M287">
        <v>1000</v>
      </c>
      <c r="N287" s="10" t="s">
        <v>448</v>
      </c>
    </row>
    <row r="288" spans="2:14" ht="33" customHeight="1" x14ac:dyDescent="0.3">
      <c r="B288" s="14" t="s">
        <v>425</v>
      </c>
      <c r="C288" s="14" t="s">
        <v>797</v>
      </c>
      <c r="D288" s="14">
        <v>0</v>
      </c>
      <c r="E288" s="14">
        <v>0</v>
      </c>
      <c r="F288" s="14" t="s">
        <v>807</v>
      </c>
      <c r="G288" s="14" t="s">
        <v>357</v>
      </c>
      <c r="H288" s="14" t="str">
        <f t="shared" si="8"/>
        <v>OMEGA3-60</v>
      </c>
      <c r="I288" s="15" t="str">
        <f t="shared" si="9"/>
        <v>FD</v>
      </c>
      <c r="J288" s="14">
        <v>1500</v>
      </c>
      <c r="K288" t="s">
        <v>808</v>
      </c>
      <c r="L288">
        <v>0</v>
      </c>
      <c r="M288">
        <v>1000</v>
      </c>
      <c r="N288" s="10" t="s">
        <v>442</v>
      </c>
    </row>
    <row r="289" spans="2:14" ht="33" customHeight="1" x14ac:dyDescent="0.3">
      <c r="B289" s="14" t="s">
        <v>425</v>
      </c>
      <c r="C289" s="14" t="s">
        <v>797</v>
      </c>
      <c r="D289" s="14">
        <v>0</v>
      </c>
      <c r="E289" s="14">
        <v>0</v>
      </c>
      <c r="F289" s="14" t="s">
        <v>809</v>
      </c>
      <c r="G289" s="14" t="s">
        <v>366</v>
      </c>
      <c r="H289" s="14" t="str">
        <f t="shared" si="8"/>
        <v>OME369-90</v>
      </c>
      <c r="I289" s="15" t="str">
        <f t="shared" si="9"/>
        <v>FD</v>
      </c>
      <c r="J289" s="14">
        <v>300</v>
      </c>
      <c r="K289" t="s">
        <v>702</v>
      </c>
      <c r="L289">
        <v>300</v>
      </c>
      <c r="M289">
        <v>0</v>
      </c>
      <c r="N289" s="10" t="s">
        <v>436</v>
      </c>
    </row>
    <row r="290" spans="2:14" ht="33" customHeight="1" x14ac:dyDescent="0.3">
      <c r="B290" s="14" t="s">
        <v>810</v>
      </c>
      <c r="C290" s="14" t="s">
        <v>797</v>
      </c>
      <c r="D290" s="14">
        <v>0</v>
      </c>
      <c r="E290" s="14">
        <v>0</v>
      </c>
      <c r="F290" s="14" t="s">
        <v>811</v>
      </c>
      <c r="G290" s="14" t="s">
        <v>300</v>
      </c>
      <c r="H290" s="14" t="str">
        <f t="shared" si="8"/>
        <v>OSTEOPL-96</v>
      </c>
      <c r="I290" s="15" t="str">
        <f t="shared" si="9"/>
        <v>KW</v>
      </c>
      <c r="J290" s="14">
        <v>500</v>
      </c>
      <c r="K290" t="s">
        <v>812</v>
      </c>
      <c r="L290">
        <v>500</v>
      </c>
      <c r="M290">
        <v>0</v>
      </c>
      <c r="N290" s="10" t="s">
        <v>813</v>
      </c>
    </row>
    <row r="291" spans="2:14" ht="33" customHeight="1" x14ac:dyDescent="0.3">
      <c r="B291" s="14">
        <v>0</v>
      </c>
      <c r="C291" s="14">
        <v>0</v>
      </c>
      <c r="D291" s="14">
        <v>0</v>
      </c>
      <c r="E291" s="14">
        <v>0</v>
      </c>
      <c r="F291" s="14">
        <v>0</v>
      </c>
      <c r="G291" s="14">
        <v>0</v>
      </c>
      <c r="H291" s="14">
        <f t="shared" si="8"/>
        <v>0</v>
      </c>
      <c r="I291" s="15" t="str">
        <f t="shared" si="9"/>
        <v/>
      </c>
      <c r="J291" s="14">
        <v>0</v>
      </c>
      <c r="K291">
        <v>0</v>
      </c>
      <c r="L291">
        <v>0</v>
      </c>
      <c r="M291">
        <v>0</v>
      </c>
      <c r="N291" s="10">
        <v>0</v>
      </c>
    </row>
    <row r="292" spans="2:14" ht="33" customHeight="1" x14ac:dyDescent="0.3">
      <c r="B292" s="14" t="s">
        <v>500</v>
      </c>
      <c r="C292" s="14" t="s">
        <v>814</v>
      </c>
      <c r="D292" s="14">
        <v>0</v>
      </c>
      <c r="E292" s="14" t="s">
        <v>815</v>
      </c>
      <c r="F292" s="14">
        <v>0</v>
      </c>
      <c r="G292" s="14" t="s">
        <v>816</v>
      </c>
      <c r="H292" s="14" t="str">
        <f t="shared" si="8"/>
        <v>OVAMAX-120</v>
      </c>
      <c r="I292" s="15" t="str">
        <f t="shared" si="9"/>
        <v>GR</v>
      </c>
      <c r="J292" s="14">
        <v>552</v>
      </c>
      <c r="K292" t="s">
        <v>817</v>
      </c>
      <c r="L292">
        <v>552</v>
      </c>
      <c r="M292">
        <v>0</v>
      </c>
      <c r="N292" s="10" t="s">
        <v>414</v>
      </c>
    </row>
    <row r="293" spans="2:14" ht="33" customHeight="1" x14ac:dyDescent="0.3">
      <c r="B293" s="14" t="s">
        <v>500</v>
      </c>
      <c r="C293" s="14" t="s">
        <v>814</v>
      </c>
      <c r="D293" s="14">
        <v>0</v>
      </c>
      <c r="E293" s="14">
        <v>0</v>
      </c>
      <c r="F293" s="14">
        <v>0</v>
      </c>
      <c r="G293" s="14" t="s">
        <v>818</v>
      </c>
      <c r="H293" s="14" t="str">
        <f t="shared" si="8"/>
        <v>METRIO-60</v>
      </c>
      <c r="I293" s="15" t="str">
        <f t="shared" si="9"/>
        <v>GR</v>
      </c>
      <c r="J293" s="14">
        <v>144</v>
      </c>
      <c r="K293" t="s">
        <v>819</v>
      </c>
      <c r="L293">
        <v>144</v>
      </c>
      <c r="M293">
        <v>0</v>
      </c>
      <c r="N293" s="10" t="s">
        <v>414</v>
      </c>
    </row>
    <row r="294" spans="2:14" ht="33" customHeight="1" x14ac:dyDescent="0.3">
      <c r="B294" s="14" t="s">
        <v>500</v>
      </c>
      <c r="C294" s="14" t="s">
        <v>814</v>
      </c>
      <c r="D294" s="14">
        <v>0</v>
      </c>
      <c r="E294" s="14">
        <v>0</v>
      </c>
      <c r="F294" s="14">
        <v>0</v>
      </c>
      <c r="G294" s="14" t="s">
        <v>820</v>
      </c>
      <c r="H294" s="14" t="str">
        <f t="shared" si="8"/>
        <v>PEARLY-60</v>
      </c>
      <c r="I294" s="15" t="str">
        <f t="shared" si="9"/>
        <v>GR</v>
      </c>
      <c r="J294" s="14">
        <v>72</v>
      </c>
      <c r="K294" t="s">
        <v>821</v>
      </c>
      <c r="L294">
        <v>72</v>
      </c>
      <c r="M294">
        <v>0</v>
      </c>
      <c r="N294" s="10" t="s">
        <v>414</v>
      </c>
    </row>
    <row r="295" spans="2:14" ht="33" customHeight="1" x14ac:dyDescent="0.3">
      <c r="B295" s="14" t="s">
        <v>500</v>
      </c>
      <c r="C295" s="14" t="s">
        <v>814</v>
      </c>
      <c r="D295" s="14">
        <v>0</v>
      </c>
      <c r="E295" s="14">
        <v>0</v>
      </c>
      <c r="F295" s="14">
        <v>0</v>
      </c>
      <c r="G295" s="14" t="s">
        <v>822</v>
      </c>
      <c r="H295" s="14" t="str">
        <f t="shared" si="8"/>
        <v>PEDIAMU-50</v>
      </c>
      <c r="I295" s="15" t="str">
        <f t="shared" si="9"/>
        <v>FD</v>
      </c>
      <c r="J295" s="14">
        <v>48</v>
      </c>
      <c r="K295" t="s">
        <v>823</v>
      </c>
      <c r="L295">
        <v>48</v>
      </c>
      <c r="M295">
        <v>0</v>
      </c>
      <c r="N295" s="10" t="s">
        <v>414</v>
      </c>
    </row>
    <row r="296" spans="2:14" ht="33" customHeight="1" x14ac:dyDescent="0.3">
      <c r="B296" s="14">
        <v>0</v>
      </c>
      <c r="C296" s="14">
        <v>0</v>
      </c>
      <c r="D296" s="14">
        <v>0</v>
      </c>
      <c r="E296" s="14">
        <v>0</v>
      </c>
      <c r="F296" s="14">
        <v>0</v>
      </c>
      <c r="G296" s="14">
        <v>0</v>
      </c>
      <c r="H296" s="14">
        <f t="shared" si="8"/>
        <v>0</v>
      </c>
      <c r="I296" s="15" t="str">
        <f t="shared" si="9"/>
        <v/>
      </c>
      <c r="J296" s="14">
        <v>0</v>
      </c>
      <c r="K296">
        <v>0</v>
      </c>
      <c r="L296">
        <v>0</v>
      </c>
      <c r="M296">
        <v>0</v>
      </c>
      <c r="N296" s="10">
        <v>0</v>
      </c>
    </row>
    <row r="297" spans="2:14" ht="33" customHeight="1" x14ac:dyDescent="0.3">
      <c r="B297" s="14" t="s">
        <v>500</v>
      </c>
      <c r="C297" s="14" t="s">
        <v>824</v>
      </c>
      <c r="D297" s="14">
        <v>0</v>
      </c>
      <c r="E297" s="14" t="s">
        <v>825</v>
      </c>
      <c r="F297" s="14">
        <v>0</v>
      </c>
      <c r="G297" s="14" t="s">
        <v>826</v>
      </c>
      <c r="H297" s="14" t="str">
        <f t="shared" si="8"/>
        <v>FIBRO-60</v>
      </c>
      <c r="I297" s="15" t="str">
        <f t="shared" si="9"/>
        <v>GR</v>
      </c>
      <c r="J297" s="14">
        <v>48</v>
      </c>
      <c r="K297" t="s">
        <v>827</v>
      </c>
      <c r="L297">
        <v>48</v>
      </c>
      <c r="M297">
        <v>0</v>
      </c>
      <c r="N297" s="10" t="s">
        <v>414</v>
      </c>
    </row>
    <row r="298" spans="2:14" ht="33" customHeight="1" x14ac:dyDescent="0.3">
      <c r="B298" s="14" t="s">
        <v>500</v>
      </c>
      <c r="C298" s="14" t="s">
        <v>824</v>
      </c>
      <c r="D298" s="14">
        <v>0</v>
      </c>
      <c r="E298" s="14">
        <v>0</v>
      </c>
      <c r="F298" s="14">
        <v>0</v>
      </c>
      <c r="G298" s="14" t="s">
        <v>828</v>
      </c>
      <c r="H298" s="14" t="str">
        <f t="shared" si="8"/>
        <v>XTRAD10-60</v>
      </c>
      <c r="I298" s="15" t="str">
        <f t="shared" si="9"/>
        <v>GR</v>
      </c>
      <c r="J298" s="14">
        <v>96</v>
      </c>
      <c r="K298" t="s">
        <v>829</v>
      </c>
      <c r="L298">
        <v>96</v>
      </c>
      <c r="M298">
        <v>0</v>
      </c>
      <c r="N298" s="10" t="s">
        <v>414</v>
      </c>
    </row>
    <row r="299" spans="2:14" ht="33" customHeight="1" x14ac:dyDescent="0.3">
      <c r="B299" s="14" t="s">
        <v>500</v>
      </c>
      <c r="C299" s="14" t="s">
        <v>824</v>
      </c>
      <c r="D299" s="14">
        <v>0</v>
      </c>
      <c r="E299" s="14">
        <v>0</v>
      </c>
      <c r="F299" s="14">
        <v>0</v>
      </c>
      <c r="G299" s="14" t="s">
        <v>830</v>
      </c>
      <c r="H299" s="14" t="str">
        <f t="shared" si="8"/>
        <v>PENAMAX-60</v>
      </c>
      <c r="I299" s="15" t="str">
        <f t="shared" si="9"/>
        <v>GR</v>
      </c>
      <c r="J299" s="14">
        <v>228</v>
      </c>
      <c r="K299" t="s">
        <v>831</v>
      </c>
      <c r="L299">
        <v>228</v>
      </c>
      <c r="M299">
        <v>0</v>
      </c>
      <c r="N299" s="10" t="s">
        <v>414</v>
      </c>
    </row>
    <row r="300" spans="2:14" ht="33" customHeight="1" x14ac:dyDescent="0.3">
      <c r="B300" s="14">
        <v>0</v>
      </c>
      <c r="C300" s="14">
        <v>0</v>
      </c>
      <c r="D300" s="14">
        <v>0</v>
      </c>
      <c r="E300" s="14">
        <v>0</v>
      </c>
      <c r="F300" s="14">
        <v>0</v>
      </c>
      <c r="G300" s="14">
        <v>0</v>
      </c>
      <c r="H300" s="14">
        <f t="shared" si="8"/>
        <v>0</v>
      </c>
      <c r="I300" s="15" t="str">
        <f t="shared" si="9"/>
        <v/>
      </c>
      <c r="J300" s="14">
        <v>0</v>
      </c>
      <c r="K300">
        <v>0</v>
      </c>
      <c r="L300">
        <v>0</v>
      </c>
      <c r="M300">
        <v>0</v>
      </c>
      <c r="N300" s="10">
        <v>0</v>
      </c>
    </row>
    <row r="301" spans="2:14" ht="33" customHeight="1" x14ac:dyDescent="0.3">
      <c r="B301" s="14" t="s">
        <v>500</v>
      </c>
      <c r="C301" s="14" t="s">
        <v>832</v>
      </c>
      <c r="D301" s="14">
        <v>0</v>
      </c>
      <c r="E301" s="14" t="s">
        <v>833</v>
      </c>
      <c r="F301" s="14" t="s">
        <v>834</v>
      </c>
      <c r="G301" s="14" t="s">
        <v>505</v>
      </c>
      <c r="H301" s="14" t="str">
        <f t="shared" si="8"/>
        <v>MFSADV-120</v>
      </c>
      <c r="I301" s="15" t="str">
        <f t="shared" si="9"/>
        <v>GR</v>
      </c>
      <c r="J301" s="14">
        <v>600</v>
      </c>
      <c r="K301" t="s">
        <v>506</v>
      </c>
      <c r="L301">
        <v>600</v>
      </c>
      <c r="M301">
        <v>0</v>
      </c>
      <c r="N301" s="10" t="s">
        <v>414</v>
      </c>
    </row>
    <row r="302" spans="2:14" ht="33" customHeight="1" x14ac:dyDescent="0.3">
      <c r="B302" s="14" t="s">
        <v>500</v>
      </c>
      <c r="C302" s="14" t="s">
        <v>832</v>
      </c>
      <c r="D302" s="14">
        <v>0</v>
      </c>
      <c r="E302" s="14">
        <v>0</v>
      </c>
      <c r="F302" s="14">
        <v>0</v>
      </c>
      <c r="G302" s="14" t="s">
        <v>826</v>
      </c>
      <c r="H302" s="14" t="str">
        <f t="shared" si="8"/>
        <v>FIBRO-60</v>
      </c>
      <c r="I302" s="15" t="str">
        <f t="shared" si="9"/>
        <v>GR</v>
      </c>
      <c r="J302" s="14">
        <v>24</v>
      </c>
      <c r="K302" t="s">
        <v>827</v>
      </c>
      <c r="L302">
        <v>24</v>
      </c>
      <c r="M302">
        <v>0</v>
      </c>
      <c r="N302" s="10" t="s">
        <v>414</v>
      </c>
    </row>
    <row r="303" spans="2:14" ht="33" customHeight="1" x14ac:dyDescent="0.3">
      <c r="B303" s="14" t="s">
        <v>500</v>
      </c>
      <c r="C303" s="14" t="s">
        <v>832</v>
      </c>
      <c r="D303" s="14">
        <v>0</v>
      </c>
      <c r="E303" s="14">
        <v>0</v>
      </c>
      <c r="F303" s="14">
        <v>0</v>
      </c>
      <c r="G303" s="14" t="s">
        <v>828</v>
      </c>
      <c r="H303" s="14" t="str">
        <f t="shared" si="8"/>
        <v>XTRAD10-60</v>
      </c>
      <c r="I303" s="15" t="str">
        <f t="shared" si="9"/>
        <v>GR</v>
      </c>
      <c r="J303" s="14">
        <v>96</v>
      </c>
      <c r="K303" t="s">
        <v>829</v>
      </c>
      <c r="L303">
        <v>96</v>
      </c>
      <c r="M303">
        <v>0</v>
      </c>
      <c r="N303" s="10" t="s">
        <v>414</v>
      </c>
    </row>
    <row r="304" spans="2:14" ht="33" customHeight="1" x14ac:dyDescent="0.3">
      <c r="B304" s="14" t="s">
        <v>500</v>
      </c>
      <c r="C304" s="14" t="s">
        <v>832</v>
      </c>
      <c r="D304" s="14">
        <v>0</v>
      </c>
      <c r="E304" s="14">
        <v>0</v>
      </c>
      <c r="F304" s="14">
        <v>0</v>
      </c>
      <c r="G304" s="14" t="s">
        <v>830</v>
      </c>
      <c r="H304" s="14" t="str">
        <f t="shared" si="8"/>
        <v>PENAMAX-60</v>
      </c>
      <c r="I304" s="15" t="str">
        <f t="shared" si="9"/>
        <v>GR</v>
      </c>
      <c r="J304" s="14">
        <v>228</v>
      </c>
      <c r="K304" t="s">
        <v>831</v>
      </c>
      <c r="L304">
        <v>228</v>
      </c>
      <c r="M304">
        <v>0</v>
      </c>
      <c r="N304" s="10" t="s">
        <v>414</v>
      </c>
    </row>
    <row r="305" spans="2:14" ht="33" customHeight="1" x14ac:dyDescent="0.3">
      <c r="B305" s="14">
        <v>0</v>
      </c>
      <c r="C305" s="14">
        <v>0</v>
      </c>
      <c r="D305" s="14">
        <v>0</v>
      </c>
      <c r="E305" s="14">
        <v>0</v>
      </c>
      <c r="F305" s="14">
        <v>0</v>
      </c>
      <c r="G305" s="14">
        <v>0</v>
      </c>
      <c r="H305" s="14">
        <f t="shared" si="8"/>
        <v>0</v>
      </c>
      <c r="I305" s="15" t="str">
        <f t="shared" si="9"/>
        <v/>
      </c>
      <c r="J305" s="14">
        <v>0</v>
      </c>
      <c r="K305">
        <v>0</v>
      </c>
      <c r="L305">
        <v>0</v>
      </c>
      <c r="M305">
        <v>0</v>
      </c>
      <c r="N305" s="10">
        <v>0</v>
      </c>
    </row>
    <row r="306" spans="2:14" ht="33" customHeight="1" x14ac:dyDescent="0.3">
      <c r="B306" s="14" t="s">
        <v>835</v>
      </c>
      <c r="C306" s="14" t="s">
        <v>836</v>
      </c>
      <c r="D306" s="14">
        <v>0</v>
      </c>
      <c r="E306" s="14" t="s">
        <v>837</v>
      </c>
      <c r="F306" s="14" t="s">
        <v>838</v>
      </c>
      <c r="G306" s="14" t="s">
        <v>839</v>
      </c>
      <c r="H306" s="14" t="str">
        <f t="shared" si="8"/>
        <v>FERTNOM-90</v>
      </c>
      <c r="I306" s="15" t="str">
        <f t="shared" si="9"/>
        <v>CY</v>
      </c>
      <c r="J306" s="14">
        <v>528</v>
      </c>
      <c r="K306" t="s">
        <v>840</v>
      </c>
      <c r="L306">
        <v>528</v>
      </c>
      <c r="M306">
        <v>0</v>
      </c>
      <c r="N306" s="10" t="s">
        <v>813</v>
      </c>
    </row>
    <row r="307" spans="2:14" ht="33" customHeight="1" x14ac:dyDescent="0.3">
      <c r="B307" s="14" t="s">
        <v>835</v>
      </c>
      <c r="C307" s="14" t="s">
        <v>836</v>
      </c>
      <c r="D307" s="14">
        <v>0</v>
      </c>
      <c r="E307" s="14">
        <v>0</v>
      </c>
      <c r="F307" s="14" t="s">
        <v>841</v>
      </c>
      <c r="G307" s="14" t="s">
        <v>505</v>
      </c>
      <c r="H307" s="14" t="str">
        <f t="shared" si="8"/>
        <v>MFSADV-120</v>
      </c>
      <c r="I307" s="15" t="str">
        <f t="shared" si="9"/>
        <v>GR</v>
      </c>
      <c r="J307" s="14">
        <v>576</v>
      </c>
      <c r="K307" t="s">
        <v>506</v>
      </c>
      <c r="L307">
        <v>576</v>
      </c>
      <c r="M307">
        <v>0</v>
      </c>
      <c r="N307" s="10" t="s">
        <v>436</v>
      </c>
    </row>
    <row r="308" spans="2:14" ht="33" customHeight="1" x14ac:dyDescent="0.3">
      <c r="B308" s="14" t="s">
        <v>835</v>
      </c>
      <c r="C308" s="14" t="s">
        <v>836</v>
      </c>
      <c r="D308" s="14">
        <v>0</v>
      </c>
      <c r="E308" s="14">
        <v>0</v>
      </c>
      <c r="F308" s="14">
        <v>0</v>
      </c>
      <c r="G308" s="14" t="s">
        <v>842</v>
      </c>
      <c r="H308" s="14" t="str">
        <f t="shared" si="8"/>
        <v>MOTILMX-60</v>
      </c>
      <c r="I308" s="15" t="str">
        <f t="shared" si="9"/>
        <v>GR</v>
      </c>
      <c r="J308" s="14">
        <v>120</v>
      </c>
      <c r="K308" t="s">
        <v>843</v>
      </c>
      <c r="L308">
        <v>120</v>
      </c>
      <c r="M308">
        <v>0</v>
      </c>
      <c r="N308" s="10" t="s">
        <v>436</v>
      </c>
    </row>
    <row r="309" spans="2:14" ht="33" customHeight="1" x14ac:dyDescent="0.3">
      <c r="B309" s="14">
        <v>0</v>
      </c>
      <c r="C309" s="14">
        <v>0</v>
      </c>
      <c r="D309" s="14">
        <v>0</v>
      </c>
      <c r="E309" s="14">
        <v>0</v>
      </c>
      <c r="F309" s="14">
        <v>0</v>
      </c>
      <c r="G309" s="14">
        <v>0</v>
      </c>
      <c r="H309" s="14">
        <f t="shared" si="8"/>
        <v>0</v>
      </c>
      <c r="I309" s="15" t="str">
        <f t="shared" si="9"/>
        <v/>
      </c>
      <c r="J309" s="14">
        <v>0</v>
      </c>
      <c r="K309">
        <v>0</v>
      </c>
      <c r="L309">
        <v>0</v>
      </c>
      <c r="M309">
        <v>0</v>
      </c>
      <c r="N309" s="10">
        <v>0</v>
      </c>
    </row>
    <row r="310" spans="2:14" ht="33" customHeight="1" x14ac:dyDescent="0.3">
      <c r="B310" s="14" t="s">
        <v>410</v>
      </c>
      <c r="C310" s="14" t="s">
        <v>844</v>
      </c>
      <c r="D310" s="14" t="s">
        <v>845</v>
      </c>
      <c r="E310" s="14" t="s">
        <v>846</v>
      </c>
      <c r="F310" s="14">
        <v>0</v>
      </c>
      <c r="G310" s="14" t="s">
        <v>366</v>
      </c>
      <c r="H310" s="14" t="str">
        <f t="shared" si="8"/>
        <v>OME369-90</v>
      </c>
      <c r="I310" s="15" t="str">
        <f t="shared" si="9"/>
        <v>FD</v>
      </c>
      <c r="J310" s="14">
        <v>192</v>
      </c>
      <c r="K310" t="s">
        <v>702</v>
      </c>
      <c r="L310">
        <v>192</v>
      </c>
      <c r="M310">
        <v>0</v>
      </c>
      <c r="N310" s="10" t="s">
        <v>414</v>
      </c>
    </row>
    <row r="311" spans="2:14" ht="33" customHeight="1" x14ac:dyDescent="0.3">
      <c r="B311" s="14">
        <v>0</v>
      </c>
      <c r="C311" s="14">
        <v>0</v>
      </c>
      <c r="D311" s="14">
        <v>0</v>
      </c>
      <c r="E311" s="14">
        <v>0</v>
      </c>
      <c r="F311" s="14">
        <v>0</v>
      </c>
      <c r="G311" s="14">
        <v>0</v>
      </c>
      <c r="H311" s="14">
        <f t="shared" si="8"/>
        <v>0</v>
      </c>
      <c r="I311" s="15" t="str">
        <f t="shared" si="9"/>
        <v/>
      </c>
      <c r="J311" s="14">
        <v>0</v>
      </c>
      <c r="K311">
        <v>0</v>
      </c>
      <c r="L311">
        <v>0</v>
      </c>
      <c r="M311">
        <v>0</v>
      </c>
      <c r="N311" s="10">
        <v>0</v>
      </c>
    </row>
    <row r="312" spans="2:14" ht="33" customHeight="1" x14ac:dyDescent="0.3">
      <c r="B312" s="14" t="s">
        <v>664</v>
      </c>
      <c r="C312" s="14" t="s">
        <v>847</v>
      </c>
      <c r="D312" s="14" t="s">
        <v>848</v>
      </c>
      <c r="E312" s="14" t="s">
        <v>849</v>
      </c>
      <c r="F312" s="14" t="s">
        <v>850</v>
      </c>
      <c r="G312" s="14" t="s">
        <v>851</v>
      </c>
      <c r="H312" s="14" t="str">
        <f t="shared" si="8"/>
        <v>MFSPLS-120</v>
      </c>
      <c r="I312" s="15" t="str">
        <f t="shared" si="9"/>
        <v>EG</v>
      </c>
      <c r="J312" s="14">
        <v>1057</v>
      </c>
      <c r="K312" t="s">
        <v>852</v>
      </c>
      <c r="L312">
        <v>1057</v>
      </c>
      <c r="M312">
        <v>0</v>
      </c>
      <c r="N312" s="10" t="s">
        <v>436</v>
      </c>
    </row>
    <row r="313" spans="2:14" ht="33" customHeight="1" x14ac:dyDescent="0.3">
      <c r="B313" s="14" t="s">
        <v>664</v>
      </c>
      <c r="C313" s="14" t="s">
        <v>847</v>
      </c>
      <c r="D313" s="14" t="s">
        <v>488</v>
      </c>
      <c r="E313" s="14">
        <v>0</v>
      </c>
      <c r="F313" s="14" t="s">
        <v>853</v>
      </c>
      <c r="G313" s="14" t="s">
        <v>854</v>
      </c>
      <c r="H313" s="14" t="str">
        <f t="shared" si="8"/>
        <v>WFSPLS-180</v>
      </c>
      <c r="I313" s="15" t="str">
        <f t="shared" si="9"/>
        <v>EG</v>
      </c>
      <c r="J313" s="14">
        <v>2100</v>
      </c>
      <c r="K313" t="s">
        <v>855</v>
      </c>
      <c r="L313">
        <v>2100</v>
      </c>
      <c r="M313">
        <v>0</v>
      </c>
      <c r="N313" s="10" t="s">
        <v>436</v>
      </c>
    </row>
    <row r="314" spans="2:14" ht="33" customHeight="1" x14ac:dyDescent="0.3">
      <c r="B314" s="14" t="s">
        <v>664</v>
      </c>
      <c r="C314" s="14" t="s">
        <v>847</v>
      </c>
      <c r="D314" s="14" t="s">
        <v>488</v>
      </c>
      <c r="E314" s="14">
        <v>0</v>
      </c>
      <c r="F314" s="14" t="s">
        <v>856</v>
      </c>
      <c r="G314" s="14" t="s">
        <v>857</v>
      </c>
      <c r="H314" s="14" t="str">
        <f t="shared" si="8"/>
        <v>OVAMAX-120</v>
      </c>
      <c r="I314" s="15" t="str">
        <f t="shared" si="9"/>
        <v>EG</v>
      </c>
      <c r="J314" s="14">
        <v>570</v>
      </c>
      <c r="K314" t="s">
        <v>858</v>
      </c>
      <c r="L314">
        <v>570</v>
      </c>
      <c r="M314">
        <v>0</v>
      </c>
      <c r="N314" s="10" t="s">
        <v>436</v>
      </c>
    </row>
    <row r="315" spans="2:14" ht="33" customHeight="1" x14ac:dyDescent="0.3">
      <c r="B315" s="14" t="s">
        <v>664</v>
      </c>
      <c r="C315" s="14" t="s">
        <v>847</v>
      </c>
      <c r="D315" s="14" t="s">
        <v>488</v>
      </c>
      <c r="E315" s="14">
        <v>0</v>
      </c>
      <c r="F315" s="14" t="s">
        <v>856</v>
      </c>
      <c r="G315" s="14" t="s">
        <v>857</v>
      </c>
      <c r="H315" s="14" t="str">
        <f t="shared" si="8"/>
        <v>OVAMAX-120</v>
      </c>
      <c r="I315" s="15" t="str">
        <f t="shared" si="9"/>
        <v>EG</v>
      </c>
      <c r="J315" s="14">
        <v>3750</v>
      </c>
      <c r="K315" t="s">
        <v>858</v>
      </c>
      <c r="L315">
        <v>3750</v>
      </c>
      <c r="M315">
        <v>0</v>
      </c>
      <c r="N315" s="10" t="s">
        <v>436</v>
      </c>
    </row>
    <row r="316" spans="2:14" ht="33" customHeight="1" x14ac:dyDescent="0.3">
      <c r="B316" s="14" t="s">
        <v>664</v>
      </c>
      <c r="C316" s="14" t="s">
        <v>847</v>
      </c>
      <c r="D316" s="14" t="s">
        <v>488</v>
      </c>
      <c r="E316" s="14">
        <v>0</v>
      </c>
      <c r="F316" s="14" t="s">
        <v>859</v>
      </c>
      <c r="G316" s="14" t="s">
        <v>407</v>
      </c>
      <c r="H316" s="14" t="str">
        <f t="shared" si="8"/>
        <v>PRECON-180</v>
      </c>
      <c r="I316" s="15" t="str">
        <f t="shared" si="9"/>
        <v>EG</v>
      </c>
      <c r="J316" s="14">
        <v>516</v>
      </c>
      <c r="K316" t="s">
        <v>860</v>
      </c>
      <c r="L316">
        <v>516</v>
      </c>
      <c r="M316">
        <v>0</v>
      </c>
      <c r="N316" s="10" t="s">
        <v>436</v>
      </c>
    </row>
    <row r="317" spans="2:14" ht="33" customHeight="1" x14ac:dyDescent="0.3">
      <c r="B317" s="14" t="s">
        <v>664</v>
      </c>
      <c r="C317" s="14" t="s">
        <v>847</v>
      </c>
      <c r="D317" s="14">
        <v>0</v>
      </c>
      <c r="E317" s="14">
        <v>0</v>
      </c>
      <c r="F317" s="14" t="s">
        <v>861</v>
      </c>
      <c r="G317" s="14" t="s">
        <v>407</v>
      </c>
      <c r="H317" s="14" t="str">
        <f t="shared" si="8"/>
        <v>PRECON-180</v>
      </c>
      <c r="I317" s="15" t="str">
        <f t="shared" si="9"/>
        <v>EG</v>
      </c>
      <c r="J317" s="14">
        <v>261</v>
      </c>
      <c r="K317" t="s">
        <v>860</v>
      </c>
      <c r="L317">
        <v>261</v>
      </c>
      <c r="M317">
        <v>0</v>
      </c>
      <c r="N317" s="10" t="s">
        <v>436</v>
      </c>
    </row>
    <row r="318" spans="2:14" ht="33" customHeight="1" x14ac:dyDescent="0.3">
      <c r="B318" s="14" t="s">
        <v>664</v>
      </c>
      <c r="C318" s="14" t="s">
        <v>847</v>
      </c>
      <c r="D318" s="14" t="s">
        <v>488</v>
      </c>
      <c r="E318" s="14">
        <v>0</v>
      </c>
      <c r="F318" s="14">
        <v>0</v>
      </c>
      <c r="G318" s="14" t="s">
        <v>862</v>
      </c>
      <c r="H318" s="14" t="str">
        <f t="shared" si="8"/>
        <v>MOTILMX-60</v>
      </c>
      <c r="I318" s="15" t="str">
        <f t="shared" si="9"/>
        <v>EG</v>
      </c>
      <c r="J318" s="14">
        <v>1680</v>
      </c>
      <c r="K318" t="s">
        <v>863</v>
      </c>
      <c r="L318">
        <v>1680</v>
      </c>
      <c r="M318">
        <v>0</v>
      </c>
      <c r="N318" s="10" t="s">
        <v>436</v>
      </c>
    </row>
    <row r="319" spans="2:14" ht="33" customHeight="1" x14ac:dyDescent="0.3">
      <c r="B319" s="14" t="s">
        <v>664</v>
      </c>
      <c r="C319" s="14" t="s">
        <v>847</v>
      </c>
      <c r="D319" s="14" t="s">
        <v>864</v>
      </c>
      <c r="E319" s="14">
        <v>0</v>
      </c>
      <c r="F319" s="14" t="s">
        <v>853</v>
      </c>
      <c r="G319" s="14" t="s">
        <v>254</v>
      </c>
      <c r="H319" s="14" t="str">
        <f t="shared" si="8"/>
        <v>WFSPLS-90</v>
      </c>
      <c r="I319" s="15" t="str">
        <f t="shared" si="9"/>
        <v xml:space="preserve">EG  </v>
      </c>
      <c r="J319" s="14">
        <v>840</v>
      </c>
      <c r="K319" t="s">
        <v>865</v>
      </c>
      <c r="L319">
        <v>840</v>
      </c>
      <c r="M319">
        <v>0</v>
      </c>
      <c r="N319" s="10" t="s">
        <v>436</v>
      </c>
    </row>
    <row r="320" spans="2:14" ht="33" customHeight="1" x14ac:dyDescent="0.3">
      <c r="B320" s="14" t="s">
        <v>664</v>
      </c>
      <c r="C320" s="14" t="s">
        <v>847</v>
      </c>
      <c r="D320" s="14" t="s">
        <v>488</v>
      </c>
      <c r="E320" s="14">
        <v>0</v>
      </c>
      <c r="F320" s="14" t="s">
        <v>866</v>
      </c>
      <c r="G320" s="14" t="s">
        <v>867</v>
      </c>
      <c r="H320" s="14" t="str">
        <f t="shared" si="8"/>
        <v>MFSPLS-60</v>
      </c>
      <c r="I320" s="15" t="str">
        <f t="shared" si="9"/>
        <v>EG</v>
      </c>
      <c r="J320" s="14">
        <v>840</v>
      </c>
      <c r="K320" t="s">
        <v>868</v>
      </c>
      <c r="L320">
        <v>840</v>
      </c>
      <c r="M320">
        <v>0</v>
      </c>
      <c r="N320" s="10" t="s">
        <v>436</v>
      </c>
    </row>
    <row r="321" spans="2:14" ht="33" customHeight="1" x14ac:dyDescent="0.3">
      <c r="B321" s="14" t="s">
        <v>664</v>
      </c>
      <c r="C321" s="14" t="s">
        <v>847</v>
      </c>
      <c r="D321" s="14" t="s">
        <v>488</v>
      </c>
      <c r="E321" s="14">
        <v>0</v>
      </c>
      <c r="F321" s="14" t="s">
        <v>869</v>
      </c>
      <c r="G321" s="14" t="s">
        <v>870</v>
      </c>
      <c r="H321" s="14" t="str">
        <f t="shared" si="8"/>
        <v>QWELL2-60</v>
      </c>
      <c r="I321" s="15" t="str">
        <f t="shared" si="9"/>
        <v>EG</v>
      </c>
      <c r="J321" s="14">
        <v>1050</v>
      </c>
      <c r="K321" t="s">
        <v>871</v>
      </c>
      <c r="L321">
        <v>1050</v>
      </c>
      <c r="M321">
        <v>0</v>
      </c>
      <c r="N321" s="10" t="s">
        <v>436</v>
      </c>
    </row>
    <row r="322" spans="2:14" ht="33" customHeight="1" x14ac:dyDescent="0.3">
      <c r="B322" s="14" t="s">
        <v>664</v>
      </c>
      <c r="C322" s="14" t="s">
        <v>847</v>
      </c>
      <c r="D322" s="14">
        <v>0</v>
      </c>
      <c r="E322" s="14">
        <v>0</v>
      </c>
      <c r="F322" s="14" t="s">
        <v>872</v>
      </c>
      <c r="G322" s="14" t="s">
        <v>873</v>
      </c>
      <c r="H322" s="14" t="str">
        <f t="shared" si="8"/>
        <v>UTIC-60</v>
      </c>
      <c r="I322" s="15" t="str">
        <f t="shared" si="9"/>
        <v>EG</v>
      </c>
      <c r="J322" s="14">
        <v>1050</v>
      </c>
      <c r="K322" t="s">
        <v>874</v>
      </c>
      <c r="L322">
        <v>1050</v>
      </c>
      <c r="M322">
        <v>0</v>
      </c>
      <c r="N322" s="10" t="s">
        <v>813</v>
      </c>
    </row>
    <row r="323" spans="2:14" ht="33" customHeight="1" x14ac:dyDescent="0.3">
      <c r="B323" s="14">
        <v>0</v>
      </c>
      <c r="C323" s="14">
        <v>0</v>
      </c>
      <c r="D323" s="14">
        <v>0</v>
      </c>
      <c r="E323" s="14">
        <v>0</v>
      </c>
      <c r="F323" s="14">
        <v>0</v>
      </c>
      <c r="G323" s="14">
        <v>0</v>
      </c>
      <c r="H323" s="14">
        <f t="shared" ref="H323:H386" si="10">IFERROR(_xlfn.TEXTBEFORE(G323,"-",2),G323)</f>
        <v>0</v>
      </c>
      <c r="I323" s="15" t="str">
        <f t="shared" ref="I323:I386" si="11">IFERROR(_xlfn.TEXTAFTER(G323,"-",-1),"")</f>
        <v/>
      </c>
      <c r="J323" s="14">
        <v>0</v>
      </c>
      <c r="K323">
        <v>0</v>
      </c>
      <c r="L323">
        <v>0</v>
      </c>
      <c r="M323">
        <v>0</v>
      </c>
      <c r="N323" s="10">
        <v>0</v>
      </c>
    </row>
    <row r="324" spans="2:14" ht="33" customHeight="1" x14ac:dyDescent="0.3">
      <c r="B324" s="14" t="s">
        <v>664</v>
      </c>
      <c r="C324" s="14" t="s">
        <v>875</v>
      </c>
      <c r="D324" s="14">
        <v>0</v>
      </c>
      <c r="E324" s="14" t="s">
        <v>876</v>
      </c>
      <c r="F324" s="14" t="s">
        <v>877</v>
      </c>
      <c r="G324" s="14" t="s">
        <v>851</v>
      </c>
      <c r="H324" s="14" t="str">
        <f t="shared" si="10"/>
        <v>MFSPLS-120</v>
      </c>
      <c r="I324" s="15" t="str">
        <f t="shared" si="11"/>
        <v>EG</v>
      </c>
      <c r="J324" s="14">
        <v>2093</v>
      </c>
      <c r="K324" t="s">
        <v>878</v>
      </c>
      <c r="L324">
        <v>0</v>
      </c>
      <c r="M324">
        <v>2093</v>
      </c>
      <c r="N324" s="10" t="s">
        <v>448</v>
      </c>
    </row>
    <row r="325" spans="2:14" ht="33" customHeight="1" x14ac:dyDescent="0.3">
      <c r="B325" s="14">
        <v>0</v>
      </c>
      <c r="C325" s="14">
        <v>0</v>
      </c>
      <c r="D325" s="14">
        <v>0</v>
      </c>
      <c r="E325" s="14">
        <v>0</v>
      </c>
      <c r="F325" s="14">
        <v>0</v>
      </c>
      <c r="G325" s="14">
        <v>0</v>
      </c>
      <c r="H325" s="14">
        <f t="shared" si="10"/>
        <v>0</v>
      </c>
      <c r="I325" s="15" t="str">
        <f t="shared" si="11"/>
        <v/>
      </c>
      <c r="J325" s="14">
        <v>0</v>
      </c>
      <c r="K325">
        <v>0</v>
      </c>
      <c r="L325">
        <v>0</v>
      </c>
      <c r="M325">
        <v>0</v>
      </c>
      <c r="N325" s="10">
        <v>0</v>
      </c>
    </row>
    <row r="326" spans="2:14" ht="33" customHeight="1" x14ac:dyDescent="0.3">
      <c r="B326" s="14" t="s">
        <v>669</v>
      </c>
      <c r="C326" s="14" t="s">
        <v>879</v>
      </c>
      <c r="D326" s="14" t="s">
        <v>880</v>
      </c>
      <c r="E326" s="14" t="s">
        <v>881</v>
      </c>
      <c r="F326" s="14" t="s">
        <v>882</v>
      </c>
      <c r="G326" s="14" t="s">
        <v>883</v>
      </c>
      <c r="H326" s="14" t="str">
        <f t="shared" si="10"/>
        <v xml:space="preserve"> PENAMAX-60</v>
      </c>
      <c r="I326" s="15" t="str">
        <f t="shared" si="11"/>
        <v>CH)</v>
      </c>
      <c r="J326" s="14">
        <v>277</v>
      </c>
      <c r="K326" t="s">
        <v>884</v>
      </c>
      <c r="L326">
        <v>277</v>
      </c>
      <c r="M326">
        <v>0</v>
      </c>
      <c r="N326" s="10" t="s">
        <v>813</v>
      </c>
    </row>
    <row r="327" spans="2:14" ht="33" customHeight="1" x14ac:dyDescent="0.3">
      <c r="B327" s="14" t="s">
        <v>669</v>
      </c>
      <c r="C327" s="14" t="s">
        <v>879</v>
      </c>
      <c r="D327" s="14" t="s">
        <v>885</v>
      </c>
      <c r="E327" s="14">
        <v>0</v>
      </c>
      <c r="F327" s="14" t="s">
        <v>886</v>
      </c>
      <c r="G327" s="14" t="s">
        <v>887</v>
      </c>
      <c r="H327" s="14" t="str">
        <f t="shared" si="10"/>
        <v>OSTEOPL-96</v>
      </c>
      <c r="I327" s="15" t="str">
        <f t="shared" si="11"/>
        <v>CH</v>
      </c>
      <c r="J327" s="14">
        <v>1290</v>
      </c>
      <c r="K327" t="s">
        <v>888</v>
      </c>
      <c r="L327">
        <v>1290</v>
      </c>
      <c r="M327">
        <v>0</v>
      </c>
      <c r="N327" s="10" t="s">
        <v>436</v>
      </c>
    </row>
    <row r="328" spans="2:14" ht="33" customHeight="1" x14ac:dyDescent="0.3">
      <c r="B328" s="14" t="s">
        <v>669</v>
      </c>
      <c r="C328" s="14" t="s">
        <v>879</v>
      </c>
      <c r="D328" s="14">
        <v>0</v>
      </c>
      <c r="E328" s="14">
        <v>0</v>
      </c>
      <c r="F328" s="14" t="s">
        <v>889</v>
      </c>
      <c r="G328" s="14" t="s">
        <v>890</v>
      </c>
      <c r="H328" s="14" t="str">
        <f t="shared" si="10"/>
        <v>DHEA50-60</v>
      </c>
      <c r="I328" s="15" t="str">
        <f t="shared" si="11"/>
        <v>CH</v>
      </c>
      <c r="J328" s="14">
        <v>270</v>
      </c>
      <c r="K328" t="s">
        <v>891</v>
      </c>
      <c r="L328">
        <v>0</v>
      </c>
      <c r="M328">
        <v>0</v>
      </c>
      <c r="N328" s="10" t="s">
        <v>448</v>
      </c>
    </row>
    <row r="329" spans="2:14" ht="33" customHeight="1" x14ac:dyDescent="0.3">
      <c r="B329" s="14" t="s">
        <v>669</v>
      </c>
      <c r="C329" s="14" t="s">
        <v>879</v>
      </c>
      <c r="D329" s="14">
        <v>0</v>
      </c>
      <c r="E329" s="14">
        <v>0</v>
      </c>
      <c r="F329" s="14" t="s">
        <v>892</v>
      </c>
      <c r="G329" s="14" t="s">
        <v>893</v>
      </c>
      <c r="H329" s="14" t="str">
        <f t="shared" si="10"/>
        <v>WFSPLS-180</v>
      </c>
      <c r="I329" s="15" t="str">
        <f t="shared" si="11"/>
        <v>CH</v>
      </c>
      <c r="J329" s="14">
        <v>282</v>
      </c>
      <c r="K329" t="s">
        <v>894</v>
      </c>
      <c r="L329">
        <v>0</v>
      </c>
      <c r="M329">
        <v>282</v>
      </c>
      <c r="N329" s="10" t="s">
        <v>895</v>
      </c>
    </row>
    <row r="330" spans="2:14" ht="33" customHeight="1" x14ac:dyDescent="0.3">
      <c r="B330" s="14" t="s">
        <v>669</v>
      </c>
      <c r="C330" s="14" t="s">
        <v>879</v>
      </c>
      <c r="D330" s="14">
        <v>0</v>
      </c>
      <c r="E330" s="14">
        <v>0</v>
      </c>
      <c r="F330" s="14" t="s">
        <v>892</v>
      </c>
      <c r="G330" s="14" t="s">
        <v>893</v>
      </c>
      <c r="H330" s="14" t="str">
        <f t="shared" si="10"/>
        <v>WFSPLS-180</v>
      </c>
      <c r="I330" s="15" t="str">
        <f t="shared" si="11"/>
        <v>CH</v>
      </c>
      <c r="J330" s="14">
        <v>354</v>
      </c>
      <c r="K330" t="s">
        <v>894</v>
      </c>
      <c r="L330">
        <v>354</v>
      </c>
      <c r="M330">
        <v>0</v>
      </c>
      <c r="N330" s="10" t="s">
        <v>436</v>
      </c>
    </row>
    <row r="331" spans="2:14" ht="33" customHeight="1" x14ac:dyDescent="0.3">
      <c r="B331" s="14" t="s">
        <v>669</v>
      </c>
      <c r="C331" s="14" t="s">
        <v>879</v>
      </c>
      <c r="D331" s="14">
        <v>0</v>
      </c>
      <c r="E331" s="14">
        <v>0</v>
      </c>
      <c r="F331" s="14" t="s">
        <v>896</v>
      </c>
      <c r="G331" s="14" t="s">
        <v>897</v>
      </c>
      <c r="H331" s="14" t="str">
        <f t="shared" si="10"/>
        <v>MFSPLS-120</v>
      </c>
      <c r="I331" s="15" t="str">
        <f t="shared" si="11"/>
        <v>CH</v>
      </c>
      <c r="J331" s="14">
        <v>780</v>
      </c>
      <c r="K331" t="s">
        <v>898</v>
      </c>
      <c r="L331">
        <v>0</v>
      </c>
      <c r="M331">
        <v>0</v>
      </c>
      <c r="N331" s="10" t="s">
        <v>442</v>
      </c>
    </row>
    <row r="332" spans="2:14" ht="33" customHeight="1" x14ac:dyDescent="0.3">
      <c r="B332" s="14" t="s">
        <v>669</v>
      </c>
      <c r="C332" s="14" t="s">
        <v>879</v>
      </c>
      <c r="D332" s="14">
        <v>0</v>
      </c>
      <c r="E332" s="14">
        <v>0</v>
      </c>
      <c r="F332" s="14" t="s">
        <v>899</v>
      </c>
      <c r="G332" s="14" t="s">
        <v>272</v>
      </c>
      <c r="H332" s="14" t="str">
        <f t="shared" si="10"/>
        <v>FLORA30-30</v>
      </c>
      <c r="I332" s="15" t="str">
        <f t="shared" si="11"/>
        <v>FD</v>
      </c>
      <c r="J332" s="14">
        <v>1351</v>
      </c>
      <c r="K332" t="s">
        <v>900</v>
      </c>
      <c r="L332">
        <v>1351</v>
      </c>
      <c r="M332">
        <v>0</v>
      </c>
      <c r="N332" s="10" t="s">
        <v>813</v>
      </c>
    </row>
    <row r="333" spans="2:14" ht="33" customHeight="1" x14ac:dyDescent="0.3">
      <c r="B333" s="14" t="s">
        <v>669</v>
      </c>
      <c r="C333" s="14" t="s">
        <v>879</v>
      </c>
      <c r="D333" s="14">
        <v>0</v>
      </c>
      <c r="E333" s="14">
        <v>0</v>
      </c>
      <c r="F333" s="14" t="s">
        <v>901</v>
      </c>
      <c r="G333" s="14" t="s">
        <v>822</v>
      </c>
      <c r="H333" s="14" t="str">
        <f t="shared" si="10"/>
        <v>PEDIAMU-50</v>
      </c>
      <c r="I333" s="15" t="str">
        <f t="shared" si="11"/>
        <v>FD</v>
      </c>
      <c r="J333" s="14">
        <v>1125</v>
      </c>
      <c r="K333" t="s">
        <v>902</v>
      </c>
      <c r="L333">
        <v>0</v>
      </c>
      <c r="M333">
        <v>0</v>
      </c>
      <c r="N333" s="10" t="s">
        <v>631</v>
      </c>
    </row>
    <row r="334" spans="2:14" ht="33" customHeight="1" x14ac:dyDescent="0.3">
      <c r="B334" s="14" t="s">
        <v>669</v>
      </c>
      <c r="C334" s="14" t="s">
        <v>879</v>
      </c>
      <c r="D334" s="14">
        <v>0</v>
      </c>
      <c r="E334" s="14">
        <v>0</v>
      </c>
      <c r="F334" s="14" t="s">
        <v>903</v>
      </c>
      <c r="G334" s="14" t="s">
        <v>675</v>
      </c>
      <c r="H334" s="14" t="str">
        <f t="shared" si="10"/>
        <v>PEDIAZI-50</v>
      </c>
      <c r="I334" s="15" t="str">
        <f t="shared" si="11"/>
        <v>FD</v>
      </c>
      <c r="J334" s="14">
        <v>2100</v>
      </c>
      <c r="K334" t="s">
        <v>676</v>
      </c>
      <c r="L334">
        <v>0</v>
      </c>
      <c r="M334">
        <v>0</v>
      </c>
      <c r="N334" s="10" t="s">
        <v>442</v>
      </c>
    </row>
    <row r="335" spans="2:14" ht="33" customHeight="1" x14ac:dyDescent="0.3">
      <c r="B335" s="14" t="s">
        <v>669</v>
      </c>
      <c r="C335" s="14" t="s">
        <v>879</v>
      </c>
      <c r="D335" s="14">
        <v>0</v>
      </c>
      <c r="E335" s="14">
        <v>0</v>
      </c>
      <c r="F335" s="14" t="s">
        <v>904</v>
      </c>
      <c r="G335" s="14" t="s">
        <v>357</v>
      </c>
      <c r="H335" s="14" t="str">
        <f t="shared" si="10"/>
        <v>OMEGA3-60</v>
      </c>
      <c r="I335" s="15" t="str">
        <f t="shared" si="11"/>
        <v>FD</v>
      </c>
      <c r="J335" s="14">
        <v>504</v>
      </c>
      <c r="K335" t="s">
        <v>905</v>
      </c>
      <c r="L335">
        <v>0</v>
      </c>
      <c r="M335">
        <v>480</v>
      </c>
      <c r="N335" s="10" t="s">
        <v>448</v>
      </c>
    </row>
    <row r="336" spans="2:14" ht="33" customHeight="1" x14ac:dyDescent="0.3">
      <c r="B336" s="14" t="s">
        <v>669</v>
      </c>
      <c r="C336" s="14" t="s">
        <v>879</v>
      </c>
      <c r="D336" s="14">
        <v>0</v>
      </c>
      <c r="E336" s="14">
        <v>0</v>
      </c>
      <c r="F336" s="14" t="s">
        <v>906</v>
      </c>
      <c r="G336" s="14" t="s">
        <v>591</v>
      </c>
      <c r="H336" s="14" t="str">
        <f t="shared" si="10"/>
        <v>UTIC-60</v>
      </c>
      <c r="I336" s="15" t="str">
        <f t="shared" si="11"/>
        <v>FD</v>
      </c>
      <c r="J336" s="14">
        <v>378</v>
      </c>
      <c r="K336" t="s">
        <v>592</v>
      </c>
      <c r="L336">
        <v>378</v>
      </c>
      <c r="M336">
        <v>0</v>
      </c>
      <c r="N336" s="10" t="s">
        <v>813</v>
      </c>
    </row>
    <row r="337" spans="2:14" ht="33" customHeight="1" x14ac:dyDescent="0.3">
      <c r="B337" s="14" t="s">
        <v>669</v>
      </c>
      <c r="C337" s="14" t="s">
        <v>879</v>
      </c>
      <c r="D337" s="14">
        <v>0</v>
      </c>
      <c r="E337" s="14">
        <v>0</v>
      </c>
      <c r="F337" s="14" t="s">
        <v>907</v>
      </c>
      <c r="G337" s="14" t="s">
        <v>77</v>
      </c>
      <c r="H337" s="14" t="str">
        <f t="shared" si="10"/>
        <v>METRIO-60</v>
      </c>
      <c r="I337" s="15" t="str">
        <f t="shared" si="11"/>
        <v>FD</v>
      </c>
      <c r="J337" s="14">
        <v>63</v>
      </c>
      <c r="K337" t="s">
        <v>789</v>
      </c>
      <c r="L337">
        <v>63</v>
      </c>
      <c r="M337">
        <v>0</v>
      </c>
      <c r="N337" s="10" t="s">
        <v>813</v>
      </c>
    </row>
    <row r="338" spans="2:14" ht="33" customHeight="1" x14ac:dyDescent="0.3">
      <c r="B338" s="14" t="s">
        <v>669</v>
      </c>
      <c r="C338" s="14" t="s">
        <v>879</v>
      </c>
      <c r="D338" s="14">
        <v>0</v>
      </c>
      <c r="E338" s="14">
        <v>0</v>
      </c>
      <c r="F338" s="14" t="s">
        <v>908</v>
      </c>
      <c r="G338" s="14" t="s">
        <v>316</v>
      </c>
      <c r="H338" s="14" t="str">
        <f t="shared" si="10"/>
        <v>VIVAWOM-60</v>
      </c>
      <c r="I338" s="15" t="str">
        <f t="shared" si="11"/>
        <v>FD</v>
      </c>
      <c r="J338" s="14">
        <v>126</v>
      </c>
      <c r="K338" t="s">
        <v>909</v>
      </c>
      <c r="L338">
        <v>126</v>
      </c>
      <c r="M338">
        <v>0</v>
      </c>
      <c r="N338" s="10" t="s">
        <v>813</v>
      </c>
    </row>
    <row r="339" spans="2:14" ht="33" customHeight="1" x14ac:dyDescent="0.3">
      <c r="B339" s="14" t="s">
        <v>669</v>
      </c>
      <c r="C339" s="14" t="s">
        <v>879</v>
      </c>
      <c r="D339" s="14">
        <v>0</v>
      </c>
      <c r="E339" s="14">
        <v>0</v>
      </c>
      <c r="F339" s="14" t="s">
        <v>910</v>
      </c>
      <c r="G339" s="14" t="s">
        <v>911</v>
      </c>
      <c r="H339" s="14" t="str">
        <f t="shared" si="10"/>
        <v>FIBRO-60</v>
      </c>
      <c r="I339" s="15" t="str">
        <f t="shared" si="11"/>
        <v>CH</v>
      </c>
      <c r="J339" s="14">
        <v>12</v>
      </c>
      <c r="K339" t="s">
        <v>912</v>
      </c>
      <c r="L339">
        <v>12</v>
      </c>
      <c r="M339">
        <v>0</v>
      </c>
      <c r="N339" s="10" t="s">
        <v>813</v>
      </c>
    </row>
    <row r="340" spans="2:14" ht="33" customHeight="1" x14ac:dyDescent="0.3">
      <c r="B340" s="14" t="s">
        <v>669</v>
      </c>
      <c r="C340" s="14" t="s">
        <v>879</v>
      </c>
      <c r="D340" s="14">
        <v>0</v>
      </c>
      <c r="E340" s="14">
        <v>0</v>
      </c>
      <c r="F340" s="14" t="s">
        <v>910</v>
      </c>
      <c r="G340" s="14" t="s">
        <v>913</v>
      </c>
      <c r="H340" s="14" t="str">
        <f t="shared" si="10"/>
        <v>OVAMAX-120</v>
      </c>
      <c r="I340" s="15" t="str">
        <f t="shared" si="11"/>
        <v>CH</v>
      </c>
      <c r="J340" s="14">
        <v>18</v>
      </c>
      <c r="K340" t="s">
        <v>914</v>
      </c>
      <c r="L340">
        <v>18</v>
      </c>
      <c r="M340">
        <v>0</v>
      </c>
      <c r="N340" s="10" t="s">
        <v>813</v>
      </c>
    </row>
    <row r="341" spans="2:14" ht="33" customHeight="1" x14ac:dyDescent="0.3">
      <c r="B341" s="14" t="s">
        <v>669</v>
      </c>
      <c r="C341" s="14" t="s">
        <v>879</v>
      </c>
      <c r="D341" s="14">
        <v>0</v>
      </c>
      <c r="E341" s="14">
        <v>0</v>
      </c>
      <c r="F341" s="14" t="s">
        <v>910</v>
      </c>
      <c r="G341" s="14" t="s">
        <v>915</v>
      </c>
      <c r="H341" s="14" t="str">
        <f t="shared" si="10"/>
        <v>PRECON-180</v>
      </c>
      <c r="I341" s="15" t="str">
        <f t="shared" si="11"/>
        <v>CH</v>
      </c>
      <c r="J341" s="14">
        <v>24</v>
      </c>
      <c r="K341" t="s">
        <v>916</v>
      </c>
      <c r="L341">
        <v>0</v>
      </c>
      <c r="M341">
        <v>0</v>
      </c>
      <c r="N341" s="10" t="s">
        <v>448</v>
      </c>
    </row>
    <row r="342" spans="2:14" ht="33" customHeight="1" x14ac:dyDescent="0.3">
      <c r="B342" s="14" t="s">
        <v>669</v>
      </c>
      <c r="C342" s="14" t="s">
        <v>879</v>
      </c>
      <c r="D342" s="14">
        <v>0</v>
      </c>
      <c r="E342" s="14">
        <v>0</v>
      </c>
      <c r="F342" s="14" t="s">
        <v>910</v>
      </c>
      <c r="G342" s="14" t="s">
        <v>917</v>
      </c>
      <c r="H342" s="14" t="str">
        <f t="shared" si="10"/>
        <v>QWELL4-30</v>
      </c>
      <c r="I342" s="15" t="str">
        <f t="shared" si="11"/>
        <v>CH</v>
      </c>
      <c r="J342" s="14">
        <v>12</v>
      </c>
      <c r="K342" t="s">
        <v>918</v>
      </c>
      <c r="L342">
        <v>12</v>
      </c>
      <c r="M342">
        <v>0</v>
      </c>
      <c r="N342" s="10" t="s">
        <v>813</v>
      </c>
    </row>
    <row r="343" spans="2:14" ht="33" customHeight="1" x14ac:dyDescent="0.3">
      <c r="B343" s="14" t="s">
        <v>669</v>
      </c>
      <c r="C343" s="14" t="s">
        <v>879</v>
      </c>
      <c r="D343" s="14">
        <v>0</v>
      </c>
      <c r="E343" s="14">
        <v>0</v>
      </c>
      <c r="F343" s="14" t="s">
        <v>910</v>
      </c>
      <c r="G343" s="14" t="s">
        <v>919</v>
      </c>
      <c r="H343" s="14" t="str">
        <f t="shared" si="10"/>
        <v>VITAE4-60</v>
      </c>
      <c r="I343" s="15" t="str">
        <f t="shared" si="11"/>
        <v>CH</v>
      </c>
      <c r="J343" s="14">
        <v>9</v>
      </c>
      <c r="K343" t="s">
        <v>920</v>
      </c>
      <c r="L343">
        <v>9</v>
      </c>
      <c r="M343">
        <v>0</v>
      </c>
      <c r="N343" s="10" t="s">
        <v>813</v>
      </c>
    </row>
    <row r="344" spans="2:14" ht="33" customHeight="1" x14ac:dyDescent="0.3">
      <c r="B344" s="14" t="s">
        <v>669</v>
      </c>
      <c r="C344" s="14" t="s">
        <v>879</v>
      </c>
      <c r="D344" s="14">
        <v>0</v>
      </c>
      <c r="E344" s="14">
        <v>0</v>
      </c>
      <c r="F344" s="14" t="s">
        <v>910</v>
      </c>
      <c r="G344" s="14" t="s">
        <v>263</v>
      </c>
      <c r="H344" s="14" t="str">
        <f t="shared" si="10"/>
        <v>CHARCO-100</v>
      </c>
      <c r="I344" s="15" t="str">
        <f t="shared" si="11"/>
        <v>FD</v>
      </c>
      <c r="J344" s="14">
        <v>12</v>
      </c>
      <c r="K344" t="s">
        <v>921</v>
      </c>
      <c r="L344">
        <v>12</v>
      </c>
      <c r="M344">
        <v>0</v>
      </c>
      <c r="N344" s="10" t="s">
        <v>813</v>
      </c>
    </row>
    <row r="345" spans="2:14" ht="33" customHeight="1" x14ac:dyDescent="0.3">
      <c r="B345" s="14">
        <v>0</v>
      </c>
      <c r="C345" s="14">
        <v>0</v>
      </c>
      <c r="D345" s="14">
        <v>0</v>
      </c>
      <c r="E345" s="14">
        <v>0</v>
      </c>
      <c r="F345" s="14">
        <v>0</v>
      </c>
      <c r="G345" s="14">
        <v>0</v>
      </c>
      <c r="H345" s="14">
        <f t="shared" si="10"/>
        <v>0</v>
      </c>
      <c r="I345" s="15" t="str">
        <f t="shared" si="11"/>
        <v/>
      </c>
      <c r="J345" s="14">
        <v>0</v>
      </c>
      <c r="K345">
        <v>0</v>
      </c>
      <c r="L345">
        <v>0</v>
      </c>
      <c r="M345">
        <v>0</v>
      </c>
      <c r="N345" s="10">
        <v>0</v>
      </c>
    </row>
    <row r="346" spans="2:14" ht="33" customHeight="1" x14ac:dyDescent="0.3">
      <c r="B346" s="14" t="s">
        <v>456</v>
      </c>
      <c r="C346" s="14" t="s">
        <v>922</v>
      </c>
      <c r="D346" s="14" t="s">
        <v>923</v>
      </c>
      <c r="E346" s="14" t="s">
        <v>924</v>
      </c>
      <c r="F346" s="14" t="s">
        <v>925</v>
      </c>
      <c r="G346" s="14" t="s">
        <v>362</v>
      </c>
      <c r="H346" s="14" t="str">
        <f t="shared" si="10"/>
        <v>OMEGA3-90</v>
      </c>
      <c r="I346" s="15" t="str">
        <f t="shared" si="11"/>
        <v>MO</v>
      </c>
      <c r="J346" s="14">
        <v>13464</v>
      </c>
      <c r="K346" t="s">
        <v>926</v>
      </c>
      <c r="L346">
        <v>13464</v>
      </c>
      <c r="M346">
        <v>0</v>
      </c>
      <c r="N346" s="10" t="s">
        <v>895</v>
      </c>
    </row>
    <row r="347" spans="2:14" ht="33" customHeight="1" x14ac:dyDescent="0.3">
      <c r="B347" s="14" t="s">
        <v>456</v>
      </c>
      <c r="C347" s="14" t="s">
        <v>922</v>
      </c>
      <c r="D347" s="14" t="s">
        <v>927</v>
      </c>
      <c r="E347" s="14">
        <v>0</v>
      </c>
      <c r="F347" s="14" t="s">
        <v>928</v>
      </c>
      <c r="G347" s="14" t="s">
        <v>360</v>
      </c>
      <c r="H347" s="14" t="str">
        <f t="shared" si="10"/>
        <v>OMEGA3-60</v>
      </c>
      <c r="I347" s="15" t="str">
        <f t="shared" si="11"/>
        <v>MO</v>
      </c>
      <c r="J347" s="14">
        <v>4496</v>
      </c>
      <c r="K347" t="s">
        <v>929</v>
      </c>
      <c r="L347">
        <v>4496</v>
      </c>
      <c r="M347">
        <v>0</v>
      </c>
      <c r="N347" s="10" t="s">
        <v>895</v>
      </c>
    </row>
    <row r="348" spans="2:14" ht="33" customHeight="1" x14ac:dyDescent="0.3">
      <c r="B348" s="14">
        <v>0</v>
      </c>
      <c r="C348" s="14">
        <v>0</v>
      </c>
      <c r="D348" s="14">
        <v>0</v>
      </c>
      <c r="E348" s="14">
        <v>0</v>
      </c>
      <c r="F348" s="14">
        <v>0</v>
      </c>
      <c r="G348" s="14">
        <v>0</v>
      </c>
      <c r="H348" s="14">
        <f t="shared" si="10"/>
        <v>0</v>
      </c>
      <c r="I348" s="15" t="str">
        <f t="shared" si="11"/>
        <v/>
      </c>
      <c r="J348" s="14">
        <v>0</v>
      </c>
      <c r="K348">
        <v>0</v>
      </c>
      <c r="L348">
        <v>0</v>
      </c>
      <c r="M348">
        <v>0</v>
      </c>
      <c r="N348" s="10">
        <v>0</v>
      </c>
    </row>
    <row r="349" spans="2:14" ht="33" customHeight="1" x14ac:dyDescent="0.3">
      <c r="B349" s="14" t="s">
        <v>930</v>
      </c>
      <c r="C349" s="14" t="s">
        <v>931</v>
      </c>
      <c r="D349" s="14" t="s">
        <v>932</v>
      </c>
      <c r="E349" s="14" t="s">
        <v>933</v>
      </c>
      <c r="F349" s="14" t="s">
        <v>934</v>
      </c>
      <c r="G349" s="14" t="s">
        <v>94</v>
      </c>
      <c r="H349" s="14" t="str">
        <f t="shared" si="10"/>
        <v>MFSPLS-120</v>
      </c>
      <c r="I349" s="15" t="str">
        <f t="shared" si="11"/>
        <v>LB</v>
      </c>
      <c r="J349" s="14">
        <v>330</v>
      </c>
      <c r="K349" t="s">
        <v>935</v>
      </c>
      <c r="L349">
        <v>330</v>
      </c>
      <c r="M349">
        <v>0</v>
      </c>
      <c r="N349" s="10" t="s">
        <v>436</v>
      </c>
    </row>
    <row r="350" spans="2:14" ht="33" customHeight="1" x14ac:dyDescent="0.3">
      <c r="B350" s="14" t="s">
        <v>930</v>
      </c>
      <c r="C350" s="14" t="s">
        <v>931</v>
      </c>
      <c r="D350" s="14">
        <v>0</v>
      </c>
      <c r="E350" s="14">
        <v>0</v>
      </c>
      <c r="F350" s="14" t="s">
        <v>936</v>
      </c>
      <c r="G350" s="14" t="s">
        <v>122</v>
      </c>
      <c r="H350" s="14" t="str">
        <f t="shared" si="10"/>
        <v>MOTILMX-60</v>
      </c>
      <c r="I350" s="15" t="str">
        <f t="shared" si="11"/>
        <v>LB</v>
      </c>
      <c r="J350" s="14">
        <v>330</v>
      </c>
      <c r="K350" t="s">
        <v>937</v>
      </c>
      <c r="L350">
        <v>330</v>
      </c>
      <c r="M350">
        <v>0</v>
      </c>
      <c r="N350" s="10" t="s">
        <v>414</v>
      </c>
    </row>
    <row r="351" spans="2:14" ht="33" customHeight="1" x14ac:dyDescent="0.3">
      <c r="B351" s="14" t="s">
        <v>930</v>
      </c>
      <c r="C351" s="14" t="s">
        <v>931</v>
      </c>
      <c r="D351" s="14">
        <v>0</v>
      </c>
      <c r="E351" s="14">
        <v>0</v>
      </c>
      <c r="F351" s="14" t="s">
        <v>938</v>
      </c>
      <c r="G351" s="14" t="s">
        <v>219</v>
      </c>
      <c r="H351" s="14" t="str">
        <f t="shared" si="10"/>
        <v>SPERMCT-60</v>
      </c>
      <c r="I351" s="15" t="str">
        <f t="shared" si="11"/>
        <v>LB</v>
      </c>
      <c r="J351" s="14">
        <v>220</v>
      </c>
      <c r="K351" t="s">
        <v>939</v>
      </c>
      <c r="L351">
        <v>220</v>
      </c>
      <c r="M351">
        <v>0</v>
      </c>
      <c r="N351" s="10" t="s">
        <v>414</v>
      </c>
    </row>
    <row r="352" spans="2:14" ht="33" customHeight="1" x14ac:dyDescent="0.3">
      <c r="B352" s="14" t="s">
        <v>930</v>
      </c>
      <c r="C352" s="14" t="s">
        <v>931</v>
      </c>
      <c r="D352" s="14">
        <v>0</v>
      </c>
      <c r="E352" s="14">
        <v>0</v>
      </c>
      <c r="F352" s="14" t="s">
        <v>940</v>
      </c>
      <c r="G352" s="14" t="s">
        <v>232</v>
      </c>
      <c r="H352" s="14" t="str">
        <f t="shared" si="10"/>
        <v>WFSPLS-180</v>
      </c>
      <c r="I352" s="15" t="str">
        <f t="shared" si="11"/>
        <v>LB</v>
      </c>
      <c r="J352" s="14">
        <v>350</v>
      </c>
      <c r="K352" t="s">
        <v>941</v>
      </c>
      <c r="L352">
        <v>350</v>
      </c>
      <c r="M352">
        <v>0</v>
      </c>
      <c r="N352" s="10" t="s">
        <v>414</v>
      </c>
    </row>
    <row r="353" spans="2:14" ht="33" customHeight="1" x14ac:dyDescent="0.3">
      <c r="B353" s="14" t="s">
        <v>930</v>
      </c>
      <c r="C353" s="14" t="s">
        <v>931</v>
      </c>
      <c r="D353" s="14">
        <v>0</v>
      </c>
      <c r="E353" s="14">
        <v>0</v>
      </c>
      <c r="F353" s="14" t="s">
        <v>942</v>
      </c>
      <c r="G353" s="14" t="s">
        <v>142</v>
      </c>
      <c r="H353" s="14" t="str">
        <f t="shared" si="10"/>
        <v>OVAMAX-120</v>
      </c>
      <c r="I353" s="15" t="str">
        <f t="shared" si="11"/>
        <v>LB</v>
      </c>
      <c r="J353" s="14">
        <v>385</v>
      </c>
      <c r="K353" t="s">
        <v>943</v>
      </c>
      <c r="L353">
        <v>385</v>
      </c>
      <c r="M353">
        <v>0</v>
      </c>
      <c r="N353" s="10" t="s">
        <v>414</v>
      </c>
    </row>
    <row r="354" spans="2:14" ht="33" customHeight="1" x14ac:dyDescent="0.3">
      <c r="B354" s="14" t="s">
        <v>930</v>
      </c>
      <c r="C354" s="14" t="s">
        <v>931</v>
      </c>
      <c r="D354" s="14">
        <v>0</v>
      </c>
      <c r="E354" s="14">
        <v>0</v>
      </c>
      <c r="F354" s="14" t="s">
        <v>944</v>
      </c>
      <c r="G354" s="14" t="s">
        <v>188</v>
      </c>
      <c r="H354" s="14" t="str">
        <f t="shared" si="10"/>
        <v>PRECON-180</v>
      </c>
      <c r="I354" s="15" t="str">
        <f t="shared" si="11"/>
        <v>LB</v>
      </c>
      <c r="J354" s="14">
        <v>161</v>
      </c>
      <c r="K354" t="s">
        <v>945</v>
      </c>
      <c r="L354">
        <v>161</v>
      </c>
      <c r="M354">
        <v>0</v>
      </c>
      <c r="N354" s="10" t="s">
        <v>813</v>
      </c>
    </row>
    <row r="355" spans="2:14" ht="33" customHeight="1" x14ac:dyDescent="0.3">
      <c r="B355" s="14">
        <v>0</v>
      </c>
      <c r="C355" s="14">
        <v>0</v>
      </c>
      <c r="D355" s="14">
        <v>0</v>
      </c>
      <c r="E355" s="14">
        <v>0</v>
      </c>
      <c r="F355" s="14">
        <v>0</v>
      </c>
      <c r="G355" s="14">
        <v>0</v>
      </c>
      <c r="H355" s="14">
        <f t="shared" si="10"/>
        <v>0</v>
      </c>
      <c r="I355" s="15" t="str">
        <f t="shared" si="11"/>
        <v/>
      </c>
      <c r="J355" s="14">
        <v>0</v>
      </c>
      <c r="K355">
        <v>0</v>
      </c>
      <c r="L355">
        <v>0</v>
      </c>
      <c r="M355">
        <v>0</v>
      </c>
      <c r="N355" s="10">
        <v>0</v>
      </c>
    </row>
    <row r="356" spans="2:14" ht="33" customHeight="1" x14ac:dyDescent="0.3">
      <c r="B356" s="14" t="s">
        <v>519</v>
      </c>
      <c r="C356" s="14" t="s">
        <v>946</v>
      </c>
      <c r="D356" s="14" t="s">
        <v>947</v>
      </c>
      <c r="E356" s="14" t="s">
        <v>948</v>
      </c>
      <c r="F356" s="14" t="s">
        <v>949</v>
      </c>
      <c r="G356" s="14" t="s">
        <v>268</v>
      </c>
      <c r="H356" s="14" t="str">
        <f t="shared" si="10"/>
        <v>COQ100-125</v>
      </c>
      <c r="I356" s="15" t="str">
        <f t="shared" si="11"/>
        <v>FD</v>
      </c>
      <c r="J356" s="14">
        <v>30</v>
      </c>
      <c r="K356" t="s">
        <v>772</v>
      </c>
      <c r="L356">
        <v>30</v>
      </c>
      <c r="M356">
        <v>0</v>
      </c>
      <c r="N356" s="10" t="s">
        <v>813</v>
      </c>
    </row>
    <row r="357" spans="2:14" ht="33" customHeight="1" x14ac:dyDescent="0.3">
      <c r="B357" s="14" t="s">
        <v>519</v>
      </c>
      <c r="C357" s="14" t="s">
        <v>946</v>
      </c>
      <c r="D357" s="14" t="s">
        <v>950</v>
      </c>
      <c r="E357" s="14">
        <v>0</v>
      </c>
      <c r="F357" s="14" t="s">
        <v>951</v>
      </c>
      <c r="G357" s="14" t="s">
        <v>289</v>
      </c>
      <c r="H357" s="14" t="str">
        <f t="shared" si="10"/>
        <v>MEMOUP-60</v>
      </c>
      <c r="I357" s="15" t="str">
        <f t="shared" si="11"/>
        <v>FD</v>
      </c>
      <c r="J357" s="14">
        <v>30</v>
      </c>
      <c r="K357" t="s">
        <v>778</v>
      </c>
      <c r="L357">
        <v>30</v>
      </c>
      <c r="M357">
        <v>0</v>
      </c>
      <c r="N357" s="10" t="s">
        <v>813</v>
      </c>
    </row>
    <row r="358" spans="2:14" ht="33" customHeight="1" x14ac:dyDescent="0.3">
      <c r="B358" s="14">
        <v>0</v>
      </c>
      <c r="C358" s="14">
        <v>0</v>
      </c>
      <c r="D358" s="14">
        <v>0</v>
      </c>
      <c r="E358" s="14">
        <v>0</v>
      </c>
      <c r="F358" s="14">
        <v>0</v>
      </c>
      <c r="G358" s="14">
        <v>0</v>
      </c>
      <c r="H358" s="14">
        <f t="shared" si="10"/>
        <v>0</v>
      </c>
      <c r="I358" s="15" t="str">
        <f t="shared" si="11"/>
        <v/>
      </c>
      <c r="J358" s="14">
        <v>0</v>
      </c>
      <c r="K358">
        <v>0</v>
      </c>
      <c r="L358">
        <v>0</v>
      </c>
      <c r="M358">
        <v>0</v>
      </c>
      <c r="N358" s="10">
        <v>0</v>
      </c>
    </row>
    <row r="359" spans="2:14" ht="33" customHeight="1" x14ac:dyDescent="0.3">
      <c r="B359" s="14" t="s">
        <v>722</v>
      </c>
      <c r="C359" s="14" t="s">
        <v>952</v>
      </c>
      <c r="D359" s="14" t="s">
        <v>953</v>
      </c>
      <c r="E359" s="14" t="s">
        <v>954</v>
      </c>
      <c r="F359" s="14">
        <v>0</v>
      </c>
      <c r="G359" s="14" t="s">
        <v>59</v>
      </c>
      <c r="H359" s="14" t="str">
        <f t="shared" si="10"/>
        <v>FERTMX-90</v>
      </c>
      <c r="I359" s="15" t="str">
        <f t="shared" si="11"/>
        <v>LY</v>
      </c>
      <c r="J359" s="14">
        <v>1000</v>
      </c>
      <c r="K359" t="s">
        <v>955</v>
      </c>
      <c r="L359">
        <v>0</v>
      </c>
      <c r="M359">
        <v>1000</v>
      </c>
      <c r="N359" s="10" t="s">
        <v>442</v>
      </c>
    </row>
    <row r="360" spans="2:14" ht="33" customHeight="1" x14ac:dyDescent="0.3">
      <c r="B360" s="14" t="s">
        <v>722</v>
      </c>
      <c r="C360" s="14" t="s">
        <v>952</v>
      </c>
      <c r="D360" s="14" t="s">
        <v>956</v>
      </c>
      <c r="E360" s="14">
        <v>0</v>
      </c>
      <c r="F360" s="14">
        <v>0</v>
      </c>
      <c r="G360" s="14" t="s">
        <v>69</v>
      </c>
      <c r="H360" s="14" t="str">
        <f t="shared" si="10"/>
        <v>FIBRO-60</v>
      </c>
      <c r="I360" s="15" t="str">
        <f t="shared" si="11"/>
        <v>LY</v>
      </c>
      <c r="J360" s="14">
        <v>300</v>
      </c>
      <c r="K360" t="s">
        <v>957</v>
      </c>
      <c r="L360">
        <v>300</v>
      </c>
      <c r="M360">
        <v>0</v>
      </c>
      <c r="N360" s="10" t="s">
        <v>813</v>
      </c>
    </row>
    <row r="361" spans="2:14" ht="33" customHeight="1" x14ac:dyDescent="0.3">
      <c r="B361" s="14" t="s">
        <v>722</v>
      </c>
      <c r="C361" s="14" t="s">
        <v>952</v>
      </c>
      <c r="D361" s="14">
        <v>0</v>
      </c>
      <c r="E361" s="14">
        <v>0</v>
      </c>
      <c r="F361" s="14">
        <v>0</v>
      </c>
      <c r="G361" s="14" t="s">
        <v>132</v>
      </c>
      <c r="H361" s="14" t="str">
        <f t="shared" si="10"/>
        <v>MOTILMX-60</v>
      </c>
      <c r="I361" s="15" t="str">
        <f t="shared" si="11"/>
        <v>LY</v>
      </c>
      <c r="J361" s="14">
        <v>1500</v>
      </c>
      <c r="K361" t="s">
        <v>958</v>
      </c>
      <c r="L361">
        <v>1500</v>
      </c>
      <c r="M361">
        <v>0</v>
      </c>
      <c r="N361" s="10" t="s">
        <v>436</v>
      </c>
    </row>
    <row r="362" spans="2:14" ht="33" customHeight="1" x14ac:dyDescent="0.3">
      <c r="B362" s="14" t="s">
        <v>722</v>
      </c>
      <c r="C362" s="14" t="s">
        <v>952</v>
      </c>
      <c r="D362" s="14">
        <v>0</v>
      </c>
      <c r="E362" s="14">
        <v>0</v>
      </c>
      <c r="F362" s="14">
        <v>0</v>
      </c>
      <c r="G362" s="14" t="s">
        <v>146</v>
      </c>
      <c r="H362" s="14" t="str">
        <f t="shared" si="10"/>
        <v>OVAMAX-120</v>
      </c>
      <c r="I362" s="15" t="str">
        <f t="shared" si="11"/>
        <v>LY</v>
      </c>
      <c r="J362" s="14">
        <v>1500</v>
      </c>
      <c r="K362" t="s">
        <v>731</v>
      </c>
      <c r="L362">
        <v>1500</v>
      </c>
      <c r="M362">
        <v>0</v>
      </c>
      <c r="N362" s="10" t="s">
        <v>448</v>
      </c>
    </row>
    <row r="363" spans="2:14" ht="33" customHeight="1" x14ac:dyDescent="0.3">
      <c r="B363" s="14" t="s">
        <v>722</v>
      </c>
      <c r="C363" s="14" t="s">
        <v>952</v>
      </c>
      <c r="D363" s="14">
        <v>0</v>
      </c>
      <c r="E363" s="14">
        <v>0</v>
      </c>
      <c r="F363" s="14">
        <v>0</v>
      </c>
      <c r="G363" s="14" t="s">
        <v>40</v>
      </c>
      <c r="H363" s="14" t="str">
        <f t="shared" si="10"/>
        <v>POLYSIT-90</v>
      </c>
      <c r="I363" s="15" t="str">
        <f t="shared" si="11"/>
        <v>LY</v>
      </c>
      <c r="J363" s="14">
        <v>300</v>
      </c>
      <c r="K363" t="s">
        <v>735</v>
      </c>
      <c r="L363">
        <v>0</v>
      </c>
      <c r="M363">
        <v>300</v>
      </c>
      <c r="N363" s="10" t="s">
        <v>448</v>
      </c>
    </row>
    <row r="364" spans="2:14" ht="33" customHeight="1" x14ac:dyDescent="0.3">
      <c r="B364" s="14" t="s">
        <v>722</v>
      </c>
      <c r="C364" s="14" t="s">
        <v>952</v>
      </c>
      <c r="D364" s="14">
        <v>0</v>
      </c>
      <c r="E364" s="14">
        <v>0</v>
      </c>
      <c r="F364" s="14">
        <v>0</v>
      </c>
      <c r="G364" s="14" t="s">
        <v>161</v>
      </c>
      <c r="H364" s="14" t="str">
        <f t="shared" si="10"/>
        <v>PENAMAX-60</v>
      </c>
      <c r="I364" s="15" t="str">
        <f t="shared" si="11"/>
        <v>FD</v>
      </c>
      <c r="J364" s="14">
        <v>800</v>
      </c>
      <c r="K364" t="s">
        <v>451</v>
      </c>
      <c r="L364">
        <v>800</v>
      </c>
      <c r="M364">
        <v>0</v>
      </c>
      <c r="N364" s="10" t="s">
        <v>813</v>
      </c>
    </row>
    <row r="365" spans="2:14" ht="33" customHeight="1" x14ac:dyDescent="0.3">
      <c r="B365" s="14" t="s">
        <v>722</v>
      </c>
      <c r="C365" s="14" t="s">
        <v>952</v>
      </c>
      <c r="D365" s="14">
        <v>0</v>
      </c>
      <c r="E365" s="14">
        <v>0</v>
      </c>
      <c r="F365" s="14">
        <v>0</v>
      </c>
      <c r="G365" s="14" t="s">
        <v>41</v>
      </c>
      <c r="H365" s="14" t="str">
        <f t="shared" si="10"/>
        <v>WFSPLS-180</v>
      </c>
      <c r="I365" s="15" t="str">
        <f t="shared" si="11"/>
        <v>LY</v>
      </c>
      <c r="J365" s="14">
        <v>500</v>
      </c>
      <c r="K365" t="s">
        <v>959</v>
      </c>
      <c r="L365">
        <v>0</v>
      </c>
      <c r="M365">
        <v>500</v>
      </c>
      <c r="N365" s="10" t="s">
        <v>439</v>
      </c>
    </row>
    <row r="366" spans="2:14" ht="33" customHeight="1" x14ac:dyDescent="0.3">
      <c r="B366" s="14" t="s">
        <v>722</v>
      </c>
      <c r="C366" s="14" t="s">
        <v>952</v>
      </c>
      <c r="D366" s="14">
        <v>0</v>
      </c>
      <c r="E366" s="14">
        <v>0</v>
      </c>
      <c r="F366" s="14">
        <v>0</v>
      </c>
      <c r="G366" s="14" t="s">
        <v>223</v>
      </c>
      <c r="H366" s="14" t="str">
        <f t="shared" si="10"/>
        <v>SPERMCT-60</v>
      </c>
      <c r="I366" s="15" t="str">
        <f t="shared" si="11"/>
        <v>LY</v>
      </c>
      <c r="J366" s="14">
        <v>200</v>
      </c>
      <c r="K366" t="s">
        <v>960</v>
      </c>
      <c r="L366">
        <v>200</v>
      </c>
      <c r="M366">
        <v>0</v>
      </c>
      <c r="N366" s="10" t="s">
        <v>813</v>
      </c>
    </row>
    <row r="367" spans="2:14" ht="33" customHeight="1" x14ac:dyDescent="0.3">
      <c r="B367" s="14" t="s">
        <v>722</v>
      </c>
      <c r="C367" s="14" t="s">
        <v>952</v>
      </c>
      <c r="D367" s="14">
        <v>0</v>
      </c>
      <c r="E367" s="14">
        <v>0</v>
      </c>
      <c r="F367" s="14">
        <v>0</v>
      </c>
      <c r="G367" s="14" t="s">
        <v>961</v>
      </c>
      <c r="H367" s="14" t="str">
        <f t="shared" si="10"/>
        <v>GRAVFER-90</v>
      </c>
      <c r="I367" s="15" t="str">
        <f t="shared" si="11"/>
        <v>GO</v>
      </c>
      <c r="J367" s="14">
        <v>1000</v>
      </c>
      <c r="K367" t="s">
        <v>962</v>
      </c>
      <c r="L367">
        <v>0</v>
      </c>
      <c r="M367">
        <v>1000</v>
      </c>
      <c r="N367" s="10" t="s">
        <v>631</v>
      </c>
    </row>
    <row r="368" spans="2:14" ht="33" customHeight="1" x14ac:dyDescent="0.3">
      <c r="B368" s="14" t="s">
        <v>722</v>
      </c>
      <c r="C368" s="14" t="s">
        <v>952</v>
      </c>
      <c r="D368" s="14">
        <v>0</v>
      </c>
      <c r="E368" s="14">
        <v>0</v>
      </c>
      <c r="F368" s="14">
        <v>0</v>
      </c>
      <c r="G368" s="14" t="s">
        <v>287</v>
      </c>
      <c r="H368" s="14" t="str">
        <f t="shared" si="10"/>
        <v>LIPODIS-60</v>
      </c>
      <c r="I368" s="15" t="str">
        <f t="shared" si="11"/>
        <v>FD</v>
      </c>
      <c r="J368" s="14">
        <v>800</v>
      </c>
      <c r="K368" t="s">
        <v>647</v>
      </c>
      <c r="L368">
        <v>779</v>
      </c>
      <c r="M368">
        <v>21</v>
      </c>
      <c r="N368" s="10" t="s">
        <v>813</v>
      </c>
    </row>
    <row r="369" spans="2:14" ht="33" customHeight="1" x14ac:dyDescent="0.3">
      <c r="B369" s="14" t="s">
        <v>722</v>
      </c>
      <c r="C369" s="14" t="s">
        <v>952</v>
      </c>
      <c r="D369" s="14">
        <v>0</v>
      </c>
      <c r="E369" s="14">
        <v>0</v>
      </c>
      <c r="F369" s="14">
        <v>0</v>
      </c>
      <c r="G369" s="14" t="s">
        <v>299</v>
      </c>
      <c r="H369" s="14" t="str">
        <f t="shared" si="10"/>
        <v>OSTEOPL-96</v>
      </c>
      <c r="I369" s="15" t="str">
        <f t="shared" si="11"/>
        <v>FD</v>
      </c>
      <c r="J369" s="14">
        <v>300</v>
      </c>
      <c r="K369" t="s">
        <v>621</v>
      </c>
      <c r="L369">
        <v>300</v>
      </c>
      <c r="M369">
        <v>0</v>
      </c>
      <c r="N369" s="10" t="s">
        <v>813</v>
      </c>
    </row>
    <row r="370" spans="2:14" ht="33" customHeight="1" x14ac:dyDescent="0.3">
      <c r="B370" s="14" t="s">
        <v>722</v>
      </c>
      <c r="C370" s="14" t="s">
        <v>952</v>
      </c>
      <c r="D370" s="14">
        <v>0</v>
      </c>
      <c r="E370" s="14">
        <v>0</v>
      </c>
      <c r="F370" s="14">
        <v>0</v>
      </c>
      <c r="G370" s="14" t="s">
        <v>963</v>
      </c>
      <c r="H370" s="14" t="str">
        <f t="shared" si="10"/>
        <v>UTIC-60</v>
      </c>
      <c r="I370" s="15" t="str">
        <f t="shared" si="11"/>
        <v xml:space="preserve">FD </v>
      </c>
      <c r="J370" s="14">
        <v>500</v>
      </c>
      <c r="K370" t="s">
        <v>964</v>
      </c>
      <c r="L370">
        <v>0</v>
      </c>
      <c r="M370">
        <v>500</v>
      </c>
      <c r="N370" s="10" t="s">
        <v>813</v>
      </c>
    </row>
    <row r="371" spans="2:14" ht="33" customHeight="1" x14ac:dyDescent="0.3">
      <c r="B371" s="14" t="s">
        <v>722</v>
      </c>
      <c r="C371" s="14" t="s">
        <v>952</v>
      </c>
      <c r="D371" s="14">
        <v>0</v>
      </c>
      <c r="E371" s="14">
        <v>0</v>
      </c>
      <c r="F371" s="14" t="s">
        <v>965</v>
      </c>
      <c r="G371" s="14" t="s">
        <v>44</v>
      </c>
      <c r="H371" s="14" t="str">
        <f t="shared" si="10"/>
        <v>BRSTW-60</v>
      </c>
      <c r="I371" s="15" t="str">
        <f t="shared" si="11"/>
        <v>LY</v>
      </c>
      <c r="J371" s="14">
        <v>500</v>
      </c>
      <c r="K371" t="s">
        <v>966</v>
      </c>
      <c r="L371">
        <v>500</v>
      </c>
      <c r="M371">
        <v>0</v>
      </c>
      <c r="N371" s="10" t="s">
        <v>967</v>
      </c>
    </row>
    <row r="372" spans="2:14" ht="33" customHeight="1" x14ac:dyDescent="0.3">
      <c r="B372" s="14">
        <v>0</v>
      </c>
      <c r="C372" s="14">
        <v>0</v>
      </c>
      <c r="D372" s="14">
        <v>0</v>
      </c>
      <c r="E372" s="14">
        <v>0</v>
      </c>
      <c r="F372" s="14">
        <v>0</v>
      </c>
      <c r="G372" s="14">
        <v>0</v>
      </c>
      <c r="H372" s="14">
        <f t="shared" si="10"/>
        <v>0</v>
      </c>
      <c r="I372" s="15" t="str">
        <f t="shared" si="11"/>
        <v/>
      </c>
      <c r="J372" s="14">
        <v>0</v>
      </c>
      <c r="K372">
        <v>0</v>
      </c>
      <c r="L372">
        <v>0</v>
      </c>
      <c r="M372">
        <v>0</v>
      </c>
      <c r="N372" s="10">
        <v>0</v>
      </c>
    </row>
    <row r="373" spans="2:14" ht="33" customHeight="1" x14ac:dyDescent="0.3">
      <c r="B373" s="14" t="s">
        <v>752</v>
      </c>
      <c r="C373" s="14" t="s">
        <v>968</v>
      </c>
      <c r="D373" s="14" t="s">
        <v>969</v>
      </c>
      <c r="E373" s="14" t="s">
        <v>970</v>
      </c>
      <c r="F373" s="14">
        <v>0</v>
      </c>
      <c r="G373" s="14" t="s">
        <v>971</v>
      </c>
      <c r="H373" s="14" t="str">
        <f t="shared" si="10"/>
        <v>PEDIAD4-50</v>
      </c>
      <c r="I373" s="15" t="str">
        <f t="shared" si="11"/>
        <v>QT</v>
      </c>
      <c r="J373" s="14">
        <v>2000</v>
      </c>
      <c r="K373" t="s">
        <v>972</v>
      </c>
      <c r="L373">
        <v>0</v>
      </c>
      <c r="M373">
        <v>2000</v>
      </c>
      <c r="N373" s="10" t="s">
        <v>442</v>
      </c>
    </row>
    <row r="374" spans="2:14" ht="33" customHeight="1" x14ac:dyDescent="0.3">
      <c r="B374" s="14">
        <v>0</v>
      </c>
      <c r="C374" s="14">
        <v>0</v>
      </c>
      <c r="D374" s="14">
        <v>0</v>
      </c>
      <c r="E374" s="14">
        <v>0</v>
      </c>
      <c r="F374" s="14">
        <v>0</v>
      </c>
      <c r="G374" s="14">
        <v>0</v>
      </c>
      <c r="H374" s="14">
        <f t="shared" si="10"/>
        <v>0</v>
      </c>
      <c r="I374" s="15" t="str">
        <f t="shared" si="11"/>
        <v/>
      </c>
      <c r="J374" s="14">
        <v>0</v>
      </c>
      <c r="K374">
        <v>0</v>
      </c>
      <c r="L374">
        <v>0</v>
      </c>
      <c r="M374">
        <v>0</v>
      </c>
      <c r="N374" s="10">
        <v>0</v>
      </c>
    </row>
    <row r="375" spans="2:14" ht="33" customHeight="1" x14ac:dyDescent="0.3">
      <c r="B375" s="14" t="s">
        <v>519</v>
      </c>
      <c r="C375" s="14" t="s">
        <v>973</v>
      </c>
      <c r="D375" s="14" t="s">
        <v>974</v>
      </c>
      <c r="E375" s="14" t="s">
        <v>975</v>
      </c>
      <c r="F375" s="14" t="s">
        <v>976</v>
      </c>
      <c r="G375" s="14" t="s">
        <v>90</v>
      </c>
      <c r="H375" s="14" t="str">
        <f t="shared" si="10"/>
        <v>MFSPLS-120</v>
      </c>
      <c r="I375" s="15" t="str">
        <f t="shared" si="11"/>
        <v>RE</v>
      </c>
      <c r="J375" s="14">
        <v>5</v>
      </c>
      <c r="K375" t="s">
        <v>977</v>
      </c>
      <c r="L375">
        <v>5</v>
      </c>
      <c r="M375">
        <v>0</v>
      </c>
      <c r="N375" s="10" t="s">
        <v>414</v>
      </c>
    </row>
    <row r="376" spans="2:14" ht="33" customHeight="1" x14ac:dyDescent="0.3">
      <c r="B376" s="14" t="s">
        <v>519</v>
      </c>
      <c r="C376" s="14" t="s">
        <v>973</v>
      </c>
      <c r="D376" s="14">
        <v>0</v>
      </c>
      <c r="E376" s="14">
        <v>0</v>
      </c>
      <c r="F376" s="14" t="s">
        <v>978</v>
      </c>
      <c r="G376" s="14" t="s">
        <v>106</v>
      </c>
      <c r="H376" s="14" t="str">
        <f t="shared" si="10"/>
        <v>MFSPLS-60</v>
      </c>
      <c r="I376" s="15" t="str">
        <f t="shared" si="11"/>
        <v>RE</v>
      </c>
      <c r="J376" s="14">
        <v>3</v>
      </c>
      <c r="K376" t="s">
        <v>548</v>
      </c>
      <c r="L376">
        <v>3</v>
      </c>
      <c r="M376">
        <v>0</v>
      </c>
      <c r="N376" s="10" t="s">
        <v>414</v>
      </c>
    </row>
    <row r="377" spans="2:14" ht="33" customHeight="1" x14ac:dyDescent="0.3">
      <c r="B377" s="14">
        <v>0</v>
      </c>
      <c r="C377" s="14">
        <v>0</v>
      </c>
      <c r="D377" s="14">
        <v>0</v>
      </c>
      <c r="E377" s="14">
        <v>0</v>
      </c>
      <c r="F377" s="14">
        <v>0</v>
      </c>
      <c r="G377" s="14">
        <v>0</v>
      </c>
      <c r="H377" s="14">
        <f t="shared" si="10"/>
        <v>0</v>
      </c>
      <c r="I377" s="15" t="str">
        <f t="shared" si="11"/>
        <v/>
      </c>
      <c r="J377" s="14">
        <v>0</v>
      </c>
      <c r="K377">
        <v>0</v>
      </c>
      <c r="L377">
        <v>0</v>
      </c>
      <c r="M377">
        <v>0</v>
      </c>
      <c r="N377" s="10">
        <v>0</v>
      </c>
    </row>
    <row r="378" spans="2:14" ht="33" customHeight="1" x14ac:dyDescent="0.3">
      <c r="B378" s="14" t="s">
        <v>507</v>
      </c>
      <c r="C378" s="14" t="s">
        <v>979</v>
      </c>
      <c r="D378" s="14" t="s">
        <v>980</v>
      </c>
      <c r="E378" s="14" t="s">
        <v>970</v>
      </c>
      <c r="F378" s="14">
        <v>0</v>
      </c>
      <c r="G378" s="14" t="s">
        <v>90</v>
      </c>
      <c r="H378" s="14" t="str">
        <f t="shared" si="10"/>
        <v>MFSPLS-120</v>
      </c>
      <c r="I378" s="15" t="str">
        <f t="shared" si="11"/>
        <v>RE</v>
      </c>
      <c r="J378" s="14">
        <v>3245</v>
      </c>
      <c r="K378" t="s">
        <v>977</v>
      </c>
      <c r="L378">
        <v>0</v>
      </c>
      <c r="M378">
        <v>3245</v>
      </c>
      <c r="N378" s="10" t="s">
        <v>448</v>
      </c>
    </row>
    <row r="379" spans="2:14" ht="33" customHeight="1" x14ac:dyDescent="0.3">
      <c r="B379" s="14" t="s">
        <v>507</v>
      </c>
      <c r="C379" s="14" t="s">
        <v>979</v>
      </c>
      <c r="D379" s="14">
        <v>0</v>
      </c>
      <c r="E379" s="14">
        <v>0</v>
      </c>
      <c r="F379" s="14">
        <v>0</v>
      </c>
      <c r="G379" s="14" t="s">
        <v>233</v>
      </c>
      <c r="H379" s="14" t="str">
        <f t="shared" si="10"/>
        <v>WFSPLS-180</v>
      </c>
      <c r="I379" s="15" t="str">
        <f t="shared" si="11"/>
        <v>RE</v>
      </c>
      <c r="J379" s="14">
        <v>1248</v>
      </c>
      <c r="K379" t="s">
        <v>981</v>
      </c>
      <c r="L379">
        <v>0</v>
      </c>
      <c r="M379">
        <v>1248</v>
      </c>
      <c r="N379" s="10" t="s">
        <v>439</v>
      </c>
    </row>
    <row r="380" spans="2:14" ht="33" customHeight="1" x14ac:dyDescent="0.3">
      <c r="B380" s="14" t="s">
        <v>507</v>
      </c>
      <c r="C380" s="14" t="s">
        <v>979</v>
      </c>
      <c r="D380" s="14">
        <v>0</v>
      </c>
      <c r="E380" s="14">
        <v>0</v>
      </c>
      <c r="F380" s="14">
        <v>0</v>
      </c>
      <c r="G380" s="14" t="s">
        <v>185</v>
      </c>
      <c r="H380" s="14" t="str">
        <f t="shared" si="10"/>
        <v>PRECON-180</v>
      </c>
      <c r="I380" s="15" t="str">
        <f t="shared" si="11"/>
        <v>RE</v>
      </c>
      <c r="J380" s="14">
        <v>998</v>
      </c>
      <c r="K380" t="s">
        <v>982</v>
      </c>
      <c r="L380">
        <v>0</v>
      </c>
      <c r="M380">
        <v>998</v>
      </c>
      <c r="N380" s="10" t="s">
        <v>448</v>
      </c>
    </row>
    <row r="381" spans="2:14" ht="33" customHeight="1" x14ac:dyDescent="0.3">
      <c r="B381" s="14" t="s">
        <v>507</v>
      </c>
      <c r="C381" s="14" t="s">
        <v>979</v>
      </c>
      <c r="D381" s="14">
        <v>0</v>
      </c>
      <c r="E381" s="14">
        <v>0</v>
      </c>
      <c r="F381" s="14">
        <v>0</v>
      </c>
      <c r="G381" s="14" t="s">
        <v>299</v>
      </c>
      <c r="H381" s="14" t="str">
        <f t="shared" si="10"/>
        <v>OSTEOPL-96</v>
      </c>
      <c r="I381" s="15" t="str">
        <f t="shared" si="11"/>
        <v>FD</v>
      </c>
      <c r="J381" s="14">
        <v>998</v>
      </c>
      <c r="K381" t="s">
        <v>621</v>
      </c>
      <c r="L381">
        <v>998</v>
      </c>
      <c r="M381">
        <v>0</v>
      </c>
      <c r="N381" s="10" t="s">
        <v>813</v>
      </c>
    </row>
    <row r="382" spans="2:14" ht="33" customHeight="1" x14ac:dyDescent="0.3">
      <c r="B382" s="14" t="s">
        <v>507</v>
      </c>
      <c r="C382" s="14" t="s">
        <v>979</v>
      </c>
      <c r="D382" s="14">
        <v>0</v>
      </c>
      <c r="E382" s="14">
        <v>0</v>
      </c>
      <c r="F382" s="14">
        <v>0</v>
      </c>
      <c r="G382" s="14" t="s">
        <v>34</v>
      </c>
      <c r="H382" s="14" t="str">
        <f t="shared" si="10"/>
        <v>DHEA50-60</v>
      </c>
      <c r="I382" s="15" t="str">
        <f t="shared" si="11"/>
        <v>FD</v>
      </c>
      <c r="J382" s="14">
        <v>3245</v>
      </c>
      <c r="K382" t="s">
        <v>453</v>
      </c>
      <c r="L382">
        <v>0</v>
      </c>
      <c r="M382">
        <v>3245</v>
      </c>
      <c r="N382" s="10" t="s">
        <v>448</v>
      </c>
    </row>
    <row r="383" spans="2:14" ht="33" customHeight="1" x14ac:dyDescent="0.3">
      <c r="B383" s="14" t="s">
        <v>507</v>
      </c>
      <c r="C383" s="14" t="s">
        <v>979</v>
      </c>
      <c r="D383" s="14">
        <v>0</v>
      </c>
      <c r="E383" s="14">
        <v>0</v>
      </c>
      <c r="F383" s="14" t="s">
        <v>983</v>
      </c>
      <c r="G383" s="14" t="s">
        <v>512</v>
      </c>
      <c r="H383" s="14" t="str">
        <f t="shared" si="10"/>
        <v>COQ400-30</v>
      </c>
      <c r="I383" s="15" t="str">
        <f t="shared" si="11"/>
        <v>SU</v>
      </c>
      <c r="J383" s="14">
        <v>2246</v>
      </c>
      <c r="K383" t="s">
        <v>513</v>
      </c>
      <c r="L383">
        <v>0</v>
      </c>
      <c r="M383">
        <v>2422</v>
      </c>
      <c r="N383" s="10" t="s">
        <v>514</v>
      </c>
    </row>
    <row r="384" spans="2:14" ht="33" customHeight="1" x14ac:dyDescent="0.3">
      <c r="B384" s="14" t="s">
        <v>507</v>
      </c>
      <c r="C384" s="14" t="s">
        <v>979</v>
      </c>
      <c r="D384" s="14">
        <v>0</v>
      </c>
      <c r="E384" s="14">
        <v>0</v>
      </c>
      <c r="F384" s="14">
        <v>0</v>
      </c>
      <c r="G384" s="14" t="s">
        <v>139</v>
      </c>
      <c r="H384" s="14" t="str">
        <f t="shared" si="10"/>
        <v>OVAMAX-120</v>
      </c>
      <c r="I384" s="15" t="str">
        <f t="shared" si="11"/>
        <v>RE</v>
      </c>
      <c r="J384" s="14">
        <v>1758</v>
      </c>
      <c r="K384" t="s">
        <v>984</v>
      </c>
      <c r="L384">
        <v>0</v>
      </c>
      <c r="M384">
        <v>1758</v>
      </c>
      <c r="N384" s="10" t="s">
        <v>448</v>
      </c>
    </row>
    <row r="385" spans="2:14" ht="33" customHeight="1" x14ac:dyDescent="0.3">
      <c r="B385" s="14">
        <v>0</v>
      </c>
      <c r="C385" s="14">
        <v>0</v>
      </c>
      <c r="D385" s="14">
        <v>0</v>
      </c>
      <c r="E385" s="14">
        <v>0</v>
      </c>
      <c r="F385" s="14">
        <v>0</v>
      </c>
      <c r="G385" s="14">
        <v>0</v>
      </c>
      <c r="H385" s="14">
        <f t="shared" si="10"/>
        <v>0</v>
      </c>
      <c r="I385" s="15" t="str">
        <f t="shared" si="11"/>
        <v/>
      </c>
      <c r="J385" s="14">
        <v>0</v>
      </c>
      <c r="K385">
        <v>0</v>
      </c>
      <c r="L385">
        <v>0</v>
      </c>
      <c r="M385">
        <v>0</v>
      </c>
      <c r="N385" s="10">
        <v>0</v>
      </c>
    </row>
    <row r="386" spans="2:14" ht="33" customHeight="1" x14ac:dyDescent="0.3">
      <c r="B386" s="14" t="s">
        <v>985</v>
      </c>
      <c r="C386" s="14" t="s">
        <v>986</v>
      </c>
      <c r="D386" s="14" t="s">
        <v>987</v>
      </c>
      <c r="E386" s="14" t="s">
        <v>988</v>
      </c>
      <c r="F386" s="14" t="s">
        <v>989</v>
      </c>
      <c r="G386" s="14" t="s">
        <v>42</v>
      </c>
      <c r="H386" s="14" t="str">
        <f t="shared" si="10"/>
        <v>FERTMX-90</v>
      </c>
      <c r="I386" s="15" t="str">
        <f t="shared" si="11"/>
        <v>RE</v>
      </c>
      <c r="J386" s="14">
        <v>488</v>
      </c>
      <c r="K386" t="s">
        <v>441</v>
      </c>
      <c r="L386">
        <v>488</v>
      </c>
      <c r="M386">
        <v>0</v>
      </c>
      <c r="N386" s="10" t="s">
        <v>414</v>
      </c>
    </row>
    <row r="387" spans="2:14" ht="33" customHeight="1" x14ac:dyDescent="0.3">
      <c r="B387" s="14">
        <v>0</v>
      </c>
      <c r="C387" s="14">
        <v>0</v>
      </c>
      <c r="D387" s="14">
        <v>0</v>
      </c>
      <c r="E387" s="14">
        <v>0</v>
      </c>
      <c r="F387" s="14">
        <v>0</v>
      </c>
      <c r="G387" s="14">
        <v>0</v>
      </c>
      <c r="H387" s="14">
        <f t="shared" ref="H387:H450" si="12">IFERROR(_xlfn.TEXTBEFORE(G387,"-",2),G387)</f>
        <v>0</v>
      </c>
      <c r="I387" s="15" t="str">
        <f t="shared" ref="I387:I450" si="13">IFERROR(_xlfn.TEXTAFTER(G387,"-",-1),"")</f>
        <v/>
      </c>
      <c r="J387" s="14">
        <v>0</v>
      </c>
      <c r="K387">
        <v>0</v>
      </c>
      <c r="L387">
        <v>0</v>
      </c>
      <c r="M387">
        <v>0</v>
      </c>
      <c r="N387" s="10">
        <v>0</v>
      </c>
    </row>
    <row r="388" spans="2:14" ht="33" customHeight="1" x14ac:dyDescent="0.3">
      <c r="B388" s="14" t="s">
        <v>985</v>
      </c>
      <c r="C388" s="14" t="s">
        <v>990</v>
      </c>
      <c r="D388" s="14" t="s">
        <v>991</v>
      </c>
      <c r="E388" s="14" t="s">
        <v>970</v>
      </c>
      <c r="F388" s="14">
        <v>0</v>
      </c>
      <c r="G388" s="14" t="s">
        <v>71</v>
      </c>
      <c r="H388" s="14" t="str">
        <f t="shared" si="12"/>
        <v>FIBRO-60</v>
      </c>
      <c r="I388" s="15" t="str">
        <f t="shared" si="13"/>
        <v>FD</v>
      </c>
      <c r="J388" s="14">
        <v>168</v>
      </c>
      <c r="K388" t="s">
        <v>623</v>
      </c>
      <c r="L388">
        <v>168</v>
      </c>
      <c r="M388">
        <v>0</v>
      </c>
      <c r="N388" s="10" t="s">
        <v>813</v>
      </c>
    </row>
    <row r="389" spans="2:14" ht="33" customHeight="1" x14ac:dyDescent="0.3">
      <c r="B389" s="14" t="s">
        <v>985</v>
      </c>
      <c r="C389" s="14" t="s">
        <v>990</v>
      </c>
      <c r="D389" s="14">
        <v>0</v>
      </c>
      <c r="E389" s="14">
        <v>0</v>
      </c>
      <c r="F389" s="14">
        <v>0</v>
      </c>
      <c r="G389" s="14" t="s">
        <v>39</v>
      </c>
      <c r="H389" s="14" t="str">
        <f t="shared" si="12"/>
        <v>WFSPLS-180</v>
      </c>
      <c r="I389" s="15" t="str">
        <f t="shared" si="13"/>
        <v>FD</v>
      </c>
      <c r="J389" s="14">
        <v>120</v>
      </c>
      <c r="K389" t="s">
        <v>438</v>
      </c>
      <c r="L389">
        <v>0</v>
      </c>
      <c r="M389">
        <v>120</v>
      </c>
      <c r="N389" s="10" t="s">
        <v>439</v>
      </c>
    </row>
    <row r="390" spans="2:14" ht="33" customHeight="1" x14ac:dyDescent="0.3">
      <c r="B390" s="14" t="s">
        <v>985</v>
      </c>
      <c r="C390" s="14" t="s">
        <v>990</v>
      </c>
      <c r="D390" s="14">
        <v>0</v>
      </c>
      <c r="E390" s="14">
        <v>0</v>
      </c>
      <c r="F390" s="14">
        <v>0</v>
      </c>
      <c r="G390" s="14" t="s">
        <v>220</v>
      </c>
      <c r="H390" s="14" t="str">
        <f t="shared" si="12"/>
        <v>SPERMCT-60</v>
      </c>
      <c r="I390" s="15" t="str">
        <f t="shared" si="13"/>
        <v>FD</v>
      </c>
      <c r="J390" s="14">
        <v>24</v>
      </c>
      <c r="K390" t="s">
        <v>435</v>
      </c>
      <c r="L390">
        <v>24</v>
      </c>
      <c r="M390">
        <v>0</v>
      </c>
      <c r="N390" s="10" t="s">
        <v>813</v>
      </c>
    </row>
    <row r="391" spans="2:14" ht="33" customHeight="1" x14ac:dyDescent="0.3">
      <c r="B391" s="14" t="s">
        <v>985</v>
      </c>
      <c r="C391" s="14" t="s">
        <v>990</v>
      </c>
      <c r="D391" s="14">
        <v>0</v>
      </c>
      <c r="E391" s="14">
        <v>0</v>
      </c>
      <c r="F391" s="14">
        <v>0</v>
      </c>
      <c r="G391" s="14" t="s">
        <v>144</v>
      </c>
      <c r="H391" s="14" t="str">
        <f t="shared" si="12"/>
        <v>OVAMAX-120</v>
      </c>
      <c r="I391" s="15" t="str">
        <f t="shared" si="13"/>
        <v>FD</v>
      </c>
      <c r="J391" s="14">
        <v>312</v>
      </c>
      <c r="K391" t="s">
        <v>447</v>
      </c>
      <c r="L391">
        <v>312</v>
      </c>
      <c r="M391">
        <v>312</v>
      </c>
      <c r="N391" s="10" t="s">
        <v>448</v>
      </c>
    </row>
    <row r="392" spans="2:14" ht="33" customHeight="1" x14ac:dyDescent="0.3">
      <c r="B392" s="14" t="s">
        <v>985</v>
      </c>
      <c r="C392" s="14" t="s">
        <v>990</v>
      </c>
      <c r="D392" s="14">
        <v>0</v>
      </c>
      <c r="E392" s="14">
        <v>0</v>
      </c>
      <c r="F392" s="14">
        <v>0</v>
      </c>
      <c r="G392" s="14" t="s">
        <v>42</v>
      </c>
      <c r="H392" s="14" t="str">
        <f t="shared" si="12"/>
        <v>FERTMX-90</v>
      </c>
      <c r="I392" s="15" t="str">
        <f t="shared" si="13"/>
        <v>RE</v>
      </c>
      <c r="J392" s="14">
        <v>480</v>
      </c>
      <c r="K392" t="s">
        <v>441</v>
      </c>
      <c r="L392">
        <v>0</v>
      </c>
      <c r="M392">
        <v>480</v>
      </c>
      <c r="N392" s="10" t="s">
        <v>442</v>
      </c>
    </row>
    <row r="393" spans="2:14" ht="33" customHeight="1" x14ac:dyDescent="0.3">
      <c r="B393" s="14" t="s">
        <v>985</v>
      </c>
      <c r="C393" s="14" t="s">
        <v>990</v>
      </c>
      <c r="D393" s="14">
        <v>0</v>
      </c>
      <c r="E393" s="14">
        <v>0</v>
      </c>
      <c r="F393" s="14">
        <v>0</v>
      </c>
      <c r="G393" s="14" t="s">
        <v>196</v>
      </c>
      <c r="H393" s="14" t="str">
        <f t="shared" si="12"/>
        <v>PRECON-90</v>
      </c>
      <c r="I393" s="15" t="str">
        <f t="shared" si="13"/>
        <v>FD</v>
      </c>
      <c r="J393" s="14">
        <v>24</v>
      </c>
      <c r="K393" t="s">
        <v>443</v>
      </c>
      <c r="L393">
        <v>24</v>
      </c>
      <c r="M393">
        <v>0</v>
      </c>
      <c r="N393" s="10" t="s">
        <v>813</v>
      </c>
    </row>
    <row r="394" spans="2:14" ht="33" customHeight="1" x14ac:dyDescent="0.3">
      <c r="B394" s="14" t="s">
        <v>985</v>
      </c>
      <c r="C394" s="14" t="s">
        <v>990</v>
      </c>
      <c r="D394" s="14">
        <v>0</v>
      </c>
      <c r="E394" s="14">
        <v>0</v>
      </c>
      <c r="F394" s="14">
        <v>0</v>
      </c>
      <c r="G394" s="14" t="s">
        <v>178</v>
      </c>
      <c r="H394" s="14" t="str">
        <f t="shared" si="12"/>
        <v>POLYSIT-90</v>
      </c>
      <c r="I394" s="15" t="str">
        <f t="shared" si="13"/>
        <v>FD</v>
      </c>
      <c r="J394" s="14">
        <v>24</v>
      </c>
      <c r="K394" t="s">
        <v>992</v>
      </c>
      <c r="L394">
        <v>0</v>
      </c>
      <c r="M394">
        <v>24</v>
      </c>
      <c r="N394" s="10" t="s">
        <v>448</v>
      </c>
    </row>
    <row r="395" spans="2:14" ht="33" customHeight="1" x14ac:dyDescent="0.3">
      <c r="B395" s="14" t="s">
        <v>985</v>
      </c>
      <c r="C395" s="14" t="s">
        <v>990</v>
      </c>
      <c r="D395" s="14">
        <v>0</v>
      </c>
      <c r="E395" s="14">
        <v>0</v>
      </c>
      <c r="F395" s="14">
        <v>0</v>
      </c>
      <c r="G395" s="14" t="s">
        <v>77</v>
      </c>
      <c r="H395" s="14" t="str">
        <f t="shared" si="12"/>
        <v>METRIO-60</v>
      </c>
      <c r="I395" s="15" t="str">
        <f t="shared" si="13"/>
        <v>FD</v>
      </c>
      <c r="J395" s="14">
        <v>24</v>
      </c>
      <c r="K395" t="s">
        <v>789</v>
      </c>
      <c r="L395">
        <v>24</v>
      </c>
      <c r="M395">
        <v>0</v>
      </c>
      <c r="N395" s="10" t="s">
        <v>813</v>
      </c>
    </row>
    <row r="396" spans="2:14" ht="33" customHeight="1" x14ac:dyDescent="0.3">
      <c r="B396" s="14">
        <v>0</v>
      </c>
      <c r="C396" s="14">
        <v>0</v>
      </c>
      <c r="D396" s="14">
        <v>0</v>
      </c>
      <c r="E396" s="14">
        <v>0</v>
      </c>
      <c r="F396" s="14">
        <v>0</v>
      </c>
      <c r="G396" s="14">
        <v>0</v>
      </c>
      <c r="H396" s="14">
        <f t="shared" si="12"/>
        <v>0</v>
      </c>
      <c r="I396" s="15" t="str">
        <f t="shared" si="13"/>
        <v/>
      </c>
      <c r="J396" s="14">
        <v>0</v>
      </c>
      <c r="K396">
        <v>0</v>
      </c>
      <c r="L396">
        <v>0</v>
      </c>
      <c r="M396">
        <v>0</v>
      </c>
      <c r="N396" s="10">
        <v>0</v>
      </c>
    </row>
    <row r="397" spans="2:14" ht="33" customHeight="1" x14ac:dyDescent="0.3">
      <c r="B397" s="14" t="s">
        <v>500</v>
      </c>
      <c r="C397" s="14" t="s">
        <v>993</v>
      </c>
      <c r="D397" s="14" t="s">
        <v>994</v>
      </c>
      <c r="E397" s="14" t="s">
        <v>995</v>
      </c>
      <c r="F397" s="14" t="s">
        <v>834</v>
      </c>
      <c r="G397" s="14" t="s">
        <v>505</v>
      </c>
      <c r="H397" s="14" t="str">
        <f t="shared" si="12"/>
        <v>MFSADV-120</v>
      </c>
      <c r="I397" s="15" t="str">
        <f t="shared" si="13"/>
        <v>GR</v>
      </c>
      <c r="J397" s="14">
        <v>1000</v>
      </c>
      <c r="K397" t="s">
        <v>506</v>
      </c>
      <c r="L397">
        <v>0</v>
      </c>
      <c r="M397">
        <v>1000</v>
      </c>
      <c r="N397" s="10" t="s">
        <v>442</v>
      </c>
    </row>
    <row r="398" spans="2:14" ht="33" customHeight="1" x14ac:dyDescent="0.3">
      <c r="B398" s="14">
        <v>0</v>
      </c>
      <c r="C398" s="14">
        <v>0</v>
      </c>
      <c r="D398" s="14">
        <v>0</v>
      </c>
      <c r="E398" s="14">
        <v>0</v>
      </c>
      <c r="F398" s="14">
        <v>0</v>
      </c>
      <c r="G398" s="14">
        <v>0</v>
      </c>
      <c r="H398" s="14">
        <f t="shared" si="12"/>
        <v>0</v>
      </c>
      <c r="I398" s="15" t="str">
        <f t="shared" si="13"/>
        <v/>
      </c>
      <c r="J398" s="14">
        <v>0</v>
      </c>
      <c r="K398">
        <v>0</v>
      </c>
      <c r="L398">
        <v>0</v>
      </c>
      <c r="M398">
        <v>0</v>
      </c>
      <c r="N398" s="10">
        <v>0</v>
      </c>
    </row>
    <row r="399" spans="2:14" ht="33" customHeight="1" x14ac:dyDescent="0.3">
      <c r="B399" s="14" t="s">
        <v>617</v>
      </c>
      <c r="C399" s="14" t="s">
        <v>996</v>
      </c>
      <c r="D399" s="14" t="s">
        <v>997</v>
      </c>
      <c r="E399" s="14" t="s">
        <v>970</v>
      </c>
      <c r="F399" s="14">
        <v>0</v>
      </c>
      <c r="G399" s="14" t="s">
        <v>207</v>
      </c>
      <c r="H399" s="14" t="str">
        <f t="shared" si="12"/>
        <v>PROSTA-90</v>
      </c>
      <c r="I399" s="15" t="str">
        <f t="shared" si="13"/>
        <v>FD</v>
      </c>
      <c r="J399" s="14">
        <v>72</v>
      </c>
      <c r="K399" t="s">
        <v>445</v>
      </c>
      <c r="L399">
        <v>72</v>
      </c>
      <c r="M399">
        <v>0</v>
      </c>
      <c r="N399" s="10" t="s">
        <v>813</v>
      </c>
    </row>
    <row r="400" spans="2:14" ht="33" customHeight="1" x14ac:dyDescent="0.3">
      <c r="B400" s="14" t="s">
        <v>617</v>
      </c>
      <c r="C400" s="14" t="s">
        <v>996</v>
      </c>
      <c r="D400" s="14">
        <v>0</v>
      </c>
      <c r="E400" s="14">
        <v>0</v>
      </c>
      <c r="F400" s="14">
        <v>0</v>
      </c>
      <c r="G400" s="14" t="s">
        <v>390</v>
      </c>
      <c r="H400" s="14" t="str">
        <f t="shared" si="12"/>
        <v>XTRAD10-60</v>
      </c>
      <c r="I400" s="15" t="str">
        <f t="shared" si="13"/>
        <v>FD</v>
      </c>
      <c r="J400" s="14">
        <v>1440</v>
      </c>
      <c r="K400" t="s">
        <v>622</v>
      </c>
      <c r="L400">
        <v>0</v>
      </c>
      <c r="M400">
        <v>1440</v>
      </c>
      <c r="N400" s="10" t="s">
        <v>998</v>
      </c>
    </row>
    <row r="401" spans="2:14" ht="33" customHeight="1" x14ac:dyDescent="0.3">
      <c r="B401" s="14" t="s">
        <v>617</v>
      </c>
      <c r="C401" s="14" t="s">
        <v>996</v>
      </c>
      <c r="D401" s="14">
        <v>0</v>
      </c>
      <c r="E401" s="14">
        <v>0</v>
      </c>
      <c r="F401" s="14">
        <v>0</v>
      </c>
      <c r="G401" s="14" t="s">
        <v>406</v>
      </c>
      <c r="H401" s="14" t="str">
        <f t="shared" si="12"/>
        <v>MFSPLS-120</v>
      </c>
      <c r="I401" s="15" t="str">
        <f t="shared" si="13"/>
        <v>FD</v>
      </c>
      <c r="J401" s="14">
        <v>96</v>
      </c>
      <c r="K401" t="s">
        <v>462</v>
      </c>
      <c r="L401">
        <v>0</v>
      </c>
      <c r="M401">
        <v>96</v>
      </c>
      <c r="N401" s="10" t="s">
        <v>448</v>
      </c>
    </row>
    <row r="402" spans="2:14" ht="33" customHeight="1" x14ac:dyDescent="0.3">
      <c r="B402" s="14" t="s">
        <v>617</v>
      </c>
      <c r="C402" s="14" t="s">
        <v>996</v>
      </c>
      <c r="D402" s="14">
        <v>0</v>
      </c>
      <c r="E402" s="14">
        <v>0</v>
      </c>
      <c r="F402" s="14">
        <v>0</v>
      </c>
      <c r="G402" s="14" t="s">
        <v>34</v>
      </c>
      <c r="H402" s="14" t="str">
        <f t="shared" si="12"/>
        <v>DHEA50-60</v>
      </c>
      <c r="I402" s="15" t="str">
        <f t="shared" si="13"/>
        <v>FD</v>
      </c>
      <c r="J402" s="14">
        <v>120</v>
      </c>
      <c r="K402" t="s">
        <v>453</v>
      </c>
      <c r="L402">
        <v>0</v>
      </c>
      <c r="M402">
        <v>120</v>
      </c>
      <c r="N402" s="10" t="s">
        <v>448</v>
      </c>
    </row>
    <row r="403" spans="2:14" ht="33" customHeight="1" x14ac:dyDescent="0.3">
      <c r="B403" s="14" t="s">
        <v>617</v>
      </c>
      <c r="C403" s="14" t="s">
        <v>996</v>
      </c>
      <c r="D403" s="14">
        <v>0</v>
      </c>
      <c r="E403" s="14">
        <v>0</v>
      </c>
      <c r="F403" s="14">
        <v>0</v>
      </c>
      <c r="G403" s="14" t="s">
        <v>260</v>
      </c>
      <c r="H403" s="14" t="str">
        <f t="shared" si="12"/>
        <v>CAVIN-60</v>
      </c>
      <c r="I403" s="15" t="str">
        <f t="shared" si="13"/>
        <v>FD</v>
      </c>
      <c r="J403" s="14">
        <v>96</v>
      </c>
      <c r="K403" t="s">
        <v>625</v>
      </c>
      <c r="L403">
        <v>96</v>
      </c>
      <c r="M403">
        <v>0</v>
      </c>
      <c r="N403" s="10" t="s">
        <v>813</v>
      </c>
    </row>
    <row r="404" spans="2:14" ht="33" customHeight="1" x14ac:dyDescent="0.3">
      <c r="B404" s="14">
        <v>0</v>
      </c>
      <c r="C404" s="14">
        <v>0</v>
      </c>
      <c r="D404" s="14">
        <v>0</v>
      </c>
      <c r="E404" s="14">
        <v>0</v>
      </c>
      <c r="F404" s="14">
        <v>0</v>
      </c>
      <c r="G404" s="14">
        <v>0</v>
      </c>
      <c r="H404" s="14">
        <f t="shared" si="12"/>
        <v>0</v>
      </c>
      <c r="I404" s="15" t="str">
        <f t="shared" si="13"/>
        <v/>
      </c>
      <c r="J404" s="14">
        <v>0</v>
      </c>
      <c r="K404">
        <v>0</v>
      </c>
      <c r="L404">
        <v>0</v>
      </c>
      <c r="M404">
        <v>0</v>
      </c>
      <c r="N404" s="10">
        <v>0</v>
      </c>
    </row>
    <row r="405" spans="2:14" ht="33" customHeight="1" x14ac:dyDescent="0.3">
      <c r="B405" s="14" t="s">
        <v>999</v>
      </c>
      <c r="C405" s="14" t="s">
        <v>1000</v>
      </c>
      <c r="D405" s="14" t="s">
        <v>1001</v>
      </c>
      <c r="E405" s="14" t="s">
        <v>1002</v>
      </c>
      <c r="F405" s="14">
        <v>0</v>
      </c>
      <c r="G405" s="14" t="s">
        <v>126</v>
      </c>
      <c r="H405" s="14" t="str">
        <f t="shared" si="12"/>
        <v>MOTILMX-60</v>
      </c>
      <c r="I405" s="15" t="str">
        <f t="shared" si="13"/>
        <v>BN</v>
      </c>
      <c r="J405" s="14">
        <v>500</v>
      </c>
      <c r="K405" t="s">
        <v>1003</v>
      </c>
      <c r="L405">
        <v>500</v>
      </c>
      <c r="M405">
        <v>0</v>
      </c>
      <c r="N405" s="10" t="s">
        <v>414</v>
      </c>
    </row>
    <row r="406" spans="2:14" ht="33" customHeight="1" x14ac:dyDescent="0.3">
      <c r="B406" s="14">
        <v>0</v>
      </c>
      <c r="C406" s="14">
        <v>0</v>
      </c>
      <c r="D406" s="14">
        <v>0</v>
      </c>
      <c r="E406" s="14">
        <v>0</v>
      </c>
      <c r="F406" s="14">
        <v>0</v>
      </c>
      <c r="G406" s="14">
        <v>0</v>
      </c>
      <c r="H406" s="14">
        <f t="shared" si="12"/>
        <v>0</v>
      </c>
      <c r="I406" s="15" t="str">
        <f t="shared" si="13"/>
        <v/>
      </c>
      <c r="J406" s="14">
        <v>0</v>
      </c>
      <c r="K406">
        <v>0</v>
      </c>
      <c r="L406">
        <v>0</v>
      </c>
      <c r="M406">
        <v>0</v>
      </c>
      <c r="N406" s="10">
        <v>0</v>
      </c>
    </row>
    <row r="407" spans="2:14" ht="33" customHeight="1" x14ac:dyDescent="0.3">
      <c r="B407" s="14" t="s">
        <v>1004</v>
      </c>
      <c r="C407" s="14" t="s">
        <v>1005</v>
      </c>
      <c r="D407" s="14" t="s">
        <v>1006</v>
      </c>
      <c r="E407" s="14" t="s">
        <v>970</v>
      </c>
      <c r="F407" s="14">
        <v>0</v>
      </c>
      <c r="G407" s="14" t="s">
        <v>237</v>
      </c>
      <c r="H407" s="14" t="str">
        <f t="shared" si="12"/>
        <v>WFSPLS-180</v>
      </c>
      <c r="I407" s="15" t="str">
        <f t="shared" si="13"/>
        <v>TA</v>
      </c>
      <c r="J407" s="14">
        <v>48</v>
      </c>
      <c r="K407" t="s">
        <v>1007</v>
      </c>
      <c r="L407">
        <v>0</v>
      </c>
      <c r="M407">
        <v>48</v>
      </c>
      <c r="N407" s="10" t="s">
        <v>439</v>
      </c>
    </row>
    <row r="408" spans="2:14" ht="33" customHeight="1" x14ac:dyDescent="0.3">
      <c r="B408" s="14" t="s">
        <v>1004</v>
      </c>
      <c r="C408" s="14" t="s">
        <v>1005</v>
      </c>
      <c r="D408" s="14" t="s">
        <v>1008</v>
      </c>
      <c r="E408" s="14">
        <v>0</v>
      </c>
      <c r="F408" s="14">
        <v>0</v>
      </c>
      <c r="G408" s="14" t="s">
        <v>194</v>
      </c>
      <c r="H408" s="14" t="str">
        <f t="shared" si="12"/>
        <v>PRECON-180</v>
      </c>
      <c r="I408" s="15" t="str">
        <f t="shared" si="13"/>
        <v>TA</v>
      </c>
      <c r="J408" s="14">
        <v>120</v>
      </c>
      <c r="K408" t="s">
        <v>1009</v>
      </c>
      <c r="L408">
        <v>0</v>
      </c>
      <c r="M408">
        <v>120</v>
      </c>
      <c r="N408" s="10" t="s">
        <v>448</v>
      </c>
    </row>
    <row r="409" spans="2:14" ht="33" customHeight="1" x14ac:dyDescent="0.3">
      <c r="B409" s="14" t="s">
        <v>1004</v>
      </c>
      <c r="C409" s="14" t="s">
        <v>1005</v>
      </c>
      <c r="D409" s="14">
        <v>0</v>
      </c>
      <c r="E409" s="14">
        <v>0</v>
      </c>
      <c r="F409" s="14">
        <v>0</v>
      </c>
      <c r="G409" s="14" t="s">
        <v>52</v>
      </c>
      <c r="H409" s="14" t="str">
        <f t="shared" si="12"/>
        <v>FERTMX-90</v>
      </c>
      <c r="I409" s="15" t="str">
        <f t="shared" si="13"/>
        <v>TA</v>
      </c>
      <c r="J409" s="14">
        <v>240</v>
      </c>
      <c r="K409" t="s">
        <v>1010</v>
      </c>
      <c r="L409">
        <v>0</v>
      </c>
      <c r="M409">
        <v>240</v>
      </c>
      <c r="N409" s="10" t="s">
        <v>442</v>
      </c>
    </row>
    <row r="410" spans="2:14" ht="33" customHeight="1" x14ac:dyDescent="0.3">
      <c r="B410" s="14" t="s">
        <v>1004</v>
      </c>
      <c r="C410" s="14" t="s">
        <v>1005</v>
      </c>
      <c r="D410" s="14">
        <v>0</v>
      </c>
      <c r="E410" s="14">
        <v>0</v>
      </c>
      <c r="F410" s="14">
        <v>0</v>
      </c>
      <c r="G410" s="14" t="s">
        <v>153</v>
      </c>
      <c r="H410" s="14" t="str">
        <f t="shared" si="12"/>
        <v>OVAMANM-120</v>
      </c>
      <c r="I410" s="15" t="str">
        <f t="shared" si="13"/>
        <v>TA</v>
      </c>
      <c r="J410" s="14">
        <v>240</v>
      </c>
      <c r="K410" t="s">
        <v>1011</v>
      </c>
      <c r="L410">
        <v>0</v>
      </c>
      <c r="M410">
        <v>240</v>
      </c>
      <c r="N410" s="10" t="s">
        <v>631</v>
      </c>
    </row>
    <row r="411" spans="2:14" ht="33" customHeight="1" x14ac:dyDescent="0.3">
      <c r="B411" s="14" t="s">
        <v>1004</v>
      </c>
      <c r="C411" s="14" t="s">
        <v>1005</v>
      </c>
      <c r="D411" s="14">
        <v>0</v>
      </c>
      <c r="E411" s="14">
        <v>0</v>
      </c>
      <c r="F411" s="14">
        <v>0</v>
      </c>
      <c r="G411" s="14" t="s">
        <v>377</v>
      </c>
      <c r="H411" s="14" t="str">
        <f t="shared" si="12"/>
        <v>QWELL4-30</v>
      </c>
      <c r="I411" s="15" t="str">
        <f t="shared" si="13"/>
        <v>TA</v>
      </c>
      <c r="J411" s="14">
        <v>120</v>
      </c>
      <c r="K411" t="s">
        <v>1012</v>
      </c>
      <c r="L411">
        <v>120</v>
      </c>
      <c r="M411">
        <v>0</v>
      </c>
      <c r="N411" s="10" t="s">
        <v>813</v>
      </c>
    </row>
    <row r="412" spans="2:14" ht="33" customHeight="1" x14ac:dyDescent="0.3">
      <c r="B412" s="14">
        <v>0</v>
      </c>
      <c r="C412" s="14">
        <v>0</v>
      </c>
      <c r="D412" s="14">
        <v>0</v>
      </c>
      <c r="E412" s="14">
        <v>0</v>
      </c>
      <c r="F412" s="14">
        <v>0</v>
      </c>
      <c r="G412" s="14">
        <v>0</v>
      </c>
      <c r="H412" s="14">
        <f t="shared" si="12"/>
        <v>0</v>
      </c>
      <c r="I412" s="15" t="str">
        <f t="shared" si="13"/>
        <v/>
      </c>
      <c r="J412" s="14">
        <v>0</v>
      </c>
      <c r="K412">
        <v>0</v>
      </c>
      <c r="L412">
        <v>0</v>
      </c>
      <c r="M412">
        <v>0</v>
      </c>
      <c r="N412" s="10">
        <v>0</v>
      </c>
    </row>
    <row r="413" spans="2:14" ht="33" customHeight="1" x14ac:dyDescent="0.3">
      <c r="B413" s="14" t="s">
        <v>419</v>
      </c>
      <c r="C413" s="14" t="s">
        <v>1013</v>
      </c>
      <c r="D413" s="14" t="s">
        <v>1014</v>
      </c>
      <c r="E413" s="14" t="s">
        <v>995</v>
      </c>
      <c r="F413" s="14">
        <v>0</v>
      </c>
      <c r="G413" s="14" t="s">
        <v>373</v>
      </c>
      <c r="H413" s="14" t="str">
        <f t="shared" si="12"/>
        <v>QWELL4-30</v>
      </c>
      <c r="I413" s="15" t="str">
        <f t="shared" si="13"/>
        <v>FD</v>
      </c>
      <c r="J413" s="14">
        <v>1008</v>
      </c>
      <c r="K413" t="s">
        <v>444</v>
      </c>
      <c r="L413">
        <v>696</v>
      </c>
      <c r="M413">
        <v>312</v>
      </c>
      <c r="N413" s="10" t="s">
        <v>476</v>
      </c>
    </row>
    <row r="414" spans="2:14" ht="33" customHeight="1" x14ac:dyDescent="0.3">
      <c r="B414" s="14" t="s">
        <v>419</v>
      </c>
      <c r="C414" s="14" t="s">
        <v>1013</v>
      </c>
      <c r="D414" s="14" t="s">
        <v>1015</v>
      </c>
      <c r="E414" s="14">
        <v>0</v>
      </c>
      <c r="F414" s="14">
        <v>0</v>
      </c>
      <c r="G414" s="14" t="s">
        <v>90</v>
      </c>
      <c r="H414" s="14" t="str">
        <f t="shared" si="12"/>
        <v>MFSPLS-120</v>
      </c>
      <c r="I414" s="15" t="str">
        <f t="shared" si="13"/>
        <v>RE</v>
      </c>
      <c r="J414" s="14">
        <v>1512</v>
      </c>
      <c r="K414" t="s">
        <v>977</v>
      </c>
      <c r="L414">
        <v>0</v>
      </c>
      <c r="M414">
        <v>1512</v>
      </c>
      <c r="N414" s="10" t="s">
        <v>895</v>
      </c>
    </row>
    <row r="415" spans="2:14" ht="33" customHeight="1" x14ac:dyDescent="0.3">
      <c r="B415" s="14" t="s">
        <v>419</v>
      </c>
      <c r="C415" s="14" t="s">
        <v>1013</v>
      </c>
      <c r="D415" s="14">
        <v>0</v>
      </c>
      <c r="E415" s="14">
        <v>0</v>
      </c>
      <c r="F415" s="14">
        <v>0</v>
      </c>
      <c r="G415" s="14" t="s">
        <v>359</v>
      </c>
      <c r="H415" s="14" t="str">
        <f t="shared" si="12"/>
        <v>OMEGA3-60</v>
      </c>
      <c r="I415" s="15" t="str">
        <f t="shared" si="13"/>
        <v>UA</v>
      </c>
      <c r="J415" s="14">
        <v>2160</v>
      </c>
      <c r="K415" t="s">
        <v>645</v>
      </c>
      <c r="L415">
        <v>0</v>
      </c>
      <c r="M415">
        <v>2160</v>
      </c>
      <c r="N415" s="10" t="s">
        <v>895</v>
      </c>
    </row>
    <row r="416" spans="2:14" ht="33" customHeight="1" x14ac:dyDescent="0.3">
      <c r="B416" s="14" t="s">
        <v>419</v>
      </c>
      <c r="C416" s="14" t="s">
        <v>1013</v>
      </c>
      <c r="D416" s="14">
        <v>0</v>
      </c>
      <c r="E416" s="14">
        <v>0</v>
      </c>
      <c r="F416" s="14">
        <v>0</v>
      </c>
      <c r="G416" s="14" t="s">
        <v>150</v>
      </c>
      <c r="H416" s="14" t="str">
        <f t="shared" si="12"/>
        <v>OVAMANM-120</v>
      </c>
      <c r="I416" s="15" t="str">
        <f t="shared" si="13"/>
        <v>UA</v>
      </c>
      <c r="J416" s="14">
        <v>1512</v>
      </c>
      <c r="K416" t="s">
        <v>1016</v>
      </c>
      <c r="L416">
        <v>0</v>
      </c>
      <c r="M416">
        <v>1512</v>
      </c>
      <c r="N416" s="10" t="s">
        <v>895</v>
      </c>
    </row>
    <row r="417" spans="2:14" ht="33" customHeight="1" x14ac:dyDescent="0.3">
      <c r="B417" s="14" t="s">
        <v>419</v>
      </c>
      <c r="C417" s="14" t="s">
        <v>1013</v>
      </c>
      <c r="D417" s="14">
        <v>0</v>
      </c>
      <c r="E417" s="14">
        <v>0</v>
      </c>
      <c r="F417" s="14">
        <v>0</v>
      </c>
      <c r="G417" s="14" t="s">
        <v>633</v>
      </c>
      <c r="H417" s="14" t="str">
        <f t="shared" si="12"/>
        <v>PEDIAD4-50</v>
      </c>
      <c r="I417" s="15" t="str">
        <f t="shared" si="13"/>
        <v>FD</v>
      </c>
      <c r="J417" s="14">
        <v>1008</v>
      </c>
      <c r="K417" t="s">
        <v>634</v>
      </c>
      <c r="L417">
        <v>0</v>
      </c>
      <c r="M417">
        <v>1008</v>
      </c>
      <c r="N417" s="10" t="s">
        <v>895</v>
      </c>
    </row>
    <row r="418" spans="2:14" ht="33" customHeight="1" x14ac:dyDescent="0.3">
      <c r="B418" s="14" t="s">
        <v>419</v>
      </c>
      <c r="C418" s="14" t="s">
        <v>1013</v>
      </c>
      <c r="D418" s="14">
        <v>0</v>
      </c>
      <c r="E418" s="14">
        <v>0</v>
      </c>
      <c r="F418" s="14">
        <v>0</v>
      </c>
      <c r="G418" s="14" t="s">
        <v>176</v>
      </c>
      <c r="H418" s="14" t="str">
        <f t="shared" si="12"/>
        <v>POLYSIT-90</v>
      </c>
      <c r="I418" s="15" t="str">
        <f t="shared" si="13"/>
        <v>RE</v>
      </c>
      <c r="J418" s="14">
        <v>1008</v>
      </c>
      <c r="K418" t="s">
        <v>640</v>
      </c>
      <c r="L418">
        <v>0</v>
      </c>
      <c r="M418">
        <v>1008</v>
      </c>
      <c r="N418" s="10" t="s">
        <v>895</v>
      </c>
    </row>
    <row r="419" spans="2:14" ht="33" customHeight="1" x14ac:dyDescent="0.3">
      <c r="B419" s="14" t="s">
        <v>419</v>
      </c>
      <c r="C419" s="14" t="s">
        <v>1013</v>
      </c>
      <c r="D419" s="14">
        <v>0</v>
      </c>
      <c r="E419" s="14">
        <v>0</v>
      </c>
      <c r="F419" s="14">
        <v>0</v>
      </c>
      <c r="G419" s="14" t="s">
        <v>390</v>
      </c>
      <c r="H419" s="14" t="str">
        <f t="shared" si="12"/>
        <v>XTRAD10-60</v>
      </c>
      <c r="I419" s="15" t="str">
        <f t="shared" si="13"/>
        <v>FD</v>
      </c>
      <c r="J419" s="14">
        <v>2016</v>
      </c>
      <c r="K419" t="s">
        <v>622</v>
      </c>
      <c r="L419">
        <v>164</v>
      </c>
      <c r="M419">
        <v>1852</v>
      </c>
      <c r="N419" s="10" t="s">
        <v>895</v>
      </c>
    </row>
    <row r="420" spans="2:14" ht="33" customHeight="1" x14ac:dyDescent="0.3">
      <c r="B420" s="14" t="s">
        <v>419</v>
      </c>
      <c r="C420" s="14" t="s">
        <v>1013</v>
      </c>
      <c r="D420" s="14">
        <v>0</v>
      </c>
      <c r="E420" s="14">
        <v>0</v>
      </c>
      <c r="F420" s="14">
        <v>0</v>
      </c>
      <c r="G420" s="14" t="s">
        <v>1017</v>
      </c>
      <c r="H420" s="14" t="str">
        <f t="shared" si="12"/>
        <v>ZINC25-60</v>
      </c>
      <c r="I420" s="15" t="str">
        <f t="shared" si="13"/>
        <v xml:space="preserve">FD </v>
      </c>
      <c r="J420" s="14">
        <v>1008</v>
      </c>
      <c r="K420" t="s">
        <v>518</v>
      </c>
      <c r="L420">
        <v>0</v>
      </c>
      <c r="M420">
        <v>1008</v>
      </c>
      <c r="N420" s="10" t="s">
        <v>895</v>
      </c>
    </row>
    <row r="421" spans="2:14" ht="33" customHeight="1" x14ac:dyDescent="0.3">
      <c r="B421" s="14" t="s">
        <v>419</v>
      </c>
      <c r="C421" s="14" t="s">
        <v>1013</v>
      </c>
      <c r="D421" s="14">
        <v>0</v>
      </c>
      <c r="E421" s="14">
        <v>0</v>
      </c>
      <c r="F421" s="14">
        <v>0</v>
      </c>
      <c r="G421" s="14" t="s">
        <v>397</v>
      </c>
      <c r="H421" s="14" t="str">
        <f t="shared" si="12"/>
        <v>ZINC50-60</v>
      </c>
      <c r="I421" s="15" t="str">
        <f t="shared" si="13"/>
        <v>FD</v>
      </c>
      <c r="J421" s="14">
        <v>1008</v>
      </c>
      <c r="K421" t="s">
        <v>1018</v>
      </c>
      <c r="L421">
        <v>0</v>
      </c>
      <c r="M421">
        <v>1008</v>
      </c>
      <c r="N421" s="10" t="s">
        <v>895</v>
      </c>
    </row>
    <row r="422" spans="2:14" ht="33" customHeight="1" x14ac:dyDescent="0.3">
      <c r="B422" s="14">
        <v>0</v>
      </c>
      <c r="C422" s="14">
        <v>0</v>
      </c>
      <c r="D422" s="14">
        <v>0</v>
      </c>
      <c r="E422" s="14">
        <v>0</v>
      </c>
      <c r="F422" s="14">
        <v>0</v>
      </c>
      <c r="G422" s="14">
        <v>0</v>
      </c>
      <c r="H422" s="14">
        <f t="shared" si="12"/>
        <v>0</v>
      </c>
      <c r="I422" s="15" t="str">
        <f t="shared" si="13"/>
        <v/>
      </c>
      <c r="J422" s="14">
        <v>0</v>
      </c>
      <c r="K422">
        <v>0</v>
      </c>
      <c r="L422">
        <v>0</v>
      </c>
      <c r="M422">
        <v>0</v>
      </c>
      <c r="N422" s="10">
        <v>0</v>
      </c>
    </row>
    <row r="423" spans="2:14" ht="33" customHeight="1" x14ac:dyDescent="0.3">
      <c r="B423" s="14" t="s">
        <v>930</v>
      </c>
      <c r="C423" s="14" t="s">
        <v>1019</v>
      </c>
      <c r="D423" s="14" t="s">
        <v>1014</v>
      </c>
      <c r="E423" s="14" t="s">
        <v>970</v>
      </c>
      <c r="F423" s="14">
        <v>0</v>
      </c>
      <c r="G423" s="14" t="s">
        <v>290</v>
      </c>
      <c r="H423" s="14" t="str">
        <f t="shared" si="12"/>
        <v>NMNH-60</v>
      </c>
      <c r="I423" s="15" t="str">
        <f t="shared" si="13"/>
        <v>FD</v>
      </c>
      <c r="J423" s="14">
        <v>400</v>
      </c>
      <c r="K423" t="s">
        <v>465</v>
      </c>
      <c r="L423">
        <v>400</v>
      </c>
      <c r="M423">
        <v>0</v>
      </c>
      <c r="N423" s="10" t="s">
        <v>813</v>
      </c>
    </row>
    <row r="424" spans="2:14" ht="33" customHeight="1" x14ac:dyDescent="0.3">
      <c r="B424" s="14" t="s">
        <v>930</v>
      </c>
      <c r="C424" s="14" t="s">
        <v>1019</v>
      </c>
      <c r="D424" s="14" t="s">
        <v>1015</v>
      </c>
      <c r="E424" s="14">
        <v>0</v>
      </c>
      <c r="F424" s="14" t="s">
        <v>1020</v>
      </c>
      <c r="G424" s="14" t="s">
        <v>304</v>
      </c>
      <c r="H424" s="14" t="str">
        <f t="shared" si="12"/>
        <v>PEARLY-60</v>
      </c>
      <c r="I424" s="15" t="str">
        <f t="shared" si="13"/>
        <v>FD</v>
      </c>
      <c r="J424" s="14">
        <v>300</v>
      </c>
      <c r="K424" t="s">
        <v>767</v>
      </c>
      <c r="L424">
        <v>300</v>
      </c>
      <c r="M424">
        <v>0</v>
      </c>
      <c r="N424" s="10" t="s">
        <v>813</v>
      </c>
    </row>
    <row r="425" spans="2:14" ht="33" customHeight="1" x14ac:dyDescent="0.3">
      <c r="B425" s="14">
        <v>0</v>
      </c>
      <c r="C425" s="14">
        <v>0</v>
      </c>
      <c r="D425" s="14">
        <v>0</v>
      </c>
      <c r="E425" s="14">
        <v>0</v>
      </c>
      <c r="F425" s="14">
        <v>0</v>
      </c>
      <c r="G425" s="14">
        <v>0</v>
      </c>
      <c r="H425" s="14">
        <f t="shared" si="12"/>
        <v>0</v>
      </c>
      <c r="I425" s="15" t="str">
        <f t="shared" si="13"/>
        <v/>
      </c>
      <c r="J425" s="14">
        <v>0</v>
      </c>
      <c r="K425">
        <v>0</v>
      </c>
      <c r="L425">
        <v>0</v>
      </c>
      <c r="M425">
        <v>0</v>
      </c>
      <c r="N425" s="10">
        <v>0</v>
      </c>
    </row>
    <row r="426" spans="2:14" ht="33" customHeight="1" x14ac:dyDescent="0.3">
      <c r="B426" s="14" t="s">
        <v>752</v>
      </c>
      <c r="C426" s="14" t="s">
        <v>1021</v>
      </c>
      <c r="D426" s="14" t="s">
        <v>1022</v>
      </c>
      <c r="E426" s="14" t="s">
        <v>1023</v>
      </c>
      <c r="F426" s="14">
        <v>0</v>
      </c>
      <c r="G426" s="14" t="s">
        <v>1024</v>
      </c>
      <c r="H426" s="14" t="str">
        <f t="shared" si="12"/>
        <v>SPERMCT-60</v>
      </c>
      <c r="I426" s="15" t="str">
        <f t="shared" si="13"/>
        <v>QT</v>
      </c>
      <c r="J426" s="14">
        <v>1100</v>
      </c>
      <c r="K426">
        <v>0</v>
      </c>
      <c r="L426">
        <v>0</v>
      </c>
      <c r="M426">
        <v>0</v>
      </c>
      <c r="N426" s="10" t="s">
        <v>476</v>
      </c>
    </row>
    <row r="427" spans="2:14" ht="33" customHeight="1" x14ac:dyDescent="0.3">
      <c r="B427" s="14" t="s">
        <v>752</v>
      </c>
      <c r="C427" s="14" t="s">
        <v>1021</v>
      </c>
      <c r="D427" s="14" t="s">
        <v>1025</v>
      </c>
      <c r="E427" s="14">
        <v>0</v>
      </c>
      <c r="F427" s="14">
        <v>0</v>
      </c>
      <c r="G427" s="14" t="s">
        <v>409</v>
      </c>
      <c r="H427" s="14" t="str">
        <f t="shared" si="12"/>
        <v>WFSPLS-180</v>
      </c>
      <c r="I427" s="15" t="str">
        <f t="shared" si="13"/>
        <v>QT</v>
      </c>
      <c r="J427" s="14">
        <v>550</v>
      </c>
      <c r="K427">
        <v>0</v>
      </c>
      <c r="L427">
        <v>0</v>
      </c>
      <c r="M427">
        <v>0</v>
      </c>
      <c r="N427" s="10" t="s">
        <v>476</v>
      </c>
    </row>
    <row r="428" spans="2:14" ht="33" customHeight="1" x14ac:dyDescent="0.3">
      <c r="B428" s="14" t="s">
        <v>752</v>
      </c>
      <c r="C428" s="14" t="s">
        <v>1021</v>
      </c>
      <c r="D428" s="14" t="s">
        <v>1026</v>
      </c>
      <c r="E428" s="14">
        <v>0</v>
      </c>
      <c r="F428" s="14">
        <v>0</v>
      </c>
      <c r="G428" s="14" t="s">
        <v>1027</v>
      </c>
      <c r="H428" s="14" t="str">
        <f t="shared" si="12"/>
        <v>METRIO-60</v>
      </c>
      <c r="I428" s="15" t="str">
        <f t="shared" si="13"/>
        <v>QT</v>
      </c>
      <c r="J428" s="14">
        <v>550</v>
      </c>
      <c r="K428">
        <v>0</v>
      </c>
      <c r="L428">
        <v>0</v>
      </c>
      <c r="M428">
        <v>0</v>
      </c>
      <c r="N428" s="10" t="s">
        <v>813</v>
      </c>
    </row>
    <row r="429" spans="2:14" ht="33" customHeight="1" x14ac:dyDescent="0.3">
      <c r="B429" s="14" t="s">
        <v>752</v>
      </c>
      <c r="C429" s="14" t="s">
        <v>1021</v>
      </c>
      <c r="D429" s="14">
        <v>0</v>
      </c>
      <c r="E429" s="14">
        <v>0</v>
      </c>
      <c r="F429" s="14" t="s">
        <v>1028</v>
      </c>
      <c r="G429" s="14" t="s">
        <v>326</v>
      </c>
      <c r="H429" s="14" t="str">
        <f t="shared" si="12"/>
        <v>BIO5K-60</v>
      </c>
      <c r="I429" s="15" t="str">
        <f t="shared" si="13"/>
        <v>QT</v>
      </c>
      <c r="J429" s="14">
        <v>126</v>
      </c>
      <c r="K429">
        <v>0</v>
      </c>
      <c r="L429">
        <v>0</v>
      </c>
      <c r="M429">
        <v>0</v>
      </c>
      <c r="N429" s="10" t="s">
        <v>476</v>
      </c>
    </row>
    <row r="430" spans="2:14" ht="33" customHeight="1" x14ac:dyDescent="0.3">
      <c r="B430" s="14" t="s">
        <v>752</v>
      </c>
      <c r="C430" s="14" t="s">
        <v>1021</v>
      </c>
      <c r="D430" s="14">
        <v>0</v>
      </c>
      <c r="E430" s="14">
        <v>0</v>
      </c>
      <c r="F430" s="14" t="s">
        <v>1029</v>
      </c>
      <c r="G430" s="14" t="s">
        <v>271</v>
      </c>
      <c r="H430" s="14" t="str">
        <f t="shared" si="12"/>
        <v>EYECAP-30</v>
      </c>
      <c r="I430" s="15" t="str">
        <f t="shared" si="13"/>
        <v>QT</v>
      </c>
      <c r="J430" s="14">
        <v>720</v>
      </c>
      <c r="K430">
        <v>0</v>
      </c>
      <c r="L430">
        <v>0</v>
      </c>
      <c r="M430">
        <v>0</v>
      </c>
      <c r="N430" s="10" t="s">
        <v>476</v>
      </c>
    </row>
    <row r="431" spans="2:14" ht="33" customHeight="1" x14ac:dyDescent="0.3">
      <c r="B431" s="14">
        <v>0</v>
      </c>
      <c r="C431" s="14">
        <v>0</v>
      </c>
      <c r="D431" s="14">
        <v>0</v>
      </c>
      <c r="E431" s="14">
        <v>0</v>
      </c>
      <c r="F431" s="14">
        <v>0</v>
      </c>
      <c r="G431" s="14">
        <v>0</v>
      </c>
      <c r="H431" s="14">
        <f t="shared" si="12"/>
        <v>0</v>
      </c>
      <c r="I431" s="15" t="str">
        <f t="shared" si="13"/>
        <v/>
      </c>
      <c r="J431" s="14">
        <v>0</v>
      </c>
      <c r="K431">
        <v>0</v>
      </c>
      <c r="L431">
        <v>0</v>
      </c>
      <c r="M431">
        <v>0</v>
      </c>
      <c r="N431" s="10">
        <v>0</v>
      </c>
    </row>
    <row r="432" spans="2:14" ht="33" customHeight="1" x14ac:dyDescent="0.3">
      <c r="B432" s="14" t="s">
        <v>752</v>
      </c>
      <c r="C432" s="14" t="s">
        <v>1030</v>
      </c>
      <c r="D432" s="14" t="s">
        <v>1022</v>
      </c>
      <c r="E432" s="14" t="s">
        <v>1023</v>
      </c>
      <c r="F432" s="14">
        <v>0</v>
      </c>
      <c r="G432" s="14" t="s">
        <v>1031</v>
      </c>
      <c r="H432" s="14" t="str">
        <f t="shared" si="12"/>
        <v>ROYALPL-30</v>
      </c>
      <c r="I432" s="15" t="str">
        <f t="shared" si="13"/>
        <v>QT</v>
      </c>
      <c r="J432" s="14">
        <v>1000</v>
      </c>
      <c r="K432">
        <v>0</v>
      </c>
      <c r="L432">
        <v>0</v>
      </c>
      <c r="M432">
        <v>0</v>
      </c>
      <c r="N432" s="10" t="s">
        <v>476</v>
      </c>
    </row>
    <row r="433" spans="2:14" ht="33" customHeight="1" x14ac:dyDescent="0.3">
      <c r="B433" s="14" t="s">
        <v>752</v>
      </c>
      <c r="C433" s="14" t="s">
        <v>1030</v>
      </c>
      <c r="D433" s="14" t="s">
        <v>1025</v>
      </c>
      <c r="E433" s="14">
        <v>0</v>
      </c>
      <c r="F433" s="14">
        <v>0</v>
      </c>
      <c r="G433" s="14" t="s">
        <v>1032</v>
      </c>
      <c r="H433" s="14" t="str">
        <f t="shared" si="12"/>
        <v>OVAMANM-120</v>
      </c>
      <c r="I433" s="15" t="str">
        <f t="shared" si="13"/>
        <v>QT</v>
      </c>
      <c r="J433" s="14">
        <v>1500</v>
      </c>
      <c r="K433">
        <v>0</v>
      </c>
      <c r="L433">
        <v>0</v>
      </c>
      <c r="M433">
        <v>0</v>
      </c>
      <c r="N433" s="10" t="s">
        <v>476</v>
      </c>
    </row>
    <row r="434" spans="2:14" ht="33" customHeight="1" x14ac:dyDescent="0.3">
      <c r="B434" s="14" t="s">
        <v>752</v>
      </c>
      <c r="C434" s="14" t="s">
        <v>1030</v>
      </c>
      <c r="D434" s="14" t="s">
        <v>1026</v>
      </c>
      <c r="E434" s="14">
        <v>0</v>
      </c>
      <c r="F434" s="14">
        <v>0</v>
      </c>
      <c r="G434" s="14" t="s">
        <v>1033</v>
      </c>
      <c r="H434" s="14" t="str">
        <f t="shared" si="12"/>
        <v>PRECON-90</v>
      </c>
      <c r="I434" s="15" t="str">
        <f t="shared" si="13"/>
        <v>QT</v>
      </c>
      <c r="J434" s="14">
        <v>1500</v>
      </c>
      <c r="K434">
        <v>0</v>
      </c>
      <c r="L434">
        <v>0</v>
      </c>
      <c r="M434">
        <v>0</v>
      </c>
      <c r="N434" s="10" t="s">
        <v>476</v>
      </c>
    </row>
    <row r="435" spans="2:14" ht="33" customHeight="1" x14ac:dyDescent="0.3">
      <c r="B435" s="14">
        <v>0</v>
      </c>
      <c r="C435" s="14">
        <v>0</v>
      </c>
      <c r="D435" s="14">
        <v>0</v>
      </c>
      <c r="E435" s="14">
        <v>0</v>
      </c>
      <c r="F435" s="14">
        <v>0</v>
      </c>
      <c r="G435" s="14">
        <v>0</v>
      </c>
      <c r="H435" s="14">
        <f t="shared" si="12"/>
        <v>0</v>
      </c>
      <c r="I435" s="15" t="str">
        <f t="shared" si="13"/>
        <v/>
      </c>
      <c r="J435" s="14">
        <v>0</v>
      </c>
      <c r="K435">
        <v>0</v>
      </c>
      <c r="L435">
        <v>0</v>
      </c>
      <c r="M435">
        <v>0</v>
      </c>
      <c r="N435" s="10">
        <v>0</v>
      </c>
    </row>
    <row r="436" spans="2:14" ht="33" customHeight="1" x14ac:dyDescent="0.3">
      <c r="B436" s="14" t="s">
        <v>507</v>
      </c>
      <c r="C436" s="14" t="s">
        <v>1034</v>
      </c>
      <c r="D436" s="14" t="s">
        <v>1035</v>
      </c>
      <c r="E436" s="14" t="s">
        <v>995</v>
      </c>
      <c r="F436" s="14">
        <v>0</v>
      </c>
      <c r="G436" s="14" t="s">
        <v>90</v>
      </c>
      <c r="H436" s="14" t="str">
        <f t="shared" si="12"/>
        <v>MFSPLS-120</v>
      </c>
      <c r="I436" s="15" t="str">
        <f t="shared" si="13"/>
        <v>RE</v>
      </c>
      <c r="J436" s="14">
        <v>3395</v>
      </c>
      <c r="K436">
        <v>0</v>
      </c>
      <c r="L436">
        <v>0</v>
      </c>
      <c r="M436">
        <v>3395</v>
      </c>
      <c r="N436" s="10" t="s">
        <v>895</v>
      </c>
    </row>
    <row r="437" spans="2:14" ht="33" customHeight="1" x14ac:dyDescent="0.3">
      <c r="B437" s="14" t="s">
        <v>507</v>
      </c>
      <c r="C437" s="14" t="s">
        <v>1034</v>
      </c>
      <c r="D437" s="14" t="s">
        <v>1036</v>
      </c>
      <c r="E437" s="14">
        <v>0</v>
      </c>
      <c r="F437" s="14">
        <v>0</v>
      </c>
      <c r="G437" s="14" t="s">
        <v>233</v>
      </c>
      <c r="H437" s="14" t="str">
        <f t="shared" si="12"/>
        <v>WFSPLS-180</v>
      </c>
      <c r="I437" s="15" t="str">
        <f t="shared" si="13"/>
        <v>RE</v>
      </c>
      <c r="J437" s="14">
        <v>1298</v>
      </c>
      <c r="K437">
        <v>0</v>
      </c>
      <c r="L437">
        <v>0</v>
      </c>
      <c r="M437">
        <v>1298</v>
      </c>
      <c r="N437" s="10" t="s">
        <v>895</v>
      </c>
    </row>
    <row r="438" spans="2:14" ht="33" customHeight="1" x14ac:dyDescent="0.3">
      <c r="B438" s="14" t="s">
        <v>507</v>
      </c>
      <c r="C438" s="14" t="s">
        <v>1034</v>
      </c>
      <c r="D438" s="14">
        <v>0</v>
      </c>
      <c r="E438" s="14">
        <v>0</v>
      </c>
      <c r="F438" s="14">
        <v>0</v>
      </c>
      <c r="G438" s="14" t="s">
        <v>185</v>
      </c>
      <c r="H438" s="14" t="str">
        <f t="shared" si="12"/>
        <v>PRECON-180</v>
      </c>
      <c r="I438" s="15" t="str">
        <f t="shared" si="13"/>
        <v>RE</v>
      </c>
      <c r="J438" s="14">
        <v>1048</v>
      </c>
      <c r="K438">
        <v>0</v>
      </c>
      <c r="L438">
        <v>0</v>
      </c>
      <c r="M438">
        <v>1048</v>
      </c>
      <c r="N438" s="10" t="s">
        <v>895</v>
      </c>
    </row>
    <row r="439" spans="2:14" ht="33" customHeight="1" x14ac:dyDescent="0.3">
      <c r="B439" s="14" t="s">
        <v>507</v>
      </c>
      <c r="C439" s="14" t="s">
        <v>1034</v>
      </c>
      <c r="D439" s="14">
        <v>0</v>
      </c>
      <c r="E439" s="14">
        <v>0</v>
      </c>
      <c r="F439" s="14">
        <v>0</v>
      </c>
      <c r="G439" s="14" t="s">
        <v>34</v>
      </c>
      <c r="H439" s="14" t="str">
        <f t="shared" si="12"/>
        <v>DHEA50-60</v>
      </c>
      <c r="I439" s="15" t="str">
        <f t="shared" si="13"/>
        <v>FD</v>
      </c>
      <c r="J439" s="14">
        <v>3395</v>
      </c>
      <c r="K439">
        <v>0</v>
      </c>
      <c r="L439">
        <v>0</v>
      </c>
      <c r="M439">
        <v>3395</v>
      </c>
      <c r="N439" s="10" t="s">
        <v>895</v>
      </c>
    </row>
    <row r="440" spans="2:14" ht="33" customHeight="1" x14ac:dyDescent="0.3">
      <c r="B440" s="14" t="s">
        <v>507</v>
      </c>
      <c r="C440" s="14" t="s">
        <v>1034</v>
      </c>
      <c r="D440" s="14">
        <v>0</v>
      </c>
      <c r="E440" s="14">
        <v>0</v>
      </c>
      <c r="F440" s="14">
        <v>0</v>
      </c>
      <c r="G440" s="14" t="s">
        <v>139</v>
      </c>
      <c r="H440" s="14" t="str">
        <f t="shared" si="12"/>
        <v>OVAMAX-120</v>
      </c>
      <c r="I440" s="15" t="str">
        <f t="shared" si="13"/>
        <v>RE</v>
      </c>
      <c r="J440" s="14">
        <v>1847</v>
      </c>
      <c r="K440">
        <v>0</v>
      </c>
      <c r="L440">
        <v>0</v>
      </c>
      <c r="M440">
        <v>0</v>
      </c>
      <c r="N440" s="10" t="s">
        <v>439</v>
      </c>
    </row>
    <row r="441" spans="2:14" ht="33" customHeight="1" x14ac:dyDescent="0.3">
      <c r="B441" s="14" t="s">
        <v>507</v>
      </c>
      <c r="C441" s="14" t="s">
        <v>1034</v>
      </c>
      <c r="D441" s="14">
        <v>0</v>
      </c>
      <c r="E441" s="14">
        <v>0</v>
      </c>
      <c r="F441" s="14">
        <v>0</v>
      </c>
      <c r="G441" s="14" t="s">
        <v>299</v>
      </c>
      <c r="H441" s="14" t="str">
        <f t="shared" si="12"/>
        <v>OSTEOPL-96</v>
      </c>
      <c r="I441" s="15" t="str">
        <f t="shared" si="13"/>
        <v>FD</v>
      </c>
      <c r="J441" s="14">
        <v>1048</v>
      </c>
      <c r="K441">
        <v>0</v>
      </c>
      <c r="L441">
        <v>1048</v>
      </c>
      <c r="M441">
        <v>0</v>
      </c>
      <c r="N441" s="10" t="s">
        <v>813</v>
      </c>
    </row>
    <row r="442" spans="2:14" ht="33" customHeight="1" x14ac:dyDescent="0.3">
      <c r="B442" s="14" t="s">
        <v>507</v>
      </c>
      <c r="C442" s="14" t="s">
        <v>1034</v>
      </c>
      <c r="D442" s="14">
        <v>0</v>
      </c>
      <c r="E442" s="14">
        <v>0</v>
      </c>
      <c r="F442" s="14">
        <v>0</v>
      </c>
      <c r="G442" s="14" t="s">
        <v>1037</v>
      </c>
      <c r="H442" s="14" t="str">
        <f t="shared" si="12"/>
        <v>PENAMAX-60</v>
      </c>
      <c r="I442" s="15" t="str">
        <f t="shared" si="13"/>
        <v>SU</v>
      </c>
      <c r="J442" s="14">
        <v>749</v>
      </c>
      <c r="K442">
        <v>0</v>
      </c>
      <c r="L442">
        <v>0</v>
      </c>
      <c r="M442">
        <v>0</v>
      </c>
      <c r="N442" s="10" t="s">
        <v>813</v>
      </c>
    </row>
    <row r="443" spans="2:14" ht="33" customHeight="1" x14ac:dyDescent="0.3">
      <c r="B443" s="14" t="s">
        <v>507</v>
      </c>
      <c r="C443" s="14" t="s">
        <v>1034</v>
      </c>
      <c r="D443" s="14">
        <v>0</v>
      </c>
      <c r="E443" s="14">
        <v>0</v>
      </c>
      <c r="F443" s="14">
        <v>0</v>
      </c>
      <c r="G443" s="14" t="s">
        <v>512</v>
      </c>
      <c r="H443" s="14" t="str">
        <f t="shared" si="12"/>
        <v>COQ400-30</v>
      </c>
      <c r="I443" s="15" t="str">
        <f t="shared" si="13"/>
        <v>SU</v>
      </c>
      <c r="J443" s="14">
        <v>1800</v>
      </c>
      <c r="K443">
        <v>0</v>
      </c>
      <c r="L443">
        <v>1800</v>
      </c>
      <c r="M443">
        <v>0</v>
      </c>
      <c r="N443" s="10" t="s">
        <v>514</v>
      </c>
    </row>
    <row r="444" spans="2:14" ht="33" customHeight="1" x14ac:dyDescent="0.3">
      <c r="B444" s="14" t="s">
        <v>507</v>
      </c>
      <c r="C444" s="14" t="s">
        <v>1034</v>
      </c>
      <c r="D444" s="14">
        <v>0</v>
      </c>
      <c r="E444" s="14">
        <v>0</v>
      </c>
      <c r="F444" s="14">
        <v>0</v>
      </c>
      <c r="G444" s="14" t="s">
        <v>512</v>
      </c>
      <c r="H444" s="14" t="str">
        <f t="shared" si="12"/>
        <v>COQ400-30</v>
      </c>
      <c r="I444" s="15" t="str">
        <f t="shared" si="13"/>
        <v>SU</v>
      </c>
      <c r="J444" s="14">
        <v>546</v>
      </c>
      <c r="K444">
        <v>0</v>
      </c>
      <c r="L444">
        <v>0</v>
      </c>
      <c r="M444">
        <v>546</v>
      </c>
      <c r="N444" s="10" t="s">
        <v>895</v>
      </c>
    </row>
    <row r="445" spans="2:14" ht="33" customHeight="1" x14ac:dyDescent="0.3">
      <c r="B445" s="14">
        <v>0</v>
      </c>
      <c r="C445" s="14">
        <v>0</v>
      </c>
      <c r="D445" s="14">
        <v>0</v>
      </c>
      <c r="E445" s="14">
        <v>0</v>
      </c>
      <c r="F445" s="14">
        <v>0</v>
      </c>
      <c r="G445" s="14">
        <v>0</v>
      </c>
      <c r="H445" s="14">
        <f t="shared" si="12"/>
        <v>0</v>
      </c>
      <c r="I445" s="15" t="str">
        <f t="shared" si="13"/>
        <v/>
      </c>
      <c r="J445" s="14">
        <v>0</v>
      </c>
      <c r="K445">
        <v>0</v>
      </c>
      <c r="L445">
        <v>0</v>
      </c>
      <c r="M445">
        <v>0</v>
      </c>
      <c r="N445" s="10">
        <v>0</v>
      </c>
    </row>
    <row r="446" spans="2:14" ht="33" customHeight="1" x14ac:dyDescent="0.3">
      <c r="B446" s="14" t="s">
        <v>1004</v>
      </c>
      <c r="C446" s="14" t="s">
        <v>1038</v>
      </c>
      <c r="D446" s="14" t="s">
        <v>1039</v>
      </c>
      <c r="E446" s="14" t="s">
        <v>1040</v>
      </c>
      <c r="F446" s="14">
        <v>0</v>
      </c>
      <c r="G446" s="14" t="s">
        <v>1041</v>
      </c>
      <c r="H446" s="14" t="str">
        <f t="shared" si="12"/>
        <v>PROSTA-90</v>
      </c>
      <c r="I446" s="15" t="str">
        <f t="shared" si="13"/>
        <v>TA</v>
      </c>
      <c r="J446" s="14">
        <v>10</v>
      </c>
      <c r="K446">
        <v>0</v>
      </c>
      <c r="L446">
        <v>0</v>
      </c>
      <c r="M446">
        <v>0</v>
      </c>
      <c r="N446" s="10" t="s">
        <v>476</v>
      </c>
    </row>
    <row r="447" spans="2:14" ht="33" customHeight="1" x14ac:dyDescent="0.3">
      <c r="B447" s="14" t="s">
        <v>1004</v>
      </c>
      <c r="C447" s="14" t="s">
        <v>1038</v>
      </c>
      <c r="D447" s="14">
        <v>0</v>
      </c>
      <c r="E447" s="14">
        <v>0</v>
      </c>
      <c r="F447" s="14">
        <v>0</v>
      </c>
      <c r="G447" s="14" t="s">
        <v>1042</v>
      </c>
      <c r="H447" s="14" t="str">
        <f t="shared" si="12"/>
        <v>METRIO-60</v>
      </c>
      <c r="I447" s="15" t="str">
        <f t="shared" si="13"/>
        <v>TA</v>
      </c>
      <c r="J447" s="14">
        <v>10</v>
      </c>
      <c r="K447">
        <v>0</v>
      </c>
      <c r="L447">
        <v>0</v>
      </c>
      <c r="M447">
        <v>0</v>
      </c>
      <c r="N447" s="10" t="s">
        <v>476</v>
      </c>
    </row>
    <row r="448" spans="2:14" ht="33" customHeight="1" x14ac:dyDescent="0.3">
      <c r="B448" s="14" t="s">
        <v>1004</v>
      </c>
      <c r="C448" s="14" t="s">
        <v>1038</v>
      </c>
      <c r="D448" s="14">
        <v>0</v>
      </c>
      <c r="E448" s="14">
        <v>0</v>
      </c>
      <c r="F448" s="14">
        <v>0</v>
      </c>
      <c r="G448" s="14" t="s">
        <v>1043</v>
      </c>
      <c r="H448" s="14" t="str">
        <f t="shared" si="12"/>
        <v>FIBRO-60</v>
      </c>
      <c r="I448" s="15" t="str">
        <f t="shared" si="13"/>
        <v>TA</v>
      </c>
      <c r="J448" s="14">
        <v>10</v>
      </c>
      <c r="K448">
        <v>0</v>
      </c>
      <c r="L448">
        <v>0</v>
      </c>
      <c r="M448">
        <v>0</v>
      </c>
      <c r="N448" s="10" t="s">
        <v>476</v>
      </c>
    </row>
    <row r="449" spans="2:14" ht="33" customHeight="1" x14ac:dyDescent="0.3">
      <c r="B449" s="14" t="s">
        <v>1004</v>
      </c>
      <c r="C449" s="14" t="s">
        <v>1038</v>
      </c>
      <c r="D449" s="14">
        <v>0</v>
      </c>
      <c r="E449" s="14">
        <v>0</v>
      </c>
      <c r="F449" s="14">
        <v>0</v>
      </c>
      <c r="G449" s="14" t="s">
        <v>1044</v>
      </c>
      <c r="H449" s="14" t="str">
        <f t="shared" si="12"/>
        <v>UTIC-60</v>
      </c>
      <c r="I449" s="15" t="str">
        <f t="shared" si="13"/>
        <v>TA</v>
      </c>
      <c r="J449" s="14">
        <v>10</v>
      </c>
      <c r="K449">
        <v>0</v>
      </c>
      <c r="L449">
        <v>0</v>
      </c>
      <c r="M449">
        <v>0</v>
      </c>
      <c r="N449" s="10" t="s">
        <v>476</v>
      </c>
    </row>
    <row r="450" spans="2:14" ht="33" customHeight="1" x14ac:dyDescent="0.3">
      <c r="B450" s="14" t="s">
        <v>1004</v>
      </c>
      <c r="C450" s="14" t="s">
        <v>1038</v>
      </c>
      <c r="D450" s="14">
        <v>0</v>
      </c>
      <c r="E450" s="14">
        <v>0</v>
      </c>
      <c r="F450" s="14">
        <v>0</v>
      </c>
      <c r="G450" s="14" t="s">
        <v>1045</v>
      </c>
      <c r="H450" s="14" t="str">
        <f t="shared" si="12"/>
        <v>ROYALPL-30</v>
      </c>
      <c r="I450" s="15" t="str">
        <f t="shared" si="13"/>
        <v>TA</v>
      </c>
      <c r="J450" s="14">
        <v>10</v>
      </c>
      <c r="K450">
        <v>0</v>
      </c>
      <c r="L450">
        <v>0</v>
      </c>
      <c r="M450">
        <v>0</v>
      </c>
      <c r="N450" s="10" t="s">
        <v>476</v>
      </c>
    </row>
    <row r="451" spans="2:14" ht="33" customHeight="1" x14ac:dyDescent="0.3">
      <c r="B451" s="14" t="s">
        <v>1004</v>
      </c>
      <c r="C451" s="14" t="s">
        <v>1038</v>
      </c>
      <c r="D451" s="14">
        <v>0</v>
      </c>
      <c r="E451" s="14">
        <v>0</v>
      </c>
      <c r="F451" s="14">
        <v>0</v>
      </c>
      <c r="G451" s="14" t="s">
        <v>1046</v>
      </c>
      <c r="H451" s="14" t="str">
        <f t="shared" ref="H451:H475" si="14">IFERROR(_xlfn.TEXTBEFORE(G451,"-",2),G451)</f>
        <v>MOTILMX-60</v>
      </c>
      <c r="I451" s="15" t="str">
        <f t="shared" ref="I451:I475" si="15">IFERROR(_xlfn.TEXTAFTER(G451,"-",-1),"")</f>
        <v>TA</v>
      </c>
      <c r="J451" s="14">
        <v>10</v>
      </c>
      <c r="K451">
        <v>0</v>
      </c>
      <c r="L451">
        <v>0</v>
      </c>
      <c r="M451">
        <v>0</v>
      </c>
      <c r="N451" s="10" t="s">
        <v>439</v>
      </c>
    </row>
    <row r="452" spans="2:14" ht="33" customHeight="1" x14ac:dyDescent="0.3">
      <c r="B452" s="14" t="s">
        <v>1004</v>
      </c>
      <c r="C452" s="14" t="s">
        <v>1038</v>
      </c>
      <c r="D452" s="14">
        <v>0</v>
      </c>
      <c r="E452" s="14">
        <v>0</v>
      </c>
      <c r="F452" s="14">
        <v>0</v>
      </c>
      <c r="G452" s="14" t="s">
        <v>1047</v>
      </c>
      <c r="H452" s="14" t="str">
        <f t="shared" si="14"/>
        <v>POLYSIT-90</v>
      </c>
      <c r="I452" s="15" t="str">
        <f t="shared" si="15"/>
        <v>TA</v>
      </c>
      <c r="J452" s="14">
        <v>10</v>
      </c>
      <c r="K452">
        <v>0</v>
      </c>
      <c r="L452">
        <v>0</v>
      </c>
      <c r="M452">
        <v>0</v>
      </c>
      <c r="N452" s="10" t="s">
        <v>476</v>
      </c>
    </row>
    <row r="453" spans="2:14" ht="33" customHeight="1" x14ac:dyDescent="0.3">
      <c r="B453" s="14" t="s">
        <v>1004</v>
      </c>
      <c r="C453" s="14" t="s">
        <v>1038</v>
      </c>
      <c r="D453" s="14">
        <v>0</v>
      </c>
      <c r="E453" s="14">
        <v>0</v>
      </c>
      <c r="F453" s="14">
        <v>0</v>
      </c>
      <c r="G453" s="14" t="s">
        <v>1048</v>
      </c>
      <c r="H453" s="14" t="str">
        <f t="shared" si="14"/>
        <v>SPERMCT-60</v>
      </c>
      <c r="I453" s="15" t="str">
        <f t="shared" si="15"/>
        <v>TA</v>
      </c>
      <c r="J453" s="14">
        <v>10</v>
      </c>
      <c r="K453">
        <v>0</v>
      </c>
      <c r="L453">
        <v>0</v>
      </c>
      <c r="M453">
        <v>0</v>
      </c>
      <c r="N453" s="10" t="s">
        <v>476</v>
      </c>
    </row>
    <row r="454" spans="2:14" ht="33" customHeight="1" x14ac:dyDescent="0.3">
      <c r="B454" s="14">
        <v>0</v>
      </c>
      <c r="C454" s="14">
        <v>0</v>
      </c>
      <c r="D454" s="14">
        <v>0</v>
      </c>
      <c r="E454" s="14">
        <v>0</v>
      </c>
      <c r="F454" s="14">
        <v>0</v>
      </c>
      <c r="G454" s="14">
        <v>0</v>
      </c>
      <c r="H454" s="14">
        <f t="shared" si="14"/>
        <v>0</v>
      </c>
      <c r="I454" s="15" t="str">
        <f t="shared" si="15"/>
        <v/>
      </c>
      <c r="J454" s="14">
        <v>0</v>
      </c>
      <c r="K454">
        <v>0</v>
      </c>
      <c r="L454">
        <v>0</v>
      </c>
      <c r="M454">
        <v>0</v>
      </c>
      <c r="N454" s="10">
        <v>0</v>
      </c>
    </row>
    <row r="455" spans="2:14" ht="33" customHeight="1" x14ac:dyDescent="0.3">
      <c r="B455" s="14" t="s">
        <v>1049</v>
      </c>
      <c r="C455" s="14" t="s">
        <v>1050</v>
      </c>
      <c r="D455" s="14">
        <v>0</v>
      </c>
      <c r="E455" s="14" t="s">
        <v>1051</v>
      </c>
      <c r="F455" s="14" t="s">
        <v>1052</v>
      </c>
      <c r="G455" s="14" t="s">
        <v>1053</v>
      </c>
      <c r="H455" s="14" t="str">
        <f t="shared" si="14"/>
        <v>LARGINE-100</v>
      </c>
      <c r="I455" s="15" t="str">
        <f t="shared" si="15"/>
        <v>FD</v>
      </c>
      <c r="J455" s="14">
        <v>120</v>
      </c>
      <c r="K455">
        <v>0</v>
      </c>
      <c r="L455">
        <v>0</v>
      </c>
      <c r="M455">
        <v>120</v>
      </c>
      <c r="N455" s="10" t="s">
        <v>448</v>
      </c>
    </row>
    <row r="456" spans="2:14" ht="33" customHeight="1" x14ac:dyDescent="0.3">
      <c r="B456" s="14" t="s">
        <v>1049</v>
      </c>
      <c r="C456" s="14" t="s">
        <v>1050</v>
      </c>
      <c r="D456" s="14">
        <v>0</v>
      </c>
      <c r="E456" s="14">
        <v>0</v>
      </c>
      <c r="F456" s="14" t="s">
        <v>1054</v>
      </c>
      <c r="G456" s="14" t="s">
        <v>389</v>
      </c>
      <c r="H456" s="14" t="str">
        <f t="shared" si="14"/>
        <v>XTRAD5-60</v>
      </c>
      <c r="I456" s="15" t="str">
        <f t="shared" si="15"/>
        <v>FD</v>
      </c>
      <c r="J456" s="14">
        <v>96</v>
      </c>
      <c r="K456">
        <v>0</v>
      </c>
      <c r="L456">
        <v>0</v>
      </c>
      <c r="M456">
        <v>96</v>
      </c>
      <c r="N456" s="10" t="s">
        <v>663</v>
      </c>
    </row>
    <row r="457" spans="2:14" ht="33" customHeight="1" x14ac:dyDescent="0.3">
      <c r="B457" s="14">
        <v>0</v>
      </c>
      <c r="C457" s="14">
        <v>0</v>
      </c>
      <c r="D457" s="14">
        <v>0</v>
      </c>
      <c r="E457" s="14">
        <v>0</v>
      </c>
      <c r="F457" s="14">
        <v>0</v>
      </c>
      <c r="G457" s="14">
        <v>0</v>
      </c>
      <c r="H457" s="14">
        <f t="shared" si="14"/>
        <v>0</v>
      </c>
      <c r="I457" s="15" t="str">
        <f t="shared" si="15"/>
        <v/>
      </c>
      <c r="J457" s="14">
        <v>0</v>
      </c>
      <c r="K457">
        <v>0</v>
      </c>
      <c r="L457">
        <v>0</v>
      </c>
      <c r="M457">
        <v>0</v>
      </c>
      <c r="N457" s="10">
        <v>0</v>
      </c>
    </row>
    <row r="458" spans="2:14" ht="33" customHeight="1" x14ac:dyDescent="0.3">
      <c r="B458" s="14" t="s">
        <v>1055</v>
      </c>
      <c r="C458" s="14" t="s">
        <v>1056</v>
      </c>
      <c r="D458" s="14" t="s">
        <v>1057</v>
      </c>
      <c r="E458" s="14" t="s">
        <v>1058</v>
      </c>
      <c r="F458" s="14" t="s">
        <v>1059</v>
      </c>
      <c r="G458" s="14" t="s">
        <v>246</v>
      </c>
      <c r="H458" s="14" t="str">
        <f t="shared" si="14"/>
        <v>WFSPLS-90</v>
      </c>
      <c r="I458" s="15" t="str">
        <f t="shared" si="15"/>
        <v>FD</v>
      </c>
      <c r="J458" s="14">
        <v>240</v>
      </c>
      <c r="K458">
        <v>0</v>
      </c>
      <c r="L458">
        <v>240</v>
      </c>
      <c r="M458">
        <v>0</v>
      </c>
      <c r="N458" s="10" t="s">
        <v>476</v>
      </c>
    </row>
    <row r="459" spans="2:14" ht="33" customHeight="1" x14ac:dyDescent="0.3">
      <c r="B459" s="14" t="s">
        <v>1055</v>
      </c>
      <c r="C459" s="14" t="s">
        <v>1056</v>
      </c>
      <c r="D459" s="14" t="s">
        <v>1060</v>
      </c>
      <c r="E459" s="14">
        <v>0</v>
      </c>
      <c r="F459" s="14" t="s">
        <v>1061</v>
      </c>
      <c r="G459" s="14" t="s">
        <v>406</v>
      </c>
      <c r="H459" s="14" t="str">
        <f t="shared" si="14"/>
        <v>MFSPLS-120</v>
      </c>
      <c r="I459" s="15" t="str">
        <f t="shared" si="15"/>
        <v>FD</v>
      </c>
      <c r="J459" s="14">
        <v>240</v>
      </c>
      <c r="K459">
        <v>0</v>
      </c>
      <c r="L459">
        <v>240</v>
      </c>
      <c r="M459">
        <v>0</v>
      </c>
      <c r="N459" s="10" t="s">
        <v>476</v>
      </c>
    </row>
    <row r="460" spans="2:14" ht="33" customHeight="1" x14ac:dyDescent="0.3">
      <c r="B460" s="14" t="s">
        <v>1055</v>
      </c>
      <c r="C460" s="14" t="s">
        <v>1056</v>
      </c>
      <c r="D460" s="14" t="s">
        <v>1062</v>
      </c>
      <c r="E460" s="14">
        <v>0</v>
      </c>
      <c r="F460" s="14" t="s">
        <v>1063</v>
      </c>
      <c r="G460" s="14" t="s">
        <v>144</v>
      </c>
      <c r="H460" s="14" t="str">
        <f t="shared" si="14"/>
        <v>OVAMAX-120</v>
      </c>
      <c r="I460" s="15" t="str">
        <f t="shared" si="15"/>
        <v>FD</v>
      </c>
      <c r="J460" s="14">
        <v>240</v>
      </c>
      <c r="K460">
        <v>0</v>
      </c>
      <c r="L460">
        <v>240</v>
      </c>
      <c r="M460">
        <v>0</v>
      </c>
      <c r="N460" s="10" t="s">
        <v>476</v>
      </c>
    </row>
    <row r="461" spans="2:14" ht="33" customHeight="1" x14ac:dyDescent="0.3">
      <c r="B461" s="14" t="s">
        <v>1055</v>
      </c>
      <c r="C461" s="14" t="s">
        <v>1056</v>
      </c>
      <c r="D461" s="14" t="s">
        <v>1064</v>
      </c>
      <c r="E461" s="14">
        <v>0</v>
      </c>
      <c r="F461" s="14" t="s">
        <v>1065</v>
      </c>
      <c r="G461" s="14" t="s">
        <v>107</v>
      </c>
      <c r="H461" s="14" t="str">
        <f t="shared" si="14"/>
        <v>MFSPLS-60</v>
      </c>
      <c r="I461" s="15" t="str">
        <f t="shared" si="15"/>
        <v>FD</v>
      </c>
      <c r="J461" s="14">
        <v>72</v>
      </c>
      <c r="K461">
        <v>0</v>
      </c>
      <c r="L461">
        <v>72</v>
      </c>
      <c r="M461">
        <v>0</v>
      </c>
      <c r="N461" s="10" t="s">
        <v>476</v>
      </c>
    </row>
    <row r="462" spans="2:14" ht="33" customHeight="1" x14ac:dyDescent="0.3">
      <c r="B462" s="14" t="s">
        <v>1049</v>
      </c>
      <c r="C462" s="14" t="s">
        <v>1056</v>
      </c>
      <c r="D462" s="14">
        <v>0</v>
      </c>
      <c r="E462" s="14">
        <v>0</v>
      </c>
      <c r="F462" s="14" t="s">
        <v>1066</v>
      </c>
      <c r="G462" s="14" t="s">
        <v>406</v>
      </c>
      <c r="H462" s="14" t="str">
        <f t="shared" si="14"/>
        <v>MFSPLS-120</v>
      </c>
      <c r="I462" s="15" t="str">
        <f t="shared" si="15"/>
        <v>FD</v>
      </c>
      <c r="J462" s="14">
        <v>216</v>
      </c>
      <c r="K462">
        <v>0</v>
      </c>
      <c r="L462">
        <v>216</v>
      </c>
      <c r="M462">
        <v>0</v>
      </c>
      <c r="N462" s="10" t="s">
        <v>476</v>
      </c>
    </row>
    <row r="463" spans="2:14" ht="33" customHeight="1" x14ac:dyDescent="0.3">
      <c r="B463" s="14" t="s">
        <v>1049</v>
      </c>
      <c r="C463" s="14" t="s">
        <v>1056</v>
      </c>
      <c r="D463" s="14">
        <v>0</v>
      </c>
      <c r="E463" s="14">
        <v>0</v>
      </c>
      <c r="F463" s="14" t="s">
        <v>1067</v>
      </c>
      <c r="G463" s="14" t="s">
        <v>290</v>
      </c>
      <c r="H463" s="14" t="str">
        <f t="shared" si="14"/>
        <v>NMNH-60</v>
      </c>
      <c r="I463" s="15" t="str">
        <f t="shared" si="15"/>
        <v>FD</v>
      </c>
      <c r="J463" s="14">
        <v>120</v>
      </c>
      <c r="K463">
        <v>0</v>
      </c>
      <c r="L463">
        <v>120</v>
      </c>
      <c r="M463">
        <v>0</v>
      </c>
      <c r="N463" s="10" t="s">
        <v>476</v>
      </c>
    </row>
    <row r="464" spans="2:14" ht="33" customHeight="1" x14ac:dyDescent="0.3">
      <c r="B464" s="14" t="s">
        <v>1049</v>
      </c>
      <c r="C464" s="14" t="s">
        <v>1056</v>
      </c>
      <c r="D464" s="14">
        <v>0</v>
      </c>
      <c r="E464" s="14">
        <v>0</v>
      </c>
      <c r="F464" s="14" t="s">
        <v>1067</v>
      </c>
      <c r="G464" s="14" t="s">
        <v>48</v>
      </c>
      <c r="H464" s="14" t="str">
        <f t="shared" si="14"/>
        <v>FERTMX-90</v>
      </c>
      <c r="I464" s="15" t="str">
        <f t="shared" si="15"/>
        <v>FD</v>
      </c>
      <c r="J464" s="14">
        <v>168</v>
      </c>
      <c r="K464">
        <v>0</v>
      </c>
      <c r="L464">
        <v>37</v>
      </c>
      <c r="M464">
        <v>0</v>
      </c>
      <c r="N464" s="10" t="s">
        <v>476</v>
      </c>
    </row>
    <row r="465" spans="2:14" ht="33" customHeight="1" x14ac:dyDescent="0.3">
      <c r="B465" s="14" t="s">
        <v>1049</v>
      </c>
      <c r="C465" s="14" t="s">
        <v>1056</v>
      </c>
      <c r="D465" s="14">
        <v>0</v>
      </c>
      <c r="E465" s="14">
        <v>0</v>
      </c>
      <c r="F465" s="14" t="s">
        <v>1067</v>
      </c>
      <c r="G465" s="14" t="s">
        <v>186</v>
      </c>
      <c r="H465" s="14" t="str">
        <f t="shared" si="14"/>
        <v>PRECON-180</v>
      </c>
      <c r="I465" s="15" t="str">
        <f t="shared" si="15"/>
        <v>FD</v>
      </c>
      <c r="J465" s="14">
        <v>120</v>
      </c>
      <c r="K465">
        <v>0</v>
      </c>
      <c r="L465">
        <v>120</v>
      </c>
      <c r="M465">
        <v>0</v>
      </c>
      <c r="N465" s="10" t="s">
        <v>476</v>
      </c>
    </row>
    <row r="466" spans="2:14" ht="33" customHeight="1" x14ac:dyDescent="0.3">
      <c r="B466" s="14" t="s">
        <v>1049</v>
      </c>
      <c r="C466" s="14" t="s">
        <v>1056</v>
      </c>
      <c r="D466" s="14">
        <v>0</v>
      </c>
      <c r="E466" s="14">
        <v>0</v>
      </c>
      <c r="F466" s="14" t="s">
        <v>1067</v>
      </c>
      <c r="G466" s="14" t="s">
        <v>260</v>
      </c>
      <c r="H466" s="14" t="str">
        <f t="shared" si="14"/>
        <v>CAVIN-60</v>
      </c>
      <c r="I466" s="15" t="str">
        <f t="shared" si="15"/>
        <v>FD</v>
      </c>
      <c r="J466" s="14">
        <v>48</v>
      </c>
      <c r="K466">
        <v>0</v>
      </c>
      <c r="L466">
        <v>48</v>
      </c>
      <c r="M466">
        <v>0</v>
      </c>
      <c r="N466" s="10" t="s">
        <v>476</v>
      </c>
    </row>
    <row r="467" spans="2:14" ht="33" customHeight="1" x14ac:dyDescent="0.3">
      <c r="B467" s="14" t="s">
        <v>1049</v>
      </c>
      <c r="C467" s="14" t="s">
        <v>1056</v>
      </c>
      <c r="D467" s="14">
        <v>0</v>
      </c>
      <c r="E467" s="14">
        <v>0</v>
      </c>
      <c r="F467" s="14" t="s">
        <v>1067</v>
      </c>
      <c r="G467" s="14" t="s">
        <v>289</v>
      </c>
      <c r="H467" s="14" t="str">
        <f t="shared" si="14"/>
        <v>MEMOUP-60</v>
      </c>
      <c r="I467" s="15" t="str">
        <f t="shared" si="15"/>
        <v>FD</v>
      </c>
      <c r="J467" s="14">
        <v>24</v>
      </c>
      <c r="K467">
        <v>0</v>
      </c>
      <c r="L467">
        <v>24</v>
      </c>
      <c r="M467">
        <v>0</v>
      </c>
      <c r="N467" s="10" t="s">
        <v>476</v>
      </c>
    </row>
    <row r="468" spans="2:14" ht="33" customHeight="1" x14ac:dyDescent="0.3">
      <c r="B468" s="14" t="s">
        <v>1049</v>
      </c>
      <c r="C468" s="14" t="s">
        <v>1056</v>
      </c>
      <c r="D468" s="14">
        <v>0</v>
      </c>
      <c r="E468" s="14">
        <v>0</v>
      </c>
      <c r="F468" s="14" t="s">
        <v>1067</v>
      </c>
      <c r="G468" s="14" t="s">
        <v>342</v>
      </c>
      <c r="H468" s="14" t="str">
        <f t="shared" si="14"/>
        <v>GINKGO-60</v>
      </c>
      <c r="I468" s="15" t="str">
        <f t="shared" si="15"/>
        <v>FD</v>
      </c>
      <c r="J468" s="14">
        <v>48</v>
      </c>
      <c r="K468">
        <v>0</v>
      </c>
      <c r="L468">
        <v>48</v>
      </c>
      <c r="M468">
        <v>0</v>
      </c>
      <c r="N468" s="10" t="s">
        <v>476</v>
      </c>
    </row>
    <row r="469" spans="2:14" ht="33" customHeight="1" x14ac:dyDescent="0.3">
      <c r="B469" s="14">
        <v>0</v>
      </c>
      <c r="C469" s="14">
        <v>0</v>
      </c>
      <c r="D469" s="14">
        <v>0</v>
      </c>
      <c r="E469" s="14">
        <v>0</v>
      </c>
      <c r="F469" s="14">
        <v>0</v>
      </c>
      <c r="G469" s="14">
        <v>0</v>
      </c>
      <c r="H469" s="14">
        <f t="shared" si="14"/>
        <v>0</v>
      </c>
      <c r="I469" s="15" t="str">
        <f t="shared" si="15"/>
        <v/>
      </c>
      <c r="J469" s="14">
        <v>0</v>
      </c>
      <c r="K469">
        <v>0</v>
      </c>
      <c r="L469">
        <v>0</v>
      </c>
      <c r="M469">
        <v>0</v>
      </c>
      <c r="N469" s="10">
        <v>0</v>
      </c>
    </row>
    <row r="470" spans="2:14" ht="33" customHeight="1" x14ac:dyDescent="0.3">
      <c r="B470" s="14" t="s">
        <v>1055</v>
      </c>
      <c r="C470" s="14" t="s">
        <v>1068</v>
      </c>
      <c r="D470" s="14" t="s">
        <v>1069</v>
      </c>
      <c r="E470" s="14">
        <v>0</v>
      </c>
      <c r="F470" s="14" t="s">
        <v>1052</v>
      </c>
      <c r="G470" s="14" t="s">
        <v>349</v>
      </c>
      <c r="H470" s="14" t="str">
        <f t="shared" si="14"/>
        <v>LARGIN-100</v>
      </c>
      <c r="I470" s="15" t="str">
        <f t="shared" si="15"/>
        <v>FD</v>
      </c>
      <c r="J470" s="14">
        <v>120</v>
      </c>
      <c r="K470">
        <v>0</v>
      </c>
      <c r="L470">
        <v>0</v>
      </c>
      <c r="M470">
        <v>120</v>
      </c>
      <c r="N470" s="10" t="s">
        <v>448</v>
      </c>
    </row>
    <row r="471" spans="2:14" ht="33" customHeight="1" x14ac:dyDescent="0.3">
      <c r="B471" s="14" t="s">
        <v>1055</v>
      </c>
      <c r="C471" s="14" t="s">
        <v>1068</v>
      </c>
      <c r="D471" s="14" t="s">
        <v>1070</v>
      </c>
      <c r="E471" s="14">
        <v>0</v>
      </c>
      <c r="F471" s="14" t="s">
        <v>1052</v>
      </c>
      <c r="G471" s="14" t="s">
        <v>633</v>
      </c>
      <c r="H471" s="14" t="str">
        <f t="shared" si="14"/>
        <v>PEDIAD4-50</v>
      </c>
      <c r="I471" s="15" t="str">
        <f t="shared" si="15"/>
        <v>FD</v>
      </c>
      <c r="J471" s="14">
        <v>120</v>
      </c>
      <c r="K471">
        <v>0</v>
      </c>
      <c r="L471">
        <v>0</v>
      </c>
      <c r="M471">
        <v>120</v>
      </c>
      <c r="N471" s="10" t="s">
        <v>442</v>
      </c>
    </row>
    <row r="472" spans="2:14" ht="33" customHeight="1" x14ac:dyDescent="0.3">
      <c r="B472" s="14" t="s">
        <v>1055</v>
      </c>
      <c r="C472" s="14" t="s">
        <v>1068</v>
      </c>
      <c r="D472" s="14" t="s">
        <v>1071</v>
      </c>
      <c r="E472" s="14">
        <v>0</v>
      </c>
      <c r="F472" s="14" t="s">
        <v>1052</v>
      </c>
      <c r="G472" s="14" t="s">
        <v>1072</v>
      </c>
      <c r="H472" s="14" t="str">
        <f t="shared" si="14"/>
        <v>PEDIAD8-50</v>
      </c>
      <c r="I472" s="15" t="str">
        <f t="shared" si="15"/>
        <v>FD</v>
      </c>
      <c r="J472" s="14">
        <v>120</v>
      </c>
      <c r="K472">
        <v>0</v>
      </c>
      <c r="L472">
        <v>0</v>
      </c>
      <c r="M472">
        <v>120</v>
      </c>
      <c r="N472" s="10" t="s">
        <v>631</v>
      </c>
    </row>
    <row r="473" spans="2:14" ht="33" customHeight="1" x14ac:dyDescent="0.3">
      <c r="B473" s="14" t="s">
        <v>1055</v>
      </c>
      <c r="C473" s="14" t="s">
        <v>1068</v>
      </c>
      <c r="D473" s="14" t="s">
        <v>1073</v>
      </c>
      <c r="E473" s="14">
        <v>0</v>
      </c>
      <c r="F473" s="14" t="s">
        <v>1052</v>
      </c>
      <c r="G473" s="14" t="s">
        <v>48</v>
      </c>
      <c r="H473" s="14" t="str">
        <f t="shared" si="14"/>
        <v>FERTMX-90</v>
      </c>
      <c r="I473" s="15" t="str">
        <f t="shared" si="15"/>
        <v>FD</v>
      </c>
      <c r="J473" s="14">
        <v>120</v>
      </c>
      <c r="K473">
        <v>0</v>
      </c>
      <c r="L473">
        <v>0</v>
      </c>
      <c r="M473">
        <v>120</v>
      </c>
      <c r="N473" s="10" t="s">
        <v>442</v>
      </c>
    </row>
    <row r="474" spans="2:14" ht="33" customHeight="1" x14ac:dyDescent="0.3">
      <c r="B474" s="14" t="s">
        <v>1055</v>
      </c>
      <c r="C474" s="14" t="s">
        <v>1068</v>
      </c>
      <c r="D474" s="14" t="s">
        <v>1073</v>
      </c>
      <c r="E474" s="14">
        <v>0</v>
      </c>
      <c r="F474" s="14" t="s">
        <v>1052</v>
      </c>
      <c r="G474" s="14" t="s">
        <v>48</v>
      </c>
      <c r="H474" s="14" t="str">
        <f t="shared" si="14"/>
        <v>FERTMX-90</v>
      </c>
      <c r="I474" s="15" t="str">
        <f t="shared" si="15"/>
        <v>FD</v>
      </c>
      <c r="J474" s="14">
        <v>72</v>
      </c>
      <c r="K474">
        <v>0</v>
      </c>
      <c r="L474">
        <v>0</v>
      </c>
      <c r="M474">
        <v>72</v>
      </c>
      <c r="N474" s="10" t="s">
        <v>442</v>
      </c>
    </row>
    <row r="475" spans="2:14" ht="33" customHeight="1" x14ac:dyDescent="0.3">
      <c r="B475" s="14" t="s">
        <v>1055</v>
      </c>
      <c r="C475" s="14" t="s">
        <v>1068</v>
      </c>
      <c r="D475" s="14" t="s">
        <v>1074</v>
      </c>
      <c r="E475" s="14">
        <v>0</v>
      </c>
      <c r="F475" s="14" t="s">
        <v>1052</v>
      </c>
      <c r="G475" s="14" t="s">
        <v>258</v>
      </c>
      <c r="H475" s="14" t="str">
        <f t="shared" si="14"/>
        <v>ADVTH-60</v>
      </c>
      <c r="I475" s="15" t="str">
        <f t="shared" si="15"/>
        <v>FD</v>
      </c>
      <c r="J475" s="14">
        <v>24</v>
      </c>
      <c r="K475">
        <v>0</v>
      </c>
      <c r="L475">
        <v>0</v>
      </c>
      <c r="M475">
        <v>24</v>
      </c>
      <c r="N475" s="10" t="s">
        <v>631</v>
      </c>
    </row>
    <row r="476" spans="2:14" ht="33" customHeight="1" x14ac:dyDescent="0.3">
      <c r="B476" s="14">
        <v>0</v>
      </c>
      <c r="C476" s="14">
        <v>0</v>
      </c>
      <c r="D476" s="14">
        <v>0</v>
      </c>
      <c r="E476" s="14">
        <v>0</v>
      </c>
      <c r="F476" s="14">
        <v>0</v>
      </c>
      <c r="G476" s="14">
        <v>0</v>
      </c>
      <c r="H476" s="14" t="s">
        <v>415</v>
      </c>
      <c r="I476" s="15" t="s">
        <v>415</v>
      </c>
      <c r="J476" s="14">
        <v>0</v>
      </c>
      <c r="K476">
        <v>0</v>
      </c>
      <c r="L476">
        <v>0</v>
      </c>
      <c r="M476">
        <v>0</v>
      </c>
      <c r="N476" s="10">
        <v>0</v>
      </c>
    </row>
    <row r="477" spans="2:14" ht="33" customHeight="1" x14ac:dyDescent="0.3">
      <c r="B477" s="14">
        <v>0</v>
      </c>
      <c r="C477" s="14">
        <v>0</v>
      </c>
      <c r="D477" s="14">
        <v>0</v>
      </c>
      <c r="E477" s="14">
        <v>0</v>
      </c>
      <c r="F477" s="14">
        <v>0</v>
      </c>
      <c r="G477" s="14">
        <v>0</v>
      </c>
      <c r="H477" s="14" t="s">
        <v>415</v>
      </c>
      <c r="I477" s="15" t="s">
        <v>415</v>
      </c>
      <c r="J477" s="14">
        <v>0</v>
      </c>
      <c r="K477">
        <v>0</v>
      </c>
      <c r="L477">
        <v>0</v>
      </c>
      <c r="M477">
        <v>0</v>
      </c>
      <c r="N477" s="10">
        <v>0</v>
      </c>
    </row>
    <row r="478" spans="2:14" ht="33" customHeight="1" x14ac:dyDescent="0.3">
      <c r="B478" s="14">
        <v>0</v>
      </c>
      <c r="C478" s="14">
        <v>0</v>
      </c>
      <c r="D478" s="14">
        <v>0</v>
      </c>
      <c r="E478" s="14">
        <v>0</v>
      </c>
      <c r="F478" s="14">
        <v>0</v>
      </c>
      <c r="G478" s="14">
        <v>0</v>
      </c>
      <c r="H478" s="14" t="s">
        <v>415</v>
      </c>
      <c r="I478" s="15" t="s">
        <v>415</v>
      </c>
      <c r="J478" s="14">
        <v>0</v>
      </c>
      <c r="K478">
        <v>0</v>
      </c>
      <c r="L478">
        <v>0</v>
      </c>
      <c r="M478">
        <v>0</v>
      </c>
      <c r="N478" s="10">
        <v>0</v>
      </c>
    </row>
    <row r="479" spans="2:14" ht="33" customHeight="1" x14ac:dyDescent="0.3">
      <c r="B479" s="14">
        <v>0</v>
      </c>
      <c r="C479" s="14">
        <v>0</v>
      </c>
      <c r="D479" s="14">
        <v>0</v>
      </c>
      <c r="E479" s="14">
        <v>0</v>
      </c>
      <c r="F479" s="14">
        <v>0</v>
      </c>
      <c r="G479" s="14">
        <v>0</v>
      </c>
      <c r="H479" s="14" t="s">
        <v>415</v>
      </c>
      <c r="I479" s="15" t="s">
        <v>415</v>
      </c>
      <c r="J479" s="14">
        <v>0</v>
      </c>
      <c r="K479">
        <v>0</v>
      </c>
      <c r="L479">
        <v>0</v>
      </c>
      <c r="M479">
        <v>0</v>
      </c>
      <c r="N479" s="10">
        <v>0</v>
      </c>
    </row>
    <row r="480" spans="2:14" ht="33" customHeight="1" x14ac:dyDescent="0.3">
      <c r="B480" s="14">
        <v>0</v>
      </c>
      <c r="C480" s="14">
        <v>0</v>
      </c>
      <c r="D480" s="14">
        <v>0</v>
      </c>
      <c r="E480" s="14">
        <v>0</v>
      </c>
      <c r="F480" s="14">
        <v>0</v>
      </c>
      <c r="G480" s="14">
        <v>0</v>
      </c>
      <c r="H480" s="14" t="s">
        <v>415</v>
      </c>
      <c r="I480" s="15" t="s">
        <v>415</v>
      </c>
      <c r="J480" s="14">
        <v>0</v>
      </c>
      <c r="K480">
        <v>0</v>
      </c>
      <c r="L480">
        <v>0</v>
      </c>
      <c r="M480">
        <v>0</v>
      </c>
      <c r="N480" s="10">
        <v>0</v>
      </c>
    </row>
    <row r="481" spans="2:14" ht="33" customHeight="1" x14ac:dyDescent="0.3">
      <c r="B481" s="14">
        <v>0</v>
      </c>
      <c r="C481" s="14">
        <v>0</v>
      </c>
      <c r="D481" s="14">
        <v>0</v>
      </c>
      <c r="E481" s="14">
        <v>0</v>
      </c>
      <c r="F481" s="14">
        <v>0</v>
      </c>
      <c r="G481" s="14">
        <v>0</v>
      </c>
      <c r="H481" s="14" t="s">
        <v>415</v>
      </c>
      <c r="I481" s="15" t="s">
        <v>415</v>
      </c>
      <c r="J481" s="14">
        <v>0</v>
      </c>
      <c r="K481">
        <v>0</v>
      </c>
      <c r="L481">
        <v>0</v>
      </c>
      <c r="M481">
        <v>0</v>
      </c>
      <c r="N481" s="10">
        <v>0</v>
      </c>
    </row>
    <row r="482" spans="2:14" ht="33" customHeight="1" x14ac:dyDescent="0.3">
      <c r="B482" s="14">
        <v>0</v>
      </c>
      <c r="C482" s="14">
        <v>0</v>
      </c>
      <c r="D482" s="14">
        <v>0</v>
      </c>
      <c r="E482" s="14">
        <v>0</v>
      </c>
      <c r="F482" s="14">
        <v>0</v>
      </c>
      <c r="G482" s="14">
        <v>0</v>
      </c>
      <c r="H482" s="14" t="s">
        <v>415</v>
      </c>
      <c r="I482" s="15" t="s">
        <v>415</v>
      </c>
      <c r="J482" s="14">
        <v>0</v>
      </c>
      <c r="K482">
        <v>0</v>
      </c>
      <c r="L482">
        <v>0</v>
      </c>
      <c r="M482">
        <v>0</v>
      </c>
      <c r="N482" s="10">
        <v>0</v>
      </c>
    </row>
    <row r="483" spans="2:14" ht="33" customHeight="1" x14ac:dyDescent="0.3">
      <c r="B483" s="14">
        <v>0</v>
      </c>
      <c r="C483" s="14">
        <v>0</v>
      </c>
      <c r="D483" s="14">
        <v>0</v>
      </c>
      <c r="E483" s="14">
        <v>0</v>
      </c>
      <c r="F483" s="14">
        <v>0</v>
      </c>
      <c r="G483" s="14">
        <v>0</v>
      </c>
      <c r="H483" s="14" t="s">
        <v>415</v>
      </c>
      <c r="I483" s="15" t="s">
        <v>415</v>
      </c>
      <c r="J483" s="14">
        <v>0</v>
      </c>
      <c r="K483">
        <v>0</v>
      </c>
      <c r="L483">
        <v>0</v>
      </c>
      <c r="M483">
        <v>0</v>
      </c>
      <c r="N483" s="10">
        <v>0</v>
      </c>
    </row>
    <row r="484" spans="2:14" ht="33" customHeight="1" x14ac:dyDescent="0.3">
      <c r="B484" s="14">
        <v>0</v>
      </c>
      <c r="C484" s="14">
        <v>0</v>
      </c>
      <c r="D484" s="14">
        <v>0</v>
      </c>
      <c r="E484" s="14">
        <v>0</v>
      </c>
      <c r="F484" s="14">
        <v>0</v>
      </c>
      <c r="G484" s="14">
        <v>0</v>
      </c>
      <c r="H484" s="14" t="s">
        <v>415</v>
      </c>
      <c r="I484" s="15" t="s">
        <v>415</v>
      </c>
      <c r="J484" s="14">
        <v>0</v>
      </c>
      <c r="K484">
        <v>0</v>
      </c>
      <c r="L484">
        <v>0</v>
      </c>
      <c r="M484">
        <v>0</v>
      </c>
      <c r="N484" s="10">
        <v>0</v>
      </c>
    </row>
    <row r="485" spans="2:14" ht="33" customHeight="1" x14ac:dyDescent="0.3">
      <c r="B485" s="14">
        <v>0</v>
      </c>
      <c r="C485" s="14">
        <v>0</v>
      </c>
      <c r="D485" s="14">
        <v>0</v>
      </c>
      <c r="E485" s="14">
        <v>0</v>
      </c>
      <c r="F485" s="14">
        <v>0</v>
      </c>
      <c r="G485" s="14">
        <v>0</v>
      </c>
      <c r="H485" s="14" t="s">
        <v>415</v>
      </c>
      <c r="I485" s="15" t="s">
        <v>415</v>
      </c>
      <c r="J485" s="14">
        <v>0</v>
      </c>
      <c r="K485">
        <v>0</v>
      </c>
      <c r="L485">
        <v>0</v>
      </c>
      <c r="M485">
        <v>0</v>
      </c>
      <c r="N485" s="10">
        <v>0</v>
      </c>
    </row>
    <row r="486" spans="2:14" ht="33" customHeight="1" x14ac:dyDescent="0.3">
      <c r="B486" s="14">
        <v>0</v>
      </c>
      <c r="C486" s="14">
        <v>0</v>
      </c>
      <c r="D486" s="14">
        <v>0</v>
      </c>
      <c r="E486" s="14">
        <v>0</v>
      </c>
      <c r="F486" s="14">
        <v>0</v>
      </c>
      <c r="G486" s="14">
        <v>0</v>
      </c>
      <c r="H486" s="14" t="s">
        <v>415</v>
      </c>
      <c r="I486" s="15" t="s">
        <v>415</v>
      </c>
      <c r="J486" s="14">
        <v>0</v>
      </c>
      <c r="K486">
        <v>0</v>
      </c>
      <c r="L486">
        <v>0</v>
      </c>
      <c r="M486">
        <v>0</v>
      </c>
      <c r="N486" s="10">
        <v>0</v>
      </c>
    </row>
    <row r="487" spans="2:14" ht="33" customHeight="1" x14ac:dyDescent="0.3">
      <c r="B487" s="14">
        <v>0</v>
      </c>
      <c r="C487" s="14">
        <v>0</v>
      </c>
      <c r="D487" s="14">
        <v>0</v>
      </c>
      <c r="E487" s="14">
        <v>0</v>
      </c>
      <c r="F487" s="14">
        <v>0</v>
      </c>
      <c r="G487" s="14">
        <v>0</v>
      </c>
      <c r="H487" s="14" t="s">
        <v>415</v>
      </c>
      <c r="I487" s="15" t="s">
        <v>415</v>
      </c>
      <c r="J487" s="14">
        <v>0</v>
      </c>
      <c r="K487">
        <v>0</v>
      </c>
      <c r="L487">
        <v>0</v>
      </c>
      <c r="M487">
        <v>0</v>
      </c>
      <c r="N487" s="10">
        <v>0</v>
      </c>
    </row>
    <row r="488" spans="2:14" ht="33" customHeight="1" x14ac:dyDescent="0.3">
      <c r="B488" s="14">
        <v>0</v>
      </c>
      <c r="C488" s="14">
        <v>0</v>
      </c>
      <c r="D488" s="14">
        <v>0</v>
      </c>
      <c r="E488" s="14">
        <v>0</v>
      </c>
      <c r="F488" s="14">
        <v>0</v>
      </c>
      <c r="G488" s="14">
        <v>0</v>
      </c>
      <c r="H488" s="14" t="s">
        <v>415</v>
      </c>
      <c r="I488" s="15" t="s">
        <v>415</v>
      </c>
      <c r="J488" s="14">
        <v>0</v>
      </c>
      <c r="K488">
        <v>0</v>
      </c>
      <c r="L488">
        <v>0</v>
      </c>
      <c r="M488">
        <v>0</v>
      </c>
      <c r="N488" s="10">
        <v>0</v>
      </c>
    </row>
    <row r="489" spans="2:14" ht="33" customHeight="1" x14ac:dyDescent="0.3">
      <c r="B489" s="14">
        <v>0</v>
      </c>
      <c r="C489" s="14">
        <v>0</v>
      </c>
      <c r="D489" s="14">
        <v>0</v>
      </c>
      <c r="E489" s="14">
        <v>0</v>
      </c>
      <c r="F489" s="14">
        <v>0</v>
      </c>
      <c r="G489" s="14">
        <v>0</v>
      </c>
      <c r="H489" s="14" t="s">
        <v>415</v>
      </c>
      <c r="I489" s="15" t="s">
        <v>415</v>
      </c>
      <c r="J489" s="14">
        <v>0</v>
      </c>
      <c r="K489">
        <v>0</v>
      </c>
      <c r="L489">
        <v>0</v>
      </c>
      <c r="M489">
        <v>0</v>
      </c>
      <c r="N489" s="10">
        <v>0</v>
      </c>
    </row>
    <row r="490" spans="2:14" ht="33" customHeight="1" x14ac:dyDescent="0.3">
      <c r="B490" s="14">
        <v>0</v>
      </c>
      <c r="C490" s="14">
        <v>0</v>
      </c>
      <c r="D490" s="14">
        <v>0</v>
      </c>
      <c r="E490" s="14">
        <v>0</v>
      </c>
      <c r="F490" s="14">
        <v>0</v>
      </c>
      <c r="G490" s="14">
        <v>0</v>
      </c>
      <c r="H490" s="14" t="s">
        <v>415</v>
      </c>
      <c r="I490" s="15" t="s">
        <v>415</v>
      </c>
      <c r="J490" s="14">
        <v>0</v>
      </c>
      <c r="K490">
        <v>0</v>
      </c>
      <c r="L490">
        <v>0</v>
      </c>
      <c r="M490">
        <v>0</v>
      </c>
      <c r="N490" s="10">
        <v>0</v>
      </c>
    </row>
    <row r="491" spans="2:14" ht="33" customHeight="1" x14ac:dyDescent="0.3">
      <c r="B491" s="14">
        <v>0</v>
      </c>
      <c r="C491" s="14">
        <v>0</v>
      </c>
      <c r="D491" s="14">
        <v>0</v>
      </c>
      <c r="E491" s="14">
        <v>0</v>
      </c>
      <c r="F491" s="14">
        <v>0</v>
      </c>
      <c r="G491" s="14">
        <v>0</v>
      </c>
      <c r="H491" s="14" t="s">
        <v>415</v>
      </c>
      <c r="I491" s="15" t="s">
        <v>415</v>
      </c>
      <c r="J491" s="14">
        <v>0</v>
      </c>
      <c r="K491">
        <v>0</v>
      </c>
      <c r="L491">
        <v>0</v>
      </c>
      <c r="M491">
        <v>0</v>
      </c>
      <c r="N491" s="10">
        <v>0</v>
      </c>
    </row>
    <row r="492" spans="2:14" ht="33" customHeight="1" x14ac:dyDescent="0.3">
      <c r="B492" s="14">
        <v>0</v>
      </c>
      <c r="C492" s="14">
        <v>0</v>
      </c>
      <c r="D492" s="14">
        <v>0</v>
      </c>
      <c r="E492" s="14">
        <v>0</v>
      </c>
      <c r="F492" s="14">
        <v>0</v>
      </c>
      <c r="G492" s="14">
        <v>0</v>
      </c>
      <c r="H492" s="14" t="s">
        <v>415</v>
      </c>
      <c r="I492" s="15" t="s">
        <v>415</v>
      </c>
      <c r="J492" s="14">
        <v>0</v>
      </c>
      <c r="K492">
        <v>0</v>
      </c>
      <c r="L492">
        <v>0</v>
      </c>
      <c r="M492">
        <v>0</v>
      </c>
      <c r="N492" s="10">
        <v>0</v>
      </c>
    </row>
    <row r="493" spans="2:14" ht="33" customHeight="1" x14ac:dyDescent="0.3">
      <c r="B493" s="14">
        <v>0</v>
      </c>
      <c r="C493" s="14">
        <v>0</v>
      </c>
      <c r="D493" s="14">
        <v>0</v>
      </c>
      <c r="E493" s="14">
        <v>0</v>
      </c>
      <c r="F493" s="14">
        <v>0</v>
      </c>
      <c r="G493" s="14">
        <v>0</v>
      </c>
      <c r="H493" s="14" t="s">
        <v>415</v>
      </c>
      <c r="I493" s="15" t="s">
        <v>415</v>
      </c>
      <c r="J493" s="14">
        <v>0</v>
      </c>
      <c r="K493">
        <v>0</v>
      </c>
      <c r="L493">
        <v>0</v>
      </c>
      <c r="M493">
        <v>0</v>
      </c>
      <c r="N493" s="10">
        <v>0</v>
      </c>
    </row>
    <row r="494" spans="2:14" ht="33" customHeight="1" x14ac:dyDescent="0.3">
      <c r="B494" s="14">
        <v>0</v>
      </c>
      <c r="C494" s="14">
        <v>0</v>
      </c>
      <c r="D494" s="14">
        <v>0</v>
      </c>
      <c r="E494" s="14">
        <v>0</v>
      </c>
      <c r="F494" s="14">
        <v>0</v>
      </c>
      <c r="G494" s="14">
        <v>0</v>
      </c>
      <c r="H494" s="14" t="s">
        <v>415</v>
      </c>
      <c r="I494" s="15" t="s">
        <v>415</v>
      </c>
      <c r="J494" s="14">
        <v>0</v>
      </c>
      <c r="K494">
        <v>0</v>
      </c>
      <c r="L494">
        <v>0</v>
      </c>
      <c r="M494">
        <v>0</v>
      </c>
      <c r="N494" s="10">
        <v>0</v>
      </c>
    </row>
    <row r="495" spans="2:14" ht="33" customHeight="1" x14ac:dyDescent="0.3">
      <c r="B495" s="14">
        <v>0</v>
      </c>
      <c r="C495" s="14">
        <v>0</v>
      </c>
      <c r="D495" s="14">
        <v>0</v>
      </c>
      <c r="E495" s="14">
        <v>0</v>
      </c>
      <c r="F495" s="14">
        <v>0</v>
      </c>
      <c r="G495" s="14">
        <v>0</v>
      </c>
      <c r="H495" s="14" t="s">
        <v>415</v>
      </c>
      <c r="I495" s="15" t="s">
        <v>415</v>
      </c>
      <c r="J495" s="14">
        <v>0</v>
      </c>
      <c r="K495">
        <v>0</v>
      </c>
      <c r="L495">
        <v>0</v>
      </c>
      <c r="M495">
        <v>0</v>
      </c>
      <c r="N495" s="10">
        <v>0</v>
      </c>
    </row>
    <row r="496" spans="2:14" ht="33" customHeight="1" x14ac:dyDescent="0.3">
      <c r="B496" s="14">
        <v>0</v>
      </c>
      <c r="C496" s="14">
        <v>0</v>
      </c>
      <c r="D496" s="14">
        <v>0</v>
      </c>
      <c r="E496" s="14">
        <v>0</v>
      </c>
      <c r="F496" s="14">
        <v>0</v>
      </c>
      <c r="G496" s="14">
        <v>0</v>
      </c>
      <c r="H496" s="14" t="s">
        <v>415</v>
      </c>
      <c r="I496" s="15" t="s">
        <v>415</v>
      </c>
      <c r="J496" s="14">
        <v>0</v>
      </c>
      <c r="K496">
        <v>0</v>
      </c>
      <c r="L496">
        <v>0</v>
      </c>
      <c r="M496">
        <v>0</v>
      </c>
      <c r="N496" s="10">
        <v>0</v>
      </c>
    </row>
    <row r="497" spans="2:14" ht="33" customHeight="1" x14ac:dyDescent="0.3">
      <c r="B497" s="14">
        <v>0</v>
      </c>
      <c r="C497" s="14">
        <v>0</v>
      </c>
      <c r="D497" s="14">
        <v>0</v>
      </c>
      <c r="E497" s="14">
        <v>0</v>
      </c>
      <c r="F497" s="14">
        <v>0</v>
      </c>
      <c r="G497" s="14">
        <v>0</v>
      </c>
      <c r="H497" s="14" t="s">
        <v>415</v>
      </c>
      <c r="I497" s="15" t="s">
        <v>415</v>
      </c>
      <c r="J497" s="14">
        <v>0</v>
      </c>
      <c r="K497">
        <v>0</v>
      </c>
      <c r="L497">
        <v>0</v>
      </c>
      <c r="M497">
        <v>0</v>
      </c>
      <c r="N497" s="10">
        <v>0</v>
      </c>
    </row>
    <row r="498" spans="2:14" ht="33" customHeight="1" x14ac:dyDescent="0.3">
      <c r="B498" s="14">
        <v>0</v>
      </c>
      <c r="C498" s="14">
        <v>0</v>
      </c>
      <c r="D498" s="14">
        <v>0</v>
      </c>
      <c r="E498" s="14">
        <v>0</v>
      </c>
      <c r="F498" s="14">
        <v>0</v>
      </c>
      <c r="G498" s="14">
        <v>0</v>
      </c>
      <c r="H498" s="14" t="s">
        <v>415</v>
      </c>
      <c r="I498" s="15" t="s">
        <v>415</v>
      </c>
      <c r="J498" s="14">
        <v>0</v>
      </c>
      <c r="K498">
        <v>0</v>
      </c>
      <c r="L498">
        <v>0</v>
      </c>
      <c r="M498">
        <v>0</v>
      </c>
      <c r="N498" s="10">
        <v>0</v>
      </c>
    </row>
    <row r="499" spans="2:14" ht="33" customHeight="1" x14ac:dyDescent="0.3">
      <c r="B499" s="14">
        <v>0</v>
      </c>
      <c r="C499" s="14">
        <v>0</v>
      </c>
      <c r="D499" s="14">
        <v>0</v>
      </c>
      <c r="E499" s="14">
        <v>0</v>
      </c>
      <c r="F499" s="14">
        <v>0</v>
      </c>
      <c r="G499" s="14">
        <v>0</v>
      </c>
      <c r="H499" s="14" t="s">
        <v>415</v>
      </c>
      <c r="I499" s="15" t="s">
        <v>415</v>
      </c>
      <c r="J499" s="14">
        <v>0</v>
      </c>
      <c r="K499">
        <v>0</v>
      </c>
      <c r="L499">
        <v>0</v>
      </c>
      <c r="M499">
        <v>0</v>
      </c>
      <c r="N499" s="10">
        <v>0</v>
      </c>
    </row>
    <row r="500" spans="2:14" ht="33" customHeight="1" x14ac:dyDescent="0.3">
      <c r="B500" s="14">
        <v>0</v>
      </c>
      <c r="C500" s="14">
        <v>0</v>
      </c>
      <c r="D500" s="14">
        <v>0</v>
      </c>
      <c r="E500" s="14">
        <v>0</v>
      </c>
      <c r="F500" s="14">
        <v>0</v>
      </c>
      <c r="G500" s="14">
        <v>0</v>
      </c>
      <c r="H500" s="14" t="s">
        <v>415</v>
      </c>
      <c r="I500" s="15" t="s">
        <v>415</v>
      </c>
      <c r="J500" s="14">
        <v>0</v>
      </c>
      <c r="K500">
        <v>0</v>
      </c>
      <c r="L500">
        <v>0</v>
      </c>
      <c r="M500">
        <v>0</v>
      </c>
      <c r="N500" s="10">
        <v>0</v>
      </c>
    </row>
    <row r="501" spans="2:14" ht="33" customHeight="1" x14ac:dyDescent="0.3">
      <c r="B501" s="14">
        <v>0</v>
      </c>
      <c r="C501" s="14">
        <v>0</v>
      </c>
      <c r="D501" s="14">
        <v>0</v>
      </c>
      <c r="E501" s="14">
        <v>0</v>
      </c>
      <c r="F501" s="14">
        <v>0</v>
      </c>
      <c r="G501" s="14">
        <v>0</v>
      </c>
      <c r="H501" s="14" t="s">
        <v>415</v>
      </c>
      <c r="I501" s="15" t="s">
        <v>415</v>
      </c>
      <c r="J501" s="14">
        <v>0</v>
      </c>
      <c r="K501">
        <v>0</v>
      </c>
      <c r="L501">
        <v>0</v>
      </c>
      <c r="M501">
        <v>0</v>
      </c>
      <c r="N501" s="10">
        <v>0</v>
      </c>
    </row>
    <row r="502" spans="2:14" ht="33" customHeight="1" x14ac:dyDescent="0.3">
      <c r="B502" s="14">
        <v>0</v>
      </c>
      <c r="C502" s="14">
        <v>0</v>
      </c>
      <c r="D502" s="14">
        <v>0</v>
      </c>
      <c r="E502" s="14">
        <v>0</v>
      </c>
      <c r="F502" s="14">
        <v>0</v>
      </c>
      <c r="G502" s="14">
        <v>0</v>
      </c>
      <c r="H502" s="14" t="s">
        <v>415</v>
      </c>
      <c r="I502" s="15" t="s">
        <v>415</v>
      </c>
      <c r="J502" s="14">
        <v>0</v>
      </c>
      <c r="K502">
        <v>0</v>
      </c>
      <c r="L502">
        <v>0</v>
      </c>
      <c r="M502">
        <v>0</v>
      </c>
      <c r="N502" s="10">
        <v>0</v>
      </c>
    </row>
    <row r="503" spans="2:14" ht="33" customHeight="1" x14ac:dyDescent="0.3">
      <c r="B503" s="14">
        <v>0</v>
      </c>
      <c r="C503" s="14">
        <v>0</v>
      </c>
      <c r="D503" s="14">
        <v>0</v>
      </c>
      <c r="E503" s="14">
        <v>0</v>
      </c>
      <c r="F503" s="14">
        <v>0</v>
      </c>
      <c r="G503" s="14">
        <v>0</v>
      </c>
      <c r="H503" s="14" t="s">
        <v>415</v>
      </c>
      <c r="I503" s="15" t="s">
        <v>415</v>
      </c>
      <c r="J503" s="14">
        <v>0</v>
      </c>
      <c r="K503">
        <v>0</v>
      </c>
      <c r="L503">
        <v>0</v>
      </c>
      <c r="M503">
        <v>0</v>
      </c>
      <c r="N503" s="10">
        <v>0</v>
      </c>
    </row>
    <row r="504" spans="2:14" ht="33" customHeight="1" x14ac:dyDescent="0.3">
      <c r="B504" s="14">
        <v>0</v>
      </c>
      <c r="C504" s="14">
        <v>0</v>
      </c>
      <c r="D504" s="14">
        <v>0</v>
      </c>
      <c r="E504" s="14">
        <v>0</v>
      </c>
      <c r="F504" s="14">
        <v>0</v>
      </c>
      <c r="G504" s="14">
        <v>0</v>
      </c>
      <c r="H504" s="14" t="s">
        <v>415</v>
      </c>
      <c r="I504" s="15" t="s">
        <v>415</v>
      </c>
      <c r="J504" s="14">
        <v>0</v>
      </c>
      <c r="K504">
        <v>0</v>
      </c>
      <c r="L504">
        <v>0</v>
      </c>
      <c r="M504">
        <v>0</v>
      </c>
      <c r="N504" s="10">
        <v>0</v>
      </c>
    </row>
    <row r="505" spans="2:14" ht="33" customHeight="1" x14ac:dyDescent="0.3">
      <c r="B505" s="14">
        <v>0</v>
      </c>
      <c r="C505" s="14">
        <v>0</v>
      </c>
      <c r="D505" s="14">
        <v>0</v>
      </c>
      <c r="E505" s="14">
        <v>0</v>
      </c>
      <c r="F505" s="14">
        <v>0</v>
      </c>
      <c r="G505" s="14">
        <v>0</v>
      </c>
      <c r="H505" s="14" t="s">
        <v>415</v>
      </c>
      <c r="I505" s="15" t="s">
        <v>415</v>
      </c>
      <c r="J505" s="14">
        <v>0</v>
      </c>
      <c r="K505">
        <v>0</v>
      </c>
      <c r="L505">
        <v>0</v>
      </c>
      <c r="M505">
        <v>0</v>
      </c>
      <c r="N505" s="10">
        <v>0</v>
      </c>
    </row>
    <row r="506" spans="2:14" ht="33" customHeight="1" x14ac:dyDescent="0.3">
      <c r="B506" s="14">
        <v>0</v>
      </c>
      <c r="C506" s="14">
        <v>0</v>
      </c>
      <c r="D506" s="14">
        <v>0</v>
      </c>
      <c r="E506" s="14">
        <v>0</v>
      </c>
      <c r="F506" s="14">
        <v>0</v>
      </c>
      <c r="G506" s="14">
        <v>0</v>
      </c>
      <c r="H506" s="14" t="s">
        <v>415</v>
      </c>
      <c r="I506" s="15" t="s">
        <v>415</v>
      </c>
      <c r="J506" s="14">
        <v>0</v>
      </c>
      <c r="K506">
        <v>0</v>
      </c>
      <c r="L506">
        <v>0</v>
      </c>
      <c r="M506">
        <v>0</v>
      </c>
      <c r="N506" s="10">
        <v>0</v>
      </c>
    </row>
    <row r="507" spans="2:14" ht="33" customHeight="1" x14ac:dyDescent="0.3">
      <c r="B507" s="14">
        <v>0</v>
      </c>
      <c r="C507" s="14">
        <v>0</v>
      </c>
      <c r="D507" s="14">
        <v>0</v>
      </c>
      <c r="E507" s="14">
        <v>0</v>
      </c>
      <c r="F507" s="14">
        <v>0</v>
      </c>
      <c r="G507" s="14">
        <v>0</v>
      </c>
      <c r="H507" s="14" t="s">
        <v>415</v>
      </c>
      <c r="I507" s="15" t="s">
        <v>415</v>
      </c>
      <c r="J507" s="14">
        <v>0</v>
      </c>
      <c r="K507">
        <v>0</v>
      </c>
      <c r="L507">
        <v>0</v>
      </c>
      <c r="M507">
        <v>0</v>
      </c>
      <c r="N507" s="10">
        <v>0</v>
      </c>
    </row>
    <row r="508" spans="2:14" ht="33" customHeight="1" x14ac:dyDescent="0.3">
      <c r="B508" s="14">
        <v>0</v>
      </c>
      <c r="C508" s="14">
        <v>0</v>
      </c>
      <c r="D508" s="14">
        <v>0</v>
      </c>
      <c r="E508" s="14">
        <v>0</v>
      </c>
      <c r="F508" s="14">
        <v>0</v>
      </c>
      <c r="G508" s="14">
        <v>0</v>
      </c>
      <c r="H508" s="14" t="s">
        <v>415</v>
      </c>
      <c r="I508" s="15" t="s">
        <v>415</v>
      </c>
      <c r="J508" s="14">
        <v>0</v>
      </c>
      <c r="K508">
        <v>0</v>
      </c>
      <c r="L508">
        <v>0</v>
      </c>
      <c r="M508">
        <v>0</v>
      </c>
      <c r="N508" s="10">
        <v>0</v>
      </c>
    </row>
    <row r="509" spans="2:14" ht="33" customHeight="1" x14ac:dyDescent="0.3">
      <c r="B509" s="14">
        <v>0</v>
      </c>
      <c r="C509" s="14">
        <v>0</v>
      </c>
      <c r="D509" s="14">
        <v>0</v>
      </c>
      <c r="E509" s="14">
        <v>0</v>
      </c>
      <c r="F509" s="14">
        <v>0</v>
      </c>
      <c r="G509" s="14">
        <v>0</v>
      </c>
      <c r="H509" s="14" t="s">
        <v>415</v>
      </c>
      <c r="I509" s="15" t="s">
        <v>415</v>
      </c>
      <c r="J509" s="14">
        <v>0</v>
      </c>
      <c r="K509">
        <v>0</v>
      </c>
      <c r="L509">
        <v>0</v>
      </c>
      <c r="M509">
        <v>0</v>
      </c>
      <c r="N509" s="10">
        <v>0</v>
      </c>
    </row>
    <row r="510" spans="2:14" ht="33" customHeight="1" x14ac:dyDescent="0.3">
      <c r="B510" s="14">
        <v>0</v>
      </c>
      <c r="C510" s="14">
        <v>0</v>
      </c>
      <c r="D510" s="14">
        <v>0</v>
      </c>
      <c r="E510" s="14">
        <v>0</v>
      </c>
      <c r="F510" s="14">
        <v>0</v>
      </c>
      <c r="G510" s="14">
        <v>0</v>
      </c>
      <c r="H510" s="14" t="s">
        <v>415</v>
      </c>
      <c r="I510" s="15" t="s">
        <v>415</v>
      </c>
      <c r="J510" s="14">
        <v>0</v>
      </c>
      <c r="K510">
        <v>0</v>
      </c>
      <c r="L510">
        <v>0</v>
      </c>
      <c r="M510">
        <v>0</v>
      </c>
      <c r="N510" s="10">
        <v>0</v>
      </c>
    </row>
    <row r="511" spans="2:14" ht="33" customHeight="1" x14ac:dyDescent="0.3">
      <c r="B511" s="14">
        <v>0</v>
      </c>
      <c r="C511" s="14">
        <v>0</v>
      </c>
      <c r="D511" s="14">
        <v>0</v>
      </c>
      <c r="E511" s="14">
        <v>0</v>
      </c>
      <c r="F511" s="14">
        <v>0</v>
      </c>
      <c r="G511" s="14">
        <v>0</v>
      </c>
      <c r="H511" s="14" t="s">
        <v>415</v>
      </c>
      <c r="I511" s="15" t="s">
        <v>415</v>
      </c>
      <c r="J511" s="14">
        <v>0</v>
      </c>
      <c r="K511">
        <v>0</v>
      </c>
      <c r="L511">
        <v>0</v>
      </c>
      <c r="M511">
        <v>0</v>
      </c>
      <c r="N511" s="10">
        <v>0</v>
      </c>
    </row>
    <row r="512" spans="2:14" ht="33" customHeight="1" x14ac:dyDescent="0.3">
      <c r="B512" s="14">
        <v>0</v>
      </c>
      <c r="C512" s="14">
        <v>0</v>
      </c>
      <c r="D512" s="14">
        <v>0</v>
      </c>
      <c r="E512" s="14">
        <v>0</v>
      </c>
      <c r="F512" s="14">
        <v>0</v>
      </c>
      <c r="G512" s="14">
        <v>0</v>
      </c>
      <c r="H512" s="14" t="s">
        <v>415</v>
      </c>
      <c r="I512" s="15" t="s">
        <v>415</v>
      </c>
      <c r="J512" s="14">
        <v>0</v>
      </c>
      <c r="K512">
        <v>0</v>
      </c>
      <c r="L512">
        <v>0</v>
      </c>
      <c r="M512">
        <v>0</v>
      </c>
      <c r="N512" s="10">
        <v>0</v>
      </c>
    </row>
    <row r="513" spans="2:14" ht="33" customHeight="1" x14ac:dyDescent="0.3">
      <c r="B513" s="14">
        <v>0</v>
      </c>
      <c r="C513" s="14">
        <v>0</v>
      </c>
      <c r="D513" s="14">
        <v>0</v>
      </c>
      <c r="E513" s="14">
        <v>0</v>
      </c>
      <c r="F513" s="14">
        <v>0</v>
      </c>
      <c r="G513" s="14">
        <v>0</v>
      </c>
      <c r="H513" s="14" t="s">
        <v>415</v>
      </c>
      <c r="I513" s="15" t="s">
        <v>415</v>
      </c>
      <c r="J513" s="14">
        <v>0</v>
      </c>
      <c r="K513">
        <v>0</v>
      </c>
      <c r="L513">
        <v>0</v>
      </c>
      <c r="M513">
        <v>0</v>
      </c>
      <c r="N513" s="10">
        <v>0</v>
      </c>
    </row>
    <row r="514" spans="2:14" ht="33" customHeight="1" x14ac:dyDescent="0.3">
      <c r="B514" s="14">
        <v>0</v>
      </c>
      <c r="C514" s="14">
        <v>0</v>
      </c>
      <c r="D514" s="14">
        <v>0</v>
      </c>
      <c r="E514" s="14">
        <v>0</v>
      </c>
      <c r="F514" s="14">
        <v>0</v>
      </c>
      <c r="G514" s="14">
        <v>0</v>
      </c>
      <c r="H514" s="14" t="s">
        <v>415</v>
      </c>
      <c r="I514" s="15" t="s">
        <v>415</v>
      </c>
      <c r="J514" s="14">
        <v>0</v>
      </c>
      <c r="K514">
        <v>0</v>
      </c>
      <c r="L514">
        <v>0</v>
      </c>
      <c r="M514">
        <v>0</v>
      </c>
      <c r="N514" s="10">
        <v>0</v>
      </c>
    </row>
    <row r="515" spans="2:14" ht="33" customHeight="1" x14ac:dyDescent="0.3">
      <c r="B515" s="14">
        <v>0</v>
      </c>
      <c r="C515" s="14">
        <v>0</v>
      </c>
      <c r="D515" s="14">
        <v>0</v>
      </c>
      <c r="E515" s="14">
        <v>0</v>
      </c>
      <c r="F515" s="14">
        <v>0</v>
      </c>
      <c r="G515" s="14">
        <v>0</v>
      </c>
      <c r="H515" s="14" t="s">
        <v>415</v>
      </c>
      <c r="I515" s="15" t="s">
        <v>415</v>
      </c>
      <c r="J515" s="14">
        <v>0</v>
      </c>
      <c r="K515">
        <v>0</v>
      </c>
      <c r="L515">
        <v>0</v>
      </c>
      <c r="M515">
        <v>0</v>
      </c>
      <c r="N515" s="10">
        <v>0</v>
      </c>
    </row>
    <row r="516" spans="2:14" ht="33" customHeight="1" x14ac:dyDescent="0.3">
      <c r="B516" s="14">
        <v>0</v>
      </c>
      <c r="C516" s="14">
        <v>0</v>
      </c>
      <c r="D516" s="14">
        <v>0</v>
      </c>
      <c r="E516" s="14">
        <v>0</v>
      </c>
      <c r="F516" s="14">
        <v>0</v>
      </c>
      <c r="G516" s="14">
        <v>0</v>
      </c>
      <c r="H516" s="14" t="s">
        <v>415</v>
      </c>
      <c r="I516" s="15" t="s">
        <v>415</v>
      </c>
      <c r="J516" s="14">
        <v>0</v>
      </c>
      <c r="K516">
        <v>0</v>
      </c>
      <c r="L516">
        <v>0</v>
      </c>
      <c r="M516">
        <v>0</v>
      </c>
      <c r="N516" s="10">
        <v>0</v>
      </c>
    </row>
    <row r="517" spans="2:14" ht="33" customHeight="1" x14ac:dyDescent="0.3">
      <c r="B517" s="14">
        <v>0</v>
      </c>
      <c r="C517" s="14">
        <v>0</v>
      </c>
      <c r="D517" s="14">
        <v>0</v>
      </c>
      <c r="E517" s="14">
        <v>0</v>
      </c>
      <c r="F517" s="14">
        <v>0</v>
      </c>
      <c r="G517" s="14">
        <v>0</v>
      </c>
      <c r="H517" s="14" t="s">
        <v>415</v>
      </c>
      <c r="I517" s="15" t="s">
        <v>415</v>
      </c>
      <c r="J517" s="14">
        <v>0</v>
      </c>
      <c r="K517">
        <v>0</v>
      </c>
      <c r="L517">
        <v>0</v>
      </c>
      <c r="M517">
        <v>0</v>
      </c>
      <c r="N517" s="10">
        <v>0</v>
      </c>
    </row>
    <row r="518" spans="2:14" ht="33" customHeight="1" x14ac:dyDescent="0.3">
      <c r="B518" s="14">
        <v>0</v>
      </c>
      <c r="C518" s="14">
        <v>0</v>
      </c>
      <c r="D518" s="14">
        <v>0</v>
      </c>
      <c r="E518" s="14">
        <v>0</v>
      </c>
      <c r="F518" s="14">
        <v>0</v>
      </c>
      <c r="G518" s="14">
        <v>0</v>
      </c>
      <c r="H518" s="14" t="s">
        <v>415</v>
      </c>
      <c r="I518" s="15" t="s">
        <v>415</v>
      </c>
      <c r="J518" s="14">
        <v>0</v>
      </c>
      <c r="K518">
        <v>0</v>
      </c>
      <c r="L518">
        <v>0</v>
      </c>
      <c r="M518">
        <v>0</v>
      </c>
      <c r="N518" s="10">
        <v>0</v>
      </c>
    </row>
    <row r="519" spans="2:14" ht="33" customHeight="1" x14ac:dyDescent="0.3">
      <c r="B519" s="14">
        <v>0</v>
      </c>
      <c r="C519" s="14">
        <v>0</v>
      </c>
      <c r="D519" s="14">
        <v>0</v>
      </c>
      <c r="E519" s="14">
        <v>0</v>
      </c>
      <c r="F519" s="14">
        <v>0</v>
      </c>
      <c r="G519" s="14">
        <v>0</v>
      </c>
      <c r="H519" s="14" t="s">
        <v>415</v>
      </c>
      <c r="I519" s="15" t="s">
        <v>415</v>
      </c>
      <c r="J519" s="14">
        <v>0</v>
      </c>
      <c r="K519">
        <v>0</v>
      </c>
      <c r="L519">
        <v>0</v>
      </c>
      <c r="M519">
        <v>0</v>
      </c>
      <c r="N519" s="10">
        <v>0</v>
      </c>
    </row>
    <row r="520" spans="2:14" ht="33" customHeight="1" x14ac:dyDescent="0.3">
      <c r="B520" s="14">
        <v>0</v>
      </c>
      <c r="C520" s="14">
        <v>0</v>
      </c>
      <c r="D520" s="14">
        <v>0</v>
      </c>
      <c r="E520" s="14">
        <v>0</v>
      </c>
      <c r="F520" s="14">
        <v>0</v>
      </c>
      <c r="G520" s="14">
        <v>0</v>
      </c>
      <c r="H520" s="14" t="s">
        <v>415</v>
      </c>
      <c r="I520" s="15" t="s">
        <v>415</v>
      </c>
      <c r="J520" s="14">
        <v>0</v>
      </c>
      <c r="K520">
        <v>0</v>
      </c>
      <c r="L520">
        <v>0</v>
      </c>
      <c r="M520">
        <v>0</v>
      </c>
      <c r="N520" s="10">
        <v>0</v>
      </c>
    </row>
    <row r="521" spans="2:14" ht="33" customHeight="1" x14ac:dyDescent="0.3">
      <c r="B521" s="14">
        <v>0</v>
      </c>
      <c r="C521" s="14">
        <v>0</v>
      </c>
      <c r="D521" s="14">
        <v>0</v>
      </c>
      <c r="E521" s="14">
        <v>0</v>
      </c>
      <c r="F521" s="14">
        <v>0</v>
      </c>
      <c r="G521" s="14">
        <v>0</v>
      </c>
      <c r="H521" s="14" t="s">
        <v>415</v>
      </c>
      <c r="I521" s="15" t="s">
        <v>415</v>
      </c>
      <c r="J521" s="14">
        <v>0</v>
      </c>
      <c r="K521">
        <v>0</v>
      </c>
      <c r="L521">
        <v>0</v>
      </c>
      <c r="M521">
        <v>0</v>
      </c>
      <c r="N521" s="10">
        <v>0</v>
      </c>
    </row>
    <row r="522" spans="2:14" ht="33" customHeight="1" x14ac:dyDescent="0.3">
      <c r="B522" s="14">
        <v>0</v>
      </c>
      <c r="C522" s="14">
        <v>0</v>
      </c>
      <c r="D522" s="14">
        <v>0</v>
      </c>
      <c r="E522" s="14">
        <v>0</v>
      </c>
      <c r="F522" s="14">
        <v>0</v>
      </c>
      <c r="G522" s="14">
        <v>0</v>
      </c>
      <c r="H522" s="14" t="s">
        <v>415</v>
      </c>
      <c r="I522" s="15" t="s">
        <v>415</v>
      </c>
      <c r="J522" s="14">
        <v>0</v>
      </c>
      <c r="K522">
        <v>0</v>
      </c>
      <c r="L522">
        <v>0</v>
      </c>
      <c r="M522">
        <v>0</v>
      </c>
      <c r="N522" s="10">
        <v>0</v>
      </c>
    </row>
    <row r="523" spans="2:14" ht="33" customHeight="1" x14ac:dyDescent="0.3">
      <c r="B523" s="14">
        <v>0</v>
      </c>
      <c r="C523" s="14">
        <v>0</v>
      </c>
      <c r="D523" s="14">
        <v>0</v>
      </c>
      <c r="E523" s="14">
        <v>0</v>
      </c>
      <c r="F523" s="14">
        <v>0</v>
      </c>
      <c r="G523" s="14">
        <v>0</v>
      </c>
      <c r="H523" s="14" t="s">
        <v>415</v>
      </c>
      <c r="I523" s="15" t="s">
        <v>415</v>
      </c>
      <c r="J523" s="14">
        <v>0</v>
      </c>
      <c r="K523">
        <v>0</v>
      </c>
      <c r="L523">
        <v>0</v>
      </c>
      <c r="M523">
        <v>0</v>
      </c>
      <c r="N523" s="10">
        <v>0</v>
      </c>
    </row>
    <row r="524" spans="2:14" ht="33" customHeight="1" x14ac:dyDescent="0.3">
      <c r="B524" s="14">
        <v>0</v>
      </c>
      <c r="C524" s="14">
        <v>0</v>
      </c>
      <c r="D524" s="14">
        <v>0</v>
      </c>
      <c r="E524" s="14">
        <v>0</v>
      </c>
      <c r="F524" s="14">
        <v>0</v>
      </c>
      <c r="G524" s="14">
        <v>0</v>
      </c>
      <c r="H524" s="14" t="s">
        <v>415</v>
      </c>
      <c r="I524" s="15" t="s">
        <v>415</v>
      </c>
      <c r="J524" s="14">
        <v>0</v>
      </c>
      <c r="K524">
        <v>0</v>
      </c>
      <c r="L524">
        <v>0</v>
      </c>
      <c r="M524">
        <v>0</v>
      </c>
      <c r="N524" s="10">
        <v>0</v>
      </c>
    </row>
    <row r="525" spans="2:14" ht="33" customHeight="1" x14ac:dyDescent="0.3">
      <c r="B525" s="14">
        <v>0</v>
      </c>
      <c r="C525" s="14">
        <v>0</v>
      </c>
      <c r="D525" s="14">
        <v>0</v>
      </c>
      <c r="E525" s="14">
        <v>0</v>
      </c>
      <c r="F525" s="14">
        <v>0</v>
      </c>
      <c r="G525" s="14">
        <v>0</v>
      </c>
      <c r="H525" s="14" t="s">
        <v>415</v>
      </c>
      <c r="I525" s="15" t="s">
        <v>415</v>
      </c>
      <c r="J525" s="14">
        <v>0</v>
      </c>
      <c r="K525">
        <v>0</v>
      </c>
      <c r="L525">
        <v>0</v>
      </c>
      <c r="M525">
        <v>0</v>
      </c>
      <c r="N525" s="10">
        <v>0</v>
      </c>
    </row>
    <row r="526" spans="2:14" ht="33" customHeight="1" x14ac:dyDescent="0.3">
      <c r="B526" s="14">
        <v>0</v>
      </c>
      <c r="C526" s="14">
        <v>0</v>
      </c>
      <c r="D526" s="14">
        <v>0</v>
      </c>
      <c r="E526" s="14">
        <v>0</v>
      </c>
      <c r="F526" s="14">
        <v>0</v>
      </c>
      <c r="G526" s="14">
        <v>0</v>
      </c>
      <c r="H526" s="14" t="s">
        <v>415</v>
      </c>
      <c r="I526" s="15" t="s">
        <v>415</v>
      </c>
      <c r="J526" s="14">
        <v>0</v>
      </c>
      <c r="K526">
        <v>0</v>
      </c>
      <c r="L526">
        <v>0</v>
      </c>
      <c r="M526">
        <v>0</v>
      </c>
      <c r="N526" s="10">
        <v>0</v>
      </c>
    </row>
    <row r="527" spans="2:14" ht="33" customHeight="1" x14ac:dyDescent="0.3">
      <c r="B527" s="14">
        <v>0</v>
      </c>
      <c r="C527" s="14">
        <v>0</v>
      </c>
      <c r="D527" s="14">
        <v>0</v>
      </c>
      <c r="E527" s="14">
        <v>0</v>
      </c>
      <c r="F527" s="14">
        <v>0</v>
      </c>
      <c r="G527" s="14">
        <v>0</v>
      </c>
      <c r="H527" s="14" t="s">
        <v>415</v>
      </c>
      <c r="I527" s="15" t="s">
        <v>415</v>
      </c>
      <c r="J527" s="14">
        <v>0</v>
      </c>
      <c r="K527">
        <v>0</v>
      </c>
      <c r="L527">
        <v>0</v>
      </c>
      <c r="M527">
        <v>0</v>
      </c>
      <c r="N527" s="10">
        <v>0</v>
      </c>
    </row>
    <row r="528" spans="2:14" ht="33" customHeight="1" x14ac:dyDescent="0.3">
      <c r="B528" s="14">
        <v>0</v>
      </c>
      <c r="C528" s="14">
        <v>0</v>
      </c>
      <c r="D528" s="14">
        <v>0</v>
      </c>
      <c r="E528" s="14">
        <v>0</v>
      </c>
      <c r="F528" s="14">
        <v>0</v>
      </c>
      <c r="G528" s="14">
        <v>0</v>
      </c>
      <c r="H528" s="14" t="s">
        <v>415</v>
      </c>
      <c r="I528" s="15" t="s">
        <v>415</v>
      </c>
      <c r="J528" s="14">
        <v>0</v>
      </c>
      <c r="K528">
        <v>0</v>
      </c>
      <c r="L528">
        <v>0</v>
      </c>
      <c r="M528">
        <v>0</v>
      </c>
      <c r="N528" s="10">
        <v>0</v>
      </c>
    </row>
    <row r="529" spans="2:14" ht="33" customHeight="1" x14ac:dyDescent="0.3">
      <c r="B529" s="14">
        <v>0</v>
      </c>
      <c r="C529" s="14">
        <v>0</v>
      </c>
      <c r="D529" s="14">
        <v>0</v>
      </c>
      <c r="E529" s="14">
        <v>0</v>
      </c>
      <c r="F529" s="14">
        <v>0</v>
      </c>
      <c r="G529" s="14">
        <v>0</v>
      </c>
      <c r="H529" s="14" t="s">
        <v>415</v>
      </c>
      <c r="I529" s="15" t="s">
        <v>415</v>
      </c>
      <c r="J529" s="14">
        <v>0</v>
      </c>
      <c r="K529">
        <v>0</v>
      </c>
      <c r="L529">
        <v>0</v>
      </c>
      <c r="M529">
        <v>0</v>
      </c>
      <c r="N529" s="10">
        <v>0</v>
      </c>
    </row>
    <row r="530" spans="2:14" ht="33" customHeight="1" x14ac:dyDescent="0.3">
      <c r="B530" s="14">
        <v>0</v>
      </c>
      <c r="C530" s="14">
        <v>0</v>
      </c>
      <c r="D530" s="14">
        <v>0</v>
      </c>
      <c r="E530" s="14">
        <v>0</v>
      </c>
      <c r="F530" s="14">
        <v>0</v>
      </c>
      <c r="G530" s="14">
        <v>0</v>
      </c>
      <c r="H530" s="14" t="s">
        <v>415</v>
      </c>
      <c r="I530" s="15" t="s">
        <v>415</v>
      </c>
      <c r="J530" s="14">
        <v>0</v>
      </c>
      <c r="K530">
        <v>0</v>
      </c>
      <c r="L530">
        <v>0</v>
      </c>
      <c r="M530">
        <v>0</v>
      </c>
      <c r="N530" s="10">
        <v>0</v>
      </c>
    </row>
    <row r="531" spans="2:14" ht="33" customHeight="1" x14ac:dyDescent="0.3">
      <c r="B531" s="14">
        <v>0</v>
      </c>
      <c r="C531" s="14">
        <v>0</v>
      </c>
      <c r="D531" s="14">
        <v>0</v>
      </c>
      <c r="E531" s="14">
        <v>0</v>
      </c>
      <c r="F531" s="14">
        <v>0</v>
      </c>
      <c r="G531" s="14">
        <v>0</v>
      </c>
      <c r="H531" s="14" t="s">
        <v>415</v>
      </c>
      <c r="I531" s="15" t="s">
        <v>415</v>
      </c>
      <c r="J531" s="14">
        <v>0</v>
      </c>
      <c r="K531">
        <v>0</v>
      </c>
      <c r="L531">
        <v>0</v>
      </c>
      <c r="M531">
        <v>0</v>
      </c>
      <c r="N531" s="10">
        <v>0</v>
      </c>
    </row>
    <row r="532" spans="2:14" ht="33" customHeight="1" x14ac:dyDescent="0.3">
      <c r="B532" s="14">
        <v>0</v>
      </c>
      <c r="C532" s="14">
        <v>0</v>
      </c>
      <c r="D532" s="14">
        <v>0</v>
      </c>
      <c r="E532" s="14">
        <v>0</v>
      </c>
      <c r="F532" s="14">
        <v>0</v>
      </c>
      <c r="G532" s="14">
        <v>0</v>
      </c>
      <c r="H532" s="14" t="s">
        <v>415</v>
      </c>
      <c r="I532" s="15" t="s">
        <v>415</v>
      </c>
      <c r="J532" s="14">
        <v>0</v>
      </c>
      <c r="K532">
        <v>0</v>
      </c>
      <c r="L532">
        <v>0</v>
      </c>
      <c r="M532">
        <v>0</v>
      </c>
      <c r="N532" s="10">
        <v>0</v>
      </c>
    </row>
    <row r="533" spans="2:14" ht="33" customHeight="1" x14ac:dyDescent="0.3">
      <c r="B533" s="14">
        <v>0</v>
      </c>
      <c r="C533" s="14">
        <v>0</v>
      </c>
      <c r="D533" s="14">
        <v>0</v>
      </c>
      <c r="E533" s="14">
        <v>0</v>
      </c>
      <c r="F533" s="14">
        <v>0</v>
      </c>
      <c r="G533" s="14">
        <v>0</v>
      </c>
      <c r="H533" s="14" t="s">
        <v>415</v>
      </c>
      <c r="I533" s="15" t="s">
        <v>415</v>
      </c>
      <c r="J533" s="14">
        <v>0</v>
      </c>
      <c r="K533">
        <v>0</v>
      </c>
      <c r="L533">
        <v>0</v>
      </c>
      <c r="M533">
        <v>0</v>
      </c>
      <c r="N533" s="10">
        <v>0</v>
      </c>
    </row>
    <row r="534" spans="2:14" ht="33" customHeight="1" x14ac:dyDescent="0.3">
      <c r="B534" s="14">
        <v>0</v>
      </c>
      <c r="C534" s="14">
        <v>0</v>
      </c>
      <c r="D534" s="14">
        <v>0</v>
      </c>
      <c r="E534" s="14">
        <v>0</v>
      </c>
      <c r="F534" s="14">
        <v>0</v>
      </c>
      <c r="G534" s="14">
        <v>0</v>
      </c>
      <c r="H534" s="14" t="s">
        <v>415</v>
      </c>
      <c r="I534" s="15" t="s">
        <v>415</v>
      </c>
      <c r="J534" s="14">
        <v>0</v>
      </c>
      <c r="K534">
        <v>0</v>
      </c>
      <c r="L534">
        <v>0</v>
      </c>
      <c r="M534">
        <v>0</v>
      </c>
      <c r="N534" s="10">
        <v>0</v>
      </c>
    </row>
    <row r="535" spans="2:14" ht="33" customHeight="1" x14ac:dyDescent="0.3">
      <c r="B535" s="14">
        <v>0</v>
      </c>
      <c r="C535" s="14">
        <v>0</v>
      </c>
      <c r="D535" s="14">
        <v>0</v>
      </c>
      <c r="E535" s="14">
        <v>0</v>
      </c>
      <c r="F535" s="14">
        <v>0</v>
      </c>
      <c r="G535" s="14">
        <v>0</v>
      </c>
      <c r="H535" s="14" t="s">
        <v>415</v>
      </c>
      <c r="I535" s="15" t="s">
        <v>415</v>
      </c>
      <c r="J535" s="14">
        <v>0</v>
      </c>
      <c r="K535">
        <v>0</v>
      </c>
      <c r="L535">
        <v>0</v>
      </c>
      <c r="M535">
        <v>0</v>
      </c>
      <c r="N535" s="10">
        <v>0</v>
      </c>
    </row>
    <row r="536" spans="2:14" ht="33" customHeight="1" x14ac:dyDescent="0.3">
      <c r="B536" s="14">
        <v>0</v>
      </c>
      <c r="C536" s="14">
        <v>0</v>
      </c>
      <c r="D536" s="14">
        <v>0</v>
      </c>
      <c r="E536" s="14">
        <v>0</v>
      </c>
      <c r="F536" s="14">
        <v>0</v>
      </c>
      <c r="G536" s="14">
        <v>0</v>
      </c>
      <c r="H536" s="14" t="s">
        <v>415</v>
      </c>
      <c r="I536" s="15" t="s">
        <v>415</v>
      </c>
      <c r="J536" s="14">
        <v>0</v>
      </c>
      <c r="K536">
        <v>0</v>
      </c>
      <c r="L536">
        <v>0</v>
      </c>
      <c r="M536">
        <v>0</v>
      </c>
      <c r="N536" s="10">
        <v>0</v>
      </c>
    </row>
    <row r="537" spans="2:14" ht="33" customHeight="1" x14ac:dyDescent="0.3">
      <c r="B537" s="14">
        <v>0</v>
      </c>
      <c r="C537" s="14">
        <v>0</v>
      </c>
      <c r="D537" s="14">
        <v>0</v>
      </c>
      <c r="E537" s="14">
        <v>0</v>
      </c>
      <c r="F537" s="14">
        <v>0</v>
      </c>
      <c r="G537" s="14">
        <v>0</v>
      </c>
      <c r="H537" s="14" t="s">
        <v>415</v>
      </c>
      <c r="I537" s="15" t="s">
        <v>415</v>
      </c>
      <c r="J537" s="14">
        <v>0</v>
      </c>
      <c r="K537">
        <v>0</v>
      </c>
      <c r="L537">
        <v>0</v>
      </c>
      <c r="M537">
        <v>0</v>
      </c>
      <c r="N537" s="10">
        <v>0</v>
      </c>
    </row>
    <row r="538" spans="2:14" ht="33" customHeight="1" x14ac:dyDescent="0.3">
      <c r="B538" s="14">
        <v>0</v>
      </c>
      <c r="C538" s="14">
        <v>0</v>
      </c>
      <c r="D538" s="14">
        <v>0</v>
      </c>
      <c r="E538" s="14">
        <v>0</v>
      </c>
      <c r="F538" s="14">
        <v>0</v>
      </c>
      <c r="G538" s="14">
        <v>0</v>
      </c>
      <c r="H538" s="14" t="s">
        <v>415</v>
      </c>
      <c r="I538" s="15" t="s">
        <v>415</v>
      </c>
      <c r="J538" s="14">
        <v>0</v>
      </c>
      <c r="K538">
        <v>0</v>
      </c>
      <c r="L538">
        <v>0</v>
      </c>
      <c r="M538">
        <v>0</v>
      </c>
      <c r="N538" s="10">
        <v>0</v>
      </c>
    </row>
    <row r="539" spans="2:14" ht="33" customHeight="1" x14ac:dyDescent="0.3">
      <c r="B539" s="14">
        <v>0</v>
      </c>
      <c r="C539" s="14">
        <v>0</v>
      </c>
      <c r="D539" s="14">
        <v>0</v>
      </c>
      <c r="E539" s="14">
        <v>0</v>
      </c>
      <c r="F539" s="14">
        <v>0</v>
      </c>
      <c r="G539" s="14">
        <v>0</v>
      </c>
      <c r="H539" s="14" t="s">
        <v>415</v>
      </c>
      <c r="I539" s="15" t="s">
        <v>415</v>
      </c>
      <c r="J539" s="14">
        <v>0</v>
      </c>
      <c r="K539">
        <v>0</v>
      </c>
      <c r="L539">
        <v>0</v>
      </c>
      <c r="M539">
        <v>0</v>
      </c>
      <c r="N539" s="10">
        <v>0</v>
      </c>
    </row>
    <row r="540" spans="2:14" ht="33" customHeight="1" x14ac:dyDescent="0.3">
      <c r="B540" s="14">
        <v>0</v>
      </c>
      <c r="C540" s="14">
        <v>0</v>
      </c>
      <c r="D540" s="14">
        <v>0</v>
      </c>
      <c r="E540" s="14">
        <v>0</v>
      </c>
      <c r="F540" s="14">
        <v>0</v>
      </c>
      <c r="G540" s="14">
        <v>0</v>
      </c>
      <c r="H540" s="14" t="s">
        <v>415</v>
      </c>
      <c r="I540" s="15" t="s">
        <v>415</v>
      </c>
      <c r="J540" s="14">
        <v>0</v>
      </c>
      <c r="K540">
        <v>0</v>
      </c>
      <c r="L540">
        <v>0</v>
      </c>
      <c r="M540">
        <v>0</v>
      </c>
      <c r="N540" s="10">
        <v>0</v>
      </c>
    </row>
    <row r="541" spans="2:14" ht="33" customHeight="1" x14ac:dyDescent="0.3">
      <c r="B541" s="14">
        <v>0</v>
      </c>
      <c r="C541" s="14">
        <v>0</v>
      </c>
      <c r="D541" s="14">
        <v>0</v>
      </c>
      <c r="E541" s="14">
        <v>0</v>
      </c>
      <c r="F541" s="14">
        <v>0</v>
      </c>
      <c r="G541" s="14">
        <v>0</v>
      </c>
      <c r="H541" s="14" t="s">
        <v>415</v>
      </c>
      <c r="I541" s="15" t="s">
        <v>415</v>
      </c>
      <c r="J541" s="14">
        <v>0</v>
      </c>
      <c r="K541">
        <v>0</v>
      </c>
      <c r="L541">
        <v>0</v>
      </c>
      <c r="M541">
        <v>0</v>
      </c>
      <c r="N541" s="10">
        <v>0</v>
      </c>
    </row>
    <row r="542" spans="2:14" ht="33" customHeight="1" x14ac:dyDescent="0.3">
      <c r="B542" s="14">
        <v>0</v>
      </c>
      <c r="C542" s="14">
        <v>0</v>
      </c>
      <c r="D542" s="14">
        <v>0</v>
      </c>
      <c r="E542" s="14">
        <v>0</v>
      </c>
      <c r="F542" s="14">
        <v>0</v>
      </c>
      <c r="G542" s="14">
        <v>0</v>
      </c>
      <c r="H542" s="14" t="s">
        <v>415</v>
      </c>
      <c r="I542" s="15" t="s">
        <v>415</v>
      </c>
      <c r="J542" s="14">
        <v>0</v>
      </c>
      <c r="K542">
        <v>0</v>
      </c>
      <c r="L542">
        <v>0</v>
      </c>
      <c r="M542">
        <v>0</v>
      </c>
      <c r="N542" s="10">
        <v>0</v>
      </c>
    </row>
    <row r="543" spans="2:14" ht="33" customHeight="1" x14ac:dyDescent="0.3">
      <c r="B543" s="14">
        <v>0</v>
      </c>
      <c r="C543" s="14">
        <v>0</v>
      </c>
      <c r="D543" s="14">
        <v>0</v>
      </c>
      <c r="E543" s="14">
        <v>0</v>
      </c>
      <c r="F543" s="14">
        <v>0</v>
      </c>
      <c r="G543" s="14">
        <v>0</v>
      </c>
      <c r="H543" s="14" t="s">
        <v>415</v>
      </c>
      <c r="I543" s="15" t="s">
        <v>415</v>
      </c>
      <c r="J543" s="14">
        <v>0</v>
      </c>
      <c r="K543">
        <v>0</v>
      </c>
      <c r="L543">
        <v>0</v>
      </c>
      <c r="M543">
        <v>0</v>
      </c>
      <c r="N543" s="10">
        <v>0</v>
      </c>
    </row>
    <row r="544" spans="2:14" ht="33" customHeight="1" x14ac:dyDescent="0.3">
      <c r="B544" s="14">
        <v>0</v>
      </c>
      <c r="C544" s="14">
        <v>0</v>
      </c>
      <c r="D544" s="14">
        <v>0</v>
      </c>
      <c r="E544" s="14">
        <v>0</v>
      </c>
      <c r="F544" s="14">
        <v>0</v>
      </c>
      <c r="G544" s="14">
        <v>0</v>
      </c>
      <c r="H544" s="14" t="s">
        <v>415</v>
      </c>
      <c r="I544" s="15" t="s">
        <v>415</v>
      </c>
      <c r="J544" s="14">
        <v>0</v>
      </c>
      <c r="K544">
        <v>0</v>
      </c>
      <c r="L544">
        <v>0</v>
      </c>
      <c r="M544">
        <v>0</v>
      </c>
      <c r="N544" s="10">
        <v>0</v>
      </c>
    </row>
    <row r="545" spans="2:14" ht="33" customHeight="1" x14ac:dyDescent="0.3">
      <c r="B545" s="14">
        <v>0</v>
      </c>
      <c r="C545" s="14">
        <v>0</v>
      </c>
      <c r="D545" s="14">
        <v>0</v>
      </c>
      <c r="E545" s="14">
        <v>0</v>
      </c>
      <c r="F545" s="14">
        <v>0</v>
      </c>
      <c r="G545" s="14">
        <v>0</v>
      </c>
      <c r="H545" s="14" t="s">
        <v>415</v>
      </c>
      <c r="I545" s="15" t="s">
        <v>415</v>
      </c>
      <c r="J545" s="14">
        <v>0</v>
      </c>
      <c r="K545">
        <v>0</v>
      </c>
      <c r="L545">
        <v>0</v>
      </c>
      <c r="M545">
        <v>0</v>
      </c>
      <c r="N545" s="10">
        <v>0</v>
      </c>
    </row>
    <row r="546" spans="2:14" ht="33" customHeight="1" x14ac:dyDescent="0.3">
      <c r="B546" s="14">
        <v>0</v>
      </c>
      <c r="C546" s="14">
        <v>0</v>
      </c>
      <c r="D546" s="14">
        <v>0</v>
      </c>
      <c r="E546" s="14">
        <v>0</v>
      </c>
      <c r="F546" s="14">
        <v>0</v>
      </c>
      <c r="G546" s="14">
        <v>0</v>
      </c>
      <c r="H546" s="14" t="s">
        <v>415</v>
      </c>
      <c r="I546" s="15" t="s">
        <v>415</v>
      </c>
      <c r="J546" s="14">
        <v>0</v>
      </c>
      <c r="K546">
        <v>0</v>
      </c>
      <c r="L546">
        <v>0</v>
      </c>
      <c r="M546">
        <v>0</v>
      </c>
      <c r="N546" s="10">
        <v>0</v>
      </c>
    </row>
    <row r="547" spans="2:14" ht="33" customHeight="1" x14ac:dyDescent="0.3">
      <c r="B547" s="14">
        <v>0</v>
      </c>
      <c r="C547" s="14">
        <v>0</v>
      </c>
      <c r="D547" s="14">
        <v>0</v>
      </c>
      <c r="E547" s="14">
        <v>0</v>
      </c>
      <c r="F547" s="14">
        <v>0</v>
      </c>
      <c r="G547" s="14">
        <v>0</v>
      </c>
      <c r="H547" s="14" t="s">
        <v>415</v>
      </c>
      <c r="I547" s="15" t="s">
        <v>415</v>
      </c>
      <c r="J547" s="14">
        <v>0</v>
      </c>
      <c r="K547">
        <v>0</v>
      </c>
      <c r="L547">
        <v>0</v>
      </c>
      <c r="M547">
        <v>0</v>
      </c>
      <c r="N547" s="10">
        <v>0</v>
      </c>
    </row>
    <row r="548" spans="2:14" ht="33" customHeight="1" x14ac:dyDescent="0.3">
      <c r="B548" s="14">
        <v>0</v>
      </c>
      <c r="C548" s="14">
        <v>0</v>
      </c>
      <c r="D548" s="14">
        <v>0</v>
      </c>
      <c r="E548" s="14">
        <v>0</v>
      </c>
      <c r="F548" s="14">
        <v>0</v>
      </c>
      <c r="G548" s="14">
        <v>0</v>
      </c>
      <c r="H548" s="14" t="s">
        <v>415</v>
      </c>
      <c r="I548" s="15" t="s">
        <v>415</v>
      </c>
      <c r="J548" s="14">
        <v>0</v>
      </c>
      <c r="K548">
        <v>0</v>
      </c>
      <c r="L548">
        <v>0</v>
      </c>
      <c r="M548">
        <v>0</v>
      </c>
      <c r="N548" s="10">
        <v>0</v>
      </c>
    </row>
    <row r="549" spans="2:14" ht="33" customHeight="1" x14ac:dyDescent="0.3">
      <c r="B549" s="14">
        <v>0</v>
      </c>
      <c r="C549" s="14">
        <v>0</v>
      </c>
      <c r="D549" s="14">
        <v>0</v>
      </c>
      <c r="E549" s="14">
        <v>0</v>
      </c>
      <c r="F549" s="14">
        <v>0</v>
      </c>
      <c r="G549" s="14">
        <v>0</v>
      </c>
      <c r="H549" s="14" t="s">
        <v>415</v>
      </c>
      <c r="I549" s="15" t="s">
        <v>415</v>
      </c>
      <c r="J549" s="14">
        <v>0</v>
      </c>
      <c r="K549">
        <v>0</v>
      </c>
      <c r="L549">
        <v>0</v>
      </c>
      <c r="M549">
        <v>0</v>
      </c>
      <c r="N549" s="10">
        <v>0</v>
      </c>
    </row>
    <row r="550" spans="2:14" ht="33" customHeight="1" x14ac:dyDescent="0.3">
      <c r="B550" s="14">
        <v>0</v>
      </c>
      <c r="C550" s="14">
        <v>0</v>
      </c>
      <c r="D550" s="14">
        <v>0</v>
      </c>
      <c r="E550" s="14">
        <v>0</v>
      </c>
      <c r="F550" s="14">
        <v>0</v>
      </c>
      <c r="G550" s="14">
        <v>0</v>
      </c>
      <c r="H550" s="14" t="s">
        <v>415</v>
      </c>
      <c r="I550" s="15" t="s">
        <v>415</v>
      </c>
      <c r="J550" s="14">
        <v>0</v>
      </c>
      <c r="K550">
        <v>0</v>
      </c>
      <c r="L550">
        <v>0</v>
      </c>
      <c r="M550">
        <v>0</v>
      </c>
      <c r="N550" s="10">
        <v>0</v>
      </c>
    </row>
    <row r="551" spans="2:14" ht="33" customHeight="1" x14ac:dyDescent="0.3">
      <c r="B551" s="14">
        <v>0</v>
      </c>
      <c r="C551" s="14">
        <v>0</v>
      </c>
      <c r="D551" s="14">
        <v>0</v>
      </c>
      <c r="E551" s="14">
        <v>0</v>
      </c>
      <c r="F551" s="14">
        <v>0</v>
      </c>
      <c r="G551" s="14">
        <v>0</v>
      </c>
      <c r="H551" s="14" t="s">
        <v>415</v>
      </c>
      <c r="I551" s="15" t="s">
        <v>415</v>
      </c>
      <c r="J551" s="14">
        <v>0</v>
      </c>
      <c r="K551">
        <v>0</v>
      </c>
      <c r="L551">
        <v>0</v>
      </c>
      <c r="M551">
        <v>0</v>
      </c>
      <c r="N551" s="10">
        <v>0</v>
      </c>
    </row>
    <row r="552" spans="2:14" ht="33" customHeight="1" x14ac:dyDescent="0.3">
      <c r="B552" s="14">
        <v>0</v>
      </c>
      <c r="C552" s="14">
        <v>0</v>
      </c>
      <c r="D552" s="14">
        <v>0</v>
      </c>
      <c r="E552" s="14">
        <v>0</v>
      </c>
      <c r="F552" s="14">
        <v>0</v>
      </c>
      <c r="G552" s="14">
        <v>0</v>
      </c>
      <c r="H552" s="14" t="s">
        <v>415</v>
      </c>
      <c r="I552" s="15" t="s">
        <v>415</v>
      </c>
      <c r="J552" s="14">
        <v>0</v>
      </c>
      <c r="K552">
        <v>0</v>
      </c>
      <c r="L552">
        <v>0</v>
      </c>
      <c r="M552">
        <v>0</v>
      </c>
      <c r="N552" s="10">
        <v>0</v>
      </c>
    </row>
    <row r="553" spans="2:14" ht="33" customHeight="1" x14ac:dyDescent="0.3">
      <c r="B553" s="14">
        <v>0</v>
      </c>
      <c r="C553" s="14">
        <v>0</v>
      </c>
      <c r="D553" s="14">
        <v>0</v>
      </c>
      <c r="E553" s="14">
        <v>0</v>
      </c>
      <c r="F553" s="14">
        <v>0</v>
      </c>
      <c r="G553" s="14">
        <v>0</v>
      </c>
      <c r="H553" s="14" t="s">
        <v>415</v>
      </c>
      <c r="I553" s="15" t="s">
        <v>415</v>
      </c>
      <c r="J553" s="14">
        <v>0</v>
      </c>
      <c r="K553">
        <v>0</v>
      </c>
      <c r="L553">
        <v>0</v>
      </c>
      <c r="M553">
        <v>0</v>
      </c>
      <c r="N553" s="10">
        <v>0</v>
      </c>
    </row>
    <row r="554" spans="2:14" ht="33" customHeight="1" x14ac:dyDescent="0.3">
      <c r="B554" s="14">
        <v>0</v>
      </c>
      <c r="C554" s="14">
        <v>0</v>
      </c>
      <c r="D554" s="14">
        <v>0</v>
      </c>
      <c r="E554" s="14">
        <v>0</v>
      </c>
      <c r="F554" s="14">
        <v>0</v>
      </c>
      <c r="G554" s="14">
        <v>0</v>
      </c>
      <c r="H554" s="14" t="s">
        <v>415</v>
      </c>
      <c r="I554" s="15" t="s">
        <v>415</v>
      </c>
      <c r="J554" s="14">
        <v>0</v>
      </c>
      <c r="K554">
        <v>0</v>
      </c>
      <c r="L554">
        <v>0</v>
      </c>
      <c r="M554">
        <v>0</v>
      </c>
      <c r="N554" s="10">
        <v>0</v>
      </c>
    </row>
    <row r="555" spans="2:14" ht="33" customHeight="1" x14ac:dyDescent="0.3">
      <c r="B555" s="14">
        <v>0</v>
      </c>
      <c r="C555" s="14">
        <v>0</v>
      </c>
      <c r="D555" s="14">
        <v>0</v>
      </c>
      <c r="E555" s="14">
        <v>0</v>
      </c>
      <c r="F555" s="14">
        <v>0</v>
      </c>
      <c r="G555" s="14">
        <v>0</v>
      </c>
      <c r="H555" s="14" t="s">
        <v>415</v>
      </c>
      <c r="I555" s="15" t="s">
        <v>415</v>
      </c>
      <c r="J555" s="14">
        <v>0</v>
      </c>
      <c r="K555">
        <v>0</v>
      </c>
      <c r="L555">
        <v>0</v>
      </c>
      <c r="M555">
        <v>0</v>
      </c>
      <c r="N555" s="10">
        <v>0</v>
      </c>
    </row>
    <row r="556" spans="2:14" ht="33" customHeight="1" x14ac:dyDescent="0.3">
      <c r="B556" s="14">
        <v>0</v>
      </c>
      <c r="C556" s="14">
        <v>0</v>
      </c>
      <c r="D556" s="14">
        <v>0</v>
      </c>
      <c r="E556" s="14">
        <v>0</v>
      </c>
      <c r="F556" s="14">
        <v>0</v>
      </c>
      <c r="G556" s="14">
        <v>0</v>
      </c>
      <c r="H556" s="14" t="s">
        <v>415</v>
      </c>
      <c r="I556" s="15" t="s">
        <v>415</v>
      </c>
      <c r="J556" s="14">
        <v>0</v>
      </c>
      <c r="K556">
        <v>0</v>
      </c>
      <c r="L556">
        <v>0</v>
      </c>
      <c r="M556">
        <v>0</v>
      </c>
      <c r="N556" s="10">
        <v>0</v>
      </c>
    </row>
    <row r="557" spans="2:14" ht="33" customHeight="1" x14ac:dyDescent="0.3">
      <c r="B557" s="14">
        <v>0</v>
      </c>
      <c r="C557" s="14">
        <v>0</v>
      </c>
      <c r="D557" s="14">
        <v>0</v>
      </c>
      <c r="E557" s="14">
        <v>0</v>
      </c>
      <c r="F557" s="14">
        <v>0</v>
      </c>
      <c r="G557" s="14">
        <v>0</v>
      </c>
      <c r="H557" s="14" t="s">
        <v>415</v>
      </c>
      <c r="I557" s="15" t="s">
        <v>415</v>
      </c>
      <c r="J557" s="14">
        <v>0</v>
      </c>
      <c r="K557">
        <v>0</v>
      </c>
      <c r="L557">
        <v>0</v>
      </c>
      <c r="M557">
        <v>0</v>
      </c>
      <c r="N557" s="10">
        <v>0</v>
      </c>
    </row>
    <row r="558" spans="2:14" ht="33" customHeight="1" x14ac:dyDescent="0.3">
      <c r="B558" s="14">
        <v>0</v>
      </c>
      <c r="C558" s="14">
        <v>0</v>
      </c>
      <c r="D558" s="14">
        <v>0</v>
      </c>
      <c r="E558" s="14">
        <v>0</v>
      </c>
      <c r="F558" s="14">
        <v>0</v>
      </c>
      <c r="G558" s="14">
        <v>0</v>
      </c>
      <c r="H558" s="14" t="s">
        <v>415</v>
      </c>
      <c r="I558" s="15" t="s">
        <v>415</v>
      </c>
      <c r="J558" s="14">
        <v>0</v>
      </c>
      <c r="K558">
        <v>0</v>
      </c>
      <c r="L558">
        <v>0</v>
      </c>
      <c r="M558">
        <v>0</v>
      </c>
      <c r="N558" s="10">
        <v>0</v>
      </c>
    </row>
    <row r="559" spans="2:14" ht="33" customHeight="1" x14ac:dyDescent="0.3">
      <c r="B559" s="14">
        <v>0</v>
      </c>
      <c r="C559" s="14">
        <v>0</v>
      </c>
      <c r="D559" s="14">
        <v>0</v>
      </c>
      <c r="E559" s="14">
        <v>0</v>
      </c>
      <c r="F559" s="14">
        <v>0</v>
      </c>
      <c r="G559" s="14">
        <v>0</v>
      </c>
      <c r="H559" s="14" t="s">
        <v>415</v>
      </c>
      <c r="I559" s="15" t="s">
        <v>415</v>
      </c>
      <c r="J559" s="14">
        <v>0</v>
      </c>
      <c r="K559">
        <v>0</v>
      </c>
      <c r="L559">
        <v>0</v>
      </c>
      <c r="M559">
        <v>0</v>
      </c>
      <c r="N559" s="10">
        <v>0</v>
      </c>
    </row>
    <row r="560" spans="2:14" ht="33" customHeight="1" x14ac:dyDescent="0.3">
      <c r="B560" s="14">
        <v>0</v>
      </c>
      <c r="C560" s="14">
        <v>0</v>
      </c>
      <c r="D560" s="14">
        <v>0</v>
      </c>
      <c r="E560" s="14">
        <v>0</v>
      </c>
      <c r="F560" s="14">
        <v>0</v>
      </c>
      <c r="G560" s="14">
        <v>0</v>
      </c>
      <c r="H560" s="14" t="s">
        <v>415</v>
      </c>
      <c r="I560" s="15" t="s">
        <v>415</v>
      </c>
      <c r="J560" s="14">
        <v>0</v>
      </c>
      <c r="K560">
        <v>0</v>
      </c>
      <c r="L560">
        <v>0</v>
      </c>
      <c r="M560">
        <v>0</v>
      </c>
      <c r="N560" s="10">
        <v>0</v>
      </c>
    </row>
    <row r="561" spans="2:14" ht="33" customHeight="1" x14ac:dyDescent="0.3">
      <c r="B561" s="14">
        <v>0</v>
      </c>
      <c r="C561" s="14">
        <v>0</v>
      </c>
      <c r="D561" s="14">
        <v>0</v>
      </c>
      <c r="E561" s="14">
        <v>0</v>
      </c>
      <c r="F561" s="14">
        <v>0</v>
      </c>
      <c r="G561" s="14">
        <v>0</v>
      </c>
      <c r="H561" s="14" t="s">
        <v>415</v>
      </c>
      <c r="I561" s="15" t="s">
        <v>415</v>
      </c>
      <c r="J561" s="14">
        <v>0</v>
      </c>
      <c r="K561">
        <v>0</v>
      </c>
      <c r="L561">
        <v>0</v>
      </c>
      <c r="M561">
        <v>0</v>
      </c>
      <c r="N561" s="10">
        <v>0</v>
      </c>
    </row>
    <row r="562" spans="2:14" ht="33" customHeight="1" x14ac:dyDescent="0.3">
      <c r="B562" s="14">
        <v>0</v>
      </c>
      <c r="C562" s="14">
        <v>0</v>
      </c>
      <c r="D562" s="14">
        <v>0</v>
      </c>
      <c r="E562" s="14">
        <v>0</v>
      </c>
      <c r="F562" s="14">
        <v>0</v>
      </c>
      <c r="G562" s="14">
        <v>0</v>
      </c>
      <c r="H562" s="14" t="s">
        <v>415</v>
      </c>
      <c r="I562" s="15" t="s">
        <v>415</v>
      </c>
      <c r="J562" s="14">
        <v>0</v>
      </c>
      <c r="K562">
        <v>0</v>
      </c>
      <c r="L562">
        <v>0</v>
      </c>
      <c r="M562">
        <v>0</v>
      </c>
      <c r="N562" s="10">
        <v>0</v>
      </c>
    </row>
    <row r="563" spans="2:14" ht="33" customHeight="1" x14ac:dyDescent="0.3">
      <c r="B563" s="14">
        <v>0</v>
      </c>
      <c r="C563" s="14">
        <v>0</v>
      </c>
      <c r="D563" s="14">
        <v>0</v>
      </c>
      <c r="E563" s="14">
        <v>0</v>
      </c>
      <c r="F563" s="14">
        <v>0</v>
      </c>
      <c r="G563" s="14">
        <v>0</v>
      </c>
      <c r="H563" s="14" t="s">
        <v>415</v>
      </c>
      <c r="I563" s="15" t="s">
        <v>415</v>
      </c>
      <c r="J563" s="14">
        <v>0</v>
      </c>
      <c r="K563">
        <v>0</v>
      </c>
      <c r="L563">
        <v>0</v>
      </c>
      <c r="M563">
        <v>0</v>
      </c>
      <c r="N563" s="10">
        <v>0</v>
      </c>
    </row>
    <row r="564" spans="2:14" ht="33" customHeight="1" x14ac:dyDescent="0.3">
      <c r="B564" s="14">
        <v>0</v>
      </c>
      <c r="C564" s="14">
        <v>0</v>
      </c>
      <c r="D564" s="14">
        <v>0</v>
      </c>
      <c r="E564" s="14">
        <v>0</v>
      </c>
      <c r="F564" s="14">
        <v>0</v>
      </c>
      <c r="G564" s="14">
        <v>0</v>
      </c>
      <c r="H564" s="14" t="s">
        <v>415</v>
      </c>
      <c r="I564" s="15" t="s">
        <v>415</v>
      </c>
      <c r="J564" s="14">
        <v>0</v>
      </c>
      <c r="K564">
        <v>0</v>
      </c>
      <c r="L564">
        <v>0</v>
      </c>
      <c r="M564">
        <v>0</v>
      </c>
      <c r="N564" s="10">
        <v>0</v>
      </c>
    </row>
    <row r="565" spans="2:14" ht="33" customHeight="1" x14ac:dyDescent="0.3">
      <c r="B565" s="14">
        <v>0</v>
      </c>
      <c r="C565" s="14">
        <v>0</v>
      </c>
      <c r="D565" s="14">
        <v>0</v>
      </c>
      <c r="E565" s="14">
        <v>0</v>
      </c>
      <c r="F565" s="14">
        <v>0</v>
      </c>
      <c r="G565" s="14">
        <v>0</v>
      </c>
      <c r="H565" s="14" t="s">
        <v>415</v>
      </c>
      <c r="I565" s="15" t="s">
        <v>415</v>
      </c>
      <c r="J565" s="14">
        <v>0</v>
      </c>
      <c r="K565">
        <v>0</v>
      </c>
      <c r="L565">
        <v>0</v>
      </c>
      <c r="M565">
        <v>0</v>
      </c>
      <c r="N565" s="10">
        <v>0</v>
      </c>
    </row>
    <row r="566" spans="2:14" ht="33" customHeight="1" x14ac:dyDescent="0.3">
      <c r="B566" s="14">
        <v>0</v>
      </c>
      <c r="C566" s="14">
        <v>0</v>
      </c>
      <c r="D566" s="14">
        <v>0</v>
      </c>
      <c r="E566" s="14">
        <v>0</v>
      </c>
      <c r="F566" s="14">
        <v>0</v>
      </c>
      <c r="G566" s="14">
        <v>0</v>
      </c>
      <c r="H566" s="14" t="s">
        <v>415</v>
      </c>
      <c r="I566" s="15" t="s">
        <v>415</v>
      </c>
      <c r="J566" s="14">
        <v>0</v>
      </c>
      <c r="K566">
        <v>0</v>
      </c>
      <c r="L566">
        <v>0</v>
      </c>
      <c r="M566">
        <v>0</v>
      </c>
      <c r="N566" s="10">
        <v>0</v>
      </c>
    </row>
    <row r="567" spans="2:14" ht="33" customHeight="1" x14ac:dyDescent="0.3">
      <c r="B567" s="14">
        <v>0</v>
      </c>
      <c r="C567" s="14">
        <v>0</v>
      </c>
      <c r="D567" s="14">
        <v>0</v>
      </c>
      <c r="E567" s="14">
        <v>0</v>
      </c>
      <c r="F567" s="14">
        <v>0</v>
      </c>
      <c r="G567" s="14">
        <v>0</v>
      </c>
      <c r="H567" s="14" t="s">
        <v>415</v>
      </c>
      <c r="I567" s="15" t="s">
        <v>415</v>
      </c>
      <c r="J567" s="14">
        <v>0</v>
      </c>
      <c r="K567">
        <v>0</v>
      </c>
      <c r="L567">
        <v>0</v>
      </c>
      <c r="M567">
        <v>0</v>
      </c>
      <c r="N567" s="10">
        <v>0</v>
      </c>
    </row>
    <row r="568" spans="2:14" ht="33" customHeight="1" x14ac:dyDescent="0.3">
      <c r="B568" s="14">
        <v>0</v>
      </c>
      <c r="C568" s="14">
        <v>0</v>
      </c>
      <c r="D568" s="14">
        <v>0</v>
      </c>
      <c r="E568" s="14">
        <v>0</v>
      </c>
      <c r="F568" s="14">
        <v>0</v>
      </c>
      <c r="G568" s="14">
        <v>0</v>
      </c>
      <c r="H568" s="14" t="s">
        <v>415</v>
      </c>
      <c r="I568" s="15" t="s">
        <v>415</v>
      </c>
      <c r="J568" s="14">
        <v>0</v>
      </c>
      <c r="K568">
        <v>0</v>
      </c>
      <c r="L568">
        <v>0</v>
      </c>
      <c r="M568">
        <v>0</v>
      </c>
      <c r="N568" s="10">
        <v>0</v>
      </c>
    </row>
    <row r="569" spans="2:14" ht="33" customHeight="1" x14ac:dyDescent="0.3">
      <c r="B569" s="14">
        <v>0</v>
      </c>
      <c r="C569" s="14">
        <v>0</v>
      </c>
      <c r="D569" s="14">
        <v>0</v>
      </c>
      <c r="E569" s="14">
        <v>0</v>
      </c>
      <c r="F569" s="14">
        <v>0</v>
      </c>
      <c r="G569" s="14">
        <v>0</v>
      </c>
      <c r="H569" s="14" t="s">
        <v>415</v>
      </c>
      <c r="I569" s="15" t="s">
        <v>415</v>
      </c>
      <c r="J569" s="14">
        <v>0</v>
      </c>
      <c r="K569">
        <v>0</v>
      </c>
      <c r="L569">
        <v>0</v>
      </c>
      <c r="M569">
        <v>0</v>
      </c>
      <c r="N569" s="10">
        <v>0</v>
      </c>
    </row>
    <row r="570" spans="2:14" ht="33" customHeight="1" x14ac:dyDescent="0.3">
      <c r="B570" s="14">
        <v>0</v>
      </c>
      <c r="C570" s="14">
        <v>0</v>
      </c>
      <c r="D570" s="14">
        <v>0</v>
      </c>
      <c r="E570" s="14">
        <v>0</v>
      </c>
      <c r="F570" s="14">
        <v>0</v>
      </c>
      <c r="G570" s="14">
        <v>0</v>
      </c>
      <c r="H570" s="14" t="s">
        <v>415</v>
      </c>
      <c r="I570" s="15" t="s">
        <v>415</v>
      </c>
      <c r="J570" s="14">
        <v>0</v>
      </c>
      <c r="K570">
        <v>0</v>
      </c>
      <c r="L570">
        <v>0</v>
      </c>
      <c r="M570">
        <v>0</v>
      </c>
      <c r="N570" s="10">
        <v>0</v>
      </c>
    </row>
    <row r="571" spans="2:14" ht="33" customHeight="1" x14ac:dyDescent="0.3">
      <c r="B571" s="14">
        <v>0</v>
      </c>
      <c r="C571" s="14">
        <v>0</v>
      </c>
      <c r="D571" s="14">
        <v>0</v>
      </c>
      <c r="E571" s="14">
        <v>0</v>
      </c>
      <c r="F571" s="14">
        <v>0</v>
      </c>
      <c r="G571" s="14">
        <v>0</v>
      </c>
      <c r="H571" s="14" t="s">
        <v>415</v>
      </c>
      <c r="I571" s="15" t="s">
        <v>415</v>
      </c>
      <c r="J571" s="14">
        <v>0</v>
      </c>
      <c r="K571">
        <v>0</v>
      </c>
      <c r="L571">
        <v>0</v>
      </c>
      <c r="M571">
        <v>0</v>
      </c>
      <c r="N571" s="10">
        <v>0</v>
      </c>
    </row>
    <row r="572" spans="2:14" ht="33" customHeight="1" x14ac:dyDescent="0.3">
      <c r="B572" s="14">
        <v>0</v>
      </c>
      <c r="C572" s="14">
        <v>0</v>
      </c>
      <c r="D572" s="14">
        <v>0</v>
      </c>
      <c r="E572" s="14">
        <v>0</v>
      </c>
      <c r="F572" s="14">
        <v>0</v>
      </c>
      <c r="G572" s="14">
        <v>0</v>
      </c>
      <c r="H572" s="14" t="s">
        <v>415</v>
      </c>
      <c r="I572" s="15" t="s">
        <v>415</v>
      </c>
      <c r="J572" s="14">
        <v>0</v>
      </c>
      <c r="K572">
        <v>0</v>
      </c>
      <c r="L572">
        <v>0</v>
      </c>
      <c r="M572">
        <v>0</v>
      </c>
      <c r="N572" s="10">
        <v>0</v>
      </c>
    </row>
    <row r="573" spans="2:14" ht="33" customHeight="1" x14ac:dyDescent="0.3">
      <c r="B573" s="14">
        <v>0</v>
      </c>
      <c r="C573" s="14">
        <v>0</v>
      </c>
      <c r="D573" s="14">
        <v>0</v>
      </c>
      <c r="E573" s="14">
        <v>0</v>
      </c>
      <c r="F573" s="14">
        <v>0</v>
      </c>
      <c r="G573" s="14">
        <v>0</v>
      </c>
      <c r="H573" s="14" t="s">
        <v>415</v>
      </c>
      <c r="I573" s="15" t="s">
        <v>415</v>
      </c>
      <c r="J573" s="14">
        <v>0</v>
      </c>
      <c r="K573">
        <v>0</v>
      </c>
      <c r="L573">
        <v>0</v>
      </c>
      <c r="M573">
        <v>0</v>
      </c>
      <c r="N573" s="10">
        <v>0</v>
      </c>
    </row>
    <row r="574" spans="2:14" ht="33" customHeight="1" x14ac:dyDescent="0.3">
      <c r="B574" s="14">
        <v>0</v>
      </c>
      <c r="C574" s="14">
        <v>0</v>
      </c>
      <c r="D574" s="14">
        <v>0</v>
      </c>
      <c r="E574" s="14">
        <v>0</v>
      </c>
      <c r="F574" s="14">
        <v>0</v>
      </c>
      <c r="G574" s="14">
        <v>0</v>
      </c>
      <c r="H574" s="14" t="s">
        <v>415</v>
      </c>
      <c r="I574" s="15" t="s">
        <v>415</v>
      </c>
      <c r="J574" s="14">
        <v>0</v>
      </c>
      <c r="K574">
        <v>0</v>
      </c>
      <c r="L574">
        <v>0</v>
      </c>
      <c r="M574">
        <v>0</v>
      </c>
      <c r="N574" s="10">
        <v>0</v>
      </c>
    </row>
    <row r="575" spans="2:14" ht="33" customHeight="1" x14ac:dyDescent="0.3">
      <c r="B575" s="14">
        <v>0</v>
      </c>
      <c r="C575" s="14">
        <v>0</v>
      </c>
      <c r="D575" s="14">
        <v>0</v>
      </c>
      <c r="E575" s="14">
        <v>0</v>
      </c>
      <c r="F575" s="14">
        <v>0</v>
      </c>
      <c r="G575" s="14">
        <v>0</v>
      </c>
      <c r="H575" s="14" t="s">
        <v>415</v>
      </c>
      <c r="I575" s="15" t="s">
        <v>415</v>
      </c>
      <c r="J575" s="14">
        <v>0</v>
      </c>
      <c r="K575">
        <v>0</v>
      </c>
      <c r="L575">
        <v>0</v>
      </c>
      <c r="M575">
        <v>0</v>
      </c>
      <c r="N575" s="10">
        <v>0</v>
      </c>
    </row>
    <row r="576" spans="2:14" ht="33" customHeight="1" x14ac:dyDescent="0.3">
      <c r="B576" s="14">
        <v>0</v>
      </c>
      <c r="C576" s="14">
        <v>0</v>
      </c>
      <c r="D576" s="14">
        <v>0</v>
      </c>
      <c r="E576" s="14">
        <v>0</v>
      </c>
      <c r="F576" s="14">
        <v>0</v>
      </c>
      <c r="G576" s="14">
        <v>0</v>
      </c>
      <c r="H576" s="14" t="s">
        <v>415</v>
      </c>
      <c r="I576" s="15" t="s">
        <v>415</v>
      </c>
      <c r="J576" s="14">
        <v>0</v>
      </c>
      <c r="K576">
        <v>0</v>
      </c>
      <c r="L576">
        <v>0</v>
      </c>
      <c r="M576">
        <v>0</v>
      </c>
      <c r="N576" s="10">
        <v>0</v>
      </c>
    </row>
    <row r="577" spans="2:14" ht="33" customHeight="1" x14ac:dyDescent="0.3">
      <c r="B577" s="14">
        <v>0</v>
      </c>
      <c r="C577" s="14">
        <v>0</v>
      </c>
      <c r="D577" s="14">
        <v>0</v>
      </c>
      <c r="E577" s="14">
        <v>0</v>
      </c>
      <c r="F577" s="14">
        <v>0</v>
      </c>
      <c r="G577" s="14">
        <v>0</v>
      </c>
      <c r="H577" s="14" t="s">
        <v>415</v>
      </c>
      <c r="I577" s="15" t="s">
        <v>415</v>
      </c>
      <c r="J577" s="14">
        <v>0</v>
      </c>
      <c r="K577">
        <v>0</v>
      </c>
      <c r="L577">
        <v>0</v>
      </c>
      <c r="M577">
        <v>0</v>
      </c>
      <c r="N577" s="10">
        <v>0</v>
      </c>
    </row>
    <row r="578" spans="2:14" ht="33" customHeight="1" x14ac:dyDescent="0.3">
      <c r="B578" s="14">
        <v>0</v>
      </c>
      <c r="C578" s="14">
        <v>0</v>
      </c>
      <c r="D578" s="14">
        <v>0</v>
      </c>
      <c r="E578" s="14">
        <v>0</v>
      </c>
      <c r="F578" s="14">
        <v>0</v>
      </c>
      <c r="G578" s="14">
        <v>0</v>
      </c>
      <c r="H578" s="14" t="s">
        <v>415</v>
      </c>
      <c r="I578" s="15" t="s">
        <v>415</v>
      </c>
      <c r="J578" s="14">
        <v>0</v>
      </c>
      <c r="K578">
        <v>0</v>
      </c>
      <c r="L578">
        <v>0</v>
      </c>
      <c r="M578">
        <v>0</v>
      </c>
      <c r="N578" s="10">
        <v>0</v>
      </c>
    </row>
    <row r="579" spans="2:14" ht="33" customHeight="1" x14ac:dyDescent="0.3">
      <c r="B579" s="14">
        <v>0</v>
      </c>
      <c r="C579" s="14">
        <v>0</v>
      </c>
      <c r="D579" s="14">
        <v>0</v>
      </c>
      <c r="E579" s="14">
        <v>0</v>
      </c>
      <c r="F579" s="14">
        <v>0</v>
      </c>
      <c r="G579" s="14">
        <v>0</v>
      </c>
      <c r="H579" s="14" t="s">
        <v>415</v>
      </c>
      <c r="I579" s="15" t="s">
        <v>415</v>
      </c>
      <c r="J579" s="14">
        <v>0</v>
      </c>
      <c r="K579">
        <v>0</v>
      </c>
      <c r="L579">
        <v>0</v>
      </c>
      <c r="M579">
        <v>0</v>
      </c>
      <c r="N579" s="10">
        <v>0</v>
      </c>
    </row>
    <row r="580" spans="2:14" ht="33" customHeight="1" x14ac:dyDescent="0.3">
      <c r="B580" s="14">
        <v>0</v>
      </c>
      <c r="C580" s="14">
        <v>0</v>
      </c>
      <c r="D580" s="14">
        <v>0</v>
      </c>
      <c r="E580" s="14">
        <v>0</v>
      </c>
      <c r="F580" s="14">
        <v>0</v>
      </c>
      <c r="G580" s="14">
        <v>0</v>
      </c>
      <c r="H580" s="14" t="s">
        <v>415</v>
      </c>
      <c r="I580" s="15" t="s">
        <v>415</v>
      </c>
      <c r="J580" s="14">
        <v>0</v>
      </c>
      <c r="K580">
        <v>0</v>
      </c>
      <c r="L580">
        <v>0</v>
      </c>
      <c r="M580">
        <v>0</v>
      </c>
      <c r="N580" s="10">
        <v>0</v>
      </c>
    </row>
    <row r="581" spans="2:14" ht="33" customHeight="1" x14ac:dyDescent="0.3">
      <c r="B581" s="14">
        <v>0</v>
      </c>
      <c r="C581" s="14">
        <v>0</v>
      </c>
      <c r="D581" s="14">
        <v>0</v>
      </c>
      <c r="E581" s="14">
        <v>0</v>
      </c>
      <c r="F581" s="14">
        <v>0</v>
      </c>
      <c r="G581" s="14">
        <v>0</v>
      </c>
      <c r="H581" s="14" t="s">
        <v>415</v>
      </c>
      <c r="I581" s="15" t="s">
        <v>415</v>
      </c>
      <c r="J581" s="14">
        <v>0</v>
      </c>
      <c r="K581">
        <v>0</v>
      </c>
      <c r="L581">
        <v>0</v>
      </c>
      <c r="M581">
        <v>0</v>
      </c>
      <c r="N581" s="10">
        <v>0</v>
      </c>
    </row>
    <row r="582" spans="2:14" ht="33" customHeight="1" x14ac:dyDescent="0.3">
      <c r="B582" s="14">
        <v>0</v>
      </c>
      <c r="C582" s="14">
        <v>0</v>
      </c>
      <c r="D582" s="14">
        <v>0</v>
      </c>
      <c r="E582" s="14">
        <v>0</v>
      </c>
      <c r="F582" s="14">
        <v>0</v>
      </c>
      <c r="G582" s="14">
        <v>0</v>
      </c>
      <c r="H582" s="14" t="s">
        <v>415</v>
      </c>
      <c r="I582" s="15" t="s">
        <v>415</v>
      </c>
      <c r="J582" s="14">
        <v>0</v>
      </c>
      <c r="K582">
        <v>0</v>
      </c>
      <c r="L582">
        <v>0</v>
      </c>
      <c r="M582">
        <v>0</v>
      </c>
      <c r="N582" s="10">
        <v>0</v>
      </c>
    </row>
    <row r="583" spans="2:14" ht="33" customHeight="1" x14ac:dyDescent="0.3">
      <c r="B583" s="14">
        <v>0</v>
      </c>
      <c r="C583" s="14">
        <v>0</v>
      </c>
      <c r="D583" s="14">
        <v>0</v>
      </c>
      <c r="E583" s="14">
        <v>0</v>
      </c>
      <c r="F583" s="14">
        <v>0</v>
      </c>
      <c r="G583" s="14">
        <v>0</v>
      </c>
      <c r="H583" s="14" t="s">
        <v>415</v>
      </c>
      <c r="I583" s="15" t="s">
        <v>415</v>
      </c>
      <c r="J583" s="14">
        <v>0</v>
      </c>
      <c r="K583">
        <v>0</v>
      </c>
      <c r="L583">
        <v>0</v>
      </c>
      <c r="M583">
        <v>0</v>
      </c>
      <c r="N583" s="10">
        <v>0</v>
      </c>
    </row>
    <row r="584" spans="2:14" ht="33" customHeight="1" x14ac:dyDescent="0.3">
      <c r="B584" s="14">
        <v>0</v>
      </c>
      <c r="C584" s="14">
        <v>0</v>
      </c>
      <c r="D584" s="14">
        <v>0</v>
      </c>
      <c r="E584" s="14">
        <v>0</v>
      </c>
      <c r="F584" s="14">
        <v>0</v>
      </c>
      <c r="G584" s="14">
        <v>0</v>
      </c>
      <c r="H584" s="14" t="s">
        <v>415</v>
      </c>
      <c r="I584" s="15" t="s">
        <v>415</v>
      </c>
      <c r="J584" s="14">
        <v>0</v>
      </c>
      <c r="K584">
        <v>0</v>
      </c>
      <c r="L584">
        <v>0</v>
      </c>
      <c r="M584">
        <v>0</v>
      </c>
      <c r="N584" s="10">
        <v>0</v>
      </c>
    </row>
    <row r="585" spans="2:14" ht="33" customHeight="1" x14ac:dyDescent="0.3">
      <c r="B585" s="14">
        <v>0</v>
      </c>
      <c r="C585" s="14">
        <v>0</v>
      </c>
      <c r="D585" s="14">
        <v>0</v>
      </c>
      <c r="E585" s="14">
        <v>0</v>
      </c>
      <c r="F585" s="14">
        <v>0</v>
      </c>
      <c r="G585" s="14">
        <v>0</v>
      </c>
      <c r="H585" s="14" t="s">
        <v>415</v>
      </c>
      <c r="I585" s="15" t="s">
        <v>415</v>
      </c>
      <c r="J585" s="14">
        <v>0</v>
      </c>
      <c r="K585">
        <v>0</v>
      </c>
      <c r="L585">
        <v>0</v>
      </c>
      <c r="M585">
        <v>0</v>
      </c>
      <c r="N585" s="10">
        <v>0</v>
      </c>
    </row>
    <row r="586" spans="2:14" ht="33" customHeight="1" x14ac:dyDescent="0.3">
      <c r="B586" s="14">
        <v>0</v>
      </c>
      <c r="C586" s="14">
        <v>0</v>
      </c>
      <c r="D586" s="14">
        <v>0</v>
      </c>
      <c r="E586" s="14">
        <v>0</v>
      </c>
      <c r="F586" s="14">
        <v>0</v>
      </c>
      <c r="G586" s="14">
        <v>0</v>
      </c>
      <c r="H586" s="14" t="s">
        <v>415</v>
      </c>
      <c r="I586" s="15" t="s">
        <v>415</v>
      </c>
      <c r="J586" s="14">
        <v>0</v>
      </c>
      <c r="K586">
        <v>0</v>
      </c>
      <c r="L586">
        <v>0</v>
      </c>
      <c r="M586">
        <v>0</v>
      </c>
      <c r="N586" s="10">
        <v>0</v>
      </c>
    </row>
    <row r="587" spans="2:14" ht="33" customHeight="1" x14ac:dyDescent="0.3">
      <c r="B587" s="14">
        <v>0</v>
      </c>
      <c r="C587" s="14">
        <v>0</v>
      </c>
      <c r="D587" s="14">
        <v>0</v>
      </c>
      <c r="E587" s="14">
        <v>0</v>
      </c>
      <c r="F587" s="14">
        <v>0</v>
      </c>
      <c r="G587" s="14">
        <v>0</v>
      </c>
      <c r="H587" s="14" t="s">
        <v>415</v>
      </c>
      <c r="I587" s="15" t="s">
        <v>415</v>
      </c>
      <c r="J587" s="14">
        <v>0</v>
      </c>
      <c r="K587">
        <v>0</v>
      </c>
      <c r="L587">
        <v>0</v>
      </c>
      <c r="M587">
        <v>0</v>
      </c>
      <c r="N587" s="10">
        <v>0</v>
      </c>
    </row>
    <row r="588" spans="2:14" ht="33" customHeight="1" x14ac:dyDescent="0.3">
      <c r="B588" s="14">
        <v>0</v>
      </c>
      <c r="C588" s="14">
        <v>0</v>
      </c>
      <c r="D588" s="14">
        <v>0</v>
      </c>
      <c r="E588" s="14">
        <v>0</v>
      </c>
      <c r="F588" s="14">
        <v>0</v>
      </c>
      <c r="G588" s="14">
        <v>0</v>
      </c>
      <c r="H588" s="14" t="s">
        <v>415</v>
      </c>
      <c r="I588" s="15" t="s">
        <v>415</v>
      </c>
      <c r="J588" s="14">
        <v>0</v>
      </c>
      <c r="K588">
        <v>0</v>
      </c>
      <c r="L588">
        <v>0</v>
      </c>
      <c r="M588">
        <v>0</v>
      </c>
      <c r="N588" s="10">
        <v>0</v>
      </c>
    </row>
    <row r="589" spans="2:14" ht="33" customHeight="1" x14ac:dyDescent="0.3">
      <c r="B589" s="14">
        <v>0</v>
      </c>
      <c r="C589" s="14">
        <v>0</v>
      </c>
      <c r="D589" s="14">
        <v>0</v>
      </c>
      <c r="E589" s="14">
        <v>0</v>
      </c>
      <c r="F589" s="14">
        <v>0</v>
      </c>
      <c r="G589" s="14">
        <v>0</v>
      </c>
      <c r="H589" s="14" t="s">
        <v>415</v>
      </c>
      <c r="I589" s="15" t="s">
        <v>415</v>
      </c>
      <c r="J589" s="14">
        <v>0</v>
      </c>
      <c r="K589">
        <v>0</v>
      </c>
      <c r="L589">
        <v>0</v>
      </c>
      <c r="M589">
        <v>0</v>
      </c>
      <c r="N589" s="10">
        <v>0</v>
      </c>
    </row>
    <row r="590" spans="2:14" ht="33" customHeight="1" x14ac:dyDescent="0.3">
      <c r="B590" s="14">
        <v>0</v>
      </c>
      <c r="C590" s="14">
        <v>0</v>
      </c>
      <c r="D590" s="14">
        <v>0</v>
      </c>
      <c r="E590" s="14">
        <v>0</v>
      </c>
      <c r="F590" s="14">
        <v>0</v>
      </c>
      <c r="G590" s="14">
        <v>0</v>
      </c>
      <c r="H590" s="14" t="s">
        <v>415</v>
      </c>
      <c r="I590" s="15" t="s">
        <v>415</v>
      </c>
      <c r="J590" s="14">
        <v>0</v>
      </c>
      <c r="K590">
        <v>0</v>
      </c>
      <c r="L590">
        <v>0</v>
      </c>
      <c r="M590">
        <v>0</v>
      </c>
      <c r="N590" s="10">
        <v>0</v>
      </c>
    </row>
    <row r="591" spans="2:14" ht="33" customHeight="1" x14ac:dyDescent="0.3">
      <c r="B591" s="14">
        <v>0</v>
      </c>
      <c r="C591" s="14">
        <v>0</v>
      </c>
      <c r="D591" s="14">
        <v>0</v>
      </c>
      <c r="E591" s="14">
        <v>0</v>
      </c>
      <c r="F591" s="14">
        <v>0</v>
      </c>
      <c r="G591" s="14">
        <v>0</v>
      </c>
      <c r="H591" s="14" t="s">
        <v>415</v>
      </c>
      <c r="I591" s="15" t="s">
        <v>415</v>
      </c>
      <c r="J591" s="14">
        <v>0</v>
      </c>
      <c r="K591">
        <v>0</v>
      </c>
      <c r="L591">
        <v>0</v>
      </c>
      <c r="M591">
        <v>0</v>
      </c>
      <c r="N591" s="10">
        <v>0</v>
      </c>
    </row>
    <row r="592" spans="2:14" ht="33" customHeight="1" x14ac:dyDescent="0.3">
      <c r="B592" s="14">
        <v>0</v>
      </c>
      <c r="C592" s="14">
        <v>0</v>
      </c>
      <c r="D592" s="14">
        <v>0</v>
      </c>
      <c r="E592" s="14">
        <v>0</v>
      </c>
      <c r="F592" s="14">
        <v>0</v>
      </c>
      <c r="G592" s="14">
        <v>0</v>
      </c>
      <c r="H592" s="14" t="s">
        <v>415</v>
      </c>
      <c r="I592" s="15" t="s">
        <v>415</v>
      </c>
      <c r="J592" s="14">
        <v>0</v>
      </c>
      <c r="K592">
        <v>0</v>
      </c>
      <c r="L592">
        <v>0</v>
      </c>
      <c r="M592">
        <v>0</v>
      </c>
      <c r="N592" s="10">
        <v>0</v>
      </c>
    </row>
    <row r="593" spans="2:14" ht="33" customHeight="1" x14ac:dyDescent="0.3">
      <c r="B593" s="14">
        <v>0</v>
      </c>
      <c r="C593" s="14">
        <v>0</v>
      </c>
      <c r="D593" s="14">
        <v>0</v>
      </c>
      <c r="E593" s="14">
        <v>0</v>
      </c>
      <c r="F593" s="14">
        <v>0</v>
      </c>
      <c r="G593" s="14">
        <v>0</v>
      </c>
      <c r="H593" s="14" t="s">
        <v>415</v>
      </c>
      <c r="I593" s="15" t="s">
        <v>415</v>
      </c>
      <c r="J593" s="14">
        <v>0</v>
      </c>
      <c r="K593">
        <v>0</v>
      </c>
      <c r="L593">
        <v>0</v>
      </c>
      <c r="M593">
        <v>0</v>
      </c>
      <c r="N593" s="10">
        <v>0</v>
      </c>
    </row>
    <row r="594" spans="2:14" ht="33" customHeight="1" x14ac:dyDescent="0.3">
      <c r="B594" s="14">
        <v>0</v>
      </c>
      <c r="C594" s="14">
        <v>0</v>
      </c>
      <c r="D594" s="14">
        <v>0</v>
      </c>
      <c r="E594" s="14">
        <v>0</v>
      </c>
      <c r="F594" s="14">
        <v>0</v>
      </c>
      <c r="G594" s="14">
        <v>0</v>
      </c>
      <c r="H594" s="14" t="s">
        <v>415</v>
      </c>
      <c r="I594" s="15" t="s">
        <v>415</v>
      </c>
      <c r="J594" s="14">
        <v>0</v>
      </c>
      <c r="K594">
        <v>0</v>
      </c>
      <c r="L594">
        <v>0</v>
      </c>
      <c r="M594">
        <v>0</v>
      </c>
      <c r="N594" s="10">
        <v>0</v>
      </c>
    </row>
    <row r="595" spans="2:14" ht="33" customHeight="1" x14ac:dyDescent="0.3">
      <c r="B595" s="14">
        <v>0</v>
      </c>
      <c r="C595" s="14">
        <v>0</v>
      </c>
      <c r="D595" s="14">
        <v>0</v>
      </c>
      <c r="E595" s="14">
        <v>0</v>
      </c>
      <c r="F595" s="14">
        <v>0</v>
      </c>
      <c r="G595" s="14">
        <v>0</v>
      </c>
      <c r="H595" s="14" t="s">
        <v>415</v>
      </c>
      <c r="I595" s="15" t="s">
        <v>415</v>
      </c>
      <c r="J595" s="14">
        <v>0</v>
      </c>
      <c r="K595">
        <v>0</v>
      </c>
      <c r="L595">
        <v>0</v>
      </c>
      <c r="M595">
        <v>0</v>
      </c>
      <c r="N595" s="10">
        <v>0</v>
      </c>
    </row>
    <row r="596" spans="2:14" ht="33" customHeight="1" x14ac:dyDescent="0.3">
      <c r="B596" s="14">
        <v>0</v>
      </c>
      <c r="C596" s="14">
        <v>0</v>
      </c>
      <c r="D596" s="14">
        <v>0</v>
      </c>
      <c r="E596" s="14">
        <v>0</v>
      </c>
      <c r="F596" s="14">
        <v>0</v>
      </c>
      <c r="G596" s="14">
        <v>0</v>
      </c>
      <c r="H596" s="14" t="s">
        <v>415</v>
      </c>
      <c r="I596" s="15" t="s">
        <v>415</v>
      </c>
      <c r="J596" s="14">
        <v>0</v>
      </c>
      <c r="K596">
        <v>0</v>
      </c>
      <c r="L596">
        <v>0</v>
      </c>
      <c r="M596">
        <v>0</v>
      </c>
      <c r="N596" s="10">
        <v>0</v>
      </c>
    </row>
    <row r="597" spans="2:14" ht="33" customHeight="1" x14ac:dyDescent="0.3">
      <c r="B597" s="14">
        <v>0</v>
      </c>
      <c r="C597" s="14">
        <v>0</v>
      </c>
      <c r="D597" s="14">
        <v>0</v>
      </c>
      <c r="E597" s="14">
        <v>0</v>
      </c>
      <c r="F597" s="14">
        <v>0</v>
      </c>
      <c r="G597" s="14">
        <v>0</v>
      </c>
      <c r="H597" s="14" t="s">
        <v>415</v>
      </c>
      <c r="I597" s="15" t="s">
        <v>415</v>
      </c>
      <c r="J597" s="14">
        <v>0</v>
      </c>
      <c r="K597">
        <v>0</v>
      </c>
      <c r="L597">
        <v>0</v>
      </c>
      <c r="M597">
        <v>0</v>
      </c>
      <c r="N597" s="10">
        <v>0</v>
      </c>
    </row>
    <row r="598" spans="2:14" ht="33" customHeight="1" x14ac:dyDescent="0.3">
      <c r="B598" s="14">
        <v>0</v>
      </c>
      <c r="C598" s="14">
        <v>0</v>
      </c>
      <c r="D598" s="14">
        <v>0</v>
      </c>
      <c r="E598" s="14">
        <v>0</v>
      </c>
      <c r="F598" s="14">
        <v>0</v>
      </c>
      <c r="G598" s="14">
        <v>0</v>
      </c>
      <c r="H598" s="14" t="s">
        <v>415</v>
      </c>
      <c r="I598" s="15" t="s">
        <v>415</v>
      </c>
      <c r="J598" s="14">
        <v>0</v>
      </c>
      <c r="K598">
        <v>0</v>
      </c>
      <c r="L598">
        <v>0</v>
      </c>
      <c r="M598">
        <v>0</v>
      </c>
      <c r="N598" s="10">
        <v>0</v>
      </c>
    </row>
    <row r="599" spans="2:14" ht="33" customHeight="1" x14ac:dyDescent="0.3">
      <c r="B599" s="14">
        <v>0</v>
      </c>
      <c r="C599" s="14">
        <v>0</v>
      </c>
      <c r="D599" s="14">
        <v>0</v>
      </c>
      <c r="E599" s="14">
        <v>0</v>
      </c>
      <c r="F599" s="14">
        <v>0</v>
      </c>
      <c r="G599" s="14">
        <v>0</v>
      </c>
      <c r="H599" s="14" t="s">
        <v>415</v>
      </c>
      <c r="I599" s="15" t="s">
        <v>415</v>
      </c>
      <c r="J599" s="14">
        <v>0</v>
      </c>
      <c r="K599">
        <v>0</v>
      </c>
      <c r="L599">
        <v>0</v>
      </c>
      <c r="M599">
        <v>0</v>
      </c>
      <c r="N599" s="10">
        <v>0</v>
      </c>
    </row>
    <row r="600" spans="2:14" ht="33" customHeight="1" x14ac:dyDescent="0.3">
      <c r="B600" s="14">
        <v>0</v>
      </c>
      <c r="C600" s="14">
        <v>0</v>
      </c>
      <c r="D600" s="14">
        <v>0</v>
      </c>
      <c r="E600" s="14">
        <v>0</v>
      </c>
      <c r="F600" s="14">
        <v>0</v>
      </c>
      <c r="G600" s="14">
        <v>0</v>
      </c>
      <c r="H600" s="14" t="s">
        <v>415</v>
      </c>
      <c r="I600" s="15" t="s">
        <v>415</v>
      </c>
      <c r="J600" s="14">
        <v>0</v>
      </c>
      <c r="K600">
        <v>0</v>
      </c>
      <c r="L600">
        <v>0</v>
      </c>
      <c r="M600">
        <v>0</v>
      </c>
      <c r="N600" s="10">
        <v>0</v>
      </c>
    </row>
    <row r="601" spans="2:14" ht="33" customHeight="1" x14ac:dyDescent="0.3">
      <c r="B601" s="14">
        <v>0</v>
      </c>
      <c r="C601" s="14">
        <v>0</v>
      </c>
      <c r="D601" s="14">
        <v>0</v>
      </c>
      <c r="E601" s="14">
        <v>0</v>
      </c>
      <c r="F601" s="14">
        <v>0</v>
      </c>
      <c r="G601" s="14">
        <v>0</v>
      </c>
      <c r="H601" s="14" t="s">
        <v>415</v>
      </c>
      <c r="I601" s="15" t="s">
        <v>415</v>
      </c>
      <c r="J601" s="14">
        <v>0</v>
      </c>
      <c r="K601">
        <v>0</v>
      </c>
      <c r="L601">
        <v>0</v>
      </c>
      <c r="M601">
        <v>0</v>
      </c>
      <c r="N601" s="10">
        <v>0</v>
      </c>
    </row>
    <row r="602" spans="2:14" ht="33" customHeight="1" x14ac:dyDescent="0.3">
      <c r="B602" s="14">
        <v>0</v>
      </c>
      <c r="C602" s="14">
        <v>0</v>
      </c>
      <c r="D602" s="14">
        <v>0</v>
      </c>
      <c r="E602" s="14">
        <v>0</v>
      </c>
      <c r="F602" s="14">
        <v>0</v>
      </c>
      <c r="G602" s="14">
        <v>0</v>
      </c>
      <c r="H602" s="14" t="s">
        <v>415</v>
      </c>
      <c r="I602" s="15" t="s">
        <v>415</v>
      </c>
      <c r="J602" s="14">
        <v>0</v>
      </c>
      <c r="K602">
        <v>0</v>
      </c>
      <c r="L602">
        <v>0</v>
      </c>
      <c r="M602">
        <v>0</v>
      </c>
      <c r="N602" s="10">
        <v>0</v>
      </c>
    </row>
    <row r="603" spans="2:14" ht="33" customHeight="1" x14ac:dyDescent="0.3">
      <c r="B603" s="14">
        <v>0</v>
      </c>
      <c r="C603" s="14">
        <v>0</v>
      </c>
      <c r="D603" s="14">
        <v>0</v>
      </c>
      <c r="E603" s="14">
        <v>0</v>
      </c>
      <c r="F603" s="14">
        <v>0</v>
      </c>
      <c r="G603" s="14">
        <v>0</v>
      </c>
      <c r="H603" s="14" t="s">
        <v>415</v>
      </c>
      <c r="I603" s="15" t="s">
        <v>415</v>
      </c>
      <c r="J603" s="14">
        <v>0</v>
      </c>
      <c r="K603">
        <v>0</v>
      </c>
      <c r="L603">
        <v>0</v>
      </c>
      <c r="M603">
        <v>0</v>
      </c>
      <c r="N603" s="10">
        <v>0</v>
      </c>
    </row>
    <row r="604" spans="2:14" ht="33" customHeight="1" x14ac:dyDescent="0.3">
      <c r="B604" s="14">
        <v>0</v>
      </c>
      <c r="C604" s="14">
        <v>0</v>
      </c>
      <c r="D604" s="14">
        <v>0</v>
      </c>
      <c r="E604" s="14">
        <v>0</v>
      </c>
      <c r="F604" s="14">
        <v>0</v>
      </c>
      <c r="G604" s="14">
        <v>0</v>
      </c>
      <c r="H604" s="14" t="s">
        <v>415</v>
      </c>
      <c r="I604" s="15" t="s">
        <v>415</v>
      </c>
      <c r="J604" s="14">
        <v>0</v>
      </c>
      <c r="K604">
        <v>0</v>
      </c>
      <c r="L604">
        <v>0</v>
      </c>
      <c r="M604">
        <v>0</v>
      </c>
      <c r="N604" s="10">
        <v>0</v>
      </c>
    </row>
    <row r="605" spans="2:14" ht="33" customHeight="1" x14ac:dyDescent="0.3">
      <c r="B605" s="14">
        <v>0</v>
      </c>
      <c r="C605" s="14">
        <v>0</v>
      </c>
      <c r="D605" s="14">
        <v>0</v>
      </c>
      <c r="E605" s="14">
        <v>0</v>
      </c>
      <c r="F605" s="14">
        <v>0</v>
      </c>
      <c r="G605" s="14">
        <v>0</v>
      </c>
      <c r="H605" s="14" t="s">
        <v>415</v>
      </c>
      <c r="I605" s="15" t="s">
        <v>415</v>
      </c>
      <c r="J605" s="14">
        <v>0</v>
      </c>
      <c r="K605">
        <v>0</v>
      </c>
      <c r="L605">
        <v>0</v>
      </c>
      <c r="M605">
        <v>0</v>
      </c>
      <c r="N605" s="10">
        <v>0</v>
      </c>
    </row>
    <row r="606" spans="2:14" ht="33" customHeight="1" x14ac:dyDescent="0.3">
      <c r="B606" s="14">
        <v>0</v>
      </c>
      <c r="C606" s="14">
        <v>0</v>
      </c>
      <c r="D606" s="14">
        <v>0</v>
      </c>
      <c r="E606" s="14">
        <v>0</v>
      </c>
      <c r="F606" s="14">
        <v>0</v>
      </c>
      <c r="G606" s="14">
        <v>0</v>
      </c>
      <c r="H606" s="14" t="s">
        <v>415</v>
      </c>
      <c r="I606" s="15" t="s">
        <v>415</v>
      </c>
      <c r="J606" s="14">
        <v>0</v>
      </c>
      <c r="K606">
        <v>0</v>
      </c>
      <c r="L606">
        <v>0</v>
      </c>
      <c r="M606">
        <v>0</v>
      </c>
      <c r="N606" s="10">
        <v>0</v>
      </c>
    </row>
    <row r="607" spans="2:14" ht="33" customHeight="1" x14ac:dyDescent="0.3">
      <c r="B607" s="14">
        <v>0</v>
      </c>
      <c r="C607" s="14">
        <v>0</v>
      </c>
      <c r="D607" s="14">
        <v>0</v>
      </c>
      <c r="E607" s="14">
        <v>0</v>
      </c>
      <c r="F607" s="14">
        <v>0</v>
      </c>
      <c r="G607" s="14">
        <v>0</v>
      </c>
      <c r="H607" s="14" t="s">
        <v>415</v>
      </c>
      <c r="I607" s="15" t="s">
        <v>415</v>
      </c>
      <c r="J607" s="14">
        <v>0</v>
      </c>
      <c r="K607">
        <v>0</v>
      </c>
      <c r="L607">
        <v>0</v>
      </c>
      <c r="M607">
        <v>0</v>
      </c>
      <c r="N607" s="10">
        <v>0</v>
      </c>
    </row>
    <row r="608" spans="2:14" ht="33" customHeight="1" x14ac:dyDescent="0.3">
      <c r="B608" s="14">
        <v>0</v>
      </c>
      <c r="C608" s="14">
        <v>0</v>
      </c>
      <c r="D608" s="14">
        <v>0</v>
      </c>
      <c r="E608" s="14">
        <v>0</v>
      </c>
      <c r="F608" s="14">
        <v>0</v>
      </c>
      <c r="G608" s="14">
        <v>0</v>
      </c>
      <c r="H608" s="14" t="s">
        <v>415</v>
      </c>
      <c r="I608" s="15" t="s">
        <v>415</v>
      </c>
      <c r="J608" s="14">
        <v>0</v>
      </c>
      <c r="K608">
        <v>0</v>
      </c>
      <c r="L608">
        <v>0</v>
      </c>
      <c r="M608">
        <v>0</v>
      </c>
      <c r="N608" s="10">
        <v>0</v>
      </c>
    </row>
    <row r="609" spans="2:14" ht="33" customHeight="1" x14ac:dyDescent="0.3">
      <c r="B609" s="14">
        <v>0</v>
      </c>
      <c r="C609" s="14">
        <v>0</v>
      </c>
      <c r="D609" s="14">
        <v>0</v>
      </c>
      <c r="E609" s="14">
        <v>0</v>
      </c>
      <c r="F609" s="14">
        <v>0</v>
      </c>
      <c r="G609" s="14">
        <v>0</v>
      </c>
      <c r="H609" s="14" t="s">
        <v>415</v>
      </c>
      <c r="I609" s="15" t="s">
        <v>415</v>
      </c>
      <c r="J609" s="14">
        <v>0</v>
      </c>
      <c r="K609">
        <v>0</v>
      </c>
      <c r="L609">
        <v>0</v>
      </c>
      <c r="M609">
        <v>0</v>
      </c>
      <c r="N609" s="10">
        <v>0</v>
      </c>
    </row>
    <row r="610" spans="2:14" ht="33" customHeight="1" x14ac:dyDescent="0.3">
      <c r="B610" s="14">
        <v>0</v>
      </c>
      <c r="C610" s="14">
        <v>0</v>
      </c>
      <c r="D610" s="14">
        <v>0</v>
      </c>
      <c r="E610" s="14">
        <v>0</v>
      </c>
      <c r="F610" s="14">
        <v>0</v>
      </c>
      <c r="G610" s="14">
        <v>0</v>
      </c>
      <c r="H610" s="14" t="s">
        <v>415</v>
      </c>
      <c r="I610" s="15" t="s">
        <v>415</v>
      </c>
      <c r="J610" s="14">
        <v>0</v>
      </c>
      <c r="K610">
        <v>0</v>
      </c>
      <c r="L610">
        <v>0</v>
      </c>
      <c r="M610">
        <v>0</v>
      </c>
      <c r="N610" s="10">
        <v>0</v>
      </c>
    </row>
    <row r="611" spans="2:14" ht="33" customHeight="1" x14ac:dyDescent="0.3">
      <c r="B611" s="14">
        <v>0</v>
      </c>
      <c r="C611" s="14">
        <v>0</v>
      </c>
      <c r="D611" s="14">
        <v>0</v>
      </c>
      <c r="E611" s="14">
        <v>0</v>
      </c>
      <c r="F611" s="14">
        <v>0</v>
      </c>
      <c r="G611" s="14">
        <v>0</v>
      </c>
      <c r="H611" s="14" t="s">
        <v>415</v>
      </c>
      <c r="I611" s="15" t="s">
        <v>415</v>
      </c>
      <c r="J611" s="14">
        <v>0</v>
      </c>
      <c r="K611">
        <v>0</v>
      </c>
      <c r="L611">
        <v>0</v>
      </c>
      <c r="M611">
        <v>0</v>
      </c>
      <c r="N611" s="10">
        <v>0</v>
      </c>
    </row>
    <row r="612" spans="2:14" ht="33" customHeight="1" x14ac:dyDescent="0.3">
      <c r="B612" s="14">
        <v>0</v>
      </c>
      <c r="C612" s="14">
        <v>0</v>
      </c>
      <c r="D612" s="14">
        <v>0</v>
      </c>
      <c r="E612" s="14">
        <v>0</v>
      </c>
      <c r="F612" s="14">
        <v>0</v>
      </c>
      <c r="G612" s="14">
        <v>0</v>
      </c>
      <c r="H612" s="14" t="s">
        <v>415</v>
      </c>
      <c r="I612" s="15" t="s">
        <v>415</v>
      </c>
      <c r="J612" s="14">
        <v>0</v>
      </c>
      <c r="K612">
        <v>0</v>
      </c>
      <c r="L612">
        <v>0</v>
      </c>
      <c r="M612">
        <v>0</v>
      </c>
      <c r="N612" s="10">
        <v>0</v>
      </c>
    </row>
    <row r="613" spans="2:14" ht="33" customHeight="1" x14ac:dyDescent="0.3">
      <c r="B613" s="14">
        <v>0</v>
      </c>
      <c r="C613" s="14">
        <v>0</v>
      </c>
      <c r="D613" s="14">
        <v>0</v>
      </c>
      <c r="E613" s="14">
        <v>0</v>
      </c>
      <c r="F613" s="14">
        <v>0</v>
      </c>
      <c r="G613" s="14">
        <v>0</v>
      </c>
      <c r="H613" s="14" t="s">
        <v>415</v>
      </c>
      <c r="I613" s="15" t="s">
        <v>415</v>
      </c>
      <c r="J613" s="14">
        <v>0</v>
      </c>
      <c r="K613">
        <v>0</v>
      </c>
      <c r="L613">
        <v>0</v>
      </c>
      <c r="M613">
        <v>0</v>
      </c>
      <c r="N613" s="10">
        <v>0</v>
      </c>
    </row>
    <row r="614" spans="2:14" ht="33" customHeight="1" x14ac:dyDescent="0.3">
      <c r="B614" s="14">
        <v>0</v>
      </c>
      <c r="C614" s="14">
        <v>0</v>
      </c>
      <c r="D614" s="14">
        <v>0</v>
      </c>
      <c r="E614" s="14">
        <v>0</v>
      </c>
      <c r="F614" s="14">
        <v>0</v>
      </c>
      <c r="G614" s="14">
        <v>0</v>
      </c>
      <c r="H614" s="14" t="s">
        <v>415</v>
      </c>
      <c r="I614" s="15" t="s">
        <v>415</v>
      </c>
      <c r="J614" s="14">
        <v>0</v>
      </c>
      <c r="K614">
        <v>0</v>
      </c>
      <c r="L614">
        <v>0</v>
      </c>
      <c r="M614">
        <v>0</v>
      </c>
      <c r="N614" s="10">
        <v>0</v>
      </c>
    </row>
    <row r="615" spans="2:14" ht="33" customHeight="1" x14ac:dyDescent="0.3">
      <c r="B615" s="14">
        <v>0</v>
      </c>
      <c r="C615" s="14">
        <v>0</v>
      </c>
      <c r="D615" s="14">
        <v>0</v>
      </c>
      <c r="E615" s="14">
        <v>0</v>
      </c>
      <c r="F615" s="14">
        <v>0</v>
      </c>
      <c r="G615" s="14">
        <v>0</v>
      </c>
      <c r="H615" s="14" t="s">
        <v>415</v>
      </c>
      <c r="I615" s="15" t="s">
        <v>415</v>
      </c>
      <c r="J615" s="14">
        <v>0</v>
      </c>
      <c r="K615">
        <v>0</v>
      </c>
      <c r="L615">
        <v>0</v>
      </c>
      <c r="M615">
        <v>0</v>
      </c>
      <c r="N615" s="10">
        <v>0</v>
      </c>
    </row>
    <row r="616" spans="2:14" ht="33" customHeight="1" x14ac:dyDescent="0.3">
      <c r="B616" s="14">
        <v>0</v>
      </c>
      <c r="C616" s="14">
        <v>0</v>
      </c>
      <c r="D616" s="14">
        <v>0</v>
      </c>
      <c r="E616" s="14">
        <v>0</v>
      </c>
      <c r="F616" s="14">
        <v>0</v>
      </c>
      <c r="G616" s="14">
        <v>0</v>
      </c>
      <c r="H616" s="14" t="s">
        <v>415</v>
      </c>
      <c r="I616" s="15" t="s">
        <v>415</v>
      </c>
      <c r="J616" s="14">
        <v>0</v>
      </c>
      <c r="K616">
        <v>0</v>
      </c>
      <c r="L616">
        <v>0</v>
      </c>
      <c r="M616">
        <v>0</v>
      </c>
      <c r="N616" s="10">
        <v>0</v>
      </c>
    </row>
    <row r="617" spans="2:14" ht="33" customHeight="1" x14ac:dyDescent="0.3">
      <c r="B617" s="14">
        <v>0</v>
      </c>
      <c r="C617" s="14">
        <v>0</v>
      </c>
      <c r="D617" s="14">
        <v>0</v>
      </c>
      <c r="E617" s="14">
        <v>0</v>
      </c>
      <c r="F617" s="14">
        <v>0</v>
      </c>
      <c r="G617" s="14">
        <v>0</v>
      </c>
      <c r="H617" s="14" t="s">
        <v>415</v>
      </c>
      <c r="I617" s="15" t="s">
        <v>415</v>
      </c>
      <c r="J617" s="14">
        <v>0</v>
      </c>
      <c r="K617">
        <v>0</v>
      </c>
      <c r="L617">
        <v>0</v>
      </c>
      <c r="M617">
        <v>0</v>
      </c>
      <c r="N617" s="10">
        <v>0</v>
      </c>
    </row>
    <row r="618" spans="2:14" ht="33" customHeight="1" x14ac:dyDescent="0.3">
      <c r="B618" s="14">
        <v>0</v>
      </c>
      <c r="C618" s="14">
        <v>0</v>
      </c>
      <c r="D618" s="14">
        <v>0</v>
      </c>
      <c r="E618" s="14">
        <v>0</v>
      </c>
      <c r="F618" s="14">
        <v>0</v>
      </c>
      <c r="G618" s="14">
        <v>0</v>
      </c>
      <c r="H618" s="14" t="s">
        <v>415</v>
      </c>
      <c r="I618" s="15" t="s">
        <v>415</v>
      </c>
      <c r="J618" s="14">
        <v>0</v>
      </c>
      <c r="K618">
        <v>0</v>
      </c>
      <c r="L618">
        <v>0</v>
      </c>
      <c r="M618">
        <v>0</v>
      </c>
      <c r="N618" s="10">
        <v>0</v>
      </c>
    </row>
    <row r="619" spans="2:14" ht="33" customHeight="1" x14ac:dyDescent="0.3">
      <c r="B619" s="14">
        <v>0</v>
      </c>
      <c r="C619" s="14">
        <v>0</v>
      </c>
      <c r="D619" s="14">
        <v>0</v>
      </c>
      <c r="E619" s="14">
        <v>0</v>
      </c>
      <c r="F619" s="14">
        <v>0</v>
      </c>
      <c r="G619" s="14">
        <v>0</v>
      </c>
      <c r="H619" s="14" t="s">
        <v>415</v>
      </c>
      <c r="I619" s="15" t="s">
        <v>415</v>
      </c>
      <c r="J619" s="14">
        <v>0</v>
      </c>
      <c r="K619">
        <v>0</v>
      </c>
      <c r="L619">
        <v>0</v>
      </c>
      <c r="M619">
        <v>0</v>
      </c>
      <c r="N619" s="10">
        <v>0</v>
      </c>
    </row>
    <row r="620" spans="2:14" ht="33" customHeight="1" x14ac:dyDescent="0.3">
      <c r="B620" s="14">
        <v>0</v>
      </c>
      <c r="C620" s="14">
        <v>0</v>
      </c>
      <c r="D620" s="14">
        <v>0</v>
      </c>
      <c r="E620" s="14">
        <v>0</v>
      </c>
      <c r="F620" s="14">
        <v>0</v>
      </c>
      <c r="G620" s="14">
        <v>0</v>
      </c>
      <c r="H620" s="14" t="s">
        <v>415</v>
      </c>
      <c r="I620" s="15" t="s">
        <v>415</v>
      </c>
      <c r="J620" s="14">
        <v>0</v>
      </c>
      <c r="K620">
        <v>0</v>
      </c>
      <c r="L620">
        <v>0</v>
      </c>
      <c r="M620">
        <v>0</v>
      </c>
      <c r="N620" s="10">
        <v>0</v>
      </c>
    </row>
    <row r="621" spans="2:14" ht="33" customHeight="1" x14ac:dyDescent="0.3">
      <c r="B621" s="14">
        <v>0</v>
      </c>
      <c r="C621" s="14">
        <v>0</v>
      </c>
      <c r="D621" s="14">
        <v>0</v>
      </c>
      <c r="E621" s="14">
        <v>0</v>
      </c>
      <c r="F621" s="14">
        <v>0</v>
      </c>
      <c r="G621" s="14">
        <v>0</v>
      </c>
      <c r="H621" s="14" t="s">
        <v>415</v>
      </c>
      <c r="I621" s="15" t="s">
        <v>415</v>
      </c>
      <c r="J621" s="14">
        <v>0</v>
      </c>
      <c r="K621">
        <v>0</v>
      </c>
      <c r="L621">
        <v>0</v>
      </c>
      <c r="M621">
        <v>0</v>
      </c>
      <c r="N621" s="10">
        <v>0</v>
      </c>
    </row>
    <row r="622" spans="2:14" ht="33" customHeight="1" x14ac:dyDescent="0.3">
      <c r="B622" s="14">
        <v>0</v>
      </c>
      <c r="C622" s="14">
        <v>0</v>
      </c>
      <c r="D622" s="14">
        <v>0</v>
      </c>
      <c r="E622" s="14">
        <v>0</v>
      </c>
      <c r="F622" s="14">
        <v>0</v>
      </c>
      <c r="G622" s="14">
        <v>0</v>
      </c>
      <c r="H622" s="14" t="s">
        <v>415</v>
      </c>
      <c r="I622" s="15" t="s">
        <v>415</v>
      </c>
      <c r="J622" s="14">
        <v>0</v>
      </c>
      <c r="K622">
        <v>0</v>
      </c>
      <c r="L622">
        <v>0</v>
      </c>
      <c r="M622">
        <v>0</v>
      </c>
      <c r="N622" s="10">
        <v>0</v>
      </c>
    </row>
    <row r="623" spans="2:14" ht="33" customHeight="1" x14ac:dyDescent="0.3">
      <c r="B623" s="14">
        <v>0</v>
      </c>
      <c r="C623" s="14">
        <v>0</v>
      </c>
      <c r="D623" s="14">
        <v>0</v>
      </c>
      <c r="E623" s="14">
        <v>0</v>
      </c>
      <c r="F623" s="14">
        <v>0</v>
      </c>
      <c r="G623" s="14">
        <v>0</v>
      </c>
      <c r="H623" s="14" t="s">
        <v>415</v>
      </c>
      <c r="I623" s="15" t="s">
        <v>415</v>
      </c>
      <c r="J623" s="14">
        <v>0</v>
      </c>
      <c r="K623">
        <v>0</v>
      </c>
      <c r="L623">
        <v>0</v>
      </c>
      <c r="M623">
        <v>0</v>
      </c>
      <c r="N623" s="10">
        <v>0</v>
      </c>
    </row>
    <row r="624" spans="2:14" ht="33" customHeight="1" x14ac:dyDescent="0.3">
      <c r="B624" s="14">
        <v>0</v>
      </c>
      <c r="C624" s="14">
        <v>0</v>
      </c>
      <c r="D624" s="14">
        <v>0</v>
      </c>
      <c r="E624" s="14">
        <v>0</v>
      </c>
      <c r="F624" s="14">
        <v>0</v>
      </c>
      <c r="G624" s="14">
        <v>0</v>
      </c>
      <c r="H624" s="14" t="s">
        <v>415</v>
      </c>
      <c r="I624" s="15" t="s">
        <v>415</v>
      </c>
      <c r="J624" s="14">
        <v>0</v>
      </c>
      <c r="K624">
        <v>0</v>
      </c>
      <c r="L624">
        <v>0</v>
      </c>
      <c r="M624">
        <v>0</v>
      </c>
      <c r="N624" s="10">
        <v>0</v>
      </c>
    </row>
    <row r="625" spans="2:14" ht="33" customHeight="1" x14ac:dyDescent="0.3">
      <c r="B625" s="14">
        <v>0</v>
      </c>
      <c r="C625" s="14">
        <v>0</v>
      </c>
      <c r="D625" s="14">
        <v>0</v>
      </c>
      <c r="E625" s="14">
        <v>0</v>
      </c>
      <c r="F625" s="14">
        <v>0</v>
      </c>
      <c r="G625" s="14">
        <v>0</v>
      </c>
      <c r="H625" s="14" t="s">
        <v>415</v>
      </c>
      <c r="I625" s="15" t="s">
        <v>415</v>
      </c>
      <c r="J625" s="14">
        <v>0</v>
      </c>
      <c r="K625">
        <v>0</v>
      </c>
      <c r="L625">
        <v>0</v>
      </c>
      <c r="M625">
        <v>0</v>
      </c>
      <c r="N625" s="10">
        <v>0</v>
      </c>
    </row>
    <row r="626" spans="2:14" ht="33" customHeight="1" x14ac:dyDescent="0.3">
      <c r="B626" s="14">
        <v>0</v>
      </c>
      <c r="C626" s="14">
        <v>0</v>
      </c>
      <c r="D626" s="14">
        <v>0</v>
      </c>
      <c r="E626" s="14">
        <v>0</v>
      </c>
      <c r="F626" s="14">
        <v>0</v>
      </c>
      <c r="G626" s="14">
        <v>0</v>
      </c>
      <c r="H626" s="14" t="s">
        <v>415</v>
      </c>
      <c r="I626" s="15" t="s">
        <v>415</v>
      </c>
      <c r="J626" s="14">
        <v>0</v>
      </c>
      <c r="K626">
        <v>0</v>
      </c>
      <c r="L626">
        <v>0</v>
      </c>
      <c r="M626">
        <v>0</v>
      </c>
      <c r="N626" s="10">
        <v>0</v>
      </c>
    </row>
    <row r="627" spans="2:14" ht="33" customHeight="1" x14ac:dyDescent="0.3">
      <c r="B627" s="14">
        <v>0</v>
      </c>
      <c r="C627" s="14">
        <v>0</v>
      </c>
      <c r="D627" s="14">
        <v>0</v>
      </c>
      <c r="E627" s="14">
        <v>0</v>
      </c>
      <c r="F627" s="14">
        <v>0</v>
      </c>
      <c r="G627" s="14">
        <v>0</v>
      </c>
      <c r="H627" s="14" t="s">
        <v>415</v>
      </c>
      <c r="I627" s="15" t="s">
        <v>415</v>
      </c>
      <c r="J627" s="14">
        <v>0</v>
      </c>
      <c r="K627">
        <v>0</v>
      </c>
      <c r="L627">
        <v>0</v>
      </c>
      <c r="M627">
        <v>0</v>
      </c>
      <c r="N627" s="10">
        <v>0</v>
      </c>
    </row>
    <row r="628" spans="2:14" ht="33" customHeight="1" x14ac:dyDescent="0.3">
      <c r="B628" s="14">
        <v>0</v>
      </c>
      <c r="C628" s="14">
        <v>0</v>
      </c>
      <c r="D628" s="14">
        <v>0</v>
      </c>
      <c r="E628" s="14">
        <v>0</v>
      </c>
      <c r="F628" s="14">
        <v>0</v>
      </c>
      <c r="G628" s="14">
        <v>0</v>
      </c>
      <c r="H628" s="14" t="s">
        <v>415</v>
      </c>
      <c r="I628" s="15" t="s">
        <v>415</v>
      </c>
      <c r="J628" s="14">
        <v>0</v>
      </c>
      <c r="K628">
        <v>0</v>
      </c>
      <c r="L628">
        <v>0</v>
      </c>
      <c r="M628">
        <v>0</v>
      </c>
      <c r="N628" s="10">
        <v>0</v>
      </c>
    </row>
    <row r="629" spans="2:14" ht="33" customHeight="1" x14ac:dyDescent="0.3">
      <c r="B629" s="14">
        <v>0</v>
      </c>
      <c r="C629" s="14">
        <v>0</v>
      </c>
      <c r="D629" s="14">
        <v>0</v>
      </c>
      <c r="E629" s="14">
        <v>0</v>
      </c>
      <c r="F629" s="14">
        <v>0</v>
      </c>
      <c r="G629" s="14">
        <v>0</v>
      </c>
      <c r="H629" s="14" t="s">
        <v>415</v>
      </c>
      <c r="I629" s="15" t="s">
        <v>415</v>
      </c>
      <c r="J629" s="14">
        <v>0</v>
      </c>
      <c r="K629">
        <v>0</v>
      </c>
      <c r="L629">
        <v>0</v>
      </c>
      <c r="M629">
        <v>0</v>
      </c>
      <c r="N629" s="10">
        <v>0</v>
      </c>
    </row>
    <row r="630" spans="2:14" ht="33" customHeight="1" x14ac:dyDescent="0.3">
      <c r="B630" s="14">
        <v>0</v>
      </c>
      <c r="C630" s="14">
        <v>0</v>
      </c>
      <c r="D630" s="14">
        <v>0</v>
      </c>
      <c r="E630" s="14">
        <v>0</v>
      </c>
      <c r="F630" s="14">
        <v>0</v>
      </c>
      <c r="G630" s="14">
        <v>0</v>
      </c>
      <c r="H630" s="14" t="s">
        <v>415</v>
      </c>
      <c r="I630" s="15" t="s">
        <v>415</v>
      </c>
      <c r="J630" s="14">
        <v>0</v>
      </c>
      <c r="K630">
        <v>0</v>
      </c>
      <c r="L630">
        <v>0</v>
      </c>
      <c r="M630">
        <v>0</v>
      </c>
      <c r="N630" s="10">
        <v>0</v>
      </c>
    </row>
    <row r="631" spans="2:14" ht="33" customHeight="1" x14ac:dyDescent="0.3">
      <c r="B631" s="14">
        <v>0</v>
      </c>
      <c r="C631" s="14">
        <v>0</v>
      </c>
      <c r="D631" s="14">
        <v>0</v>
      </c>
      <c r="E631" s="14">
        <v>0</v>
      </c>
      <c r="F631" s="14">
        <v>0</v>
      </c>
      <c r="G631" s="14">
        <v>0</v>
      </c>
      <c r="H631" s="14" t="s">
        <v>415</v>
      </c>
      <c r="I631" s="15" t="s">
        <v>415</v>
      </c>
      <c r="J631" s="14">
        <v>0</v>
      </c>
      <c r="K631">
        <v>0</v>
      </c>
      <c r="L631">
        <v>0</v>
      </c>
      <c r="M631">
        <v>0</v>
      </c>
      <c r="N631" s="10">
        <v>0</v>
      </c>
    </row>
    <row r="632" spans="2:14" ht="33" customHeight="1" x14ac:dyDescent="0.3">
      <c r="B632" s="14">
        <v>0</v>
      </c>
      <c r="C632" s="14">
        <v>0</v>
      </c>
      <c r="D632" s="14">
        <v>0</v>
      </c>
      <c r="E632" s="14">
        <v>0</v>
      </c>
      <c r="F632" s="14">
        <v>0</v>
      </c>
      <c r="G632" s="14">
        <v>0</v>
      </c>
      <c r="H632" s="14" t="s">
        <v>415</v>
      </c>
      <c r="I632" s="15" t="s">
        <v>415</v>
      </c>
      <c r="J632" s="14">
        <v>0</v>
      </c>
      <c r="K632">
        <v>0</v>
      </c>
      <c r="L632">
        <v>0</v>
      </c>
      <c r="M632">
        <v>0</v>
      </c>
      <c r="N632" s="10">
        <v>0</v>
      </c>
    </row>
    <row r="633" spans="2:14" ht="33" customHeight="1" x14ac:dyDescent="0.3">
      <c r="B633" s="14">
        <v>0</v>
      </c>
      <c r="C633" s="14">
        <v>0</v>
      </c>
      <c r="D633" s="14">
        <v>0</v>
      </c>
      <c r="E633" s="14">
        <v>0</v>
      </c>
      <c r="F633" s="14">
        <v>0</v>
      </c>
      <c r="G633" s="14">
        <v>0</v>
      </c>
      <c r="H633" s="14" t="s">
        <v>415</v>
      </c>
      <c r="I633" s="15" t="s">
        <v>415</v>
      </c>
      <c r="J633" s="14">
        <v>0</v>
      </c>
      <c r="K633">
        <v>0</v>
      </c>
      <c r="L633">
        <v>0</v>
      </c>
      <c r="M633">
        <v>0</v>
      </c>
      <c r="N633" s="10">
        <v>0</v>
      </c>
    </row>
    <row r="634" spans="2:14" ht="33" customHeight="1" x14ac:dyDescent="0.3">
      <c r="B634" s="14">
        <v>0</v>
      </c>
      <c r="C634" s="14">
        <v>0</v>
      </c>
      <c r="D634" s="14">
        <v>0</v>
      </c>
      <c r="E634" s="14">
        <v>0</v>
      </c>
      <c r="F634" s="14">
        <v>0</v>
      </c>
      <c r="G634" s="14">
        <v>0</v>
      </c>
      <c r="H634" s="14" t="s">
        <v>415</v>
      </c>
      <c r="I634" s="15" t="s">
        <v>415</v>
      </c>
      <c r="J634" s="14">
        <v>0</v>
      </c>
      <c r="K634">
        <v>0</v>
      </c>
      <c r="L634">
        <v>0</v>
      </c>
      <c r="M634">
        <v>0</v>
      </c>
      <c r="N634" s="10">
        <v>0</v>
      </c>
    </row>
    <row r="635" spans="2:14" ht="33" customHeight="1" x14ac:dyDescent="0.3">
      <c r="B635" s="14">
        <v>0</v>
      </c>
      <c r="C635" s="14">
        <v>0</v>
      </c>
      <c r="D635" s="14">
        <v>0</v>
      </c>
      <c r="E635" s="14">
        <v>0</v>
      </c>
      <c r="F635" s="14">
        <v>0</v>
      </c>
      <c r="G635" s="14">
        <v>0</v>
      </c>
      <c r="H635" s="14" t="s">
        <v>415</v>
      </c>
      <c r="I635" s="15" t="s">
        <v>415</v>
      </c>
      <c r="J635" s="14">
        <v>0</v>
      </c>
      <c r="K635">
        <v>0</v>
      </c>
      <c r="L635">
        <v>0</v>
      </c>
      <c r="M635">
        <v>0</v>
      </c>
      <c r="N635" s="10">
        <v>0</v>
      </c>
    </row>
    <row r="636" spans="2:14" ht="33" customHeight="1" x14ac:dyDescent="0.3">
      <c r="B636" s="14">
        <v>0</v>
      </c>
      <c r="C636" s="14">
        <v>0</v>
      </c>
      <c r="D636" s="14">
        <v>0</v>
      </c>
      <c r="E636" s="14">
        <v>0</v>
      </c>
      <c r="F636" s="14">
        <v>0</v>
      </c>
      <c r="G636" s="14">
        <v>0</v>
      </c>
      <c r="H636" s="14" t="s">
        <v>415</v>
      </c>
      <c r="I636" s="15" t="s">
        <v>415</v>
      </c>
      <c r="J636" s="14">
        <v>0</v>
      </c>
      <c r="K636">
        <v>0</v>
      </c>
      <c r="L636">
        <v>0</v>
      </c>
      <c r="M636">
        <v>0</v>
      </c>
      <c r="N636" s="10">
        <v>0</v>
      </c>
    </row>
    <row r="637" spans="2:14" ht="33" customHeight="1" x14ac:dyDescent="0.3">
      <c r="B637" s="14">
        <v>0</v>
      </c>
      <c r="C637" s="14">
        <v>0</v>
      </c>
      <c r="D637" s="14">
        <v>0</v>
      </c>
      <c r="E637" s="14">
        <v>0</v>
      </c>
      <c r="F637" s="14">
        <v>0</v>
      </c>
      <c r="G637" s="14">
        <v>0</v>
      </c>
      <c r="H637" s="14" t="s">
        <v>415</v>
      </c>
      <c r="I637" s="15" t="s">
        <v>415</v>
      </c>
      <c r="J637" s="14">
        <v>0</v>
      </c>
      <c r="K637">
        <v>0</v>
      </c>
      <c r="L637">
        <v>0</v>
      </c>
      <c r="M637">
        <v>0</v>
      </c>
      <c r="N637" s="10">
        <v>0</v>
      </c>
    </row>
    <row r="638" spans="2:14" ht="33" customHeight="1" x14ac:dyDescent="0.3">
      <c r="B638" s="14">
        <v>0</v>
      </c>
      <c r="C638" s="14">
        <v>0</v>
      </c>
      <c r="D638" s="14">
        <v>0</v>
      </c>
      <c r="E638" s="14">
        <v>0</v>
      </c>
      <c r="F638" s="14">
        <v>0</v>
      </c>
      <c r="G638" s="14">
        <v>0</v>
      </c>
      <c r="H638" s="14" t="s">
        <v>415</v>
      </c>
      <c r="I638" s="15" t="s">
        <v>415</v>
      </c>
      <c r="J638" s="14">
        <v>0</v>
      </c>
      <c r="K638">
        <v>0</v>
      </c>
      <c r="L638">
        <v>0</v>
      </c>
      <c r="M638">
        <v>0</v>
      </c>
      <c r="N638" s="10">
        <v>0</v>
      </c>
    </row>
    <row r="639" spans="2:14" ht="33" customHeight="1" x14ac:dyDescent="0.3">
      <c r="B639" s="14">
        <v>0</v>
      </c>
      <c r="C639" s="14">
        <v>0</v>
      </c>
      <c r="D639" s="14">
        <v>0</v>
      </c>
      <c r="E639" s="14">
        <v>0</v>
      </c>
      <c r="F639" s="14">
        <v>0</v>
      </c>
      <c r="G639" s="14">
        <v>0</v>
      </c>
      <c r="H639" s="14" t="s">
        <v>415</v>
      </c>
      <c r="I639" s="15" t="s">
        <v>415</v>
      </c>
      <c r="J639" s="14">
        <v>0</v>
      </c>
      <c r="K639">
        <v>0</v>
      </c>
      <c r="L639">
        <v>0</v>
      </c>
      <c r="M639">
        <v>0</v>
      </c>
      <c r="N639" s="10">
        <v>0</v>
      </c>
    </row>
    <row r="640" spans="2:14" ht="33" customHeight="1" x14ac:dyDescent="0.3">
      <c r="B640" s="14">
        <v>0</v>
      </c>
      <c r="C640" s="14">
        <v>0</v>
      </c>
      <c r="D640" s="14">
        <v>0</v>
      </c>
      <c r="E640" s="14">
        <v>0</v>
      </c>
      <c r="F640" s="14">
        <v>0</v>
      </c>
      <c r="G640" s="14">
        <v>0</v>
      </c>
      <c r="H640" s="14" t="s">
        <v>415</v>
      </c>
      <c r="I640" s="15" t="s">
        <v>415</v>
      </c>
      <c r="J640" s="14">
        <v>0</v>
      </c>
      <c r="K640">
        <v>0</v>
      </c>
      <c r="L640">
        <v>0</v>
      </c>
      <c r="M640">
        <v>0</v>
      </c>
      <c r="N640" s="10">
        <v>0</v>
      </c>
    </row>
    <row r="641" spans="2:14" ht="33" customHeight="1" x14ac:dyDescent="0.3">
      <c r="B641" s="14">
        <v>0</v>
      </c>
      <c r="C641" s="14">
        <v>0</v>
      </c>
      <c r="D641" s="14">
        <v>0</v>
      </c>
      <c r="E641" s="14">
        <v>0</v>
      </c>
      <c r="F641" s="14">
        <v>0</v>
      </c>
      <c r="G641" s="14">
        <v>0</v>
      </c>
      <c r="H641" s="14" t="s">
        <v>415</v>
      </c>
      <c r="I641" s="15" t="s">
        <v>415</v>
      </c>
      <c r="J641" s="14">
        <v>0</v>
      </c>
      <c r="K641">
        <v>0</v>
      </c>
      <c r="L641">
        <v>0</v>
      </c>
      <c r="M641">
        <v>0</v>
      </c>
      <c r="N641" s="10">
        <v>0</v>
      </c>
    </row>
    <row r="642" spans="2:14" ht="33" customHeight="1" x14ac:dyDescent="0.3">
      <c r="B642" s="14">
        <v>0</v>
      </c>
      <c r="C642" s="14">
        <v>0</v>
      </c>
      <c r="D642" s="14">
        <v>0</v>
      </c>
      <c r="E642" s="14">
        <v>0</v>
      </c>
      <c r="F642" s="14">
        <v>0</v>
      </c>
      <c r="G642" s="14">
        <v>0</v>
      </c>
      <c r="H642" s="14" t="s">
        <v>415</v>
      </c>
      <c r="I642" s="15" t="s">
        <v>415</v>
      </c>
      <c r="J642" s="14">
        <v>0</v>
      </c>
      <c r="K642">
        <v>0</v>
      </c>
      <c r="L642">
        <v>0</v>
      </c>
      <c r="M642">
        <v>0</v>
      </c>
      <c r="N642" s="10">
        <v>0</v>
      </c>
    </row>
    <row r="643" spans="2:14" ht="33" customHeight="1" x14ac:dyDescent="0.3">
      <c r="B643" s="14">
        <v>0</v>
      </c>
      <c r="C643" s="14">
        <v>0</v>
      </c>
      <c r="D643" s="14">
        <v>0</v>
      </c>
      <c r="E643" s="14">
        <v>0</v>
      </c>
      <c r="F643" s="14">
        <v>0</v>
      </c>
      <c r="G643" s="14">
        <v>0</v>
      </c>
      <c r="H643" s="14" t="s">
        <v>415</v>
      </c>
      <c r="I643" s="15" t="s">
        <v>415</v>
      </c>
      <c r="J643" s="14">
        <v>0</v>
      </c>
      <c r="K643">
        <v>0</v>
      </c>
      <c r="L643">
        <v>0</v>
      </c>
      <c r="M643">
        <v>0</v>
      </c>
      <c r="N643" s="10">
        <v>0</v>
      </c>
    </row>
    <row r="644" spans="2:14" ht="33" customHeight="1" x14ac:dyDescent="0.3">
      <c r="B644" s="14">
        <v>0</v>
      </c>
      <c r="C644" s="14">
        <v>0</v>
      </c>
      <c r="D644" s="14">
        <v>0</v>
      </c>
      <c r="E644" s="14">
        <v>0</v>
      </c>
      <c r="F644" s="14">
        <v>0</v>
      </c>
      <c r="G644" s="14">
        <v>0</v>
      </c>
      <c r="H644" s="14" t="s">
        <v>415</v>
      </c>
      <c r="I644" s="15" t="s">
        <v>415</v>
      </c>
      <c r="J644" s="14">
        <v>0</v>
      </c>
      <c r="K644">
        <v>0</v>
      </c>
      <c r="L644">
        <v>0</v>
      </c>
      <c r="M644">
        <v>0</v>
      </c>
      <c r="N644" s="10">
        <v>0</v>
      </c>
    </row>
    <row r="645" spans="2:14" ht="33" customHeight="1" x14ac:dyDescent="0.3">
      <c r="B645" s="14">
        <v>0</v>
      </c>
      <c r="C645" s="14">
        <v>0</v>
      </c>
      <c r="D645" s="14">
        <v>0</v>
      </c>
      <c r="E645" s="14">
        <v>0</v>
      </c>
      <c r="F645" s="14">
        <v>0</v>
      </c>
      <c r="G645" s="14">
        <v>0</v>
      </c>
      <c r="H645" s="14" t="s">
        <v>415</v>
      </c>
      <c r="I645" s="15" t="s">
        <v>415</v>
      </c>
      <c r="J645" s="14">
        <v>0</v>
      </c>
      <c r="K645">
        <v>0</v>
      </c>
      <c r="L645">
        <v>0</v>
      </c>
      <c r="M645">
        <v>0</v>
      </c>
      <c r="N645" s="10">
        <v>0</v>
      </c>
    </row>
    <row r="646" spans="2:14" ht="33" customHeight="1" x14ac:dyDescent="0.3">
      <c r="B646" s="14">
        <v>0</v>
      </c>
      <c r="C646" s="14">
        <v>0</v>
      </c>
      <c r="D646" s="14">
        <v>0</v>
      </c>
      <c r="E646" s="14">
        <v>0</v>
      </c>
      <c r="F646" s="14">
        <v>0</v>
      </c>
      <c r="G646" s="14">
        <v>0</v>
      </c>
      <c r="H646" s="14" t="s">
        <v>415</v>
      </c>
      <c r="I646" s="15" t="s">
        <v>415</v>
      </c>
      <c r="J646" s="14">
        <v>0</v>
      </c>
      <c r="K646">
        <v>0</v>
      </c>
      <c r="L646">
        <v>0</v>
      </c>
      <c r="M646">
        <v>0</v>
      </c>
      <c r="N646" s="10">
        <v>0</v>
      </c>
    </row>
    <row r="647" spans="2:14" ht="33" customHeight="1" x14ac:dyDescent="0.3">
      <c r="B647" s="14">
        <v>0</v>
      </c>
      <c r="C647" s="14">
        <v>0</v>
      </c>
      <c r="D647" s="14">
        <v>0</v>
      </c>
      <c r="E647" s="14">
        <v>0</v>
      </c>
      <c r="F647" s="14">
        <v>0</v>
      </c>
      <c r="G647" s="14">
        <v>0</v>
      </c>
      <c r="H647" s="14" t="s">
        <v>415</v>
      </c>
      <c r="I647" s="15" t="s">
        <v>415</v>
      </c>
      <c r="J647" s="14">
        <v>0</v>
      </c>
      <c r="K647">
        <v>0</v>
      </c>
      <c r="L647">
        <v>0</v>
      </c>
      <c r="M647">
        <v>0</v>
      </c>
      <c r="N647" s="10">
        <v>0</v>
      </c>
    </row>
    <row r="648" spans="2:14" ht="33" customHeight="1" x14ac:dyDescent="0.3">
      <c r="B648" s="14">
        <v>0</v>
      </c>
      <c r="C648" s="14">
        <v>0</v>
      </c>
      <c r="D648" s="14">
        <v>0</v>
      </c>
      <c r="E648" s="14">
        <v>0</v>
      </c>
      <c r="F648" s="14">
        <v>0</v>
      </c>
      <c r="G648" s="14">
        <v>0</v>
      </c>
      <c r="H648" s="14" t="s">
        <v>415</v>
      </c>
      <c r="I648" s="15" t="s">
        <v>415</v>
      </c>
      <c r="J648" s="14">
        <v>0</v>
      </c>
      <c r="K648">
        <v>0</v>
      </c>
      <c r="L648">
        <v>0</v>
      </c>
      <c r="M648">
        <v>0</v>
      </c>
      <c r="N648" s="10">
        <v>0</v>
      </c>
    </row>
    <row r="649" spans="2:14" ht="33" customHeight="1" x14ac:dyDescent="0.3">
      <c r="B649" s="14">
        <v>0</v>
      </c>
      <c r="C649" s="14">
        <v>0</v>
      </c>
      <c r="D649" s="14">
        <v>0</v>
      </c>
      <c r="E649" s="14">
        <v>0</v>
      </c>
      <c r="F649" s="14">
        <v>0</v>
      </c>
      <c r="G649" s="14">
        <v>0</v>
      </c>
      <c r="H649" s="14" t="s">
        <v>415</v>
      </c>
      <c r="I649" s="15" t="s">
        <v>415</v>
      </c>
      <c r="J649" s="14">
        <v>0</v>
      </c>
      <c r="K649">
        <v>0</v>
      </c>
      <c r="L649">
        <v>0</v>
      </c>
      <c r="M649">
        <v>0</v>
      </c>
      <c r="N649" s="10">
        <v>0</v>
      </c>
    </row>
    <row r="650" spans="2:14" ht="33" customHeight="1" x14ac:dyDescent="0.3">
      <c r="B650" s="14">
        <v>0</v>
      </c>
      <c r="C650" s="14">
        <v>0</v>
      </c>
      <c r="D650" s="14">
        <v>0</v>
      </c>
      <c r="E650" s="14">
        <v>0</v>
      </c>
      <c r="F650" s="14">
        <v>0</v>
      </c>
      <c r="G650" s="14">
        <v>0</v>
      </c>
      <c r="H650" s="14" t="s">
        <v>415</v>
      </c>
      <c r="I650" s="15" t="s">
        <v>415</v>
      </c>
      <c r="J650" s="14">
        <v>0</v>
      </c>
      <c r="K650">
        <v>0</v>
      </c>
      <c r="L650">
        <v>0</v>
      </c>
      <c r="M650">
        <v>0</v>
      </c>
      <c r="N650" s="10">
        <v>0</v>
      </c>
    </row>
    <row r="651" spans="2:14" ht="33" customHeight="1" x14ac:dyDescent="0.3">
      <c r="B651" s="14">
        <v>0</v>
      </c>
      <c r="C651" s="14">
        <v>0</v>
      </c>
      <c r="D651" s="14">
        <v>0</v>
      </c>
      <c r="E651" s="14">
        <v>0</v>
      </c>
      <c r="F651" s="14">
        <v>0</v>
      </c>
      <c r="G651" s="14">
        <v>0</v>
      </c>
      <c r="H651" s="14" t="s">
        <v>415</v>
      </c>
      <c r="I651" s="15" t="s">
        <v>415</v>
      </c>
      <c r="J651" s="14">
        <v>0</v>
      </c>
      <c r="K651">
        <v>0</v>
      </c>
      <c r="L651">
        <v>0</v>
      </c>
      <c r="M651">
        <v>0</v>
      </c>
      <c r="N651" s="10">
        <v>0</v>
      </c>
    </row>
    <row r="652" spans="2:14" ht="33" customHeight="1" x14ac:dyDescent="0.3">
      <c r="B652" s="12">
        <v>0</v>
      </c>
      <c r="C652" s="12">
        <v>0</v>
      </c>
      <c r="D652" s="12">
        <v>0</v>
      </c>
      <c r="E652" s="12">
        <v>0</v>
      </c>
      <c r="F652" s="12">
        <v>0</v>
      </c>
      <c r="G652" s="12">
        <v>0</v>
      </c>
      <c r="J652" s="12">
        <v>0</v>
      </c>
      <c r="K652">
        <v>0</v>
      </c>
      <c r="L652">
        <v>0</v>
      </c>
      <c r="M652">
        <v>0</v>
      </c>
      <c r="N652" s="10">
        <v>0</v>
      </c>
    </row>
    <row r="653" spans="2:14" ht="33" customHeight="1" x14ac:dyDescent="0.3">
      <c r="B653" s="12">
        <v>0</v>
      </c>
      <c r="C653" s="12">
        <v>0</v>
      </c>
      <c r="D653" s="12">
        <v>0</v>
      </c>
      <c r="E653" s="12">
        <v>0</v>
      </c>
      <c r="F653" s="12">
        <v>0</v>
      </c>
      <c r="G653" s="12">
        <v>0</v>
      </c>
      <c r="J653" s="12">
        <v>0</v>
      </c>
      <c r="K653">
        <v>0</v>
      </c>
      <c r="L653">
        <v>0</v>
      </c>
      <c r="M653">
        <v>0</v>
      </c>
      <c r="N653" s="10">
        <v>0</v>
      </c>
    </row>
    <row r="654" spans="2:14" ht="33" customHeight="1" x14ac:dyDescent="0.3">
      <c r="B654" s="12">
        <v>0</v>
      </c>
      <c r="C654" s="12">
        <v>0</v>
      </c>
      <c r="D654" s="12">
        <v>0</v>
      </c>
      <c r="E654" s="12">
        <v>0</v>
      </c>
      <c r="F654" s="12">
        <v>0</v>
      </c>
      <c r="G654" s="12">
        <v>0</v>
      </c>
      <c r="J654" s="12">
        <v>0</v>
      </c>
      <c r="K654">
        <v>0</v>
      </c>
      <c r="L654">
        <v>0</v>
      </c>
      <c r="M654">
        <v>0</v>
      </c>
      <c r="N654" s="10">
        <v>0</v>
      </c>
    </row>
    <row r="655" spans="2:14" ht="33" customHeight="1" x14ac:dyDescent="0.3">
      <c r="B655" s="12">
        <v>0</v>
      </c>
      <c r="C655" s="12">
        <v>0</v>
      </c>
      <c r="D655" s="12">
        <v>0</v>
      </c>
      <c r="E655" s="12">
        <v>0</v>
      </c>
      <c r="F655" s="12">
        <v>0</v>
      </c>
      <c r="G655" s="12">
        <v>0</v>
      </c>
      <c r="J655" s="12">
        <v>0</v>
      </c>
      <c r="K655">
        <v>0</v>
      </c>
      <c r="L655">
        <v>0</v>
      </c>
      <c r="M655">
        <v>0</v>
      </c>
      <c r="N655" s="10">
        <v>0</v>
      </c>
    </row>
    <row r="656" spans="2:14" ht="33" customHeight="1" x14ac:dyDescent="0.3">
      <c r="B656" s="12">
        <v>0</v>
      </c>
      <c r="C656" s="12">
        <v>0</v>
      </c>
      <c r="D656" s="12">
        <v>0</v>
      </c>
      <c r="E656" s="12">
        <v>0</v>
      </c>
      <c r="F656" s="12">
        <v>0</v>
      </c>
      <c r="G656" s="12">
        <v>0</v>
      </c>
      <c r="J656" s="12">
        <v>0</v>
      </c>
      <c r="K656">
        <v>0</v>
      </c>
      <c r="L656">
        <v>0</v>
      </c>
      <c r="M656">
        <v>0</v>
      </c>
      <c r="N656" s="10">
        <v>0</v>
      </c>
    </row>
    <row r="657" spans="2:14" ht="33" customHeight="1" x14ac:dyDescent="0.3">
      <c r="B657" s="12">
        <v>0</v>
      </c>
      <c r="C657" s="12">
        <v>0</v>
      </c>
      <c r="D657" s="12">
        <v>0</v>
      </c>
      <c r="E657" s="12">
        <v>0</v>
      </c>
      <c r="F657" s="12">
        <v>0</v>
      </c>
      <c r="G657" s="12">
        <v>0</v>
      </c>
      <c r="J657" s="12">
        <v>0</v>
      </c>
      <c r="K657">
        <v>0</v>
      </c>
      <c r="L657">
        <v>0</v>
      </c>
      <c r="M657">
        <v>0</v>
      </c>
      <c r="N657" s="10">
        <v>0</v>
      </c>
    </row>
    <row r="658" spans="2:14" ht="33" customHeight="1" x14ac:dyDescent="0.3">
      <c r="B658" s="12">
        <v>0</v>
      </c>
      <c r="C658" s="12">
        <v>0</v>
      </c>
      <c r="D658" s="12">
        <v>0</v>
      </c>
      <c r="E658" s="12">
        <v>0</v>
      </c>
      <c r="F658" s="12">
        <v>0</v>
      </c>
      <c r="G658" s="12">
        <v>0</v>
      </c>
      <c r="J658" s="12">
        <v>0</v>
      </c>
      <c r="K658">
        <v>0</v>
      </c>
      <c r="L658">
        <v>0</v>
      </c>
      <c r="M658">
        <v>0</v>
      </c>
      <c r="N658" s="10">
        <v>0</v>
      </c>
    </row>
    <row r="659" spans="2:14" ht="33" customHeight="1" x14ac:dyDescent="0.3">
      <c r="B659" s="12">
        <v>0</v>
      </c>
      <c r="C659" s="12">
        <v>0</v>
      </c>
      <c r="D659" s="12">
        <v>0</v>
      </c>
      <c r="E659" s="12">
        <v>0</v>
      </c>
      <c r="F659" s="12">
        <v>0</v>
      </c>
      <c r="G659" s="12">
        <v>0</v>
      </c>
      <c r="J659" s="12">
        <v>0</v>
      </c>
      <c r="K659">
        <v>0</v>
      </c>
      <c r="L659">
        <v>0</v>
      </c>
      <c r="M659">
        <v>0</v>
      </c>
      <c r="N659" s="10">
        <v>0</v>
      </c>
    </row>
    <row r="660" spans="2:14" ht="33" customHeight="1" x14ac:dyDescent="0.3">
      <c r="B660" s="12">
        <v>0</v>
      </c>
      <c r="C660" s="12">
        <v>0</v>
      </c>
      <c r="D660" s="12">
        <v>0</v>
      </c>
      <c r="E660" s="12">
        <v>0</v>
      </c>
      <c r="F660" s="12">
        <v>0</v>
      </c>
      <c r="G660" s="12">
        <v>0</v>
      </c>
      <c r="J660" s="12">
        <v>0</v>
      </c>
      <c r="K660">
        <v>0</v>
      </c>
      <c r="L660">
        <v>0</v>
      </c>
      <c r="M660">
        <v>0</v>
      </c>
      <c r="N660" s="10">
        <v>0</v>
      </c>
    </row>
    <row r="661" spans="2:14" ht="33" customHeight="1" x14ac:dyDescent="0.3">
      <c r="B661" s="12">
        <v>0</v>
      </c>
      <c r="C661" s="12">
        <v>0</v>
      </c>
      <c r="D661" s="12">
        <v>0</v>
      </c>
      <c r="E661" s="12">
        <v>0</v>
      </c>
      <c r="F661" s="12">
        <v>0</v>
      </c>
      <c r="G661" s="12">
        <v>0</v>
      </c>
      <c r="J661" s="12">
        <v>0</v>
      </c>
      <c r="K661">
        <v>0</v>
      </c>
      <c r="L661">
        <v>0</v>
      </c>
      <c r="M661">
        <v>0</v>
      </c>
      <c r="N661" s="10">
        <v>0</v>
      </c>
    </row>
    <row r="662" spans="2:14" ht="33" customHeight="1" x14ac:dyDescent="0.3">
      <c r="B662" s="12">
        <v>0</v>
      </c>
      <c r="C662" s="12">
        <v>0</v>
      </c>
      <c r="D662" s="12">
        <v>0</v>
      </c>
      <c r="E662" s="12">
        <v>0</v>
      </c>
      <c r="F662" s="12">
        <v>0</v>
      </c>
      <c r="G662" s="12">
        <v>0</v>
      </c>
      <c r="J662" s="12">
        <v>0</v>
      </c>
      <c r="K662">
        <v>0</v>
      </c>
      <c r="L662">
        <v>0</v>
      </c>
      <c r="M662">
        <v>0</v>
      </c>
      <c r="N662" s="10">
        <v>0</v>
      </c>
    </row>
    <row r="663" spans="2:14" ht="33" customHeight="1" x14ac:dyDescent="0.3">
      <c r="B663" s="12">
        <v>0</v>
      </c>
      <c r="C663" s="12">
        <v>0</v>
      </c>
      <c r="D663" s="12">
        <v>0</v>
      </c>
      <c r="E663" s="12">
        <v>0</v>
      </c>
      <c r="F663" s="12">
        <v>0</v>
      </c>
      <c r="G663" s="12">
        <v>0</v>
      </c>
      <c r="J663" s="12">
        <v>0</v>
      </c>
      <c r="K663">
        <v>0</v>
      </c>
      <c r="L663">
        <v>0</v>
      </c>
      <c r="M663">
        <v>0</v>
      </c>
      <c r="N663" s="10">
        <v>0</v>
      </c>
    </row>
    <row r="664" spans="2:14" ht="33" customHeight="1" x14ac:dyDescent="0.3">
      <c r="B664" s="12">
        <v>0</v>
      </c>
      <c r="C664" s="12">
        <v>0</v>
      </c>
      <c r="D664" s="12">
        <v>0</v>
      </c>
      <c r="E664" s="12">
        <v>0</v>
      </c>
      <c r="F664" s="12">
        <v>0</v>
      </c>
      <c r="G664" s="12">
        <v>0</v>
      </c>
      <c r="J664" s="12">
        <v>0</v>
      </c>
      <c r="K664">
        <v>0</v>
      </c>
      <c r="L664">
        <v>0</v>
      </c>
      <c r="M664">
        <v>0</v>
      </c>
      <c r="N664" s="10">
        <v>0</v>
      </c>
    </row>
    <row r="665" spans="2:14" ht="33" customHeight="1" x14ac:dyDescent="0.3">
      <c r="B665" s="12">
        <v>0</v>
      </c>
      <c r="C665" s="12">
        <v>0</v>
      </c>
      <c r="D665" s="12">
        <v>0</v>
      </c>
      <c r="E665" s="12">
        <v>0</v>
      </c>
      <c r="F665" s="12">
        <v>0</v>
      </c>
      <c r="G665" s="12">
        <v>0</v>
      </c>
      <c r="J665" s="12">
        <v>0</v>
      </c>
      <c r="K665">
        <v>0</v>
      </c>
      <c r="L665">
        <v>0</v>
      </c>
      <c r="M665">
        <v>0</v>
      </c>
      <c r="N665" s="10">
        <v>0</v>
      </c>
    </row>
    <row r="666" spans="2:14" ht="33" customHeight="1" x14ac:dyDescent="0.3">
      <c r="B666" s="12">
        <v>0</v>
      </c>
      <c r="C666" s="12">
        <v>0</v>
      </c>
      <c r="D666" s="12">
        <v>0</v>
      </c>
      <c r="E666" s="12">
        <v>0</v>
      </c>
      <c r="F666" s="12">
        <v>0</v>
      </c>
      <c r="G666" s="12">
        <v>0</v>
      </c>
      <c r="J666" s="12">
        <v>0</v>
      </c>
      <c r="K666">
        <v>0</v>
      </c>
      <c r="L666">
        <v>0</v>
      </c>
      <c r="M666">
        <v>0</v>
      </c>
      <c r="N666" s="10">
        <v>0</v>
      </c>
    </row>
    <row r="667" spans="2:14" ht="33" customHeight="1" x14ac:dyDescent="0.3">
      <c r="B667" s="12">
        <v>0</v>
      </c>
      <c r="C667" s="12">
        <v>0</v>
      </c>
      <c r="D667" s="12">
        <v>0</v>
      </c>
      <c r="E667" s="12">
        <v>0</v>
      </c>
      <c r="F667" s="12">
        <v>0</v>
      </c>
      <c r="G667" s="12">
        <v>0</v>
      </c>
      <c r="J667" s="12">
        <v>0</v>
      </c>
      <c r="K667">
        <v>0</v>
      </c>
      <c r="L667">
        <v>0</v>
      </c>
      <c r="M667">
        <v>0</v>
      </c>
      <c r="N667" s="10">
        <v>0</v>
      </c>
    </row>
    <row r="668" spans="2:14" ht="33" customHeight="1" x14ac:dyDescent="0.3">
      <c r="B668" s="12">
        <v>0</v>
      </c>
      <c r="C668" s="12">
        <v>0</v>
      </c>
      <c r="D668" s="12">
        <v>0</v>
      </c>
      <c r="E668" s="12">
        <v>0</v>
      </c>
      <c r="F668" s="12">
        <v>0</v>
      </c>
      <c r="G668" s="12">
        <v>0</v>
      </c>
      <c r="J668" s="12">
        <v>0</v>
      </c>
      <c r="K668">
        <v>0</v>
      </c>
      <c r="L668">
        <v>0</v>
      </c>
      <c r="M668">
        <v>0</v>
      </c>
      <c r="N668" s="10">
        <v>0</v>
      </c>
    </row>
    <row r="669" spans="2:14" ht="33" customHeight="1" x14ac:dyDescent="0.3">
      <c r="B669" s="12">
        <v>0</v>
      </c>
      <c r="C669" s="12">
        <v>0</v>
      </c>
      <c r="D669" s="12">
        <v>0</v>
      </c>
      <c r="E669" s="12">
        <v>0</v>
      </c>
      <c r="F669" s="12">
        <v>0</v>
      </c>
      <c r="G669" s="12">
        <v>0</v>
      </c>
      <c r="J669" s="12">
        <v>0</v>
      </c>
      <c r="K669">
        <v>0</v>
      </c>
      <c r="L669">
        <v>0</v>
      </c>
      <c r="M669">
        <v>0</v>
      </c>
      <c r="N669" s="10">
        <v>0</v>
      </c>
    </row>
    <row r="670" spans="2:14" ht="33" customHeight="1" x14ac:dyDescent="0.3">
      <c r="B670" s="12">
        <v>0</v>
      </c>
      <c r="C670" s="12">
        <v>0</v>
      </c>
      <c r="D670" s="12">
        <v>0</v>
      </c>
      <c r="E670" s="12">
        <v>0</v>
      </c>
      <c r="F670" s="12">
        <v>0</v>
      </c>
      <c r="G670" s="12">
        <v>0</v>
      </c>
      <c r="J670" s="12">
        <v>0</v>
      </c>
      <c r="K670">
        <v>0</v>
      </c>
      <c r="L670">
        <v>0</v>
      </c>
      <c r="M670">
        <v>0</v>
      </c>
      <c r="N670" s="10">
        <v>0</v>
      </c>
    </row>
    <row r="671" spans="2:14" ht="33" customHeight="1" x14ac:dyDescent="0.3">
      <c r="B671" s="12">
        <v>0</v>
      </c>
      <c r="C671" s="12">
        <v>0</v>
      </c>
      <c r="D671" s="12">
        <v>0</v>
      </c>
      <c r="E671" s="12">
        <v>0</v>
      </c>
      <c r="F671" s="12">
        <v>0</v>
      </c>
      <c r="G671" s="12">
        <v>0</v>
      </c>
      <c r="J671" s="12">
        <v>0</v>
      </c>
      <c r="K671">
        <v>0</v>
      </c>
      <c r="L671">
        <v>0</v>
      </c>
      <c r="M671">
        <v>0</v>
      </c>
      <c r="N671" s="10">
        <v>0</v>
      </c>
    </row>
    <row r="672" spans="2:14" ht="33" customHeight="1" x14ac:dyDescent="0.3">
      <c r="B672" s="12">
        <v>0</v>
      </c>
      <c r="C672" s="12">
        <v>0</v>
      </c>
      <c r="D672" s="12">
        <v>0</v>
      </c>
      <c r="E672" s="12">
        <v>0</v>
      </c>
      <c r="F672" s="12">
        <v>0</v>
      </c>
      <c r="G672" s="12">
        <v>0</v>
      </c>
      <c r="J672" s="12">
        <v>0</v>
      </c>
      <c r="K672">
        <v>0</v>
      </c>
      <c r="L672">
        <v>0</v>
      </c>
      <c r="M672">
        <v>0</v>
      </c>
      <c r="N672" s="10">
        <v>0</v>
      </c>
    </row>
    <row r="673" spans="2:14" ht="33" customHeight="1" x14ac:dyDescent="0.3">
      <c r="B673" s="12">
        <v>0</v>
      </c>
      <c r="C673" s="12">
        <v>0</v>
      </c>
      <c r="D673" s="12">
        <v>0</v>
      </c>
      <c r="E673" s="12">
        <v>0</v>
      </c>
      <c r="F673" s="12">
        <v>0</v>
      </c>
      <c r="G673" s="12">
        <v>0</v>
      </c>
      <c r="J673" s="12">
        <v>0</v>
      </c>
      <c r="K673">
        <v>0</v>
      </c>
      <c r="L673">
        <v>0</v>
      </c>
      <c r="M673">
        <v>0</v>
      </c>
      <c r="N673" s="10">
        <v>0</v>
      </c>
    </row>
    <row r="674" spans="2:14" ht="33" customHeight="1" x14ac:dyDescent="0.3">
      <c r="B674" s="12">
        <v>0</v>
      </c>
      <c r="C674" s="12">
        <v>0</v>
      </c>
      <c r="D674" s="12">
        <v>0</v>
      </c>
      <c r="E674" s="12">
        <v>0</v>
      </c>
      <c r="F674" s="12">
        <v>0</v>
      </c>
      <c r="G674" s="12">
        <v>0</v>
      </c>
      <c r="J674" s="12">
        <v>0</v>
      </c>
      <c r="K674">
        <v>0</v>
      </c>
      <c r="L674">
        <v>0</v>
      </c>
      <c r="M674">
        <v>0</v>
      </c>
      <c r="N674" s="10">
        <v>0</v>
      </c>
    </row>
    <row r="675" spans="2:14" ht="33" customHeight="1" x14ac:dyDescent="0.3">
      <c r="B675" s="12">
        <v>0</v>
      </c>
      <c r="C675" s="12">
        <v>0</v>
      </c>
      <c r="D675" s="12">
        <v>0</v>
      </c>
      <c r="E675" s="12">
        <v>0</v>
      </c>
      <c r="F675" s="12">
        <v>0</v>
      </c>
      <c r="G675" s="12">
        <v>0</v>
      </c>
      <c r="J675" s="12">
        <v>0</v>
      </c>
      <c r="K675">
        <v>0</v>
      </c>
      <c r="L675">
        <v>0</v>
      </c>
      <c r="M675">
        <v>0</v>
      </c>
      <c r="N675" s="10">
        <v>0</v>
      </c>
    </row>
    <row r="676" spans="2:14" ht="33" customHeight="1" x14ac:dyDescent="0.3">
      <c r="B676" s="12">
        <v>0</v>
      </c>
      <c r="C676" s="12">
        <v>0</v>
      </c>
      <c r="D676" s="12">
        <v>0</v>
      </c>
      <c r="E676" s="12">
        <v>0</v>
      </c>
      <c r="F676" s="12">
        <v>0</v>
      </c>
      <c r="G676" s="12">
        <v>0</v>
      </c>
      <c r="J676" s="12">
        <v>0</v>
      </c>
      <c r="K676">
        <v>0</v>
      </c>
      <c r="L676">
        <v>0</v>
      </c>
      <c r="M676">
        <v>0</v>
      </c>
      <c r="N676" s="10">
        <v>0</v>
      </c>
    </row>
    <row r="677" spans="2:14" ht="33" customHeight="1" x14ac:dyDescent="0.3">
      <c r="B677" s="12">
        <v>0</v>
      </c>
      <c r="C677" s="12">
        <v>0</v>
      </c>
      <c r="D677" s="12">
        <v>0</v>
      </c>
      <c r="E677" s="12">
        <v>0</v>
      </c>
      <c r="F677" s="12">
        <v>0</v>
      </c>
      <c r="G677" s="12">
        <v>0</v>
      </c>
      <c r="J677" s="12">
        <v>0</v>
      </c>
      <c r="K677">
        <v>0</v>
      </c>
      <c r="L677">
        <v>0</v>
      </c>
      <c r="M677">
        <v>0</v>
      </c>
      <c r="N677" s="10">
        <v>0</v>
      </c>
    </row>
    <row r="678" spans="2:14" ht="33" customHeight="1" x14ac:dyDescent="0.3">
      <c r="B678" s="12">
        <v>0</v>
      </c>
      <c r="C678" s="12">
        <v>0</v>
      </c>
      <c r="D678" s="12">
        <v>0</v>
      </c>
      <c r="E678" s="12">
        <v>0</v>
      </c>
      <c r="F678" s="12">
        <v>0</v>
      </c>
      <c r="G678" s="12">
        <v>0</v>
      </c>
      <c r="J678" s="12">
        <v>0</v>
      </c>
      <c r="K678">
        <v>0</v>
      </c>
      <c r="L678">
        <v>0</v>
      </c>
      <c r="M678">
        <v>0</v>
      </c>
      <c r="N678" s="10">
        <v>0</v>
      </c>
    </row>
    <row r="679" spans="2:14" ht="33" customHeight="1" x14ac:dyDescent="0.3">
      <c r="B679" s="12">
        <v>0</v>
      </c>
      <c r="C679" s="12">
        <v>0</v>
      </c>
      <c r="D679" s="12">
        <v>0</v>
      </c>
      <c r="E679" s="12">
        <v>0</v>
      </c>
      <c r="F679" s="12">
        <v>0</v>
      </c>
      <c r="G679" s="12">
        <v>0</v>
      </c>
      <c r="J679" s="12">
        <v>0</v>
      </c>
      <c r="K679">
        <v>0</v>
      </c>
      <c r="L679">
        <v>0</v>
      </c>
      <c r="M679">
        <v>0</v>
      </c>
      <c r="N679" s="10">
        <v>0</v>
      </c>
    </row>
    <row r="680" spans="2:14" ht="33" customHeight="1" x14ac:dyDescent="0.3">
      <c r="B680" s="12">
        <v>0</v>
      </c>
      <c r="C680" s="12">
        <v>0</v>
      </c>
      <c r="D680" s="12">
        <v>0</v>
      </c>
      <c r="E680" s="12">
        <v>0</v>
      </c>
      <c r="F680" s="12">
        <v>0</v>
      </c>
      <c r="G680" s="12">
        <v>0</v>
      </c>
      <c r="J680" s="12">
        <v>0</v>
      </c>
      <c r="K680">
        <v>0</v>
      </c>
      <c r="L680">
        <v>0</v>
      </c>
      <c r="M680">
        <v>0</v>
      </c>
      <c r="N680" s="10">
        <v>0</v>
      </c>
    </row>
    <row r="681" spans="2:14" ht="33" customHeight="1" x14ac:dyDescent="0.3">
      <c r="B681" s="12">
        <v>0</v>
      </c>
      <c r="C681" s="12">
        <v>0</v>
      </c>
      <c r="D681" s="12">
        <v>0</v>
      </c>
      <c r="E681" s="12">
        <v>0</v>
      </c>
      <c r="F681" s="12">
        <v>0</v>
      </c>
      <c r="G681" s="12">
        <v>0</v>
      </c>
      <c r="J681" s="12">
        <v>0</v>
      </c>
      <c r="K681">
        <v>0</v>
      </c>
      <c r="L681">
        <v>0</v>
      </c>
      <c r="M681">
        <v>0</v>
      </c>
      <c r="N681" s="10">
        <v>0</v>
      </c>
    </row>
    <row r="682" spans="2:14" ht="33" customHeight="1" x14ac:dyDescent="0.3">
      <c r="B682" s="12">
        <v>0</v>
      </c>
      <c r="C682" s="12">
        <v>0</v>
      </c>
      <c r="D682" s="12">
        <v>0</v>
      </c>
      <c r="E682" s="12">
        <v>0</v>
      </c>
      <c r="F682" s="12">
        <v>0</v>
      </c>
      <c r="G682" s="12">
        <v>0</v>
      </c>
      <c r="J682" s="12">
        <v>0</v>
      </c>
      <c r="K682">
        <v>0</v>
      </c>
      <c r="L682">
        <v>0</v>
      </c>
      <c r="M682">
        <v>0</v>
      </c>
      <c r="N682" s="10">
        <v>0</v>
      </c>
    </row>
    <row r="683" spans="2:14" ht="33" customHeight="1" x14ac:dyDescent="0.3">
      <c r="B683" s="12">
        <v>0</v>
      </c>
      <c r="C683" s="12">
        <v>0</v>
      </c>
      <c r="D683" s="12">
        <v>0</v>
      </c>
      <c r="E683" s="12">
        <v>0</v>
      </c>
      <c r="F683" s="12">
        <v>0</v>
      </c>
      <c r="G683" s="12">
        <v>0</v>
      </c>
      <c r="J683" s="12">
        <v>0</v>
      </c>
      <c r="K683">
        <v>0</v>
      </c>
      <c r="L683">
        <v>0</v>
      </c>
      <c r="M683">
        <v>0</v>
      </c>
      <c r="N683" s="10">
        <v>0</v>
      </c>
    </row>
    <row r="684" spans="2:14" ht="33" customHeight="1" x14ac:dyDescent="0.3">
      <c r="B684" s="12">
        <v>0</v>
      </c>
      <c r="C684" s="12">
        <v>0</v>
      </c>
      <c r="D684" s="12">
        <v>0</v>
      </c>
      <c r="E684" s="12">
        <v>0</v>
      </c>
      <c r="F684" s="12">
        <v>0</v>
      </c>
      <c r="G684" s="12">
        <v>0</v>
      </c>
      <c r="J684" s="12">
        <v>0</v>
      </c>
      <c r="K684">
        <v>0</v>
      </c>
      <c r="L684">
        <v>0</v>
      </c>
      <c r="M684">
        <v>0</v>
      </c>
      <c r="N684" s="10">
        <v>0</v>
      </c>
    </row>
    <row r="685" spans="2:14" ht="33" customHeight="1" x14ac:dyDescent="0.3">
      <c r="B685" s="12">
        <v>0</v>
      </c>
      <c r="C685" s="12">
        <v>0</v>
      </c>
      <c r="D685" s="12">
        <v>0</v>
      </c>
      <c r="E685" s="12">
        <v>0</v>
      </c>
      <c r="F685" s="12">
        <v>0</v>
      </c>
      <c r="G685" s="12">
        <v>0</v>
      </c>
      <c r="J685" s="12">
        <v>0</v>
      </c>
      <c r="K685">
        <v>0</v>
      </c>
      <c r="L685">
        <v>0</v>
      </c>
      <c r="M685">
        <v>0</v>
      </c>
      <c r="N685" s="10">
        <v>0</v>
      </c>
    </row>
    <row r="686" spans="2:14" ht="33" customHeight="1" x14ac:dyDescent="0.3">
      <c r="B686" s="12">
        <v>0</v>
      </c>
      <c r="C686" s="12">
        <v>0</v>
      </c>
      <c r="D686" s="12">
        <v>0</v>
      </c>
      <c r="E686" s="12">
        <v>0</v>
      </c>
      <c r="F686" s="12">
        <v>0</v>
      </c>
      <c r="G686" s="12">
        <v>0</v>
      </c>
      <c r="J686" s="12">
        <v>0</v>
      </c>
      <c r="K686">
        <v>0</v>
      </c>
      <c r="L686">
        <v>0</v>
      </c>
      <c r="M686">
        <v>0</v>
      </c>
      <c r="N686" s="10">
        <v>0</v>
      </c>
    </row>
    <row r="687" spans="2:14" ht="33" customHeight="1" x14ac:dyDescent="0.3">
      <c r="B687" s="12">
        <v>0</v>
      </c>
      <c r="C687" s="12">
        <v>0</v>
      </c>
      <c r="D687" s="12">
        <v>0</v>
      </c>
      <c r="E687" s="12">
        <v>0</v>
      </c>
      <c r="F687" s="12">
        <v>0</v>
      </c>
      <c r="G687" s="12">
        <v>0</v>
      </c>
      <c r="J687" s="12">
        <v>0</v>
      </c>
      <c r="K687">
        <v>0</v>
      </c>
      <c r="L687">
        <v>0</v>
      </c>
      <c r="M687">
        <v>0</v>
      </c>
      <c r="N687" s="10">
        <v>0</v>
      </c>
    </row>
    <row r="688" spans="2:14" ht="33" customHeight="1" x14ac:dyDescent="0.3">
      <c r="B688" s="12">
        <v>0</v>
      </c>
      <c r="C688" s="12">
        <v>0</v>
      </c>
      <c r="D688" s="12">
        <v>0</v>
      </c>
      <c r="E688" s="12">
        <v>0</v>
      </c>
      <c r="F688" s="12">
        <v>0</v>
      </c>
      <c r="G688" s="12">
        <v>0</v>
      </c>
      <c r="J688" s="12">
        <v>0</v>
      </c>
      <c r="K688">
        <v>0</v>
      </c>
      <c r="L688">
        <v>0</v>
      </c>
      <c r="M688">
        <v>0</v>
      </c>
      <c r="N688" s="10">
        <v>0</v>
      </c>
    </row>
    <row r="689" spans="2:14" ht="33" customHeight="1" x14ac:dyDescent="0.3">
      <c r="B689" s="12">
        <v>0</v>
      </c>
      <c r="C689" s="12">
        <v>0</v>
      </c>
      <c r="D689" s="12">
        <v>0</v>
      </c>
      <c r="E689" s="12">
        <v>0</v>
      </c>
      <c r="F689" s="12">
        <v>0</v>
      </c>
      <c r="G689" s="12">
        <v>0</v>
      </c>
      <c r="J689" s="12">
        <v>0</v>
      </c>
      <c r="K689">
        <v>0</v>
      </c>
      <c r="L689">
        <v>0</v>
      </c>
      <c r="M689">
        <v>0</v>
      </c>
      <c r="N689" s="10">
        <v>0</v>
      </c>
    </row>
    <row r="690" spans="2:14" ht="33" customHeight="1" x14ac:dyDescent="0.3">
      <c r="B690" s="12">
        <v>0</v>
      </c>
      <c r="C690" s="12">
        <v>0</v>
      </c>
      <c r="D690" s="12">
        <v>0</v>
      </c>
      <c r="E690" s="12">
        <v>0</v>
      </c>
      <c r="F690" s="12">
        <v>0</v>
      </c>
      <c r="G690" s="12">
        <v>0</v>
      </c>
      <c r="J690" s="12">
        <v>0</v>
      </c>
      <c r="K690">
        <v>0</v>
      </c>
      <c r="L690">
        <v>0</v>
      </c>
      <c r="M690">
        <v>0</v>
      </c>
      <c r="N690" s="10">
        <v>0</v>
      </c>
    </row>
    <row r="691" spans="2:14" ht="33" customHeight="1" x14ac:dyDescent="0.3">
      <c r="B691" s="12">
        <v>0</v>
      </c>
      <c r="C691" s="12">
        <v>0</v>
      </c>
      <c r="D691" s="12">
        <v>0</v>
      </c>
      <c r="E691" s="12">
        <v>0</v>
      </c>
      <c r="F691" s="12">
        <v>0</v>
      </c>
      <c r="G691" s="12">
        <v>0</v>
      </c>
      <c r="J691" s="12">
        <v>0</v>
      </c>
      <c r="K691">
        <v>0</v>
      </c>
      <c r="L691">
        <v>0</v>
      </c>
      <c r="M691">
        <v>0</v>
      </c>
      <c r="N691" s="10">
        <v>0</v>
      </c>
    </row>
    <row r="692" spans="2:14" ht="33" customHeight="1" x14ac:dyDescent="0.3">
      <c r="B692" s="12">
        <v>0</v>
      </c>
      <c r="C692" s="12">
        <v>0</v>
      </c>
      <c r="D692" s="12">
        <v>0</v>
      </c>
      <c r="E692" s="12">
        <v>0</v>
      </c>
      <c r="F692" s="12">
        <v>0</v>
      </c>
      <c r="G692" s="12">
        <v>0</v>
      </c>
      <c r="J692" s="12">
        <v>0</v>
      </c>
      <c r="K692">
        <v>0</v>
      </c>
      <c r="L692">
        <v>0</v>
      </c>
      <c r="M692">
        <v>0</v>
      </c>
      <c r="N692" s="10">
        <v>0</v>
      </c>
    </row>
    <row r="693" spans="2:14" ht="33" customHeight="1" x14ac:dyDescent="0.3">
      <c r="B693" s="12">
        <v>0</v>
      </c>
      <c r="C693" s="12">
        <v>0</v>
      </c>
      <c r="D693" s="12">
        <v>0</v>
      </c>
      <c r="E693" s="12">
        <v>0</v>
      </c>
      <c r="F693" s="12">
        <v>0</v>
      </c>
      <c r="G693" s="12">
        <v>0</v>
      </c>
      <c r="J693" s="12">
        <v>0</v>
      </c>
      <c r="K693">
        <v>0</v>
      </c>
      <c r="L693">
        <v>0</v>
      </c>
      <c r="M693">
        <v>0</v>
      </c>
      <c r="N693" s="10">
        <v>0</v>
      </c>
    </row>
    <row r="694" spans="2:14" ht="33" customHeight="1" x14ac:dyDescent="0.3">
      <c r="B694" s="12">
        <v>0</v>
      </c>
      <c r="C694" s="12">
        <v>0</v>
      </c>
      <c r="D694" s="12">
        <v>0</v>
      </c>
      <c r="E694" s="12">
        <v>0</v>
      </c>
      <c r="F694" s="12">
        <v>0</v>
      </c>
      <c r="G694" s="12">
        <v>0</v>
      </c>
      <c r="J694" s="12">
        <v>0</v>
      </c>
      <c r="K694">
        <v>0</v>
      </c>
      <c r="L694">
        <v>0</v>
      </c>
      <c r="M694">
        <v>0</v>
      </c>
      <c r="N694" s="10">
        <v>0</v>
      </c>
    </row>
    <row r="695" spans="2:14" ht="33" customHeight="1" x14ac:dyDescent="0.3">
      <c r="B695" s="12">
        <v>0</v>
      </c>
      <c r="C695" s="12">
        <v>0</v>
      </c>
      <c r="D695" s="12">
        <v>0</v>
      </c>
      <c r="E695" s="12">
        <v>0</v>
      </c>
      <c r="F695" s="12">
        <v>0</v>
      </c>
      <c r="G695" s="12">
        <v>0</v>
      </c>
      <c r="J695" s="12">
        <v>0</v>
      </c>
      <c r="K695">
        <v>0</v>
      </c>
      <c r="L695">
        <v>0</v>
      </c>
      <c r="M695">
        <v>0</v>
      </c>
      <c r="N695" s="10">
        <v>0</v>
      </c>
    </row>
    <row r="696" spans="2:14" ht="33" customHeight="1" x14ac:dyDescent="0.3">
      <c r="B696" s="12">
        <v>0</v>
      </c>
      <c r="C696" s="12">
        <v>0</v>
      </c>
      <c r="D696" s="12">
        <v>0</v>
      </c>
      <c r="E696" s="12">
        <v>0</v>
      </c>
      <c r="F696" s="12">
        <v>0</v>
      </c>
      <c r="G696" s="12">
        <v>0</v>
      </c>
      <c r="J696" s="12">
        <v>0</v>
      </c>
      <c r="K696">
        <v>0</v>
      </c>
      <c r="L696">
        <v>0</v>
      </c>
      <c r="M696">
        <v>0</v>
      </c>
      <c r="N696" s="10">
        <v>0</v>
      </c>
    </row>
    <row r="697" spans="2:14" ht="33" customHeight="1" x14ac:dyDescent="0.3">
      <c r="B697" s="12">
        <v>0</v>
      </c>
      <c r="C697" s="12">
        <v>0</v>
      </c>
      <c r="D697" s="12">
        <v>0</v>
      </c>
      <c r="E697" s="12">
        <v>0</v>
      </c>
      <c r="F697" s="12">
        <v>0</v>
      </c>
      <c r="G697" s="12">
        <v>0</v>
      </c>
      <c r="J697" s="12">
        <v>0</v>
      </c>
      <c r="K697">
        <v>0</v>
      </c>
      <c r="L697">
        <v>0</v>
      </c>
      <c r="M697">
        <v>0</v>
      </c>
      <c r="N697" s="10">
        <v>0</v>
      </c>
    </row>
    <row r="698" spans="2:14" ht="33" customHeight="1" x14ac:dyDescent="0.3">
      <c r="B698" s="12">
        <v>0</v>
      </c>
      <c r="C698" s="12">
        <v>0</v>
      </c>
      <c r="D698" s="12">
        <v>0</v>
      </c>
      <c r="E698" s="12">
        <v>0</v>
      </c>
      <c r="F698" s="12">
        <v>0</v>
      </c>
      <c r="G698" s="12">
        <v>0</v>
      </c>
      <c r="J698" s="12">
        <v>0</v>
      </c>
      <c r="K698">
        <v>0</v>
      </c>
      <c r="L698">
        <v>0</v>
      </c>
      <c r="M698">
        <v>0</v>
      </c>
      <c r="N698" s="10">
        <v>0</v>
      </c>
    </row>
    <row r="699" spans="2:14" ht="33" customHeight="1" x14ac:dyDescent="0.3">
      <c r="B699" s="12">
        <v>0</v>
      </c>
      <c r="C699" s="12">
        <v>0</v>
      </c>
      <c r="D699" s="12">
        <v>0</v>
      </c>
      <c r="E699" s="12">
        <v>0</v>
      </c>
      <c r="F699" s="12">
        <v>0</v>
      </c>
      <c r="G699" s="12">
        <v>0</v>
      </c>
      <c r="J699" s="12">
        <v>0</v>
      </c>
      <c r="K699">
        <v>0</v>
      </c>
      <c r="L699">
        <v>0</v>
      </c>
      <c r="M699">
        <v>0</v>
      </c>
      <c r="N699" s="10">
        <v>0</v>
      </c>
    </row>
    <row r="700" spans="2:14" ht="33" customHeight="1" x14ac:dyDescent="0.3">
      <c r="B700" s="12">
        <v>0</v>
      </c>
      <c r="C700" s="12">
        <v>0</v>
      </c>
      <c r="D700" s="12">
        <v>0</v>
      </c>
      <c r="E700" s="12">
        <v>0</v>
      </c>
      <c r="F700" s="12">
        <v>0</v>
      </c>
      <c r="G700" s="12">
        <v>0</v>
      </c>
      <c r="J700" s="12">
        <v>0</v>
      </c>
      <c r="K700">
        <v>0</v>
      </c>
      <c r="L700">
        <v>0</v>
      </c>
      <c r="M700">
        <v>0</v>
      </c>
      <c r="N700" s="10">
        <v>0</v>
      </c>
    </row>
    <row r="701" spans="2:14" ht="33" customHeight="1" x14ac:dyDescent="0.3">
      <c r="B701" s="12">
        <v>0</v>
      </c>
      <c r="C701" s="12">
        <v>0</v>
      </c>
      <c r="D701" s="12">
        <v>0</v>
      </c>
      <c r="E701" s="12">
        <v>0</v>
      </c>
      <c r="F701" s="12">
        <v>0</v>
      </c>
      <c r="G701" s="12">
        <v>0</v>
      </c>
      <c r="J701" s="12">
        <v>0</v>
      </c>
      <c r="K701">
        <v>0</v>
      </c>
      <c r="L701">
        <v>0</v>
      </c>
      <c r="M701">
        <v>0</v>
      </c>
      <c r="N701" s="10">
        <v>0</v>
      </c>
    </row>
    <row r="702" spans="2:14" ht="33" customHeight="1" x14ac:dyDescent="0.3">
      <c r="B702" s="12">
        <v>0</v>
      </c>
      <c r="C702" s="12">
        <v>0</v>
      </c>
      <c r="D702" s="12">
        <v>0</v>
      </c>
      <c r="E702" s="12">
        <v>0</v>
      </c>
      <c r="F702" s="12">
        <v>0</v>
      </c>
      <c r="G702" s="12">
        <v>0</v>
      </c>
      <c r="J702" s="12">
        <v>0</v>
      </c>
      <c r="K702">
        <v>0</v>
      </c>
      <c r="L702">
        <v>0</v>
      </c>
      <c r="M702">
        <v>0</v>
      </c>
      <c r="N702" s="10">
        <v>0</v>
      </c>
    </row>
    <row r="703" spans="2:14" ht="33" customHeight="1" x14ac:dyDescent="0.3">
      <c r="B703" s="12">
        <v>0</v>
      </c>
      <c r="C703" s="12">
        <v>0</v>
      </c>
      <c r="D703" s="12">
        <v>0</v>
      </c>
      <c r="E703" s="12">
        <v>0</v>
      </c>
      <c r="F703" s="12">
        <v>0</v>
      </c>
      <c r="G703" s="12">
        <v>0</v>
      </c>
      <c r="J703" s="12">
        <v>0</v>
      </c>
      <c r="K703">
        <v>0</v>
      </c>
      <c r="L703">
        <v>0</v>
      </c>
      <c r="M703">
        <v>0</v>
      </c>
      <c r="N703" s="10">
        <v>0</v>
      </c>
    </row>
    <row r="704" spans="2:14" ht="33" customHeight="1" x14ac:dyDescent="0.3">
      <c r="B704" s="12">
        <v>0</v>
      </c>
      <c r="C704" s="12">
        <v>0</v>
      </c>
      <c r="D704" s="12">
        <v>0</v>
      </c>
      <c r="E704" s="12">
        <v>0</v>
      </c>
      <c r="F704" s="12">
        <v>0</v>
      </c>
      <c r="G704" s="12">
        <v>0</v>
      </c>
      <c r="J704" s="12">
        <v>0</v>
      </c>
      <c r="K704">
        <v>0</v>
      </c>
      <c r="L704">
        <v>0</v>
      </c>
      <c r="M704">
        <v>0</v>
      </c>
      <c r="N704" s="10">
        <v>0</v>
      </c>
    </row>
    <row r="705" spans="2:14" ht="33" customHeight="1" x14ac:dyDescent="0.3">
      <c r="B705" s="12">
        <v>0</v>
      </c>
      <c r="C705" s="12">
        <v>0</v>
      </c>
      <c r="D705" s="12">
        <v>0</v>
      </c>
      <c r="E705" s="12">
        <v>0</v>
      </c>
      <c r="F705" s="12">
        <v>0</v>
      </c>
      <c r="G705" s="12">
        <v>0</v>
      </c>
      <c r="J705" s="12">
        <v>0</v>
      </c>
      <c r="K705">
        <v>0</v>
      </c>
      <c r="L705">
        <v>0</v>
      </c>
      <c r="M705">
        <v>0</v>
      </c>
      <c r="N705" s="10">
        <v>0</v>
      </c>
    </row>
    <row r="706" spans="2:14" ht="33" customHeight="1" x14ac:dyDescent="0.3">
      <c r="B706" s="12">
        <v>0</v>
      </c>
      <c r="C706" s="12">
        <v>0</v>
      </c>
      <c r="D706" s="12">
        <v>0</v>
      </c>
      <c r="E706" s="12">
        <v>0</v>
      </c>
      <c r="F706" s="12">
        <v>0</v>
      </c>
      <c r="G706" s="12">
        <v>0</v>
      </c>
      <c r="J706" s="12">
        <v>0</v>
      </c>
      <c r="K706">
        <v>0</v>
      </c>
      <c r="L706">
        <v>0</v>
      </c>
      <c r="M706">
        <v>0</v>
      </c>
      <c r="N706" s="10">
        <v>0</v>
      </c>
    </row>
    <row r="707" spans="2:14" ht="33" customHeight="1" x14ac:dyDescent="0.3">
      <c r="B707" s="12">
        <v>0</v>
      </c>
      <c r="C707" s="12">
        <v>0</v>
      </c>
      <c r="D707" s="12">
        <v>0</v>
      </c>
      <c r="E707" s="12">
        <v>0</v>
      </c>
      <c r="F707" s="12">
        <v>0</v>
      </c>
      <c r="G707" s="12">
        <v>0</v>
      </c>
      <c r="J707" s="12">
        <v>0</v>
      </c>
      <c r="K707">
        <v>0</v>
      </c>
      <c r="L707">
        <v>0</v>
      </c>
      <c r="M707">
        <v>0</v>
      </c>
      <c r="N707" s="10">
        <v>0</v>
      </c>
    </row>
    <row r="708" spans="2:14" ht="33" customHeight="1" x14ac:dyDescent="0.3">
      <c r="B708" s="12">
        <v>0</v>
      </c>
      <c r="C708" s="12">
        <v>0</v>
      </c>
      <c r="D708" s="12">
        <v>0</v>
      </c>
      <c r="E708" s="12">
        <v>0</v>
      </c>
      <c r="F708" s="12">
        <v>0</v>
      </c>
      <c r="G708" s="12">
        <v>0</v>
      </c>
      <c r="J708" s="12">
        <v>0</v>
      </c>
      <c r="K708">
        <v>0</v>
      </c>
      <c r="L708">
        <v>0</v>
      </c>
      <c r="M708">
        <v>0</v>
      </c>
      <c r="N708" s="10">
        <v>0</v>
      </c>
    </row>
    <row r="709" spans="2:14" ht="33" customHeight="1" x14ac:dyDescent="0.3">
      <c r="B709" s="12">
        <v>0</v>
      </c>
      <c r="C709" s="12">
        <v>0</v>
      </c>
      <c r="D709" s="12">
        <v>0</v>
      </c>
      <c r="E709" s="12">
        <v>0</v>
      </c>
      <c r="F709" s="12">
        <v>0</v>
      </c>
      <c r="G709" s="12">
        <v>0</v>
      </c>
      <c r="J709" s="12">
        <v>0</v>
      </c>
      <c r="K709">
        <v>0</v>
      </c>
      <c r="L709">
        <v>0</v>
      </c>
      <c r="M709">
        <v>0</v>
      </c>
      <c r="N709" s="10">
        <v>0</v>
      </c>
    </row>
    <row r="710" spans="2:14" ht="33" customHeight="1" x14ac:dyDescent="0.3">
      <c r="B710" s="12">
        <v>0</v>
      </c>
      <c r="C710" s="12">
        <v>0</v>
      </c>
      <c r="D710" s="12">
        <v>0</v>
      </c>
      <c r="E710" s="12">
        <v>0</v>
      </c>
      <c r="F710" s="12">
        <v>0</v>
      </c>
      <c r="G710" s="12">
        <v>0</v>
      </c>
      <c r="J710" s="12">
        <v>0</v>
      </c>
      <c r="K710">
        <v>0</v>
      </c>
      <c r="L710">
        <v>0</v>
      </c>
      <c r="M710">
        <v>0</v>
      </c>
      <c r="N710" s="10">
        <v>0</v>
      </c>
    </row>
    <row r="711" spans="2:14" ht="33" customHeight="1" x14ac:dyDescent="0.3">
      <c r="B711" s="12">
        <v>0</v>
      </c>
      <c r="C711" s="12">
        <v>0</v>
      </c>
      <c r="D711" s="12">
        <v>0</v>
      </c>
      <c r="E711" s="12">
        <v>0</v>
      </c>
      <c r="F711" s="12">
        <v>0</v>
      </c>
      <c r="G711" s="12">
        <v>0</v>
      </c>
      <c r="J711" s="12">
        <v>0</v>
      </c>
      <c r="K711">
        <v>0</v>
      </c>
      <c r="L711">
        <v>0</v>
      </c>
      <c r="M711">
        <v>0</v>
      </c>
      <c r="N711" s="10">
        <v>0</v>
      </c>
    </row>
    <row r="712" spans="2:14" ht="33" customHeight="1" x14ac:dyDescent="0.3">
      <c r="B712" s="12">
        <v>0</v>
      </c>
      <c r="C712" s="12">
        <v>0</v>
      </c>
      <c r="D712" s="12">
        <v>0</v>
      </c>
      <c r="E712" s="12">
        <v>0</v>
      </c>
      <c r="F712" s="12">
        <v>0</v>
      </c>
      <c r="G712" s="12">
        <v>0</v>
      </c>
      <c r="J712" s="12">
        <v>0</v>
      </c>
      <c r="K712">
        <v>0</v>
      </c>
      <c r="L712">
        <v>0</v>
      </c>
      <c r="M712">
        <v>0</v>
      </c>
      <c r="N712" s="10">
        <v>0</v>
      </c>
    </row>
    <row r="713" spans="2:14" ht="33" customHeight="1" x14ac:dyDescent="0.3">
      <c r="B713" s="12">
        <v>0</v>
      </c>
      <c r="C713" s="12">
        <v>0</v>
      </c>
      <c r="D713" s="12">
        <v>0</v>
      </c>
      <c r="E713" s="12">
        <v>0</v>
      </c>
      <c r="F713" s="12">
        <v>0</v>
      </c>
      <c r="G713" s="12">
        <v>0</v>
      </c>
      <c r="J713" s="12">
        <v>0</v>
      </c>
      <c r="K713">
        <v>0</v>
      </c>
      <c r="L713">
        <v>0</v>
      </c>
      <c r="M713">
        <v>0</v>
      </c>
      <c r="N713" s="10">
        <v>0</v>
      </c>
    </row>
    <row r="714" spans="2:14" ht="33" customHeight="1" x14ac:dyDescent="0.3">
      <c r="B714" s="12">
        <v>0</v>
      </c>
      <c r="C714" s="12">
        <v>0</v>
      </c>
      <c r="D714" s="12">
        <v>0</v>
      </c>
      <c r="E714" s="12">
        <v>0</v>
      </c>
      <c r="F714" s="12">
        <v>0</v>
      </c>
      <c r="G714" s="12">
        <v>0</v>
      </c>
      <c r="J714" s="12">
        <v>0</v>
      </c>
      <c r="K714">
        <v>0</v>
      </c>
      <c r="L714">
        <v>0</v>
      </c>
      <c r="M714">
        <v>0</v>
      </c>
      <c r="N714" s="10">
        <v>0</v>
      </c>
    </row>
    <row r="715" spans="2:14" ht="33" customHeight="1" x14ac:dyDescent="0.3">
      <c r="B715" s="12">
        <v>0</v>
      </c>
      <c r="C715" s="12">
        <v>0</v>
      </c>
      <c r="D715" s="12">
        <v>0</v>
      </c>
      <c r="E715" s="12">
        <v>0</v>
      </c>
      <c r="F715" s="12">
        <v>0</v>
      </c>
      <c r="G715" s="12">
        <v>0</v>
      </c>
      <c r="J715" s="12">
        <v>0</v>
      </c>
      <c r="K715">
        <v>0</v>
      </c>
      <c r="L715">
        <v>0</v>
      </c>
      <c r="M715">
        <v>0</v>
      </c>
      <c r="N715" s="10">
        <v>0</v>
      </c>
    </row>
    <row r="716" spans="2:14" ht="33" customHeight="1" x14ac:dyDescent="0.3">
      <c r="B716" s="12">
        <v>0</v>
      </c>
      <c r="C716" s="12">
        <v>0</v>
      </c>
      <c r="D716" s="12">
        <v>0</v>
      </c>
      <c r="E716" s="12">
        <v>0</v>
      </c>
      <c r="F716" s="12">
        <v>0</v>
      </c>
      <c r="G716" s="12">
        <v>0</v>
      </c>
      <c r="J716" s="12">
        <v>0</v>
      </c>
      <c r="K716">
        <v>0</v>
      </c>
      <c r="L716">
        <v>0</v>
      </c>
      <c r="M716">
        <v>0</v>
      </c>
      <c r="N716" s="10">
        <v>0</v>
      </c>
    </row>
    <row r="717" spans="2:14" ht="33" customHeight="1" x14ac:dyDescent="0.3">
      <c r="B717" s="12">
        <v>0</v>
      </c>
      <c r="C717" s="12">
        <v>0</v>
      </c>
      <c r="D717" s="12">
        <v>0</v>
      </c>
      <c r="E717" s="12">
        <v>0</v>
      </c>
      <c r="F717" s="12">
        <v>0</v>
      </c>
      <c r="G717" s="12">
        <v>0</v>
      </c>
      <c r="J717" s="12">
        <v>0</v>
      </c>
      <c r="K717">
        <v>0</v>
      </c>
      <c r="L717">
        <v>0</v>
      </c>
      <c r="M717">
        <v>0</v>
      </c>
      <c r="N717" s="10">
        <v>0</v>
      </c>
    </row>
    <row r="718" spans="2:14" ht="33" customHeight="1" x14ac:dyDescent="0.3">
      <c r="B718" s="12">
        <v>0</v>
      </c>
      <c r="C718" s="12">
        <v>0</v>
      </c>
      <c r="D718" s="12">
        <v>0</v>
      </c>
      <c r="E718" s="12">
        <v>0</v>
      </c>
      <c r="F718" s="12">
        <v>0</v>
      </c>
      <c r="G718" s="12">
        <v>0</v>
      </c>
      <c r="J718" s="12">
        <v>0</v>
      </c>
      <c r="K718">
        <v>0</v>
      </c>
      <c r="L718">
        <v>0</v>
      </c>
      <c r="M718">
        <v>0</v>
      </c>
      <c r="N718" s="10">
        <v>0</v>
      </c>
    </row>
    <row r="719" spans="2:14" ht="33" customHeight="1" x14ac:dyDescent="0.3">
      <c r="B719" s="12">
        <v>0</v>
      </c>
      <c r="C719" s="12">
        <v>0</v>
      </c>
      <c r="D719" s="12">
        <v>0</v>
      </c>
      <c r="E719" s="12">
        <v>0</v>
      </c>
      <c r="F719" s="12">
        <v>0</v>
      </c>
      <c r="G719" s="12">
        <v>0</v>
      </c>
      <c r="J719" s="12">
        <v>0</v>
      </c>
      <c r="K719">
        <v>0</v>
      </c>
      <c r="L719">
        <v>0</v>
      </c>
      <c r="M719">
        <v>0</v>
      </c>
      <c r="N719" s="10">
        <v>0</v>
      </c>
    </row>
    <row r="720" spans="2:14" ht="33" customHeight="1" x14ac:dyDescent="0.3">
      <c r="B720" s="12">
        <v>0</v>
      </c>
      <c r="C720" s="12">
        <v>0</v>
      </c>
      <c r="D720" s="12">
        <v>0</v>
      </c>
      <c r="E720" s="12">
        <v>0</v>
      </c>
      <c r="F720" s="12">
        <v>0</v>
      </c>
      <c r="G720" s="12">
        <v>0</v>
      </c>
      <c r="J720" s="12">
        <v>0</v>
      </c>
      <c r="K720">
        <v>0</v>
      </c>
      <c r="L720">
        <v>0</v>
      </c>
      <c r="M720">
        <v>0</v>
      </c>
      <c r="N720" s="10">
        <v>0</v>
      </c>
    </row>
    <row r="721" spans="2:14" ht="33" customHeight="1" x14ac:dyDescent="0.3">
      <c r="B721" s="12">
        <v>0</v>
      </c>
      <c r="C721" s="12">
        <v>0</v>
      </c>
      <c r="D721" s="12">
        <v>0</v>
      </c>
      <c r="E721" s="12">
        <v>0</v>
      </c>
      <c r="F721" s="12">
        <v>0</v>
      </c>
      <c r="G721" s="12">
        <v>0</v>
      </c>
      <c r="J721" s="12">
        <v>0</v>
      </c>
      <c r="K721">
        <v>0</v>
      </c>
      <c r="L721">
        <v>0</v>
      </c>
      <c r="M721">
        <v>0</v>
      </c>
      <c r="N721" s="10">
        <v>0</v>
      </c>
    </row>
    <row r="722" spans="2:14" ht="33" customHeight="1" x14ac:dyDescent="0.3">
      <c r="B722" s="12">
        <v>0</v>
      </c>
      <c r="C722" s="12">
        <v>0</v>
      </c>
      <c r="D722" s="12">
        <v>0</v>
      </c>
      <c r="E722" s="12">
        <v>0</v>
      </c>
      <c r="F722" s="12">
        <v>0</v>
      </c>
      <c r="G722" s="12">
        <v>0</v>
      </c>
      <c r="J722" s="12">
        <v>0</v>
      </c>
      <c r="K722">
        <v>0</v>
      </c>
      <c r="L722">
        <v>0</v>
      </c>
      <c r="M722">
        <v>0</v>
      </c>
      <c r="N722" s="10">
        <v>0</v>
      </c>
    </row>
    <row r="723" spans="2:14" ht="33" customHeight="1" x14ac:dyDescent="0.3">
      <c r="B723" s="12">
        <v>0</v>
      </c>
      <c r="C723" s="12">
        <v>0</v>
      </c>
      <c r="D723" s="12">
        <v>0</v>
      </c>
      <c r="E723" s="12">
        <v>0</v>
      </c>
      <c r="F723" s="12">
        <v>0</v>
      </c>
      <c r="G723" s="12">
        <v>0</v>
      </c>
      <c r="J723" s="12">
        <v>0</v>
      </c>
      <c r="K723">
        <v>0</v>
      </c>
      <c r="L723">
        <v>0</v>
      </c>
      <c r="M723">
        <v>0</v>
      </c>
      <c r="N723" s="10">
        <v>0</v>
      </c>
    </row>
    <row r="724" spans="2:14" ht="33" customHeight="1" x14ac:dyDescent="0.3">
      <c r="B724" s="12">
        <v>0</v>
      </c>
      <c r="C724" s="12">
        <v>0</v>
      </c>
      <c r="D724" s="12">
        <v>0</v>
      </c>
      <c r="E724" s="12">
        <v>0</v>
      </c>
      <c r="F724" s="12">
        <v>0</v>
      </c>
      <c r="G724" s="12">
        <v>0</v>
      </c>
      <c r="J724" s="12">
        <v>0</v>
      </c>
      <c r="K724">
        <v>0</v>
      </c>
      <c r="L724">
        <v>0</v>
      </c>
      <c r="M724">
        <v>0</v>
      </c>
      <c r="N724" s="10">
        <v>0</v>
      </c>
    </row>
    <row r="725" spans="2:14" ht="33" customHeight="1" x14ac:dyDescent="0.3">
      <c r="B725" s="12">
        <v>0</v>
      </c>
      <c r="C725" s="12">
        <v>0</v>
      </c>
      <c r="D725" s="12">
        <v>0</v>
      </c>
      <c r="E725" s="12">
        <v>0</v>
      </c>
      <c r="F725" s="12">
        <v>0</v>
      </c>
      <c r="G725" s="12">
        <v>0</v>
      </c>
      <c r="J725" s="12">
        <v>0</v>
      </c>
      <c r="K725">
        <v>0</v>
      </c>
      <c r="L725">
        <v>0</v>
      </c>
      <c r="M725">
        <v>0</v>
      </c>
      <c r="N725" s="10">
        <v>0</v>
      </c>
    </row>
    <row r="726" spans="2:14" ht="33" customHeight="1" x14ac:dyDescent="0.3">
      <c r="B726" s="12">
        <v>0</v>
      </c>
      <c r="C726" s="12">
        <v>0</v>
      </c>
      <c r="D726" s="12">
        <v>0</v>
      </c>
      <c r="E726" s="12">
        <v>0</v>
      </c>
      <c r="F726" s="12">
        <v>0</v>
      </c>
      <c r="G726" s="12">
        <v>0</v>
      </c>
      <c r="J726" s="12">
        <v>0</v>
      </c>
      <c r="K726">
        <v>0</v>
      </c>
      <c r="L726">
        <v>0</v>
      </c>
      <c r="M726">
        <v>0</v>
      </c>
      <c r="N726" s="10">
        <v>0</v>
      </c>
    </row>
    <row r="727" spans="2:14" ht="33" customHeight="1" x14ac:dyDescent="0.3">
      <c r="B727" s="12">
        <v>0</v>
      </c>
      <c r="C727" s="12">
        <v>0</v>
      </c>
      <c r="D727" s="12">
        <v>0</v>
      </c>
      <c r="E727" s="12">
        <v>0</v>
      </c>
      <c r="F727" s="12">
        <v>0</v>
      </c>
      <c r="G727" s="12">
        <v>0</v>
      </c>
      <c r="J727" s="12">
        <v>0</v>
      </c>
      <c r="K727">
        <v>0</v>
      </c>
      <c r="L727">
        <v>0</v>
      </c>
      <c r="M727">
        <v>0</v>
      </c>
      <c r="N727" s="10">
        <v>0</v>
      </c>
    </row>
    <row r="728" spans="2:14" ht="33" customHeight="1" x14ac:dyDescent="0.3">
      <c r="B728" s="12">
        <v>0</v>
      </c>
      <c r="C728" s="12">
        <v>0</v>
      </c>
      <c r="D728" s="12">
        <v>0</v>
      </c>
      <c r="E728" s="12">
        <v>0</v>
      </c>
      <c r="F728" s="12">
        <v>0</v>
      </c>
      <c r="G728" s="12">
        <v>0</v>
      </c>
      <c r="J728" s="12">
        <v>0</v>
      </c>
      <c r="K728">
        <v>0</v>
      </c>
      <c r="L728">
        <v>0</v>
      </c>
      <c r="M728">
        <v>0</v>
      </c>
      <c r="N728" s="10">
        <v>0</v>
      </c>
    </row>
    <row r="729" spans="2:14" ht="33" customHeight="1" x14ac:dyDescent="0.3">
      <c r="B729" s="12">
        <v>0</v>
      </c>
      <c r="C729" s="12">
        <v>0</v>
      </c>
      <c r="D729" s="12">
        <v>0</v>
      </c>
      <c r="E729" s="12">
        <v>0</v>
      </c>
      <c r="F729" s="12">
        <v>0</v>
      </c>
      <c r="G729" s="12">
        <v>0</v>
      </c>
      <c r="J729" s="12">
        <v>0</v>
      </c>
      <c r="K729">
        <v>0</v>
      </c>
      <c r="L729">
        <v>0</v>
      </c>
      <c r="M729">
        <v>0</v>
      </c>
      <c r="N729" s="10">
        <v>0</v>
      </c>
    </row>
    <row r="730" spans="2:14" ht="33" customHeight="1" x14ac:dyDescent="0.3">
      <c r="B730" s="12">
        <v>0</v>
      </c>
      <c r="C730" s="12">
        <v>0</v>
      </c>
      <c r="D730" s="12">
        <v>0</v>
      </c>
      <c r="E730" s="12">
        <v>0</v>
      </c>
      <c r="F730" s="12">
        <v>0</v>
      </c>
      <c r="G730" s="12">
        <v>0</v>
      </c>
      <c r="J730" s="12">
        <v>0</v>
      </c>
      <c r="K730">
        <v>0</v>
      </c>
      <c r="L730">
        <v>0</v>
      </c>
      <c r="M730">
        <v>0</v>
      </c>
      <c r="N730" s="10">
        <v>0</v>
      </c>
    </row>
    <row r="731" spans="2:14" ht="33" customHeight="1" x14ac:dyDescent="0.3">
      <c r="B731" s="12">
        <v>0</v>
      </c>
      <c r="C731" s="12">
        <v>0</v>
      </c>
      <c r="D731" s="12">
        <v>0</v>
      </c>
      <c r="E731" s="12">
        <v>0</v>
      </c>
      <c r="F731" s="12">
        <v>0</v>
      </c>
      <c r="G731" s="12">
        <v>0</v>
      </c>
      <c r="J731" s="12">
        <v>0</v>
      </c>
      <c r="K731">
        <v>0</v>
      </c>
      <c r="L731">
        <v>0</v>
      </c>
      <c r="M731">
        <v>0</v>
      </c>
      <c r="N731" s="10">
        <v>0</v>
      </c>
    </row>
    <row r="732" spans="2:14" ht="33" customHeight="1" x14ac:dyDescent="0.3">
      <c r="B732" s="12">
        <v>0</v>
      </c>
      <c r="C732" s="12">
        <v>0</v>
      </c>
      <c r="D732" s="12">
        <v>0</v>
      </c>
      <c r="E732" s="12">
        <v>0</v>
      </c>
      <c r="F732" s="12">
        <v>0</v>
      </c>
      <c r="G732" s="12">
        <v>0</v>
      </c>
      <c r="J732" s="12">
        <v>0</v>
      </c>
      <c r="K732">
        <v>0</v>
      </c>
      <c r="L732">
        <v>0</v>
      </c>
      <c r="M732">
        <v>0</v>
      </c>
      <c r="N732" s="10">
        <v>0</v>
      </c>
    </row>
    <row r="733" spans="2:14" ht="33" customHeight="1" x14ac:dyDescent="0.3">
      <c r="B733" s="12">
        <v>0</v>
      </c>
      <c r="C733" s="12">
        <v>0</v>
      </c>
      <c r="D733" s="12">
        <v>0</v>
      </c>
      <c r="E733" s="12">
        <v>0</v>
      </c>
      <c r="F733" s="12">
        <v>0</v>
      </c>
      <c r="G733" s="12">
        <v>0</v>
      </c>
      <c r="J733" s="12">
        <v>0</v>
      </c>
      <c r="K733">
        <v>0</v>
      </c>
      <c r="L733">
        <v>0</v>
      </c>
      <c r="M733">
        <v>0</v>
      </c>
      <c r="N733" s="10">
        <v>0</v>
      </c>
    </row>
    <row r="734" spans="2:14" ht="33" customHeight="1" x14ac:dyDescent="0.3">
      <c r="B734" s="12">
        <v>0</v>
      </c>
      <c r="C734" s="12">
        <v>0</v>
      </c>
      <c r="D734" s="12">
        <v>0</v>
      </c>
      <c r="E734" s="12">
        <v>0</v>
      </c>
      <c r="F734" s="12">
        <v>0</v>
      </c>
      <c r="G734" s="12">
        <v>0</v>
      </c>
      <c r="J734" s="12">
        <v>0</v>
      </c>
      <c r="K734">
        <v>0</v>
      </c>
      <c r="L734">
        <v>0</v>
      </c>
      <c r="M734">
        <v>0</v>
      </c>
      <c r="N734" s="10">
        <v>0</v>
      </c>
    </row>
    <row r="735" spans="2:14" ht="33" customHeight="1" x14ac:dyDescent="0.3">
      <c r="B735" s="12">
        <v>0</v>
      </c>
      <c r="C735" s="12">
        <v>0</v>
      </c>
      <c r="D735" s="12">
        <v>0</v>
      </c>
      <c r="E735" s="12">
        <v>0</v>
      </c>
      <c r="F735" s="12">
        <v>0</v>
      </c>
      <c r="G735" s="12">
        <v>0</v>
      </c>
      <c r="J735" s="12">
        <v>0</v>
      </c>
      <c r="K735">
        <v>0</v>
      </c>
      <c r="L735">
        <v>0</v>
      </c>
      <c r="M735">
        <v>0</v>
      </c>
      <c r="N735" s="10">
        <v>0</v>
      </c>
    </row>
    <row r="736" spans="2:14" ht="33" customHeight="1" x14ac:dyDescent="0.3">
      <c r="B736" s="12">
        <v>0</v>
      </c>
      <c r="C736" s="12">
        <v>0</v>
      </c>
      <c r="D736" s="12">
        <v>0</v>
      </c>
      <c r="E736" s="12">
        <v>0</v>
      </c>
      <c r="F736" s="12">
        <v>0</v>
      </c>
      <c r="G736" s="12">
        <v>0</v>
      </c>
      <c r="J736" s="12">
        <v>0</v>
      </c>
      <c r="K736">
        <v>0</v>
      </c>
      <c r="L736">
        <v>0</v>
      </c>
      <c r="M736">
        <v>0</v>
      </c>
      <c r="N736" s="10">
        <v>0</v>
      </c>
    </row>
    <row r="737" spans="2:14" ht="33" customHeight="1" x14ac:dyDescent="0.3">
      <c r="B737" s="12">
        <v>0</v>
      </c>
      <c r="C737" s="12">
        <v>0</v>
      </c>
      <c r="D737" s="12">
        <v>0</v>
      </c>
      <c r="E737" s="12">
        <v>0</v>
      </c>
      <c r="F737" s="12">
        <v>0</v>
      </c>
      <c r="G737" s="12">
        <v>0</v>
      </c>
      <c r="J737" s="12">
        <v>0</v>
      </c>
      <c r="K737">
        <v>0</v>
      </c>
      <c r="L737">
        <v>0</v>
      </c>
      <c r="M737">
        <v>0</v>
      </c>
      <c r="N737" s="10">
        <v>0</v>
      </c>
    </row>
    <row r="738" spans="2:14" ht="33" customHeight="1" x14ac:dyDescent="0.3">
      <c r="B738" s="12">
        <v>0</v>
      </c>
      <c r="C738" s="12">
        <v>0</v>
      </c>
      <c r="D738" s="12">
        <v>0</v>
      </c>
      <c r="E738" s="12">
        <v>0</v>
      </c>
      <c r="F738" s="12">
        <v>0</v>
      </c>
      <c r="G738" s="12">
        <v>0</v>
      </c>
      <c r="J738" s="12">
        <v>0</v>
      </c>
      <c r="K738">
        <v>0</v>
      </c>
      <c r="L738">
        <v>0</v>
      </c>
      <c r="M738">
        <v>0</v>
      </c>
      <c r="N738" s="10">
        <v>0</v>
      </c>
    </row>
    <row r="739" spans="2:14" ht="33" customHeight="1" x14ac:dyDescent="0.3">
      <c r="B739" s="12">
        <v>0</v>
      </c>
      <c r="C739" s="12">
        <v>0</v>
      </c>
      <c r="D739" s="12">
        <v>0</v>
      </c>
      <c r="E739" s="12">
        <v>0</v>
      </c>
      <c r="F739" s="12">
        <v>0</v>
      </c>
      <c r="G739" s="12">
        <v>0</v>
      </c>
      <c r="J739" s="12">
        <v>0</v>
      </c>
      <c r="K739">
        <v>0</v>
      </c>
      <c r="L739">
        <v>0</v>
      </c>
      <c r="M739">
        <v>0</v>
      </c>
      <c r="N739" s="10">
        <v>0</v>
      </c>
    </row>
    <row r="740" spans="2:14" ht="33" customHeight="1" x14ac:dyDescent="0.3">
      <c r="B740" s="12">
        <v>0</v>
      </c>
      <c r="C740" s="12">
        <v>0</v>
      </c>
      <c r="D740" s="12">
        <v>0</v>
      </c>
      <c r="E740" s="12">
        <v>0</v>
      </c>
      <c r="F740" s="12">
        <v>0</v>
      </c>
      <c r="G740" s="12">
        <v>0</v>
      </c>
      <c r="J740" s="12">
        <v>0</v>
      </c>
      <c r="K740">
        <v>0</v>
      </c>
      <c r="L740">
        <v>0</v>
      </c>
      <c r="M740">
        <v>0</v>
      </c>
      <c r="N740" s="10">
        <v>0</v>
      </c>
    </row>
    <row r="741" spans="2:14" ht="33" customHeight="1" x14ac:dyDescent="0.3">
      <c r="B741" s="12">
        <v>0</v>
      </c>
      <c r="C741" s="12">
        <v>0</v>
      </c>
      <c r="D741" s="12">
        <v>0</v>
      </c>
      <c r="E741" s="12">
        <v>0</v>
      </c>
      <c r="F741" s="12">
        <v>0</v>
      </c>
      <c r="G741" s="12">
        <v>0</v>
      </c>
      <c r="J741" s="12">
        <v>0</v>
      </c>
      <c r="K741">
        <v>0</v>
      </c>
      <c r="L741">
        <v>0</v>
      </c>
      <c r="M741">
        <v>0</v>
      </c>
      <c r="N741" s="10">
        <v>0</v>
      </c>
    </row>
    <row r="742" spans="2:14" ht="33" customHeight="1" x14ac:dyDescent="0.3">
      <c r="B742" s="12">
        <v>0</v>
      </c>
      <c r="C742" s="12">
        <v>0</v>
      </c>
      <c r="D742" s="12">
        <v>0</v>
      </c>
      <c r="E742" s="12">
        <v>0</v>
      </c>
      <c r="F742" s="12">
        <v>0</v>
      </c>
      <c r="G742" s="12">
        <v>0</v>
      </c>
      <c r="J742" s="12">
        <v>0</v>
      </c>
      <c r="K742">
        <v>0</v>
      </c>
      <c r="L742">
        <v>0</v>
      </c>
      <c r="M742">
        <v>0</v>
      </c>
      <c r="N742" s="10">
        <v>0</v>
      </c>
    </row>
    <row r="743" spans="2:14" ht="33" customHeight="1" x14ac:dyDescent="0.3">
      <c r="B743" s="12">
        <v>0</v>
      </c>
      <c r="C743" s="12">
        <v>0</v>
      </c>
      <c r="D743" s="12">
        <v>0</v>
      </c>
      <c r="E743" s="12">
        <v>0</v>
      </c>
      <c r="F743" s="12">
        <v>0</v>
      </c>
      <c r="G743" s="12">
        <v>0</v>
      </c>
      <c r="J743" s="12">
        <v>0</v>
      </c>
      <c r="K743">
        <v>0</v>
      </c>
      <c r="L743">
        <v>0</v>
      </c>
      <c r="M743">
        <v>0</v>
      </c>
      <c r="N743" s="10">
        <v>0</v>
      </c>
    </row>
    <row r="744" spans="2:14" ht="33" customHeight="1" x14ac:dyDescent="0.3">
      <c r="B744" s="12">
        <v>0</v>
      </c>
      <c r="C744" s="12">
        <v>0</v>
      </c>
      <c r="D744" s="12">
        <v>0</v>
      </c>
      <c r="E744" s="12">
        <v>0</v>
      </c>
      <c r="F744" s="12">
        <v>0</v>
      </c>
      <c r="G744" s="12">
        <v>0</v>
      </c>
      <c r="J744" s="12">
        <v>0</v>
      </c>
      <c r="K744">
        <v>0</v>
      </c>
      <c r="L744">
        <v>0</v>
      </c>
      <c r="M744">
        <v>0</v>
      </c>
      <c r="N744" s="10">
        <v>0</v>
      </c>
    </row>
    <row r="745" spans="2:14" ht="33" customHeight="1" x14ac:dyDescent="0.3">
      <c r="B745" s="12">
        <v>0</v>
      </c>
      <c r="C745" s="12">
        <v>0</v>
      </c>
      <c r="D745" s="12">
        <v>0</v>
      </c>
      <c r="E745" s="12">
        <v>0</v>
      </c>
      <c r="F745" s="12">
        <v>0</v>
      </c>
      <c r="G745" s="12">
        <v>0</v>
      </c>
      <c r="J745" s="12">
        <v>0</v>
      </c>
      <c r="K745">
        <v>0</v>
      </c>
      <c r="L745">
        <v>0</v>
      </c>
      <c r="M745">
        <v>0</v>
      </c>
      <c r="N745" s="10">
        <v>0</v>
      </c>
    </row>
    <row r="746" spans="2:14" ht="33" customHeight="1" x14ac:dyDescent="0.3">
      <c r="B746" s="12">
        <v>0</v>
      </c>
      <c r="C746" s="12">
        <v>0</v>
      </c>
      <c r="D746" s="12">
        <v>0</v>
      </c>
      <c r="E746" s="12">
        <v>0</v>
      </c>
      <c r="F746" s="12">
        <v>0</v>
      </c>
      <c r="G746" s="12">
        <v>0</v>
      </c>
      <c r="J746" s="12">
        <v>0</v>
      </c>
      <c r="K746">
        <v>0</v>
      </c>
      <c r="L746">
        <v>0</v>
      </c>
      <c r="M746">
        <v>0</v>
      </c>
      <c r="N746" s="10">
        <v>0</v>
      </c>
    </row>
    <row r="747" spans="2:14" ht="33" customHeight="1" x14ac:dyDescent="0.3">
      <c r="B747" s="12">
        <v>0</v>
      </c>
      <c r="C747" s="12">
        <v>0</v>
      </c>
      <c r="D747" s="12">
        <v>0</v>
      </c>
      <c r="E747" s="12">
        <v>0</v>
      </c>
      <c r="F747" s="12">
        <v>0</v>
      </c>
      <c r="G747" s="12">
        <v>0</v>
      </c>
      <c r="J747" s="12">
        <v>0</v>
      </c>
      <c r="K747">
        <v>0</v>
      </c>
      <c r="L747">
        <v>0</v>
      </c>
      <c r="M747">
        <v>0</v>
      </c>
      <c r="N747" s="10">
        <v>0</v>
      </c>
    </row>
    <row r="748" spans="2:14" ht="33" customHeight="1" x14ac:dyDescent="0.3">
      <c r="B748" s="12">
        <v>0</v>
      </c>
      <c r="C748" s="12">
        <v>0</v>
      </c>
      <c r="D748" s="12">
        <v>0</v>
      </c>
      <c r="E748" s="12">
        <v>0</v>
      </c>
      <c r="F748" s="12">
        <v>0</v>
      </c>
      <c r="G748" s="12">
        <v>0</v>
      </c>
      <c r="J748" s="12">
        <v>0</v>
      </c>
      <c r="K748">
        <v>0</v>
      </c>
      <c r="L748">
        <v>0</v>
      </c>
      <c r="M748">
        <v>0</v>
      </c>
      <c r="N748" s="10">
        <v>0</v>
      </c>
    </row>
    <row r="749" spans="2:14" ht="33" customHeight="1" x14ac:dyDescent="0.3">
      <c r="B749" s="12">
        <v>0</v>
      </c>
      <c r="C749" s="12">
        <v>0</v>
      </c>
      <c r="D749" s="12">
        <v>0</v>
      </c>
      <c r="E749" s="12">
        <v>0</v>
      </c>
      <c r="F749" s="12">
        <v>0</v>
      </c>
      <c r="G749" s="12">
        <v>0</v>
      </c>
      <c r="J749" s="12">
        <v>0</v>
      </c>
      <c r="K749">
        <v>0</v>
      </c>
      <c r="L749">
        <v>0</v>
      </c>
      <c r="M749">
        <v>0</v>
      </c>
      <c r="N749" s="10">
        <v>0</v>
      </c>
    </row>
    <row r="750" spans="2:14" ht="33" customHeight="1" x14ac:dyDescent="0.3">
      <c r="B750" s="12">
        <v>0</v>
      </c>
      <c r="C750" s="12">
        <v>0</v>
      </c>
      <c r="D750" s="12">
        <v>0</v>
      </c>
      <c r="E750" s="12">
        <v>0</v>
      </c>
      <c r="F750" s="12">
        <v>0</v>
      </c>
      <c r="G750" s="12">
        <v>0</v>
      </c>
      <c r="J750" s="12">
        <v>0</v>
      </c>
      <c r="K750">
        <v>0</v>
      </c>
      <c r="L750">
        <v>0</v>
      </c>
      <c r="M750">
        <v>0</v>
      </c>
      <c r="N750" s="10">
        <v>0</v>
      </c>
    </row>
    <row r="751" spans="2:14" ht="33" customHeight="1" x14ac:dyDescent="0.3">
      <c r="B751" s="12">
        <v>0</v>
      </c>
      <c r="C751" s="12">
        <v>0</v>
      </c>
      <c r="D751" s="12">
        <v>0</v>
      </c>
      <c r="E751" s="12">
        <v>0</v>
      </c>
      <c r="F751" s="12">
        <v>0</v>
      </c>
      <c r="G751" s="12">
        <v>0</v>
      </c>
      <c r="J751" s="12">
        <v>0</v>
      </c>
      <c r="K751">
        <v>0</v>
      </c>
      <c r="L751">
        <v>0</v>
      </c>
      <c r="M751">
        <v>0</v>
      </c>
      <c r="N751" s="10">
        <v>0</v>
      </c>
    </row>
    <row r="752" spans="2:14" ht="33" customHeight="1" x14ac:dyDescent="0.3">
      <c r="B752" s="12">
        <v>0</v>
      </c>
      <c r="C752" s="12">
        <v>0</v>
      </c>
      <c r="D752" s="12">
        <v>0</v>
      </c>
      <c r="E752" s="12">
        <v>0</v>
      </c>
      <c r="F752" s="12">
        <v>0</v>
      </c>
      <c r="G752" s="12">
        <v>0</v>
      </c>
      <c r="J752" s="12">
        <v>0</v>
      </c>
      <c r="K752">
        <v>0</v>
      </c>
      <c r="L752">
        <v>0</v>
      </c>
      <c r="M752">
        <v>0</v>
      </c>
      <c r="N752" s="10">
        <v>0</v>
      </c>
    </row>
    <row r="753" spans="2:14" ht="33" customHeight="1" x14ac:dyDescent="0.3">
      <c r="B753" s="12">
        <v>0</v>
      </c>
      <c r="C753" s="12">
        <v>0</v>
      </c>
      <c r="D753" s="12">
        <v>0</v>
      </c>
      <c r="E753" s="12">
        <v>0</v>
      </c>
      <c r="F753" s="12">
        <v>0</v>
      </c>
      <c r="G753" s="12">
        <v>0</v>
      </c>
      <c r="J753" s="12">
        <v>0</v>
      </c>
      <c r="K753">
        <v>0</v>
      </c>
      <c r="L753">
        <v>0</v>
      </c>
      <c r="M753">
        <v>0</v>
      </c>
      <c r="N753" s="10">
        <v>0</v>
      </c>
    </row>
    <row r="754" spans="2:14" ht="33" customHeight="1" x14ac:dyDescent="0.3">
      <c r="B754" s="12">
        <v>0</v>
      </c>
      <c r="C754" s="12">
        <v>0</v>
      </c>
      <c r="D754" s="12">
        <v>0</v>
      </c>
      <c r="E754" s="12">
        <v>0</v>
      </c>
      <c r="F754" s="12">
        <v>0</v>
      </c>
      <c r="G754" s="12">
        <v>0</v>
      </c>
      <c r="J754" s="12">
        <v>0</v>
      </c>
      <c r="K754">
        <v>0</v>
      </c>
      <c r="L754">
        <v>0</v>
      </c>
      <c r="M754">
        <v>0</v>
      </c>
      <c r="N754" s="10">
        <v>0</v>
      </c>
    </row>
    <row r="755" spans="2:14" ht="33" customHeight="1" x14ac:dyDescent="0.3">
      <c r="B755" s="12">
        <v>0</v>
      </c>
      <c r="C755" s="12">
        <v>0</v>
      </c>
      <c r="D755" s="12">
        <v>0</v>
      </c>
      <c r="E755" s="12">
        <v>0</v>
      </c>
      <c r="F755" s="12">
        <v>0</v>
      </c>
      <c r="G755" s="12">
        <v>0</v>
      </c>
      <c r="J755" s="12">
        <v>0</v>
      </c>
      <c r="K755">
        <v>0</v>
      </c>
      <c r="L755">
        <v>0</v>
      </c>
      <c r="M755">
        <v>0</v>
      </c>
      <c r="N755" s="10">
        <v>0</v>
      </c>
    </row>
    <row r="756" spans="2:14" ht="33" customHeight="1" x14ac:dyDescent="0.3">
      <c r="B756" s="12">
        <v>0</v>
      </c>
      <c r="C756" s="12">
        <v>0</v>
      </c>
      <c r="D756" s="12">
        <v>0</v>
      </c>
      <c r="E756" s="12">
        <v>0</v>
      </c>
      <c r="F756" s="12">
        <v>0</v>
      </c>
      <c r="G756" s="12">
        <v>0</v>
      </c>
      <c r="J756" s="12">
        <v>0</v>
      </c>
      <c r="K756">
        <v>0</v>
      </c>
      <c r="L756">
        <v>0</v>
      </c>
      <c r="M756">
        <v>0</v>
      </c>
      <c r="N756" s="10">
        <v>0</v>
      </c>
    </row>
    <row r="757" spans="2:14" ht="33" customHeight="1" x14ac:dyDescent="0.3">
      <c r="B757" s="12">
        <v>0</v>
      </c>
      <c r="C757" s="12">
        <v>0</v>
      </c>
      <c r="D757" s="12">
        <v>0</v>
      </c>
      <c r="E757" s="12">
        <v>0</v>
      </c>
      <c r="F757" s="12">
        <v>0</v>
      </c>
      <c r="G757" s="12">
        <v>0</v>
      </c>
      <c r="J757" s="12">
        <v>0</v>
      </c>
      <c r="K757">
        <v>0</v>
      </c>
      <c r="L757">
        <v>0</v>
      </c>
      <c r="M757">
        <v>0</v>
      </c>
      <c r="N757" s="10">
        <v>0</v>
      </c>
    </row>
    <row r="758" spans="2:14" ht="33" customHeight="1" x14ac:dyDescent="0.3">
      <c r="B758" s="12">
        <v>0</v>
      </c>
      <c r="C758" s="12">
        <v>0</v>
      </c>
      <c r="D758" s="12">
        <v>0</v>
      </c>
      <c r="E758" s="12">
        <v>0</v>
      </c>
      <c r="F758" s="12">
        <v>0</v>
      </c>
      <c r="G758" s="12">
        <v>0</v>
      </c>
      <c r="J758" s="12">
        <v>0</v>
      </c>
      <c r="K758">
        <v>0</v>
      </c>
      <c r="L758">
        <v>0</v>
      </c>
      <c r="M758">
        <v>0</v>
      </c>
      <c r="N758" s="10">
        <v>0</v>
      </c>
    </row>
    <row r="759" spans="2:14" ht="33" customHeight="1" x14ac:dyDescent="0.3">
      <c r="B759" s="12">
        <v>0</v>
      </c>
      <c r="C759" s="12">
        <v>0</v>
      </c>
      <c r="D759" s="12">
        <v>0</v>
      </c>
      <c r="E759" s="12">
        <v>0</v>
      </c>
      <c r="F759" s="12">
        <v>0</v>
      </c>
      <c r="G759" s="12">
        <v>0</v>
      </c>
      <c r="J759" s="12">
        <v>0</v>
      </c>
      <c r="K759">
        <v>0</v>
      </c>
      <c r="L759">
        <v>0</v>
      </c>
      <c r="M759">
        <v>0</v>
      </c>
      <c r="N759" s="10">
        <v>0</v>
      </c>
    </row>
    <row r="760" spans="2:14" ht="33" customHeight="1" x14ac:dyDescent="0.3">
      <c r="B760" s="12">
        <v>0</v>
      </c>
      <c r="C760" s="12">
        <v>0</v>
      </c>
      <c r="D760" s="12">
        <v>0</v>
      </c>
      <c r="E760" s="12">
        <v>0</v>
      </c>
      <c r="F760" s="12">
        <v>0</v>
      </c>
      <c r="G760" s="12">
        <v>0</v>
      </c>
      <c r="J760" s="12">
        <v>0</v>
      </c>
      <c r="K760">
        <v>0</v>
      </c>
      <c r="L760">
        <v>0</v>
      </c>
      <c r="M760">
        <v>0</v>
      </c>
      <c r="N760" s="10">
        <v>0</v>
      </c>
    </row>
    <row r="761" spans="2:14" ht="33" customHeight="1" x14ac:dyDescent="0.3">
      <c r="B761" s="12">
        <v>0</v>
      </c>
      <c r="C761" s="12">
        <v>0</v>
      </c>
      <c r="D761" s="12">
        <v>0</v>
      </c>
      <c r="E761" s="12">
        <v>0</v>
      </c>
      <c r="F761" s="12">
        <v>0</v>
      </c>
      <c r="G761" s="12">
        <v>0</v>
      </c>
      <c r="J761" s="12">
        <v>0</v>
      </c>
      <c r="K761">
        <v>0</v>
      </c>
      <c r="L761">
        <v>0</v>
      </c>
      <c r="M761">
        <v>0</v>
      </c>
      <c r="N761" s="10">
        <v>0</v>
      </c>
    </row>
    <row r="762" spans="2:14" ht="33" customHeight="1" x14ac:dyDescent="0.3">
      <c r="B762" s="12">
        <v>0</v>
      </c>
      <c r="C762" s="12">
        <v>0</v>
      </c>
      <c r="D762" s="12">
        <v>0</v>
      </c>
      <c r="E762" s="12">
        <v>0</v>
      </c>
      <c r="F762" s="12">
        <v>0</v>
      </c>
      <c r="G762" s="12">
        <v>0</v>
      </c>
      <c r="J762" s="12">
        <v>0</v>
      </c>
      <c r="K762">
        <v>0</v>
      </c>
      <c r="L762">
        <v>0</v>
      </c>
      <c r="M762">
        <v>0</v>
      </c>
      <c r="N762" s="10">
        <v>0</v>
      </c>
    </row>
    <row r="763" spans="2:14" ht="33" customHeight="1" x14ac:dyDescent="0.3">
      <c r="B763" s="12">
        <v>0</v>
      </c>
      <c r="C763" s="12">
        <v>0</v>
      </c>
      <c r="D763" s="12">
        <v>0</v>
      </c>
      <c r="E763" s="12">
        <v>0</v>
      </c>
      <c r="F763" s="12">
        <v>0</v>
      </c>
      <c r="G763" s="12">
        <v>0</v>
      </c>
      <c r="J763" s="12">
        <v>0</v>
      </c>
      <c r="K763">
        <v>0</v>
      </c>
      <c r="L763">
        <v>0</v>
      </c>
      <c r="M763">
        <v>0</v>
      </c>
      <c r="N763" s="10">
        <v>0</v>
      </c>
    </row>
    <row r="764" spans="2:14" ht="33" customHeight="1" x14ac:dyDescent="0.3">
      <c r="B764" s="12">
        <v>0</v>
      </c>
      <c r="C764" s="12">
        <v>0</v>
      </c>
      <c r="D764" s="12">
        <v>0</v>
      </c>
      <c r="E764" s="12">
        <v>0</v>
      </c>
      <c r="F764" s="12">
        <v>0</v>
      </c>
      <c r="G764" s="12">
        <v>0</v>
      </c>
      <c r="J764" s="12">
        <v>0</v>
      </c>
      <c r="K764">
        <v>0</v>
      </c>
      <c r="L764">
        <v>0</v>
      </c>
      <c r="M764">
        <v>0</v>
      </c>
      <c r="N764" s="10">
        <v>0</v>
      </c>
    </row>
    <row r="765" spans="2:14" ht="33" customHeight="1" x14ac:dyDescent="0.3">
      <c r="B765" s="12">
        <v>0</v>
      </c>
      <c r="C765" s="12">
        <v>0</v>
      </c>
      <c r="D765" s="12">
        <v>0</v>
      </c>
      <c r="E765" s="12">
        <v>0</v>
      </c>
      <c r="F765" s="12">
        <v>0</v>
      </c>
      <c r="G765" s="12">
        <v>0</v>
      </c>
      <c r="J765" s="12">
        <v>0</v>
      </c>
      <c r="K765">
        <v>0</v>
      </c>
      <c r="L765">
        <v>0</v>
      </c>
      <c r="M765">
        <v>0</v>
      </c>
      <c r="N765" s="10">
        <v>0</v>
      </c>
    </row>
    <row r="766" spans="2:14" ht="33" customHeight="1" x14ac:dyDescent="0.3">
      <c r="B766" s="12">
        <v>0</v>
      </c>
      <c r="C766" s="12">
        <v>0</v>
      </c>
      <c r="D766" s="12">
        <v>0</v>
      </c>
      <c r="E766" s="12">
        <v>0</v>
      </c>
      <c r="F766" s="12">
        <v>0</v>
      </c>
      <c r="G766" s="12">
        <v>0</v>
      </c>
      <c r="J766" s="12">
        <v>0</v>
      </c>
      <c r="K766">
        <v>0</v>
      </c>
      <c r="L766">
        <v>0</v>
      </c>
      <c r="M766">
        <v>0</v>
      </c>
      <c r="N766" s="10">
        <v>0</v>
      </c>
    </row>
    <row r="767" spans="2:14" ht="33" customHeight="1" x14ac:dyDescent="0.3">
      <c r="B767" s="12">
        <v>0</v>
      </c>
      <c r="C767" s="12">
        <v>0</v>
      </c>
      <c r="D767" s="12">
        <v>0</v>
      </c>
      <c r="E767" s="12">
        <v>0</v>
      </c>
      <c r="F767" s="12">
        <v>0</v>
      </c>
      <c r="G767" s="12">
        <v>0</v>
      </c>
      <c r="J767" s="12">
        <v>0</v>
      </c>
      <c r="K767">
        <v>0</v>
      </c>
      <c r="L767">
        <v>0</v>
      </c>
      <c r="M767">
        <v>0</v>
      </c>
      <c r="N767" s="10">
        <v>0</v>
      </c>
    </row>
    <row r="768" spans="2:14" ht="33" customHeight="1" x14ac:dyDescent="0.3">
      <c r="B768" s="12">
        <v>0</v>
      </c>
      <c r="C768" s="12">
        <v>0</v>
      </c>
      <c r="D768" s="12">
        <v>0</v>
      </c>
      <c r="E768" s="12">
        <v>0</v>
      </c>
      <c r="F768" s="12">
        <v>0</v>
      </c>
      <c r="G768" s="12">
        <v>0</v>
      </c>
      <c r="J768" s="12">
        <v>0</v>
      </c>
      <c r="K768">
        <v>0</v>
      </c>
      <c r="L768">
        <v>0</v>
      </c>
      <c r="M768">
        <v>0</v>
      </c>
      <c r="N768" s="10">
        <v>0</v>
      </c>
    </row>
    <row r="769" spans="2:14" ht="33" customHeight="1" x14ac:dyDescent="0.3">
      <c r="B769" s="12">
        <v>0</v>
      </c>
      <c r="C769" s="12">
        <v>0</v>
      </c>
      <c r="D769" s="12">
        <v>0</v>
      </c>
      <c r="E769" s="12">
        <v>0</v>
      </c>
      <c r="F769" s="12">
        <v>0</v>
      </c>
      <c r="G769" s="12">
        <v>0</v>
      </c>
      <c r="J769" s="12">
        <v>0</v>
      </c>
      <c r="K769">
        <v>0</v>
      </c>
      <c r="L769">
        <v>0</v>
      </c>
      <c r="M769">
        <v>0</v>
      </c>
      <c r="N769" s="10">
        <v>0</v>
      </c>
    </row>
    <row r="770" spans="2:14" ht="33" customHeight="1" x14ac:dyDescent="0.3">
      <c r="B770" s="12">
        <v>0</v>
      </c>
      <c r="C770" s="12">
        <v>0</v>
      </c>
      <c r="D770" s="12">
        <v>0</v>
      </c>
      <c r="E770" s="12">
        <v>0</v>
      </c>
      <c r="F770" s="12">
        <v>0</v>
      </c>
      <c r="G770" s="12">
        <v>0</v>
      </c>
      <c r="J770" s="12">
        <v>0</v>
      </c>
      <c r="K770">
        <v>0</v>
      </c>
      <c r="L770">
        <v>0</v>
      </c>
      <c r="M770">
        <v>0</v>
      </c>
      <c r="N770" s="10">
        <v>0</v>
      </c>
    </row>
    <row r="771" spans="2:14" ht="33" customHeight="1" x14ac:dyDescent="0.3">
      <c r="B771" s="12">
        <v>0</v>
      </c>
      <c r="C771" s="12">
        <v>0</v>
      </c>
      <c r="D771" s="12">
        <v>0</v>
      </c>
      <c r="E771" s="12">
        <v>0</v>
      </c>
      <c r="F771" s="12">
        <v>0</v>
      </c>
      <c r="G771" s="12">
        <v>0</v>
      </c>
      <c r="J771" s="12">
        <v>0</v>
      </c>
      <c r="K771">
        <v>0</v>
      </c>
      <c r="L771">
        <v>0</v>
      </c>
      <c r="M771">
        <v>0</v>
      </c>
      <c r="N771" s="10">
        <v>0</v>
      </c>
    </row>
    <row r="772" spans="2:14" ht="33" customHeight="1" x14ac:dyDescent="0.3">
      <c r="B772" s="12">
        <v>0</v>
      </c>
      <c r="C772" s="12">
        <v>0</v>
      </c>
      <c r="D772" s="12">
        <v>0</v>
      </c>
      <c r="E772" s="12">
        <v>0</v>
      </c>
      <c r="F772" s="12">
        <v>0</v>
      </c>
      <c r="G772" s="12">
        <v>0</v>
      </c>
      <c r="J772" s="12">
        <v>0</v>
      </c>
      <c r="K772">
        <v>0</v>
      </c>
      <c r="L772">
        <v>0</v>
      </c>
      <c r="M772">
        <v>0</v>
      </c>
      <c r="N772" s="10">
        <v>0</v>
      </c>
    </row>
    <row r="773" spans="2:14" ht="33" customHeight="1" x14ac:dyDescent="0.3">
      <c r="B773" s="12">
        <v>0</v>
      </c>
      <c r="C773" s="12">
        <v>0</v>
      </c>
      <c r="D773" s="12">
        <v>0</v>
      </c>
      <c r="E773" s="12">
        <v>0</v>
      </c>
      <c r="F773" s="12">
        <v>0</v>
      </c>
      <c r="G773" s="12">
        <v>0</v>
      </c>
      <c r="J773" s="12">
        <v>0</v>
      </c>
      <c r="K773">
        <v>0</v>
      </c>
      <c r="L773">
        <v>0</v>
      </c>
      <c r="M773">
        <v>0</v>
      </c>
      <c r="N773" s="10">
        <v>0</v>
      </c>
    </row>
    <row r="774" spans="2:14" ht="33" customHeight="1" x14ac:dyDescent="0.3">
      <c r="B774" s="12">
        <v>0</v>
      </c>
      <c r="C774" s="12">
        <v>0</v>
      </c>
      <c r="D774" s="12">
        <v>0</v>
      </c>
      <c r="E774" s="12">
        <v>0</v>
      </c>
      <c r="F774" s="12">
        <v>0</v>
      </c>
      <c r="G774" s="12">
        <v>0</v>
      </c>
      <c r="J774" s="12">
        <v>0</v>
      </c>
      <c r="K774">
        <v>0</v>
      </c>
      <c r="L774">
        <v>0</v>
      </c>
      <c r="M774">
        <v>0</v>
      </c>
      <c r="N774" s="10">
        <v>0</v>
      </c>
    </row>
    <row r="775" spans="2:14" ht="33" customHeight="1" x14ac:dyDescent="0.3">
      <c r="B775" s="12">
        <v>0</v>
      </c>
      <c r="C775" s="12">
        <v>0</v>
      </c>
      <c r="D775" s="12">
        <v>0</v>
      </c>
      <c r="E775" s="12">
        <v>0</v>
      </c>
      <c r="F775" s="12">
        <v>0</v>
      </c>
      <c r="G775" s="12">
        <v>0</v>
      </c>
      <c r="J775" s="12">
        <v>0</v>
      </c>
      <c r="K775">
        <v>0</v>
      </c>
      <c r="L775">
        <v>0</v>
      </c>
      <c r="M775">
        <v>0</v>
      </c>
      <c r="N775" s="10">
        <v>0</v>
      </c>
    </row>
    <row r="776" spans="2:14" ht="33" customHeight="1" x14ac:dyDescent="0.3">
      <c r="B776" s="12">
        <v>0</v>
      </c>
      <c r="C776" s="12">
        <v>0</v>
      </c>
      <c r="D776" s="12">
        <v>0</v>
      </c>
      <c r="E776" s="12">
        <v>0</v>
      </c>
      <c r="F776" s="12">
        <v>0</v>
      </c>
      <c r="G776" s="12">
        <v>0</v>
      </c>
      <c r="J776" s="12">
        <v>0</v>
      </c>
      <c r="K776">
        <v>0</v>
      </c>
      <c r="L776">
        <v>0</v>
      </c>
      <c r="M776">
        <v>0</v>
      </c>
      <c r="N776" s="10">
        <v>0</v>
      </c>
    </row>
    <row r="777" spans="2:14" ht="33" customHeight="1" x14ac:dyDescent="0.3">
      <c r="B777" s="12">
        <v>0</v>
      </c>
      <c r="C777" s="12">
        <v>0</v>
      </c>
      <c r="D777" s="12">
        <v>0</v>
      </c>
      <c r="E777" s="12">
        <v>0</v>
      </c>
      <c r="F777" s="12">
        <v>0</v>
      </c>
      <c r="G777" s="12">
        <v>0</v>
      </c>
      <c r="J777" s="12">
        <v>0</v>
      </c>
      <c r="K777">
        <v>0</v>
      </c>
      <c r="L777">
        <v>0</v>
      </c>
      <c r="M777">
        <v>0</v>
      </c>
      <c r="N777" s="10">
        <v>0</v>
      </c>
    </row>
    <row r="778" spans="2:14" ht="33" customHeight="1" x14ac:dyDescent="0.3">
      <c r="B778" s="12">
        <v>0</v>
      </c>
      <c r="C778" s="12">
        <v>0</v>
      </c>
      <c r="D778" s="12">
        <v>0</v>
      </c>
      <c r="E778" s="12">
        <v>0</v>
      </c>
      <c r="F778" s="12">
        <v>0</v>
      </c>
      <c r="G778" s="12">
        <v>0</v>
      </c>
      <c r="J778" s="12">
        <v>0</v>
      </c>
      <c r="K778">
        <v>0</v>
      </c>
      <c r="L778">
        <v>0</v>
      </c>
      <c r="M778">
        <v>0</v>
      </c>
      <c r="N778" s="10">
        <v>0</v>
      </c>
    </row>
    <row r="779" spans="2:14" ht="33" customHeight="1" x14ac:dyDescent="0.3">
      <c r="B779" s="12">
        <v>0</v>
      </c>
      <c r="C779" s="12">
        <v>0</v>
      </c>
      <c r="D779" s="12">
        <v>0</v>
      </c>
      <c r="E779" s="12">
        <v>0</v>
      </c>
      <c r="F779" s="12">
        <v>0</v>
      </c>
      <c r="G779" s="12">
        <v>0</v>
      </c>
      <c r="J779" s="12">
        <v>0</v>
      </c>
      <c r="K779">
        <v>0</v>
      </c>
      <c r="L779">
        <v>0</v>
      </c>
      <c r="M779">
        <v>0</v>
      </c>
      <c r="N779" s="10">
        <v>0</v>
      </c>
    </row>
    <row r="780" spans="2:14" ht="33" customHeight="1" x14ac:dyDescent="0.3">
      <c r="B780" s="12">
        <v>0</v>
      </c>
      <c r="C780" s="12">
        <v>0</v>
      </c>
      <c r="D780" s="12">
        <v>0</v>
      </c>
      <c r="E780" s="12">
        <v>0</v>
      </c>
      <c r="F780" s="12">
        <v>0</v>
      </c>
      <c r="G780" s="12">
        <v>0</v>
      </c>
      <c r="J780" s="12">
        <v>0</v>
      </c>
      <c r="K780">
        <v>0</v>
      </c>
      <c r="L780">
        <v>0</v>
      </c>
      <c r="M780">
        <v>0</v>
      </c>
      <c r="N780" s="10">
        <v>0</v>
      </c>
    </row>
    <row r="781" spans="2:14" ht="33" customHeight="1" x14ac:dyDescent="0.3">
      <c r="B781" s="12">
        <v>0</v>
      </c>
      <c r="C781" s="12">
        <v>0</v>
      </c>
      <c r="D781" s="12">
        <v>0</v>
      </c>
      <c r="E781" s="12">
        <v>0</v>
      </c>
      <c r="F781" s="12">
        <v>0</v>
      </c>
      <c r="G781" s="12">
        <v>0</v>
      </c>
      <c r="J781" s="12">
        <v>0</v>
      </c>
      <c r="K781">
        <v>0</v>
      </c>
      <c r="L781">
        <v>0</v>
      </c>
      <c r="M781">
        <v>0</v>
      </c>
      <c r="N781" s="10">
        <v>0</v>
      </c>
    </row>
    <row r="782" spans="2:14" ht="33" customHeight="1" x14ac:dyDescent="0.3">
      <c r="B782" s="12">
        <v>0</v>
      </c>
      <c r="C782" s="12">
        <v>0</v>
      </c>
      <c r="D782" s="12">
        <v>0</v>
      </c>
      <c r="E782" s="12">
        <v>0</v>
      </c>
      <c r="F782" s="12">
        <v>0</v>
      </c>
      <c r="G782" s="12">
        <v>0</v>
      </c>
      <c r="J782" s="12">
        <v>0</v>
      </c>
      <c r="K782">
        <v>0</v>
      </c>
      <c r="L782">
        <v>0</v>
      </c>
      <c r="M782">
        <v>0</v>
      </c>
      <c r="N782" s="10">
        <v>0</v>
      </c>
    </row>
    <row r="783" spans="2:14" ht="33" customHeight="1" x14ac:dyDescent="0.3">
      <c r="B783" s="12">
        <v>0</v>
      </c>
      <c r="C783" s="12">
        <v>0</v>
      </c>
      <c r="D783" s="12">
        <v>0</v>
      </c>
      <c r="E783" s="12">
        <v>0</v>
      </c>
      <c r="F783" s="12">
        <v>0</v>
      </c>
      <c r="G783" s="12">
        <v>0</v>
      </c>
      <c r="J783" s="12">
        <v>0</v>
      </c>
      <c r="K783">
        <v>0</v>
      </c>
      <c r="L783">
        <v>0</v>
      </c>
      <c r="M783">
        <v>0</v>
      </c>
      <c r="N783" s="10">
        <v>0</v>
      </c>
    </row>
    <row r="784" spans="2:14" ht="33" customHeight="1" x14ac:dyDescent="0.3">
      <c r="B784" s="12">
        <v>0</v>
      </c>
      <c r="C784" s="12">
        <v>0</v>
      </c>
      <c r="D784" s="12">
        <v>0</v>
      </c>
      <c r="E784" s="12">
        <v>0</v>
      </c>
      <c r="F784" s="12">
        <v>0</v>
      </c>
      <c r="G784" s="12">
        <v>0</v>
      </c>
      <c r="J784" s="12">
        <v>0</v>
      </c>
      <c r="K784">
        <v>0</v>
      </c>
      <c r="L784">
        <v>0</v>
      </c>
      <c r="M784">
        <v>0</v>
      </c>
      <c r="N784" s="10">
        <v>0</v>
      </c>
    </row>
    <row r="785" spans="2:14" ht="33" customHeight="1" x14ac:dyDescent="0.3">
      <c r="B785" s="12">
        <v>0</v>
      </c>
      <c r="C785" s="12">
        <v>0</v>
      </c>
      <c r="D785" s="12">
        <v>0</v>
      </c>
      <c r="E785" s="12">
        <v>0</v>
      </c>
      <c r="F785" s="12">
        <v>0</v>
      </c>
      <c r="G785" s="12">
        <v>0</v>
      </c>
      <c r="J785" s="12">
        <v>0</v>
      </c>
      <c r="K785">
        <v>0</v>
      </c>
      <c r="L785">
        <v>0</v>
      </c>
      <c r="M785">
        <v>0</v>
      </c>
      <c r="N785" s="10">
        <v>0</v>
      </c>
    </row>
    <row r="786" spans="2:14" ht="33" customHeight="1" x14ac:dyDescent="0.3">
      <c r="B786" s="12">
        <v>0</v>
      </c>
      <c r="C786" s="12">
        <v>0</v>
      </c>
      <c r="D786" s="12">
        <v>0</v>
      </c>
      <c r="E786" s="12">
        <v>0</v>
      </c>
      <c r="F786" s="12">
        <v>0</v>
      </c>
      <c r="G786" s="12">
        <v>0</v>
      </c>
      <c r="J786" s="12">
        <v>0</v>
      </c>
      <c r="K786">
        <v>0</v>
      </c>
      <c r="L786">
        <v>0</v>
      </c>
      <c r="M786">
        <v>0</v>
      </c>
      <c r="N786" s="10">
        <v>0</v>
      </c>
    </row>
    <row r="787" spans="2:14" ht="33" customHeight="1" x14ac:dyDescent="0.3">
      <c r="B787" s="12">
        <v>0</v>
      </c>
      <c r="C787" s="12">
        <v>0</v>
      </c>
      <c r="D787" s="12">
        <v>0</v>
      </c>
      <c r="E787" s="12">
        <v>0</v>
      </c>
      <c r="F787" s="12">
        <v>0</v>
      </c>
      <c r="G787" s="12">
        <v>0</v>
      </c>
      <c r="J787" s="12">
        <v>0</v>
      </c>
      <c r="K787">
        <v>0</v>
      </c>
      <c r="L787">
        <v>0</v>
      </c>
      <c r="M787">
        <v>0</v>
      </c>
      <c r="N787" s="10">
        <v>0</v>
      </c>
    </row>
    <row r="788" spans="2:14" ht="33" customHeight="1" x14ac:dyDescent="0.3">
      <c r="B788" s="12">
        <v>0</v>
      </c>
      <c r="C788" s="12">
        <v>0</v>
      </c>
      <c r="D788" s="12">
        <v>0</v>
      </c>
      <c r="E788" s="12">
        <v>0</v>
      </c>
      <c r="F788" s="12">
        <v>0</v>
      </c>
      <c r="G788" s="12">
        <v>0</v>
      </c>
      <c r="J788" s="12">
        <v>0</v>
      </c>
      <c r="K788">
        <v>0</v>
      </c>
      <c r="L788">
        <v>0</v>
      </c>
      <c r="M788">
        <v>0</v>
      </c>
      <c r="N788" s="10">
        <v>0</v>
      </c>
    </row>
    <row r="789" spans="2:14" ht="33" customHeight="1" x14ac:dyDescent="0.3">
      <c r="B789" s="12">
        <v>0</v>
      </c>
      <c r="C789" s="12">
        <v>0</v>
      </c>
      <c r="D789" s="12">
        <v>0</v>
      </c>
      <c r="E789" s="12">
        <v>0</v>
      </c>
      <c r="F789" s="12">
        <v>0</v>
      </c>
      <c r="G789" s="12">
        <v>0</v>
      </c>
      <c r="J789" s="12">
        <v>0</v>
      </c>
      <c r="K789">
        <v>0</v>
      </c>
      <c r="L789">
        <v>0</v>
      </c>
      <c r="M789">
        <v>0</v>
      </c>
      <c r="N789" s="10">
        <v>0</v>
      </c>
    </row>
    <row r="790" spans="2:14" ht="33" customHeight="1" x14ac:dyDescent="0.3">
      <c r="B790" s="12">
        <v>0</v>
      </c>
      <c r="C790" s="12">
        <v>0</v>
      </c>
      <c r="D790" s="12">
        <v>0</v>
      </c>
      <c r="E790" s="12">
        <v>0</v>
      </c>
      <c r="F790" s="12">
        <v>0</v>
      </c>
      <c r="G790" s="12">
        <v>0</v>
      </c>
      <c r="J790" s="12">
        <v>0</v>
      </c>
      <c r="K790">
        <v>0</v>
      </c>
      <c r="L790">
        <v>0</v>
      </c>
      <c r="M790">
        <v>0</v>
      </c>
      <c r="N790" s="10">
        <v>0</v>
      </c>
    </row>
    <row r="791" spans="2:14" ht="33" customHeight="1" x14ac:dyDescent="0.3">
      <c r="B791" s="12">
        <v>0</v>
      </c>
      <c r="C791" s="12">
        <v>0</v>
      </c>
      <c r="D791" s="12">
        <v>0</v>
      </c>
      <c r="E791" s="12">
        <v>0</v>
      </c>
      <c r="F791" s="12">
        <v>0</v>
      </c>
      <c r="G791" s="12">
        <v>0</v>
      </c>
      <c r="J791" s="12">
        <v>0</v>
      </c>
      <c r="K791">
        <v>0</v>
      </c>
      <c r="L791">
        <v>0</v>
      </c>
      <c r="M791">
        <v>0</v>
      </c>
      <c r="N791" s="10">
        <v>0</v>
      </c>
    </row>
    <row r="792" spans="2:14" ht="33" customHeight="1" x14ac:dyDescent="0.3">
      <c r="B792" s="12">
        <v>0</v>
      </c>
      <c r="C792" s="12">
        <v>0</v>
      </c>
      <c r="D792" s="12">
        <v>0</v>
      </c>
      <c r="E792" s="12">
        <v>0</v>
      </c>
      <c r="F792" s="12">
        <v>0</v>
      </c>
      <c r="G792" s="12">
        <v>0</v>
      </c>
      <c r="J792" s="12">
        <v>0</v>
      </c>
      <c r="K792">
        <v>0</v>
      </c>
      <c r="L792">
        <v>0</v>
      </c>
      <c r="M792">
        <v>0</v>
      </c>
      <c r="N792" s="10">
        <v>0</v>
      </c>
    </row>
    <row r="793" spans="2:14" ht="33" customHeight="1" x14ac:dyDescent="0.3">
      <c r="B793" s="12">
        <v>0</v>
      </c>
      <c r="C793" s="12">
        <v>0</v>
      </c>
      <c r="D793" s="12">
        <v>0</v>
      </c>
      <c r="E793" s="12">
        <v>0</v>
      </c>
      <c r="F793" s="12">
        <v>0</v>
      </c>
      <c r="G793" s="12">
        <v>0</v>
      </c>
      <c r="J793" s="12">
        <v>0</v>
      </c>
      <c r="K793">
        <v>0</v>
      </c>
      <c r="L793">
        <v>0</v>
      </c>
      <c r="M793">
        <v>0</v>
      </c>
      <c r="N793" s="10">
        <v>0</v>
      </c>
    </row>
    <row r="794" spans="2:14" ht="33" customHeight="1" x14ac:dyDescent="0.3">
      <c r="B794" s="12">
        <v>0</v>
      </c>
      <c r="C794" s="12">
        <v>0</v>
      </c>
      <c r="D794" s="12">
        <v>0</v>
      </c>
      <c r="E794" s="12">
        <v>0</v>
      </c>
      <c r="F794" s="12">
        <v>0</v>
      </c>
      <c r="G794" s="12">
        <v>0</v>
      </c>
      <c r="J794" s="12">
        <v>0</v>
      </c>
      <c r="K794">
        <v>0</v>
      </c>
      <c r="L794">
        <v>0</v>
      </c>
      <c r="M794">
        <v>0</v>
      </c>
      <c r="N794" s="10">
        <v>0</v>
      </c>
    </row>
    <row r="795" spans="2:14" ht="33" customHeight="1" x14ac:dyDescent="0.3">
      <c r="B795" s="12">
        <v>0</v>
      </c>
      <c r="C795" s="12">
        <v>0</v>
      </c>
      <c r="D795" s="12">
        <v>0</v>
      </c>
      <c r="E795" s="12">
        <v>0</v>
      </c>
      <c r="F795" s="12">
        <v>0</v>
      </c>
      <c r="G795" s="12">
        <v>0</v>
      </c>
      <c r="J795" s="12">
        <v>0</v>
      </c>
      <c r="K795">
        <v>0</v>
      </c>
      <c r="L795">
        <v>0</v>
      </c>
      <c r="M795">
        <v>0</v>
      </c>
      <c r="N795" s="10">
        <v>0</v>
      </c>
    </row>
    <row r="796" spans="2:14" ht="33" customHeight="1" x14ac:dyDescent="0.3">
      <c r="B796" s="12">
        <v>0</v>
      </c>
      <c r="C796" s="12">
        <v>0</v>
      </c>
      <c r="D796" s="12">
        <v>0</v>
      </c>
      <c r="E796" s="12">
        <v>0</v>
      </c>
      <c r="F796" s="12">
        <v>0</v>
      </c>
      <c r="G796" s="12">
        <v>0</v>
      </c>
      <c r="J796" s="12">
        <v>0</v>
      </c>
      <c r="K796">
        <v>0</v>
      </c>
      <c r="L796">
        <v>0</v>
      </c>
      <c r="M796">
        <v>0</v>
      </c>
      <c r="N796" s="10">
        <v>0</v>
      </c>
    </row>
    <row r="797" spans="2:14" ht="33" customHeight="1" x14ac:dyDescent="0.3">
      <c r="B797" s="12">
        <v>0</v>
      </c>
      <c r="C797" s="12">
        <v>0</v>
      </c>
      <c r="D797" s="12">
        <v>0</v>
      </c>
      <c r="E797" s="12">
        <v>0</v>
      </c>
      <c r="F797" s="12">
        <v>0</v>
      </c>
      <c r="G797" s="12">
        <v>0</v>
      </c>
      <c r="J797" s="12">
        <v>0</v>
      </c>
      <c r="K797">
        <v>0</v>
      </c>
      <c r="L797">
        <v>0</v>
      </c>
      <c r="M797">
        <v>0</v>
      </c>
      <c r="N797" s="10">
        <v>0</v>
      </c>
    </row>
    <row r="798" spans="2:14" ht="33" customHeight="1" x14ac:dyDescent="0.3">
      <c r="B798" s="12">
        <v>0</v>
      </c>
      <c r="C798" s="12">
        <v>0</v>
      </c>
      <c r="D798" s="12">
        <v>0</v>
      </c>
      <c r="E798" s="12">
        <v>0</v>
      </c>
      <c r="F798" s="12">
        <v>0</v>
      </c>
      <c r="G798" s="12">
        <v>0</v>
      </c>
      <c r="J798" s="12">
        <v>0</v>
      </c>
      <c r="K798">
        <v>0</v>
      </c>
      <c r="L798">
        <v>0</v>
      </c>
      <c r="M798">
        <v>0</v>
      </c>
      <c r="N798" s="10">
        <v>0</v>
      </c>
    </row>
    <row r="799" spans="2:14" ht="33" customHeight="1" x14ac:dyDescent="0.3">
      <c r="B799" s="12">
        <v>0</v>
      </c>
      <c r="C799" s="12">
        <v>0</v>
      </c>
      <c r="D799" s="12">
        <v>0</v>
      </c>
      <c r="E799" s="12">
        <v>0</v>
      </c>
      <c r="F799" s="12">
        <v>0</v>
      </c>
      <c r="G799" s="12">
        <v>0</v>
      </c>
      <c r="J799" s="12">
        <v>0</v>
      </c>
      <c r="K799">
        <v>0</v>
      </c>
      <c r="L799">
        <v>0</v>
      </c>
      <c r="M799">
        <v>0</v>
      </c>
      <c r="N799" s="10">
        <v>0</v>
      </c>
    </row>
    <row r="800" spans="2:14" ht="33" customHeight="1" x14ac:dyDescent="0.3">
      <c r="B800" s="12">
        <v>0</v>
      </c>
      <c r="C800" s="12">
        <v>0</v>
      </c>
      <c r="D800" s="12">
        <v>0</v>
      </c>
      <c r="E800" s="12">
        <v>0</v>
      </c>
      <c r="F800" s="12">
        <v>0</v>
      </c>
      <c r="G800" s="12">
        <v>0</v>
      </c>
      <c r="J800" s="12">
        <v>0</v>
      </c>
      <c r="K800">
        <v>0</v>
      </c>
      <c r="L800">
        <v>0</v>
      </c>
      <c r="M800">
        <v>0</v>
      </c>
      <c r="N800" s="10">
        <v>0</v>
      </c>
    </row>
    <row r="801" spans="2:14" ht="33" customHeight="1" x14ac:dyDescent="0.3">
      <c r="B801" s="12">
        <v>0</v>
      </c>
      <c r="C801" s="12">
        <v>0</v>
      </c>
      <c r="D801" s="12">
        <v>0</v>
      </c>
      <c r="E801" s="12">
        <v>0</v>
      </c>
      <c r="F801" s="12">
        <v>0</v>
      </c>
      <c r="G801" s="12">
        <v>0</v>
      </c>
      <c r="J801" s="12">
        <v>0</v>
      </c>
      <c r="K801">
        <v>0</v>
      </c>
      <c r="L801">
        <v>0</v>
      </c>
      <c r="M801">
        <v>0</v>
      </c>
      <c r="N801" s="10">
        <v>0</v>
      </c>
    </row>
    <row r="802" spans="2:14" ht="33" customHeight="1" x14ac:dyDescent="0.3">
      <c r="B802" s="12">
        <v>0</v>
      </c>
      <c r="C802" s="12">
        <v>0</v>
      </c>
      <c r="D802" s="12">
        <v>0</v>
      </c>
      <c r="E802" s="12">
        <v>0</v>
      </c>
      <c r="F802" s="12">
        <v>0</v>
      </c>
      <c r="G802" s="12">
        <v>0</v>
      </c>
      <c r="J802" s="12">
        <v>0</v>
      </c>
      <c r="K802">
        <v>0</v>
      </c>
      <c r="L802">
        <v>0</v>
      </c>
      <c r="M802">
        <v>0</v>
      </c>
      <c r="N802" s="10">
        <v>0</v>
      </c>
    </row>
    <row r="803" spans="2:14" ht="33" customHeight="1" x14ac:dyDescent="0.3">
      <c r="B803" s="12">
        <v>0</v>
      </c>
      <c r="C803" s="12">
        <v>0</v>
      </c>
      <c r="D803" s="12">
        <v>0</v>
      </c>
      <c r="E803" s="12">
        <v>0</v>
      </c>
      <c r="F803" s="12">
        <v>0</v>
      </c>
      <c r="G803" s="12">
        <v>0</v>
      </c>
      <c r="J803" s="12">
        <v>0</v>
      </c>
      <c r="K803">
        <v>0</v>
      </c>
      <c r="L803">
        <v>0</v>
      </c>
      <c r="M803">
        <v>0</v>
      </c>
      <c r="N803" s="10">
        <v>0</v>
      </c>
    </row>
    <row r="804" spans="2:14" ht="33" customHeight="1" x14ac:dyDescent="0.3">
      <c r="B804" s="12">
        <v>0</v>
      </c>
      <c r="C804" s="12">
        <v>0</v>
      </c>
      <c r="D804" s="12">
        <v>0</v>
      </c>
      <c r="E804" s="12">
        <v>0</v>
      </c>
      <c r="F804" s="12">
        <v>0</v>
      </c>
      <c r="G804" s="12">
        <v>0</v>
      </c>
      <c r="J804" s="12">
        <v>0</v>
      </c>
      <c r="K804">
        <v>0</v>
      </c>
      <c r="L804">
        <v>0</v>
      </c>
      <c r="M804">
        <v>0</v>
      </c>
      <c r="N804" s="10">
        <v>0</v>
      </c>
    </row>
    <row r="805" spans="2:14" ht="33" customHeight="1" x14ac:dyDescent="0.3">
      <c r="B805" s="12">
        <v>0</v>
      </c>
      <c r="C805" s="12">
        <v>0</v>
      </c>
      <c r="D805" s="12">
        <v>0</v>
      </c>
      <c r="E805" s="12">
        <v>0</v>
      </c>
      <c r="F805" s="12">
        <v>0</v>
      </c>
      <c r="G805" s="12">
        <v>0</v>
      </c>
      <c r="J805" s="12">
        <v>0</v>
      </c>
      <c r="K805">
        <v>0</v>
      </c>
      <c r="L805">
        <v>0</v>
      </c>
      <c r="M805">
        <v>0</v>
      </c>
      <c r="N805" s="10">
        <v>0</v>
      </c>
    </row>
    <row r="806" spans="2:14" ht="33" customHeight="1" x14ac:dyDescent="0.3">
      <c r="B806" s="12">
        <v>0</v>
      </c>
      <c r="C806" s="12">
        <v>0</v>
      </c>
      <c r="D806" s="12">
        <v>0</v>
      </c>
      <c r="E806" s="12">
        <v>0</v>
      </c>
      <c r="F806" s="12">
        <v>0</v>
      </c>
      <c r="G806" s="12">
        <v>0</v>
      </c>
      <c r="J806" s="12">
        <v>0</v>
      </c>
      <c r="K806">
        <v>0</v>
      </c>
      <c r="L806">
        <v>0</v>
      </c>
      <c r="M806">
        <v>0</v>
      </c>
      <c r="N806" s="10">
        <v>0</v>
      </c>
    </row>
    <row r="807" spans="2:14" ht="33" customHeight="1" x14ac:dyDescent="0.3">
      <c r="B807" s="12">
        <v>0</v>
      </c>
      <c r="C807" s="12">
        <v>0</v>
      </c>
      <c r="D807" s="12">
        <v>0</v>
      </c>
      <c r="E807" s="12">
        <v>0</v>
      </c>
      <c r="F807" s="12">
        <v>0</v>
      </c>
      <c r="G807" s="12">
        <v>0</v>
      </c>
      <c r="J807" s="12">
        <v>0</v>
      </c>
      <c r="K807">
        <v>0</v>
      </c>
      <c r="L807">
        <v>0</v>
      </c>
      <c r="M807">
        <v>0</v>
      </c>
      <c r="N807" s="10">
        <v>0</v>
      </c>
    </row>
    <row r="808" spans="2:14" ht="33" customHeight="1" x14ac:dyDescent="0.3">
      <c r="B808" s="12">
        <v>0</v>
      </c>
      <c r="C808" s="12">
        <v>0</v>
      </c>
      <c r="D808" s="12">
        <v>0</v>
      </c>
      <c r="E808" s="12">
        <v>0</v>
      </c>
      <c r="F808" s="12">
        <v>0</v>
      </c>
      <c r="G808" s="12">
        <v>0</v>
      </c>
      <c r="J808" s="12">
        <v>0</v>
      </c>
      <c r="K808">
        <v>0</v>
      </c>
      <c r="L808">
        <v>0</v>
      </c>
      <c r="M808">
        <v>0</v>
      </c>
      <c r="N808" s="10">
        <v>0</v>
      </c>
    </row>
    <row r="809" spans="2:14" ht="33" customHeight="1" x14ac:dyDescent="0.3">
      <c r="B809" s="12">
        <v>0</v>
      </c>
      <c r="C809" s="12">
        <v>0</v>
      </c>
      <c r="D809" s="12">
        <v>0</v>
      </c>
      <c r="E809" s="12">
        <v>0</v>
      </c>
      <c r="F809" s="12">
        <v>0</v>
      </c>
      <c r="G809" s="12">
        <v>0</v>
      </c>
      <c r="J809" s="12">
        <v>0</v>
      </c>
      <c r="K809">
        <v>0</v>
      </c>
      <c r="L809">
        <v>0</v>
      </c>
      <c r="M809">
        <v>0</v>
      </c>
      <c r="N809" s="10">
        <v>0</v>
      </c>
    </row>
    <row r="810" spans="2:14" ht="33" customHeight="1" x14ac:dyDescent="0.3">
      <c r="B810" s="12">
        <v>0</v>
      </c>
      <c r="C810" s="12">
        <v>0</v>
      </c>
      <c r="D810" s="12">
        <v>0</v>
      </c>
      <c r="E810" s="12">
        <v>0</v>
      </c>
      <c r="F810" s="12">
        <v>0</v>
      </c>
      <c r="G810" s="12">
        <v>0</v>
      </c>
      <c r="J810" s="12">
        <v>0</v>
      </c>
      <c r="K810">
        <v>0</v>
      </c>
      <c r="L810">
        <v>0</v>
      </c>
      <c r="M810">
        <v>0</v>
      </c>
      <c r="N810" s="10">
        <v>0</v>
      </c>
    </row>
    <row r="811" spans="2:14" ht="33" customHeight="1" x14ac:dyDescent="0.3">
      <c r="B811" s="12">
        <v>0</v>
      </c>
      <c r="C811" s="12">
        <v>0</v>
      </c>
      <c r="D811" s="12">
        <v>0</v>
      </c>
      <c r="E811" s="12">
        <v>0</v>
      </c>
      <c r="F811" s="12">
        <v>0</v>
      </c>
      <c r="G811" s="12">
        <v>0</v>
      </c>
      <c r="J811" s="12">
        <v>0</v>
      </c>
      <c r="K811">
        <v>0</v>
      </c>
      <c r="L811">
        <v>0</v>
      </c>
      <c r="M811">
        <v>0</v>
      </c>
      <c r="N811" s="10">
        <v>0</v>
      </c>
    </row>
    <row r="812" spans="2:14" ht="33" customHeight="1" x14ac:dyDescent="0.3">
      <c r="B812" s="12">
        <v>0</v>
      </c>
      <c r="C812" s="12">
        <v>0</v>
      </c>
      <c r="D812" s="12">
        <v>0</v>
      </c>
      <c r="E812" s="12">
        <v>0</v>
      </c>
      <c r="F812" s="12">
        <v>0</v>
      </c>
      <c r="G812" s="12">
        <v>0</v>
      </c>
      <c r="J812" s="12">
        <v>0</v>
      </c>
      <c r="K812">
        <v>0</v>
      </c>
      <c r="L812">
        <v>0</v>
      </c>
      <c r="M812">
        <v>0</v>
      </c>
      <c r="N812" s="10">
        <v>0</v>
      </c>
    </row>
    <row r="813" spans="2:14" ht="33" customHeight="1" x14ac:dyDescent="0.3">
      <c r="B813" s="12">
        <v>0</v>
      </c>
      <c r="C813" s="12">
        <v>0</v>
      </c>
      <c r="D813" s="12">
        <v>0</v>
      </c>
      <c r="E813" s="12">
        <v>0</v>
      </c>
      <c r="F813" s="12">
        <v>0</v>
      </c>
      <c r="G813" s="12">
        <v>0</v>
      </c>
      <c r="J813" s="12">
        <v>0</v>
      </c>
      <c r="K813">
        <v>0</v>
      </c>
      <c r="L813">
        <v>0</v>
      </c>
      <c r="M813">
        <v>0</v>
      </c>
      <c r="N813" s="10">
        <v>0</v>
      </c>
    </row>
    <row r="814" spans="2:14" ht="33" customHeight="1" x14ac:dyDescent="0.3">
      <c r="B814" s="12">
        <v>0</v>
      </c>
      <c r="C814" s="12">
        <v>0</v>
      </c>
      <c r="D814" s="12">
        <v>0</v>
      </c>
      <c r="E814" s="12">
        <v>0</v>
      </c>
      <c r="F814" s="12">
        <v>0</v>
      </c>
      <c r="G814" s="12">
        <v>0</v>
      </c>
      <c r="J814" s="12">
        <v>0</v>
      </c>
      <c r="K814">
        <v>0</v>
      </c>
      <c r="L814">
        <v>0</v>
      </c>
      <c r="M814">
        <v>0</v>
      </c>
      <c r="N814" s="10">
        <v>0</v>
      </c>
    </row>
    <row r="815" spans="2:14" ht="33" customHeight="1" x14ac:dyDescent="0.3">
      <c r="B815" s="12">
        <v>0</v>
      </c>
      <c r="C815" s="12">
        <v>0</v>
      </c>
      <c r="D815" s="12">
        <v>0</v>
      </c>
      <c r="E815" s="12">
        <v>0</v>
      </c>
      <c r="F815" s="12">
        <v>0</v>
      </c>
      <c r="G815" s="12">
        <v>0</v>
      </c>
      <c r="J815" s="12">
        <v>0</v>
      </c>
      <c r="K815">
        <v>0</v>
      </c>
      <c r="L815">
        <v>0</v>
      </c>
      <c r="M815">
        <v>0</v>
      </c>
      <c r="N815" s="10">
        <v>0</v>
      </c>
    </row>
    <row r="816" spans="2:14" ht="33" customHeight="1" x14ac:dyDescent="0.3">
      <c r="B816" s="12">
        <v>0</v>
      </c>
      <c r="C816" s="12">
        <v>0</v>
      </c>
      <c r="D816" s="12">
        <v>0</v>
      </c>
      <c r="E816" s="12">
        <v>0</v>
      </c>
      <c r="F816" s="12">
        <v>0</v>
      </c>
      <c r="G816" s="12">
        <v>0</v>
      </c>
      <c r="J816" s="12">
        <v>0</v>
      </c>
      <c r="K816">
        <v>0</v>
      </c>
      <c r="L816">
        <v>0</v>
      </c>
      <c r="M816">
        <v>0</v>
      </c>
      <c r="N816" s="10">
        <v>0</v>
      </c>
    </row>
    <row r="817" spans="2:14" ht="33" customHeight="1" x14ac:dyDescent="0.3">
      <c r="B817" s="12">
        <v>0</v>
      </c>
      <c r="C817" s="12">
        <v>0</v>
      </c>
      <c r="D817" s="12">
        <v>0</v>
      </c>
      <c r="E817" s="12">
        <v>0</v>
      </c>
      <c r="F817" s="12">
        <v>0</v>
      </c>
      <c r="G817" s="12">
        <v>0</v>
      </c>
      <c r="J817" s="12">
        <v>0</v>
      </c>
      <c r="K817">
        <v>0</v>
      </c>
      <c r="L817">
        <v>0</v>
      </c>
      <c r="M817">
        <v>0</v>
      </c>
      <c r="N817" s="10">
        <v>0</v>
      </c>
    </row>
    <row r="818" spans="2:14" ht="33" customHeight="1" x14ac:dyDescent="0.3">
      <c r="B818" s="12">
        <v>0</v>
      </c>
      <c r="C818" s="12">
        <v>0</v>
      </c>
      <c r="D818" s="12">
        <v>0</v>
      </c>
      <c r="E818" s="12">
        <v>0</v>
      </c>
      <c r="F818" s="12">
        <v>0</v>
      </c>
      <c r="G818" s="12">
        <v>0</v>
      </c>
      <c r="J818" s="12">
        <v>0</v>
      </c>
      <c r="K818">
        <v>0</v>
      </c>
      <c r="L818">
        <v>0</v>
      </c>
      <c r="M818">
        <v>0</v>
      </c>
      <c r="N818" s="10">
        <v>0</v>
      </c>
    </row>
    <row r="819" spans="2:14" ht="33" customHeight="1" x14ac:dyDescent="0.3">
      <c r="B819" s="12">
        <v>0</v>
      </c>
      <c r="C819" s="12">
        <v>0</v>
      </c>
      <c r="D819" s="12">
        <v>0</v>
      </c>
      <c r="E819" s="12">
        <v>0</v>
      </c>
      <c r="F819" s="12">
        <v>0</v>
      </c>
      <c r="G819" s="12">
        <v>0</v>
      </c>
      <c r="J819" s="12">
        <v>0</v>
      </c>
      <c r="K819">
        <v>0</v>
      </c>
      <c r="L819">
        <v>0</v>
      </c>
      <c r="M819">
        <v>0</v>
      </c>
      <c r="N819" s="10">
        <v>0</v>
      </c>
    </row>
    <row r="820" spans="2:14" ht="33" customHeight="1" x14ac:dyDescent="0.3">
      <c r="B820" s="12">
        <v>0</v>
      </c>
      <c r="C820" s="12">
        <v>0</v>
      </c>
      <c r="D820" s="12">
        <v>0</v>
      </c>
      <c r="E820" s="12">
        <v>0</v>
      </c>
      <c r="F820" s="12">
        <v>0</v>
      </c>
      <c r="G820" s="12">
        <v>0</v>
      </c>
      <c r="J820" s="12">
        <v>0</v>
      </c>
      <c r="K820">
        <v>0</v>
      </c>
      <c r="L820">
        <v>0</v>
      </c>
      <c r="M820">
        <v>0</v>
      </c>
      <c r="N820" s="10">
        <v>0</v>
      </c>
    </row>
    <row r="821" spans="2:14" ht="33" customHeight="1" x14ac:dyDescent="0.3">
      <c r="B821" s="12">
        <v>0</v>
      </c>
      <c r="C821" s="12">
        <v>0</v>
      </c>
      <c r="D821" s="12">
        <v>0</v>
      </c>
      <c r="E821" s="12">
        <v>0</v>
      </c>
      <c r="F821" s="12">
        <v>0</v>
      </c>
      <c r="G821" s="12">
        <v>0</v>
      </c>
      <c r="J821" s="12">
        <v>0</v>
      </c>
      <c r="K821">
        <v>0</v>
      </c>
      <c r="L821">
        <v>0</v>
      </c>
      <c r="M821">
        <v>0</v>
      </c>
      <c r="N821" s="10">
        <v>0</v>
      </c>
    </row>
    <row r="822" spans="2:14" ht="33" customHeight="1" x14ac:dyDescent="0.3">
      <c r="B822" s="12">
        <v>0</v>
      </c>
      <c r="C822" s="12">
        <v>0</v>
      </c>
      <c r="D822" s="12">
        <v>0</v>
      </c>
      <c r="E822" s="12">
        <v>0</v>
      </c>
      <c r="F822" s="12">
        <v>0</v>
      </c>
      <c r="G822" s="12">
        <v>0</v>
      </c>
      <c r="J822" s="12">
        <v>0</v>
      </c>
      <c r="K822">
        <v>0</v>
      </c>
      <c r="L822">
        <v>0</v>
      </c>
      <c r="M822">
        <v>0</v>
      </c>
      <c r="N822" s="10">
        <v>0</v>
      </c>
    </row>
    <row r="823" spans="2:14" ht="33" customHeight="1" x14ac:dyDescent="0.3">
      <c r="B823" s="12">
        <v>0</v>
      </c>
      <c r="C823" s="12">
        <v>0</v>
      </c>
      <c r="D823" s="12">
        <v>0</v>
      </c>
      <c r="E823" s="12">
        <v>0</v>
      </c>
      <c r="F823" s="12">
        <v>0</v>
      </c>
      <c r="G823" s="12">
        <v>0</v>
      </c>
      <c r="J823" s="12">
        <v>0</v>
      </c>
      <c r="K823">
        <v>0</v>
      </c>
      <c r="L823">
        <v>0</v>
      </c>
      <c r="M823">
        <v>0</v>
      </c>
      <c r="N823" s="10">
        <v>0</v>
      </c>
    </row>
    <row r="824" spans="2:14" ht="33" customHeight="1" x14ac:dyDescent="0.3">
      <c r="B824" s="12">
        <v>0</v>
      </c>
      <c r="C824" s="12">
        <v>0</v>
      </c>
      <c r="D824" s="12">
        <v>0</v>
      </c>
      <c r="E824" s="12">
        <v>0</v>
      </c>
      <c r="F824" s="12">
        <v>0</v>
      </c>
      <c r="G824" s="12">
        <v>0</v>
      </c>
      <c r="J824" s="12">
        <v>0</v>
      </c>
      <c r="K824">
        <v>0</v>
      </c>
      <c r="L824">
        <v>0</v>
      </c>
      <c r="M824">
        <v>0</v>
      </c>
      <c r="N824" s="10">
        <v>0</v>
      </c>
    </row>
    <row r="825" spans="2:14" ht="33" customHeight="1" x14ac:dyDescent="0.3">
      <c r="B825" s="12">
        <v>0</v>
      </c>
      <c r="C825" s="12">
        <v>0</v>
      </c>
      <c r="D825" s="12">
        <v>0</v>
      </c>
      <c r="E825" s="12">
        <v>0</v>
      </c>
      <c r="F825" s="12">
        <v>0</v>
      </c>
      <c r="G825" s="12">
        <v>0</v>
      </c>
      <c r="J825" s="12">
        <v>0</v>
      </c>
      <c r="K825">
        <v>0</v>
      </c>
      <c r="L825">
        <v>0</v>
      </c>
      <c r="M825">
        <v>0</v>
      </c>
      <c r="N825" s="10">
        <v>0</v>
      </c>
    </row>
    <row r="826" spans="2:14" ht="33" customHeight="1" x14ac:dyDescent="0.3">
      <c r="B826" s="12">
        <v>0</v>
      </c>
      <c r="C826" s="12">
        <v>0</v>
      </c>
      <c r="D826" s="12">
        <v>0</v>
      </c>
      <c r="E826" s="12">
        <v>0</v>
      </c>
      <c r="F826" s="12">
        <v>0</v>
      </c>
      <c r="G826" s="12">
        <v>0</v>
      </c>
      <c r="J826" s="12">
        <v>0</v>
      </c>
      <c r="K826">
        <v>0</v>
      </c>
      <c r="L826">
        <v>0</v>
      </c>
      <c r="M826">
        <v>0</v>
      </c>
      <c r="N826" s="10">
        <v>0</v>
      </c>
    </row>
    <row r="827" spans="2:14" ht="33" customHeight="1" x14ac:dyDescent="0.3">
      <c r="B827" s="12">
        <v>0</v>
      </c>
      <c r="C827" s="12">
        <v>0</v>
      </c>
      <c r="D827" s="12">
        <v>0</v>
      </c>
      <c r="E827" s="12">
        <v>0</v>
      </c>
      <c r="F827" s="12">
        <v>0</v>
      </c>
      <c r="G827" s="12">
        <v>0</v>
      </c>
      <c r="J827" s="12">
        <v>0</v>
      </c>
      <c r="K827">
        <v>0</v>
      </c>
      <c r="L827">
        <v>0</v>
      </c>
      <c r="M827">
        <v>0</v>
      </c>
      <c r="N827" s="10">
        <v>0</v>
      </c>
    </row>
    <row r="828" spans="2:14" ht="33" customHeight="1" x14ac:dyDescent="0.3">
      <c r="B828" s="12">
        <v>0</v>
      </c>
      <c r="C828" s="12">
        <v>0</v>
      </c>
      <c r="D828" s="12">
        <v>0</v>
      </c>
      <c r="E828" s="12">
        <v>0</v>
      </c>
      <c r="F828" s="12">
        <v>0</v>
      </c>
      <c r="G828" s="12">
        <v>0</v>
      </c>
      <c r="J828" s="12">
        <v>0</v>
      </c>
      <c r="K828">
        <v>0</v>
      </c>
      <c r="L828">
        <v>0</v>
      </c>
      <c r="M828">
        <v>0</v>
      </c>
      <c r="N828" s="10">
        <v>0</v>
      </c>
    </row>
    <row r="829" spans="2:14" ht="33" customHeight="1" x14ac:dyDescent="0.3">
      <c r="B829" s="12">
        <v>0</v>
      </c>
      <c r="C829" s="12">
        <v>0</v>
      </c>
      <c r="D829" s="12">
        <v>0</v>
      </c>
      <c r="E829" s="12">
        <v>0</v>
      </c>
      <c r="F829" s="12">
        <v>0</v>
      </c>
      <c r="G829" s="12">
        <v>0</v>
      </c>
      <c r="J829" s="12">
        <v>0</v>
      </c>
      <c r="K829">
        <v>0</v>
      </c>
      <c r="L829">
        <v>0</v>
      </c>
      <c r="M829">
        <v>0</v>
      </c>
      <c r="N829" s="10">
        <v>0</v>
      </c>
    </row>
    <row r="830" spans="2:14" ht="33" customHeight="1" x14ac:dyDescent="0.3">
      <c r="B830" s="12">
        <v>0</v>
      </c>
      <c r="C830" s="12">
        <v>0</v>
      </c>
      <c r="D830" s="12">
        <v>0</v>
      </c>
      <c r="E830" s="12">
        <v>0</v>
      </c>
      <c r="F830" s="12">
        <v>0</v>
      </c>
      <c r="G830" s="12">
        <v>0</v>
      </c>
      <c r="J830" s="12">
        <v>0</v>
      </c>
      <c r="K830">
        <v>0</v>
      </c>
      <c r="L830">
        <v>0</v>
      </c>
      <c r="M830">
        <v>0</v>
      </c>
      <c r="N830" s="10">
        <v>0</v>
      </c>
    </row>
    <row r="831" spans="2:14" ht="33" customHeight="1" x14ac:dyDescent="0.3">
      <c r="B831" s="12">
        <v>0</v>
      </c>
      <c r="C831" s="12">
        <v>0</v>
      </c>
      <c r="D831" s="12">
        <v>0</v>
      </c>
      <c r="E831" s="12">
        <v>0</v>
      </c>
      <c r="F831" s="12">
        <v>0</v>
      </c>
      <c r="G831" s="12">
        <v>0</v>
      </c>
      <c r="J831" s="12">
        <v>0</v>
      </c>
      <c r="K831">
        <v>0</v>
      </c>
      <c r="L831">
        <v>0</v>
      </c>
      <c r="M831">
        <v>0</v>
      </c>
      <c r="N831" s="10">
        <v>0</v>
      </c>
    </row>
    <row r="832" spans="2:14" ht="33" customHeight="1" x14ac:dyDescent="0.3">
      <c r="B832" s="12">
        <v>0</v>
      </c>
      <c r="C832" s="12">
        <v>0</v>
      </c>
      <c r="D832" s="12">
        <v>0</v>
      </c>
      <c r="E832" s="12">
        <v>0</v>
      </c>
      <c r="F832" s="12">
        <v>0</v>
      </c>
      <c r="G832" s="12">
        <v>0</v>
      </c>
      <c r="J832" s="12">
        <v>0</v>
      </c>
      <c r="K832">
        <v>0</v>
      </c>
      <c r="L832">
        <v>0</v>
      </c>
      <c r="M832">
        <v>0</v>
      </c>
      <c r="N832" s="10">
        <v>0</v>
      </c>
    </row>
    <row r="833" spans="2:14" ht="33" customHeight="1" x14ac:dyDescent="0.3">
      <c r="B833" s="12">
        <v>0</v>
      </c>
      <c r="C833" s="12">
        <v>0</v>
      </c>
      <c r="D833" s="12">
        <v>0</v>
      </c>
      <c r="E833" s="12">
        <v>0</v>
      </c>
      <c r="F833" s="12">
        <v>0</v>
      </c>
      <c r="G833" s="12">
        <v>0</v>
      </c>
      <c r="J833" s="12">
        <v>0</v>
      </c>
      <c r="K833">
        <v>0</v>
      </c>
      <c r="L833">
        <v>0</v>
      </c>
      <c r="M833">
        <v>0</v>
      </c>
      <c r="N833" s="10">
        <v>0</v>
      </c>
    </row>
    <row r="834" spans="2:14" ht="33" customHeight="1" x14ac:dyDescent="0.3">
      <c r="B834" s="12">
        <v>0</v>
      </c>
      <c r="C834" s="12">
        <v>0</v>
      </c>
      <c r="D834" s="12">
        <v>0</v>
      </c>
      <c r="E834" s="12">
        <v>0</v>
      </c>
      <c r="F834" s="12">
        <v>0</v>
      </c>
      <c r="G834" s="12">
        <v>0</v>
      </c>
      <c r="J834" s="12">
        <v>0</v>
      </c>
      <c r="K834">
        <v>0</v>
      </c>
      <c r="L834">
        <v>0</v>
      </c>
      <c r="M834">
        <v>0</v>
      </c>
      <c r="N834" s="10">
        <v>0</v>
      </c>
    </row>
    <row r="835" spans="2:14" ht="33" customHeight="1" x14ac:dyDescent="0.3">
      <c r="B835" s="12">
        <v>0</v>
      </c>
      <c r="C835" s="12">
        <v>0</v>
      </c>
      <c r="D835" s="12">
        <v>0</v>
      </c>
      <c r="E835" s="12">
        <v>0</v>
      </c>
      <c r="F835" s="12">
        <v>0</v>
      </c>
      <c r="G835" s="12">
        <v>0</v>
      </c>
      <c r="J835" s="12">
        <v>0</v>
      </c>
      <c r="K835">
        <v>0</v>
      </c>
      <c r="L835">
        <v>0</v>
      </c>
      <c r="M835">
        <v>0</v>
      </c>
      <c r="N835" s="10">
        <v>0</v>
      </c>
    </row>
    <row r="836" spans="2:14" ht="33" customHeight="1" x14ac:dyDescent="0.3">
      <c r="B836" s="12">
        <v>0</v>
      </c>
      <c r="C836" s="12">
        <v>0</v>
      </c>
      <c r="D836" s="12">
        <v>0</v>
      </c>
      <c r="E836" s="12">
        <v>0</v>
      </c>
      <c r="F836" s="12">
        <v>0</v>
      </c>
      <c r="G836" s="12">
        <v>0</v>
      </c>
      <c r="J836" s="12">
        <v>0</v>
      </c>
      <c r="K836">
        <v>0</v>
      </c>
      <c r="L836">
        <v>0</v>
      </c>
      <c r="M836">
        <v>0</v>
      </c>
      <c r="N836" s="10">
        <v>0</v>
      </c>
    </row>
    <row r="837" spans="2:14" ht="33" customHeight="1" x14ac:dyDescent="0.3">
      <c r="B837" s="12">
        <v>0</v>
      </c>
      <c r="C837" s="12">
        <v>0</v>
      </c>
      <c r="D837" s="12">
        <v>0</v>
      </c>
      <c r="E837" s="12">
        <v>0</v>
      </c>
      <c r="F837" s="12">
        <v>0</v>
      </c>
      <c r="G837" s="12">
        <v>0</v>
      </c>
      <c r="J837" s="12">
        <v>0</v>
      </c>
      <c r="K837">
        <v>0</v>
      </c>
      <c r="L837">
        <v>0</v>
      </c>
      <c r="M837">
        <v>0</v>
      </c>
      <c r="N837" s="10">
        <v>0</v>
      </c>
    </row>
    <row r="838" spans="2:14" ht="33" customHeight="1" x14ac:dyDescent="0.3">
      <c r="B838" s="12">
        <v>0</v>
      </c>
      <c r="C838" s="12">
        <v>0</v>
      </c>
      <c r="D838" s="12">
        <v>0</v>
      </c>
      <c r="E838" s="12">
        <v>0</v>
      </c>
      <c r="F838" s="12">
        <v>0</v>
      </c>
      <c r="G838" s="12">
        <v>0</v>
      </c>
      <c r="J838" s="12">
        <v>0</v>
      </c>
      <c r="K838">
        <v>0</v>
      </c>
      <c r="L838">
        <v>0</v>
      </c>
      <c r="M838">
        <v>0</v>
      </c>
      <c r="N838" s="10">
        <v>0</v>
      </c>
    </row>
    <row r="839" spans="2:14" ht="33" customHeight="1" x14ac:dyDescent="0.3">
      <c r="B839" s="12">
        <v>0</v>
      </c>
      <c r="C839" s="12">
        <v>0</v>
      </c>
      <c r="D839" s="12">
        <v>0</v>
      </c>
      <c r="E839" s="12">
        <v>0</v>
      </c>
      <c r="F839" s="12">
        <v>0</v>
      </c>
      <c r="G839" s="12">
        <v>0</v>
      </c>
      <c r="J839" s="12">
        <v>0</v>
      </c>
      <c r="K839">
        <v>0</v>
      </c>
      <c r="L839">
        <v>0</v>
      </c>
      <c r="M839">
        <v>0</v>
      </c>
      <c r="N839" s="10">
        <v>0</v>
      </c>
    </row>
  </sheetData>
  <mergeCells count="2">
    <mergeCell ref="Q1:S1"/>
    <mergeCell ref="T1:W1"/>
  </mergeCells>
  <conditionalFormatting sqref="B1:J1">
    <cfRule type="containsText" dxfId="104" priority="1" operator="containsText" text="PO Drafted">
      <formula>NOT(ISERROR(SEARCH("PO Drafted",B1)))</formula>
    </cfRule>
    <cfRule type="containsText" dxfId="103" priority="2" operator="containsText" text="Production Complete">
      <formula>NOT(ISERROR(SEARCH("Production Complete",B1)))</formula>
    </cfRule>
    <cfRule type="containsText" dxfId="102" priority="3" operator="containsText" text="ON HOLD">
      <formula>NOT(ISERROR(SEARCH("ON HOLD",B1)))</formula>
    </cfRule>
    <cfRule type="containsText" dxfId="101" priority="4" operator="containsText" text="D/W Sent">
      <formula>NOT(ISERROR(SEARCH("D/W Sent",B1)))</formula>
    </cfRule>
    <cfRule type="containsText" dxfId="100" priority="5" operator="containsText" text="Picked">
      <formula>NOT(ISERROR(SEARCH("Picked",B1)))</formula>
    </cfRule>
    <cfRule type="containsText" dxfId="99" priority="6" operator="containsText" text="Rework">
      <formula>NOT(ISERROR(SEARCH("Rework",B1)))</formula>
    </cfRule>
    <cfRule type="containsText" dxfId="98" priority="7" operator="containsText" text="In Production">
      <formula>NOT(ISERROR(SEARCH("In Production",B1)))</formula>
    </cfRule>
    <cfRule type="containsText" dxfId="97" priority="8" operator="containsText" text="Out of stock">
      <formula>NOT(ISERROR(SEARCH("Out of stock",B1)))</formula>
    </cfRule>
    <cfRule type="containsText" dxfId="96" priority="9" operator="containsText" text="Not Meet MOQ">
      <formula>NOT(ISERROR(SEARCH("Not Meet MOQ",B1)))</formula>
    </cfRule>
    <cfRule type="containsText" dxfId="95" priority="10" operator="containsText" text="Available">
      <formula>NOT(ISERROR(SEARCH("Available",B1)))</formula>
    </cfRule>
    <cfRule type="containsText" dxfId="94" priority="11" operator="containsText" text="Pending Picking">
      <formula>NOT(ISERROR(SEARCH("Pending Picking",B1)))</formula>
    </cfRule>
    <cfRule type="containsText" dxfId="93" priority="12" operator="containsText" text="PO Submitted">
      <formula>NOT(ISERROR(SEARCH("PO Submitted",B1)))</formula>
    </cfRule>
    <cfRule type="containsText" dxfId="92" priority="13" operator="containsText" text="Transit to Warehouse">
      <formula>NOT(ISERROR(SEARCH("Transit to Warehouse",B1)))</formula>
    </cfRule>
    <cfRule type="containsText" dxfId="91" priority="14" operator="containsText" text="PO Drafted">
      <formula>NOT(ISERROR(SEARCH("PO Drafted",B1)))</formula>
    </cfRule>
    <cfRule type="containsText" dxfId="90" priority="15" operator="containsText" text="Production Complete">
      <formula>NOT(ISERROR(SEARCH("Production Complete",B1)))</formula>
    </cfRule>
    <cfRule type="containsText" dxfId="89" priority="16" operator="containsText" text="ON HOLD">
      <formula>NOT(ISERROR(SEARCH("ON HOLD",B1)))</formula>
    </cfRule>
    <cfRule type="containsText" dxfId="88" priority="17" operator="containsText" text="D/W Sent">
      <formula>NOT(ISERROR(SEARCH("D/W Sent",B1)))</formula>
    </cfRule>
    <cfRule type="containsText" dxfId="87" priority="18" operator="containsText" text="Picked">
      <formula>NOT(ISERROR(SEARCH("Picked",B1)))</formula>
    </cfRule>
    <cfRule type="containsText" dxfId="86" priority="19" operator="containsText" text="Rework">
      <formula>NOT(ISERROR(SEARCH("Rework",B1)))</formula>
    </cfRule>
    <cfRule type="containsText" dxfId="85" priority="20" operator="containsText" text="In Production">
      <formula>NOT(ISERROR(SEARCH("In Production",B1)))</formula>
    </cfRule>
    <cfRule type="containsText" dxfId="84" priority="21" operator="containsText" text="Out of stock">
      <formula>NOT(ISERROR(SEARCH("Out of stock",B1)))</formula>
    </cfRule>
    <cfRule type="containsText" dxfId="83" priority="22" operator="containsText" text="Not Meet MOQ">
      <formula>NOT(ISERROR(SEARCH("Not Meet MOQ",B1)))</formula>
    </cfRule>
    <cfRule type="containsText" dxfId="82" priority="23" operator="containsText" text="Available">
      <formula>NOT(ISERROR(SEARCH("Available",B1)))</formula>
    </cfRule>
    <cfRule type="containsText" dxfId="81" priority="24" operator="containsText" text="Pending Picking">
      <formula>NOT(ISERROR(SEARCH("Pending Picking",B1)))</formula>
    </cfRule>
    <cfRule type="containsText" dxfId="80" priority="25" operator="containsText" text="PO Submitted">
      <formula>NOT(ISERROR(SEARCH("PO Submitted",B1)))</formula>
    </cfRule>
    <cfRule type="containsText" dxfId="79" priority="26" operator="containsText" text="Transit to Warehouse">
      <formula>NOT(ISERROR(SEARCH("Transit to Warehouse",B1)))</formula>
    </cfRule>
  </conditionalFormatting>
  <conditionalFormatting sqref="B1:N1048576">
    <cfRule type="expression" dxfId="78" priority="30">
      <formula>AND(LEN(B1)&gt;0,NOT(ISERROR(B1)),B1&lt;&gt;0)</formula>
    </cfRule>
    <cfRule type="cellIs" dxfId="77" priority="33" operator="equal">
      <formula>0</formula>
    </cfRule>
  </conditionalFormatting>
  <conditionalFormatting sqref="D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I1048576">
    <cfRule type="containsBlanks" dxfId="76" priority="32">
      <formula>LEN(TRIM(H1))=0</formula>
    </cfRule>
  </conditionalFormatting>
  <conditionalFormatting sqref="N1:N1048576">
    <cfRule type="containsText" dxfId="75" priority="27" operator="containsText" text="PO Drafted">
      <formula>NOT(ISERROR(SEARCH("PO Drafted",N1)))</formula>
    </cfRule>
    <cfRule type="containsText" dxfId="74" priority="28" operator="containsText" text="Production Complete">
      <formula>NOT(ISERROR(SEARCH("Production Complete",N1)))</formula>
    </cfRule>
    <cfRule type="containsText" dxfId="73" priority="29" operator="containsText" text="ON HOLD">
      <formula>NOT(ISERROR(SEARCH("ON HOLD",N1)))</formula>
    </cfRule>
    <cfRule type="containsText" dxfId="72" priority="31" operator="containsText" text="D/W Sent">
      <formula>NOT(ISERROR(SEARCH("D/W Sent",N1)))</formula>
    </cfRule>
    <cfRule type="containsText" dxfId="71" priority="34" operator="containsText" text="Picked">
      <formula>NOT(ISERROR(SEARCH("Picked",N1)))</formula>
    </cfRule>
    <cfRule type="containsText" dxfId="70" priority="35" operator="containsText" text="Rework">
      <formula>NOT(ISERROR(SEARCH("Rework",N1)))</formula>
    </cfRule>
    <cfRule type="containsText" dxfId="69" priority="36" operator="containsText" text="In Production">
      <formula>NOT(ISERROR(SEARCH("In Production",N1)))</formula>
    </cfRule>
    <cfRule type="containsText" dxfId="68" priority="37" operator="containsText" text="Out of stock">
      <formula>NOT(ISERROR(SEARCH("Out of stock",N1)))</formula>
    </cfRule>
    <cfRule type="containsText" dxfId="67" priority="38" operator="containsText" text="Not Meet MOQ">
      <formula>NOT(ISERROR(SEARCH("Not Meet MOQ",N1)))</formula>
    </cfRule>
    <cfRule type="containsText" dxfId="66" priority="39" operator="containsText" text="Available">
      <formula>NOT(ISERROR(SEARCH("Available",N1)))</formula>
    </cfRule>
    <cfRule type="containsText" dxfId="65" priority="40" operator="containsText" text="Pending Picking">
      <formula>NOT(ISERROR(SEARCH("Pending Picking",N1)))</formula>
    </cfRule>
    <cfRule type="containsText" dxfId="64" priority="41" operator="containsText" text="PO Submitted">
      <formula>NOT(ISERROR(SEARCH("PO Submitted",N1)))</formula>
    </cfRule>
    <cfRule type="containsText" dxfId="63" priority="42" operator="containsText" text="Transit to Warehouse">
      <formula>NOT(ISERROR(SEARCH("Transit to Warehouse",N1)))</formula>
    </cfRule>
  </conditionalFormatting>
  <dataValidations count="1">
    <dataValidation allowBlank="1" showInputMessage="1" showErrorMessage="1" sqref="B1:M1" xr:uid="{642B7BFE-0869-4E11-90CB-8E114C7CC3DB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criptIds xmlns="http://schemas.microsoft.com/office/extensibility/maker/v1.0" id="script-ids-node-id">
  <scriptId id="ms-officescript%3A%2F%2Fonedrive_business_itemlink%2F01RBZDCYNP6UP4ABYXR5EJPC2ELFTVV7I6:ms-officescript%3A%2F%2Fonedrive_business_sharinglink%2Fu!aHR0cHM6Ly9hbWVyaWNhbWVkaWMtbXkuc2hhcmVwb2ludC5jb20vOnU6L3AvamFjb2JtL0lRQ3Y5Ul9BQnhlUFNKZUxSRmxuV3YwZUFlSlZMTHFaY0R3Znc4cndOX2dUdzNZ"/>
  <scriptId xmlns="" id="ms-officescript%3A%2F%2Fonedrive_business_itemlink%2F01RBZDCYIBW6BS3JHSDZG3FFAYKCN5Y4BY:ms-officescript%3A%2F%2Fonedrive_business_sharinglink%2Fu!aHR0cHM6Ly9hbWVyaWNhbWVkaWMtbXkuc2hhcmVwb2ludC5jb20vOnU6L3AvamFjb2JtL0lRQUJ0NE10cFBJZVRiS1VHRkNiM0hBNEFTLUVLNkxHU2pSSnpucU9UX1UyVlBr"/>
  <scriptId xmlns="" id="ms-officescript%3A%2F%2Fonedrive_business_itemlink%2F01RBZDCYKLXEVSQN4L3FALGJXCRI6PUDJ7:ms-officescript%3A%2F%2Fonedrive_business_sharinglink%2Fu!aHR0cHM6Ly9hbWVyaWNhbWVkaWMtbXkuc2hhcmVwb2ludC5jb20vOnU6L3AvamFjb2JtL0lRQkx1U3NvTjR2WlFMTW00b284LWcwX0FiTTQzZ0pvTkdmbnJ2ei1jNWx5MFZr"/>
  <scriptId xmlns="" id="ms-officescript%3A%2F%2Fonedrive_business_itemlink%2F01RBZDCYLZVMXSC35N5RFY6M5AFGWYS572:ms-officescript%3A%2F%2Fonedrive_business_sharinglink%2Fu!aHR0cHM6Ly9hbWVyaWNhbWVkaWMtbXkuc2hhcmVwb2ludC5jb20vOnU6L3AvamFjb2JtL0lRQjVxeThoYjYzc1M0OHpvQ210aVhmNkFldE9tRkFrV1BLVWM1djg5bWtzY0lZ"/>
  <scriptId xmlns="" id="ms-officescript%3A%2F%2Fonedrive_business_itemlink%2F01RBZDCYPTFFW7N3HDRNBJP52RRREH2ZK2:ms-officescript%3A%2F%2Fonedrive_business_sharinglink%2Fu!aHR0cHM6Ly9hbWVyaWNhbWVkaWMtbXkuc2hhcmVwb2ludC5jb20vOnU6L3AvamFjb2JtL0lRRHpLVzMyN09PTFFwZjNVWXhJZldWYUFlaXE4LVR5TEQzdzFsU1BZamdYWFVR"/>
  <scriptId xmlns="" id="ms-officescript%3A%2F%2Fonedrive_business_itemlink%2F01RBZDCYMJMSEUHW237RGZBRJO6VOY24FO:ms-officescript%3A%2F%2Fonedrive_business_sharinglink%2Fu!aHR0cHM6Ly9hbWVyaWNhbWVkaWMtbXkuc2hhcmVwb2ludC5jb20vOnU6L3AvamFjb2JtL0lRQ0paSWxEMjF2OFRaREZMdlZkalhDdUFSQ1dSWUxYMlNScmpmTGdGX3lfUnY4"/>
</scriptIds>
</file>

<file path=customXml/item2.xml>�� 
</file>

<file path=customXml/itemProps1.xml><?xml version="1.0" encoding="utf-8"?>
<ds:datastoreItem xmlns:ds="http://schemas.openxmlformats.org/officeDocument/2006/customXml" ds:itemID="{3969E601-B198-48B8-82F8-43E73309DE9E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1174C121-E8A4-4CD0-A9E0-A4C8BC8A6F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SKU'S</vt:lpstr>
      <vt:lpstr>Allocation Dashboard (Take)</vt:lpstr>
      <vt:lpstr>Allocation Dashboard (Give)</vt:lpstr>
      <vt:lpstr>2026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Jacob Moriones</dc:creator>
  <cp:keywords/>
  <dc:description/>
  <cp:lastModifiedBy>Jacob  Moriones</cp:lastModifiedBy>
  <cp:revision/>
  <dcterms:created xsi:type="dcterms:W3CDTF">2026-05-12T17:02:48Z</dcterms:created>
  <dcterms:modified xsi:type="dcterms:W3CDTF">2026-07-31T21:41:27Z</dcterms:modified>
  <cp:category/>
  <cp:contentStatus/>
</cp:coreProperties>
</file>