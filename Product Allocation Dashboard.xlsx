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rio\Downloads\Allocation DB\"/>
    </mc:Choice>
  </mc:AlternateContent>
  <xr:revisionPtr revIDLastSave="0" documentId="13_ncr:1_{A6EFDF61-A38B-4CFD-959E-73D6024A659D}" xr6:coauthVersionLast="47" xr6:coauthVersionMax="47" xr10:uidLastSave="{00000000-0000-0000-0000-000000000000}"/>
  <bookViews>
    <workbookView xWindow="-120" yWindow="-16320" windowWidth="29040" windowHeight="15720" firstSheet="1" activeTab="3" xr2:uid="{00000000-000D-0000-FFFF-FFFF00000000}"/>
  </bookViews>
  <sheets>
    <sheet name="SKU'S" sheetId="10" state="hidden" r:id="rId1"/>
    <sheet name="Allocation Dashboard (Take)" sheetId="11" r:id="rId2"/>
    <sheet name="Allocation Dashboard (Give)" sheetId="9" r:id="rId3"/>
    <sheet name="2026 Orders" sheetId="13" r:id="rId4"/>
  </sheets>
  <externalReferences>
    <externalReference r:id="rId5"/>
  </externalReferences>
  <definedNames>
    <definedName name="_xlnm._FilterDatabase" localSheetId="1" hidden="1">'Allocation Dashboard (Take)'!$A$2:$AE$652</definedName>
    <definedName name="ExternalData_1" localSheetId="2" hidden="1">'Allocation Dashboard (Give)'!#REF!</definedName>
    <definedName name="ExternalData_1" localSheetId="1" hidden="1">'Allocation Dashboard (Take)'!#REF!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52" i="11" l="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L652" i="11"/>
  <c r="K652" i="11"/>
  <c r="J652" i="11"/>
  <c r="AD652" i="11" s="1"/>
  <c r="G652" i="11"/>
  <c r="F652" i="11"/>
  <c r="D652" i="11"/>
  <c r="C652" i="11"/>
  <c r="E652" i="11" s="1" a="1"/>
  <c r="B652" i="11"/>
  <c r="AC652" i="11" s="1"/>
  <c r="A652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L651" i="11"/>
  <c r="K651" i="11"/>
  <c r="J651" i="11"/>
  <c r="AD651" i="11" s="1"/>
  <c r="G651" i="11"/>
  <c r="F651" i="11"/>
  <c r="D651" i="11"/>
  <c r="C651" i="11"/>
  <c r="E651" i="11" s="1" a="1"/>
  <c r="B651" i="11"/>
  <c r="AC651" i="11" s="1"/>
  <c r="A651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L650" i="11"/>
  <c r="K650" i="11"/>
  <c r="J650" i="11"/>
  <c r="AD650" i="11" s="1"/>
  <c r="G650" i="11"/>
  <c r="F650" i="11"/>
  <c r="D650" i="11"/>
  <c r="C650" i="11"/>
  <c r="E650" i="11" s="1" a="1"/>
  <c r="B650" i="11"/>
  <c r="AC650" i="11" s="1"/>
  <c r="A650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L649" i="11"/>
  <c r="K649" i="11"/>
  <c r="J649" i="11"/>
  <c r="AD649" i="11" s="1"/>
  <c r="G649" i="11"/>
  <c r="F649" i="11"/>
  <c r="D649" i="11"/>
  <c r="C649" i="11"/>
  <c r="E649" i="11" s="1" a="1"/>
  <c r="B649" i="11"/>
  <c r="AC649" i="11" s="1"/>
  <c r="A649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L648" i="11"/>
  <c r="K648" i="11"/>
  <c r="J648" i="11"/>
  <c r="AD648" i="11" s="1"/>
  <c r="G648" i="11"/>
  <c r="F648" i="11"/>
  <c r="D648" i="11"/>
  <c r="C648" i="11"/>
  <c r="E648" i="11" s="1" a="1"/>
  <c r="B648" i="11"/>
  <c r="AC648" i="11" s="1"/>
  <c r="A648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L647" i="11"/>
  <c r="K647" i="11"/>
  <c r="J647" i="11"/>
  <c r="AD647" i="11" s="1"/>
  <c r="G647" i="11"/>
  <c r="F647" i="11"/>
  <c r="D647" i="11"/>
  <c r="C647" i="11"/>
  <c r="E647" i="11" s="1" a="1"/>
  <c r="B647" i="11"/>
  <c r="AC647" i="11" s="1"/>
  <c r="A647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L646" i="11"/>
  <c r="K646" i="11"/>
  <c r="J646" i="11"/>
  <c r="AD646" i="11" s="1"/>
  <c r="G646" i="11"/>
  <c r="F646" i="11"/>
  <c r="D646" i="11"/>
  <c r="C646" i="11"/>
  <c r="E646" i="11" s="1" a="1"/>
  <c r="B646" i="11"/>
  <c r="AC646" i="11" s="1"/>
  <c r="A646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L645" i="11"/>
  <c r="K645" i="11"/>
  <c r="J645" i="11"/>
  <c r="AD645" i="11" s="1"/>
  <c r="G645" i="11"/>
  <c r="F645" i="11"/>
  <c r="D645" i="11"/>
  <c r="C645" i="11"/>
  <c r="E645" i="11" s="1" a="1"/>
  <c r="B645" i="11"/>
  <c r="AC645" i="11" s="1"/>
  <c r="A645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L644" i="11"/>
  <c r="K644" i="11"/>
  <c r="J644" i="11"/>
  <c r="AD644" i="11" s="1"/>
  <c r="G644" i="11"/>
  <c r="F644" i="11"/>
  <c r="D644" i="11"/>
  <c r="C644" i="11"/>
  <c r="E644" i="11" s="1" a="1"/>
  <c r="B644" i="11"/>
  <c r="AC644" i="11" s="1"/>
  <c r="A644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L643" i="11"/>
  <c r="K643" i="11"/>
  <c r="J643" i="11"/>
  <c r="AD643" i="11" s="1"/>
  <c r="G643" i="11"/>
  <c r="F643" i="11"/>
  <c r="D643" i="11"/>
  <c r="C643" i="11"/>
  <c r="E643" i="11" s="1" a="1"/>
  <c r="B643" i="11"/>
  <c r="AC643" i="11" s="1"/>
  <c r="A643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L642" i="11"/>
  <c r="K642" i="11"/>
  <c r="J642" i="11"/>
  <c r="AD642" i="11" s="1"/>
  <c r="G642" i="11"/>
  <c r="F642" i="11"/>
  <c r="D642" i="11"/>
  <c r="C642" i="11"/>
  <c r="E642" i="11" s="1" a="1"/>
  <c r="B642" i="11"/>
  <c r="AC642" i="11" s="1"/>
  <c r="A642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L641" i="11"/>
  <c r="K641" i="11"/>
  <c r="J641" i="11"/>
  <c r="AD641" i="11" s="1"/>
  <c r="G641" i="11"/>
  <c r="F641" i="11"/>
  <c r="D641" i="11"/>
  <c r="C641" i="11"/>
  <c r="E641" i="11" s="1" a="1"/>
  <c r="B641" i="11"/>
  <c r="AC641" i="11" s="1"/>
  <c r="A641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L640" i="11"/>
  <c r="K640" i="11"/>
  <c r="J640" i="11"/>
  <c r="AD640" i="11" s="1"/>
  <c r="G640" i="11"/>
  <c r="F640" i="11"/>
  <c r="D640" i="11"/>
  <c r="C640" i="11"/>
  <c r="E640" i="11" s="1" a="1"/>
  <c r="B640" i="11"/>
  <c r="AC640" i="11" s="1"/>
  <c r="A640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L639" i="11"/>
  <c r="K639" i="11"/>
  <c r="J639" i="11"/>
  <c r="AD639" i="11" s="1"/>
  <c r="G639" i="11"/>
  <c r="F639" i="11"/>
  <c r="D639" i="11"/>
  <c r="C639" i="11"/>
  <c r="E639" i="11" s="1" a="1"/>
  <c r="B639" i="11"/>
  <c r="AC639" i="11" s="1"/>
  <c r="A639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L638" i="11"/>
  <c r="K638" i="11"/>
  <c r="J638" i="11"/>
  <c r="AD638" i="11" s="1"/>
  <c r="G638" i="11"/>
  <c r="F638" i="11"/>
  <c r="D638" i="11"/>
  <c r="C638" i="11"/>
  <c r="E638" i="11" s="1" a="1"/>
  <c r="B638" i="11"/>
  <c r="AC638" i="11" s="1"/>
  <c r="A638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L637" i="11"/>
  <c r="K637" i="11"/>
  <c r="J637" i="11"/>
  <c r="AD637" i="11" s="1"/>
  <c r="G637" i="11"/>
  <c r="F637" i="11"/>
  <c r="D637" i="11"/>
  <c r="C637" i="11"/>
  <c r="E637" i="11" s="1" a="1"/>
  <c r="B637" i="11"/>
  <c r="AC637" i="11" s="1"/>
  <c r="A637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L636" i="11"/>
  <c r="K636" i="11"/>
  <c r="J636" i="11"/>
  <c r="AD636" i="11" s="1"/>
  <c r="G636" i="11"/>
  <c r="F636" i="11"/>
  <c r="D636" i="11"/>
  <c r="C636" i="11"/>
  <c r="E636" i="11" s="1" a="1"/>
  <c r="B636" i="11"/>
  <c r="AC636" i="11" s="1"/>
  <c r="A636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L635" i="11"/>
  <c r="K635" i="11"/>
  <c r="J635" i="11"/>
  <c r="AD635" i="11" s="1"/>
  <c r="G635" i="11"/>
  <c r="F635" i="11"/>
  <c r="D635" i="11"/>
  <c r="C635" i="11"/>
  <c r="E635" i="11" s="1" a="1"/>
  <c r="B635" i="11"/>
  <c r="AC635" i="11" s="1"/>
  <c r="A635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L634" i="11"/>
  <c r="K634" i="11"/>
  <c r="J634" i="11"/>
  <c r="AD634" i="11" s="1"/>
  <c r="G634" i="11"/>
  <c r="F634" i="11"/>
  <c r="D634" i="11"/>
  <c r="C634" i="11"/>
  <c r="E634" i="11" s="1" a="1"/>
  <c r="B634" i="11"/>
  <c r="AC634" i="11" s="1"/>
  <c r="A634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L633" i="11"/>
  <c r="K633" i="11"/>
  <c r="J633" i="11"/>
  <c r="AD633" i="11" s="1"/>
  <c r="G633" i="11"/>
  <c r="F633" i="11"/>
  <c r="D633" i="11"/>
  <c r="C633" i="11"/>
  <c r="E633" i="11" s="1" a="1"/>
  <c r="B633" i="11"/>
  <c r="AC633" i="11" s="1"/>
  <c r="A633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L632" i="11"/>
  <c r="K632" i="11"/>
  <c r="J632" i="11"/>
  <c r="AD632" i="11" s="1"/>
  <c r="G632" i="11"/>
  <c r="F632" i="11"/>
  <c r="D632" i="11"/>
  <c r="C632" i="11"/>
  <c r="E632" i="11" s="1" a="1"/>
  <c r="B632" i="11"/>
  <c r="AC632" i="11" s="1"/>
  <c r="A632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L631" i="11"/>
  <c r="K631" i="11"/>
  <c r="J631" i="11"/>
  <c r="AD631" i="11" s="1"/>
  <c r="G631" i="11"/>
  <c r="F631" i="11"/>
  <c r="D631" i="11"/>
  <c r="C631" i="11"/>
  <c r="E631" i="11" s="1" a="1"/>
  <c r="B631" i="11"/>
  <c r="AC631" i="11" s="1"/>
  <c r="A631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L630" i="11"/>
  <c r="K630" i="11"/>
  <c r="J630" i="11"/>
  <c r="AD630" i="11" s="1"/>
  <c r="G630" i="11"/>
  <c r="F630" i="11"/>
  <c r="D630" i="11"/>
  <c r="C630" i="11"/>
  <c r="E630" i="11" s="1" a="1"/>
  <c r="B630" i="11"/>
  <c r="AC630" i="11" s="1"/>
  <c r="A630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L629" i="11"/>
  <c r="K629" i="11"/>
  <c r="J629" i="11"/>
  <c r="AD629" i="11" s="1"/>
  <c r="G629" i="11"/>
  <c r="F629" i="11"/>
  <c r="D629" i="11"/>
  <c r="C629" i="11"/>
  <c r="E629" i="11" s="1" a="1"/>
  <c r="B629" i="11"/>
  <c r="AC629" i="11" s="1"/>
  <c r="A629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L628" i="11"/>
  <c r="K628" i="11"/>
  <c r="J628" i="11"/>
  <c r="AD628" i="11" s="1"/>
  <c r="G628" i="11"/>
  <c r="F628" i="11"/>
  <c r="D628" i="11"/>
  <c r="C628" i="11"/>
  <c r="E628" i="11" s="1" a="1"/>
  <c r="B628" i="11"/>
  <c r="AC628" i="11" s="1"/>
  <c r="A628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L627" i="11"/>
  <c r="K627" i="11"/>
  <c r="J627" i="11"/>
  <c r="AD627" i="11" s="1"/>
  <c r="G627" i="11"/>
  <c r="F627" i="11"/>
  <c r="D627" i="11"/>
  <c r="C627" i="11"/>
  <c r="E627" i="11" s="1" a="1"/>
  <c r="B627" i="11"/>
  <c r="AC627" i="11" s="1"/>
  <c r="A627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L626" i="11"/>
  <c r="K626" i="11"/>
  <c r="J626" i="11"/>
  <c r="AD626" i="11" s="1"/>
  <c r="G626" i="11"/>
  <c r="F626" i="11"/>
  <c r="D626" i="11"/>
  <c r="C626" i="11"/>
  <c r="E626" i="11" s="1" a="1"/>
  <c r="B626" i="11"/>
  <c r="AC626" i="11" s="1"/>
  <c r="A626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L625" i="11"/>
  <c r="K625" i="11"/>
  <c r="J625" i="11"/>
  <c r="AD625" i="11" s="1"/>
  <c r="G625" i="11"/>
  <c r="F625" i="11"/>
  <c r="D625" i="11"/>
  <c r="C625" i="11"/>
  <c r="E625" i="11" s="1" a="1"/>
  <c r="B625" i="11"/>
  <c r="AC625" i="11" s="1"/>
  <c r="A625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L624" i="11"/>
  <c r="K624" i="11"/>
  <c r="J624" i="11"/>
  <c r="AD624" i="11" s="1"/>
  <c r="G624" i="11"/>
  <c r="F624" i="11"/>
  <c r="D624" i="11"/>
  <c r="C624" i="11"/>
  <c r="E624" i="11" s="1" a="1"/>
  <c r="B624" i="11"/>
  <c r="AC624" i="11" s="1"/>
  <c r="A624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L623" i="11"/>
  <c r="K623" i="11"/>
  <c r="J623" i="11"/>
  <c r="AD623" i="11" s="1"/>
  <c r="G623" i="11"/>
  <c r="F623" i="11"/>
  <c r="D623" i="11"/>
  <c r="C623" i="11"/>
  <c r="E623" i="11" s="1" a="1"/>
  <c r="B623" i="11"/>
  <c r="AC623" i="11" s="1"/>
  <c r="A623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L622" i="11"/>
  <c r="K622" i="11"/>
  <c r="J622" i="11"/>
  <c r="AD622" i="11" s="1"/>
  <c r="G622" i="11"/>
  <c r="F622" i="11"/>
  <c r="D622" i="11"/>
  <c r="C622" i="11"/>
  <c r="E622" i="11" s="1" a="1"/>
  <c r="B622" i="11"/>
  <c r="AC622" i="11" s="1"/>
  <c r="A622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L621" i="11"/>
  <c r="K621" i="11"/>
  <c r="J621" i="11"/>
  <c r="AD621" i="11" s="1"/>
  <c r="G621" i="11"/>
  <c r="F621" i="11"/>
  <c r="D621" i="11"/>
  <c r="C621" i="11"/>
  <c r="E621" i="11" s="1" a="1"/>
  <c r="B621" i="11"/>
  <c r="AC621" i="11" s="1"/>
  <c r="A621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L620" i="11"/>
  <c r="K620" i="11"/>
  <c r="J620" i="11"/>
  <c r="AD620" i="11" s="1"/>
  <c r="G620" i="11"/>
  <c r="F620" i="11"/>
  <c r="D620" i="11"/>
  <c r="C620" i="11"/>
  <c r="E620" i="11" s="1" a="1"/>
  <c r="B620" i="11"/>
  <c r="AC620" i="11" s="1"/>
  <c r="A620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L619" i="11"/>
  <c r="K619" i="11"/>
  <c r="J619" i="11"/>
  <c r="AD619" i="11" s="1"/>
  <c r="G619" i="11"/>
  <c r="F619" i="11"/>
  <c r="D619" i="11"/>
  <c r="C619" i="11"/>
  <c r="E619" i="11" s="1" a="1"/>
  <c r="B619" i="11"/>
  <c r="AC619" i="11" s="1"/>
  <c r="A619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L618" i="11"/>
  <c r="K618" i="11"/>
  <c r="J618" i="11"/>
  <c r="AD618" i="11" s="1"/>
  <c r="G618" i="11"/>
  <c r="F618" i="11"/>
  <c r="D618" i="11"/>
  <c r="C618" i="11"/>
  <c r="E618" i="11" s="1" a="1"/>
  <c r="B618" i="11"/>
  <c r="AC618" i="11" s="1"/>
  <c r="A618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L617" i="11"/>
  <c r="K617" i="11"/>
  <c r="J617" i="11"/>
  <c r="AD617" i="11" s="1"/>
  <c r="G617" i="11"/>
  <c r="F617" i="11"/>
  <c r="D617" i="11"/>
  <c r="C617" i="11"/>
  <c r="E617" i="11" s="1" a="1"/>
  <c r="B617" i="11"/>
  <c r="AC617" i="11" s="1"/>
  <c r="A617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L616" i="11"/>
  <c r="K616" i="11"/>
  <c r="J616" i="11"/>
  <c r="AD616" i="11" s="1"/>
  <c r="G616" i="11"/>
  <c r="F616" i="11"/>
  <c r="D616" i="11"/>
  <c r="C616" i="11"/>
  <c r="E616" i="11" s="1" a="1"/>
  <c r="B616" i="11"/>
  <c r="AC616" i="11" s="1"/>
  <c r="A616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L615" i="11"/>
  <c r="K615" i="11"/>
  <c r="J615" i="11"/>
  <c r="AD615" i="11" s="1"/>
  <c r="G615" i="11"/>
  <c r="F615" i="11"/>
  <c r="D615" i="11"/>
  <c r="C615" i="11"/>
  <c r="E615" i="11" s="1" a="1"/>
  <c r="B615" i="11"/>
  <c r="AC615" i="11" s="1"/>
  <c r="A615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L614" i="11"/>
  <c r="K614" i="11"/>
  <c r="J614" i="11"/>
  <c r="AD614" i="11" s="1"/>
  <c r="G614" i="11"/>
  <c r="F614" i="11"/>
  <c r="D614" i="11"/>
  <c r="C614" i="11"/>
  <c r="E614" i="11" s="1" a="1"/>
  <c r="B614" i="11"/>
  <c r="AC614" i="11" s="1"/>
  <c r="A614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L613" i="11"/>
  <c r="K613" i="11"/>
  <c r="J613" i="11"/>
  <c r="AD613" i="11" s="1"/>
  <c r="G613" i="11"/>
  <c r="F613" i="11"/>
  <c r="D613" i="11"/>
  <c r="C613" i="11"/>
  <c r="E613" i="11" s="1" a="1"/>
  <c r="B613" i="11"/>
  <c r="AC613" i="11" s="1"/>
  <c r="A613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L612" i="11"/>
  <c r="K612" i="11"/>
  <c r="J612" i="11"/>
  <c r="AD612" i="11" s="1"/>
  <c r="G612" i="11"/>
  <c r="F612" i="11"/>
  <c r="D612" i="11"/>
  <c r="C612" i="11"/>
  <c r="E612" i="11" s="1" a="1"/>
  <c r="B612" i="11"/>
  <c r="AC612" i="11" s="1"/>
  <c r="A612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L611" i="11"/>
  <c r="K611" i="11"/>
  <c r="J611" i="11"/>
  <c r="AD611" i="11" s="1"/>
  <c r="G611" i="11"/>
  <c r="F611" i="11"/>
  <c r="D611" i="11"/>
  <c r="C611" i="11"/>
  <c r="E611" i="11" s="1" a="1"/>
  <c r="B611" i="11"/>
  <c r="AC611" i="11" s="1"/>
  <c r="A611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L610" i="11"/>
  <c r="K610" i="11"/>
  <c r="J610" i="11"/>
  <c r="AD610" i="11" s="1"/>
  <c r="G610" i="11"/>
  <c r="F610" i="11"/>
  <c r="D610" i="11"/>
  <c r="C610" i="11"/>
  <c r="E610" i="11" s="1" a="1"/>
  <c r="B610" i="11"/>
  <c r="AC610" i="11" s="1"/>
  <c r="A610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L609" i="11"/>
  <c r="K609" i="11"/>
  <c r="J609" i="11"/>
  <c r="AD609" i="11" s="1"/>
  <c r="G609" i="11"/>
  <c r="F609" i="11"/>
  <c r="D609" i="11"/>
  <c r="C609" i="11"/>
  <c r="E609" i="11" s="1" a="1"/>
  <c r="B609" i="11"/>
  <c r="AC609" i="11" s="1"/>
  <c r="A609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L608" i="11"/>
  <c r="K608" i="11"/>
  <c r="J608" i="11"/>
  <c r="AD608" i="11" s="1"/>
  <c r="G608" i="11"/>
  <c r="F608" i="11"/>
  <c r="D608" i="11"/>
  <c r="C608" i="11"/>
  <c r="E608" i="11" s="1" a="1"/>
  <c r="B608" i="11"/>
  <c r="AC608" i="11" s="1"/>
  <c r="A608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L607" i="11"/>
  <c r="K607" i="11"/>
  <c r="J607" i="11"/>
  <c r="AD607" i="11" s="1"/>
  <c r="G607" i="11"/>
  <c r="F607" i="11"/>
  <c r="D607" i="11"/>
  <c r="C607" i="11"/>
  <c r="E607" i="11" s="1" a="1"/>
  <c r="B607" i="11"/>
  <c r="AC607" i="11" s="1"/>
  <c r="A607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L606" i="11"/>
  <c r="K606" i="11"/>
  <c r="J606" i="11"/>
  <c r="AD606" i="11" s="1"/>
  <c r="G606" i="11"/>
  <c r="F606" i="11"/>
  <c r="D606" i="11"/>
  <c r="C606" i="11"/>
  <c r="E606" i="11" s="1" a="1"/>
  <c r="B606" i="11"/>
  <c r="AC606" i="11" s="1"/>
  <c r="A606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L605" i="11"/>
  <c r="K605" i="11"/>
  <c r="J605" i="11"/>
  <c r="AD605" i="11" s="1"/>
  <c r="G605" i="11"/>
  <c r="F605" i="11"/>
  <c r="D605" i="11"/>
  <c r="C605" i="11"/>
  <c r="E605" i="11" s="1" a="1"/>
  <c r="B605" i="11"/>
  <c r="AC605" i="11" s="1"/>
  <c r="A605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L604" i="11"/>
  <c r="K604" i="11"/>
  <c r="J604" i="11"/>
  <c r="AD604" i="11" s="1"/>
  <c r="G604" i="11"/>
  <c r="F604" i="11"/>
  <c r="D604" i="11"/>
  <c r="C604" i="11"/>
  <c r="E604" i="11" s="1" a="1"/>
  <c r="B604" i="11"/>
  <c r="AC604" i="11" s="1"/>
  <c r="A604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L603" i="11"/>
  <c r="K603" i="11"/>
  <c r="J603" i="11"/>
  <c r="AD603" i="11" s="1"/>
  <c r="G603" i="11"/>
  <c r="F603" i="11"/>
  <c r="D603" i="11"/>
  <c r="C603" i="11"/>
  <c r="E603" i="11" s="1" a="1"/>
  <c r="B603" i="11"/>
  <c r="AC603" i="11" s="1"/>
  <c r="A603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L602" i="11"/>
  <c r="K602" i="11"/>
  <c r="J602" i="11"/>
  <c r="AD602" i="11" s="1"/>
  <c r="G602" i="11"/>
  <c r="F602" i="11"/>
  <c r="D602" i="11"/>
  <c r="C602" i="11"/>
  <c r="E602" i="11" s="1" a="1"/>
  <c r="B602" i="11"/>
  <c r="AC602" i="11" s="1"/>
  <c r="A602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L601" i="11"/>
  <c r="K601" i="11"/>
  <c r="J601" i="11"/>
  <c r="AD601" i="11" s="1"/>
  <c r="G601" i="11"/>
  <c r="F601" i="11"/>
  <c r="D601" i="11"/>
  <c r="C601" i="11"/>
  <c r="E601" i="11" s="1" a="1"/>
  <c r="B601" i="11"/>
  <c r="AC601" i="11" s="1"/>
  <c r="A601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L600" i="11"/>
  <c r="K600" i="11"/>
  <c r="J600" i="11"/>
  <c r="AD600" i="11" s="1"/>
  <c r="G600" i="11"/>
  <c r="F600" i="11"/>
  <c r="D600" i="11"/>
  <c r="C600" i="11"/>
  <c r="E600" i="11" s="1" a="1"/>
  <c r="B600" i="11"/>
  <c r="AC600" i="11" s="1"/>
  <c r="A600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L599" i="11"/>
  <c r="K599" i="11"/>
  <c r="J599" i="11"/>
  <c r="AD599" i="11" s="1"/>
  <c r="G599" i="11"/>
  <c r="F599" i="11"/>
  <c r="D599" i="11"/>
  <c r="C599" i="11"/>
  <c r="E599" i="11" s="1" a="1"/>
  <c r="B599" i="11"/>
  <c r="AC599" i="11" s="1"/>
  <c r="A599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L598" i="11"/>
  <c r="K598" i="11"/>
  <c r="J598" i="11"/>
  <c r="AD598" i="11" s="1"/>
  <c r="G598" i="11"/>
  <c r="F598" i="11"/>
  <c r="D598" i="11"/>
  <c r="C598" i="11"/>
  <c r="E598" i="11" s="1" a="1"/>
  <c r="B598" i="11"/>
  <c r="AC598" i="11" s="1"/>
  <c r="A598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L597" i="11"/>
  <c r="K597" i="11"/>
  <c r="J597" i="11"/>
  <c r="AD597" i="11" s="1"/>
  <c r="G597" i="11"/>
  <c r="F597" i="11"/>
  <c r="D597" i="11"/>
  <c r="C597" i="11"/>
  <c r="E597" i="11" s="1" a="1"/>
  <c r="B597" i="11"/>
  <c r="AC597" i="11" s="1"/>
  <c r="A597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L596" i="11"/>
  <c r="K596" i="11"/>
  <c r="J596" i="11"/>
  <c r="AD596" i="11" s="1"/>
  <c r="G596" i="11"/>
  <c r="F596" i="11"/>
  <c r="D596" i="11"/>
  <c r="C596" i="11"/>
  <c r="E596" i="11" s="1" a="1"/>
  <c r="B596" i="11"/>
  <c r="AC596" i="11" s="1"/>
  <c r="A596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L595" i="11"/>
  <c r="K595" i="11"/>
  <c r="J595" i="11"/>
  <c r="AD595" i="11" s="1"/>
  <c r="G595" i="11"/>
  <c r="F595" i="11"/>
  <c r="D595" i="11"/>
  <c r="C595" i="11"/>
  <c r="E595" i="11" s="1" a="1"/>
  <c r="B595" i="11"/>
  <c r="AC595" i="11" s="1"/>
  <c r="A595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L594" i="11"/>
  <c r="K594" i="11"/>
  <c r="J594" i="11"/>
  <c r="AD594" i="11" s="1"/>
  <c r="G594" i="11"/>
  <c r="F594" i="11"/>
  <c r="D594" i="11"/>
  <c r="C594" i="11"/>
  <c r="E594" i="11" s="1" a="1"/>
  <c r="B594" i="11"/>
  <c r="AC594" i="11" s="1"/>
  <c r="A594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L593" i="11"/>
  <c r="K593" i="11"/>
  <c r="J593" i="11"/>
  <c r="AD593" i="11" s="1"/>
  <c r="G593" i="11"/>
  <c r="F593" i="11"/>
  <c r="D593" i="11"/>
  <c r="C593" i="11"/>
  <c r="E593" i="11" s="1" a="1"/>
  <c r="B593" i="11"/>
  <c r="AC593" i="11" s="1"/>
  <c r="A593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L592" i="11"/>
  <c r="K592" i="11"/>
  <c r="J592" i="11"/>
  <c r="AD592" i="11" s="1"/>
  <c r="G592" i="11"/>
  <c r="F592" i="11"/>
  <c r="D592" i="11"/>
  <c r="C592" i="11"/>
  <c r="E592" i="11" s="1" a="1"/>
  <c r="B592" i="11"/>
  <c r="AC592" i="11" s="1"/>
  <c r="A592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L591" i="11"/>
  <c r="K591" i="11"/>
  <c r="J591" i="11"/>
  <c r="AD591" i="11" s="1"/>
  <c r="G591" i="11"/>
  <c r="F591" i="11"/>
  <c r="D591" i="11"/>
  <c r="C591" i="11"/>
  <c r="E591" i="11" s="1" a="1"/>
  <c r="B591" i="11"/>
  <c r="AC591" i="11" s="1"/>
  <c r="A591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L590" i="11"/>
  <c r="K590" i="11"/>
  <c r="J590" i="11"/>
  <c r="AD590" i="11" s="1"/>
  <c r="G590" i="11"/>
  <c r="F590" i="11"/>
  <c r="D590" i="11"/>
  <c r="C590" i="11"/>
  <c r="E590" i="11" s="1" a="1"/>
  <c r="B590" i="11"/>
  <c r="AC590" i="11" s="1"/>
  <c r="A590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L589" i="11"/>
  <c r="K589" i="11"/>
  <c r="J589" i="11"/>
  <c r="AD589" i="11" s="1"/>
  <c r="G589" i="11"/>
  <c r="F589" i="11"/>
  <c r="D589" i="11"/>
  <c r="C589" i="11"/>
  <c r="E589" i="11" s="1" a="1"/>
  <c r="B589" i="11"/>
  <c r="AC589" i="11" s="1"/>
  <c r="A589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L588" i="11"/>
  <c r="K588" i="11"/>
  <c r="J588" i="11"/>
  <c r="AD588" i="11" s="1"/>
  <c r="G588" i="11"/>
  <c r="F588" i="11"/>
  <c r="D588" i="11"/>
  <c r="C588" i="11"/>
  <c r="E588" i="11" s="1" a="1"/>
  <c r="B588" i="11"/>
  <c r="AC588" i="11" s="1"/>
  <c r="A588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L587" i="11"/>
  <c r="K587" i="11"/>
  <c r="J587" i="11"/>
  <c r="AD587" i="11" s="1"/>
  <c r="G587" i="11"/>
  <c r="F587" i="11"/>
  <c r="D587" i="11"/>
  <c r="C587" i="11"/>
  <c r="E587" i="11" s="1" a="1"/>
  <c r="B587" i="11"/>
  <c r="AC587" i="11" s="1"/>
  <c r="A587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L586" i="11"/>
  <c r="K586" i="11"/>
  <c r="J586" i="11"/>
  <c r="AD586" i="11" s="1"/>
  <c r="G586" i="11"/>
  <c r="F586" i="11"/>
  <c r="D586" i="11"/>
  <c r="C586" i="11"/>
  <c r="E586" i="11" s="1" a="1"/>
  <c r="B586" i="11"/>
  <c r="AC586" i="11" s="1"/>
  <c r="A586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L585" i="11"/>
  <c r="K585" i="11"/>
  <c r="J585" i="11"/>
  <c r="AD585" i="11" s="1"/>
  <c r="G585" i="11"/>
  <c r="F585" i="11"/>
  <c r="D585" i="11"/>
  <c r="C585" i="11"/>
  <c r="E585" i="11" s="1" a="1"/>
  <c r="B585" i="11"/>
  <c r="AC585" i="11" s="1"/>
  <c r="A585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L584" i="11"/>
  <c r="K584" i="11"/>
  <c r="J584" i="11"/>
  <c r="AD584" i="11" s="1"/>
  <c r="G584" i="11"/>
  <c r="F584" i="11"/>
  <c r="D584" i="11"/>
  <c r="C584" i="11"/>
  <c r="E584" i="11" s="1" a="1"/>
  <c r="B584" i="11"/>
  <c r="AC584" i="11" s="1"/>
  <c r="A584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L583" i="11"/>
  <c r="K583" i="11"/>
  <c r="J583" i="11"/>
  <c r="AD583" i="11" s="1"/>
  <c r="G583" i="11"/>
  <c r="F583" i="11"/>
  <c r="D583" i="11"/>
  <c r="C583" i="11"/>
  <c r="E583" i="11" s="1" a="1"/>
  <c r="B583" i="11"/>
  <c r="AC583" i="11" s="1"/>
  <c r="A583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L582" i="11"/>
  <c r="K582" i="11"/>
  <c r="J582" i="11"/>
  <c r="AD582" i="11" s="1"/>
  <c r="G582" i="11"/>
  <c r="F582" i="11"/>
  <c r="D582" i="11"/>
  <c r="C582" i="11"/>
  <c r="E582" i="11" s="1" a="1"/>
  <c r="B582" i="11"/>
  <c r="AC582" i="11" s="1"/>
  <c r="A582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L581" i="11"/>
  <c r="K581" i="11"/>
  <c r="J581" i="11"/>
  <c r="AD581" i="11" s="1"/>
  <c r="G581" i="11"/>
  <c r="F581" i="11"/>
  <c r="D581" i="11"/>
  <c r="C581" i="11"/>
  <c r="E581" i="11" s="1" a="1"/>
  <c r="B581" i="11"/>
  <c r="AC581" i="11" s="1"/>
  <c r="A581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L580" i="11"/>
  <c r="K580" i="11"/>
  <c r="J580" i="11"/>
  <c r="AD580" i="11" s="1"/>
  <c r="G580" i="11"/>
  <c r="F580" i="11"/>
  <c r="D580" i="11"/>
  <c r="C580" i="11"/>
  <c r="E580" i="11" s="1" a="1"/>
  <c r="B580" i="11"/>
  <c r="AC580" i="11" s="1"/>
  <c r="A580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L579" i="11"/>
  <c r="K579" i="11"/>
  <c r="J579" i="11"/>
  <c r="AD579" i="11" s="1"/>
  <c r="G579" i="11"/>
  <c r="F579" i="11"/>
  <c r="D579" i="11"/>
  <c r="C579" i="11"/>
  <c r="E579" i="11" s="1" a="1"/>
  <c r="B579" i="11"/>
  <c r="AC579" i="11" s="1"/>
  <c r="A579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L578" i="11"/>
  <c r="K578" i="11"/>
  <c r="J578" i="11"/>
  <c r="AD578" i="11" s="1"/>
  <c r="G578" i="11"/>
  <c r="F578" i="11"/>
  <c r="D578" i="11"/>
  <c r="C578" i="11"/>
  <c r="E578" i="11" s="1" a="1"/>
  <c r="B578" i="11"/>
  <c r="AC578" i="11" s="1"/>
  <c r="A578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L577" i="11"/>
  <c r="K577" i="11"/>
  <c r="J577" i="11"/>
  <c r="AD577" i="11" s="1"/>
  <c r="G577" i="11"/>
  <c r="F577" i="11"/>
  <c r="D577" i="11"/>
  <c r="C577" i="11"/>
  <c r="E577" i="11" s="1" a="1"/>
  <c r="B577" i="11"/>
  <c r="AC577" i="11" s="1"/>
  <c r="A577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L576" i="11"/>
  <c r="K576" i="11"/>
  <c r="J576" i="11"/>
  <c r="AD576" i="11" s="1"/>
  <c r="G576" i="11"/>
  <c r="F576" i="11"/>
  <c r="D576" i="11"/>
  <c r="C576" i="11"/>
  <c r="E576" i="11" s="1" a="1"/>
  <c r="B576" i="11"/>
  <c r="AC576" i="11" s="1"/>
  <c r="A576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L575" i="11"/>
  <c r="K575" i="11"/>
  <c r="J575" i="11"/>
  <c r="AD575" i="11" s="1"/>
  <c r="G575" i="11"/>
  <c r="F575" i="11"/>
  <c r="D575" i="11"/>
  <c r="C575" i="11"/>
  <c r="E575" i="11" s="1" a="1"/>
  <c r="B575" i="11"/>
  <c r="AC575" i="11" s="1"/>
  <c r="A575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L574" i="11"/>
  <c r="K574" i="11"/>
  <c r="J574" i="11"/>
  <c r="AD574" i="11" s="1"/>
  <c r="G574" i="11"/>
  <c r="F574" i="11"/>
  <c r="D574" i="11"/>
  <c r="C574" i="11"/>
  <c r="E574" i="11" s="1" a="1"/>
  <c r="B574" i="11"/>
  <c r="AC574" i="11" s="1"/>
  <c r="A574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L573" i="11"/>
  <c r="K573" i="11"/>
  <c r="J573" i="11"/>
  <c r="AD573" i="11" s="1"/>
  <c r="G573" i="11"/>
  <c r="F573" i="11"/>
  <c r="D573" i="11"/>
  <c r="C573" i="11"/>
  <c r="E573" i="11" s="1" a="1"/>
  <c r="B573" i="11"/>
  <c r="AC573" i="11" s="1"/>
  <c r="A573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L572" i="11"/>
  <c r="K572" i="11"/>
  <c r="J572" i="11"/>
  <c r="AD572" i="11" s="1"/>
  <c r="G572" i="11"/>
  <c r="F572" i="11"/>
  <c r="D572" i="11"/>
  <c r="C572" i="11"/>
  <c r="E572" i="11" s="1" a="1"/>
  <c r="B572" i="11"/>
  <c r="AC572" i="11" s="1"/>
  <c r="A572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L571" i="11"/>
  <c r="K571" i="11"/>
  <c r="J571" i="11"/>
  <c r="AD571" i="11" s="1"/>
  <c r="G571" i="11"/>
  <c r="F571" i="11"/>
  <c r="D571" i="11"/>
  <c r="C571" i="11"/>
  <c r="E571" i="11" s="1" a="1"/>
  <c r="B571" i="11"/>
  <c r="AC571" i="11" s="1"/>
  <c r="A571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L570" i="11"/>
  <c r="K570" i="11"/>
  <c r="J570" i="11"/>
  <c r="AD570" i="11" s="1"/>
  <c r="G570" i="11"/>
  <c r="F570" i="11"/>
  <c r="D570" i="11"/>
  <c r="C570" i="11"/>
  <c r="E570" i="11" s="1" a="1"/>
  <c r="B570" i="11"/>
  <c r="AC570" i="11" s="1"/>
  <c r="A570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L569" i="11"/>
  <c r="K569" i="11"/>
  <c r="J569" i="11"/>
  <c r="AD569" i="11" s="1"/>
  <c r="G569" i="11"/>
  <c r="F569" i="11"/>
  <c r="D569" i="11"/>
  <c r="C569" i="11"/>
  <c r="E569" i="11" s="1" a="1"/>
  <c r="B569" i="11"/>
  <c r="AC569" i="11" s="1"/>
  <c r="A569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L568" i="11"/>
  <c r="K568" i="11"/>
  <c r="J568" i="11"/>
  <c r="AD568" i="11" s="1"/>
  <c r="G568" i="11"/>
  <c r="F568" i="11"/>
  <c r="D568" i="11"/>
  <c r="C568" i="11"/>
  <c r="E568" i="11" s="1" a="1"/>
  <c r="B568" i="11"/>
  <c r="AC568" i="11" s="1"/>
  <c r="A568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L567" i="11"/>
  <c r="K567" i="11"/>
  <c r="J567" i="11"/>
  <c r="AD567" i="11" s="1"/>
  <c r="G567" i="11"/>
  <c r="F567" i="11"/>
  <c r="D567" i="11"/>
  <c r="C567" i="11"/>
  <c r="E567" i="11" s="1" a="1"/>
  <c r="B567" i="11"/>
  <c r="AC567" i="11" s="1"/>
  <c r="A567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L566" i="11"/>
  <c r="K566" i="11"/>
  <c r="J566" i="11"/>
  <c r="AD566" i="11" s="1"/>
  <c r="G566" i="11"/>
  <c r="F566" i="11"/>
  <c r="D566" i="11"/>
  <c r="C566" i="11"/>
  <c r="E566" i="11" s="1" a="1"/>
  <c r="B566" i="11"/>
  <c r="AC566" i="11" s="1"/>
  <c r="A566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L565" i="11"/>
  <c r="K565" i="11"/>
  <c r="J565" i="11"/>
  <c r="AD565" i="11" s="1"/>
  <c r="G565" i="11"/>
  <c r="F565" i="11"/>
  <c r="D565" i="11"/>
  <c r="C565" i="11"/>
  <c r="E565" i="11" s="1" a="1"/>
  <c r="B565" i="11"/>
  <c r="AC565" i="11" s="1"/>
  <c r="A565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L564" i="11"/>
  <c r="K564" i="11"/>
  <c r="J564" i="11"/>
  <c r="AD564" i="11" s="1"/>
  <c r="G564" i="11"/>
  <c r="F564" i="11"/>
  <c r="D564" i="11"/>
  <c r="C564" i="11"/>
  <c r="E564" i="11" s="1" a="1"/>
  <c r="B564" i="11"/>
  <c r="AC564" i="11" s="1"/>
  <c r="A564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L563" i="11"/>
  <c r="K563" i="11"/>
  <c r="J563" i="11"/>
  <c r="AD563" i="11" s="1"/>
  <c r="G563" i="11"/>
  <c r="F563" i="11"/>
  <c r="D563" i="11"/>
  <c r="C563" i="11"/>
  <c r="E563" i="11" s="1" a="1"/>
  <c r="B563" i="11"/>
  <c r="AC563" i="11" s="1"/>
  <c r="A563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L562" i="11"/>
  <c r="K562" i="11"/>
  <c r="J562" i="11"/>
  <c r="AD562" i="11" s="1"/>
  <c r="G562" i="11"/>
  <c r="F562" i="11"/>
  <c r="D562" i="11"/>
  <c r="C562" i="11"/>
  <c r="E562" i="11" s="1" a="1"/>
  <c r="B562" i="11"/>
  <c r="AC562" i="11" s="1"/>
  <c r="A562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L561" i="11"/>
  <c r="K561" i="11"/>
  <c r="J561" i="11"/>
  <c r="AD561" i="11" s="1"/>
  <c r="G561" i="11"/>
  <c r="F561" i="11"/>
  <c r="D561" i="11"/>
  <c r="C561" i="11"/>
  <c r="E561" i="11" s="1" a="1"/>
  <c r="B561" i="11"/>
  <c r="AC561" i="11" s="1"/>
  <c r="A561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L560" i="11"/>
  <c r="K560" i="11"/>
  <c r="J560" i="11"/>
  <c r="AD560" i="11" s="1"/>
  <c r="G560" i="11"/>
  <c r="F560" i="11"/>
  <c r="D560" i="11"/>
  <c r="C560" i="11"/>
  <c r="E560" i="11" s="1" a="1"/>
  <c r="B560" i="11"/>
  <c r="AC560" i="11" s="1"/>
  <c r="A560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L559" i="11"/>
  <c r="K559" i="11"/>
  <c r="J559" i="11"/>
  <c r="AD559" i="11" s="1"/>
  <c r="G559" i="11"/>
  <c r="F559" i="11"/>
  <c r="D559" i="11"/>
  <c r="C559" i="11"/>
  <c r="E559" i="11" s="1" a="1"/>
  <c r="B559" i="11"/>
  <c r="AC559" i="11" s="1"/>
  <c r="A559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L558" i="11"/>
  <c r="K558" i="11"/>
  <c r="J558" i="11"/>
  <c r="AD558" i="11" s="1"/>
  <c r="G558" i="11"/>
  <c r="F558" i="11"/>
  <c r="D558" i="11"/>
  <c r="C558" i="11"/>
  <c r="E558" i="11" s="1" a="1"/>
  <c r="B558" i="11"/>
  <c r="AC558" i="11" s="1"/>
  <c r="A558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L557" i="11"/>
  <c r="K557" i="11"/>
  <c r="J557" i="11"/>
  <c r="AD557" i="11" s="1"/>
  <c r="G557" i="11"/>
  <c r="F557" i="11"/>
  <c r="D557" i="11"/>
  <c r="C557" i="11"/>
  <c r="E557" i="11" s="1" a="1"/>
  <c r="B557" i="11"/>
  <c r="AC557" i="11" s="1"/>
  <c r="A557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L556" i="11"/>
  <c r="K556" i="11"/>
  <c r="J556" i="11"/>
  <c r="AD556" i="11" s="1"/>
  <c r="G556" i="11"/>
  <c r="F556" i="11"/>
  <c r="D556" i="11"/>
  <c r="C556" i="11"/>
  <c r="E556" i="11" s="1" a="1"/>
  <c r="B556" i="11"/>
  <c r="AC556" i="11" s="1"/>
  <c r="A556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L555" i="11"/>
  <c r="K555" i="11"/>
  <c r="J555" i="11"/>
  <c r="AD555" i="11" s="1"/>
  <c r="G555" i="11"/>
  <c r="F555" i="11"/>
  <c r="D555" i="11"/>
  <c r="C555" i="11"/>
  <c r="E555" i="11" s="1" a="1"/>
  <c r="B555" i="11"/>
  <c r="AC555" i="11" s="1"/>
  <c r="A555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L554" i="11"/>
  <c r="K554" i="11"/>
  <c r="J554" i="11"/>
  <c r="AD554" i="11" s="1"/>
  <c r="G554" i="11"/>
  <c r="F554" i="11"/>
  <c r="D554" i="11"/>
  <c r="C554" i="11"/>
  <c r="E554" i="11" s="1" a="1"/>
  <c r="B554" i="11"/>
  <c r="AC554" i="11" s="1"/>
  <c r="A554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L553" i="11"/>
  <c r="K553" i="11"/>
  <c r="J553" i="11"/>
  <c r="AD553" i="11" s="1"/>
  <c r="G553" i="11"/>
  <c r="F553" i="11"/>
  <c r="D553" i="11"/>
  <c r="C553" i="11"/>
  <c r="E553" i="11" s="1" a="1"/>
  <c r="B553" i="11"/>
  <c r="AC553" i="11" s="1"/>
  <c r="A553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L552" i="11"/>
  <c r="K552" i="11"/>
  <c r="J552" i="11"/>
  <c r="AD552" i="11" s="1"/>
  <c r="G552" i="11"/>
  <c r="F552" i="11"/>
  <c r="D552" i="11"/>
  <c r="C552" i="11"/>
  <c r="E552" i="11" s="1" a="1"/>
  <c r="B552" i="11"/>
  <c r="AC552" i="11" s="1"/>
  <c r="A552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L551" i="11"/>
  <c r="K551" i="11"/>
  <c r="J551" i="11"/>
  <c r="AD551" i="11" s="1"/>
  <c r="G551" i="11"/>
  <c r="F551" i="11"/>
  <c r="D551" i="11"/>
  <c r="C551" i="11"/>
  <c r="E551" i="11" s="1" a="1"/>
  <c r="B551" i="11"/>
  <c r="AC551" i="11" s="1"/>
  <c r="A551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L550" i="11"/>
  <c r="K550" i="11"/>
  <c r="J550" i="11"/>
  <c r="AD550" i="11" s="1"/>
  <c r="G550" i="11"/>
  <c r="F550" i="11"/>
  <c r="D550" i="11"/>
  <c r="C550" i="11"/>
  <c r="E550" i="11" s="1" a="1"/>
  <c r="B550" i="11"/>
  <c r="AC550" i="11" s="1"/>
  <c r="A550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L549" i="11"/>
  <c r="K549" i="11"/>
  <c r="J549" i="11"/>
  <c r="AD549" i="11" s="1"/>
  <c r="G549" i="11"/>
  <c r="F549" i="11"/>
  <c r="D549" i="11"/>
  <c r="C549" i="11"/>
  <c r="E549" i="11" s="1" a="1"/>
  <c r="B549" i="11"/>
  <c r="AC549" i="11" s="1"/>
  <c r="A549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L548" i="11"/>
  <c r="K548" i="11"/>
  <c r="J548" i="11"/>
  <c r="AD548" i="11" s="1"/>
  <c r="G548" i="11"/>
  <c r="F548" i="11"/>
  <c r="D548" i="11"/>
  <c r="C548" i="11"/>
  <c r="E548" i="11" s="1" a="1"/>
  <c r="B548" i="11"/>
  <c r="AC548" i="11" s="1"/>
  <c r="A548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L547" i="11"/>
  <c r="K547" i="11"/>
  <c r="J547" i="11"/>
  <c r="AD547" i="11" s="1"/>
  <c r="G547" i="11"/>
  <c r="F547" i="11"/>
  <c r="D547" i="11"/>
  <c r="C547" i="11"/>
  <c r="E547" i="11" s="1" a="1"/>
  <c r="B547" i="11"/>
  <c r="AC547" i="11" s="1"/>
  <c r="A547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L546" i="11"/>
  <c r="K546" i="11"/>
  <c r="J546" i="11"/>
  <c r="AD546" i="11" s="1"/>
  <c r="G546" i="11"/>
  <c r="F546" i="11"/>
  <c r="D546" i="11"/>
  <c r="C546" i="11"/>
  <c r="E546" i="11" s="1" a="1"/>
  <c r="B546" i="11"/>
  <c r="AC546" i="11" s="1"/>
  <c r="A546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L545" i="11"/>
  <c r="K545" i="11"/>
  <c r="J545" i="11"/>
  <c r="AD545" i="11" s="1"/>
  <c r="G545" i="11"/>
  <c r="F545" i="11"/>
  <c r="D545" i="11"/>
  <c r="C545" i="11"/>
  <c r="E545" i="11" s="1" a="1"/>
  <c r="B545" i="11"/>
  <c r="AC545" i="11" s="1"/>
  <c r="A545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L544" i="11"/>
  <c r="K544" i="11"/>
  <c r="J544" i="11"/>
  <c r="AD544" i="11" s="1"/>
  <c r="G544" i="11"/>
  <c r="F544" i="11"/>
  <c r="D544" i="11"/>
  <c r="C544" i="11"/>
  <c r="E544" i="11" s="1" a="1"/>
  <c r="B544" i="11"/>
  <c r="AC544" i="11" s="1"/>
  <c r="A544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L543" i="11"/>
  <c r="K543" i="11"/>
  <c r="J543" i="11"/>
  <c r="AD543" i="11" s="1"/>
  <c r="G543" i="11"/>
  <c r="F543" i="11"/>
  <c r="D543" i="11"/>
  <c r="C543" i="11"/>
  <c r="E543" i="11" s="1" a="1"/>
  <c r="B543" i="11"/>
  <c r="AC543" i="11" s="1"/>
  <c r="A543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L542" i="11"/>
  <c r="K542" i="11"/>
  <c r="J542" i="11"/>
  <c r="AD542" i="11" s="1"/>
  <c r="G542" i="11"/>
  <c r="F542" i="11"/>
  <c r="D542" i="11"/>
  <c r="C542" i="11"/>
  <c r="E542" i="11" s="1" a="1"/>
  <c r="B542" i="11"/>
  <c r="AC542" i="11" s="1"/>
  <c r="A542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L541" i="11"/>
  <c r="K541" i="11"/>
  <c r="J541" i="11"/>
  <c r="AD541" i="11" s="1"/>
  <c r="G541" i="11"/>
  <c r="F541" i="11"/>
  <c r="D541" i="11"/>
  <c r="C541" i="11"/>
  <c r="E541" i="11" s="1" a="1"/>
  <c r="B541" i="11"/>
  <c r="AC541" i="11" s="1"/>
  <c r="A541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L540" i="11"/>
  <c r="K540" i="11"/>
  <c r="J540" i="11"/>
  <c r="AD540" i="11" s="1"/>
  <c r="G540" i="11"/>
  <c r="F540" i="11"/>
  <c r="D540" i="11"/>
  <c r="C540" i="11"/>
  <c r="E540" i="11" s="1" a="1"/>
  <c r="B540" i="11"/>
  <c r="AC540" i="11" s="1"/>
  <c r="A540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L539" i="11"/>
  <c r="K539" i="11"/>
  <c r="J539" i="11"/>
  <c r="AD539" i="11" s="1"/>
  <c r="G539" i="11"/>
  <c r="F539" i="11"/>
  <c r="D539" i="11"/>
  <c r="C539" i="11"/>
  <c r="E539" i="11" s="1" a="1"/>
  <c r="B539" i="11"/>
  <c r="AC539" i="11" s="1"/>
  <c r="A539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L538" i="11"/>
  <c r="K538" i="11"/>
  <c r="J538" i="11"/>
  <c r="AD538" i="11" s="1"/>
  <c r="G538" i="11"/>
  <c r="F538" i="11"/>
  <c r="D538" i="11"/>
  <c r="C538" i="11"/>
  <c r="E538" i="11" s="1" a="1"/>
  <c r="B538" i="11"/>
  <c r="AC538" i="11" s="1"/>
  <c r="A538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L537" i="11"/>
  <c r="K537" i="11"/>
  <c r="J537" i="11"/>
  <c r="AD537" i="11" s="1"/>
  <c r="G537" i="11"/>
  <c r="F537" i="11"/>
  <c r="D537" i="11"/>
  <c r="C537" i="11"/>
  <c r="E537" i="11" s="1" a="1"/>
  <c r="B537" i="11"/>
  <c r="AC537" i="11" s="1"/>
  <c r="A537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L536" i="11"/>
  <c r="K536" i="11"/>
  <c r="J536" i="11"/>
  <c r="AD536" i="11" s="1"/>
  <c r="G536" i="11"/>
  <c r="F536" i="11"/>
  <c r="D536" i="11"/>
  <c r="C536" i="11"/>
  <c r="E536" i="11" s="1" a="1"/>
  <c r="B536" i="11"/>
  <c r="AC536" i="11" s="1"/>
  <c r="A536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L535" i="11"/>
  <c r="K535" i="11"/>
  <c r="J535" i="11"/>
  <c r="AD535" i="11" s="1"/>
  <c r="G535" i="11"/>
  <c r="F535" i="11"/>
  <c r="D535" i="11"/>
  <c r="C535" i="11"/>
  <c r="E535" i="11" s="1" a="1"/>
  <c r="B535" i="11"/>
  <c r="AC535" i="11" s="1"/>
  <c r="A535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L534" i="11"/>
  <c r="K534" i="11"/>
  <c r="J534" i="11"/>
  <c r="AD534" i="11" s="1"/>
  <c r="G534" i="11"/>
  <c r="F534" i="11"/>
  <c r="D534" i="11"/>
  <c r="C534" i="11"/>
  <c r="E534" i="11" s="1" a="1"/>
  <c r="B534" i="11"/>
  <c r="AC534" i="11" s="1"/>
  <c r="A534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L533" i="11"/>
  <c r="K533" i="11"/>
  <c r="J533" i="11"/>
  <c r="AD533" i="11" s="1"/>
  <c r="G533" i="11"/>
  <c r="F533" i="11"/>
  <c r="D533" i="11"/>
  <c r="C533" i="11"/>
  <c r="E533" i="11" s="1" a="1"/>
  <c r="B533" i="11"/>
  <c r="AC533" i="11" s="1"/>
  <c r="A533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L532" i="11"/>
  <c r="K532" i="11"/>
  <c r="J532" i="11"/>
  <c r="AD532" i="11" s="1"/>
  <c r="G532" i="11"/>
  <c r="F532" i="11"/>
  <c r="D532" i="11"/>
  <c r="C532" i="11"/>
  <c r="E532" i="11" s="1" a="1"/>
  <c r="B532" i="11"/>
  <c r="AC532" i="11" s="1"/>
  <c r="A532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L531" i="11"/>
  <c r="K531" i="11"/>
  <c r="J531" i="11"/>
  <c r="AD531" i="11" s="1"/>
  <c r="G531" i="11"/>
  <c r="F531" i="11"/>
  <c r="D531" i="11"/>
  <c r="C531" i="11"/>
  <c r="E531" i="11" s="1" a="1"/>
  <c r="B531" i="11"/>
  <c r="AC531" i="11" s="1"/>
  <c r="A531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L530" i="11"/>
  <c r="K530" i="11"/>
  <c r="J530" i="11"/>
  <c r="AD530" i="11" s="1"/>
  <c r="G530" i="11"/>
  <c r="F530" i="11"/>
  <c r="D530" i="11"/>
  <c r="C530" i="11"/>
  <c r="E530" i="11" s="1" a="1"/>
  <c r="B530" i="11"/>
  <c r="AC530" i="11" s="1"/>
  <c r="A530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L529" i="11"/>
  <c r="K529" i="11"/>
  <c r="J529" i="11"/>
  <c r="AD529" i="11" s="1"/>
  <c r="G529" i="11"/>
  <c r="F529" i="11"/>
  <c r="D529" i="11"/>
  <c r="C529" i="11"/>
  <c r="E529" i="11" s="1" a="1"/>
  <c r="B529" i="11"/>
  <c r="AC529" i="11" s="1"/>
  <c r="A529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L528" i="11"/>
  <c r="K528" i="11"/>
  <c r="J528" i="11"/>
  <c r="AD528" i="11" s="1"/>
  <c r="G528" i="11"/>
  <c r="F528" i="11"/>
  <c r="D528" i="11"/>
  <c r="C528" i="11"/>
  <c r="E528" i="11" s="1" a="1"/>
  <c r="B528" i="11"/>
  <c r="AC528" i="11" s="1"/>
  <c r="A528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L527" i="11"/>
  <c r="K527" i="11"/>
  <c r="J527" i="11"/>
  <c r="AD527" i="11" s="1"/>
  <c r="G527" i="11"/>
  <c r="F527" i="11"/>
  <c r="D527" i="11"/>
  <c r="C527" i="11"/>
  <c r="E527" i="11" s="1" a="1"/>
  <c r="B527" i="11"/>
  <c r="AC527" i="11" s="1"/>
  <c r="A527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L526" i="11"/>
  <c r="K526" i="11"/>
  <c r="J526" i="11"/>
  <c r="AD526" i="11" s="1"/>
  <c r="G526" i="11"/>
  <c r="F526" i="11"/>
  <c r="D526" i="11"/>
  <c r="C526" i="11"/>
  <c r="E526" i="11" s="1" a="1"/>
  <c r="B526" i="11"/>
  <c r="AC526" i="11" s="1"/>
  <c r="A526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L525" i="11"/>
  <c r="K525" i="11"/>
  <c r="J525" i="11"/>
  <c r="AD525" i="11" s="1"/>
  <c r="G525" i="11"/>
  <c r="F525" i="11"/>
  <c r="D525" i="11"/>
  <c r="C525" i="11"/>
  <c r="E525" i="11" s="1" a="1"/>
  <c r="B525" i="11"/>
  <c r="AC525" i="11" s="1"/>
  <c r="A525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L524" i="11"/>
  <c r="K524" i="11"/>
  <c r="J524" i="11"/>
  <c r="AD524" i="11" s="1"/>
  <c r="G524" i="11"/>
  <c r="F524" i="11"/>
  <c r="D524" i="11"/>
  <c r="C524" i="11"/>
  <c r="E524" i="11" s="1" a="1"/>
  <c r="B524" i="11"/>
  <c r="AC524" i="11" s="1"/>
  <c r="A524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L523" i="11"/>
  <c r="K523" i="11"/>
  <c r="J523" i="11"/>
  <c r="AD523" i="11" s="1"/>
  <c r="G523" i="11"/>
  <c r="F523" i="11"/>
  <c r="D523" i="11"/>
  <c r="C523" i="11"/>
  <c r="E523" i="11" s="1" a="1"/>
  <c r="B523" i="11"/>
  <c r="AC523" i="11" s="1"/>
  <c r="A523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L522" i="11"/>
  <c r="K522" i="11"/>
  <c r="J522" i="11"/>
  <c r="AD522" i="11" s="1"/>
  <c r="G522" i="11"/>
  <c r="F522" i="11"/>
  <c r="D522" i="11"/>
  <c r="C522" i="11"/>
  <c r="E522" i="11" s="1" a="1"/>
  <c r="B522" i="11"/>
  <c r="AC522" i="11" s="1"/>
  <c r="A522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L521" i="11"/>
  <c r="K521" i="11"/>
  <c r="J521" i="11"/>
  <c r="AD521" i="11" s="1"/>
  <c r="G521" i="11"/>
  <c r="F521" i="11"/>
  <c r="D521" i="11"/>
  <c r="C521" i="11"/>
  <c r="E521" i="11" s="1" a="1"/>
  <c r="B521" i="11"/>
  <c r="AC521" i="11" s="1"/>
  <c r="A521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L520" i="11"/>
  <c r="K520" i="11"/>
  <c r="J520" i="11"/>
  <c r="AD520" i="11" s="1"/>
  <c r="G520" i="11"/>
  <c r="F520" i="11"/>
  <c r="D520" i="11"/>
  <c r="C520" i="11"/>
  <c r="E520" i="11" s="1" a="1"/>
  <c r="B520" i="11"/>
  <c r="AC520" i="11" s="1"/>
  <c r="A520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L519" i="11"/>
  <c r="K519" i="11"/>
  <c r="J519" i="11"/>
  <c r="AD519" i="11" s="1"/>
  <c r="G519" i="11"/>
  <c r="F519" i="11"/>
  <c r="D519" i="11"/>
  <c r="C519" i="11"/>
  <c r="E519" i="11" s="1" a="1"/>
  <c r="B519" i="11"/>
  <c r="AC519" i="11" s="1"/>
  <c r="A519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L518" i="11"/>
  <c r="K518" i="11"/>
  <c r="J518" i="11"/>
  <c r="AD518" i="11" s="1"/>
  <c r="G518" i="11"/>
  <c r="F518" i="11"/>
  <c r="D518" i="11"/>
  <c r="C518" i="11"/>
  <c r="E518" i="11" s="1" a="1"/>
  <c r="B518" i="11"/>
  <c r="AC518" i="11" s="1"/>
  <c r="A518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L517" i="11"/>
  <c r="K517" i="11"/>
  <c r="J517" i="11"/>
  <c r="AD517" i="11" s="1"/>
  <c r="G517" i="11"/>
  <c r="F517" i="11"/>
  <c r="D517" i="11"/>
  <c r="C517" i="11"/>
  <c r="E517" i="11" s="1" a="1"/>
  <c r="B517" i="11"/>
  <c r="AC517" i="11" s="1"/>
  <c r="A517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L516" i="11"/>
  <c r="K516" i="11"/>
  <c r="J516" i="11"/>
  <c r="AD516" i="11" s="1"/>
  <c r="G516" i="11"/>
  <c r="F516" i="11"/>
  <c r="D516" i="11"/>
  <c r="C516" i="11"/>
  <c r="E516" i="11" s="1" a="1"/>
  <c r="B516" i="11"/>
  <c r="AC516" i="11" s="1"/>
  <c r="A516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L515" i="11"/>
  <c r="K515" i="11"/>
  <c r="J515" i="11"/>
  <c r="AD515" i="11" s="1"/>
  <c r="G515" i="11"/>
  <c r="F515" i="11"/>
  <c r="D515" i="11"/>
  <c r="C515" i="11"/>
  <c r="E515" i="11" s="1" a="1"/>
  <c r="B515" i="11"/>
  <c r="AC515" i="11" s="1"/>
  <c r="A515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L514" i="11"/>
  <c r="K514" i="11"/>
  <c r="J514" i="11"/>
  <c r="AD514" i="11" s="1"/>
  <c r="G514" i="11"/>
  <c r="F514" i="11"/>
  <c r="D514" i="11"/>
  <c r="C514" i="11"/>
  <c r="E514" i="11" s="1" a="1"/>
  <c r="B514" i="11"/>
  <c r="AC514" i="11" s="1"/>
  <c r="A514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L513" i="11"/>
  <c r="K513" i="11"/>
  <c r="J513" i="11"/>
  <c r="AD513" i="11" s="1"/>
  <c r="G513" i="11"/>
  <c r="F513" i="11"/>
  <c r="D513" i="11"/>
  <c r="C513" i="11"/>
  <c r="E513" i="11" s="1" a="1"/>
  <c r="B513" i="11"/>
  <c r="AC513" i="11" s="1"/>
  <c r="A513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L512" i="11"/>
  <c r="K512" i="11"/>
  <c r="J512" i="11"/>
  <c r="AD512" i="11" s="1"/>
  <c r="G512" i="11"/>
  <c r="F512" i="11"/>
  <c r="D512" i="11"/>
  <c r="C512" i="11"/>
  <c r="E512" i="11" s="1" a="1"/>
  <c r="B512" i="11"/>
  <c r="AC512" i="11" s="1"/>
  <c r="A512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L511" i="11"/>
  <c r="K511" i="11"/>
  <c r="J511" i="11"/>
  <c r="AD511" i="11" s="1"/>
  <c r="G511" i="11"/>
  <c r="F511" i="11"/>
  <c r="D511" i="11"/>
  <c r="C511" i="11"/>
  <c r="E511" i="11" s="1" a="1"/>
  <c r="B511" i="11"/>
  <c r="AC511" i="11" s="1"/>
  <c r="A511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L510" i="11"/>
  <c r="K510" i="11"/>
  <c r="J510" i="11"/>
  <c r="AD510" i="11" s="1"/>
  <c r="G510" i="11"/>
  <c r="F510" i="11"/>
  <c r="D510" i="11"/>
  <c r="C510" i="11"/>
  <c r="E510" i="11" s="1" a="1"/>
  <c r="B510" i="11"/>
  <c r="AC510" i="11" s="1"/>
  <c r="A510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L509" i="11"/>
  <c r="K509" i="11"/>
  <c r="J509" i="11"/>
  <c r="AD509" i="11" s="1"/>
  <c r="G509" i="11"/>
  <c r="F509" i="11"/>
  <c r="D509" i="11"/>
  <c r="C509" i="11"/>
  <c r="E509" i="11" s="1" a="1"/>
  <c r="B509" i="11"/>
  <c r="AC509" i="11" s="1"/>
  <c r="A509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L508" i="11"/>
  <c r="K508" i="11"/>
  <c r="J508" i="11"/>
  <c r="AD508" i="11" s="1"/>
  <c r="G508" i="11"/>
  <c r="F508" i="11"/>
  <c r="D508" i="11"/>
  <c r="C508" i="11"/>
  <c r="E508" i="11" s="1" a="1"/>
  <c r="B508" i="11"/>
  <c r="AC508" i="11" s="1"/>
  <c r="A508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L507" i="11"/>
  <c r="K507" i="11"/>
  <c r="J507" i="11"/>
  <c r="AD507" i="11" s="1"/>
  <c r="G507" i="11"/>
  <c r="F507" i="11"/>
  <c r="D507" i="11"/>
  <c r="C507" i="11"/>
  <c r="E507" i="11" s="1" a="1"/>
  <c r="B507" i="11"/>
  <c r="AC507" i="11" s="1"/>
  <c r="A507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L506" i="11"/>
  <c r="K506" i="11"/>
  <c r="J506" i="11"/>
  <c r="AD506" i="11" s="1"/>
  <c r="G506" i="11"/>
  <c r="F506" i="11"/>
  <c r="D506" i="11"/>
  <c r="C506" i="11"/>
  <c r="E506" i="11" s="1" a="1"/>
  <c r="B506" i="11"/>
  <c r="AC506" i="11" s="1"/>
  <c r="A506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L505" i="11"/>
  <c r="K505" i="11"/>
  <c r="J505" i="11"/>
  <c r="AD505" i="11" s="1"/>
  <c r="G505" i="11"/>
  <c r="F505" i="11"/>
  <c r="D505" i="11"/>
  <c r="C505" i="11"/>
  <c r="E505" i="11" s="1" a="1"/>
  <c r="B505" i="11"/>
  <c r="AC505" i="11" s="1"/>
  <c r="A505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L504" i="11"/>
  <c r="K504" i="11"/>
  <c r="J504" i="11"/>
  <c r="AD504" i="11" s="1"/>
  <c r="G504" i="11"/>
  <c r="F504" i="11"/>
  <c r="D504" i="11"/>
  <c r="C504" i="11"/>
  <c r="E504" i="11" s="1" a="1"/>
  <c r="B504" i="11"/>
  <c r="AC504" i="11" s="1"/>
  <c r="A504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L503" i="11"/>
  <c r="K503" i="11"/>
  <c r="J503" i="11"/>
  <c r="AD503" i="11" s="1"/>
  <c r="G503" i="11"/>
  <c r="F503" i="11"/>
  <c r="D503" i="11"/>
  <c r="C503" i="11"/>
  <c r="E503" i="11" s="1" a="1"/>
  <c r="B503" i="11"/>
  <c r="AC503" i="11" s="1"/>
  <c r="A503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L502" i="11"/>
  <c r="K502" i="11"/>
  <c r="J502" i="11"/>
  <c r="AD502" i="11" s="1"/>
  <c r="G502" i="11"/>
  <c r="F502" i="11"/>
  <c r="D502" i="11"/>
  <c r="C502" i="11"/>
  <c r="E502" i="11" s="1" a="1"/>
  <c r="B502" i="11"/>
  <c r="AC502" i="11" s="1"/>
  <c r="A502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L501" i="11"/>
  <c r="K501" i="11"/>
  <c r="J501" i="11"/>
  <c r="AD501" i="11" s="1"/>
  <c r="G501" i="11"/>
  <c r="F501" i="11"/>
  <c r="D501" i="11"/>
  <c r="C501" i="11"/>
  <c r="E501" i="11" s="1" a="1"/>
  <c r="B501" i="11"/>
  <c r="AC501" i="11" s="1"/>
  <c r="A501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L500" i="11"/>
  <c r="K500" i="11"/>
  <c r="J500" i="11"/>
  <c r="AD500" i="11" s="1"/>
  <c r="G500" i="11"/>
  <c r="F500" i="11"/>
  <c r="D500" i="11"/>
  <c r="C500" i="11"/>
  <c r="E500" i="11" s="1" a="1"/>
  <c r="B500" i="11"/>
  <c r="AC500" i="11" s="1"/>
  <c r="A500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L499" i="11"/>
  <c r="K499" i="11"/>
  <c r="J499" i="11"/>
  <c r="AD499" i="11" s="1"/>
  <c r="G499" i="11"/>
  <c r="F499" i="11"/>
  <c r="D499" i="11"/>
  <c r="C499" i="11"/>
  <c r="E499" i="11" s="1" a="1"/>
  <c r="B499" i="11"/>
  <c r="AC499" i="11" s="1"/>
  <c r="A499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L498" i="11"/>
  <c r="K498" i="11"/>
  <c r="J498" i="11"/>
  <c r="AD498" i="11" s="1"/>
  <c r="G498" i="11"/>
  <c r="F498" i="11"/>
  <c r="D498" i="11"/>
  <c r="C498" i="11"/>
  <c r="E498" i="11" s="1" a="1"/>
  <c r="B498" i="11"/>
  <c r="AC498" i="11" s="1"/>
  <c r="A498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L497" i="11"/>
  <c r="K497" i="11"/>
  <c r="J497" i="11"/>
  <c r="AD497" i="11" s="1"/>
  <c r="G497" i="11"/>
  <c r="F497" i="11"/>
  <c r="D497" i="11"/>
  <c r="C497" i="11"/>
  <c r="E497" i="11" s="1" a="1"/>
  <c r="B497" i="11"/>
  <c r="AC497" i="11" s="1"/>
  <c r="A497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L496" i="11"/>
  <c r="K496" i="11"/>
  <c r="J496" i="11"/>
  <c r="AD496" i="11" s="1"/>
  <c r="G496" i="11"/>
  <c r="F496" i="11"/>
  <c r="D496" i="11"/>
  <c r="C496" i="11"/>
  <c r="E496" i="11" s="1" a="1"/>
  <c r="B496" i="11"/>
  <c r="AC496" i="11" s="1"/>
  <c r="A496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L495" i="11"/>
  <c r="K495" i="11"/>
  <c r="J495" i="11"/>
  <c r="AD495" i="11" s="1"/>
  <c r="G495" i="11"/>
  <c r="F495" i="11"/>
  <c r="D495" i="11"/>
  <c r="C495" i="11"/>
  <c r="E495" i="11" s="1" a="1"/>
  <c r="B495" i="11"/>
  <c r="AC495" i="11" s="1"/>
  <c r="A495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L494" i="11"/>
  <c r="K494" i="11"/>
  <c r="J494" i="11"/>
  <c r="AD494" i="11" s="1"/>
  <c r="G494" i="11"/>
  <c r="F494" i="11"/>
  <c r="D494" i="11"/>
  <c r="C494" i="11"/>
  <c r="E494" i="11" s="1" a="1"/>
  <c r="B494" i="11"/>
  <c r="AC494" i="11" s="1"/>
  <c r="A494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L493" i="11"/>
  <c r="K493" i="11"/>
  <c r="J493" i="11"/>
  <c r="AD493" i="11" s="1"/>
  <c r="G493" i="11"/>
  <c r="F493" i="11"/>
  <c r="D493" i="11"/>
  <c r="C493" i="11"/>
  <c r="E493" i="11" s="1" a="1"/>
  <c r="B493" i="11"/>
  <c r="AC493" i="11" s="1"/>
  <c r="A493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L492" i="11"/>
  <c r="K492" i="11"/>
  <c r="J492" i="11"/>
  <c r="AD492" i="11" s="1"/>
  <c r="G492" i="11"/>
  <c r="F492" i="11"/>
  <c r="D492" i="11"/>
  <c r="C492" i="11"/>
  <c r="E492" i="11" s="1" a="1"/>
  <c r="B492" i="11"/>
  <c r="AC492" i="11" s="1"/>
  <c r="A492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L491" i="11"/>
  <c r="K491" i="11"/>
  <c r="J491" i="11"/>
  <c r="AD491" i="11" s="1"/>
  <c r="G491" i="11"/>
  <c r="F491" i="11"/>
  <c r="D491" i="11"/>
  <c r="C491" i="11"/>
  <c r="E491" i="11" s="1" a="1"/>
  <c r="B491" i="11"/>
  <c r="AC491" i="11" s="1"/>
  <c r="A491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L490" i="11"/>
  <c r="K490" i="11"/>
  <c r="J490" i="11"/>
  <c r="AD490" i="11" s="1"/>
  <c r="G490" i="11"/>
  <c r="F490" i="11"/>
  <c r="D490" i="11"/>
  <c r="C490" i="11"/>
  <c r="E490" i="11" s="1" a="1"/>
  <c r="B490" i="11"/>
  <c r="AC490" i="11" s="1"/>
  <c r="A490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L489" i="11"/>
  <c r="K489" i="11"/>
  <c r="J489" i="11"/>
  <c r="AD489" i="11" s="1"/>
  <c r="G489" i="11"/>
  <c r="F489" i="11"/>
  <c r="D489" i="11"/>
  <c r="C489" i="11"/>
  <c r="E489" i="11" s="1" a="1"/>
  <c r="B489" i="11"/>
  <c r="AC489" i="11" s="1"/>
  <c r="A489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L488" i="11"/>
  <c r="K488" i="11"/>
  <c r="J488" i="11"/>
  <c r="AD488" i="11" s="1"/>
  <c r="G488" i="11"/>
  <c r="F488" i="11"/>
  <c r="D488" i="11"/>
  <c r="C488" i="11"/>
  <c r="E488" i="11" s="1" a="1"/>
  <c r="B488" i="11"/>
  <c r="AC488" i="11" s="1"/>
  <c r="A488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L487" i="11"/>
  <c r="K487" i="11"/>
  <c r="J487" i="11"/>
  <c r="AD487" i="11" s="1"/>
  <c r="G487" i="11"/>
  <c r="F487" i="11"/>
  <c r="D487" i="11"/>
  <c r="C487" i="11"/>
  <c r="E487" i="11" s="1" a="1"/>
  <c r="B487" i="11"/>
  <c r="AC487" i="11" s="1"/>
  <c r="A487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L486" i="11"/>
  <c r="K486" i="11"/>
  <c r="J486" i="11"/>
  <c r="AD486" i="11" s="1"/>
  <c r="G486" i="11"/>
  <c r="F486" i="11"/>
  <c r="D486" i="11"/>
  <c r="C486" i="11"/>
  <c r="E486" i="11" s="1" a="1"/>
  <c r="B486" i="11"/>
  <c r="AC486" i="11" s="1"/>
  <c r="A486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L485" i="11"/>
  <c r="K485" i="11"/>
  <c r="J485" i="11"/>
  <c r="AD485" i="11" s="1"/>
  <c r="G485" i="11"/>
  <c r="F485" i="11"/>
  <c r="D485" i="11"/>
  <c r="C485" i="11"/>
  <c r="E485" i="11" s="1" a="1"/>
  <c r="B485" i="11"/>
  <c r="AC485" i="11" s="1"/>
  <c r="A485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L484" i="11"/>
  <c r="K484" i="11"/>
  <c r="J484" i="11"/>
  <c r="AD484" i="11" s="1"/>
  <c r="G484" i="11"/>
  <c r="F484" i="11"/>
  <c r="D484" i="11"/>
  <c r="C484" i="11"/>
  <c r="E484" i="11" s="1" a="1"/>
  <c r="B484" i="11"/>
  <c r="AC484" i="11" s="1"/>
  <c r="A484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L483" i="11"/>
  <c r="K483" i="11"/>
  <c r="J483" i="11"/>
  <c r="AD483" i="11" s="1"/>
  <c r="G483" i="11"/>
  <c r="F483" i="11"/>
  <c r="D483" i="11"/>
  <c r="C483" i="11"/>
  <c r="E483" i="11" s="1" a="1"/>
  <c r="B483" i="11"/>
  <c r="AC483" i="11" s="1"/>
  <c r="A483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L482" i="11"/>
  <c r="K482" i="11"/>
  <c r="J482" i="11"/>
  <c r="AD482" i="11" s="1"/>
  <c r="G482" i="11"/>
  <c r="F482" i="11"/>
  <c r="D482" i="11"/>
  <c r="C482" i="11"/>
  <c r="E482" i="11" s="1" a="1"/>
  <c r="B482" i="11"/>
  <c r="AC482" i="11" s="1"/>
  <c r="A482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L481" i="11"/>
  <c r="K481" i="11"/>
  <c r="J481" i="11"/>
  <c r="AD481" i="11" s="1"/>
  <c r="G481" i="11"/>
  <c r="F481" i="11"/>
  <c r="D481" i="11"/>
  <c r="C481" i="11"/>
  <c r="E481" i="11" s="1" a="1"/>
  <c r="B481" i="11"/>
  <c r="AC481" i="11" s="1"/>
  <c r="A481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L480" i="11"/>
  <c r="K480" i="11"/>
  <c r="J480" i="11"/>
  <c r="AD480" i="11" s="1"/>
  <c r="G480" i="11"/>
  <c r="F480" i="11"/>
  <c r="D480" i="11"/>
  <c r="C480" i="11"/>
  <c r="E480" i="11" s="1" a="1"/>
  <c r="B480" i="11"/>
  <c r="AC480" i="11" s="1"/>
  <c r="A480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L479" i="11"/>
  <c r="K479" i="11"/>
  <c r="J479" i="11"/>
  <c r="AD479" i="11" s="1"/>
  <c r="G479" i="11"/>
  <c r="F479" i="11"/>
  <c r="D479" i="11"/>
  <c r="C479" i="11"/>
  <c r="E479" i="11" s="1" a="1"/>
  <c r="B479" i="11"/>
  <c r="AC479" i="11" s="1"/>
  <c r="A479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L478" i="11"/>
  <c r="K478" i="11"/>
  <c r="J478" i="11"/>
  <c r="AD478" i="11" s="1"/>
  <c r="G478" i="11"/>
  <c r="F478" i="11"/>
  <c r="D478" i="11"/>
  <c r="C478" i="11"/>
  <c r="E478" i="11" s="1" a="1"/>
  <c r="B478" i="11"/>
  <c r="AC478" i="11" s="1"/>
  <c r="A478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L477" i="11"/>
  <c r="K477" i="11"/>
  <c r="J477" i="11"/>
  <c r="AD477" i="11" s="1"/>
  <c r="G477" i="11"/>
  <c r="F477" i="11"/>
  <c r="D477" i="11"/>
  <c r="C477" i="11"/>
  <c r="E477" i="11" s="1" a="1"/>
  <c r="B477" i="11"/>
  <c r="AC477" i="11" s="1"/>
  <c r="A477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L476" i="11"/>
  <c r="K476" i="11"/>
  <c r="J476" i="11"/>
  <c r="G476" i="11"/>
  <c r="F476" i="11"/>
  <c r="D476" i="11"/>
  <c r="C476" i="11"/>
  <c r="E476" i="11" s="1" a="1"/>
  <c r="B476" i="11"/>
  <c r="AC476" i="11" s="1"/>
  <c r="A476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L475" i="11"/>
  <c r="K475" i="11"/>
  <c r="J475" i="11"/>
  <c r="G475" i="11"/>
  <c r="F475" i="11"/>
  <c r="D475" i="11"/>
  <c r="C475" i="11"/>
  <c r="E475" i="11" s="1" a="1"/>
  <c r="B475" i="11"/>
  <c r="AC475" i="11" s="1"/>
  <c r="A475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L474" i="11"/>
  <c r="K474" i="11"/>
  <c r="J474" i="11"/>
  <c r="G474" i="11"/>
  <c r="F474" i="11"/>
  <c r="D474" i="11"/>
  <c r="C474" i="11"/>
  <c r="E474" i="11" s="1" a="1"/>
  <c r="B474" i="11"/>
  <c r="AC474" i="11" s="1"/>
  <c r="A474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L473" i="11"/>
  <c r="K473" i="11"/>
  <c r="J473" i="11"/>
  <c r="G473" i="11"/>
  <c r="F473" i="11"/>
  <c r="D473" i="11"/>
  <c r="C473" i="11"/>
  <c r="E473" i="11" s="1" a="1"/>
  <c r="B473" i="11"/>
  <c r="AC473" i="11" s="1"/>
  <c r="A473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L472" i="11"/>
  <c r="K472" i="11"/>
  <c r="J472" i="11"/>
  <c r="G472" i="11"/>
  <c r="F472" i="11"/>
  <c r="D472" i="11"/>
  <c r="C472" i="11"/>
  <c r="E472" i="11" s="1" a="1"/>
  <c r="B472" i="11"/>
  <c r="AC472" i="11" s="1"/>
  <c r="A472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L471" i="11"/>
  <c r="K471" i="11"/>
  <c r="J471" i="11"/>
  <c r="G471" i="11"/>
  <c r="F471" i="11"/>
  <c r="D471" i="11"/>
  <c r="C471" i="11"/>
  <c r="E471" i="11" s="1" a="1"/>
  <c r="B471" i="11"/>
  <c r="AC471" i="11" s="1"/>
  <c r="A471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L470" i="11"/>
  <c r="K470" i="11"/>
  <c r="J470" i="11"/>
  <c r="AD470" i="11" s="1"/>
  <c r="G470" i="11"/>
  <c r="F470" i="11"/>
  <c r="D470" i="11"/>
  <c r="C470" i="11"/>
  <c r="E470" i="11" s="1" a="1"/>
  <c r="B470" i="11"/>
  <c r="AC470" i="11" s="1"/>
  <c r="A470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L469" i="11"/>
  <c r="K469" i="11"/>
  <c r="J469" i="11"/>
  <c r="G469" i="11"/>
  <c r="F469" i="11"/>
  <c r="D469" i="11"/>
  <c r="C469" i="11"/>
  <c r="E469" i="11" s="1" a="1"/>
  <c r="B469" i="11"/>
  <c r="AC469" i="11" s="1"/>
  <c r="A469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L468" i="11"/>
  <c r="K468" i="11"/>
  <c r="J468" i="11"/>
  <c r="G468" i="11"/>
  <c r="F468" i="11"/>
  <c r="D468" i="11"/>
  <c r="C468" i="11"/>
  <c r="E468" i="11" s="1" a="1"/>
  <c r="B468" i="11"/>
  <c r="AC468" i="11" s="1"/>
  <c r="A468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L467" i="11"/>
  <c r="K467" i="11"/>
  <c r="J467" i="11"/>
  <c r="G467" i="11"/>
  <c r="F467" i="11"/>
  <c r="D467" i="11"/>
  <c r="C467" i="11"/>
  <c r="B467" i="11"/>
  <c r="AC467" i="11" s="1"/>
  <c r="A467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L466" i="11"/>
  <c r="K466" i="11"/>
  <c r="J466" i="11"/>
  <c r="G466" i="11"/>
  <c r="F466" i="11"/>
  <c r="D466" i="11"/>
  <c r="C466" i="11"/>
  <c r="E466" i="11" s="1" a="1"/>
  <c r="B466" i="11"/>
  <c r="AC466" i="11" s="1"/>
  <c r="A466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L465" i="11"/>
  <c r="K465" i="11"/>
  <c r="J465" i="11"/>
  <c r="G465" i="11"/>
  <c r="F465" i="11"/>
  <c r="D465" i="11"/>
  <c r="C465" i="11"/>
  <c r="E465" i="11" s="1" a="1"/>
  <c r="B465" i="11"/>
  <c r="AC465" i="11" s="1"/>
  <c r="A465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L464" i="11"/>
  <c r="K464" i="11"/>
  <c r="J464" i="11"/>
  <c r="G464" i="11"/>
  <c r="F464" i="11"/>
  <c r="D464" i="11"/>
  <c r="C464" i="11"/>
  <c r="E464" i="11" s="1" a="1"/>
  <c r="B464" i="11"/>
  <c r="AC464" i="11" s="1"/>
  <c r="A464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L463" i="11"/>
  <c r="K463" i="11"/>
  <c r="J463" i="11"/>
  <c r="G463" i="11"/>
  <c r="F463" i="11"/>
  <c r="D463" i="11"/>
  <c r="C463" i="11"/>
  <c r="E463" i="11" s="1" a="1"/>
  <c r="B463" i="11"/>
  <c r="AC463" i="11" s="1"/>
  <c r="A463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L462" i="11"/>
  <c r="K462" i="11"/>
  <c r="J462" i="11"/>
  <c r="G462" i="11"/>
  <c r="F462" i="11"/>
  <c r="D462" i="11"/>
  <c r="C462" i="11"/>
  <c r="E462" i="11" s="1" a="1"/>
  <c r="B462" i="11"/>
  <c r="AC462" i="11" s="1"/>
  <c r="A462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L461" i="11"/>
  <c r="K461" i="11"/>
  <c r="J461" i="11"/>
  <c r="G461" i="11"/>
  <c r="F461" i="11"/>
  <c r="D461" i="11"/>
  <c r="C461" i="11"/>
  <c r="E461" i="11" s="1" a="1"/>
  <c r="B461" i="11"/>
  <c r="AC461" i="11" s="1"/>
  <c r="A461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L460" i="11"/>
  <c r="K460" i="11"/>
  <c r="J460" i="11"/>
  <c r="G460" i="11"/>
  <c r="F460" i="11"/>
  <c r="D460" i="11"/>
  <c r="C460" i="11"/>
  <c r="E460" i="11" s="1" a="1"/>
  <c r="B460" i="11"/>
  <c r="AC460" i="11" s="1"/>
  <c r="A460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L459" i="11"/>
  <c r="K459" i="11"/>
  <c r="J459" i="11"/>
  <c r="G459" i="11"/>
  <c r="F459" i="11"/>
  <c r="D459" i="11"/>
  <c r="C459" i="11"/>
  <c r="E459" i="11" s="1" a="1"/>
  <c r="B459" i="11"/>
  <c r="AC459" i="11" s="1"/>
  <c r="A459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L458" i="11"/>
  <c r="K458" i="11"/>
  <c r="J458" i="11"/>
  <c r="G458" i="11"/>
  <c r="F458" i="11"/>
  <c r="D458" i="11"/>
  <c r="C458" i="11"/>
  <c r="E458" i="11" s="1" a="1"/>
  <c r="B458" i="11"/>
  <c r="AC458" i="11" s="1"/>
  <c r="A458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L457" i="11"/>
  <c r="K457" i="11"/>
  <c r="J457" i="11"/>
  <c r="G457" i="11"/>
  <c r="F457" i="11"/>
  <c r="D457" i="11"/>
  <c r="C457" i="11"/>
  <c r="E457" i="11" s="1" a="1"/>
  <c r="B457" i="11"/>
  <c r="AC457" i="11" s="1"/>
  <c r="A457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L456" i="11"/>
  <c r="K456" i="11"/>
  <c r="J456" i="11"/>
  <c r="G456" i="11"/>
  <c r="F456" i="11"/>
  <c r="D456" i="11"/>
  <c r="C456" i="11"/>
  <c r="E456" i="11" s="1" a="1"/>
  <c r="B456" i="11"/>
  <c r="AC456" i="11" s="1"/>
  <c r="A456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L455" i="11"/>
  <c r="K455" i="11"/>
  <c r="J455" i="11"/>
  <c r="G455" i="11"/>
  <c r="F455" i="11"/>
  <c r="D455" i="11"/>
  <c r="C455" i="11"/>
  <c r="E455" i="11" s="1" a="1"/>
  <c r="B455" i="11"/>
  <c r="AC455" i="11" s="1"/>
  <c r="A455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L454" i="11"/>
  <c r="K454" i="11"/>
  <c r="J454" i="11"/>
  <c r="G454" i="11"/>
  <c r="F454" i="11"/>
  <c r="D454" i="11"/>
  <c r="C454" i="11"/>
  <c r="E454" i="11" s="1" a="1"/>
  <c r="B454" i="11"/>
  <c r="AC454" i="11" s="1"/>
  <c r="A454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L453" i="11"/>
  <c r="K453" i="11"/>
  <c r="J453" i="11"/>
  <c r="G453" i="11"/>
  <c r="F453" i="11"/>
  <c r="D453" i="11"/>
  <c r="C453" i="11"/>
  <c r="B453" i="11"/>
  <c r="AC453" i="11" s="1"/>
  <c r="A453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L452" i="11"/>
  <c r="K452" i="11"/>
  <c r="J452" i="11"/>
  <c r="G452" i="11"/>
  <c r="F452" i="11"/>
  <c r="D452" i="11"/>
  <c r="C452" i="11"/>
  <c r="E452" i="11" s="1" a="1"/>
  <c r="B452" i="11"/>
  <c r="AC452" i="11" s="1"/>
  <c r="A452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L451" i="11"/>
  <c r="K451" i="11"/>
  <c r="J451" i="11"/>
  <c r="G451" i="11"/>
  <c r="F451" i="11"/>
  <c r="D451" i="11"/>
  <c r="C451" i="11"/>
  <c r="E451" i="11" s="1" a="1"/>
  <c r="B451" i="11"/>
  <c r="AC451" i="11" s="1"/>
  <c r="A451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L450" i="11"/>
  <c r="K450" i="11"/>
  <c r="J450" i="11"/>
  <c r="G450" i="11"/>
  <c r="F450" i="11"/>
  <c r="D450" i="11"/>
  <c r="C450" i="11"/>
  <c r="E450" i="11" s="1" a="1"/>
  <c r="B450" i="11"/>
  <c r="AC450" i="11" s="1"/>
  <c r="A450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L449" i="11"/>
  <c r="K449" i="11"/>
  <c r="J449" i="11"/>
  <c r="G449" i="11"/>
  <c r="F449" i="11"/>
  <c r="D449" i="11"/>
  <c r="C449" i="11"/>
  <c r="B449" i="11"/>
  <c r="A449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L448" i="11"/>
  <c r="K448" i="11"/>
  <c r="J448" i="11"/>
  <c r="G448" i="11"/>
  <c r="F448" i="11"/>
  <c r="D448" i="11"/>
  <c r="C448" i="11"/>
  <c r="E448" i="11" s="1" a="1"/>
  <c r="B448" i="11"/>
  <c r="AC448" i="11" s="1"/>
  <c r="A448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L447" i="11"/>
  <c r="K447" i="11"/>
  <c r="J447" i="11"/>
  <c r="G447" i="11"/>
  <c r="F447" i="11"/>
  <c r="D447" i="11"/>
  <c r="C447" i="11"/>
  <c r="E447" i="11" s="1" a="1"/>
  <c r="B447" i="11"/>
  <c r="AC447" i="11" s="1"/>
  <c r="A447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L446" i="11"/>
  <c r="K446" i="11"/>
  <c r="J446" i="11"/>
  <c r="G446" i="11"/>
  <c r="F446" i="11"/>
  <c r="D446" i="11"/>
  <c r="C446" i="11"/>
  <c r="E446" i="11" s="1" a="1"/>
  <c r="B446" i="11"/>
  <c r="AC446" i="11" s="1"/>
  <c r="A446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L445" i="11"/>
  <c r="K445" i="11"/>
  <c r="J445" i="11"/>
  <c r="G445" i="11"/>
  <c r="F445" i="11"/>
  <c r="D445" i="11"/>
  <c r="C445" i="11"/>
  <c r="E445" i="11" s="1" a="1"/>
  <c r="B445" i="11"/>
  <c r="AC445" i="11" s="1"/>
  <c r="A445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L444" i="11"/>
  <c r="K444" i="11"/>
  <c r="J444" i="11"/>
  <c r="G444" i="11"/>
  <c r="F444" i="11"/>
  <c r="D444" i="11"/>
  <c r="C444" i="11"/>
  <c r="E444" i="11" s="1" a="1"/>
  <c r="B444" i="11"/>
  <c r="AC444" i="11" s="1"/>
  <c r="A444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L443" i="11"/>
  <c r="K443" i="11"/>
  <c r="J443" i="11"/>
  <c r="G443" i="11"/>
  <c r="F443" i="11"/>
  <c r="D443" i="11"/>
  <c r="C443" i="11"/>
  <c r="E443" i="11" s="1" a="1"/>
  <c r="B443" i="11"/>
  <c r="AC443" i="11" s="1"/>
  <c r="A443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L442" i="11"/>
  <c r="K442" i="11"/>
  <c r="J442" i="11"/>
  <c r="G442" i="11"/>
  <c r="F442" i="11"/>
  <c r="D442" i="11"/>
  <c r="C442" i="11"/>
  <c r="E442" i="11" s="1" a="1"/>
  <c r="B442" i="11"/>
  <c r="AC442" i="11" s="1"/>
  <c r="A442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L441" i="11"/>
  <c r="K441" i="11"/>
  <c r="J441" i="11"/>
  <c r="G441" i="11"/>
  <c r="F441" i="11"/>
  <c r="D441" i="11"/>
  <c r="C441" i="11"/>
  <c r="E441" i="11" s="1" a="1"/>
  <c r="B441" i="11"/>
  <c r="AC441" i="11" s="1"/>
  <c r="A441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L440" i="11"/>
  <c r="K440" i="11"/>
  <c r="J440" i="11"/>
  <c r="G440" i="11"/>
  <c r="F440" i="11"/>
  <c r="D440" i="11"/>
  <c r="C440" i="11"/>
  <c r="E440" i="11" s="1" a="1"/>
  <c r="B440" i="11"/>
  <c r="AC440" i="11" s="1"/>
  <c r="A440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L439" i="11"/>
  <c r="K439" i="11"/>
  <c r="J439" i="11"/>
  <c r="G439" i="11"/>
  <c r="F439" i="11"/>
  <c r="D439" i="11"/>
  <c r="C439" i="11"/>
  <c r="E439" i="11" s="1" a="1"/>
  <c r="B439" i="11"/>
  <c r="AC439" i="11" s="1"/>
  <c r="A439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L438" i="11"/>
  <c r="K438" i="11"/>
  <c r="J438" i="11"/>
  <c r="G438" i="11"/>
  <c r="F438" i="11"/>
  <c r="D438" i="11"/>
  <c r="C438" i="11"/>
  <c r="E438" i="11" s="1" a="1"/>
  <c r="B438" i="11"/>
  <c r="AC438" i="11" s="1"/>
  <c r="A438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L437" i="11"/>
  <c r="K437" i="11"/>
  <c r="J437" i="11"/>
  <c r="G437" i="11"/>
  <c r="F437" i="11"/>
  <c r="D437" i="11"/>
  <c r="C437" i="11"/>
  <c r="E437" i="11" s="1" a="1"/>
  <c r="B437" i="11"/>
  <c r="AC437" i="11" s="1"/>
  <c r="A437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L436" i="11"/>
  <c r="K436" i="11"/>
  <c r="J436" i="11"/>
  <c r="G436" i="11"/>
  <c r="F436" i="11"/>
  <c r="D436" i="11"/>
  <c r="C436" i="11"/>
  <c r="E436" i="11" s="1" a="1"/>
  <c r="B436" i="11"/>
  <c r="AC436" i="11" s="1"/>
  <c r="A436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L435" i="11"/>
  <c r="K435" i="11"/>
  <c r="J435" i="11"/>
  <c r="G435" i="11"/>
  <c r="F435" i="11"/>
  <c r="D435" i="11"/>
  <c r="C435" i="11"/>
  <c r="E435" i="11" s="1" a="1"/>
  <c r="B435" i="11"/>
  <c r="AC435" i="11" s="1"/>
  <c r="A435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L434" i="11"/>
  <c r="K434" i="11"/>
  <c r="J434" i="11"/>
  <c r="G434" i="11"/>
  <c r="F434" i="11"/>
  <c r="D434" i="11"/>
  <c r="C434" i="11"/>
  <c r="E434" i="11" s="1" a="1"/>
  <c r="B434" i="11"/>
  <c r="AC434" i="11" s="1"/>
  <c r="A434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L433" i="11"/>
  <c r="K433" i="11"/>
  <c r="J433" i="11"/>
  <c r="G433" i="11"/>
  <c r="F433" i="11"/>
  <c r="D433" i="11"/>
  <c r="C433" i="11"/>
  <c r="E433" i="11" s="1" a="1"/>
  <c r="B433" i="11"/>
  <c r="AC433" i="11" s="1"/>
  <c r="A433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L432" i="11"/>
  <c r="K432" i="11"/>
  <c r="J432" i="11"/>
  <c r="G432" i="11"/>
  <c r="F432" i="11"/>
  <c r="D432" i="11"/>
  <c r="C432" i="11"/>
  <c r="E432" i="11" s="1" a="1"/>
  <c r="B432" i="11"/>
  <c r="AC432" i="11" s="1"/>
  <c r="A432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L431" i="11"/>
  <c r="K431" i="11"/>
  <c r="J431" i="11"/>
  <c r="G431" i="11"/>
  <c r="F431" i="11"/>
  <c r="D431" i="11"/>
  <c r="C431" i="11"/>
  <c r="E431" i="11" s="1" a="1"/>
  <c r="B431" i="11"/>
  <c r="AC431" i="11" s="1"/>
  <c r="A431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L430" i="11"/>
  <c r="K430" i="11"/>
  <c r="J430" i="11"/>
  <c r="G430" i="11"/>
  <c r="F430" i="11"/>
  <c r="D430" i="11"/>
  <c r="C430" i="11"/>
  <c r="E430" i="11" s="1" a="1"/>
  <c r="B430" i="11"/>
  <c r="AC430" i="11" s="1"/>
  <c r="A430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L429" i="11"/>
  <c r="K429" i="11"/>
  <c r="J429" i="11"/>
  <c r="G429" i="11"/>
  <c r="F429" i="11"/>
  <c r="D429" i="11"/>
  <c r="C429" i="11"/>
  <c r="E429" i="11" s="1" a="1"/>
  <c r="B429" i="11"/>
  <c r="AC429" i="11" s="1"/>
  <c r="A429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L428" i="11"/>
  <c r="K428" i="11"/>
  <c r="J428" i="11"/>
  <c r="G428" i="11"/>
  <c r="F428" i="11"/>
  <c r="D428" i="11"/>
  <c r="C428" i="11"/>
  <c r="E428" i="11" s="1" a="1"/>
  <c r="B428" i="11"/>
  <c r="AC428" i="11" s="1"/>
  <c r="A428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L427" i="11"/>
  <c r="K427" i="11"/>
  <c r="J427" i="11"/>
  <c r="G427" i="11"/>
  <c r="F427" i="11"/>
  <c r="D427" i="11"/>
  <c r="C427" i="11"/>
  <c r="E427" i="11" s="1" a="1"/>
  <c r="B427" i="11"/>
  <c r="AC427" i="11" s="1"/>
  <c r="A427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L426" i="11"/>
  <c r="K426" i="11"/>
  <c r="J426" i="11"/>
  <c r="G426" i="11"/>
  <c r="F426" i="11"/>
  <c r="D426" i="11"/>
  <c r="C426" i="11"/>
  <c r="E426" i="11" s="1" a="1"/>
  <c r="B426" i="11"/>
  <c r="AC426" i="11" s="1"/>
  <c r="A426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L425" i="11"/>
  <c r="K425" i="11"/>
  <c r="J425" i="11"/>
  <c r="G425" i="11"/>
  <c r="F425" i="11"/>
  <c r="D425" i="11"/>
  <c r="C425" i="11"/>
  <c r="E425" i="11" s="1" a="1"/>
  <c r="B425" i="11"/>
  <c r="AC425" i="11" s="1"/>
  <c r="A425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L424" i="11"/>
  <c r="K424" i="11"/>
  <c r="J424" i="11"/>
  <c r="G424" i="11"/>
  <c r="F424" i="11"/>
  <c r="D424" i="11"/>
  <c r="C424" i="11"/>
  <c r="E424" i="11" s="1" a="1"/>
  <c r="B424" i="11"/>
  <c r="AC424" i="11" s="1"/>
  <c r="A424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L423" i="11"/>
  <c r="K423" i="11"/>
  <c r="J423" i="11"/>
  <c r="G423" i="11"/>
  <c r="F423" i="11"/>
  <c r="D423" i="11"/>
  <c r="C423" i="11"/>
  <c r="E423" i="11" s="1" a="1"/>
  <c r="B423" i="11"/>
  <c r="AC423" i="11" s="1"/>
  <c r="A423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L422" i="11"/>
  <c r="K422" i="11"/>
  <c r="J422" i="11"/>
  <c r="G422" i="11"/>
  <c r="F422" i="11"/>
  <c r="D422" i="11"/>
  <c r="C422" i="11"/>
  <c r="E422" i="11" s="1" a="1"/>
  <c r="B422" i="11"/>
  <c r="AC422" i="11" s="1"/>
  <c r="A422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L421" i="11"/>
  <c r="K421" i="11"/>
  <c r="J421" i="11"/>
  <c r="G421" i="11"/>
  <c r="F421" i="11"/>
  <c r="D421" i="11"/>
  <c r="C421" i="11"/>
  <c r="E421" i="11" s="1" a="1"/>
  <c r="B421" i="11"/>
  <c r="AC421" i="11" s="1"/>
  <c r="A421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L420" i="11"/>
  <c r="K420" i="11"/>
  <c r="J420" i="11"/>
  <c r="G420" i="11"/>
  <c r="F420" i="11"/>
  <c r="D420" i="11"/>
  <c r="C420" i="11"/>
  <c r="E420" i="11" s="1" a="1"/>
  <c r="B420" i="11"/>
  <c r="AC420" i="11" s="1"/>
  <c r="A420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L419" i="11"/>
  <c r="K419" i="11"/>
  <c r="J419" i="11"/>
  <c r="G419" i="11"/>
  <c r="F419" i="11"/>
  <c r="D419" i="11"/>
  <c r="C419" i="11"/>
  <c r="E419" i="11" s="1" a="1"/>
  <c r="B419" i="11"/>
  <c r="AC419" i="11" s="1"/>
  <c r="A419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L418" i="11"/>
  <c r="K418" i="11"/>
  <c r="J418" i="11"/>
  <c r="G418" i="11"/>
  <c r="F418" i="11"/>
  <c r="D418" i="11"/>
  <c r="C418" i="11"/>
  <c r="E418" i="11" s="1" a="1"/>
  <c r="B418" i="11"/>
  <c r="AC418" i="11" s="1"/>
  <c r="A418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L417" i="11"/>
  <c r="K417" i="11"/>
  <c r="J417" i="11"/>
  <c r="G417" i="11"/>
  <c r="F417" i="11"/>
  <c r="D417" i="11"/>
  <c r="C417" i="11"/>
  <c r="E417" i="11" s="1" a="1"/>
  <c r="B417" i="11"/>
  <c r="AC417" i="11" s="1"/>
  <c r="A417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L416" i="11"/>
  <c r="K416" i="11"/>
  <c r="J416" i="11"/>
  <c r="G416" i="11"/>
  <c r="F416" i="11"/>
  <c r="D416" i="11"/>
  <c r="C416" i="11"/>
  <c r="E416" i="11" s="1" a="1"/>
  <c r="B416" i="11"/>
  <c r="AC416" i="11" s="1"/>
  <c r="A416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L415" i="11"/>
  <c r="K415" i="11"/>
  <c r="J415" i="11"/>
  <c r="G415" i="11"/>
  <c r="F415" i="11"/>
  <c r="D415" i="11"/>
  <c r="C415" i="11"/>
  <c r="E415" i="11" s="1" a="1"/>
  <c r="B415" i="11"/>
  <c r="A415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L414" i="11"/>
  <c r="K414" i="11"/>
  <c r="J414" i="11"/>
  <c r="G414" i="11"/>
  <c r="F414" i="11"/>
  <c r="D414" i="11"/>
  <c r="C414" i="11"/>
  <c r="E414" i="11" s="1" a="1"/>
  <c r="B414" i="11"/>
  <c r="AC414" i="11" s="1"/>
  <c r="A414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L413" i="11"/>
  <c r="K413" i="11"/>
  <c r="J413" i="11"/>
  <c r="G413" i="11"/>
  <c r="F413" i="11"/>
  <c r="D413" i="11"/>
  <c r="C413" i="11"/>
  <c r="E413" i="11" s="1" a="1"/>
  <c r="B413" i="11"/>
  <c r="AC413" i="11" s="1"/>
  <c r="A413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L412" i="11"/>
  <c r="K412" i="11"/>
  <c r="J412" i="11"/>
  <c r="G412" i="11"/>
  <c r="F412" i="11"/>
  <c r="D412" i="11"/>
  <c r="C412" i="11"/>
  <c r="E412" i="11" s="1" a="1"/>
  <c r="B412" i="11"/>
  <c r="AC412" i="11" s="1"/>
  <c r="A412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L411" i="11"/>
  <c r="K411" i="11"/>
  <c r="J411" i="11"/>
  <c r="G411" i="11"/>
  <c r="F411" i="11"/>
  <c r="D411" i="11"/>
  <c r="C411" i="11"/>
  <c r="E411" i="11" s="1" a="1"/>
  <c r="B411" i="11"/>
  <c r="A411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L410" i="11"/>
  <c r="K410" i="11"/>
  <c r="J410" i="11"/>
  <c r="G410" i="11"/>
  <c r="F410" i="11"/>
  <c r="D410" i="11"/>
  <c r="C410" i="11"/>
  <c r="E410" i="11" s="1" a="1"/>
  <c r="B410" i="11"/>
  <c r="AC410" i="11" s="1"/>
  <c r="A410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L409" i="11"/>
  <c r="K409" i="11"/>
  <c r="J409" i="11"/>
  <c r="G409" i="11"/>
  <c r="F409" i="11"/>
  <c r="D409" i="11"/>
  <c r="C409" i="11"/>
  <c r="E409" i="11" s="1" a="1"/>
  <c r="B409" i="11"/>
  <c r="AC409" i="11" s="1"/>
  <c r="A409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L408" i="11"/>
  <c r="K408" i="11"/>
  <c r="J408" i="11"/>
  <c r="G408" i="11"/>
  <c r="F408" i="11"/>
  <c r="D408" i="11"/>
  <c r="C408" i="11"/>
  <c r="E408" i="11" s="1" a="1"/>
  <c r="B408" i="11"/>
  <c r="AC408" i="11" s="1"/>
  <c r="A408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L407" i="11"/>
  <c r="K407" i="11"/>
  <c r="J407" i="11"/>
  <c r="G407" i="11"/>
  <c r="F407" i="11"/>
  <c r="D407" i="11"/>
  <c r="C407" i="11"/>
  <c r="E407" i="11" s="1" a="1"/>
  <c r="B407" i="11"/>
  <c r="AC407" i="11" s="1"/>
  <c r="A407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L406" i="11"/>
  <c r="K406" i="11"/>
  <c r="J406" i="11"/>
  <c r="G406" i="11"/>
  <c r="F406" i="11"/>
  <c r="D406" i="11"/>
  <c r="C406" i="11"/>
  <c r="E406" i="11" s="1" a="1"/>
  <c r="B406" i="11"/>
  <c r="AC406" i="11" s="1"/>
  <c r="A406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L405" i="11"/>
  <c r="K405" i="11"/>
  <c r="J405" i="11"/>
  <c r="G405" i="11"/>
  <c r="F405" i="11"/>
  <c r="D405" i="11"/>
  <c r="C405" i="11"/>
  <c r="E405" i="11" s="1" a="1"/>
  <c r="B405" i="11"/>
  <c r="AC405" i="11" s="1"/>
  <c r="A405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L404" i="11"/>
  <c r="K404" i="11"/>
  <c r="J404" i="11"/>
  <c r="G404" i="11"/>
  <c r="F404" i="11"/>
  <c r="D404" i="11"/>
  <c r="C404" i="11"/>
  <c r="E404" i="11" s="1" a="1"/>
  <c r="B404" i="11"/>
  <c r="AC404" i="11" s="1"/>
  <c r="A404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L403" i="11"/>
  <c r="K403" i="11"/>
  <c r="J403" i="11"/>
  <c r="G403" i="11"/>
  <c r="F403" i="11"/>
  <c r="D403" i="11"/>
  <c r="C403" i="11"/>
  <c r="E403" i="11" s="1" a="1"/>
  <c r="B403" i="11"/>
  <c r="AC403" i="11" s="1"/>
  <c r="A403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L402" i="11"/>
  <c r="K402" i="11"/>
  <c r="J402" i="11"/>
  <c r="G402" i="11"/>
  <c r="F402" i="11"/>
  <c r="D402" i="11"/>
  <c r="C402" i="11"/>
  <c r="E402" i="11" s="1" a="1"/>
  <c r="B402" i="11"/>
  <c r="AC402" i="11" s="1"/>
  <c r="A402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L401" i="11"/>
  <c r="K401" i="11"/>
  <c r="J401" i="11"/>
  <c r="G401" i="11"/>
  <c r="F401" i="11"/>
  <c r="D401" i="11"/>
  <c r="C401" i="11"/>
  <c r="E401" i="11" s="1" a="1"/>
  <c r="B401" i="11"/>
  <c r="AC401" i="11" s="1"/>
  <c r="A401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L400" i="11"/>
  <c r="K400" i="11"/>
  <c r="J400" i="11"/>
  <c r="G400" i="11"/>
  <c r="F400" i="11"/>
  <c r="D400" i="11"/>
  <c r="C400" i="11"/>
  <c r="E400" i="11" s="1" a="1"/>
  <c r="B400" i="11"/>
  <c r="AC400" i="11" s="1"/>
  <c r="A400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L399" i="11"/>
  <c r="K399" i="11"/>
  <c r="J399" i="11"/>
  <c r="G399" i="11"/>
  <c r="F399" i="11"/>
  <c r="D399" i="11"/>
  <c r="C399" i="11"/>
  <c r="E399" i="11" s="1" a="1"/>
  <c r="B399" i="11"/>
  <c r="AC399" i="11" s="1"/>
  <c r="A399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L398" i="11"/>
  <c r="K398" i="11"/>
  <c r="J398" i="11"/>
  <c r="G398" i="11"/>
  <c r="F398" i="11"/>
  <c r="D398" i="11"/>
  <c r="C398" i="11"/>
  <c r="E398" i="11" s="1" a="1"/>
  <c r="B398" i="11"/>
  <c r="AC398" i="11" s="1"/>
  <c r="A398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L397" i="11"/>
  <c r="K397" i="11"/>
  <c r="J397" i="11"/>
  <c r="G397" i="11"/>
  <c r="F397" i="11"/>
  <c r="D397" i="11"/>
  <c r="C397" i="11"/>
  <c r="E397" i="11" s="1" a="1"/>
  <c r="B397" i="11"/>
  <c r="AC397" i="11" s="1"/>
  <c r="A397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L396" i="11"/>
  <c r="K396" i="11"/>
  <c r="J396" i="11"/>
  <c r="G396" i="11"/>
  <c r="F396" i="11"/>
  <c r="D396" i="11"/>
  <c r="C396" i="11"/>
  <c r="E396" i="11" s="1" a="1"/>
  <c r="B396" i="11"/>
  <c r="AC396" i="11" s="1"/>
  <c r="A396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L395" i="11"/>
  <c r="K395" i="11"/>
  <c r="J395" i="11"/>
  <c r="G395" i="11"/>
  <c r="F395" i="11"/>
  <c r="D395" i="11"/>
  <c r="C395" i="11"/>
  <c r="E395" i="11" s="1" a="1"/>
  <c r="B395" i="11"/>
  <c r="AC395" i="11" s="1"/>
  <c r="A395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L394" i="11"/>
  <c r="K394" i="11"/>
  <c r="J394" i="11"/>
  <c r="G394" i="11"/>
  <c r="F394" i="11"/>
  <c r="D394" i="11"/>
  <c r="C394" i="11"/>
  <c r="E394" i="11" s="1" a="1"/>
  <c r="B394" i="11"/>
  <c r="AC394" i="11" s="1"/>
  <c r="A394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L393" i="11"/>
  <c r="K393" i="11"/>
  <c r="J393" i="11"/>
  <c r="G393" i="11"/>
  <c r="F393" i="11"/>
  <c r="D393" i="11"/>
  <c r="C393" i="11"/>
  <c r="E393" i="11" s="1" a="1"/>
  <c r="B393" i="11"/>
  <c r="AC393" i="11" s="1"/>
  <c r="A393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L392" i="11"/>
  <c r="K392" i="11"/>
  <c r="J392" i="11"/>
  <c r="G392" i="11"/>
  <c r="F392" i="11"/>
  <c r="D392" i="11"/>
  <c r="C392" i="11"/>
  <c r="E392" i="11" s="1" a="1"/>
  <c r="B392" i="11"/>
  <c r="AC392" i="11" s="1"/>
  <c r="A392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L391" i="11"/>
  <c r="K391" i="11"/>
  <c r="J391" i="11"/>
  <c r="G391" i="11"/>
  <c r="F391" i="11"/>
  <c r="D391" i="11"/>
  <c r="C391" i="11"/>
  <c r="E391" i="11" s="1" a="1"/>
  <c r="B391" i="11"/>
  <c r="AC391" i="11" s="1"/>
  <c r="A391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L390" i="11"/>
  <c r="K390" i="11"/>
  <c r="J390" i="11"/>
  <c r="G390" i="11"/>
  <c r="F390" i="11"/>
  <c r="D390" i="11"/>
  <c r="C390" i="11"/>
  <c r="E390" i="11" s="1" a="1"/>
  <c r="B390" i="11"/>
  <c r="AC390" i="11" s="1"/>
  <c r="A390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L389" i="11"/>
  <c r="K389" i="11"/>
  <c r="J389" i="11"/>
  <c r="G389" i="11"/>
  <c r="F389" i="11"/>
  <c r="D389" i="11"/>
  <c r="C389" i="11"/>
  <c r="E389" i="11" s="1" a="1"/>
  <c r="B389" i="11"/>
  <c r="AC389" i="11" s="1"/>
  <c r="A389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L388" i="11"/>
  <c r="K388" i="11"/>
  <c r="J388" i="11"/>
  <c r="G388" i="11"/>
  <c r="F388" i="11"/>
  <c r="D388" i="11"/>
  <c r="C388" i="11"/>
  <c r="E388" i="11" s="1" a="1"/>
  <c r="B388" i="11"/>
  <c r="AC388" i="11" s="1"/>
  <c r="A388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L387" i="11"/>
  <c r="K387" i="11"/>
  <c r="J387" i="11"/>
  <c r="G387" i="11"/>
  <c r="F387" i="11"/>
  <c r="D387" i="11"/>
  <c r="C387" i="11"/>
  <c r="E387" i="11" s="1" a="1"/>
  <c r="B387" i="11"/>
  <c r="AC387" i="11" s="1"/>
  <c r="A387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L386" i="11"/>
  <c r="K386" i="11"/>
  <c r="J386" i="11"/>
  <c r="G386" i="11"/>
  <c r="F386" i="11"/>
  <c r="D386" i="11"/>
  <c r="C386" i="11"/>
  <c r="E386" i="11" s="1" a="1"/>
  <c r="B386" i="11"/>
  <c r="AC386" i="11" s="1"/>
  <c r="A386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L385" i="11"/>
  <c r="K385" i="11"/>
  <c r="J385" i="11"/>
  <c r="G385" i="11"/>
  <c r="F385" i="11"/>
  <c r="D385" i="11"/>
  <c r="C385" i="11"/>
  <c r="E385" i="11" s="1" a="1"/>
  <c r="B385" i="11"/>
  <c r="AC385" i="11" s="1"/>
  <c r="A385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L384" i="11"/>
  <c r="K384" i="11"/>
  <c r="J384" i="11"/>
  <c r="G384" i="11"/>
  <c r="F384" i="11"/>
  <c r="D384" i="11"/>
  <c r="C384" i="11"/>
  <c r="E384" i="11" s="1" a="1"/>
  <c r="B384" i="11"/>
  <c r="AC384" i="11" s="1"/>
  <c r="A384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L383" i="11"/>
  <c r="K383" i="11"/>
  <c r="J383" i="11"/>
  <c r="G383" i="11"/>
  <c r="F383" i="11"/>
  <c r="D383" i="11"/>
  <c r="C383" i="11"/>
  <c r="E383" i="11" s="1" a="1"/>
  <c r="B383" i="11"/>
  <c r="AC383" i="11" s="1"/>
  <c r="A383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L382" i="11"/>
  <c r="K382" i="11"/>
  <c r="J382" i="11"/>
  <c r="G382" i="11"/>
  <c r="F382" i="11"/>
  <c r="D382" i="11"/>
  <c r="C382" i="11"/>
  <c r="E382" i="11" s="1" a="1"/>
  <c r="B382" i="11"/>
  <c r="AC382" i="11" s="1"/>
  <c r="A382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L381" i="11"/>
  <c r="K381" i="11"/>
  <c r="J381" i="11"/>
  <c r="G381" i="11"/>
  <c r="F381" i="11"/>
  <c r="D381" i="11"/>
  <c r="C381" i="11"/>
  <c r="E381" i="11" s="1" a="1"/>
  <c r="B381" i="11"/>
  <c r="AC381" i="11" s="1"/>
  <c r="A381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L380" i="11"/>
  <c r="K380" i="11"/>
  <c r="J380" i="11"/>
  <c r="G380" i="11"/>
  <c r="F380" i="11"/>
  <c r="D380" i="11"/>
  <c r="C380" i="11"/>
  <c r="E380" i="11" s="1" a="1"/>
  <c r="B380" i="11"/>
  <c r="AC380" i="11" s="1"/>
  <c r="A380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L379" i="11"/>
  <c r="K379" i="11"/>
  <c r="J379" i="11"/>
  <c r="G379" i="11"/>
  <c r="F379" i="11"/>
  <c r="D379" i="11"/>
  <c r="C379" i="11"/>
  <c r="E379" i="11" s="1" a="1"/>
  <c r="B379" i="11"/>
  <c r="AC379" i="11" s="1"/>
  <c r="A379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L378" i="11"/>
  <c r="K378" i="11"/>
  <c r="J378" i="11"/>
  <c r="G378" i="11"/>
  <c r="F378" i="11"/>
  <c r="D378" i="11"/>
  <c r="C378" i="11"/>
  <c r="E378" i="11" s="1" a="1"/>
  <c r="B378" i="11"/>
  <c r="AC378" i="11" s="1"/>
  <c r="A378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L377" i="11"/>
  <c r="K377" i="11"/>
  <c r="J377" i="11"/>
  <c r="G377" i="11"/>
  <c r="F377" i="11"/>
  <c r="D377" i="11"/>
  <c r="C377" i="11"/>
  <c r="E377" i="11" s="1" a="1"/>
  <c r="B377" i="11"/>
  <c r="AC377" i="11" s="1"/>
  <c r="A377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L376" i="11"/>
  <c r="K376" i="11"/>
  <c r="J376" i="11"/>
  <c r="G376" i="11"/>
  <c r="F376" i="11"/>
  <c r="D376" i="11"/>
  <c r="C376" i="11"/>
  <c r="E376" i="11" s="1" a="1"/>
  <c r="B376" i="11"/>
  <c r="AC376" i="11" s="1"/>
  <c r="A376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L375" i="11"/>
  <c r="K375" i="11"/>
  <c r="J375" i="11"/>
  <c r="G375" i="11"/>
  <c r="F375" i="11"/>
  <c r="D375" i="11"/>
  <c r="C375" i="11"/>
  <c r="E375" i="11" s="1" a="1"/>
  <c r="B375" i="11"/>
  <c r="A375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L374" i="11"/>
  <c r="K374" i="11"/>
  <c r="J374" i="11"/>
  <c r="G374" i="11"/>
  <c r="F374" i="11"/>
  <c r="D374" i="11"/>
  <c r="C374" i="11"/>
  <c r="E374" i="11" s="1" a="1"/>
  <c r="B374" i="11"/>
  <c r="AC374" i="11" s="1"/>
  <c r="A374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L373" i="11"/>
  <c r="K373" i="11"/>
  <c r="J373" i="11"/>
  <c r="G373" i="11"/>
  <c r="F373" i="11"/>
  <c r="D373" i="11"/>
  <c r="C373" i="11"/>
  <c r="E373" i="11" s="1" a="1"/>
  <c r="B373" i="11"/>
  <c r="AC373" i="11" s="1"/>
  <c r="A373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L372" i="11"/>
  <c r="K372" i="11"/>
  <c r="J372" i="11"/>
  <c r="G372" i="11"/>
  <c r="F372" i="11"/>
  <c r="D372" i="11"/>
  <c r="C372" i="11"/>
  <c r="E372" i="11" s="1" a="1"/>
  <c r="B372" i="11"/>
  <c r="AC372" i="11" s="1"/>
  <c r="A372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L371" i="11"/>
  <c r="K371" i="11"/>
  <c r="J371" i="11"/>
  <c r="G371" i="11"/>
  <c r="F371" i="11"/>
  <c r="D371" i="11"/>
  <c r="C371" i="11"/>
  <c r="E371" i="11" s="1" a="1"/>
  <c r="B371" i="11"/>
  <c r="AC371" i="11" s="1"/>
  <c r="A371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L370" i="11"/>
  <c r="K370" i="11"/>
  <c r="J370" i="11"/>
  <c r="G370" i="11"/>
  <c r="F370" i="11"/>
  <c r="D370" i="11"/>
  <c r="C370" i="11"/>
  <c r="E370" i="11" s="1" a="1"/>
  <c r="B370" i="11"/>
  <c r="AC370" i="11" s="1"/>
  <c r="A370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L369" i="11"/>
  <c r="K369" i="11"/>
  <c r="J369" i="11"/>
  <c r="G369" i="11"/>
  <c r="F369" i="11"/>
  <c r="D369" i="11"/>
  <c r="C369" i="11"/>
  <c r="E369" i="11" s="1" a="1"/>
  <c r="B369" i="11"/>
  <c r="AC369" i="11" s="1"/>
  <c r="A369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L368" i="11"/>
  <c r="K368" i="11"/>
  <c r="J368" i="11"/>
  <c r="G368" i="11"/>
  <c r="F368" i="11"/>
  <c r="D368" i="11"/>
  <c r="C368" i="11"/>
  <c r="E368" i="11" s="1" a="1"/>
  <c r="B368" i="11"/>
  <c r="AC368" i="11" s="1"/>
  <c r="A368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L367" i="11"/>
  <c r="K367" i="11"/>
  <c r="J367" i="11"/>
  <c r="G367" i="11"/>
  <c r="F367" i="11"/>
  <c r="D367" i="11"/>
  <c r="C367" i="11"/>
  <c r="E367" i="11" s="1" a="1"/>
  <c r="B367" i="11"/>
  <c r="AC367" i="11" s="1"/>
  <c r="A367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L366" i="11"/>
  <c r="K366" i="11"/>
  <c r="J366" i="11"/>
  <c r="G366" i="11"/>
  <c r="F366" i="11"/>
  <c r="D366" i="11"/>
  <c r="C366" i="11"/>
  <c r="E366" i="11" s="1" a="1"/>
  <c r="B366" i="11"/>
  <c r="AC366" i="11" s="1"/>
  <c r="A366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L365" i="11"/>
  <c r="K365" i="11"/>
  <c r="J365" i="11"/>
  <c r="G365" i="11"/>
  <c r="F365" i="11"/>
  <c r="D365" i="11"/>
  <c r="C365" i="11"/>
  <c r="E365" i="11" s="1" a="1"/>
  <c r="B365" i="11"/>
  <c r="AC365" i="11" s="1"/>
  <c r="A365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L364" i="11"/>
  <c r="K364" i="11"/>
  <c r="J364" i="11"/>
  <c r="G364" i="11"/>
  <c r="F364" i="11"/>
  <c r="D364" i="11"/>
  <c r="C364" i="11"/>
  <c r="E364" i="11" s="1" a="1"/>
  <c r="B364" i="11"/>
  <c r="AC364" i="11" s="1"/>
  <c r="A364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L363" i="11"/>
  <c r="K363" i="11"/>
  <c r="J363" i="11"/>
  <c r="G363" i="11"/>
  <c r="F363" i="11"/>
  <c r="D363" i="11"/>
  <c r="C363" i="11"/>
  <c r="E363" i="11" s="1" a="1"/>
  <c r="B363" i="11"/>
  <c r="AC363" i="11" s="1"/>
  <c r="A363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L362" i="11"/>
  <c r="K362" i="11"/>
  <c r="J362" i="11"/>
  <c r="G362" i="11"/>
  <c r="F362" i="11"/>
  <c r="D362" i="11"/>
  <c r="C362" i="11"/>
  <c r="E362" i="11" s="1" a="1"/>
  <c r="B362" i="11"/>
  <c r="AC362" i="11" s="1"/>
  <c r="A362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L361" i="11"/>
  <c r="K361" i="11"/>
  <c r="J361" i="11"/>
  <c r="G361" i="11"/>
  <c r="F361" i="11"/>
  <c r="D361" i="11"/>
  <c r="C361" i="11"/>
  <c r="E361" i="11" s="1" a="1"/>
  <c r="B361" i="11"/>
  <c r="AC361" i="11" s="1"/>
  <c r="A361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L360" i="11"/>
  <c r="K360" i="11"/>
  <c r="J360" i="11"/>
  <c r="G360" i="11"/>
  <c r="F360" i="11"/>
  <c r="D360" i="11"/>
  <c r="C360" i="11"/>
  <c r="E360" i="11" s="1" a="1"/>
  <c r="B360" i="11"/>
  <c r="AC360" i="11" s="1"/>
  <c r="A360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L359" i="11"/>
  <c r="K359" i="11"/>
  <c r="J359" i="11"/>
  <c r="G359" i="11"/>
  <c r="F359" i="11"/>
  <c r="D359" i="11"/>
  <c r="C359" i="11"/>
  <c r="E359" i="11" s="1" a="1"/>
  <c r="B359" i="11"/>
  <c r="AC359" i="11" s="1"/>
  <c r="A359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L358" i="11"/>
  <c r="K358" i="11"/>
  <c r="J358" i="11"/>
  <c r="G358" i="11"/>
  <c r="F358" i="11"/>
  <c r="D358" i="11"/>
  <c r="C358" i="11"/>
  <c r="E358" i="11" s="1" a="1"/>
  <c r="B358" i="11"/>
  <c r="AC358" i="11" s="1"/>
  <c r="A358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L357" i="11"/>
  <c r="K357" i="11"/>
  <c r="J357" i="11"/>
  <c r="G357" i="11"/>
  <c r="F357" i="11"/>
  <c r="D357" i="11"/>
  <c r="C357" i="11"/>
  <c r="E357" i="11" s="1" a="1"/>
  <c r="B357" i="11"/>
  <c r="A357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L356" i="11"/>
  <c r="K356" i="11"/>
  <c r="J356" i="11"/>
  <c r="G356" i="11"/>
  <c r="F356" i="11"/>
  <c r="D356" i="11"/>
  <c r="C356" i="11"/>
  <c r="E356" i="11" s="1" a="1"/>
  <c r="B356" i="11"/>
  <c r="AC356" i="11" s="1"/>
  <c r="A356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L355" i="11"/>
  <c r="K355" i="11"/>
  <c r="J355" i="11"/>
  <c r="G355" i="11"/>
  <c r="F355" i="11"/>
  <c r="D355" i="11"/>
  <c r="C355" i="11"/>
  <c r="E355" i="11" s="1" a="1"/>
  <c r="B355" i="11"/>
  <c r="AC355" i="11" s="1"/>
  <c r="A355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L354" i="11"/>
  <c r="K354" i="11"/>
  <c r="J354" i="11"/>
  <c r="G354" i="11"/>
  <c r="F354" i="11"/>
  <c r="D354" i="11"/>
  <c r="C354" i="11"/>
  <c r="E354" i="11" s="1" a="1"/>
  <c r="B354" i="11"/>
  <c r="AC354" i="11" s="1"/>
  <c r="A354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L353" i="11"/>
  <c r="K353" i="11"/>
  <c r="J353" i="11"/>
  <c r="G353" i="11"/>
  <c r="F353" i="11"/>
  <c r="D353" i="11"/>
  <c r="C353" i="11"/>
  <c r="E353" i="11" s="1" a="1"/>
  <c r="B353" i="11"/>
  <c r="AC353" i="11" s="1"/>
  <c r="A353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L352" i="11"/>
  <c r="K352" i="11"/>
  <c r="J352" i="11"/>
  <c r="G352" i="11"/>
  <c r="F352" i="11"/>
  <c r="D352" i="11"/>
  <c r="C352" i="11"/>
  <c r="E352" i="11" s="1" a="1"/>
  <c r="B352" i="11"/>
  <c r="AC352" i="11" s="1"/>
  <c r="A352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L351" i="11"/>
  <c r="K351" i="11"/>
  <c r="J351" i="11"/>
  <c r="G351" i="11"/>
  <c r="F351" i="11"/>
  <c r="D351" i="11"/>
  <c r="C351" i="11"/>
  <c r="E351" i="11" s="1" a="1"/>
  <c r="B351" i="11"/>
  <c r="AC351" i="11" s="1"/>
  <c r="A351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L350" i="11"/>
  <c r="K350" i="11"/>
  <c r="J350" i="11"/>
  <c r="G350" i="11"/>
  <c r="F350" i="11"/>
  <c r="D350" i="11"/>
  <c r="C350" i="11"/>
  <c r="E350" i="11" s="1" a="1"/>
  <c r="B350" i="11"/>
  <c r="AC350" i="11" s="1"/>
  <c r="A350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L349" i="11"/>
  <c r="K349" i="11"/>
  <c r="J349" i="11"/>
  <c r="G349" i="11"/>
  <c r="F349" i="11"/>
  <c r="D349" i="11"/>
  <c r="C349" i="11"/>
  <c r="E349" i="11" s="1" a="1"/>
  <c r="B349" i="11"/>
  <c r="AC349" i="11" s="1"/>
  <c r="A349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L348" i="11"/>
  <c r="K348" i="11"/>
  <c r="J348" i="11"/>
  <c r="G348" i="11"/>
  <c r="F348" i="11"/>
  <c r="D348" i="11"/>
  <c r="C348" i="11"/>
  <c r="E348" i="11" s="1" a="1"/>
  <c r="B348" i="11"/>
  <c r="AC348" i="11" s="1"/>
  <c r="A348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L347" i="11"/>
  <c r="K347" i="11"/>
  <c r="J347" i="11"/>
  <c r="G347" i="11"/>
  <c r="F347" i="11"/>
  <c r="D347" i="11"/>
  <c r="C347" i="11"/>
  <c r="E347" i="11" s="1" a="1"/>
  <c r="B347" i="11"/>
  <c r="AC347" i="11" s="1"/>
  <c r="A347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L346" i="11"/>
  <c r="K346" i="11"/>
  <c r="J346" i="11"/>
  <c r="G346" i="11"/>
  <c r="F346" i="11"/>
  <c r="D346" i="11"/>
  <c r="C346" i="11"/>
  <c r="E346" i="11" s="1" a="1"/>
  <c r="B346" i="11"/>
  <c r="AC346" i="11" s="1"/>
  <c r="A346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L345" i="11"/>
  <c r="K345" i="11"/>
  <c r="J345" i="11"/>
  <c r="G345" i="11"/>
  <c r="F345" i="11"/>
  <c r="D345" i="11"/>
  <c r="C345" i="11"/>
  <c r="E345" i="11" s="1" a="1"/>
  <c r="B345" i="11"/>
  <c r="AC345" i="11" s="1"/>
  <c r="A345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L344" i="11"/>
  <c r="K344" i="11"/>
  <c r="J344" i="11"/>
  <c r="G344" i="11"/>
  <c r="F344" i="11"/>
  <c r="D344" i="11"/>
  <c r="C344" i="11"/>
  <c r="E344" i="11" s="1" a="1"/>
  <c r="B344" i="11"/>
  <c r="AC344" i="11" s="1"/>
  <c r="A344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L343" i="11"/>
  <c r="K343" i="11"/>
  <c r="J343" i="11"/>
  <c r="G343" i="11"/>
  <c r="F343" i="11"/>
  <c r="D343" i="11"/>
  <c r="C343" i="11"/>
  <c r="B343" i="11"/>
  <c r="A343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L342" i="11"/>
  <c r="K342" i="11"/>
  <c r="J342" i="11"/>
  <c r="G342" i="11"/>
  <c r="F342" i="11"/>
  <c r="D342" i="11"/>
  <c r="C342" i="11"/>
  <c r="E342" i="11" s="1" a="1"/>
  <c r="B342" i="11"/>
  <c r="AC342" i="11" s="1"/>
  <c r="A342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L341" i="11"/>
  <c r="K341" i="11"/>
  <c r="J341" i="11"/>
  <c r="G341" i="11"/>
  <c r="F341" i="11"/>
  <c r="D341" i="11"/>
  <c r="C341" i="11"/>
  <c r="E341" i="11" s="1" a="1"/>
  <c r="B341" i="11"/>
  <c r="AC341" i="11" s="1"/>
  <c r="A341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L340" i="11"/>
  <c r="K340" i="11"/>
  <c r="J340" i="11"/>
  <c r="G340" i="11"/>
  <c r="F340" i="11"/>
  <c r="D340" i="11"/>
  <c r="C340" i="11"/>
  <c r="E340" i="11" s="1" a="1"/>
  <c r="B340" i="11"/>
  <c r="AC340" i="11" s="1"/>
  <c r="A340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L339" i="11"/>
  <c r="K339" i="11"/>
  <c r="J339" i="11"/>
  <c r="G339" i="11"/>
  <c r="F339" i="11"/>
  <c r="D339" i="11"/>
  <c r="C339" i="11"/>
  <c r="E339" i="11" s="1" a="1"/>
  <c r="B339" i="11"/>
  <c r="AC339" i="11" s="1"/>
  <c r="A339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L338" i="11"/>
  <c r="K338" i="11"/>
  <c r="J338" i="11"/>
  <c r="G338" i="11"/>
  <c r="F338" i="11"/>
  <c r="D338" i="11"/>
  <c r="C338" i="11"/>
  <c r="E338" i="11" s="1" a="1"/>
  <c r="B338" i="11"/>
  <c r="AC338" i="11" s="1"/>
  <c r="A338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L337" i="11"/>
  <c r="K337" i="11"/>
  <c r="J337" i="11"/>
  <c r="G337" i="11"/>
  <c r="F337" i="11"/>
  <c r="D337" i="11"/>
  <c r="C337" i="11"/>
  <c r="E337" i="11" s="1" a="1"/>
  <c r="B337" i="11"/>
  <c r="AC337" i="11" s="1"/>
  <c r="A337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L336" i="11"/>
  <c r="K336" i="11"/>
  <c r="J336" i="11"/>
  <c r="G336" i="11"/>
  <c r="F336" i="11"/>
  <c r="D336" i="11"/>
  <c r="C336" i="11"/>
  <c r="E336" i="11" s="1" a="1"/>
  <c r="B336" i="11"/>
  <c r="AC336" i="11" s="1"/>
  <c r="A336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L335" i="11"/>
  <c r="K335" i="11"/>
  <c r="J335" i="11"/>
  <c r="G335" i="11"/>
  <c r="F335" i="11"/>
  <c r="D335" i="11"/>
  <c r="C335" i="11"/>
  <c r="E335" i="11" s="1" a="1"/>
  <c r="B335" i="11"/>
  <c r="AC335" i="11" s="1"/>
  <c r="A335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L334" i="11"/>
  <c r="K334" i="11"/>
  <c r="J334" i="11"/>
  <c r="G334" i="11"/>
  <c r="F334" i="11"/>
  <c r="D334" i="11"/>
  <c r="C334" i="11"/>
  <c r="E334" i="11" s="1" a="1"/>
  <c r="B334" i="11"/>
  <c r="AC334" i="11" s="1"/>
  <c r="A334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L333" i="11"/>
  <c r="K333" i="11"/>
  <c r="J333" i="11"/>
  <c r="G333" i="11"/>
  <c r="F333" i="11"/>
  <c r="D333" i="11"/>
  <c r="C333" i="11"/>
  <c r="E333" i="11" s="1" a="1"/>
  <c r="B333" i="11"/>
  <c r="AC333" i="11" s="1"/>
  <c r="A333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L332" i="11"/>
  <c r="K332" i="11"/>
  <c r="J332" i="11"/>
  <c r="G332" i="11"/>
  <c r="F332" i="11"/>
  <c r="D332" i="11"/>
  <c r="C332" i="11"/>
  <c r="E332" i="11" s="1" a="1"/>
  <c r="B332" i="11"/>
  <c r="AC332" i="11" s="1"/>
  <c r="A332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L331" i="11"/>
  <c r="K331" i="11"/>
  <c r="J331" i="11"/>
  <c r="G331" i="11"/>
  <c r="F331" i="11"/>
  <c r="D331" i="11"/>
  <c r="C331" i="11"/>
  <c r="E331" i="11" s="1" a="1"/>
  <c r="B331" i="11"/>
  <c r="AC331" i="11" s="1"/>
  <c r="A331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L330" i="11"/>
  <c r="K330" i="11"/>
  <c r="J330" i="11"/>
  <c r="G330" i="11"/>
  <c r="F330" i="11"/>
  <c r="D330" i="11"/>
  <c r="C330" i="11"/>
  <c r="E330" i="11" s="1" a="1"/>
  <c r="B330" i="11"/>
  <c r="AC330" i="11" s="1"/>
  <c r="A330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L329" i="11"/>
  <c r="K329" i="11"/>
  <c r="J329" i="11"/>
  <c r="G329" i="11"/>
  <c r="F329" i="11"/>
  <c r="D329" i="11"/>
  <c r="C329" i="11"/>
  <c r="E329" i="11" s="1" a="1"/>
  <c r="B329" i="11"/>
  <c r="AC329" i="11" s="1"/>
  <c r="A329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L328" i="11"/>
  <c r="K328" i="11"/>
  <c r="J328" i="11"/>
  <c r="G328" i="11"/>
  <c r="F328" i="11"/>
  <c r="D328" i="11"/>
  <c r="C328" i="11"/>
  <c r="E328" i="11" s="1" a="1"/>
  <c r="B328" i="11"/>
  <c r="AC328" i="11" s="1"/>
  <c r="A328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L327" i="11"/>
  <c r="K327" i="11"/>
  <c r="J327" i="11"/>
  <c r="G327" i="11"/>
  <c r="F327" i="11"/>
  <c r="D327" i="11"/>
  <c r="C327" i="11"/>
  <c r="E327" i="11" s="1" a="1"/>
  <c r="B327" i="11"/>
  <c r="A327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L326" i="11"/>
  <c r="K326" i="11"/>
  <c r="J326" i="11"/>
  <c r="G326" i="11"/>
  <c r="F326" i="11"/>
  <c r="D326" i="11"/>
  <c r="C326" i="11"/>
  <c r="E326" i="11" s="1" a="1"/>
  <c r="B326" i="11"/>
  <c r="AC326" i="11" s="1"/>
  <c r="A326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L325" i="11"/>
  <c r="K325" i="11"/>
  <c r="J325" i="11"/>
  <c r="G325" i="11"/>
  <c r="F325" i="11"/>
  <c r="D325" i="11"/>
  <c r="C325" i="11"/>
  <c r="E325" i="11" s="1" a="1"/>
  <c r="B325" i="11"/>
  <c r="AC325" i="11" s="1"/>
  <c r="A325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L324" i="11"/>
  <c r="K324" i="11"/>
  <c r="J324" i="11"/>
  <c r="G324" i="11"/>
  <c r="F324" i="11"/>
  <c r="D324" i="11"/>
  <c r="C324" i="11"/>
  <c r="E324" i="11" s="1" a="1"/>
  <c r="B324" i="11"/>
  <c r="AC324" i="11" s="1"/>
  <c r="A324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L323" i="11"/>
  <c r="K323" i="11"/>
  <c r="J323" i="11"/>
  <c r="G323" i="11"/>
  <c r="F323" i="11"/>
  <c r="D323" i="11"/>
  <c r="C323" i="11"/>
  <c r="E323" i="11" s="1" a="1"/>
  <c r="B323" i="11"/>
  <c r="AC323" i="11" s="1"/>
  <c r="A323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L322" i="11"/>
  <c r="K322" i="11"/>
  <c r="J322" i="11"/>
  <c r="G322" i="11"/>
  <c r="F322" i="11"/>
  <c r="D322" i="11"/>
  <c r="C322" i="11"/>
  <c r="E322" i="11" s="1" a="1"/>
  <c r="B322" i="11"/>
  <c r="AC322" i="11" s="1"/>
  <c r="A322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L321" i="11"/>
  <c r="K321" i="11"/>
  <c r="J321" i="11"/>
  <c r="G321" i="11"/>
  <c r="F321" i="11"/>
  <c r="D321" i="11"/>
  <c r="C321" i="11"/>
  <c r="E321" i="11" s="1" a="1"/>
  <c r="B321" i="11"/>
  <c r="AC321" i="11" s="1"/>
  <c r="A321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L320" i="11"/>
  <c r="K320" i="11"/>
  <c r="J320" i="11"/>
  <c r="G320" i="11"/>
  <c r="F320" i="11"/>
  <c r="D320" i="11"/>
  <c r="C320" i="11"/>
  <c r="E320" i="11" s="1" a="1"/>
  <c r="B320" i="11"/>
  <c r="AC320" i="11" s="1"/>
  <c r="A320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L319" i="11"/>
  <c r="K319" i="11"/>
  <c r="J319" i="11"/>
  <c r="G319" i="11"/>
  <c r="F319" i="11"/>
  <c r="D319" i="11"/>
  <c r="C319" i="11"/>
  <c r="E319" i="11" s="1" a="1"/>
  <c r="B319" i="11"/>
  <c r="AC319" i="11" s="1"/>
  <c r="A319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L318" i="11"/>
  <c r="K318" i="11"/>
  <c r="J318" i="11"/>
  <c r="G318" i="11"/>
  <c r="F318" i="11"/>
  <c r="D318" i="11"/>
  <c r="C318" i="11"/>
  <c r="E318" i="11" s="1" a="1"/>
  <c r="B318" i="11"/>
  <c r="AC318" i="11" s="1"/>
  <c r="A318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L317" i="11"/>
  <c r="K317" i="11"/>
  <c r="J317" i="11"/>
  <c r="G317" i="11"/>
  <c r="F317" i="11"/>
  <c r="D317" i="11"/>
  <c r="C317" i="11"/>
  <c r="E317" i="11" s="1" a="1"/>
  <c r="B317" i="11"/>
  <c r="A317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L316" i="11"/>
  <c r="K316" i="11"/>
  <c r="J316" i="11"/>
  <c r="G316" i="11"/>
  <c r="F316" i="11"/>
  <c r="D316" i="11"/>
  <c r="C316" i="11"/>
  <c r="E316" i="11" s="1" a="1"/>
  <c r="B316" i="11"/>
  <c r="AC316" i="11" s="1"/>
  <c r="A316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L315" i="11"/>
  <c r="K315" i="11"/>
  <c r="J315" i="11"/>
  <c r="G315" i="11"/>
  <c r="F315" i="11"/>
  <c r="D315" i="11"/>
  <c r="C315" i="11"/>
  <c r="E315" i="11" s="1" a="1"/>
  <c r="B315" i="11"/>
  <c r="AC315" i="11" s="1"/>
  <c r="A315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L314" i="11"/>
  <c r="K314" i="11"/>
  <c r="J314" i="11"/>
  <c r="G314" i="11"/>
  <c r="F314" i="11"/>
  <c r="D314" i="11"/>
  <c r="C314" i="11"/>
  <c r="E314" i="11" s="1" a="1"/>
  <c r="B314" i="11"/>
  <c r="AC314" i="11" s="1"/>
  <c r="A314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L313" i="11"/>
  <c r="K313" i="11"/>
  <c r="J313" i="11"/>
  <c r="G313" i="11"/>
  <c r="F313" i="11"/>
  <c r="D313" i="11"/>
  <c r="C313" i="11"/>
  <c r="E313" i="11" s="1" a="1"/>
  <c r="B313" i="11"/>
  <c r="AC313" i="11" s="1"/>
  <c r="A313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L312" i="11"/>
  <c r="K312" i="11"/>
  <c r="J312" i="11"/>
  <c r="G312" i="11"/>
  <c r="F312" i="11"/>
  <c r="D312" i="11"/>
  <c r="C312" i="11"/>
  <c r="E312" i="11" s="1" a="1"/>
  <c r="B312" i="11"/>
  <c r="AC312" i="11" s="1"/>
  <c r="A312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L311" i="11"/>
  <c r="K311" i="11"/>
  <c r="J311" i="11"/>
  <c r="G311" i="11"/>
  <c r="F311" i="11"/>
  <c r="D311" i="11"/>
  <c r="C311" i="11"/>
  <c r="E311" i="11" s="1" a="1"/>
  <c r="B311" i="11"/>
  <c r="AC311" i="11" s="1"/>
  <c r="A311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L310" i="11"/>
  <c r="K310" i="11"/>
  <c r="J310" i="11"/>
  <c r="G310" i="11"/>
  <c r="F310" i="11"/>
  <c r="D310" i="11"/>
  <c r="C310" i="11"/>
  <c r="E310" i="11" s="1" a="1"/>
  <c r="B310" i="11"/>
  <c r="AC310" i="11" s="1"/>
  <c r="A310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L309" i="11"/>
  <c r="K309" i="11"/>
  <c r="J309" i="11"/>
  <c r="G309" i="11"/>
  <c r="F309" i="11"/>
  <c r="D309" i="11"/>
  <c r="C309" i="11"/>
  <c r="E309" i="11" s="1" a="1"/>
  <c r="B309" i="11"/>
  <c r="A309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L308" i="11"/>
  <c r="K308" i="11"/>
  <c r="J308" i="11"/>
  <c r="G308" i="11"/>
  <c r="F308" i="11"/>
  <c r="D308" i="11"/>
  <c r="C308" i="11"/>
  <c r="E308" i="11" s="1" a="1"/>
  <c r="B308" i="11"/>
  <c r="AC308" i="11" s="1"/>
  <c r="A308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L307" i="11"/>
  <c r="K307" i="11"/>
  <c r="J307" i="11"/>
  <c r="G307" i="11"/>
  <c r="F307" i="11"/>
  <c r="D307" i="11"/>
  <c r="C307" i="11"/>
  <c r="E307" i="11" s="1" a="1"/>
  <c r="B307" i="11"/>
  <c r="AC307" i="11" s="1"/>
  <c r="A307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L306" i="11"/>
  <c r="K306" i="11"/>
  <c r="J306" i="11"/>
  <c r="G306" i="11"/>
  <c r="F306" i="11"/>
  <c r="D306" i="11"/>
  <c r="C306" i="11"/>
  <c r="E306" i="11" s="1" a="1"/>
  <c r="B306" i="11"/>
  <c r="AC306" i="11" s="1"/>
  <c r="A306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L305" i="11"/>
  <c r="K305" i="11"/>
  <c r="J305" i="11"/>
  <c r="G305" i="11"/>
  <c r="F305" i="11"/>
  <c r="D305" i="11"/>
  <c r="C305" i="11"/>
  <c r="E305" i="11" s="1" a="1"/>
  <c r="B305" i="11"/>
  <c r="AC305" i="11" s="1"/>
  <c r="A305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L304" i="11"/>
  <c r="K304" i="11"/>
  <c r="J304" i="11"/>
  <c r="G304" i="11"/>
  <c r="F304" i="11"/>
  <c r="D304" i="11"/>
  <c r="C304" i="11"/>
  <c r="E304" i="11" s="1" a="1"/>
  <c r="B304" i="11"/>
  <c r="AC304" i="11" s="1"/>
  <c r="A304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L303" i="11"/>
  <c r="K303" i="11"/>
  <c r="J303" i="11"/>
  <c r="G303" i="11"/>
  <c r="F303" i="11"/>
  <c r="D303" i="11"/>
  <c r="C303" i="11"/>
  <c r="E303" i="11" s="1" a="1"/>
  <c r="B303" i="11"/>
  <c r="AC303" i="11" s="1"/>
  <c r="A303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L302" i="11"/>
  <c r="K302" i="11"/>
  <c r="J302" i="11"/>
  <c r="G302" i="11"/>
  <c r="F302" i="11"/>
  <c r="D302" i="11"/>
  <c r="C302" i="11"/>
  <c r="E302" i="11" s="1" a="1"/>
  <c r="B302" i="11"/>
  <c r="A302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L301" i="11"/>
  <c r="K301" i="11"/>
  <c r="J301" i="11"/>
  <c r="G301" i="11"/>
  <c r="F301" i="11"/>
  <c r="D301" i="11"/>
  <c r="C301" i="11"/>
  <c r="E301" i="11" s="1" a="1"/>
  <c r="B301" i="11"/>
  <c r="AC301" i="11" s="1"/>
  <c r="A301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L300" i="11"/>
  <c r="K300" i="11"/>
  <c r="J300" i="11"/>
  <c r="G300" i="11"/>
  <c r="F300" i="11"/>
  <c r="D300" i="11"/>
  <c r="C300" i="11"/>
  <c r="E300" i="11" s="1" a="1"/>
  <c r="B300" i="11"/>
  <c r="AC300" i="11" s="1"/>
  <c r="A300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L299" i="11"/>
  <c r="K299" i="11"/>
  <c r="J299" i="11"/>
  <c r="G299" i="11"/>
  <c r="F299" i="11"/>
  <c r="D299" i="11"/>
  <c r="C299" i="11"/>
  <c r="E299" i="11" s="1" a="1"/>
  <c r="B299" i="11"/>
  <c r="AC299" i="11" s="1"/>
  <c r="A299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L298" i="11"/>
  <c r="K298" i="11"/>
  <c r="J298" i="11"/>
  <c r="G298" i="11"/>
  <c r="F298" i="11"/>
  <c r="D298" i="11"/>
  <c r="C298" i="11"/>
  <c r="E298" i="11" s="1" a="1"/>
  <c r="B298" i="11"/>
  <c r="AC298" i="11" s="1"/>
  <c r="A298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L297" i="11"/>
  <c r="K297" i="11"/>
  <c r="J297" i="11"/>
  <c r="G297" i="11"/>
  <c r="F297" i="11"/>
  <c r="D297" i="11"/>
  <c r="C297" i="11"/>
  <c r="E297" i="11" s="1" a="1"/>
  <c r="B297" i="11"/>
  <c r="AC297" i="11" s="1"/>
  <c r="A297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L296" i="11"/>
  <c r="K296" i="11"/>
  <c r="J296" i="11"/>
  <c r="G296" i="11"/>
  <c r="F296" i="11"/>
  <c r="D296" i="11"/>
  <c r="C296" i="11"/>
  <c r="E296" i="11" s="1" a="1"/>
  <c r="B296" i="11"/>
  <c r="AC296" i="11" s="1"/>
  <c r="A296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L295" i="11"/>
  <c r="K295" i="11"/>
  <c r="J295" i="11"/>
  <c r="G295" i="11"/>
  <c r="F295" i="11"/>
  <c r="D295" i="11"/>
  <c r="C295" i="11"/>
  <c r="E295" i="11" s="1" a="1"/>
  <c r="B295" i="11"/>
  <c r="AC295" i="11" s="1"/>
  <c r="A295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L294" i="11"/>
  <c r="K294" i="11"/>
  <c r="J294" i="11"/>
  <c r="G294" i="11"/>
  <c r="F294" i="11"/>
  <c r="D294" i="11"/>
  <c r="C294" i="11"/>
  <c r="E294" i="11" s="1" a="1"/>
  <c r="B294" i="11"/>
  <c r="AC294" i="11" s="1"/>
  <c r="A294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L293" i="11"/>
  <c r="K293" i="11"/>
  <c r="J293" i="11"/>
  <c r="G293" i="11"/>
  <c r="F293" i="11"/>
  <c r="D293" i="11"/>
  <c r="C293" i="11"/>
  <c r="E293" i="11" s="1" a="1"/>
  <c r="B293" i="11"/>
  <c r="AC293" i="11" s="1"/>
  <c r="A293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L292" i="11"/>
  <c r="K292" i="11"/>
  <c r="J292" i="11"/>
  <c r="G292" i="11"/>
  <c r="F292" i="11"/>
  <c r="D292" i="11"/>
  <c r="C292" i="11"/>
  <c r="E292" i="11" s="1" a="1"/>
  <c r="B292" i="11"/>
  <c r="AC292" i="11" s="1"/>
  <c r="A292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L291" i="11"/>
  <c r="K291" i="11"/>
  <c r="J291" i="11"/>
  <c r="G291" i="11"/>
  <c r="F291" i="11"/>
  <c r="D291" i="11"/>
  <c r="C291" i="11"/>
  <c r="E291" i="11" s="1" a="1"/>
  <c r="B291" i="11"/>
  <c r="AC291" i="11" s="1"/>
  <c r="A291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L290" i="11"/>
  <c r="K290" i="11"/>
  <c r="J290" i="11"/>
  <c r="G290" i="11"/>
  <c r="F290" i="11"/>
  <c r="D290" i="11"/>
  <c r="C290" i="11"/>
  <c r="E290" i="11" s="1" a="1"/>
  <c r="B290" i="11"/>
  <c r="AC290" i="11" s="1"/>
  <c r="A290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L289" i="11"/>
  <c r="K289" i="11"/>
  <c r="J289" i="11"/>
  <c r="G289" i="11"/>
  <c r="F289" i="11"/>
  <c r="D289" i="11"/>
  <c r="C289" i="11"/>
  <c r="E289" i="11" s="1" a="1"/>
  <c r="B289" i="11"/>
  <c r="AC289" i="11" s="1"/>
  <c r="A289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L288" i="11"/>
  <c r="K288" i="11"/>
  <c r="J288" i="11"/>
  <c r="G288" i="11"/>
  <c r="F288" i="11"/>
  <c r="D288" i="11"/>
  <c r="C288" i="11"/>
  <c r="E288" i="11" s="1" a="1"/>
  <c r="B288" i="11"/>
  <c r="AC288" i="11" s="1"/>
  <c r="A288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L287" i="11"/>
  <c r="K287" i="11"/>
  <c r="J287" i="11"/>
  <c r="G287" i="11"/>
  <c r="F287" i="11"/>
  <c r="D287" i="11"/>
  <c r="C287" i="11"/>
  <c r="E287" i="11" s="1" a="1"/>
  <c r="B287" i="11"/>
  <c r="AC287" i="11" s="1"/>
  <c r="A287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L286" i="11"/>
  <c r="K286" i="11"/>
  <c r="J286" i="11"/>
  <c r="G286" i="11"/>
  <c r="F286" i="11"/>
  <c r="D286" i="11"/>
  <c r="C286" i="11"/>
  <c r="E286" i="11" s="1" a="1"/>
  <c r="B286" i="11"/>
  <c r="AC286" i="11" s="1"/>
  <c r="A286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L285" i="11"/>
  <c r="K285" i="11"/>
  <c r="J285" i="11"/>
  <c r="G285" i="11"/>
  <c r="F285" i="11"/>
  <c r="D285" i="11"/>
  <c r="C285" i="11"/>
  <c r="E285" i="11" s="1" a="1"/>
  <c r="B285" i="11"/>
  <c r="AC285" i="11" s="1"/>
  <c r="A285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L284" i="11"/>
  <c r="K284" i="11"/>
  <c r="J284" i="11"/>
  <c r="G284" i="11"/>
  <c r="F284" i="11"/>
  <c r="D284" i="11"/>
  <c r="C284" i="11"/>
  <c r="E284" i="11" s="1" a="1"/>
  <c r="B284" i="11"/>
  <c r="AC284" i="11" s="1"/>
  <c r="A284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L283" i="11"/>
  <c r="K283" i="11"/>
  <c r="J283" i="11"/>
  <c r="G283" i="11"/>
  <c r="F283" i="11"/>
  <c r="D283" i="11"/>
  <c r="C283" i="11"/>
  <c r="E283" i="11" s="1" a="1"/>
  <c r="B283" i="11"/>
  <c r="AC283" i="11" s="1"/>
  <c r="A283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L282" i="11"/>
  <c r="K282" i="11"/>
  <c r="J282" i="11"/>
  <c r="G282" i="11"/>
  <c r="F282" i="11"/>
  <c r="D282" i="11"/>
  <c r="C282" i="11"/>
  <c r="E282" i="11" s="1" a="1"/>
  <c r="B282" i="11"/>
  <c r="AC282" i="11" s="1"/>
  <c r="A282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L281" i="11"/>
  <c r="K281" i="11"/>
  <c r="J281" i="11"/>
  <c r="G281" i="11"/>
  <c r="F281" i="11"/>
  <c r="D281" i="11"/>
  <c r="C281" i="11"/>
  <c r="E281" i="11" s="1" a="1"/>
  <c r="B281" i="11"/>
  <c r="AC281" i="11" s="1"/>
  <c r="A281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L280" i="11"/>
  <c r="K280" i="11"/>
  <c r="J280" i="11"/>
  <c r="G280" i="11"/>
  <c r="F280" i="11"/>
  <c r="D280" i="11"/>
  <c r="C280" i="11"/>
  <c r="E280" i="11" s="1" a="1"/>
  <c r="B280" i="11"/>
  <c r="AC280" i="11" s="1"/>
  <c r="A280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L279" i="11"/>
  <c r="K279" i="11"/>
  <c r="J279" i="11"/>
  <c r="G279" i="11"/>
  <c r="F279" i="11"/>
  <c r="D279" i="11"/>
  <c r="C279" i="11"/>
  <c r="E279" i="11" s="1" a="1"/>
  <c r="B279" i="11"/>
  <c r="AC279" i="11" s="1"/>
  <c r="A279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L278" i="11"/>
  <c r="K278" i="11"/>
  <c r="J278" i="11"/>
  <c r="G278" i="11"/>
  <c r="F278" i="11"/>
  <c r="D278" i="11"/>
  <c r="C278" i="11"/>
  <c r="E278" i="11" s="1" a="1"/>
  <c r="B278" i="11"/>
  <c r="AC278" i="11" s="1"/>
  <c r="A278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L277" i="11"/>
  <c r="K277" i="11"/>
  <c r="J277" i="11"/>
  <c r="G277" i="11"/>
  <c r="F277" i="11"/>
  <c r="D277" i="11"/>
  <c r="C277" i="11"/>
  <c r="E277" i="11" s="1" a="1"/>
  <c r="B277" i="11"/>
  <c r="AC277" i="11" s="1"/>
  <c r="A277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L276" i="11"/>
  <c r="K276" i="11"/>
  <c r="J276" i="11"/>
  <c r="G276" i="11"/>
  <c r="F276" i="11"/>
  <c r="D276" i="11"/>
  <c r="C276" i="11"/>
  <c r="E276" i="11" s="1" a="1"/>
  <c r="B276" i="11"/>
  <c r="AC276" i="11" s="1"/>
  <c r="A276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L275" i="11"/>
  <c r="K275" i="11"/>
  <c r="J275" i="11"/>
  <c r="G275" i="11"/>
  <c r="F275" i="11"/>
  <c r="D275" i="11"/>
  <c r="C275" i="11"/>
  <c r="E275" i="11" s="1" a="1"/>
  <c r="B275" i="11"/>
  <c r="AC275" i="11" s="1"/>
  <c r="A275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L274" i="11"/>
  <c r="K274" i="11"/>
  <c r="J274" i="11"/>
  <c r="G274" i="11"/>
  <c r="F274" i="11"/>
  <c r="D274" i="11"/>
  <c r="C274" i="11"/>
  <c r="E274" i="11" s="1" a="1"/>
  <c r="B274" i="11"/>
  <c r="AC274" i="11" s="1"/>
  <c r="A274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L273" i="11"/>
  <c r="K273" i="11"/>
  <c r="J273" i="11"/>
  <c r="G273" i="11"/>
  <c r="F273" i="11"/>
  <c r="D273" i="11"/>
  <c r="C273" i="11"/>
  <c r="E273" i="11" s="1" a="1"/>
  <c r="B273" i="11"/>
  <c r="AC273" i="11" s="1"/>
  <c r="A273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L272" i="11"/>
  <c r="K272" i="11"/>
  <c r="J272" i="11"/>
  <c r="G272" i="11"/>
  <c r="F272" i="11"/>
  <c r="D272" i="11"/>
  <c r="C272" i="11"/>
  <c r="E272" i="11" s="1" a="1"/>
  <c r="B272" i="11"/>
  <c r="AC272" i="11" s="1"/>
  <c r="A272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L271" i="11"/>
  <c r="K271" i="11"/>
  <c r="J271" i="11"/>
  <c r="G271" i="11"/>
  <c r="F271" i="11"/>
  <c r="D271" i="11"/>
  <c r="C271" i="11"/>
  <c r="E271" i="11" s="1" a="1"/>
  <c r="B271" i="11"/>
  <c r="AC271" i="11" s="1"/>
  <c r="A271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L270" i="11"/>
  <c r="K270" i="11"/>
  <c r="J270" i="11"/>
  <c r="G270" i="11"/>
  <c r="F270" i="11"/>
  <c r="D270" i="11"/>
  <c r="C270" i="11"/>
  <c r="E270" i="11" s="1" a="1"/>
  <c r="B270" i="11"/>
  <c r="AC270" i="11" s="1"/>
  <c r="A270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L269" i="11"/>
  <c r="K269" i="11"/>
  <c r="J269" i="11"/>
  <c r="G269" i="11"/>
  <c r="F269" i="11"/>
  <c r="D269" i="11"/>
  <c r="C269" i="11"/>
  <c r="E269" i="11" s="1" a="1"/>
  <c r="B269" i="11"/>
  <c r="AC269" i="11" s="1"/>
  <c r="A269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L268" i="11"/>
  <c r="K268" i="11"/>
  <c r="J268" i="11"/>
  <c r="G268" i="11"/>
  <c r="F268" i="11"/>
  <c r="D268" i="11"/>
  <c r="C268" i="11"/>
  <c r="E268" i="11" s="1" a="1"/>
  <c r="B268" i="11"/>
  <c r="AC268" i="11" s="1"/>
  <c r="A268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L267" i="11"/>
  <c r="K267" i="11"/>
  <c r="J267" i="11"/>
  <c r="G267" i="11"/>
  <c r="F267" i="11"/>
  <c r="D267" i="11"/>
  <c r="C267" i="11"/>
  <c r="E267" i="11" s="1" a="1"/>
  <c r="B267" i="11"/>
  <c r="AC267" i="11" s="1"/>
  <c r="A267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L266" i="11"/>
  <c r="K266" i="11"/>
  <c r="J266" i="11"/>
  <c r="G266" i="11"/>
  <c r="F266" i="11"/>
  <c r="D266" i="11"/>
  <c r="C266" i="11"/>
  <c r="E266" i="11" s="1" a="1"/>
  <c r="B266" i="11"/>
  <c r="AC266" i="11" s="1"/>
  <c r="A266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L265" i="11"/>
  <c r="K265" i="11"/>
  <c r="J265" i="11"/>
  <c r="G265" i="11"/>
  <c r="F265" i="11"/>
  <c r="D265" i="11"/>
  <c r="C265" i="11"/>
  <c r="E265" i="11" s="1" a="1"/>
  <c r="B265" i="11"/>
  <c r="AC265" i="11" s="1"/>
  <c r="A265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L264" i="11"/>
  <c r="K264" i="11"/>
  <c r="J264" i="11"/>
  <c r="G264" i="11"/>
  <c r="F264" i="11"/>
  <c r="D264" i="11"/>
  <c r="C264" i="11"/>
  <c r="E264" i="11" s="1" a="1"/>
  <c r="B264" i="11"/>
  <c r="AC264" i="11" s="1"/>
  <c r="A264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L263" i="11"/>
  <c r="K263" i="11"/>
  <c r="J263" i="11"/>
  <c r="G263" i="11"/>
  <c r="F263" i="11"/>
  <c r="D263" i="11"/>
  <c r="C263" i="11"/>
  <c r="E263" i="11" s="1" a="1"/>
  <c r="B263" i="11"/>
  <c r="AC263" i="11" s="1"/>
  <c r="A263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L262" i="11"/>
  <c r="K262" i="11"/>
  <c r="J262" i="11"/>
  <c r="G262" i="11"/>
  <c r="F262" i="11"/>
  <c r="D262" i="11"/>
  <c r="C262" i="11"/>
  <c r="E262" i="11" s="1" a="1"/>
  <c r="B262" i="11"/>
  <c r="AC262" i="11" s="1"/>
  <c r="A262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L261" i="11"/>
  <c r="K261" i="11"/>
  <c r="J261" i="11"/>
  <c r="G261" i="11"/>
  <c r="F261" i="11"/>
  <c r="D261" i="11"/>
  <c r="C261" i="11"/>
  <c r="E261" i="11" s="1" a="1"/>
  <c r="B261" i="11"/>
  <c r="AC261" i="11" s="1"/>
  <c r="A261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L260" i="11"/>
  <c r="K260" i="11"/>
  <c r="J260" i="11"/>
  <c r="G260" i="11"/>
  <c r="F260" i="11"/>
  <c r="D260" i="11"/>
  <c r="C260" i="11"/>
  <c r="E260" i="11" s="1" a="1"/>
  <c r="B260" i="11"/>
  <c r="AC260" i="11" s="1"/>
  <c r="A260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L259" i="11"/>
  <c r="K259" i="11"/>
  <c r="J259" i="11"/>
  <c r="G259" i="11"/>
  <c r="F259" i="11"/>
  <c r="D259" i="11"/>
  <c r="C259" i="11"/>
  <c r="E259" i="11" s="1" a="1"/>
  <c r="B259" i="11"/>
  <c r="AC259" i="11" s="1"/>
  <c r="A259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L258" i="11"/>
  <c r="K258" i="11"/>
  <c r="J258" i="11"/>
  <c r="G258" i="11"/>
  <c r="F258" i="11"/>
  <c r="D258" i="11"/>
  <c r="C258" i="11"/>
  <c r="E258" i="11" s="1" a="1"/>
  <c r="B258" i="11"/>
  <c r="AC258" i="11" s="1"/>
  <c r="A258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L257" i="11"/>
  <c r="K257" i="11"/>
  <c r="J257" i="11"/>
  <c r="G257" i="11"/>
  <c r="F257" i="11"/>
  <c r="D257" i="11"/>
  <c r="C257" i="11"/>
  <c r="E257" i="11" s="1" a="1"/>
  <c r="B257" i="11"/>
  <c r="AC257" i="11" s="1"/>
  <c r="A257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L256" i="11"/>
  <c r="K256" i="11"/>
  <c r="J256" i="11"/>
  <c r="G256" i="11"/>
  <c r="F256" i="11"/>
  <c r="D256" i="11"/>
  <c r="C256" i="11"/>
  <c r="E256" i="11" s="1" a="1"/>
  <c r="B256" i="11"/>
  <c r="AC256" i="11" s="1"/>
  <c r="A256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L255" i="11"/>
  <c r="K255" i="11"/>
  <c r="J255" i="11"/>
  <c r="G255" i="11"/>
  <c r="F255" i="11"/>
  <c r="D255" i="11"/>
  <c r="C255" i="11"/>
  <c r="E255" i="11" s="1" a="1"/>
  <c r="B255" i="11"/>
  <c r="AC255" i="11" s="1"/>
  <c r="A255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L254" i="11"/>
  <c r="K254" i="11"/>
  <c r="J254" i="11"/>
  <c r="G254" i="11"/>
  <c r="F254" i="11"/>
  <c r="D254" i="11"/>
  <c r="C254" i="11"/>
  <c r="E254" i="11" s="1" a="1"/>
  <c r="B254" i="11"/>
  <c r="AC254" i="11" s="1"/>
  <c r="A254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L253" i="11"/>
  <c r="K253" i="11"/>
  <c r="J253" i="11"/>
  <c r="G253" i="11"/>
  <c r="F253" i="11"/>
  <c r="D253" i="11"/>
  <c r="C253" i="11"/>
  <c r="E253" i="11" s="1" a="1"/>
  <c r="B253" i="11"/>
  <c r="AC253" i="11" s="1"/>
  <c r="A253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L252" i="11"/>
  <c r="K252" i="11"/>
  <c r="J252" i="11"/>
  <c r="G252" i="11"/>
  <c r="F252" i="11"/>
  <c r="D252" i="11"/>
  <c r="C252" i="11"/>
  <c r="E252" i="11" s="1" a="1"/>
  <c r="B252" i="11"/>
  <c r="AC252" i="11" s="1"/>
  <c r="A252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L251" i="11"/>
  <c r="K251" i="11"/>
  <c r="J251" i="11"/>
  <c r="G251" i="11"/>
  <c r="F251" i="11"/>
  <c r="D251" i="11"/>
  <c r="C251" i="11"/>
  <c r="E251" i="11" s="1" a="1"/>
  <c r="B251" i="11"/>
  <c r="AC251" i="11" s="1"/>
  <c r="A251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L250" i="11"/>
  <c r="K250" i="11"/>
  <c r="J250" i="11"/>
  <c r="G250" i="11"/>
  <c r="F250" i="11"/>
  <c r="D250" i="11"/>
  <c r="C250" i="11"/>
  <c r="E250" i="11" s="1" a="1"/>
  <c r="B250" i="11"/>
  <c r="AC250" i="11" s="1"/>
  <c r="A250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L249" i="11"/>
  <c r="K249" i="11"/>
  <c r="J249" i="11"/>
  <c r="G249" i="11"/>
  <c r="F249" i="11"/>
  <c r="D249" i="11"/>
  <c r="C249" i="11"/>
  <c r="E249" i="11" s="1" a="1"/>
  <c r="B249" i="11"/>
  <c r="AC249" i="11" s="1"/>
  <c r="A249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L248" i="11"/>
  <c r="K248" i="11"/>
  <c r="J248" i="11"/>
  <c r="G248" i="11"/>
  <c r="F248" i="11"/>
  <c r="D248" i="11"/>
  <c r="C248" i="11"/>
  <c r="E248" i="11" s="1" a="1"/>
  <c r="B248" i="11"/>
  <c r="AC248" i="11" s="1"/>
  <c r="A248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L247" i="11"/>
  <c r="K247" i="11"/>
  <c r="J247" i="11"/>
  <c r="G247" i="11"/>
  <c r="F247" i="11"/>
  <c r="D247" i="11"/>
  <c r="C247" i="11"/>
  <c r="E247" i="11" s="1" a="1"/>
  <c r="B247" i="11"/>
  <c r="AC247" i="11" s="1"/>
  <c r="A247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L246" i="11"/>
  <c r="K246" i="11"/>
  <c r="J246" i="11"/>
  <c r="G246" i="11"/>
  <c r="F246" i="11"/>
  <c r="D246" i="11"/>
  <c r="C246" i="11"/>
  <c r="E246" i="11" s="1" a="1"/>
  <c r="B246" i="11"/>
  <c r="AC246" i="11" s="1"/>
  <c r="A246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L245" i="11"/>
  <c r="K245" i="11"/>
  <c r="J245" i="11"/>
  <c r="G245" i="11"/>
  <c r="F245" i="11"/>
  <c r="D245" i="11"/>
  <c r="C245" i="11"/>
  <c r="E245" i="11" s="1" a="1"/>
  <c r="B245" i="11"/>
  <c r="AC245" i="11" s="1"/>
  <c r="A245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L244" i="11"/>
  <c r="K244" i="11"/>
  <c r="J244" i="11"/>
  <c r="G244" i="11"/>
  <c r="F244" i="11"/>
  <c r="D244" i="11"/>
  <c r="C244" i="11"/>
  <c r="E244" i="11" s="1" a="1"/>
  <c r="B244" i="11"/>
  <c r="AC244" i="11" s="1"/>
  <c r="A244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L243" i="11"/>
  <c r="K243" i="11"/>
  <c r="J243" i="11"/>
  <c r="G243" i="11"/>
  <c r="F243" i="11"/>
  <c r="D243" i="11"/>
  <c r="C243" i="11"/>
  <c r="E243" i="11" s="1" a="1"/>
  <c r="B243" i="11"/>
  <c r="AC243" i="11" s="1"/>
  <c r="A243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L242" i="11"/>
  <c r="K242" i="11"/>
  <c r="J242" i="11"/>
  <c r="G242" i="11"/>
  <c r="F242" i="11"/>
  <c r="D242" i="11"/>
  <c r="C242" i="11"/>
  <c r="E242" i="11" s="1" a="1"/>
  <c r="B242" i="11"/>
  <c r="AC242" i="11" s="1"/>
  <c r="A242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L241" i="11"/>
  <c r="K241" i="11"/>
  <c r="J241" i="11"/>
  <c r="G241" i="11"/>
  <c r="F241" i="11"/>
  <c r="D241" i="11"/>
  <c r="C241" i="11"/>
  <c r="E241" i="11" s="1" a="1"/>
  <c r="B241" i="11"/>
  <c r="AC241" i="11" s="1"/>
  <c r="A241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L240" i="11"/>
  <c r="K240" i="11"/>
  <c r="J240" i="11"/>
  <c r="G240" i="11"/>
  <c r="F240" i="11"/>
  <c r="D240" i="11"/>
  <c r="C240" i="11"/>
  <c r="E240" i="11" s="1" a="1"/>
  <c r="B240" i="11"/>
  <c r="AC240" i="11" s="1"/>
  <c r="A240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L239" i="11"/>
  <c r="K239" i="11"/>
  <c r="J239" i="11"/>
  <c r="G239" i="11"/>
  <c r="F239" i="11"/>
  <c r="D239" i="11"/>
  <c r="C239" i="11"/>
  <c r="E239" i="11" s="1" a="1"/>
  <c r="B239" i="11"/>
  <c r="AC239" i="11" s="1"/>
  <c r="A239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L238" i="11"/>
  <c r="K238" i="11"/>
  <c r="J238" i="11"/>
  <c r="G238" i="11"/>
  <c r="F238" i="11"/>
  <c r="D238" i="11"/>
  <c r="C238" i="11"/>
  <c r="E238" i="11" s="1" a="1"/>
  <c r="B238" i="11"/>
  <c r="AC238" i="11" s="1"/>
  <c r="A238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L237" i="11"/>
  <c r="K237" i="11"/>
  <c r="J237" i="11"/>
  <c r="G237" i="11"/>
  <c r="F237" i="11"/>
  <c r="D237" i="11"/>
  <c r="C237" i="11"/>
  <c r="E237" i="11" s="1" a="1"/>
  <c r="B237" i="11"/>
  <c r="AC237" i="11" s="1"/>
  <c r="A237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L236" i="11"/>
  <c r="K236" i="11"/>
  <c r="J236" i="11"/>
  <c r="G236" i="11"/>
  <c r="F236" i="11"/>
  <c r="D236" i="11"/>
  <c r="C236" i="11"/>
  <c r="E236" i="11" s="1" a="1"/>
  <c r="B236" i="11"/>
  <c r="AC236" i="11" s="1"/>
  <c r="A236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L235" i="11"/>
  <c r="K235" i="11"/>
  <c r="J235" i="11"/>
  <c r="G235" i="11"/>
  <c r="F235" i="11"/>
  <c r="D235" i="11"/>
  <c r="C235" i="11"/>
  <c r="E235" i="11" s="1" a="1"/>
  <c r="B235" i="11"/>
  <c r="AC235" i="11" s="1"/>
  <c r="A235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L234" i="11"/>
  <c r="K234" i="11"/>
  <c r="J234" i="11"/>
  <c r="G234" i="11"/>
  <c r="F234" i="11"/>
  <c r="D234" i="11"/>
  <c r="C234" i="11"/>
  <c r="E234" i="11" s="1" a="1"/>
  <c r="B234" i="11"/>
  <c r="AC234" i="11" s="1"/>
  <c r="A234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L233" i="11"/>
  <c r="K233" i="11"/>
  <c r="J233" i="11"/>
  <c r="G233" i="11"/>
  <c r="F233" i="11"/>
  <c r="D233" i="11"/>
  <c r="C233" i="11"/>
  <c r="E233" i="11" s="1" a="1"/>
  <c r="B233" i="11"/>
  <c r="AC233" i="11" s="1"/>
  <c r="A233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L232" i="11"/>
  <c r="K232" i="11"/>
  <c r="J232" i="11"/>
  <c r="G232" i="11"/>
  <c r="F232" i="11"/>
  <c r="D232" i="11"/>
  <c r="C232" i="11"/>
  <c r="E232" i="11" s="1" a="1"/>
  <c r="B232" i="11"/>
  <c r="AC232" i="11" s="1"/>
  <c r="A232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L231" i="11"/>
  <c r="K231" i="11"/>
  <c r="J231" i="11"/>
  <c r="G231" i="11"/>
  <c r="F231" i="11"/>
  <c r="D231" i="11"/>
  <c r="C231" i="11"/>
  <c r="E231" i="11" s="1" a="1"/>
  <c r="B231" i="11"/>
  <c r="AC231" i="11" s="1"/>
  <c r="A231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L230" i="11"/>
  <c r="K230" i="11"/>
  <c r="J230" i="11"/>
  <c r="G230" i="11"/>
  <c r="F230" i="11"/>
  <c r="D230" i="11"/>
  <c r="C230" i="11"/>
  <c r="E230" i="11" s="1" a="1"/>
  <c r="B230" i="11"/>
  <c r="AC230" i="11" s="1"/>
  <c r="A230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L229" i="11"/>
  <c r="K229" i="11"/>
  <c r="J229" i="11"/>
  <c r="G229" i="11"/>
  <c r="F229" i="11"/>
  <c r="D229" i="11"/>
  <c r="C229" i="11"/>
  <c r="E229" i="11" s="1" a="1"/>
  <c r="B229" i="11"/>
  <c r="AC229" i="11" s="1"/>
  <c r="A229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L228" i="11"/>
  <c r="K228" i="11"/>
  <c r="J228" i="11"/>
  <c r="G228" i="11"/>
  <c r="F228" i="11"/>
  <c r="D228" i="11"/>
  <c r="C228" i="11"/>
  <c r="E228" i="11" s="1" a="1"/>
  <c r="B228" i="11"/>
  <c r="AC228" i="11" s="1"/>
  <c r="A228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L227" i="11"/>
  <c r="K227" i="11"/>
  <c r="J227" i="11"/>
  <c r="G227" i="11"/>
  <c r="F227" i="11"/>
  <c r="D227" i="11"/>
  <c r="C227" i="11"/>
  <c r="E227" i="11" s="1" a="1"/>
  <c r="B227" i="11"/>
  <c r="AC227" i="11" s="1"/>
  <c r="A227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L226" i="11"/>
  <c r="K226" i="11"/>
  <c r="J226" i="11"/>
  <c r="G226" i="11"/>
  <c r="F226" i="11"/>
  <c r="D226" i="11"/>
  <c r="C226" i="11"/>
  <c r="E226" i="11" s="1" a="1"/>
  <c r="B226" i="11"/>
  <c r="AC226" i="11" s="1"/>
  <c r="A226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L225" i="11"/>
  <c r="K225" i="11"/>
  <c r="J225" i="11"/>
  <c r="G225" i="11"/>
  <c r="F225" i="11"/>
  <c r="D225" i="11"/>
  <c r="C225" i="11"/>
  <c r="E225" i="11" s="1" a="1"/>
  <c r="B225" i="11"/>
  <c r="AC225" i="11" s="1"/>
  <c r="A225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L224" i="11"/>
  <c r="K224" i="11"/>
  <c r="J224" i="11"/>
  <c r="G224" i="11"/>
  <c r="F224" i="11"/>
  <c r="D224" i="11"/>
  <c r="C224" i="11"/>
  <c r="E224" i="11" s="1" a="1"/>
  <c r="B224" i="11"/>
  <c r="AC224" i="11" s="1"/>
  <c r="A224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L223" i="11"/>
  <c r="K223" i="11"/>
  <c r="J223" i="11"/>
  <c r="G223" i="11"/>
  <c r="F223" i="11"/>
  <c r="D223" i="11"/>
  <c r="C223" i="11"/>
  <c r="E223" i="11" s="1" a="1"/>
  <c r="B223" i="11"/>
  <c r="AC223" i="11" s="1"/>
  <c r="A223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L222" i="11"/>
  <c r="K222" i="11"/>
  <c r="J222" i="11"/>
  <c r="G222" i="11"/>
  <c r="F222" i="11"/>
  <c r="D222" i="11"/>
  <c r="C222" i="11"/>
  <c r="E222" i="11" s="1" a="1"/>
  <c r="B222" i="11"/>
  <c r="AC222" i="11" s="1"/>
  <c r="A222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L221" i="11"/>
  <c r="K221" i="11"/>
  <c r="J221" i="11"/>
  <c r="G221" i="11"/>
  <c r="F221" i="11"/>
  <c r="D221" i="11"/>
  <c r="C221" i="11"/>
  <c r="E221" i="11" s="1" a="1"/>
  <c r="B221" i="11"/>
  <c r="AC221" i="11" s="1"/>
  <c r="A221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L220" i="11"/>
  <c r="K220" i="11"/>
  <c r="J220" i="11"/>
  <c r="G220" i="11"/>
  <c r="F220" i="11"/>
  <c r="D220" i="11"/>
  <c r="C220" i="11"/>
  <c r="E220" i="11" s="1" a="1"/>
  <c r="B220" i="11"/>
  <c r="AC220" i="11" s="1"/>
  <c r="A220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L219" i="11"/>
  <c r="K219" i="11"/>
  <c r="J219" i="11"/>
  <c r="G219" i="11"/>
  <c r="F219" i="11"/>
  <c r="D219" i="11"/>
  <c r="C219" i="11"/>
  <c r="E219" i="11" s="1" a="1"/>
  <c r="B219" i="11"/>
  <c r="AC219" i="11" s="1"/>
  <c r="A219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L218" i="11"/>
  <c r="K218" i="11"/>
  <c r="J218" i="11"/>
  <c r="G218" i="11"/>
  <c r="F218" i="11"/>
  <c r="D218" i="11"/>
  <c r="C218" i="11"/>
  <c r="E218" i="11" s="1" a="1"/>
  <c r="B218" i="11"/>
  <c r="AC218" i="11" s="1"/>
  <c r="A218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L217" i="11"/>
  <c r="K217" i="11"/>
  <c r="J217" i="11"/>
  <c r="G217" i="11"/>
  <c r="F217" i="11"/>
  <c r="D217" i="11"/>
  <c r="C217" i="11"/>
  <c r="E217" i="11" s="1" a="1"/>
  <c r="B217" i="11"/>
  <c r="AC217" i="11" s="1"/>
  <c r="A217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L216" i="11"/>
  <c r="K216" i="11"/>
  <c r="J216" i="11"/>
  <c r="G216" i="11"/>
  <c r="F216" i="11"/>
  <c r="D216" i="11"/>
  <c r="C216" i="11"/>
  <c r="E216" i="11" s="1" a="1"/>
  <c r="B216" i="11"/>
  <c r="AC216" i="11" s="1"/>
  <c r="A216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L215" i="11"/>
  <c r="K215" i="11"/>
  <c r="J215" i="11"/>
  <c r="G215" i="11"/>
  <c r="F215" i="11"/>
  <c r="D215" i="11"/>
  <c r="C215" i="11"/>
  <c r="E215" i="11" s="1" a="1"/>
  <c r="B215" i="11"/>
  <c r="AC215" i="11" s="1"/>
  <c r="A215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L214" i="11"/>
  <c r="K214" i="11"/>
  <c r="J214" i="11"/>
  <c r="G214" i="11"/>
  <c r="F214" i="11"/>
  <c r="D214" i="11"/>
  <c r="C214" i="11"/>
  <c r="E214" i="11" s="1" a="1"/>
  <c r="B214" i="11"/>
  <c r="AC214" i="11" s="1"/>
  <c r="A214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L213" i="11"/>
  <c r="K213" i="11"/>
  <c r="J213" i="11"/>
  <c r="G213" i="11"/>
  <c r="F213" i="11"/>
  <c r="D213" i="11"/>
  <c r="C213" i="11"/>
  <c r="E213" i="11" s="1" a="1"/>
  <c r="B213" i="11"/>
  <c r="AC213" i="11" s="1"/>
  <c r="A213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L212" i="11"/>
  <c r="K212" i="11"/>
  <c r="J212" i="11"/>
  <c r="G212" i="11"/>
  <c r="F212" i="11"/>
  <c r="D212" i="11"/>
  <c r="C212" i="11"/>
  <c r="E212" i="11" s="1" a="1"/>
  <c r="B212" i="11"/>
  <c r="AC212" i="11" s="1"/>
  <c r="A212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L211" i="11"/>
  <c r="K211" i="11"/>
  <c r="J211" i="11"/>
  <c r="G211" i="11"/>
  <c r="F211" i="11"/>
  <c r="D211" i="11"/>
  <c r="C211" i="11"/>
  <c r="E211" i="11" s="1" a="1"/>
  <c r="B211" i="11"/>
  <c r="AC211" i="11" s="1"/>
  <c r="A211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L210" i="11"/>
  <c r="K210" i="11"/>
  <c r="J210" i="11"/>
  <c r="G210" i="11"/>
  <c r="F210" i="11"/>
  <c r="D210" i="11"/>
  <c r="C210" i="11"/>
  <c r="E210" i="11" s="1" a="1"/>
  <c r="B210" i="11"/>
  <c r="AC210" i="11" s="1"/>
  <c r="A210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L209" i="11"/>
  <c r="K209" i="11"/>
  <c r="J209" i="11"/>
  <c r="G209" i="11"/>
  <c r="F209" i="11"/>
  <c r="D209" i="11"/>
  <c r="C209" i="11"/>
  <c r="E209" i="11" s="1" a="1"/>
  <c r="B209" i="11"/>
  <c r="AC209" i="11" s="1"/>
  <c r="A209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L208" i="11"/>
  <c r="K208" i="11"/>
  <c r="J208" i="11"/>
  <c r="G208" i="11"/>
  <c r="F208" i="11"/>
  <c r="D208" i="11"/>
  <c r="C208" i="11"/>
  <c r="E208" i="11" s="1" a="1"/>
  <c r="B208" i="11"/>
  <c r="AC208" i="11" s="1"/>
  <c r="A208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L207" i="11"/>
  <c r="K207" i="11"/>
  <c r="J207" i="11"/>
  <c r="G207" i="11"/>
  <c r="F207" i="11"/>
  <c r="D207" i="11"/>
  <c r="C207" i="11"/>
  <c r="E207" i="11" s="1" a="1"/>
  <c r="B207" i="11"/>
  <c r="AC207" i="11" s="1"/>
  <c r="A207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L206" i="11"/>
  <c r="K206" i="11"/>
  <c r="J206" i="11"/>
  <c r="G206" i="11"/>
  <c r="F206" i="11"/>
  <c r="D206" i="11"/>
  <c r="C206" i="11"/>
  <c r="E206" i="11" s="1" a="1"/>
  <c r="B206" i="11"/>
  <c r="AC206" i="11" s="1"/>
  <c r="A206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L205" i="11"/>
  <c r="K205" i="11"/>
  <c r="J205" i="11"/>
  <c r="G205" i="11"/>
  <c r="F205" i="11"/>
  <c r="D205" i="11"/>
  <c r="C205" i="11"/>
  <c r="E205" i="11" s="1" a="1"/>
  <c r="B205" i="11"/>
  <c r="AC205" i="11" s="1"/>
  <c r="A205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L204" i="11"/>
  <c r="K204" i="11"/>
  <c r="J204" i="11"/>
  <c r="G204" i="11"/>
  <c r="F204" i="11"/>
  <c r="D204" i="11"/>
  <c r="C204" i="11"/>
  <c r="E204" i="11" s="1" a="1"/>
  <c r="B204" i="11"/>
  <c r="AC204" i="11" s="1"/>
  <c r="A204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L203" i="11"/>
  <c r="K203" i="11"/>
  <c r="J203" i="11"/>
  <c r="G203" i="11"/>
  <c r="F203" i="11"/>
  <c r="D203" i="11"/>
  <c r="C203" i="11"/>
  <c r="E203" i="11" s="1" a="1"/>
  <c r="B203" i="11"/>
  <c r="AC203" i="11" s="1"/>
  <c r="A203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L202" i="11"/>
  <c r="K202" i="11"/>
  <c r="J202" i="11"/>
  <c r="G202" i="11"/>
  <c r="F202" i="11"/>
  <c r="D202" i="11"/>
  <c r="C202" i="11"/>
  <c r="E202" i="11" s="1" a="1"/>
  <c r="B202" i="11"/>
  <c r="AC202" i="11" s="1"/>
  <c r="A202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L201" i="11"/>
  <c r="K201" i="11"/>
  <c r="J201" i="11"/>
  <c r="G201" i="11"/>
  <c r="F201" i="11"/>
  <c r="D201" i="11"/>
  <c r="C201" i="11"/>
  <c r="E201" i="11" s="1" a="1"/>
  <c r="B201" i="11"/>
  <c r="AC201" i="11" s="1"/>
  <c r="A201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L200" i="11"/>
  <c r="K200" i="11"/>
  <c r="J200" i="11"/>
  <c r="G200" i="11"/>
  <c r="F200" i="11"/>
  <c r="D200" i="11"/>
  <c r="C200" i="11"/>
  <c r="E200" i="11" s="1" a="1"/>
  <c r="B200" i="11"/>
  <c r="AC200" i="11" s="1"/>
  <c r="A200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L199" i="11"/>
  <c r="K199" i="11"/>
  <c r="J199" i="11"/>
  <c r="G199" i="11"/>
  <c r="F199" i="11"/>
  <c r="D199" i="11"/>
  <c r="C199" i="11"/>
  <c r="E199" i="11" s="1" a="1"/>
  <c r="B199" i="11"/>
  <c r="AC199" i="11" s="1"/>
  <c r="A199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L198" i="11"/>
  <c r="K198" i="11"/>
  <c r="J198" i="11"/>
  <c r="G198" i="11"/>
  <c r="F198" i="11"/>
  <c r="D198" i="11"/>
  <c r="C198" i="11"/>
  <c r="E198" i="11" s="1" a="1"/>
  <c r="B198" i="11"/>
  <c r="AC198" i="11" s="1"/>
  <c r="A198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L197" i="11"/>
  <c r="K197" i="11"/>
  <c r="J197" i="11"/>
  <c r="G197" i="11"/>
  <c r="F197" i="11"/>
  <c r="D197" i="11"/>
  <c r="C197" i="11"/>
  <c r="E197" i="11" s="1" a="1"/>
  <c r="B197" i="11"/>
  <c r="AC197" i="11" s="1"/>
  <c r="A197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L196" i="11"/>
  <c r="K196" i="11"/>
  <c r="J196" i="11"/>
  <c r="G196" i="11"/>
  <c r="F196" i="11"/>
  <c r="D196" i="11"/>
  <c r="C196" i="11"/>
  <c r="E196" i="11" s="1" a="1"/>
  <c r="B196" i="11"/>
  <c r="AC196" i="11" s="1"/>
  <c r="A196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L195" i="11"/>
  <c r="K195" i="11"/>
  <c r="J195" i="11"/>
  <c r="G195" i="11"/>
  <c r="F195" i="11"/>
  <c r="D195" i="11"/>
  <c r="C195" i="11"/>
  <c r="E195" i="11" s="1" a="1"/>
  <c r="B195" i="11"/>
  <c r="AC195" i="11" s="1"/>
  <c r="A195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L194" i="11"/>
  <c r="K194" i="11"/>
  <c r="J194" i="11"/>
  <c r="G194" i="11"/>
  <c r="F194" i="11"/>
  <c r="D194" i="11"/>
  <c r="C194" i="11"/>
  <c r="E194" i="11" s="1" a="1"/>
  <c r="B194" i="11"/>
  <c r="AC194" i="11" s="1"/>
  <c r="A194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L193" i="11"/>
  <c r="K193" i="11"/>
  <c r="J193" i="11"/>
  <c r="G193" i="11"/>
  <c r="F193" i="11"/>
  <c r="D193" i="11"/>
  <c r="C193" i="11"/>
  <c r="E193" i="11" s="1" a="1"/>
  <c r="B193" i="11"/>
  <c r="AC193" i="11" s="1"/>
  <c r="A193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L192" i="11"/>
  <c r="K192" i="11"/>
  <c r="J192" i="11"/>
  <c r="G192" i="11"/>
  <c r="F192" i="11"/>
  <c r="D192" i="11"/>
  <c r="C192" i="11"/>
  <c r="E192" i="11" s="1" a="1"/>
  <c r="B192" i="11"/>
  <c r="AC192" i="11" s="1"/>
  <c r="A192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L191" i="11"/>
  <c r="K191" i="11"/>
  <c r="J191" i="11"/>
  <c r="G191" i="11"/>
  <c r="F191" i="11"/>
  <c r="D191" i="11"/>
  <c r="C191" i="11"/>
  <c r="E191" i="11" s="1" a="1"/>
  <c r="B191" i="11"/>
  <c r="AC191" i="11" s="1"/>
  <c r="A191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L190" i="11"/>
  <c r="K190" i="11"/>
  <c r="J190" i="11"/>
  <c r="G190" i="11"/>
  <c r="F190" i="11"/>
  <c r="D190" i="11"/>
  <c r="C190" i="11"/>
  <c r="E190" i="11" s="1" a="1"/>
  <c r="B190" i="11"/>
  <c r="AC190" i="11" s="1"/>
  <c r="A190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L189" i="11"/>
  <c r="K189" i="11"/>
  <c r="J189" i="11"/>
  <c r="G189" i="11"/>
  <c r="F189" i="11"/>
  <c r="D189" i="11"/>
  <c r="C189" i="11"/>
  <c r="E189" i="11" s="1" a="1"/>
  <c r="B189" i="11"/>
  <c r="AC189" i="11" s="1"/>
  <c r="A189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L188" i="11"/>
  <c r="K188" i="11"/>
  <c r="J188" i="11"/>
  <c r="G188" i="11"/>
  <c r="F188" i="11"/>
  <c r="D188" i="11"/>
  <c r="C188" i="11"/>
  <c r="E188" i="11" s="1" a="1"/>
  <c r="B188" i="11"/>
  <c r="AC188" i="11" s="1"/>
  <c r="A188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L187" i="11"/>
  <c r="K187" i="11"/>
  <c r="J187" i="11"/>
  <c r="G187" i="11"/>
  <c r="F187" i="11"/>
  <c r="D187" i="11"/>
  <c r="C187" i="11"/>
  <c r="E187" i="11" s="1" a="1"/>
  <c r="B187" i="11"/>
  <c r="AC187" i="11" s="1"/>
  <c r="A187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L186" i="11"/>
  <c r="K186" i="11"/>
  <c r="J186" i="11"/>
  <c r="G186" i="11"/>
  <c r="F186" i="11"/>
  <c r="D186" i="11"/>
  <c r="C186" i="11"/>
  <c r="E186" i="11" s="1" a="1"/>
  <c r="B186" i="11"/>
  <c r="AC186" i="11" s="1"/>
  <c r="A186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L185" i="11"/>
  <c r="K185" i="11"/>
  <c r="J185" i="11"/>
  <c r="G185" i="11"/>
  <c r="F185" i="11"/>
  <c r="D185" i="11"/>
  <c r="C185" i="11"/>
  <c r="E185" i="11" s="1" a="1"/>
  <c r="B185" i="11"/>
  <c r="AC185" i="11" s="1"/>
  <c r="A185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L184" i="11"/>
  <c r="K184" i="11"/>
  <c r="J184" i="11"/>
  <c r="G184" i="11"/>
  <c r="F184" i="11"/>
  <c r="D184" i="11"/>
  <c r="C184" i="11"/>
  <c r="E184" i="11" s="1" a="1"/>
  <c r="B184" i="11"/>
  <c r="AC184" i="11" s="1"/>
  <c r="A184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L183" i="11"/>
  <c r="K183" i="11"/>
  <c r="J183" i="11"/>
  <c r="G183" i="11"/>
  <c r="F183" i="11"/>
  <c r="D183" i="11"/>
  <c r="C183" i="11"/>
  <c r="E183" i="11" s="1" a="1"/>
  <c r="B183" i="11"/>
  <c r="AC183" i="11" s="1"/>
  <c r="A183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L182" i="11"/>
  <c r="K182" i="11"/>
  <c r="J182" i="11"/>
  <c r="G182" i="11"/>
  <c r="F182" i="11"/>
  <c r="D182" i="11"/>
  <c r="C182" i="11"/>
  <c r="E182" i="11" s="1" a="1"/>
  <c r="B182" i="11"/>
  <c r="AC182" i="11" s="1"/>
  <c r="A182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L181" i="11"/>
  <c r="K181" i="11"/>
  <c r="J181" i="11"/>
  <c r="G181" i="11"/>
  <c r="F181" i="11"/>
  <c r="D181" i="11"/>
  <c r="C181" i="11"/>
  <c r="E181" i="11" s="1" a="1"/>
  <c r="B181" i="11"/>
  <c r="AC181" i="11" s="1"/>
  <c r="A181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L180" i="11"/>
  <c r="K180" i="11"/>
  <c r="J180" i="11"/>
  <c r="G180" i="11"/>
  <c r="F180" i="11"/>
  <c r="D180" i="11"/>
  <c r="C180" i="11"/>
  <c r="E180" i="11" s="1" a="1"/>
  <c r="B180" i="11"/>
  <c r="AC180" i="11" s="1"/>
  <c r="A180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L179" i="11"/>
  <c r="K179" i="11"/>
  <c r="J179" i="11"/>
  <c r="G179" i="11"/>
  <c r="F179" i="11"/>
  <c r="D179" i="11"/>
  <c r="C179" i="11"/>
  <c r="E179" i="11" s="1" a="1"/>
  <c r="B179" i="11"/>
  <c r="AC179" i="11" s="1"/>
  <c r="A179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L178" i="11"/>
  <c r="K178" i="11"/>
  <c r="J178" i="11"/>
  <c r="G178" i="11"/>
  <c r="F178" i="11"/>
  <c r="D178" i="11"/>
  <c r="C178" i="11"/>
  <c r="E178" i="11" s="1" a="1"/>
  <c r="B178" i="11"/>
  <c r="AC178" i="11" s="1"/>
  <c r="A178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L177" i="11"/>
  <c r="K177" i="11"/>
  <c r="J177" i="11"/>
  <c r="G177" i="11"/>
  <c r="F177" i="11"/>
  <c r="D177" i="11"/>
  <c r="C177" i="11"/>
  <c r="E177" i="11" s="1" a="1"/>
  <c r="B177" i="11"/>
  <c r="AC177" i="11" s="1"/>
  <c r="A177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L176" i="11"/>
  <c r="K176" i="11"/>
  <c r="J176" i="11"/>
  <c r="G176" i="11"/>
  <c r="F176" i="11"/>
  <c r="D176" i="11"/>
  <c r="C176" i="11"/>
  <c r="E176" i="11" s="1" a="1"/>
  <c r="B176" i="11"/>
  <c r="AC176" i="11" s="1"/>
  <c r="A176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L175" i="11"/>
  <c r="K175" i="11"/>
  <c r="J175" i="11"/>
  <c r="G175" i="11"/>
  <c r="F175" i="11"/>
  <c r="D175" i="11"/>
  <c r="C175" i="11"/>
  <c r="E175" i="11" s="1" a="1"/>
  <c r="B175" i="11"/>
  <c r="AC175" i="11" s="1"/>
  <c r="A175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L174" i="11"/>
  <c r="K174" i="11"/>
  <c r="J174" i="11"/>
  <c r="G174" i="11"/>
  <c r="F174" i="11"/>
  <c r="D174" i="11"/>
  <c r="C174" i="11"/>
  <c r="E174" i="11" s="1" a="1"/>
  <c r="B174" i="11"/>
  <c r="AC174" i="11" s="1"/>
  <c r="A174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L173" i="11"/>
  <c r="K173" i="11"/>
  <c r="J173" i="11"/>
  <c r="G173" i="11"/>
  <c r="F173" i="11"/>
  <c r="D173" i="11"/>
  <c r="C173" i="11"/>
  <c r="E173" i="11" s="1" a="1"/>
  <c r="B173" i="11"/>
  <c r="AC173" i="11" s="1"/>
  <c r="A173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L172" i="11"/>
  <c r="K172" i="11"/>
  <c r="J172" i="11"/>
  <c r="G172" i="11"/>
  <c r="F172" i="11"/>
  <c r="D172" i="11"/>
  <c r="C172" i="11"/>
  <c r="E172" i="11" s="1" a="1"/>
  <c r="B172" i="11"/>
  <c r="AC172" i="11" s="1"/>
  <c r="A172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L171" i="11"/>
  <c r="K171" i="11"/>
  <c r="J171" i="11"/>
  <c r="G171" i="11"/>
  <c r="F171" i="11"/>
  <c r="D171" i="11"/>
  <c r="C171" i="11"/>
  <c r="E171" i="11" s="1" a="1"/>
  <c r="B171" i="11"/>
  <c r="AC171" i="11" s="1"/>
  <c r="A171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L170" i="11"/>
  <c r="K170" i="11"/>
  <c r="J170" i="11"/>
  <c r="G170" i="11"/>
  <c r="F170" i="11"/>
  <c r="D170" i="11"/>
  <c r="C170" i="11"/>
  <c r="E170" i="11" s="1" a="1"/>
  <c r="B170" i="11"/>
  <c r="AC170" i="11" s="1"/>
  <c r="A170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L169" i="11"/>
  <c r="K169" i="11"/>
  <c r="J169" i="11"/>
  <c r="G169" i="11"/>
  <c r="F169" i="11"/>
  <c r="D169" i="11"/>
  <c r="C169" i="11"/>
  <c r="E169" i="11" s="1" a="1"/>
  <c r="B169" i="11"/>
  <c r="AC169" i="11" s="1"/>
  <c r="A169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L168" i="11"/>
  <c r="K168" i="11"/>
  <c r="J168" i="11"/>
  <c r="G168" i="11"/>
  <c r="F168" i="11"/>
  <c r="D168" i="11"/>
  <c r="C168" i="11"/>
  <c r="E168" i="11" s="1" a="1"/>
  <c r="B168" i="11"/>
  <c r="AC168" i="11" s="1"/>
  <c r="A168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L167" i="11"/>
  <c r="K167" i="11"/>
  <c r="J167" i="11"/>
  <c r="G167" i="11"/>
  <c r="F167" i="11"/>
  <c r="D167" i="11"/>
  <c r="C167" i="11"/>
  <c r="E167" i="11" s="1" a="1"/>
  <c r="B167" i="11"/>
  <c r="AC167" i="11" s="1"/>
  <c r="A167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L166" i="11"/>
  <c r="K166" i="11"/>
  <c r="J166" i="11"/>
  <c r="G166" i="11"/>
  <c r="F166" i="11"/>
  <c r="D166" i="11"/>
  <c r="C166" i="11"/>
  <c r="E166" i="11" s="1" a="1"/>
  <c r="B166" i="11"/>
  <c r="AC166" i="11" s="1"/>
  <c r="A166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L165" i="11"/>
  <c r="K165" i="11"/>
  <c r="J165" i="11"/>
  <c r="G165" i="11"/>
  <c r="F165" i="11"/>
  <c r="D165" i="11"/>
  <c r="C165" i="11"/>
  <c r="E165" i="11" s="1" a="1"/>
  <c r="B165" i="11"/>
  <c r="AC165" i="11" s="1"/>
  <c r="A165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L164" i="11"/>
  <c r="K164" i="11"/>
  <c r="J164" i="11"/>
  <c r="G164" i="11"/>
  <c r="F164" i="11"/>
  <c r="D164" i="11"/>
  <c r="C164" i="11"/>
  <c r="E164" i="11" s="1" a="1"/>
  <c r="B164" i="11"/>
  <c r="AC164" i="11" s="1"/>
  <c r="A164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L163" i="11"/>
  <c r="K163" i="11"/>
  <c r="J163" i="11"/>
  <c r="G163" i="11"/>
  <c r="F163" i="11"/>
  <c r="D163" i="11"/>
  <c r="C163" i="11"/>
  <c r="E163" i="11" s="1" a="1"/>
  <c r="B163" i="11"/>
  <c r="AC163" i="11" s="1"/>
  <c r="A163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L162" i="11"/>
  <c r="K162" i="11"/>
  <c r="J162" i="11"/>
  <c r="G162" i="11"/>
  <c r="F162" i="11"/>
  <c r="D162" i="11"/>
  <c r="C162" i="11"/>
  <c r="E162" i="11" s="1" a="1"/>
  <c r="B162" i="11"/>
  <c r="AC162" i="11" s="1"/>
  <c r="A162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L161" i="11"/>
  <c r="K161" i="11"/>
  <c r="J161" i="11"/>
  <c r="G161" i="11"/>
  <c r="F161" i="11"/>
  <c r="D161" i="11"/>
  <c r="C161" i="11"/>
  <c r="E161" i="11" s="1" a="1"/>
  <c r="B161" i="11"/>
  <c r="AC161" i="11" s="1"/>
  <c r="A161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L160" i="11"/>
  <c r="K160" i="11"/>
  <c r="J160" i="11"/>
  <c r="G160" i="11"/>
  <c r="F160" i="11"/>
  <c r="D160" i="11"/>
  <c r="C160" i="11"/>
  <c r="E160" i="11" s="1" a="1"/>
  <c r="B160" i="11"/>
  <c r="AC160" i="11" s="1"/>
  <c r="A160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L159" i="11"/>
  <c r="K159" i="11"/>
  <c r="J159" i="11"/>
  <c r="G159" i="11"/>
  <c r="F159" i="11"/>
  <c r="D159" i="11"/>
  <c r="C159" i="11"/>
  <c r="E159" i="11" s="1" a="1"/>
  <c r="B159" i="11"/>
  <c r="AC159" i="11" s="1"/>
  <c r="A159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L158" i="11"/>
  <c r="K158" i="11"/>
  <c r="J158" i="11"/>
  <c r="G158" i="11"/>
  <c r="F158" i="11"/>
  <c r="D158" i="11"/>
  <c r="C158" i="11"/>
  <c r="E158" i="11" s="1" a="1"/>
  <c r="B158" i="11"/>
  <c r="AC158" i="11" s="1"/>
  <c r="A158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L157" i="11"/>
  <c r="K157" i="11"/>
  <c r="J157" i="11"/>
  <c r="G157" i="11"/>
  <c r="F157" i="11"/>
  <c r="D157" i="11"/>
  <c r="C157" i="11"/>
  <c r="E157" i="11" s="1" a="1"/>
  <c r="B157" i="11"/>
  <c r="AC157" i="11" s="1"/>
  <c r="A157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L156" i="11"/>
  <c r="K156" i="11"/>
  <c r="J156" i="11"/>
  <c r="G156" i="11"/>
  <c r="F156" i="11"/>
  <c r="D156" i="11"/>
  <c r="C156" i="11"/>
  <c r="E156" i="11" s="1" a="1"/>
  <c r="B156" i="11"/>
  <c r="AC156" i="11" s="1"/>
  <c r="A156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L155" i="11"/>
  <c r="K155" i="11"/>
  <c r="J155" i="11"/>
  <c r="G155" i="11"/>
  <c r="F155" i="11"/>
  <c r="D155" i="11"/>
  <c r="C155" i="11"/>
  <c r="E155" i="11" s="1" a="1"/>
  <c r="B155" i="11"/>
  <c r="AC155" i="11" s="1"/>
  <c r="A155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L154" i="11"/>
  <c r="K154" i="11"/>
  <c r="J154" i="11"/>
  <c r="G154" i="11"/>
  <c r="F154" i="11"/>
  <c r="D154" i="11"/>
  <c r="C154" i="11"/>
  <c r="E154" i="11" s="1" a="1"/>
  <c r="B154" i="11"/>
  <c r="AC154" i="11" s="1"/>
  <c r="A154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L153" i="11"/>
  <c r="K153" i="11"/>
  <c r="J153" i="11"/>
  <c r="G153" i="11"/>
  <c r="F153" i="11"/>
  <c r="D153" i="11"/>
  <c r="C153" i="11"/>
  <c r="E153" i="11" s="1" a="1"/>
  <c r="B153" i="11"/>
  <c r="AC153" i="11" s="1"/>
  <c r="A153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L152" i="11"/>
  <c r="K152" i="11"/>
  <c r="J152" i="11"/>
  <c r="G152" i="11"/>
  <c r="F152" i="11"/>
  <c r="D152" i="11"/>
  <c r="C152" i="11"/>
  <c r="E152" i="11" s="1" a="1"/>
  <c r="B152" i="11"/>
  <c r="AC152" i="11" s="1"/>
  <c r="A152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L151" i="11"/>
  <c r="K151" i="11"/>
  <c r="J151" i="11"/>
  <c r="G151" i="11"/>
  <c r="F151" i="11"/>
  <c r="D151" i="11"/>
  <c r="C151" i="11"/>
  <c r="E151" i="11" s="1" a="1"/>
  <c r="B151" i="11"/>
  <c r="AC151" i="11" s="1"/>
  <c r="A151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L150" i="11"/>
  <c r="K150" i="11"/>
  <c r="J150" i="11"/>
  <c r="G150" i="11"/>
  <c r="F150" i="11"/>
  <c r="D150" i="11"/>
  <c r="C150" i="11"/>
  <c r="E150" i="11" s="1" a="1"/>
  <c r="B150" i="11"/>
  <c r="AC150" i="11" s="1"/>
  <c r="A150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L149" i="11"/>
  <c r="K149" i="11"/>
  <c r="J149" i="11"/>
  <c r="G149" i="11"/>
  <c r="F149" i="11"/>
  <c r="D149" i="11"/>
  <c r="C149" i="11"/>
  <c r="E149" i="11" s="1" a="1"/>
  <c r="B149" i="11"/>
  <c r="AC149" i="11" s="1"/>
  <c r="A149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L148" i="11"/>
  <c r="K148" i="11"/>
  <c r="J148" i="11"/>
  <c r="G148" i="11"/>
  <c r="F148" i="11"/>
  <c r="D148" i="11"/>
  <c r="C148" i="11"/>
  <c r="E148" i="11" s="1" a="1"/>
  <c r="B148" i="11"/>
  <c r="AC148" i="11" s="1"/>
  <c r="A148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L147" i="11"/>
  <c r="K147" i="11"/>
  <c r="J147" i="11"/>
  <c r="G147" i="11"/>
  <c r="F147" i="11"/>
  <c r="D147" i="11"/>
  <c r="C147" i="11"/>
  <c r="E147" i="11" s="1" a="1"/>
  <c r="B147" i="11"/>
  <c r="AC147" i="11" s="1"/>
  <c r="A147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L146" i="11"/>
  <c r="K146" i="11"/>
  <c r="J146" i="11"/>
  <c r="G146" i="11"/>
  <c r="F146" i="11"/>
  <c r="D146" i="11"/>
  <c r="C146" i="11"/>
  <c r="E146" i="11" s="1" a="1"/>
  <c r="B146" i="11"/>
  <c r="AC146" i="11" s="1"/>
  <c r="A146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L145" i="11"/>
  <c r="K145" i="11"/>
  <c r="J145" i="11"/>
  <c r="G145" i="11"/>
  <c r="F145" i="11"/>
  <c r="D145" i="11"/>
  <c r="C145" i="11"/>
  <c r="E145" i="11" s="1" a="1"/>
  <c r="B145" i="11"/>
  <c r="AC145" i="11" s="1"/>
  <c r="A145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L144" i="11"/>
  <c r="K144" i="11"/>
  <c r="J144" i="11"/>
  <c r="G144" i="11"/>
  <c r="F144" i="11"/>
  <c r="D144" i="11"/>
  <c r="C144" i="11"/>
  <c r="E144" i="11" s="1" a="1"/>
  <c r="B144" i="11"/>
  <c r="AC144" i="11" s="1"/>
  <c r="A144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L143" i="11"/>
  <c r="K143" i="11"/>
  <c r="J143" i="11"/>
  <c r="G143" i="11"/>
  <c r="F143" i="11"/>
  <c r="D143" i="11"/>
  <c r="C143" i="11"/>
  <c r="E143" i="11" s="1" a="1"/>
  <c r="B143" i="11"/>
  <c r="AC143" i="11" s="1"/>
  <c r="A143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L142" i="11"/>
  <c r="K142" i="11"/>
  <c r="J142" i="11"/>
  <c r="G142" i="11"/>
  <c r="F142" i="11"/>
  <c r="D142" i="11"/>
  <c r="C142" i="11"/>
  <c r="E142" i="11" s="1" a="1"/>
  <c r="B142" i="11"/>
  <c r="AC142" i="11" s="1"/>
  <c r="A142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L141" i="11"/>
  <c r="K141" i="11"/>
  <c r="J141" i="11"/>
  <c r="G141" i="11"/>
  <c r="F141" i="11"/>
  <c r="D141" i="11"/>
  <c r="C141" i="11"/>
  <c r="E141" i="11" s="1" a="1"/>
  <c r="B141" i="11"/>
  <c r="AC141" i="11" s="1"/>
  <c r="A141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L140" i="11"/>
  <c r="K140" i="11"/>
  <c r="J140" i="11"/>
  <c r="G140" i="11"/>
  <c r="F140" i="11"/>
  <c r="D140" i="11"/>
  <c r="C140" i="11"/>
  <c r="E140" i="11" s="1" a="1"/>
  <c r="B140" i="11"/>
  <c r="AC140" i="11" s="1"/>
  <c r="A140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L139" i="11"/>
  <c r="K139" i="11"/>
  <c r="J139" i="11"/>
  <c r="G139" i="11"/>
  <c r="F139" i="11"/>
  <c r="D139" i="11"/>
  <c r="C139" i="11"/>
  <c r="E139" i="11" s="1" a="1"/>
  <c r="B139" i="11"/>
  <c r="AC139" i="11" s="1"/>
  <c r="A139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L138" i="11"/>
  <c r="K138" i="11"/>
  <c r="J138" i="11"/>
  <c r="G138" i="11"/>
  <c r="F138" i="11"/>
  <c r="D138" i="11"/>
  <c r="C138" i="11"/>
  <c r="E138" i="11" s="1" a="1"/>
  <c r="B138" i="11"/>
  <c r="AC138" i="11" s="1"/>
  <c r="A138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L137" i="11"/>
  <c r="K137" i="11"/>
  <c r="J137" i="11"/>
  <c r="G137" i="11"/>
  <c r="F137" i="11"/>
  <c r="D137" i="11"/>
  <c r="C137" i="11"/>
  <c r="E137" i="11" s="1" a="1"/>
  <c r="B137" i="11"/>
  <c r="AC137" i="11" s="1"/>
  <c r="A137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L136" i="11"/>
  <c r="K136" i="11"/>
  <c r="J136" i="11"/>
  <c r="G136" i="11"/>
  <c r="F136" i="11"/>
  <c r="D136" i="11"/>
  <c r="C136" i="11"/>
  <c r="E136" i="11" s="1" a="1"/>
  <c r="B136" i="11"/>
  <c r="AC136" i="11" s="1"/>
  <c r="A136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L135" i="11"/>
  <c r="K135" i="11"/>
  <c r="J135" i="11"/>
  <c r="G135" i="11"/>
  <c r="F135" i="11"/>
  <c r="D135" i="11"/>
  <c r="C135" i="11"/>
  <c r="E135" i="11" s="1" a="1"/>
  <c r="B135" i="11"/>
  <c r="AC135" i="11" s="1"/>
  <c r="A135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L134" i="11"/>
  <c r="K134" i="11"/>
  <c r="J134" i="11"/>
  <c r="G134" i="11"/>
  <c r="F134" i="11"/>
  <c r="D134" i="11"/>
  <c r="C134" i="11"/>
  <c r="E134" i="11" s="1" a="1"/>
  <c r="B134" i="11"/>
  <c r="AC134" i="11" s="1"/>
  <c r="A134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L133" i="11"/>
  <c r="K133" i="11"/>
  <c r="J133" i="11"/>
  <c r="G133" i="11"/>
  <c r="F133" i="11"/>
  <c r="D133" i="11"/>
  <c r="C133" i="11"/>
  <c r="E133" i="11" s="1" a="1"/>
  <c r="B133" i="11"/>
  <c r="AC133" i="11" s="1"/>
  <c r="A133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L132" i="11"/>
  <c r="K132" i="11"/>
  <c r="J132" i="11"/>
  <c r="G132" i="11"/>
  <c r="F132" i="11"/>
  <c r="D132" i="11"/>
  <c r="C132" i="11"/>
  <c r="E132" i="11" s="1" a="1"/>
  <c r="B132" i="11"/>
  <c r="AC132" i="11" s="1"/>
  <c r="A132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L131" i="11"/>
  <c r="K131" i="11"/>
  <c r="J131" i="11"/>
  <c r="G131" i="11"/>
  <c r="F131" i="11"/>
  <c r="D131" i="11"/>
  <c r="C131" i="11"/>
  <c r="E131" i="11" s="1" a="1"/>
  <c r="B131" i="11"/>
  <c r="AC131" i="11" s="1"/>
  <c r="A131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L130" i="11"/>
  <c r="K130" i="11"/>
  <c r="J130" i="11"/>
  <c r="G130" i="11"/>
  <c r="F130" i="11"/>
  <c r="D130" i="11"/>
  <c r="C130" i="11"/>
  <c r="E130" i="11" s="1" a="1"/>
  <c r="B130" i="11"/>
  <c r="AC130" i="11" s="1"/>
  <c r="A130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L129" i="11"/>
  <c r="K129" i="11"/>
  <c r="J129" i="11"/>
  <c r="G129" i="11"/>
  <c r="F129" i="11"/>
  <c r="D129" i="11"/>
  <c r="C129" i="11"/>
  <c r="E129" i="11" s="1" a="1"/>
  <c r="B129" i="11"/>
  <c r="AC129" i="11" s="1"/>
  <c r="A129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L128" i="11"/>
  <c r="K128" i="11"/>
  <c r="J128" i="11"/>
  <c r="G128" i="11"/>
  <c r="F128" i="11"/>
  <c r="D128" i="11"/>
  <c r="C128" i="11"/>
  <c r="E128" i="11" s="1" a="1"/>
  <c r="B128" i="11"/>
  <c r="AC128" i="11" s="1"/>
  <c r="A128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L127" i="11"/>
  <c r="K127" i="11"/>
  <c r="J127" i="11"/>
  <c r="G127" i="11"/>
  <c r="F127" i="11"/>
  <c r="D127" i="11"/>
  <c r="C127" i="11"/>
  <c r="E127" i="11" s="1" a="1"/>
  <c r="B127" i="11"/>
  <c r="AC127" i="11" s="1"/>
  <c r="A127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L126" i="11"/>
  <c r="K126" i="11"/>
  <c r="J126" i="11"/>
  <c r="G126" i="11"/>
  <c r="F126" i="11"/>
  <c r="D126" i="11"/>
  <c r="C126" i="11"/>
  <c r="E126" i="11" s="1" a="1"/>
  <c r="B126" i="11"/>
  <c r="AC126" i="11" s="1"/>
  <c r="A126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L125" i="11"/>
  <c r="K125" i="11"/>
  <c r="J125" i="11"/>
  <c r="G125" i="11"/>
  <c r="F125" i="11"/>
  <c r="D125" i="11"/>
  <c r="C125" i="11"/>
  <c r="E125" i="11" s="1" a="1"/>
  <c r="B125" i="11"/>
  <c r="AC125" i="11" s="1"/>
  <c r="A125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L124" i="11"/>
  <c r="K124" i="11"/>
  <c r="J124" i="11"/>
  <c r="G124" i="11"/>
  <c r="F124" i="11"/>
  <c r="D124" i="11"/>
  <c r="C124" i="11"/>
  <c r="E124" i="11" s="1" a="1"/>
  <c r="B124" i="11"/>
  <c r="AC124" i="11" s="1"/>
  <c r="A124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L123" i="11"/>
  <c r="K123" i="11"/>
  <c r="J123" i="11"/>
  <c r="G123" i="11"/>
  <c r="F123" i="11"/>
  <c r="D123" i="11"/>
  <c r="C123" i="11"/>
  <c r="E123" i="11" s="1" a="1"/>
  <c r="B123" i="11"/>
  <c r="AC123" i="11" s="1"/>
  <c r="A123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L122" i="11"/>
  <c r="K122" i="11"/>
  <c r="J122" i="11"/>
  <c r="G122" i="11"/>
  <c r="F122" i="11"/>
  <c r="D122" i="11"/>
  <c r="C122" i="11"/>
  <c r="E122" i="11" s="1" a="1"/>
  <c r="B122" i="11"/>
  <c r="AC122" i="11" s="1"/>
  <c r="A122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L121" i="11"/>
  <c r="K121" i="11"/>
  <c r="J121" i="11"/>
  <c r="G121" i="11"/>
  <c r="F121" i="11"/>
  <c r="D121" i="11"/>
  <c r="C121" i="11"/>
  <c r="E121" i="11" s="1" a="1"/>
  <c r="B121" i="11"/>
  <c r="AC121" i="11" s="1"/>
  <c r="A121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L120" i="11"/>
  <c r="K120" i="11"/>
  <c r="J120" i="11"/>
  <c r="G120" i="11"/>
  <c r="F120" i="11"/>
  <c r="D120" i="11"/>
  <c r="C120" i="11"/>
  <c r="E120" i="11" s="1" a="1"/>
  <c r="B120" i="11"/>
  <c r="A120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L119" i="11"/>
  <c r="K119" i="11"/>
  <c r="J119" i="11"/>
  <c r="G119" i="11"/>
  <c r="F119" i="11"/>
  <c r="D119" i="11"/>
  <c r="C119" i="11"/>
  <c r="E119" i="11" s="1" a="1"/>
  <c r="B119" i="11"/>
  <c r="AC119" i="11" s="1"/>
  <c r="A119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L118" i="11"/>
  <c r="K118" i="11"/>
  <c r="J118" i="11"/>
  <c r="G118" i="11"/>
  <c r="F118" i="11"/>
  <c r="D118" i="11"/>
  <c r="C118" i="11"/>
  <c r="E118" i="11" s="1" a="1"/>
  <c r="B118" i="11"/>
  <c r="AC118" i="11" s="1"/>
  <c r="A118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L117" i="11"/>
  <c r="K117" i="11"/>
  <c r="J117" i="11"/>
  <c r="G117" i="11"/>
  <c r="F117" i="11"/>
  <c r="D117" i="11"/>
  <c r="C117" i="11"/>
  <c r="B117" i="11"/>
  <c r="AC117" i="11" s="1"/>
  <c r="A117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L116" i="11"/>
  <c r="K116" i="11"/>
  <c r="J116" i="11"/>
  <c r="G116" i="11"/>
  <c r="F116" i="11"/>
  <c r="D116" i="11"/>
  <c r="C116" i="11"/>
  <c r="E116" i="11" s="1" a="1"/>
  <c r="B116" i="11"/>
  <c r="AC116" i="11" s="1"/>
  <c r="A116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L115" i="11"/>
  <c r="K115" i="11"/>
  <c r="J115" i="11"/>
  <c r="G115" i="11"/>
  <c r="F115" i="11"/>
  <c r="D115" i="11"/>
  <c r="C115" i="11"/>
  <c r="E115" i="11" s="1" a="1"/>
  <c r="B115" i="11"/>
  <c r="AC115" i="11" s="1"/>
  <c r="A115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L114" i="11"/>
  <c r="K114" i="11"/>
  <c r="J114" i="11"/>
  <c r="G114" i="11"/>
  <c r="F114" i="11"/>
  <c r="D114" i="11"/>
  <c r="C114" i="11"/>
  <c r="E114" i="11" s="1" a="1"/>
  <c r="B114" i="11"/>
  <c r="AC114" i="11" s="1"/>
  <c r="A114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L113" i="11"/>
  <c r="K113" i="11"/>
  <c r="J113" i="11"/>
  <c r="G113" i="11"/>
  <c r="F113" i="11"/>
  <c r="D113" i="11"/>
  <c r="C113" i="11"/>
  <c r="E113" i="11" s="1" a="1"/>
  <c r="B113" i="11"/>
  <c r="AC113" i="11" s="1"/>
  <c r="A113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L112" i="11"/>
  <c r="K112" i="11"/>
  <c r="J112" i="11"/>
  <c r="G112" i="11"/>
  <c r="F112" i="11"/>
  <c r="D112" i="11"/>
  <c r="C112" i="11"/>
  <c r="E112" i="11" s="1" a="1"/>
  <c r="B112" i="11"/>
  <c r="AC112" i="11" s="1"/>
  <c r="A112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L111" i="11"/>
  <c r="K111" i="11"/>
  <c r="J111" i="11"/>
  <c r="G111" i="11"/>
  <c r="F111" i="11"/>
  <c r="D111" i="11"/>
  <c r="C111" i="11"/>
  <c r="E111" i="11" s="1" a="1"/>
  <c r="B111" i="11"/>
  <c r="AC111" i="11" s="1"/>
  <c r="A111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L110" i="11"/>
  <c r="K110" i="11"/>
  <c r="J110" i="11"/>
  <c r="G110" i="11"/>
  <c r="F110" i="11"/>
  <c r="D110" i="11"/>
  <c r="C110" i="11"/>
  <c r="E110" i="11" s="1" a="1"/>
  <c r="B110" i="11"/>
  <c r="AC110" i="11" s="1"/>
  <c r="A110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L109" i="11"/>
  <c r="K109" i="11"/>
  <c r="J109" i="11"/>
  <c r="G109" i="11"/>
  <c r="F109" i="11"/>
  <c r="D109" i="11"/>
  <c r="C109" i="11"/>
  <c r="E109" i="11" s="1" a="1"/>
  <c r="B109" i="11"/>
  <c r="AC109" i="11" s="1"/>
  <c r="A109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L108" i="11"/>
  <c r="K108" i="11"/>
  <c r="J108" i="11"/>
  <c r="G108" i="11"/>
  <c r="F108" i="11"/>
  <c r="D108" i="11"/>
  <c r="C108" i="11"/>
  <c r="E108" i="11" s="1" a="1"/>
  <c r="B108" i="11"/>
  <c r="AC108" i="11" s="1"/>
  <c r="A108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L107" i="11"/>
  <c r="K107" i="11"/>
  <c r="J107" i="11"/>
  <c r="G107" i="11"/>
  <c r="F107" i="11"/>
  <c r="D107" i="11"/>
  <c r="C107" i="11"/>
  <c r="E107" i="11" s="1" a="1"/>
  <c r="B107" i="11"/>
  <c r="AC107" i="11" s="1"/>
  <c r="A107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L106" i="11"/>
  <c r="K106" i="11"/>
  <c r="J106" i="11"/>
  <c r="G106" i="11"/>
  <c r="F106" i="11"/>
  <c r="D106" i="11"/>
  <c r="C106" i="11"/>
  <c r="E106" i="11" s="1" a="1"/>
  <c r="B106" i="11"/>
  <c r="AC106" i="11" s="1"/>
  <c r="A106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L105" i="11"/>
  <c r="K105" i="11"/>
  <c r="J105" i="11"/>
  <c r="G105" i="11"/>
  <c r="F105" i="11"/>
  <c r="D105" i="11"/>
  <c r="C105" i="11"/>
  <c r="E105" i="11" s="1" a="1"/>
  <c r="B105" i="11"/>
  <c r="AC105" i="11" s="1"/>
  <c r="A105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L104" i="11"/>
  <c r="K104" i="11"/>
  <c r="J104" i="11"/>
  <c r="G104" i="11"/>
  <c r="F104" i="11"/>
  <c r="D104" i="11"/>
  <c r="C104" i="11"/>
  <c r="E104" i="11" s="1" a="1"/>
  <c r="B104" i="11"/>
  <c r="AC104" i="11" s="1"/>
  <c r="A104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L103" i="11"/>
  <c r="K103" i="11"/>
  <c r="J103" i="11"/>
  <c r="G103" i="11"/>
  <c r="F103" i="11"/>
  <c r="D103" i="11"/>
  <c r="C103" i="11"/>
  <c r="E103" i="11" s="1" a="1"/>
  <c r="B103" i="11"/>
  <c r="AC103" i="11" s="1"/>
  <c r="A103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L102" i="11"/>
  <c r="K102" i="11"/>
  <c r="J102" i="11"/>
  <c r="G102" i="11"/>
  <c r="F102" i="11"/>
  <c r="D102" i="11"/>
  <c r="C102" i="11"/>
  <c r="E102" i="11" s="1" a="1"/>
  <c r="B102" i="11"/>
  <c r="AC102" i="11" s="1"/>
  <c r="A102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L101" i="11"/>
  <c r="K101" i="11"/>
  <c r="J101" i="11"/>
  <c r="G101" i="11"/>
  <c r="F101" i="11"/>
  <c r="D101" i="11"/>
  <c r="C101" i="11"/>
  <c r="E101" i="11" s="1" a="1"/>
  <c r="B101" i="11"/>
  <c r="AC101" i="11" s="1"/>
  <c r="A101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L100" i="11"/>
  <c r="K100" i="11"/>
  <c r="J100" i="11"/>
  <c r="G100" i="11"/>
  <c r="F100" i="11"/>
  <c r="D100" i="11"/>
  <c r="C100" i="11"/>
  <c r="E100" i="11" s="1" a="1"/>
  <c r="B100" i="11"/>
  <c r="AC100" i="11" s="1"/>
  <c r="A100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L99" i="11"/>
  <c r="K99" i="11"/>
  <c r="J99" i="11"/>
  <c r="G99" i="11"/>
  <c r="F99" i="11"/>
  <c r="D99" i="11"/>
  <c r="C99" i="11"/>
  <c r="E99" i="11" s="1" a="1"/>
  <c r="B99" i="11"/>
  <c r="AC99" i="11" s="1"/>
  <c r="A99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L98" i="11"/>
  <c r="K98" i="11"/>
  <c r="J98" i="11"/>
  <c r="G98" i="11"/>
  <c r="F98" i="11"/>
  <c r="D98" i="11"/>
  <c r="C98" i="11"/>
  <c r="E98" i="11" s="1" a="1"/>
  <c r="B98" i="11"/>
  <c r="AC98" i="11" s="1"/>
  <c r="A98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L97" i="11"/>
  <c r="K97" i="11"/>
  <c r="J97" i="11"/>
  <c r="G97" i="11"/>
  <c r="F97" i="11"/>
  <c r="D97" i="11"/>
  <c r="C97" i="11"/>
  <c r="E97" i="11" s="1" a="1"/>
  <c r="B97" i="11"/>
  <c r="AC97" i="11" s="1"/>
  <c r="A97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L96" i="11"/>
  <c r="K96" i="11"/>
  <c r="J96" i="11"/>
  <c r="G96" i="11"/>
  <c r="F96" i="11"/>
  <c r="D96" i="11"/>
  <c r="C96" i="11"/>
  <c r="E96" i="11" s="1" a="1"/>
  <c r="B96" i="11"/>
  <c r="AC96" i="11" s="1"/>
  <c r="A96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L95" i="11"/>
  <c r="K95" i="11"/>
  <c r="J95" i="11"/>
  <c r="G95" i="11"/>
  <c r="F95" i="11"/>
  <c r="D95" i="11"/>
  <c r="C95" i="11"/>
  <c r="E95" i="11" s="1" a="1"/>
  <c r="B95" i="11"/>
  <c r="AC95" i="11" s="1"/>
  <c r="A95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L94" i="11"/>
  <c r="K94" i="11"/>
  <c r="J94" i="11"/>
  <c r="G94" i="11"/>
  <c r="F94" i="11"/>
  <c r="D94" i="11"/>
  <c r="C94" i="11"/>
  <c r="E94" i="11" s="1" a="1"/>
  <c r="B94" i="11"/>
  <c r="AC94" i="11" s="1"/>
  <c r="A94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L93" i="11"/>
  <c r="K93" i="11"/>
  <c r="J93" i="11"/>
  <c r="G93" i="11"/>
  <c r="F93" i="11"/>
  <c r="D93" i="11"/>
  <c r="C93" i="11"/>
  <c r="E93" i="11" s="1" a="1"/>
  <c r="B93" i="11"/>
  <c r="AC93" i="11" s="1"/>
  <c r="A93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L92" i="11"/>
  <c r="K92" i="11"/>
  <c r="J92" i="11"/>
  <c r="G92" i="11"/>
  <c r="F92" i="11"/>
  <c r="D92" i="11"/>
  <c r="C92" i="11"/>
  <c r="E92" i="11" s="1" a="1"/>
  <c r="B92" i="11"/>
  <c r="AC92" i="11" s="1"/>
  <c r="A92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L91" i="11"/>
  <c r="K91" i="11"/>
  <c r="J91" i="11"/>
  <c r="G91" i="11"/>
  <c r="F91" i="11"/>
  <c r="D91" i="11"/>
  <c r="C91" i="11"/>
  <c r="E91" i="11" s="1" a="1"/>
  <c r="B91" i="11"/>
  <c r="AC91" i="11" s="1"/>
  <c r="A91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L90" i="11"/>
  <c r="K90" i="11"/>
  <c r="J90" i="11"/>
  <c r="G90" i="11"/>
  <c r="F90" i="11"/>
  <c r="D90" i="11"/>
  <c r="C90" i="11"/>
  <c r="E90" i="11" s="1" a="1"/>
  <c r="B90" i="11"/>
  <c r="AC90" i="11" s="1"/>
  <c r="A90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L89" i="11"/>
  <c r="K89" i="11"/>
  <c r="J89" i="11"/>
  <c r="G89" i="11"/>
  <c r="F89" i="11"/>
  <c r="D89" i="11"/>
  <c r="C89" i="11"/>
  <c r="E89" i="11" s="1" a="1"/>
  <c r="B89" i="11"/>
  <c r="AC89" i="11" s="1"/>
  <c r="A89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L88" i="11"/>
  <c r="K88" i="11"/>
  <c r="J88" i="11"/>
  <c r="G88" i="11"/>
  <c r="F88" i="11"/>
  <c r="D88" i="11"/>
  <c r="C88" i="11"/>
  <c r="E88" i="11" s="1" a="1"/>
  <c r="B88" i="11"/>
  <c r="AC88" i="11" s="1"/>
  <c r="A88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L87" i="11"/>
  <c r="K87" i="11"/>
  <c r="J87" i="11"/>
  <c r="G87" i="11"/>
  <c r="F87" i="11"/>
  <c r="D87" i="11"/>
  <c r="C87" i="11"/>
  <c r="E87" i="11" s="1" a="1"/>
  <c r="B87" i="11"/>
  <c r="AC87" i="11" s="1"/>
  <c r="A87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L86" i="11"/>
  <c r="K86" i="11"/>
  <c r="J86" i="11"/>
  <c r="G86" i="11"/>
  <c r="F86" i="11"/>
  <c r="D86" i="11"/>
  <c r="C86" i="11"/>
  <c r="E86" i="11" s="1" a="1"/>
  <c r="B86" i="11"/>
  <c r="AC86" i="11" s="1"/>
  <c r="A86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L85" i="11"/>
  <c r="K85" i="11"/>
  <c r="J85" i="11"/>
  <c r="G85" i="11"/>
  <c r="F85" i="11"/>
  <c r="D85" i="11"/>
  <c r="C85" i="11"/>
  <c r="E85" i="11" s="1" a="1"/>
  <c r="B85" i="11"/>
  <c r="AC85" i="11" s="1"/>
  <c r="A85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L84" i="11"/>
  <c r="K84" i="11"/>
  <c r="J84" i="11"/>
  <c r="G84" i="11"/>
  <c r="F84" i="11"/>
  <c r="D84" i="11"/>
  <c r="C84" i="11"/>
  <c r="E84" i="11" s="1" a="1"/>
  <c r="B84" i="11"/>
  <c r="AC84" i="11" s="1"/>
  <c r="A84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L83" i="11"/>
  <c r="K83" i="11"/>
  <c r="J83" i="11"/>
  <c r="G83" i="11"/>
  <c r="F83" i="11"/>
  <c r="D83" i="11"/>
  <c r="C83" i="11"/>
  <c r="E83" i="11" s="1" a="1"/>
  <c r="B83" i="11"/>
  <c r="AC83" i="11" s="1"/>
  <c r="A83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L82" i="11"/>
  <c r="K82" i="11"/>
  <c r="J82" i="11"/>
  <c r="G82" i="11"/>
  <c r="F82" i="11"/>
  <c r="D82" i="11"/>
  <c r="C82" i="11"/>
  <c r="E82" i="11" s="1" a="1"/>
  <c r="B82" i="11"/>
  <c r="AC82" i="11" s="1"/>
  <c r="A82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L81" i="11"/>
  <c r="K81" i="11"/>
  <c r="J81" i="11"/>
  <c r="G81" i="11"/>
  <c r="F81" i="11"/>
  <c r="D81" i="11"/>
  <c r="C81" i="11"/>
  <c r="E81" i="11" s="1" a="1"/>
  <c r="B81" i="11"/>
  <c r="AC81" i="11" s="1"/>
  <c r="A81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L80" i="11"/>
  <c r="K80" i="11"/>
  <c r="J80" i="11"/>
  <c r="G80" i="11"/>
  <c r="F80" i="11"/>
  <c r="D80" i="11"/>
  <c r="C80" i="11"/>
  <c r="E80" i="11" s="1" a="1"/>
  <c r="B80" i="11"/>
  <c r="AC80" i="11" s="1"/>
  <c r="A80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L79" i="11"/>
  <c r="K79" i="11"/>
  <c r="J79" i="11"/>
  <c r="G79" i="11"/>
  <c r="F79" i="11"/>
  <c r="D79" i="11"/>
  <c r="C79" i="11"/>
  <c r="E79" i="11" s="1" a="1"/>
  <c r="B79" i="11"/>
  <c r="AC79" i="11" s="1"/>
  <c r="A79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L78" i="11"/>
  <c r="K78" i="11"/>
  <c r="J78" i="11"/>
  <c r="G78" i="11"/>
  <c r="F78" i="11"/>
  <c r="D78" i="11"/>
  <c r="C78" i="11"/>
  <c r="E78" i="11" s="1" a="1"/>
  <c r="B78" i="11"/>
  <c r="AC78" i="11" s="1"/>
  <c r="A78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L77" i="11"/>
  <c r="K77" i="11"/>
  <c r="J77" i="11"/>
  <c r="G77" i="11"/>
  <c r="F77" i="11"/>
  <c r="D77" i="11"/>
  <c r="C77" i="11"/>
  <c r="E77" i="11" s="1" a="1"/>
  <c r="B77" i="11"/>
  <c r="AC77" i="11" s="1"/>
  <c r="A77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L76" i="11"/>
  <c r="K76" i="11"/>
  <c r="J76" i="11"/>
  <c r="G76" i="11"/>
  <c r="F76" i="11"/>
  <c r="D76" i="11"/>
  <c r="C76" i="11"/>
  <c r="E76" i="11" s="1" a="1"/>
  <c r="B76" i="11"/>
  <c r="AC76" i="11" s="1"/>
  <c r="A76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L75" i="11"/>
  <c r="K75" i="11"/>
  <c r="J75" i="11"/>
  <c r="G75" i="11"/>
  <c r="F75" i="11"/>
  <c r="D75" i="11"/>
  <c r="C75" i="11"/>
  <c r="E75" i="11" s="1" a="1"/>
  <c r="B75" i="11"/>
  <c r="AC75" i="11" s="1"/>
  <c r="A75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L74" i="11"/>
  <c r="K74" i="11"/>
  <c r="J74" i="11"/>
  <c r="G74" i="11"/>
  <c r="F74" i="11"/>
  <c r="D74" i="11"/>
  <c r="C74" i="11"/>
  <c r="E74" i="11" s="1" a="1"/>
  <c r="B74" i="11"/>
  <c r="AC74" i="11" s="1"/>
  <c r="A74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L73" i="11"/>
  <c r="K73" i="11"/>
  <c r="J73" i="11"/>
  <c r="G73" i="11"/>
  <c r="F73" i="11"/>
  <c r="D73" i="11"/>
  <c r="C73" i="11"/>
  <c r="E73" i="11" s="1" a="1"/>
  <c r="B73" i="11"/>
  <c r="AC73" i="11" s="1"/>
  <c r="A73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L72" i="11"/>
  <c r="K72" i="11"/>
  <c r="J72" i="11"/>
  <c r="G72" i="11"/>
  <c r="F72" i="11"/>
  <c r="D72" i="11"/>
  <c r="C72" i="11"/>
  <c r="E72" i="11" s="1" a="1"/>
  <c r="B72" i="11"/>
  <c r="AC72" i="11" s="1"/>
  <c r="A72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L71" i="11"/>
  <c r="K71" i="11"/>
  <c r="J71" i="11"/>
  <c r="G71" i="11"/>
  <c r="F71" i="11"/>
  <c r="D71" i="11"/>
  <c r="C71" i="11"/>
  <c r="E71" i="11" s="1" a="1"/>
  <c r="B71" i="11"/>
  <c r="AC71" i="11" s="1"/>
  <c r="A71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L70" i="11"/>
  <c r="K70" i="11"/>
  <c r="J70" i="11"/>
  <c r="G70" i="11"/>
  <c r="F70" i="11"/>
  <c r="D70" i="11"/>
  <c r="C70" i="11"/>
  <c r="E70" i="11" s="1" a="1"/>
  <c r="B70" i="11"/>
  <c r="AC70" i="11" s="1"/>
  <c r="A70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L69" i="11"/>
  <c r="K69" i="11"/>
  <c r="J69" i="11"/>
  <c r="G69" i="11"/>
  <c r="F69" i="11"/>
  <c r="D69" i="11"/>
  <c r="C69" i="11"/>
  <c r="E69" i="11" s="1" a="1"/>
  <c r="B69" i="11"/>
  <c r="AC69" i="11" s="1"/>
  <c r="A69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L68" i="11"/>
  <c r="K68" i="11"/>
  <c r="J68" i="11"/>
  <c r="G68" i="11"/>
  <c r="F68" i="11"/>
  <c r="D68" i="11"/>
  <c r="C68" i="11"/>
  <c r="E68" i="11" s="1" a="1"/>
  <c r="B68" i="11"/>
  <c r="AC68" i="11" s="1"/>
  <c r="A68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L67" i="11"/>
  <c r="K67" i="11"/>
  <c r="J67" i="11"/>
  <c r="G67" i="11"/>
  <c r="F67" i="11"/>
  <c r="D67" i="11"/>
  <c r="C67" i="11"/>
  <c r="E67" i="11" s="1" a="1"/>
  <c r="B67" i="11"/>
  <c r="AC67" i="11" s="1"/>
  <c r="A67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L66" i="11"/>
  <c r="K66" i="11"/>
  <c r="J66" i="11"/>
  <c r="G66" i="11"/>
  <c r="F66" i="11"/>
  <c r="D66" i="11"/>
  <c r="C66" i="11"/>
  <c r="E66" i="11" s="1" a="1"/>
  <c r="B66" i="11"/>
  <c r="AC66" i="11" s="1"/>
  <c r="A66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L65" i="11"/>
  <c r="K65" i="11"/>
  <c r="J65" i="11"/>
  <c r="G65" i="11"/>
  <c r="F65" i="11"/>
  <c r="D65" i="11"/>
  <c r="C65" i="11"/>
  <c r="E65" i="11" s="1" a="1"/>
  <c r="B65" i="11"/>
  <c r="AC65" i="11" s="1"/>
  <c r="A65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L64" i="11"/>
  <c r="K64" i="11"/>
  <c r="J64" i="11"/>
  <c r="G64" i="11"/>
  <c r="F64" i="11"/>
  <c r="D64" i="11"/>
  <c r="C64" i="11"/>
  <c r="E64" i="11" s="1" a="1"/>
  <c r="B64" i="11"/>
  <c r="AC64" i="11" s="1"/>
  <c r="A64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L63" i="11"/>
  <c r="K63" i="11"/>
  <c r="J63" i="11"/>
  <c r="G63" i="11"/>
  <c r="F63" i="11"/>
  <c r="D63" i="11"/>
  <c r="C63" i="11"/>
  <c r="E63" i="11" s="1" a="1"/>
  <c r="B63" i="11"/>
  <c r="AC63" i="11" s="1"/>
  <c r="A63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L62" i="11"/>
  <c r="K62" i="11"/>
  <c r="J62" i="11"/>
  <c r="G62" i="11"/>
  <c r="F62" i="11"/>
  <c r="D62" i="11"/>
  <c r="C62" i="11"/>
  <c r="E62" i="11" s="1" a="1"/>
  <c r="B62" i="11"/>
  <c r="AC62" i="11" s="1"/>
  <c r="A62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L61" i="11"/>
  <c r="K61" i="11"/>
  <c r="J61" i="11"/>
  <c r="G61" i="11"/>
  <c r="F61" i="11"/>
  <c r="D61" i="11"/>
  <c r="C61" i="11"/>
  <c r="E61" i="11" s="1" a="1"/>
  <c r="B61" i="11"/>
  <c r="AC61" i="11" s="1"/>
  <c r="A61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L60" i="11"/>
  <c r="K60" i="11"/>
  <c r="J60" i="11"/>
  <c r="G60" i="11"/>
  <c r="F60" i="11"/>
  <c r="D60" i="11"/>
  <c r="C60" i="11"/>
  <c r="E60" i="11" s="1" a="1"/>
  <c r="B60" i="11"/>
  <c r="AC60" i="11" s="1"/>
  <c r="A60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L59" i="11"/>
  <c r="K59" i="11"/>
  <c r="J59" i="11"/>
  <c r="G59" i="11"/>
  <c r="F59" i="11"/>
  <c r="D59" i="11"/>
  <c r="C59" i="11"/>
  <c r="E59" i="11" s="1" a="1"/>
  <c r="B59" i="11"/>
  <c r="AC59" i="11" s="1"/>
  <c r="A59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L58" i="11"/>
  <c r="K58" i="11"/>
  <c r="J58" i="11"/>
  <c r="G58" i="11"/>
  <c r="F58" i="11"/>
  <c r="D58" i="11"/>
  <c r="C58" i="11"/>
  <c r="E58" i="11" s="1" a="1"/>
  <c r="B58" i="11"/>
  <c r="AC58" i="11" s="1"/>
  <c r="A58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L57" i="11"/>
  <c r="K57" i="11"/>
  <c r="J57" i="11"/>
  <c r="G57" i="11"/>
  <c r="F57" i="11"/>
  <c r="D57" i="11"/>
  <c r="C57" i="11"/>
  <c r="E57" i="11" s="1" a="1"/>
  <c r="B57" i="11"/>
  <c r="AC57" i="11" s="1"/>
  <c r="A57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L56" i="11"/>
  <c r="K56" i="11"/>
  <c r="J56" i="11"/>
  <c r="G56" i="11"/>
  <c r="F56" i="11"/>
  <c r="D56" i="11"/>
  <c r="C56" i="11"/>
  <c r="E56" i="11" s="1" a="1"/>
  <c r="B56" i="11"/>
  <c r="AC56" i="11" s="1"/>
  <c r="A56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L55" i="11"/>
  <c r="K55" i="11"/>
  <c r="J55" i="11"/>
  <c r="G55" i="11"/>
  <c r="F55" i="11"/>
  <c r="D55" i="11"/>
  <c r="C55" i="11"/>
  <c r="E55" i="11" s="1" a="1"/>
  <c r="B55" i="11"/>
  <c r="AC55" i="11" s="1"/>
  <c r="A55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L54" i="11"/>
  <c r="K54" i="11"/>
  <c r="J54" i="11"/>
  <c r="G54" i="11"/>
  <c r="F54" i="11"/>
  <c r="D54" i="11"/>
  <c r="C54" i="11"/>
  <c r="E54" i="11" s="1" a="1"/>
  <c r="B54" i="11"/>
  <c r="AC54" i="11" s="1"/>
  <c r="A54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L53" i="11"/>
  <c r="K53" i="11"/>
  <c r="J53" i="11"/>
  <c r="G53" i="11"/>
  <c r="F53" i="11"/>
  <c r="D53" i="11"/>
  <c r="C53" i="11"/>
  <c r="E53" i="11" s="1" a="1"/>
  <c r="B53" i="11"/>
  <c r="AC53" i="11" s="1"/>
  <c r="A53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L52" i="11"/>
  <c r="K52" i="11"/>
  <c r="J52" i="11"/>
  <c r="G52" i="11"/>
  <c r="F52" i="11"/>
  <c r="D52" i="11"/>
  <c r="C52" i="11"/>
  <c r="E52" i="11" s="1" a="1"/>
  <c r="B52" i="11"/>
  <c r="AC52" i="11" s="1"/>
  <c r="A52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L51" i="11"/>
  <c r="K51" i="11"/>
  <c r="J51" i="11"/>
  <c r="G51" i="11"/>
  <c r="F51" i="11"/>
  <c r="D51" i="11"/>
  <c r="C51" i="11"/>
  <c r="E51" i="11" s="1" a="1"/>
  <c r="B51" i="11"/>
  <c r="AC51" i="11" s="1"/>
  <c r="A51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L50" i="11"/>
  <c r="K50" i="11"/>
  <c r="J50" i="11"/>
  <c r="G50" i="11"/>
  <c r="F50" i="11"/>
  <c r="D50" i="11"/>
  <c r="C50" i="11"/>
  <c r="E50" i="11" s="1" a="1"/>
  <c r="B50" i="11"/>
  <c r="AC50" i="11" s="1"/>
  <c r="A50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L49" i="11"/>
  <c r="K49" i="11"/>
  <c r="J49" i="11"/>
  <c r="G49" i="11"/>
  <c r="F49" i="11"/>
  <c r="D49" i="11"/>
  <c r="C49" i="11"/>
  <c r="E49" i="11" s="1" a="1"/>
  <c r="B49" i="11"/>
  <c r="AC49" i="11" s="1"/>
  <c r="A49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L48" i="11"/>
  <c r="K48" i="11"/>
  <c r="J48" i="11"/>
  <c r="G48" i="11"/>
  <c r="F48" i="11"/>
  <c r="D48" i="11"/>
  <c r="C48" i="11"/>
  <c r="E48" i="11" s="1" a="1"/>
  <c r="B48" i="11"/>
  <c r="AC48" i="11" s="1"/>
  <c r="A48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L47" i="11"/>
  <c r="K47" i="11"/>
  <c r="J47" i="11"/>
  <c r="G47" i="11"/>
  <c r="F47" i="11"/>
  <c r="D47" i="11"/>
  <c r="C47" i="11"/>
  <c r="E47" i="11" s="1" a="1"/>
  <c r="B47" i="11"/>
  <c r="AC47" i="11" s="1"/>
  <c r="A47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L46" i="11"/>
  <c r="K46" i="11"/>
  <c r="J46" i="11"/>
  <c r="G46" i="11"/>
  <c r="F46" i="11"/>
  <c r="D46" i="11"/>
  <c r="C46" i="11"/>
  <c r="E46" i="11" s="1" a="1"/>
  <c r="B46" i="11"/>
  <c r="AC46" i="11" s="1"/>
  <c r="A46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L45" i="11"/>
  <c r="K45" i="11"/>
  <c r="J45" i="11"/>
  <c r="G45" i="11"/>
  <c r="F45" i="11"/>
  <c r="D45" i="11"/>
  <c r="C45" i="11"/>
  <c r="E45" i="11" s="1" a="1"/>
  <c r="B45" i="11"/>
  <c r="AC45" i="11" s="1"/>
  <c r="A45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L44" i="11"/>
  <c r="K44" i="11"/>
  <c r="J44" i="11"/>
  <c r="G44" i="11"/>
  <c r="F44" i="11"/>
  <c r="D44" i="11"/>
  <c r="C44" i="11"/>
  <c r="E44" i="11" s="1" a="1"/>
  <c r="B44" i="11"/>
  <c r="AC44" i="11" s="1"/>
  <c r="A44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L43" i="11"/>
  <c r="K43" i="11"/>
  <c r="J43" i="11"/>
  <c r="G43" i="11"/>
  <c r="F43" i="11"/>
  <c r="D43" i="11"/>
  <c r="C43" i="11"/>
  <c r="E43" i="11" s="1" a="1"/>
  <c r="B43" i="11"/>
  <c r="AC43" i="11" s="1"/>
  <c r="A43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L42" i="11"/>
  <c r="K42" i="11"/>
  <c r="J42" i="11"/>
  <c r="G42" i="11"/>
  <c r="F42" i="11"/>
  <c r="D42" i="11"/>
  <c r="C42" i="11"/>
  <c r="E42" i="11" s="1" a="1"/>
  <c r="B42" i="11"/>
  <c r="AC42" i="11" s="1"/>
  <c r="A42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L41" i="11"/>
  <c r="K41" i="11"/>
  <c r="J41" i="11"/>
  <c r="G41" i="11"/>
  <c r="F41" i="11"/>
  <c r="D41" i="11"/>
  <c r="C41" i="11"/>
  <c r="E41" i="11" s="1" a="1"/>
  <c r="B41" i="11"/>
  <c r="AC41" i="11" s="1"/>
  <c r="A41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L40" i="11"/>
  <c r="K40" i="11"/>
  <c r="J40" i="11"/>
  <c r="G40" i="11"/>
  <c r="F40" i="11"/>
  <c r="D40" i="11"/>
  <c r="C40" i="11"/>
  <c r="E40" i="11" s="1" a="1"/>
  <c r="B40" i="11"/>
  <c r="AC40" i="11" s="1"/>
  <c r="A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L39" i="11"/>
  <c r="K39" i="11"/>
  <c r="J39" i="11"/>
  <c r="G39" i="11"/>
  <c r="F39" i="11"/>
  <c r="D39" i="11"/>
  <c r="C39" i="11"/>
  <c r="E39" i="11" s="1" a="1"/>
  <c r="B39" i="11"/>
  <c r="AC39" i="11" s="1"/>
  <c r="A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L38" i="11"/>
  <c r="K38" i="11"/>
  <c r="J38" i="11"/>
  <c r="G38" i="11"/>
  <c r="F38" i="11"/>
  <c r="D38" i="11"/>
  <c r="C38" i="11"/>
  <c r="E38" i="11" s="1" a="1"/>
  <c r="B38" i="11"/>
  <c r="AC38" i="11" s="1"/>
  <c r="A38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L37" i="11"/>
  <c r="K37" i="11"/>
  <c r="J37" i="11"/>
  <c r="G37" i="11"/>
  <c r="F37" i="11"/>
  <c r="D37" i="11"/>
  <c r="C37" i="11"/>
  <c r="E37" i="11" s="1" a="1"/>
  <c r="B37" i="11"/>
  <c r="AC37" i="11" s="1"/>
  <c r="A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L36" i="11"/>
  <c r="K36" i="11"/>
  <c r="J36" i="11"/>
  <c r="G36" i="11"/>
  <c r="F36" i="11"/>
  <c r="D36" i="11"/>
  <c r="C36" i="11"/>
  <c r="E36" i="11" s="1" a="1"/>
  <c r="B36" i="11"/>
  <c r="AC36" i="11" s="1"/>
  <c r="A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L35" i="11"/>
  <c r="K35" i="11"/>
  <c r="J35" i="11"/>
  <c r="G35" i="11"/>
  <c r="F35" i="11"/>
  <c r="D35" i="11"/>
  <c r="C35" i="11"/>
  <c r="E35" i="11" s="1" a="1"/>
  <c r="B35" i="11"/>
  <c r="AC35" i="11" s="1"/>
  <c r="A35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L34" i="11"/>
  <c r="K34" i="11"/>
  <c r="J34" i="11"/>
  <c r="G34" i="11"/>
  <c r="F34" i="11"/>
  <c r="D34" i="11"/>
  <c r="C34" i="11"/>
  <c r="E34" i="11" s="1" a="1"/>
  <c r="B34" i="11"/>
  <c r="AC34" i="11" s="1"/>
  <c r="A34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L33" i="11"/>
  <c r="K33" i="11"/>
  <c r="J33" i="11"/>
  <c r="G33" i="11"/>
  <c r="F33" i="11"/>
  <c r="D33" i="11"/>
  <c r="C33" i="11"/>
  <c r="E33" i="11" s="1" a="1"/>
  <c r="B33" i="11"/>
  <c r="AC33" i="11" s="1"/>
  <c r="A33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L32" i="11"/>
  <c r="K32" i="11"/>
  <c r="J32" i="11"/>
  <c r="G32" i="11"/>
  <c r="F32" i="11"/>
  <c r="D32" i="11"/>
  <c r="C32" i="11"/>
  <c r="E32" i="11" s="1" a="1"/>
  <c r="B32" i="11"/>
  <c r="AC32" i="11" s="1"/>
  <c r="A32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L31" i="11"/>
  <c r="K31" i="11"/>
  <c r="J31" i="11"/>
  <c r="G31" i="11"/>
  <c r="F31" i="11"/>
  <c r="D31" i="11"/>
  <c r="C31" i="11"/>
  <c r="E31" i="11" s="1" a="1"/>
  <c r="B31" i="11"/>
  <c r="AC31" i="11" s="1"/>
  <c r="A31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L30" i="11"/>
  <c r="K30" i="11"/>
  <c r="J30" i="11"/>
  <c r="G30" i="11"/>
  <c r="F30" i="11"/>
  <c r="D30" i="11"/>
  <c r="C30" i="11"/>
  <c r="E30" i="11" s="1" a="1"/>
  <c r="B30" i="11"/>
  <c r="AC30" i="11" s="1"/>
  <c r="A30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L29" i="11"/>
  <c r="K29" i="11"/>
  <c r="J29" i="11"/>
  <c r="G29" i="11"/>
  <c r="F29" i="11"/>
  <c r="D29" i="11"/>
  <c r="C29" i="11"/>
  <c r="E29" i="11" s="1" a="1"/>
  <c r="B29" i="11"/>
  <c r="AC29" i="11" s="1"/>
  <c r="A29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L28" i="11"/>
  <c r="K28" i="11"/>
  <c r="J28" i="11"/>
  <c r="G28" i="11"/>
  <c r="F28" i="11"/>
  <c r="D28" i="11"/>
  <c r="C28" i="11"/>
  <c r="E28" i="11" s="1" a="1"/>
  <c r="B28" i="11"/>
  <c r="AC28" i="11" s="1"/>
  <c r="A28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L27" i="11"/>
  <c r="K27" i="11"/>
  <c r="J27" i="11"/>
  <c r="G27" i="11"/>
  <c r="F27" i="11"/>
  <c r="D27" i="11"/>
  <c r="C27" i="11"/>
  <c r="E27" i="11" s="1" a="1"/>
  <c r="B27" i="11"/>
  <c r="AC27" i="11" s="1"/>
  <c r="A27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L26" i="11"/>
  <c r="K26" i="11"/>
  <c r="J26" i="11"/>
  <c r="G26" i="11"/>
  <c r="F26" i="11"/>
  <c r="D26" i="11"/>
  <c r="C26" i="11"/>
  <c r="E26" i="11" s="1" a="1"/>
  <c r="B26" i="11"/>
  <c r="AC26" i="11" s="1"/>
  <c r="A26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L25" i="11"/>
  <c r="K25" i="11"/>
  <c r="J25" i="11"/>
  <c r="G25" i="11"/>
  <c r="F25" i="11"/>
  <c r="D25" i="11"/>
  <c r="C25" i="11"/>
  <c r="E25" i="11" s="1" a="1"/>
  <c r="B25" i="11"/>
  <c r="AC25" i="11" s="1"/>
  <c r="A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L24" i="11"/>
  <c r="K24" i="11"/>
  <c r="J24" i="11"/>
  <c r="G24" i="11"/>
  <c r="F24" i="11"/>
  <c r="D24" i="11"/>
  <c r="C24" i="11"/>
  <c r="E24" i="11" s="1" a="1"/>
  <c r="B24" i="11"/>
  <c r="AC24" i="11" s="1"/>
  <c r="A24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L23" i="11"/>
  <c r="K23" i="11"/>
  <c r="J23" i="11"/>
  <c r="G23" i="11"/>
  <c r="F23" i="11"/>
  <c r="D23" i="11"/>
  <c r="C23" i="11"/>
  <c r="E23" i="11" s="1" a="1"/>
  <c r="B23" i="11"/>
  <c r="AC23" i="11" s="1"/>
  <c r="A23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L22" i="11"/>
  <c r="K22" i="11"/>
  <c r="J22" i="11"/>
  <c r="G22" i="11"/>
  <c r="F22" i="11"/>
  <c r="D22" i="11"/>
  <c r="C22" i="11"/>
  <c r="E22" i="11" s="1" a="1"/>
  <c r="B22" i="11"/>
  <c r="AC22" i="11" s="1"/>
  <c r="A22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L21" i="11"/>
  <c r="K21" i="11"/>
  <c r="J21" i="11"/>
  <c r="G21" i="11"/>
  <c r="F21" i="11"/>
  <c r="D21" i="11"/>
  <c r="C21" i="11"/>
  <c r="E21" i="11" s="1" a="1"/>
  <c r="B21" i="11"/>
  <c r="AC21" i="11" s="1"/>
  <c r="A21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L20" i="11"/>
  <c r="K20" i="11"/>
  <c r="J20" i="11"/>
  <c r="G20" i="11"/>
  <c r="F20" i="11"/>
  <c r="D20" i="11"/>
  <c r="C20" i="11"/>
  <c r="E20" i="11" s="1" a="1"/>
  <c r="B20" i="11"/>
  <c r="AC20" i="11" s="1"/>
  <c r="A20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L19" i="11"/>
  <c r="K19" i="11"/>
  <c r="J19" i="11"/>
  <c r="G19" i="11"/>
  <c r="F19" i="11"/>
  <c r="D19" i="11"/>
  <c r="C19" i="11"/>
  <c r="E19" i="11" s="1" a="1"/>
  <c r="B19" i="11"/>
  <c r="AC19" i="11" s="1"/>
  <c r="A19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L18" i="11"/>
  <c r="K18" i="11"/>
  <c r="J18" i="11"/>
  <c r="G18" i="11"/>
  <c r="F18" i="11"/>
  <c r="D18" i="11"/>
  <c r="C18" i="11"/>
  <c r="E18" i="11" s="1" a="1"/>
  <c r="B18" i="11"/>
  <c r="AC18" i="11" s="1"/>
  <c r="A18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L17" i="11"/>
  <c r="K17" i="11"/>
  <c r="J17" i="11"/>
  <c r="G17" i="11"/>
  <c r="F17" i="11"/>
  <c r="D17" i="11"/>
  <c r="C17" i="11"/>
  <c r="E17" i="11" s="1" a="1"/>
  <c r="B17" i="11"/>
  <c r="AC17" i="11" s="1"/>
  <c r="A17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L16" i="11"/>
  <c r="K16" i="11"/>
  <c r="J16" i="11"/>
  <c r="G16" i="11"/>
  <c r="F16" i="11"/>
  <c r="D16" i="11"/>
  <c r="C16" i="11"/>
  <c r="E16" i="11" s="1" a="1"/>
  <c r="B16" i="11"/>
  <c r="AC16" i="11" s="1"/>
  <c r="A16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L15" i="11"/>
  <c r="K15" i="11"/>
  <c r="J15" i="11"/>
  <c r="G15" i="11"/>
  <c r="F15" i="11"/>
  <c r="D15" i="11"/>
  <c r="C15" i="11"/>
  <c r="E15" i="11" s="1" a="1"/>
  <c r="B15" i="11"/>
  <c r="AC15" i="11" s="1"/>
  <c r="A15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L14" i="11"/>
  <c r="K14" i="11"/>
  <c r="J14" i="11"/>
  <c r="G14" i="11"/>
  <c r="F14" i="11"/>
  <c r="D14" i="11"/>
  <c r="C14" i="11"/>
  <c r="E14" i="11" s="1" a="1"/>
  <c r="B14" i="11"/>
  <c r="AC14" i="11" s="1"/>
  <c r="A14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L13" i="11"/>
  <c r="K13" i="11"/>
  <c r="J13" i="11"/>
  <c r="G13" i="11"/>
  <c r="F13" i="11"/>
  <c r="D13" i="11"/>
  <c r="C13" i="11"/>
  <c r="E13" i="11" s="1" a="1"/>
  <c r="B13" i="11"/>
  <c r="AC13" i="11" s="1"/>
  <c r="A13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L12" i="11"/>
  <c r="K12" i="11"/>
  <c r="J12" i="11"/>
  <c r="G12" i="11"/>
  <c r="F12" i="11"/>
  <c r="D12" i="11"/>
  <c r="C12" i="11"/>
  <c r="E12" i="11" s="1" a="1"/>
  <c r="B12" i="11"/>
  <c r="AC12" i="11" s="1"/>
  <c r="A12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L11" i="11"/>
  <c r="K11" i="11"/>
  <c r="J11" i="11"/>
  <c r="G11" i="11"/>
  <c r="F11" i="11"/>
  <c r="D11" i="11"/>
  <c r="C11" i="11"/>
  <c r="E11" i="11" s="1" a="1"/>
  <c r="B11" i="11"/>
  <c r="AC11" i="11" s="1"/>
  <c r="A11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L10" i="11"/>
  <c r="K10" i="11"/>
  <c r="J10" i="11"/>
  <c r="G10" i="11"/>
  <c r="F10" i="11"/>
  <c r="D10" i="11"/>
  <c r="C10" i="11"/>
  <c r="E10" i="11" s="1" a="1"/>
  <c r="B10" i="11"/>
  <c r="AC10" i="11" s="1"/>
  <c r="A10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L9" i="11"/>
  <c r="K9" i="11"/>
  <c r="J9" i="11"/>
  <c r="G9" i="11"/>
  <c r="F9" i="11"/>
  <c r="D9" i="11"/>
  <c r="C9" i="11"/>
  <c r="E9" i="11" s="1" a="1"/>
  <c r="B9" i="11"/>
  <c r="AC9" i="11" s="1"/>
  <c r="A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L8" i="11"/>
  <c r="K8" i="11"/>
  <c r="J8" i="11"/>
  <c r="G8" i="11"/>
  <c r="F8" i="11"/>
  <c r="D8" i="11"/>
  <c r="C8" i="11"/>
  <c r="B8" i="11"/>
  <c r="AC8" i="11" s="1"/>
  <c r="A8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L7" i="11"/>
  <c r="K7" i="11"/>
  <c r="J7" i="11"/>
  <c r="G7" i="11"/>
  <c r="F7" i="11"/>
  <c r="D7" i="11"/>
  <c r="C7" i="11"/>
  <c r="E7" i="11" s="1" a="1"/>
  <c r="B7" i="11"/>
  <c r="AC7" i="11" s="1"/>
  <c r="A7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L6" i="11"/>
  <c r="K6" i="11"/>
  <c r="J6" i="11"/>
  <c r="AD6" i="11" s="1"/>
  <c r="G6" i="11"/>
  <c r="F6" i="11"/>
  <c r="D6" i="11"/>
  <c r="C6" i="11"/>
  <c r="E6" i="11" s="1" a="1"/>
  <c r="B6" i="11"/>
  <c r="AC6" i="11" s="1"/>
  <c r="A6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L5" i="11"/>
  <c r="K5" i="11"/>
  <c r="J5" i="11"/>
  <c r="G5" i="11"/>
  <c r="F5" i="11"/>
  <c r="D5" i="11"/>
  <c r="C5" i="11"/>
  <c r="E5" i="11" s="1" a="1"/>
  <c r="B5" i="11"/>
  <c r="AC5" i="11" s="1"/>
  <c r="A5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K4" i="11"/>
  <c r="J4" i="11"/>
  <c r="AD4" i="11" s="1"/>
  <c r="G4" i="11"/>
  <c r="F4" i="11"/>
  <c r="D4" i="11"/>
  <c r="C4" i="11"/>
  <c r="E4" i="11" s="1" a="1"/>
  <c r="B4" i="11"/>
  <c r="AC4" i="11" s="1"/>
  <c r="A4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K3" i="11"/>
  <c r="J3" i="11"/>
  <c r="G3" i="11"/>
  <c r="F3" i="11"/>
  <c r="D3" i="11"/>
  <c r="C3" i="11"/>
  <c r="E3" i="11" s="1" a="1"/>
  <c r="B3" i="11"/>
  <c r="AC3" i="11" s="1"/>
  <c r="A3" i="11"/>
  <c r="AK2" i="11"/>
  <c r="AK1" i="11" a="1"/>
  <c r="G219" i="9"/>
  <c r="I219" i="9" s="1"/>
  <c r="J466" i="9"/>
  <c r="AK2" i="9"/>
  <c r="AK1" i="9" a="1"/>
  <c r="Z652" i="9"/>
  <c r="Y652" i="9"/>
  <c r="X652" i="9"/>
  <c r="W652" i="9"/>
  <c r="V652" i="9"/>
  <c r="U652" i="9"/>
  <c r="T652" i="9"/>
  <c r="S652" i="9"/>
  <c r="R652" i="9"/>
  <c r="Q652" i="9"/>
  <c r="P652" i="9"/>
  <c r="O652" i="9"/>
  <c r="N652" i="9"/>
  <c r="L652" i="9"/>
  <c r="K652" i="9"/>
  <c r="J652" i="9"/>
  <c r="AD652" i="9" s="1"/>
  <c r="G652" i="9"/>
  <c r="F652" i="9"/>
  <c r="D652" i="9"/>
  <c r="C652" i="9"/>
  <c r="E652" i="9" s="1" a="1"/>
  <c r="B652" i="9"/>
  <c r="AC652" i="9" s="1"/>
  <c r="A652" i="9"/>
  <c r="Z651" i="9"/>
  <c r="Y651" i="9"/>
  <c r="X651" i="9"/>
  <c r="W651" i="9"/>
  <c r="V651" i="9"/>
  <c r="U651" i="9"/>
  <c r="T651" i="9"/>
  <c r="S651" i="9"/>
  <c r="R651" i="9"/>
  <c r="Q651" i="9"/>
  <c r="P651" i="9"/>
  <c r="O651" i="9"/>
  <c r="N651" i="9"/>
  <c r="L651" i="9"/>
  <c r="K651" i="9"/>
  <c r="J651" i="9"/>
  <c r="AD651" i="9" s="1"/>
  <c r="G651" i="9"/>
  <c r="I651" i="9" s="1"/>
  <c r="F651" i="9"/>
  <c r="D651" i="9"/>
  <c r="C651" i="9"/>
  <c r="E651" i="9" s="1" a="1"/>
  <c r="B651" i="9"/>
  <c r="AC651" i="9" s="1"/>
  <c r="A651" i="9"/>
  <c r="Z650" i="9"/>
  <c r="Y650" i="9"/>
  <c r="X650" i="9"/>
  <c r="W650" i="9"/>
  <c r="V650" i="9"/>
  <c r="U650" i="9"/>
  <c r="T650" i="9"/>
  <c r="S650" i="9"/>
  <c r="R650" i="9"/>
  <c r="Q650" i="9"/>
  <c r="P650" i="9"/>
  <c r="O650" i="9"/>
  <c r="N650" i="9"/>
  <c r="L650" i="9"/>
  <c r="K650" i="9"/>
  <c r="J650" i="9"/>
  <c r="AD650" i="9" s="1"/>
  <c r="G650" i="9"/>
  <c r="H650" i="9" s="1" a="1"/>
  <c r="F650" i="9"/>
  <c r="D650" i="9"/>
  <c r="C650" i="9"/>
  <c r="E650" i="9" s="1" a="1"/>
  <c r="B650" i="9"/>
  <c r="AC650" i="9" s="1"/>
  <c r="A650" i="9"/>
  <c r="Z649" i="9"/>
  <c r="Y649" i="9"/>
  <c r="X649" i="9"/>
  <c r="W649" i="9"/>
  <c r="V649" i="9"/>
  <c r="U649" i="9"/>
  <c r="T649" i="9"/>
  <c r="S649" i="9"/>
  <c r="R649" i="9"/>
  <c r="Q649" i="9"/>
  <c r="P649" i="9"/>
  <c r="O649" i="9"/>
  <c r="N649" i="9"/>
  <c r="L649" i="9"/>
  <c r="K649" i="9"/>
  <c r="J649" i="9"/>
  <c r="AD649" i="9" s="1"/>
  <c r="G649" i="9"/>
  <c r="F649" i="9"/>
  <c r="D649" i="9"/>
  <c r="C649" i="9"/>
  <c r="E649" i="9" s="1" a="1"/>
  <c r="B649" i="9"/>
  <c r="AC649" i="9" s="1"/>
  <c r="A649" i="9"/>
  <c r="Z648" i="9"/>
  <c r="Y648" i="9"/>
  <c r="X648" i="9"/>
  <c r="W648" i="9"/>
  <c r="V648" i="9"/>
  <c r="U648" i="9"/>
  <c r="T648" i="9"/>
  <c r="S648" i="9"/>
  <c r="R648" i="9"/>
  <c r="Q648" i="9"/>
  <c r="P648" i="9"/>
  <c r="O648" i="9"/>
  <c r="N648" i="9"/>
  <c r="L648" i="9"/>
  <c r="K648" i="9"/>
  <c r="J648" i="9"/>
  <c r="AD648" i="9" s="1"/>
  <c r="G648" i="9"/>
  <c r="F648" i="9"/>
  <c r="D648" i="9"/>
  <c r="C648" i="9"/>
  <c r="E648" i="9" s="1" a="1"/>
  <c r="B648" i="9"/>
  <c r="AC648" i="9" s="1"/>
  <c r="A648" i="9"/>
  <c r="Z647" i="9"/>
  <c r="Y647" i="9"/>
  <c r="X647" i="9"/>
  <c r="W647" i="9"/>
  <c r="V647" i="9"/>
  <c r="U647" i="9"/>
  <c r="T647" i="9"/>
  <c r="S647" i="9"/>
  <c r="R647" i="9"/>
  <c r="Q647" i="9"/>
  <c r="P647" i="9"/>
  <c r="O647" i="9"/>
  <c r="N647" i="9"/>
  <c r="L647" i="9"/>
  <c r="K647" i="9"/>
  <c r="J647" i="9"/>
  <c r="AD647" i="9" s="1"/>
  <c r="G647" i="9"/>
  <c r="H647" i="9" s="1" a="1"/>
  <c r="F647" i="9"/>
  <c r="D647" i="9"/>
  <c r="C647" i="9"/>
  <c r="E647" i="9" s="1" a="1"/>
  <c r="B647" i="9"/>
  <c r="AC647" i="9" s="1"/>
  <c r="A647" i="9"/>
  <c r="Z646" i="9"/>
  <c r="Y646" i="9"/>
  <c r="X646" i="9"/>
  <c r="W646" i="9"/>
  <c r="V646" i="9"/>
  <c r="U646" i="9"/>
  <c r="T646" i="9"/>
  <c r="S646" i="9"/>
  <c r="R646" i="9"/>
  <c r="Q646" i="9"/>
  <c r="P646" i="9"/>
  <c r="O646" i="9"/>
  <c r="N646" i="9"/>
  <c r="L646" i="9"/>
  <c r="K646" i="9"/>
  <c r="J646" i="9"/>
  <c r="AD646" i="9" s="1"/>
  <c r="G646" i="9"/>
  <c r="H646" i="9" s="1" a="1"/>
  <c r="F646" i="9"/>
  <c r="D646" i="9"/>
  <c r="C646" i="9"/>
  <c r="E646" i="9" s="1" a="1"/>
  <c r="B646" i="9"/>
  <c r="AC646" i="9" s="1"/>
  <c r="A646" i="9"/>
  <c r="Z645" i="9"/>
  <c r="Y645" i="9"/>
  <c r="X645" i="9"/>
  <c r="W645" i="9"/>
  <c r="V645" i="9"/>
  <c r="U645" i="9"/>
  <c r="T645" i="9"/>
  <c r="S645" i="9"/>
  <c r="R645" i="9"/>
  <c r="Q645" i="9"/>
  <c r="P645" i="9"/>
  <c r="O645" i="9"/>
  <c r="N645" i="9"/>
  <c r="L645" i="9"/>
  <c r="K645" i="9"/>
  <c r="J645" i="9"/>
  <c r="AD645" i="9" s="1"/>
  <c r="G645" i="9"/>
  <c r="H645" i="9" s="1" a="1"/>
  <c r="F645" i="9"/>
  <c r="D645" i="9"/>
  <c r="C645" i="9"/>
  <c r="E645" i="9" s="1" a="1"/>
  <c r="B645" i="9"/>
  <c r="AC645" i="9" s="1"/>
  <c r="A645" i="9"/>
  <c r="Z644" i="9"/>
  <c r="Y644" i="9"/>
  <c r="X644" i="9"/>
  <c r="W644" i="9"/>
  <c r="V644" i="9"/>
  <c r="U644" i="9"/>
  <c r="T644" i="9"/>
  <c r="S644" i="9"/>
  <c r="R644" i="9"/>
  <c r="Q644" i="9"/>
  <c r="P644" i="9"/>
  <c r="O644" i="9"/>
  <c r="N644" i="9"/>
  <c r="L644" i="9"/>
  <c r="K644" i="9"/>
  <c r="J644" i="9"/>
  <c r="AD644" i="9" s="1"/>
  <c r="G644" i="9"/>
  <c r="H644" i="9" s="1" a="1"/>
  <c r="F644" i="9"/>
  <c r="D644" i="9"/>
  <c r="C644" i="9"/>
  <c r="E644" i="9" s="1" a="1"/>
  <c r="B644" i="9"/>
  <c r="AC644" i="9" s="1"/>
  <c r="A644" i="9"/>
  <c r="Z643" i="9"/>
  <c r="Y643" i="9"/>
  <c r="X643" i="9"/>
  <c r="W643" i="9"/>
  <c r="V643" i="9"/>
  <c r="U643" i="9"/>
  <c r="T643" i="9"/>
  <c r="S643" i="9"/>
  <c r="R643" i="9"/>
  <c r="Q643" i="9"/>
  <c r="P643" i="9"/>
  <c r="O643" i="9"/>
  <c r="N643" i="9"/>
  <c r="L643" i="9"/>
  <c r="K643" i="9"/>
  <c r="J643" i="9"/>
  <c r="AD643" i="9" s="1"/>
  <c r="G643" i="9"/>
  <c r="H643" i="9" s="1" a="1"/>
  <c r="F643" i="9"/>
  <c r="D643" i="9"/>
  <c r="C643" i="9"/>
  <c r="E643" i="9" s="1" a="1"/>
  <c r="B643" i="9"/>
  <c r="AC643" i="9" s="1"/>
  <c r="A643" i="9"/>
  <c r="Z642" i="9"/>
  <c r="Y642" i="9"/>
  <c r="X642" i="9"/>
  <c r="W642" i="9"/>
  <c r="V642" i="9"/>
  <c r="U642" i="9"/>
  <c r="T642" i="9"/>
  <c r="S642" i="9"/>
  <c r="R642" i="9"/>
  <c r="Q642" i="9"/>
  <c r="P642" i="9"/>
  <c r="O642" i="9"/>
  <c r="N642" i="9"/>
  <c r="L642" i="9"/>
  <c r="K642" i="9"/>
  <c r="J642" i="9"/>
  <c r="AD642" i="9" s="1"/>
  <c r="G642" i="9"/>
  <c r="H642" i="9" s="1" a="1"/>
  <c r="F642" i="9"/>
  <c r="D642" i="9"/>
  <c r="C642" i="9"/>
  <c r="E642" i="9" s="1" a="1"/>
  <c r="B642" i="9"/>
  <c r="AC642" i="9" s="1"/>
  <c r="A642" i="9"/>
  <c r="Z641" i="9"/>
  <c r="Y641" i="9"/>
  <c r="X641" i="9"/>
  <c r="W641" i="9"/>
  <c r="V641" i="9"/>
  <c r="U641" i="9"/>
  <c r="T641" i="9"/>
  <c r="S641" i="9"/>
  <c r="R641" i="9"/>
  <c r="Q641" i="9"/>
  <c r="P641" i="9"/>
  <c r="O641" i="9"/>
  <c r="N641" i="9"/>
  <c r="L641" i="9"/>
  <c r="K641" i="9"/>
  <c r="J641" i="9"/>
  <c r="AD641" i="9" s="1"/>
  <c r="G641" i="9"/>
  <c r="F641" i="9"/>
  <c r="D641" i="9"/>
  <c r="C641" i="9"/>
  <c r="E641" i="9" s="1" a="1"/>
  <c r="B641" i="9"/>
  <c r="AC641" i="9" s="1"/>
  <c r="A641" i="9"/>
  <c r="Z640" i="9"/>
  <c r="Y640" i="9"/>
  <c r="X640" i="9"/>
  <c r="W640" i="9"/>
  <c r="V640" i="9"/>
  <c r="U640" i="9"/>
  <c r="T640" i="9"/>
  <c r="S640" i="9"/>
  <c r="R640" i="9"/>
  <c r="Q640" i="9"/>
  <c r="P640" i="9"/>
  <c r="O640" i="9"/>
  <c r="N640" i="9"/>
  <c r="L640" i="9"/>
  <c r="K640" i="9"/>
  <c r="J640" i="9"/>
  <c r="AD640" i="9" s="1"/>
  <c r="G640" i="9"/>
  <c r="H640" i="9" s="1" a="1"/>
  <c r="F640" i="9"/>
  <c r="D640" i="9"/>
  <c r="C640" i="9"/>
  <c r="E640" i="9" s="1" a="1"/>
  <c r="B640" i="9"/>
  <c r="AC640" i="9" s="1"/>
  <c r="A640" i="9"/>
  <c r="Z639" i="9"/>
  <c r="Y639" i="9"/>
  <c r="X639" i="9"/>
  <c r="W639" i="9"/>
  <c r="V639" i="9"/>
  <c r="U639" i="9"/>
  <c r="T639" i="9"/>
  <c r="S639" i="9"/>
  <c r="R639" i="9"/>
  <c r="Q639" i="9"/>
  <c r="P639" i="9"/>
  <c r="O639" i="9"/>
  <c r="N639" i="9"/>
  <c r="L639" i="9"/>
  <c r="K639" i="9"/>
  <c r="J639" i="9"/>
  <c r="AD639" i="9" s="1"/>
  <c r="G639" i="9"/>
  <c r="H639" i="9" s="1" a="1"/>
  <c r="F639" i="9"/>
  <c r="D639" i="9"/>
  <c r="C639" i="9"/>
  <c r="E639" i="9" s="1" a="1"/>
  <c r="B639" i="9"/>
  <c r="AC639" i="9" s="1"/>
  <c r="A639" i="9"/>
  <c r="Z638" i="9"/>
  <c r="Y638" i="9"/>
  <c r="X638" i="9"/>
  <c r="W638" i="9"/>
  <c r="V638" i="9"/>
  <c r="U638" i="9"/>
  <c r="T638" i="9"/>
  <c r="S638" i="9"/>
  <c r="R638" i="9"/>
  <c r="Q638" i="9"/>
  <c r="P638" i="9"/>
  <c r="O638" i="9"/>
  <c r="N638" i="9"/>
  <c r="L638" i="9"/>
  <c r="K638" i="9"/>
  <c r="J638" i="9"/>
  <c r="AD638" i="9" s="1"/>
  <c r="G638" i="9"/>
  <c r="H638" i="9" s="1" a="1"/>
  <c r="F638" i="9"/>
  <c r="D638" i="9"/>
  <c r="C638" i="9"/>
  <c r="E638" i="9" s="1" a="1"/>
  <c r="B638" i="9"/>
  <c r="AC638" i="9" s="1"/>
  <c r="A638" i="9"/>
  <c r="Z637" i="9"/>
  <c r="Y637" i="9"/>
  <c r="X637" i="9"/>
  <c r="W637" i="9"/>
  <c r="V637" i="9"/>
  <c r="U637" i="9"/>
  <c r="T637" i="9"/>
  <c r="S637" i="9"/>
  <c r="R637" i="9"/>
  <c r="Q637" i="9"/>
  <c r="P637" i="9"/>
  <c r="O637" i="9"/>
  <c r="N637" i="9"/>
  <c r="L637" i="9"/>
  <c r="K637" i="9"/>
  <c r="J637" i="9"/>
  <c r="AD637" i="9" s="1"/>
  <c r="G637" i="9"/>
  <c r="I637" i="9" s="1"/>
  <c r="F637" i="9"/>
  <c r="D637" i="9"/>
  <c r="C637" i="9"/>
  <c r="E637" i="9" s="1" a="1"/>
  <c r="B637" i="9"/>
  <c r="AC637" i="9" s="1"/>
  <c r="A637" i="9"/>
  <c r="Z636" i="9"/>
  <c r="Y636" i="9"/>
  <c r="X636" i="9"/>
  <c r="W636" i="9"/>
  <c r="V636" i="9"/>
  <c r="U636" i="9"/>
  <c r="T636" i="9"/>
  <c r="S636" i="9"/>
  <c r="R636" i="9"/>
  <c r="Q636" i="9"/>
  <c r="P636" i="9"/>
  <c r="O636" i="9"/>
  <c r="N636" i="9"/>
  <c r="L636" i="9"/>
  <c r="K636" i="9"/>
  <c r="J636" i="9"/>
  <c r="AD636" i="9" s="1"/>
  <c r="G636" i="9"/>
  <c r="I636" i="9" s="1"/>
  <c r="F636" i="9"/>
  <c r="D636" i="9"/>
  <c r="C636" i="9"/>
  <c r="E636" i="9" s="1" a="1"/>
  <c r="B636" i="9"/>
  <c r="AC636" i="9" s="1"/>
  <c r="A636" i="9"/>
  <c r="Z635" i="9"/>
  <c r="Y635" i="9"/>
  <c r="X635" i="9"/>
  <c r="W635" i="9"/>
  <c r="V635" i="9"/>
  <c r="U635" i="9"/>
  <c r="T635" i="9"/>
  <c r="S635" i="9"/>
  <c r="R635" i="9"/>
  <c r="Q635" i="9"/>
  <c r="P635" i="9"/>
  <c r="O635" i="9"/>
  <c r="N635" i="9"/>
  <c r="L635" i="9"/>
  <c r="K635" i="9"/>
  <c r="J635" i="9"/>
  <c r="AD635" i="9" s="1"/>
  <c r="G635" i="9"/>
  <c r="H635" i="9" s="1" a="1"/>
  <c r="F635" i="9"/>
  <c r="D635" i="9"/>
  <c r="C635" i="9"/>
  <c r="E635" i="9" s="1" a="1"/>
  <c r="B635" i="9"/>
  <c r="AC635" i="9" s="1"/>
  <c r="A635" i="9"/>
  <c r="Z634" i="9"/>
  <c r="Y634" i="9"/>
  <c r="X634" i="9"/>
  <c r="W634" i="9"/>
  <c r="V634" i="9"/>
  <c r="U634" i="9"/>
  <c r="T634" i="9"/>
  <c r="S634" i="9"/>
  <c r="R634" i="9"/>
  <c r="Q634" i="9"/>
  <c r="P634" i="9"/>
  <c r="O634" i="9"/>
  <c r="N634" i="9"/>
  <c r="L634" i="9"/>
  <c r="K634" i="9"/>
  <c r="J634" i="9"/>
  <c r="AD634" i="9" s="1"/>
  <c r="G634" i="9"/>
  <c r="H634" i="9" s="1" a="1"/>
  <c r="F634" i="9"/>
  <c r="D634" i="9"/>
  <c r="C634" i="9"/>
  <c r="E634" i="9" s="1" a="1"/>
  <c r="B634" i="9"/>
  <c r="AC634" i="9" s="1"/>
  <c r="A634" i="9"/>
  <c r="Z633" i="9"/>
  <c r="Y633" i="9"/>
  <c r="X633" i="9"/>
  <c r="W633" i="9"/>
  <c r="V633" i="9"/>
  <c r="U633" i="9"/>
  <c r="T633" i="9"/>
  <c r="S633" i="9"/>
  <c r="R633" i="9"/>
  <c r="Q633" i="9"/>
  <c r="P633" i="9"/>
  <c r="O633" i="9"/>
  <c r="N633" i="9"/>
  <c r="L633" i="9"/>
  <c r="K633" i="9"/>
  <c r="J633" i="9"/>
  <c r="AD633" i="9" s="1"/>
  <c r="G633" i="9"/>
  <c r="F633" i="9"/>
  <c r="D633" i="9"/>
  <c r="C633" i="9"/>
  <c r="E633" i="9" s="1" a="1"/>
  <c r="B633" i="9"/>
  <c r="AC633" i="9" s="1"/>
  <c r="A633" i="9"/>
  <c r="Z632" i="9"/>
  <c r="Y632" i="9"/>
  <c r="X632" i="9"/>
  <c r="W632" i="9"/>
  <c r="V632" i="9"/>
  <c r="U632" i="9"/>
  <c r="T632" i="9"/>
  <c r="S632" i="9"/>
  <c r="R632" i="9"/>
  <c r="Q632" i="9"/>
  <c r="P632" i="9"/>
  <c r="O632" i="9"/>
  <c r="N632" i="9"/>
  <c r="L632" i="9"/>
  <c r="K632" i="9"/>
  <c r="J632" i="9"/>
  <c r="AD632" i="9" s="1"/>
  <c r="G632" i="9"/>
  <c r="I632" i="9" s="1"/>
  <c r="F632" i="9"/>
  <c r="D632" i="9"/>
  <c r="C632" i="9"/>
  <c r="E632" i="9" s="1" a="1"/>
  <c r="B632" i="9"/>
  <c r="AC632" i="9" s="1"/>
  <c r="A632" i="9"/>
  <c r="Z631" i="9"/>
  <c r="Y631" i="9"/>
  <c r="X631" i="9"/>
  <c r="W631" i="9"/>
  <c r="V631" i="9"/>
  <c r="U631" i="9"/>
  <c r="T631" i="9"/>
  <c r="S631" i="9"/>
  <c r="R631" i="9"/>
  <c r="Q631" i="9"/>
  <c r="P631" i="9"/>
  <c r="O631" i="9"/>
  <c r="N631" i="9"/>
  <c r="L631" i="9"/>
  <c r="K631" i="9"/>
  <c r="J631" i="9"/>
  <c r="AD631" i="9" s="1"/>
  <c r="G631" i="9"/>
  <c r="H631" i="9" s="1" a="1"/>
  <c r="F631" i="9"/>
  <c r="D631" i="9"/>
  <c r="C631" i="9"/>
  <c r="E631" i="9" s="1" a="1"/>
  <c r="B631" i="9"/>
  <c r="AC631" i="9" s="1"/>
  <c r="A631" i="9"/>
  <c r="Z630" i="9"/>
  <c r="Y630" i="9"/>
  <c r="X630" i="9"/>
  <c r="W630" i="9"/>
  <c r="V630" i="9"/>
  <c r="U630" i="9"/>
  <c r="T630" i="9"/>
  <c r="S630" i="9"/>
  <c r="R630" i="9"/>
  <c r="Q630" i="9"/>
  <c r="P630" i="9"/>
  <c r="O630" i="9"/>
  <c r="N630" i="9"/>
  <c r="L630" i="9"/>
  <c r="K630" i="9"/>
  <c r="J630" i="9"/>
  <c r="AD630" i="9" s="1"/>
  <c r="G630" i="9"/>
  <c r="F630" i="9"/>
  <c r="D630" i="9"/>
  <c r="C630" i="9"/>
  <c r="E630" i="9" s="1" a="1"/>
  <c r="B630" i="9"/>
  <c r="AC630" i="9" s="1"/>
  <c r="A630" i="9"/>
  <c r="Z629" i="9"/>
  <c r="Y629" i="9"/>
  <c r="X629" i="9"/>
  <c r="W629" i="9"/>
  <c r="V629" i="9"/>
  <c r="U629" i="9"/>
  <c r="T629" i="9"/>
  <c r="S629" i="9"/>
  <c r="R629" i="9"/>
  <c r="Q629" i="9"/>
  <c r="P629" i="9"/>
  <c r="O629" i="9"/>
  <c r="N629" i="9"/>
  <c r="L629" i="9"/>
  <c r="K629" i="9"/>
  <c r="J629" i="9"/>
  <c r="AD629" i="9" s="1"/>
  <c r="G629" i="9"/>
  <c r="H629" i="9" s="1" a="1"/>
  <c r="F629" i="9"/>
  <c r="D629" i="9"/>
  <c r="C629" i="9"/>
  <c r="E629" i="9" s="1" a="1"/>
  <c r="B629" i="9"/>
  <c r="AC629" i="9" s="1"/>
  <c r="A629" i="9"/>
  <c r="Z628" i="9"/>
  <c r="Y628" i="9"/>
  <c r="X628" i="9"/>
  <c r="W628" i="9"/>
  <c r="V628" i="9"/>
  <c r="U628" i="9"/>
  <c r="T628" i="9"/>
  <c r="S628" i="9"/>
  <c r="R628" i="9"/>
  <c r="Q628" i="9"/>
  <c r="P628" i="9"/>
  <c r="O628" i="9"/>
  <c r="N628" i="9"/>
  <c r="L628" i="9"/>
  <c r="K628" i="9"/>
  <c r="J628" i="9"/>
  <c r="AD628" i="9" s="1"/>
  <c r="G628" i="9"/>
  <c r="H628" i="9" s="1" a="1"/>
  <c r="F628" i="9"/>
  <c r="D628" i="9"/>
  <c r="C628" i="9"/>
  <c r="E628" i="9" s="1" a="1"/>
  <c r="B628" i="9"/>
  <c r="AC628" i="9" s="1"/>
  <c r="A628" i="9"/>
  <c r="Z627" i="9"/>
  <c r="Y627" i="9"/>
  <c r="X627" i="9"/>
  <c r="W627" i="9"/>
  <c r="V627" i="9"/>
  <c r="U627" i="9"/>
  <c r="T627" i="9"/>
  <c r="S627" i="9"/>
  <c r="R627" i="9"/>
  <c r="Q627" i="9"/>
  <c r="P627" i="9"/>
  <c r="O627" i="9"/>
  <c r="N627" i="9"/>
  <c r="L627" i="9"/>
  <c r="K627" i="9"/>
  <c r="J627" i="9"/>
  <c r="AD627" i="9" s="1"/>
  <c r="G627" i="9"/>
  <c r="H627" i="9" s="1" a="1"/>
  <c r="F627" i="9"/>
  <c r="D627" i="9"/>
  <c r="C627" i="9"/>
  <c r="E627" i="9" s="1" a="1"/>
  <c r="B627" i="9"/>
  <c r="AC627" i="9" s="1"/>
  <c r="A627" i="9"/>
  <c r="Z626" i="9"/>
  <c r="Y626" i="9"/>
  <c r="X626" i="9"/>
  <c r="W626" i="9"/>
  <c r="V626" i="9"/>
  <c r="U626" i="9"/>
  <c r="T626" i="9"/>
  <c r="S626" i="9"/>
  <c r="R626" i="9"/>
  <c r="Q626" i="9"/>
  <c r="P626" i="9"/>
  <c r="O626" i="9"/>
  <c r="N626" i="9"/>
  <c r="L626" i="9"/>
  <c r="K626" i="9"/>
  <c r="J626" i="9"/>
  <c r="AD626" i="9" s="1"/>
  <c r="G626" i="9"/>
  <c r="H626" i="9" s="1" a="1"/>
  <c r="F626" i="9"/>
  <c r="D626" i="9"/>
  <c r="C626" i="9"/>
  <c r="E626" i="9" s="1" a="1"/>
  <c r="B626" i="9"/>
  <c r="AC626" i="9" s="1"/>
  <c r="A626" i="9"/>
  <c r="Z625" i="9"/>
  <c r="Y625" i="9"/>
  <c r="X625" i="9"/>
  <c r="W625" i="9"/>
  <c r="V625" i="9"/>
  <c r="U625" i="9"/>
  <c r="T625" i="9"/>
  <c r="S625" i="9"/>
  <c r="R625" i="9"/>
  <c r="Q625" i="9"/>
  <c r="P625" i="9"/>
  <c r="O625" i="9"/>
  <c r="N625" i="9"/>
  <c r="L625" i="9"/>
  <c r="K625" i="9"/>
  <c r="J625" i="9"/>
  <c r="AD625" i="9" s="1"/>
  <c r="G625" i="9"/>
  <c r="I625" i="9" s="1"/>
  <c r="F625" i="9"/>
  <c r="D625" i="9"/>
  <c r="C625" i="9"/>
  <c r="E625" i="9" s="1" a="1"/>
  <c r="B625" i="9"/>
  <c r="AC625" i="9" s="1"/>
  <c r="A625" i="9"/>
  <c r="Z624" i="9"/>
  <c r="Y624" i="9"/>
  <c r="X624" i="9"/>
  <c r="W624" i="9"/>
  <c r="V624" i="9"/>
  <c r="U624" i="9"/>
  <c r="T624" i="9"/>
  <c r="S624" i="9"/>
  <c r="R624" i="9"/>
  <c r="Q624" i="9"/>
  <c r="P624" i="9"/>
  <c r="O624" i="9"/>
  <c r="N624" i="9"/>
  <c r="L624" i="9"/>
  <c r="K624" i="9"/>
  <c r="J624" i="9"/>
  <c r="AD624" i="9" s="1"/>
  <c r="G624" i="9"/>
  <c r="F624" i="9"/>
  <c r="D624" i="9"/>
  <c r="C624" i="9"/>
  <c r="E624" i="9" s="1" a="1"/>
  <c r="B624" i="9"/>
  <c r="AC624" i="9" s="1"/>
  <c r="A624" i="9"/>
  <c r="Z623" i="9"/>
  <c r="Y623" i="9"/>
  <c r="X623" i="9"/>
  <c r="W623" i="9"/>
  <c r="V623" i="9"/>
  <c r="U623" i="9"/>
  <c r="T623" i="9"/>
  <c r="S623" i="9"/>
  <c r="R623" i="9"/>
  <c r="Q623" i="9"/>
  <c r="P623" i="9"/>
  <c r="O623" i="9"/>
  <c r="N623" i="9"/>
  <c r="L623" i="9"/>
  <c r="K623" i="9"/>
  <c r="J623" i="9"/>
  <c r="AD623" i="9" s="1"/>
  <c r="G623" i="9"/>
  <c r="H623" i="9" s="1" a="1"/>
  <c r="F623" i="9"/>
  <c r="D623" i="9"/>
  <c r="C623" i="9"/>
  <c r="E623" i="9" s="1" a="1"/>
  <c r="B623" i="9"/>
  <c r="AC623" i="9" s="1"/>
  <c r="A623" i="9"/>
  <c r="Z622" i="9"/>
  <c r="Y622" i="9"/>
  <c r="X622" i="9"/>
  <c r="W622" i="9"/>
  <c r="V622" i="9"/>
  <c r="U622" i="9"/>
  <c r="T622" i="9"/>
  <c r="S622" i="9"/>
  <c r="R622" i="9"/>
  <c r="Q622" i="9"/>
  <c r="P622" i="9"/>
  <c r="O622" i="9"/>
  <c r="N622" i="9"/>
  <c r="L622" i="9"/>
  <c r="K622" i="9"/>
  <c r="J622" i="9"/>
  <c r="AD622" i="9" s="1"/>
  <c r="G622" i="9"/>
  <c r="F622" i="9"/>
  <c r="D622" i="9"/>
  <c r="C622" i="9"/>
  <c r="E622" i="9" s="1" a="1"/>
  <c r="B622" i="9"/>
  <c r="AC622" i="9" s="1"/>
  <c r="A622" i="9"/>
  <c r="Z621" i="9"/>
  <c r="Y621" i="9"/>
  <c r="X621" i="9"/>
  <c r="W621" i="9"/>
  <c r="V621" i="9"/>
  <c r="U621" i="9"/>
  <c r="T621" i="9"/>
  <c r="S621" i="9"/>
  <c r="R621" i="9"/>
  <c r="Q621" i="9"/>
  <c r="P621" i="9"/>
  <c r="O621" i="9"/>
  <c r="N621" i="9"/>
  <c r="L621" i="9"/>
  <c r="K621" i="9"/>
  <c r="J621" i="9"/>
  <c r="AD621" i="9" s="1"/>
  <c r="G621" i="9"/>
  <c r="I621" i="9" s="1"/>
  <c r="F621" i="9"/>
  <c r="D621" i="9"/>
  <c r="C621" i="9"/>
  <c r="E621" i="9" s="1" a="1"/>
  <c r="B621" i="9"/>
  <c r="AC621" i="9" s="1"/>
  <c r="A621" i="9"/>
  <c r="Z620" i="9"/>
  <c r="Y620" i="9"/>
  <c r="X620" i="9"/>
  <c r="W620" i="9"/>
  <c r="V620" i="9"/>
  <c r="U620" i="9"/>
  <c r="T620" i="9"/>
  <c r="S620" i="9"/>
  <c r="R620" i="9"/>
  <c r="Q620" i="9"/>
  <c r="P620" i="9"/>
  <c r="O620" i="9"/>
  <c r="N620" i="9"/>
  <c r="L620" i="9"/>
  <c r="K620" i="9"/>
  <c r="J620" i="9"/>
  <c r="AD620" i="9" s="1"/>
  <c r="G620" i="9"/>
  <c r="I620" i="9" s="1"/>
  <c r="F620" i="9"/>
  <c r="D620" i="9"/>
  <c r="C620" i="9"/>
  <c r="E620" i="9" s="1" a="1"/>
  <c r="B620" i="9"/>
  <c r="AC620" i="9" s="1"/>
  <c r="A620" i="9"/>
  <c r="Z619" i="9"/>
  <c r="Y619" i="9"/>
  <c r="X619" i="9"/>
  <c r="W619" i="9"/>
  <c r="V619" i="9"/>
  <c r="U619" i="9"/>
  <c r="T619" i="9"/>
  <c r="S619" i="9"/>
  <c r="R619" i="9"/>
  <c r="Q619" i="9"/>
  <c r="P619" i="9"/>
  <c r="O619" i="9"/>
  <c r="N619" i="9"/>
  <c r="L619" i="9"/>
  <c r="K619" i="9"/>
  <c r="J619" i="9"/>
  <c r="AD619" i="9" s="1"/>
  <c r="G619" i="9"/>
  <c r="H619" i="9" s="1" a="1"/>
  <c r="F619" i="9"/>
  <c r="D619" i="9"/>
  <c r="C619" i="9"/>
  <c r="E619" i="9" s="1" a="1"/>
  <c r="B619" i="9"/>
  <c r="AC619" i="9" s="1"/>
  <c r="A619" i="9"/>
  <c r="Z618" i="9"/>
  <c r="Y618" i="9"/>
  <c r="X618" i="9"/>
  <c r="W618" i="9"/>
  <c r="V618" i="9"/>
  <c r="U618" i="9"/>
  <c r="T618" i="9"/>
  <c r="S618" i="9"/>
  <c r="R618" i="9"/>
  <c r="Q618" i="9"/>
  <c r="P618" i="9"/>
  <c r="O618" i="9"/>
  <c r="N618" i="9"/>
  <c r="L618" i="9"/>
  <c r="K618" i="9"/>
  <c r="J618" i="9"/>
  <c r="AD618" i="9" s="1"/>
  <c r="G618" i="9"/>
  <c r="H618" i="9" s="1" a="1"/>
  <c r="F618" i="9"/>
  <c r="D618" i="9"/>
  <c r="C618" i="9"/>
  <c r="E618" i="9" s="1" a="1"/>
  <c r="B618" i="9"/>
  <c r="AC618" i="9" s="1"/>
  <c r="A618" i="9"/>
  <c r="Z617" i="9"/>
  <c r="Y617" i="9"/>
  <c r="X617" i="9"/>
  <c r="W617" i="9"/>
  <c r="V617" i="9"/>
  <c r="U617" i="9"/>
  <c r="T617" i="9"/>
  <c r="S617" i="9"/>
  <c r="R617" i="9"/>
  <c r="Q617" i="9"/>
  <c r="P617" i="9"/>
  <c r="O617" i="9"/>
  <c r="N617" i="9"/>
  <c r="L617" i="9"/>
  <c r="K617" i="9"/>
  <c r="J617" i="9"/>
  <c r="AD617" i="9" s="1"/>
  <c r="G617" i="9"/>
  <c r="F617" i="9"/>
  <c r="D617" i="9"/>
  <c r="C617" i="9"/>
  <c r="E617" i="9" s="1" a="1"/>
  <c r="B617" i="9"/>
  <c r="AC617" i="9" s="1"/>
  <c r="A617" i="9"/>
  <c r="Z616" i="9"/>
  <c r="Y616" i="9"/>
  <c r="X616" i="9"/>
  <c r="W616" i="9"/>
  <c r="V616" i="9"/>
  <c r="U616" i="9"/>
  <c r="T616" i="9"/>
  <c r="S616" i="9"/>
  <c r="R616" i="9"/>
  <c r="Q616" i="9"/>
  <c r="P616" i="9"/>
  <c r="O616" i="9"/>
  <c r="N616" i="9"/>
  <c r="L616" i="9"/>
  <c r="K616" i="9"/>
  <c r="J616" i="9"/>
  <c r="AD616" i="9" s="1"/>
  <c r="G616" i="9"/>
  <c r="F616" i="9"/>
  <c r="D616" i="9"/>
  <c r="C616" i="9"/>
  <c r="E616" i="9" s="1" a="1"/>
  <c r="B616" i="9"/>
  <c r="AC616" i="9" s="1"/>
  <c r="A616" i="9"/>
  <c r="Z615" i="9"/>
  <c r="Y615" i="9"/>
  <c r="X615" i="9"/>
  <c r="W615" i="9"/>
  <c r="V615" i="9"/>
  <c r="U615" i="9"/>
  <c r="T615" i="9"/>
  <c r="S615" i="9"/>
  <c r="R615" i="9"/>
  <c r="Q615" i="9"/>
  <c r="P615" i="9"/>
  <c r="O615" i="9"/>
  <c r="N615" i="9"/>
  <c r="L615" i="9"/>
  <c r="K615" i="9"/>
  <c r="J615" i="9"/>
  <c r="AD615" i="9" s="1"/>
  <c r="G615" i="9"/>
  <c r="H615" i="9" s="1" a="1"/>
  <c r="F615" i="9"/>
  <c r="D615" i="9"/>
  <c r="C615" i="9"/>
  <c r="E615" i="9" s="1" a="1"/>
  <c r="B615" i="9"/>
  <c r="AC615" i="9" s="1"/>
  <c r="A615" i="9"/>
  <c r="Z614" i="9"/>
  <c r="Y614" i="9"/>
  <c r="X614" i="9"/>
  <c r="W614" i="9"/>
  <c r="V614" i="9"/>
  <c r="U614" i="9"/>
  <c r="T614" i="9"/>
  <c r="S614" i="9"/>
  <c r="R614" i="9"/>
  <c r="Q614" i="9"/>
  <c r="P614" i="9"/>
  <c r="O614" i="9"/>
  <c r="N614" i="9"/>
  <c r="L614" i="9"/>
  <c r="K614" i="9"/>
  <c r="J614" i="9"/>
  <c r="AD614" i="9" s="1"/>
  <c r="G614" i="9"/>
  <c r="F614" i="9"/>
  <c r="D614" i="9"/>
  <c r="C614" i="9"/>
  <c r="E614" i="9" s="1" a="1"/>
  <c r="B614" i="9"/>
  <c r="AC614" i="9" s="1"/>
  <c r="A614" i="9"/>
  <c r="Z613" i="9"/>
  <c r="Y613" i="9"/>
  <c r="X613" i="9"/>
  <c r="W613" i="9"/>
  <c r="V613" i="9"/>
  <c r="U613" i="9"/>
  <c r="T613" i="9"/>
  <c r="S613" i="9"/>
  <c r="R613" i="9"/>
  <c r="Q613" i="9"/>
  <c r="P613" i="9"/>
  <c r="O613" i="9"/>
  <c r="N613" i="9"/>
  <c r="L613" i="9"/>
  <c r="K613" i="9"/>
  <c r="J613" i="9"/>
  <c r="AD613" i="9" s="1"/>
  <c r="G613" i="9"/>
  <c r="I613" i="9" s="1"/>
  <c r="F613" i="9"/>
  <c r="D613" i="9"/>
  <c r="C613" i="9"/>
  <c r="E613" i="9" s="1" a="1"/>
  <c r="B613" i="9"/>
  <c r="AC613" i="9" s="1"/>
  <c r="A613" i="9"/>
  <c r="Z612" i="9"/>
  <c r="Y612" i="9"/>
  <c r="X612" i="9"/>
  <c r="W612" i="9"/>
  <c r="V612" i="9"/>
  <c r="U612" i="9"/>
  <c r="T612" i="9"/>
  <c r="S612" i="9"/>
  <c r="R612" i="9"/>
  <c r="Q612" i="9"/>
  <c r="P612" i="9"/>
  <c r="O612" i="9"/>
  <c r="N612" i="9"/>
  <c r="L612" i="9"/>
  <c r="K612" i="9"/>
  <c r="J612" i="9"/>
  <c r="AD612" i="9" s="1"/>
  <c r="G612" i="9"/>
  <c r="H612" i="9" s="1" a="1"/>
  <c r="F612" i="9"/>
  <c r="D612" i="9"/>
  <c r="C612" i="9"/>
  <c r="E612" i="9" s="1" a="1"/>
  <c r="B612" i="9"/>
  <c r="AC612" i="9" s="1"/>
  <c r="A612" i="9"/>
  <c r="Z611" i="9"/>
  <c r="Y611" i="9"/>
  <c r="X611" i="9"/>
  <c r="W611" i="9"/>
  <c r="V611" i="9"/>
  <c r="U611" i="9"/>
  <c r="T611" i="9"/>
  <c r="S611" i="9"/>
  <c r="R611" i="9"/>
  <c r="Q611" i="9"/>
  <c r="P611" i="9"/>
  <c r="O611" i="9"/>
  <c r="N611" i="9"/>
  <c r="L611" i="9"/>
  <c r="K611" i="9"/>
  <c r="J611" i="9"/>
  <c r="AD611" i="9" s="1"/>
  <c r="G611" i="9"/>
  <c r="H611" i="9" s="1" a="1"/>
  <c r="F611" i="9"/>
  <c r="D611" i="9"/>
  <c r="C611" i="9"/>
  <c r="E611" i="9" s="1" a="1"/>
  <c r="B611" i="9"/>
  <c r="AC611" i="9" s="1"/>
  <c r="A611" i="9"/>
  <c r="Z610" i="9"/>
  <c r="Y610" i="9"/>
  <c r="X610" i="9"/>
  <c r="W610" i="9"/>
  <c r="V610" i="9"/>
  <c r="U610" i="9"/>
  <c r="T610" i="9"/>
  <c r="S610" i="9"/>
  <c r="R610" i="9"/>
  <c r="Q610" i="9"/>
  <c r="P610" i="9"/>
  <c r="O610" i="9"/>
  <c r="N610" i="9"/>
  <c r="L610" i="9"/>
  <c r="K610" i="9"/>
  <c r="J610" i="9"/>
  <c r="AD610" i="9" s="1"/>
  <c r="G610" i="9"/>
  <c r="H610" i="9" s="1" a="1"/>
  <c r="F610" i="9"/>
  <c r="D610" i="9"/>
  <c r="C610" i="9"/>
  <c r="E610" i="9" s="1" a="1"/>
  <c r="B610" i="9"/>
  <c r="AC610" i="9" s="1"/>
  <c r="A610" i="9"/>
  <c r="Z609" i="9"/>
  <c r="Y609" i="9"/>
  <c r="X609" i="9"/>
  <c r="W609" i="9"/>
  <c r="V609" i="9"/>
  <c r="U609" i="9"/>
  <c r="T609" i="9"/>
  <c r="S609" i="9"/>
  <c r="R609" i="9"/>
  <c r="Q609" i="9"/>
  <c r="P609" i="9"/>
  <c r="O609" i="9"/>
  <c r="N609" i="9"/>
  <c r="L609" i="9"/>
  <c r="K609" i="9"/>
  <c r="J609" i="9"/>
  <c r="AD609" i="9" s="1"/>
  <c r="G609" i="9"/>
  <c r="I609" i="9" s="1"/>
  <c r="F609" i="9"/>
  <c r="D609" i="9"/>
  <c r="C609" i="9"/>
  <c r="E609" i="9" s="1" a="1"/>
  <c r="B609" i="9"/>
  <c r="AC609" i="9" s="1"/>
  <c r="A609" i="9"/>
  <c r="Z608" i="9"/>
  <c r="Y608" i="9"/>
  <c r="X608" i="9"/>
  <c r="W608" i="9"/>
  <c r="V608" i="9"/>
  <c r="U608" i="9"/>
  <c r="T608" i="9"/>
  <c r="S608" i="9"/>
  <c r="R608" i="9"/>
  <c r="Q608" i="9"/>
  <c r="P608" i="9"/>
  <c r="O608" i="9"/>
  <c r="N608" i="9"/>
  <c r="L608" i="9"/>
  <c r="K608" i="9"/>
  <c r="J608" i="9"/>
  <c r="AD608" i="9" s="1"/>
  <c r="G608" i="9"/>
  <c r="H608" i="9" s="1" a="1"/>
  <c r="F608" i="9"/>
  <c r="D608" i="9"/>
  <c r="C608" i="9"/>
  <c r="E608" i="9" s="1" a="1"/>
  <c r="B608" i="9"/>
  <c r="AC608" i="9" s="1"/>
  <c r="A608" i="9"/>
  <c r="Z607" i="9"/>
  <c r="Y607" i="9"/>
  <c r="X607" i="9"/>
  <c r="W607" i="9"/>
  <c r="V607" i="9"/>
  <c r="U607" i="9"/>
  <c r="T607" i="9"/>
  <c r="S607" i="9"/>
  <c r="R607" i="9"/>
  <c r="Q607" i="9"/>
  <c r="P607" i="9"/>
  <c r="O607" i="9"/>
  <c r="N607" i="9"/>
  <c r="L607" i="9"/>
  <c r="K607" i="9"/>
  <c r="J607" i="9"/>
  <c r="AD607" i="9" s="1"/>
  <c r="G607" i="9"/>
  <c r="H607" i="9" s="1" a="1"/>
  <c r="F607" i="9"/>
  <c r="D607" i="9"/>
  <c r="C607" i="9"/>
  <c r="E607" i="9" s="1" a="1"/>
  <c r="B607" i="9"/>
  <c r="AC607" i="9" s="1"/>
  <c r="A607" i="9"/>
  <c r="Z606" i="9"/>
  <c r="Y606" i="9"/>
  <c r="X606" i="9"/>
  <c r="W606" i="9"/>
  <c r="V606" i="9"/>
  <c r="U606" i="9"/>
  <c r="T606" i="9"/>
  <c r="S606" i="9"/>
  <c r="R606" i="9"/>
  <c r="Q606" i="9"/>
  <c r="P606" i="9"/>
  <c r="O606" i="9"/>
  <c r="N606" i="9"/>
  <c r="L606" i="9"/>
  <c r="K606" i="9"/>
  <c r="J606" i="9"/>
  <c r="AD606" i="9" s="1"/>
  <c r="G606" i="9"/>
  <c r="H606" i="9" s="1" a="1"/>
  <c r="F606" i="9"/>
  <c r="D606" i="9"/>
  <c r="C606" i="9"/>
  <c r="E606" i="9" s="1" a="1"/>
  <c r="B606" i="9"/>
  <c r="AC606" i="9" s="1"/>
  <c r="A606" i="9"/>
  <c r="Z605" i="9"/>
  <c r="Y605" i="9"/>
  <c r="X605" i="9"/>
  <c r="W605" i="9"/>
  <c r="V605" i="9"/>
  <c r="U605" i="9"/>
  <c r="T605" i="9"/>
  <c r="S605" i="9"/>
  <c r="R605" i="9"/>
  <c r="Q605" i="9"/>
  <c r="P605" i="9"/>
  <c r="O605" i="9"/>
  <c r="N605" i="9"/>
  <c r="L605" i="9"/>
  <c r="K605" i="9"/>
  <c r="J605" i="9"/>
  <c r="AD605" i="9" s="1"/>
  <c r="G605" i="9"/>
  <c r="I605" i="9" s="1"/>
  <c r="F605" i="9"/>
  <c r="D605" i="9"/>
  <c r="C605" i="9"/>
  <c r="E605" i="9" s="1" a="1"/>
  <c r="B605" i="9"/>
  <c r="AC605" i="9" s="1"/>
  <c r="A605" i="9"/>
  <c r="Z604" i="9"/>
  <c r="Y604" i="9"/>
  <c r="X604" i="9"/>
  <c r="W604" i="9"/>
  <c r="V604" i="9"/>
  <c r="U604" i="9"/>
  <c r="T604" i="9"/>
  <c r="S604" i="9"/>
  <c r="R604" i="9"/>
  <c r="Q604" i="9"/>
  <c r="P604" i="9"/>
  <c r="O604" i="9"/>
  <c r="N604" i="9"/>
  <c r="L604" i="9"/>
  <c r="K604" i="9"/>
  <c r="J604" i="9"/>
  <c r="AD604" i="9" s="1"/>
  <c r="G604" i="9"/>
  <c r="I604" i="9" s="1"/>
  <c r="F604" i="9"/>
  <c r="D604" i="9"/>
  <c r="C604" i="9"/>
  <c r="E604" i="9" s="1" a="1"/>
  <c r="B604" i="9"/>
  <c r="AC604" i="9" s="1"/>
  <c r="A604" i="9"/>
  <c r="Z603" i="9"/>
  <c r="Y603" i="9"/>
  <c r="X603" i="9"/>
  <c r="W603" i="9"/>
  <c r="V603" i="9"/>
  <c r="U603" i="9"/>
  <c r="T603" i="9"/>
  <c r="S603" i="9"/>
  <c r="R603" i="9"/>
  <c r="Q603" i="9"/>
  <c r="P603" i="9"/>
  <c r="O603" i="9"/>
  <c r="N603" i="9"/>
  <c r="L603" i="9"/>
  <c r="K603" i="9"/>
  <c r="J603" i="9"/>
  <c r="AD603" i="9" s="1"/>
  <c r="G603" i="9"/>
  <c r="I603" i="9" s="1"/>
  <c r="F603" i="9"/>
  <c r="D603" i="9"/>
  <c r="C603" i="9"/>
  <c r="E603" i="9" s="1" a="1"/>
  <c r="B603" i="9"/>
  <c r="AC603" i="9" s="1"/>
  <c r="A603" i="9"/>
  <c r="Z602" i="9"/>
  <c r="Y602" i="9"/>
  <c r="X602" i="9"/>
  <c r="W602" i="9"/>
  <c r="V602" i="9"/>
  <c r="U602" i="9"/>
  <c r="T602" i="9"/>
  <c r="S602" i="9"/>
  <c r="R602" i="9"/>
  <c r="Q602" i="9"/>
  <c r="P602" i="9"/>
  <c r="O602" i="9"/>
  <c r="N602" i="9"/>
  <c r="L602" i="9"/>
  <c r="K602" i="9"/>
  <c r="J602" i="9"/>
  <c r="AD602" i="9" s="1"/>
  <c r="G602" i="9"/>
  <c r="H602" i="9" s="1" a="1"/>
  <c r="F602" i="9"/>
  <c r="D602" i="9"/>
  <c r="C602" i="9"/>
  <c r="E602" i="9" s="1" a="1"/>
  <c r="B602" i="9"/>
  <c r="AC602" i="9" s="1"/>
  <c r="A602" i="9"/>
  <c r="Z601" i="9"/>
  <c r="Y601" i="9"/>
  <c r="X601" i="9"/>
  <c r="W601" i="9"/>
  <c r="V601" i="9"/>
  <c r="U601" i="9"/>
  <c r="T601" i="9"/>
  <c r="S601" i="9"/>
  <c r="R601" i="9"/>
  <c r="Q601" i="9"/>
  <c r="P601" i="9"/>
  <c r="O601" i="9"/>
  <c r="N601" i="9"/>
  <c r="L601" i="9"/>
  <c r="K601" i="9"/>
  <c r="J601" i="9"/>
  <c r="AD601" i="9" s="1"/>
  <c r="G601" i="9"/>
  <c r="F601" i="9"/>
  <c r="D601" i="9"/>
  <c r="C601" i="9"/>
  <c r="E601" i="9" s="1" a="1"/>
  <c r="B601" i="9"/>
  <c r="AC601" i="9" s="1"/>
  <c r="A601" i="9"/>
  <c r="Z600" i="9"/>
  <c r="Y600" i="9"/>
  <c r="X600" i="9"/>
  <c r="W600" i="9"/>
  <c r="V600" i="9"/>
  <c r="U600" i="9"/>
  <c r="T600" i="9"/>
  <c r="S600" i="9"/>
  <c r="R600" i="9"/>
  <c r="Q600" i="9"/>
  <c r="P600" i="9"/>
  <c r="O600" i="9"/>
  <c r="N600" i="9"/>
  <c r="L600" i="9"/>
  <c r="K600" i="9"/>
  <c r="J600" i="9"/>
  <c r="AD600" i="9" s="1"/>
  <c r="G600" i="9"/>
  <c r="I600" i="9" s="1"/>
  <c r="F600" i="9"/>
  <c r="D600" i="9"/>
  <c r="C600" i="9"/>
  <c r="E600" i="9" s="1" a="1"/>
  <c r="B600" i="9"/>
  <c r="AC600" i="9" s="1"/>
  <c r="A600" i="9"/>
  <c r="Z599" i="9"/>
  <c r="Y599" i="9"/>
  <c r="X599" i="9"/>
  <c r="W599" i="9"/>
  <c r="V599" i="9"/>
  <c r="U599" i="9"/>
  <c r="T599" i="9"/>
  <c r="S599" i="9"/>
  <c r="R599" i="9"/>
  <c r="Q599" i="9"/>
  <c r="P599" i="9"/>
  <c r="O599" i="9"/>
  <c r="N599" i="9"/>
  <c r="L599" i="9"/>
  <c r="K599" i="9"/>
  <c r="J599" i="9"/>
  <c r="AD599" i="9" s="1"/>
  <c r="G599" i="9"/>
  <c r="I599" i="9" s="1"/>
  <c r="F599" i="9"/>
  <c r="D599" i="9"/>
  <c r="C599" i="9"/>
  <c r="E599" i="9" s="1" a="1"/>
  <c r="B599" i="9"/>
  <c r="AC599" i="9" s="1"/>
  <c r="A599" i="9"/>
  <c r="Z598" i="9"/>
  <c r="Y598" i="9"/>
  <c r="X598" i="9"/>
  <c r="W598" i="9"/>
  <c r="V598" i="9"/>
  <c r="U598" i="9"/>
  <c r="T598" i="9"/>
  <c r="S598" i="9"/>
  <c r="R598" i="9"/>
  <c r="Q598" i="9"/>
  <c r="P598" i="9"/>
  <c r="O598" i="9"/>
  <c r="N598" i="9"/>
  <c r="L598" i="9"/>
  <c r="K598" i="9"/>
  <c r="J598" i="9"/>
  <c r="AD598" i="9" s="1"/>
  <c r="G598" i="9"/>
  <c r="F598" i="9"/>
  <c r="D598" i="9"/>
  <c r="C598" i="9"/>
  <c r="E598" i="9" s="1" a="1"/>
  <c r="B598" i="9"/>
  <c r="AC598" i="9" s="1"/>
  <c r="A598" i="9"/>
  <c r="Z597" i="9"/>
  <c r="Y597" i="9"/>
  <c r="X597" i="9"/>
  <c r="W597" i="9"/>
  <c r="V597" i="9"/>
  <c r="U597" i="9"/>
  <c r="T597" i="9"/>
  <c r="S597" i="9"/>
  <c r="R597" i="9"/>
  <c r="Q597" i="9"/>
  <c r="P597" i="9"/>
  <c r="O597" i="9"/>
  <c r="N597" i="9"/>
  <c r="L597" i="9"/>
  <c r="K597" i="9"/>
  <c r="J597" i="9"/>
  <c r="AD597" i="9" s="1"/>
  <c r="G597" i="9"/>
  <c r="H597" i="9" s="1" a="1"/>
  <c r="F597" i="9"/>
  <c r="D597" i="9"/>
  <c r="C597" i="9"/>
  <c r="E597" i="9" s="1" a="1"/>
  <c r="B597" i="9"/>
  <c r="AC597" i="9" s="1"/>
  <c r="A597" i="9"/>
  <c r="Z596" i="9"/>
  <c r="Y596" i="9"/>
  <c r="X596" i="9"/>
  <c r="W596" i="9"/>
  <c r="V596" i="9"/>
  <c r="U596" i="9"/>
  <c r="T596" i="9"/>
  <c r="S596" i="9"/>
  <c r="R596" i="9"/>
  <c r="Q596" i="9"/>
  <c r="P596" i="9"/>
  <c r="O596" i="9"/>
  <c r="N596" i="9"/>
  <c r="L596" i="9"/>
  <c r="K596" i="9"/>
  <c r="J596" i="9"/>
  <c r="AD596" i="9" s="1"/>
  <c r="G596" i="9"/>
  <c r="F596" i="9"/>
  <c r="D596" i="9"/>
  <c r="C596" i="9"/>
  <c r="E596" i="9" s="1" a="1"/>
  <c r="B596" i="9"/>
  <c r="AC596" i="9" s="1"/>
  <c r="A596" i="9"/>
  <c r="Z595" i="9"/>
  <c r="Y595" i="9"/>
  <c r="X595" i="9"/>
  <c r="W595" i="9"/>
  <c r="V595" i="9"/>
  <c r="U595" i="9"/>
  <c r="T595" i="9"/>
  <c r="S595" i="9"/>
  <c r="R595" i="9"/>
  <c r="Q595" i="9"/>
  <c r="P595" i="9"/>
  <c r="O595" i="9"/>
  <c r="N595" i="9"/>
  <c r="L595" i="9"/>
  <c r="K595" i="9"/>
  <c r="J595" i="9"/>
  <c r="AD595" i="9" s="1"/>
  <c r="G595" i="9"/>
  <c r="H595" i="9" s="1" a="1"/>
  <c r="F595" i="9"/>
  <c r="D595" i="9"/>
  <c r="C595" i="9"/>
  <c r="E595" i="9" s="1" a="1"/>
  <c r="B595" i="9"/>
  <c r="AC595" i="9" s="1"/>
  <c r="A595" i="9"/>
  <c r="Z594" i="9"/>
  <c r="Y594" i="9"/>
  <c r="X594" i="9"/>
  <c r="W594" i="9"/>
  <c r="V594" i="9"/>
  <c r="U594" i="9"/>
  <c r="T594" i="9"/>
  <c r="S594" i="9"/>
  <c r="R594" i="9"/>
  <c r="Q594" i="9"/>
  <c r="P594" i="9"/>
  <c r="O594" i="9"/>
  <c r="N594" i="9"/>
  <c r="L594" i="9"/>
  <c r="K594" i="9"/>
  <c r="J594" i="9"/>
  <c r="AD594" i="9" s="1"/>
  <c r="G594" i="9"/>
  <c r="H594" i="9" s="1" a="1"/>
  <c r="F594" i="9"/>
  <c r="D594" i="9"/>
  <c r="C594" i="9"/>
  <c r="E594" i="9" s="1" a="1"/>
  <c r="B594" i="9"/>
  <c r="AC594" i="9" s="1"/>
  <c r="A594" i="9"/>
  <c r="Z593" i="9"/>
  <c r="Y593" i="9"/>
  <c r="X593" i="9"/>
  <c r="W593" i="9"/>
  <c r="V593" i="9"/>
  <c r="U593" i="9"/>
  <c r="T593" i="9"/>
  <c r="S593" i="9"/>
  <c r="R593" i="9"/>
  <c r="Q593" i="9"/>
  <c r="P593" i="9"/>
  <c r="O593" i="9"/>
  <c r="N593" i="9"/>
  <c r="L593" i="9"/>
  <c r="K593" i="9"/>
  <c r="J593" i="9"/>
  <c r="AD593" i="9" s="1"/>
  <c r="G593" i="9"/>
  <c r="H593" i="9" s="1" a="1"/>
  <c r="F593" i="9"/>
  <c r="D593" i="9"/>
  <c r="C593" i="9"/>
  <c r="E593" i="9" s="1" a="1"/>
  <c r="B593" i="9"/>
  <c r="AC593" i="9" s="1"/>
  <c r="A593" i="9"/>
  <c r="Z592" i="9"/>
  <c r="Y592" i="9"/>
  <c r="X592" i="9"/>
  <c r="W592" i="9"/>
  <c r="V592" i="9"/>
  <c r="U592" i="9"/>
  <c r="T592" i="9"/>
  <c r="S592" i="9"/>
  <c r="R592" i="9"/>
  <c r="Q592" i="9"/>
  <c r="P592" i="9"/>
  <c r="O592" i="9"/>
  <c r="N592" i="9"/>
  <c r="L592" i="9"/>
  <c r="K592" i="9"/>
  <c r="J592" i="9"/>
  <c r="AD592" i="9" s="1"/>
  <c r="G592" i="9"/>
  <c r="H592" i="9" s="1" a="1"/>
  <c r="F592" i="9"/>
  <c r="D592" i="9"/>
  <c r="C592" i="9"/>
  <c r="E592" i="9" s="1" a="1"/>
  <c r="B592" i="9"/>
  <c r="AC592" i="9" s="1"/>
  <c r="A592" i="9"/>
  <c r="Z591" i="9"/>
  <c r="Y591" i="9"/>
  <c r="X591" i="9"/>
  <c r="W591" i="9"/>
  <c r="V591" i="9"/>
  <c r="U591" i="9"/>
  <c r="T591" i="9"/>
  <c r="S591" i="9"/>
  <c r="R591" i="9"/>
  <c r="Q591" i="9"/>
  <c r="P591" i="9"/>
  <c r="O591" i="9"/>
  <c r="N591" i="9"/>
  <c r="L591" i="9"/>
  <c r="K591" i="9"/>
  <c r="J591" i="9"/>
  <c r="AD591" i="9" s="1"/>
  <c r="G591" i="9"/>
  <c r="H591" i="9" s="1" a="1"/>
  <c r="F591" i="9"/>
  <c r="D591" i="9"/>
  <c r="C591" i="9"/>
  <c r="E591" i="9" s="1" a="1"/>
  <c r="B591" i="9"/>
  <c r="AC591" i="9" s="1"/>
  <c r="A591" i="9"/>
  <c r="Z590" i="9"/>
  <c r="Y590" i="9"/>
  <c r="X590" i="9"/>
  <c r="W590" i="9"/>
  <c r="V590" i="9"/>
  <c r="U590" i="9"/>
  <c r="T590" i="9"/>
  <c r="S590" i="9"/>
  <c r="R590" i="9"/>
  <c r="Q590" i="9"/>
  <c r="P590" i="9"/>
  <c r="O590" i="9"/>
  <c r="N590" i="9"/>
  <c r="L590" i="9"/>
  <c r="K590" i="9"/>
  <c r="J590" i="9"/>
  <c r="AD590" i="9" s="1"/>
  <c r="G590" i="9"/>
  <c r="F590" i="9"/>
  <c r="D590" i="9"/>
  <c r="C590" i="9"/>
  <c r="E590" i="9" s="1" a="1"/>
  <c r="B590" i="9"/>
  <c r="AC590" i="9" s="1"/>
  <c r="A590" i="9"/>
  <c r="Z589" i="9"/>
  <c r="Y589" i="9"/>
  <c r="X589" i="9"/>
  <c r="W589" i="9"/>
  <c r="V589" i="9"/>
  <c r="U589" i="9"/>
  <c r="T589" i="9"/>
  <c r="S589" i="9"/>
  <c r="R589" i="9"/>
  <c r="Q589" i="9"/>
  <c r="P589" i="9"/>
  <c r="O589" i="9"/>
  <c r="N589" i="9"/>
  <c r="L589" i="9"/>
  <c r="K589" i="9"/>
  <c r="J589" i="9"/>
  <c r="AD589" i="9" s="1"/>
  <c r="G589" i="9"/>
  <c r="I589" i="9" s="1"/>
  <c r="F589" i="9"/>
  <c r="D589" i="9"/>
  <c r="C589" i="9"/>
  <c r="E589" i="9" s="1" a="1"/>
  <c r="B589" i="9"/>
  <c r="AC589" i="9" s="1"/>
  <c r="A589" i="9"/>
  <c r="Z588" i="9"/>
  <c r="Y588" i="9"/>
  <c r="X588" i="9"/>
  <c r="W588" i="9"/>
  <c r="V588" i="9"/>
  <c r="U588" i="9"/>
  <c r="T588" i="9"/>
  <c r="S588" i="9"/>
  <c r="R588" i="9"/>
  <c r="Q588" i="9"/>
  <c r="P588" i="9"/>
  <c r="O588" i="9"/>
  <c r="N588" i="9"/>
  <c r="L588" i="9"/>
  <c r="K588" i="9"/>
  <c r="J588" i="9"/>
  <c r="AD588" i="9" s="1"/>
  <c r="G588" i="9"/>
  <c r="I588" i="9" s="1"/>
  <c r="F588" i="9"/>
  <c r="D588" i="9"/>
  <c r="C588" i="9"/>
  <c r="E588" i="9" s="1" a="1"/>
  <c r="B588" i="9"/>
  <c r="AC588" i="9" s="1"/>
  <c r="A588" i="9"/>
  <c r="Z587" i="9"/>
  <c r="Y587" i="9"/>
  <c r="X587" i="9"/>
  <c r="W587" i="9"/>
  <c r="V587" i="9"/>
  <c r="U587" i="9"/>
  <c r="T587" i="9"/>
  <c r="S587" i="9"/>
  <c r="R587" i="9"/>
  <c r="Q587" i="9"/>
  <c r="P587" i="9"/>
  <c r="O587" i="9"/>
  <c r="N587" i="9"/>
  <c r="L587" i="9"/>
  <c r="K587" i="9"/>
  <c r="J587" i="9"/>
  <c r="AD587" i="9" s="1"/>
  <c r="G587" i="9"/>
  <c r="I587" i="9" s="1"/>
  <c r="F587" i="9"/>
  <c r="D587" i="9"/>
  <c r="C587" i="9"/>
  <c r="E587" i="9" s="1" a="1"/>
  <c r="B587" i="9"/>
  <c r="AC587" i="9" s="1"/>
  <c r="A587" i="9"/>
  <c r="Z586" i="9"/>
  <c r="Y586" i="9"/>
  <c r="X586" i="9"/>
  <c r="W586" i="9"/>
  <c r="V586" i="9"/>
  <c r="U586" i="9"/>
  <c r="T586" i="9"/>
  <c r="S586" i="9"/>
  <c r="R586" i="9"/>
  <c r="Q586" i="9"/>
  <c r="P586" i="9"/>
  <c r="O586" i="9"/>
  <c r="N586" i="9"/>
  <c r="L586" i="9"/>
  <c r="K586" i="9"/>
  <c r="J586" i="9"/>
  <c r="AD586" i="9" s="1"/>
  <c r="G586" i="9"/>
  <c r="H586" i="9" s="1" a="1"/>
  <c r="F586" i="9"/>
  <c r="D586" i="9"/>
  <c r="C586" i="9"/>
  <c r="E586" i="9" s="1" a="1"/>
  <c r="B586" i="9"/>
  <c r="AC586" i="9" s="1"/>
  <c r="A586" i="9"/>
  <c r="Z585" i="9"/>
  <c r="Y585" i="9"/>
  <c r="X585" i="9"/>
  <c r="W585" i="9"/>
  <c r="V585" i="9"/>
  <c r="U585" i="9"/>
  <c r="T585" i="9"/>
  <c r="S585" i="9"/>
  <c r="R585" i="9"/>
  <c r="Q585" i="9"/>
  <c r="P585" i="9"/>
  <c r="O585" i="9"/>
  <c r="N585" i="9"/>
  <c r="L585" i="9"/>
  <c r="K585" i="9"/>
  <c r="J585" i="9"/>
  <c r="AD585" i="9" s="1"/>
  <c r="G585" i="9"/>
  <c r="F585" i="9"/>
  <c r="D585" i="9"/>
  <c r="C585" i="9"/>
  <c r="E585" i="9" s="1" a="1"/>
  <c r="B585" i="9"/>
  <c r="AC585" i="9" s="1"/>
  <c r="A585" i="9"/>
  <c r="Z584" i="9"/>
  <c r="Y584" i="9"/>
  <c r="X584" i="9"/>
  <c r="W584" i="9"/>
  <c r="V584" i="9"/>
  <c r="U584" i="9"/>
  <c r="T584" i="9"/>
  <c r="S584" i="9"/>
  <c r="R584" i="9"/>
  <c r="Q584" i="9"/>
  <c r="P584" i="9"/>
  <c r="O584" i="9"/>
  <c r="N584" i="9"/>
  <c r="L584" i="9"/>
  <c r="K584" i="9"/>
  <c r="J584" i="9"/>
  <c r="AD584" i="9" s="1"/>
  <c r="G584" i="9"/>
  <c r="F584" i="9"/>
  <c r="D584" i="9"/>
  <c r="C584" i="9"/>
  <c r="E584" i="9" s="1" a="1"/>
  <c r="B584" i="9"/>
  <c r="AC584" i="9" s="1"/>
  <c r="A584" i="9"/>
  <c r="Z583" i="9"/>
  <c r="Y583" i="9"/>
  <c r="X583" i="9"/>
  <c r="W583" i="9"/>
  <c r="V583" i="9"/>
  <c r="U583" i="9"/>
  <c r="T583" i="9"/>
  <c r="S583" i="9"/>
  <c r="R583" i="9"/>
  <c r="Q583" i="9"/>
  <c r="P583" i="9"/>
  <c r="O583" i="9"/>
  <c r="N583" i="9"/>
  <c r="L583" i="9"/>
  <c r="K583" i="9"/>
  <c r="J583" i="9"/>
  <c r="AD583" i="9" s="1"/>
  <c r="G583" i="9"/>
  <c r="H583" i="9" s="1" a="1"/>
  <c r="F583" i="9"/>
  <c r="D583" i="9"/>
  <c r="C583" i="9"/>
  <c r="E583" i="9" s="1" a="1"/>
  <c r="B583" i="9"/>
  <c r="AC583" i="9" s="1"/>
  <c r="A583" i="9"/>
  <c r="Z582" i="9"/>
  <c r="Y582" i="9"/>
  <c r="X582" i="9"/>
  <c r="W582" i="9"/>
  <c r="V582" i="9"/>
  <c r="U582" i="9"/>
  <c r="T582" i="9"/>
  <c r="S582" i="9"/>
  <c r="R582" i="9"/>
  <c r="Q582" i="9"/>
  <c r="P582" i="9"/>
  <c r="O582" i="9"/>
  <c r="N582" i="9"/>
  <c r="L582" i="9"/>
  <c r="K582" i="9"/>
  <c r="J582" i="9"/>
  <c r="AD582" i="9" s="1"/>
  <c r="G582" i="9"/>
  <c r="F582" i="9"/>
  <c r="D582" i="9"/>
  <c r="C582" i="9"/>
  <c r="E582" i="9" s="1" a="1"/>
  <c r="B582" i="9"/>
  <c r="AC582" i="9" s="1"/>
  <c r="A582" i="9"/>
  <c r="Z581" i="9"/>
  <c r="Y581" i="9"/>
  <c r="X581" i="9"/>
  <c r="W581" i="9"/>
  <c r="V581" i="9"/>
  <c r="U581" i="9"/>
  <c r="T581" i="9"/>
  <c r="S581" i="9"/>
  <c r="R581" i="9"/>
  <c r="Q581" i="9"/>
  <c r="P581" i="9"/>
  <c r="O581" i="9"/>
  <c r="N581" i="9"/>
  <c r="L581" i="9"/>
  <c r="K581" i="9"/>
  <c r="J581" i="9"/>
  <c r="AD581" i="9" s="1"/>
  <c r="G581" i="9"/>
  <c r="I581" i="9" s="1"/>
  <c r="F581" i="9"/>
  <c r="D581" i="9"/>
  <c r="C581" i="9"/>
  <c r="E581" i="9" s="1" a="1"/>
  <c r="B581" i="9"/>
  <c r="AC581" i="9" s="1"/>
  <c r="A581" i="9"/>
  <c r="Z580" i="9"/>
  <c r="Y580" i="9"/>
  <c r="X580" i="9"/>
  <c r="W580" i="9"/>
  <c r="V580" i="9"/>
  <c r="U580" i="9"/>
  <c r="T580" i="9"/>
  <c r="S580" i="9"/>
  <c r="R580" i="9"/>
  <c r="Q580" i="9"/>
  <c r="P580" i="9"/>
  <c r="O580" i="9"/>
  <c r="N580" i="9"/>
  <c r="L580" i="9"/>
  <c r="K580" i="9"/>
  <c r="J580" i="9"/>
  <c r="AD580" i="9" s="1"/>
  <c r="G580" i="9"/>
  <c r="H580" i="9" s="1" a="1"/>
  <c r="F580" i="9"/>
  <c r="D580" i="9"/>
  <c r="C580" i="9"/>
  <c r="E580" i="9" s="1" a="1"/>
  <c r="B580" i="9"/>
  <c r="AC580" i="9" s="1"/>
  <c r="A580" i="9"/>
  <c r="Z579" i="9"/>
  <c r="Y579" i="9"/>
  <c r="X579" i="9"/>
  <c r="W579" i="9"/>
  <c r="V579" i="9"/>
  <c r="U579" i="9"/>
  <c r="T579" i="9"/>
  <c r="S579" i="9"/>
  <c r="R579" i="9"/>
  <c r="Q579" i="9"/>
  <c r="P579" i="9"/>
  <c r="O579" i="9"/>
  <c r="N579" i="9"/>
  <c r="L579" i="9"/>
  <c r="K579" i="9"/>
  <c r="J579" i="9"/>
  <c r="AD579" i="9" s="1"/>
  <c r="G579" i="9"/>
  <c r="H579" i="9" s="1" a="1"/>
  <c r="F579" i="9"/>
  <c r="D579" i="9"/>
  <c r="C579" i="9"/>
  <c r="E579" i="9" s="1" a="1"/>
  <c r="B579" i="9"/>
  <c r="AC579" i="9" s="1"/>
  <c r="A579" i="9"/>
  <c r="Z578" i="9"/>
  <c r="Y578" i="9"/>
  <c r="X578" i="9"/>
  <c r="W578" i="9"/>
  <c r="V578" i="9"/>
  <c r="U578" i="9"/>
  <c r="T578" i="9"/>
  <c r="S578" i="9"/>
  <c r="R578" i="9"/>
  <c r="Q578" i="9"/>
  <c r="P578" i="9"/>
  <c r="O578" i="9"/>
  <c r="N578" i="9"/>
  <c r="L578" i="9"/>
  <c r="K578" i="9"/>
  <c r="J578" i="9"/>
  <c r="AD578" i="9" s="1"/>
  <c r="G578" i="9"/>
  <c r="H578" i="9" s="1" a="1"/>
  <c r="F578" i="9"/>
  <c r="D578" i="9"/>
  <c r="C578" i="9"/>
  <c r="E578" i="9" s="1" a="1"/>
  <c r="B578" i="9"/>
  <c r="AC578" i="9" s="1"/>
  <c r="A578" i="9"/>
  <c r="Z577" i="9"/>
  <c r="Y577" i="9"/>
  <c r="X577" i="9"/>
  <c r="W577" i="9"/>
  <c r="V577" i="9"/>
  <c r="U577" i="9"/>
  <c r="T577" i="9"/>
  <c r="S577" i="9"/>
  <c r="R577" i="9"/>
  <c r="Q577" i="9"/>
  <c r="P577" i="9"/>
  <c r="O577" i="9"/>
  <c r="N577" i="9"/>
  <c r="L577" i="9"/>
  <c r="K577" i="9"/>
  <c r="J577" i="9"/>
  <c r="AD577" i="9" s="1"/>
  <c r="G577" i="9"/>
  <c r="F577" i="9"/>
  <c r="D577" i="9"/>
  <c r="C577" i="9"/>
  <c r="E577" i="9" s="1" a="1"/>
  <c r="B577" i="9"/>
  <c r="AC577" i="9" s="1"/>
  <c r="A577" i="9"/>
  <c r="Z576" i="9"/>
  <c r="Y576" i="9"/>
  <c r="X576" i="9"/>
  <c r="W576" i="9"/>
  <c r="V576" i="9"/>
  <c r="U576" i="9"/>
  <c r="T576" i="9"/>
  <c r="S576" i="9"/>
  <c r="R576" i="9"/>
  <c r="Q576" i="9"/>
  <c r="P576" i="9"/>
  <c r="O576" i="9"/>
  <c r="N576" i="9"/>
  <c r="L576" i="9"/>
  <c r="K576" i="9"/>
  <c r="J576" i="9"/>
  <c r="AD576" i="9" s="1"/>
  <c r="G576" i="9"/>
  <c r="H576" i="9" s="1" a="1"/>
  <c r="F576" i="9"/>
  <c r="D576" i="9"/>
  <c r="C576" i="9"/>
  <c r="E576" i="9" s="1" a="1"/>
  <c r="B576" i="9"/>
  <c r="AC576" i="9" s="1"/>
  <c r="A576" i="9"/>
  <c r="Z575" i="9"/>
  <c r="Y575" i="9"/>
  <c r="X575" i="9"/>
  <c r="W575" i="9"/>
  <c r="V575" i="9"/>
  <c r="U575" i="9"/>
  <c r="T575" i="9"/>
  <c r="S575" i="9"/>
  <c r="R575" i="9"/>
  <c r="Q575" i="9"/>
  <c r="P575" i="9"/>
  <c r="O575" i="9"/>
  <c r="N575" i="9"/>
  <c r="L575" i="9"/>
  <c r="K575" i="9"/>
  <c r="J575" i="9"/>
  <c r="AD575" i="9" s="1"/>
  <c r="G575" i="9"/>
  <c r="H575" i="9" s="1" a="1"/>
  <c r="F575" i="9"/>
  <c r="D575" i="9"/>
  <c r="C575" i="9"/>
  <c r="E575" i="9" s="1" a="1"/>
  <c r="B575" i="9"/>
  <c r="AC575" i="9" s="1"/>
  <c r="A575" i="9"/>
  <c r="Z574" i="9"/>
  <c r="Y574" i="9"/>
  <c r="X574" i="9"/>
  <c r="W574" i="9"/>
  <c r="V574" i="9"/>
  <c r="U574" i="9"/>
  <c r="T574" i="9"/>
  <c r="S574" i="9"/>
  <c r="R574" i="9"/>
  <c r="Q574" i="9"/>
  <c r="P574" i="9"/>
  <c r="O574" i="9"/>
  <c r="N574" i="9"/>
  <c r="L574" i="9"/>
  <c r="K574" i="9"/>
  <c r="J574" i="9"/>
  <c r="AD574" i="9" s="1"/>
  <c r="G574" i="9"/>
  <c r="H574" i="9" s="1" a="1"/>
  <c r="F574" i="9"/>
  <c r="D574" i="9"/>
  <c r="C574" i="9"/>
  <c r="E574" i="9" s="1" a="1"/>
  <c r="B574" i="9"/>
  <c r="AC574" i="9" s="1"/>
  <c r="A574" i="9"/>
  <c r="Z573" i="9"/>
  <c r="Y573" i="9"/>
  <c r="X573" i="9"/>
  <c r="W573" i="9"/>
  <c r="V573" i="9"/>
  <c r="U573" i="9"/>
  <c r="T573" i="9"/>
  <c r="S573" i="9"/>
  <c r="R573" i="9"/>
  <c r="Q573" i="9"/>
  <c r="P573" i="9"/>
  <c r="O573" i="9"/>
  <c r="N573" i="9"/>
  <c r="L573" i="9"/>
  <c r="K573" i="9"/>
  <c r="J573" i="9"/>
  <c r="AD573" i="9" s="1"/>
  <c r="G573" i="9"/>
  <c r="H573" i="9" s="1" a="1"/>
  <c r="F573" i="9"/>
  <c r="D573" i="9"/>
  <c r="C573" i="9"/>
  <c r="E573" i="9" s="1" a="1"/>
  <c r="B573" i="9"/>
  <c r="AC573" i="9" s="1"/>
  <c r="A573" i="9"/>
  <c r="Z572" i="9"/>
  <c r="Y572" i="9"/>
  <c r="X572" i="9"/>
  <c r="W572" i="9"/>
  <c r="V572" i="9"/>
  <c r="U572" i="9"/>
  <c r="T572" i="9"/>
  <c r="S572" i="9"/>
  <c r="R572" i="9"/>
  <c r="Q572" i="9"/>
  <c r="P572" i="9"/>
  <c r="O572" i="9"/>
  <c r="N572" i="9"/>
  <c r="L572" i="9"/>
  <c r="K572" i="9"/>
  <c r="J572" i="9"/>
  <c r="AD572" i="9" s="1"/>
  <c r="G572" i="9"/>
  <c r="I572" i="9" s="1"/>
  <c r="F572" i="9"/>
  <c r="D572" i="9"/>
  <c r="C572" i="9"/>
  <c r="E572" i="9" s="1" a="1"/>
  <c r="B572" i="9"/>
  <c r="AC572" i="9" s="1"/>
  <c r="A572" i="9"/>
  <c r="Z571" i="9"/>
  <c r="Y571" i="9"/>
  <c r="X571" i="9"/>
  <c r="W571" i="9"/>
  <c r="V571" i="9"/>
  <c r="U571" i="9"/>
  <c r="T571" i="9"/>
  <c r="S571" i="9"/>
  <c r="R571" i="9"/>
  <c r="Q571" i="9"/>
  <c r="P571" i="9"/>
  <c r="O571" i="9"/>
  <c r="N571" i="9"/>
  <c r="L571" i="9"/>
  <c r="K571" i="9"/>
  <c r="J571" i="9"/>
  <c r="AD571" i="9" s="1"/>
  <c r="G571" i="9"/>
  <c r="I571" i="9" s="1"/>
  <c r="F571" i="9"/>
  <c r="D571" i="9"/>
  <c r="C571" i="9"/>
  <c r="E571" i="9" s="1" a="1"/>
  <c r="B571" i="9"/>
  <c r="AC571" i="9" s="1"/>
  <c r="A571" i="9"/>
  <c r="Z570" i="9"/>
  <c r="Y570" i="9"/>
  <c r="X570" i="9"/>
  <c r="W570" i="9"/>
  <c r="V570" i="9"/>
  <c r="U570" i="9"/>
  <c r="T570" i="9"/>
  <c r="S570" i="9"/>
  <c r="R570" i="9"/>
  <c r="Q570" i="9"/>
  <c r="P570" i="9"/>
  <c r="O570" i="9"/>
  <c r="N570" i="9"/>
  <c r="L570" i="9"/>
  <c r="K570" i="9"/>
  <c r="J570" i="9"/>
  <c r="AD570" i="9" s="1"/>
  <c r="G570" i="9"/>
  <c r="H570" i="9" s="1" a="1"/>
  <c r="F570" i="9"/>
  <c r="D570" i="9"/>
  <c r="C570" i="9"/>
  <c r="E570" i="9" s="1" a="1"/>
  <c r="B570" i="9"/>
  <c r="AC570" i="9" s="1"/>
  <c r="A570" i="9"/>
  <c r="Z569" i="9"/>
  <c r="Y569" i="9"/>
  <c r="X569" i="9"/>
  <c r="W569" i="9"/>
  <c r="V569" i="9"/>
  <c r="U569" i="9"/>
  <c r="T569" i="9"/>
  <c r="S569" i="9"/>
  <c r="R569" i="9"/>
  <c r="Q569" i="9"/>
  <c r="P569" i="9"/>
  <c r="O569" i="9"/>
  <c r="N569" i="9"/>
  <c r="L569" i="9"/>
  <c r="K569" i="9"/>
  <c r="J569" i="9"/>
  <c r="AD569" i="9" s="1"/>
  <c r="G569" i="9"/>
  <c r="F569" i="9"/>
  <c r="D569" i="9"/>
  <c r="C569" i="9"/>
  <c r="E569" i="9" s="1" a="1"/>
  <c r="B569" i="9"/>
  <c r="AC569" i="9" s="1"/>
  <c r="A569" i="9"/>
  <c r="Z568" i="9"/>
  <c r="Y568" i="9"/>
  <c r="X568" i="9"/>
  <c r="W568" i="9"/>
  <c r="V568" i="9"/>
  <c r="U568" i="9"/>
  <c r="T568" i="9"/>
  <c r="S568" i="9"/>
  <c r="R568" i="9"/>
  <c r="Q568" i="9"/>
  <c r="P568" i="9"/>
  <c r="O568" i="9"/>
  <c r="N568" i="9"/>
  <c r="L568" i="9"/>
  <c r="K568" i="9"/>
  <c r="J568" i="9"/>
  <c r="AD568" i="9" s="1"/>
  <c r="G568" i="9"/>
  <c r="I568" i="9" s="1"/>
  <c r="F568" i="9"/>
  <c r="D568" i="9"/>
  <c r="C568" i="9"/>
  <c r="E568" i="9" s="1" a="1"/>
  <c r="B568" i="9"/>
  <c r="AC568" i="9" s="1"/>
  <c r="A568" i="9"/>
  <c r="Z567" i="9"/>
  <c r="Y567" i="9"/>
  <c r="X567" i="9"/>
  <c r="W567" i="9"/>
  <c r="V567" i="9"/>
  <c r="U567" i="9"/>
  <c r="T567" i="9"/>
  <c r="S567" i="9"/>
  <c r="R567" i="9"/>
  <c r="Q567" i="9"/>
  <c r="P567" i="9"/>
  <c r="O567" i="9"/>
  <c r="N567" i="9"/>
  <c r="L567" i="9"/>
  <c r="K567" i="9"/>
  <c r="J567" i="9"/>
  <c r="AD567" i="9" s="1"/>
  <c r="G567" i="9"/>
  <c r="H567" i="9" s="1" a="1"/>
  <c r="F567" i="9"/>
  <c r="D567" i="9"/>
  <c r="C567" i="9"/>
  <c r="E567" i="9" s="1" a="1"/>
  <c r="B567" i="9"/>
  <c r="AC567" i="9" s="1"/>
  <c r="A567" i="9"/>
  <c r="Z566" i="9"/>
  <c r="Y566" i="9"/>
  <c r="X566" i="9"/>
  <c r="W566" i="9"/>
  <c r="V566" i="9"/>
  <c r="U566" i="9"/>
  <c r="T566" i="9"/>
  <c r="S566" i="9"/>
  <c r="R566" i="9"/>
  <c r="Q566" i="9"/>
  <c r="P566" i="9"/>
  <c r="O566" i="9"/>
  <c r="N566" i="9"/>
  <c r="L566" i="9"/>
  <c r="K566" i="9"/>
  <c r="J566" i="9"/>
  <c r="AD566" i="9" s="1"/>
  <c r="G566" i="9"/>
  <c r="F566" i="9"/>
  <c r="D566" i="9"/>
  <c r="C566" i="9"/>
  <c r="E566" i="9" s="1" a="1"/>
  <c r="B566" i="9"/>
  <c r="AC566" i="9" s="1"/>
  <c r="A566" i="9"/>
  <c r="Z565" i="9"/>
  <c r="Y565" i="9"/>
  <c r="X565" i="9"/>
  <c r="W565" i="9"/>
  <c r="V565" i="9"/>
  <c r="U565" i="9"/>
  <c r="T565" i="9"/>
  <c r="S565" i="9"/>
  <c r="R565" i="9"/>
  <c r="Q565" i="9"/>
  <c r="P565" i="9"/>
  <c r="O565" i="9"/>
  <c r="N565" i="9"/>
  <c r="L565" i="9"/>
  <c r="K565" i="9"/>
  <c r="J565" i="9"/>
  <c r="AD565" i="9" s="1"/>
  <c r="G565" i="9"/>
  <c r="H565" i="9" s="1" a="1"/>
  <c r="F565" i="9"/>
  <c r="D565" i="9"/>
  <c r="C565" i="9"/>
  <c r="E565" i="9" s="1" a="1"/>
  <c r="B565" i="9"/>
  <c r="AC565" i="9" s="1"/>
  <c r="A565" i="9"/>
  <c r="Z564" i="9"/>
  <c r="Y564" i="9"/>
  <c r="X564" i="9"/>
  <c r="W564" i="9"/>
  <c r="V564" i="9"/>
  <c r="U564" i="9"/>
  <c r="T564" i="9"/>
  <c r="S564" i="9"/>
  <c r="R564" i="9"/>
  <c r="Q564" i="9"/>
  <c r="P564" i="9"/>
  <c r="O564" i="9"/>
  <c r="N564" i="9"/>
  <c r="L564" i="9"/>
  <c r="K564" i="9"/>
  <c r="J564" i="9"/>
  <c r="AD564" i="9" s="1"/>
  <c r="G564" i="9"/>
  <c r="H564" i="9" s="1" a="1"/>
  <c r="F564" i="9"/>
  <c r="D564" i="9"/>
  <c r="C564" i="9"/>
  <c r="E564" i="9" s="1" a="1"/>
  <c r="B564" i="9"/>
  <c r="AC564" i="9" s="1"/>
  <c r="A564" i="9"/>
  <c r="Z563" i="9"/>
  <c r="Y563" i="9"/>
  <c r="X563" i="9"/>
  <c r="W563" i="9"/>
  <c r="V563" i="9"/>
  <c r="U563" i="9"/>
  <c r="T563" i="9"/>
  <c r="S563" i="9"/>
  <c r="R563" i="9"/>
  <c r="Q563" i="9"/>
  <c r="P563" i="9"/>
  <c r="O563" i="9"/>
  <c r="N563" i="9"/>
  <c r="L563" i="9"/>
  <c r="K563" i="9"/>
  <c r="J563" i="9"/>
  <c r="AD563" i="9" s="1"/>
  <c r="G563" i="9"/>
  <c r="H563" i="9" s="1" a="1"/>
  <c r="F563" i="9"/>
  <c r="D563" i="9"/>
  <c r="C563" i="9"/>
  <c r="E563" i="9" s="1" a="1"/>
  <c r="B563" i="9"/>
  <c r="AC563" i="9" s="1"/>
  <c r="A563" i="9"/>
  <c r="Z562" i="9"/>
  <c r="Y562" i="9"/>
  <c r="X562" i="9"/>
  <c r="W562" i="9"/>
  <c r="V562" i="9"/>
  <c r="U562" i="9"/>
  <c r="T562" i="9"/>
  <c r="S562" i="9"/>
  <c r="R562" i="9"/>
  <c r="Q562" i="9"/>
  <c r="P562" i="9"/>
  <c r="O562" i="9"/>
  <c r="N562" i="9"/>
  <c r="L562" i="9"/>
  <c r="K562" i="9"/>
  <c r="J562" i="9"/>
  <c r="AD562" i="9" s="1"/>
  <c r="G562" i="9"/>
  <c r="H562" i="9" s="1" a="1"/>
  <c r="F562" i="9"/>
  <c r="D562" i="9"/>
  <c r="C562" i="9"/>
  <c r="E562" i="9" s="1" a="1"/>
  <c r="B562" i="9"/>
  <c r="AC562" i="9" s="1"/>
  <c r="A562" i="9"/>
  <c r="Z561" i="9"/>
  <c r="Y561" i="9"/>
  <c r="X561" i="9"/>
  <c r="W561" i="9"/>
  <c r="V561" i="9"/>
  <c r="U561" i="9"/>
  <c r="T561" i="9"/>
  <c r="S561" i="9"/>
  <c r="R561" i="9"/>
  <c r="Q561" i="9"/>
  <c r="P561" i="9"/>
  <c r="O561" i="9"/>
  <c r="N561" i="9"/>
  <c r="L561" i="9"/>
  <c r="K561" i="9"/>
  <c r="J561" i="9"/>
  <c r="AD561" i="9" s="1"/>
  <c r="G561" i="9"/>
  <c r="H561" i="9" s="1" a="1"/>
  <c r="F561" i="9"/>
  <c r="D561" i="9"/>
  <c r="C561" i="9"/>
  <c r="E561" i="9" s="1" a="1"/>
  <c r="B561" i="9"/>
  <c r="AC561" i="9" s="1"/>
  <c r="A561" i="9"/>
  <c r="Z560" i="9"/>
  <c r="Y560" i="9"/>
  <c r="X560" i="9"/>
  <c r="W560" i="9"/>
  <c r="V560" i="9"/>
  <c r="U560" i="9"/>
  <c r="T560" i="9"/>
  <c r="S560" i="9"/>
  <c r="R560" i="9"/>
  <c r="Q560" i="9"/>
  <c r="P560" i="9"/>
  <c r="O560" i="9"/>
  <c r="N560" i="9"/>
  <c r="L560" i="9"/>
  <c r="K560" i="9"/>
  <c r="J560" i="9"/>
  <c r="AD560" i="9" s="1"/>
  <c r="G560" i="9"/>
  <c r="F560" i="9"/>
  <c r="D560" i="9"/>
  <c r="C560" i="9"/>
  <c r="E560" i="9" s="1" a="1"/>
  <c r="B560" i="9"/>
  <c r="AC560" i="9" s="1"/>
  <c r="A560" i="9"/>
  <c r="Z559" i="9"/>
  <c r="Y559" i="9"/>
  <c r="X559" i="9"/>
  <c r="W559" i="9"/>
  <c r="V559" i="9"/>
  <c r="U559" i="9"/>
  <c r="T559" i="9"/>
  <c r="S559" i="9"/>
  <c r="R559" i="9"/>
  <c r="Q559" i="9"/>
  <c r="P559" i="9"/>
  <c r="O559" i="9"/>
  <c r="N559" i="9"/>
  <c r="L559" i="9"/>
  <c r="K559" i="9"/>
  <c r="J559" i="9"/>
  <c r="AD559" i="9" s="1"/>
  <c r="G559" i="9"/>
  <c r="H559" i="9" s="1" a="1"/>
  <c r="F559" i="9"/>
  <c r="D559" i="9"/>
  <c r="C559" i="9"/>
  <c r="E559" i="9" s="1" a="1"/>
  <c r="B559" i="9"/>
  <c r="AC559" i="9" s="1"/>
  <c r="A559" i="9"/>
  <c r="Z558" i="9"/>
  <c r="Y558" i="9"/>
  <c r="X558" i="9"/>
  <c r="W558" i="9"/>
  <c r="V558" i="9"/>
  <c r="U558" i="9"/>
  <c r="T558" i="9"/>
  <c r="S558" i="9"/>
  <c r="R558" i="9"/>
  <c r="Q558" i="9"/>
  <c r="P558" i="9"/>
  <c r="O558" i="9"/>
  <c r="N558" i="9"/>
  <c r="L558" i="9"/>
  <c r="K558" i="9"/>
  <c r="J558" i="9"/>
  <c r="AD558" i="9" s="1"/>
  <c r="G558" i="9"/>
  <c r="F558" i="9"/>
  <c r="D558" i="9"/>
  <c r="C558" i="9"/>
  <c r="E558" i="9" s="1" a="1"/>
  <c r="B558" i="9"/>
  <c r="AC558" i="9" s="1"/>
  <c r="A558" i="9"/>
  <c r="Z557" i="9"/>
  <c r="Y557" i="9"/>
  <c r="X557" i="9"/>
  <c r="W557" i="9"/>
  <c r="V557" i="9"/>
  <c r="U557" i="9"/>
  <c r="T557" i="9"/>
  <c r="S557" i="9"/>
  <c r="R557" i="9"/>
  <c r="Q557" i="9"/>
  <c r="P557" i="9"/>
  <c r="O557" i="9"/>
  <c r="N557" i="9"/>
  <c r="L557" i="9"/>
  <c r="K557" i="9"/>
  <c r="J557" i="9"/>
  <c r="AD557" i="9" s="1"/>
  <c r="G557" i="9"/>
  <c r="I557" i="9" s="1"/>
  <c r="F557" i="9"/>
  <c r="D557" i="9"/>
  <c r="C557" i="9"/>
  <c r="E557" i="9" s="1" a="1"/>
  <c r="B557" i="9"/>
  <c r="AC557" i="9" s="1"/>
  <c r="A557" i="9"/>
  <c r="Z556" i="9"/>
  <c r="Y556" i="9"/>
  <c r="X556" i="9"/>
  <c r="W556" i="9"/>
  <c r="V556" i="9"/>
  <c r="U556" i="9"/>
  <c r="T556" i="9"/>
  <c r="S556" i="9"/>
  <c r="R556" i="9"/>
  <c r="Q556" i="9"/>
  <c r="P556" i="9"/>
  <c r="O556" i="9"/>
  <c r="N556" i="9"/>
  <c r="L556" i="9"/>
  <c r="K556" i="9"/>
  <c r="J556" i="9"/>
  <c r="AD556" i="9" s="1"/>
  <c r="G556" i="9"/>
  <c r="I556" i="9" s="1"/>
  <c r="F556" i="9"/>
  <c r="D556" i="9"/>
  <c r="C556" i="9"/>
  <c r="E556" i="9" s="1" a="1"/>
  <c r="B556" i="9"/>
  <c r="AC556" i="9" s="1"/>
  <c r="A556" i="9"/>
  <c r="Z555" i="9"/>
  <c r="Y555" i="9"/>
  <c r="X555" i="9"/>
  <c r="W555" i="9"/>
  <c r="V555" i="9"/>
  <c r="U555" i="9"/>
  <c r="T555" i="9"/>
  <c r="S555" i="9"/>
  <c r="R555" i="9"/>
  <c r="Q555" i="9"/>
  <c r="P555" i="9"/>
  <c r="O555" i="9"/>
  <c r="N555" i="9"/>
  <c r="L555" i="9"/>
  <c r="K555" i="9"/>
  <c r="J555" i="9"/>
  <c r="AD555" i="9" s="1"/>
  <c r="G555" i="9"/>
  <c r="H555" i="9" s="1" a="1"/>
  <c r="F555" i="9"/>
  <c r="D555" i="9"/>
  <c r="C555" i="9"/>
  <c r="E555" i="9" s="1" a="1"/>
  <c r="B555" i="9"/>
  <c r="AC555" i="9" s="1"/>
  <c r="A555" i="9"/>
  <c r="Z554" i="9"/>
  <c r="Y554" i="9"/>
  <c r="X554" i="9"/>
  <c r="W554" i="9"/>
  <c r="V554" i="9"/>
  <c r="U554" i="9"/>
  <c r="T554" i="9"/>
  <c r="S554" i="9"/>
  <c r="R554" i="9"/>
  <c r="Q554" i="9"/>
  <c r="P554" i="9"/>
  <c r="O554" i="9"/>
  <c r="N554" i="9"/>
  <c r="L554" i="9"/>
  <c r="K554" i="9"/>
  <c r="J554" i="9"/>
  <c r="AD554" i="9" s="1"/>
  <c r="G554" i="9"/>
  <c r="H554" i="9" s="1" a="1"/>
  <c r="F554" i="9"/>
  <c r="D554" i="9"/>
  <c r="C554" i="9"/>
  <c r="E554" i="9" s="1" a="1"/>
  <c r="B554" i="9"/>
  <c r="AC554" i="9" s="1"/>
  <c r="A554" i="9"/>
  <c r="Z553" i="9"/>
  <c r="Y553" i="9"/>
  <c r="X553" i="9"/>
  <c r="W553" i="9"/>
  <c r="V553" i="9"/>
  <c r="U553" i="9"/>
  <c r="T553" i="9"/>
  <c r="S553" i="9"/>
  <c r="R553" i="9"/>
  <c r="Q553" i="9"/>
  <c r="P553" i="9"/>
  <c r="O553" i="9"/>
  <c r="N553" i="9"/>
  <c r="L553" i="9"/>
  <c r="K553" i="9"/>
  <c r="J553" i="9"/>
  <c r="AD553" i="9" s="1"/>
  <c r="G553" i="9"/>
  <c r="F553" i="9"/>
  <c r="D553" i="9"/>
  <c r="C553" i="9"/>
  <c r="E553" i="9" s="1" a="1"/>
  <c r="B553" i="9"/>
  <c r="AC553" i="9" s="1"/>
  <c r="A553" i="9"/>
  <c r="Z552" i="9"/>
  <c r="Y552" i="9"/>
  <c r="X552" i="9"/>
  <c r="W552" i="9"/>
  <c r="V552" i="9"/>
  <c r="U552" i="9"/>
  <c r="T552" i="9"/>
  <c r="S552" i="9"/>
  <c r="R552" i="9"/>
  <c r="Q552" i="9"/>
  <c r="P552" i="9"/>
  <c r="O552" i="9"/>
  <c r="N552" i="9"/>
  <c r="L552" i="9"/>
  <c r="K552" i="9"/>
  <c r="J552" i="9"/>
  <c r="AD552" i="9" s="1"/>
  <c r="G552" i="9"/>
  <c r="F552" i="9"/>
  <c r="D552" i="9"/>
  <c r="C552" i="9"/>
  <c r="E552" i="9" s="1" a="1"/>
  <c r="B552" i="9"/>
  <c r="AC552" i="9" s="1"/>
  <c r="A552" i="9"/>
  <c r="Z551" i="9"/>
  <c r="Y551" i="9"/>
  <c r="X551" i="9"/>
  <c r="W551" i="9"/>
  <c r="V551" i="9"/>
  <c r="U551" i="9"/>
  <c r="T551" i="9"/>
  <c r="S551" i="9"/>
  <c r="R551" i="9"/>
  <c r="Q551" i="9"/>
  <c r="P551" i="9"/>
  <c r="O551" i="9"/>
  <c r="N551" i="9"/>
  <c r="L551" i="9"/>
  <c r="K551" i="9"/>
  <c r="J551" i="9"/>
  <c r="AD551" i="9" s="1"/>
  <c r="G551" i="9"/>
  <c r="H551" i="9" s="1" a="1"/>
  <c r="F551" i="9"/>
  <c r="D551" i="9"/>
  <c r="C551" i="9"/>
  <c r="E551" i="9" s="1" a="1"/>
  <c r="B551" i="9"/>
  <c r="AC551" i="9" s="1"/>
  <c r="A551" i="9"/>
  <c r="Z550" i="9"/>
  <c r="Y550" i="9"/>
  <c r="X550" i="9"/>
  <c r="W550" i="9"/>
  <c r="V550" i="9"/>
  <c r="U550" i="9"/>
  <c r="T550" i="9"/>
  <c r="S550" i="9"/>
  <c r="R550" i="9"/>
  <c r="Q550" i="9"/>
  <c r="P550" i="9"/>
  <c r="O550" i="9"/>
  <c r="N550" i="9"/>
  <c r="L550" i="9"/>
  <c r="K550" i="9"/>
  <c r="J550" i="9"/>
  <c r="AD550" i="9" s="1"/>
  <c r="G550" i="9"/>
  <c r="F550" i="9"/>
  <c r="D550" i="9"/>
  <c r="C550" i="9"/>
  <c r="E550" i="9" s="1" a="1"/>
  <c r="B550" i="9"/>
  <c r="AC550" i="9" s="1"/>
  <c r="A550" i="9"/>
  <c r="Z549" i="9"/>
  <c r="Y549" i="9"/>
  <c r="X549" i="9"/>
  <c r="W549" i="9"/>
  <c r="V549" i="9"/>
  <c r="U549" i="9"/>
  <c r="T549" i="9"/>
  <c r="S549" i="9"/>
  <c r="R549" i="9"/>
  <c r="Q549" i="9"/>
  <c r="P549" i="9"/>
  <c r="O549" i="9"/>
  <c r="N549" i="9"/>
  <c r="L549" i="9"/>
  <c r="K549" i="9"/>
  <c r="J549" i="9"/>
  <c r="AD549" i="9" s="1"/>
  <c r="G549" i="9"/>
  <c r="I549" i="9" s="1"/>
  <c r="F549" i="9"/>
  <c r="D549" i="9"/>
  <c r="C549" i="9"/>
  <c r="E549" i="9" s="1" a="1"/>
  <c r="B549" i="9"/>
  <c r="AC549" i="9" s="1"/>
  <c r="A549" i="9"/>
  <c r="Z548" i="9"/>
  <c r="Y548" i="9"/>
  <c r="X548" i="9"/>
  <c r="W548" i="9"/>
  <c r="V548" i="9"/>
  <c r="U548" i="9"/>
  <c r="T548" i="9"/>
  <c r="S548" i="9"/>
  <c r="R548" i="9"/>
  <c r="Q548" i="9"/>
  <c r="P548" i="9"/>
  <c r="O548" i="9"/>
  <c r="N548" i="9"/>
  <c r="L548" i="9"/>
  <c r="K548" i="9"/>
  <c r="J548" i="9"/>
  <c r="AD548" i="9" s="1"/>
  <c r="G548" i="9"/>
  <c r="H548" i="9" s="1" a="1"/>
  <c r="F548" i="9"/>
  <c r="D548" i="9"/>
  <c r="C548" i="9"/>
  <c r="E548" i="9" s="1" a="1"/>
  <c r="B548" i="9"/>
  <c r="AC548" i="9" s="1"/>
  <c r="A548" i="9"/>
  <c r="Z547" i="9"/>
  <c r="Y547" i="9"/>
  <c r="X547" i="9"/>
  <c r="W547" i="9"/>
  <c r="V547" i="9"/>
  <c r="U547" i="9"/>
  <c r="T547" i="9"/>
  <c r="S547" i="9"/>
  <c r="R547" i="9"/>
  <c r="Q547" i="9"/>
  <c r="P547" i="9"/>
  <c r="O547" i="9"/>
  <c r="N547" i="9"/>
  <c r="L547" i="9"/>
  <c r="K547" i="9"/>
  <c r="J547" i="9"/>
  <c r="AD547" i="9" s="1"/>
  <c r="G547" i="9"/>
  <c r="H547" i="9" s="1" a="1"/>
  <c r="F547" i="9"/>
  <c r="D547" i="9"/>
  <c r="C547" i="9"/>
  <c r="E547" i="9" s="1" a="1"/>
  <c r="B547" i="9"/>
  <c r="AC547" i="9" s="1"/>
  <c r="A547" i="9"/>
  <c r="Z546" i="9"/>
  <c r="Y546" i="9"/>
  <c r="X546" i="9"/>
  <c r="W546" i="9"/>
  <c r="V546" i="9"/>
  <c r="U546" i="9"/>
  <c r="T546" i="9"/>
  <c r="S546" i="9"/>
  <c r="R546" i="9"/>
  <c r="Q546" i="9"/>
  <c r="P546" i="9"/>
  <c r="O546" i="9"/>
  <c r="N546" i="9"/>
  <c r="L546" i="9"/>
  <c r="K546" i="9"/>
  <c r="J546" i="9"/>
  <c r="AD546" i="9" s="1"/>
  <c r="G546" i="9"/>
  <c r="H546" i="9" s="1" a="1"/>
  <c r="F546" i="9"/>
  <c r="D546" i="9"/>
  <c r="C546" i="9"/>
  <c r="E546" i="9" s="1" a="1"/>
  <c r="B546" i="9"/>
  <c r="AC546" i="9" s="1"/>
  <c r="A546" i="9"/>
  <c r="Z545" i="9"/>
  <c r="Y545" i="9"/>
  <c r="X545" i="9"/>
  <c r="W545" i="9"/>
  <c r="V545" i="9"/>
  <c r="U545" i="9"/>
  <c r="T545" i="9"/>
  <c r="S545" i="9"/>
  <c r="R545" i="9"/>
  <c r="Q545" i="9"/>
  <c r="P545" i="9"/>
  <c r="O545" i="9"/>
  <c r="N545" i="9"/>
  <c r="L545" i="9"/>
  <c r="K545" i="9"/>
  <c r="J545" i="9"/>
  <c r="AD545" i="9" s="1"/>
  <c r="G545" i="9"/>
  <c r="I545" i="9" s="1"/>
  <c r="F545" i="9"/>
  <c r="D545" i="9"/>
  <c r="C545" i="9"/>
  <c r="E545" i="9" s="1" a="1"/>
  <c r="B545" i="9"/>
  <c r="AC545" i="9" s="1"/>
  <c r="A545" i="9"/>
  <c r="Z544" i="9"/>
  <c r="Y544" i="9"/>
  <c r="X544" i="9"/>
  <c r="W544" i="9"/>
  <c r="V544" i="9"/>
  <c r="U544" i="9"/>
  <c r="T544" i="9"/>
  <c r="S544" i="9"/>
  <c r="R544" i="9"/>
  <c r="Q544" i="9"/>
  <c r="P544" i="9"/>
  <c r="O544" i="9"/>
  <c r="N544" i="9"/>
  <c r="L544" i="9"/>
  <c r="K544" i="9"/>
  <c r="J544" i="9"/>
  <c r="AD544" i="9" s="1"/>
  <c r="G544" i="9"/>
  <c r="H544" i="9" s="1" a="1"/>
  <c r="F544" i="9"/>
  <c r="D544" i="9"/>
  <c r="C544" i="9"/>
  <c r="E544" i="9" s="1" a="1"/>
  <c r="B544" i="9"/>
  <c r="AC544" i="9" s="1"/>
  <c r="A544" i="9"/>
  <c r="Z543" i="9"/>
  <c r="Y543" i="9"/>
  <c r="X543" i="9"/>
  <c r="W543" i="9"/>
  <c r="V543" i="9"/>
  <c r="U543" i="9"/>
  <c r="T543" i="9"/>
  <c r="S543" i="9"/>
  <c r="R543" i="9"/>
  <c r="Q543" i="9"/>
  <c r="P543" i="9"/>
  <c r="O543" i="9"/>
  <c r="N543" i="9"/>
  <c r="L543" i="9"/>
  <c r="K543" i="9"/>
  <c r="J543" i="9"/>
  <c r="AD543" i="9" s="1"/>
  <c r="G543" i="9"/>
  <c r="H543" i="9" s="1" a="1"/>
  <c r="F543" i="9"/>
  <c r="D543" i="9"/>
  <c r="C543" i="9"/>
  <c r="E543" i="9" s="1" a="1"/>
  <c r="B543" i="9"/>
  <c r="AC543" i="9" s="1"/>
  <c r="A543" i="9"/>
  <c r="Z542" i="9"/>
  <c r="Y542" i="9"/>
  <c r="X542" i="9"/>
  <c r="W542" i="9"/>
  <c r="V542" i="9"/>
  <c r="U542" i="9"/>
  <c r="T542" i="9"/>
  <c r="S542" i="9"/>
  <c r="R542" i="9"/>
  <c r="Q542" i="9"/>
  <c r="P542" i="9"/>
  <c r="O542" i="9"/>
  <c r="N542" i="9"/>
  <c r="L542" i="9"/>
  <c r="K542" i="9"/>
  <c r="J542" i="9"/>
  <c r="AD542" i="9" s="1"/>
  <c r="G542" i="9"/>
  <c r="H542" i="9" s="1" a="1"/>
  <c r="F542" i="9"/>
  <c r="D542" i="9"/>
  <c r="C542" i="9"/>
  <c r="E542" i="9" s="1" a="1"/>
  <c r="B542" i="9"/>
  <c r="AC542" i="9" s="1"/>
  <c r="A542" i="9"/>
  <c r="Z541" i="9"/>
  <c r="Y541" i="9"/>
  <c r="X541" i="9"/>
  <c r="W541" i="9"/>
  <c r="V541" i="9"/>
  <c r="U541" i="9"/>
  <c r="T541" i="9"/>
  <c r="S541" i="9"/>
  <c r="R541" i="9"/>
  <c r="Q541" i="9"/>
  <c r="P541" i="9"/>
  <c r="O541" i="9"/>
  <c r="N541" i="9"/>
  <c r="L541" i="9"/>
  <c r="K541" i="9"/>
  <c r="J541" i="9"/>
  <c r="AD541" i="9" s="1"/>
  <c r="G541" i="9"/>
  <c r="I541" i="9" s="1"/>
  <c r="F541" i="9"/>
  <c r="D541" i="9"/>
  <c r="C541" i="9"/>
  <c r="E541" i="9" s="1" a="1"/>
  <c r="B541" i="9"/>
  <c r="AC541" i="9" s="1"/>
  <c r="A541" i="9"/>
  <c r="Z540" i="9"/>
  <c r="Y540" i="9"/>
  <c r="X540" i="9"/>
  <c r="W540" i="9"/>
  <c r="V540" i="9"/>
  <c r="U540" i="9"/>
  <c r="T540" i="9"/>
  <c r="S540" i="9"/>
  <c r="R540" i="9"/>
  <c r="Q540" i="9"/>
  <c r="P540" i="9"/>
  <c r="O540" i="9"/>
  <c r="N540" i="9"/>
  <c r="L540" i="9"/>
  <c r="K540" i="9"/>
  <c r="J540" i="9"/>
  <c r="AD540" i="9" s="1"/>
  <c r="G540" i="9"/>
  <c r="I540" i="9" s="1"/>
  <c r="F540" i="9"/>
  <c r="D540" i="9"/>
  <c r="C540" i="9"/>
  <c r="E540" i="9" s="1" a="1"/>
  <c r="B540" i="9"/>
  <c r="AC540" i="9" s="1"/>
  <c r="A540" i="9"/>
  <c r="Z539" i="9"/>
  <c r="Y539" i="9"/>
  <c r="X539" i="9"/>
  <c r="W539" i="9"/>
  <c r="V539" i="9"/>
  <c r="U539" i="9"/>
  <c r="T539" i="9"/>
  <c r="S539" i="9"/>
  <c r="R539" i="9"/>
  <c r="Q539" i="9"/>
  <c r="P539" i="9"/>
  <c r="O539" i="9"/>
  <c r="N539" i="9"/>
  <c r="L539" i="9"/>
  <c r="K539" i="9"/>
  <c r="J539" i="9"/>
  <c r="AD539" i="9" s="1"/>
  <c r="G539" i="9"/>
  <c r="I539" i="9" s="1"/>
  <c r="F539" i="9"/>
  <c r="D539" i="9"/>
  <c r="C539" i="9"/>
  <c r="E539" i="9" s="1" a="1"/>
  <c r="B539" i="9"/>
  <c r="AC539" i="9" s="1"/>
  <c r="A539" i="9"/>
  <c r="Z538" i="9"/>
  <c r="Y538" i="9"/>
  <c r="X538" i="9"/>
  <c r="W538" i="9"/>
  <c r="V538" i="9"/>
  <c r="U538" i="9"/>
  <c r="T538" i="9"/>
  <c r="S538" i="9"/>
  <c r="R538" i="9"/>
  <c r="Q538" i="9"/>
  <c r="P538" i="9"/>
  <c r="O538" i="9"/>
  <c r="N538" i="9"/>
  <c r="L538" i="9"/>
  <c r="K538" i="9"/>
  <c r="J538" i="9"/>
  <c r="AD538" i="9" s="1"/>
  <c r="G538" i="9"/>
  <c r="H538" i="9" s="1" a="1"/>
  <c r="F538" i="9"/>
  <c r="D538" i="9"/>
  <c r="C538" i="9"/>
  <c r="E538" i="9" s="1" a="1"/>
  <c r="B538" i="9"/>
  <c r="AC538" i="9" s="1"/>
  <c r="A538" i="9"/>
  <c r="Z537" i="9"/>
  <c r="Y537" i="9"/>
  <c r="X537" i="9"/>
  <c r="W537" i="9"/>
  <c r="V537" i="9"/>
  <c r="U537" i="9"/>
  <c r="T537" i="9"/>
  <c r="S537" i="9"/>
  <c r="R537" i="9"/>
  <c r="Q537" i="9"/>
  <c r="P537" i="9"/>
  <c r="O537" i="9"/>
  <c r="N537" i="9"/>
  <c r="L537" i="9"/>
  <c r="K537" i="9"/>
  <c r="J537" i="9"/>
  <c r="AD537" i="9" s="1"/>
  <c r="G537" i="9"/>
  <c r="F537" i="9"/>
  <c r="D537" i="9"/>
  <c r="C537" i="9"/>
  <c r="E537" i="9" s="1" a="1"/>
  <c r="B537" i="9"/>
  <c r="AC537" i="9" s="1"/>
  <c r="A537" i="9"/>
  <c r="Z536" i="9"/>
  <c r="Y536" i="9"/>
  <c r="X536" i="9"/>
  <c r="W536" i="9"/>
  <c r="V536" i="9"/>
  <c r="U536" i="9"/>
  <c r="T536" i="9"/>
  <c r="S536" i="9"/>
  <c r="R536" i="9"/>
  <c r="Q536" i="9"/>
  <c r="P536" i="9"/>
  <c r="O536" i="9"/>
  <c r="N536" i="9"/>
  <c r="L536" i="9"/>
  <c r="K536" i="9"/>
  <c r="J536" i="9"/>
  <c r="AD536" i="9" s="1"/>
  <c r="G536" i="9"/>
  <c r="I536" i="9" s="1"/>
  <c r="F536" i="9"/>
  <c r="D536" i="9"/>
  <c r="C536" i="9"/>
  <c r="E536" i="9" s="1" a="1"/>
  <c r="B536" i="9"/>
  <c r="AC536" i="9" s="1"/>
  <c r="A536" i="9"/>
  <c r="Z535" i="9"/>
  <c r="Y535" i="9"/>
  <c r="X535" i="9"/>
  <c r="W535" i="9"/>
  <c r="V535" i="9"/>
  <c r="U535" i="9"/>
  <c r="T535" i="9"/>
  <c r="S535" i="9"/>
  <c r="R535" i="9"/>
  <c r="Q535" i="9"/>
  <c r="P535" i="9"/>
  <c r="O535" i="9"/>
  <c r="N535" i="9"/>
  <c r="L535" i="9"/>
  <c r="K535" i="9"/>
  <c r="J535" i="9"/>
  <c r="AD535" i="9" s="1"/>
  <c r="G535" i="9"/>
  <c r="I535" i="9" s="1"/>
  <c r="F535" i="9"/>
  <c r="D535" i="9"/>
  <c r="C535" i="9"/>
  <c r="E535" i="9" s="1" a="1"/>
  <c r="B535" i="9"/>
  <c r="AC535" i="9" s="1"/>
  <c r="A535" i="9"/>
  <c r="Z534" i="9"/>
  <c r="Y534" i="9"/>
  <c r="X534" i="9"/>
  <c r="W534" i="9"/>
  <c r="V534" i="9"/>
  <c r="U534" i="9"/>
  <c r="T534" i="9"/>
  <c r="S534" i="9"/>
  <c r="R534" i="9"/>
  <c r="Q534" i="9"/>
  <c r="P534" i="9"/>
  <c r="O534" i="9"/>
  <c r="N534" i="9"/>
  <c r="L534" i="9"/>
  <c r="K534" i="9"/>
  <c r="J534" i="9"/>
  <c r="AD534" i="9" s="1"/>
  <c r="G534" i="9"/>
  <c r="F534" i="9"/>
  <c r="D534" i="9"/>
  <c r="C534" i="9"/>
  <c r="E534" i="9" s="1" a="1"/>
  <c r="B534" i="9"/>
  <c r="AC534" i="9" s="1"/>
  <c r="A534" i="9"/>
  <c r="Z533" i="9"/>
  <c r="Y533" i="9"/>
  <c r="X533" i="9"/>
  <c r="W533" i="9"/>
  <c r="V533" i="9"/>
  <c r="U533" i="9"/>
  <c r="T533" i="9"/>
  <c r="S533" i="9"/>
  <c r="R533" i="9"/>
  <c r="Q533" i="9"/>
  <c r="P533" i="9"/>
  <c r="O533" i="9"/>
  <c r="N533" i="9"/>
  <c r="L533" i="9"/>
  <c r="K533" i="9"/>
  <c r="J533" i="9"/>
  <c r="AD533" i="9" s="1"/>
  <c r="G533" i="9"/>
  <c r="H533" i="9" s="1" a="1"/>
  <c r="F533" i="9"/>
  <c r="D533" i="9"/>
  <c r="C533" i="9"/>
  <c r="E533" i="9" s="1" a="1"/>
  <c r="B533" i="9"/>
  <c r="AC533" i="9" s="1"/>
  <c r="A533" i="9"/>
  <c r="Z532" i="9"/>
  <c r="Y532" i="9"/>
  <c r="X532" i="9"/>
  <c r="W532" i="9"/>
  <c r="V532" i="9"/>
  <c r="U532" i="9"/>
  <c r="T532" i="9"/>
  <c r="S532" i="9"/>
  <c r="R532" i="9"/>
  <c r="Q532" i="9"/>
  <c r="P532" i="9"/>
  <c r="O532" i="9"/>
  <c r="N532" i="9"/>
  <c r="L532" i="9"/>
  <c r="K532" i="9"/>
  <c r="J532" i="9"/>
  <c r="AD532" i="9" s="1"/>
  <c r="G532" i="9"/>
  <c r="F532" i="9"/>
  <c r="D532" i="9"/>
  <c r="C532" i="9"/>
  <c r="E532" i="9" s="1" a="1"/>
  <c r="B532" i="9"/>
  <c r="AC532" i="9" s="1"/>
  <c r="A532" i="9"/>
  <c r="Z531" i="9"/>
  <c r="Y531" i="9"/>
  <c r="X531" i="9"/>
  <c r="W531" i="9"/>
  <c r="V531" i="9"/>
  <c r="U531" i="9"/>
  <c r="T531" i="9"/>
  <c r="S531" i="9"/>
  <c r="R531" i="9"/>
  <c r="Q531" i="9"/>
  <c r="P531" i="9"/>
  <c r="O531" i="9"/>
  <c r="N531" i="9"/>
  <c r="L531" i="9"/>
  <c r="K531" i="9"/>
  <c r="J531" i="9"/>
  <c r="AD531" i="9" s="1"/>
  <c r="G531" i="9"/>
  <c r="H531" i="9" s="1" a="1"/>
  <c r="F531" i="9"/>
  <c r="D531" i="9"/>
  <c r="C531" i="9"/>
  <c r="E531" i="9" s="1" a="1"/>
  <c r="B531" i="9"/>
  <c r="AC531" i="9" s="1"/>
  <c r="A531" i="9"/>
  <c r="Z530" i="9"/>
  <c r="Y530" i="9"/>
  <c r="X530" i="9"/>
  <c r="W530" i="9"/>
  <c r="V530" i="9"/>
  <c r="U530" i="9"/>
  <c r="T530" i="9"/>
  <c r="S530" i="9"/>
  <c r="R530" i="9"/>
  <c r="Q530" i="9"/>
  <c r="P530" i="9"/>
  <c r="O530" i="9"/>
  <c r="N530" i="9"/>
  <c r="L530" i="9"/>
  <c r="K530" i="9"/>
  <c r="J530" i="9"/>
  <c r="AD530" i="9" s="1"/>
  <c r="G530" i="9"/>
  <c r="H530" i="9" s="1" a="1"/>
  <c r="F530" i="9"/>
  <c r="D530" i="9"/>
  <c r="C530" i="9"/>
  <c r="E530" i="9" s="1" a="1"/>
  <c r="B530" i="9"/>
  <c r="AC530" i="9" s="1"/>
  <c r="A530" i="9"/>
  <c r="Z529" i="9"/>
  <c r="Y529" i="9"/>
  <c r="X529" i="9"/>
  <c r="W529" i="9"/>
  <c r="V529" i="9"/>
  <c r="U529" i="9"/>
  <c r="T529" i="9"/>
  <c r="S529" i="9"/>
  <c r="R529" i="9"/>
  <c r="Q529" i="9"/>
  <c r="P529" i="9"/>
  <c r="O529" i="9"/>
  <c r="N529" i="9"/>
  <c r="L529" i="9"/>
  <c r="K529" i="9"/>
  <c r="J529" i="9"/>
  <c r="AD529" i="9" s="1"/>
  <c r="G529" i="9"/>
  <c r="I529" i="9" s="1"/>
  <c r="F529" i="9"/>
  <c r="D529" i="9"/>
  <c r="C529" i="9"/>
  <c r="E529" i="9" s="1" a="1"/>
  <c r="B529" i="9"/>
  <c r="AC529" i="9" s="1"/>
  <c r="A529" i="9"/>
  <c r="Z528" i="9"/>
  <c r="Y528" i="9"/>
  <c r="X528" i="9"/>
  <c r="W528" i="9"/>
  <c r="V528" i="9"/>
  <c r="U528" i="9"/>
  <c r="T528" i="9"/>
  <c r="S528" i="9"/>
  <c r="R528" i="9"/>
  <c r="Q528" i="9"/>
  <c r="P528" i="9"/>
  <c r="O528" i="9"/>
  <c r="N528" i="9"/>
  <c r="L528" i="9"/>
  <c r="K528" i="9"/>
  <c r="J528" i="9"/>
  <c r="AD528" i="9" s="1"/>
  <c r="G528" i="9"/>
  <c r="H528" i="9" s="1" a="1"/>
  <c r="F528" i="9"/>
  <c r="D528" i="9"/>
  <c r="C528" i="9"/>
  <c r="E528" i="9" s="1" a="1"/>
  <c r="B528" i="9"/>
  <c r="AC528" i="9" s="1"/>
  <c r="A528" i="9"/>
  <c r="Z527" i="9"/>
  <c r="Y527" i="9"/>
  <c r="X527" i="9"/>
  <c r="W527" i="9"/>
  <c r="V527" i="9"/>
  <c r="U527" i="9"/>
  <c r="T527" i="9"/>
  <c r="S527" i="9"/>
  <c r="R527" i="9"/>
  <c r="Q527" i="9"/>
  <c r="P527" i="9"/>
  <c r="O527" i="9"/>
  <c r="N527" i="9"/>
  <c r="L527" i="9"/>
  <c r="K527" i="9"/>
  <c r="J527" i="9"/>
  <c r="AD527" i="9" s="1"/>
  <c r="G527" i="9"/>
  <c r="H527" i="9" s="1" a="1"/>
  <c r="F527" i="9"/>
  <c r="D527" i="9"/>
  <c r="C527" i="9"/>
  <c r="E527" i="9" s="1" a="1"/>
  <c r="B527" i="9"/>
  <c r="AC527" i="9" s="1"/>
  <c r="A527" i="9"/>
  <c r="Z526" i="9"/>
  <c r="Y526" i="9"/>
  <c r="X526" i="9"/>
  <c r="W526" i="9"/>
  <c r="V526" i="9"/>
  <c r="U526" i="9"/>
  <c r="T526" i="9"/>
  <c r="S526" i="9"/>
  <c r="R526" i="9"/>
  <c r="Q526" i="9"/>
  <c r="P526" i="9"/>
  <c r="O526" i="9"/>
  <c r="N526" i="9"/>
  <c r="L526" i="9"/>
  <c r="K526" i="9"/>
  <c r="J526" i="9"/>
  <c r="AD526" i="9" s="1"/>
  <c r="G526" i="9"/>
  <c r="F526" i="9"/>
  <c r="D526" i="9"/>
  <c r="C526" i="9"/>
  <c r="E526" i="9" s="1" a="1"/>
  <c r="B526" i="9"/>
  <c r="AC526" i="9" s="1"/>
  <c r="A526" i="9"/>
  <c r="Z525" i="9"/>
  <c r="Y525" i="9"/>
  <c r="X525" i="9"/>
  <c r="W525" i="9"/>
  <c r="V525" i="9"/>
  <c r="U525" i="9"/>
  <c r="T525" i="9"/>
  <c r="S525" i="9"/>
  <c r="R525" i="9"/>
  <c r="Q525" i="9"/>
  <c r="P525" i="9"/>
  <c r="O525" i="9"/>
  <c r="N525" i="9"/>
  <c r="L525" i="9"/>
  <c r="K525" i="9"/>
  <c r="J525" i="9"/>
  <c r="AD525" i="9" s="1"/>
  <c r="G525" i="9"/>
  <c r="I525" i="9" s="1"/>
  <c r="F525" i="9"/>
  <c r="D525" i="9"/>
  <c r="C525" i="9"/>
  <c r="E525" i="9" s="1" a="1"/>
  <c r="B525" i="9"/>
  <c r="AC525" i="9" s="1"/>
  <c r="A525" i="9"/>
  <c r="Z524" i="9"/>
  <c r="Y524" i="9"/>
  <c r="X524" i="9"/>
  <c r="W524" i="9"/>
  <c r="V524" i="9"/>
  <c r="U524" i="9"/>
  <c r="T524" i="9"/>
  <c r="S524" i="9"/>
  <c r="R524" i="9"/>
  <c r="Q524" i="9"/>
  <c r="P524" i="9"/>
  <c r="O524" i="9"/>
  <c r="N524" i="9"/>
  <c r="L524" i="9"/>
  <c r="K524" i="9"/>
  <c r="J524" i="9"/>
  <c r="AD524" i="9" s="1"/>
  <c r="G524" i="9"/>
  <c r="I524" i="9" s="1"/>
  <c r="F524" i="9"/>
  <c r="D524" i="9"/>
  <c r="C524" i="9"/>
  <c r="E524" i="9" s="1" a="1"/>
  <c r="B524" i="9"/>
  <c r="AC524" i="9" s="1"/>
  <c r="A524" i="9"/>
  <c r="Z523" i="9"/>
  <c r="Y523" i="9"/>
  <c r="X523" i="9"/>
  <c r="W523" i="9"/>
  <c r="V523" i="9"/>
  <c r="U523" i="9"/>
  <c r="T523" i="9"/>
  <c r="S523" i="9"/>
  <c r="R523" i="9"/>
  <c r="Q523" i="9"/>
  <c r="P523" i="9"/>
  <c r="O523" i="9"/>
  <c r="N523" i="9"/>
  <c r="L523" i="9"/>
  <c r="K523" i="9"/>
  <c r="J523" i="9"/>
  <c r="AD523" i="9" s="1"/>
  <c r="G523" i="9"/>
  <c r="I523" i="9" s="1"/>
  <c r="F523" i="9"/>
  <c r="D523" i="9"/>
  <c r="C523" i="9"/>
  <c r="E523" i="9" s="1" a="1"/>
  <c r="B523" i="9"/>
  <c r="AC523" i="9" s="1"/>
  <c r="A523" i="9"/>
  <c r="Z522" i="9"/>
  <c r="Y522" i="9"/>
  <c r="X522" i="9"/>
  <c r="W522" i="9"/>
  <c r="V522" i="9"/>
  <c r="U522" i="9"/>
  <c r="T522" i="9"/>
  <c r="S522" i="9"/>
  <c r="R522" i="9"/>
  <c r="Q522" i="9"/>
  <c r="P522" i="9"/>
  <c r="O522" i="9"/>
  <c r="N522" i="9"/>
  <c r="L522" i="9"/>
  <c r="K522" i="9"/>
  <c r="J522" i="9"/>
  <c r="AD522" i="9" s="1"/>
  <c r="G522" i="9"/>
  <c r="H522" i="9" s="1" a="1"/>
  <c r="F522" i="9"/>
  <c r="D522" i="9"/>
  <c r="C522" i="9"/>
  <c r="E522" i="9" s="1" a="1"/>
  <c r="B522" i="9"/>
  <c r="AC522" i="9" s="1"/>
  <c r="A522" i="9"/>
  <c r="Z521" i="9"/>
  <c r="Y521" i="9"/>
  <c r="X521" i="9"/>
  <c r="W521" i="9"/>
  <c r="V521" i="9"/>
  <c r="U521" i="9"/>
  <c r="T521" i="9"/>
  <c r="S521" i="9"/>
  <c r="R521" i="9"/>
  <c r="Q521" i="9"/>
  <c r="P521" i="9"/>
  <c r="O521" i="9"/>
  <c r="N521" i="9"/>
  <c r="L521" i="9"/>
  <c r="K521" i="9"/>
  <c r="J521" i="9"/>
  <c r="AD521" i="9" s="1"/>
  <c r="G521" i="9"/>
  <c r="F521" i="9"/>
  <c r="D521" i="9"/>
  <c r="C521" i="9"/>
  <c r="E521" i="9" s="1" a="1"/>
  <c r="B521" i="9"/>
  <c r="AC521" i="9" s="1"/>
  <c r="A521" i="9"/>
  <c r="Z520" i="9"/>
  <c r="Y520" i="9"/>
  <c r="X520" i="9"/>
  <c r="W520" i="9"/>
  <c r="V520" i="9"/>
  <c r="U520" i="9"/>
  <c r="T520" i="9"/>
  <c r="S520" i="9"/>
  <c r="R520" i="9"/>
  <c r="Q520" i="9"/>
  <c r="P520" i="9"/>
  <c r="O520" i="9"/>
  <c r="N520" i="9"/>
  <c r="L520" i="9"/>
  <c r="K520" i="9"/>
  <c r="J520" i="9"/>
  <c r="AD520" i="9" s="1"/>
  <c r="G520" i="9"/>
  <c r="F520" i="9"/>
  <c r="D520" i="9"/>
  <c r="C520" i="9"/>
  <c r="E520" i="9" s="1" a="1"/>
  <c r="B520" i="9"/>
  <c r="AC520" i="9" s="1"/>
  <c r="A520" i="9"/>
  <c r="Z519" i="9"/>
  <c r="Y519" i="9"/>
  <c r="X519" i="9"/>
  <c r="W519" i="9"/>
  <c r="V519" i="9"/>
  <c r="U519" i="9"/>
  <c r="T519" i="9"/>
  <c r="S519" i="9"/>
  <c r="R519" i="9"/>
  <c r="Q519" i="9"/>
  <c r="P519" i="9"/>
  <c r="O519" i="9"/>
  <c r="N519" i="9"/>
  <c r="L519" i="9"/>
  <c r="K519" i="9"/>
  <c r="J519" i="9"/>
  <c r="AD519" i="9" s="1"/>
  <c r="G519" i="9"/>
  <c r="H519" i="9" s="1" a="1"/>
  <c r="F519" i="9"/>
  <c r="D519" i="9"/>
  <c r="C519" i="9"/>
  <c r="E519" i="9" s="1" a="1"/>
  <c r="B519" i="9"/>
  <c r="AC519" i="9" s="1"/>
  <c r="A519" i="9"/>
  <c r="Z518" i="9"/>
  <c r="Y518" i="9"/>
  <c r="X518" i="9"/>
  <c r="W518" i="9"/>
  <c r="V518" i="9"/>
  <c r="U518" i="9"/>
  <c r="T518" i="9"/>
  <c r="S518" i="9"/>
  <c r="R518" i="9"/>
  <c r="Q518" i="9"/>
  <c r="P518" i="9"/>
  <c r="O518" i="9"/>
  <c r="N518" i="9"/>
  <c r="L518" i="9"/>
  <c r="K518" i="9"/>
  <c r="J518" i="9"/>
  <c r="AD518" i="9" s="1"/>
  <c r="G518" i="9"/>
  <c r="F518" i="9"/>
  <c r="D518" i="9"/>
  <c r="C518" i="9"/>
  <c r="E518" i="9" s="1" a="1"/>
  <c r="B518" i="9"/>
  <c r="AC518" i="9" s="1"/>
  <c r="A518" i="9"/>
  <c r="Z517" i="9"/>
  <c r="Y517" i="9"/>
  <c r="X517" i="9"/>
  <c r="W517" i="9"/>
  <c r="V517" i="9"/>
  <c r="U517" i="9"/>
  <c r="T517" i="9"/>
  <c r="S517" i="9"/>
  <c r="R517" i="9"/>
  <c r="Q517" i="9"/>
  <c r="P517" i="9"/>
  <c r="O517" i="9"/>
  <c r="N517" i="9"/>
  <c r="L517" i="9"/>
  <c r="K517" i="9"/>
  <c r="J517" i="9"/>
  <c r="AD517" i="9" s="1"/>
  <c r="G517" i="9"/>
  <c r="I517" i="9" s="1"/>
  <c r="F517" i="9"/>
  <c r="D517" i="9"/>
  <c r="C517" i="9"/>
  <c r="E517" i="9" s="1" a="1"/>
  <c r="B517" i="9"/>
  <c r="AC517" i="9" s="1"/>
  <c r="A517" i="9"/>
  <c r="Z516" i="9"/>
  <c r="Y516" i="9"/>
  <c r="X516" i="9"/>
  <c r="W516" i="9"/>
  <c r="V516" i="9"/>
  <c r="U516" i="9"/>
  <c r="T516" i="9"/>
  <c r="S516" i="9"/>
  <c r="R516" i="9"/>
  <c r="Q516" i="9"/>
  <c r="P516" i="9"/>
  <c r="O516" i="9"/>
  <c r="N516" i="9"/>
  <c r="L516" i="9"/>
  <c r="K516" i="9"/>
  <c r="J516" i="9"/>
  <c r="AD516" i="9" s="1"/>
  <c r="G516" i="9"/>
  <c r="H516" i="9" s="1" a="1"/>
  <c r="F516" i="9"/>
  <c r="D516" i="9"/>
  <c r="C516" i="9"/>
  <c r="E516" i="9" s="1" a="1"/>
  <c r="B516" i="9"/>
  <c r="AC516" i="9" s="1"/>
  <c r="A516" i="9"/>
  <c r="Z515" i="9"/>
  <c r="Y515" i="9"/>
  <c r="X515" i="9"/>
  <c r="W515" i="9"/>
  <c r="V515" i="9"/>
  <c r="U515" i="9"/>
  <c r="T515" i="9"/>
  <c r="S515" i="9"/>
  <c r="R515" i="9"/>
  <c r="Q515" i="9"/>
  <c r="P515" i="9"/>
  <c r="O515" i="9"/>
  <c r="N515" i="9"/>
  <c r="L515" i="9"/>
  <c r="K515" i="9"/>
  <c r="J515" i="9"/>
  <c r="AD515" i="9" s="1"/>
  <c r="G515" i="9"/>
  <c r="H515" i="9" s="1" a="1"/>
  <c r="F515" i="9"/>
  <c r="D515" i="9"/>
  <c r="C515" i="9"/>
  <c r="E515" i="9" s="1" a="1"/>
  <c r="B515" i="9"/>
  <c r="AC515" i="9" s="1"/>
  <c r="A515" i="9"/>
  <c r="Z514" i="9"/>
  <c r="Y514" i="9"/>
  <c r="X514" i="9"/>
  <c r="W514" i="9"/>
  <c r="V514" i="9"/>
  <c r="U514" i="9"/>
  <c r="T514" i="9"/>
  <c r="S514" i="9"/>
  <c r="R514" i="9"/>
  <c r="Q514" i="9"/>
  <c r="P514" i="9"/>
  <c r="O514" i="9"/>
  <c r="N514" i="9"/>
  <c r="L514" i="9"/>
  <c r="K514" i="9"/>
  <c r="J514" i="9"/>
  <c r="AD514" i="9" s="1"/>
  <c r="G514" i="9"/>
  <c r="H514" i="9" s="1" a="1"/>
  <c r="F514" i="9"/>
  <c r="D514" i="9"/>
  <c r="C514" i="9"/>
  <c r="E514" i="9" s="1" a="1"/>
  <c r="B514" i="9"/>
  <c r="AC514" i="9" s="1"/>
  <c r="A514" i="9"/>
  <c r="Z513" i="9"/>
  <c r="Y513" i="9"/>
  <c r="X513" i="9"/>
  <c r="W513" i="9"/>
  <c r="V513" i="9"/>
  <c r="U513" i="9"/>
  <c r="T513" i="9"/>
  <c r="S513" i="9"/>
  <c r="R513" i="9"/>
  <c r="Q513" i="9"/>
  <c r="P513" i="9"/>
  <c r="O513" i="9"/>
  <c r="N513" i="9"/>
  <c r="L513" i="9"/>
  <c r="K513" i="9"/>
  <c r="J513" i="9"/>
  <c r="AD513" i="9" s="1"/>
  <c r="G513" i="9"/>
  <c r="F513" i="9"/>
  <c r="D513" i="9"/>
  <c r="C513" i="9"/>
  <c r="E513" i="9" s="1" a="1"/>
  <c r="B513" i="9"/>
  <c r="AC513" i="9" s="1"/>
  <c r="A513" i="9"/>
  <c r="Z512" i="9"/>
  <c r="Y512" i="9"/>
  <c r="X512" i="9"/>
  <c r="W512" i="9"/>
  <c r="V512" i="9"/>
  <c r="U512" i="9"/>
  <c r="T512" i="9"/>
  <c r="S512" i="9"/>
  <c r="R512" i="9"/>
  <c r="Q512" i="9"/>
  <c r="P512" i="9"/>
  <c r="O512" i="9"/>
  <c r="N512" i="9"/>
  <c r="L512" i="9"/>
  <c r="K512" i="9"/>
  <c r="J512" i="9"/>
  <c r="AD512" i="9" s="1"/>
  <c r="G512" i="9"/>
  <c r="H512" i="9" s="1" a="1"/>
  <c r="F512" i="9"/>
  <c r="D512" i="9"/>
  <c r="C512" i="9"/>
  <c r="E512" i="9" s="1" a="1"/>
  <c r="B512" i="9"/>
  <c r="AC512" i="9" s="1"/>
  <c r="A512" i="9"/>
  <c r="Z511" i="9"/>
  <c r="Y511" i="9"/>
  <c r="X511" i="9"/>
  <c r="W511" i="9"/>
  <c r="V511" i="9"/>
  <c r="U511" i="9"/>
  <c r="T511" i="9"/>
  <c r="S511" i="9"/>
  <c r="R511" i="9"/>
  <c r="Q511" i="9"/>
  <c r="P511" i="9"/>
  <c r="O511" i="9"/>
  <c r="N511" i="9"/>
  <c r="L511" i="9"/>
  <c r="K511" i="9"/>
  <c r="J511" i="9"/>
  <c r="AD511" i="9" s="1"/>
  <c r="G511" i="9"/>
  <c r="H511" i="9" s="1" a="1"/>
  <c r="F511" i="9"/>
  <c r="D511" i="9"/>
  <c r="C511" i="9"/>
  <c r="E511" i="9" s="1" a="1"/>
  <c r="B511" i="9"/>
  <c r="AC511" i="9" s="1"/>
  <c r="A511" i="9"/>
  <c r="Z510" i="9"/>
  <c r="Y510" i="9"/>
  <c r="X510" i="9"/>
  <c r="W510" i="9"/>
  <c r="V510" i="9"/>
  <c r="U510" i="9"/>
  <c r="T510" i="9"/>
  <c r="S510" i="9"/>
  <c r="R510" i="9"/>
  <c r="Q510" i="9"/>
  <c r="P510" i="9"/>
  <c r="O510" i="9"/>
  <c r="N510" i="9"/>
  <c r="L510" i="9"/>
  <c r="K510" i="9"/>
  <c r="J510" i="9"/>
  <c r="AD510" i="9" s="1"/>
  <c r="G510" i="9"/>
  <c r="H510" i="9" s="1" a="1"/>
  <c r="F510" i="9"/>
  <c r="D510" i="9"/>
  <c r="C510" i="9"/>
  <c r="E510" i="9" s="1" a="1"/>
  <c r="B510" i="9"/>
  <c r="AC510" i="9" s="1"/>
  <c r="A510" i="9"/>
  <c r="Z509" i="9"/>
  <c r="Y509" i="9"/>
  <c r="X509" i="9"/>
  <c r="W509" i="9"/>
  <c r="V509" i="9"/>
  <c r="U509" i="9"/>
  <c r="T509" i="9"/>
  <c r="S509" i="9"/>
  <c r="R509" i="9"/>
  <c r="Q509" i="9"/>
  <c r="P509" i="9"/>
  <c r="O509" i="9"/>
  <c r="N509" i="9"/>
  <c r="L509" i="9"/>
  <c r="K509" i="9"/>
  <c r="J509" i="9"/>
  <c r="AD509" i="9" s="1"/>
  <c r="G509" i="9"/>
  <c r="I509" i="9" s="1"/>
  <c r="F509" i="9"/>
  <c r="D509" i="9"/>
  <c r="C509" i="9"/>
  <c r="E509" i="9" s="1" a="1"/>
  <c r="B509" i="9"/>
  <c r="AC509" i="9" s="1"/>
  <c r="A509" i="9"/>
  <c r="Z508" i="9"/>
  <c r="Y508" i="9"/>
  <c r="X508" i="9"/>
  <c r="W508" i="9"/>
  <c r="V508" i="9"/>
  <c r="U508" i="9"/>
  <c r="T508" i="9"/>
  <c r="S508" i="9"/>
  <c r="R508" i="9"/>
  <c r="Q508" i="9"/>
  <c r="P508" i="9"/>
  <c r="O508" i="9"/>
  <c r="N508" i="9"/>
  <c r="L508" i="9"/>
  <c r="K508" i="9"/>
  <c r="J508" i="9"/>
  <c r="AD508" i="9" s="1"/>
  <c r="G508" i="9"/>
  <c r="I508" i="9" s="1"/>
  <c r="F508" i="9"/>
  <c r="D508" i="9"/>
  <c r="C508" i="9"/>
  <c r="E508" i="9" s="1" a="1"/>
  <c r="B508" i="9"/>
  <c r="AC508" i="9" s="1"/>
  <c r="A508" i="9"/>
  <c r="Z507" i="9"/>
  <c r="Y507" i="9"/>
  <c r="X507" i="9"/>
  <c r="W507" i="9"/>
  <c r="V507" i="9"/>
  <c r="U507" i="9"/>
  <c r="T507" i="9"/>
  <c r="S507" i="9"/>
  <c r="R507" i="9"/>
  <c r="Q507" i="9"/>
  <c r="P507" i="9"/>
  <c r="O507" i="9"/>
  <c r="N507" i="9"/>
  <c r="L507" i="9"/>
  <c r="K507" i="9"/>
  <c r="J507" i="9"/>
  <c r="AD507" i="9" s="1"/>
  <c r="G507" i="9"/>
  <c r="H507" i="9" s="1" a="1"/>
  <c r="F507" i="9"/>
  <c r="D507" i="9"/>
  <c r="C507" i="9"/>
  <c r="E507" i="9" s="1" a="1"/>
  <c r="B507" i="9"/>
  <c r="AC507" i="9" s="1"/>
  <c r="A507" i="9"/>
  <c r="Z506" i="9"/>
  <c r="Y506" i="9"/>
  <c r="X506" i="9"/>
  <c r="W506" i="9"/>
  <c r="V506" i="9"/>
  <c r="U506" i="9"/>
  <c r="T506" i="9"/>
  <c r="S506" i="9"/>
  <c r="R506" i="9"/>
  <c r="Q506" i="9"/>
  <c r="P506" i="9"/>
  <c r="O506" i="9"/>
  <c r="N506" i="9"/>
  <c r="L506" i="9"/>
  <c r="K506" i="9"/>
  <c r="J506" i="9"/>
  <c r="AD506" i="9" s="1"/>
  <c r="G506" i="9"/>
  <c r="H506" i="9" s="1" a="1"/>
  <c r="F506" i="9"/>
  <c r="D506" i="9"/>
  <c r="C506" i="9"/>
  <c r="E506" i="9" s="1" a="1"/>
  <c r="B506" i="9"/>
  <c r="AC506" i="9" s="1"/>
  <c r="A506" i="9"/>
  <c r="Z505" i="9"/>
  <c r="Y505" i="9"/>
  <c r="X505" i="9"/>
  <c r="W505" i="9"/>
  <c r="V505" i="9"/>
  <c r="U505" i="9"/>
  <c r="T505" i="9"/>
  <c r="S505" i="9"/>
  <c r="R505" i="9"/>
  <c r="Q505" i="9"/>
  <c r="P505" i="9"/>
  <c r="O505" i="9"/>
  <c r="N505" i="9"/>
  <c r="L505" i="9"/>
  <c r="K505" i="9"/>
  <c r="J505" i="9"/>
  <c r="AD505" i="9" s="1"/>
  <c r="G505" i="9"/>
  <c r="F505" i="9"/>
  <c r="D505" i="9"/>
  <c r="C505" i="9"/>
  <c r="E505" i="9" s="1" a="1"/>
  <c r="B505" i="9"/>
  <c r="AC505" i="9" s="1"/>
  <c r="A505" i="9"/>
  <c r="Z504" i="9"/>
  <c r="Y504" i="9"/>
  <c r="X504" i="9"/>
  <c r="W504" i="9"/>
  <c r="V504" i="9"/>
  <c r="U504" i="9"/>
  <c r="T504" i="9"/>
  <c r="S504" i="9"/>
  <c r="R504" i="9"/>
  <c r="Q504" i="9"/>
  <c r="P504" i="9"/>
  <c r="O504" i="9"/>
  <c r="N504" i="9"/>
  <c r="L504" i="9"/>
  <c r="K504" i="9"/>
  <c r="J504" i="9"/>
  <c r="AD504" i="9" s="1"/>
  <c r="G504" i="9"/>
  <c r="I504" i="9" s="1"/>
  <c r="F504" i="9"/>
  <c r="D504" i="9"/>
  <c r="C504" i="9"/>
  <c r="E504" i="9" s="1" a="1"/>
  <c r="B504" i="9"/>
  <c r="AC504" i="9" s="1"/>
  <c r="A504" i="9"/>
  <c r="Z503" i="9"/>
  <c r="Y503" i="9"/>
  <c r="X503" i="9"/>
  <c r="W503" i="9"/>
  <c r="V503" i="9"/>
  <c r="U503" i="9"/>
  <c r="T503" i="9"/>
  <c r="S503" i="9"/>
  <c r="R503" i="9"/>
  <c r="Q503" i="9"/>
  <c r="P503" i="9"/>
  <c r="O503" i="9"/>
  <c r="N503" i="9"/>
  <c r="L503" i="9"/>
  <c r="K503" i="9"/>
  <c r="J503" i="9"/>
  <c r="AD503" i="9" s="1"/>
  <c r="G503" i="9"/>
  <c r="I503" i="9" s="1"/>
  <c r="F503" i="9"/>
  <c r="D503" i="9"/>
  <c r="C503" i="9"/>
  <c r="E503" i="9" s="1" a="1"/>
  <c r="B503" i="9"/>
  <c r="AC503" i="9" s="1"/>
  <c r="A503" i="9"/>
  <c r="Z502" i="9"/>
  <c r="Y502" i="9"/>
  <c r="X502" i="9"/>
  <c r="W502" i="9"/>
  <c r="V502" i="9"/>
  <c r="U502" i="9"/>
  <c r="T502" i="9"/>
  <c r="S502" i="9"/>
  <c r="R502" i="9"/>
  <c r="Q502" i="9"/>
  <c r="P502" i="9"/>
  <c r="O502" i="9"/>
  <c r="N502" i="9"/>
  <c r="L502" i="9"/>
  <c r="K502" i="9"/>
  <c r="J502" i="9"/>
  <c r="AD502" i="9" s="1"/>
  <c r="G502" i="9"/>
  <c r="F502" i="9"/>
  <c r="D502" i="9"/>
  <c r="C502" i="9"/>
  <c r="E502" i="9" s="1" a="1"/>
  <c r="B502" i="9"/>
  <c r="AC502" i="9" s="1"/>
  <c r="A502" i="9"/>
  <c r="Z501" i="9"/>
  <c r="Y501" i="9"/>
  <c r="X501" i="9"/>
  <c r="W501" i="9"/>
  <c r="V501" i="9"/>
  <c r="U501" i="9"/>
  <c r="T501" i="9"/>
  <c r="S501" i="9"/>
  <c r="R501" i="9"/>
  <c r="Q501" i="9"/>
  <c r="P501" i="9"/>
  <c r="O501" i="9"/>
  <c r="N501" i="9"/>
  <c r="L501" i="9"/>
  <c r="K501" i="9"/>
  <c r="J501" i="9"/>
  <c r="AD501" i="9" s="1"/>
  <c r="G501" i="9"/>
  <c r="H501" i="9" s="1" a="1"/>
  <c r="F501" i="9"/>
  <c r="D501" i="9"/>
  <c r="C501" i="9"/>
  <c r="E501" i="9" s="1" a="1"/>
  <c r="B501" i="9"/>
  <c r="AC501" i="9" s="1"/>
  <c r="A501" i="9"/>
  <c r="Z500" i="9"/>
  <c r="Y500" i="9"/>
  <c r="X500" i="9"/>
  <c r="W500" i="9"/>
  <c r="V500" i="9"/>
  <c r="U500" i="9"/>
  <c r="T500" i="9"/>
  <c r="S500" i="9"/>
  <c r="R500" i="9"/>
  <c r="Q500" i="9"/>
  <c r="P500" i="9"/>
  <c r="O500" i="9"/>
  <c r="N500" i="9"/>
  <c r="L500" i="9"/>
  <c r="K500" i="9"/>
  <c r="J500" i="9"/>
  <c r="AD500" i="9" s="1"/>
  <c r="G500" i="9"/>
  <c r="H500" i="9" s="1" a="1"/>
  <c r="F500" i="9"/>
  <c r="D500" i="9"/>
  <c r="C500" i="9"/>
  <c r="E500" i="9" s="1" a="1"/>
  <c r="B500" i="9"/>
  <c r="AC500" i="9" s="1"/>
  <c r="A500" i="9"/>
  <c r="Z499" i="9"/>
  <c r="Y499" i="9"/>
  <c r="X499" i="9"/>
  <c r="W499" i="9"/>
  <c r="V499" i="9"/>
  <c r="U499" i="9"/>
  <c r="T499" i="9"/>
  <c r="S499" i="9"/>
  <c r="R499" i="9"/>
  <c r="Q499" i="9"/>
  <c r="P499" i="9"/>
  <c r="O499" i="9"/>
  <c r="N499" i="9"/>
  <c r="L499" i="9"/>
  <c r="K499" i="9"/>
  <c r="J499" i="9"/>
  <c r="AD499" i="9" s="1"/>
  <c r="G499" i="9"/>
  <c r="H499" i="9" s="1" a="1"/>
  <c r="F499" i="9"/>
  <c r="D499" i="9"/>
  <c r="C499" i="9"/>
  <c r="E499" i="9" s="1" a="1"/>
  <c r="B499" i="9"/>
  <c r="AC499" i="9" s="1"/>
  <c r="A499" i="9"/>
  <c r="Z498" i="9"/>
  <c r="Y498" i="9"/>
  <c r="X498" i="9"/>
  <c r="W498" i="9"/>
  <c r="V498" i="9"/>
  <c r="U498" i="9"/>
  <c r="T498" i="9"/>
  <c r="S498" i="9"/>
  <c r="R498" i="9"/>
  <c r="Q498" i="9"/>
  <c r="P498" i="9"/>
  <c r="O498" i="9"/>
  <c r="N498" i="9"/>
  <c r="L498" i="9"/>
  <c r="K498" i="9"/>
  <c r="J498" i="9"/>
  <c r="AD498" i="9" s="1"/>
  <c r="G498" i="9"/>
  <c r="H498" i="9" s="1" a="1"/>
  <c r="F498" i="9"/>
  <c r="D498" i="9"/>
  <c r="C498" i="9"/>
  <c r="E498" i="9" s="1" a="1"/>
  <c r="B498" i="9"/>
  <c r="AC498" i="9" s="1"/>
  <c r="A498" i="9"/>
  <c r="Z497" i="9"/>
  <c r="Y497" i="9"/>
  <c r="X497" i="9"/>
  <c r="W497" i="9"/>
  <c r="V497" i="9"/>
  <c r="U497" i="9"/>
  <c r="T497" i="9"/>
  <c r="S497" i="9"/>
  <c r="R497" i="9"/>
  <c r="Q497" i="9"/>
  <c r="P497" i="9"/>
  <c r="O497" i="9"/>
  <c r="N497" i="9"/>
  <c r="L497" i="9"/>
  <c r="K497" i="9"/>
  <c r="J497" i="9"/>
  <c r="AD497" i="9" s="1"/>
  <c r="G497" i="9"/>
  <c r="I497" i="9" s="1"/>
  <c r="F497" i="9"/>
  <c r="D497" i="9"/>
  <c r="C497" i="9"/>
  <c r="E497" i="9" s="1" a="1"/>
  <c r="B497" i="9"/>
  <c r="AC497" i="9" s="1"/>
  <c r="A497" i="9"/>
  <c r="Z496" i="9"/>
  <c r="Y496" i="9"/>
  <c r="X496" i="9"/>
  <c r="W496" i="9"/>
  <c r="V496" i="9"/>
  <c r="U496" i="9"/>
  <c r="T496" i="9"/>
  <c r="S496" i="9"/>
  <c r="R496" i="9"/>
  <c r="Q496" i="9"/>
  <c r="P496" i="9"/>
  <c r="O496" i="9"/>
  <c r="N496" i="9"/>
  <c r="L496" i="9"/>
  <c r="K496" i="9"/>
  <c r="J496" i="9"/>
  <c r="AD496" i="9" s="1"/>
  <c r="G496" i="9"/>
  <c r="F496" i="9"/>
  <c r="D496" i="9"/>
  <c r="C496" i="9"/>
  <c r="E496" i="9" s="1" a="1"/>
  <c r="B496" i="9"/>
  <c r="AC496" i="9" s="1"/>
  <c r="A496" i="9"/>
  <c r="Z495" i="9"/>
  <c r="Y495" i="9"/>
  <c r="X495" i="9"/>
  <c r="W495" i="9"/>
  <c r="V495" i="9"/>
  <c r="U495" i="9"/>
  <c r="T495" i="9"/>
  <c r="S495" i="9"/>
  <c r="R495" i="9"/>
  <c r="Q495" i="9"/>
  <c r="P495" i="9"/>
  <c r="O495" i="9"/>
  <c r="N495" i="9"/>
  <c r="L495" i="9"/>
  <c r="K495" i="9"/>
  <c r="J495" i="9"/>
  <c r="AD495" i="9" s="1"/>
  <c r="G495" i="9"/>
  <c r="H495" i="9" s="1" a="1"/>
  <c r="F495" i="9"/>
  <c r="D495" i="9"/>
  <c r="C495" i="9"/>
  <c r="E495" i="9" s="1" a="1"/>
  <c r="B495" i="9"/>
  <c r="AC495" i="9" s="1"/>
  <c r="A495" i="9"/>
  <c r="Z494" i="9"/>
  <c r="Y494" i="9"/>
  <c r="X494" i="9"/>
  <c r="W494" i="9"/>
  <c r="V494" i="9"/>
  <c r="U494" i="9"/>
  <c r="T494" i="9"/>
  <c r="S494" i="9"/>
  <c r="R494" i="9"/>
  <c r="Q494" i="9"/>
  <c r="P494" i="9"/>
  <c r="O494" i="9"/>
  <c r="N494" i="9"/>
  <c r="L494" i="9"/>
  <c r="K494" i="9"/>
  <c r="J494" i="9"/>
  <c r="AD494" i="9" s="1"/>
  <c r="G494" i="9"/>
  <c r="F494" i="9"/>
  <c r="D494" i="9"/>
  <c r="C494" i="9"/>
  <c r="E494" i="9" s="1" a="1"/>
  <c r="B494" i="9"/>
  <c r="AC494" i="9" s="1"/>
  <c r="A494" i="9"/>
  <c r="Z493" i="9"/>
  <c r="Y493" i="9"/>
  <c r="X493" i="9"/>
  <c r="W493" i="9"/>
  <c r="V493" i="9"/>
  <c r="U493" i="9"/>
  <c r="T493" i="9"/>
  <c r="S493" i="9"/>
  <c r="R493" i="9"/>
  <c r="Q493" i="9"/>
  <c r="P493" i="9"/>
  <c r="O493" i="9"/>
  <c r="N493" i="9"/>
  <c r="L493" i="9"/>
  <c r="K493" i="9"/>
  <c r="J493" i="9"/>
  <c r="AD493" i="9" s="1"/>
  <c r="G493" i="9"/>
  <c r="I493" i="9" s="1"/>
  <c r="F493" i="9"/>
  <c r="D493" i="9"/>
  <c r="C493" i="9"/>
  <c r="E493" i="9" s="1" a="1"/>
  <c r="B493" i="9"/>
  <c r="AC493" i="9" s="1"/>
  <c r="A493" i="9"/>
  <c r="Z492" i="9"/>
  <c r="Y492" i="9"/>
  <c r="X492" i="9"/>
  <c r="W492" i="9"/>
  <c r="V492" i="9"/>
  <c r="U492" i="9"/>
  <c r="T492" i="9"/>
  <c r="S492" i="9"/>
  <c r="R492" i="9"/>
  <c r="Q492" i="9"/>
  <c r="P492" i="9"/>
  <c r="O492" i="9"/>
  <c r="N492" i="9"/>
  <c r="L492" i="9"/>
  <c r="K492" i="9"/>
  <c r="J492" i="9"/>
  <c r="AD492" i="9" s="1"/>
  <c r="G492" i="9"/>
  <c r="I492" i="9" s="1"/>
  <c r="F492" i="9"/>
  <c r="D492" i="9"/>
  <c r="C492" i="9"/>
  <c r="E492" i="9" s="1" a="1"/>
  <c r="B492" i="9"/>
  <c r="AC492" i="9" s="1"/>
  <c r="A492" i="9"/>
  <c r="Z491" i="9"/>
  <c r="Y491" i="9"/>
  <c r="X491" i="9"/>
  <c r="W491" i="9"/>
  <c r="V491" i="9"/>
  <c r="U491" i="9"/>
  <c r="T491" i="9"/>
  <c r="S491" i="9"/>
  <c r="R491" i="9"/>
  <c r="Q491" i="9"/>
  <c r="P491" i="9"/>
  <c r="O491" i="9"/>
  <c r="N491" i="9"/>
  <c r="L491" i="9"/>
  <c r="K491" i="9"/>
  <c r="J491" i="9"/>
  <c r="AD491" i="9" s="1"/>
  <c r="G491" i="9"/>
  <c r="H491" i="9" s="1" a="1"/>
  <c r="F491" i="9"/>
  <c r="D491" i="9"/>
  <c r="C491" i="9"/>
  <c r="E491" i="9" s="1" a="1"/>
  <c r="B491" i="9"/>
  <c r="AC491" i="9" s="1"/>
  <c r="A491" i="9"/>
  <c r="Z490" i="9"/>
  <c r="Y490" i="9"/>
  <c r="X490" i="9"/>
  <c r="W490" i="9"/>
  <c r="V490" i="9"/>
  <c r="U490" i="9"/>
  <c r="T490" i="9"/>
  <c r="S490" i="9"/>
  <c r="R490" i="9"/>
  <c r="Q490" i="9"/>
  <c r="P490" i="9"/>
  <c r="O490" i="9"/>
  <c r="N490" i="9"/>
  <c r="L490" i="9"/>
  <c r="K490" i="9"/>
  <c r="J490" i="9"/>
  <c r="AD490" i="9" s="1"/>
  <c r="G490" i="9"/>
  <c r="H490" i="9" s="1" a="1"/>
  <c r="F490" i="9"/>
  <c r="D490" i="9"/>
  <c r="C490" i="9"/>
  <c r="E490" i="9" s="1" a="1"/>
  <c r="B490" i="9"/>
  <c r="AC490" i="9" s="1"/>
  <c r="A490" i="9"/>
  <c r="Z489" i="9"/>
  <c r="Y489" i="9"/>
  <c r="X489" i="9"/>
  <c r="W489" i="9"/>
  <c r="V489" i="9"/>
  <c r="U489" i="9"/>
  <c r="T489" i="9"/>
  <c r="S489" i="9"/>
  <c r="R489" i="9"/>
  <c r="Q489" i="9"/>
  <c r="P489" i="9"/>
  <c r="O489" i="9"/>
  <c r="N489" i="9"/>
  <c r="L489" i="9"/>
  <c r="K489" i="9"/>
  <c r="J489" i="9"/>
  <c r="AD489" i="9" s="1"/>
  <c r="G489" i="9"/>
  <c r="F489" i="9"/>
  <c r="D489" i="9"/>
  <c r="C489" i="9"/>
  <c r="E489" i="9" s="1" a="1"/>
  <c r="B489" i="9"/>
  <c r="AC489" i="9" s="1"/>
  <c r="A489" i="9"/>
  <c r="Z488" i="9"/>
  <c r="Y488" i="9"/>
  <c r="X488" i="9"/>
  <c r="W488" i="9"/>
  <c r="V488" i="9"/>
  <c r="U488" i="9"/>
  <c r="T488" i="9"/>
  <c r="S488" i="9"/>
  <c r="R488" i="9"/>
  <c r="Q488" i="9"/>
  <c r="P488" i="9"/>
  <c r="O488" i="9"/>
  <c r="N488" i="9"/>
  <c r="L488" i="9"/>
  <c r="K488" i="9"/>
  <c r="J488" i="9"/>
  <c r="AD488" i="9" s="1"/>
  <c r="G488" i="9"/>
  <c r="F488" i="9"/>
  <c r="D488" i="9"/>
  <c r="C488" i="9"/>
  <c r="E488" i="9" s="1" a="1"/>
  <c r="B488" i="9"/>
  <c r="AC488" i="9" s="1"/>
  <c r="A488" i="9"/>
  <c r="Z487" i="9"/>
  <c r="Y487" i="9"/>
  <c r="X487" i="9"/>
  <c r="W487" i="9"/>
  <c r="V487" i="9"/>
  <c r="U487" i="9"/>
  <c r="T487" i="9"/>
  <c r="S487" i="9"/>
  <c r="R487" i="9"/>
  <c r="Q487" i="9"/>
  <c r="P487" i="9"/>
  <c r="O487" i="9"/>
  <c r="N487" i="9"/>
  <c r="L487" i="9"/>
  <c r="K487" i="9"/>
  <c r="J487" i="9"/>
  <c r="AD487" i="9" s="1"/>
  <c r="G487" i="9"/>
  <c r="H487" i="9" s="1" a="1"/>
  <c r="F487" i="9"/>
  <c r="D487" i="9"/>
  <c r="C487" i="9"/>
  <c r="E487" i="9" s="1" a="1"/>
  <c r="B487" i="9"/>
  <c r="AC487" i="9" s="1"/>
  <c r="A487" i="9"/>
  <c r="Z486" i="9"/>
  <c r="Y486" i="9"/>
  <c r="X486" i="9"/>
  <c r="W486" i="9"/>
  <c r="V486" i="9"/>
  <c r="U486" i="9"/>
  <c r="T486" i="9"/>
  <c r="S486" i="9"/>
  <c r="R486" i="9"/>
  <c r="Q486" i="9"/>
  <c r="P486" i="9"/>
  <c r="O486" i="9"/>
  <c r="N486" i="9"/>
  <c r="L486" i="9"/>
  <c r="K486" i="9"/>
  <c r="J486" i="9"/>
  <c r="AD486" i="9" s="1"/>
  <c r="G486" i="9"/>
  <c r="F486" i="9"/>
  <c r="D486" i="9"/>
  <c r="C486" i="9"/>
  <c r="E486" i="9" s="1" a="1"/>
  <c r="B486" i="9"/>
  <c r="AC486" i="9" s="1"/>
  <c r="A486" i="9"/>
  <c r="Z485" i="9"/>
  <c r="Y485" i="9"/>
  <c r="X485" i="9"/>
  <c r="W485" i="9"/>
  <c r="V485" i="9"/>
  <c r="U485" i="9"/>
  <c r="T485" i="9"/>
  <c r="S485" i="9"/>
  <c r="R485" i="9"/>
  <c r="Q485" i="9"/>
  <c r="P485" i="9"/>
  <c r="O485" i="9"/>
  <c r="N485" i="9"/>
  <c r="L485" i="9"/>
  <c r="K485" i="9"/>
  <c r="J485" i="9"/>
  <c r="AD485" i="9" s="1"/>
  <c r="G485" i="9"/>
  <c r="I485" i="9" s="1"/>
  <c r="F485" i="9"/>
  <c r="D485" i="9"/>
  <c r="C485" i="9"/>
  <c r="E485" i="9" s="1" a="1"/>
  <c r="B485" i="9"/>
  <c r="AC485" i="9" s="1"/>
  <c r="A485" i="9"/>
  <c r="Z484" i="9"/>
  <c r="Y484" i="9"/>
  <c r="X484" i="9"/>
  <c r="W484" i="9"/>
  <c r="V484" i="9"/>
  <c r="U484" i="9"/>
  <c r="T484" i="9"/>
  <c r="S484" i="9"/>
  <c r="R484" i="9"/>
  <c r="Q484" i="9"/>
  <c r="P484" i="9"/>
  <c r="O484" i="9"/>
  <c r="N484" i="9"/>
  <c r="L484" i="9"/>
  <c r="K484" i="9"/>
  <c r="J484" i="9"/>
  <c r="AD484" i="9" s="1"/>
  <c r="G484" i="9"/>
  <c r="H484" i="9" s="1" a="1"/>
  <c r="F484" i="9"/>
  <c r="D484" i="9"/>
  <c r="C484" i="9"/>
  <c r="E484" i="9" s="1" a="1"/>
  <c r="B484" i="9"/>
  <c r="AC484" i="9" s="1"/>
  <c r="A484" i="9"/>
  <c r="Z483" i="9"/>
  <c r="Y483" i="9"/>
  <c r="X483" i="9"/>
  <c r="W483" i="9"/>
  <c r="V483" i="9"/>
  <c r="U483" i="9"/>
  <c r="T483" i="9"/>
  <c r="S483" i="9"/>
  <c r="R483" i="9"/>
  <c r="Q483" i="9"/>
  <c r="P483" i="9"/>
  <c r="O483" i="9"/>
  <c r="N483" i="9"/>
  <c r="L483" i="9"/>
  <c r="K483" i="9"/>
  <c r="J483" i="9"/>
  <c r="AD483" i="9" s="1"/>
  <c r="G483" i="9"/>
  <c r="H483" i="9" s="1" a="1"/>
  <c r="F483" i="9"/>
  <c r="D483" i="9"/>
  <c r="C483" i="9"/>
  <c r="E483" i="9" s="1" a="1"/>
  <c r="B483" i="9"/>
  <c r="AC483" i="9" s="1"/>
  <c r="A483" i="9"/>
  <c r="Z482" i="9"/>
  <c r="Y482" i="9"/>
  <c r="X482" i="9"/>
  <c r="W482" i="9"/>
  <c r="V482" i="9"/>
  <c r="U482" i="9"/>
  <c r="T482" i="9"/>
  <c r="S482" i="9"/>
  <c r="R482" i="9"/>
  <c r="Q482" i="9"/>
  <c r="P482" i="9"/>
  <c r="O482" i="9"/>
  <c r="N482" i="9"/>
  <c r="L482" i="9"/>
  <c r="K482" i="9"/>
  <c r="J482" i="9"/>
  <c r="AD482" i="9" s="1"/>
  <c r="G482" i="9"/>
  <c r="H482" i="9" s="1" a="1"/>
  <c r="F482" i="9"/>
  <c r="D482" i="9"/>
  <c r="C482" i="9"/>
  <c r="E482" i="9" s="1" a="1"/>
  <c r="B482" i="9"/>
  <c r="AC482" i="9" s="1"/>
  <c r="A482" i="9"/>
  <c r="Z481" i="9"/>
  <c r="Y481" i="9"/>
  <c r="X481" i="9"/>
  <c r="W481" i="9"/>
  <c r="V481" i="9"/>
  <c r="U481" i="9"/>
  <c r="T481" i="9"/>
  <c r="S481" i="9"/>
  <c r="R481" i="9"/>
  <c r="Q481" i="9"/>
  <c r="P481" i="9"/>
  <c r="O481" i="9"/>
  <c r="N481" i="9"/>
  <c r="L481" i="9"/>
  <c r="K481" i="9"/>
  <c r="J481" i="9"/>
  <c r="AD481" i="9" s="1"/>
  <c r="G481" i="9"/>
  <c r="I481" i="9" s="1"/>
  <c r="F481" i="9"/>
  <c r="D481" i="9"/>
  <c r="C481" i="9"/>
  <c r="E481" i="9" s="1" a="1"/>
  <c r="B481" i="9"/>
  <c r="AC481" i="9" s="1"/>
  <c r="A481" i="9"/>
  <c r="Z480" i="9"/>
  <c r="Y480" i="9"/>
  <c r="X480" i="9"/>
  <c r="W480" i="9"/>
  <c r="V480" i="9"/>
  <c r="U480" i="9"/>
  <c r="T480" i="9"/>
  <c r="S480" i="9"/>
  <c r="R480" i="9"/>
  <c r="Q480" i="9"/>
  <c r="P480" i="9"/>
  <c r="O480" i="9"/>
  <c r="N480" i="9"/>
  <c r="L480" i="9"/>
  <c r="K480" i="9"/>
  <c r="J480" i="9"/>
  <c r="AD480" i="9" s="1"/>
  <c r="G480" i="9"/>
  <c r="H480" i="9" s="1" a="1"/>
  <c r="F480" i="9"/>
  <c r="D480" i="9"/>
  <c r="C480" i="9"/>
  <c r="E480" i="9" s="1" a="1"/>
  <c r="B480" i="9"/>
  <c r="AC480" i="9" s="1"/>
  <c r="A480" i="9"/>
  <c r="Z479" i="9"/>
  <c r="Y479" i="9"/>
  <c r="X479" i="9"/>
  <c r="W479" i="9"/>
  <c r="V479" i="9"/>
  <c r="U479" i="9"/>
  <c r="T479" i="9"/>
  <c r="S479" i="9"/>
  <c r="R479" i="9"/>
  <c r="Q479" i="9"/>
  <c r="P479" i="9"/>
  <c r="O479" i="9"/>
  <c r="N479" i="9"/>
  <c r="L479" i="9"/>
  <c r="K479" i="9"/>
  <c r="J479" i="9"/>
  <c r="AD479" i="9" s="1"/>
  <c r="G479" i="9"/>
  <c r="H479" i="9" s="1" a="1"/>
  <c r="F479" i="9"/>
  <c r="D479" i="9"/>
  <c r="C479" i="9"/>
  <c r="E479" i="9" s="1" a="1"/>
  <c r="B479" i="9"/>
  <c r="AC479" i="9" s="1"/>
  <c r="A479" i="9"/>
  <c r="Z478" i="9"/>
  <c r="Y478" i="9"/>
  <c r="X478" i="9"/>
  <c r="W478" i="9"/>
  <c r="V478" i="9"/>
  <c r="U478" i="9"/>
  <c r="T478" i="9"/>
  <c r="S478" i="9"/>
  <c r="R478" i="9"/>
  <c r="Q478" i="9"/>
  <c r="P478" i="9"/>
  <c r="O478" i="9"/>
  <c r="N478" i="9"/>
  <c r="L478" i="9"/>
  <c r="K478" i="9"/>
  <c r="J478" i="9"/>
  <c r="AD478" i="9" s="1"/>
  <c r="G478" i="9"/>
  <c r="H478" i="9" s="1" a="1"/>
  <c r="F478" i="9"/>
  <c r="D478" i="9"/>
  <c r="C478" i="9"/>
  <c r="E478" i="9" s="1" a="1"/>
  <c r="B478" i="9"/>
  <c r="AC478" i="9" s="1"/>
  <c r="A478" i="9"/>
  <c r="Z477" i="9"/>
  <c r="Y477" i="9"/>
  <c r="X477" i="9"/>
  <c r="W477" i="9"/>
  <c r="V477" i="9"/>
  <c r="U477" i="9"/>
  <c r="T477" i="9"/>
  <c r="S477" i="9"/>
  <c r="R477" i="9"/>
  <c r="Q477" i="9"/>
  <c r="P477" i="9"/>
  <c r="O477" i="9"/>
  <c r="N477" i="9"/>
  <c r="L477" i="9"/>
  <c r="K477" i="9"/>
  <c r="J477" i="9"/>
  <c r="AD477" i="9" s="1"/>
  <c r="G477" i="9"/>
  <c r="I477" i="9" s="1"/>
  <c r="F477" i="9"/>
  <c r="D477" i="9"/>
  <c r="C477" i="9"/>
  <c r="E477" i="9" s="1" a="1"/>
  <c r="B477" i="9"/>
  <c r="AC477" i="9" s="1"/>
  <c r="A477" i="9"/>
  <c r="Z476" i="9"/>
  <c r="Y476" i="9"/>
  <c r="X476" i="9"/>
  <c r="W476" i="9"/>
  <c r="V476" i="9"/>
  <c r="U476" i="9"/>
  <c r="T476" i="9"/>
  <c r="S476" i="9"/>
  <c r="R476" i="9"/>
  <c r="Q476" i="9"/>
  <c r="P476" i="9"/>
  <c r="O476" i="9"/>
  <c r="N476" i="9"/>
  <c r="L476" i="9"/>
  <c r="K476" i="9"/>
  <c r="J476" i="9"/>
  <c r="G476" i="9"/>
  <c r="I476" i="9" s="1"/>
  <c r="F476" i="9"/>
  <c r="D476" i="9"/>
  <c r="C476" i="9"/>
  <c r="E476" i="9" s="1" a="1"/>
  <c r="B476" i="9"/>
  <c r="AC476" i="9" s="1"/>
  <c r="A476" i="9"/>
  <c r="Z475" i="9"/>
  <c r="Y475" i="9"/>
  <c r="X475" i="9"/>
  <c r="W475" i="9"/>
  <c r="V475" i="9"/>
  <c r="U475" i="9"/>
  <c r="T475" i="9"/>
  <c r="S475" i="9"/>
  <c r="R475" i="9"/>
  <c r="Q475" i="9"/>
  <c r="P475" i="9"/>
  <c r="O475" i="9"/>
  <c r="N475" i="9"/>
  <c r="L475" i="9"/>
  <c r="K475" i="9"/>
  <c r="J475" i="9"/>
  <c r="G475" i="9"/>
  <c r="H475" i="9" s="1" a="1"/>
  <c r="F475" i="9"/>
  <c r="D475" i="9"/>
  <c r="C475" i="9"/>
  <c r="E475" i="9" s="1" a="1"/>
  <c r="B475" i="9"/>
  <c r="AC475" i="9" s="1"/>
  <c r="A475" i="9"/>
  <c r="Z474" i="9"/>
  <c r="Y474" i="9"/>
  <c r="X474" i="9"/>
  <c r="W474" i="9"/>
  <c r="V474" i="9"/>
  <c r="U474" i="9"/>
  <c r="T474" i="9"/>
  <c r="S474" i="9"/>
  <c r="R474" i="9"/>
  <c r="Q474" i="9"/>
  <c r="P474" i="9"/>
  <c r="O474" i="9"/>
  <c r="N474" i="9"/>
  <c r="L474" i="9"/>
  <c r="K474" i="9"/>
  <c r="J474" i="9"/>
  <c r="G474" i="9"/>
  <c r="H474" i="9" s="1" a="1"/>
  <c r="F474" i="9"/>
  <c r="D474" i="9"/>
  <c r="C474" i="9"/>
  <c r="E474" i="9" s="1" a="1"/>
  <c r="B474" i="9"/>
  <c r="AC474" i="9" s="1"/>
  <c r="A474" i="9"/>
  <c r="Z473" i="9"/>
  <c r="Y473" i="9"/>
  <c r="X473" i="9"/>
  <c r="W473" i="9"/>
  <c r="V473" i="9"/>
  <c r="U473" i="9"/>
  <c r="T473" i="9"/>
  <c r="S473" i="9"/>
  <c r="R473" i="9"/>
  <c r="Q473" i="9"/>
  <c r="P473" i="9"/>
  <c r="O473" i="9"/>
  <c r="N473" i="9"/>
  <c r="L473" i="9"/>
  <c r="K473" i="9"/>
  <c r="J473" i="9"/>
  <c r="G473" i="9"/>
  <c r="F473" i="9"/>
  <c r="D473" i="9"/>
  <c r="C473" i="9"/>
  <c r="E473" i="9" s="1" a="1"/>
  <c r="B473" i="9"/>
  <c r="AC473" i="9" s="1"/>
  <c r="A473" i="9"/>
  <c r="Z472" i="9"/>
  <c r="Y472" i="9"/>
  <c r="X472" i="9"/>
  <c r="W472" i="9"/>
  <c r="V472" i="9"/>
  <c r="U472" i="9"/>
  <c r="T472" i="9"/>
  <c r="S472" i="9"/>
  <c r="R472" i="9"/>
  <c r="Q472" i="9"/>
  <c r="P472" i="9"/>
  <c r="O472" i="9"/>
  <c r="N472" i="9"/>
  <c r="L472" i="9"/>
  <c r="K472" i="9"/>
  <c r="J472" i="9"/>
  <c r="G472" i="9"/>
  <c r="I472" i="9" s="1"/>
  <c r="F472" i="9"/>
  <c r="D472" i="9"/>
  <c r="C472" i="9"/>
  <c r="E472" i="9" s="1" a="1"/>
  <c r="B472" i="9"/>
  <c r="AC472" i="9" s="1"/>
  <c r="A472" i="9"/>
  <c r="Z471" i="9"/>
  <c r="Y471" i="9"/>
  <c r="X471" i="9"/>
  <c r="W471" i="9"/>
  <c r="V471" i="9"/>
  <c r="U471" i="9"/>
  <c r="T471" i="9"/>
  <c r="S471" i="9"/>
  <c r="R471" i="9"/>
  <c r="Q471" i="9"/>
  <c r="P471" i="9"/>
  <c r="O471" i="9"/>
  <c r="N471" i="9"/>
  <c r="L471" i="9"/>
  <c r="K471" i="9"/>
  <c r="J471" i="9"/>
  <c r="G471" i="9"/>
  <c r="I471" i="9" s="1"/>
  <c r="F471" i="9"/>
  <c r="D471" i="9"/>
  <c r="C471" i="9"/>
  <c r="E471" i="9" s="1" a="1"/>
  <c r="B471" i="9"/>
  <c r="AC471" i="9" s="1"/>
  <c r="A471" i="9"/>
  <c r="Z470" i="9"/>
  <c r="Y470" i="9"/>
  <c r="X470" i="9"/>
  <c r="W470" i="9"/>
  <c r="V470" i="9"/>
  <c r="U470" i="9"/>
  <c r="T470" i="9"/>
  <c r="S470" i="9"/>
  <c r="R470" i="9"/>
  <c r="Q470" i="9"/>
  <c r="P470" i="9"/>
  <c r="O470" i="9"/>
  <c r="N470" i="9"/>
  <c r="L470" i="9"/>
  <c r="K470" i="9"/>
  <c r="J470" i="9"/>
  <c r="G470" i="9"/>
  <c r="F470" i="9"/>
  <c r="D470" i="9"/>
  <c r="C470" i="9"/>
  <c r="E470" i="9" s="1" a="1"/>
  <c r="B470" i="9"/>
  <c r="AC470" i="9" s="1"/>
  <c r="A470" i="9"/>
  <c r="Z469" i="9"/>
  <c r="Y469" i="9"/>
  <c r="X469" i="9"/>
  <c r="W469" i="9"/>
  <c r="V469" i="9"/>
  <c r="U469" i="9"/>
  <c r="T469" i="9"/>
  <c r="S469" i="9"/>
  <c r="R469" i="9"/>
  <c r="Q469" i="9"/>
  <c r="P469" i="9"/>
  <c r="O469" i="9"/>
  <c r="N469" i="9"/>
  <c r="L469" i="9"/>
  <c r="K469" i="9"/>
  <c r="J469" i="9"/>
  <c r="G469" i="9"/>
  <c r="H469" i="9" s="1" a="1"/>
  <c r="F469" i="9"/>
  <c r="D469" i="9"/>
  <c r="C469" i="9"/>
  <c r="E469" i="9" s="1" a="1"/>
  <c r="B469" i="9"/>
  <c r="AC469" i="9" s="1"/>
  <c r="A469" i="9"/>
  <c r="Z468" i="9"/>
  <c r="Y468" i="9"/>
  <c r="X468" i="9"/>
  <c r="W468" i="9"/>
  <c r="V468" i="9"/>
  <c r="U468" i="9"/>
  <c r="T468" i="9"/>
  <c r="S468" i="9"/>
  <c r="R468" i="9"/>
  <c r="Q468" i="9"/>
  <c r="P468" i="9"/>
  <c r="O468" i="9"/>
  <c r="N468" i="9"/>
  <c r="L468" i="9"/>
  <c r="K468" i="9"/>
  <c r="J468" i="9"/>
  <c r="G468" i="9"/>
  <c r="F468" i="9"/>
  <c r="D468" i="9"/>
  <c r="C468" i="9"/>
  <c r="E468" i="9" s="1" a="1"/>
  <c r="B468" i="9"/>
  <c r="AC468" i="9" s="1"/>
  <c r="A468" i="9"/>
  <c r="Z467" i="9"/>
  <c r="Y467" i="9"/>
  <c r="X467" i="9"/>
  <c r="W467" i="9"/>
  <c r="V467" i="9"/>
  <c r="U467" i="9"/>
  <c r="T467" i="9"/>
  <c r="S467" i="9"/>
  <c r="R467" i="9"/>
  <c r="Q467" i="9"/>
  <c r="P467" i="9"/>
  <c r="O467" i="9"/>
  <c r="N467" i="9"/>
  <c r="L467" i="9"/>
  <c r="K467" i="9"/>
  <c r="J467" i="9"/>
  <c r="G467" i="9"/>
  <c r="H467" i="9" s="1" a="1"/>
  <c r="F467" i="9"/>
  <c r="D467" i="9"/>
  <c r="C467" i="9"/>
  <c r="E467" i="9" s="1" a="1"/>
  <c r="B467" i="9"/>
  <c r="AC467" i="9" s="1"/>
  <c r="A467" i="9"/>
  <c r="Z466" i="9"/>
  <c r="Y466" i="9"/>
  <c r="X466" i="9"/>
  <c r="W466" i="9"/>
  <c r="V466" i="9"/>
  <c r="U466" i="9"/>
  <c r="T466" i="9"/>
  <c r="S466" i="9"/>
  <c r="R466" i="9"/>
  <c r="Q466" i="9"/>
  <c r="P466" i="9"/>
  <c r="O466" i="9"/>
  <c r="N466" i="9"/>
  <c r="L466" i="9"/>
  <c r="K466" i="9"/>
  <c r="G466" i="9"/>
  <c r="H466" i="9" s="1" a="1"/>
  <c r="F466" i="9"/>
  <c r="D466" i="9"/>
  <c r="C466" i="9"/>
  <c r="E466" i="9" s="1" a="1"/>
  <c r="B466" i="9"/>
  <c r="A466" i="9"/>
  <c r="Z465" i="9"/>
  <c r="Y465" i="9"/>
  <c r="X465" i="9"/>
  <c r="W465" i="9"/>
  <c r="V465" i="9"/>
  <c r="U465" i="9"/>
  <c r="T465" i="9"/>
  <c r="S465" i="9"/>
  <c r="R465" i="9"/>
  <c r="Q465" i="9"/>
  <c r="P465" i="9"/>
  <c r="O465" i="9"/>
  <c r="N465" i="9"/>
  <c r="L465" i="9"/>
  <c r="K465" i="9"/>
  <c r="J465" i="9"/>
  <c r="G465" i="9"/>
  <c r="I465" i="9" s="1"/>
  <c r="F465" i="9"/>
  <c r="D465" i="9"/>
  <c r="C465" i="9"/>
  <c r="E465" i="9" s="1" a="1"/>
  <c r="B465" i="9"/>
  <c r="A465" i="9"/>
  <c r="Z464" i="9"/>
  <c r="Y464" i="9"/>
  <c r="X464" i="9"/>
  <c r="W464" i="9"/>
  <c r="V464" i="9"/>
  <c r="U464" i="9"/>
  <c r="T464" i="9"/>
  <c r="S464" i="9"/>
  <c r="R464" i="9"/>
  <c r="Q464" i="9"/>
  <c r="P464" i="9"/>
  <c r="O464" i="9"/>
  <c r="N464" i="9"/>
  <c r="L464" i="9"/>
  <c r="K464" i="9"/>
  <c r="J464" i="9"/>
  <c r="G464" i="9"/>
  <c r="H464" i="9" s="1" a="1"/>
  <c r="F464" i="9"/>
  <c r="D464" i="9"/>
  <c r="C464" i="9"/>
  <c r="E464" i="9" s="1" a="1"/>
  <c r="B464" i="9"/>
  <c r="A464" i="9"/>
  <c r="Z463" i="9"/>
  <c r="Y463" i="9"/>
  <c r="X463" i="9"/>
  <c r="W463" i="9"/>
  <c r="V463" i="9"/>
  <c r="U463" i="9"/>
  <c r="T463" i="9"/>
  <c r="S463" i="9"/>
  <c r="R463" i="9"/>
  <c r="Q463" i="9"/>
  <c r="P463" i="9"/>
  <c r="O463" i="9"/>
  <c r="N463" i="9"/>
  <c r="L463" i="9"/>
  <c r="K463" i="9"/>
  <c r="J463" i="9"/>
  <c r="G463" i="9"/>
  <c r="H463" i="9" s="1" a="1"/>
  <c r="F463" i="9"/>
  <c r="D463" i="9"/>
  <c r="C463" i="9"/>
  <c r="E463" i="9" s="1" a="1"/>
  <c r="B463" i="9"/>
  <c r="A463" i="9"/>
  <c r="Z462" i="9"/>
  <c r="Y462" i="9"/>
  <c r="X462" i="9"/>
  <c r="W462" i="9"/>
  <c r="V462" i="9"/>
  <c r="U462" i="9"/>
  <c r="T462" i="9"/>
  <c r="S462" i="9"/>
  <c r="R462" i="9"/>
  <c r="Q462" i="9"/>
  <c r="P462" i="9"/>
  <c r="O462" i="9"/>
  <c r="N462" i="9"/>
  <c r="L462" i="9"/>
  <c r="K462" i="9"/>
  <c r="J462" i="9"/>
  <c r="G462" i="9"/>
  <c r="F462" i="9"/>
  <c r="D462" i="9"/>
  <c r="C462" i="9"/>
  <c r="E462" i="9" s="1" a="1"/>
  <c r="B462" i="9"/>
  <c r="A462" i="9"/>
  <c r="Z461" i="9"/>
  <c r="Y461" i="9"/>
  <c r="X461" i="9"/>
  <c r="W461" i="9"/>
  <c r="V461" i="9"/>
  <c r="U461" i="9"/>
  <c r="T461" i="9"/>
  <c r="S461" i="9"/>
  <c r="R461" i="9"/>
  <c r="Q461" i="9"/>
  <c r="P461" i="9"/>
  <c r="O461" i="9"/>
  <c r="N461" i="9"/>
  <c r="L461" i="9"/>
  <c r="K461" i="9"/>
  <c r="J461" i="9"/>
  <c r="G461" i="9"/>
  <c r="I461" i="9" s="1"/>
  <c r="F461" i="9"/>
  <c r="D461" i="9"/>
  <c r="C461" i="9"/>
  <c r="E461" i="9" s="1" a="1"/>
  <c r="B461" i="9"/>
  <c r="A461" i="9"/>
  <c r="Z460" i="9"/>
  <c r="Y460" i="9"/>
  <c r="X460" i="9"/>
  <c r="W460" i="9"/>
  <c r="V460" i="9"/>
  <c r="U460" i="9"/>
  <c r="T460" i="9"/>
  <c r="S460" i="9"/>
  <c r="R460" i="9"/>
  <c r="Q460" i="9"/>
  <c r="P460" i="9"/>
  <c r="O460" i="9"/>
  <c r="N460" i="9"/>
  <c r="L460" i="9"/>
  <c r="K460" i="9"/>
  <c r="J460" i="9"/>
  <c r="G460" i="9"/>
  <c r="I460" i="9" s="1"/>
  <c r="F460" i="9"/>
  <c r="D460" i="9"/>
  <c r="C460" i="9"/>
  <c r="E460" i="9" s="1" a="1"/>
  <c r="B460" i="9"/>
  <c r="A460" i="9"/>
  <c r="Z459" i="9"/>
  <c r="Y459" i="9"/>
  <c r="X459" i="9"/>
  <c r="W459" i="9"/>
  <c r="V459" i="9"/>
  <c r="U459" i="9"/>
  <c r="T459" i="9"/>
  <c r="S459" i="9"/>
  <c r="R459" i="9"/>
  <c r="Q459" i="9"/>
  <c r="P459" i="9"/>
  <c r="O459" i="9"/>
  <c r="N459" i="9"/>
  <c r="L459" i="9"/>
  <c r="K459" i="9"/>
  <c r="J459" i="9"/>
  <c r="G459" i="9"/>
  <c r="I459" i="9" s="1"/>
  <c r="F459" i="9"/>
  <c r="D459" i="9"/>
  <c r="C459" i="9"/>
  <c r="E459" i="9" s="1" a="1"/>
  <c r="B459" i="9"/>
  <c r="A459" i="9"/>
  <c r="Z458" i="9"/>
  <c r="Y458" i="9"/>
  <c r="X458" i="9"/>
  <c r="W458" i="9"/>
  <c r="V458" i="9"/>
  <c r="U458" i="9"/>
  <c r="T458" i="9"/>
  <c r="S458" i="9"/>
  <c r="R458" i="9"/>
  <c r="Q458" i="9"/>
  <c r="P458" i="9"/>
  <c r="O458" i="9"/>
  <c r="N458" i="9"/>
  <c r="L458" i="9"/>
  <c r="K458" i="9"/>
  <c r="J458" i="9"/>
  <c r="G458" i="9"/>
  <c r="H458" i="9" s="1" a="1"/>
  <c r="F458" i="9"/>
  <c r="D458" i="9"/>
  <c r="C458" i="9"/>
  <c r="E458" i="9" s="1" a="1"/>
  <c r="B458" i="9"/>
  <c r="A458" i="9"/>
  <c r="Z457" i="9"/>
  <c r="Y457" i="9"/>
  <c r="X457" i="9"/>
  <c r="W457" i="9"/>
  <c r="V457" i="9"/>
  <c r="U457" i="9"/>
  <c r="T457" i="9"/>
  <c r="S457" i="9"/>
  <c r="R457" i="9"/>
  <c r="Q457" i="9"/>
  <c r="P457" i="9"/>
  <c r="O457" i="9"/>
  <c r="N457" i="9"/>
  <c r="L457" i="9"/>
  <c r="K457" i="9"/>
  <c r="J457" i="9"/>
  <c r="G457" i="9"/>
  <c r="F457" i="9"/>
  <c r="D457" i="9"/>
  <c r="C457" i="9"/>
  <c r="E457" i="9" s="1" a="1"/>
  <c r="B457" i="9"/>
  <c r="A457" i="9"/>
  <c r="Z456" i="9"/>
  <c r="Y456" i="9"/>
  <c r="X456" i="9"/>
  <c r="W456" i="9"/>
  <c r="V456" i="9"/>
  <c r="U456" i="9"/>
  <c r="T456" i="9"/>
  <c r="S456" i="9"/>
  <c r="R456" i="9"/>
  <c r="Q456" i="9"/>
  <c r="P456" i="9"/>
  <c r="O456" i="9"/>
  <c r="N456" i="9"/>
  <c r="L456" i="9"/>
  <c r="K456" i="9"/>
  <c r="J456" i="9"/>
  <c r="G456" i="9"/>
  <c r="F456" i="9"/>
  <c r="D456" i="9"/>
  <c r="C456" i="9"/>
  <c r="E456" i="9" s="1" a="1"/>
  <c r="B456" i="9"/>
  <c r="AC456" i="9" s="1"/>
  <c r="A456" i="9"/>
  <c r="Z455" i="9"/>
  <c r="Y455" i="9"/>
  <c r="X455" i="9"/>
  <c r="W455" i="9"/>
  <c r="V455" i="9"/>
  <c r="U455" i="9"/>
  <c r="T455" i="9"/>
  <c r="S455" i="9"/>
  <c r="R455" i="9"/>
  <c r="Q455" i="9"/>
  <c r="P455" i="9"/>
  <c r="O455" i="9"/>
  <c r="N455" i="9"/>
  <c r="L455" i="9"/>
  <c r="K455" i="9"/>
  <c r="J455" i="9"/>
  <c r="G455" i="9"/>
  <c r="H455" i="9" s="1" a="1"/>
  <c r="F455" i="9"/>
  <c r="D455" i="9"/>
  <c r="C455" i="9"/>
  <c r="E455" i="9" s="1" a="1"/>
  <c r="B455" i="9"/>
  <c r="A455" i="9"/>
  <c r="Z454" i="9"/>
  <c r="Y454" i="9"/>
  <c r="X454" i="9"/>
  <c r="W454" i="9"/>
  <c r="V454" i="9"/>
  <c r="U454" i="9"/>
  <c r="T454" i="9"/>
  <c r="S454" i="9"/>
  <c r="R454" i="9"/>
  <c r="Q454" i="9"/>
  <c r="P454" i="9"/>
  <c r="O454" i="9"/>
  <c r="N454" i="9"/>
  <c r="L454" i="9"/>
  <c r="K454" i="9"/>
  <c r="J454" i="9"/>
  <c r="G454" i="9"/>
  <c r="F454" i="9"/>
  <c r="D454" i="9"/>
  <c r="C454" i="9"/>
  <c r="E454" i="9" s="1" a="1"/>
  <c r="B454" i="9"/>
  <c r="A454" i="9"/>
  <c r="Z453" i="9"/>
  <c r="Y453" i="9"/>
  <c r="X453" i="9"/>
  <c r="W453" i="9"/>
  <c r="V453" i="9"/>
  <c r="U453" i="9"/>
  <c r="T453" i="9"/>
  <c r="S453" i="9"/>
  <c r="R453" i="9"/>
  <c r="Q453" i="9"/>
  <c r="P453" i="9"/>
  <c r="O453" i="9"/>
  <c r="N453" i="9"/>
  <c r="L453" i="9"/>
  <c r="K453" i="9"/>
  <c r="J453" i="9"/>
  <c r="G453" i="9"/>
  <c r="I453" i="9" s="1"/>
  <c r="F453" i="9"/>
  <c r="D453" i="9"/>
  <c r="C453" i="9"/>
  <c r="E453" i="9" s="1" a="1"/>
  <c r="B453" i="9"/>
  <c r="A453" i="9"/>
  <c r="Z452" i="9"/>
  <c r="Y452" i="9"/>
  <c r="X452" i="9"/>
  <c r="W452" i="9"/>
  <c r="V452" i="9"/>
  <c r="U452" i="9"/>
  <c r="T452" i="9"/>
  <c r="S452" i="9"/>
  <c r="R452" i="9"/>
  <c r="Q452" i="9"/>
  <c r="P452" i="9"/>
  <c r="O452" i="9"/>
  <c r="N452" i="9"/>
  <c r="L452" i="9"/>
  <c r="K452" i="9"/>
  <c r="J452" i="9"/>
  <c r="G452" i="9"/>
  <c r="H452" i="9" s="1" a="1"/>
  <c r="F452" i="9"/>
  <c r="D452" i="9"/>
  <c r="C452" i="9"/>
  <c r="E452" i="9" s="1" a="1"/>
  <c r="B452" i="9"/>
  <c r="A452" i="9"/>
  <c r="Z451" i="9"/>
  <c r="Y451" i="9"/>
  <c r="X451" i="9"/>
  <c r="W451" i="9"/>
  <c r="V451" i="9"/>
  <c r="U451" i="9"/>
  <c r="T451" i="9"/>
  <c r="S451" i="9"/>
  <c r="R451" i="9"/>
  <c r="Q451" i="9"/>
  <c r="P451" i="9"/>
  <c r="O451" i="9"/>
  <c r="N451" i="9"/>
  <c r="L451" i="9"/>
  <c r="K451" i="9"/>
  <c r="J451" i="9"/>
  <c r="G451" i="9"/>
  <c r="H451" i="9" s="1" a="1"/>
  <c r="F451" i="9"/>
  <c r="D451" i="9"/>
  <c r="C451" i="9"/>
  <c r="E451" i="9" s="1" a="1"/>
  <c r="B451" i="9"/>
  <c r="A451" i="9"/>
  <c r="Z450" i="9"/>
  <c r="Y450" i="9"/>
  <c r="X450" i="9"/>
  <c r="W450" i="9"/>
  <c r="V450" i="9"/>
  <c r="U450" i="9"/>
  <c r="T450" i="9"/>
  <c r="S450" i="9"/>
  <c r="R450" i="9"/>
  <c r="Q450" i="9"/>
  <c r="P450" i="9"/>
  <c r="O450" i="9"/>
  <c r="N450" i="9"/>
  <c r="L450" i="9"/>
  <c r="K450" i="9"/>
  <c r="J450" i="9"/>
  <c r="G450" i="9"/>
  <c r="H450" i="9" s="1" a="1"/>
  <c r="F450" i="9"/>
  <c r="D450" i="9"/>
  <c r="C450" i="9"/>
  <c r="E450" i="9" s="1" a="1"/>
  <c r="B450" i="9"/>
  <c r="AC450" i="9" s="1"/>
  <c r="A450" i="9"/>
  <c r="Z449" i="9"/>
  <c r="Y449" i="9"/>
  <c r="X449" i="9"/>
  <c r="W449" i="9"/>
  <c r="V449" i="9"/>
  <c r="U449" i="9"/>
  <c r="T449" i="9"/>
  <c r="S449" i="9"/>
  <c r="R449" i="9"/>
  <c r="Q449" i="9"/>
  <c r="P449" i="9"/>
  <c r="O449" i="9"/>
  <c r="N449" i="9"/>
  <c r="L449" i="9"/>
  <c r="K449" i="9"/>
  <c r="J449" i="9"/>
  <c r="G449" i="9"/>
  <c r="F449" i="9"/>
  <c r="D449" i="9"/>
  <c r="C449" i="9"/>
  <c r="E449" i="9" s="1" a="1"/>
  <c r="B449" i="9"/>
  <c r="A449" i="9"/>
  <c r="Z448" i="9"/>
  <c r="Y448" i="9"/>
  <c r="X448" i="9"/>
  <c r="W448" i="9"/>
  <c r="V448" i="9"/>
  <c r="U448" i="9"/>
  <c r="T448" i="9"/>
  <c r="S448" i="9"/>
  <c r="R448" i="9"/>
  <c r="Q448" i="9"/>
  <c r="P448" i="9"/>
  <c r="O448" i="9"/>
  <c r="N448" i="9"/>
  <c r="L448" i="9"/>
  <c r="K448" i="9"/>
  <c r="J448" i="9"/>
  <c r="G448" i="9"/>
  <c r="H448" i="9" s="1" a="1"/>
  <c r="F448" i="9"/>
  <c r="D448" i="9"/>
  <c r="C448" i="9"/>
  <c r="E448" i="9" s="1" a="1"/>
  <c r="B448" i="9"/>
  <c r="A448" i="9"/>
  <c r="Z447" i="9"/>
  <c r="Y447" i="9"/>
  <c r="X447" i="9"/>
  <c r="W447" i="9"/>
  <c r="V447" i="9"/>
  <c r="U447" i="9"/>
  <c r="T447" i="9"/>
  <c r="S447" i="9"/>
  <c r="R447" i="9"/>
  <c r="Q447" i="9"/>
  <c r="P447" i="9"/>
  <c r="O447" i="9"/>
  <c r="N447" i="9"/>
  <c r="L447" i="9"/>
  <c r="K447" i="9"/>
  <c r="J447" i="9"/>
  <c r="G447" i="9"/>
  <c r="H447" i="9" s="1" a="1"/>
  <c r="F447" i="9"/>
  <c r="D447" i="9"/>
  <c r="C447" i="9"/>
  <c r="E447" i="9" s="1" a="1"/>
  <c r="B447" i="9"/>
  <c r="A447" i="9"/>
  <c r="Z446" i="9"/>
  <c r="Y446" i="9"/>
  <c r="X446" i="9"/>
  <c r="W446" i="9"/>
  <c r="V446" i="9"/>
  <c r="U446" i="9"/>
  <c r="T446" i="9"/>
  <c r="S446" i="9"/>
  <c r="R446" i="9"/>
  <c r="Q446" i="9"/>
  <c r="P446" i="9"/>
  <c r="O446" i="9"/>
  <c r="N446" i="9"/>
  <c r="L446" i="9"/>
  <c r="K446" i="9"/>
  <c r="J446" i="9"/>
  <c r="G446" i="9"/>
  <c r="H446" i="9" s="1" a="1"/>
  <c r="F446" i="9"/>
  <c r="D446" i="9"/>
  <c r="C446" i="9"/>
  <c r="E446" i="9" s="1" a="1"/>
  <c r="B446" i="9"/>
  <c r="A446" i="9"/>
  <c r="Z445" i="9"/>
  <c r="Y445" i="9"/>
  <c r="X445" i="9"/>
  <c r="W445" i="9"/>
  <c r="V445" i="9"/>
  <c r="U445" i="9"/>
  <c r="T445" i="9"/>
  <c r="S445" i="9"/>
  <c r="R445" i="9"/>
  <c r="Q445" i="9"/>
  <c r="P445" i="9"/>
  <c r="O445" i="9"/>
  <c r="N445" i="9"/>
  <c r="L445" i="9"/>
  <c r="K445" i="9"/>
  <c r="J445" i="9"/>
  <c r="G445" i="9"/>
  <c r="H445" i="9" s="1" a="1"/>
  <c r="F445" i="9"/>
  <c r="D445" i="9"/>
  <c r="C445" i="9"/>
  <c r="E445" i="9" s="1" a="1"/>
  <c r="B445" i="9"/>
  <c r="A445" i="9"/>
  <c r="Z444" i="9"/>
  <c r="Y444" i="9"/>
  <c r="X444" i="9"/>
  <c r="W444" i="9"/>
  <c r="V444" i="9"/>
  <c r="U444" i="9"/>
  <c r="T444" i="9"/>
  <c r="S444" i="9"/>
  <c r="R444" i="9"/>
  <c r="Q444" i="9"/>
  <c r="P444" i="9"/>
  <c r="O444" i="9"/>
  <c r="N444" i="9"/>
  <c r="L444" i="9"/>
  <c r="K444" i="9"/>
  <c r="J444" i="9"/>
  <c r="G444" i="9"/>
  <c r="I444" i="9" s="1"/>
  <c r="F444" i="9"/>
  <c r="D444" i="9"/>
  <c r="C444" i="9"/>
  <c r="E444" i="9" s="1" a="1"/>
  <c r="B444" i="9"/>
  <c r="A444" i="9"/>
  <c r="Z443" i="9"/>
  <c r="Y443" i="9"/>
  <c r="X443" i="9"/>
  <c r="W443" i="9"/>
  <c r="V443" i="9"/>
  <c r="U443" i="9"/>
  <c r="T443" i="9"/>
  <c r="S443" i="9"/>
  <c r="R443" i="9"/>
  <c r="Q443" i="9"/>
  <c r="P443" i="9"/>
  <c r="O443" i="9"/>
  <c r="N443" i="9"/>
  <c r="L443" i="9"/>
  <c r="K443" i="9"/>
  <c r="J443" i="9"/>
  <c r="G443" i="9"/>
  <c r="I443" i="9" s="1"/>
  <c r="F443" i="9"/>
  <c r="D443" i="9"/>
  <c r="C443" i="9"/>
  <c r="E443" i="9" s="1" a="1"/>
  <c r="B443" i="9"/>
  <c r="A443" i="9"/>
  <c r="Z442" i="9"/>
  <c r="Y442" i="9"/>
  <c r="X442" i="9"/>
  <c r="W442" i="9"/>
  <c r="V442" i="9"/>
  <c r="U442" i="9"/>
  <c r="T442" i="9"/>
  <c r="S442" i="9"/>
  <c r="R442" i="9"/>
  <c r="Q442" i="9"/>
  <c r="P442" i="9"/>
  <c r="O442" i="9"/>
  <c r="N442" i="9"/>
  <c r="L442" i="9"/>
  <c r="K442" i="9"/>
  <c r="J442" i="9"/>
  <c r="G442" i="9"/>
  <c r="H442" i="9" s="1" a="1"/>
  <c r="F442" i="9"/>
  <c r="D442" i="9"/>
  <c r="C442" i="9"/>
  <c r="E442" i="9" s="1" a="1"/>
  <c r="B442" i="9"/>
  <c r="A442" i="9"/>
  <c r="Z441" i="9"/>
  <c r="Y441" i="9"/>
  <c r="X441" i="9"/>
  <c r="W441" i="9"/>
  <c r="V441" i="9"/>
  <c r="U441" i="9"/>
  <c r="T441" i="9"/>
  <c r="S441" i="9"/>
  <c r="R441" i="9"/>
  <c r="Q441" i="9"/>
  <c r="P441" i="9"/>
  <c r="O441" i="9"/>
  <c r="N441" i="9"/>
  <c r="L441" i="9"/>
  <c r="K441" i="9"/>
  <c r="J441" i="9"/>
  <c r="G441" i="9"/>
  <c r="F441" i="9"/>
  <c r="D441" i="9"/>
  <c r="C441" i="9"/>
  <c r="E441" i="9" s="1" a="1"/>
  <c r="B441" i="9"/>
  <c r="A441" i="9"/>
  <c r="Z440" i="9"/>
  <c r="Y440" i="9"/>
  <c r="X440" i="9"/>
  <c r="W440" i="9"/>
  <c r="V440" i="9"/>
  <c r="U440" i="9"/>
  <c r="T440" i="9"/>
  <c r="S440" i="9"/>
  <c r="R440" i="9"/>
  <c r="Q440" i="9"/>
  <c r="P440" i="9"/>
  <c r="O440" i="9"/>
  <c r="N440" i="9"/>
  <c r="L440" i="9"/>
  <c r="K440" i="9"/>
  <c r="J440" i="9"/>
  <c r="G440" i="9"/>
  <c r="I440" i="9" s="1"/>
  <c r="F440" i="9"/>
  <c r="D440" i="9"/>
  <c r="C440" i="9"/>
  <c r="E440" i="9" s="1" a="1"/>
  <c r="B440" i="9"/>
  <c r="A440" i="9"/>
  <c r="Z439" i="9"/>
  <c r="Y439" i="9"/>
  <c r="X439" i="9"/>
  <c r="W439" i="9"/>
  <c r="V439" i="9"/>
  <c r="U439" i="9"/>
  <c r="T439" i="9"/>
  <c r="S439" i="9"/>
  <c r="R439" i="9"/>
  <c r="Q439" i="9"/>
  <c r="P439" i="9"/>
  <c r="O439" i="9"/>
  <c r="N439" i="9"/>
  <c r="L439" i="9"/>
  <c r="K439" i="9"/>
  <c r="J439" i="9"/>
  <c r="G439" i="9"/>
  <c r="I439" i="9" s="1"/>
  <c r="F439" i="9"/>
  <c r="D439" i="9"/>
  <c r="C439" i="9"/>
  <c r="E439" i="9" s="1" a="1"/>
  <c r="B439" i="9"/>
  <c r="A439" i="9"/>
  <c r="Z438" i="9"/>
  <c r="Y438" i="9"/>
  <c r="X438" i="9"/>
  <c r="W438" i="9"/>
  <c r="V438" i="9"/>
  <c r="U438" i="9"/>
  <c r="T438" i="9"/>
  <c r="S438" i="9"/>
  <c r="R438" i="9"/>
  <c r="Q438" i="9"/>
  <c r="P438" i="9"/>
  <c r="O438" i="9"/>
  <c r="N438" i="9"/>
  <c r="L438" i="9"/>
  <c r="K438" i="9"/>
  <c r="J438" i="9"/>
  <c r="G438" i="9"/>
  <c r="F438" i="9"/>
  <c r="D438" i="9"/>
  <c r="C438" i="9"/>
  <c r="E438" i="9" s="1" a="1"/>
  <c r="B438" i="9"/>
  <c r="A438" i="9"/>
  <c r="Z437" i="9"/>
  <c r="Y437" i="9"/>
  <c r="X437" i="9"/>
  <c r="W437" i="9"/>
  <c r="V437" i="9"/>
  <c r="U437" i="9"/>
  <c r="T437" i="9"/>
  <c r="S437" i="9"/>
  <c r="R437" i="9"/>
  <c r="Q437" i="9"/>
  <c r="P437" i="9"/>
  <c r="O437" i="9"/>
  <c r="N437" i="9"/>
  <c r="L437" i="9"/>
  <c r="K437" i="9"/>
  <c r="J437" i="9"/>
  <c r="G437" i="9"/>
  <c r="H437" i="9" s="1" a="1"/>
  <c r="F437" i="9"/>
  <c r="D437" i="9"/>
  <c r="C437" i="9"/>
  <c r="E437" i="9" s="1" a="1"/>
  <c r="B437" i="9"/>
  <c r="A437" i="9"/>
  <c r="Z436" i="9"/>
  <c r="Y436" i="9"/>
  <c r="X436" i="9"/>
  <c r="W436" i="9"/>
  <c r="V436" i="9"/>
  <c r="U436" i="9"/>
  <c r="T436" i="9"/>
  <c r="S436" i="9"/>
  <c r="R436" i="9"/>
  <c r="Q436" i="9"/>
  <c r="P436" i="9"/>
  <c r="O436" i="9"/>
  <c r="N436" i="9"/>
  <c r="L436" i="9"/>
  <c r="K436" i="9"/>
  <c r="J436" i="9"/>
  <c r="G436" i="9"/>
  <c r="H436" i="9" s="1" a="1"/>
  <c r="F436" i="9"/>
  <c r="D436" i="9"/>
  <c r="C436" i="9"/>
  <c r="E436" i="9" s="1" a="1"/>
  <c r="B436" i="9"/>
  <c r="A436" i="9"/>
  <c r="Z435" i="9"/>
  <c r="Y435" i="9"/>
  <c r="X435" i="9"/>
  <c r="W435" i="9"/>
  <c r="V435" i="9"/>
  <c r="U435" i="9"/>
  <c r="T435" i="9"/>
  <c r="S435" i="9"/>
  <c r="R435" i="9"/>
  <c r="Q435" i="9"/>
  <c r="P435" i="9"/>
  <c r="O435" i="9"/>
  <c r="N435" i="9"/>
  <c r="L435" i="9"/>
  <c r="K435" i="9"/>
  <c r="J435" i="9"/>
  <c r="G435" i="9"/>
  <c r="H435" i="9" s="1" a="1"/>
  <c r="F435" i="9"/>
  <c r="D435" i="9"/>
  <c r="C435" i="9"/>
  <c r="E435" i="9" s="1" a="1"/>
  <c r="B435" i="9"/>
  <c r="AC435" i="9" s="1"/>
  <c r="A435" i="9"/>
  <c r="Z434" i="9"/>
  <c r="Y434" i="9"/>
  <c r="X434" i="9"/>
  <c r="W434" i="9"/>
  <c r="V434" i="9"/>
  <c r="U434" i="9"/>
  <c r="T434" i="9"/>
  <c r="S434" i="9"/>
  <c r="R434" i="9"/>
  <c r="Q434" i="9"/>
  <c r="P434" i="9"/>
  <c r="O434" i="9"/>
  <c r="N434" i="9"/>
  <c r="L434" i="9"/>
  <c r="K434" i="9"/>
  <c r="J434" i="9"/>
  <c r="G434" i="9"/>
  <c r="H434" i="9" s="1" a="1"/>
  <c r="F434" i="9"/>
  <c r="D434" i="9"/>
  <c r="C434" i="9"/>
  <c r="E434" i="9" s="1" a="1"/>
  <c r="B434" i="9"/>
  <c r="A434" i="9"/>
  <c r="Z433" i="9"/>
  <c r="Y433" i="9"/>
  <c r="X433" i="9"/>
  <c r="W433" i="9"/>
  <c r="V433" i="9"/>
  <c r="U433" i="9"/>
  <c r="T433" i="9"/>
  <c r="S433" i="9"/>
  <c r="R433" i="9"/>
  <c r="Q433" i="9"/>
  <c r="P433" i="9"/>
  <c r="O433" i="9"/>
  <c r="N433" i="9"/>
  <c r="L433" i="9"/>
  <c r="K433" i="9"/>
  <c r="J433" i="9"/>
  <c r="G433" i="9"/>
  <c r="I433" i="9" s="1"/>
  <c r="F433" i="9"/>
  <c r="D433" i="9"/>
  <c r="C433" i="9"/>
  <c r="E433" i="9" s="1" a="1"/>
  <c r="B433" i="9"/>
  <c r="AC433" i="9" s="1"/>
  <c r="A433" i="9"/>
  <c r="Z432" i="9"/>
  <c r="Y432" i="9"/>
  <c r="X432" i="9"/>
  <c r="W432" i="9"/>
  <c r="V432" i="9"/>
  <c r="U432" i="9"/>
  <c r="T432" i="9"/>
  <c r="S432" i="9"/>
  <c r="R432" i="9"/>
  <c r="Q432" i="9"/>
  <c r="P432" i="9"/>
  <c r="O432" i="9"/>
  <c r="N432" i="9"/>
  <c r="L432" i="9"/>
  <c r="K432" i="9"/>
  <c r="J432" i="9"/>
  <c r="G432" i="9"/>
  <c r="F432" i="9"/>
  <c r="D432" i="9"/>
  <c r="C432" i="9"/>
  <c r="E432" i="9" s="1" a="1"/>
  <c r="B432" i="9"/>
  <c r="A432" i="9"/>
  <c r="Z431" i="9"/>
  <c r="Y431" i="9"/>
  <c r="X431" i="9"/>
  <c r="W431" i="9"/>
  <c r="V431" i="9"/>
  <c r="U431" i="9"/>
  <c r="T431" i="9"/>
  <c r="S431" i="9"/>
  <c r="R431" i="9"/>
  <c r="Q431" i="9"/>
  <c r="P431" i="9"/>
  <c r="O431" i="9"/>
  <c r="N431" i="9"/>
  <c r="L431" i="9"/>
  <c r="K431" i="9"/>
  <c r="J431" i="9"/>
  <c r="G431" i="9"/>
  <c r="H431" i="9" s="1" a="1"/>
  <c r="F431" i="9"/>
  <c r="D431" i="9"/>
  <c r="C431" i="9"/>
  <c r="E431" i="9" s="1" a="1"/>
  <c r="B431" i="9"/>
  <c r="A431" i="9"/>
  <c r="Z430" i="9"/>
  <c r="Y430" i="9"/>
  <c r="X430" i="9"/>
  <c r="W430" i="9"/>
  <c r="V430" i="9"/>
  <c r="U430" i="9"/>
  <c r="T430" i="9"/>
  <c r="S430" i="9"/>
  <c r="R430" i="9"/>
  <c r="Q430" i="9"/>
  <c r="P430" i="9"/>
  <c r="O430" i="9"/>
  <c r="N430" i="9"/>
  <c r="L430" i="9"/>
  <c r="K430" i="9"/>
  <c r="J430" i="9"/>
  <c r="G430" i="9"/>
  <c r="F430" i="9"/>
  <c r="D430" i="9"/>
  <c r="C430" i="9"/>
  <c r="E430" i="9" s="1" a="1"/>
  <c r="B430" i="9"/>
  <c r="A430" i="9"/>
  <c r="Z429" i="9"/>
  <c r="Y429" i="9"/>
  <c r="X429" i="9"/>
  <c r="W429" i="9"/>
  <c r="V429" i="9"/>
  <c r="U429" i="9"/>
  <c r="T429" i="9"/>
  <c r="S429" i="9"/>
  <c r="R429" i="9"/>
  <c r="Q429" i="9"/>
  <c r="P429" i="9"/>
  <c r="O429" i="9"/>
  <c r="N429" i="9"/>
  <c r="L429" i="9"/>
  <c r="K429" i="9"/>
  <c r="J429" i="9"/>
  <c r="G429" i="9"/>
  <c r="H429" i="9" s="1" a="1"/>
  <c r="F429" i="9"/>
  <c r="D429" i="9"/>
  <c r="C429" i="9"/>
  <c r="E429" i="9" s="1" a="1"/>
  <c r="B429" i="9"/>
  <c r="A429" i="9"/>
  <c r="Z428" i="9"/>
  <c r="Y428" i="9"/>
  <c r="X428" i="9"/>
  <c r="W428" i="9"/>
  <c r="V428" i="9"/>
  <c r="U428" i="9"/>
  <c r="T428" i="9"/>
  <c r="S428" i="9"/>
  <c r="R428" i="9"/>
  <c r="Q428" i="9"/>
  <c r="P428" i="9"/>
  <c r="O428" i="9"/>
  <c r="N428" i="9"/>
  <c r="L428" i="9"/>
  <c r="K428" i="9"/>
  <c r="J428" i="9"/>
  <c r="G428" i="9"/>
  <c r="I428" i="9" s="1"/>
  <c r="F428" i="9"/>
  <c r="D428" i="9"/>
  <c r="C428" i="9"/>
  <c r="E428" i="9" s="1" a="1"/>
  <c r="B428" i="9"/>
  <c r="A428" i="9"/>
  <c r="Z427" i="9"/>
  <c r="Y427" i="9"/>
  <c r="X427" i="9"/>
  <c r="W427" i="9"/>
  <c r="V427" i="9"/>
  <c r="U427" i="9"/>
  <c r="T427" i="9"/>
  <c r="S427" i="9"/>
  <c r="R427" i="9"/>
  <c r="Q427" i="9"/>
  <c r="P427" i="9"/>
  <c r="O427" i="9"/>
  <c r="N427" i="9"/>
  <c r="L427" i="9"/>
  <c r="K427" i="9"/>
  <c r="J427" i="9"/>
  <c r="G427" i="9"/>
  <c r="H427" i="9" s="1" a="1"/>
  <c r="F427" i="9"/>
  <c r="D427" i="9"/>
  <c r="C427" i="9"/>
  <c r="E427" i="9" s="1" a="1"/>
  <c r="B427" i="9"/>
  <c r="A427" i="9"/>
  <c r="Z426" i="9"/>
  <c r="Y426" i="9"/>
  <c r="X426" i="9"/>
  <c r="W426" i="9"/>
  <c r="V426" i="9"/>
  <c r="U426" i="9"/>
  <c r="T426" i="9"/>
  <c r="S426" i="9"/>
  <c r="R426" i="9"/>
  <c r="Q426" i="9"/>
  <c r="P426" i="9"/>
  <c r="O426" i="9"/>
  <c r="N426" i="9"/>
  <c r="L426" i="9"/>
  <c r="K426" i="9"/>
  <c r="J426" i="9"/>
  <c r="G426" i="9"/>
  <c r="H426" i="9" s="1" a="1"/>
  <c r="F426" i="9"/>
  <c r="D426" i="9"/>
  <c r="C426" i="9"/>
  <c r="E426" i="9" s="1" a="1"/>
  <c r="B426" i="9"/>
  <c r="A426" i="9"/>
  <c r="Z425" i="9"/>
  <c r="Y425" i="9"/>
  <c r="X425" i="9"/>
  <c r="W425" i="9"/>
  <c r="V425" i="9"/>
  <c r="U425" i="9"/>
  <c r="T425" i="9"/>
  <c r="S425" i="9"/>
  <c r="R425" i="9"/>
  <c r="Q425" i="9"/>
  <c r="P425" i="9"/>
  <c r="O425" i="9"/>
  <c r="N425" i="9"/>
  <c r="L425" i="9"/>
  <c r="K425" i="9"/>
  <c r="J425" i="9"/>
  <c r="G425" i="9"/>
  <c r="F425" i="9"/>
  <c r="D425" i="9"/>
  <c r="C425" i="9"/>
  <c r="E425" i="9" s="1" a="1"/>
  <c r="B425" i="9"/>
  <c r="AC425" i="9" s="1"/>
  <c r="A425" i="9"/>
  <c r="Z424" i="9"/>
  <c r="Y424" i="9"/>
  <c r="X424" i="9"/>
  <c r="W424" i="9"/>
  <c r="V424" i="9"/>
  <c r="U424" i="9"/>
  <c r="T424" i="9"/>
  <c r="S424" i="9"/>
  <c r="R424" i="9"/>
  <c r="Q424" i="9"/>
  <c r="P424" i="9"/>
  <c r="O424" i="9"/>
  <c r="N424" i="9"/>
  <c r="L424" i="9"/>
  <c r="K424" i="9"/>
  <c r="J424" i="9"/>
  <c r="G424" i="9"/>
  <c r="F424" i="9"/>
  <c r="D424" i="9"/>
  <c r="C424" i="9"/>
  <c r="E424" i="9" s="1" a="1"/>
  <c r="B424" i="9"/>
  <c r="A424" i="9"/>
  <c r="Z423" i="9"/>
  <c r="Y423" i="9"/>
  <c r="X423" i="9"/>
  <c r="W423" i="9"/>
  <c r="V423" i="9"/>
  <c r="U423" i="9"/>
  <c r="T423" i="9"/>
  <c r="S423" i="9"/>
  <c r="R423" i="9"/>
  <c r="Q423" i="9"/>
  <c r="P423" i="9"/>
  <c r="O423" i="9"/>
  <c r="N423" i="9"/>
  <c r="L423" i="9"/>
  <c r="K423" i="9"/>
  <c r="J423" i="9"/>
  <c r="G423" i="9"/>
  <c r="H423" i="9" s="1" a="1"/>
  <c r="F423" i="9"/>
  <c r="D423" i="9"/>
  <c r="C423" i="9"/>
  <c r="E423" i="9" s="1" a="1"/>
  <c r="B423" i="9"/>
  <c r="A423" i="9"/>
  <c r="Z422" i="9"/>
  <c r="Y422" i="9"/>
  <c r="X422" i="9"/>
  <c r="W422" i="9"/>
  <c r="V422" i="9"/>
  <c r="U422" i="9"/>
  <c r="T422" i="9"/>
  <c r="S422" i="9"/>
  <c r="R422" i="9"/>
  <c r="Q422" i="9"/>
  <c r="P422" i="9"/>
  <c r="O422" i="9"/>
  <c r="N422" i="9"/>
  <c r="L422" i="9"/>
  <c r="K422" i="9"/>
  <c r="J422" i="9"/>
  <c r="G422" i="9"/>
  <c r="F422" i="9"/>
  <c r="D422" i="9"/>
  <c r="C422" i="9"/>
  <c r="E422" i="9" s="1" a="1"/>
  <c r="B422" i="9"/>
  <c r="A422" i="9"/>
  <c r="Z421" i="9"/>
  <c r="Y421" i="9"/>
  <c r="X421" i="9"/>
  <c r="W421" i="9"/>
  <c r="V421" i="9"/>
  <c r="U421" i="9"/>
  <c r="T421" i="9"/>
  <c r="S421" i="9"/>
  <c r="R421" i="9"/>
  <c r="Q421" i="9"/>
  <c r="P421" i="9"/>
  <c r="O421" i="9"/>
  <c r="N421" i="9"/>
  <c r="L421" i="9"/>
  <c r="K421" i="9"/>
  <c r="J421" i="9"/>
  <c r="G421" i="9"/>
  <c r="I421" i="9" s="1"/>
  <c r="F421" i="9"/>
  <c r="D421" i="9"/>
  <c r="C421" i="9"/>
  <c r="E421" i="9" s="1" a="1"/>
  <c r="B421" i="9"/>
  <c r="A421" i="9"/>
  <c r="Z420" i="9"/>
  <c r="Y420" i="9"/>
  <c r="X420" i="9"/>
  <c r="W420" i="9"/>
  <c r="V420" i="9"/>
  <c r="U420" i="9"/>
  <c r="T420" i="9"/>
  <c r="S420" i="9"/>
  <c r="R420" i="9"/>
  <c r="Q420" i="9"/>
  <c r="P420" i="9"/>
  <c r="O420" i="9"/>
  <c r="N420" i="9"/>
  <c r="L420" i="9"/>
  <c r="K420" i="9"/>
  <c r="J420" i="9"/>
  <c r="G420" i="9"/>
  <c r="H420" i="9" s="1" a="1"/>
  <c r="F420" i="9"/>
  <c r="D420" i="9"/>
  <c r="C420" i="9"/>
  <c r="E420" i="9" s="1" a="1"/>
  <c r="B420" i="9"/>
  <c r="A420" i="9"/>
  <c r="Z419" i="9"/>
  <c r="Y419" i="9"/>
  <c r="X419" i="9"/>
  <c r="W419" i="9"/>
  <c r="V419" i="9"/>
  <c r="U419" i="9"/>
  <c r="T419" i="9"/>
  <c r="S419" i="9"/>
  <c r="R419" i="9"/>
  <c r="Q419" i="9"/>
  <c r="P419" i="9"/>
  <c r="O419" i="9"/>
  <c r="N419" i="9"/>
  <c r="L419" i="9"/>
  <c r="K419" i="9"/>
  <c r="J419" i="9"/>
  <c r="G419" i="9"/>
  <c r="H419" i="9" s="1" a="1"/>
  <c r="F419" i="9"/>
  <c r="D419" i="9"/>
  <c r="C419" i="9"/>
  <c r="E419" i="9" s="1" a="1"/>
  <c r="B419" i="9"/>
  <c r="A419" i="9"/>
  <c r="Z418" i="9"/>
  <c r="Y418" i="9"/>
  <c r="X418" i="9"/>
  <c r="W418" i="9"/>
  <c r="V418" i="9"/>
  <c r="U418" i="9"/>
  <c r="T418" i="9"/>
  <c r="S418" i="9"/>
  <c r="R418" i="9"/>
  <c r="Q418" i="9"/>
  <c r="P418" i="9"/>
  <c r="O418" i="9"/>
  <c r="N418" i="9"/>
  <c r="L418" i="9"/>
  <c r="K418" i="9"/>
  <c r="J418" i="9"/>
  <c r="G418" i="9"/>
  <c r="H418" i="9" s="1" a="1"/>
  <c r="F418" i="9"/>
  <c r="D418" i="9"/>
  <c r="C418" i="9"/>
  <c r="E418" i="9" s="1" a="1"/>
  <c r="B418" i="9"/>
  <c r="A418" i="9"/>
  <c r="Z417" i="9"/>
  <c r="Y417" i="9"/>
  <c r="X417" i="9"/>
  <c r="W417" i="9"/>
  <c r="V417" i="9"/>
  <c r="U417" i="9"/>
  <c r="T417" i="9"/>
  <c r="S417" i="9"/>
  <c r="R417" i="9"/>
  <c r="Q417" i="9"/>
  <c r="P417" i="9"/>
  <c r="O417" i="9"/>
  <c r="N417" i="9"/>
  <c r="L417" i="9"/>
  <c r="K417" i="9"/>
  <c r="J417" i="9"/>
  <c r="G417" i="9"/>
  <c r="I417" i="9" s="1"/>
  <c r="F417" i="9"/>
  <c r="D417" i="9"/>
  <c r="C417" i="9"/>
  <c r="E417" i="9" s="1" a="1"/>
  <c r="B417" i="9"/>
  <c r="A417" i="9"/>
  <c r="Z416" i="9"/>
  <c r="Y416" i="9"/>
  <c r="X416" i="9"/>
  <c r="W416" i="9"/>
  <c r="V416" i="9"/>
  <c r="U416" i="9"/>
  <c r="T416" i="9"/>
  <c r="S416" i="9"/>
  <c r="R416" i="9"/>
  <c r="Q416" i="9"/>
  <c r="P416" i="9"/>
  <c r="O416" i="9"/>
  <c r="N416" i="9"/>
  <c r="L416" i="9"/>
  <c r="K416" i="9"/>
  <c r="J416" i="9"/>
  <c r="G416" i="9"/>
  <c r="H416" i="9" s="1" a="1"/>
  <c r="F416" i="9"/>
  <c r="D416" i="9"/>
  <c r="C416" i="9"/>
  <c r="E416" i="9" s="1" a="1"/>
  <c r="B416" i="9"/>
  <c r="AC416" i="9" s="1"/>
  <c r="A416" i="9"/>
  <c r="Z415" i="9"/>
  <c r="Y415" i="9"/>
  <c r="X415" i="9"/>
  <c r="W415" i="9"/>
  <c r="V415" i="9"/>
  <c r="U415" i="9"/>
  <c r="T415" i="9"/>
  <c r="S415" i="9"/>
  <c r="R415" i="9"/>
  <c r="Q415" i="9"/>
  <c r="P415" i="9"/>
  <c r="O415" i="9"/>
  <c r="N415" i="9"/>
  <c r="L415" i="9"/>
  <c r="K415" i="9"/>
  <c r="J415" i="9"/>
  <c r="G415" i="9"/>
  <c r="H415" i="9" s="1" a="1"/>
  <c r="F415" i="9"/>
  <c r="D415" i="9"/>
  <c r="C415" i="9"/>
  <c r="E415" i="9" s="1" a="1"/>
  <c r="B415" i="9"/>
  <c r="A415" i="9"/>
  <c r="Z414" i="9"/>
  <c r="Y414" i="9"/>
  <c r="X414" i="9"/>
  <c r="W414" i="9"/>
  <c r="V414" i="9"/>
  <c r="U414" i="9"/>
  <c r="T414" i="9"/>
  <c r="S414" i="9"/>
  <c r="R414" i="9"/>
  <c r="Q414" i="9"/>
  <c r="P414" i="9"/>
  <c r="O414" i="9"/>
  <c r="N414" i="9"/>
  <c r="L414" i="9"/>
  <c r="K414" i="9"/>
  <c r="J414" i="9"/>
  <c r="G414" i="9"/>
  <c r="H414" i="9" s="1" a="1"/>
  <c r="F414" i="9"/>
  <c r="D414" i="9"/>
  <c r="C414" i="9"/>
  <c r="E414" i="9" s="1" a="1"/>
  <c r="B414" i="9"/>
  <c r="AC414" i="9" s="1"/>
  <c r="A414" i="9"/>
  <c r="Z413" i="9"/>
  <c r="Y413" i="9"/>
  <c r="X413" i="9"/>
  <c r="W413" i="9"/>
  <c r="V413" i="9"/>
  <c r="U413" i="9"/>
  <c r="T413" i="9"/>
  <c r="S413" i="9"/>
  <c r="R413" i="9"/>
  <c r="Q413" i="9"/>
  <c r="P413" i="9"/>
  <c r="O413" i="9"/>
  <c r="N413" i="9"/>
  <c r="L413" i="9"/>
  <c r="K413" i="9"/>
  <c r="J413" i="9"/>
  <c r="G413" i="9"/>
  <c r="I413" i="9" s="1"/>
  <c r="F413" i="9"/>
  <c r="D413" i="9"/>
  <c r="C413" i="9"/>
  <c r="E413" i="9" s="1" a="1"/>
  <c r="B413" i="9"/>
  <c r="A413" i="9"/>
  <c r="Z412" i="9"/>
  <c r="Y412" i="9"/>
  <c r="X412" i="9"/>
  <c r="W412" i="9"/>
  <c r="V412" i="9"/>
  <c r="U412" i="9"/>
  <c r="T412" i="9"/>
  <c r="S412" i="9"/>
  <c r="R412" i="9"/>
  <c r="Q412" i="9"/>
  <c r="P412" i="9"/>
  <c r="O412" i="9"/>
  <c r="N412" i="9"/>
  <c r="L412" i="9"/>
  <c r="K412" i="9"/>
  <c r="J412" i="9"/>
  <c r="G412" i="9"/>
  <c r="I412" i="9" s="1"/>
  <c r="F412" i="9"/>
  <c r="D412" i="9"/>
  <c r="C412" i="9"/>
  <c r="E412" i="9" s="1" a="1"/>
  <c r="B412" i="9"/>
  <c r="A412" i="9"/>
  <c r="Z411" i="9"/>
  <c r="Y411" i="9"/>
  <c r="X411" i="9"/>
  <c r="W411" i="9"/>
  <c r="V411" i="9"/>
  <c r="U411" i="9"/>
  <c r="T411" i="9"/>
  <c r="S411" i="9"/>
  <c r="R411" i="9"/>
  <c r="Q411" i="9"/>
  <c r="P411" i="9"/>
  <c r="O411" i="9"/>
  <c r="N411" i="9"/>
  <c r="L411" i="9"/>
  <c r="K411" i="9"/>
  <c r="J411" i="9"/>
  <c r="G411" i="9"/>
  <c r="H411" i="9" s="1" a="1"/>
  <c r="F411" i="9"/>
  <c r="D411" i="9"/>
  <c r="C411" i="9"/>
  <c r="E411" i="9" s="1" a="1"/>
  <c r="B411" i="9"/>
  <c r="A411" i="9"/>
  <c r="Z410" i="9"/>
  <c r="Y410" i="9"/>
  <c r="X410" i="9"/>
  <c r="W410" i="9"/>
  <c r="V410" i="9"/>
  <c r="U410" i="9"/>
  <c r="T410" i="9"/>
  <c r="S410" i="9"/>
  <c r="R410" i="9"/>
  <c r="Q410" i="9"/>
  <c r="P410" i="9"/>
  <c r="O410" i="9"/>
  <c r="N410" i="9"/>
  <c r="L410" i="9"/>
  <c r="K410" i="9"/>
  <c r="J410" i="9"/>
  <c r="G410" i="9"/>
  <c r="H410" i="9" s="1" a="1"/>
  <c r="F410" i="9"/>
  <c r="D410" i="9"/>
  <c r="C410" i="9"/>
  <c r="E410" i="9" s="1" a="1"/>
  <c r="B410" i="9"/>
  <c r="A410" i="9"/>
  <c r="Z409" i="9"/>
  <c r="Y409" i="9"/>
  <c r="X409" i="9"/>
  <c r="W409" i="9"/>
  <c r="V409" i="9"/>
  <c r="U409" i="9"/>
  <c r="T409" i="9"/>
  <c r="S409" i="9"/>
  <c r="R409" i="9"/>
  <c r="Q409" i="9"/>
  <c r="P409" i="9"/>
  <c r="O409" i="9"/>
  <c r="N409" i="9"/>
  <c r="L409" i="9"/>
  <c r="K409" i="9"/>
  <c r="J409" i="9"/>
  <c r="G409" i="9"/>
  <c r="F409" i="9"/>
  <c r="D409" i="9"/>
  <c r="C409" i="9"/>
  <c r="E409" i="9" s="1" a="1"/>
  <c r="B409" i="9"/>
  <c r="A409" i="9"/>
  <c r="Z408" i="9"/>
  <c r="Y408" i="9"/>
  <c r="X408" i="9"/>
  <c r="W408" i="9"/>
  <c r="V408" i="9"/>
  <c r="U408" i="9"/>
  <c r="T408" i="9"/>
  <c r="S408" i="9"/>
  <c r="R408" i="9"/>
  <c r="Q408" i="9"/>
  <c r="P408" i="9"/>
  <c r="O408" i="9"/>
  <c r="N408" i="9"/>
  <c r="L408" i="9"/>
  <c r="K408" i="9"/>
  <c r="J408" i="9"/>
  <c r="G408" i="9"/>
  <c r="I408" i="9" s="1"/>
  <c r="F408" i="9"/>
  <c r="D408" i="9"/>
  <c r="C408" i="9"/>
  <c r="E408" i="9" s="1" a="1"/>
  <c r="B408" i="9"/>
  <c r="A408" i="9"/>
  <c r="Z407" i="9"/>
  <c r="Y407" i="9"/>
  <c r="X407" i="9"/>
  <c r="W407" i="9"/>
  <c r="V407" i="9"/>
  <c r="U407" i="9"/>
  <c r="T407" i="9"/>
  <c r="S407" i="9"/>
  <c r="R407" i="9"/>
  <c r="Q407" i="9"/>
  <c r="P407" i="9"/>
  <c r="O407" i="9"/>
  <c r="N407" i="9"/>
  <c r="L407" i="9"/>
  <c r="K407" i="9"/>
  <c r="J407" i="9"/>
  <c r="G407" i="9"/>
  <c r="I407" i="9" s="1"/>
  <c r="F407" i="9"/>
  <c r="D407" i="9"/>
  <c r="C407" i="9"/>
  <c r="E407" i="9" s="1" a="1"/>
  <c r="B407" i="9"/>
  <c r="A407" i="9"/>
  <c r="Z406" i="9"/>
  <c r="Y406" i="9"/>
  <c r="X406" i="9"/>
  <c r="W406" i="9"/>
  <c r="V406" i="9"/>
  <c r="U406" i="9"/>
  <c r="T406" i="9"/>
  <c r="S406" i="9"/>
  <c r="R406" i="9"/>
  <c r="Q406" i="9"/>
  <c r="P406" i="9"/>
  <c r="O406" i="9"/>
  <c r="N406" i="9"/>
  <c r="L406" i="9"/>
  <c r="K406" i="9"/>
  <c r="J406" i="9"/>
  <c r="G406" i="9"/>
  <c r="F406" i="9"/>
  <c r="D406" i="9"/>
  <c r="C406" i="9"/>
  <c r="E406" i="9" s="1" a="1"/>
  <c r="B406" i="9"/>
  <c r="AC406" i="9" s="1"/>
  <c r="A406" i="9"/>
  <c r="Z405" i="9"/>
  <c r="Y405" i="9"/>
  <c r="X405" i="9"/>
  <c r="W405" i="9"/>
  <c r="V405" i="9"/>
  <c r="U405" i="9"/>
  <c r="T405" i="9"/>
  <c r="S405" i="9"/>
  <c r="R405" i="9"/>
  <c r="Q405" i="9"/>
  <c r="P405" i="9"/>
  <c r="O405" i="9"/>
  <c r="N405" i="9"/>
  <c r="L405" i="9"/>
  <c r="K405" i="9"/>
  <c r="J405" i="9"/>
  <c r="G405" i="9"/>
  <c r="H405" i="9" s="1" a="1"/>
  <c r="F405" i="9"/>
  <c r="D405" i="9"/>
  <c r="C405" i="9"/>
  <c r="E405" i="9" s="1" a="1"/>
  <c r="B405" i="9"/>
  <c r="A405" i="9"/>
  <c r="Z404" i="9"/>
  <c r="Y404" i="9"/>
  <c r="X404" i="9"/>
  <c r="W404" i="9"/>
  <c r="V404" i="9"/>
  <c r="U404" i="9"/>
  <c r="T404" i="9"/>
  <c r="S404" i="9"/>
  <c r="R404" i="9"/>
  <c r="Q404" i="9"/>
  <c r="P404" i="9"/>
  <c r="O404" i="9"/>
  <c r="N404" i="9"/>
  <c r="L404" i="9"/>
  <c r="K404" i="9"/>
  <c r="J404" i="9"/>
  <c r="G404" i="9"/>
  <c r="F404" i="9"/>
  <c r="D404" i="9"/>
  <c r="C404" i="9"/>
  <c r="E404" i="9" s="1" a="1"/>
  <c r="B404" i="9"/>
  <c r="A404" i="9"/>
  <c r="Z403" i="9"/>
  <c r="Y403" i="9"/>
  <c r="X403" i="9"/>
  <c r="W403" i="9"/>
  <c r="V403" i="9"/>
  <c r="U403" i="9"/>
  <c r="T403" i="9"/>
  <c r="S403" i="9"/>
  <c r="R403" i="9"/>
  <c r="Q403" i="9"/>
  <c r="P403" i="9"/>
  <c r="O403" i="9"/>
  <c r="N403" i="9"/>
  <c r="L403" i="9"/>
  <c r="K403" i="9"/>
  <c r="J403" i="9"/>
  <c r="G403" i="9"/>
  <c r="H403" i="9" s="1" a="1"/>
  <c r="F403" i="9"/>
  <c r="D403" i="9"/>
  <c r="C403" i="9"/>
  <c r="E403" i="9" s="1" a="1"/>
  <c r="B403" i="9"/>
  <c r="AC403" i="9" s="1"/>
  <c r="A403" i="9"/>
  <c r="Z402" i="9"/>
  <c r="Y402" i="9"/>
  <c r="X402" i="9"/>
  <c r="W402" i="9"/>
  <c r="V402" i="9"/>
  <c r="U402" i="9"/>
  <c r="T402" i="9"/>
  <c r="S402" i="9"/>
  <c r="R402" i="9"/>
  <c r="Q402" i="9"/>
  <c r="P402" i="9"/>
  <c r="O402" i="9"/>
  <c r="N402" i="9"/>
  <c r="L402" i="9"/>
  <c r="K402" i="9"/>
  <c r="J402" i="9"/>
  <c r="G402" i="9"/>
  <c r="H402" i="9" s="1" a="1"/>
  <c r="F402" i="9"/>
  <c r="D402" i="9"/>
  <c r="C402" i="9"/>
  <c r="E402" i="9" s="1" a="1"/>
  <c r="B402" i="9"/>
  <c r="A402" i="9"/>
  <c r="Z401" i="9"/>
  <c r="Y401" i="9"/>
  <c r="X401" i="9"/>
  <c r="W401" i="9"/>
  <c r="V401" i="9"/>
  <c r="U401" i="9"/>
  <c r="T401" i="9"/>
  <c r="S401" i="9"/>
  <c r="R401" i="9"/>
  <c r="Q401" i="9"/>
  <c r="P401" i="9"/>
  <c r="O401" i="9"/>
  <c r="N401" i="9"/>
  <c r="L401" i="9"/>
  <c r="K401" i="9"/>
  <c r="J401" i="9"/>
  <c r="G401" i="9"/>
  <c r="I401" i="9" s="1"/>
  <c r="F401" i="9"/>
  <c r="D401" i="9"/>
  <c r="C401" i="9"/>
  <c r="E401" i="9" s="1" a="1"/>
  <c r="B401" i="9"/>
  <c r="AC401" i="9" s="1"/>
  <c r="A401" i="9"/>
  <c r="Z400" i="9"/>
  <c r="Y400" i="9"/>
  <c r="X400" i="9"/>
  <c r="W400" i="9"/>
  <c r="V400" i="9"/>
  <c r="U400" i="9"/>
  <c r="T400" i="9"/>
  <c r="S400" i="9"/>
  <c r="R400" i="9"/>
  <c r="Q400" i="9"/>
  <c r="P400" i="9"/>
  <c r="O400" i="9"/>
  <c r="N400" i="9"/>
  <c r="L400" i="9"/>
  <c r="K400" i="9"/>
  <c r="J400" i="9"/>
  <c r="G400" i="9"/>
  <c r="H400" i="9" s="1" a="1"/>
  <c r="F400" i="9"/>
  <c r="D400" i="9"/>
  <c r="C400" i="9"/>
  <c r="E400" i="9" s="1" a="1"/>
  <c r="B400" i="9"/>
  <c r="A400" i="9"/>
  <c r="Z399" i="9"/>
  <c r="Y399" i="9"/>
  <c r="X399" i="9"/>
  <c r="W399" i="9"/>
  <c r="V399" i="9"/>
  <c r="U399" i="9"/>
  <c r="T399" i="9"/>
  <c r="S399" i="9"/>
  <c r="R399" i="9"/>
  <c r="Q399" i="9"/>
  <c r="P399" i="9"/>
  <c r="O399" i="9"/>
  <c r="N399" i="9"/>
  <c r="L399" i="9"/>
  <c r="K399" i="9"/>
  <c r="J399" i="9"/>
  <c r="G399" i="9"/>
  <c r="H399" i="9" s="1" a="1"/>
  <c r="F399" i="9"/>
  <c r="D399" i="9"/>
  <c r="C399" i="9"/>
  <c r="E399" i="9" s="1" a="1"/>
  <c r="B399" i="9"/>
  <c r="A399" i="9"/>
  <c r="Z398" i="9"/>
  <c r="Y398" i="9"/>
  <c r="X398" i="9"/>
  <c r="W398" i="9"/>
  <c r="V398" i="9"/>
  <c r="U398" i="9"/>
  <c r="T398" i="9"/>
  <c r="S398" i="9"/>
  <c r="R398" i="9"/>
  <c r="Q398" i="9"/>
  <c r="P398" i="9"/>
  <c r="O398" i="9"/>
  <c r="N398" i="9"/>
  <c r="L398" i="9"/>
  <c r="K398" i="9"/>
  <c r="J398" i="9"/>
  <c r="G398" i="9"/>
  <c r="F398" i="9"/>
  <c r="D398" i="9"/>
  <c r="C398" i="9"/>
  <c r="E398" i="9" s="1" a="1"/>
  <c r="B398" i="9"/>
  <c r="A398" i="9"/>
  <c r="Z397" i="9"/>
  <c r="Y397" i="9"/>
  <c r="X397" i="9"/>
  <c r="W397" i="9"/>
  <c r="V397" i="9"/>
  <c r="U397" i="9"/>
  <c r="T397" i="9"/>
  <c r="S397" i="9"/>
  <c r="R397" i="9"/>
  <c r="Q397" i="9"/>
  <c r="P397" i="9"/>
  <c r="O397" i="9"/>
  <c r="N397" i="9"/>
  <c r="L397" i="9"/>
  <c r="K397" i="9"/>
  <c r="J397" i="9"/>
  <c r="G397" i="9"/>
  <c r="I397" i="9" s="1"/>
  <c r="F397" i="9"/>
  <c r="D397" i="9"/>
  <c r="C397" i="9"/>
  <c r="E397" i="9" s="1" a="1"/>
  <c r="B397" i="9"/>
  <c r="A397" i="9"/>
  <c r="Z396" i="9"/>
  <c r="Y396" i="9"/>
  <c r="X396" i="9"/>
  <c r="W396" i="9"/>
  <c r="V396" i="9"/>
  <c r="U396" i="9"/>
  <c r="T396" i="9"/>
  <c r="S396" i="9"/>
  <c r="R396" i="9"/>
  <c r="Q396" i="9"/>
  <c r="P396" i="9"/>
  <c r="O396" i="9"/>
  <c r="N396" i="9"/>
  <c r="L396" i="9"/>
  <c r="K396" i="9"/>
  <c r="J396" i="9"/>
  <c r="G396" i="9"/>
  <c r="I396" i="9" s="1"/>
  <c r="F396" i="9"/>
  <c r="D396" i="9"/>
  <c r="C396" i="9"/>
  <c r="E396" i="9" s="1" a="1"/>
  <c r="B396" i="9"/>
  <c r="A396" i="9"/>
  <c r="Z395" i="9"/>
  <c r="Y395" i="9"/>
  <c r="X395" i="9"/>
  <c r="W395" i="9"/>
  <c r="V395" i="9"/>
  <c r="U395" i="9"/>
  <c r="T395" i="9"/>
  <c r="S395" i="9"/>
  <c r="R395" i="9"/>
  <c r="Q395" i="9"/>
  <c r="P395" i="9"/>
  <c r="O395" i="9"/>
  <c r="N395" i="9"/>
  <c r="L395" i="9"/>
  <c r="K395" i="9"/>
  <c r="J395" i="9"/>
  <c r="G395" i="9"/>
  <c r="I395" i="9" s="1"/>
  <c r="F395" i="9"/>
  <c r="D395" i="9"/>
  <c r="C395" i="9"/>
  <c r="E395" i="9" s="1" a="1"/>
  <c r="B395" i="9"/>
  <c r="A395" i="9"/>
  <c r="Z394" i="9"/>
  <c r="Y394" i="9"/>
  <c r="X394" i="9"/>
  <c r="W394" i="9"/>
  <c r="V394" i="9"/>
  <c r="U394" i="9"/>
  <c r="T394" i="9"/>
  <c r="S394" i="9"/>
  <c r="R394" i="9"/>
  <c r="Q394" i="9"/>
  <c r="P394" i="9"/>
  <c r="O394" i="9"/>
  <c r="N394" i="9"/>
  <c r="L394" i="9"/>
  <c r="K394" i="9"/>
  <c r="J394" i="9"/>
  <c r="G394" i="9"/>
  <c r="H394" i="9" s="1" a="1"/>
  <c r="F394" i="9"/>
  <c r="D394" i="9"/>
  <c r="C394" i="9"/>
  <c r="E394" i="9" s="1" a="1"/>
  <c r="B394" i="9"/>
  <c r="A394" i="9"/>
  <c r="Z393" i="9"/>
  <c r="Y393" i="9"/>
  <c r="X393" i="9"/>
  <c r="W393" i="9"/>
  <c r="V393" i="9"/>
  <c r="U393" i="9"/>
  <c r="T393" i="9"/>
  <c r="S393" i="9"/>
  <c r="R393" i="9"/>
  <c r="Q393" i="9"/>
  <c r="P393" i="9"/>
  <c r="O393" i="9"/>
  <c r="N393" i="9"/>
  <c r="L393" i="9"/>
  <c r="K393" i="9"/>
  <c r="J393" i="9"/>
  <c r="G393" i="9"/>
  <c r="F393" i="9"/>
  <c r="D393" i="9"/>
  <c r="C393" i="9"/>
  <c r="E393" i="9" s="1" a="1"/>
  <c r="B393" i="9"/>
  <c r="A393" i="9"/>
  <c r="Z392" i="9"/>
  <c r="Y392" i="9"/>
  <c r="X392" i="9"/>
  <c r="W392" i="9"/>
  <c r="V392" i="9"/>
  <c r="U392" i="9"/>
  <c r="T392" i="9"/>
  <c r="S392" i="9"/>
  <c r="R392" i="9"/>
  <c r="Q392" i="9"/>
  <c r="P392" i="9"/>
  <c r="O392" i="9"/>
  <c r="N392" i="9"/>
  <c r="L392" i="9"/>
  <c r="K392" i="9"/>
  <c r="J392" i="9"/>
  <c r="G392" i="9"/>
  <c r="F392" i="9"/>
  <c r="D392" i="9"/>
  <c r="C392" i="9"/>
  <c r="E392" i="9" s="1" a="1"/>
  <c r="B392" i="9"/>
  <c r="A392" i="9"/>
  <c r="Z391" i="9"/>
  <c r="Y391" i="9"/>
  <c r="X391" i="9"/>
  <c r="W391" i="9"/>
  <c r="V391" i="9"/>
  <c r="U391" i="9"/>
  <c r="T391" i="9"/>
  <c r="S391" i="9"/>
  <c r="R391" i="9"/>
  <c r="Q391" i="9"/>
  <c r="P391" i="9"/>
  <c r="O391" i="9"/>
  <c r="N391" i="9"/>
  <c r="L391" i="9"/>
  <c r="K391" i="9"/>
  <c r="J391" i="9"/>
  <c r="G391" i="9"/>
  <c r="H391" i="9" s="1" a="1"/>
  <c r="F391" i="9"/>
  <c r="D391" i="9"/>
  <c r="C391" i="9"/>
  <c r="E391" i="9" s="1" a="1"/>
  <c r="B391" i="9"/>
  <c r="A391" i="9"/>
  <c r="Z390" i="9"/>
  <c r="Y390" i="9"/>
  <c r="X390" i="9"/>
  <c r="W390" i="9"/>
  <c r="V390" i="9"/>
  <c r="U390" i="9"/>
  <c r="T390" i="9"/>
  <c r="S390" i="9"/>
  <c r="R390" i="9"/>
  <c r="Q390" i="9"/>
  <c r="P390" i="9"/>
  <c r="O390" i="9"/>
  <c r="N390" i="9"/>
  <c r="L390" i="9"/>
  <c r="K390" i="9"/>
  <c r="J390" i="9"/>
  <c r="G390" i="9"/>
  <c r="F390" i="9"/>
  <c r="D390" i="9"/>
  <c r="C390" i="9"/>
  <c r="E390" i="9" s="1" a="1"/>
  <c r="B390" i="9"/>
  <c r="A390" i="9"/>
  <c r="Z389" i="9"/>
  <c r="Y389" i="9"/>
  <c r="X389" i="9"/>
  <c r="W389" i="9"/>
  <c r="V389" i="9"/>
  <c r="U389" i="9"/>
  <c r="T389" i="9"/>
  <c r="S389" i="9"/>
  <c r="R389" i="9"/>
  <c r="Q389" i="9"/>
  <c r="P389" i="9"/>
  <c r="O389" i="9"/>
  <c r="N389" i="9"/>
  <c r="L389" i="9"/>
  <c r="K389" i="9"/>
  <c r="J389" i="9"/>
  <c r="G389" i="9"/>
  <c r="I389" i="9" s="1"/>
  <c r="F389" i="9"/>
  <c r="D389" i="9"/>
  <c r="C389" i="9"/>
  <c r="E389" i="9" s="1" a="1"/>
  <c r="B389" i="9"/>
  <c r="A389" i="9"/>
  <c r="Z388" i="9"/>
  <c r="Y388" i="9"/>
  <c r="X388" i="9"/>
  <c r="W388" i="9"/>
  <c r="V388" i="9"/>
  <c r="U388" i="9"/>
  <c r="T388" i="9"/>
  <c r="S388" i="9"/>
  <c r="R388" i="9"/>
  <c r="Q388" i="9"/>
  <c r="P388" i="9"/>
  <c r="O388" i="9"/>
  <c r="N388" i="9"/>
  <c r="L388" i="9"/>
  <c r="K388" i="9"/>
  <c r="J388" i="9"/>
  <c r="G388" i="9"/>
  <c r="H388" i="9" s="1" a="1"/>
  <c r="F388" i="9"/>
  <c r="D388" i="9"/>
  <c r="C388" i="9"/>
  <c r="E388" i="9" s="1" a="1"/>
  <c r="B388" i="9"/>
  <c r="A388" i="9"/>
  <c r="Z387" i="9"/>
  <c r="Y387" i="9"/>
  <c r="X387" i="9"/>
  <c r="W387" i="9"/>
  <c r="V387" i="9"/>
  <c r="U387" i="9"/>
  <c r="T387" i="9"/>
  <c r="S387" i="9"/>
  <c r="R387" i="9"/>
  <c r="Q387" i="9"/>
  <c r="P387" i="9"/>
  <c r="O387" i="9"/>
  <c r="N387" i="9"/>
  <c r="L387" i="9"/>
  <c r="K387" i="9"/>
  <c r="J387" i="9"/>
  <c r="G387" i="9"/>
  <c r="H387" i="9" s="1" a="1"/>
  <c r="F387" i="9"/>
  <c r="D387" i="9"/>
  <c r="C387" i="9"/>
  <c r="E387" i="9" s="1" a="1"/>
  <c r="B387" i="9"/>
  <c r="AC387" i="9" s="1"/>
  <c r="A387" i="9"/>
  <c r="Z386" i="9"/>
  <c r="Y386" i="9"/>
  <c r="X386" i="9"/>
  <c r="W386" i="9"/>
  <c r="V386" i="9"/>
  <c r="U386" i="9"/>
  <c r="T386" i="9"/>
  <c r="S386" i="9"/>
  <c r="R386" i="9"/>
  <c r="Q386" i="9"/>
  <c r="P386" i="9"/>
  <c r="O386" i="9"/>
  <c r="N386" i="9"/>
  <c r="L386" i="9"/>
  <c r="K386" i="9"/>
  <c r="J386" i="9"/>
  <c r="G386" i="9"/>
  <c r="H386" i="9" s="1" a="1"/>
  <c r="F386" i="9"/>
  <c r="D386" i="9"/>
  <c r="C386" i="9"/>
  <c r="E386" i="9" s="1" a="1"/>
  <c r="B386" i="9"/>
  <c r="A386" i="9"/>
  <c r="Z385" i="9"/>
  <c r="Y385" i="9"/>
  <c r="X385" i="9"/>
  <c r="W385" i="9"/>
  <c r="V385" i="9"/>
  <c r="U385" i="9"/>
  <c r="T385" i="9"/>
  <c r="S385" i="9"/>
  <c r="R385" i="9"/>
  <c r="Q385" i="9"/>
  <c r="P385" i="9"/>
  <c r="O385" i="9"/>
  <c r="N385" i="9"/>
  <c r="L385" i="9"/>
  <c r="K385" i="9"/>
  <c r="J385" i="9"/>
  <c r="G385" i="9"/>
  <c r="F385" i="9"/>
  <c r="D385" i="9"/>
  <c r="C385" i="9"/>
  <c r="E385" i="9" s="1" a="1"/>
  <c r="B385" i="9"/>
  <c r="A385" i="9"/>
  <c r="Z384" i="9"/>
  <c r="Y384" i="9"/>
  <c r="X384" i="9"/>
  <c r="W384" i="9"/>
  <c r="V384" i="9"/>
  <c r="U384" i="9"/>
  <c r="T384" i="9"/>
  <c r="S384" i="9"/>
  <c r="R384" i="9"/>
  <c r="Q384" i="9"/>
  <c r="P384" i="9"/>
  <c r="O384" i="9"/>
  <c r="N384" i="9"/>
  <c r="L384" i="9"/>
  <c r="K384" i="9"/>
  <c r="J384" i="9"/>
  <c r="G384" i="9"/>
  <c r="H384" i="9" s="1" a="1"/>
  <c r="F384" i="9"/>
  <c r="D384" i="9"/>
  <c r="C384" i="9"/>
  <c r="E384" i="9" s="1" a="1"/>
  <c r="B384" i="9"/>
  <c r="AC384" i="9" s="1"/>
  <c r="A384" i="9"/>
  <c r="Z383" i="9"/>
  <c r="Y383" i="9"/>
  <c r="X383" i="9"/>
  <c r="W383" i="9"/>
  <c r="V383" i="9"/>
  <c r="U383" i="9"/>
  <c r="T383" i="9"/>
  <c r="S383" i="9"/>
  <c r="R383" i="9"/>
  <c r="Q383" i="9"/>
  <c r="P383" i="9"/>
  <c r="O383" i="9"/>
  <c r="N383" i="9"/>
  <c r="L383" i="9"/>
  <c r="K383" i="9"/>
  <c r="J383" i="9"/>
  <c r="G383" i="9"/>
  <c r="H383" i="9" s="1" a="1"/>
  <c r="F383" i="9"/>
  <c r="D383" i="9"/>
  <c r="C383" i="9"/>
  <c r="E383" i="9" s="1" a="1"/>
  <c r="B383" i="9"/>
  <c r="A383" i="9"/>
  <c r="Z382" i="9"/>
  <c r="Y382" i="9"/>
  <c r="X382" i="9"/>
  <c r="W382" i="9"/>
  <c r="V382" i="9"/>
  <c r="U382" i="9"/>
  <c r="T382" i="9"/>
  <c r="S382" i="9"/>
  <c r="R382" i="9"/>
  <c r="Q382" i="9"/>
  <c r="P382" i="9"/>
  <c r="O382" i="9"/>
  <c r="N382" i="9"/>
  <c r="L382" i="9"/>
  <c r="K382" i="9"/>
  <c r="J382" i="9"/>
  <c r="G382" i="9"/>
  <c r="H382" i="9" s="1" a="1"/>
  <c r="F382" i="9"/>
  <c r="D382" i="9"/>
  <c r="C382" i="9"/>
  <c r="E382" i="9" s="1" a="1"/>
  <c r="B382" i="9"/>
  <c r="A382" i="9"/>
  <c r="Z381" i="9"/>
  <c r="Y381" i="9"/>
  <c r="X381" i="9"/>
  <c r="W381" i="9"/>
  <c r="V381" i="9"/>
  <c r="U381" i="9"/>
  <c r="T381" i="9"/>
  <c r="S381" i="9"/>
  <c r="R381" i="9"/>
  <c r="Q381" i="9"/>
  <c r="P381" i="9"/>
  <c r="O381" i="9"/>
  <c r="N381" i="9"/>
  <c r="L381" i="9"/>
  <c r="K381" i="9"/>
  <c r="J381" i="9"/>
  <c r="G381" i="9"/>
  <c r="H381" i="9" s="1" a="1"/>
  <c r="F381" i="9"/>
  <c r="D381" i="9"/>
  <c r="C381" i="9"/>
  <c r="E381" i="9" s="1" a="1"/>
  <c r="B381" i="9"/>
  <c r="A381" i="9"/>
  <c r="Z380" i="9"/>
  <c r="Y380" i="9"/>
  <c r="X380" i="9"/>
  <c r="W380" i="9"/>
  <c r="V380" i="9"/>
  <c r="U380" i="9"/>
  <c r="T380" i="9"/>
  <c r="S380" i="9"/>
  <c r="R380" i="9"/>
  <c r="Q380" i="9"/>
  <c r="P380" i="9"/>
  <c r="O380" i="9"/>
  <c r="N380" i="9"/>
  <c r="L380" i="9"/>
  <c r="K380" i="9"/>
  <c r="J380" i="9"/>
  <c r="G380" i="9"/>
  <c r="I380" i="9" s="1"/>
  <c r="F380" i="9"/>
  <c r="D380" i="9"/>
  <c r="C380" i="9"/>
  <c r="E380" i="9" s="1" a="1"/>
  <c r="B380" i="9"/>
  <c r="A380" i="9"/>
  <c r="Z379" i="9"/>
  <c r="Y379" i="9"/>
  <c r="X379" i="9"/>
  <c r="W379" i="9"/>
  <c r="V379" i="9"/>
  <c r="U379" i="9"/>
  <c r="T379" i="9"/>
  <c r="S379" i="9"/>
  <c r="R379" i="9"/>
  <c r="Q379" i="9"/>
  <c r="P379" i="9"/>
  <c r="O379" i="9"/>
  <c r="N379" i="9"/>
  <c r="L379" i="9"/>
  <c r="K379" i="9"/>
  <c r="J379" i="9"/>
  <c r="G379" i="9"/>
  <c r="H379" i="9" s="1" a="1"/>
  <c r="F379" i="9"/>
  <c r="D379" i="9"/>
  <c r="C379" i="9"/>
  <c r="E379" i="9" s="1" a="1"/>
  <c r="B379" i="9"/>
  <c r="A379" i="9"/>
  <c r="Z378" i="9"/>
  <c r="Y378" i="9"/>
  <c r="X378" i="9"/>
  <c r="W378" i="9"/>
  <c r="V378" i="9"/>
  <c r="U378" i="9"/>
  <c r="T378" i="9"/>
  <c r="S378" i="9"/>
  <c r="R378" i="9"/>
  <c r="Q378" i="9"/>
  <c r="P378" i="9"/>
  <c r="O378" i="9"/>
  <c r="N378" i="9"/>
  <c r="L378" i="9"/>
  <c r="K378" i="9"/>
  <c r="J378" i="9"/>
  <c r="G378" i="9"/>
  <c r="H378" i="9" s="1" a="1"/>
  <c r="F378" i="9"/>
  <c r="D378" i="9"/>
  <c r="C378" i="9"/>
  <c r="E378" i="9" s="1" a="1"/>
  <c r="B378" i="9"/>
  <c r="A378" i="9"/>
  <c r="Z377" i="9"/>
  <c r="Y377" i="9"/>
  <c r="X377" i="9"/>
  <c r="W377" i="9"/>
  <c r="V377" i="9"/>
  <c r="U377" i="9"/>
  <c r="T377" i="9"/>
  <c r="S377" i="9"/>
  <c r="R377" i="9"/>
  <c r="Q377" i="9"/>
  <c r="P377" i="9"/>
  <c r="O377" i="9"/>
  <c r="N377" i="9"/>
  <c r="L377" i="9"/>
  <c r="K377" i="9"/>
  <c r="J377" i="9"/>
  <c r="G377" i="9"/>
  <c r="F377" i="9"/>
  <c r="D377" i="9"/>
  <c r="C377" i="9"/>
  <c r="E377" i="9" s="1" a="1"/>
  <c r="B377" i="9"/>
  <c r="AC377" i="9" s="1"/>
  <c r="A377" i="9"/>
  <c r="Z376" i="9"/>
  <c r="Y376" i="9"/>
  <c r="X376" i="9"/>
  <c r="W376" i="9"/>
  <c r="V376" i="9"/>
  <c r="U376" i="9"/>
  <c r="T376" i="9"/>
  <c r="S376" i="9"/>
  <c r="R376" i="9"/>
  <c r="Q376" i="9"/>
  <c r="P376" i="9"/>
  <c r="O376" i="9"/>
  <c r="N376" i="9"/>
  <c r="L376" i="9"/>
  <c r="K376" i="9"/>
  <c r="J376" i="9"/>
  <c r="G376" i="9"/>
  <c r="I376" i="9" s="1"/>
  <c r="F376" i="9"/>
  <c r="D376" i="9"/>
  <c r="C376" i="9"/>
  <c r="E376" i="9" s="1" a="1"/>
  <c r="B376" i="9"/>
  <c r="A376" i="9"/>
  <c r="Z375" i="9"/>
  <c r="Y375" i="9"/>
  <c r="X375" i="9"/>
  <c r="W375" i="9"/>
  <c r="V375" i="9"/>
  <c r="U375" i="9"/>
  <c r="T375" i="9"/>
  <c r="S375" i="9"/>
  <c r="R375" i="9"/>
  <c r="Q375" i="9"/>
  <c r="P375" i="9"/>
  <c r="O375" i="9"/>
  <c r="N375" i="9"/>
  <c r="L375" i="9"/>
  <c r="K375" i="9"/>
  <c r="J375" i="9"/>
  <c r="G375" i="9"/>
  <c r="I375" i="9" s="1"/>
  <c r="F375" i="9"/>
  <c r="D375" i="9"/>
  <c r="C375" i="9"/>
  <c r="E375" i="9" s="1" a="1"/>
  <c r="B375" i="9"/>
  <c r="A375" i="9"/>
  <c r="Z374" i="9"/>
  <c r="Y374" i="9"/>
  <c r="X374" i="9"/>
  <c r="W374" i="9"/>
  <c r="V374" i="9"/>
  <c r="U374" i="9"/>
  <c r="T374" i="9"/>
  <c r="S374" i="9"/>
  <c r="R374" i="9"/>
  <c r="Q374" i="9"/>
  <c r="P374" i="9"/>
  <c r="O374" i="9"/>
  <c r="N374" i="9"/>
  <c r="L374" i="9"/>
  <c r="K374" i="9"/>
  <c r="J374" i="9"/>
  <c r="G374" i="9"/>
  <c r="F374" i="9"/>
  <c r="D374" i="9"/>
  <c r="C374" i="9"/>
  <c r="E374" i="9" s="1" a="1"/>
  <c r="B374" i="9"/>
  <c r="AC374" i="9" s="1"/>
  <c r="A374" i="9"/>
  <c r="Z373" i="9"/>
  <c r="Y373" i="9"/>
  <c r="X373" i="9"/>
  <c r="W373" i="9"/>
  <c r="V373" i="9"/>
  <c r="U373" i="9"/>
  <c r="T373" i="9"/>
  <c r="S373" i="9"/>
  <c r="R373" i="9"/>
  <c r="Q373" i="9"/>
  <c r="P373" i="9"/>
  <c r="O373" i="9"/>
  <c r="N373" i="9"/>
  <c r="L373" i="9"/>
  <c r="K373" i="9"/>
  <c r="J373" i="9"/>
  <c r="G373" i="9"/>
  <c r="H373" i="9" s="1" a="1"/>
  <c r="F373" i="9"/>
  <c r="D373" i="9"/>
  <c r="C373" i="9"/>
  <c r="E373" i="9" s="1" a="1"/>
  <c r="B373" i="9"/>
  <c r="A373" i="9"/>
  <c r="Z372" i="9"/>
  <c r="Y372" i="9"/>
  <c r="X372" i="9"/>
  <c r="W372" i="9"/>
  <c r="V372" i="9"/>
  <c r="U372" i="9"/>
  <c r="T372" i="9"/>
  <c r="S372" i="9"/>
  <c r="R372" i="9"/>
  <c r="Q372" i="9"/>
  <c r="P372" i="9"/>
  <c r="O372" i="9"/>
  <c r="N372" i="9"/>
  <c r="L372" i="9"/>
  <c r="K372" i="9"/>
  <c r="J372" i="9"/>
  <c r="G372" i="9"/>
  <c r="H372" i="9" s="1" a="1"/>
  <c r="F372" i="9"/>
  <c r="D372" i="9"/>
  <c r="C372" i="9"/>
  <c r="E372" i="9" s="1" a="1"/>
  <c r="B372" i="9"/>
  <c r="A372" i="9"/>
  <c r="Z371" i="9"/>
  <c r="Y371" i="9"/>
  <c r="X371" i="9"/>
  <c r="W371" i="9"/>
  <c r="V371" i="9"/>
  <c r="U371" i="9"/>
  <c r="T371" i="9"/>
  <c r="S371" i="9"/>
  <c r="R371" i="9"/>
  <c r="Q371" i="9"/>
  <c r="P371" i="9"/>
  <c r="O371" i="9"/>
  <c r="N371" i="9"/>
  <c r="L371" i="9"/>
  <c r="K371" i="9"/>
  <c r="J371" i="9"/>
  <c r="G371" i="9"/>
  <c r="H371" i="9" s="1" a="1"/>
  <c r="F371" i="9"/>
  <c r="D371" i="9"/>
  <c r="C371" i="9"/>
  <c r="E371" i="9" s="1" a="1"/>
  <c r="B371" i="9"/>
  <c r="AC371" i="9" s="1"/>
  <c r="A371" i="9"/>
  <c r="Z370" i="9"/>
  <c r="Y370" i="9"/>
  <c r="X370" i="9"/>
  <c r="W370" i="9"/>
  <c r="V370" i="9"/>
  <c r="U370" i="9"/>
  <c r="T370" i="9"/>
  <c r="S370" i="9"/>
  <c r="R370" i="9"/>
  <c r="Q370" i="9"/>
  <c r="P370" i="9"/>
  <c r="O370" i="9"/>
  <c r="N370" i="9"/>
  <c r="L370" i="9"/>
  <c r="K370" i="9"/>
  <c r="J370" i="9"/>
  <c r="G370" i="9"/>
  <c r="H370" i="9" s="1" a="1"/>
  <c r="F370" i="9"/>
  <c r="D370" i="9"/>
  <c r="C370" i="9"/>
  <c r="E370" i="9" s="1" a="1"/>
  <c r="B370" i="9"/>
  <c r="A370" i="9"/>
  <c r="Z369" i="9"/>
  <c r="Y369" i="9"/>
  <c r="X369" i="9"/>
  <c r="W369" i="9"/>
  <c r="V369" i="9"/>
  <c r="U369" i="9"/>
  <c r="T369" i="9"/>
  <c r="S369" i="9"/>
  <c r="R369" i="9"/>
  <c r="Q369" i="9"/>
  <c r="P369" i="9"/>
  <c r="O369" i="9"/>
  <c r="N369" i="9"/>
  <c r="L369" i="9"/>
  <c r="K369" i="9"/>
  <c r="J369" i="9"/>
  <c r="G369" i="9"/>
  <c r="H369" i="9" s="1" a="1"/>
  <c r="F369" i="9"/>
  <c r="D369" i="9"/>
  <c r="C369" i="9"/>
  <c r="E369" i="9" s="1" a="1"/>
  <c r="B369" i="9"/>
  <c r="A369" i="9"/>
  <c r="Z368" i="9"/>
  <c r="Y368" i="9"/>
  <c r="X368" i="9"/>
  <c r="W368" i="9"/>
  <c r="V368" i="9"/>
  <c r="U368" i="9"/>
  <c r="T368" i="9"/>
  <c r="S368" i="9"/>
  <c r="R368" i="9"/>
  <c r="Q368" i="9"/>
  <c r="P368" i="9"/>
  <c r="O368" i="9"/>
  <c r="N368" i="9"/>
  <c r="L368" i="9"/>
  <c r="K368" i="9"/>
  <c r="J368" i="9"/>
  <c r="G368" i="9"/>
  <c r="F368" i="9"/>
  <c r="D368" i="9"/>
  <c r="C368" i="9"/>
  <c r="E368" i="9" s="1" a="1"/>
  <c r="B368" i="9"/>
  <c r="A368" i="9"/>
  <c r="Z367" i="9"/>
  <c r="Y367" i="9"/>
  <c r="X367" i="9"/>
  <c r="W367" i="9"/>
  <c r="V367" i="9"/>
  <c r="U367" i="9"/>
  <c r="T367" i="9"/>
  <c r="S367" i="9"/>
  <c r="R367" i="9"/>
  <c r="Q367" i="9"/>
  <c r="P367" i="9"/>
  <c r="O367" i="9"/>
  <c r="N367" i="9"/>
  <c r="L367" i="9"/>
  <c r="K367" i="9"/>
  <c r="J367" i="9"/>
  <c r="G367" i="9"/>
  <c r="H367" i="9" s="1" a="1"/>
  <c r="F367" i="9"/>
  <c r="D367" i="9"/>
  <c r="C367" i="9"/>
  <c r="E367" i="9" s="1" a="1"/>
  <c r="B367" i="9"/>
  <c r="A367" i="9"/>
  <c r="Z366" i="9"/>
  <c r="Y366" i="9"/>
  <c r="X366" i="9"/>
  <c r="W366" i="9"/>
  <c r="V366" i="9"/>
  <c r="U366" i="9"/>
  <c r="T366" i="9"/>
  <c r="S366" i="9"/>
  <c r="R366" i="9"/>
  <c r="Q366" i="9"/>
  <c r="P366" i="9"/>
  <c r="O366" i="9"/>
  <c r="N366" i="9"/>
  <c r="L366" i="9"/>
  <c r="K366" i="9"/>
  <c r="J366" i="9"/>
  <c r="G366" i="9"/>
  <c r="F366" i="9"/>
  <c r="D366" i="9"/>
  <c r="C366" i="9"/>
  <c r="E366" i="9" s="1" a="1"/>
  <c r="B366" i="9"/>
  <c r="A366" i="9"/>
  <c r="Z365" i="9"/>
  <c r="Y365" i="9"/>
  <c r="X365" i="9"/>
  <c r="W365" i="9"/>
  <c r="V365" i="9"/>
  <c r="U365" i="9"/>
  <c r="T365" i="9"/>
  <c r="S365" i="9"/>
  <c r="R365" i="9"/>
  <c r="Q365" i="9"/>
  <c r="P365" i="9"/>
  <c r="O365" i="9"/>
  <c r="N365" i="9"/>
  <c r="L365" i="9"/>
  <c r="K365" i="9"/>
  <c r="J365" i="9"/>
  <c r="G365" i="9"/>
  <c r="H365" i="9" s="1" a="1"/>
  <c r="F365" i="9"/>
  <c r="D365" i="9"/>
  <c r="C365" i="9"/>
  <c r="E365" i="9" s="1" a="1"/>
  <c r="B365" i="9"/>
  <c r="A365" i="9"/>
  <c r="Z364" i="9"/>
  <c r="Y364" i="9"/>
  <c r="X364" i="9"/>
  <c r="W364" i="9"/>
  <c r="V364" i="9"/>
  <c r="U364" i="9"/>
  <c r="T364" i="9"/>
  <c r="S364" i="9"/>
  <c r="R364" i="9"/>
  <c r="Q364" i="9"/>
  <c r="P364" i="9"/>
  <c r="O364" i="9"/>
  <c r="N364" i="9"/>
  <c r="L364" i="9"/>
  <c r="K364" i="9"/>
  <c r="J364" i="9"/>
  <c r="G364" i="9"/>
  <c r="I364" i="9" s="1"/>
  <c r="F364" i="9"/>
  <c r="D364" i="9"/>
  <c r="C364" i="9"/>
  <c r="E364" i="9" s="1" a="1"/>
  <c r="B364" i="9"/>
  <c r="A364" i="9"/>
  <c r="Z363" i="9"/>
  <c r="Y363" i="9"/>
  <c r="X363" i="9"/>
  <c r="W363" i="9"/>
  <c r="V363" i="9"/>
  <c r="U363" i="9"/>
  <c r="T363" i="9"/>
  <c r="S363" i="9"/>
  <c r="R363" i="9"/>
  <c r="Q363" i="9"/>
  <c r="P363" i="9"/>
  <c r="O363" i="9"/>
  <c r="N363" i="9"/>
  <c r="L363" i="9"/>
  <c r="K363" i="9"/>
  <c r="J363" i="9"/>
  <c r="G363" i="9"/>
  <c r="H363" i="9" s="1" a="1"/>
  <c r="F363" i="9"/>
  <c r="D363" i="9"/>
  <c r="C363" i="9"/>
  <c r="E363" i="9" s="1" a="1"/>
  <c r="B363" i="9"/>
  <c r="A363" i="9"/>
  <c r="Z362" i="9"/>
  <c r="Y362" i="9"/>
  <c r="X362" i="9"/>
  <c r="W362" i="9"/>
  <c r="V362" i="9"/>
  <c r="U362" i="9"/>
  <c r="T362" i="9"/>
  <c r="S362" i="9"/>
  <c r="R362" i="9"/>
  <c r="Q362" i="9"/>
  <c r="P362" i="9"/>
  <c r="O362" i="9"/>
  <c r="N362" i="9"/>
  <c r="L362" i="9"/>
  <c r="K362" i="9"/>
  <c r="J362" i="9"/>
  <c r="G362" i="9"/>
  <c r="H362" i="9" s="1" a="1"/>
  <c r="F362" i="9"/>
  <c r="D362" i="9"/>
  <c r="C362" i="9"/>
  <c r="E362" i="9" s="1" a="1"/>
  <c r="B362" i="9"/>
  <c r="A362" i="9"/>
  <c r="Z361" i="9"/>
  <c r="Y361" i="9"/>
  <c r="X361" i="9"/>
  <c r="W361" i="9"/>
  <c r="V361" i="9"/>
  <c r="U361" i="9"/>
  <c r="T361" i="9"/>
  <c r="S361" i="9"/>
  <c r="R361" i="9"/>
  <c r="Q361" i="9"/>
  <c r="P361" i="9"/>
  <c r="O361" i="9"/>
  <c r="N361" i="9"/>
  <c r="L361" i="9"/>
  <c r="K361" i="9"/>
  <c r="J361" i="9"/>
  <c r="G361" i="9"/>
  <c r="F361" i="9"/>
  <c r="D361" i="9"/>
  <c r="C361" i="9"/>
  <c r="E361" i="9" s="1" a="1"/>
  <c r="B361" i="9"/>
  <c r="A361" i="9"/>
  <c r="Z360" i="9"/>
  <c r="Y360" i="9"/>
  <c r="X360" i="9"/>
  <c r="W360" i="9"/>
  <c r="V360" i="9"/>
  <c r="U360" i="9"/>
  <c r="T360" i="9"/>
  <c r="S360" i="9"/>
  <c r="R360" i="9"/>
  <c r="Q360" i="9"/>
  <c r="P360" i="9"/>
  <c r="O360" i="9"/>
  <c r="N360" i="9"/>
  <c r="L360" i="9"/>
  <c r="K360" i="9"/>
  <c r="J360" i="9"/>
  <c r="G360" i="9"/>
  <c r="F360" i="9"/>
  <c r="D360" i="9"/>
  <c r="C360" i="9"/>
  <c r="E360" i="9" s="1" a="1"/>
  <c r="B360" i="9"/>
  <c r="A360" i="9"/>
  <c r="Z359" i="9"/>
  <c r="Y359" i="9"/>
  <c r="X359" i="9"/>
  <c r="W359" i="9"/>
  <c r="V359" i="9"/>
  <c r="U359" i="9"/>
  <c r="T359" i="9"/>
  <c r="S359" i="9"/>
  <c r="R359" i="9"/>
  <c r="Q359" i="9"/>
  <c r="P359" i="9"/>
  <c r="O359" i="9"/>
  <c r="N359" i="9"/>
  <c r="L359" i="9"/>
  <c r="K359" i="9"/>
  <c r="J359" i="9"/>
  <c r="G359" i="9"/>
  <c r="H359" i="9" s="1" a="1"/>
  <c r="F359" i="9"/>
  <c r="D359" i="9"/>
  <c r="C359" i="9"/>
  <c r="E359" i="9" s="1" a="1"/>
  <c r="B359" i="9"/>
  <c r="A359" i="9"/>
  <c r="Z358" i="9"/>
  <c r="Y358" i="9"/>
  <c r="X358" i="9"/>
  <c r="W358" i="9"/>
  <c r="V358" i="9"/>
  <c r="U358" i="9"/>
  <c r="T358" i="9"/>
  <c r="S358" i="9"/>
  <c r="R358" i="9"/>
  <c r="Q358" i="9"/>
  <c r="P358" i="9"/>
  <c r="O358" i="9"/>
  <c r="N358" i="9"/>
  <c r="L358" i="9"/>
  <c r="K358" i="9"/>
  <c r="J358" i="9"/>
  <c r="G358" i="9"/>
  <c r="F358" i="9"/>
  <c r="D358" i="9"/>
  <c r="C358" i="9"/>
  <c r="E358" i="9" s="1" a="1"/>
  <c r="B358" i="9"/>
  <c r="A358" i="9"/>
  <c r="Z357" i="9"/>
  <c r="Y357" i="9"/>
  <c r="X357" i="9"/>
  <c r="W357" i="9"/>
  <c r="V357" i="9"/>
  <c r="U357" i="9"/>
  <c r="T357" i="9"/>
  <c r="S357" i="9"/>
  <c r="R357" i="9"/>
  <c r="Q357" i="9"/>
  <c r="P357" i="9"/>
  <c r="O357" i="9"/>
  <c r="N357" i="9"/>
  <c r="L357" i="9"/>
  <c r="K357" i="9"/>
  <c r="J357" i="9"/>
  <c r="G357" i="9"/>
  <c r="I357" i="9" s="1"/>
  <c r="F357" i="9"/>
  <c r="D357" i="9"/>
  <c r="C357" i="9"/>
  <c r="E357" i="9" s="1" a="1"/>
  <c r="B357" i="9"/>
  <c r="A357" i="9"/>
  <c r="Z356" i="9"/>
  <c r="Y356" i="9"/>
  <c r="X356" i="9"/>
  <c r="W356" i="9"/>
  <c r="V356" i="9"/>
  <c r="U356" i="9"/>
  <c r="T356" i="9"/>
  <c r="S356" i="9"/>
  <c r="R356" i="9"/>
  <c r="Q356" i="9"/>
  <c r="P356" i="9"/>
  <c r="O356" i="9"/>
  <c r="N356" i="9"/>
  <c r="L356" i="9"/>
  <c r="K356" i="9"/>
  <c r="J356" i="9"/>
  <c r="G356" i="9"/>
  <c r="H356" i="9" s="1" a="1"/>
  <c r="F356" i="9"/>
  <c r="D356" i="9"/>
  <c r="C356" i="9"/>
  <c r="E356" i="9" s="1" a="1"/>
  <c r="B356" i="9"/>
  <c r="A356" i="9"/>
  <c r="Z355" i="9"/>
  <c r="Y355" i="9"/>
  <c r="X355" i="9"/>
  <c r="W355" i="9"/>
  <c r="V355" i="9"/>
  <c r="U355" i="9"/>
  <c r="T355" i="9"/>
  <c r="S355" i="9"/>
  <c r="R355" i="9"/>
  <c r="Q355" i="9"/>
  <c r="P355" i="9"/>
  <c r="O355" i="9"/>
  <c r="N355" i="9"/>
  <c r="L355" i="9"/>
  <c r="K355" i="9"/>
  <c r="J355" i="9"/>
  <c r="G355" i="9"/>
  <c r="H355" i="9" s="1" a="1"/>
  <c r="F355" i="9"/>
  <c r="D355" i="9"/>
  <c r="C355" i="9"/>
  <c r="E355" i="9" s="1" a="1"/>
  <c r="B355" i="9"/>
  <c r="A355" i="9"/>
  <c r="Z354" i="9"/>
  <c r="Y354" i="9"/>
  <c r="X354" i="9"/>
  <c r="W354" i="9"/>
  <c r="V354" i="9"/>
  <c r="U354" i="9"/>
  <c r="T354" i="9"/>
  <c r="S354" i="9"/>
  <c r="R354" i="9"/>
  <c r="Q354" i="9"/>
  <c r="P354" i="9"/>
  <c r="O354" i="9"/>
  <c r="N354" i="9"/>
  <c r="L354" i="9"/>
  <c r="K354" i="9"/>
  <c r="J354" i="9"/>
  <c r="G354" i="9"/>
  <c r="H354" i="9" s="1" a="1"/>
  <c r="F354" i="9"/>
  <c r="D354" i="9"/>
  <c r="C354" i="9"/>
  <c r="E354" i="9" s="1" a="1"/>
  <c r="B354" i="9"/>
  <c r="A354" i="9"/>
  <c r="Z353" i="9"/>
  <c r="Y353" i="9"/>
  <c r="X353" i="9"/>
  <c r="W353" i="9"/>
  <c r="V353" i="9"/>
  <c r="U353" i="9"/>
  <c r="T353" i="9"/>
  <c r="S353" i="9"/>
  <c r="R353" i="9"/>
  <c r="Q353" i="9"/>
  <c r="P353" i="9"/>
  <c r="O353" i="9"/>
  <c r="N353" i="9"/>
  <c r="L353" i="9"/>
  <c r="K353" i="9"/>
  <c r="J353" i="9"/>
  <c r="G353" i="9"/>
  <c r="I353" i="9" s="1"/>
  <c r="F353" i="9"/>
  <c r="D353" i="9"/>
  <c r="C353" i="9"/>
  <c r="E353" i="9" s="1" a="1"/>
  <c r="B353" i="9"/>
  <c r="A353" i="9"/>
  <c r="Z352" i="9"/>
  <c r="Y352" i="9"/>
  <c r="X352" i="9"/>
  <c r="W352" i="9"/>
  <c r="V352" i="9"/>
  <c r="U352" i="9"/>
  <c r="T352" i="9"/>
  <c r="S352" i="9"/>
  <c r="R352" i="9"/>
  <c r="Q352" i="9"/>
  <c r="P352" i="9"/>
  <c r="O352" i="9"/>
  <c r="N352" i="9"/>
  <c r="L352" i="9"/>
  <c r="K352" i="9"/>
  <c r="J352" i="9"/>
  <c r="G352" i="9"/>
  <c r="H352" i="9" s="1" a="1"/>
  <c r="F352" i="9"/>
  <c r="D352" i="9"/>
  <c r="C352" i="9"/>
  <c r="E352" i="9" s="1" a="1"/>
  <c r="B352" i="9"/>
  <c r="AC352" i="9" s="1"/>
  <c r="A352" i="9"/>
  <c r="Z351" i="9"/>
  <c r="Y351" i="9"/>
  <c r="X351" i="9"/>
  <c r="W351" i="9"/>
  <c r="V351" i="9"/>
  <c r="U351" i="9"/>
  <c r="T351" i="9"/>
  <c r="S351" i="9"/>
  <c r="R351" i="9"/>
  <c r="Q351" i="9"/>
  <c r="P351" i="9"/>
  <c r="O351" i="9"/>
  <c r="N351" i="9"/>
  <c r="L351" i="9"/>
  <c r="K351" i="9"/>
  <c r="J351" i="9"/>
  <c r="G351" i="9"/>
  <c r="H351" i="9" s="1" a="1"/>
  <c r="F351" i="9"/>
  <c r="D351" i="9"/>
  <c r="C351" i="9"/>
  <c r="E351" i="9" s="1" a="1"/>
  <c r="B351" i="9"/>
  <c r="A351" i="9"/>
  <c r="Z350" i="9"/>
  <c r="Y350" i="9"/>
  <c r="X350" i="9"/>
  <c r="W350" i="9"/>
  <c r="V350" i="9"/>
  <c r="U350" i="9"/>
  <c r="T350" i="9"/>
  <c r="S350" i="9"/>
  <c r="R350" i="9"/>
  <c r="Q350" i="9"/>
  <c r="P350" i="9"/>
  <c r="O350" i="9"/>
  <c r="N350" i="9"/>
  <c r="L350" i="9"/>
  <c r="K350" i="9"/>
  <c r="J350" i="9"/>
  <c r="G350" i="9"/>
  <c r="H350" i="9" s="1" a="1"/>
  <c r="F350" i="9"/>
  <c r="D350" i="9"/>
  <c r="C350" i="9"/>
  <c r="E350" i="9" s="1" a="1"/>
  <c r="B350" i="9"/>
  <c r="AC350" i="9" s="1"/>
  <c r="A350" i="9"/>
  <c r="Z349" i="9"/>
  <c r="Y349" i="9"/>
  <c r="X349" i="9"/>
  <c r="W349" i="9"/>
  <c r="V349" i="9"/>
  <c r="U349" i="9"/>
  <c r="T349" i="9"/>
  <c r="S349" i="9"/>
  <c r="R349" i="9"/>
  <c r="Q349" i="9"/>
  <c r="P349" i="9"/>
  <c r="O349" i="9"/>
  <c r="N349" i="9"/>
  <c r="L349" i="9"/>
  <c r="K349" i="9"/>
  <c r="J349" i="9"/>
  <c r="G349" i="9"/>
  <c r="I349" i="9" s="1"/>
  <c r="F349" i="9"/>
  <c r="D349" i="9"/>
  <c r="C349" i="9"/>
  <c r="E349" i="9" s="1" a="1"/>
  <c r="B349" i="9"/>
  <c r="A349" i="9"/>
  <c r="Z348" i="9"/>
  <c r="Y348" i="9"/>
  <c r="X348" i="9"/>
  <c r="W348" i="9"/>
  <c r="V348" i="9"/>
  <c r="U348" i="9"/>
  <c r="T348" i="9"/>
  <c r="S348" i="9"/>
  <c r="R348" i="9"/>
  <c r="Q348" i="9"/>
  <c r="P348" i="9"/>
  <c r="O348" i="9"/>
  <c r="N348" i="9"/>
  <c r="L348" i="9"/>
  <c r="K348" i="9"/>
  <c r="J348" i="9"/>
  <c r="G348" i="9"/>
  <c r="H348" i="9" s="1" a="1"/>
  <c r="F348" i="9"/>
  <c r="D348" i="9"/>
  <c r="C348" i="9"/>
  <c r="E348" i="9" s="1" a="1"/>
  <c r="B348" i="9"/>
  <c r="A348" i="9"/>
  <c r="Z347" i="9"/>
  <c r="Y347" i="9"/>
  <c r="X347" i="9"/>
  <c r="W347" i="9"/>
  <c r="V347" i="9"/>
  <c r="U347" i="9"/>
  <c r="T347" i="9"/>
  <c r="S347" i="9"/>
  <c r="R347" i="9"/>
  <c r="Q347" i="9"/>
  <c r="P347" i="9"/>
  <c r="O347" i="9"/>
  <c r="N347" i="9"/>
  <c r="L347" i="9"/>
  <c r="K347" i="9"/>
  <c r="J347" i="9"/>
  <c r="G347" i="9"/>
  <c r="I347" i="9" s="1"/>
  <c r="F347" i="9"/>
  <c r="D347" i="9"/>
  <c r="C347" i="9"/>
  <c r="E347" i="9" s="1" a="1"/>
  <c r="B347" i="9"/>
  <c r="A347" i="9"/>
  <c r="Z346" i="9"/>
  <c r="Y346" i="9"/>
  <c r="X346" i="9"/>
  <c r="W346" i="9"/>
  <c r="V346" i="9"/>
  <c r="U346" i="9"/>
  <c r="T346" i="9"/>
  <c r="S346" i="9"/>
  <c r="R346" i="9"/>
  <c r="Q346" i="9"/>
  <c r="P346" i="9"/>
  <c r="O346" i="9"/>
  <c r="N346" i="9"/>
  <c r="L346" i="9"/>
  <c r="K346" i="9"/>
  <c r="J346" i="9"/>
  <c r="G346" i="9"/>
  <c r="H346" i="9" s="1" a="1"/>
  <c r="F346" i="9"/>
  <c r="D346" i="9"/>
  <c r="C346" i="9"/>
  <c r="E346" i="9" s="1" a="1"/>
  <c r="B346" i="9"/>
  <c r="A346" i="9"/>
  <c r="Z345" i="9"/>
  <c r="Y345" i="9"/>
  <c r="X345" i="9"/>
  <c r="W345" i="9"/>
  <c r="V345" i="9"/>
  <c r="U345" i="9"/>
  <c r="T345" i="9"/>
  <c r="S345" i="9"/>
  <c r="R345" i="9"/>
  <c r="Q345" i="9"/>
  <c r="P345" i="9"/>
  <c r="O345" i="9"/>
  <c r="N345" i="9"/>
  <c r="L345" i="9"/>
  <c r="K345" i="9"/>
  <c r="J345" i="9"/>
  <c r="G345" i="9"/>
  <c r="F345" i="9"/>
  <c r="D345" i="9"/>
  <c r="C345" i="9"/>
  <c r="E345" i="9" s="1" a="1"/>
  <c r="B345" i="9"/>
  <c r="A345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N344" i="9"/>
  <c r="L344" i="9"/>
  <c r="K344" i="9"/>
  <c r="J344" i="9"/>
  <c r="G344" i="9"/>
  <c r="I344" i="9" s="1"/>
  <c r="F344" i="9"/>
  <c r="D344" i="9"/>
  <c r="C344" i="9"/>
  <c r="E344" i="9" s="1" a="1"/>
  <c r="B344" i="9"/>
  <c r="A344" i="9"/>
  <c r="Z343" i="9"/>
  <c r="Y343" i="9"/>
  <c r="X343" i="9"/>
  <c r="W343" i="9"/>
  <c r="V343" i="9"/>
  <c r="U343" i="9"/>
  <c r="T343" i="9"/>
  <c r="S343" i="9"/>
  <c r="R343" i="9"/>
  <c r="Q343" i="9"/>
  <c r="P343" i="9"/>
  <c r="O343" i="9"/>
  <c r="N343" i="9"/>
  <c r="L343" i="9"/>
  <c r="K343" i="9"/>
  <c r="J343" i="9"/>
  <c r="G343" i="9"/>
  <c r="I343" i="9" s="1"/>
  <c r="F343" i="9"/>
  <c r="D343" i="9"/>
  <c r="C343" i="9"/>
  <c r="E343" i="9" s="1" a="1"/>
  <c r="B343" i="9"/>
  <c r="A343" i="9"/>
  <c r="Z342" i="9"/>
  <c r="Y342" i="9"/>
  <c r="X342" i="9"/>
  <c r="W342" i="9"/>
  <c r="V342" i="9"/>
  <c r="U342" i="9"/>
  <c r="T342" i="9"/>
  <c r="S342" i="9"/>
  <c r="R342" i="9"/>
  <c r="Q342" i="9"/>
  <c r="P342" i="9"/>
  <c r="O342" i="9"/>
  <c r="N342" i="9"/>
  <c r="L342" i="9"/>
  <c r="K342" i="9"/>
  <c r="J342" i="9"/>
  <c r="G342" i="9"/>
  <c r="F342" i="9"/>
  <c r="D342" i="9"/>
  <c r="C342" i="9"/>
  <c r="E342" i="9" s="1" a="1"/>
  <c r="B342" i="9"/>
  <c r="A342" i="9"/>
  <c r="Z341" i="9"/>
  <c r="Y341" i="9"/>
  <c r="X341" i="9"/>
  <c r="W341" i="9"/>
  <c r="V341" i="9"/>
  <c r="U341" i="9"/>
  <c r="T341" i="9"/>
  <c r="S341" i="9"/>
  <c r="R341" i="9"/>
  <c r="Q341" i="9"/>
  <c r="P341" i="9"/>
  <c r="O341" i="9"/>
  <c r="N341" i="9"/>
  <c r="L341" i="9"/>
  <c r="K341" i="9"/>
  <c r="J341" i="9"/>
  <c r="G341" i="9"/>
  <c r="H341" i="9" s="1" a="1"/>
  <c r="F341" i="9"/>
  <c r="D341" i="9"/>
  <c r="C341" i="9"/>
  <c r="E341" i="9" s="1" a="1"/>
  <c r="B341" i="9"/>
  <c r="A341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N340" i="9"/>
  <c r="L340" i="9"/>
  <c r="K340" i="9"/>
  <c r="J340" i="9"/>
  <c r="G340" i="9"/>
  <c r="F340" i="9"/>
  <c r="D340" i="9"/>
  <c r="C340" i="9"/>
  <c r="E340" i="9" s="1" a="1"/>
  <c r="B340" i="9"/>
  <c r="A340" i="9"/>
  <c r="Z339" i="9"/>
  <c r="Y339" i="9"/>
  <c r="X339" i="9"/>
  <c r="W339" i="9"/>
  <c r="V339" i="9"/>
  <c r="U339" i="9"/>
  <c r="T339" i="9"/>
  <c r="S339" i="9"/>
  <c r="R339" i="9"/>
  <c r="Q339" i="9"/>
  <c r="P339" i="9"/>
  <c r="O339" i="9"/>
  <c r="N339" i="9"/>
  <c r="L339" i="9"/>
  <c r="K339" i="9"/>
  <c r="J339" i="9"/>
  <c r="G339" i="9"/>
  <c r="H339" i="9" s="1" a="1"/>
  <c r="F339" i="9"/>
  <c r="D339" i="9"/>
  <c r="C339" i="9"/>
  <c r="E339" i="9" s="1" a="1"/>
  <c r="B339" i="9"/>
  <c r="A339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N338" i="9"/>
  <c r="L338" i="9"/>
  <c r="K338" i="9"/>
  <c r="J338" i="9"/>
  <c r="G338" i="9"/>
  <c r="H338" i="9" s="1" a="1"/>
  <c r="F338" i="9"/>
  <c r="D338" i="9"/>
  <c r="C338" i="9"/>
  <c r="E338" i="9" s="1" a="1"/>
  <c r="B338" i="9"/>
  <c r="AC338" i="9" s="1"/>
  <c r="A338" i="9"/>
  <c r="Z337" i="9"/>
  <c r="Y337" i="9"/>
  <c r="X337" i="9"/>
  <c r="W337" i="9"/>
  <c r="V337" i="9"/>
  <c r="U337" i="9"/>
  <c r="T337" i="9"/>
  <c r="S337" i="9"/>
  <c r="R337" i="9"/>
  <c r="Q337" i="9"/>
  <c r="P337" i="9"/>
  <c r="O337" i="9"/>
  <c r="N337" i="9"/>
  <c r="L337" i="9"/>
  <c r="K337" i="9"/>
  <c r="J337" i="9"/>
  <c r="G337" i="9"/>
  <c r="I337" i="9" s="1"/>
  <c r="F337" i="9"/>
  <c r="D337" i="9"/>
  <c r="C337" i="9"/>
  <c r="E337" i="9" s="1" a="1"/>
  <c r="B337" i="9"/>
  <c r="A337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N336" i="9"/>
  <c r="L336" i="9"/>
  <c r="K336" i="9"/>
  <c r="J336" i="9"/>
  <c r="G336" i="9"/>
  <c r="I336" i="9" s="1"/>
  <c r="F336" i="9"/>
  <c r="D336" i="9"/>
  <c r="C336" i="9"/>
  <c r="E336" i="9" s="1" a="1"/>
  <c r="B336" i="9"/>
  <c r="AC336" i="9" s="1"/>
  <c r="A336" i="9"/>
  <c r="Z335" i="9"/>
  <c r="Y335" i="9"/>
  <c r="X335" i="9"/>
  <c r="W335" i="9"/>
  <c r="V335" i="9"/>
  <c r="U335" i="9"/>
  <c r="T335" i="9"/>
  <c r="S335" i="9"/>
  <c r="R335" i="9"/>
  <c r="Q335" i="9"/>
  <c r="P335" i="9"/>
  <c r="O335" i="9"/>
  <c r="N335" i="9"/>
  <c r="L335" i="9"/>
  <c r="K335" i="9"/>
  <c r="J335" i="9"/>
  <c r="G335" i="9"/>
  <c r="F335" i="9"/>
  <c r="D335" i="9"/>
  <c r="C335" i="9"/>
  <c r="E335" i="9" s="1" a="1"/>
  <c r="B335" i="9"/>
  <c r="A335" i="9"/>
  <c r="Z334" i="9"/>
  <c r="Y334" i="9"/>
  <c r="X334" i="9"/>
  <c r="W334" i="9"/>
  <c r="V334" i="9"/>
  <c r="U334" i="9"/>
  <c r="T334" i="9"/>
  <c r="S334" i="9"/>
  <c r="R334" i="9"/>
  <c r="Q334" i="9"/>
  <c r="P334" i="9"/>
  <c r="O334" i="9"/>
  <c r="N334" i="9"/>
  <c r="L334" i="9"/>
  <c r="K334" i="9"/>
  <c r="J334" i="9"/>
  <c r="G334" i="9"/>
  <c r="H334" i="9" s="1" a="1"/>
  <c r="F334" i="9"/>
  <c r="D334" i="9"/>
  <c r="C334" i="9"/>
  <c r="E334" i="9" s="1" a="1"/>
  <c r="B334" i="9"/>
  <c r="A334" i="9"/>
  <c r="Z333" i="9"/>
  <c r="Y333" i="9"/>
  <c r="X333" i="9"/>
  <c r="W333" i="9"/>
  <c r="V333" i="9"/>
  <c r="U333" i="9"/>
  <c r="T333" i="9"/>
  <c r="S333" i="9"/>
  <c r="R333" i="9"/>
  <c r="Q333" i="9"/>
  <c r="P333" i="9"/>
  <c r="O333" i="9"/>
  <c r="N333" i="9"/>
  <c r="L333" i="9"/>
  <c r="K333" i="9"/>
  <c r="J333" i="9"/>
  <c r="G333" i="9"/>
  <c r="F333" i="9"/>
  <c r="D333" i="9"/>
  <c r="C333" i="9"/>
  <c r="E333" i="9" s="1" a="1"/>
  <c r="B333" i="9"/>
  <c r="A333" i="9"/>
  <c r="Z332" i="9"/>
  <c r="Y332" i="9"/>
  <c r="X332" i="9"/>
  <c r="W332" i="9"/>
  <c r="V332" i="9"/>
  <c r="U332" i="9"/>
  <c r="T332" i="9"/>
  <c r="S332" i="9"/>
  <c r="R332" i="9"/>
  <c r="Q332" i="9"/>
  <c r="P332" i="9"/>
  <c r="O332" i="9"/>
  <c r="N332" i="9"/>
  <c r="L332" i="9"/>
  <c r="K332" i="9"/>
  <c r="J332" i="9"/>
  <c r="G332" i="9"/>
  <c r="F332" i="9"/>
  <c r="D332" i="9"/>
  <c r="C332" i="9"/>
  <c r="B332" i="9"/>
  <c r="A332" i="9"/>
  <c r="Z331" i="9"/>
  <c r="Y331" i="9"/>
  <c r="X331" i="9"/>
  <c r="W331" i="9"/>
  <c r="V331" i="9"/>
  <c r="U331" i="9"/>
  <c r="T331" i="9"/>
  <c r="S331" i="9"/>
  <c r="R331" i="9"/>
  <c r="Q331" i="9"/>
  <c r="P331" i="9"/>
  <c r="O331" i="9"/>
  <c r="N331" i="9"/>
  <c r="L331" i="9"/>
  <c r="K331" i="9"/>
  <c r="J331" i="9"/>
  <c r="G331" i="9"/>
  <c r="I331" i="9" s="1"/>
  <c r="F331" i="9"/>
  <c r="D331" i="9"/>
  <c r="C331" i="9"/>
  <c r="E331" i="9" s="1" a="1"/>
  <c r="B331" i="9"/>
  <c r="A331" i="9"/>
  <c r="Z330" i="9"/>
  <c r="Y330" i="9"/>
  <c r="X330" i="9"/>
  <c r="W330" i="9"/>
  <c r="V330" i="9"/>
  <c r="U330" i="9"/>
  <c r="T330" i="9"/>
  <c r="S330" i="9"/>
  <c r="R330" i="9"/>
  <c r="Q330" i="9"/>
  <c r="P330" i="9"/>
  <c r="O330" i="9"/>
  <c r="N330" i="9"/>
  <c r="L330" i="9"/>
  <c r="K330" i="9"/>
  <c r="J330" i="9"/>
  <c r="G330" i="9"/>
  <c r="F330" i="9"/>
  <c r="D330" i="9"/>
  <c r="C330" i="9"/>
  <c r="E330" i="9" s="1" a="1"/>
  <c r="B330" i="9"/>
  <c r="A330" i="9"/>
  <c r="Z329" i="9"/>
  <c r="Y329" i="9"/>
  <c r="X329" i="9"/>
  <c r="W329" i="9"/>
  <c r="V329" i="9"/>
  <c r="U329" i="9"/>
  <c r="T329" i="9"/>
  <c r="S329" i="9"/>
  <c r="R329" i="9"/>
  <c r="Q329" i="9"/>
  <c r="P329" i="9"/>
  <c r="O329" i="9"/>
  <c r="N329" i="9"/>
  <c r="L329" i="9"/>
  <c r="K329" i="9"/>
  <c r="J329" i="9"/>
  <c r="G329" i="9"/>
  <c r="I329" i="9" s="1"/>
  <c r="F329" i="9"/>
  <c r="D329" i="9"/>
  <c r="C329" i="9"/>
  <c r="E329" i="9" s="1" a="1"/>
  <c r="B329" i="9"/>
  <c r="A329" i="9"/>
  <c r="Z328" i="9"/>
  <c r="Y328" i="9"/>
  <c r="X328" i="9"/>
  <c r="W328" i="9"/>
  <c r="V328" i="9"/>
  <c r="U328" i="9"/>
  <c r="T328" i="9"/>
  <c r="S328" i="9"/>
  <c r="R328" i="9"/>
  <c r="Q328" i="9"/>
  <c r="P328" i="9"/>
  <c r="O328" i="9"/>
  <c r="N328" i="9"/>
  <c r="L328" i="9"/>
  <c r="K328" i="9"/>
  <c r="J328" i="9"/>
  <c r="G328" i="9"/>
  <c r="H328" i="9" s="1" a="1"/>
  <c r="F328" i="9"/>
  <c r="D328" i="9"/>
  <c r="C328" i="9"/>
  <c r="E328" i="9" s="1" a="1"/>
  <c r="B328" i="9"/>
  <c r="A328" i="9"/>
  <c r="Z327" i="9"/>
  <c r="Y327" i="9"/>
  <c r="X327" i="9"/>
  <c r="W327" i="9"/>
  <c r="V327" i="9"/>
  <c r="U327" i="9"/>
  <c r="T327" i="9"/>
  <c r="S327" i="9"/>
  <c r="R327" i="9"/>
  <c r="Q327" i="9"/>
  <c r="P327" i="9"/>
  <c r="O327" i="9"/>
  <c r="N327" i="9"/>
  <c r="L327" i="9"/>
  <c r="K327" i="9"/>
  <c r="J327" i="9"/>
  <c r="G327" i="9"/>
  <c r="I327" i="9" s="1"/>
  <c r="F327" i="9"/>
  <c r="D327" i="9"/>
  <c r="C327" i="9"/>
  <c r="E327" i="9" s="1" a="1"/>
  <c r="B327" i="9"/>
  <c r="AC327" i="9" s="1"/>
  <c r="A327" i="9"/>
  <c r="Z326" i="9"/>
  <c r="Y326" i="9"/>
  <c r="X326" i="9"/>
  <c r="W326" i="9"/>
  <c r="V326" i="9"/>
  <c r="U326" i="9"/>
  <c r="T326" i="9"/>
  <c r="S326" i="9"/>
  <c r="R326" i="9"/>
  <c r="Q326" i="9"/>
  <c r="P326" i="9"/>
  <c r="O326" i="9"/>
  <c r="N326" i="9"/>
  <c r="L326" i="9"/>
  <c r="K326" i="9"/>
  <c r="J326" i="9"/>
  <c r="G326" i="9"/>
  <c r="H326" i="9" s="1" a="1"/>
  <c r="F326" i="9"/>
  <c r="D326" i="9"/>
  <c r="C326" i="9"/>
  <c r="E326" i="9" s="1" a="1"/>
  <c r="B326" i="9"/>
  <c r="A326" i="9"/>
  <c r="Z325" i="9"/>
  <c r="Y325" i="9"/>
  <c r="X325" i="9"/>
  <c r="W325" i="9"/>
  <c r="V325" i="9"/>
  <c r="U325" i="9"/>
  <c r="T325" i="9"/>
  <c r="S325" i="9"/>
  <c r="R325" i="9"/>
  <c r="Q325" i="9"/>
  <c r="P325" i="9"/>
  <c r="O325" i="9"/>
  <c r="N325" i="9"/>
  <c r="L325" i="9"/>
  <c r="K325" i="9"/>
  <c r="J325" i="9"/>
  <c r="G325" i="9"/>
  <c r="F325" i="9"/>
  <c r="D325" i="9"/>
  <c r="C325" i="9"/>
  <c r="E325" i="9" s="1" a="1"/>
  <c r="B325" i="9"/>
  <c r="A325" i="9"/>
  <c r="Z324" i="9"/>
  <c r="Y324" i="9"/>
  <c r="X324" i="9"/>
  <c r="W324" i="9"/>
  <c r="V324" i="9"/>
  <c r="U324" i="9"/>
  <c r="T324" i="9"/>
  <c r="S324" i="9"/>
  <c r="R324" i="9"/>
  <c r="Q324" i="9"/>
  <c r="P324" i="9"/>
  <c r="O324" i="9"/>
  <c r="N324" i="9"/>
  <c r="L324" i="9"/>
  <c r="K324" i="9"/>
  <c r="J324" i="9"/>
  <c r="G324" i="9"/>
  <c r="I324" i="9" s="1"/>
  <c r="F324" i="9"/>
  <c r="D324" i="9"/>
  <c r="C324" i="9"/>
  <c r="E324" i="9" s="1" a="1"/>
  <c r="B324" i="9"/>
  <c r="A324" i="9"/>
  <c r="Z323" i="9"/>
  <c r="Y323" i="9"/>
  <c r="X323" i="9"/>
  <c r="W323" i="9"/>
  <c r="V323" i="9"/>
  <c r="U323" i="9"/>
  <c r="T323" i="9"/>
  <c r="S323" i="9"/>
  <c r="R323" i="9"/>
  <c r="Q323" i="9"/>
  <c r="P323" i="9"/>
  <c r="O323" i="9"/>
  <c r="N323" i="9"/>
  <c r="L323" i="9"/>
  <c r="K323" i="9"/>
  <c r="J323" i="9"/>
  <c r="G323" i="9"/>
  <c r="H323" i="9" s="1" a="1"/>
  <c r="F323" i="9"/>
  <c r="D323" i="9"/>
  <c r="C323" i="9"/>
  <c r="E323" i="9" s="1" a="1"/>
  <c r="B323" i="9"/>
  <c r="AC323" i="9" s="1"/>
  <c r="A323" i="9"/>
  <c r="Z322" i="9"/>
  <c r="Y322" i="9"/>
  <c r="X322" i="9"/>
  <c r="W322" i="9"/>
  <c r="V322" i="9"/>
  <c r="U322" i="9"/>
  <c r="T322" i="9"/>
  <c r="S322" i="9"/>
  <c r="R322" i="9"/>
  <c r="Q322" i="9"/>
  <c r="P322" i="9"/>
  <c r="O322" i="9"/>
  <c r="N322" i="9"/>
  <c r="L322" i="9"/>
  <c r="K322" i="9"/>
  <c r="J322" i="9"/>
  <c r="G322" i="9"/>
  <c r="H322" i="9" s="1" a="1"/>
  <c r="F322" i="9"/>
  <c r="D322" i="9"/>
  <c r="C322" i="9"/>
  <c r="E322" i="9" s="1" a="1"/>
  <c r="B322" i="9"/>
  <c r="A322" i="9"/>
  <c r="Z321" i="9"/>
  <c r="Y321" i="9"/>
  <c r="X321" i="9"/>
  <c r="W321" i="9"/>
  <c r="V321" i="9"/>
  <c r="U321" i="9"/>
  <c r="T321" i="9"/>
  <c r="S321" i="9"/>
  <c r="R321" i="9"/>
  <c r="Q321" i="9"/>
  <c r="P321" i="9"/>
  <c r="O321" i="9"/>
  <c r="N321" i="9"/>
  <c r="L321" i="9"/>
  <c r="K321" i="9"/>
  <c r="J321" i="9"/>
  <c r="G321" i="9"/>
  <c r="H321" i="9" s="1" a="1"/>
  <c r="F321" i="9"/>
  <c r="D321" i="9"/>
  <c r="C321" i="9"/>
  <c r="E321" i="9" s="1" a="1"/>
  <c r="B321" i="9"/>
  <c r="A321" i="9"/>
  <c r="Z320" i="9"/>
  <c r="Y320" i="9"/>
  <c r="X320" i="9"/>
  <c r="W320" i="9"/>
  <c r="V320" i="9"/>
  <c r="U320" i="9"/>
  <c r="T320" i="9"/>
  <c r="S320" i="9"/>
  <c r="R320" i="9"/>
  <c r="Q320" i="9"/>
  <c r="P320" i="9"/>
  <c r="O320" i="9"/>
  <c r="N320" i="9"/>
  <c r="L320" i="9"/>
  <c r="K320" i="9"/>
  <c r="J320" i="9"/>
  <c r="G320" i="9"/>
  <c r="F320" i="9"/>
  <c r="D320" i="9"/>
  <c r="C320" i="9"/>
  <c r="E320" i="9" s="1" a="1"/>
  <c r="B320" i="9"/>
  <c r="A320" i="9"/>
  <c r="Z319" i="9"/>
  <c r="Y319" i="9"/>
  <c r="X319" i="9"/>
  <c r="W319" i="9"/>
  <c r="V319" i="9"/>
  <c r="U319" i="9"/>
  <c r="T319" i="9"/>
  <c r="S319" i="9"/>
  <c r="R319" i="9"/>
  <c r="Q319" i="9"/>
  <c r="P319" i="9"/>
  <c r="O319" i="9"/>
  <c r="N319" i="9"/>
  <c r="L319" i="9"/>
  <c r="K319" i="9"/>
  <c r="J319" i="9"/>
  <c r="G319" i="9"/>
  <c r="H319" i="9" s="1" a="1"/>
  <c r="F319" i="9"/>
  <c r="D319" i="9"/>
  <c r="C319" i="9"/>
  <c r="E319" i="9" s="1" a="1"/>
  <c r="B319" i="9"/>
  <c r="A319" i="9"/>
  <c r="Z318" i="9"/>
  <c r="Y318" i="9"/>
  <c r="X318" i="9"/>
  <c r="W318" i="9"/>
  <c r="V318" i="9"/>
  <c r="U318" i="9"/>
  <c r="T318" i="9"/>
  <c r="S318" i="9"/>
  <c r="R318" i="9"/>
  <c r="Q318" i="9"/>
  <c r="P318" i="9"/>
  <c r="O318" i="9"/>
  <c r="N318" i="9"/>
  <c r="L318" i="9"/>
  <c r="K318" i="9"/>
  <c r="J318" i="9"/>
  <c r="G318" i="9"/>
  <c r="H318" i="9" s="1" a="1"/>
  <c r="F318" i="9"/>
  <c r="D318" i="9"/>
  <c r="C318" i="9"/>
  <c r="E318" i="9" s="1" a="1"/>
  <c r="B318" i="9"/>
  <c r="AC318" i="9" s="1"/>
  <c r="A318" i="9"/>
  <c r="Z317" i="9"/>
  <c r="Y317" i="9"/>
  <c r="X317" i="9"/>
  <c r="W317" i="9"/>
  <c r="V317" i="9"/>
  <c r="U317" i="9"/>
  <c r="T317" i="9"/>
  <c r="S317" i="9"/>
  <c r="R317" i="9"/>
  <c r="Q317" i="9"/>
  <c r="P317" i="9"/>
  <c r="O317" i="9"/>
  <c r="N317" i="9"/>
  <c r="L317" i="9"/>
  <c r="K317" i="9"/>
  <c r="J317" i="9"/>
  <c r="G317" i="9"/>
  <c r="I317" i="9" s="1"/>
  <c r="F317" i="9"/>
  <c r="D317" i="9"/>
  <c r="C317" i="9"/>
  <c r="E317" i="9" s="1" a="1"/>
  <c r="B317" i="9"/>
  <c r="A317" i="9"/>
  <c r="Z316" i="9"/>
  <c r="Y316" i="9"/>
  <c r="X316" i="9"/>
  <c r="W316" i="9"/>
  <c r="V316" i="9"/>
  <c r="U316" i="9"/>
  <c r="T316" i="9"/>
  <c r="S316" i="9"/>
  <c r="R316" i="9"/>
  <c r="Q316" i="9"/>
  <c r="P316" i="9"/>
  <c r="O316" i="9"/>
  <c r="N316" i="9"/>
  <c r="L316" i="9"/>
  <c r="K316" i="9"/>
  <c r="J316" i="9"/>
  <c r="G316" i="9"/>
  <c r="F316" i="9"/>
  <c r="D316" i="9"/>
  <c r="C316" i="9"/>
  <c r="E316" i="9" s="1" a="1"/>
  <c r="B316" i="9"/>
  <c r="A316" i="9"/>
  <c r="Z315" i="9"/>
  <c r="Y315" i="9"/>
  <c r="X315" i="9"/>
  <c r="W315" i="9"/>
  <c r="V315" i="9"/>
  <c r="U315" i="9"/>
  <c r="T315" i="9"/>
  <c r="S315" i="9"/>
  <c r="R315" i="9"/>
  <c r="Q315" i="9"/>
  <c r="P315" i="9"/>
  <c r="O315" i="9"/>
  <c r="N315" i="9"/>
  <c r="L315" i="9"/>
  <c r="K315" i="9"/>
  <c r="J315" i="9"/>
  <c r="G315" i="9"/>
  <c r="I315" i="9" s="1"/>
  <c r="F315" i="9"/>
  <c r="D315" i="9"/>
  <c r="C315" i="9"/>
  <c r="E315" i="9" s="1" a="1"/>
  <c r="B315" i="9"/>
  <c r="A315" i="9"/>
  <c r="Z314" i="9"/>
  <c r="Y314" i="9"/>
  <c r="X314" i="9"/>
  <c r="W314" i="9"/>
  <c r="V314" i="9"/>
  <c r="U314" i="9"/>
  <c r="T314" i="9"/>
  <c r="S314" i="9"/>
  <c r="R314" i="9"/>
  <c r="Q314" i="9"/>
  <c r="P314" i="9"/>
  <c r="O314" i="9"/>
  <c r="N314" i="9"/>
  <c r="L314" i="9"/>
  <c r="K314" i="9"/>
  <c r="J314" i="9"/>
  <c r="G314" i="9"/>
  <c r="H314" i="9" s="1" a="1"/>
  <c r="F314" i="9"/>
  <c r="D314" i="9"/>
  <c r="C314" i="9"/>
  <c r="E314" i="9" s="1" a="1"/>
  <c r="B314" i="9"/>
  <c r="A314" i="9"/>
  <c r="Z313" i="9"/>
  <c r="Y313" i="9"/>
  <c r="X313" i="9"/>
  <c r="W313" i="9"/>
  <c r="V313" i="9"/>
  <c r="U313" i="9"/>
  <c r="T313" i="9"/>
  <c r="S313" i="9"/>
  <c r="R313" i="9"/>
  <c r="Q313" i="9"/>
  <c r="P313" i="9"/>
  <c r="O313" i="9"/>
  <c r="N313" i="9"/>
  <c r="L313" i="9"/>
  <c r="K313" i="9"/>
  <c r="J313" i="9"/>
  <c r="G313" i="9"/>
  <c r="I313" i="9" s="1"/>
  <c r="F313" i="9"/>
  <c r="D313" i="9"/>
  <c r="C313" i="9"/>
  <c r="E313" i="9" s="1" a="1"/>
  <c r="B313" i="9"/>
  <c r="AC313" i="9" s="1"/>
  <c r="A313" i="9"/>
  <c r="Z312" i="9"/>
  <c r="Y312" i="9"/>
  <c r="X312" i="9"/>
  <c r="W312" i="9"/>
  <c r="V312" i="9"/>
  <c r="U312" i="9"/>
  <c r="T312" i="9"/>
  <c r="S312" i="9"/>
  <c r="R312" i="9"/>
  <c r="Q312" i="9"/>
  <c r="P312" i="9"/>
  <c r="O312" i="9"/>
  <c r="N312" i="9"/>
  <c r="L312" i="9"/>
  <c r="K312" i="9"/>
  <c r="J312" i="9"/>
  <c r="G312" i="9"/>
  <c r="H312" i="9" s="1" a="1"/>
  <c r="F312" i="9"/>
  <c r="D312" i="9"/>
  <c r="C312" i="9"/>
  <c r="E312" i="9" s="1" a="1"/>
  <c r="B312" i="9"/>
  <c r="A312" i="9"/>
  <c r="Z311" i="9"/>
  <c r="Y311" i="9"/>
  <c r="X311" i="9"/>
  <c r="W311" i="9"/>
  <c r="V311" i="9"/>
  <c r="U311" i="9"/>
  <c r="T311" i="9"/>
  <c r="S311" i="9"/>
  <c r="R311" i="9"/>
  <c r="Q311" i="9"/>
  <c r="P311" i="9"/>
  <c r="O311" i="9"/>
  <c r="N311" i="9"/>
  <c r="L311" i="9"/>
  <c r="K311" i="9"/>
  <c r="J311" i="9"/>
  <c r="G311" i="9"/>
  <c r="I311" i="9" s="1"/>
  <c r="F311" i="9"/>
  <c r="D311" i="9"/>
  <c r="C311" i="9"/>
  <c r="E311" i="9" s="1" a="1"/>
  <c r="B311" i="9"/>
  <c r="A311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N310" i="9"/>
  <c r="L310" i="9"/>
  <c r="K310" i="9"/>
  <c r="J310" i="9"/>
  <c r="G310" i="9"/>
  <c r="I310" i="9" s="1"/>
  <c r="F310" i="9"/>
  <c r="D310" i="9"/>
  <c r="C310" i="9"/>
  <c r="E310" i="9" s="1" a="1"/>
  <c r="B310" i="9"/>
  <c r="A310" i="9"/>
  <c r="Z309" i="9"/>
  <c r="Y309" i="9"/>
  <c r="X309" i="9"/>
  <c r="W309" i="9"/>
  <c r="V309" i="9"/>
  <c r="U309" i="9"/>
  <c r="T309" i="9"/>
  <c r="S309" i="9"/>
  <c r="R309" i="9"/>
  <c r="Q309" i="9"/>
  <c r="P309" i="9"/>
  <c r="O309" i="9"/>
  <c r="N309" i="9"/>
  <c r="L309" i="9"/>
  <c r="K309" i="9"/>
  <c r="J309" i="9"/>
  <c r="G309" i="9"/>
  <c r="I309" i="9" s="1"/>
  <c r="F309" i="9"/>
  <c r="D309" i="9"/>
  <c r="C309" i="9"/>
  <c r="E309" i="9" s="1" a="1"/>
  <c r="B309" i="9"/>
  <c r="A309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N308" i="9"/>
  <c r="L308" i="9"/>
  <c r="K308" i="9"/>
  <c r="J308" i="9"/>
  <c r="G308" i="9"/>
  <c r="I308" i="9" s="1"/>
  <c r="F308" i="9"/>
  <c r="D308" i="9"/>
  <c r="C308" i="9"/>
  <c r="E308" i="9" s="1" a="1"/>
  <c r="B308" i="9"/>
  <c r="A308" i="9"/>
  <c r="Z307" i="9"/>
  <c r="Y307" i="9"/>
  <c r="X307" i="9"/>
  <c r="W307" i="9"/>
  <c r="V307" i="9"/>
  <c r="U307" i="9"/>
  <c r="T307" i="9"/>
  <c r="S307" i="9"/>
  <c r="R307" i="9"/>
  <c r="Q307" i="9"/>
  <c r="P307" i="9"/>
  <c r="O307" i="9"/>
  <c r="N307" i="9"/>
  <c r="L307" i="9"/>
  <c r="K307" i="9"/>
  <c r="J307" i="9"/>
  <c r="G307" i="9"/>
  <c r="I307" i="9" s="1"/>
  <c r="F307" i="9"/>
  <c r="D307" i="9"/>
  <c r="C307" i="9"/>
  <c r="E307" i="9" s="1" a="1"/>
  <c r="B307" i="9"/>
  <c r="A307" i="9"/>
  <c r="Z306" i="9"/>
  <c r="Y306" i="9"/>
  <c r="X306" i="9"/>
  <c r="W306" i="9"/>
  <c r="V306" i="9"/>
  <c r="U306" i="9"/>
  <c r="T306" i="9"/>
  <c r="S306" i="9"/>
  <c r="R306" i="9"/>
  <c r="Q306" i="9"/>
  <c r="P306" i="9"/>
  <c r="O306" i="9"/>
  <c r="N306" i="9"/>
  <c r="L306" i="9"/>
  <c r="K306" i="9"/>
  <c r="J306" i="9"/>
  <c r="G306" i="9"/>
  <c r="I306" i="9" s="1"/>
  <c r="F306" i="9"/>
  <c r="D306" i="9"/>
  <c r="C306" i="9"/>
  <c r="E306" i="9" s="1" a="1"/>
  <c r="B306" i="9"/>
  <c r="A306" i="9"/>
  <c r="Z305" i="9"/>
  <c r="Y305" i="9"/>
  <c r="X305" i="9"/>
  <c r="W305" i="9"/>
  <c r="V305" i="9"/>
  <c r="U305" i="9"/>
  <c r="T305" i="9"/>
  <c r="S305" i="9"/>
  <c r="R305" i="9"/>
  <c r="Q305" i="9"/>
  <c r="P305" i="9"/>
  <c r="O305" i="9"/>
  <c r="N305" i="9"/>
  <c r="L305" i="9"/>
  <c r="K305" i="9"/>
  <c r="J305" i="9"/>
  <c r="G305" i="9"/>
  <c r="H305" i="9" s="1" a="1"/>
  <c r="F305" i="9"/>
  <c r="D305" i="9"/>
  <c r="C305" i="9"/>
  <c r="E305" i="9" s="1" a="1"/>
  <c r="B305" i="9"/>
  <c r="A305" i="9"/>
  <c r="Z304" i="9"/>
  <c r="Y304" i="9"/>
  <c r="X304" i="9"/>
  <c r="W304" i="9"/>
  <c r="V304" i="9"/>
  <c r="U304" i="9"/>
  <c r="T304" i="9"/>
  <c r="S304" i="9"/>
  <c r="R304" i="9"/>
  <c r="Q304" i="9"/>
  <c r="P304" i="9"/>
  <c r="O304" i="9"/>
  <c r="N304" i="9"/>
  <c r="L304" i="9"/>
  <c r="K304" i="9"/>
  <c r="J304" i="9"/>
  <c r="G304" i="9"/>
  <c r="I304" i="9" s="1"/>
  <c r="F304" i="9"/>
  <c r="D304" i="9"/>
  <c r="C304" i="9"/>
  <c r="E304" i="9" s="1" a="1"/>
  <c r="B304" i="9"/>
  <c r="A304" i="9"/>
  <c r="Z303" i="9"/>
  <c r="Y303" i="9"/>
  <c r="X303" i="9"/>
  <c r="W303" i="9"/>
  <c r="V303" i="9"/>
  <c r="U303" i="9"/>
  <c r="T303" i="9"/>
  <c r="S303" i="9"/>
  <c r="R303" i="9"/>
  <c r="Q303" i="9"/>
  <c r="P303" i="9"/>
  <c r="O303" i="9"/>
  <c r="N303" i="9"/>
  <c r="L303" i="9"/>
  <c r="K303" i="9"/>
  <c r="J303" i="9"/>
  <c r="G303" i="9"/>
  <c r="I303" i="9" s="1"/>
  <c r="F303" i="9"/>
  <c r="D303" i="9"/>
  <c r="C303" i="9"/>
  <c r="E303" i="9" s="1" a="1"/>
  <c r="B303" i="9"/>
  <c r="AC303" i="9" s="1"/>
  <c r="A303" i="9"/>
  <c r="Z302" i="9"/>
  <c r="Y302" i="9"/>
  <c r="X302" i="9"/>
  <c r="W302" i="9"/>
  <c r="V302" i="9"/>
  <c r="U302" i="9"/>
  <c r="T302" i="9"/>
  <c r="S302" i="9"/>
  <c r="R302" i="9"/>
  <c r="Q302" i="9"/>
  <c r="P302" i="9"/>
  <c r="O302" i="9"/>
  <c r="N302" i="9"/>
  <c r="L302" i="9"/>
  <c r="K302" i="9"/>
  <c r="J302" i="9"/>
  <c r="G302" i="9"/>
  <c r="H302" i="9" s="1" a="1"/>
  <c r="F302" i="9"/>
  <c r="D302" i="9"/>
  <c r="C302" i="9"/>
  <c r="E302" i="9" s="1" a="1"/>
  <c r="B302" i="9"/>
  <c r="A302" i="9"/>
  <c r="Z301" i="9"/>
  <c r="Y301" i="9"/>
  <c r="X301" i="9"/>
  <c r="W301" i="9"/>
  <c r="V301" i="9"/>
  <c r="U301" i="9"/>
  <c r="T301" i="9"/>
  <c r="S301" i="9"/>
  <c r="R301" i="9"/>
  <c r="Q301" i="9"/>
  <c r="P301" i="9"/>
  <c r="O301" i="9"/>
  <c r="N301" i="9"/>
  <c r="L301" i="9"/>
  <c r="K301" i="9"/>
  <c r="J301" i="9"/>
  <c r="G301" i="9"/>
  <c r="I301" i="9" s="1"/>
  <c r="F301" i="9"/>
  <c r="D301" i="9"/>
  <c r="C301" i="9"/>
  <c r="E301" i="9" s="1" a="1"/>
  <c r="B301" i="9"/>
  <c r="A301" i="9"/>
  <c r="Z300" i="9"/>
  <c r="Y300" i="9"/>
  <c r="X300" i="9"/>
  <c r="W300" i="9"/>
  <c r="V300" i="9"/>
  <c r="U300" i="9"/>
  <c r="T300" i="9"/>
  <c r="S300" i="9"/>
  <c r="R300" i="9"/>
  <c r="Q300" i="9"/>
  <c r="P300" i="9"/>
  <c r="O300" i="9"/>
  <c r="N300" i="9"/>
  <c r="L300" i="9"/>
  <c r="K300" i="9"/>
  <c r="J300" i="9"/>
  <c r="G300" i="9"/>
  <c r="I300" i="9" s="1"/>
  <c r="F300" i="9"/>
  <c r="D300" i="9"/>
  <c r="C300" i="9"/>
  <c r="E300" i="9" s="1" a="1"/>
  <c r="B300" i="9"/>
  <c r="AC300" i="9" s="1"/>
  <c r="A300" i="9"/>
  <c r="Z299" i="9"/>
  <c r="Y299" i="9"/>
  <c r="X299" i="9"/>
  <c r="W299" i="9"/>
  <c r="V299" i="9"/>
  <c r="U299" i="9"/>
  <c r="T299" i="9"/>
  <c r="S299" i="9"/>
  <c r="R299" i="9"/>
  <c r="Q299" i="9"/>
  <c r="P299" i="9"/>
  <c r="O299" i="9"/>
  <c r="N299" i="9"/>
  <c r="L299" i="9"/>
  <c r="K299" i="9"/>
  <c r="J299" i="9"/>
  <c r="G299" i="9"/>
  <c r="I299" i="9" s="1"/>
  <c r="F299" i="9"/>
  <c r="D299" i="9"/>
  <c r="C299" i="9"/>
  <c r="E299" i="9" s="1" a="1"/>
  <c r="B299" i="9"/>
  <c r="A299" i="9"/>
  <c r="Z298" i="9"/>
  <c r="Y298" i="9"/>
  <c r="X298" i="9"/>
  <c r="W298" i="9"/>
  <c r="V298" i="9"/>
  <c r="U298" i="9"/>
  <c r="T298" i="9"/>
  <c r="S298" i="9"/>
  <c r="R298" i="9"/>
  <c r="Q298" i="9"/>
  <c r="P298" i="9"/>
  <c r="O298" i="9"/>
  <c r="N298" i="9"/>
  <c r="L298" i="9"/>
  <c r="K298" i="9"/>
  <c r="J298" i="9"/>
  <c r="G298" i="9"/>
  <c r="I298" i="9" s="1"/>
  <c r="F298" i="9"/>
  <c r="D298" i="9"/>
  <c r="C298" i="9"/>
  <c r="E298" i="9" s="1" a="1"/>
  <c r="B298" i="9"/>
  <c r="A298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L297" i="9"/>
  <c r="K297" i="9"/>
  <c r="J297" i="9"/>
  <c r="G297" i="9"/>
  <c r="I297" i="9" s="1"/>
  <c r="F297" i="9"/>
  <c r="D297" i="9"/>
  <c r="C297" i="9"/>
  <c r="E297" i="9" s="1" a="1"/>
  <c r="B297" i="9"/>
  <c r="A297" i="9"/>
  <c r="Z296" i="9"/>
  <c r="Y296" i="9"/>
  <c r="X296" i="9"/>
  <c r="W296" i="9"/>
  <c r="V296" i="9"/>
  <c r="U296" i="9"/>
  <c r="T296" i="9"/>
  <c r="S296" i="9"/>
  <c r="R296" i="9"/>
  <c r="Q296" i="9"/>
  <c r="P296" i="9"/>
  <c r="O296" i="9"/>
  <c r="N296" i="9"/>
  <c r="L296" i="9"/>
  <c r="K296" i="9"/>
  <c r="J296" i="9"/>
  <c r="G296" i="9"/>
  <c r="H296" i="9" s="1" a="1"/>
  <c r="F296" i="9"/>
  <c r="D296" i="9"/>
  <c r="C296" i="9"/>
  <c r="E296" i="9" s="1" a="1"/>
  <c r="B296" i="9"/>
  <c r="A296" i="9"/>
  <c r="Z295" i="9"/>
  <c r="Y295" i="9"/>
  <c r="X295" i="9"/>
  <c r="W295" i="9"/>
  <c r="V295" i="9"/>
  <c r="U295" i="9"/>
  <c r="T295" i="9"/>
  <c r="S295" i="9"/>
  <c r="R295" i="9"/>
  <c r="Q295" i="9"/>
  <c r="P295" i="9"/>
  <c r="O295" i="9"/>
  <c r="N295" i="9"/>
  <c r="L295" i="9"/>
  <c r="K295" i="9"/>
  <c r="J295" i="9"/>
  <c r="G295" i="9"/>
  <c r="I295" i="9" s="1"/>
  <c r="F295" i="9"/>
  <c r="D295" i="9"/>
  <c r="C295" i="9"/>
  <c r="E295" i="9" s="1" a="1"/>
  <c r="B295" i="9"/>
  <c r="A295" i="9"/>
  <c r="Z294" i="9"/>
  <c r="Y294" i="9"/>
  <c r="X294" i="9"/>
  <c r="W294" i="9"/>
  <c r="V294" i="9"/>
  <c r="U294" i="9"/>
  <c r="T294" i="9"/>
  <c r="S294" i="9"/>
  <c r="R294" i="9"/>
  <c r="Q294" i="9"/>
  <c r="P294" i="9"/>
  <c r="O294" i="9"/>
  <c r="N294" i="9"/>
  <c r="L294" i="9"/>
  <c r="K294" i="9"/>
  <c r="J294" i="9"/>
  <c r="G294" i="9"/>
  <c r="F294" i="9"/>
  <c r="D294" i="9"/>
  <c r="C294" i="9"/>
  <c r="E294" i="9" s="1" a="1"/>
  <c r="B294" i="9"/>
  <c r="A294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L293" i="9"/>
  <c r="K293" i="9"/>
  <c r="J293" i="9"/>
  <c r="G293" i="9"/>
  <c r="H293" i="9" s="1" a="1"/>
  <c r="F293" i="9"/>
  <c r="D293" i="9"/>
  <c r="C293" i="9"/>
  <c r="E293" i="9" s="1" a="1"/>
  <c r="B293" i="9"/>
  <c r="A293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L292" i="9"/>
  <c r="K292" i="9"/>
  <c r="J292" i="9"/>
  <c r="G292" i="9"/>
  <c r="I292" i="9" s="1"/>
  <c r="F292" i="9"/>
  <c r="D292" i="9"/>
  <c r="C292" i="9"/>
  <c r="E292" i="9" s="1" a="1"/>
  <c r="B292" i="9"/>
  <c r="A292" i="9"/>
  <c r="Z291" i="9"/>
  <c r="Y291" i="9"/>
  <c r="X291" i="9"/>
  <c r="W291" i="9"/>
  <c r="V291" i="9"/>
  <c r="U291" i="9"/>
  <c r="T291" i="9"/>
  <c r="S291" i="9"/>
  <c r="R291" i="9"/>
  <c r="Q291" i="9"/>
  <c r="P291" i="9"/>
  <c r="O291" i="9"/>
  <c r="N291" i="9"/>
  <c r="L291" i="9"/>
  <c r="K291" i="9"/>
  <c r="J291" i="9"/>
  <c r="G291" i="9"/>
  <c r="F291" i="9"/>
  <c r="D291" i="9"/>
  <c r="C291" i="9"/>
  <c r="E291" i="9" s="1" a="1"/>
  <c r="B291" i="9"/>
  <c r="A291" i="9"/>
  <c r="Z290" i="9"/>
  <c r="Y290" i="9"/>
  <c r="X290" i="9"/>
  <c r="W290" i="9"/>
  <c r="V290" i="9"/>
  <c r="U290" i="9"/>
  <c r="T290" i="9"/>
  <c r="S290" i="9"/>
  <c r="R290" i="9"/>
  <c r="Q290" i="9"/>
  <c r="P290" i="9"/>
  <c r="O290" i="9"/>
  <c r="N290" i="9"/>
  <c r="L290" i="9"/>
  <c r="K290" i="9"/>
  <c r="J290" i="9"/>
  <c r="G290" i="9"/>
  <c r="H290" i="9" s="1" a="1"/>
  <c r="F290" i="9"/>
  <c r="D290" i="9"/>
  <c r="C290" i="9"/>
  <c r="E290" i="9" s="1" a="1"/>
  <c r="B290" i="9"/>
  <c r="AC290" i="9" s="1"/>
  <c r="A290" i="9"/>
  <c r="Z289" i="9"/>
  <c r="Y289" i="9"/>
  <c r="X289" i="9"/>
  <c r="W289" i="9"/>
  <c r="V289" i="9"/>
  <c r="U289" i="9"/>
  <c r="T289" i="9"/>
  <c r="S289" i="9"/>
  <c r="R289" i="9"/>
  <c r="Q289" i="9"/>
  <c r="P289" i="9"/>
  <c r="O289" i="9"/>
  <c r="N289" i="9"/>
  <c r="L289" i="9"/>
  <c r="K289" i="9"/>
  <c r="J289" i="9"/>
  <c r="G289" i="9"/>
  <c r="I289" i="9" s="1"/>
  <c r="F289" i="9"/>
  <c r="D289" i="9"/>
  <c r="C289" i="9"/>
  <c r="E289" i="9" s="1" a="1"/>
  <c r="B289" i="9"/>
  <c r="A289" i="9"/>
  <c r="Z288" i="9"/>
  <c r="Y288" i="9"/>
  <c r="X288" i="9"/>
  <c r="W288" i="9"/>
  <c r="V288" i="9"/>
  <c r="U288" i="9"/>
  <c r="T288" i="9"/>
  <c r="S288" i="9"/>
  <c r="R288" i="9"/>
  <c r="Q288" i="9"/>
  <c r="P288" i="9"/>
  <c r="O288" i="9"/>
  <c r="N288" i="9"/>
  <c r="L288" i="9"/>
  <c r="K288" i="9"/>
  <c r="J288" i="9"/>
  <c r="G288" i="9"/>
  <c r="I288" i="9" s="1"/>
  <c r="F288" i="9"/>
  <c r="D288" i="9"/>
  <c r="C288" i="9"/>
  <c r="E288" i="9" s="1" a="1"/>
  <c r="B288" i="9"/>
  <c r="A288" i="9"/>
  <c r="Z287" i="9"/>
  <c r="Y287" i="9"/>
  <c r="X287" i="9"/>
  <c r="W287" i="9"/>
  <c r="V287" i="9"/>
  <c r="U287" i="9"/>
  <c r="T287" i="9"/>
  <c r="S287" i="9"/>
  <c r="R287" i="9"/>
  <c r="Q287" i="9"/>
  <c r="P287" i="9"/>
  <c r="O287" i="9"/>
  <c r="N287" i="9"/>
  <c r="L287" i="9"/>
  <c r="K287" i="9"/>
  <c r="J287" i="9"/>
  <c r="G287" i="9"/>
  <c r="I287" i="9" s="1"/>
  <c r="F287" i="9"/>
  <c r="D287" i="9"/>
  <c r="C287" i="9"/>
  <c r="E287" i="9" s="1" a="1"/>
  <c r="B287" i="9"/>
  <c r="A287" i="9"/>
  <c r="Z286" i="9"/>
  <c r="Y286" i="9"/>
  <c r="X286" i="9"/>
  <c r="W286" i="9"/>
  <c r="V286" i="9"/>
  <c r="U286" i="9"/>
  <c r="T286" i="9"/>
  <c r="S286" i="9"/>
  <c r="R286" i="9"/>
  <c r="Q286" i="9"/>
  <c r="P286" i="9"/>
  <c r="O286" i="9"/>
  <c r="N286" i="9"/>
  <c r="L286" i="9"/>
  <c r="K286" i="9"/>
  <c r="J286" i="9"/>
  <c r="G286" i="9"/>
  <c r="I286" i="9" s="1"/>
  <c r="F286" i="9"/>
  <c r="D286" i="9"/>
  <c r="C286" i="9"/>
  <c r="E286" i="9" s="1" a="1"/>
  <c r="B286" i="9"/>
  <c r="AC286" i="9" s="1"/>
  <c r="A286" i="9"/>
  <c r="Z285" i="9"/>
  <c r="Y285" i="9"/>
  <c r="X285" i="9"/>
  <c r="W285" i="9"/>
  <c r="V285" i="9"/>
  <c r="U285" i="9"/>
  <c r="T285" i="9"/>
  <c r="S285" i="9"/>
  <c r="R285" i="9"/>
  <c r="Q285" i="9"/>
  <c r="P285" i="9"/>
  <c r="O285" i="9"/>
  <c r="N285" i="9"/>
  <c r="L285" i="9"/>
  <c r="K285" i="9"/>
  <c r="J285" i="9"/>
  <c r="G285" i="9"/>
  <c r="H285" i="9" s="1" a="1"/>
  <c r="F285" i="9"/>
  <c r="D285" i="9"/>
  <c r="C285" i="9"/>
  <c r="E285" i="9" s="1" a="1"/>
  <c r="B285" i="9"/>
  <c r="A285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N284" i="9"/>
  <c r="L284" i="9"/>
  <c r="K284" i="9"/>
  <c r="J284" i="9"/>
  <c r="G284" i="9"/>
  <c r="I284" i="9" s="1"/>
  <c r="F284" i="9"/>
  <c r="D284" i="9"/>
  <c r="C284" i="9"/>
  <c r="E284" i="9" s="1" a="1"/>
  <c r="B284" i="9"/>
  <c r="A284" i="9"/>
  <c r="Z283" i="9"/>
  <c r="Y283" i="9"/>
  <c r="X283" i="9"/>
  <c r="W283" i="9"/>
  <c r="V283" i="9"/>
  <c r="U283" i="9"/>
  <c r="T283" i="9"/>
  <c r="S283" i="9"/>
  <c r="R283" i="9"/>
  <c r="Q283" i="9"/>
  <c r="P283" i="9"/>
  <c r="O283" i="9"/>
  <c r="N283" i="9"/>
  <c r="L283" i="9"/>
  <c r="K283" i="9"/>
  <c r="J283" i="9"/>
  <c r="G283" i="9"/>
  <c r="I283" i="9" s="1"/>
  <c r="F283" i="9"/>
  <c r="D283" i="9"/>
  <c r="C283" i="9"/>
  <c r="E283" i="9" s="1" a="1"/>
  <c r="B283" i="9"/>
  <c r="A283" i="9"/>
  <c r="Z282" i="9"/>
  <c r="Y282" i="9"/>
  <c r="X282" i="9"/>
  <c r="W282" i="9"/>
  <c r="V282" i="9"/>
  <c r="U282" i="9"/>
  <c r="T282" i="9"/>
  <c r="S282" i="9"/>
  <c r="R282" i="9"/>
  <c r="Q282" i="9"/>
  <c r="P282" i="9"/>
  <c r="O282" i="9"/>
  <c r="N282" i="9"/>
  <c r="L282" i="9"/>
  <c r="K282" i="9"/>
  <c r="J282" i="9"/>
  <c r="G282" i="9"/>
  <c r="I282" i="9" s="1"/>
  <c r="F282" i="9"/>
  <c r="D282" i="9"/>
  <c r="C282" i="9"/>
  <c r="E282" i="9" s="1" a="1"/>
  <c r="B282" i="9"/>
  <c r="A282" i="9"/>
  <c r="Z281" i="9"/>
  <c r="Y281" i="9"/>
  <c r="X281" i="9"/>
  <c r="W281" i="9"/>
  <c r="V281" i="9"/>
  <c r="U281" i="9"/>
  <c r="T281" i="9"/>
  <c r="S281" i="9"/>
  <c r="R281" i="9"/>
  <c r="Q281" i="9"/>
  <c r="P281" i="9"/>
  <c r="O281" i="9"/>
  <c r="N281" i="9"/>
  <c r="L281" i="9"/>
  <c r="K281" i="9"/>
  <c r="J281" i="9"/>
  <c r="G281" i="9"/>
  <c r="I281" i="9" s="1"/>
  <c r="F281" i="9"/>
  <c r="D281" i="9"/>
  <c r="C281" i="9"/>
  <c r="E281" i="9" s="1" a="1"/>
  <c r="B281" i="9"/>
  <c r="AC281" i="9" s="1"/>
  <c r="A281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L280" i="9"/>
  <c r="K280" i="9"/>
  <c r="J280" i="9"/>
  <c r="G280" i="9"/>
  <c r="I280" i="9" s="1"/>
  <c r="F280" i="9"/>
  <c r="D280" i="9"/>
  <c r="C280" i="9"/>
  <c r="E280" i="9" s="1" a="1"/>
  <c r="B280" i="9"/>
  <c r="A280" i="9"/>
  <c r="Z279" i="9"/>
  <c r="Y279" i="9"/>
  <c r="X279" i="9"/>
  <c r="W279" i="9"/>
  <c r="V279" i="9"/>
  <c r="U279" i="9"/>
  <c r="T279" i="9"/>
  <c r="S279" i="9"/>
  <c r="R279" i="9"/>
  <c r="Q279" i="9"/>
  <c r="P279" i="9"/>
  <c r="O279" i="9"/>
  <c r="N279" i="9"/>
  <c r="L279" i="9"/>
  <c r="K279" i="9"/>
  <c r="J279" i="9"/>
  <c r="G279" i="9"/>
  <c r="F279" i="9"/>
  <c r="D279" i="9"/>
  <c r="C279" i="9"/>
  <c r="E279" i="9" s="1" a="1"/>
  <c r="B279" i="9"/>
  <c r="A279" i="9"/>
  <c r="Z278" i="9"/>
  <c r="Y278" i="9"/>
  <c r="X278" i="9"/>
  <c r="W278" i="9"/>
  <c r="V278" i="9"/>
  <c r="U278" i="9"/>
  <c r="T278" i="9"/>
  <c r="S278" i="9"/>
  <c r="R278" i="9"/>
  <c r="Q278" i="9"/>
  <c r="P278" i="9"/>
  <c r="O278" i="9"/>
  <c r="N278" i="9"/>
  <c r="L278" i="9"/>
  <c r="K278" i="9"/>
  <c r="J278" i="9"/>
  <c r="G278" i="9"/>
  <c r="H278" i="9" s="1" a="1"/>
  <c r="F278" i="9"/>
  <c r="D278" i="9"/>
  <c r="C278" i="9"/>
  <c r="E278" i="9" s="1" a="1"/>
  <c r="B278" i="9"/>
  <c r="A278" i="9"/>
  <c r="Z277" i="9"/>
  <c r="Y277" i="9"/>
  <c r="X277" i="9"/>
  <c r="W277" i="9"/>
  <c r="V277" i="9"/>
  <c r="U277" i="9"/>
  <c r="T277" i="9"/>
  <c r="S277" i="9"/>
  <c r="R277" i="9"/>
  <c r="Q277" i="9"/>
  <c r="P277" i="9"/>
  <c r="O277" i="9"/>
  <c r="N277" i="9"/>
  <c r="L277" i="9"/>
  <c r="K277" i="9"/>
  <c r="J277" i="9"/>
  <c r="G277" i="9"/>
  <c r="I277" i="9" s="1"/>
  <c r="F277" i="9"/>
  <c r="D277" i="9"/>
  <c r="C277" i="9"/>
  <c r="E277" i="9" s="1" a="1"/>
  <c r="B277" i="9"/>
  <c r="A277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L276" i="9"/>
  <c r="K276" i="9"/>
  <c r="J276" i="9"/>
  <c r="G276" i="9"/>
  <c r="H276" i="9" s="1" a="1"/>
  <c r="F276" i="9"/>
  <c r="D276" i="9"/>
  <c r="C276" i="9"/>
  <c r="E276" i="9" s="1" a="1"/>
  <c r="B276" i="9"/>
  <c r="A276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N275" i="9"/>
  <c r="L275" i="9"/>
  <c r="K275" i="9"/>
  <c r="J275" i="9"/>
  <c r="G275" i="9"/>
  <c r="I275" i="9" s="1"/>
  <c r="F275" i="9"/>
  <c r="D275" i="9"/>
  <c r="C275" i="9"/>
  <c r="E275" i="9" s="1" a="1"/>
  <c r="B275" i="9"/>
  <c r="A275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L274" i="9"/>
  <c r="K274" i="9"/>
  <c r="J274" i="9"/>
  <c r="G274" i="9"/>
  <c r="I274" i="9" s="1"/>
  <c r="F274" i="9"/>
  <c r="D274" i="9"/>
  <c r="C274" i="9"/>
  <c r="E274" i="9" s="1" a="1"/>
  <c r="B274" i="9"/>
  <c r="A274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L273" i="9"/>
  <c r="K273" i="9"/>
  <c r="J273" i="9"/>
  <c r="G273" i="9"/>
  <c r="F273" i="9"/>
  <c r="D273" i="9"/>
  <c r="C273" i="9"/>
  <c r="E273" i="9" s="1" a="1"/>
  <c r="B273" i="9"/>
  <c r="AC273" i="9" s="1"/>
  <c r="A273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L272" i="9"/>
  <c r="K272" i="9"/>
  <c r="J272" i="9"/>
  <c r="G272" i="9"/>
  <c r="I272" i="9" s="1"/>
  <c r="F272" i="9"/>
  <c r="D272" i="9"/>
  <c r="C272" i="9"/>
  <c r="E272" i="9" s="1" a="1"/>
  <c r="B272" i="9"/>
  <c r="A272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L271" i="9"/>
  <c r="K271" i="9"/>
  <c r="J271" i="9"/>
  <c r="G271" i="9"/>
  <c r="I271" i="9" s="1"/>
  <c r="F271" i="9"/>
  <c r="D271" i="9"/>
  <c r="C271" i="9"/>
  <c r="E271" i="9" s="1" a="1"/>
  <c r="B271" i="9"/>
  <c r="A271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L270" i="9"/>
  <c r="K270" i="9"/>
  <c r="J270" i="9"/>
  <c r="G270" i="9"/>
  <c r="F270" i="9"/>
  <c r="D270" i="9"/>
  <c r="C270" i="9"/>
  <c r="E270" i="9" s="1" a="1"/>
  <c r="B270" i="9"/>
  <c r="A270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L269" i="9"/>
  <c r="K269" i="9"/>
  <c r="J269" i="9"/>
  <c r="G269" i="9"/>
  <c r="H269" i="9" s="1" a="1"/>
  <c r="F269" i="9"/>
  <c r="D269" i="9"/>
  <c r="C269" i="9"/>
  <c r="E269" i="9" s="1" a="1"/>
  <c r="B269" i="9"/>
  <c r="A269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L268" i="9"/>
  <c r="K268" i="9"/>
  <c r="J268" i="9"/>
  <c r="G268" i="9"/>
  <c r="H268" i="9" s="1" a="1"/>
  <c r="F268" i="9"/>
  <c r="D268" i="9"/>
  <c r="C268" i="9"/>
  <c r="E268" i="9" s="1" a="1"/>
  <c r="B268" i="9"/>
  <c r="A268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L267" i="9"/>
  <c r="K267" i="9"/>
  <c r="J267" i="9"/>
  <c r="G267" i="9"/>
  <c r="I267" i="9" s="1"/>
  <c r="F267" i="9"/>
  <c r="D267" i="9"/>
  <c r="C267" i="9"/>
  <c r="E267" i="9" s="1" a="1"/>
  <c r="B267" i="9"/>
  <c r="A267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L266" i="9"/>
  <c r="K266" i="9"/>
  <c r="J266" i="9"/>
  <c r="G266" i="9"/>
  <c r="F266" i="9"/>
  <c r="D266" i="9"/>
  <c r="C266" i="9"/>
  <c r="E266" i="9" s="1" a="1"/>
  <c r="B266" i="9"/>
  <c r="A266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L265" i="9"/>
  <c r="K265" i="9"/>
  <c r="J265" i="9"/>
  <c r="G265" i="9"/>
  <c r="I265" i="9" s="1"/>
  <c r="F265" i="9"/>
  <c r="D265" i="9"/>
  <c r="C265" i="9"/>
  <c r="E265" i="9" s="1" a="1"/>
  <c r="B265" i="9"/>
  <c r="A265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L264" i="9"/>
  <c r="K264" i="9"/>
  <c r="J264" i="9"/>
  <c r="G264" i="9"/>
  <c r="I264" i="9" s="1"/>
  <c r="F264" i="9"/>
  <c r="D264" i="9"/>
  <c r="C264" i="9"/>
  <c r="E264" i="9" s="1" a="1"/>
  <c r="B264" i="9"/>
  <c r="A264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L263" i="9"/>
  <c r="K263" i="9"/>
  <c r="J263" i="9"/>
  <c r="G263" i="9"/>
  <c r="I263" i="9" s="1"/>
  <c r="F263" i="9"/>
  <c r="D263" i="9"/>
  <c r="C263" i="9"/>
  <c r="E263" i="9" s="1" a="1"/>
  <c r="B263" i="9"/>
  <c r="A263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L262" i="9"/>
  <c r="K262" i="9"/>
  <c r="J262" i="9"/>
  <c r="G262" i="9"/>
  <c r="I262" i="9" s="1"/>
  <c r="F262" i="9"/>
  <c r="D262" i="9"/>
  <c r="C262" i="9"/>
  <c r="E262" i="9" s="1" a="1"/>
  <c r="B262" i="9"/>
  <c r="A262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L261" i="9"/>
  <c r="K261" i="9"/>
  <c r="J261" i="9"/>
  <c r="G261" i="9"/>
  <c r="I261" i="9" s="1"/>
  <c r="F261" i="9"/>
  <c r="D261" i="9"/>
  <c r="C261" i="9"/>
  <c r="E261" i="9" s="1" a="1"/>
  <c r="B261" i="9"/>
  <c r="A261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L260" i="9"/>
  <c r="K260" i="9"/>
  <c r="J260" i="9"/>
  <c r="G260" i="9"/>
  <c r="H260" i="9" s="1" a="1"/>
  <c r="F260" i="9"/>
  <c r="D260" i="9"/>
  <c r="C260" i="9"/>
  <c r="E260" i="9" s="1" a="1"/>
  <c r="B260" i="9"/>
  <c r="A260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L259" i="9"/>
  <c r="K259" i="9"/>
  <c r="J259" i="9"/>
  <c r="G259" i="9"/>
  <c r="F259" i="9"/>
  <c r="D259" i="9"/>
  <c r="C259" i="9"/>
  <c r="E259" i="9" s="1" a="1"/>
  <c r="B259" i="9"/>
  <c r="A259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L258" i="9"/>
  <c r="K258" i="9"/>
  <c r="J258" i="9"/>
  <c r="G258" i="9"/>
  <c r="I258" i="9" s="1"/>
  <c r="F258" i="9"/>
  <c r="D258" i="9"/>
  <c r="C258" i="9"/>
  <c r="E258" i="9" s="1" a="1"/>
  <c r="B258" i="9"/>
  <c r="A258" i="9"/>
  <c r="Z257" i="9"/>
  <c r="Y257" i="9"/>
  <c r="X257" i="9"/>
  <c r="W257" i="9"/>
  <c r="V257" i="9"/>
  <c r="U257" i="9"/>
  <c r="T257" i="9"/>
  <c r="S257" i="9"/>
  <c r="R257" i="9"/>
  <c r="Q257" i="9"/>
  <c r="P257" i="9"/>
  <c r="O257" i="9"/>
  <c r="N257" i="9"/>
  <c r="L257" i="9"/>
  <c r="K257" i="9"/>
  <c r="J257" i="9"/>
  <c r="G257" i="9"/>
  <c r="I257" i="9" s="1"/>
  <c r="F257" i="9"/>
  <c r="D257" i="9"/>
  <c r="C257" i="9"/>
  <c r="E257" i="9" s="1" a="1"/>
  <c r="B257" i="9"/>
  <c r="A257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N256" i="9"/>
  <c r="L256" i="9"/>
  <c r="K256" i="9"/>
  <c r="J256" i="9"/>
  <c r="G256" i="9"/>
  <c r="H256" i="9" s="1" a="1"/>
  <c r="F256" i="9"/>
  <c r="D256" i="9"/>
  <c r="C256" i="9"/>
  <c r="E256" i="9" s="1" a="1"/>
  <c r="B256" i="9"/>
  <c r="AC256" i="9" s="1"/>
  <c r="A256" i="9"/>
  <c r="Z255" i="9"/>
  <c r="Y255" i="9"/>
  <c r="X255" i="9"/>
  <c r="W255" i="9"/>
  <c r="V255" i="9"/>
  <c r="U255" i="9"/>
  <c r="T255" i="9"/>
  <c r="S255" i="9"/>
  <c r="R255" i="9"/>
  <c r="Q255" i="9"/>
  <c r="P255" i="9"/>
  <c r="O255" i="9"/>
  <c r="N255" i="9"/>
  <c r="L255" i="9"/>
  <c r="K255" i="9"/>
  <c r="J255" i="9"/>
  <c r="G255" i="9"/>
  <c r="F255" i="9"/>
  <c r="D255" i="9"/>
  <c r="C255" i="9"/>
  <c r="E255" i="9" s="1" a="1"/>
  <c r="B255" i="9"/>
  <c r="A255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N254" i="9"/>
  <c r="L254" i="9"/>
  <c r="K254" i="9"/>
  <c r="J254" i="9"/>
  <c r="G254" i="9"/>
  <c r="I254" i="9" s="1"/>
  <c r="F254" i="9"/>
  <c r="D254" i="9"/>
  <c r="C254" i="9"/>
  <c r="E254" i="9" s="1" a="1"/>
  <c r="B254" i="9"/>
  <c r="A254" i="9"/>
  <c r="Z253" i="9"/>
  <c r="Y253" i="9"/>
  <c r="X253" i="9"/>
  <c r="W253" i="9"/>
  <c r="V253" i="9"/>
  <c r="U253" i="9"/>
  <c r="T253" i="9"/>
  <c r="S253" i="9"/>
  <c r="R253" i="9"/>
  <c r="Q253" i="9"/>
  <c r="P253" i="9"/>
  <c r="O253" i="9"/>
  <c r="N253" i="9"/>
  <c r="L253" i="9"/>
  <c r="K253" i="9"/>
  <c r="J253" i="9"/>
  <c r="G253" i="9"/>
  <c r="I253" i="9" s="1"/>
  <c r="F253" i="9"/>
  <c r="D253" i="9"/>
  <c r="C253" i="9"/>
  <c r="E253" i="9" s="1" a="1"/>
  <c r="B253" i="9"/>
  <c r="A253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L252" i="9"/>
  <c r="K252" i="9"/>
  <c r="J252" i="9"/>
  <c r="G252" i="9"/>
  <c r="I252" i="9" s="1"/>
  <c r="F252" i="9"/>
  <c r="D252" i="9"/>
  <c r="C252" i="9"/>
  <c r="E252" i="9" s="1" a="1"/>
  <c r="B252" i="9"/>
  <c r="AC252" i="9" s="1"/>
  <c r="A252" i="9"/>
  <c r="Z251" i="9"/>
  <c r="Y251" i="9"/>
  <c r="X251" i="9"/>
  <c r="W251" i="9"/>
  <c r="V251" i="9"/>
  <c r="U251" i="9"/>
  <c r="T251" i="9"/>
  <c r="S251" i="9"/>
  <c r="R251" i="9"/>
  <c r="Q251" i="9"/>
  <c r="P251" i="9"/>
  <c r="O251" i="9"/>
  <c r="N251" i="9"/>
  <c r="L251" i="9"/>
  <c r="K251" i="9"/>
  <c r="J251" i="9"/>
  <c r="G251" i="9"/>
  <c r="I251" i="9" s="1"/>
  <c r="F251" i="9"/>
  <c r="D251" i="9"/>
  <c r="C251" i="9"/>
  <c r="E251" i="9" s="1" a="1"/>
  <c r="B251" i="9"/>
  <c r="A251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L250" i="9"/>
  <c r="K250" i="9"/>
  <c r="J250" i="9"/>
  <c r="G250" i="9"/>
  <c r="H250" i="9" s="1" a="1"/>
  <c r="F250" i="9"/>
  <c r="D250" i="9"/>
  <c r="C250" i="9"/>
  <c r="E250" i="9" s="1" a="1"/>
  <c r="B250" i="9"/>
  <c r="AC250" i="9" s="1"/>
  <c r="A250" i="9"/>
  <c r="Z249" i="9"/>
  <c r="Y249" i="9"/>
  <c r="X249" i="9"/>
  <c r="W249" i="9"/>
  <c r="V249" i="9"/>
  <c r="U249" i="9"/>
  <c r="T249" i="9"/>
  <c r="S249" i="9"/>
  <c r="R249" i="9"/>
  <c r="Q249" i="9"/>
  <c r="P249" i="9"/>
  <c r="O249" i="9"/>
  <c r="N249" i="9"/>
  <c r="L249" i="9"/>
  <c r="K249" i="9"/>
  <c r="J249" i="9"/>
  <c r="G249" i="9"/>
  <c r="I249" i="9" s="1"/>
  <c r="F249" i="9"/>
  <c r="D249" i="9"/>
  <c r="C249" i="9"/>
  <c r="E249" i="9" s="1" a="1"/>
  <c r="B249" i="9"/>
  <c r="A249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L248" i="9"/>
  <c r="K248" i="9"/>
  <c r="J248" i="9"/>
  <c r="G248" i="9"/>
  <c r="H248" i="9" s="1" a="1"/>
  <c r="F248" i="9"/>
  <c r="D248" i="9"/>
  <c r="C248" i="9"/>
  <c r="E248" i="9" s="1" a="1"/>
  <c r="B248" i="9"/>
  <c r="AC248" i="9" s="1"/>
  <c r="A248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L247" i="9"/>
  <c r="K247" i="9"/>
  <c r="J247" i="9"/>
  <c r="G247" i="9"/>
  <c r="I247" i="9" s="1"/>
  <c r="F247" i="9"/>
  <c r="D247" i="9"/>
  <c r="C247" i="9"/>
  <c r="E247" i="9" s="1" a="1"/>
  <c r="B247" i="9"/>
  <c r="A247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N246" i="9"/>
  <c r="L246" i="9"/>
  <c r="K246" i="9"/>
  <c r="J246" i="9"/>
  <c r="G246" i="9"/>
  <c r="F246" i="9"/>
  <c r="D246" i="9"/>
  <c r="C246" i="9"/>
  <c r="E246" i="9" s="1" a="1"/>
  <c r="B246" i="9"/>
  <c r="AC246" i="9" s="1"/>
  <c r="A246" i="9"/>
  <c r="Z245" i="9"/>
  <c r="Y245" i="9"/>
  <c r="X245" i="9"/>
  <c r="W245" i="9"/>
  <c r="V245" i="9"/>
  <c r="U245" i="9"/>
  <c r="T245" i="9"/>
  <c r="S245" i="9"/>
  <c r="R245" i="9"/>
  <c r="Q245" i="9"/>
  <c r="P245" i="9"/>
  <c r="O245" i="9"/>
  <c r="N245" i="9"/>
  <c r="L245" i="9"/>
  <c r="K245" i="9"/>
  <c r="J245" i="9"/>
  <c r="G245" i="9"/>
  <c r="H245" i="9" s="1" a="1"/>
  <c r="F245" i="9"/>
  <c r="D245" i="9"/>
  <c r="C245" i="9"/>
  <c r="E245" i="9" s="1" a="1"/>
  <c r="B245" i="9"/>
  <c r="A245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L244" i="9"/>
  <c r="K244" i="9"/>
  <c r="J244" i="9"/>
  <c r="G244" i="9"/>
  <c r="I244" i="9" s="1"/>
  <c r="F244" i="9"/>
  <c r="D244" i="9"/>
  <c r="C244" i="9"/>
  <c r="E244" i="9" s="1" a="1"/>
  <c r="B244" i="9"/>
  <c r="AC244" i="9" s="1"/>
  <c r="A244" i="9"/>
  <c r="Z243" i="9"/>
  <c r="Y243" i="9"/>
  <c r="X243" i="9"/>
  <c r="W243" i="9"/>
  <c r="V243" i="9"/>
  <c r="U243" i="9"/>
  <c r="T243" i="9"/>
  <c r="S243" i="9"/>
  <c r="R243" i="9"/>
  <c r="Q243" i="9"/>
  <c r="P243" i="9"/>
  <c r="O243" i="9"/>
  <c r="N243" i="9"/>
  <c r="L243" i="9"/>
  <c r="K243" i="9"/>
  <c r="J243" i="9"/>
  <c r="G243" i="9"/>
  <c r="I243" i="9" s="1"/>
  <c r="F243" i="9"/>
  <c r="D243" i="9"/>
  <c r="C243" i="9"/>
  <c r="E243" i="9" s="1" a="1"/>
  <c r="B243" i="9"/>
  <c r="A243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N242" i="9"/>
  <c r="L242" i="9"/>
  <c r="K242" i="9"/>
  <c r="J242" i="9"/>
  <c r="G242" i="9"/>
  <c r="H242" i="9" s="1" a="1"/>
  <c r="F242" i="9"/>
  <c r="D242" i="9"/>
  <c r="C242" i="9"/>
  <c r="E242" i="9" s="1" a="1"/>
  <c r="B242" i="9"/>
  <c r="AC242" i="9" s="1"/>
  <c r="A242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N241" i="9"/>
  <c r="L241" i="9"/>
  <c r="K241" i="9"/>
  <c r="J241" i="9"/>
  <c r="G241" i="9"/>
  <c r="H241" i="9" s="1" a="1"/>
  <c r="F241" i="9"/>
  <c r="D241" i="9"/>
  <c r="C241" i="9"/>
  <c r="E241" i="9" s="1" a="1"/>
  <c r="B241" i="9"/>
  <c r="A241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L240" i="9"/>
  <c r="K240" i="9"/>
  <c r="J240" i="9"/>
  <c r="G240" i="9"/>
  <c r="I240" i="9" s="1"/>
  <c r="F240" i="9"/>
  <c r="D240" i="9"/>
  <c r="C240" i="9"/>
  <c r="E240" i="9" s="1" a="1"/>
  <c r="B240" i="9"/>
  <c r="AC240" i="9" s="1"/>
  <c r="A240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L239" i="9"/>
  <c r="K239" i="9"/>
  <c r="J239" i="9"/>
  <c r="G239" i="9"/>
  <c r="I239" i="9" s="1"/>
  <c r="F239" i="9"/>
  <c r="D239" i="9"/>
  <c r="C239" i="9"/>
  <c r="E239" i="9" s="1" a="1"/>
  <c r="B239" i="9"/>
  <c r="A239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L238" i="9"/>
  <c r="K238" i="9"/>
  <c r="J238" i="9"/>
  <c r="G238" i="9"/>
  <c r="I238" i="9" s="1"/>
  <c r="F238" i="9"/>
  <c r="D238" i="9"/>
  <c r="C238" i="9"/>
  <c r="E238" i="9" s="1" a="1"/>
  <c r="B238" i="9"/>
  <c r="A238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L237" i="9"/>
  <c r="K237" i="9"/>
  <c r="J237" i="9"/>
  <c r="G237" i="9"/>
  <c r="I237" i="9" s="1"/>
  <c r="F237" i="9"/>
  <c r="D237" i="9"/>
  <c r="C237" i="9"/>
  <c r="E237" i="9" s="1" a="1"/>
  <c r="B237" i="9"/>
  <c r="A237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L236" i="9"/>
  <c r="K236" i="9"/>
  <c r="J236" i="9"/>
  <c r="G236" i="9"/>
  <c r="H236" i="9" s="1" a="1"/>
  <c r="F236" i="9"/>
  <c r="D236" i="9"/>
  <c r="C236" i="9"/>
  <c r="E236" i="9" s="1" a="1"/>
  <c r="B236" i="9"/>
  <c r="A236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L235" i="9"/>
  <c r="K235" i="9"/>
  <c r="J235" i="9"/>
  <c r="G235" i="9"/>
  <c r="F235" i="9"/>
  <c r="D235" i="9"/>
  <c r="C235" i="9"/>
  <c r="E235" i="9" s="1" a="1"/>
  <c r="B235" i="9"/>
  <c r="A235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L234" i="9"/>
  <c r="K234" i="9"/>
  <c r="J234" i="9"/>
  <c r="G234" i="9"/>
  <c r="H234" i="9" s="1" a="1"/>
  <c r="F234" i="9"/>
  <c r="D234" i="9"/>
  <c r="C234" i="9"/>
  <c r="E234" i="9" s="1" a="1"/>
  <c r="B234" i="9"/>
  <c r="AC234" i="9" s="1"/>
  <c r="A234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L233" i="9"/>
  <c r="K233" i="9"/>
  <c r="J233" i="9"/>
  <c r="G233" i="9"/>
  <c r="I233" i="9" s="1"/>
  <c r="F233" i="9"/>
  <c r="D233" i="9"/>
  <c r="C233" i="9"/>
  <c r="E233" i="9" s="1" a="1"/>
  <c r="B233" i="9"/>
  <c r="A233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L232" i="9"/>
  <c r="K232" i="9"/>
  <c r="J232" i="9"/>
  <c r="G232" i="9"/>
  <c r="I232" i="9" s="1"/>
  <c r="F232" i="9"/>
  <c r="D232" i="9"/>
  <c r="C232" i="9"/>
  <c r="E232" i="9" s="1" a="1"/>
  <c r="B232" i="9"/>
  <c r="A232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L231" i="9"/>
  <c r="K231" i="9"/>
  <c r="J231" i="9"/>
  <c r="G231" i="9"/>
  <c r="I231" i="9" s="1"/>
  <c r="F231" i="9"/>
  <c r="D231" i="9"/>
  <c r="C231" i="9"/>
  <c r="E231" i="9" s="1" a="1"/>
  <c r="B231" i="9"/>
  <c r="A231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N230" i="9"/>
  <c r="L230" i="9"/>
  <c r="K230" i="9"/>
  <c r="J230" i="9"/>
  <c r="G230" i="9"/>
  <c r="I230" i="9" s="1"/>
  <c r="F230" i="9"/>
  <c r="D230" i="9"/>
  <c r="C230" i="9"/>
  <c r="E230" i="9" s="1" a="1"/>
  <c r="B230" i="9"/>
  <c r="A230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N229" i="9"/>
  <c r="L229" i="9"/>
  <c r="K229" i="9"/>
  <c r="J229" i="9"/>
  <c r="G229" i="9"/>
  <c r="H229" i="9" s="1" a="1"/>
  <c r="F229" i="9"/>
  <c r="D229" i="9"/>
  <c r="C229" i="9"/>
  <c r="E229" i="9" s="1" a="1"/>
  <c r="B229" i="9"/>
  <c r="A229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L228" i="9"/>
  <c r="K228" i="9"/>
  <c r="J228" i="9"/>
  <c r="G228" i="9"/>
  <c r="I228" i="9" s="1"/>
  <c r="F228" i="9"/>
  <c r="D228" i="9"/>
  <c r="C228" i="9"/>
  <c r="E228" i="9" s="1" a="1"/>
  <c r="B228" i="9"/>
  <c r="A228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L227" i="9"/>
  <c r="K227" i="9"/>
  <c r="J227" i="9"/>
  <c r="G227" i="9"/>
  <c r="I227" i="9" s="1"/>
  <c r="F227" i="9"/>
  <c r="D227" i="9"/>
  <c r="C227" i="9"/>
  <c r="E227" i="9" s="1" a="1"/>
  <c r="B227" i="9"/>
  <c r="AC227" i="9" s="1"/>
  <c r="A227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L226" i="9"/>
  <c r="K226" i="9"/>
  <c r="J226" i="9"/>
  <c r="G226" i="9"/>
  <c r="H226" i="9" s="1" a="1"/>
  <c r="F226" i="9"/>
  <c r="D226" i="9"/>
  <c r="C226" i="9"/>
  <c r="E226" i="9" s="1" a="1"/>
  <c r="B226" i="9"/>
  <c r="A226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L225" i="9"/>
  <c r="K225" i="9"/>
  <c r="J225" i="9"/>
  <c r="G225" i="9"/>
  <c r="I225" i="9" s="1"/>
  <c r="F225" i="9"/>
  <c r="D225" i="9"/>
  <c r="C225" i="9"/>
  <c r="E225" i="9" s="1" a="1"/>
  <c r="B225" i="9"/>
  <c r="AC225" i="9" s="1"/>
  <c r="A225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L224" i="9"/>
  <c r="K224" i="9"/>
  <c r="J224" i="9"/>
  <c r="G224" i="9"/>
  <c r="H224" i="9" s="1" a="1"/>
  <c r="F224" i="9"/>
  <c r="D224" i="9"/>
  <c r="C224" i="9"/>
  <c r="E224" i="9" s="1" a="1"/>
  <c r="B224" i="9"/>
  <c r="A224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L223" i="9"/>
  <c r="K223" i="9"/>
  <c r="J223" i="9"/>
  <c r="G223" i="9"/>
  <c r="F223" i="9"/>
  <c r="D223" i="9"/>
  <c r="C223" i="9"/>
  <c r="E223" i="9" s="1" a="1"/>
  <c r="B223" i="9"/>
  <c r="A223" i="9"/>
  <c r="Z222" i="9"/>
  <c r="Y222" i="9"/>
  <c r="X222" i="9"/>
  <c r="W222" i="9"/>
  <c r="V222" i="9"/>
  <c r="U222" i="9"/>
  <c r="T222" i="9"/>
  <c r="S222" i="9"/>
  <c r="R222" i="9"/>
  <c r="Q222" i="9"/>
  <c r="P222" i="9"/>
  <c r="O222" i="9"/>
  <c r="N222" i="9"/>
  <c r="L222" i="9"/>
  <c r="K222" i="9"/>
  <c r="J222" i="9"/>
  <c r="G222" i="9"/>
  <c r="I222" i="9" s="1"/>
  <c r="F222" i="9"/>
  <c r="D222" i="9"/>
  <c r="C222" i="9"/>
  <c r="B222" i="9"/>
  <c r="A222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L221" i="9"/>
  <c r="K221" i="9"/>
  <c r="J221" i="9"/>
  <c r="G221" i="9"/>
  <c r="I221" i="9" s="1"/>
  <c r="F221" i="9"/>
  <c r="D221" i="9"/>
  <c r="C221" i="9"/>
  <c r="E221" i="9" s="1" a="1"/>
  <c r="B221" i="9"/>
  <c r="A221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L220" i="9"/>
  <c r="K220" i="9"/>
  <c r="J220" i="9"/>
  <c r="G220" i="9"/>
  <c r="I220" i="9" s="1"/>
  <c r="F220" i="9"/>
  <c r="D220" i="9"/>
  <c r="C220" i="9"/>
  <c r="E220" i="9" s="1" a="1"/>
  <c r="B220" i="9"/>
  <c r="A220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L219" i="9"/>
  <c r="K219" i="9"/>
  <c r="J219" i="9"/>
  <c r="F219" i="9"/>
  <c r="D219" i="9"/>
  <c r="C219" i="9"/>
  <c r="E219" i="9" s="1" a="1"/>
  <c r="B219" i="9"/>
  <c r="A219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L218" i="9"/>
  <c r="K218" i="9"/>
  <c r="J218" i="9"/>
  <c r="G218" i="9"/>
  <c r="I218" i="9" s="1"/>
  <c r="F218" i="9"/>
  <c r="D218" i="9"/>
  <c r="C218" i="9"/>
  <c r="E218" i="9" s="1" a="1"/>
  <c r="B218" i="9"/>
  <c r="A218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L217" i="9"/>
  <c r="K217" i="9"/>
  <c r="J217" i="9"/>
  <c r="G217" i="9"/>
  <c r="H217" i="9" s="1" a="1"/>
  <c r="F217" i="9"/>
  <c r="D217" i="9"/>
  <c r="C217" i="9"/>
  <c r="E217" i="9" s="1" a="1"/>
  <c r="B217" i="9"/>
  <c r="A217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L216" i="9"/>
  <c r="K216" i="9"/>
  <c r="J216" i="9"/>
  <c r="G216" i="9"/>
  <c r="I216" i="9" s="1"/>
  <c r="F216" i="9"/>
  <c r="D216" i="9"/>
  <c r="C216" i="9"/>
  <c r="E216" i="9" s="1" a="1"/>
  <c r="B216" i="9"/>
  <c r="A216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L215" i="9"/>
  <c r="K215" i="9"/>
  <c r="J215" i="9"/>
  <c r="G215" i="9"/>
  <c r="I215" i="9" s="1"/>
  <c r="F215" i="9"/>
  <c r="D215" i="9"/>
  <c r="C215" i="9"/>
  <c r="E215" i="9" s="1" a="1"/>
  <c r="B215" i="9"/>
  <c r="A215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L214" i="9"/>
  <c r="K214" i="9"/>
  <c r="J214" i="9"/>
  <c r="G214" i="9"/>
  <c r="I214" i="9" s="1"/>
  <c r="F214" i="9"/>
  <c r="D214" i="9"/>
  <c r="C214" i="9"/>
  <c r="E214" i="9" s="1" a="1"/>
  <c r="B214" i="9"/>
  <c r="A214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L213" i="9"/>
  <c r="K213" i="9"/>
  <c r="J213" i="9"/>
  <c r="G213" i="9"/>
  <c r="H213" i="9" s="1" a="1"/>
  <c r="F213" i="9"/>
  <c r="D213" i="9"/>
  <c r="C213" i="9"/>
  <c r="E213" i="9" s="1" a="1"/>
  <c r="B213" i="9"/>
  <c r="A213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L212" i="9"/>
  <c r="K212" i="9"/>
  <c r="J212" i="9"/>
  <c r="G212" i="9"/>
  <c r="I212" i="9" s="1"/>
  <c r="F212" i="9"/>
  <c r="D212" i="9"/>
  <c r="C212" i="9"/>
  <c r="E212" i="9" s="1" a="1"/>
  <c r="B212" i="9"/>
  <c r="A212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L211" i="9"/>
  <c r="K211" i="9"/>
  <c r="J211" i="9"/>
  <c r="G211" i="9"/>
  <c r="I211" i="9" s="1"/>
  <c r="F211" i="9"/>
  <c r="D211" i="9"/>
  <c r="C211" i="9"/>
  <c r="E211" i="9" s="1" a="1"/>
  <c r="B211" i="9"/>
  <c r="A211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L210" i="9"/>
  <c r="K210" i="9"/>
  <c r="J210" i="9"/>
  <c r="G210" i="9"/>
  <c r="I210" i="9" s="1"/>
  <c r="F210" i="9"/>
  <c r="D210" i="9"/>
  <c r="C210" i="9"/>
  <c r="E210" i="9" s="1" a="1"/>
  <c r="B210" i="9"/>
  <c r="A210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L209" i="9"/>
  <c r="K209" i="9"/>
  <c r="J209" i="9"/>
  <c r="G209" i="9"/>
  <c r="H209" i="9" s="1" a="1"/>
  <c r="F209" i="9"/>
  <c r="D209" i="9"/>
  <c r="C209" i="9"/>
  <c r="E209" i="9" s="1" a="1"/>
  <c r="B209" i="9"/>
  <c r="A209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L208" i="9"/>
  <c r="K208" i="9"/>
  <c r="J208" i="9"/>
  <c r="G208" i="9"/>
  <c r="I208" i="9" s="1"/>
  <c r="F208" i="9"/>
  <c r="D208" i="9"/>
  <c r="C208" i="9"/>
  <c r="E208" i="9" s="1" a="1"/>
  <c r="B208" i="9"/>
  <c r="A208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L207" i="9"/>
  <c r="K207" i="9"/>
  <c r="J207" i="9"/>
  <c r="G207" i="9"/>
  <c r="I207" i="9" s="1"/>
  <c r="F207" i="9"/>
  <c r="D207" i="9"/>
  <c r="C207" i="9"/>
  <c r="E207" i="9" s="1" a="1"/>
  <c r="B207" i="9"/>
  <c r="A207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L206" i="9"/>
  <c r="K206" i="9"/>
  <c r="J206" i="9"/>
  <c r="G206" i="9"/>
  <c r="I206" i="9" s="1"/>
  <c r="F206" i="9"/>
  <c r="D206" i="9"/>
  <c r="C206" i="9"/>
  <c r="E206" i="9" s="1" a="1"/>
  <c r="B206" i="9"/>
  <c r="AC206" i="9" s="1"/>
  <c r="A206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L205" i="9"/>
  <c r="K205" i="9"/>
  <c r="J205" i="9"/>
  <c r="G205" i="9"/>
  <c r="H205" i="9" s="1" a="1"/>
  <c r="F205" i="9"/>
  <c r="D205" i="9"/>
  <c r="C205" i="9"/>
  <c r="E205" i="9" s="1" a="1"/>
  <c r="B205" i="9"/>
  <c r="A205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L204" i="9"/>
  <c r="K204" i="9"/>
  <c r="J204" i="9"/>
  <c r="G204" i="9"/>
  <c r="H204" i="9" s="1" a="1"/>
  <c r="F204" i="9"/>
  <c r="D204" i="9"/>
  <c r="C204" i="9"/>
  <c r="E204" i="9" s="1" a="1"/>
  <c r="B204" i="9"/>
  <c r="A204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L203" i="9"/>
  <c r="K203" i="9"/>
  <c r="J203" i="9"/>
  <c r="G203" i="9"/>
  <c r="I203" i="9" s="1"/>
  <c r="F203" i="9"/>
  <c r="D203" i="9"/>
  <c r="C203" i="9"/>
  <c r="E203" i="9" s="1" a="1"/>
  <c r="B203" i="9"/>
  <c r="A203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L202" i="9"/>
  <c r="K202" i="9"/>
  <c r="J202" i="9"/>
  <c r="G202" i="9"/>
  <c r="F202" i="9"/>
  <c r="D202" i="9"/>
  <c r="C202" i="9"/>
  <c r="E202" i="9" s="1" a="1"/>
  <c r="B202" i="9"/>
  <c r="A202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L201" i="9"/>
  <c r="K201" i="9"/>
  <c r="J201" i="9"/>
  <c r="G201" i="9"/>
  <c r="H201" i="9" s="1" a="1"/>
  <c r="F201" i="9"/>
  <c r="D201" i="9"/>
  <c r="C201" i="9"/>
  <c r="E201" i="9" s="1" a="1"/>
  <c r="B201" i="9"/>
  <c r="A201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L200" i="9"/>
  <c r="K200" i="9"/>
  <c r="J200" i="9"/>
  <c r="G200" i="9"/>
  <c r="I200" i="9" s="1"/>
  <c r="F200" i="9"/>
  <c r="D200" i="9"/>
  <c r="C200" i="9"/>
  <c r="E200" i="9" s="1" a="1"/>
  <c r="B200" i="9"/>
  <c r="A200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L199" i="9"/>
  <c r="K199" i="9"/>
  <c r="J199" i="9"/>
  <c r="G199" i="9"/>
  <c r="I199" i="9" s="1"/>
  <c r="F199" i="9"/>
  <c r="D199" i="9"/>
  <c r="C199" i="9"/>
  <c r="E199" i="9" s="1" a="1"/>
  <c r="B199" i="9"/>
  <c r="A199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L198" i="9"/>
  <c r="K198" i="9"/>
  <c r="J198" i="9"/>
  <c r="G198" i="9"/>
  <c r="I198" i="9" s="1"/>
  <c r="F198" i="9"/>
  <c r="D198" i="9"/>
  <c r="C198" i="9"/>
  <c r="E198" i="9" s="1" a="1"/>
  <c r="B198" i="9"/>
  <c r="A198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L197" i="9"/>
  <c r="K197" i="9"/>
  <c r="J197" i="9"/>
  <c r="G197" i="9"/>
  <c r="F197" i="9"/>
  <c r="D197" i="9"/>
  <c r="C197" i="9"/>
  <c r="E197" i="9" s="1" a="1"/>
  <c r="B197" i="9"/>
  <c r="A197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L196" i="9"/>
  <c r="K196" i="9"/>
  <c r="J196" i="9"/>
  <c r="G196" i="9"/>
  <c r="H196" i="9" s="1" a="1"/>
  <c r="F196" i="9"/>
  <c r="D196" i="9"/>
  <c r="C196" i="9"/>
  <c r="E196" i="9" s="1" a="1"/>
  <c r="B196" i="9"/>
  <c r="A196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L195" i="9"/>
  <c r="K195" i="9"/>
  <c r="J195" i="9"/>
  <c r="G195" i="9"/>
  <c r="I195" i="9" s="1"/>
  <c r="F195" i="9"/>
  <c r="D195" i="9"/>
  <c r="C195" i="9"/>
  <c r="E195" i="9" s="1" a="1"/>
  <c r="B195" i="9"/>
  <c r="AC195" i="9" s="1"/>
  <c r="A195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L194" i="9"/>
  <c r="K194" i="9"/>
  <c r="J194" i="9"/>
  <c r="G194" i="9"/>
  <c r="I194" i="9" s="1"/>
  <c r="F194" i="9"/>
  <c r="D194" i="9"/>
  <c r="C194" i="9"/>
  <c r="E194" i="9" s="1" a="1"/>
  <c r="B194" i="9"/>
  <c r="A194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L193" i="9"/>
  <c r="K193" i="9"/>
  <c r="J193" i="9"/>
  <c r="G193" i="9"/>
  <c r="H193" i="9" s="1" a="1"/>
  <c r="F193" i="9"/>
  <c r="D193" i="9"/>
  <c r="C193" i="9"/>
  <c r="E193" i="9" s="1" a="1"/>
  <c r="B193" i="9"/>
  <c r="A193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L192" i="9"/>
  <c r="K192" i="9"/>
  <c r="J192" i="9"/>
  <c r="G192" i="9"/>
  <c r="I192" i="9" s="1"/>
  <c r="F192" i="9"/>
  <c r="D192" i="9"/>
  <c r="C192" i="9"/>
  <c r="E192" i="9" s="1" a="1"/>
  <c r="B192" i="9"/>
  <c r="AC192" i="9" s="1"/>
  <c r="A192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L191" i="9"/>
  <c r="K191" i="9"/>
  <c r="J191" i="9"/>
  <c r="G191" i="9"/>
  <c r="I191" i="9" s="1"/>
  <c r="F191" i="9"/>
  <c r="D191" i="9"/>
  <c r="C191" i="9"/>
  <c r="E191" i="9" s="1" a="1"/>
  <c r="B191" i="9"/>
  <c r="A191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L190" i="9"/>
  <c r="K190" i="9"/>
  <c r="J190" i="9"/>
  <c r="G190" i="9"/>
  <c r="I190" i="9" s="1"/>
  <c r="F190" i="9"/>
  <c r="D190" i="9"/>
  <c r="C190" i="9"/>
  <c r="E190" i="9" s="1" a="1"/>
  <c r="B190" i="9"/>
  <c r="AC190" i="9" s="1"/>
  <c r="A190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L189" i="9"/>
  <c r="K189" i="9"/>
  <c r="J189" i="9"/>
  <c r="G189" i="9"/>
  <c r="H189" i="9" s="1" a="1"/>
  <c r="F189" i="9"/>
  <c r="D189" i="9"/>
  <c r="C189" i="9"/>
  <c r="E189" i="9" s="1" a="1"/>
  <c r="B189" i="9"/>
  <c r="A189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L188" i="9"/>
  <c r="K188" i="9"/>
  <c r="J188" i="9"/>
  <c r="G188" i="9"/>
  <c r="I188" i="9" s="1"/>
  <c r="F188" i="9"/>
  <c r="D188" i="9"/>
  <c r="C188" i="9"/>
  <c r="E188" i="9" s="1" a="1"/>
  <c r="B188" i="9"/>
  <c r="AC188" i="9" s="1"/>
  <c r="A188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L187" i="9"/>
  <c r="K187" i="9"/>
  <c r="J187" i="9"/>
  <c r="G187" i="9"/>
  <c r="I187" i="9" s="1"/>
  <c r="F187" i="9"/>
  <c r="D187" i="9"/>
  <c r="C187" i="9"/>
  <c r="E187" i="9" s="1" a="1"/>
  <c r="B187" i="9"/>
  <c r="A187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L186" i="9"/>
  <c r="K186" i="9"/>
  <c r="J186" i="9"/>
  <c r="G186" i="9"/>
  <c r="I186" i="9" s="1"/>
  <c r="F186" i="9"/>
  <c r="D186" i="9"/>
  <c r="C186" i="9"/>
  <c r="E186" i="9" s="1" a="1"/>
  <c r="B186" i="9"/>
  <c r="A186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L185" i="9"/>
  <c r="K185" i="9"/>
  <c r="J185" i="9"/>
  <c r="G185" i="9"/>
  <c r="H185" i="9" s="1" a="1"/>
  <c r="F185" i="9"/>
  <c r="D185" i="9"/>
  <c r="C185" i="9"/>
  <c r="E185" i="9" s="1" a="1"/>
  <c r="B185" i="9"/>
  <c r="A185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L184" i="9"/>
  <c r="K184" i="9"/>
  <c r="J184" i="9"/>
  <c r="G184" i="9"/>
  <c r="I184" i="9" s="1"/>
  <c r="F184" i="9"/>
  <c r="D184" i="9"/>
  <c r="C184" i="9"/>
  <c r="E184" i="9" s="1" a="1"/>
  <c r="B184" i="9"/>
  <c r="A184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L183" i="9"/>
  <c r="K183" i="9"/>
  <c r="J183" i="9"/>
  <c r="G183" i="9"/>
  <c r="H183" i="9" s="1" a="1"/>
  <c r="F183" i="9"/>
  <c r="D183" i="9"/>
  <c r="C183" i="9"/>
  <c r="E183" i="9" s="1" a="1"/>
  <c r="B183" i="9"/>
  <c r="A183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L182" i="9"/>
  <c r="K182" i="9"/>
  <c r="J182" i="9"/>
  <c r="G182" i="9"/>
  <c r="I182" i="9" s="1"/>
  <c r="F182" i="9"/>
  <c r="D182" i="9"/>
  <c r="C182" i="9"/>
  <c r="E182" i="9" s="1" a="1"/>
  <c r="B182" i="9"/>
  <c r="A182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L181" i="9"/>
  <c r="K181" i="9"/>
  <c r="J181" i="9"/>
  <c r="G181" i="9"/>
  <c r="H181" i="9" s="1" a="1"/>
  <c r="F181" i="9"/>
  <c r="D181" i="9"/>
  <c r="C181" i="9"/>
  <c r="E181" i="9" s="1" a="1"/>
  <c r="B181" i="9"/>
  <c r="A181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L180" i="9"/>
  <c r="K180" i="9"/>
  <c r="J180" i="9"/>
  <c r="G180" i="9"/>
  <c r="H180" i="9" s="1" a="1"/>
  <c r="F180" i="9"/>
  <c r="D180" i="9"/>
  <c r="C180" i="9"/>
  <c r="E180" i="9" s="1" a="1"/>
  <c r="B180" i="9"/>
  <c r="A180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L179" i="9"/>
  <c r="K179" i="9"/>
  <c r="J179" i="9"/>
  <c r="G179" i="9"/>
  <c r="H179" i="9" s="1" a="1"/>
  <c r="F179" i="9"/>
  <c r="D179" i="9"/>
  <c r="C179" i="9"/>
  <c r="E179" i="9" s="1" a="1"/>
  <c r="B179" i="9"/>
  <c r="A179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L178" i="9"/>
  <c r="K178" i="9"/>
  <c r="J178" i="9"/>
  <c r="G178" i="9"/>
  <c r="F178" i="9"/>
  <c r="D178" i="9"/>
  <c r="C178" i="9"/>
  <c r="E178" i="9" s="1" a="1"/>
  <c r="B178" i="9"/>
  <c r="A178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L177" i="9"/>
  <c r="K177" i="9"/>
  <c r="J177" i="9"/>
  <c r="G177" i="9"/>
  <c r="H177" i="9" s="1" a="1"/>
  <c r="F177" i="9"/>
  <c r="D177" i="9"/>
  <c r="C177" i="9"/>
  <c r="E177" i="9" s="1" a="1"/>
  <c r="B177" i="9"/>
  <c r="AC177" i="9" s="1"/>
  <c r="A177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L176" i="9"/>
  <c r="K176" i="9"/>
  <c r="J176" i="9"/>
  <c r="G176" i="9"/>
  <c r="I176" i="9" s="1"/>
  <c r="F176" i="9"/>
  <c r="D176" i="9"/>
  <c r="C176" i="9"/>
  <c r="E176" i="9" s="1" a="1"/>
  <c r="B176" i="9"/>
  <c r="A176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L175" i="9"/>
  <c r="K175" i="9"/>
  <c r="J175" i="9"/>
  <c r="G175" i="9"/>
  <c r="H175" i="9" s="1" a="1"/>
  <c r="F175" i="9"/>
  <c r="D175" i="9"/>
  <c r="C175" i="9"/>
  <c r="E175" i="9" s="1" a="1"/>
  <c r="B175" i="9"/>
  <c r="A175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L174" i="9"/>
  <c r="K174" i="9"/>
  <c r="J174" i="9"/>
  <c r="G174" i="9"/>
  <c r="I174" i="9" s="1"/>
  <c r="F174" i="9"/>
  <c r="D174" i="9"/>
  <c r="C174" i="9"/>
  <c r="E174" i="9" s="1" a="1"/>
  <c r="B174" i="9"/>
  <c r="A174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L173" i="9"/>
  <c r="K173" i="9"/>
  <c r="J173" i="9"/>
  <c r="G173" i="9"/>
  <c r="F173" i="9"/>
  <c r="D173" i="9"/>
  <c r="C173" i="9"/>
  <c r="E173" i="9" s="1" a="1"/>
  <c r="B173" i="9"/>
  <c r="A173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L172" i="9"/>
  <c r="K172" i="9"/>
  <c r="J172" i="9"/>
  <c r="G172" i="9"/>
  <c r="H172" i="9" s="1" a="1"/>
  <c r="F172" i="9"/>
  <c r="D172" i="9"/>
  <c r="C172" i="9"/>
  <c r="E172" i="9" s="1" a="1"/>
  <c r="B172" i="9"/>
  <c r="AC172" i="9" s="1"/>
  <c r="A172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L171" i="9"/>
  <c r="K171" i="9"/>
  <c r="J171" i="9"/>
  <c r="G171" i="9"/>
  <c r="I171" i="9" s="1"/>
  <c r="F171" i="9"/>
  <c r="D171" i="9"/>
  <c r="C171" i="9"/>
  <c r="E171" i="9" s="1" a="1"/>
  <c r="B171" i="9"/>
  <c r="A171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L170" i="9"/>
  <c r="K170" i="9"/>
  <c r="J170" i="9"/>
  <c r="G170" i="9"/>
  <c r="I170" i="9" s="1"/>
  <c r="F170" i="9"/>
  <c r="D170" i="9"/>
  <c r="C170" i="9"/>
  <c r="E170" i="9" s="1" a="1"/>
  <c r="B170" i="9"/>
  <c r="A170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L169" i="9"/>
  <c r="K169" i="9"/>
  <c r="J169" i="9"/>
  <c r="G169" i="9"/>
  <c r="H169" i="9" s="1" a="1"/>
  <c r="F169" i="9"/>
  <c r="D169" i="9"/>
  <c r="C169" i="9"/>
  <c r="E169" i="9" s="1" a="1"/>
  <c r="B169" i="9"/>
  <c r="AC169" i="9" s="1"/>
  <c r="A169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L168" i="9"/>
  <c r="K168" i="9"/>
  <c r="J168" i="9"/>
  <c r="G168" i="9"/>
  <c r="I168" i="9" s="1"/>
  <c r="F168" i="9"/>
  <c r="D168" i="9"/>
  <c r="C168" i="9"/>
  <c r="E168" i="9" s="1" a="1"/>
  <c r="B168" i="9"/>
  <c r="A168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L167" i="9"/>
  <c r="K167" i="9"/>
  <c r="J167" i="9"/>
  <c r="G167" i="9"/>
  <c r="I167" i="9" s="1"/>
  <c r="F167" i="9"/>
  <c r="D167" i="9"/>
  <c r="C167" i="9"/>
  <c r="E167" i="9" s="1" a="1"/>
  <c r="B167" i="9"/>
  <c r="A167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L166" i="9"/>
  <c r="K166" i="9"/>
  <c r="J166" i="9"/>
  <c r="G166" i="9"/>
  <c r="I166" i="9" s="1"/>
  <c r="F166" i="9"/>
  <c r="D166" i="9"/>
  <c r="C166" i="9"/>
  <c r="E166" i="9" s="1" a="1"/>
  <c r="B166" i="9"/>
  <c r="A166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L165" i="9"/>
  <c r="K165" i="9"/>
  <c r="J165" i="9"/>
  <c r="G165" i="9"/>
  <c r="H165" i="9" s="1" a="1"/>
  <c r="F165" i="9"/>
  <c r="D165" i="9"/>
  <c r="C165" i="9"/>
  <c r="E165" i="9" s="1" a="1"/>
  <c r="B165" i="9"/>
  <c r="A165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L164" i="9"/>
  <c r="K164" i="9"/>
  <c r="J164" i="9"/>
  <c r="G164" i="9"/>
  <c r="I164" i="9" s="1"/>
  <c r="F164" i="9"/>
  <c r="D164" i="9"/>
  <c r="C164" i="9"/>
  <c r="E164" i="9" s="1" a="1"/>
  <c r="B164" i="9"/>
  <c r="A164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L163" i="9"/>
  <c r="K163" i="9"/>
  <c r="J163" i="9"/>
  <c r="G163" i="9"/>
  <c r="H163" i="9" s="1" a="1"/>
  <c r="F163" i="9"/>
  <c r="D163" i="9"/>
  <c r="C163" i="9"/>
  <c r="E163" i="9" s="1" a="1"/>
  <c r="B163" i="9"/>
  <c r="A163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L162" i="9"/>
  <c r="K162" i="9"/>
  <c r="J162" i="9"/>
  <c r="G162" i="9"/>
  <c r="I162" i="9" s="1"/>
  <c r="F162" i="9"/>
  <c r="D162" i="9"/>
  <c r="C162" i="9"/>
  <c r="E162" i="9" s="1" a="1"/>
  <c r="B162" i="9"/>
  <c r="A162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L161" i="9"/>
  <c r="K161" i="9"/>
  <c r="J161" i="9"/>
  <c r="G161" i="9"/>
  <c r="H161" i="9" s="1" a="1"/>
  <c r="F161" i="9"/>
  <c r="D161" i="9"/>
  <c r="C161" i="9"/>
  <c r="E161" i="9" s="1" a="1"/>
  <c r="B161" i="9"/>
  <c r="A161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L160" i="9"/>
  <c r="K160" i="9"/>
  <c r="J160" i="9"/>
  <c r="G160" i="9"/>
  <c r="H160" i="9" s="1" a="1"/>
  <c r="F160" i="9"/>
  <c r="D160" i="9"/>
  <c r="C160" i="9"/>
  <c r="E160" i="9" s="1" a="1"/>
  <c r="B160" i="9"/>
  <c r="A160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L159" i="9"/>
  <c r="K159" i="9"/>
  <c r="J159" i="9"/>
  <c r="G159" i="9"/>
  <c r="I159" i="9" s="1"/>
  <c r="F159" i="9"/>
  <c r="D159" i="9"/>
  <c r="C159" i="9"/>
  <c r="E159" i="9" s="1" a="1"/>
  <c r="B159" i="9"/>
  <c r="AC159" i="9" s="1"/>
  <c r="A159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L158" i="9"/>
  <c r="K158" i="9"/>
  <c r="J158" i="9"/>
  <c r="G158" i="9"/>
  <c r="I158" i="9" s="1"/>
  <c r="F158" i="9"/>
  <c r="D158" i="9"/>
  <c r="C158" i="9"/>
  <c r="E158" i="9" s="1" a="1"/>
  <c r="B158" i="9"/>
  <c r="A158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L157" i="9"/>
  <c r="K157" i="9"/>
  <c r="J157" i="9"/>
  <c r="G157" i="9"/>
  <c r="H157" i="9" s="1" a="1"/>
  <c r="F157" i="9"/>
  <c r="D157" i="9"/>
  <c r="C157" i="9"/>
  <c r="E157" i="9" s="1" a="1"/>
  <c r="B157" i="9"/>
  <c r="A157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L156" i="9"/>
  <c r="K156" i="9"/>
  <c r="J156" i="9"/>
  <c r="G156" i="9"/>
  <c r="H156" i="9" s="1" a="1"/>
  <c r="F156" i="9"/>
  <c r="D156" i="9"/>
  <c r="C156" i="9"/>
  <c r="E156" i="9" s="1" a="1"/>
  <c r="B156" i="9"/>
  <c r="A156" i="9"/>
  <c r="Z155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L155" i="9"/>
  <c r="K155" i="9"/>
  <c r="J155" i="9"/>
  <c r="G155" i="9"/>
  <c r="H155" i="9" s="1" a="1"/>
  <c r="F155" i="9"/>
  <c r="D155" i="9"/>
  <c r="C155" i="9"/>
  <c r="E155" i="9" s="1" a="1"/>
  <c r="B155" i="9"/>
  <c r="A155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L154" i="9"/>
  <c r="K154" i="9"/>
  <c r="J154" i="9"/>
  <c r="G154" i="9"/>
  <c r="F154" i="9"/>
  <c r="D154" i="9"/>
  <c r="C154" i="9"/>
  <c r="E154" i="9" s="1" a="1"/>
  <c r="B154" i="9"/>
  <c r="A154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L153" i="9"/>
  <c r="K153" i="9"/>
  <c r="J153" i="9"/>
  <c r="G153" i="9"/>
  <c r="H153" i="9" s="1" a="1"/>
  <c r="F153" i="9"/>
  <c r="D153" i="9"/>
  <c r="C153" i="9"/>
  <c r="E153" i="9" s="1" a="1"/>
  <c r="B153" i="9"/>
  <c r="A153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L152" i="9"/>
  <c r="K152" i="9"/>
  <c r="J152" i="9"/>
  <c r="G152" i="9"/>
  <c r="H152" i="9" s="1" a="1"/>
  <c r="F152" i="9"/>
  <c r="D152" i="9"/>
  <c r="C152" i="9"/>
  <c r="E152" i="9" s="1" a="1"/>
  <c r="B152" i="9"/>
  <c r="A152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L151" i="9"/>
  <c r="K151" i="9"/>
  <c r="J151" i="9"/>
  <c r="G151" i="9"/>
  <c r="H151" i="9" s="1" a="1"/>
  <c r="F151" i="9"/>
  <c r="D151" i="9"/>
  <c r="C151" i="9"/>
  <c r="E151" i="9" s="1" a="1"/>
  <c r="B151" i="9"/>
  <c r="A151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L150" i="9"/>
  <c r="K150" i="9"/>
  <c r="J150" i="9"/>
  <c r="G150" i="9"/>
  <c r="I150" i="9" s="1"/>
  <c r="F150" i="9"/>
  <c r="D150" i="9"/>
  <c r="C150" i="9"/>
  <c r="E150" i="9" s="1" a="1"/>
  <c r="B150" i="9"/>
  <c r="A150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L149" i="9"/>
  <c r="K149" i="9"/>
  <c r="J149" i="9"/>
  <c r="G149" i="9"/>
  <c r="F149" i="9"/>
  <c r="D149" i="9"/>
  <c r="C149" i="9"/>
  <c r="E149" i="9" s="1" a="1"/>
  <c r="B149" i="9"/>
  <c r="AC149" i="9" s="1"/>
  <c r="A149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L148" i="9"/>
  <c r="K148" i="9"/>
  <c r="J148" i="9"/>
  <c r="G148" i="9"/>
  <c r="H148" i="9" s="1" a="1"/>
  <c r="F148" i="9"/>
  <c r="D148" i="9"/>
  <c r="C148" i="9"/>
  <c r="E148" i="9" s="1" a="1"/>
  <c r="B148" i="9"/>
  <c r="A148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L147" i="9"/>
  <c r="K147" i="9"/>
  <c r="J147" i="9"/>
  <c r="G147" i="9"/>
  <c r="H147" i="9" s="1" a="1"/>
  <c r="F147" i="9"/>
  <c r="D147" i="9"/>
  <c r="C147" i="9"/>
  <c r="E147" i="9" s="1" a="1"/>
  <c r="B147" i="9"/>
  <c r="A147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L146" i="9"/>
  <c r="K146" i="9"/>
  <c r="J146" i="9"/>
  <c r="G146" i="9"/>
  <c r="I146" i="9" s="1"/>
  <c r="F146" i="9"/>
  <c r="D146" i="9"/>
  <c r="C146" i="9"/>
  <c r="E146" i="9" s="1" a="1"/>
  <c r="B146" i="9"/>
  <c r="A146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L145" i="9"/>
  <c r="K145" i="9"/>
  <c r="J145" i="9"/>
  <c r="G145" i="9"/>
  <c r="H145" i="9" s="1" a="1"/>
  <c r="F145" i="9"/>
  <c r="D145" i="9"/>
  <c r="C145" i="9"/>
  <c r="E145" i="9" s="1" a="1"/>
  <c r="B145" i="9"/>
  <c r="A145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L144" i="9"/>
  <c r="K144" i="9"/>
  <c r="J144" i="9"/>
  <c r="G144" i="9"/>
  <c r="I144" i="9" s="1"/>
  <c r="F144" i="9"/>
  <c r="D144" i="9"/>
  <c r="C144" i="9"/>
  <c r="E144" i="9" s="1" a="1"/>
  <c r="B144" i="9"/>
  <c r="A144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L143" i="9"/>
  <c r="K143" i="9"/>
  <c r="J143" i="9"/>
  <c r="G143" i="9"/>
  <c r="I143" i="9" s="1"/>
  <c r="F143" i="9"/>
  <c r="D143" i="9"/>
  <c r="C143" i="9"/>
  <c r="E143" i="9" s="1" a="1"/>
  <c r="B143" i="9"/>
  <c r="A143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L142" i="9"/>
  <c r="K142" i="9"/>
  <c r="J142" i="9"/>
  <c r="G142" i="9"/>
  <c r="I142" i="9" s="1"/>
  <c r="F142" i="9"/>
  <c r="D142" i="9"/>
  <c r="C142" i="9"/>
  <c r="E142" i="9" s="1" a="1"/>
  <c r="B142" i="9"/>
  <c r="A142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L141" i="9"/>
  <c r="K141" i="9"/>
  <c r="J141" i="9"/>
  <c r="G141" i="9"/>
  <c r="H141" i="9" s="1" a="1"/>
  <c r="F141" i="9"/>
  <c r="D141" i="9"/>
  <c r="C141" i="9"/>
  <c r="E141" i="9" s="1" a="1"/>
  <c r="B141" i="9"/>
  <c r="A141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L140" i="9"/>
  <c r="K140" i="9"/>
  <c r="J140" i="9"/>
  <c r="G140" i="9"/>
  <c r="I140" i="9" s="1"/>
  <c r="F140" i="9"/>
  <c r="D140" i="9"/>
  <c r="C140" i="9"/>
  <c r="E140" i="9" s="1" a="1"/>
  <c r="B140" i="9"/>
  <c r="A140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L139" i="9"/>
  <c r="K139" i="9"/>
  <c r="J139" i="9"/>
  <c r="G139" i="9"/>
  <c r="I139" i="9" s="1"/>
  <c r="F139" i="9"/>
  <c r="D139" i="9"/>
  <c r="C139" i="9"/>
  <c r="E139" i="9" s="1" a="1"/>
  <c r="B139" i="9"/>
  <c r="A139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L138" i="9"/>
  <c r="K138" i="9"/>
  <c r="J138" i="9"/>
  <c r="G138" i="9"/>
  <c r="I138" i="9" s="1"/>
  <c r="F138" i="9"/>
  <c r="D138" i="9"/>
  <c r="C138" i="9"/>
  <c r="E138" i="9" s="1" a="1"/>
  <c r="B138" i="9"/>
  <c r="A138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L137" i="9"/>
  <c r="K137" i="9"/>
  <c r="J137" i="9"/>
  <c r="G137" i="9"/>
  <c r="H137" i="9" s="1" a="1"/>
  <c r="F137" i="9"/>
  <c r="D137" i="9"/>
  <c r="C137" i="9"/>
  <c r="E137" i="9" s="1" a="1"/>
  <c r="B137" i="9"/>
  <c r="A137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L136" i="9"/>
  <c r="K136" i="9"/>
  <c r="J136" i="9"/>
  <c r="G136" i="9"/>
  <c r="H136" i="9" s="1" a="1"/>
  <c r="F136" i="9"/>
  <c r="D136" i="9"/>
  <c r="C136" i="9"/>
  <c r="E136" i="9" s="1" a="1"/>
  <c r="B136" i="9"/>
  <c r="AC136" i="9" s="1"/>
  <c r="A136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L135" i="9"/>
  <c r="K135" i="9"/>
  <c r="J135" i="9"/>
  <c r="G135" i="9"/>
  <c r="F135" i="9"/>
  <c r="D135" i="9"/>
  <c r="C135" i="9"/>
  <c r="E135" i="9" s="1" a="1"/>
  <c r="B135" i="9"/>
  <c r="A135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L134" i="9"/>
  <c r="K134" i="9"/>
  <c r="J134" i="9"/>
  <c r="G134" i="9"/>
  <c r="I134" i="9" s="1"/>
  <c r="F134" i="9"/>
  <c r="D134" i="9"/>
  <c r="C134" i="9"/>
  <c r="E134" i="9" s="1" a="1"/>
  <c r="B134" i="9"/>
  <c r="A134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L133" i="9"/>
  <c r="K133" i="9"/>
  <c r="J133" i="9"/>
  <c r="G133" i="9"/>
  <c r="I133" i="9" s="1"/>
  <c r="F133" i="9"/>
  <c r="D133" i="9"/>
  <c r="C133" i="9"/>
  <c r="E133" i="9" s="1" a="1"/>
  <c r="B133" i="9"/>
  <c r="A133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L132" i="9"/>
  <c r="K132" i="9"/>
  <c r="J132" i="9"/>
  <c r="G132" i="9"/>
  <c r="H132" i="9" s="1" a="1"/>
  <c r="F132" i="9"/>
  <c r="D132" i="9"/>
  <c r="C132" i="9"/>
  <c r="E132" i="9" s="1" a="1"/>
  <c r="B132" i="9"/>
  <c r="A132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L131" i="9"/>
  <c r="K131" i="9"/>
  <c r="J131" i="9"/>
  <c r="G131" i="9"/>
  <c r="F131" i="9"/>
  <c r="D131" i="9"/>
  <c r="C131" i="9"/>
  <c r="E131" i="9" s="1" a="1"/>
  <c r="B131" i="9"/>
  <c r="A131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L130" i="9"/>
  <c r="K130" i="9"/>
  <c r="J130" i="9"/>
  <c r="G130" i="9"/>
  <c r="I130" i="9" s="1"/>
  <c r="F130" i="9"/>
  <c r="D130" i="9"/>
  <c r="C130" i="9"/>
  <c r="E130" i="9" s="1" a="1"/>
  <c r="B130" i="9"/>
  <c r="A130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L129" i="9"/>
  <c r="K129" i="9"/>
  <c r="J129" i="9"/>
  <c r="G129" i="9"/>
  <c r="I129" i="9" s="1"/>
  <c r="F129" i="9"/>
  <c r="D129" i="9"/>
  <c r="C129" i="9"/>
  <c r="E129" i="9" s="1" a="1"/>
  <c r="B129" i="9"/>
  <c r="A129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L128" i="9"/>
  <c r="K128" i="9"/>
  <c r="J128" i="9"/>
  <c r="G128" i="9"/>
  <c r="I128" i="9" s="1"/>
  <c r="F128" i="9"/>
  <c r="D128" i="9"/>
  <c r="C128" i="9"/>
  <c r="E128" i="9" s="1" a="1"/>
  <c r="B128" i="9"/>
  <c r="A128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L127" i="9"/>
  <c r="K127" i="9"/>
  <c r="J127" i="9"/>
  <c r="G127" i="9"/>
  <c r="F127" i="9"/>
  <c r="D127" i="9"/>
  <c r="C127" i="9"/>
  <c r="E127" i="9" s="1" a="1"/>
  <c r="B127" i="9"/>
  <c r="A127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L126" i="9"/>
  <c r="K126" i="9"/>
  <c r="J126" i="9"/>
  <c r="G126" i="9"/>
  <c r="I126" i="9" s="1"/>
  <c r="F126" i="9"/>
  <c r="D126" i="9"/>
  <c r="C126" i="9"/>
  <c r="E126" i="9" s="1" a="1"/>
  <c r="B126" i="9"/>
  <c r="A126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L125" i="9"/>
  <c r="K125" i="9"/>
  <c r="J125" i="9"/>
  <c r="G125" i="9"/>
  <c r="H125" i="9" s="1" a="1"/>
  <c r="F125" i="9"/>
  <c r="D125" i="9"/>
  <c r="C125" i="9"/>
  <c r="E125" i="9" s="1" a="1"/>
  <c r="B125" i="9"/>
  <c r="A125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L124" i="9"/>
  <c r="K124" i="9"/>
  <c r="J124" i="9"/>
  <c r="G124" i="9"/>
  <c r="H124" i="9" s="1" a="1"/>
  <c r="F124" i="9"/>
  <c r="D124" i="9"/>
  <c r="C124" i="9"/>
  <c r="E124" i="9" s="1" a="1"/>
  <c r="B124" i="9"/>
  <c r="A124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L123" i="9"/>
  <c r="K123" i="9"/>
  <c r="J123" i="9"/>
  <c r="G123" i="9"/>
  <c r="F123" i="9"/>
  <c r="D123" i="9"/>
  <c r="C123" i="9"/>
  <c r="E123" i="9" s="1" a="1"/>
  <c r="B123" i="9"/>
  <c r="A123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L122" i="9"/>
  <c r="K122" i="9"/>
  <c r="J122" i="9"/>
  <c r="G122" i="9"/>
  <c r="I122" i="9" s="1"/>
  <c r="F122" i="9"/>
  <c r="D122" i="9"/>
  <c r="C122" i="9"/>
  <c r="E122" i="9" s="1" a="1"/>
  <c r="B122" i="9"/>
  <c r="A122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L121" i="9"/>
  <c r="K121" i="9"/>
  <c r="J121" i="9"/>
  <c r="G121" i="9"/>
  <c r="H121" i="9" s="1" a="1"/>
  <c r="F121" i="9"/>
  <c r="D121" i="9"/>
  <c r="C121" i="9"/>
  <c r="E121" i="9" s="1" a="1"/>
  <c r="B121" i="9"/>
  <c r="A121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L120" i="9"/>
  <c r="K120" i="9"/>
  <c r="J120" i="9"/>
  <c r="G120" i="9"/>
  <c r="I120" i="9" s="1"/>
  <c r="F120" i="9"/>
  <c r="D120" i="9"/>
  <c r="C120" i="9"/>
  <c r="E120" i="9" s="1" a="1"/>
  <c r="B120" i="9"/>
  <c r="A120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L119" i="9"/>
  <c r="K119" i="9"/>
  <c r="J119" i="9"/>
  <c r="G119" i="9"/>
  <c r="F119" i="9"/>
  <c r="D119" i="9"/>
  <c r="C119" i="9"/>
  <c r="E119" i="9" s="1" a="1"/>
  <c r="B119" i="9"/>
  <c r="A119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L118" i="9"/>
  <c r="K118" i="9"/>
  <c r="J118" i="9"/>
  <c r="G118" i="9"/>
  <c r="H118" i="9" s="1" a="1"/>
  <c r="F118" i="9"/>
  <c r="D118" i="9"/>
  <c r="C118" i="9"/>
  <c r="E118" i="9" s="1" a="1"/>
  <c r="B118" i="9"/>
  <c r="A118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L117" i="9"/>
  <c r="K117" i="9"/>
  <c r="J117" i="9"/>
  <c r="G117" i="9"/>
  <c r="H117" i="9" s="1" a="1"/>
  <c r="F117" i="9"/>
  <c r="D117" i="9"/>
  <c r="C117" i="9"/>
  <c r="E117" i="9" s="1" a="1"/>
  <c r="B117" i="9"/>
  <c r="AC117" i="9" s="1"/>
  <c r="A117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L116" i="9"/>
  <c r="K116" i="9"/>
  <c r="J116" i="9"/>
  <c r="G116" i="9"/>
  <c r="H116" i="9" s="1" a="1"/>
  <c r="F116" i="9"/>
  <c r="D116" i="9"/>
  <c r="C116" i="9"/>
  <c r="E116" i="9" s="1" a="1"/>
  <c r="B116" i="9"/>
  <c r="A116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L115" i="9"/>
  <c r="K115" i="9"/>
  <c r="J115" i="9"/>
  <c r="G115" i="9"/>
  <c r="F115" i="9"/>
  <c r="D115" i="9"/>
  <c r="C115" i="9"/>
  <c r="E115" i="9" s="1" a="1"/>
  <c r="B115" i="9"/>
  <c r="A115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L114" i="9"/>
  <c r="K114" i="9"/>
  <c r="J114" i="9"/>
  <c r="G114" i="9"/>
  <c r="H114" i="9" s="1" a="1"/>
  <c r="F114" i="9"/>
  <c r="D114" i="9"/>
  <c r="C114" i="9"/>
  <c r="E114" i="9" s="1" a="1"/>
  <c r="B114" i="9"/>
  <c r="AC114" i="9" s="1"/>
  <c r="A114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L113" i="9"/>
  <c r="K113" i="9"/>
  <c r="J113" i="9"/>
  <c r="G113" i="9"/>
  <c r="I113" i="9" s="1"/>
  <c r="F113" i="9"/>
  <c r="D113" i="9"/>
  <c r="C113" i="9"/>
  <c r="E113" i="9" s="1" a="1"/>
  <c r="B113" i="9"/>
  <c r="A113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L112" i="9"/>
  <c r="K112" i="9"/>
  <c r="J112" i="9"/>
  <c r="G112" i="9"/>
  <c r="I112" i="9" s="1"/>
  <c r="F112" i="9"/>
  <c r="D112" i="9"/>
  <c r="C112" i="9"/>
  <c r="B112" i="9"/>
  <c r="A112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L111" i="9"/>
  <c r="K111" i="9"/>
  <c r="J111" i="9"/>
  <c r="G111" i="9"/>
  <c r="F111" i="9"/>
  <c r="D111" i="9"/>
  <c r="C111" i="9"/>
  <c r="E111" i="9" s="1" a="1"/>
  <c r="B111" i="9"/>
  <c r="A111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L110" i="9"/>
  <c r="K110" i="9"/>
  <c r="J110" i="9"/>
  <c r="G110" i="9"/>
  <c r="I110" i="9" s="1"/>
  <c r="F110" i="9"/>
  <c r="D110" i="9"/>
  <c r="C110" i="9"/>
  <c r="E110" i="9" s="1" a="1"/>
  <c r="B110" i="9"/>
  <c r="A110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L109" i="9"/>
  <c r="K109" i="9"/>
  <c r="J109" i="9"/>
  <c r="G109" i="9"/>
  <c r="H109" i="9" s="1" a="1"/>
  <c r="F109" i="9"/>
  <c r="D109" i="9"/>
  <c r="C109" i="9"/>
  <c r="E109" i="9" s="1" a="1"/>
  <c r="B109" i="9"/>
  <c r="A109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L108" i="9"/>
  <c r="K108" i="9"/>
  <c r="J108" i="9"/>
  <c r="G108" i="9"/>
  <c r="H108" i="9" s="1" a="1"/>
  <c r="F108" i="9"/>
  <c r="D108" i="9"/>
  <c r="C108" i="9"/>
  <c r="E108" i="9" s="1" a="1"/>
  <c r="B108" i="9"/>
  <c r="A108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L107" i="9"/>
  <c r="K107" i="9"/>
  <c r="J107" i="9"/>
  <c r="G107" i="9"/>
  <c r="F107" i="9"/>
  <c r="D107" i="9"/>
  <c r="C107" i="9"/>
  <c r="E107" i="9" s="1" a="1"/>
  <c r="B107" i="9"/>
  <c r="A107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L106" i="9"/>
  <c r="K106" i="9"/>
  <c r="J106" i="9"/>
  <c r="G106" i="9"/>
  <c r="H106" i="9" s="1" a="1"/>
  <c r="F106" i="9"/>
  <c r="D106" i="9"/>
  <c r="C106" i="9"/>
  <c r="E106" i="9" s="1" a="1"/>
  <c r="B106" i="9"/>
  <c r="A106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L105" i="9"/>
  <c r="K105" i="9"/>
  <c r="J105" i="9"/>
  <c r="G105" i="9"/>
  <c r="H105" i="9" s="1" a="1"/>
  <c r="F105" i="9"/>
  <c r="D105" i="9"/>
  <c r="C105" i="9"/>
  <c r="E105" i="9" s="1" a="1"/>
  <c r="B105" i="9"/>
  <c r="A105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L104" i="9"/>
  <c r="K104" i="9"/>
  <c r="J104" i="9"/>
  <c r="G104" i="9"/>
  <c r="I104" i="9" s="1"/>
  <c r="F104" i="9"/>
  <c r="D104" i="9"/>
  <c r="C104" i="9"/>
  <c r="E104" i="9" s="1" a="1"/>
  <c r="B104" i="9"/>
  <c r="A104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L103" i="9"/>
  <c r="K103" i="9"/>
  <c r="J103" i="9"/>
  <c r="G103" i="9"/>
  <c r="F103" i="9"/>
  <c r="D103" i="9"/>
  <c r="C103" i="9"/>
  <c r="E103" i="9" s="1" a="1"/>
  <c r="B103" i="9"/>
  <c r="A103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L102" i="9"/>
  <c r="K102" i="9"/>
  <c r="J102" i="9"/>
  <c r="G102" i="9"/>
  <c r="I102" i="9" s="1"/>
  <c r="F102" i="9"/>
  <c r="D102" i="9"/>
  <c r="C102" i="9"/>
  <c r="E102" i="9" s="1" a="1"/>
  <c r="B102" i="9"/>
  <c r="AC102" i="9" s="1"/>
  <c r="A102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L101" i="9"/>
  <c r="K101" i="9"/>
  <c r="J101" i="9"/>
  <c r="G101" i="9"/>
  <c r="H101" i="9" s="1" a="1"/>
  <c r="F101" i="9"/>
  <c r="D101" i="9"/>
  <c r="C101" i="9"/>
  <c r="E101" i="9" s="1" a="1"/>
  <c r="B101" i="9"/>
  <c r="A101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L100" i="9"/>
  <c r="K100" i="9"/>
  <c r="J100" i="9"/>
  <c r="G100" i="9"/>
  <c r="H100" i="9" s="1" a="1"/>
  <c r="F100" i="9"/>
  <c r="D100" i="9"/>
  <c r="C100" i="9"/>
  <c r="E100" i="9" s="1" a="1"/>
  <c r="B100" i="9"/>
  <c r="A100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L99" i="9"/>
  <c r="K99" i="9"/>
  <c r="J99" i="9"/>
  <c r="G99" i="9"/>
  <c r="I99" i="9" s="1"/>
  <c r="F99" i="9"/>
  <c r="D99" i="9"/>
  <c r="C99" i="9"/>
  <c r="E99" i="9" s="1" a="1"/>
  <c r="B99" i="9"/>
  <c r="A99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L98" i="9"/>
  <c r="K98" i="9"/>
  <c r="J98" i="9"/>
  <c r="G98" i="9"/>
  <c r="H98" i="9" s="1" a="1"/>
  <c r="F98" i="9"/>
  <c r="D98" i="9"/>
  <c r="C98" i="9"/>
  <c r="E98" i="9" s="1" a="1"/>
  <c r="B98" i="9"/>
  <c r="A98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L97" i="9"/>
  <c r="K97" i="9"/>
  <c r="J97" i="9"/>
  <c r="G97" i="9"/>
  <c r="H97" i="9" s="1" a="1"/>
  <c r="F97" i="9"/>
  <c r="D97" i="9"/>
  <c r="C97" i="9"/>
  <c r="E97" i="9" s="1" a="1"/>
  <c r="B97" i="9"/>
  <c r="A97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L96" i="9"/>
  <c r="K96" i="9"/>
  <c r="J96" i="9"/>
  <c r="G96" i="9"/>
  <c r="H96" i="9" s="1" a="1"/>
  <c r="F96" i="9"/>
  <c r="D96" i="9"/>
  <c r="C96" i="9"/>
  <c r="E96" i="9" s="1" a="1"/>
  <c r="B96" i="9"/>
  <c r="A96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L95" i="9"/>
  <c r="K95" i="9"/>
  <c r="J95" i="9"/>
  <c r="G95" i="9"/>
  <c r="I95" i="9" s="1"/>
  <c r="F95" i="9"/>
  <c r="D95" i="9"/>
  <c r="C95" i="9"/>
  <c r="E95" i="9" s="1" a="1"/>
  <c r="B95" i="9"/>
  <c r="A95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L94" i="9"/>
  <c r="K94" i="9"/>
  <c r="J94" i="9"/>
  <c r="G94" i="9"/>
  <c r="I94" i="9" s="1"/>
  <c r="F94" i="9"/>
  <c r="D94" i="9"/>
  <c r="C94" i="9"/>
  <c r="E94" i="9" s="1" a="1"/>
  <c r="B94" i="9"/>
  <c r="A94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L93" i="9"/>
  <c r="K93" i="9"/>
  <c r="J93" i="9"/>
  <c r="G93" i="9"/>
  <c r="H93" i="9" s="1" a="1"/>
  <c r="F93" i="9"/>
  <c r="D93" i="9"/>
  <c r="C93" i="9"/>
  <c r="E93" i="9" s="1" a="1"/>
  <c r="B93" i="9"/>
  <c r="AC93" i="9" s="1"/>
  <c r="A93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L92" i="9"/>
  <c r="K92" i="9"/>
  <c r="J92" i="9"/>
  <c r="G92" i="9"/>
  <c r="I92" i="9" s="1"/>
  <c r="F92" i="9"/>
  <c r="D92" i="9"/>
  <c r="C92" i="9"/>
  <c r="E92" i="9" s="1" a="1"/>
  <c r="B92" i="9"/>
  <c r="A92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L91" i="9"/>
  <c r="K91" i="9"/>
  <c r="J91" i="9"/>
  <c r="G91" i="9"/>
  <c r="I91" i="9" s="1"/>
  <c r="F91" i="9"/>
  <c r="D91" i="9"/>
  <c r="C91" i="9"/>
  <c r="E91" i="9" s="1" a="1"/>
  <c r="B91" i="9"/>
  <c r="A91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L90" i="9"/>
  <c r="K90" i="9"/>
  <c r="J90" i="9"/>
  <c r="G90" i="9"/>
  <c r="H90" i="9" s="1" a="1"/>
  <c r="F90" i="9"/>
  <c r="D90" i="9"/>
  <c r="C90" i="9"/>
  <c r="E90" i="9" s="1" a="1"/>
  <c r="B90" i="9"/>
  <c r="A90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L89" i="9"/>
  <c r="K89" i="9"/>
  <c r="J89" i="9"/>
  <c r="G89" i="9"/>
  <c r="H89" i="9" s="1" a="1"/>
  <c r="F89" i="9"/>
  <c r="D89" i="9"/>
  <c r="C89" i="9"/>
  <c r="E89" i="9" s="1" a="1"/>
  <c r="B89" i="9"/>
  <c r="A89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L88" i="9"/>
  <c r="K88" i="9"/>
  <c r="J88" i="9"/>
  <c r="G88" i="9"/>
  <c r="I88" i="9" s="1"/>
  <c r="F88" i="9"/>
  <c r="D88" i="9"/>
  <c r="C88" i="9"/>
  <c r="E88" i="9" s="1" a="1"/>
  <c r="B88" i="9"/>
  <c r="AC88" i="9" s="1"/>
  <c r="A88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L87" i="9"/>
  <c r="K87" i="9"/>
  <c r="J87" i="9"/>
  <c r="G87" i="9"/>
  <c r="I87" i="9" s="1"/>
  <c r="F87" i="9"/>
  <c r="D87" i="9"/>
  <c r="C87" i="9"/>
  <c r="E87" i="9" s="1" a="1"/>
  <c r="B87" i="9"/>
  <c r="A87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L86" i="9"/>
  <c r="K86" i="9"/>
  <c r="J86" i="9"/>
  <c r="G86" i="9"/>
  <c r="I86" i="9" s="1"/>
  <c r="F86" i="9"/>
  <c r="D86" i="9"/>
  <c r="C86" i="9"/>
  <c r="E86" i="9" s="1" a="1"/>
  <c r="B86" i="9"/>
  <c r="A86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L85" i="9"/>
  <c r="K85" i="9"/>
  <c r="J85" i="9"/>
  <c r="G85" i="9"/>
  <c r="H85" i="9" s="1" a="1"/>
  <c r="F85" i="9"/>
  <c r="D85" i="9"/>
  <c r="C85" i="9"/>
  <c r="E85" i="9" s="1" a="1"/>
  <c r="B85" i="9"/>
  <c r="A85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L84" i="9"/>
  <c r="K84" i="9"/>
  <c r="J84" i="9"/>
  <c r="G84" i="9"/>
  <c r="I84" i="9" s="1"/>
  <c r="F84" i="9"/>
  <c r="D84" i="9"/>
  <c r="C84" i="9"/>
  <c r="E84" i="9" s="1" a="1"/>
  <c r="B84" i="9"/>
  <c r="A84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L83" i="9"/>
  <c r="K83" i="9"/>
  <c r="J83" i="9"/>
  <c r="G83" i="9"/>
  <c r="I83" i="9" s="1"/>
  <c r="F83" i="9"/>
  <c r="D83" i="9"/>
  <c r="C83" i="9"/>
  <c r="E83" i="9" s="1" a="1"/>
  <c r="B83" i="9"/>
  <c r="A83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L82" i="9"/>
  <c r="K82" i="9"/>
  <c r="J82" i="9"/>
  <c r="G82" i="9"/>
  <c r="H82" i="9" s="1" a="1"/>
  <c r="F82" i="9"/>
  <c r="D82" i="9"/>
  <c r="C82" i="9"/>
  <c r="E82" i="9" s="1" a="1"/>
  <c r="B82" i="9"/>
  <c r="AC82" i="9" s="1"/>
  <c r="A82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L81" i="9"/>
  <c r="K81" i="9"/>
  <c r="J81" i="9"/>
  <c r="G81" i="9"/>
  <c r="I81" i="9" s="1"/>
  <c r="F81" i="9"/>
  <c r="D81" i="9"/>
  <c r="C81" i="9"/>
  <c r="E81" i="9" s="1" a="1"/>
  <c r="B81" i="9"/>
  <c r="A81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L80" i="9"/>
  <c r="K80" i="9"/>
  <c r="J80" i="9"/>
  <c r="G80" i="9"/>
  <c r="H80" i="9" s="1" a="1"/>
  <c r="F80" i="9"/>
  <c r="D80" i="9"/>
  <c r="C80" i="9"/>
  <c r="E80" i="9" s="1" a="1"/>
  <c r="B80" i="9"/>
  <c r="A80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L79" i="9"/>
  <c r="K79" i="9"/>
  <c r="J79" i="9"/>
  <c r="G79" i="9"/>
  <c r="I79" i="9" s="1"/>
  <c r="F79" i="9"/>
  <c r="D79" i="9"/>
  <c r="C79" i="9"/>
  <c r="E79" i="9" s="1" a="1"/>
  <c r="B79" i="9"/>
  <c r="A79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L78" i="9"/>
  <c r="K78" i="9"/>
  <c r="J78" i="9"/>
  <c r="G78" i="9"/>
  <c r="H78" i="9" s="1" a="1"/>
  <c r="F78" i="9"/>
  <c r="D78" i="9"/>
  <c r="C78" i="9"/>
  <c r="E78" i="9" s="1" a="1"/>
  <c r="B78" i="9"/>
  <c r="A78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L77" i="9"/>
  <c r="K77" i="9"/>
  <c r="J77" i="9"/>
  <c r="G77" i="9"/>
  <c r="H77" i="9" s="1" a="1"/>
  <c r="F77" i="9"/>
  <c r="D77" i="9"/>
  <c r="C77" i="9"/>
  <c r="E77" i="9" s="1" a="1"/>
  <c r="B77" i="9"/>
  <c r="A77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L76" i="9"/>
  <c r="K76" i="9"/>
  <c r="J76" i="9"/>
  <c r="G76" i="9"/>
  <c r="H76" i="9" s="1" a="1"/>
  <c r="F76" i="9"/>
  <c r="D76" i="9"/>
  <c r="C76" i="9"/>
  <c r="E76" i="9" s="1" a="1"/>
  <c r="B76" i="9"/>
  <c r="A76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L75" i="9"/>
  <c r="K75" i="9"/>
  <c r="J75" i="9"/>
  <c r="G75" i="9"/>
  <c r="I75" i="9" s="1"/>
  <c r="F75" i="9"/>
  <c r="D75" i="9"/>
  <c r="C75" i="9"/>
  <c r="E75" i="9" s="1" a="1"/>
  <c r="B75" i="9"/>
  <c r="AC75" i="9" s="1"/>
  <c r="A75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L74" i="9"/>
  <c r="K74" i="9"/>
  <c r="J74" i="9"/>
  <c r="G74" i="9"/>
  <c r="I74" i="9" s="1"/>
  <c r="F74" i="9"/>
  <c r="D74" i="9"/>
  <c r="C74" i="9"/>
  <c r="E74" i="9" s="1" a="1"/>
  <c r="B74" i="9"/>
  <c r="A74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L73" i="9"/>
  <c r="K73" i="9"/>
  <c r="J73" i="9"/>
  <c r="G73" i="9"/>
  <c r="I73" i="9" s="1"/>
  <c r="F73" i="9"/>
  <c r="D73" i="9"/>
  <c r="C73" i="9"/>
  <c r="E73" i="9" s="1" a="1"/>
  <c r="B73" i="9"/>
  <c r="AC73" i="9" s="1"/>
  <c r="A73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L72" i="9"/>
  <c r="K72" i="9"/>
  <c r="J72" i="9"/>
  <c r="G72" i="9"/>
  <c r="H72" i="9" s="1" a="1"/>
  <c r="F72" i="9"/>
  <c r="D72" i="9"/>
  <c r="C72" i="9"/>
  <c r="E72" i="9" s="1" a="1"/>
  <c r="B72" i="9"/>
  <c r="A72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L71" i="9"/>
  <c r="K71" i="9"/>
  <c r="J71" i="9"/>
  <c r="G71" i="9"/>
  <c r="I71" i="9" s="1"/>
  <c r="F71" i="9"/>
  <c r="D71" i="9"/>
  <c r="C71" i="9"/>
  <c r="E71" i="9" s="1" a="1"/>
  <c r="B71" i="9"/>
  <c r="AC71" i="9" s="1"/>
  <c r="A71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L70" i="9"/>
  <c r="K70" i="9"/>
  <c r="J70" i="9"/>
  <c r="G70" i="9"/>
  <c r="I70" i="9" s="1"/>
  <c r="F70" i="9"/>
  <c r="D70" i="9"/>
  <c r="C70" i="9"/>
  <c r="E70" i="9" s="1" a="1"/>
  <c r="B70" i="9"/>
  <c r="A70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L69" i="9"/>
  <c r="K69" i="9"/>
  <c r="J69" i="9"/>
  <c r="G69" i="9"/>
  <c r="I69" i="9" s="1"/>
  <c r="F69" i="9"/>
  <c r="D69" i="9"/>
  <c r="C69" i="9"/>
  <c r="E69" i="9" s="1" a="1"/>
  <c r="B69" i="9"/>
  <c r="A69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L68" i="9"/>
  <c r="K68" i="9"/>
  <c r="J68" i="9"/>
  <c r="G68" i="9"/>
  <c r="I68" i="9" s="1"/>
  <c r="F68" i="9"/>
  <c r="D68" i="9"/>
  <c r="C68" i="9"/>
  <c r="E68" i="9" s="1" a="1"/>
  <c r="B68" i="9"/>
  <c r="A68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L67" i="9"/>
  <c r="K67" i="9"/>
  <c r="J67" i="9"/>
  <c r="G67" i="9"/>
  <c r="I67" i="9" s="1"/>
  <c r="F67" i="9"/>
  <c r="D67" i="9"/>
  <c r="C67" i="9"/>
  <c r="E67" i="9" s="1" a="1"/>
  <c r="B67" i="9"/>
  <c r="A67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L66" i="9"/>
  <c r="K66" i="9"/>
  <c r="J66" i="9"/>
  <c r="G66" i="9"/>
  <c r="I66" i="9" s="1"/>
  <c r="F66" i="9"/>
  <c r="D66" i="9"/>
  <c r="C66" i="9"/>
  <c r="E66" i="9" s="1" a="1"/>
  <c r="B66" i="9"/>
  <c r="A66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L65" i="9"/>
  <c r="K65" i="9"/>
  <c r="J65" i="9"/>
  <c r="G65" i="9"/>
  <c r="H65" i="9" s="1" a="1"/>
  <c r="F65" i="9"/>
  <c r="D65" i="9"/>
  <c r="C65" i="9"/>
  <c r="E65" i="9" s="1" a="1"/>
  <c r="B65" i="9"/>
  <c r="A65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L64" i="9"/>
  <c r="K64" i="9"/>
  <c r="J64" i="9"/>
  <c r="G64" i="9"/>
  <c r="I64" i="9" s="1"/>
  <c r="F64" i="9"/>
  <c r="D64" i="9"/>
  <c r="C64" i="9"/>
  <c r="E64" i="9" s="1" a="1"/>
  <c r="B64" i="9"/>
  <c r="AC64" i="9" s="1"/>
  <c r="A64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L63" i="9"/>
  <c r="K63" i="9"/>
  <c r="J63" i="9"/>
  <c r="G63" i="9"/>
  <c r="I63" i="9" s="1"/>
  <c r="F63" i="9"/>
  <c r="D63" i="9"/>
  <c r="C63" i="9"/>
  <c r="E63" i="9" s="1" a="1"/>
  <c r="B63" i="9"/>
  <c r="A63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L62" i="9"/>
  <c r="K62" i="9"/>
  <c r="J62" i="9"/>
  <c r="G62" i="9"/>
  <c r="I62" i="9" s="1"/>
  <c r="F62" i="9"/>
  <c r="D62" i="9"/>
  <c r="C62" i="9"/>
  <c r="E62" i="9" s="1" a="1"/>
  <c r="B62" i="9"/>
  <c r="AC62" i="9" s="1"/>
  <c r="A62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L61" i="9"/>
  <c r="K61" i="9"/>
  <c r="J61" i="9"/>
  <c r="G61" i="9"/>
  <c r="H61" i="9" s="1" a="1"/>
  <c r="F61" i="9"/>
  <c r="D61" i="9"/>
  <c r="C61" i="9"/>
  <c r="E61" i="9" s="1" a="1"/>
  <c r="B61" i="9"/>
  <c r="A61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L60" i="9"/>
  <c r="K60" i="9"/>
  <c r="J60" i="9"/>
  <c r="G60" i="9"/>
  <c r="I60" i="9" s="1"/>
  <c r="F60" i="9"/>
  <c r="D60" i="9"/>
  <c r="C60" i="9"/>
  <c r="E60" i="9" s="1" a="1"/>
  <c r="B60" i="9"/>
  <c r="A60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L59" i="9"/>
  <c r="K59" i="9"/>
  <c r="J59" i="9"/>
  <c r="G59" i="9"/>
  <c r="I59" i="9" s="1"/>
  <c r="F59" i="9"/>
  <c r="D59" i="9"/>
  <c r="C59" i="9"/>
  <c r="E59" i="9" s="1" a="1"/>
  <c r="B59" i="9"/>
  <c r="AC59" i="9" s="1"/>
  <c r="A59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L58" i="9"/>
  <c r="K58" i="9"/>
  <c r="J58" i="9"/>
  <c r="G58" i="9"/>
  <c r="H58" i="9" s="1" a="1"/>
  <c r="F58" i="9"/>
  <c r="D58" i="9"/>
  <c r="C58" i="9"/>
  <c r="E58" i="9" s="1" a="1"/>
  <c r="B58" i="9"/>
  <c r="A58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L57" i="9"/>
  <c r="K57" i="9"/>
  <c r="J57" i="9"/>
  <c r="G57" i="9"/>
  <c r="H57" i="9" s="1" a="1"/>
  <c r="F57" i="9"/>
  <c r="D57" i="9"/>
  <c r="C57" i="9"/>
  <c r="E57" i="9" s="1" a="1"/>
  <c r="B57" i="9"/>
  <c r="A57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L56" i="9"/>
  <c r="K56" i="9"/>
  <c r="J56" i="9"/>
  <c r="G56" i="9"/>
  <c r="I56" i="9" s="1"/>
  <c r="F56" i="9"/>
  <c r="D56" i="9"/>
  <c r="C56" i="9"/>
  <c r="E56" i="9" s="1" a="1"/>
  <c r="B56" i="9"/>
  <c r="A56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L55" i="9"/>
  <c r="K55" i="9"/>
  <c r="J55" i="9"/>
  <c r="G55" i="9"/>
  <c r="I55" i="9" s="1"/>
  <c r="F55" i="9"/>
  <c r="D55" i="9"/>
  <c r="C55" i="9"/>
  <c r="E55" i="9" s="1" a="1"/>
  <c r="B55" i="9"/>
  <c r="A55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L54" i="9"/>
  <c r="K54" i="9"/>
  <c r="J54" i="9"/>
  <c r="G54" i="9"/>
  <c r="I54" i="9" s="1"/>
  <c r="F54" i="9"/>
  <c r="D54" i="9"/>
  <c r="C54" i="9"/>
  <c r="E54" i="9" s="1" a="1"/>
  <c r="B54" i="9"/>
  <c r="A54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L53" i="9"/>
  <c r="K53" i="9"/>
  <c r="J53" i="9"/>
  <c r="G53" i="9"/>
  <c r="I53" i="9" s="1"/>
  <c r="F53" i="9"/>
  <c r="D53" i="9"/>
  <c r="C53" i="9"/>
  <c r="E53" i="9" s="1" a="1"/>
  <c r="B53" i="9"/>
  <c r="A53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L52" i="9"/>
  <c r="K52" i="9"/>
  <c r="J52" i="9"/>
  <c r="G52" i="9"/>
  <c r="I52" i="9" s="1"/>
  <c r="F52" i="9"/>
  <c r="D52" i="9"/>
  <c r="C52" i="9"/>
  <c r="E52" i="9" s="1" a="1"/>
  <c r="B52" i="9"/>
  <c r="A52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L51" i="9"/>
  <c r="K51" i="9"/>
  <c r="J51" i="9"/>
  <c r="G51" i="9"/>
  <c r="I51" i="9" s="1"/>
  <c r="F51" i="9"/>
  <c r="D51" i="9"/>
  <c r="C51" i="9"/>
  <c r="E51" i="9" s="1" a="1"/>
  <c r="B51" i="9"/>
  <c r="A51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L50" i="9"/>
  <c r="K50" i="9"/>
  <c r="J50" i="9"/>
  <c r="G50" i="9"/>
  <c r="H50" i="9" s="1" a="1"/>
  <c r="F50" i="9"/>
  <c r="D50" i="9"/>
  <c r="C50" i="9"/>
  <c r="E50" i="9" s="1" a="1"/>
  <c r="B50" i="9"/>
  <c r="A50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L49" i="9"/>
  <c r="K49" i="9"/>
  <c r="J49" i="9"/>
  <c r="G49" i="9"/>
  <c r="H49" i="9" s="1" a="1"/>
  <c r="F49" i="9"/>
  <c r="D49" i="9"/>
  <c r="C49" i="9"/>
  <c r="E49" i="9" s="1" a="1"/>
  <c r="B49" i="9"/>
  <c r="AC49" i="9" s="1"/>
  <c r="A49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L48" i="9"/>
  <c r="K48" i="9"/>
  <c r="J48" i="9"/>
  <c r="G48" i="9"/>
  <c r="I48" i="9" s="1"/>
  <c r="F48" i="9"/>
  <c r="D48" i="9"/>
  <c r="C48" i="9"/>
  <c r="E48" i="9" s="1" a="1"/>
  <c r="B48" i="9"/>
  <c r="A48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L47" i="9"/>
  <c r="K47" i="9"/>
  <c r="J47" i="9"/>
  <c r="G47" i="9"/>
  <c r="I47" i="9" s="1"/>
  <c r="F47" i="9"/>
  <c r="D47" i="9"/>
  <c r="C47" i="9"/>
  <c r="E47" i="9" s="1" a="1"/>
  <c r="B47" i="9"/>
  <c r="A47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L46" i="9"/>
  <c r="K46" i="9"/>
  <c r="J46" i="9"/>
  <c r="G46" i="9"/>
  <c r="H46" i="9" s="1" a="1"/>
  <c r="F46" i="9"/>
  <c r="D46" i="9"/>
  <c r="C46" i="9"/>
  <c r="E46" i="9" s="1" a="1"/>
  <c r="B46" i="9"/>
  <c r="A46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L45" i="9"/>
  <c r="K45" i="9"/>
  <c r="J45" i="9"/>
  <c r="G45" i="9"/>
  <c r="H45" i="9" s="1" a="1"/>
  <c r="F45" i="9"/>
  <c r="D45" i="9"/>
  <c r="C45" i="9"/>
  <c r="E45" i="9" s="1" a="1"/>
  <c r="B45" i="9"/>
  <c r="A45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L44" i="9"/>
  <c r="K44" i="9"/>
  <c r="J44" i="9"/>
  <c r="G44" i="9"/>
  <c r="I44" i="9" s="1"/>
  <c r="F44" i="9"/>
  <c r="D44" i="9"/>
  <c r="C44" i="9"/>
  <c r="E44" i="9" s="1" a="1"/>
  <c r="B44" i="9"/>
  <c r="AC44" i="9" s="1"/>
  <c r="A44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L43" i="9"/>
  <c r="K43" i="9"/>
  <c r="J43" i="9"/>
  <c r="G43" i="9"/>
  <c r="I43" i="9" s="1"/>
  <c r="F43" i="9"/>
  <c r="D43" i="9"/>
  <c r="C43" i="9"/>
  <c r="E43" i="9" s="1" a="1"/>
  <c r="B43" i="9"/>
  <c r="A43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L42" i="9"/>
  <c r="K42" i="9"/>
  <c r="J42" i="9"/>
  <c r="G42" i="9"/>
  <c r="H42" i="9" s="1" a="1"/>
  <c r="F42" i="9"/>
  <c r="D42" i="9"/>
  <c r="C42" i="9"/>
  <c r="E42" i="9" s="1" a="1"/>
  <c r="B42" i="9"/>
  <c r="AC42" i="9" s="1"/>
  <c r="A42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L41" i="9"/>
  <c r="K41" i="9"/>
  <c r="J41" i="9"/>
  <c r="G41" i="9"/>
  <c r="H41" i="9" s="1" a="1"/>
  <c r="F41" i="9"/>
  <c r="D41" i="9"/>
  <c r="C41" i="9"/>
  <c r="E41" i="9" s="1" a="1"/>
  <c r="B41" i="9"/>
  <c r="A41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L40" i="9"/>
  <c r="K40" i="9"/>
  <c r="J40" i="9"/>
  <c r="G40" i="9"/>
  <c r="H40" i="9" s="1" a="1"/>
  <c r="F40" i="9"/>
  <c r="D40" i="9"/>
  <c r="C40" i="9"/>
  <c r="E40" i="9" s="1" a="1"/>
  <c r="B40" i="9"/>
  <c r="A40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L39" i="9"/>
  <c r="K39" i="9"/>
  <c r="J39" i="9"/>
  <c r="G39" i="9"/>
  <c r="I39" i="9" s="1"/>
  <c r="F39" i="9"/>
  <c r="D39" i="9"/>
  <c r="C39" i="9"/>
  <c r="E39" i="9" s="1" a="1"/>
  <c r="B39" i="9"/>
  <c r="A39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L38" i="9"/>
  <c r="K38" i="9"/>
  <c r="J38" i="9"/>
  <c r="G38" i="9"/>
  <c r="I38" i="9" s="1"/>
  <c r="F38" i="9"/>
  <c r="D38" i="9"/>
  <c r="C38" i="9"/>
  <c r="E38" i="9" s="1" a="1"/>
  <c r="B38" i="9"/>
  <c r="A38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L37" i="9"/>
  <c r="K37" i="9"/>
  <c r="J37" i="9"/>
  <c r="G37" i="9"/>
  <c r="H37" i="9" s="1" a="1"/>
  <c r="F37" i="9"/>
  <c r="D37" i="9"/>
  <c r="C37" i="9"/>
  <c r="E37" i="9" s="1" a="1"/>
  <c r="B37" i="9"/>
  <c r="A37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L36" i="9"/>
  <c r="K36" i="9"/>
  <c r="J36" i="9"/>
  <c r="G36" i="9"/>
  <c r="I36" i="9" s="1"/>
  <c r="F36" i="9"/>
  <c r="D36" i="9"/>
  <c r="C36" i="9"/>
  <c r="E36" i="9" s="1" a="1"/>
  <c r="B36" i="9"/>
  <c r="A36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L35" i="9"/>
  <c r="K35" i="9"/>
  <c r="J35" i="9"/>
  <c r="G35" i="9"/>
  <c r="I35" i="9" s="1"/>
  <c r="F35" i="9"/>
  <c r="D35" i="9"/>
  <c r="C35" i="9"/>
  <c r="E35" i="9" s="1" a="1"/>
  <c r="B35" i="9"/>
  <c r="A35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L34" i="9"/>
  <c r="K34" i="9"/>
  <c r="J34" i="9"/>
  <c r="G34" i="9"/>
  <c r="H34" i="9" s="1" a="1"/>
  <c r="F34" i="9"/>
  <c r="D34" i="9"/>
  <c r="C34" i="9"/>
  <c r="E34" i="9" s="1" a="1"/>
  <c r="B34" i="9"/>
  <c r="A34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L33" i="9"/>
  <c r="K33" i="9"/>
  <c r="J33" i="9"/>
  <c r="G33" i="9"/>
  <c r="H33" i="9" s="1" a="1"/>
  <c r="F33" i="9"/>
  <c r="D33" i="9"/>
  <c r="C33" i="9"/>
  <c r="E33" i="9" s="1" a="1"/>
  <c r="B33" i="9"/>
  <c r="AC33" i="9" s="1"/>
  <c r="A33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L32" i="9"/>
  <c r="K32" i="9"/>
  <c r="J32" i="9"/>
  <c r="G32" i="9"/>
  <c r="I32" i="9" s="1"/>
  <c r="F32" i="9"/>
  <c r="D32" i="9"/>
  <c r="C32" i="9"/>
  <c r="E32" i="9" s="1" a="1"/>
  <c r="B32" i="9"/>
  <c r="A32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L31" i="9"/>
  <c r="K31" i="9"/>
  <c r="J31" i="9"/>
  <c r="G31" i="9"/>
  <c r="I31" i="9" s="1"/>
  <c r="F31" i="9"/>
  <c r="D31" i="9"/>
  <c r="C31" i="9"/>
  <c r="E31" i="9" s="1" a="1"/>
  <c r="B31" i="9"/>
  <c r="A31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L30" i="9"/>
  <c r="K30" i="9"/>
  <c r="J30" i="9"/>
  <c r="G30" i="9"/>
  <c r="I30" i="9" s="1"/>
  <c r="F30" i="9"/>
  <c r="D30" i="9"/>
  <c r="C30" i="9"/>
  <c r="E30" i="9" s="1" a="1"/>
  <c r="B30" i="9"/>
  <c r="A30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L29" i="9"/>
  <c r="K29" i="9"/>
  <c r="J29" i="9"/>
  <c r="G29" i="9"/>
  <c r="I29" i="9" s="1"/>
  <c r="F29" i="9"/>
  <c r="D29" i="9"/>
  <c r="C29" i="9"/>
  <c r="E29" i="9" s="1" a="1"/>
  <c r="B29" i="9"/>
  <c r="A29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L28" i="9"/>
  <c r="K28" i="9"/>
  <c r="J28" i="9"/>
  <c r="G28" i="9"/>
  <c r="I28" i="9" s="1"/>
  <c r="F28" i="9"/>
  <c r="D28" i="9"/>
  <c r="C28" i="9"/>
  <c r="E28" i="9" s="1" a="1"/>
  <c r="B28" i="9"/>
  <c r="A28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L27" i="9"/>
  <c r="K27" i="9"/>
  <c r="J27" i="9"/>
  <c r="G27" i="9"/>
  <c r="I27" i="9" s="1"/>
  <c r="F27" i="9"/>
  <c r="D27" i="9"/>
  <c r="C27" i="9"/>
  <c r="E27" i="9" s="1" a="1"/>
  <c r="B27" i="9"/>
  <c r="A27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L26" i="9"/>
  <c r="K26" i="9"/>
  <c r="J26" i="9"/>
  <c r="G26" i="9"/>
  <c r="I26" i="9" s="1"/>
  <c r="F26" i="9"/>
  <c r="D26" i="9"/>
  <c r="C26" i="9"/>
  <c r="E26" i="9" s="1" a="1"/>
  <c r="B26" i="9"/>
  <c r="A26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L25" i="9"/>
  <c r="K25" i="9"/>
  <c r="J25" i="9"/>
  <c r="G25" i="9"/>
  <c r="H25" i="9" s="1" a="1"/>
  <c r="F25" i="9"/>
  <c r="D25" i="9"/>
  <c r="C25" i="9"/>
  <c r="E25" i="9" s="1" a="1"/>
  <c r="B25" i="9"/>
  <c r="A25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L24" i="9"/>
  <c r="K24" i="9"/>
  <c r="J24" i="9"/>
  <c r="G24" i="9"/>
  <c r="H24" i="9" s="1" a="1"/>
  <c r="F24" i="9"/>
  <c r="D24" i="9"/>
  <c r="C24" i="9"/>
  <c r="E24" i="9" s="1" a="1"/>
  <c r="B24" i="9"/>
  <c r="A24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L23" i="9"/>
  <c r="K23" i="9"/>
  <c r="J23" i="9"/>
  <c r="G23" i="9"/>
  <c r="I23" i="9" s="1"/>
  <c r="F23" i="9"/>
  <c r="D23" i="9"/>
  <c r="C23" i="9"/>
  <c r="E23" i="9" s="1" a="1"/>
  <c r="B23" i="9"/>
  <c r="A23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L22" i="9"/>
  <c r="K22" i="9"/>
  <c r="J22" i="9"/>
  <c r="G22" i="9"/>
  <c r="I22" i="9" s="1"/>
  <c r="F22" i="9"/>
  <c r="D22" i="9"/>
  <c r="C22" i="9"/>
  <c r="E22" i="9" s="1" a="1"/>
  <c r="B22" i="9"/>
  <c r="A22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L21" i="9"/>
  <c r="K21" i="9"/>
  <c r="J21" i="9"/>
  <c r="G21" i="9"/>
  <c r="H21" i="9" s="1" a="1"/>
  <c r="F21" i="9"/>
  <c r="D21" i="9"/>
  <c r="C21" i="9"/>
  <c r="E21" i="9" s="1" a="1"/>
  <c r="B21" i="9"/>
  <c r="A21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L20" i="9"/>
  <c r="K20" i="9"/>
  <c r="J20" i="9"/>
  <c r="G20" i="9"/>
  <c r="H20" i="9" s="1" a="1"/>
  <c r="F20" i="9"/>
  <c r="D20" i="9"/>
  <c r="C20" i="9"/>
  <c r="E20" i="9" s="1" a="1"/>
  <c r="B20" i="9"/>
  <c r="A20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L19" i="9"/>
  <c r="K19" i="9"/>
  <c r="J19" i="9"/>
  <c r="G19" i="9"/>
  <c r="I19" i="9" s="1"/>
  <c r="F19" i="9"/>
  <c r="D19" i="9"/>
  <c r="C19" i="9"/>
  <c r="E19" i="9" s="1" a="1"/>
  <c r="B19" i="9"/>
  <c r="A19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L18" i="9"/>
  <c r="K18" i="9"/>
  <c r="J18" i="9"/>
  <c r="G18" i="9"/>
  <c r="I18" i="9" s="1"/>
  <c r="F18" i="9"/>
  <c r="D18" i="9"/>
  <c r="C18" i="9"/>
  <c r="E18" i="9" s="1" a="1"/>
  <c r="B18" i="9"/>
  <c r="AC18" i="9" s="1"/>
  <c r="A18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L17" i="9"/>
  <c r="K17" i="9"/>
  <c r="J17" i="9"/>
  <c r="G17" i="9"/>
  <c r="H17" i="9" s="1" a="1"/>
  <c r="F17" i="9"/>
  <c r="D17" i="9"/>
  <c r="C17" i="9"/>
  <c r="E17" i="9" s="1" a="1"/>
  <c r="B17" i="9"/>
  <c r="A17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L16" i="9"/>
  <c r="K16" i="9"/>
  <c r="J16" i="9"/>
  <c r="G16" i="9"/>
  <c r="I16" i="9" s="1"/>
  <c r="F16" i="9"/>
  <c r="D16" i="9"/>
  <c r="C16" i="9"/>
  <c r="E16" i="9" s="1" a="1"/>
  <c r="B16" i="9"/>
  <c r="AC16" i="9" s="1"/>
  <c r="A16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L15" i="9"/>
  <c r="K15" i="9"/>
  <c r="J15" i="9"/>
  <c r="G15" i="9"/>
  <c r="I15" i="9" s="1"/>
  <c r="F15" i="9"/>
  <c r="D15" i="9"/>
  <c r="C15" i="9"/>
  <c r="E15" i="9" s="1" a="1"/>
  <c r="B15" i="9"/>
  <c r="A15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L14" i="9"/>
  <c r="K14" i="9"/>
  <c r="J14" i="9"/>
  <c r="G14" i="9"/>
  <c r="H14" i="9" s="1" a="1"/>
  <c r="F14" i="9"/>
  <c r="D14" i="9"/>
  <c r="C14" i="9"/>
  <c r="E14" i="9" s="1" a="1"/>
  <c r="B14" i="9"/>
  <c r="AC14" i="9" s="1"/>
  <c r="A14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L13" i="9"/>
  <c r="K13" i="9"/>
  <c r="J13" i="9"/>
  <c r="G13" i="9"/>
  <c r="H13" i="9" s="1" a="1"/>
  <c r="F13" i="9"/>
  <c r="D13" i="9"/>
  <c r="C13" i="9"/>
  <c r="E13" i="9" s="1" a="1"/>
  <c r="B13" i="9"/>
  <c r="A13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L12" i="9"/>
  <c r="K12" i="9"/>
  <c r="J12" i="9"/>
  <c r="G12" i="9"/>
  <c r="I12" i="9" s="1"/>
  <c r="F12" i="9"/>
  <c r="D12" i="9"/>
  <c r="C12" i="9"/>
  <c r="E12" i="9" s="1" a="1"/>
  <c r="B12" i="9"/>
  <c r="A12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L11" i="9"/>
  <c r="K11" i="9"/>
  <c r="J11" i="9"/>
  <c r="G11" i="9"/>
  <c r="I11" i="9" s="1"/>
  <c r="F11" i="9"/>
  <c r="D11" i="9"/>
  <c r="C11" i="9"/>
  <c r="E11" i="9" s="1" a="1"/>
  <c r="B11" i="9"/>
  <c r="A11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L10" i="9"/>
  <c r="K10" i="9"/>
  <c r="J10" i="9"/>
  <c r="G10" i="9"/>
  <c r="I10" i="9" s="1"/>
  <c r="F10" i="9"/>
  <c r="D10" i="9"/>
  <c r="C10" i="9"/>
  <c r="E10" i="9" s="1" a="1"/>
  <c r="B10" i="9"/>
  <c r="A10" i="9"/>
  <c r="Z9" i="9"/>
  <c r="Y9" i="9"/>
  <c r="X9" i="9"/>
  <c r="W9" i="9"/>
  <c r="V9" i="9"/>
  <c r="U9" i="9"/>
  <c r="T9" i="9"/>
  <c r="S9" i="9"/>
  <c r="R9" i="9"/>
  <c r="Q9" i="9"/>
  <c r="P9" i="9"/>
  <c r="O9" i="9"/>
  <c r="N9" i="9"/>
  <c r="L9" i="9"/>
  <c r="K9" i="9"/>
  <c r="J9" i="9"/>
  <c r="G9" i="9"/>
  <c r="H9" i="9" s="1" a="1"/>
  <c r="F9" i="9"/>
  <c r="D9" i="9"/>
  <c r="C9" i="9"/>
  <c r="E9" i="9" s="1" a="1"/>
  <c r="B9" i="9"/>
  <c r="A9" i="9"/>
  <c r="Z8" i="9"/>
  <c r="Y8" i="9"/>
  <c r="X8" i="9"/>
  <c r="W8" i="9"/>
  <c r="V8" i="9"/>
  <c r="U8" i="9"/>
  <c r="T8" i="9"/>
  <c r="S8" i="9"/>
  <c r="R8" i="9"/>
  <c r="Q8" i="9"/>
  <c r="P8" i="9"/>
  <c r="O8" i="9"/>
  <c r="N8" i="9"/>
  <c r="L8" i="9"/>
  <c r="K8" i="9"/>
  <c r="J8" i="9"/>
  <c r="G8" i="9"/>
  <c r="H8" i="9" s="1" a="1"/>
  <c r="F8" i="9"/>
  <c r="D8" i="9"/>
  <c r="C8" i="9"/>
  <c r="E8" i="9" s="1" a="1"/>
  <c r="B8" i="9"/>
  <c r="A8" i="9"/>
  <c r="Z7" i="9"/>
  <c r="Y7" i="9"/>
  <c r="X7" i="9"/>
  <c r="W7" i="9"/>
  <c r="V7" i="9"/>
  <c r="U7" i="9"/>
  <c r="T7" i="9"/>
  <c r="S7" i="9"/>
  <c r="R7" i="9"/>
  <c r="Q7" i="9"/>
  <c r="P7" i="9"/>
  <c r="O7" i="9"/>
  <c r="N7" i="9"/>
  <c r="L7" i="9"/>
  <c r="K7" i="9"/>
  <c r="J7" i="9"/>
  <c r="G7" i="9"/>
  <c r="I7" i="9" s="1"/>
  <c r="F7" i="9"/>
  <c r="D7" i="9"/>
  <c r="C7" i="9"/>
  <c r="E7" i="9" s="1" a="1"/>
  <c r="B7" i="9"/>
  <c r="A7" i="9"/>
  <c r="Z6" i="9"/>
  <c r="Y6" i="9"/>
  <c r="X6" i="9"/>
  <c r="W6" i="9"/>
  <c r="V6" i="9"/>
  <c r="U6" i="9"/>
  <c r="T6" i="9"/>
  <c r="S6" i="9"/>
  <c r="R6" i="9"/>
  <c r="Q6" i="9"/>
  <c r="P6" i="9"/>
  <c r="O6" i="9"/>
  <c r="N6" i="9"/>
  <c r="L6" i="9"/>
  <c r="K6" i="9"/>
  <c r="J6" i="9"/>
  <c r="AD6" i="9" s="1"/>
  <c r="G6" i="9"/>
  <c r="H6" i="9" s="1" a="1"/>
  <c r="F6" i="9"/>
  <c r="D6" i="9"/>
  <c r="C6" i="9"/>
  <c r="E6" i="9" s="1" a="1"/>
  <c r="B6" i="9"/>
  <c r="AC6" i="9" s="1"/>
  <c r="A6" i="9"/>
  <c r="Z5" i="9"/>
  <c r="Y5" i="9"/>
  <c r="X5" i="9"/>
  <c r="W5" i="9"/>
  <c r="V5" i="9"/>
  <c r="U5" i="9"/>
  <c r="T5" i="9"/>
  <c r="S5" i="9"/>
  <c r="R5" i="9"/>
  <c r="Q5" i="9"/>
  <c r="P5" i="9"/>
  <c r="O5" i="9"/>
  <c r="N5" i="9"/>
  <c r="L5" i="9"/>
  <c r="K5" i="9"/>
  <c r="J5" i="9"/>
  <c r="G5" i="9"/>
  <c r="H5" i="9" s="1" a="1"/>
  <c r="F5" i="9"/>
  <c r="D5" i="9"/>
  <c r="C5" i="9"/>
  <c r="E5" i="9" s="1" a="1"/>
  <c r="B5" i="9"/>
  <c r="A5" i="9"/>
  <c r="Z4" i="9"/>
  <c r="Y4" i="9"/>
  <c r="X4" i="9"/>
  <c r="W4" i="9"/>
  <c r="V4" i="9"/>
  <c r="U4" i="9"/>
  <c r="T4" i="9"/>
  <c r="S4" i="9"/>
  <c r="R4" i="9"/>
  <c r="Q4" i="9"/>
  <c r="P4" i="9"/>
  <c r="O4" i="9"/>
  <c r="N4" i="9"/>
  <c r="L4" i="9"/>
  <c r="K4" i="9"/>
  <c r="J4" i="9"/>
  <c r="AD4" i="9" s="1"/>
  <c r="G4" i="9"/>
  <c r="I4" i="9" s="1"/>
  <c r="F4" i="9"/>
  <c r="D4" i="9"/>
  <c r="C4" i="9"/>
  <c r="E4" i="9" s="1" a="1"/>
  <c r="B4" i="9"/>
  <c r="AC4" i="9" s="1"/>
  <c r="A4" i="9"/>
  <c r="Z3" i="9"/>
  <c r="Y3" i="9"/>
  <c r="X3" i="9"/>
  <c r="W3" i="9"/>
  <c r="V3" i="9"/>
  <c r="U3" i="9"/>
  <c r="T3" i="9"/>
  <c r="S3" i="9"/>
  <c r="R3" i="9"/>
  <c r="Q3" i="9"/>
  <c r="P3" i="9"/>
  <c r="O3" i="9"/>
  <c r="N3" i="9"/>
  <c r="L3" i="9"/>
  <c r="K3" i="9"/>
  <c r="J3" i="9"/>
  <c r="G3" i="9"/>
  <c r="I3" i="9" s="1"/>
  <c r="F3" i="9"/>
  <c r="D3" i="9"/>
  <c r="C3" i="9"/>
  <c r="E3" i="9" s="1" a="1"/>
  <c r="B3" i="9"/>
  <c r="A3" i="9"/>
  <c r="E332" i="9" l="1" a="1"/>
  <c r="AC332" i="9"/>
  <c r="E112" i="9" a="1"/>
  <c r="E449" i="11" a="1"/>
  <c r="AC449" i="11"/>
  <c r="E8" i="11" a="1"/>
  <c r="E453" i="11" a="1"/>
  <c r="E343" i="11" a="1"/>
  <c r="AC343" i="11"/>
  <c r="E222" i="9" a="1"/>
  <c r="E467" i="11" a="1"/>
  <c r="AC357" i="11"/>
  <c r="E117" i="11" a="1"/>
  <c r="AD476" i="9"/>
  <c r="AD433" i="9"/>
  <c r="AD244" i="9"/>
  <c r="AD240" i="9"/>
  <c r="AD75" i="9"/>
  <c r="AC120" i="11"/>
  <c r="AC466" i="9"/>
  <c r="AC427" i="9"/>
  <c r="AC327" i="11"/>
  <c r="AC302" i="11"/>
  <c r="AC258" i="9"/>
  <c r="AC375" i="11"/>
  <c r="AC317" i="11"/>
  <c r="AC415" i="11"/>
  <c r="AC411" i="11"/>
  <c r="AC445" i="9"/>
  <c r="AC309" i="11"/>
  <c r="AD401" i="9"/>
  <c r="AD258" i="9"/>
  <c r="AD252" i="9"/>
  <c r="AD227" i="9"/>
  <c r="AD225" i="9"/>
  <c r="AD73" i="9"/>
  <c r="AD71" i="9"/>
  <c r="AD64" i="9"/>
  <c r="AD62" i="9"/>
  <c r="I649" i="11"/>
  <c r="H649" i="11" a="1"/>
  <c r="I648" i="11"/>
  <c r="H648" i="11" a="1"/>
  <c r="I646" i="11"/>
  <c r="H646" i="11" a="1"/>
  <c r="H644" i="11" a="1"/>
  <c r="I644" i="11"/>
  <c r="I642" i="11"/>
  <c r="H642" i="11" a="1"/>
  <c r="H640" i="11" a="1"/>
  <c r="I640" i="11"/>
  <c r="H638" i="11" a="1"/>
  <c r="I638" i="11"/>
  <c r="I637" i="11"/>
  <c r="H637" i="11" a="1"/>
  <c r="I636" i="11"/>
  <c r="H636" i="11" a="1"/>
  <c r="H633" i="11" a="1"/>
  <c r="I633" i="11"/>
  <c r="H632" i="11" a="1"/>
  <c r="I632" i="11"/>
  <c r="I631" i="11"/>
  <c r="H631" i="11" a="1"/>
  <c r="I630" i="11"/>
  <c r="H630" i="11" a="1"/>
  <c r="H629" i="11" a="1"/>
  <c r="I629" i="11"/>
  <c r="I628" i="11"/>
  <c r="H628" i="11" a="1"/>
  <c r="H623" i="11" a="1"/>
  <c r="I623" i="11"/>
  <c r="I622" i="11"/>
  <c r="H622" i="11" a="1"/>
  <c r="H621" i="11" a="1"/>
  <c r="I621" i="11"/>
  <c r="I619" i="11"/>
  <c r="H619" i="11" a="1"/>
  <c r="I618" i="11"/>
  <c r="H618" i="11" a="1"/>
  <c r="H617" i="11" a="1"/>
  <c r="I617" i="11"/>
  <c r="I616" i="11"/>
  <c r="H616" i="11" a="1"/>
  <c r="H613" i="11" a="1"/>
  <c r="I613" i="11"/>
  <c r="I611" i="11"/>
  <c r="H611" i="11" a="1"/>
  <c r="H605" i="11" a="1"/>
  <c r="I605" i="11"/>
  <c r="I604" i="11"/>
  <c r="H604" i="11" a="1"/>
  <c r="H602" i="11" a="1"/>
  <c r="I602" i="11"/>
  <c r="H601" i="11" a="1"/>
  <c r="I601" i="11"/>
  <c r="I600" i="11"/>
  <c r="H600" i="11" a="1"/>
  <c r="H599" i="11" a="1"/>
  <c r="I599" i="11"/>
  <c r="H598" i="11" a="1"/>
  <c r="I598" i="11"/>
  <c r="I595" i="11"/>
  <c r="H595" i="11" a="1"/>
  <c r="I592" i="11"/>
  <c r="H592" i="11" a="1"/>
  <c r="I591" i="11"/>
  <c r="H591" i="11" a="1"/>
  <c r="I590" i="11"/>
  <c r="H590" i="11" a="1"/>
  <c r="I588" i="11"/>
  <c r="H588" i="11" a="1"/>
  <c r="I587" i="11"/>
  <c r="H587" i="11" a="1"/>
  <c r="I582" i="11"/>
  <c r="H582" i="11" a="1"/>
  <c r="I581" i="11"/>
  <c r="H581" i="11" a="1"/>
  <c r="I574" i="11"/>
  <c r="H574" i="11" a="1"/>
  <c r="I573" i="11"/>
  <c r="H573" i="11" a="1"/>
  <c r="I571" i="11"/>
  <c r="H571" i="11" a="1"/>
  <c r="H570" i="11" a="1"/>
  <c r="I570" i="11"/>
  <c r="I569" i="11"/>
  <c r="H569" i="11" a="1"/>
  <c r="I567" i="11"/>
  <c r="H567" i="11" a="1"/>
  <c r="H565" i="11" a="1"/>
  <c r="I565" i="11"/>
  <c r="I562" i="11"/>
  <c r="H562" i="11" a="1"/>
  <c r="I561" i="11"/>
  <c r="H561" i="11" a="1"/>
  <c r="I560" i="11"/>
  <c r="H560" i="11" a="1"/>
  <c r="I559" i="11"/>
  <c r="H559" i="11" a="1"/>
  <c r="I556" i="11"/>
  <c r="H556" i="11" a="1"/>
  <c r="H555" i="11" a="1"/>
  <c r="I555" i="11"/>
  <c r="I552" i="11"/>
  <c r="H552" i="11" a="1"/>
  <c r="I551" i="11"/>
  <c r="H551" i="11" a="1"/>
  <c r="I550" i="11"/>
  <c r="H550" i="11" a="1"/>
  <c r="I542" i="11"/>
  <c r="H542" i="11" a="1"/>
  <c r="I528" i="11"/>
  <c r="H528" i="11" a="1"/>
  <c r="H523" i="11" a="1"/>
  <c r="I523" i="11"/>
  <c r="I520" i="11"/>
  <c r="H520" i="11" a="1"/>
  <c r="I499" i="11"/>
  <c r="H499" i="11" a="1"/>
  <c r="H146" i="11" a="1"/>
  <c r="I146" i="11"/>
  <c r="AD146" i="11" s="1"/>
  <c r="AD313" i="9"/>
  <c r="AD300" i="9"/>
  <c r="AD286" i="9"/>
  <c r="AD336" i="9"/>
  <c r="AD327" i="9"/>
  <c r="AD303" i="9"/>
  <c r="AD281" i="9"/>
  <c r="AD206" i="9"/>
  <c r="AD195" i="9"/>
  <c r="AD192" i="9"/>
  <c r="AD190" i="9"/>
  <c r="AD188" i="9"/>
  <c r="AC85" i="9"/>
  <c r="AD59" i="9"/>
  <c r="AD44" i="9"/>
  <c r="AD18" i="9"/>
  <c r="AD16" i="9"/>
  <c r="H401" i="11" a="1"/>
  <c r="I401" i="11"/>
  <c r="AD401" i="11" s="1"/>
  <c r="I387" i="11"/>
  <c r="AD387" i="11" s="1"/>
  <c r="H387" i="11" a="1"/>
  <c r="I350" i="11"/>
  <c r="AD350" i="11" s="1"/>
  <c r="H350" i="11" a="1"/>
  <c r="I231" i="11"/>
  <c r="AD231" i="11" s="1"/>
  <c r="H231" i="11" a="1"/>
  <c r="I227" i="11"/>
  <c r="AD227" i="11" s="1"/>
  <c r="H227" i="11" a="1"/>
  <c r="I226" i="11"/>
  <c r="AD226" i="11" s="1"/>
  <c r="H226" i="11" a="1"/>
  <c r="I222" i="11"/>
  <c r="AD222" i="11" s="1"/>
  <c r="H222" i="11" a="1"/>
  <c r="H169" i="11" a="1"/>
  <c r="I169" i="11"/>
  <c r="AD169" i="11" s="1"/>
  <c r="I159" i="11"/>
  <c r="AD159" i="11" s="1"/>
  <c r="H159" i="11" a="1"/>
  <c r="H142" i="11" a="1"/>
  <c r="I142" i="11"/>
  <c r="AD142" i="11" s="1"/>
  <c r="I141" i="11"/>
  <c r="AD141" i="11" s="1"/>
  <c r="H141" i="11" a="1"/>
  <c r="I127" i="11"/>
  <c r="AD127" i="11" s="1"/>
  <c r="H127" i="11" a="1"/>
  <c r="I118" i="11"/>
  <c r="AD118" i="11" s="1"/>
  <c r="H118" i="11" a="1"/>
  <c r="I103" i="11"/>
  <c r="AD103" i="11" s="1"/>
  <c r="H103" i="11" a="1"/>
  <c r="I77" i="11"/>
  <c r="AD77" i="11" s="1"/>
  <c r="H77" i="11" a="1"/>
  <c r="H54" i="11" a="1"/>
  <c r="I54" i="11"/>
  <c r="AD54" i="11" s="1"/>
  <c r="I652" i="11"/>
  <c r="H652" i="11" a="1"/>
  <c r="H651" i="11" a="1"/>
  <c r="I651" i="11"/>
  <c r="I650" i="11"/>
  <c r="H650" i="11" a="1"/>
  <c r="H647" i="11" a="1"/>
  <c r="I647" i="11"/>
  <c r="H645" i="11" a="1"/>
  <c r="I645" i="11"/>
  <c r="H643" i="11" a="1"/>
  <c r="I643" i="11"/>
  <c r="H641" i="11" a="1"/>
  <c r="I641" i="11"/>
  <c r="H639" i="11" a="1"/>
  <c r="I639" i="11"/>
  <c r="H635" i="11" a="1"/>
  <c r="I635" i="11"/>
  <c r="I634" i="11"/>
  <c r="H634" i="11" a="1"/>
  <c r="H627" i="11" a="1"/>
  <c r="I627" i="11"/>
  <c r="H626" i="11" a="1"/>
  <c r="I626" i="11"/>
  <c r="I625" i="11"/>
  <c r="H625" i="11" a="1"/>
  <c r="H624" i="11" a="1"/>
  <c r="I624" i="11"/>
  <c r="I620" i="11"/>
  <c r="H620" i="11" a="1"/>
  <c r="H615" i="11" a="1"/>
  <c r="I615" i="11"/>
  <c r="H614" i="11" a="1"/>
  <c r="I614" i="11"/>
  <c r="H612" i="11" a="1"/>
  <c r="I612" i="11"/>
  <c r="I610" i="11"/>
  <c r="H610" i="11" a="1"/>
  <c r="I609" i="11"/>
  <c r="H609" i="11" a="1"/>
  <c r="I608" i="11"/>
  <c r="H608" i="11" a="1"/>
  <c r="H607" i="11" a="1"/>
  <c r="I607" i="11"/>
  <c r="I606" i="11"/>
  <c r="H606" i="11" a="1"/>
  <c r="I603" i="11"/>
  <c r="H603" i="11" a="1"/>
  <c r="H597" i="11" a="1"/>
  <c r="I597" i="11"/>
  <c r="H596" i="11" a="1"/>
  <c r="I596" i="11"/>
  <c r="H594" i="11" a="1"/>
  <c r="I594" i="11"/>
  <c r="I593" i="11"/>
  <c r="H593" i="11" a="1"/>
  <c r="I589" i="11"/>
  <c r="H589" i="11" a="1"/>
  <c r="I586" i="11"/>
  <c r="H586" i="11" a="1"/>
  <c r="I585" i="11"/>
  <c r="H585" i="11" a="1"/>
  <c r="I584" i="11"/>
  <c r="H584" i="11" a="1"/>
  <c r="H583" i="11" a="1"/>
  <c r="I583" i="11"/>
  <c r="I580" i="11"/>
  <c r="H580" i="11" a="1"/>
  <c r="H579" i="11" a="1"/>
  <c r="I579" i="11"/>
  <c r="H578" i="11" a="1"/>
  <c r="I578" i="11"/>
  <c r="I577" i="11"/>
  <c r="H577" i="11" a="1"/>
  <c r="I576" i="11"/>
  <c r="H576" i="11" a="1"/>
  <c r="H575" i="11" a="1"/>
  <c r="I575" i="11"/>
  <c r="I572" i="11"/>
  <c r="H572" i="11" a="1"/>
  <c r="H568" i="11" a="1"/>
  <c r="I568" i="11"/>
  <c r="I566" i="11"/>
  <c r="H566" i="11" a="1"/>
  <c r="H564" i="11" a="1"/>
  <c r="I564" i="11"/>
  <c r="H563" i="11" a="1"/>
  <c r="I563" i="11"/>
  <c r="I558" i="11"/>
  <c r="H558" i="11" a="1"/>
  <c r="I557" i="11"/>
  <c r="H557" i="11" a="1"/>
  <c r="H554" i="11" a="1"/>
  <c r="I554" i="11"/>
  <c r="H553" i="11" a="1"/>
  <c r="I553" i="11"/>
  <c r="I549" i="11"/>
  <c r="H549" i="11" a="1"/>
  <c r="H548" i="11" a="1"/>
  <c r="I548" i="11"/>
  <c r="I547" i="11"/>
  <c r="H547" i="11" a="1"/>
  <c r="H546" i="11" a="1"/>
  <c r="I546" i="11"/>
  <c r="H545" i="11" a="1"/>
  <c r="I545" i="11"/>
  <c r="I544" i="11"/>
  <c r="H544" i="11" a="1"/>
  <c r="H543" i="11" a="1"/>
  <c r="I543" i="11"/>
  <c r="H541" i="11" a="1"/>
  <c r="I541" i="11"/>
  <c r="I540" i="11"/>
  <c r="H540" i="11" a="1"/>
  <c r="I539" i="11"/>
  <c r="H539" i="11" a="1"/>
  <c r="H538" i="11" a="1"/>
  <c r="I538" i="11"/>
  <c r="H537" i="11" a="1"/>
  <c r="I537" i="11"/>
  <c r="I536" i="11"/>
  <c r="H536" i="11" a="1"/>
  <c r="I535" i="11"/>
  <c r="H535" i="11" a="1"/>
  <c r="H534" i="11" a="1"/>
  <c r="I534" i="11"/>
  <c r="H533" i="11" a="1"/>
  <c r="I533" i="11"/>
  <c r="I532" i="11"/>
  <c r="H532" i="11" a="1"/>
  <c r="H531" i="11" a="1"/>
  <c r="I531" i="11"/>
  <c r="H530" i="11" a="1"/>
  <c r="I530" i="11"/>
  <c r="H529" i="11" a="1"/>
  <c r="I529" i="11"/>
  <c r="I527" i="11"/>
  <c r="H527" i="11" a="1"/>
  <c r="I526" i="11"/>
  <c r="H526" i="11" a="1"/>
  <c r="I525" i="11"/>
  <c r="H525" i="11" a="1"/>
  <c r="H524" i="11" a="1"/>
  <c r="I524" i="11"/>
  <c r="I522" i="11"/>
  <c r="H522" i="11" a="1"/>
  <c r="H521" i="11" a="1"/>
  <c r="I521" i="11"/>
  <c r="H519" i="11" a="1"/>
  <c r="I519" i="11"/>
  <c r="I518" i="11"/>
  <c r="H518" i="11" a="1"/>
  <c r="I517" i="11"/>
  <c r="H517" i="11" a="1"/>
  <c r="I516" i="11"/>
  <c r="H516" i="11" a="1"/>
  <c r="I515" i="11"/>
  <c r="H515" i="11" a="1"/>
  <c r="I514" i="11"/>
  <c r="H514" i="11" a="1"/>
  <c r="I513" i="11"/>
  <c r="H513" i="11" a="1"/>
  <c r="H512" i="11" a="1"/>
  <c r="I512" i="11"/>
  <c r="I511" i="11"/>
  <c r="H511" i="11" a="1"/>
  <c r="I510" i="11"/>
  <c r="H510" i="11" a="1"/>
  <c r="I509" i="11"/>
  <c r="H509" i="11" a="1"/>
  <c r="I508" i="11"/>
  <c r="H508" i="11" a="1"/>
  <c r="H507" i="11" a="1"/>
  <c r="I507" i="11"/>
  <c r="I506" i="11"/>
  <c r="H506" i="11" a="1"/>
  <c r="H505" i="11" a="1"/>
  <c r="I505" i="11"/>
  <c r="I504" i="11"/>
  <c r="H504" i="11" a="1"/>
  <c r="H503" i="11" a="1"/>
  <c r="I503" i="11"/>
  <c r="H502" i="11" a="1"/>
  <c r="I502" i="11"/>
  <c r="H501" i="11" a="1"/>
  <c r="I501" i="11"/>
  <c r="I500" i="11"/>
  <c r="H500" i="11" a="1"/>
  <c r="H498" i="11" a="1"/>
  <c r="I498" i="11"/>
  <c r="H497" i="11" a="1"/>
  <c r="I497" i="11"/>
  <c r="I496" i="11"/>
  <c r="H496" i="11" a="1"/>
  <c r="H495" i="11" a="1"/>
  <c r="I495" i="11"/>
  <c r="I494" i="11"/>
  <c r="H494" i="11" a="1"/>
  <c r="H493" i="11" a="1"/>
  <c r="I493" i="11"/>
  <c r="I492" i="11"/>
  <c r="H492" i="11" a="1"/>
  <c r="H491" i="11" a="1"/>
  <c r="I491" i="11"/>
  <c r="H490" i="11" a="1"/>
  <c r="I490" i="11"/>
  <c r="H489" i="11" a="1"/>
  <c r="I489" i="11"/>
  <c r="I488" i="11"/>
  <c r="H488" i="11" a="1"/>
  <c r="H487" i="11" a="1"/>
  <c r="I487" i="11"/>
  <c r="I486" i="11"/>
  <c r="H486" i="11" a="1"/>
  <c r="H485" i="11" a="1"/>
  <c r="I485" i="11"/>
  <c r="H484" i="11" a="1"/>
  <c r="I484" i="11"/>
  <c r="H483" i="11" a="1"/>
  <c r="I483" i="11"/>
  <c r="H482" i="11" a="1"/>
  <c r="I482" i="11"/>
  <c r="I481" i="11"/>
  <c r="H481" i="11" a="1"/>
  <c r="I480" i="11"/>
  <c r="H480" i="11" a="1"/>
  <c r="H479" i="11" a="1"/>
  <c r="I479" i="11"/>
  <c r="H478" i="11" a="1"/>
  <c r="I478" i="11"/>
  <c r="I477" i="11"/>
  <c r="H477" i="11" a="1"/>
  <c r="I476" i="11"/>
  <c r="AD476" i="11" s="1"/>
  <c r="H476" i="11" a="1"/>
  <c r="I475" i="11"/>
  <c r="AD475" i="11" s="1"/>
  <c r="H475" i="11" a="1"/>
  <c r="H474" i="11" a="1"/>
  <c r="I474" i="11"/>
  <c r="AD474" i="11" s="1"/>
  <c r="I473" i="11"/>
  <c r="AD473" i="11" s="1"/>
  <c r="H473" i="11" a="1"/>
  <c r="I472" i="11"/>
  <c r="AD472" i="11" s="1"/>
  <c r="H472" i="11" a="1"/>
  <c r="I471" i="11"/>
  <c r="AD471" i="11" s="1"/>
  <c r="H471" i="11" a="1"/>
  <c r="I470" i="11"/>
  <c r="H470" i="11" a="1"/>
  <c r="I469" i="11"/>
  <c r="AD469" i="11" s="1"/>
  <c r="H469" i="11" a="1"/>
  <c r="I468" i="11"/>
  <c r="AD468" i="11" s="1"/>
  <c r="H468" i="11" a="1"/>
  <c r="I467" i="11"/>
  <c r="AD467" i="11" s="1"/>
  <c r="H467" i="11" a="1"/>
  <c r="I466" i="11"/>
  <c r="AD466" i="11" s="1"/>
  <c r="H466" i="11" a="1"/>
  <c r="I465" i="11"/>
  <c r="AD465" i="11" s="1"/>
  <c r="H465" i="11" a="1"/>
  <c r="I464" i="11"/>
  <c r="AD464" i="11" s="1"/>
  <c r="H464" i="11" a="1"/>
  <c r="H463" i="11" a="1"/>
  <c r="I463" i="11"/>
  <c r="AD463" i="11" s="1"/>
  <c r="H462" i="11" a="1"/>
  <c r="I462" i="11"/>
  <c r="AD462" i="11" s="1"/>
  <c r="H461" i="11" a="1"/>
  <c r="I461" i="11"/>
  <c r="AD461" i="11" s="1"/>
  <c r="I460" i="11"/>
  <c r="AD460" i="11" s="1"/>
  <c r="H460" i="11" a="1"/>
  <c r="I459" i="11"/>
  <c r="AD459" i="11" s="1"/>
  <c r="H459" i="11" a="1"/>
  <c r="I458" i="11"/>
  <c r="AD458" i="11" s="1"/>
  <c r="H458" i="11" a="1"/>
  <c r="I457" i="11"/>
  <c r="AD457" i="11" s="1"/>
  <c r="H457" i="11" a="1"/>
  <c r="I456" i="11"/>
  <c r="AD456" i="11" s="1"/>
  <c r="H456" i="11" a="1"/>
  <c r="H455" i="11" a="1"/>
  <c r="I455" i="11"/>
  <c r="AD455" i="11" s="1"/>
  <c r="H454" i="11" a="1"/>
  <c r="I454" i="11"/>
  <c r="AD454" i="11" s="1"/>
  <c r="I453" i="11"/>
  <c r="AD453" i="11" s="1"/>
  <c r="H453" i="11" a="1"/>
  <c r="H452" i="11" a="1"/>
  <c r="I452" i="11"/>
  <c r="AD452" i="11" s="1"/>
  <c r="H451" i="11" a="1"/>
  <c r="I451" i="11"/>
  <c r="AD451" i="11" s="1"/>
  <c r="I450" i="11"/>
  <c r="AD450" i="11" s="1"/>
  <c r="H450" i="11" a="1"/>
  <c r="I449" i="11"/>
  <c r="AD449" i="11" s="1"/>
  <c r="H449" i="11" a="1"/>
  <c r="I448" i="11"/>
  <c r="AD448" i="11" s="1"/>
  <c r="H448" i="11" a="1"/>
  <c r="I447" i="11"/>
  <c r="AD447" i="11" s="1"/>
  <c r="H447" i="11" a="1"/>
  <c r="H446" i="11" a="1"/>
  <c r="I446" i="11"/>
  <c r="AD446" i="11" s="1"/>
  <c r="H445" i="11" a="1"/>
  <c r="I445" i="11"/>
  <c r="AD445" i="11" s="1"/>
  <c r="I444" i="11"/>
  <c r="AD444" i="11" s="1"/>
  <c r="H444" i="11" a="1"/>
  <c r="H443" i="11" a="1"/>
  <c r="I443" i="11"/>
  <c r="AD443" i="11" s="1"/>
  <c r="H442" i="11" a="1"/>
  <c r="I442" i="11"/>
  <c r="AD442" i="11" s="1"/>
  <c r="H441" i="11" a="1"/>
  <c r="I441" i="11"/>
  <c r="AD441" i="11" s="1"/>
  <c r="I440" i="11"/>
  <c r="AD440" i="11" s="1"/>
  <c r="H440" i="11" a="1"/>
  <c r="I439" i="11"/>
  <c r="AD439" i="11" s="1"/>
  <c r="H439" i="11" a="1"/>
  <c r="I438" i="11"/>
  <c r="AD438" i="11" s="1"/>
  <c r="H438" i="11" a="1"/>
  <c r="I437" i="11"/>
  <c r="AD437" i="11" s="1"/>
  <c r="H437" i="11" a="1"/>
  <c r="H436" i="11" a="1"/>
  <c r="I436" i="11"/>
  <c r="AD436" i="11" s="1"/>
  <c r="I435" i="11"/>
  <c r="AD435" i="11" s="1"/>
  <c r="H435" i="11" a="1"/>
  <c r="I434" i="11"/>
  <c r="AD434" i="11" s="1"/>
  <c r="H434" i="11" a="1"/>
  <c r="H433" i="11" a="1"/>
  <c r="I433" i="11"/>
  <c r="AD433" i="11" s="1"/>
  <c r="H432" i="11" a="1"/>
  <c r="I432" i="11"/>
  <c r="AD432" i="11" s="1"/>
  <c r="H431" i="11" a="1"/>
  <c r="I431" i="11"/>
  <c r="AD431" i="11" s="1"/>
  <c r="I430" i="11"/>
  <c r="AD430" i="11" s="1"/>
  <c r="H430" i="11" a="1"/>
  <c r="H429" i="11" a="1"/>
  <c r="I429" i="11"/>
  <c r="AD429" i="11" s="1"/>
  <c r="H428" i="11" a="1"/>
  <c r="I428" i="11"/>
  <c r="AD428" i="11" s="1"/>
  <c r="I427" i="11"/>
  <c r="AD427" i="11" s="1"/>
  <c r="H427" i="11" a="1"/>
  <c r="H426" i="11" a="1"/>
  <c r="I426" i="11"/>
  <c r="AD426" i="11" s="1"/>
  <c r="I425" i="11"/>
  <c r="AD425" i="11" s="1"/>
  <c r="H425" i="11" a="1"/>
  <c r="I424" i="11"/>
  <c r="AD424" i="11" s="1"/>
  <c r="H424" i="11" a="1"/>
  <c r="H423" i="11" a="1"/>
  <c r="I423" i="11"/>
  <c r="AD423" i="11" s="1"/>
  <c r="I422" i="11"/>
  <c r="AD422" i="11" s="1"/>
  <c r="H422" i="11" a="1"/>
  <c r="H421" i="11" a="1"/>
  <c r="I421" i="11"/>
  <c r="AD421" i="11" s="1"/>
  <c r="H420" i="11" a="1"/>
  <c r="I420" i="11"/>
  <c r="AD420" i="11" s="1"/>
  <c r="I419" i="11"/>
  <c r="AD419" i="11" s="1"/>
  <c r="H419" i="11" a="1"/>
  <c r="I418" i="11"/>
  <c r="AD418" i="11" s="1"/>
  <c r="H418" i="11" a="1"/>
  <c r="I417" i="11"/>
  <c r="AD417" i="11" s="1"/>
  <c r="H417" i="11" a="1"/>
  <c r="I416" i="11"/>
  <c r="AD416" i="11" s="1"/>
  <c r="H416" i="11" a="1"/>
  <c r="I415" i="11"/>
  <c r="AD415" i="11" s="1"/>
  <c r="H415" i="11" a="1"/>
  <c r="I414" i="11"/>
  <c r="AD414" i="11" s="1"/>
  <c r="H414" i="11" a="1"/>
  <c r="H413" i="11" a="1"/>
  <c r="I413" i="11"/>
  <c r="AD413" i="11" s="1"/>
  <c r="I412" i="11"/>
  <c r="AD412" i="11" s="1"/>
  <c r="H412" i="11" a="1"/>
  <c r="I411" i="11"/>
  <c r="AD411" i="11" s="1"/>
  <c r="H411" i="11" a="1"/>
  <c r="I410" i="11"/>
  <c r="AD410" i="11" s="1"/>
  <c r="H410" i="11" a="1"/>
  <c r="I409" i="11"/>
  <c r="AD409" i="11" s="1"/>
  <c r="H409" i="11" a="1"/>
  <c r="I408" i="11"/>
  <c r="AD408" i="11" s="1"/>
  <c r="H408" i="11" a="1"/>
  <c r="I407" i="11"/>
  <c r="AD407" i="11" s="1"/>
  <c r="H407" i="11" a="1"/>
  <c r="I406" i="11"/>
  <c r="AD406" i="11" s="1"/>
  <c r="H406" i="11" a="1"/>
  <c r="H405" i="11" a="1"/>
  <c r="I405" i="11"/>
  <c r="AD405" i="11" s="1"/>
  <c r="H404" i="11" a="1"/>
  <c r="I404" i="11"/>
  <c r="AD404" i="11" s="1"/>
  <c r="I403" i="11"/>
  <c r="AD403" i="11" s="1"/>
  <c r="H403" i="11" a="1"/>
  <c r="I402" i="11"/>
  <c r="AD402" i="11" s="1"/>
  <c r="H402" i="11" a="1"/>
  <c r="I400" i="11"/>
  <c r="AD400" i="11" s="1"/>
  <c r="H400" i="11" a="1"/>
  <c r="I399" i="11"/>
  <c r="AD399" i="11" s="1"/>
  <c r="H399" i="11" a="1"/>
  <c r="I398" i="11"/>
  <c r="AD398" i="11" s="1"/>
  <c r="H398" i="11" a="1"/>
  <c r="I397" i="11"/>
  <c r="AD397" i="11" s="1"/>
  <c r="H397" i="11" a="1"/>
  <c r="I396" i="11"/>
  <c r="AD396" i="11" s="1"/>
  <c r="H396" i="11" a="1"/>
  <c r="H395" i="11" a="1"/>
  <c r="I395" i="11"/>
  <c r="AD395" i="11" s="1"/>
  <c r="I394" i="11"/>
  <c r="AD394" i="11" s="1"/>
  <c r="H394" i="11" a="1"/>
  <c r="H393" i="11" a="1"/>
  <c r="I393" i="11"/>
  <c r="AD393" i="11" s="1"/>
  <c r="H392" i="11" a="1"/>
  <c r="I392" i="11"/>
  <c r="AD392" i="11" s="1"/>
  <c r="H391" i="11" a="1"/>
  <c r="I391" i="11"/>
  <c r="AD391" i="11" s="1"/>
  <c r="I390" i="11"/>
  <c r="AD390" i="11" s="1"/>
  <c r="H390" i="11" a="1"/>
  <c r="I389" i="11"/>
  <c r="AD389" i="11" s="1"/>
  <c r="H389" i="11" a="1"/>
  <c r="I388" i="11"/>
  <c r="AD388" i="11" s="1"/>
  <c r="H388" i="11" a="1"/>
  <c r="I386" i="11"/>
  <c r="AD386" i="11" s="1"/>
  <c r="H386" i="11" a="1"/>
  <c r="H385" i="11" a="1"/>
  <c r="I385" i="11"/>
  <c r="AD385" i="11" s="1"/>
  <c r="H384" i="11" a="1"/>
  <c r="I384" i="11"/>
  <c r="AD384" i="11" s="1"/>
  <c r="H383" i="11" a="1"/>
  <c r="I383" i="11"/>
  <c r="AD383" i="11" s="1"/>
  <c r="I382" i="11"/>
  <c r="AD382" i="11" s="1"/>
  <c r="H382" i="11" a="1"/>
  <c r="I381" i="11"/>
  <c r="AD381" i="11" s="1"/>
  <c r="H381" i="11" a="1"/>
  <c r="H380" i="11" a="1"/>
  <c r="I380" i="11"/>
  <c r="AD380" i="11" s="1"/>
  <c r="I379" i="11"/>
  <c r="AD379" i="11" s="1"/>
  <c r="H379" i="11" a="1"/>
  <c r="H378" i="11" a="1"/>
  <c r="I378" i="11"/>
  <c r="AD378" i="11" s="1"/>
  <c r="H377" i="11" a="1"/>
  <c r="I377" i="11"/>
  <c r="AD377" i="11" s="1"/>
  <c r="H376" i="11" a="1"/>
  <c r="I376" i="11"/>
  <c r="AD376" i="11" s="1"/>
  <c r="H375" i="11" a="1"/>
  <c r="I375" i="11"/>
  <c r="AD375" i="11" s="1"/>
  <c r="I374" i="11"/>
  <c r="AD374" i="11" s="1"/>
  <c r="H374" i="11" a="1"/>
  <c r="H373" i="11" a="1"/>
  <c r="I373" i="11"/>
  <c r="AD373" i="11" s="1"/>
  <c r="H372" i="11" a="1"/>
  <c r="I372" i="11"/>
  <c r="AD372" i="11" s="1"/>
  <c r="I371" i="11"/>
  <c r="AD371" i="11" s="1"/>
  <c r="H371" i="11" a="1"/>
  <c r="H370" i="11" a="1"/>
  <c r="I370" i="11"/>
  <c r="AD370" i="11" s="1"/>
  <c r="H369" i="11" a="1"/>
  <c r="I369" i="11"/>
  <c r="AD369" i="11" s="1"/>
  <c r="I368" i="11"/>
  <c r="AD368" i="11" s="1"/>
  <c r="H368" i="11" a="1"/>
  <c r="H367" i="11" a="1"/>
  <c r="I367" i="11"/>
  <c r="AD367" i="11" s="1"/>
  <c r="I366" i="11"/>
  <c r="AD366" i="11" s="1"/>
  <c r="H366" i="11" a="1"/>
  <c r="H365" i="11" a="1"/>
  <c r="I365" i="11"/>
  <c r="AD365" i="11" s="1"/>
  <c r="H364" i="11" a="1"/>
  <c r="I364" i="11"/>
  <c r="AD364" i="11" s="1"/>
  <c r="I363" i="11"/>
  <c r="AD363" i="11" s="1"/>
  <c r="H363" i="11" a="1"/>
  <c r="I362" i="11"/>
  <c r="AD362" i="11" s="1"/>
  <c r="H362" i="11" a="1"/>
  <c r="I361" i="11"/>
  <c r="AD361" i="11" s="1"/>
  <c r="H361" i="11" a="1"/>
  <c r="H360" i="11" a="1"/>
  <c r="I360" i="11"/>
  <c r="AD360" i="11" s="1"/>
  <c r="I359" i="11"/>
  <c r="AD359" i="11" s="1"/>
  <c r="H359" i="11" a="1"/>
  <c r="H358" i="11" a="1"/>
  <c r="I358" i="11"/>
  <c r="AD358" i="11" s="1"/>
  <c r="I357" i="11"/>
  <c r="AD357" i="11" s="1"/>
  <c r="H357" i="11" a="1"/>
  <c r="H356" i="11" a="1"/>
  <c r="I356" i="11"/>
  <c r="AD356" i="11" s="1"/>
  <c r="H355" i="11" a="1"/>
  <c r="I355" i="11"/>
  <c r="AD355" i="11" s="1"/>
  <c r="H354" i="11" a="1"/>
  <c r="I354" i="11"/>
  <c r="AD354" i="11" s="1"/>
  <c r="I353" i="11"/>
  <c r="AD353" i="11" s="1"/>
  <c r="H353" i="11" a="1"/>
  <c r="H352" i="11" a="1"/>
  <c r="I352" i="11"/>
  <c r="AD352" i="11" s="1"/>
  <c r="I351" i="11"/>
  <c r="AD351" i="11" s="1"/>
  <c r="H351" i="11" a="1"/>
  <c r="I349" i="11"/>
  <c r="AD349" i="11" s="1"/>
  <c r="H349" i="11" a="1"/>
  <c r="H348" i="11" a="1"/>
  <c r="I348" i="11"/>
  <c r="AD348" i="11" s="1"/>
  <c r="H347" i="11" a="1"/>
  <c r="I347" i="11"/>
  <c r="AD347" i="11" s="1"/>
  <c r="I346" i="11"/>
  <c r="AD346" i="11" s="1"/>
  <c r="H346" i="11" a="1"/>
  <c r="I345" i="11"/>
  <c r="AD345" i="11" s="1"/>
  <c r="H345" i="11" a="1"/>
  <c r="I344" i="11"/>
  <c r="AD344" i="11" s="1"/>
  <c r="H344" i="11" a="1"/>
  <c r="H343" i="11" a="1"/>
  <c r="I343" i="11"/>
  <c r="AD343" i="11" s="1"/>
  <c r="H342" i="11" a="1"/>
  <c r="I342" i="11"/>
  <c r="AD342" i="11" s="1"/>
  <c r="I341" i="11"/>
  <c r="AD341" i="11" s="1"/>
  <c r="H341" i="11" a="1"/>
  <c r="I340" i="11"/>
  <c r="AD340" i="11" s="1"/>
  <c r="H340" i="11" a="1"/>
  <c r="H339" i="11" a="1"/>
  <c r="I339" i="11"/>
  <c r="AD339" i="11" s="1"/>
  <c r="I338" i="11"/>
  <c r="AD338" i="11" s="1"/>
  <c r="H338" i="11" a="1"/>
  <c r="I337" i="11"/>
  <c r="AD337" i="11" s="1"/>
  <c r="H337" i="11" a="1"/>
  <c r="I336" i="11"/>
  <c r="AD336" i="11" s="1"/>
  <c r="H336" i="11" a="1"/>
  <c r="I335" i="11"/>
  <c r="AD335" i="11" s="1"/>
  <c r="H335" i="11" a="1"/>
  <c r="I334" i="11"/>
  <c r="AD334" i="11" s="1"/>
  <c r="H334" i="11" a="1"/>
  <c r="I333" i="11"/>
  <c r="AD333" i="11" s="1"/>
  <c r="H333" i="11" a="1"/>
  <c r="I332" i="11"/>
  <c r="AD332" i="11" s="1"/>
  <c r="H332" i="11" a="1"/>
  <c r="H331" i="11" a="1"/>
  <c r="I331" i="11"/>
  <c r="AD331" i="11" s="1"/>
  <c r="H330" i="11" a="1"/>
  <c r="I330" i="11"/>
  <c r="AD330" i="11" s="1"/>
  <c r="H329" i="11" a="1"/>
  <c r="I329" i="11"/>
  <c r="AD329" i="11" s="1"/>
  <c r="H328" i="11" a="1"/>
  <c r="I328" i="11"/>
  <c r="AD328" i="11" s="1"/>
  <c r="I327" i="11"/>
  <c r="AD327" i="11" s="1"/>
  <c r="H327" i="11" a="1"/>
  <c r="H326" i="11" a="1"/>
  <c r="I326" i="11"/>
  <c r="AD326" i="11" s="1"/>
  <c r="I325" i="11"/>
  <c r="AD325" i="11" s="1"/>
  <c r="H325" i="11" a="1"/>
  <c r="H324" i="11" a="1"/>
  <c r="I324" i="11"/>
  <c r="AD324" i="11" s="1"/>
  <c r="H323" i="11" a="1"/>
  <c r="I323" i="11"/>
  <c r="AD323" i="11" s="1"/>
  <c r="I322" i="11"/>
  <c r="AD322" i="11" s="1"/>
  <c r="H322" i="11" a="1"/>
  <c r="H321" i="11" a="1"/>
  <c r="I321" i="11"/>
  <c r="AD321" i="11" s="1"/>
  <c r="I320" i="11"/>
  <c r="AD320" i="11" s="1"/>
  <c r="H320" i="11" a="1"/>
  <c r="I319" i="11"/>
  <c r="AD319" i="11" s="1"/>
  <c r="H319" i="11" a="1"/>
  <c r="I318" i="11"/>
  <c r="AD318" i="11" s="1"/>
  <c r="H318" i="11" a="1"/>
  <c r="H317" i="11" a="1"/>
  <c r="I317" i="11"/>
  <c r="AD317" i="11" s="1"/>
  <c r="H316" i="11" a="1"/>
  <c r="I316" i="11"/>
  <c r="AD316" i="11" s="1"/>
  <c r="I315" i="11"/>
  <c r="AD315" i="11" s="1"/>
  <c r="H315" i="11" a="1"/>
  <c r="H314" i="11" a="1"/>
  <c r="I314" i="11"/>
  <c r="AD314" i="11" s="1"/>
  <c r="I313" i="11"/>
  <c r="AD313" i="11" s="1"/>
  <c r="H313" i="11" a="1"/>
  <c r="I312" i="11"/>
  <c r="AD312" i="11" s="1"/>
  <c r="H312" i="11" a="1"/>
  <c r="H311" i="11" a="1"/>
  <c r="I311" i="11"/>
  <c r="AD311" i="11" s="1"/>
  <c r="H310" i="11" a="1"/>
  <c r="I310" i="11"/>
  <c r="AD310" i="11" s="1"/>
  <c r="H309" i="11" a="1"/>
  <c r="I309" i="11"/>
  <c r="AD309" i="11" s="1"/>
  <c r="H308" i="11" a="1"/>
  <c r="I308" i="11"/>
  <c r="AD308" i="11" s="1"/>
  <c r="I307" i="11"/>
  <c r="AD307" i="11" s="1"/>
  <c r="H307" i="11" a="1"/>
  <c r="I306" i="11"/>
  <c r="AD306" i="11" s="1"/>
  <c r="H306" i="11" a="1"/>
  <c r="H305" i="11" a="1"/>
  <c r="I305" i="11"/>
  <c r="AD305" i="11" s="1"/>
  <c r="H304" i="11" a="1"/>
  <c r="I304" i="11"/>
  <c r="AD304" i="11" s="1"/>
  <c r="H303" i="11" a="1"/>
  <c r="I303" i="11"/>
  <c r="AD303" i="11" s="1"/>
  <c r="I302" i="11"/>
  <c r="AD302" i="11" s="1"/>
  <c r="H302" i="11" a="1"/>
  <c r="H301" i="11" a="1"/>
  <c r="I301" i="11"/>
  <c r="AD301" i="11" s="1"/>
  <c r="I300" i="11"/>
  <c r="AD300" i="11" s="1"/>
  <c r="H300" i="11" a="1"/>
  <c r="I299" i="11"/>
  <c r="AD299" i="11" s="1"/>
  <c r="H299" i="11" a="1"/>
  <c r="I298" i="11"/>
  <c r="AD298" i="11" s="1"/>
  <c r="H298" i="11" a="1"/>
  <c r="H297" i="11" a="1"/>
  <c r="I297" i="11"/>
  <c r="AD297" i="11" s="1"/>
  <c r="I296" i="11"/>
  <c r="AD296" i="11" s="1"/>
  <c r="H296" i="11" a="1"/>
  <c r="I295" i="11"/>
  <c r="AD295" i="11" s="1"/>
  <c r="H295" i="11" a="1"/>
  <c r="I294" i="11"/>
  <c r="AD294" i="11" s="1"/>
  <c r="H294" i="11" a="1"/>
  <c r="I293" i="11"/>
  <c r="AD293" i="11" s="1"/>
  <c r="H293" i="11" a="1"/>
  <c r="H292" i="11" a="1"/>
  <c r="I292" i="11"/>
  <c r="AD292" i="11" s="1"/>
  <c r="I291" i="11"/>
  <c r="AD291" i="11" s="1"/>
  <c r="H291" i="11" a="1"/>
  <c r="I290" i="11"/>
  <c r="AD290" i="11" s="1"/>
  <c r="H290" i="11" a="1"/>
  <c r="H289" i="11" a="1"/>
  <c r="I289" i="11"/>
  <c r="AD289" i="11" s="1"/>
  <c r="H288" i="11" a="1"/>
  <c r="I288" i="11"/>
  <c r="AD288" i="11" s="1"/>
  <c r="H287" i="11" a="1"/>
  <c r="I287" i="11"/>
  <c r="AD287" i="11" s="1"/>
  <c r="I286" i="11"/>
  <c r="AD286" i="11" s="1"/>
  <c r="H286" i="11" a="1"/>
  <c r="I285" i="11"/>
  <c r="AD285" i="11" s="1"/>
  <c r="H285" i="11" a="1"/>
  <c r="I284" i="11"/>
  <c r="AD284" i="11" s="1"/>
  <c r="H284" i="11" a="1"/>
  <c r="I283" i="11"/>
  <c r="AD283" i="11" s="1"/>
  <c r="H283" i="11" a="1"/>
  <c r="H282" i="11" a="1"/>
  <c r="I282" i="11"/>
  <c r="AD282" i="11" s="1"/>
  <c r="I281" i="11"/>
  <c r="AD281" i="11" s="1"/>
  <c r="H281" i="11" a="1"/>
  <c r="H280" i="11" a="1"/>
  <c r="I280" i="11"/>
  <c r="AD280" i="11" s="1"/>
  <c r="I279" i="11"/>
  <c r="AD279" i="11" s="1"/>
  <c r="H279" i="11" a="1"/>
  <c r="H278" i="11" a="1"/>
  <c r="I278" i="11"/>
  <c r="AD278" i="11" s="1"/>
  <c r="H277" i="11" a="1"/>
  <c r="I277" i="11"/>
  <c r="AD277" i="11" s="1"/>
  <c r="I276" i="11"/>
  <c r="AD276" i="11" s="1"/>
  <c r="H276" i="11" a="1"/>
  <c r="I275" i="11"/>
  <c r="AD275" i="11" s="1"/>
  <c r="H275" i="11" a="1"/>
  <c r="I274" i="11"/>
  <c r="AD274" i="11" s="1"/>
  <c r="H274" i="11" a="1"/>
  <c r="I273" i="11"/>
  <c r="AD273" i="11" s="1"/>
  <c r="H273" i="11" a="1"/>
  <c r="H272" i="11" a="1"/>
  <c r="I272" i="11"/>
  <c r="AD272" i="11" s="1"/>
  <c r="H271" i="11" a="1"/>
  <c r="I271" i="11"/>
  <c r="AD271" i="11" s="1"/>
  <c r="H270" i="11" a="1"/>
  <c r="I270" i="11"/>
  <c r="AD270" i="11" s="1"/>
  <c r="H269" i="11" a="1"/>
  <c r="I269" i="11"/>
  <c r="AD269" i="11" s="1"/>
  <c r="H268" i="11" a="1"/>
  <c r="I268" i="11"/>
  <c r="AD268" i="11" s="1"/>
  <c r="H267" i="11" a="1"/>
  <c r="I267" i="11"/>
  <c r="AD267" i="11" s="1"/>
  <c r="I266" i="11"/>
  <c r="AD266" i="11" s="1"/>
  <c r="H266" i="11" a="1"/>
  <c r="H265" i="11" a="1"/>
  <c r="I265" i="11"/>
  <c r="AD265" i="11" s="1"/>
  <c r="H264" i="11" a="1"/>
  <c r="I264" i="11"/>
  <c r="AD264" i="11" s="1"/>
  <c r="H263" i="11" a="1"/>
  <c r="I263" i="11"/>
  <c r="AD263" i="11" s="1"/>
  <c r="I262" i="11"/>
  <c r="AD262" i="11" s="1"/>
  <c r="H262" i="11" a="1"/>
  <c r="I261" i="11"/>
  <c r="AD261" i="11" s="1"/>
  <c r="H261" i="11" a="1"/>
  <c r="I260" i="11"/>
  <c r="AD260" i="11" s="1"/>
  <c r="H260" i="11" a="1"/>
  <c r="H259" i="11" a="1"/>
  <c r="I259" i="11"/>
  <c r="AD259" i="11" s="1"/>
  <c r="H258" i="11" a="1"/>
  <c r="I258" i="11"/>
  <c r="AD258" i="11" s="1"/>
  <c r="H257" i="11" a="1"/>
  <c r="I257" i="11"/>
  <c r="AD257" i="11" s="1"/>
  <c r="I256" i="11"/>
  <c r="AD256" i="11" s="1"/>
  <c r="H256" i="11" a="1"/>
  <c r="I255" i="11"/>
  <c r="AD255" i="11" s="1"/>
  <c r="H255" i="11" a="1"/>
  <c r="I254" i="11"/>
  <c r="AD254" i="11" s="1"/>
  <c r="H254" i="11" a="1"/>
  <c r="I253" i="11"/>
  <c r="AD253" i="11" s="1"/>
  <c r="H253" i="11" a="1"/>
  <c r="I252" i="11"/>
  <c r="AD252" i="11" s="1"/>
  <c r="H252" i="11" a="1"/>
  <c r="H251" i="11" a="1"/>
  <c r="I251" i="11"/>
  <c r="AD251" i="11" s="1"/>
  <c r="H250" i="11" a="1"/>
  <c r="I250" i="11"/>
  <c r="AD250" i="11" s="1"/>
  <c r="I249" i="11"/>
  <c r="AD249" i="11" s="1"/>
  <c r="H249" i="11" a="1"/>
  <c r="I248" i="11"/>
  <c r="AD248" i="11" s="1"/>
  <c r="H248" i="11" a="1"/>
  <c r="I247" i="11"/>
  <c r="AD247" i="11" s="1"/>
  <c r="H247" i="11" a="1"/>
  <c r="I246" i="11"/>
  <c r="AD246" i="11" s="1"/>
  <c r="H246" i="11" a="1"/>
  <c r="H245" i="11" a="1"/>
  <c r="I245" i="11"/>
  <c r="AD245" i="11" s="1"/>
  <c r="I244" i="11"/>
  <c r="AD244" i="11" s="1"/>
  <c r="H244" i="11" a="1"/>
  <c r="I243" i="11"/>
  <c r="AD243" i="11" s="1"/>
  <c r="H243" i="11" a="1"/>
  <c r="H242" i="11" a="1"/>
  <c r="I242" i="11"/>
  <c r="AD242" i="11" s="1"/>
  <c r="H241" i="11" a="1"/>
  <c r="I241" i="11"/>
  <c r="AD241" i="11" s="1"/>
  <c r="H240" i="11" a="1"/>
  <c r="I240" i="11"/>
  <c r="AD240" i="11" s="1"/>
  <c r="I239" i="11"/>
  <c r="AD239" i="11" s="1"/>
  <c r="H239" i="11" a="1"/>
  <c r="H238" i="11" a="1"/>
  <c r="I238" i="11"/>
  <c r="AD238" i="11" s="1"/>
  <c r="I237" i="11"/>
  <c r="AD237" i="11" s="1"/>
  <c r="H237" i="11" a="1"/>
  <c r="I236" i="11"/>
  <c r="AD236" i="11" s="1"/>
  <c r="H236" i="11" a="1"/>
  <c r="I235" i="11"/>
  <c r="AD235" i="11" s="1"/>
  <c r="H235" i="11" a="1"/>
  <c r="H234" i="11" a="1"/>
  <c r="I234" i="11"/>
  <c r="AD234" i="11" s="1"/>
  <c r="H233" i="11" a="1"/>
  <c r="I233" i="11"/>
  <c r="AD233" i="11" s="1"/>
  <c r="I232" i="11"/>
  <c r="AD232" i="11" s="1"/>
  <c r="H232" i="11" a="1"/>
  <c r="H230" i="11" a="1"/>
  <c r="I230" i="11"/>
  <c r="AD230" i="11" s="1"/>
  <c r="H229" i="11" a="1"/>
  <c r="I229" i="11"/>
  <c r="AD229" i="11" s="1"/>
  <c r="I228" i="11"/>
  <c r="AD228" i="11" s="1"/>
  <c r="H228" i="11" a="1"/>
  <c r="I225" i="11"/>
  <c r="AD225" i="11" s="1"/>
  <c r="H225" i="11" a="1"/>
  <c r="H224" i="11" a="1"/>
  <c r="I224" i="11"/>
  <c r="AD224" i="11" s="1"/>
  <c r="I223" i="11"/>
  <c r="AD223" i="11" s="1"/>
  <c r="H223" i="11" a="1"/>
  <c r="I221" i="11"/>
  <c r="AD221" i="11" s="1"/>
  <c r="H221" i="11" a="1"/>
  <c r="H220" i="11" a="1"/>
  <c r="I220" i="11"/>
  <c r="AD220" i="11" s="1"/>
  <c r="I219" i="11"/>
  <c r="AD219" i="11" s="1"/>
  <c r="H219" i="11" a="1"/>
  <c r="H218" i="11" a="1"/>
  <c r="I218" i="11"/>
  <c r="AD218" i="11" s="1"/>
  <c r="H217" i="11" a="1"/>
  <c r="I217" i="11"/>
  <c r="AD217" i="11" s="1"/>
  <c r="I216" i="11"/>
  <c r="AD216" i="11" s="1"/>
  <c r="H216" i="11" a="1"/>
  <c r="I215" i="11"/>
  <c r="AD215" i="11" s="1"/>
  <c r="H215" i="11" a="1"/>
  <c r="H214" i="11" a="1"/>
  <c r="I214" i="11"/>
  <c r="AD214" i="11" s="1"/>
  <c r="I213" i="11"/>
  <c r="AD213" i="11" s="1"/>
  <c r="H213" i="11" a="1"/>
  <c r="I212" i="11"/>
  <c r="AD212" i="11" s="1"/>
  <c r="H212" i="11" a="1"/>
  <c r="H211" i="11" a="1"/>
  <c r="I211" i="11"/>
  <c r="AD211" i="11" s="1"/>
  <c r="I210" i="11"/>
  <c r="AD210" i="11" s="1"/>
  <c r="H210" i="11" a="1"/>
  <c r="I209" i="11"/>
  <c r="AD209" i="11" s="1"/>
  <c r="H209" i="11" a="1"/>
  <c r="I208" i="11"/>
  <c r="AD208" i="11" s="1"/>
  <c r="H208" i="11" a="1"/>
  <c r="H207" i="11" a="1"/>
  <c r="I207" i="11"/>
  <c r="AD207" i="11" s="1"/>
  <c r="I206" i="11"/>
  <c r="AD206" i="11" s="1"/>
  <c r="H206" i="11" a="1"/>
  <c r="I205" i="11"/>
  <c r="AD205" i="11" s="1"/>
  <c r="H205" i="11" a="1"/>
  <c r="H204" i="11" a="1"/>
  <c r="I204" i="11"/>
  <c r="AD204" i="11" s="1"/>
  <c r="I203" i="11"/>
  <c r="AD203" i="11" s="1"/>
  <c r="H203" i="11" a="1"/>
  <c r="I202" i="11"/>
  <c r="AD202" i="11" s="1"/>
  <c r="H202" i="11" a="1"/>
  <c r="I201" i="11"/>
  <c r="AD201" i="11" s="1"/>
  <c r="H201" i="11" a="1"/>
  <c r="H200" i="11" a="1"/>
  <c r="I200" i="11"/>
  <c r="AD200" i="11" s="1"/>
  <c r="I199" i="11"/>
  <c r="AD199" i="11" s="1"/>
  <c r="H199" i="11" a="1"/>
  <c r="I198" i="11"/>
  <c r="AD198" i="11" s="1"/>
  <c r="H198" i="11" a="1"/>
  <c r="I197" i="11"/>
  <c r="AD197" i="11" s="1"/>
  <c r="H197" i="11" a="1"/>
  <c r="I196" i="11"/>
  <c r="AD196" i="11" s="1"/>
  <c r="H196" i="11" a="1"/>
  <c r="H195" i="11" a="1"/>
  <c r="I195" i="11"/>
  <c r="AD195" i="11" s="1"/>
  <c r="H194" i="11" a="1"/>
  <c r="I194" i="11"/>
  <c r="AD194" i="11" s="1"/>
  <c r="H193" i="11" a="1"/>
  <c r="I193" i="11"/>
  <c r="AD193" i="11" s="1"/>
  <c r="H192" i="11" a="1"/>
  <c r="I192" i="11"/>
  <c r="AD192" i="11" s="1"/>
  <c r="H191" i="11" a="1"/>
  <c r="I191" i="11"/>
  <c r="AD191" i="11" s="1"/>
  <c r="I190" i="11"/>
  <c r="AD190" i="11" s="1"/>
  <c r="H190" i="11" a="1"/>
  <c r="I189" i="11"/>
  <c r="AD189" i="11" s="1"/>
  <c r="H189" i="11" a="1"/>
  <c r="H188" i="11" a="1"/>
  <c r="I188" i="11"/>
  <c r="AD188" i="11" s="1"/>
  <c r="I187" i="11"/>
  <c r="AD187" i="11" s="1"/>
  <c r="H187" i="11" a="1"/>
  <c r="I186" i="11"/>
  <c r="AD186" i="11" s="1"/>
  <c r="H186" i="11" a="1"/>
  <c r="I185" i="11"/>
  <c r="AD185" i="11" s="1"/>
  <c r="H185" i="11" a="1"/>
  <c r="I184" i="11"/>
  <c r="AD184" i="11" s="1"/>
  <c r="H184" i="11" a="1"/>
  <c r="H183" i="11" a="1"/>
  <c r="I183" i="11"/>
  <c r="AD183" i="11" s="1"/>
  <c r="I182" i="11"/>
  <c r="AD182" i="11" s="1"/>
  <c r="H182" i="11" a="1"/>
  <c r="I181" i="11"/>
  <c r="AD181" i="11" s="1"/>
  <c r="H181" i="11" a="1"/>
  <c r="H180" i="11" a="1"/>
  <c r="I180" i="11"/>
  <c r="AD180" i="11" s="1"/>
  <c r="I179" i="11"/>
  <c r="AD179" i="11" s="1"/>
  <c r="H179" i="11" a="1"/>
  <c r="H178" i="11" a="1"/>
  <c r="I178" i="11"/>
  <c r="AD178" i="11" s="1"/>
  <c r="H177" i="11" a="1"/>
  <c r="I177" i="11"/>
  <c r="AD177" i="11" s="1"/>
  <c r="I176" i="11"/>
  <c r="AD176" i="11" s="1"/>
  <c r="H176" i="11" a="1"/>
  <c r="H175" i="11" a="1"/>
  <c r="I175" i="11"/>
  <c r="AD175" i="11" s="1"/>
  <c r="H174" i="11" a="1"/>
  <c r="I174" i="11"/>
  <c r="AD174" i="11" s="1"/>
  <c r="I173" i="11"/>
  <c r="AD173" i="11" s="1"/>
  <c r="H173" i="11" a="1"/>
  <c r="I172" i="11"/>
  <c r="AD172" i="11" s="1"/>
  <c r="H172" i="11" a="1"/>
  <c r="H171" i="11" a="1"/>
  <c r="I171" i="11"/>
  <c r="AD171" i="11" s="1"/>
  <c r="I170" i="11"/>
  <c r="AD170" i="11" s="1"/>
  <c r="H170" i="11" a="1"/>
  <c r="I168" i="11"/>
  <c r="AD168" i="11" s="1"/>
  <c r="H168" i="11" a="1"/>
  <c r="I167" i="11"/>
  <c r="AD167" i="11" s="1"/>
  <c r="H167" i="11" a="1"/>
  <c r="I166" i="11"/>
  <c r="AD166" i="11" s="1"/>
  <c r="H166" i="11" a="1"/>
  <c r="H165" i="11" a="1"/>
  <c r="I165" i="11"/>
  <c r="AD165" i="11" s="1"/>
  <c r="I164" i="11"/>
  <c r="AD164" i="11" s="1"/>
  <c r="H164" i="11" a="1"/>
  <c r="I163" i="11"/>
  <c r="AD163" i="11" s="1"/>
  <c r="H163" i="11" a="1"/>
  <c r="H162" i="11" a="1"/>
  <c r="I162" i="11"/>
  <c r="AD162" i="11" s="1"/>
  <c r="I161" i="11"/>
  <c r="AD161" i="11" s="1"/>
  <c r="H161" i="11" a="1"/>
  <c r="H160" i="11" a="1"/>
  <c r="I160" i="11"/>
  <c r="AD160" i="11" s="1"/>
  <c r="I158" i="11"/>
  <c r="AD158" i="11" s="1"/>
  <c r="H158" i="11" a="1"/>
  <c r="H157" i="11" a="1"/>
  <c r="I157" i="11"/>
  <c r="AD157" i="11" s="1"/>
  <c r="H156" i="11" a="1"/>
  <c r="I156" i="11"/>
  <c r="AD156" i="11" s="1"/>
  <c r="H155" i="11" a="1"/>
  <c r="I155" i="11"/>
  <c r="AD155" i="11" s="1"/>
  <c r="H154" i="11" a="1"/>
  <c r="I154" i="11"/>
  <c r="AD154" i="11" s="1"/>
  <c r="H153" i="11" a="1"/>
  <c r="I153" i="11"/>
  <c r="AD153" i="11" s="1"/>
  <c r="I152" i="11"/>
  <c r="AD152" i="11" s="1"/>
  <c r="H152" i="11" a="1"/>
  <c r="I151" i="11"/>
  <c r="AD151" i="11" s="1"/>
  <c r="H151" i="11" a="1"/>
  <c r="H150" i="11" a="1"/>
  <c r="I150" i="11"/>
  <c r="AD150" i="11" s="1"/>
  <c r="H149" i="11" a="1"/>
  <c r="I149" i="11"/>
  <c r="AD149" i="11" s="1"/>
  <c r="I148" i="11"/>
  <c r="AD148" i="11" s="1"/>
  <c r="H148" i="11" a="1"/>
  <c r="H147" i="11" a="1"/>
  <c r="I147" i="11"/>
  <c r="AD147" i="11" s="1"/>
  <c r="H145" i="11" a="1"/>
  <c r="I145" i="11"/>
  <c r="AD145" i="11" s="1"/>
  <c r="I144" i="11"/>
  <c r="AD144" i="11" s="1"/>
  <c r="H144" i="11" a="1"/>
  <c r="I143" i="11"/>
  <c r="AD143" i="11" s="1"/>
  <c r="H143" i="11" a="1"/>
  <c r="I140" i="11"/>
  <c r="AD140" i="11" s="1"/>
  <c r="H140" i="11" a="1"/>
  <c r="H139" i="11" a="1"/>
  <c r="I139" i="11"/>
  <c r="AD139" i="11" s="1"/>
  <c r="H138" i="11" a="1"/>
  <c r="I138" i="11"/>
  <c r="AD138" i="11" s="1"/>
  <c r="H137" i="11" a="1"/>
  <c r="I137" i="11"/>
  <c r="AD137" i="11" s="1"/>
  <c r="H136" i="11" a="1"/>
  <c r="I136" i="11"/>
  <c r="AD136" i="11" s="1"/>
  <c r="H135" i="11" a="1"/>
  <c r="I135" i="11"/>
  <c r="AD135" i="11" s="1"/>
  <c r="H134" i="11" a="1"/>
  <c r="I134" i="11"/>
  <c r="AD134" i="11" s="1"/>
  <c r="I133" i="11"/>
  <c r="AD133" i="11" s="1"/>
  <c r="H133" i="11" a="1"/>
  <c r="H132" i="11" a="1"/>
  <c r="I132" i="11"/>
  <c r="AD132" i="11" s="1"/>
  <c r="I131" i="11"/>
  <c r="AD131" i="11" s="1"/>
  <c r="H131" i="11" a="1"/>
  <c r="H130" i="11" a="1"/>
  <c r="I130" i="11"/>
  <c r="AD130" i="11" s="1"/>
  <c r="H129" i="11" a="1"/>
  <c r="I129" i="11"/>
  <c r="AD129" i="11" s="1"/>
  <c r="I128" i="11"/>
  <c r="AD128" i="11" s="1"/>
  <c r="H128" i="11" a="1"/>
  <c r="I126" i="11"/>
  <c r="AD126" i="11" s="1"/>
  <c r="H126" i="11" a="1"/>
  <c r="H125" i="11" a="1"/>
  <c r="I125" i="11"/>
  <c r="AD125" i="11" s="1"/>
  <c r="I124" i="11"/>
  <c r="AD124" i="11" s="1"/>
  <c r="H124" i="11" a="1"/>
  <c r="H123" i="11" a="1"/>
  <c r="I123" i="11"/>
  <c r="AD123" i="11" s="1"/>
  <c r="I122" i="11"/>
  <c r="AD122" i="11" s="1"/>
  <c r="H122" i="11" a="1"/>
  <c r="H121" i="11" a="1"/>
  <c r="I121" i="11"/>
  <c r="AD121" i="11" s="1"/>
  <c r="I120" i="11"/>
  <c r="AD120" i="11" s="1"/>
  <c r="H120" i="11" a="1"/>
  <c r="H119" i="11" a="1"/>
  <c r="I119" i="11"/>
  <c r="AD119" i="11" s="1"/>
  <c r="H117" i="11" a="1"/>
  <c r="I117" i="11"/>
  <c r="AD117" i="11" s="1"/>
  <c r="I116" i="11"/>
  <c r="AD116" i="11" s="1"/>
  <c r="H116" i="11" a="1"/>
  <c r="I115" i="11"/>
  <c r="AD115" i="11" s="1"/>
  <c r="H115" i="11" a="1"/>
  <c r="H114" i="11" a="1"/>
  <c r="I114" i="11"/>
  <c r="AD114" i="11" s="1"/>
  <c r="H113" i="11" a="1"/>
  <c r="I113" i="11"/>
  <c r="AD113" i="11" s="1"/>
  <c r="H112" i="11" a="1"/>
  <c r="I112" i="11"/>
  <c r="AD112" i="11" s="1"/>
  <c r="H111" i="11" a="1"/>
  <c r="I111" i="11"/>
  <c r="AD111" i="11" s="1"/>
  <c r="I110" i="11"/>
  <c r="AD110" i="11" s="1"/>
  <c r="H110" i="11" a="1"/>
  <c r="H109" i="11" a="1"/>
  <c r="I109" i="11"/>
  <c r="AD109" i="11" s="1"/>
  <c r="H108" i="11" a="1"/>
  <c r="I108" i="11"/>
  <c r="AD108" i="11" s="1"/>
  <c r="I107" i="11"/>
  <c r="AD107" i="11" s="1"/>
  <c r="H107" i="11" a="1"/>
  <c r="H106" i="11" a="1"/>
  <c r="I106" i="11"/>
  <c r="AD106" i="11" s="1"/>
  <c r="I105" i="11"/>
  <c r="AD105" i="11" s="1"/>
  <c r="H105" i="11" a="1"/>
  <c r="H104" i="11" a="1"/>
  <c r="I104" i="11"/>
  <c r="AD104" i="11" s="1"/>
  <c r="I102" i="11"/>
  <c r="AD102" i="11" s="1"/>
  <c r="H102" i="11" a="1"/>
  <c r="I101" i="11"/>
  <c r="AD101" i="11" s="1"/>
  <c r="H101" i="11" a="1"/>
  <c r="I100" i="11"/>
  <c r="AD100" i="11" s="1"/>
  <c r="H100" i="11" a="1"/>
  <c r="I99" i="11"/>
  <c r="AD99" i="11" s="1"/>
  <c r="H99" i="11" a="1"/>
  <c r="H98" i="11" a="1"/>
  <c r="I98" i="11"/>
  <c r="AD98" i="11" s="1"/>
  <c r="I97" i="11"/>
  <c r="AD97" i="11" s="1"/>
  <c r="H97" i="11" a="1"/>
  <c r="I96" i="11"/>
  <c r="AD96" i="11" s="1"/>
  <c r="H96" i="11" a="1"/>
  <c r="H95" i="11" a="1"/>
  <c r="I95" i="11"/>
  <c r="AD95" i="11" s="1"/>
  <c r="I94" i="11"/>
  <c r="AD94" i="11" s="1"/>
  <c r="H94" i="11" a="1"/>
  <c r="H93" i="11" a="1"/>
  <c r="I93" i="11"/>
  <c r="AD93" i="11" s="1"/>
  <c r="I92" i="11"/>
  <c r="AD92" i="11" s="1"/>
  <c r="H92" i="11" a="1"/>
  <c r="I91" i="11"/>
  <c r="AD91" i="11" s="1"/>
  <c r="H91" i="11" a="1"/>
  <c r="I90" i="11"/>
  <c r="AD90" i="11" s="1"/>
  <c r="H90" i="11" a="1"/>
  <c r="I89" i="11"/>
  <c r="AD89" i="11" s="1"/>
  <c r="H89" i="11" a="1"/>
  <c r="H88" i="11" a="1"/>
  <c r="I88" i="11"/>
  <c r="AD88" i="11" s="1"/>
  <c r="I87" i="11"/>
  <c r="AD87" i="11" s="1"/>
  <c r="H87" i="11" a="1"/>
  <c r="H86" i="11" a="1"/>
  <c r="I86" i="11"/>
  <c r="AD86" i="11" s="1"/>
  <c r="I85" i="11"/>
  <c r="AD85" i="11" s="1"/>
  <c r="H85" i="11" a="1"/>
  <c r="H84" i="11" a="1"/>
  <c r="I84" i="11"/>
  <c r="AD84" i="11" s="1"/>
  <c r="I83" i="11"/>
  <c r="AD83" i="11" s="1"/>
  <c r="H83" i="11" a="1"/>
  <c r="I82" i="11"/>
  <c r="AD82" i="11" s="1"/>
  <c r="H82" i="11" a="1"/>
  <c r="H81" i="11" a="1"/>
  <c r="I81" i="11"/>
  <c r="AD81" i="11" s="1"/>
  <c r="H80" i="11" a="1"/>
  <c r="I80" i="11"/>
  <c r="AD80" i="11" s="1"/>
  <c r="I79" i="11"/>
  <c r="AD79" i="11" s="1"/>
  <c r="H79" i="11" a="1"/>
  <c r="H78" i="11" a="1"/>
  <c r="I78" i="11"/>
  <c r="AD78" i="11" s="1"/>
  <c r="I76" i="11"/>
  <c r="AD76" i="11" s="1"/>
  <c r="H76" i="11" a="1"/>
  <c r="H75" i="11" a="1"/>
  <c r="I75" i="11"/>
  <c r="AD75" i="11" s="1"/>
  <c r="H74" i="11" a="1"/>
  <c r="I74" i="11"/>
  <c r="AD74" i="11" s="1"/>
  <c r="I73" i="11"/>
  <c r="AD73" i="11" s="1"/>
  <c r="H73" i="11" a="1"/>
  <c r="H72" i="11" a="1"/>
  <c r="I72" i="11"/>
  <c r="AD72" i="11" s="1"/>
  <c r="I71" i="11"/>
  <c r="AD71" i="11" s="1"/>
  <c r="H71" i="11" a="1"/>
  <c r="I70" i="11"/>
  <c r="AD70" i="11" s="1"/>
  <c r="H70" i="11" a="1"/>
  <c r="I69" i="11"/>
  <c r="AD69" i="11" s="1"/>
  <c r="H69" i="11" a="1"/>
  <c r="I68" i="11"/>
  <c r="AD68" i="11" s="1"/>
  <c r="H68" i="11" a="1"/>
  <c r="H67" i="11" a="1"/>
  <c r="I67" i="11"/>
  <c r="AD67" i="11" s="1"/>
  <c r="H66" i="11" a="1"/>
  <c r="I66" i="11"/>
  <c r="AD66" i="11" s="1"/>
  <c r="I65" i="11"/>
  <c r="AD65" i="11" s="1"/>
  <c r="H65" i="11" a="1"/>
  <c r="I64" i="11"/>
  <c r="AD64" i="11" s="1"/>
  <c r="H64" i="11" a="1"/>
  <c r="I63" i="11"/>
  <c r="AD63" i="11" s="1"/>
  <c r="H63" i="11" a="1"/>
  <c r="I62" i="11"/>
  <c r="AD62" i="11" s="1"/>
  <c r="H62" i="11" a="1"/>
  <c r="H61" i="11" a="1"/>
  <c r="I61" i="11"/>
  <c r="AD61" i="11" s="1"/>
  <c r="H60" i="11" a="1"/>
  <c r="I60" i="11"/>
  <c r="AD60" i="11" s="1"/>
  <c r="H59" i="11" a="1"/>
  <c r="I59" i="11"/>
  <c r="AD59" i="11" s="1"/>
  <c r="I58" i="11"/>
  <c r="AD58" i="11" s="1"/>
  <c r="H58" i="11" a="1"/>
  <c r="I57" i="11"/>
  <c r="AD57" i="11" s="1"/>
  <c r="H57" i="11" a="1"/>
  <c r="H56" i="11" a="1"/>
  <c r="I56" i="11"/>
  <c r="AD56" i="11" s="1"/>
  <c r="H55" i="11" a="1"/>
  <c r="I55" i="11"/>
  <c r="AD55" i="11" s="1"/>
  <c r="I53" i="11"/>
  <c r="AD53" i="11" s="1"/>
  <c r="H53" i="11" a="1"/>
  <c r="H52" i="11" a="1"/>
  <c r="I52" i="11"/>
  <c r="AD52" i="11" s="1"/>
  <c r="I51" i="11"/>
  <c r="AD51" i="11" s="1"/>
  <c r="H51" i="11" a="1"/>
  <c r="I50" i="11"/>
  <c r="AD50" i="11" s="1"/>
  <c r="H50" i="11" a="1"/>
  <c r="I49" i="11"/>
  <c r="AD49" i="11" s="1"/>
  <c r="H49" i="11" a="1"/>
  <c r="I48" i="11"/>
  <c r="AD48" i="11" s="1"/>
  <c r="H48" i="11" a="1"/>
  <c r="H47" i="11" a="1"/>
  <c r="I47" i="11"/>
  <c r="AD47" i="11" s="1"/>
  <c r="H46" i="11" a="1"/>
  <c r="I46" i="11"/>
  <c r="AD46" i="11" s="1"/>
  <c r="I45" i="11"/>
  <c r="AD45" i="11" s="1"/>
  <c r="H45" i="11" a="1"/>
  <c r="H44" i="11" a="1"/>
  <c r="I44" i="11"/>
  <c r="AD44" i="11" s="1"/>
  <c r="I43" i="11"/>
  <c r="AD43" i="11" s="1"/>
  <c r="H43" i="11" a="1"/>
  <c r="H42" i="11" a="1"/>
  <c r="I42" i="11"/>
  <c r="AD42" i="11" s="1"/>
  <c r="I41" i="11"/>
  <c r="AD41" i="11" s="1"/>
  <c r="H41" i="11" a="1"/>
  <c r="H40" i="11" a="1"/>
  <c r="I40" i="11"/>
  <c r="AD40" i="11" s="1"/>
  <c r="I39" i="11"/>
  <c r="AD39" i="11" s="1"/>
  <c r="H39" i="11" a="1"/>
  <c r="I38" i="11"/>
  <c r="AD38" i="11" s="1"/>
  <c r="H38" i="11" a="1"/>
  <c r="H37" i="11" a="1"/>
  <c r="I37" i="11"/>
  <c r="AD37" i="11" s="1"/>
  <c r="I36" i="11"/>
  <c r="AD36" i="11" s="1"/>
  <c r="H36" i="11" a="1"/>
  <c r="I35" i="11"/>
  <c r="AD35" i="11" s="1"/>
  <c r="H35" i="11" a="1"/>
  <c r="I34" i="11"/>
  <c r="AD34" i="11" s="1"/>
  <c r="H34" i="11" a="1"/>
  <c r="H33" i="11" a="1"/>
  <c r="I33" i="11"/>
  <c r="AD33" i="11" s="1"/>
  <c r="I32" i="11"/>
  <c r="AD32" i="11" s="1"/>
  <c r="H32" i="11" a="1"/>
  <c r="H31" i="11" a="1"/>
  <c r="I31" i="11"/>
  <c r="AD31" i="11" s="1"/>
  <c r="I30" i="11"/>
  <c r="AD30" i="11" s="1"/>
  <c r="H30" i="11" a="1"/>
  <c r="I29" i="11"/>
  <c r="AD29" i="11" s="1"/>
  <c r="H29" i="11" a="1"/>
  <c r="I28" i="11"/>
  <c r="AD28" i="11" s="1"/>
  <c r="H28" i="11" a="1"/>
  <c r="I27" i="11"/>
  <c r="AD27" i="11" s="1"/>
  <c r="H27" i="11" a="1"/>
  <c r="H26" i="11" a="1"/>
  <c r="I26" i="11"/>
  <c r="AD26" i="11" s="1"/>
  <c r="H25" i="11" a="1"/>
  <c r="I25" i="11"/>
  <c r="AD25" i="11" s="1"/>
  <c r="I24" i="11"/>
  <c r="AD24" i="11" s="1"/>
  <c r="H24" i="11" a="1"/>
  <c r="H23" i="11" a="1"/>
  <c r="I23" i="11"/>
  <c r="AD23" i="11" s="1"/>
  <c r="H22" i="11" a="1"/>
  <c r="I22" i="11"/>
  <c r="AD22" i="11" s="1"/>
  <c r="I21" i="11"/>
  <c r="AD21" i="11" s="1"/>
  <c r="H21" i="11" a="1"/>
  <c r="H20" i="11" a="1"/>
  <c r="I20" i="11"/>
  <c r="AD20" i="11" s="1"/>
  <c r="H19" i="11" a="1"/>
  <c r="I19" i="11"/>
  <c r="AD19" i="11" s="1"/>
  <c r="H18" i="11" a="1"/>
  <c r="I18" i="11"/>
  <c r="AD18" i="11" s="1"/>
  <c r="H17" i="11" a="1"/>
  <c r="I17" i="11"/>
  <c r="AD17" i="11" s="1"/>
  <c r="H16" i="11" a="1"/>
  <c r="I16" i="11"/>
  <c r="AD16" i="11" s="1"/>
  <c r="H15" i="11" a="1"/>
  <c r="I15" i="11"/>
  <c r="AD15" i="11" s="1"/>
  <c r="I14" i="11"/>
  <c r="AD14" i="11" s="1"/>
  <c r="H14" i="11" a="1"/>
  <c r="I13" i="11"/>
  <c r="AD13" i="11" s="1"/>
  <c r="H13" i="11" a="1"/>
  <c r="H12" i="11" a="1"/>
  <c r="I12" i="11"/>
  <c r="AD12" i="11" s="1"/>
  <c r="H11" i="11" a="1"/>
  <c r="I11" i="11"/>
  <c r="AD11" i="11" s="1"/>
  <c r="H10" i="11" a="1"/>
  <c r="I10" i="11"/>
  <c r="AD10" i="11" s="1"/>
  <c r="H9" i="11" a="1"/>
  <c r="I9" i="11"/>
  <c r="AD9" i="11" s="1"/>
  <c r="I8" i="11"/>
  <c r="AD8" i="11" s="1"/>
  <c r="H8" i="11" a="1"/>
  <c r="I7" i="11"/>
  <c r="AD7" i="11" s="1"/>
  <c r="H7" i="11" a="1"/>
  <c r="I6" i="11"/>
  <c r="H6" i="11" a="1"/>
  <c r="I5" i="11"/>
  <c r="AD5" i="11" s="1"/>
  <c r="H5" i="11" a="1"/>
  <c r="I4" i="11"/>
  <c r="H4" i="11" a="1"/>
  <c r="I3" i="11"/>
  <c r="AD3" i="11" s="1"/>
  <c r="H3" i="11" a="1"/>
  <c r="AD88" i="9"/>
  <c r="AD102" i="9"/>
  <c r="AD159" i="9"/>
  <c r="AD471" i="9"/>
  <c r="AD472" i="9"/>
  <c r="AC141" i="9"/>
  <c r="AC142" i="9"/>
  <c r="AC143" i="9"/>
  <c r="AC144" i="9"/>
  <c r="AC145" i="9"/>
  <c r="AC146" i="9"/>
  <c r="AC147" i="9"/>
  <c r="AC148" i="9"/>
  <c r="AC150" i="9"/>
  <c r="AC151" i="9"/>
  <c r="AC152" i="9"/>
  <c r="AC153" i="9"/>
  <c r="AC154" i="9"/>
  <c r="AC155" i="9"/>
  <c r="AC156" i="9"/>
  <c r="AC157" i="9"/>
  <c r="AC158" i="9"/>
  <c r="AC160" i="9"/>
  <c r="AC161" i="9"/>
  <c r="AC162" i="9"/>
  <c r="AC163" i="9"/>
  <c r="AC164" i="9"/>
  <c r="AC165" i="9"/>
  <c r="AC166" i="9"/>
  <c r="AC167" i="9"/>
  <c r="AC168" i="9"/>
  <c r="AC170" i="9"/>
  <c r="AC171" i="9"/>
  <c r="AC173" i="9"/>
  <c r="AC174" i="9"/>
  <c r="AC175" i="9"/>
  <c r="AC176" i="9"/>
  <c r="AC178" i="9"/>
  <c r="AC179" i="9"/>
  <c r="AC180" i="9"/>
  <c r="AC181" i="9"/>
  <c r="AC182" i="9"/>
  <c r="AC183" i="9"/>
  <c r="AC184" i="9"/>
  <c r="AC185" i="9"/>
  <c r="AC186" i="9"/>
  <c r="AC187" i="9"/>
  <c r="AC189" i="9"/>
  <c r="AC191" i="9"/>
  <c r="AC193" i="9"/>
  <c r="AC194" i="9"/>
  <c r="AC196" i="9"/>
  <c r="AC197" i="9"/>
  <c r="AC198" i="9"/>
  <c r="AC199" i="9"/>
  <c r="AC200" i="9"/>
  <c r="AC201" i="9"/>
  <c r="AC202" i="9"/>
  <c r="AC203" i="9"/>
  <c r="AC204" i="9"/>
  <c r="AC205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6" i="9"/>
  <c r="AC228" i="9"/>
  <c r="AC229" i="9"/>
  <c r="AC230" i="9"/>
  <c r="AC231" i="9"/>
  <c r="AC232" i="9"/>
  <c r="AC233" i="9"/>
  <c r="AC235" i="9"/>
  <c r="AC236" i="9"/>
  <c r="AC237" i="9"/>
  <c r="AC238" i="9"/>
  <c r="AC239" i="9"/>
  <c r="AC241" i="9"/>
  <c r="AC243" i="9"/>
  <c r="AC245" i="9"/>
  <c r="AC247" i="9"/>
  <c r="AC249" i="9"/>
  <c r="AC251" i="9"/>
  <c r="AC253" i="9"/>
  <c r="AC254" i="9"/>
  <c r="AC255" i="9"/>
  <c r="AC257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4" i="9"/>
  <c r="AC275" i="9"/>
  <c r="AC276" i="9"/>
  <c r="AC277" i="9"/>
  <c r="AC278" i="9"/>
  <c r="AC279" i="9"/>
  <c r="AC280" i="9"/>
  <c r="AC282" i="9"/>
  <c r="AC283" i="9"/>
  <c r="AC284" i="9"/>
  <c r="AC285" i="9"/>
  <c r="AC287" i="9"/>
  <c r="AC288" i="9"/>
  <c r="AC289" i="9"/>
  <c r="AC291" i="9"/>
  <c r="AC292" i="9"/>
  <c r="AC293" i="9"/>
  <c r="AC294" i="9"/>
  <c r="AC295" i="9"/>
  <c r="AC296" i="9"/>
  <c r="AC297" i="9"/>
  <c r="AC298" i="9"/>
  <c r="AC299" i="9"/>
  <c r="AC301" i="9"/>
  <c r="AC302" i="9"/>
  <c r="AC304" i="9"/>
  <c r="AC305" i="9"/>
  <c r="AC306" i="9"/>
  <c r="AC307" i="9"/>
  <c r="AC308" i="9"/>
  <c r="AC309" i="9"/>
  <c r="AC310" i="9"/>
  <c r="AC311" i="9"/>
  <c r="AC312" i="9"/>
  <c r="AC314" i="9"/>
  <c r="AC315" i="9"/>
  <c r="AC316" i="9"/>
  <c r="AC317" i="9"/>
  <c r="AC319" i="9"/>
  <c r="AC320" i="9"/>
  <c r="AC321" i="9"/>
  <c r="AC322" i="9"/>
  <c r="AC324" i="9"/>
  <c r="AC325" i="9"/>
  <c r="AC326" i="9"/>
  <c r="AC328" i="9"/>
  <c r="AC329" i="9"/>
  <c r="AC330" i="9"/>
  <c r="AC331" i="9"/>
  <c r="AC333" i="9"/>
  <c r="AC334" i="9"/>
  <c r="AC335" i="9"/>
  <c r="AC337" i="9"/>
  <c r="AC339" i="9"/>
  <c r="AC340" i="9"/>
  <c r="AC341" i="9"/>
  <c r="AC342" i="9"/>
  <c r="AC343" i="9"/>
  <c r="AC344" i="9"/>
  <c r="AC345" i="9"/>
  <c r="AC346" i="9"/>
  <c r="AC347" i="9"/>
  <c r="AC348" i="9"/>
  <c r="AC349" i="9"/>
  <c r="AC351" i="9"/>
  <c r="AC353" i="9"/>
  <c r="AC354" i="9"/>
  <c r="AC355" i="9"/>
  <c r="AC356" i="9"/>
  <c r="AC357" i="9"/>
  <c r="AC358" i="9"/>
  <c r="AC359" i="9"/>
  <c r="AC360" i="9"/>
  <c r="AC361" i="9"/>
  <c r="AC362" i="9"/>
  <c r="AC363" i="9"/>
  <c r="AC364" i="9"/>
  <c r="AC365" i="9"/>
  <c r="AC366" i="9"/>
  <c r="AC367" i="9"/>
  <c r="AC368" i="9"/>
  <c r="AC369" i="9"/>
  <c r="AC370" i="9"/>
  <c r="AC372" i="9"/>
  <c r="AC373" i="9"/>
  <c r="AC375" i="9"/>
  <c r="AC376" i="9"/>
  <c r="AC378" i="9"/>
  <c r="AC379" i="9"/>
  <c r="AC380" i="9"/>
  <c r="AC381" i="9"/>
  <c r="AC382" i="9"/>
  <c r="AC383" i="9"/>
  <c r="AC385" i="9"/>
  <c r="AC386" i="9"/>
  <c r="AC388" i="9"/>
  <c r="AC389" i="9"/>
  <c r="AC390" i="9"/>
  <c r="AC391" i="9"/>
  <c r="AC392" i="9"/>
  <c r="AC393" i="9"/>
  <c r="AC394" i="9"/>
  <c r="AC395" i="9"/>
  <c r="AC396" i="9"/>
  <c r="AC397" i="9"/>
  <c r="AC398" i="9"/>
  <c r="AC399" i="9"/>
  <c r="AC400" i="9"/>
  <c r="AC402" i="9"/>
  <c r="AC404" i="9"/>
  <c r="AC405" i="9"/>
  <c r="AC407" i="9"/>
  <c r="AC408" i="9"/>
  <c r="AC409" i="9"/>
  <c r="AC410" i="9"/>
  <c r="AC411" i="9"/>
  <c r="AC412" i="9"/>
  <c r="AC413" i="9"/>
  <c r="AC415" i="9"/>
  <c r="AC417" i="9"/>
  <c r="AC418" i="9"/>
  <c r="AC419" i="9"/>
  <c r="AC420" i="9"/>
  <c r="AC421" i="9"/>
  <c r="AC422" i="9"/>
  <c r="AC423" i="9"/>
  <c r="AC424" i="9"/>
  <c r="AC426" i="9"/>
  <c r="AC428" i="9"/>
  <c r="AC429" i="9"/>
  <c r="AC430" i="9"/>
  <c r="AC431" i="9"/>
  <c r="AC432" i="9"/>
  <c r="AC434" i="9"/>
  <c r="AC436" i="9"/>
  <c r="AC437" i="9"/>
  <c r="AC438" i="9"/>
  <c r="AC439" i="9"/>
  <c r="AC440" i="9"/>
  <c r="AC441" i="9"/>
  <c r="AC442" i="9"/>
  <c r="AC443" i="9"/>
  <c r="AC444" i="9"/>
  <c r="AC446" i="9"/>
  <c r="AC447" i="9"/>
  <c r="AC448" i="9"/>
  <c r="AC449" i="9"/>
  <c r="AC451" i="9"/>
  <c r="AC452" i="9"/>
  <c r="AC453" i="9"/>
  <c r="AC454" i="9"/>
  <c r="AC455" i="9"/>
  <c r="AC457" i="9"/>
  <c r="AC458" i="9"/>
  <c r="AC459" i="9"/>
  <c r="AC460" i="9"/>
  <c r="AC461" i="9"/>
  <c r="AC462" i="9"/>
  <c r="AC463" i="9"/>
  <c r="AC464" i="9"/>
  <c r="AC465" i="9"/>
  <c r="AD413" i="9"/>
  <c r="AD439" i="9"/>
  <c r="AD460" i="9"/>
  <c r="AD3" i="9"/>
  <c r="AD7" i="9"/>
  <c r="AD10" i="9"/>
  <c r="AD11" i="9"/>
  <c r="AD12" i="9"/>
  <c r="AD15" i="9"/>
  <c r="AD55" i="9"/>
  <c r="AD19" i="9"/>
  <c r="AD23" i="9"/>
  <c r="AD26" i="9"/>
  <c r="AD31" i="9"/>
  <c r="AD35" i="9"/>
  <c r="AD43" i="9"/>
  <c r="AD47" i="9"/>
  <c r="AD51" i="9"/>
  <c r="AD52" i="9"/>
  <c r="AD53" i="9"/>
  <c r="AD54" i="9"/>
  <c r="AD56" i="9"/>
  <c r="AD60" i="9"/>
  <c r="AD63" i="9"/>
  <c r="AD66" i="9"/>
  <c r="AD67" i="9"/>
  <c r="AD68" i="9"/>
  <c r="AD69" i="9"/>
  <c r="AD70" i="9"/>
  <c r="AD74" i="9"/>
  <c r="AD79" i="9"/>
  <c r="AD81" i="9"/>
  <c r="AD83" i="9"/>
  <c r="AD84" i="9"/>
  <c r="AD86" i="9"/>
  <c r="AD87" i="9"/>
  <c r="AD91" i="9"/>
  <c r="AD92" i="9"/>
  <c r="AD94" i="9"/>
  <c r="AD95" i="9"/>
  <c r="AD99" i="9"/>
  <c r="AD104" i="9"/>
  <c r="AD110" i="9"/>
  <c r="AD112" i="9"/>
  <c r="AD113" i="9"/>
  <c r="AD120" i="9"/>
  <c r="AD122" i="9"/>
  <c r="AD126" i="9"/>
  <c r="AD128" i="9"/>
  <c r="AD129" i="9"/>
  <c r="AD130" i="9"/>
  <c r="AD133" i="9"/>
  <c r="AD134" i="9"/>
  <c r="AD138" i="9"/>
  <c r="AD139" i="9"/>
  <c r="AD22" i="9"/>
  <c r="AD27" i="9"/>
  <c r="AD29" i="9"/>
  <c r="AD30" i="9"/>
  <c r="AD32" i="9"/>
  <c r="AD36" i="9"/>
  <c r="AD38" i="9"/>
  <c r="AD39" i="9"/>
  <c r="AD48" i="9"/>
  <c r="AD28" i="9"/>
  <c r="AD140" i="9"/>
  <c r="AC3" i="9"/>
  <c r="AC5" i="9"/>
  <c r="AC7" i="9"/>
  <c r="AC8" i="9"/>
  <c r="AC9" i="9"/>
  <c r="AC10" i="9"/>
  <c r="AC11" i="9"/>
  <c r="AC12" i="9"/>
  <c r="AC13" i="9"/>
  <c r="AC15" i="9"/>
  <c r="AC17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4" i="9"/>
  <c r="AC35" i="9"/>
  <c r="AC36" i="9"/>
  <c r="AC37" i="9"/>
  <c r="AC38" i="9"/>
  <c r="AC39" i="9"/>
  <c r="AC40" i="9"/>
  <c r="AC41" i="9"/>
  <c r="AC43" i="9"/>
  <c r="AC45" i="9"/>
  <c r="AC46" i="9"/>
  <c r="AC47" i="9"/>
  <c r="AC48" i="9"/>
  <c r="AC50" i="9"/>
  <c r="AC51" i="9"/>
  <c r="AC52" i="9"/>
  <c r="AC53" i="9"/>
  <c r="AC54" i="9"/>
  <c r="AC55" i="9"/>
  <c r="AC56" i="9"/>
  <c r="AC57" i="9"/>
  <c r="AC58" i="9"/>
  <c r="AC60" i="9"/>
  <c r="AC61" i="9"/>
  <c r="AC63" i="9"/>
  <c r="AC65" i="9"/>
  <c r="AC66" i="9"/>
  <c r="AC67" i="9"/>
  <c r="AC68" i="9"/>
  <c r="AC69" i="9"/>
  <c r="AC70" i="9"/>
  <c r="AC72" i="9"/>
  <c r="AC74" i="9"/>
  <c r="AC76" i="9"/>
  <c r="AC77" i="9"/>
  <c r="AC78" i="9"/>
  <c r="AC79" i="9"/>
  <c r="AC80" i="9"/>
  <c r="AC81" i="9"/>
  <c r="AC83" i="9"/>
  <c r="AC84" i="9"/>
  <c r="AC86" i="9"/>
  <c r="AC87" i="9"/>
  <c r="AC89" i="9"/>
  <c r="AC90" i="9"/>
  <c r="AC91" i="9"/>
  <c r="AC92" i="9"/>
  <c r="AC94" i="9"/>
  <c r="AC95" i="9"/>
  <c r="AC96" i="9"/>
  <c r="AC97" i="9"/>
  <c r="AC98" i="9"/>
  <c r="AC99" i="9"/>
  <c r="AC100" i="9"/>
  <c r="AC101" i="9"/>
  <c r="AC103" i="9"/>
  <c r="AC104" i="9"/>
  <c r="AC105" i="9"/>
  <c r="AC106" i="9"/>
  <c r="AC107" i="9"/>
  <c r="AC108" i="9"/>
  <c r="AC109" i="9"/>
  <c r="AC110" i="9"/>
  <c r="AC111" i="9"/>
  <c r="AC112" i="9"/>
  <c r="AC113" i="9"/>
  <c r="AC115" i="9"/>
  <c r="AC116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7" i="9"/>
  <c r="AC138" i="9"/>
  <c r="AC139" i="9"/>
  <c r="AC140" i="9"/>
  <c r="AD142" i="9"/>
  <c r="AD143" i="9"/>
  <c r="AD144" i="9"/>
  <c r="AD146" i="9"/>
  <c r="AD150" i="9"/>
  <c r="AD158" i="9"/>
  <c r="AD162" i="9"/>
  <c r="AD164" i="9"/>
  <c r="AD166" i="9"/>
  <c r="AD167" i="9"/>
  <c r="AD168" i="9"/>
  <c r="AD170" i="9"/>
  <c r="AD171" i="9"/>
  <c r="AD174" i="9"/>
  <c r="AD176" i="9"/>
  <c r="AD182" i="9"/>
  <c r="AD184" i="9"/>
  <c r="AD186" i="9"/>
  <c r="AD187" i="9"/>
  <c r="AD191" i="9"/>
  <c r="AD194" i="9"/>
  <c r="AD198" i="9"/>
  <c r="AD199" i="9"/>
  <c r="AD200" i="9"/>
  <c r="AD203" i="9"/>
  <c r="AD207" i="9"/>
  <c r="AD208" i="9"/>
  <c r="AD210" i="9"/>
  <c r="AD211" i="9"/>
  <c r="AD212" i="9"/>
  <c r="AD214" i="9"/>
  <c r="AD215" i="9"/>
  <c r="AD216" i="9"/>
  <c r="AD218" i="9"/>
  <c r="AD219" i="9"/>
  <c r="AD220" i="9"/>
  <c r="AD221" i="9"/>
  <c r="AD222" i="9"/>
  <c r="AD228" i="9"/>
  <c r="AD230" i="9"/>
  <c r="AD231" i="9"/>
  <c r="AD232" i="9"/>
  <c r="AD275" i="9"/>
  <c r="AD347" i="9"/>
  <c r="AD233" i="9"/>
  <c r="AD237" i="9"/>
  <c r="AD238" i="9"/>
  <c r="AD239" i="9"/>
  <c r="AD243" i="9"/>
  <c r="AD247" i="9"/>
  <c r="AD249" i="9"/>
  <c r="AD251" i="9"/>
  <c r="AD253" i="9"/>
  <c r="AD254" i="9"/>
  <c r="AD257" i="9"/>
  <c r="AD261" i="9"/>
  <c r="AD262" i="9"/>
  <c r="AD263" i="9"/>
  <c r="AD264" i="9"/>
  <c r="AD265" i="9"/>
  <c r="AD267" i="9"/>
  <c r="AD271" i="9"/>
  <c r="AD272" i="9"/>
  <c r="AD274" i="9"/>
  <c r="AD277" i="9"/>
  <c r="AD280" i="9"/>
  <c r="AD282" i="9"/>
  <c r="AD283" i="9"/>
  <c r="AD284" i="9"/>
  <c r="AD287" i="9"/>
  <c r="AD288" i="9"/>
  <c r="AD289" i="9"/>
  <c r="AD292" i="9"/>
  <c r="AD295" i="9"/>
  <c r="AD297" i="9"/>
  <c r="AD298" i="9"/>
  <c r="AD299" i="9"/>
  <c r="AD301" i="9"/>
  <c r="AD304" i="9"/>
  <c r="AD306" i="9"/>
  <c r="AD307" i="9"/>
  <c r="AD308" i="9"/>
  <c r="AD309" i="9"/>
  <c r="AD310" i="9"/>
  <c r="AD311" i="9"/>
  <c r="AD315" i="9"/>
  <c r="AD317" i="9"/>
  <c r="AD324" i="9"/>
  <c r="AD329" i="9"/>
  <c r="AD331" i="9"/>
  <c r="AD337" i="9"/>
  <c r="AD343" i="9"/>
  <c r="AD344" i="9"/>
  <c r="AD349" i="9"/>
  <c r="AD353" i="9"/>
  <c r="AD357" i="9"/>
  <c r="AD364" i="9"/>
  <c r="AD375" i="9"/>
  <c r="AD376" i="9"/>
  <c r="AD380" i="9"/>
  <c r="AD389" i="9"/>
  <c r="AD395" i="9"/>
  <c r="AD396" i="9"/>
  <c r="AD397" i="9"/>
  <c r="AD407" i="9"/>
  <c r="AD408" i="9"/>
  <c r="AD412" i="9"/>
  <c r="AD417" i="9"/>
  <c r="AD421" i="9"/>
  <c r="AD440" i="9"/>
  <c r="AD453" i="9"/>
  <c r="AD428" i="9"/>
  <c r="AD443" i="9"/>
  <c r="AD444" i="9"/>
  <c r="AD459" i="9"/>
  <c r="AD461" i="9"/>
  <c r="AD465" i="9"/>
  <c r="I491" i="9"/>
  <c r="I507" i="9"/>
  <c r="I384" i="9"/>
  <c r="AD384" i="9" s="1"/>
  <c r="I109" i="9"/>
  <c r="AD109" i="9" s="1"/>
  <c r="I565" i="9"/>
  <c r="I117" i="9"/>
  <c r="AD117" i="9" s="1"/>
  <c r="H343" i="9" a="1"/>
  <c r="H308" i="9" a="1"/>
  <c r="I256" i="9"/>
  <c r="AD256" i="9" s="1"/>
  <c r="I217" i="9"/>
  <c r="AD217" i="9" s="1"/>
  <c r="I236" i="9"/>
  <c r="AD236" i="9" s="1"/>
  <c r="I348" i="9"/>
  <c r="AD348" i="9" s="1"/>
  <c r="I610" i="9"/>
  <c r="I642" i="9"/>
  <c r="H195" i="9" a="1"/>
  <c r="H69" i="9" a="1"/>
  <c r="I640" i="9"/>
  <c r="I57" i="9"/>
  <c r="AD57" i="9" s="1"/>
  <c r="H275" i="9" a="1"/>
  <c r="H200" i="9" a="1"/>
  <c r="I429" i="9"/>
  <c r="AD429" i="9" s="1"/>
  <c r="H220" i="9" a="1"/>
  <c r="I635" i="9"/>
  <c r="H174" i="9" a="1"/>
  <c r="H272" i="9" a="1"/>
  <c r="I455" i="9"/>
  <c r="AD455" i="9" s="1"/>
  <c r="I9" i="9"/>
  <c r="AD9" i="9" s="1"/>
  <c r="H295" i="9" a="1"/>
  <c r="I463" i="9"/>
  <c r="AD463" i="9" s="1"/>
  <c r="I312" i="9"/>
  <c r="AD312" i="9" s="1"/>
  <c r="H549" i="9" a="1"/>
  <c r="H376" i="9" a="1"/>
  <c r="I602" i="9"/>
  <c r="H142" i="9" a="1"/>
  <c r="H253" i="9" a="1"/>
  <c r="I423" i="9"/>
  <c r="AD423" i="9" s="1"/>
  <c r="H524" i="9" a="1"/>
  <c r="H625" i="9" a="1"/>
  <c r="I576" i="9"/>
  <c r="I37" i="9"/>
  <c r="AD37" i="9" s="1"/>
  <c r="H133" i="9" a="1"/>
  <c r="I14" i="9"/>
  <c r="AD14" i="9" s="1"/>
  <c r="H240" i="9" a="1"/>
  <c r="H258" i="9" a="1"/>
  <c r="H280" i="9" a="1"/>
  <c r="I318" i="9"/>
  <c r="AD318" i="9" s="1"/>
  <c r="H353" i="9" a="1"/>
  <c r="I436" i="9"/>
  <c r="AD436" i="9" s="1"/>
  <c r="I466" i="9"/>
  <c r="AD466" i="9" s="1"/>
  <c r="I567" i="9"/>
  <c r="I618" i="9"/>
  <c r="I643" i="9"/>
  <c r="I25" i="9"/>
  <c r="AD25" i="9" s="1"/>
  <c r="I147" i="9"/>
  <c r="AD147" i="9" s="1"/>
  <c r="I296" i="9"/>
  <c r="AD296" i="9" s="1"/>
  <c r="I321" i="9"/>
  <c r="AD321" i="9" s="1"/>
  <c r="I359" i="9"/>
  <c r="AD359" i="9" s="1"/>
  <c r="I387" i="9"/>
  <c r="AD387" i="9" s="1"/>
  <c r="H439" i="9" a="1"/>
  <c r="H471" i="9" a="1"/>
  <c r="H621" i="9" a="1"/>
  <c r="I647" i="9"/>
  <c r="H30" i="9" a="1"/>
  <c r="I151" i="9"/>
  <c r="AD151" i="9" s="1"/>
  <c r="I177" i="9"/>
  <c r="AD177" i="9" s="1"/>
  <c r="H203" i="9" a="1"/>
  <c r="I224" i="9"/>
  <c r="AD224" i="9" s="1"/>
  <c r="I241" i="9"/>
  <c r="AD241" i="9" s="1"/>
  <c r="H299" i="9" a="1"/>
  <c r="I323" i="9"/>
  <c r="AD323" i="9" s="1"/>
  <c r="H523" i="9" a="1"/>
  <c r="I573" i="9"/>
  <c r="H282" i="9" a="1"/>
  <c r="H303" i="9" a="1"/>
  <c r="H444" i="9" a="1"/>
  <c r="I475" i="9"/>
  <c r="AD475" i="9" s="1"/>
  <c r="I528" i="9"/>
  <c r="I579" i="9"/>
  <c r="H187" i="9" a="1"/>
  <c r="H304" i="9" a="1"/>
  <c r="I45" i="9"/>
  <c r="AD45" i="9" s="1"/>
  <c r="H139" i="9" a="1"/>
  <c r="H190" i="9" a="1"/>
  <c r="H211" i="9" a="1"/>
  <c r="I268" i="9"/>
  <c r="AD268" i="9" s="1"/>
  <c r="I285" i="9"/>
  <c r="AD285" i="9" s="1"/>
  <c r="I49" i="9"/>
  <c r="AD49" i="9" s="1"/>
  <c r="I97" i="9"/>
  <c r="AD97" i="9" s="1"/>
  <c r="H159" i="9" a="1"/>
  <c r="H233" i="9" a="1"/>
  <c r="H251" i="9" a="1"/>
  <c r="I269" i="9"/>
  <c r="AD269" i="9" s="1"/>
  <c r="H289" i="9" a="1"/>
  <c r="H306" i="9" a="1"/>
  <c r="H337" i="9" a="1"/>
  <c r="I373" i="9"/>
  <c r="AD373" i="9" s="1"/>
  <c r="I418" i="9"/>
  <c r="AD418" i="9" s="1"/>
  <c r="I451" i="9"/>
  <c r="AD451" i="9" s="1"/>
  <c r="I490" i="9"/>
  <c r="H545" i="9" a="1"/>
  <c r="I591" i="9"/>
  <c r="I631" i="9"/>
  <c r="I514" i="9"/>
  <c r="H572" i="9" a="1"/>
  <c r="H87" i="9" a="1"/>
  <c r="I400" i="9"/>
  <c r="AD400" i="9" s="1"/>
  <c r="I250" i="9"/>
  <c r="AD250" i="9" s="1"/>
  <c r="I305" i="9"/>
  <c r="AD305" i="9" s="1"/>
  <c r="H336" i="9" a="1"/>
  <c r="I410" i="9"/>
  <c r="AD410" i="9" s="1"/>
  <c r="I175" i="9"/>
  <c r="AD175" i="9" s="1"/>
  <c r="H73" i="9" a="1"/>
  <c r="I125" i="9"/>
  <c r="AD125" i="9" s="1"/>
  <c r="H130" i="9" a="1"/>
  <c r="I260" i="9"/>
  <c r="AD260" i="9" s="1"/>
  <c r="I183" i="9"/>
  <c r="AD183" i="9" s="1"/>
  <c r="H228" i="9" a="1"/>
  <c r="H243" i="9" a="1"/>
  <c r="H281" i="9" a="1"/>
  <c r="I328" i="9"/>
  <c r="AD328" i="9" s="1"/>
  <c r="I391" i="9"/>
  <c r="AD391" i="9" s="1"/>
  <c r="H443" i="9" a="1"/>
  <c r="H186" i="9" a="1"/>
  <c r="H95" i="9" a="1"/>
  <c r="I155" i="9"/>
  <c r="AD155" i="9" s="1"/>
  <c r="I369" i="9"/>
  <c r="AD369" i="9" s="1"/>
  <c r="H476" i="9" a="1"/>
  <c r="I628" i="9"/>
  <c r="H540" i="9" a="1"/>
  <c r="H143" i="9" a="1"/>
  <c r="I163" i="9"/>
  <c r="AD163" i="9" s="1"/>
  <c r="I234" i="9"/>
  <c r="AD234" i="9" s="1"/>
  <c r="H274" i="9" a="1"/>
  <c r="H292" i="9" a="1"/>
  <c r="H309" i="9" a="1"/>
  <c r="I378" i="9"/>
  <c r="AD378" i="9" s="1"/>
  <c r="I427" i="9"/>
  <c r="AD427" i="9" s="1"/>
  <c r="H497" i="9" a="1"/>
  <c r="I551" i="9"/>
  <c r="H604" i="9" a="1"/>
  <c r="I363" i="9"/>
  <c r="AD363" i="9" s="1"/>
  <c r="I152" i="9"/>
  <c r="AD152" i="9" s="1"/>
  <c r="H264" i="9" a="1"/>
  <c r="H301" i="9" a="1"/>
  <c r="H364" i="9" a="1"/>
  <c r="H207" i="9" a="1"/>
  <c r="H247" i="9" a="1"/>
  <c r="I209" i="9"/>
  <c r="AD209" i="9" s="1"/>
  <c r="I334" i="9"/>
  <c r="AD334" i="9" s="1"/>
  <c r="I538" i="9"/>
  <c r="I586" i="9"/>
  <c r="I156" i="9"/>
  <c r="AD156" i="9" s="1"/>
  <c r="H232" i="9" a="1"/>
  <c r="I372" i="9"/>
  <c r="AD372" i="9" s="1"/>
  <c r="H588" i="9" a="1"/>
  <c r="I6" i="9"/>
  <c r="I58" i="9"/>
  <c r="AD58" i="9" s="1"/>
  <c r="H168" i="9" a="1"/>
  <c r="H199" i="9" a="1"/>
  <c r="H219" i="9" a="1"/>
  <c r="I381" i="9"/>
  <c r="AD381" i="9" s="1"/>
  <c r="H460" i="9" a="1"/>
  <c r="I561" i="9"/>
  <c r="H191" i="9" a="1"/>
  <c r="H265" i="9" a="1"/>
  <c r="I346" i="9"/>
  <c r="AD346" i="9" s="1"/>
  <c r="H603" i="9" a="1"/>
  <c r="I650" i="9"/>
  <c r="H313" i="9" a="1"/>
  <c r="I394" i="9"/>
  <c r="AD394" i="9" s="1"/>
  <c r="H481" i="9" a="1"/>
  <c r="I554" i="9"/>
  <c r="I50" i="9"/>
  <c r="AD50" i="9" s="1"/>
  <c r="I77" i="9"/>
  <c r="AD77" i="9" s="1"/>
  <c r="I101" i="9"/>
  <c r="AD101" i="9" s="1"/>
  <c r="I121" i="9"/>
  <c r="AD121" i="9" s="1"/>
  <c r="H171" i="9" a="1"/>
  <c r="I179" i="9"/>
  <c r="AD179" i="9" s="1"/>
  <c r="H215" i="9" a="1"/>
  <c r="I226" i="9"/>
  <c r="AD226" i="9" s="1"/>
  <c r="H237" i="9" a="1"/>
  <c r="I248" i="9"/>
  <c r="AD248" i="9" s="1"/>
  <c r="H257" i="9" a="1"/>
  <c r="H286" i="9" a="1"/>
  <c r="H297" i="9" a="1"/>
  <c r="H331" i="9" a="1"/>
  <c r="H347" i="9" a="1"/>
  <c r="I365" i="9"/>
  <c r="AD365" i="9" s="1"/>
  <c r="I379" i="9"/>
  <c r="AD379" i="9" s="1"/>
  <c r="H396" i="9" a="1"/>
  <c r="I411" i="9"/>
  <c r="AD411" i="9" s="1"/>
  <c r="H433" i="9" a="1"/>
  <c r="I445" i="9"/>
  <c r="AD445" i="9" s="1"/>
  <c r="I464" i="9"/>
  <c r="AD464" i="9" s="1"/>
  <c r="I482" i="9"/>
  <c r="I501" i="9"/>
  <c r="I515" i="9"/>
  <c r="H535" i="9" a="1"/>
  <c r="I555" i="9"/>
  <c r="H571" i="9" a="1"/>
  <c r="I583" i="9"/>
  <c r="I623" i="9"/>
  <c r="H636" i="9" a="1"/>
  <c r="I5" i="9"/>
  <c r="AD5" i="9" s="1"/>
  <c r="I21" i="9"/>
  <c r="AD21" i="9" s="1"/>
  <c r="I33" i="9"/>
  <c r="AD33" i="9" s="1"/>
  <c r="H51" i="9" a="1"/>
  <c r="I65" i="9"/>
  <c r="AD65" i="9" s="1"/>
  <c r="H81" i="9" a="1"/>
  <c r="H122" i="9" a="1"/>
  <c r="H150" i="9" a="1"/>
  <c r="I161" i="9"/>
  <c r="AD161" i="9" s="1"/>
  <c r="I180" i="9"/>
  <c r="AD180" i="9" s="1"/>
  <c r="H192" i="9" a="1"/>
  <c r="I201" i="9"/>
  <c r="AD201" i="9" s="1"/>
  <c r="I276" i="9"/>
  <c r="AD276" i="9" s="1"/>
  <c r="H288" i="9" a="1"/>
  <c r="H298" i="9" a="1"/>
  <c r="H315" i="9" a="1"/>
  <c r="I367" i="9"/>
  <c r="AD367" i="9" s="1"/>
  <c r="H380" i="9" a="1"/>
  <c r="H397" i="9" a="1"/>
  <c r="H412" i="9" a="1"/>
  <c r="I450" i="9"/>
  <c r="AD450" i="9" s="1"/>
  <c r="H465" i="9" a="1"/>
  <c r="H503" i="9" a="1"/>
  <c r="H557" i="9" a="1"/>
  <c r="I17" i="9"/>
  <c r="AD17" i="9" s="1"/>
  <c r="H22" i="9" a="1"/>
  <c r="H53" i="9" a="1"/>
  <c r="H66" i="9" a="1"/>
  <c r="I105" i="9"/>
  <c r="AD105" i="9" s="1"/>
  <c r="I137" i="9"/>
  <c r="AD137" i="9" s="1"/>
  <c r="H162" i="9" a="1"/>
  <c r="I483" i="9"/>
  <c r="I519" i="9"/>
  <c r="H637" i="9" a="1"/>
  <c r="H329" i="9" a="1"/>
  <c r="I399" i="9"/>
  <c r="AD399" i="9" s="1"/>
  <c r="H417" i="9" a="1"/>
  <c r="I437" i="9"/>
  <c r="AD437" i="9" s="1"/>
  <c r="I467" i="9"/>
  <c r="AD467" i="9" s="1"/>
  <c r="I487" i="9"/>
  <c r="I506" i="9"/>
  <c r="I522" i="9"/>
  <c r="H539" i="9" a="1"/>
  <c r="I559" i="9"/>
  <c r="H589" i="9" a="1"/>
  <c r="I61" i="9"/>
  <c r="AD61" i="9" s="1"/>
  <c r="I431" i="9"/>
  <c r="AD431" i="9" s="1"/>
  <c r="I500" i="9"/>
  <c r="I531" i="9"/>
  <c r="I570" i="9"/>
  <c r="I41" i="9"/>
  <c r="AD41" i="9" s="1"/>
  <c r="I85" i="9"/>
  <c r="AD85" i="9" s="1"/>
  <c r="H129" i="9" a="1"/>
  <c r="I185" i="9"/>
  <c r="AD185" i="9" s="1"/>
  <c r="I204" i="9"/>
  <c r="AD204" i="9" s="1"/>
  <c r="I229" i="9"/>
  <c r="AD229" i="9" s="1"/>
  <c r="H252" i="9" a="1"/>
  <c r="H271" i="9" a="1"/>
  <c r="H300" i="9" a="1"/>
  <c r="H609" i="9" a="1"/>
  <c r="I629" i="9"/>
  <c r="H29" i="9" a="1"/>
  <c r="H113" i="9" a="1"/>
  <c r="I153" i="9"/>
  <c r="AD153" i="9" s="1"/>
  <c r="H166" i="9" a="1"/>
  <c r="H176" i="9" a="1"/>
  <c r="H198" i="9" a="1"/>
  <c r="H261" i="9" a="1"/>
  <c r="I322" i="9"/>
  <c r="AD322" i="9" s="1"/>
  <c r="I354" i="9"/>
  <c r="AD354" i="9" s="1"/>
  <c r="H375" i="9" a="1"/>
  <c r="I386" i="9"/>
  <c r="AD386" i="9" s="1"/>
  <c r="H401" i="9" a="1"/>
  <c r="I426" i="9"/>
  <c r="AD426" i="9" s="1"/>
  <c r="I442" i="9"/>
  <c r="AD442" i="9" s="1"/>
  <c r="I458" i="9"/>
  <c r="AD458" i="9" s="1"/>
  <c r="I474" i="9"/>
  <c r="AD474" i="9" s="1"/>
  <c r="H493" i="9" a="1"/>
  <c r="H508" i="9" a="1"/>
  <c r="H525" i="9" a="1"/>
  <c r="I564" i="9"/>
  <c r="I575" i="9"/>
  <c r="I615" i="9"/>
  <c r="I89" i="9"/>
  <c r="AD89" i="9" s="1"/>
  <c r="I592" i="9"/>
  <c r="I13" i="9"/>
  <c r="AD13" i="9" s="1"/>
  <c r="H71" i="9" a="1"/>
  <c r="I93" i="9"/>
  <c r="AD93" i="9" s="1"/>
  <c r="H167" i="9" a="1"/>
  <c r="H210" i="9" a="1"/>
  <c r="H244" i="9" a="1"/>
  <c r="H263" i="9" a="1"/>
  <c r="H284" i="9" a="1"/>
  <c r="I293" i="9"/>
  <c r="AD293" i="9" s="1"/>
  <c r="I362" i="9"/>
  <c r="AD362" i="9" s="1"/>
  <c r="H407" i="9" a="1"/>
  <c r="H428" i="9" a="1"/>
  <c r="H461" i="9" a="1"/>
  <c r="I495" i="9"/>
  <c r="H509" i="9" a="1"/>
  <c r="I527" i="9"/>
  <c r="I546" i="9"/>
  <c r="I578" i="9"/>
  <c r="H599" i="9" a="1"/>
  <c r="I619" i="9"/>
  <c r="H632" i="9" a="1"/>
  <c r="I645" i="9"/>
  <c r="I326" i="9"/>
  <c r="AD326" i="9" s="1"/>
  <c r="H620" i="9" a="1"/>
  <c r="I634" i="9"/>
  <c r="I403" i="9"/>
  <c r="AD403" i="9" s="1"/>
  <c r="H404" i="9" a="1"/>
  <c r="I404" i="9"/>
  <c r="AD404" i="9" s="1"/>
  <c r="I419" i="9"/>
  <c r="AD419" i="9" s="1"/>
  <c r="H556" i="9" a="1"/>
  <c r="I648" i="9"/>
  <c r="H648" i="9" a="1"/>
  <c r="H39" i="9" a="1"/>
  <c r="I46" i="9"/>
  <c r="AD46" i="9" s="1"/>
  <c r="H54" i="9" a="1"/>
  <c r="H75" i="9" a="1"/>
  <c r="I82" i="9"/>
  <c r="AD82" i="9" s="1"/>
  <c r="I90" i="9"/>
  <c r="AD90" i="9" s="1"/>
  <c r="I98" i="9"/>
  <c r="AD98" i="9" s="1"/>
  <c r="I157" i="9"/>
  <c r="AD157" i="9" s="1"/>
  <c r="I172" i="9"/>
  <c r="AD172" i="9" s="1"/>
  <c r="H173" i="9" a="1"/>
  <c r="I173" i="9"/>
  <c r="AD173" i="9" s="1"/>
  <c r="I196" i="9"/>
  <c r="AD196" i="9" s="1"/>
  <c r="H197" i="9" a="1"/>
  <c r="I197" i="9"/>
  <c r="AD197" i="9" s="1"/>
  <c r="H221" i="9" a="1"/>
  <c r="H230" i="9" a="1"/>
  <c r="I420" i="9"/>
  <c r="AD420" i="9" s="1"/>
  <c r="H438" i="9" a="1"/>
  <c r="I438" i="9"/>
  <c r="AD438" i="9" s="1"/>
  <c r="I446" i="9"/>
  <c r="AD446" i="9" s="1"/>
  <c r="I593" i="9"/>
  <c r="I202" i="9"/>
  <c r="AD202" i="9" s="1"/>
  <c r="H202" i="9" a="1"/>
  <c r="H432" i="9" a="1"/>
  <c r="I432" i="9"/>
  <c r="AD432" i="9" s="1"/>
  <c r="I577" i="9"/>
  <c r="H577" i="9" a="1"/>
  <c r="H38" i="9" a="1"/>
  <c r="I131" i="9"/>
  <c r="AD131" i="9" s="1"/>
  <c r="H131" i="9" a="1"/>
  <c r="H502" i="9" a="1"/>
  <c r="I502" i="9"/>
  <c r="I510" i="9"/>
  <c r="H15" i="9" a="1"/>
  <c r="H10" i="9" a="1"/>
  <c r="H18" i="9" a="1"/>
  <c r="H26" i="9" a="1"/>
  <c r="H47" i="9" a="1"/>
  <c r="H62" i="9" a="1"/>
  <c r="H83" i="9" a="1"/>
  <c r="H91" i="9" a="1"/>
  <c r="H99" i="9" a="1"/>
  <c r="H126" i="9" a="1"/>
  <c r="H134" i="9" a="1"/>
  <c r="H158" i="9" a="1"/>
  <c r="I181" i="9"/>
  <c r="AD181" i="9" s="1"/>
  <c r="I205" i="9"/>
  <c r="AD205" i="9" s="1"/>
  <c r="H254" i="9" a="1"/>
  <c r="H277" i="9" a="1"/>
  <c r="I338" i="9"/>
  <c r="AD338" i="9" s="1"/>
  <c r="H395" i="9" a="1"/>
  <c r="H421" i="9" a="1"/>
  <c r="I447" i="9"/>
  <c r="AD447" i="9" s="1"/>
  <c r="H504" i="9" a="1"/>
  <c r="H558" i="9" a="1"/>
  <c r="I558" i="9"/>
  <c r="I584" i="9"/>
  <c r="H584" i="9" a="1"/>
  <c r="I594" i="9"/>
  <c r="I484" i="9"/>
  <c r="H7" i="9" a="1"/>
  <c r="H23" i="9" a="1"/>
  <c r="H366" i="9" a="1"/>
  <c r="I366" i="9"/>
  <c r="AD366" i="9" s="1"/>
  <c r="I392" i="9"/>
  <c r="AD392" i="9" s="1"/>
  <c r="H392" i="9" a="1"/>
  <c r="I115" i="9"/>
  <c r="AD115" i="9" s="1"/>
  <c r="H115" i="9" a="1"/>
  <c r="H149" i="9" a="1"/>
  <c r="I149" i="9"/>
  <c r="AD149" i="9" s="1"/>
  <c r="H368" i="9" a="1"/>
  <c r="I368" i="9"/>
  <c r="AD368" i="9" s="1"/>
  <c r="I512" i="9"/>
  <c r="I513" i="9"/>
  <c r="H513" i="9" a="1"/>
  <c r="H624" i="9" a="1"/>
  <c r="I624" i="9"/>
  <c r="H70" i="9" a="1"/>
  <c r="H182" i="9" a="1"/>
  <c r="H206" i="9" a="1"/>
  <c r="H231" i="9" a="1"/>
  <c r="H249" i="9" a="1"/>
  <c r="I255" i="9"/>
  <c r="AD255" i="9" s="1"/>
  <c r="H255" i="9" a="1"/>
  <c r="H316" i="9" a="1"/>
  <c r="I316" i="9"/>
  <c r="AD316" i="9" s="1"/>
  <c r="I339" i="9"/>
  <c r="AD339" i="9" s="1"/>
  <c r="H340" i="9" a="1"/>
  <c r="I340" i="9"/>
  <c r="AD340" i="9" s="1"/>
  <c r="I355" i="9"/>
  <c r="AD355" i="9" s="1"/>
  <c r="I448" i="9"/>
  <c r="AD448" i="9" s="1"/>
  <c r="I449" i="9"/>
  <c r="AD449" i="9" s="1"/>
  <c r="H449" i="9" a="1"/>
  <c r="H492" i="9" a="1"/>
  <c r="H529" i="9" a="1"/>
  <c r="H560" i="9" a="1"/>
  <c r="I560" i="9"/>
  <c r="I595" i="9"/>
  <c r="H596" i="9" a="1"/>
  <c r="I596" i="9"/>
  <c r="I611" i="9"/>
  <c r="H651" i="9" a="1"/>
  <c r="H110" i="9" a="1"/>
  <c r="I127" i="9"/>
  <c r="AD127" i="9" s="1"/>
  <c r="H127" i="9" a="1"/>
  <c r="H225" i="9" a="1"/>
  <c r="I382" i="9"/>
  <c r="AD382" i="9" s="1"/>
  <c r="H3" i="9" a="1"/>
  <c r="H11" i="9" a="1"/>
  <c r="H19" i="9" a="1"/>
  <c r="H27" i="9" a="1"/>
  <c r="H63" i="9" a="1"/>
  <c r="H86" i="9" a="1"/>
  <c r="H94" i="9" a="1"/>
  <c r="H102" i="9" a="1"/>
  <c r="H144" i="9" a="1"/>
  <c r="H216" i="9" a="1"/>
  <c r="I278" i="9"/>
  <c r="AD278" i="9" s="1"/>
  <c r="I279" i="9"/>
  <c r="AD279" i="9" s="1"/>
  <c r="H279" i="9" a="1"/>
  <c r="H357" i="9" a="1"/>
  <c r="I383" i="9"/>
  <c r="AD383" i="9" s="1"/>
  <c r="H440" i="9" a="1"/>
  <c r="H494" i="9" a="1"/>
  <c r="I494" i="9"/>
  <c r="I520" i="9"/>
  <c r="H520" i="9" a="1"/>
  <c r="I530" i="9"/>
  <c r="H587" i="9" a="1"/>
  <c r="H613" i="9" a="1"/>
  <c r="I639" i="9"/>
  <c r="I178" i="9"/>
  <c r="AD178" i="9" s="1"/>
  <c r="H178" i="9" a="1"/>
  <c r="H266" i="9" a="1"/>
  <c r="I266" i="9"/>
  <c r="AD266" i="9" s="1"/>
  <c r="H468" i="9" a="1"/>
  <c r="I468" i="9"/>
  <c r="AD468" i="9" s="1"/>
  <c r="H74" i="9" a="1"/>
  <c r="H67" i="9" a="1"/>
  <c r="I402" i="9"/>
  <c r="AD402" i="9" s="1"/>
  <c r="H459" i="9" a="1"/>
  <c r="I511" i="9"/>
  <c r="H622" i="9" a="1"/>
  <c r="I622" i="9"/>
  <c r="H31" i="9" a="1"/>
  <c r="I106" i="9"/>
  <c r="AD106" i="9" s="1"/>
  <c r="I114" i="9"/>
  <c r="AD114" i="9" s="1"/>
  <c r="I148" i="9"/>
  <c r="AD148" i="9" s="1"/>
  <c r="I290" i="9"/>
  <c r="AD290" i="9" s="1"/>
  <c r="H374" i="9" a="1"/>
  <c r="I374" i="9"/>
  <c r="AD374" i="9" s="1"/>
  <c r="H630" i="9" a="1"/>
  <c r="I630" i="9"/>
  <c r="I638" i="9"/>
  <c r="I34" i="9"/>
  <c r="AD34" i="9" s="1"/>
  <c r="I42" i="9"/>
  <c r="AD42" i="9" s="1"/>
  <c r="I78" i="9"/>
  <c r="AD78" i="9" s="1"/>
  <c r="I111" i="9"/>
  <c r="AD111" i="9" s="1"/>
  <c r="H111" i="9" a="1"/>
  <c r="I118" i="9"/>
  <c r="AD118" i="9" s="1"/>
  <c r="I119" i="9"/>
  <c r="AD119" i="9" s="1"/>
  <c r="H119" i="9" a="1"/>
  <c r="I273" i="9"/>
  <c r="AD273" i="9" s="1"/>
  <c r="H273" i="9" a="1"/>
  <c r="I332" i="9"/>
  <c r="AD332" i="9" s="1"/>
  <c r="H332" i="9" a="1"/>
  <c r="I385" i="9"/>
  <c r="AD385" i="9" s="1"/>
  <c r="H385" i="9" a="1"/>
  <c r="H496" i="9" a="1"/>
  <c r="I496" i="9"/>
  <c r="H532" i="9" a="1"/>
  <c r="I532" i="9"/>
  <c r="I547" i="9"/>
  <c r="I641" i="9"/>
  <c r="H641" i="9" a="1"/>
  <c r="H35" i="9" a="1"/>
  <c r="H43" i="9" a="1"/>
  <c r="H79" i="9" a="1"/>
  <c r="I103" i="9"/>
  <c r="AD103" i="9" s="1"/>
  <c r="H103" i="9" a="1"/>
  <c r="H138" i="9" a="1"/>
  <c r="I242" i="9"/>
  <c r="AD242" i="9" s="1"/>
  <c r="I302" i="9"/>
  <c r="AD302" i="9" s="1"/>
  <c r="I548" i="9"/>
  <c r="H566" i="9" a="1"/>
  <c r="I566" i="9"/>
  <c r="I574" i="9"/>
  <c r="H324" i="9" a="1"/>
  <c r="H59" i="9" a="1"/>
  <c r="I123" i="9"/>
  <c r="AD123" i="9" s="1"/>
  <c r="H123" i="9" a="1"/>
  <c r="I259" i="9"/>
  <c r="AD259" i="9" s="1"/>
  <c r="H259" i="9" a="1"/>
  <c r="H485" i="9" a="1"/>
  <c r="H568" i="9" a="1"/>
  <c r="H107" i="9" a="1"/>
  <c r="I107" i="9"/>
  <c r="AD107" i="9" s="1"/>
  <c r="I291" i="9"/>
  <c r="AD291" i="9" s="1"/>
  <c r="H291" i="9" a="1"/>
  <c r="H55" i="9" a="1"/>
  <c r="I135" i="9"/>
  <c r="AD135" i="9" s="1"/>
  <c r="H135" i="9" a="1"/>
  <c r="I356" i="9"/>
  <c r="AD356" i="9" s="1"/>
  <c r="I612" i="9"/>
  <c r="I154" i="9"/>
  <c r="AD154" i="9" s="1"/>
  <c r="H154" i="9" a="1"/>
  <c r="I235" i="9"/>
  <c r="AD235" i="9" s="1"/>
  <c r="H235" i="9" a="1"/>
  <c r="H430" i="9" a="1"/>
  <c r="I430" i="9"/>
  <c r="AD430" i="9" s="1"/>
  <c r="I456" i="9"/>
  <c r="AD456" i="9" s="1"/>
  <c r="H456" i="9" a="1"/>
  <c r="I325" i="9"/>
  <c r="AD325" i="9" s="1"/>
  <c r="H325" i="9" a="1"/>
  <c r="H358" i="9" a="1"/>
  <c r="I358" i="9"/>
  <c r="AD358" i="9" s="1"/>
  <c r="H422" i="9" a="1"/>
  <c r="I422" i="9"/>
  <c r="AD422" i="9" s="1"/>
  <c r="H486" i="9" a="1"/>
  <c r="I486" i="9"/>
  <c r="H550" i="9" a="1"/>
  <c r="I550" i="9"/>
  <c r="H614" i="9" a="1"/>
  <c r="I614" i="9"/>
  <c r="H140" i="9" a="1"/>
  <c r="H164" i="9" a="1"/>
  <c r="H188" i="9" a="1"/>
  <c r="H212" i="9" a="1"/>
  <c r="H222" i="9" a="1"/>
  <c r="H227" i="9" a="1"/>
  <c r="H238" i="9" a="1"/>
  <c r="H267" i="9" a="1"/>
  <c r="H310" i="9" a="1"/>
  <c r="H317" i="9" a="1"/>
  <c r="I341" i="9"/>
  <c r="AD341" i="9" s="1"/>
  <c r="H342" i="9" a="1"/>
  <c r="I342" i="9"/>
  <c r="AD342" i="9" s="1"/>
  <c r="H349" i="9" a="1"/>
  <c r="I405" i="9"/>
  <c r="AD405" i="9" s="1"/>
  <c r="H406" i="9" a="1"/>
  <c r="I406" i="9"/>
  <c r="AD406" i="9" s="1"/>
  <c r="H413" i="9" a="1"/>
  <c r="I469" i="9"/>
  <c r="AD469" i="9" s="1"/>
  <c r="H470" i="9" a="1"/>
  <c r="I470" i="9"/>
  <c r="AD470" i="9" s="1"/>
  <c r="H477" i="9" a="1"/>
  <c r="I533" i="9"/>
  <c r="H534" i="9" a="1"/>
  <c r="I534" i="9"/>
  <c r="H541" i="9" a="1"/>
  <c r="I597" i="9"/>
  <c r="H598" i="9" a="1"/>
  <c r="I598" i="9"/>
  <c r="H605" i="9" a="1"/>
  <c r="I652" i="9"/>
  <c r="H652" i="9" a="1"/>
  <c r="H12" i="9" a="1"/>
  <c r="H36" i="9" a="1"/>
  <c r="H88" i="9" a="1"/>
  <c r="H146" i="9" a="1"/>
  <c r="H170" i="9" a="1"/>
  <c r="H194" i="9" a="1"/>
  <c r="H218" i="9" a="1"/>
  <c r="H239" i="9" a="1"/>
  <c r="I245" i="9"/>
  <c r="AD245" i="9" s="1"/>
  <c r="I246" i="9"/>
  <c r="AD246" i="9" s="1"/>
  <c r="H246" i="9" a="1"/>
  <c r="H311" i="9" a="1"/>
  <c r="I319" i="9"/>
  <c r="AD319" i="9" s="1"/>
  <c r="I320" i="9"/>
  <c r="AD320" i="9" s="1"/>
  <c r="H320" i="9" a="1"/>
  <c r="I335" i="9"/>
  <c r="AD335" i="9" s="1"/>
  <c r="H335" i="9" a="1"/>
  <c r="I351" i="9"/>
  <c r="AD351" i="9" s="1"/>
  <c r="I370" i="9"/>
  <c r="AD370" i="9" s="1"/>
  <c r="I388" i="9"/>
  <c r="AD388" i="9" s="1"/>
  <c r="H398" i="9" a="1"/>
  <c r="I398" i="9"/>
  <c r="AD398" i="9" s="1"/>
  <c r="I415" i="9"/>
  <c r="AD415" i="9" s="1"/>
  <c r="I434" i="9"/>
  <c r="AD434" i="9" s="1"/>
  <c r="I452" i="9"/>
  <c r="AD452" i="9" s="1"/>
  <c r="H462" i="9" a="1"/>
  <c r="I462" i="9"/>
  <c r="AD462" i="9" s="1"/>
  <c r="I479" i="9"/>
  <c r="I498" i="9"/>
  <c r="I516" i="9"/>
  <c r="H526" i="9" a="1"/>
  <c r="I526" i="9"/>
  <c r="I543" i="9"/>
  <c r="I562" i="9"/>
  <c r="I580" i="9"/>
  <c r="H590" i="9" a="1"/>
  <c r="I590" i="9"/>
  <c r="I607" i="9"/>
  <c r="I626" i="9"/>
  <c r="I644" i="9"/>
  <c r="I333" i="9"/>
  <c r="AD333" i="9" s="1"/>
  <c r="H333" i="9" a="1"/>
  <c r="I424" i="9"/>
  <c r="AD424" i="9" s="1"/>
  <c r="H424" i="9" a="1"/>
  <c r="I616" i="9"/>
  <c r="H616" i="9" a="1"/>
  <c r="H4" i="9" a="1"/>
  <c r="H16" i="9" a="1"/>
  <c r="H28" i="9" a="1"/>
  <c r="H32" i="9" a="1"/>
  <c r="H44" i="9" a="1"/>
  <c r="H48" i="9" a="1"/>
  <c r="H52" i="9" a="1"/>
  <c r="H56" i="9" a="1"/>
  <c r="H60" i="9" a="1"/>
  <c r="H64" i="9" a="1"/>
  <c r="H68" i="9" a="1"/>
  <c r="H84" i="9" a="1"/>
  <c r="H92" i="9" a="1"/>
  <c r="H104" i="9" a="1"/>
  <c r="H112" i="9" a="1"/>
  <c r="H120" i="9" a="1"/>
  <c r="H128" i="9" a="1"/>
  <c r="I145" i="9"/>
  <c r="AD145" i="9" s="1"/>
  <c r="I169" i="9"/>
  <c r="AD169" i="9" s="1"/>
  <c r="H184" i="9" a="1"/>
  <c r="I193" i="9"/>
  <c r="AD193" i="9" s="1"/>
  <c r="H208" i="9" a="1"/>
  <c r="I223" i="9"/>
  <c r="AD223" i="9" s="1"/>
  <c r="H223" i="9" a="1"/>
  <c r="H262" i="9" a="1"/>
  <c r="H327" i="9" a="1"/>
  <c r="I350" i="9"/>
  <c r="AD350" i="9" s="1"/>
  <c r="I414" i="9"/>
  <c r="AD414" i="9" s="1"/>
  <c r="I478" i="9"/>
  <c r="I542" i="9"/>
  <c r="I606" i="9"/>
  <c r="I8" i="9"/>
  <c r="AD8" i="9" s="1"/>
  <c r="I20" i="9"/>
  <c r="AD20" i="9" s="1"/>
  <c r="I24" i="9"/>
  <c r="AD24" i="9" s="1"/>
  <c r="I40" i="9"/>
  <c r="AD40" i="9" s="1"/>
  <c r="I72" i="9"/>
  <c r="AD72" i="9" s="1"/>
  <c r="I76" i="9"/>
  <c r="AD76" i="9" s="1"/>
  <c r="I80" i="9"/>
  <c r="AD80" i="9" s="1"/>
  <c r="I96" i="9"/>
  <c r="AD96" i="9" s="1"/>
  <c r="I100" i="9"/>
  <c r="AD100" i="9" s="1"/>
  <c r="I108" i="9"/>
  <c r="AD108" i="9" s="1"/>
  <c r="I116" i="9"/>
  <c r="AD116" i="9" s="1"/>
  <c r="I124" i="9"/>
  <c r="AD124" i="9" s="1"/>
  <c r="I132" i="9"/>
  <c r="AD132" i="9" s="1"/>
  <c r="I136" i="9"/>
  <c r="AD136" i="9" s="1"/>
  <c r="I141" i="9"/>
  <c r="AD141" i="9" s="1"/>
  <c r="I160" i="9"/>
  <c r="AD160" i="9" s="1"/>
  <c r="I165" i="9"/>
  <c r="AD165" i="9" s="1"/>
  <c r="I189" i="9"/>
  <c r="AD189" i="9" s="1"/>
  <c r="I213" i="9"/>
  <c r="AD213" i="9" s="1"/>
  <c r="H287" i="9" a="1"/>
  <c r="I294" i="9"/>
  <c r="AD294" i="9" s="1"/>
  <c r="H294" i="9" a="1"/>
  <c r="H344" i="9" a="1"/>
  <c r="I352" i="9"/>
  <c r="AD352" i="9" s="1"/>
  <c r="I371" i="9"/>
  <c r="AD371" i="9" s="1"/>
  <c r="H389" i="9" a="1"/>
  <c r="H408" i="9" a="1"/>
  <c r="I416" i="9"/>
  <c r="AD416" i="9" s="1"/>
  <c r="I435" i="9"/>
  <c r="AD435" i="9" s="1"/>
  <c r="H453" i="9" a="1"/>
  <c r="H472" i="9" a="1"/>
  <c r="I480" i="9"/>
  <c r="I499" i="9"/>
  <c r="H517" i="9" a="1"/>
  <c r="H536" i="9" a="1"/>
  <c r="I544" i="9"/>
  <c r="I563" i="9"/>
  <c r="H581" i="9" a="1"/>
  <c r="H600" i="9" a="1"/>
  <c r="I608" i="9"/>
  <c r="I627" i="9"/>
  <c r="I360" i="9"/>
  <c r="AD360" i="9" s="1"/>
  <c r="H360" i="9" a="1"/>
  <c r="I488" i="9"/>
  <c r="H488" i="9" a="1"/>
  <c r="I552" i="9"/>
  <c r="H552" i="9" a="1"/>
  <c r="H214" i="9" a="1"/>
  <c r="I270" i="9"/>
  <c r="AD270" i="9" s="1"/>
  <c r="H270" i="9" a="1"/>
  <c r="H390" i="9" a="1"/>
  <c r="I390" i="9"/>
  <c r="AD390" i="9" s="1"/>
  <c r="H454" i="9" a="1"/>
  <c r="I454" i="9"/>
  <c r="AD454" i="9" s="1"/>
  <c r="H518" i="9" a="1"/>
  <c r="I518" i="9"/>
  <c r="H582" i="9" a="1"/>
  <c r="I582" i="9"/>
  <c r="I345" i="9"/>
  <c r="AD345" i="9" s="1"/>
  <c r="H345" i="9" a="1"/>
  <c r="I377" i="9"/>
  <c r="AD377" i="9" s="1"/>
  <c r="H377" i="9" a="1"/>
  <c r="I409" i="9"/>
  <c r="AD409" i="9" s="1"/>
  <c r="H409" i="9" a="1"/>
  <c r="I441" i="9"/>
  <c r="AD441" i="9" s="1"/>
  <c r="H441" i="9" a="1"/>
  <c r="I473" i="9"/>
  <c r="AD473" i="9" s="1"/>
  <c r="H473" i="9" a="1"/>
  <c r="I505" i="9"/>
  <c r="H505" i="9" a="1"/>
  <c r="I537" i="9"/>
  <c r="H537" i="9" a="1"/>
  <c r="I569" i="9"/>
  <c r="H569" i="9" a="1"/>
  <c r="I601" i="9"/>
  <c r="H601" i="9" a="1"/>
  <c r="I633" i="9"/>
  <c r="H633" i="9" a="1"/>
  <c r="I646" i="9"/>
  <c r="H283" i="9" a="1"/>
  <c r="H307" i="9" a="1"/>
  <c r="H330" i="9" a="1"/>
  <c r="I330" i="9"/>
  <c r="AD330" i="9" s="1"/>
  <c r="I314" i="9"/>
  <c r="AD314" i="9" s="1"/>
  <c r="I361" i="9"/>
  <c r="AD361" i="9" s="1"/>
  <c r="H361" i="9" a="1"/>
  <c r="I393" i="9"/>
  <c r="AD393" i="9" s="1"/>
  <c r="H393" i="9" a="1"/>
  <c r="I425" i="9"/>
  <c r="AD425" i="9" s="1"/>
  <c r="H425" i="9" a="1"/>
  <c r="I457" i="9"/>
  <c r="AD457" i="9" s="1"/>
  <c r="H457" i="9" a="1"/>
  <c r="I489" i="9"/>
  <c r="H489" i="9" a="1"/>
  <c r="I521" i="9"/>
  <c r="H521" i="9" a="1"/>
  <c r="I553" i="9"/>
  <c r="H553" i="9" a="1"/>
  <c r="I585" i="9"/>
  <c r="H585" i="9" a="1"/>
  <c r="I617" i="9"/>
  <c r="H617" i="9" a="1"/>
  <c r="I649" i="9"/>
  <c r="H649" i="9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0E645-F4A7-45DC-94DE-E4963F56B6D4}" keepAlive="1" name="Query - 2026 Orders2" description="Connection to the '2026 Orders' query in the workbook." type="5" refreshedVersion="0" background="1">
    <dbPr connection="Provider=Microsoft.Mashup.OleDb.1;Data Source=$Workbook$;Location=2026 Orders;Extended Properties=&quot;&quot;" command="SELECT * FROM [2026 Ord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<sst xmlns="http://schemas.openxmlformats.org/spreadsheetml/2006/main" count="4050" uniqueCount="1190">
  <si>
    <t>Giving Opportunities</t>
  </si>
  <si>
    <t>Product to Give</t>
  </si>
  <si>
    <t>Date of Order</t>
  </si>
  <si>
    <t>Customer</t>
  </si>
  <si>
    <t>Order #</t>
  </si>
  <si>
    <t>Sales Personal Notes</t>
  </si>
  <si>
    <t>Order Notes</t>
  </si>
  <si>
    <t>Notes:  Include all notes week by week</t>
  </si>
  <si>
    <t>SKU</t>
  </si>
  <si>
    <t>Product</t>
  </si>
  <si>
    <t>Label</t>
  </si>
  <si>
    <t>QTY on Order</t>
  </si>
  <si>
    <t>Labels/IFC- Version/batch</t>
  </si>
  <si>
    <t>QTY Commited</t>
  </si>
  <si>
    <t>QTY 
Needed</t>
  </si>
  <si>
    <t>Status</t>
  </si>
  <si>
    <t>Notes</t>
  </si>
  <si>
    <t>IFC</t>
  </si>
  <si>
    <t>UPC Code</t>
  </si>
  <si>
    <t>QTY on Order2</t>
  </si>
  <si>
    <t>Item PO</t>
  </si>
  <si>
    <t>EST Manufacture Completion</t>
  </si>
  <si>
    <t>Notes:</t>
  </si>
  <si>
    <t>Lot Number</t>
  </si>
  <si>
    <t>Notes:  Include all notes week by week3</t>
  </si>
  <si>
    <r>
      <t xml:space="preserve">Order ETA
</t>
    </r>
    <r>
      <rPr>
        <b/>
        <sz val="14"/>
        <color rgb="FFFF0000"/>
        <rFont val="Calibri"/>
        <family val="2"/>
      </rPr>
      <t>** only for products in rework**</t>
    </r>
  </si>
  <si>
    <t>Date Completed D/W Sent</t>
  </si>
  <si>
    <t>Status4</t>
  </si>
  <si>
    <t>Column2</t>
  </si>
  <si>
    <t>Column1</t>
  </si>
  <si>
    <t>QTY Fuffilled?</t>
  </si>
  <si>
    <t>Peeling?</t>
  </si>
  <si>
    <t>Order Details</t>
  </si>
  <si>
    <t>SKU:</t>
  </si>
  <si>
    <t>DHEA50-60-FD</t>
  </si>
  <si>
    <t>QTY:</t>
  </si>
  <si>
    <r>
      <rPr>
        <b/>
        <sz val="10"/>
        <color rgb="FF000000"/>
        <rFont val="Calibri"/>
        <scheme val="minor"/>
      </rPr>
      <t xml:space="preserve">ANALYSIS DIRECTIONS:
</t>
    </r>
    <r>
      <rPr>
        <sz val="9"/>
        <color rgb="FF000000"/>
        <rFont val="Calibri"/>
        <scheme val="minor"/>
      </rPr>
      <t>1. Click any cell related to desired product
2. Click the button of desired analysis</t>
    </r>
  </si>
  <si>
    <t>Column3</t>
  </si>
  <si>
    <t>Column4</t>
  </si>
  <si>
    <t>WFSPLS-180-FD</t>
  </si>
  <si>
    <t>POLYSIT-90-CS-LY</t>
  </si>
  <si>
    <t>WFSPLS-180-CS-LY</t>
  </si>
  <si>
    <t>FERTMX-90-RE</t>
  </si>
  <si>
    <t>BRSTW-60-FD</t>
  </si>
  <si>
    <t>BRSTW-60-CS-LY</t>
  </si>
  <si>
    <t>BRSTW-60-CS-EG</t>
  </si>
  <si>
    <t xml:space="preserve">FERTMX-30-CS-VT </t>
  </si>
  <si>
    <t>FERTMX-40-FD</t>
  </si>
  <si>
    <t>FERTMX-90-FD</t>
  </si>
  <si>
    <t>FERTMX-90-CS-BN</t>
  </si>
  <si>
    <t>FERTMX-90-CS-AN</t>
  </si>
  <si>
    <t xml:space="preserve">FERTMX-90-CS-VT     </t>
  </si>
  <si>
    <t>FERTMX-90-CS-TA</t>
  </si>
  <si>
    <t>FERTMX-90-CS-NI</t>
  </si>
  <si>
    <t>FERTMX-60-RE</t>
  </si>
  <si>
    <t xml:space="preserve">FERTMX-90-CS-QT </t>
  </si>
  <si>
    <t>FERTMX-60-CS-IQ-IP</t>
  </si>
  <si>
    <t>FERTMXNOM-90-FD</t>
  </si>
  <si>
    <t>FERTMXNOM-60-FD</t>
  </si>
  <si>
    <t>FERTMX-90-CS-LY</t>
  </si>
  <si>
    <t xml:space="preserve">PREFACT-90-CS-RW  </t>
  </si>
  <si>
    <t xml:space="preserve">FERTND-90-CS-GR  </t>
  </si>
  <si>
    <t xml:space="preserve">FERTNOM-90-CS-CY  </t>
  </si>
  <si>
    <t>FIBRO-60-RE</t>
  </si>
  <si>
    <t>FIBRO-60-CS-IQ-IP</t>
  </si>
  <si>
    <t>FIBRO-60-CS-BN</t>
  </si>
  <si>
    <t xml:space="preserve">FIBRO-60-CS-CH  </t>
  </si>
  <si>
    <t xml:space="preserve">FIBRO-60-CS-JO  </t>
  </si>
  <si>
    <t xml:space="preserve">FIBRO-60-CS-GR </t>
  </si>
  <si>
    <t>FIBRO-60-CS-LY</t>
  </si>
  <si>
    <t>FIBRO-60-CS-EG</t>
  </si>
  <si>
    <t>FIBRO-60-FD</t>
  </si>
  <si>
    <t>FIBRO-60-CS-QT</t>
  </si>
  <si>
    <t>FIBRO-60-CS-UA</t>
  </si>
  <si>
    <t>VELMARA-60-CS-NI</t>
  </si>
  <si>
    <t>METRIO-60-RE</t>
  </si>
  <si>
    <t>METRIO-60-CS-IQ-IP</t>
  </si>
  <si>
    <t>METRIO-60-FD</t>
  </si>
  <si>
    <t xml:space="preserve">METRIO-60-CS-EG </t>
  </si>
  <si>
    <t xml:space="preserve">METRIO-60-CS-GR </t>
  </si>
  <si>
    <t>METRIO-60-CS-LY</t>
  </si>
  <si>
    <t xml:space="preserve">METRIO-60-CS-QT </t>
  </si>
  <si>
    <t>METRIO-60-CS-JO</t>
  </si>
  <si>
    <t>METRIO-60-CS-CH</t>
  </si>
  <si>
    <t>METRIO-60-CS-UA</t>
  </si>
  <si>
    <t>MFSADV-120-FD</t>
  </si>
  <si>
    <t xml:space="preserve">MFSADV-120-GR </t>
  </si>
  <si>
    <t>MFSADV-60-FD</t>
  </si>
  <si>
    <t>MFSADV-120-CS-LY</t>
  </si>
  <si>
    <t>MFSADV-60-CS-LY</t>
  </si>
  <si>
    <t>MFSPLS-120-RE</t>
  </si>
  <si>
    <t xml:space="preserve">MFSPLS-120-CS-QT </t>
  </si>
  <si>
    <t xml:space="preserve">MFSPLS-120-CS-AN </t>
  </si>
  <si>
    <t xml:space="preserve">MFSPLS-120-CS-JO </t>
  </si>
  <si>
    <t>MFSPLS-120-CS-LB</t>
  </si>
  <si>
    <t xml:space="preserve">MFSPLS-120-CS-CH </t>
  </si>
  <si>
    <t>MFSPLS-120-CS-BN</t>
  </si>
  <si>
    <t>MFSPLS-120-CS-CN</t>
  </si>
  <si>
    <t>MFSPLS-120-CS-NI</t>
  </si>
  <si>
    <t>MFSPLS-120-CS-UG</t>
  </si>
  <si>
    <t>MFSPLS-120-CS-KW</t>
  </si>
  <si>
    <t xml:space="preserve">MFS-120-CS-RW </t>
  </si>
  <si>
    <t xml:space="preserve">MFSPLS-120-FD                            </t>
  </si>
  <si>
    <t>MFSPLS-120-CS-TA</t>
  </si>
  <si>
    <t xml:space="preserve">MFSPLS-120-CS-EG </t>
  </si>
  <si>
    <t>MFSPLS-120-CS-LY</t>
  </si>
  <si>
    <t>MFSPLS-60-RE</t>
  </si>
  <si>
    <t>MFSPLS-60-FD</t>
  </si>
  <si>
    <t>MFSPLS-60-CS-BN</t>
  </si>
  <si>
    <t>MFSPLS-60-CS-AN</t>
  </si>
  <si>
    <t>MFSPLS-60-CS-UG</t>
  </si>
  <si>
    <t xml:space="preserve">MFSPLS-60-CS-JO </t>
  </si>
  <si>
    <t xml:space="preserve">MFSPLS-60-CS-QT  </t>
  </si>
  <si>
    <t>MFSPLS-60-CS-LB</t>
  </si>
  <si>
    <t xml:space="preserve">MFSPLS-60-CS-CH </t>
  </si>
  <si>
    <t>MFSPLS-60-CS-KW</t>
  </si>
  <si>
    <t xml:space="preserve">MFSPLS-60-CS-EG </t>
  </si>
  <si>
    <t>MFSPLS-60-CS-LY</t>
  </si>
  <si>
    <t>MFSPLS-60-CS-NI</t>
  </si>
  <si>
    <t xml:space="preserve">MFS-60-CS-RW  </t>
  </si>
  <si>
    <t>MOTILMX-60-RE</t>
  </si>
  <si>
    <t xml:space="preserve">MOTILMX-60-CS-GR  </t>
  </si>
  <si>
    <t>MOTILMX-60-CS-LB</t>
  </si>
  <si>
    <t>MOTILMX-60-CS-UG</t>
  </si>
  <si>
    <t>MOTILMX-60-CS-IQ-IP</t>
  </si>
  <si>
    <t>MOTILMX-60-FD</t>
  </si>
  <si>
    <t>MOTILMX-60-CS-BN</t>
  </si>
  <si>
    <t>MOTILMX-60-CS-JO</t>
  </si>
  <si>
    <t xml:space="preserve">MOTILMXNM-60-CS-EG </t>
  </si>
  <si>
    <t>MOTILMX-60-CS-KW</t>
  </si>
  <si>
    <t>MOTILMX-60-CS-AN</t>
  </si>
  <si>
    <t xml:space="preserve">MOTILMX-60-CS-QT </t>
  </si>
  <si>
    <t>MOTILMX-60-CS-LY</t>
  </si>
  <si>
    <t>MOTILMX-60-CS-NI</t>
  </si>
  <si>
    <t xml:space="preserve">ACTPRO-60-CS-RW  </t>
  </si>
  <si>
    <t>OVAMAX-120-CS-BN</t>
  </si>
  <si>
    <t>OVAMAX-120-CS-AN</t>
  </si>
  <si>
    <t>OVAMAX-120-CS-KW</t>
  </si>
  <si>
    <t>OVAMAX-120-CS-UG</t>
  </si>
  <si>
    <t>OVAMAX-120-RE</t>
  </si>
  <si>
    <t>OVAMAX-120-CS-IQ-IP</t>
  </si>
  <si>
    <t xml:space="preserve">OVAMAX-120-CS-CH   </t>
  </si>
  <si>
    <t>OVAMAX-120-CS-LB</t>
  </si>
  <si>
    <t>OVAMAXPLUS-120-CS-CN</t>
  </si>
  <si>
    <t>OVAMAX-120-FD</t>
  </si>
  <si>
    <t xml:space="preserve">OVAMAX-120-CS-EG  </t>
  </si>
  <si>
    <t>OVAMAX-120-CS-LY</t>
  </si>
  <si>
    <t>OVAMAX-120-CS-NI</t>
  </si>
  <si>
    <t>OVAMAX-120-CS-JO</t>
  </si>
  <si>
    <t xml:space="preserve">OVAMAX-120-CS-GR </t>
  </si>
  <si>
    <t>OVAMANM-120-CS-UA</t>
  </si>
  <si>
    <t xml:space="preserve">OVAMANM-120-CS-QT </t>
  </si>
  <si>
    <t xml:space="preserve">OVAMANM-120-CS-VT  </t>
  </si>
  <si>
    <t>OVAMANM-120-CS-TA</t>
  </si>
  <si>
    <t>OVAMAX-60-RE</t>
  </si>
  <si>
    <t>OVAMAX-60-FD</t>
  </si>
  <si>
    <t>OVAMAX-60-CS-IQ-IP</t>
  </si>
  <si>
    <t xml:space="preserve">OVIEW-120-CS-RW </t>
  </si>
  <si>
    <t xml:space="preserve">OVAMANM-60-CS-VT   </t>
  </si>
  <si>
    <t>PENAMAX-30-GE-FD</t>
  </si>
  <si>
    <t>PENAMAX-60-VE-FD</t>
  </si>
  <si>
    <t>PENAMAX-60-GE-FD</t>
  </si>
  <si>
    <t>PENAMAX-60-GE-CS-EG</t>
  </si>
  <si>
    <t>PENAMAX-60-GE-CS-UG</t>
  </si>
  <si>
    <t>PENAMAX-60-GE-CS-IQ-IP</t>
  </si>
  <si>
    <t>PENAMAX-60-GE-CS-UA</t>
  </si>
  <si>
    <t xml:space="preserve">PENAMAX-60-GE-CS-SU </t>
  </si>
  <si>
    <t>PENAMAX-60-GE-CS-TA</t>
  </si>
  <si>
    <t xml:space="preserve">PENAMAX-60-GE-CS-GR </t>
  </si>
  <si>
    <t xml:space="preserve">PENAMAX-60-GE-CS-QT  </t>
  </si>
  <si>
    <t>PENAMAX-60-GE-CS-JO</t>
  </si>
  <si>
    <t xml:space="preserve">PENAMAX-60-VE-CS-CH </t>
  </si>
  <si>
    <t>PENAMAX-60-GE-CS-KW</t>
  </si>
  <si>
    <t xml:space="preserve">PENAMAX-60-GE-CS-VT </t>
  </si>
  <si>
    <t>POLYSIT-45-RE</t>
  </si>
  <si>
    <t>POLYSIT-45-FD</t>
  </si>
  <si>
    <t>POLYSIT-90-RE</t>
  </si>
  <si>
    <t>POLYSIT-90-CS-IQ-IP</t>
  </si>
  <si>
    <t>POLYSIT-90-FD</t>
  </si>
  <si>
    <t xml:space="preserve">POLYSIT-90-CS-SU </t>
  </si>
  <si>
    <t>POLYSIT-90-CS-EG</t>
  </si>
  <si>
    <t>POLYSIT-90-CS-QT</t>
  </si>
  <si>
    <t xml:space="preserve">POLYSIT-90-CS-GR </t>
  </si>
  <si>
    <t xml:space="preserve">POLYSIT-90-CS-VT </t>
  </si>
  <si>
    <t xml:space="preserve">POLYSIT-90-CS-JO </t>
  </si>
  <si>
    <t>PRECON-180-RE</t>
  </si>
  <si>
    <t>PRECON-180-FD</t>
  </si>
  <si>
    <t>PRECON-180-CS-BN</t>
  </si>
  <si>
    <t>PRECON-180-CS-LB</t>
  </si>
  <si>
    <t xml:space="preserve">PRECON-180-CS-CH </t>
  </si>
  <si>
    <t>PRECON-180-CS-KW</t>
  </si>
  <si>
    <t>PRECON-180-CS-LY</t>
  </si>
  <si>
    <t xml:space="preserve">PRECON-180-CS-QT  </t>
  </si>
  <si>
    <t>PRECON-180-CS-JO</t>
  </si>
  <si>
    <t>PRECON-180-CS-TA</t>
  </si>
  <si>
    <t>PRECON-90-RE</t>
  </si>
  <si>
    <t>PRECON-90-FD</t>
  </si>
  <si>
    <t>PRECON-90-CS-BN</t>
  </si>
  <si>
    <t>PRECON-90-CS-LB</t>
  </si>
  <si>
    <t>PRECON-90-CS-KW</t>
  </si>
  <si>
    <t xml:space="preserve">PRECON-90-CS-CH </t>
  </si>
  <si>
    <t>PRECON-90-CS-JO</t>
  </si>
  <si>
    <t>PRECON-90-CS-LY</t>
  </si>
  <si>
    <t xml:space="preserve">PRECON-90-CS-QT   </t>
  </si>
  <si>
    <t>PROSTA-45-RE</t>
  </si>
  <si>
    <t>PROSTA-45-FD</t>
  </si>
  <si>
    <t>PROSTA-90-RE</t>
  </si>
  <si>
    <t>PROSTA-90-FD</t>
  </si>
  <si>
    <t>PROSTA-90-CS-MO</t>
  </si>
  <si>
    <t>PROSTA-90-CS-UG</t>
  </si>
  <si>
    <t>PROSTA-90-CS-IQ-IP</t>
  </si>
  <si>
    <t>PROSTA-90-CS-JO</t>
  </si>
  <si>
    <t>PROSTA-90-CS-CH</t>
  </si>
  <si>
    <t>ROYALPL-30-RE</t>
  </si>
  <si>
    <t>ROYALPL-30-FD</t>
  </si>
  <si>
    <t>ROYALPL-30-CS-IQ-IP</t>
  </si>
  <si>
    <t xml:space="preserve">ROYALPL-30-CS-QT   </t>
  </si>
  <si>
    <t>ROYALPL-30-CS-UA</t>
  </si>
  <si>
    <t>SPERMCT-60-RE</t>
  </si>
  <si>
    <t>SPERMCT-60-CS-LB</t>
  </si>
  <si>
    <t>SPERMCT-60-FD</t>
  </si>
  <si>
    <t>SPERMCT-60-CS-KW</t>
  </si>
  <si>
    <t xml:space="preserve">SPERMCT-60-CS-QT   </t>
  </si>
  <si>
    <t>SPERMCT-60-CS-LY</t>
  </si>
  <si>
    <t>SPERMCT-60-CS-UG</t>
  </si>
  <si>
    <t>TWIN-60-FD</t>
  </si>
  <si>
    <t>VELVET-60-FD</t>
  </si>
  <si>
    <t>VELVET-60-RE</t>
  </si>
  <si>
    <t>WFSADV-120-RE</t>
  </si>
  <si>
    <t>WFSADV-60-RE</t>
  </si>
  <si>
    <t>WFSADV-120-FD</t>
  </si>
  <si>
    <t>WFSADV-60-FD</t>
  </si>
  <si>
    <t>WFSPLS-180-CS-LB</t>
  </si>
  <si>
    <t>WFSPLS-180-RE</t>
  </si>
  <si>
    <t>WFSPLS-180-CS-BN</t>
  </si>
  <si>
    <t>WFSPLS-180-CS-AN</t>
  </si>
  <si>
    <t>WFSPLS-180-CS-KW</t>
  </si>
  <si>
    <t>WFSPLS-180-CS-TA</t>
  </si>
  <si>
    <t xml:space="preserve">WFSPLS-180-CS-QT  </t>
  </si>
  <si>
    <t>WFSPLS-180-CS-JO</t>
  </si>
  <si>
    <t xml:space="preserve">WFSPLS-180-CS-CH  </t>
  </si>
  <si>
    <t xml:space="preserve">WFSPLS-180-CS-EG  </t>
  </si>
  <si>
    <t>WFSPLS-180-CS-NI</t>
  </si>
  <si>
    <t xml:space="preserve">WFS-180-CS-RW  </t>
  </si>
  <si>
    <t>WFSPLS-90-CS-LB</t>
  </si>
  <si>
    <t>WFSPLS-90-RE</t>
  </si>
  <si>
    <t>WFSPLS-90-FD</t>
  </si>
  <si>
    <t>WFSPLS-90-CS-BN</t>
  </si>
  <si>
    <t xml:space="preserve">WFSPLS-90-CS-CO </t>
  </si>
  <si>
    <t>WFSPLS-90-CS-AN</t>
  </si>
  <si>
    <t>WFSPLS-90-CS-KW</t>
  </si>
  <si>
    <t xml:space="preserve">WFSPLS-90-CS-CH  </t>
  </si>
  <si>
    <t xml:space="preserve">WFSPLS-90-CS-QT  </t>
  </si>
  <si>
    <t>WFSPLS-90-CS-JO</t>
  </si>
  <si>
    <t xml:space="preserve">WFSPLS-90-CS-EG  </t>
  </si>
  <si>
    <t>WFSPLS-90-CS-LY</t>
  </si>
  <si>
    <t>WFSPLS-90-CS-NI</t>
  </si>
  <si>
    <t xml:space="preserve">WFS-90-CS-RW </t>
  </si>
  <si>
    <t>ADVTH-60-FD</t>
  </si>
  <si>
    <t>BALLAGEN-30-FD</t>
  </si>
  <si>
    <t>CAVIN-60-FD</t>
  </si>
  <si>
    <t>CAVINADV-60-FD</t>
  </si>
  <si>
    <t>CAVINADV-60-CS-KW</t>
  </si>
  <si>
    <t>CHARCO-100-FD</t>
  </si>
  <si>
    <t>CHARCO-100-CS-CH</t>
  </si>
  <si>
    <t>COLLA-60-FD</t>
  </si>
  <si>
    <t>COLLA-60-CS-KW</t>
  </si>
  <si>
    <t>COLLA-60-CS-QT</t>
  </si>
  <si>
    <t>COQ100-125-FD</t>
  </si>
  <si>
    <t xml:space="preserve">COQ400-30-VE-CS-SU </t>
  </si>
  <si>
    <t>EYECAP-30-FD</t>
  </si>
  <si>
    <t>EYECAP-30-CS-QT</t>
  </si>
  <si>
    <t>FLORA30-30-FD</t>
  </si>
  <si>
    <t>FLORA30-30-CS-IQ-IP</t>
  </si>
  <si>
    <t>FLORA30-30-CS-CH</t>
  </si>
  <si>
    <t>FLORA50-30-FD</t>
  </si>
  <si>
    <t>FLORA50-30-CS-IQ-IP</t>
  </si>
  <si>
    <t>FLORA50-30-CS-QT</t>
  </si>
  <si>
    <t>GARLIC-60-FD</t>
  </si>
  <si>
    <t>IMMUNE-60-CS-UA</t>
  </si>
  <si>
    <t>IMMUNE-60-FD</t>
  </si>
  <si>
    <t>IMMUNE-60-CS-KW</t>
  </si>
  <si>
    <t>KETONEC-60-FD</t>
  </si>
  <si>
    <t xml:space="preserve">KETONEL-60-CS-SU </t>
  </si>
  <si>
    <t>KETONEG-60-FD</t>
  </si>
  <si>
    <t>KETONEG-60-CS-KW</t>
  </si>
  <si>
    <t>KETONEG-60-CS-UA</t>
  </si>
  <si>
    <t>LIPODIS-60-FD</t>
  </si>
  <si>
    <t>LIPODIS-60-CS-IQ-IP</t>
  </si>
  <si>
    <t>MEMOUP-60-FD</t>
  </si>
  <si>
    <t>NMNH-60-FD</t>
  </si>
  <si>
    <t>NRGMEN-45-FD</t>
  </si>
  <si>
    <t>NRGMEN-45-CS-IQ-IP</t>
  </si>
  <si>
    <t>NRGMEN-45-CS-UA</t>
  </si>
  <si>
    <t>NRGWOM-45-FD</t>
  </si>
  <si>
    <t>NRGWOM-45-CS-UA</t>
  </si>
  <si>
    <t>MEGAMULTI-NRG-180-FD</t>
  </si>
  <si>
    <t>NEURO-60-FD</t>
  </si>
  <si>
    <t>OSTEOFR-72-FD</t>
  </si>
  <si>
    <t>OSTEOPL-96-FD</t>
  </si>
  <si>
    <t>OSTEOPL-96-CS-KW</t>
  </si>
  <si>
    <t xml:space="preserve">OSTEOPL-96-CS-CH </t>
  </si>
  <si>
    <t>OSTEOPL-96-CS-QT</t>
  </si>
  <si>
    <t>OSTEOPW-74-FD</t>
  </si>
  <si>
    <t>PEARLY-60-FD</t>
  </si>
  <si>
    <t>PEARLY-60-CS-IQ-IP</t>
  </si>
  <si>
    <t>PEARLY-60-CS-KW</t>
  </si>
  <si>
    <t>PEARLY-60-CS-QT</t>
  </si>
  <si>
    <t xml:space="preserve">PEARLY-60-CS-GR </t>
  </si>
  <si>
    <t>TESTOSTR-60-FD</t>
  </si>
  <si>
    <t>UTICYST-60-FD</t>
  </si>
  <si>
    <t>UTICYST-60-CS-CH</t>
  </si>
  <si>
    <t>UTICYST-60-CS-EG</t>
  </si>
  <si>
    <t>VIVAMEN-60-FD</t>
  </si>
  <si>
    <t>VIVAMEN-120-FD</t>
  </si>
  <si>
    <t>VIVAMEN-120-CS-UA</t>
  </si>
  <si>
    <t>VIVAWOM-60-FD</t>
  </si>
  <si>
    <t>VIVAWOM-60-CS-CH</t>
  </si>
  <si>
    <t>VIVAWOM-120-FD</t>
  </si>
  <si>
    <t>VIVAWOM-120-CS-UA</t>
  </si>
  <si>
    <t>ARGI-100-CS-GE</t>
  </si>
  <si>
    <t>ALA-60-FD</t>
  </si>
  <si>
    <t>ALC-60-FD</t>
  </si>
  <si>
    <t>ALC-60-CS-IQ-IP</t>
  </si>
  <si>
    <t>BIO5K-60-FD</t>
  </si>
  <si>
    <t>BIO5K-60-CS-KW</t>
  </si>
  <si>
    <t>BIO5K-60-CS-QT</t>
  </si>
  <si>
    <t>BIO10K-60-FD</t>
  </si>
  <si>
    <t xml:space="preserve">BIOPRIN5-60-CS-GO </t>
  </si>
  <si>
    <t xml:space="preserve">BIOPRIN10-60-CS-GO </t>
  </si>
  <si>
    <t>CARTAB-60-CS-GO</t>
  </si>
  <si>
    <t>DHEA25-60-FD</t>
  </si>
  <si>
    <t>DHEA25-60-CS-KW</t>
  </si>
  <si>
    <t>DHEA25-60-CS-IQ-IP</t>
  </si>
  <si>
    <t>DHEA25-60-CS-MO</t>
  </si>
  <si>
    <t>DHEA50-60-CS-MO</t>
  </si>
  <si>
    <t>DHEA50-60-CS-JO</t>
  </si>
  <si>
    <t>DHEA50-CS-IQ-IP</t>
  </si>
  <si>
    <t>DHEA50-60-CS-QT</t>
  </si>
  <si>
    <t xml:space="preserve">DHEA50-60-CS-CH   </t>
  </si>
  <si>
    <t>DHEA50-60-CS-KW</t>
  </si>
  <si>
    <t>MIKRON5-60-CS-GO</t>
  </si>
  <si>
    <t>GINKGO-60-FD</t>
  </si>
  <si>
    <t xml:space="preserve">GRAVFER-60-CS-GO </t>
  </si>
  <si>
    <t>GRAVFER-60-CS-QT</t>
  </si>
  <si>
    <t>GRAD31K-90-CS-GO</t>
  </si>
  <si>
    <t>GRAD32K-90-CS-GO</t>
  </si>
  <si>
    <t>GRAVMAG-90-CS-GO</t>
  </si>
  <si>
    <t>GRAVIS-90-CS-GO</t>
  </si>
  <si>
    <t>LARGIN-100-FD</t>
  </si>
  <si>
    <t>MAGNES-50-FD</t>
  </si>
  <si>
    <t>MAGNES500-240-FD</t>
  </si>
  <si>
    <t>MYOCALMPLS-240-CS-GO</t>
  </si>
  <si>
    <t>NAC-60-FD</t>
  </si>
  <si>
    <t xml:space="preserve">NAC-60-CS-QT  </t>
  </si>
  <si>
    <t>NERUFLX-60-FD</t>
  </si>
  <si>
    <t>NERUFLX-60-CS-CH</t>
  </si>
  <si>
    <t>OMEGA3-60-FD</t>
  </si>
  <si>
    <t>OMEGA3-60-CS-IQ-IP</t>
  </si>
  <si>
    <t>OMEGA3-60-CS-UA</t>
  </si>
  <si>
    <t>OMEGA3-60-CS-MO</t>
  </si>
  <si>
    <t>OMEGA3-40-CS-IQ</t>
  </si>
  <si>
    <t>OMEGA3-90-CS-MO</t>
  </si>
  <si>
    <t xml:space="preserve">OMEGA3-60-CS-OM </t>
  </si>
  <si>
    <t>OMEGA3-60-CS-CH</t>
  </si>
  <si>
    <t>TRIVOZA-60-CS-GO</t>
  </si>
  <si>
    <t>OME369-90-FD</t>
  </si>
  <si>
    <t>OME369-90-CS-MO</t>
  </si>
  <si>
    <t>OME369-90-CS-QT</t>
  </si>
  <si>
    <t>TRIVOZAPLS-90-CS-GO</t>
  </si>
  <si>
    <t>QWELL2-60-SG-FD</t>
  </si>
  <si>
    <t>QWELL2-60-SG-CS-IQ</t>
  </si>
  <si>
    <t xml:space="preserve">QWELL2-60-SG-CS-EG   </t>
  </si>
  <si>
    <t>QWELL4-30-SG-FD</t>
  </si>
  <si>
    <t>QWELL4-30-SG-CS-IQ-IP</t>
  </si>
  <si>
    <t>QWELL4-30-VE-FD</t>
  </si>
  <si>
    <t>QWELL4-30-VE-CS-KW</t>
  </si>
  <si>
    <t>QWELL4-30-SG-CS-TA</t>
  </si>
  <si>
    <t xml:space="preserve">QWELL4-30-SG-CS-EG </t>
  </si>
  <si>
    <t xml:space="preserve">QWELL4-30-SG-CS-CH </t>
  </si>
  <si>
    <t>RAPIDC5-100-FD</t>
  </si>
  <si>
    <t>RAPIDC1-100-FD</t>
  </si>
  <si>
    <t>ROYALJE-60-FD</t>
  </si>
  <si>
    <t>ROYALJE-60-CS-LY</t>
  </si>
  <si>
    <t>SELENIU-60-FD</t>
  </si>
  <si>
    <t xml:space="preserve">SELENIU-60-CS-QT   </t>
  </si>
  <si>
    <t xml:space="preserve">VITE-60-CS-CH   </t>
  </si>
  <si>
    <t>VITE-60-FD</t>
  </si>
  <si>
    <t>VIACAL-60-FD</t>
  </si>
  <si>
    <t>XTRAD5-60-FD</t>
  </si>
  <si>
    <t>XTRAD10-60-FD</t>
  </si>
  <si>
    <t xml:space="preserve">XTRAD10-60-CS-GR </t>
  </si>
  <si>
    <t>XTRAD10-60-CS-QT</t>
  </si>
  <si>
    <t>XTRAD25-30-FD</t>
  </si>
  <si>
    <t xml:space="preserve">XTRAD25-30-CS-QT  </t>
  </si>
  <si>
    <t>XTRAD50-SG-12-FD</t>
  </si>
  <si>
    <t>ZINC25-60-FD</t>
  </si>
  <si>
    <t>ZINC50-60-FD</t>
  </si>
  <si>
    <t>ZINC50-60-CS-KW</t>
  </si>
  <si>
    <t xml:space="preserve">ZINC25-60-CS-EG    </t>
  </si>
  <si>
    <t xml:space="preserve">ZINC50-60-CS-EG  </t>
  </si>
  <si>
    <t>ZINC50-30-CS-IQ</t>
  </si>
  <si>
    <t>TESTRON-60-FD</t>
  </si>
  <si>
    <t>Last update: 5/28/2026</t>
  </si>
  <si>
    <t>Taking Opportunities</t>
  </si>
  <si>
    <t>Product Needed</t>
  </si>
  <si>
    <t>MFSPLS-120-FD</t>
  </si>
  <si>
    <t>PRECON-180-CS-EG</t>
  </si>
  <si>
    <t xml:space="preserve">PRECON-90-CS-EG </t>
  </si>
  <si>
    <t>WFSPLS-180-CS-QT</t>
  </si>
  <si>
    <t>China</t>
  </si>
  <si>
    <t>A4458</t>
  </si>
  <si>
    <t xml:space="preserve">5/20/2025: Back order created for China A4412
11/3/2025: PediaFl removed 
1/14/2025 Documents &amp; D/Ws Sent </t>
  </si>
  <si>
    <t>SELENIU-60</t>
  </si>
  <si>
    <t>FD</t>
  </si>
  <si>
    <t>F63-25.1</t>
  </si>
  <si>
    <t>D/W Sent</t>
  </si>
  <si>
    <t/>
  </si>
  <si>
    <t>A4425</t>
  </si>
  <si>
    <t xml:space="preserve">07/29/2024: Back order for China A4259 
3/20/2025: Back order from A4281 
8/22/2025: Docs &amp; D/Ws Sent  
11/7/2025: Pedia Products removed 
12/12/2025: prosta moved to A4607 
1/13/2025: Updated Documents and D/Ws Sent </t>
  </si>
  <si>
    <t>VIACAL-60</t>
  </si>
  <si>
    <t>F66-22.1</t>
  </si>
  <si>
    <t>UAE</t>
  </si>
  <si>
    <t>A4624</t>
  </si>
  <si>
    <t>Under going registration in UAE                5/13/2026: UAE unable to take, exploring if other clients can take product.</t>
  </si>
  <si>
    <t xml:space="preserve">Split from UAE A4553 because product is undergoing registration </t>
  </si>
  <si>
    <t> 6/13/2025: products added from UAE A4393 
9/5/2025: 96 packs allocated to Amazon  
9/18/2025: Moved from A4445</t>
  </si>
  <si>
    <t>NERUFLX-60</t>
  </si>
  <si>
    <t>F115-25.0</t>
  </si>
  <si>
    <t>Sales Action Needed</t>
  </si>
  <si>
    <t>Kuwait</t>
  </si>
  <si>
    <t>A4562</t>
  </si>
  <si>
    <t>5/11/2026: Order on hold</t>
  </si>
  <si>
    <t>11/3/2025: 2025 Back Order for Kuwait A4505 
**MUST BE GREEN CAPSULE**</t>
  </si>
  <si>
    <t>11/3/2025: Waiting for registration   11/5/2025: Allocated 500 packs to UAE A4521</t>
  </si>
  <si>
    <t>EYECAP-30</t>
  </si>
  <si>
    <t>F15-26.0</t>
  </si>
  <si>
    <t>ON HOLD</t>
  </si>
  <si>
    <t>Uganda</t>
  </si>
  <si>
    <t>A4522</t>
  </si>
  <si>
    <t>9/10/2025- Split from A4507  
10/30/2025: Documents Sent  
11/3/2025: Estimate W/Ds Sent 
12/12/2025 Documents sent 
12/21/2025 Final D/Ws Sent  
**UPDATED DOCS NEEDED**</t>
  </si>
  <si>
    <t>SPERMCT-60</t>
  </si>
  <si>
    <t>F64-25.0</t>
  </si>
  <si>
    <t>Picked</t>
  </si>
  <si>
    <t>5/12/2026: Allocating to Lebanon A4690.</t>
  </si>
  <si>
    <t>WFSPLS-180</t>
  </si>
  <si>
    <t>F73-23.0</t>
  </si>
  <si>
    <t>PO Drafted</t>
  </si>
  <si>
    <t>9/11/2025: product changed to RE 
5/14/2026: Allocate to Cyprus A4675.</t>
  </si>
  <si>
    <t>FERTMX-90</t>
  </si>
  <si>
    <t>RE</t>
  </si>
  <si>
    <t>R16-22.0</t>
  </si>
  <si>
    <t>PO submitted</t>
  </si>
  <si>
    <t>PRECON-90</t>
  </si>
  <si>
    <t>F54-23.0</t>
  </si>
  <si>
    <t>QWELL4-30</t>
  </si>
  <si>
    <t>F58-25.3</t>
  </si>
  <si>
    <t>PROSTA-90</t>
  </si>
  <si>
    <t>F56-23.0</t>
  </si>
  <si>
    <t>12/4/2025: Moved From UgandaA4534
4/9/2026: 192 packs of Ovamax allocated to Bahrain A4685</t>
  </si>
  <si>
    <t>OVAMAX-120</t>
  </si>
  <si>
    <t>F41-25.0</t>
  </si>
  <si>
    <t>In Production</t>
  </si>
  <si>
    <t>4/2/2026: FERTMX-90-RE 200 packs allocated to Doreen A4678</t>
  </si>
  <si>
    <t>2/11/2026: Updated IFC to Y after IFC scrub.</t>
  </si>
  <si>
    <t>PENAMAX-60</t>
  </si>
  <si>
    <t>F88-25.1</t>
  </si>
  <si>
    <t>03/10/26 Product allocated to Somalia A4655</t>
  </si>
  <si>
    <t>DHEA50-60</t>
  </si>
  <si>
    <t>F13-25.2</t>
  </si>
  <si>
    <t>12/4/2025: Moved From UgandaA4534</t>
  </si>
  <si>
    <t>PRECON-180</t>
  </si>
  <si>
    <t>F55-22.2</t>
  </si>
  <si>
    <t>Morocco</t>
  </si>
  <si>
    <t>A4518</t>
  </si>
  <si>
    <t xml:space="preserve">Awaiting customer update </t>
  </si>
  <si>
    <t>Sample Order: Use plain white labels with only the product name and batch number   
9/8/2025: Documents Sent 
9/29/2025: Docs &amp; D/Ws Sent  
10/17/2025: NMNH Added</t>
  </si>
  <si>
    <t>MOTILMX-60</t>
  </si>
  <si>
    <t>F31-23.0</t>
  </si>
  <si>
    <t>MFSPLS-60</t>
  </si>
  <si>
    <t>F29-25.0</t>
  </si>
  <si>
    <t>MFSPLS-120</t>
  </si>
  <si>
    <t>F30-25.1</t>
  </si>
  <si>
    <t>POLYSIT-90</t>
  </si>
  <si>
    <t>F53-14.0</t>
  </si>
  <si>
    <t>10/17/2025: Added to order</t>
  </si>
  <si>
    <t>NMNH-60</t>
  </si>
  <si>
    <t>F114-25.0</t>
  </si>
  <si>
    <t>A4637</t>
  </si>
  <si>
    <t xml:space="preserve">1/27/2025: split order from China A4520 due to registration issues 2/2/2026: Documents and D/Ws sent </t>
  </si>
  <si>
    <t xml:space="preserve">9/29/2025: Sku updated </t>
  </si>
  <si>
    <t>OVAMAXPLUS-120</t>
  </si>
  <si>
    <t>CN</t>
  </si>
  <si>
    <t>CN41-25.0</t>
  </si>
  <si>
    <t>Jordan</t>
  </si>
  <si>
    <t>A4646</t>
  </si>
  <si>
    <t>6/1/2026: Products arriving to AMS warehouse on 6/4/2026.</t>
  </si>
  <si>
    <t>Jordan Sample Count Order (5-day Supply)
 3/11/2026: Documents sent 
5/5/2026: D/W sent</t>
  </si>
  <si>
    <t xml:space="preserve">FIBRO-10-CS-JO  </t>
  </si>
  <si>
    <t>FIBRO-10</t>
  </si>
  <si>
    <t xml:space="preserve">JO  </t>
  </si>
  <si>
    <t>JO130-25.0</t>
  </si>
  <si>
    <t>Available</t>
  </si>
  <si>
    <t>WFSPLS-30-CS-JO</t>
  </si>
  <si>
    <t>WFSPLS-30</t>
  </si>
  <si>
    <t>JO</t>
  </si>
  <si>
    <t>JO132-25.1</t>
  </si>
  <si>
    <t>OVAMAX-20-CS-JO</t>
  </si>
  <si>
    <t>OVAMAX-20</t>
  </si>
  <si>
    <t>JO131-25.0</t>
  </si>
  <si>
    <t>DHEA50-5-CS-JO</t>
  </si>
  <si>
    <t>DHEA50-5</t>
  </si>
  <si>
    <t>JO133-25.0</t>
  </si>
  <si>
    <t>Ethiopia</t>
  </si>
  <si>
    <t>A4591</t>
  </si>
  <si>
    <t> 12/23/2025</t>
  </si>
  <si>
    <t>11/26/2025: Back order Created for EthiopiaA4519 and A4532 to Applying for Import Permit  
12/1/2025: Skus confirmed 
1/13/2025: Documents and D/Ws sent 
**UPDATED DOCS NEEDED**</t>
  </si>
  <si>
    <t>11/26/2025: Moved 817 bottles from A4532
5/21/2026: Allocating 817 pcs to Egypt A4683.</t>
  </si>
  <si>
    <t> </t>
  </si>
  <si>
    <t>11/26/2025: Moved 77 bottles from A4532</t>
  </si>
  <si>
    <t>11/26/2025: Moved 480 bottles from A4532</t>
  </si>
  <si>
    <t>11/26/2025: Moved 720 bottles from A4532
6/1/2026: Allocating 528 bottles to Cyprus A4676.</t>
  </si>
  <si>
    <t>11/26/2025: Moved 120 bottles from A4532
5/21/2026: Allocating 120 packs to Somalia A4686</t>
  </si>
  <si>
    <t>F14-25.2</t>
  </si>
  <si>
    <t>11/26/2025: Moved 205 bottles from A4532</t>
  </si>
  <si>
    <t>11/26/2025: Moved 245 bottles from A4532
5/14/2026: allocating 245 packs to Egypt A4683</t>
  </si>
  <si>
    <t>11/26/2025: Moved 484 bottles from A4532</t>
  </si>
  <si>
    <t>11/26/2025: Moved 34 bottles from A4519</t>
  </si>
  <si>
    <t>A4534</t>
  </si>
  <si>
    <t xml:space="preserve">Q4 Order - 2025 
12/21/2025 Documents and D/Ws sent </t>
  </si>
  <si>
    <t>Greece</t>
  </si>
  <si>
    <t>A4547</t>
  </si>
  <si>
    <t xml:space="preserve">docs approved </t>
  </si>
  <si>
    <t>Q4 Order - 2025 MFSADV+Blistered *Titanium Dioxide Free labels
Will be Blistered 
2/4/2026: Documents Sent 
5/15/2026: D/W Sent
5/26/2026: Change form submitted; order will now ship in Q3</t>
  </si>
  <si>
    <t>5/26/2026: Allocating 576 packs to Cyprus A4676. Remainder (424) to be kept on order to ship Q3.</t>
  </si>
  <si>
    <t>MFSADV-120-CS-GR</t>
  </si>
  <si>
    <t>MFSADV-120</t>
  </si>
  <si>
    <t>GR</t>
  </si>
  <si>
    <t>GR87-25.0</t>
  </si>
  <si>
    <t>Sudan</t>
  </si>
  <si>
    <t>A4549</t>
  </si>
  <si>
    <t>4/8/2026: Client applying for permit
5/21/2026: Awaiting feedback if client can take available 1300 packs</t>
  </si>
  <si>
    <t>Q4 - 2025 
10/17/2025: Skus confirmed 
3/18/2026 - Documents Sent
5/22/2025 - New Documents Sent</t>
  </si>
  <si>
    <t>11/10/2025: Can only Fulfill 1620 from PO A4808 
2/4/2026: Quantity decreased from 4076 to 1476. Fulfilling out of PO A4808.
5/22/2026: QTY decreased 1476 -&gt; 1300 (176 packs moved to Sudan A4697)
1300 packs to be fufilled by available QTY (runoff from 4940)
6/1/2026: QTY increased to original amount: 176 packs added from Sudan A4711 (1300 -&gt; 1476)
to be fufilled by PO 4808</t>
  </si>
  <si>
    <t>COQ400-30-VE-CS-SU</t>
  </si>
  <si>
    <t>COQ400-30</t>
  </si>
  <si>
    <t>SU</t>
  </si>
  <si>
    <t>SU58-23.0</t>
  </si>
  <si>
    <t>Transit to Warehouse</t>
  </si>
  <si>
    <t>A4561</t>
  </si>
  <si>
    <t>Q4 2025 Order  
11/5/2025: Documents and D/Ws Sent</t>
  </si>
  <si>
    <t xml:space="preserve">11/5/2025: Sku confirmed </t>
  </si>
  <si>
    <t>ZINC25-60</t>
  </si>
  <si>
    <t>F78-22.0</t>
  </si>
  <si>
    <t>Iraq</t>
  </si>
  <si>
    <t>A4567</t>
  </si>
  <si>
    <t>49021225
Mfg:12/2025
Exp:12/2028                                         4/28/2026: 3360 moved to Iraq A4698.</t>
  </si>
  <si>
    <t>Q1 - 2026 Order 11/7/2025: Skus Confirmed  
11/21/2025: Products should be a fresh batch NutraStar Drop Ship 1 
2/16/2026: Several products increased qty for Case Pack size per Packing Lists from supplier. 
3/11/2026: All shipments to Iraq on hold at this time. 
4/28/2026: Discussing with US management regarding potential pickup of portion of goods.
6/8/2026: NutraStar products are ready but accounting action is needed.</t>
  </si>
  <si>
    <t>NutraStar</t>
  </si>
  <si>
    <t>ADVTH-60</t>
  </si>
  <si>
    <t>F01-22.2</t>
  </si>
  <si>
    <t>49031225
Mfg:12/2025
Exp:12/2028                                                2/16/2026: Qty increased 11750 -&gt; 11760                                      5/15/2026: 4800 moved to Iraq A4704</t>
  </si>
  <si>
    <t>COLLA-60</t>
  </si>
  <si>
    <t>F11-22.1</t>
  </si>
  <si>
    <t>49061225
Mfg:12/2025
Exp:12/2028</t>
  </si>
  <si>
    <t>Nutrastar</t>
  </si>
  <si>
    <t>METRIO-60-CS-IQ</t>
  </si>
  <si>
    <t>METRIO-60</t>
  </si>
  <si>
    <t>IQ</t>
  </si>
  <si>
    <t>IQ28-23.0</t>
  </si>
  <si>
    <t>49121225
Mfg:12/2025
Exp:12/2028                                         2/16/2026: Qty increased 8500 -&gt; 8520</t>
  </si>
  <si>
    <t>PROSTA-45</t>
  </si>
  <si>
    <t>R94-23.0</t>
  </si>
  <si>
    <t>49131225
Mfg:12/2025
Exp:12/2028                                           2/16/2026: Qty increased 8000 -&gt; 8016                                       4/28/2026: 6816 moved to Iraq A4698</t>
  </si>
  <si>
    <t>R64-23.0</t>
  </si>
  <si>
    <t>A4632</t>
  </si>
  <si>
    <t>49081225
Mfg:12/2025
Exp:12/2028                                      2/16/2026: Qty increased 28297 -&gt; 28320                                  4/28/2026: 9360 moved to Iraq A4698</t>
  </si>
  <si>
    <t>1/22/2025: Split from IraqA4567 NutraStar Drop Ship 2
3/11/2026: All shipments to Iraq on hold at this time.
6/8/2026: NutraStar products are ready but accounting action is needed.</t>
  </si>
  <si>
    <t xml:space="preserve">Nutrastar  </t>
  </si>
  <si>
    <t>OVAMAX-60-CS-IQ</t>
  </si>
  <si>
    <t>OVAMAX-60</t>
  </si>
  <si>
    <t>IQ97-25.0</t>
  </si>
  <si>
    <t>49091225
Mfg:12/2025
Exp:12/2028                                    4/28/2026: 15120 moved to Iraq A4698                                     5/15/2026: 5208 moved to Iraq A4704</t>
  </si>
  <si>
    <t>PEARLY-60-CS-IQ</t>
  </si>
  <si>
    <t>PEARLY-60</t>
  </si>
  <si>
    <t>IQ42-23.0</t>
  </si>
  <si>
    <t>A4633</t>
  </si>
  <si>
    <t>49071225
Mfg:12/2025
Exp:12/2028                                       4/28/2026: 15360 moved to Iraq A4698                                         5/15/2026: 5280 moved to Iraq A4704</t>
  </si>
  <si>
    <t>1/22/2025: Split from IraqA4567 NutraStar Drop Ship 3
3/11/2026: All shipments to Iraq on hold at this time.
6/8/2026: NutraStar products are ready but accounting action is needed.</t>
  </si>
  <si>
    <t>Nutrastar                                   6/4/2026: Qty adjusted to 8880 after reviewing Pallets.</t>
  </si>
  <si>
    <t>R29-24.0</t>
  </si>
  <si>
    <t xml:space="preserve">  8/18/2025: 30,000 packs moved from A4475 
9/30/2025: Moved from Iraq A4442 
1/22/2026: Moved from Iraq A4541</t>
  </si>
  <si>
    <t>MOTILMX-60-CS-IQ</t>
  </si>
  <si>
    <t>IQ31-23.0</t>
  </si>
  <si>
    <t>A4704</t>
  </si>
  <si>
    <t>49041225
Mfg:12/2025
Exp:12/2028</t>
  </si>
  <si>
    <t>Q2 2026 - Nutrastar Partial Pickup
5/18/2026: ON HOLD - Client is waiting for other shipments to clear before moving forward with a new shipment.
6/8/2026: NutraStar products are ready but accounting action is needed.</t>
  </si>
  <si>
    <t>NutraStar                                5/15/2026: From Iraq A4567.</t>
  </si>
  <si>
    <t>FIBRO-60-CS-IQ</t>
  </si>
  <si>
    <t>FIBRO-60</t>
  </si>
  <si>
    <t>IQ17-23.0</t>
  </si>
  <si>
    <t>49031225
Mfg:12/2025
Exp:12/2028</t>
  </si>
  <si>
    <t>NutraStar                             5/15/2026: From Iraq A4567.</t>
  </si>
  <si>
    <t>49071225
Mfg:12/2025
Exp:12/2028</t>
  </si>
  <si>
    <t>Nutrastar                                     5/16/2026: From Iraq A4633.</t>
  </si>
  <si>
    <t>49091225
Mfg:12/2025
Exp:12/2028</t>
  </si>
  <si>
    <t>Nutrastar                              5/16/2026: From Iraq A4632.</t>
  </si>
  <si>
    <t>A4631</t>
  </si>
  <si>
    <t>49160126
Mfg: 01/2026
Exp:01/2028</t>
  </si>
  <si>
    <t xml:space="preserve">Split from IraqA4567 -- TO BE DROP Shipped From VITANE                                        3/11/2026: All shipments to Iraq on hold at this time.              </t>
  </si>
  <si>
    <t>Vitane                                    6/8/2026: Product is at Warehouse.</t>
  </si>
  <si>
    <t>COQ100-125</t>
  </si>
  <si>
    <t>F12-24.0</t>
  </si>
  <si>
    <t>47201025
Mfg: 10/2025
Exp:10/2027</t>
  </si>
  <si>
    <t>Vitane  1/29/2026: Total CoQ qty increased 8000 -&gt; 9297                     6/8/2026: Product is at Warehouse.</t>
  </si>
  <si>
    <t>49280126
Mfg:01/2026
Exp:01/2028</t>
  </si>
  <si>
    <t>Vitane  
11/17/2025: Quantity increased to meet MOQ 
1/29/2026: Total Memo Up Qty increased 5250 -&gt; 5649                          6/8/2026: Product is at Warehouse.</t>
  </si>
  <si>
    <t>MEMOUP-60</t>
  </si>
  <si>
    <t>F27-24.0</t>
  </si>
  <si>
    <t>47211025
Mfg:10/2025
Exp:10/2027</t>
  </si>
  <si>
    <t>Vitane                                      6/8/2026: Product is at Warehouse.</t>
  </si>
  <si>
    <t>49440126
Mfg:01/2026
Exp:01/2027</t>
  </si>
  <si>
    <t>Iceland                                           6/8/2026: Product complete but pending accounting action.</t>
  </si>
  <si>
    <t>QWELL2-60</t>
  </si>
  <si>
    <t>IQ57-25.2</t>
  </si>
  <si>
    <t>49450126
Mfg:01/2026
Exp:01/2029</t>
  </si>
  <si>
    <t>QWELL4-30-SG-CS-IQ</t>
  </si>
  <si>
    <t>IQ58-24.0</t>
  </si>
  <si>
    <t>49620925
Mfg:09/2025
Exp:09/2028                                  2/19/2026: Qty decreased to 4872 per packing slip</t>
  </si>
  <si>
    <t>Genova                                  6/8/2026: Product complete.</t>
  </si>
  <si>
    <t>XTRAD50-12-SG-FD</t>
  </si>
  <si>
    <t>XTRAD50-12</t>
  </si>
  <si>
    <t>F95-25.0</t>
  </si>
  <si>
    <t>49460126
Mfg:01/2026
Exp:01/2029                                      2/19/2026: Qty decreased to 4500 per packing slip</t>
  </si>
  <si>
    <t>XTRAD5-60</t>
  </si>
  <si>
    <t>F80-25.0</t>
  </si>
  <si>
    <t>A4596</t>
  </si>
  <si>
    <t>45230325
Mfg: 03/2025
Exp: 03/2028</t>
  </si>
  <si>
    <t>Quarter 1 Order to be ready at AMS warehouse in unison with Iraq A4567
2/18/2026: Docs sent.
3/10/2026: Breakdown of Pallets / D/W's sent to Overseas.
3/11/2026: All shipments to Iraq on hold at this time.
6/8/2026: Products are ready at AMS warehouse.</t>
  </si>
  <si>
    <t>UTIC-60-FD</t>
  </si>
  <si>
    <t>UTIC-60</t>
  </si>
  <si>
    <t>F110-25.0</t>
  </si>
  <si>
    <t>48611125
Mfg:11/2025
Exp:11/2028</t>
  </si>
  <si>
    <t>TESTRON-60</t>
  </si>
  <si>
    <t>F103-25.0</t>
  </si>
  <si>
    <t>45320225
Mfg: 02/2025
Exp: 02/2028</t>
  </si>
  <si>
    <t>BRSTW-60</t>
  </si>
  <si>
    <t>F112-25.1</t>
  </si>
  <si>
    <t>9/30/2025: Moved from IraqA4442 2/17/2026: Moved from IraqA4541 to consolidate for shipment.</t>
  </si>
  <si>
    <t>GINKGO-60</t>
  </si>
  <si>
    <t>F21-23.0</t>
  </si>
  <si>
    <t>48760725
Mfg:07/2025
Exp:07/2028</t>
  </si>
  <si>
    <t>5/22/2025: Products moved from IraqA4434 
9/30/2025: Moved from A4384
1/15/2025: Moved 1421 from Iraq A4541 
1/20/2025: 92 bottles allocated to georgia A4615
3/30/2026: qty decreased 1329 -&gt; 529 after allocating to UAE A4644</t>
  </si>
  <si>
    <t>10/29/2025: moved from IraqA4442 2/10/26: Qty increased from 5000 -&gt; 5208                                   2/17/2026: Moved from IraqA4541 to consolidate for shipment.              5/22/2026: Reduced from 5208 pcs to 4158 pcs. Allocated 1050 pcs to Egypt A4683.</t>
  </si>
  <si>
    <t>2/10/26: Qty decreased from 1500 -&gt; 953
2/17/2026: Moved from IraqA4541 to consolidate for shipment.</t>
  </si>
  <si>
    <t>48391125
Mfg:11/2025
Exp:11/2028</t>
  </si>
  <si>
    <t>9/30/2025: Moved from IraqA4442 1/15/2025: moved from IraqA4541</t>
  </si>
  <si>
    <t>NRGWOM-45</t>
  </si>
  <si>
    <t>F83-22.0</t>
  </si>
  <si>
    <t>1/15/2026: moved from IraqA4541                                 2/17/2026: Moved from IraqA4541 to consolidate for shipment.</t>
  </si>
  <si>
    <t>2/19/2025: Added to order - product in Inventory               2/20/2026: Reduced qty from 1453 -&gt; 1451 after re-work.</t>
  </si>
  <si>
    <t>CAVINAD-60-FD</t>
  </si>
  <si>
    <t>CAVINAD-60</t>
  </si>
  <si>
    <t>2/19/2025: Added to order - product in Inventory</t>
  </si>
  <si>
    <t>6/5/2026: Product added to order. In inventory.</t>
  </si>
  <si>
    <t>OSTEOPW-74</t>
  </si>
  <si>
    <t>A4622</t>
  </si>
  <si>
    <t>2025 Back Order for IraqA4567                           3/11/2026: All shipments to Iraq on hold at this time.</t>
  </si>
  <si>
    <t>May need a specific batch number 11/20/205: Should be a fresh batch
6/8/2026: Product arriving at warehouse on 6/10/26.</t>
  </si>
  <si>
    <t>LIPODIS-60-CS-IQ</t>
  </si>
  <si>
    <t>LIPODIS-60</t>
  </si>
  <si>
    <t>IQ26-24.1</t>
  </si>
  <si>
    <t>1/15/2026: 1480 packs moved from IraqA4596
2/17/2026: Moved from IraqA4541 to consolidate Back Order.
6/8/2026: Product arriving at warehouse on 6/10/26.</t>
  </si>
  <si>
    <t>Botswana</t>
  </si>
  <si>
    <t>A4569</t>
  </si>
  <si>
    <t>Awaiting Import Permit Update</t>
  </si>
  <si>
    <t>Q1 - 2026 Order 
12/9/2025: Skus Confirmed 1/30/2026: Initial Documents Sent
3/12/2026: Documents &amp; D/W Sent.</t>
  </si>
  <si>
    <t>OSTEOPL-96</t>
  </si>
  <si>
    <t>F39-24.0</t>
  </si>
  <si>
    <t>XTRAD10-60</t>
  </si>
  <si>
    <t>F76-25.0</t>
  </si>
  <si>
    <t>F17-25.1</t>
  </si>
  <si>
    <t>DHEA25-60</t>
  </si>
  <si>
    <t>F97-25.0</t>
  </si>
  <si>
    <t>CAVIN-60</t>
  </si>
  <si>
    <t>F08-25.0</t>
  </si>
  <si>
    <t>OME369-90</t>
  </si>
  <si>
    <t>F39-22.1</t>
  </si>
  <si>
    <t>A4572</t>
  </si>
  <si>
    <t>Q1 - 2026 Order 11/20/2025: Skus confirmed
2/4/2026: Back order for UAE A4553 
3/13/2026: 200 packs of additional Magnesium removed 
4/29/2026: 720 packs of Eyecaps removed</t>
  </si>
  <si>
    <t>ALC-60</t>
  </si>
  <si>
    <t>F03-25.1</t>
  </si>
  <si>
    <t>F15-22.1</t>
  </si>
  <si>
    <t>Not Meet MOQ</t>
  </si>
  <si>
    <t>4/15/2026: 720 packs allocated from Libya A4571
4/29/2026: 720 packs moved from UAE A4572
5/4/2026: Awaiting approval to send without IFC
5/6/2026: Moved from A4553</t>
  </si>
  <si>
    <t>PEDIAD4-50-FD</t>
  </si>
  <si>
    <t>PEDIAD4-50</t>
  </si>
  <si>
    <t>F45-26.0</t>
  </si>
  <si>
    <t>LARGIN-100</t>
  </si>
  <si>
    <t>F25-23.0</t>
  </si>
  <si>
    <t>MAGNES-50</t>
  </si>
  <si>
    <t>F85-25.0</t>
  </si>
  <si>
    <t>product added on 1/12/2025</t>
  </si>
  <si>
    <t>NRGMEN-45</t>
  </si>
  <si>
    <t>UA</t>
  </si>
  <si>
    <t>UA84-26.0</t>
  </si>
  <si>
    <t>2/25/2026: Moved from UAE A4553. 
3/4/2026: qty reduced from 790 -&gt; 490</t>
  </si>
  <si>
    <t>R53-17.0</t>
  </si>
  <si>
    <t>2/4/2026: Moved from UAE A4572
5/4/2026: Moved back from UAE A4553</t>
  </si>
  <si>
    <t>ROYALPL-30</t>
  </si>
  <si>
    <t>F62-25.0</t>
  </si>
  <si>
    <t>Production Complete</t>
  </si>
  <si>
    <t>3/30/2026:
Moved from UAE A4644
5/4/2026: Moved from A4553</t>
  </si>
  <si>
    <t>OMEGA3-60</t>
  </si>
  <si>
    <t>UA37-25.0</t>
  </si>
  <si>
    <t>2/4/2026: Moved from UAE A4572
5/13/2026: Moved from UAE A4553</t>
  </si>
  <si>
    <t>F26-22.0</t>
  </si>
  <si>
    <t>A4574</t>
  </si>
  <si>
    <t>New Docs to be made</t>
  </si>
  <si>
    <t>Q1 2026 Order 11/18/2025: Skus confirmed 
2/2/2026: Documents Sent
**UPDATED DOCS NEEDED**</t>
  </si>
  <si>
    <t>49481225
Mfg:12/2025
Exp:12/2028                                  5/21/2026: Allocating 240 pcs to Egypt A4683.</t>
  </si>
  <si>
    <t>11/19/2025: allocated 192 packs to KSA A4566
5/11/2026: Allocating to Kenya A4699.</t>
  </si>
  <si>
    <t>11/19/2025: Fulfilled from PO4834                        5/11/2026: Allocating to Kenya A4699.</t>
  </si>
  <si>
    <t>4/9/2026: 200 packs of Ovamax allocated to Bahrain A4685</t>
  </si>
  <si>
    <t>A4575</t>
  </si>
  <si>
    <t>Q1 2026 Order **SKUS UNCONFIRMED** 2/18/2026: Documents &amp; D/W sent                   **UPDATED DOCS NEEDED**</t>
  </si>
  <si>
    <t>5/11/2026: Allocating to Kenya A4699.</t>
  </si>
  <si>
    <t>5/13/2026: Full qty (1008) allocating to Qatar A4693</t>
  </si>
  <si>
    <t>5/12/2026: Allocating to Lebanon A4690</t>
  </si>
  <si>
    <t>12/4/2025: Allocated 201 packs to A4519</t>
  </si>
  <si>
    <t xml:space="preserve">9/3/2025: Changed from SG to VE  12/4/2025: Moved from A4519 due to allocation </t>
  </si>
  <si>
    <t>F99-23.0</t>
  </si>
  <si>
    <t>Production complete</t>
  </si>
  <si>
    <t>Egypt</t>
  </si>
  <si>
    <t>A4634</t>
  </si>
  <si>
    <t xml:space="preserve">1/22/2025: Back Order created for Egypt A4563           </t>
  </si>
  <si>
    <t>2/25/2025: Moved from Egypt A4642. Backorder for excess quantities.                                     5/11/2026: UPC updated.</t>
  </si>
  <si>
    <t>EG</t>
  </si>
  <si>
    <t>EG53-26</t>
  </si>
  <si>
    <t>Chad</t>
  </si>
  <si>
    <t>A4640</t>
  </si>
  <si>
    <t>1/30/2026: Split from A4585 3/13/2026: 300 packs of Pedia Iron added from A4597</t>
  </si>
  <si>
    <t>3/13/2026: qty increased from 1500 -&gt; 1800 (300 packs moved from Chad A4597)</t>
  </si>
  <si>
    <t>PEDIAIR-50-FD</t>
  </si>
  <si>
    <t>PEDIAIR-50</t>
  </si>
  <si>
    <t>F48-26.0</t>
  </si>
  <si>
    <t>PEDIAZI-50-FD</t>
  </si>
  <si>
    <t>PEDIAZI-50</t>
  </si>
  <si>
    <t>F50-26.0</t>
  </si>
  <si>
    <t>11/25/2025: Qty updated</t>
  </si>
  <si>
    <t>PEDIACM-50-FD</t>
  </si>
  <si>
    <t>PEDIACM-50</t>
  </si>
  <si>
    <t>F44-26.0</t>
  </si>
  <si>
    <t>South Sudan</t>
  </si>
  <si>
    <t>A4586</t>
  </si>
  <si>
    <t>Q1 2026 Order 12/1/2025: Skus Confirmed 
2/12/2026: Documents sent</t>
  </si>
  <si>
    <t>2/11/2026: IFC updated to Y following IFC scrub.</t>
  </si>
  <si>
    <t>R16-22</t>
  </si>
  <si>
    <t>F17-25.0</t>
  </si>
  <si>
    <t>...</t>
  </si>
  <si>
    <t>A4592</t>
  </si>
  <si>
    <t xml:space="preserve">Q1 2026 Order to Ship ASAP 1/14/2025 Documents and D/Ws: Sent </t>
  </si>
  <si>
    <t>A4647</t>
  </si>
  <si>
    <t xml:space="preserve">Back Order for Sample Order A4593 </t>
  </si>
  <si>
    <t>PEDIAIR-50-CS-CH</t>
  </si>
  <si>
    <t>CH</t>
  </si>
  <si>
    <t>N/A</t>
  </si>
  <si>
    <t>A4610</t>
  </si>
  <si>
    <t>6/2/2026: 30% Down Payment needed.</t>
  </si>
  <si>
    <t>Q1 Order 2025 
2/12/2026:  DO NOT pack the goods on pallets before communicating with Sales Team, as it may be requested to split the order between air and sea shipments which requires specific pallet height 
3/11/2026: All shipments to Iraq on hold at this time. 
5/18/2026: Do not proceed with labeling until Client confirms the shipment.
6/8/2026: Production completed but labeling has not been started.</t>
  </si>
  <si>
    <t xml:space="preserve">Product changed to Omega3-40-CS-IQ 
1/14/2025: Sales requested for labels to be uploaded to server by overseas team  
2/11/2026: IFC Updated to Y following IFC scrub. 3/10: NO NEED FOR IFC MOE/TARIQ CONFIRMED WITH NIBAL.
5/18/2026: Reduced Qty 100,000 -&gt; 62,962. 37,038 moved to Morocco A4688.         </t>
  </si>
  <si>
    <t>OMEGA3-40</t>
  </si>
  <si>
    <t>IQ128-26</t>
  </si>
  <si>
    <t>Product changed to ZINC50-30-CS-IQ</t>
  </si>
  <si>
    <t>ZINC50-30</t>
  </si>
  <si>
    <t>IQ129-26</t>
  </si>
  <si>
    <t>A4611</t>
  </si>
  <si>
    <t>Q1 Order 2025 
1/30/2026: Initial Documents Sent 
3/12/2026: Documents &amp; D/W sent.</t>
  </si>
  <si>
    <t>F36-22.1</t>
  </si>
  <si>
    <t>A4612</t>
  </si>
  <si>
    <t>Georgia</t>
  </si>
  <si>
    <t>A4625</t>
  </si>
  <si>
    <t>1/12/2025 back order created for Georgia A4615</t>
  </si>
  <si>
    <t>( l-argine ) 
1/15/2025 moved to back order</t>
  </si>
  <si>
    <t>ARGI-100</t>
  </si>
  <si>
    <t>GE</t>
  </si>
  <si>
    <t>GO25-21.0</t>
  </si>
  <si>
    <t>Nigeria</t>
  </si>
  <si>
    <t>A4616</t>
  </si>
  <si>
    <t>waiting on import permit</t>
  </si>
  <si>
    <t xml:space="preserve">Q1 Order 2026 
 *Requires Leaflets* 
1-28-2026 Documents Sent </t>
  </si>
  <si>
    <t xml:space="preserve">1/8/2025: quanitity increased 16 bottles </t>
  </si>
  <si>
    <t>NI</t>
  </si>
  <si>
    <t>NI16-26.0</t>
  </si>
  <si>
    <t>NI30-26.0</t>
  </si>
  <si>
    <t>NI31-26.0</t>
  </si>
  <si>
    <t xml:space="preserve">1/8/2025: quanitity increased 20 bottles </t>
  </si>
  <si>
    <t>NI41-26.0</t>
  </si>
  <si>
    <t>NI73-26.0</t>
  </si>
  <si>
    <t>1/8/2025: quanitity increased 12 bottles</t>
  </si>
  <si>
    <t>VELMARA-60</t>
  </si>
  <si>
    <t>NI17-26.0</t>
  </si>
  <si>
    <t>Libya</t>
  </si>
  <si>
    <t>A4617</t>
  </si>
  <si>
    <t>Waiting for Split Feedback</t>
  </si>
  <si>
    <t>Q1 Order 2026 
5/21/2026: Documents sent</t>
  </si>
  <si>
    <t>LY</t>
  </si>
  <si>
    <t>LY16-25.0</t>
  </si>
  <si>
    <t>2/13/26 - Docs sent</t>
  </si>
  <si>
    <t>LY28-24.0</t>
  </si>
  <si>
    <t>5/19/2026: Working on Docs</t>
  </si>
  <si>
    <t>LY30-24.0</t>
  </si>
  <si>
    <t>LY41-24.0</t>
  </si>
  <si>
    <t>A4706</t>
  </si>
  <si>
    <t>Back Order for Libya A4617 created 5/19/2026
6/10/2026: Documents sent</t>
  </si>
  <si>
    <t>3/4/2026 - Status changed to out of stock as 300 packs moved to UAE A4553</t>
  </si>
  <si>
    <t>LY53-24.0</t>
  </si>
  <si>
    <t>A4696</t>
  </si>
  <si>
    <t>4/27/2026:
Order made for qty split from Kuwait A4618 Sample Order
5/7/2026: Documents Sent</t>
  </si>
  <si>
    <t xml:space="preserve">Needs to be converted to green capsules </t>
  </si>
  <si>
    <t>CAVINADV-60</t>
  </si>
  <si>
    <t>KW</t>
  </si>
  <si>
    <t>KW09-26.0</t>
  </si>
  <si>
    <t>A4648</t>
  </si>
  <si>
    <t>EyeCaps are to be placed on hold for now. Cannot register product w/ current formula, waiting for labels.</t>
  </si>
  <si>
    <t>Split from sample order A4618 -- labels will be printed in Beirut 
6/9/2026:  EyeCaps submitted for re-classification</t>
  </si>
  <si>
    <t xml:space="preserve">Regular product with country specific labels </t>
  </si>
  <si>
    <t>EYECAP-30-CS-KW</t>
  </si>
  <si>
    <t>A4626</t>
  </si>
  <si>
    <t>1/15/2026: Client needs this ASAP
3/11/2026: All shipments to Iraq on hold at this time.
6/8/2026: PO has not been submitted to vendor as Client is on hold.</t>
  </si>
  <si>
    <t>F09-25.0</t>
  </si>
  <si>
    <t>Somalia</t>
  </si>
  <si>
    <t>A4708</t>
  </si>
  <si>
    <t>Back Order for Somalia A4686 created 5/21/2026
6/10/2026: Documents sent</t>
  </si>
  <si>
    <t>5/21/2026: 1320 packs moved from Somalia A4686</t>
  </si>
  <si>
    <t>Qatar</t>
  </si>
  <si>
    <t>A4693</t>
  </si>
  <si>
    <t>Q2 Order - 2026 
Order split from Qatar A4651 on 4/23/2026
5/13/2026: Documents sent</t>
  </si>
  <si>
    <t>5/13/2026: qty decreased 
1052 -&gt; 1008 (44 packs moved to UAE A4701)
1008 packs fufilled by Ethiopia A4575</t>
  </si>
  <si>
    <t>MFSPLS-120-CS-QT</t>
  </si>
  <si>
    <t>QT</t>
  </si>
  <si>
    <t>QT30-24.0</t>
  </si>
  <si>
    <t>MOTILMX-60-CS-QT</t>
  </si>
  <si>
    <t>QT31-24.0</t>
  </si>
  <si>
    <t>A4701</t>
  </si>
  <si>
    <t>Back Order for Qatar A4693 created 5/13/2026</t>
  </si>
  <si>
    <t>5/13/2026: 44 packs moved from Qatar A4693</t>
  </si>
  <si>
    <t>KSA</t>
  </si>
  <si>
    <t>A4654</t>
  </si>
  <si>
    <t>5/7/2026: working on revised docs</t>
  </si>
  <si>
    <t>Q2 Order -2026
4/1/2026: Documents Sent
5/8/2026: Revised Docs Sent
5/26/2026: 
*NEW QUANTITIES MAY BE ADDED*</t>
  </si>
  <si>
    <t>F42-22.0</t>
  </si>
  <si>
    <t>6/8/2026: quantity increased 
240 -&gt; 400 (160 packs added)</t>
  </si>
  <si>
    <t>KETONEG-60</t>
  </si>
  <si>
    <t>F24-25.1</t>
  </si>
  <si>
    <t>WFSPLS-90</t>
  </si>
  <si>
    <t>F72-25.0</t>
  </si>
  <si>
    <t>Extra run off 
4/22/2026 - Product added back from KSA A4679</t>
  </si>
  <si>
    <t>F12-26.0</t>
  </si>
  <si>
    <t>5/7/2026: Moved from KSA A4679</t>
  </si>
  <si>
    <t>A4679</t>
  </si>
  <si>
    <t>Q2 Order - 2026
3/31/2026: Back Order made for KSA A4654
5/7/2026: MFS Plus moved to KSA A4654</t>
  </si>
  <si>
    <t>F87-25.0</t>
  </si>
  <si>
    <t>take from Iraq A4631?</t>
  </si>
  <si>
    <t>F27-26.0</t>
  </si>
  <si>
    <t>ROYALJE-60</t>
  </si>
  <si>
    <t>F61-22.1</t>
  </si>
  <si>
    <t>PEDIAFL-50-FD</t>
  </si>
  <si>
    <t>PEDIAFL-50</t>
  </si>
  <si>
    <t>F47-24.1</t>
  </si>
  <si>
    <t>PEDIABS-50-FD</t>
  </si>
  <si>
    <t>PEDIABS-50</t>
  </si>
  <si>
    <t>F43-25.0</t>
  </si>
  <si>
    <t>A4658</t>
  </si>
  <si>
    <t>4/1/2026: DHEA 25 and Rapid C Moved to China A4680</t>
  </si>
  <si>
    <t>Q2 Order - 2026
4/1/2026:
**Do not pack together. Awaiting client confirmation for shipment grouping.**</t>
  </si>
  <si>
    <t>F57-25.3</t>
  </si>
  <si>
    <t>A4659</t>
  </si>
  <si>
    <t>F28-25.0</t>
  </si>
  <si>
    <t>CN30-24.0</t>
  </si>
  <si>
    <t>F55-22.0</t>
  </si>
  <si>
    <t>F103-26.0</t>
  </si>
  <si>
    <t>A4680</t>
  </si>
  <si>
    <t>Q2 Order - 2026
*First batch of Products from China Q2 Orders seperated for shipment*
4/1/2026: Documents Sent</t>
  </si>
  <si>
    <t>4/1/2026: Moved from China A4658</t>
  </si>
  <si>
    <t>RAPIDC5-100</t>
  </si>
  <si>
    <t>F59-25.0</t>
  </si>
  <si>
    <t>A4668</t>
  </si>
  <si>
    <t>Extra Kuwait Quantities:
536 bottles of Osteo Plus
945 bottles of Keto Lean
(Awaiting feedback if client can take)
5/21/2026: Client cannot take extra quantities</t>
  </si>
  <si>
    <t>Q2 Order - 2026 
*MUST BE GREEN CAPSULES*</t>
  </si>
  <si>
    <t>GREEN CAPSULES (NO TITANIUM DIOXIDE)</t>
  </si>
  <si>
    <t>KW41-24.0</t>
  </si>
  <si>
    <t>KW31-24.2</t>
  </si>
  <si>
    <t>Lot: 47080326</t>
  </si>
  <si>
    <t>KW11-25.0</t>
  </si>
  <si>
    <t>Lot: 49030326</t>
  </si>
  <si>
    <t>KW13-25.0</t>
  </si>
  <si>
    <t>3/25/2026:
qty changed 1,000 -&gt; 1,500
(500 packs added from Kuwait A4587)</t>
  </si>
  <si>
    <t>37-25.0</t>
  </si>
  <si>
    <t>3/26/2026: Item added from Kuwait A4587</t>
  </si>
  <si>
    <t xml:space="preserve">Kuwait </t>
  </si>
  <si>
    <t>3/31/2026: Item added to order
4/3/2026: Awaiting TD confirmation
4/16/2026: *PRODUCT TO CONTAIN NO TITANIUM DIOXIDE*
6/10/2026: * Approved to send without IFC's *</t>
  </si>
  <si>
    <t>ait</t>
  </si>
  <si>
    <t>Rework</t>
  </si>
  <si>
    <t>A4672</t>
  </si>
  <si>
    <t>Q3 Order - 2026 
Requested shipment 2nd week of July 2026. 
5/6/2026: Docs / D/W's sent</t>
  </si>
  <si>
    <t>OVAMAX-120-CS-GR</t>
  </si>
  <si>
    <t>GR41-25.1</t>
  </si>
  <si>
    <t>METRIO-60-CS-GR</t>
  </si>
  <si>
    <t>GR28-25.0</t>
  </si>
  <si>
    <t>PEARLY-60-CS-GR</t>
  </si>
  <si>
    <t>GR42-25.0</t>
  </si>
  <si>
    <t>PEDIAMU-50-FD</t>
  </si>
  <si>
    <t>PEDIAMU-50</t>
  </si>
  <si>
    <t>F49-26.0</t>
  </si>
  <si>
    <t>A4673</t>
  </si>
  <si>
    <t>Q3 Order - 2026 
Requested shipment 4th wk of August 2026. 
5/6/2026: Docs / D/W's sent</t>
  </si>
  <si>
    <t>FIBRO-60-CS-GR</t>
  </si>
  <si>
    <t>GR17-25.0</t>
  </si>
  <si>
    <t>XTRAD10-60-CS-GR</t>
  </si>
  <si>
    <t>GR76-25.0</t>
  </si>
  <si>
    <t>PENAMAX-60-GE-CS-GR</t>
  </si>
  <si>
    <t>GR88-25.0</t>
  </si>
  <si>
    <t>A4674</t>
  </si>
  <si>
    <t>Q3 Order - 2026 
Requested shipment 1st wk of August 2026.</t>
  </si>
  <si>
    <t xml:space="preserve">MFS Plus capsules blistered </t>
  </si>
  <si>
    <t>Cyprus</t>
  </si>
  <si>
    <t>A4676</t>
  </si>
  <si>
    <t>Q3 Order - 2026 
Requested shipment 3rd wk of July 2026.</t>
  </si>
  <si>
    <t>6/1/2026: Allocating 528 pcs from Ethiopia A4591.</t>
  </si>
  <si>
    <t>FERTNOM-90-CS-CY</t>
  </si>
  <si>
    <t>FERTNOM-90</t>
  </si>
  <si>
    <t>CY</t>
  </si>
  <si>
    <t>CY16-25.0</t>
  </si>
  <si>
    <t>MFS Plus capsules blistered              5/26/26: Allocating from Greece A4547.</t>
  </si>
  <si>
    <t>MOTILMX-60-CS-GR</t>
  </si>
  <si>
    <t>GR31-25.0</t>
  </si>
  <si>
    <t>A4681</t>
  </si>
  <si>
    <t>4/2/2026: Proforma Approved.</t>
  </si>
  <si>
    <t>Q2 Order - 2026
4/3/2026: Documents Sent</t>
  </si>
  <si>
    <t>A4683</t>
  </si>
  <si>
    <t xml:space="preserve">4/7/2026: Pro Forma Invoice approved.                          </t>
  </si>
  <si>
    <t>Q2 Order - 2026                        5/19/2026: Needed by mid-June.</t>
  </si>
  <si>
    <t> 5/11/2026: UPC updated.
5/21/2026: Allocating 817 pcs from Ethiopia A4591, + 240 pcs from Uganda A4574. Reducing quantity on this order to 1057 pcs - remaining 2093 pcs will move to Backorder.</t>
  </si>
  <si>
    <t>MFSPLS-120-CS-EG</t>
  </si>
  <si>
    <t>EG30-26.0</t>
  </si>
  <si>
    <t> 5/11/2026: UPC updated.</t>
  </si>
  <si>
    <t>WFSPLS-180-CS-EG</t>
  </si>
  <si>
    <t>EG73-26.0</t>
  </si>
  <si>
    <t> 5/11/2026: UPC updated.
5/14/2026: Allocating 192 from Uganda A4522, 200 from Uganda A4574, 1500 from Libya A4692, 1758 from Sudan A4697, and 480 from Ethiopia A4591. ~100 pcs in stock. Qty reduced from 5775 -&gt; 4230.
5/18/2026: Reserving 100pcs for Ecommerce. Reduced to 4130 pcs.</t>
  </si>
  <si>
    <t>OVAMAX-120-CS-EG</t>
  </si>
  <si>
    <t>EG41-26.0</t>
  </si>
  <si>
    <t xml:space="preserve"> 5/11/2026: UPC updated.              5/13/2026: Reducing line by 48; issue with bottle quality.              </t>
  </si>
  <si>
    <t>EG55-26.0</t>
  </si>
  <si>
    <t> 5/11/2026: UPC updated.         5/14/2026: Allocating 245 from Ethiopia A4591 and 50 from Uganda A4522.                                         6/1/2026: Qty reduced to 261 - only 16/50 bottles were usable from Uganda allocation.</t>
  </si>
  <si>
    <t>MOTILMX-60-CS-EG</t>
  </si>
  <si>
    <t>EG31-26.0</t>
  </si>
  <si>
    <t xml:space="preserve">4/6/2026: SKU changed from WFSPLS-180-CS-EG to WFSPLS-90-CS-EG  </t>
  </si>
  <si>
    <t xml:space="preserve">EG  </t>
  </si>
  <si>
    <t>EG72-25.0</t>
  </si>
  <si>
    <t>Ride on back of Bulk MFS order       5/11/2026: UPC updated.</t>
  </si>
  <si>
    <t>MFSPLS-60-CS-EG</t>
  </si>
  <si>
    <t>EG29-26.0</t>
  </si>
  <si>
    <t>5/14/2026: Allocate 1050 pcs from Iraq A4596.</t>
  </si>
  <si>
    <t>QWELL2-60-SG-CS-EG</t>
  </si>
  <si>
    <t>EG57-26.0</t>
  </si>
  <si>
    <t>5/21/2026: Moved from Egypt A4634.</t>
  </si>
  <si>
    <t>UTIC-60-CS-EG</t>
  </si>
  <si>
    <t>EG110-26.0</t>
  </si>
  <si>
    <t>A4709</t>
  </si>
  <si>
    <t>Backorder for Egypt A4683.</t>
  </si>
  <si>
    <t>5/21/2026: Moved 2093 pcs to backorder from Egypt A4683.</t>
  </si>
  <si>
    <t> EG30-26.0</t>
  </si>
  <si>
    <t>A4687</t>
  </si>
  <si>
    <t>4/9/2026: Awaiting Proforma Invoice Confirmation</t>
  </si>
  <si>
    <t>Q2 Order - 2026
5/7/2026: New FOC quantities added</t>
  </si>
  <si>
    <t>4/27/2026: SKU changed to PENAMAX-60-GE-FD
4/30/2026: SKU changed to PENAMAX-60-GE-CS-CH (PENNAMAX-60-VE-LAB-CS-CH MUST BE USED)
5/7/2026: VE Chad labels confirmed
qty increased from 240 → 277</t>
  </si>
  <si>
    <t xml:space="preserve"> PENAMAX-60-GE-CS-CH (PENNAMAX-60-VE-LAB-CS-CH)</t>
  </si>
  <si>
    <t xml:space="preserve"> PENAMAX-60</t>
  </si>
  <si>
    <t>CH)</t>
  </si>
  <si>
    <t>CH51-21.0</t>
  </si>
  <si>
    <t>4/15/2026: Proforma Invoice Confirmed</t>
  </si>
  <si>
    <t>5/7/2026: qty increased from 1200 → 1290</t>
  </si>
  <si>
    <t>OSTEOPL-96-CS-CH</t>
  </si>
  <si>
    <t>CH39-21.0</t>
  </si>
  <si>
    <t>5/7/2026: qty increased from 240 → 270</t>
  </si>
  <si>
    <t>DHEA50-60-CS-CH</t>
  </si>
  <si>
    <t>CH13-21.0</t>
  </si>
  <si>
    <t>5/7/2026: qty increased from 600 → 636</t>
  </si>
  <si>
    <t>WFSPLS-180-CS-CH</t>
  </si>
  <si>
    <t>CH73-21.0</t>
  </si>
  <si>
    <t>Out of Stock</t>
  </si>
  <si>
    <t>5/7/2026: qty increased from 720 → 780</t>
  </si>
  <si>
    <t>MFSPLS-120-CS-CH</t>
  </si>
  <si>
    <t>CH30-21.0</t>
  </si>
  <si>
    <t>4/14/2026: SKU changed to FD
5/7/2026: qty increased from 1250 → 1351</t>
  </si>
  <si>
    <t>FLORA30-30</t>
  </si>
  <si>
    <t>CH18-26.0</t>
  </si>
  <si>
    <t>Cannot take available lot (45130425)
5/7/2026: qty increased from 1000 → 1125</t>
  </si>
  <si>
    <t>F49-24.1</t>
  </si>
  <si>
    <t>5/7/2026: qty increased from 2000 → 2100</t>
  </si>
  <si>
    <t>4/14/2026: SKU changed to FD
5/7/2026: qty increased from 480 → 504</t>
  </si>
  <si>
    <t>F37-26.0</t>
  </si>
  <si>
    <t>4/14/2026: SKU changed to FD
5/7/2026: qty increased from 360 → 378</t>
  </si>
  <si>
    <t>4/14/2026: SKU changed to FD
5/7/2026: qty increased from 
60 → 63</t>
  </si>
  <si>
    <t>4/14/2026: SKU changed to FD
5/7/2026: qty increased from 120 → 126</t>
  </si>
  <si>
    <t>VIVAWOM-60</t>
  </si>
  <si>
    <t>F90-25.0</t>
  </si>
  <si>
    <t>5/7/2026: Product added</t>
  </si>
  <si>
    <t>FIBRO-60-CS-CH</t>
  </si>
  <si>
    <t>CH17-21.0</t>
  </si>
  <si>
    <t>OVAMAX-120-CS-CH</t>
  </si>
  <si>
    <t>CH41-21.0</t>
  </si>
  <si>
    <t>PRECON-180-CS-CH</t>
  </si>
  <si>
    <t>CH55-21.0</t>
  </si>
  <si>
    <t>QWELL4-30-SG-CS-CH</t>
  </si>
  <si>
    <t>CH58-21.0</t>
  </si>
  <si>
    <t>VITAE4-60-CS-CH</t>
  </si>
  <si>
    <t>VITAE4-60</t>
  </si>
  <si>
    <t>CH68-21.0</t>
  </si>
  <si>
    <t>CHARCO-100</t>
  </si>
  <si>
    <t>CH10-26.0</t>
  </si>
  <si>
    <t>A4688</t>
  </si>
  <si>
    <t>4/15/2026: Awaiting Proforma Confirmation                                          4/20/2026: Proforma Invoice Confirmed</t>
  </si>
  <si>
    <t>Q2 Order - 2026
* DO NOT PROCEED WITH PRINTING LABELS/IFCs. NEW LABELS/IFCs TO BE UPLOADED *
* ORDER TO BE FUFILLED BY IRAQ A4610 * 
*PRODUCTS NEED 3 YR SHELF LIFE*</t>
  </si>
  <si>
    <t>6 Total Pallets = 
2244 bottles per pallet
5/4/2026: use the new label and IFC design</t>
  </si>
  <si>
    <t>OMEGA3-90</t>
  </si>
  <si>
    <t>MO</t>
  </si>
  <si>
    <t>MO116-26.0</t>
  </si>
  <si>
    <t>*Awaiting Down Payment*</t>
  </si>
  <si>
    <t>5/4/2026: use the old IFC (CS Morocco IFC 25.1 version already available) with the new label design
5/8/2026: Qty decresead 
6,732 → 4,496</t>
  </si>
  <si>
    <t>MO37-26.0</t>
  </si>
  <si>
    <t>Lebanon</t>
  </si>
  <si>
    <t>A4690</t>
  </si>
  <si>
    <t>4/20/2026: Awaiting Pro Forma Confirmation.
5/5/2026: Labels are on server. Updating order with CS SKUs then re-sending Pro Forma for approval.
5/8/2026: Removed from Sales Action Needed; Pro Forma confirmed.</t>
  </si>
  <si>
    <t>Q2 Order - 2026                       5/22/2026: Docs + D/W's sent.</t>
  </si>
  <si>
    <t>4/21/2026: Some SKUs will be CS. Awaiting SKU confirmation.                    4/30/2026: Updated to MFSPLS-120-CS-LB                      5/14/2026: UPC updated.</t>
  </si>
  <si>
    <t>LB</t>
  </si>
  <si>
    <t>LB30-26.0</t>
  </si>
  <si>
    <t>4/30/2026: Updated to MOTILMX-60-CS-LB                      5/14/2026: UPC updated.</t>
  </si>
  <si>
    <t>LB31-26.0</t>
  </si>
  <si>
    <t>4/30/2026: Updated to SPERMCT-60-CS-LB                      5/14/2026: UPC updated.</t>
  </si>
  <si>
    <t>LB64-26.0</t>
  </si>
  <si>
    <t>4/30/2026: Updated to WFSPLS-180-CS-LB
5/12/2026: Allocating from Uganda A4522 (120 pcs), Ethiopia A4575 (120 pcs), China A4659 (110 pcs). Reduced qty 385 -&gt; 350.
5/14/2026: UPC updated.</t>
  </si>
  <si>
    <t>LB73-26.0</t>
  </si>
  <si>
    <t>4/30/2026: Updated to OVAMAX-120-CS-LB                      5/14/2026: UPC updated.</t>
  </si>
  <si>
    <t>LB41-26.0</t>
  </si>
  <si>
    <t>4/30/2026: Updated to PRECON-180-CS-LB
5/12/2026: Allocating from Ethiopia A4575 (165 pcs).
5/14/2026: UPC updated.
5/19/2026: Qty reduced 165 -&gt; 161.
6/1/2026: Amended "Suggested Use" needed.                                  6/9/2026: Estimated completion - Monday 6/15/2026</t>
  </si>
  <si>
    <t>LB55-26.0</t>
  </si>
  <si>
    <t>A4691</t>
  </si>
  <si>
    <t>4/21/2026: Awaiting Pro Forma Confirmation.                                   4/28/2026: Proforma Approved.         5/4/2026: Generated Lot Code for COQ runoff arriving Wednesday. No Memoup in stock, need to make plan for this product.</t>
  </si>
  <si>
    <t>5/25/2026: Products need to be marked with a 3-year shelf life.</t>
  </si>
  <si>
    <t>Runoff w/ Lot Code 49160126 arriving Wednesday - change lot to 25110126</t>
  </si>
  <si>
    <t>5/11/2026: Allocate from Iraq A4631. Arriving 5/14/2026.</t>
  </si>
  <si>
    <t>New lot is needed - 25121025</t>
  </si>
  <si>
    <t>A4692</t>
  </si>
  <si>
    <t>4/22/2026: Awaiting Proforma Confirmation</t>
  </si>
  <si>
    <t>Q2 Order - 2026
*LC ORDER*</t>
  </si>
  <si>
    <t>LY16-24.0/25.0</t>
  </si>
  <si>
    <t>4/24/2026: Proforma Approved</t>
  </si>
  <si>
    <t>LY17-24.0</t>
  </si>
  <si>
    <t>LY31-26.0</t>
  </si>
  <si>
    <t>LY73-24.0</t>
  </si>
  <si>
    <t>LY64-24.0</t>
  </si>
  <si>
    <t>GRAVFER-90-CS-GO</t>
  </si>
  <si>
    <t>GRAVFER-90</t>
  </si>
  <si>
    <t>GO</t>
  </si>
  <si>
    <t>GO21-24.0</t>
  </si>
  <si>
    <t xml:space="preserve">UTIC-60-FD </t>
  </si>
  <si>
    <t xml:space="preserve">FD </t>
  </si>
  <si>
    <t>F107-25.0</t>
  </si>
  <si>
    <t>4/23/2026: SKU changed from FD to CS - *Use new labels uploaded*
5/4/2026: Awaiting Formula Confirmation
5/6/2026: Available formula confirmed</t>
  </si>
  <si>
    <t>LY112-26.0</t>
  </si>
  <si>
    <t>Pending Picking</t>
  </si>
  <si>
    <t>A4694</t>
  </si>
  <si>
    <t>4/23/2026: Awaiting Proforma Confirmation
4/24/2026: Proforma Approved</t>
  </si>
  <si>
    <t>Q2 Order - 2026</t>
  </si>
  <si>
    <t>PEDIAD4-50-CS-QT</t>
  </si>
  <si>
    <t>F45-25.0</t>
  </si>
  <si>
    <t>A4695</t>
  </si>
  <si>
    <t>4/27/2026: Awaiting Proforma Confirmation
4/28/2026: Proforma Approved
5/1/2026: Checking with Maya if Lot Codes are usable for this order.
5/4/2026: Lot Codes are reviewed. 60ct needs new Lot Code. Removed from Sales Action Needed.</t>
  </si>
  <si>
    <t>Q2 Order - 2026
**Samples for Registration** 
**Products need UNIQUE Lot Code**
5/11/2026: Docs &amp; D/W Sent</t>
  </si>
  <si>
    <t>Lot 49350126</t>
  </si>
  <si>
    <t>R30-26.0</t>
  </si>
  <si>
    <t>Change lot to 25031225 for customs.</t>
  </si>
  <si>
    <t>A4697</t>
  </si>
  <si>
    <t>4/27/2026: Awaiting Proforma Confirmation
4/28/2026: Proforma Approved</t>
  </si>
  <si>
    <t>R73-22.0</t>
  </si>
  <si>
    <t>R55-22.0</t>
  </si>
  <si>
    <t>5/22/2026: QTY increased 
2246 -&gt; 2422 (176 packs added from Sudan A4549)
5/26/2026: Qty changed to original 
2422 -&gt; 2246 packs (176 packs moved to Sudan A4711)</t>
  </si>
  <si>
    <t>R41-22.0</t>
  </si>
  <si>
    <t>Kenya</t>
  </si>
  <si>
    <t>A4699</t>
  </si>
  <si>
    <t>5/11/2026: Awaiting Pro Forma confirmation.                                         5/11/2026: Reduced qty to 488 pcs; removed from Sales Action Needed.                                            5/12/2026: Docs + D/W Sent</t>
  </si>
  <si>
    <t>Q2 Order - 2026
5/11/2026: Order is urgent.
5/12/2026: Docs / D/W sent.</t>
  </si>
  <si>
    <t>5/11/2026: Allocate 288 from Ethiopia A4575 + 200 from Uganda A4574.</t>
  </si>
  <si>
    <t>A4700</t>
  </si>
  <si>
    <t>5/11/2026: Awaiting Pro Forma confirmation.                                     5/14/2026: Pro Forma Invoice approved. Removed from Sales Action Needed.</t>
  </si>
  <si>
    <t>F53-24.0</t>
  </si>
  <si>
    <t>A4702</t>
  </si>
  <si>
    <t>5/14/2026: Pro Forma Invoice sent.           5/18/2026: Pro Forma approved. Removed from Sales Action Needed.</t>
  </si>
  <si>
    <t>Q3 Order - 2026</t>
  </si>
  <si>
    <t>A4705</t>
  </si>
  <si>
    <t>5/18/2026: Awaiting Pro Forma Approval.                                    5/19/2026: Pro Forma approved.</t>
  </si>
  <si>
    <t>Bulk Production Complete</t>
  </si>
  <si>
    <t>Bahrain</t>
  </si>
  <si>
    <t>A4707</t>
  </si>
  <si>
    <t>5/20/2026: Awaiting Proforma Approval
5/21/2026: Proforma approved</t>
  </si>
  <si>
    <t>Q2 Order - 2026
5/27/2026: Documents sent</t>
  </si>
  <si>
    <t>BN</t>
  </si>
  <si>
    <t>BN31-25.0</t>
  </si>
  <si>
    <t>Tanzania</t>
  </si>
  <si>
    <t>A4710</t>
  </si>
  <si>
    <t>5/21/2026: Awaiting Proforma Approval</t>
  </si>
  <si>
    <t>TA</t>
  </si>
  <si>
    <t>TA73-26.0</t>
  </si>
  <si>
    <t>5/22/2026: Proforma approved</t>
  </si>
  <si>
    <t>TA55-26.0</t>
  </si>
  <si>
    <t>TA16-26.0</t>
  </si>
  <si>
    <t>OVAMANM-120</t>
  </si>
  <si>
    <t>TA41-26.0</t>
  </si>
  <si>
    <t>TA58-26.0</t>
  </si>
  <si>
    <t>A4712</t>
  </si>
  <si>
    <t>6/4/2026: Awaiting Proforma Approval</t>
  </si>
  <si>
    <t>6/5/2026: Proforma approved</t>
  </si>
  <si>
    <t>UA41-25.0</t>
  </si>
  <si>
    <t xml:space="preserve">ZINC25-60-FD </t>
  </si>
  <si>
    <t>ZINC50-60</t>
  </si>
  <si>
    <t>F79-25.0</t>
  </si>
  <si>
    <t>A4713</t>
  </si>
  <si>
    <t>6/8/2026: Qty may increase, checking availability.                      6/9/2026: Qty increased from 200 pcs to 300 pcs.</t>
  </si>
  <si>
    <t>A4714</t>
  </si>
  <si>
    <t>6/8/2026: Awaiting Proforma Approval</t>
  </si>
  <si>
    <t>Q2 Order - 2026
** AWAITING LABEL CONFIRMATION, DO NOT START LABELING PRINTING PROCESS **</t>
  </si>
  <si>
    <t>SPERMCT-60-CS-QT</t>
  </si>
  <si>
    <t>6/9/2026: Proforma approved</t>
  </si>
  <si>
    <t>6/9/2026: Awaiting confirmation for labels</t>
  </si>
  <si>
    <t>METRIO-60-CS-QT</t>
  </si>
  <si>
    <t>6/11/2026: Can take 66 packs from Amazon reserves + 60 from available lot</t>
  </si>
  <si>
    <t>BIO5K-60</t>
  </si>
  <si>
    <t>6/11/2026: Client can take old formula containing Citrus Bioflavonoids</t>
  </si>
  <si>
    <t>A4715</t>
  </si>
  <si>
    <t>ROYALPL-30-CS-QT</t>
  </si>
  <si>
    <t>OVAMANM-120-CS-QT</t>
  </si>
  <si>
    <t>PRECON-90-CS-QT</t>
  </si>
  <si>
    <t>A4716</t>
  </si>
  <si>
    <t>6/9/2026: Awaiting Proforma Approval</t>
  </si>
  <si>
    <t>6/10/2026: Proforma approved</t>
  </si>
  <si>
    <t>PENAMAX-60-GE-CS-SU</t>
  </si>
  <si>
    <t>A4717</t>
  </si>
  <si>
    <t>6/10/2026: Awaiting Proforma Approval</t>
  </si>
  <si>
    <t>Sample Order
* AWAITING FINALIZED CS LABELS TO BE UPLOADED *</t>
  </si>
  <si>
    <t>PROSTA-90-CS-TA</t>
  </si>
  <si>
    <t>METRIO-60-CS-TA</t>
  </si>
  <si>
    <t>FIBRO-60-CS-TA</t>
  </si>
  <si>
    <t>UTIC-60-CS-TA</t>
  </si>
  <si>
    <t>ROYALPL-30-CS-TA</t>
  </si>
  <si>
    <t>MOTILMX-60-CS-TA</t>
  </si>
  <si>
    <t>POLYSIT-90-CS-TA</t>
  </si>
  <si>
    <t>SPERMCT-60-CS-TA</t>
  </si>
  <si>
    <t>Amazon FBA</t>
  </si>
  <si>
    <t>FBA 42</t>
  </si>
  <si>
    <t>Backorder for FBA 41</t>
  </si>
  <si>
    <t>1PK</t>
  </si>
  <si>
    <t>LARGINE-100-FD</t>
  </si>
  <si>
    <t>LARGINE-100</t>
  </si>
  <si>
    <t>2PK</t>
  </si>
  <si>
    <t>Amazon AWD</t>
  </si>
  <si>
    <t>AWD 13</t>
  </si>
  <si>
    <t>WFS Plus 90ct</t>
  </si>
  <si>
    <t>Created from FBA 42 &amp; AWD Backorder. Prepare for pickup by end of June.</t>
  </si>
  <si>
    <t>1PK                                    6/8/2026: moved from AWD Backorder.</t>
  </si>
  <si>
    <t>MFS Plus 120ct</t>
  </si>
  <si>
    <t>1PK                                 6/8/2026: Moved from AWD Backorder.</t>
  </si>
  <si>
    <t>Ovamax 120ct (from AWD 11)</t>
  </si>
  <si>
    <t>1PK 
4/10/2026: qty decreased 600 -&gt; 240                                   6/8/2026: Moved from AWD Backorder.</t>
  </si>
  <si>
    <t>MFS Plus 60ct (from AWD 11)</t>
  </si>
  <si>
    <t>1PK 
4/10/2026: qty decreased 144 -&gt; 72                                          6/8/2026: Moved from AWD Backorder.</t>
  </si>
  <si>
    <t>1PK                                6/11/2026: Moved from FBA42</t>
  </si>
  <si>
    <t>1PK                                    6/11/2026: Moved from FBA42</t>
  </si>
  <si>
    <t>GINKGO-60_FD</t>
  </si>
  <si>
    <t>60_FD</t>
  </si>
  <si>
    <t>AWD Backorder</t>
  </si>
  <si>
    <t>L-Arginine 1,000mg 100ct</t>
  </si>
  <si>
    <t>PediaWell D-400 50mL</t>
  </si>
  <si>
    <t>PediaWell D-800 50mL</t>
  </si>
  <si>
    <t>PEDIAD8-50-FD</t>
  </si>
  <si>
    <t>PEDIAD8-50</t>
  </si>
  <si>
    <t>Fertilimax 90ct (from AWD 11)</t>
  </si>
  <si>
    <t>Advanced Thyroid 60ct (from AWD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</si>
</sst>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5"/>
      <color theme="3"/>
      <name val="Calibri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0"/>
      <name val="Calibri"/>
      <family val="2"/>
      <scheme val="minor"/>
    </font>
    <font>
      <b/>
      <sz val="10"/>
      <color rgb="FF000000"/>
      <name val="Calibri"/>
      <scheme val="minor"/>
    </font>
    <font>
      <sz val="9"/>
      <color rgb="FF000000"/>
      <name val="Calibri"/>
      <scheme val="minor"/>
    </font>
    <font>
      <b/>
      <u val="double"/>
      <sz val="11"/>
      <color theme="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charset val="1"/>
    </font>
    <font>
      <b/>
      <sz val="11"/>
      <color rgb="FF305496"/>
      <name val="Calibri"/>
      <family val="2"/>
      <scheme val="minor"/>
    </font>
    <font>
      <b/>
      <sz val="11"/>
      <color rgb="FF0D0D0D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6DCE4"/>
        <bgColor rgb="FF000000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indexed="64"/>
      </left>
      <right style="medium">
        <color indexed="64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">
        <color indexed="64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0" fontId="3" fillId="0" borderId="5" applyNumberFormat="0" applyFill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9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5" borderId="11" xfId="0" applyFont="1" applyFill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1" fillId="0" borderId="0" xfId="0" applyFont="1"/>
    <xf numFmtId="0" fontId="10" fillId="5" borderId="11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left" vertical="top" wrapText="1"/>
    </xf>
    <xf numFmtId="0" fontId="10" fillId="6" borderId="11" xfId="0" applyFont="1" applyFill="1" applyBorder="1" applyAlignment="1">
      <alignment horizontal="left" vertical="top" wrapText="1"/>
    </xf>
    <xf numFmtId="0" fontId="10" fillId="5" borderId="12" xfId="0" applyFont="1" applyFill="1" applyBorder="1" applyAlignment="1">
      <alignment horizontal="left" vertical="top" wrapText="1"/>
    </xf>
    <xf numFmtId="0" fontId="10" fillId="5" borderId="11" xfId="0" applyFont="1" applyFill="1" applyBorder="1" applyAlignment="1">
      <alignment wrapText="1"/>
    </xf>
    <xf numFmtId="0" fontId="12" fillId="0" borderId="11" xfId="0" applyFont="1" applyBorder="1" applyAlignment="1">
      <alignment horizontal="left" vertical="top" wrapText="1"/>
    </xf>
    <xf numFmtId="0" fontId="10" fillId="0" borderId="11" xfId="0" applyFont="1" applyBorder="1" applyAlignment="1">
      <alignment wrapText="1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5" borderId="13" xfId="0" applyFont="1" applyFill="1" applyBorder="1" applyAlignment="1">
      <alignment horizontal="left" vertical="top" wrapText="1"/>
    </xf>
    <xf numFmtId="0" fontId="10" fillId="0" borderId="11" xfId="0" applyFont="1" applyBorder="1"/>
    <xf numFmtId="0" fontId="12" fillId="5" borderId="11" xfId="0" applyFont="1" applyFill="1" applyBorder="1" applyAlignment="1">
      <alignment wrapText="1"/>
    </xf>
    <xf numFmtId="0" fontId="13" fillId="0" borderId="11" xfId="0" applyFont="1" applyBorder="1" applyAlignment="1">
      <alignment horizontal="left" vertical="top" wrapText="1"/>
    </xf>
    <xf numFmtId="0" fontId="10" fillId="5" borderId="11" xfId="0" applyFont="1" applyFill="1" applyBorder="1"/>
    <xf numFmtId="0" fontId="10" fillId="7" borderId="11" xfId="0" applyFont="1" applyFill="1" applyBorder="1" applyAlignment="1">
      <alignment horizontal="left" vertical="top" wrapText="1"/>
    </xf>
    <xf numFmtId="0" fontId="13" fillId="5" borderId="11" xfId="0" applyFont="1" applyFill="1" applyBorder="1"/>
    <xf numFmtId="0" fontId="10" fillId="6" borderId="11" xfId="0" applyFont="1" applyFill="1" applyBorder="1"/>
    <xf numFmtId="0" fontId="10" fillId="5" borderId="1" xfId="0" applyFont="1" applyFill="1" applyBorder="1" applyAlignment="1">
      <alignment horizontal="left" vertical="top" wrapText="1"/>
    </xf>
    <xf numFmtId="0" fontId="14" fillId="0" borderId="0" xfId="0" applyFont="1"/>
    <xf numFmtId="0" fontId="0" fillId="4" borderId="10" xfId="0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0" fontId="15" fillId="0" borderId="0" xfId="0" applyFont="1"/>
    <xf numFmtId="0" fontId="17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6" fillId="0" borderId="0" xfId="1" applyFont="1" applyFill="1" applyBorder="1" applyAlignment="1">
      <alignment horizontal="center" vertical="center" wrapText="1"/>
    </xf>
    <xf numFmtId="0" fontId="3" fillId="0" borderId="0" xfId="1" applyFill="1" applyBorder="1" applyAlignment="1">
      <alignment horizontal="center" vertical="center" wrapText="1"/>
    </xf>
    <xf numFmtId="0" fontId="16" fillId="0" borderId="14" xfId="1" applyFont="1" applyFill="1" applyBorder="1" applyAlignment="1">
      <alignment horizontal="center" vertical="center"/>
    </xf>
    <xf numFmtId="0" fontId="3" fillId="0" borderId="15" xfId="1" applyFill="1" applyBorder="1" applyAlignment="1">
      <alignment horizontal="center" vertical="center"/>
    </xf>
    <xf numFmtId="0" fontId="3" fillId="0" borderId="16" xfId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4" xfId="1" applyFill="1" applyBorder="1" applyAlignment="1">
      <alignment horizontal="center" vertical="center"/>
    </xf>
  </cellXfs>
  <cellStyles count="2">
    <cellStyle name="Heading 1" xfId="1" builtinId="16"/>
    <cellStyle name="Normal" xfId="0" builtinId="0"/>
  </cellStyles>
  <dxfs count="116">
    <dxf>
      <font>
        <b/>
        <u val="double"/>
        <color theme="4"/>
      </font>
      <numFmt numFmtId="0" formatCode="General"/>
      <fill>
        <patternFill patternType="solid">
          <fgColor indexed="64"/>
          <bgColor theme="2"/>
        </patternFill>
      </fill>
      <alignment textRotation="0" wrapText="1" indent="0" justifyLastLine="0" shrinkToFit="0" readingOrder="0"/>
    </dxf>
    <dxf>
      <font>
        <b/>
        <u val="double"/>
        <color theme="4"/>
      </font>
      <numFmt numFmtId="0" formatCode="General"/>
      <fill>
        <patternFill patternType="solid">
          <fgColor indexed="64"/>
          <bgColor theme="2"/>
        </patternFill>
      </fill>
      <alignment textRotation="0" wrapText="1" indent="0" justifyLastLine="0" shrinkToFit="0" readingOrder="0"/>
    </dxf>
    <dxf>
      <font>
        <color rgb="FF9C0006"/>
      </font>
      <fill>
        <patternFill patternType="solid">
          <bgColor theme="9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color rgb="FF9C0006"/>
      </font>
      <fill>
        <patternFill patternType="solid">
          <bgColor rgb="FFE0BFFF"/>
        </patternFill>
      </fill>
    </dxf>
    <dxf>
      <font>
        <color rgb="FF9C0006"/>
      </font>
      <fill>
        <patternFill patternType="solid">
          <bgColor rgb="FFF79D0C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CB87FF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rgb="FFE0BFFF"/>
        </patternFill>
      </fill>
    </dxf>
    <dxf>
      <font>
        <color rgb="FF9C0006"/>
      </font>
      <fill>
        <patternFill patternType="solid">
          <bgColor rgb="FFF79D0C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CB87FF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rgb="FFE0BFFF"/>
        </patternFill>
      </fill>
    </dxf>
    <dxf>
      <font>
        <color rgb="FF9C0006"/>
      </font>
      <fill>
        <patternFill patternType="solid">
          <bgColor rgb="FFF79D0C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CB87FF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rgb="FFE0BFFF"/>
        </patternFill>
      </fill>
    </dxf>
    <dxf>
      <font>
        <color rgb="FF9C0006"/>
      </font>
      <fill>
        <patternFill patternType="solid">
          <bgColor rgb="FFF79D0C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CB87FF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rgb="FFE0BFFF"/>
        </patternFill>
      </fill>
    </dxf>
    <dxf>
      <font>
        <color rgb="FF9C0006"/>
      </font>
      <fill>
        <patternFill patternType="solid">
          <bgColor rgb="FFF79D0C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CB87FF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rgb="FF1F4E78"/>
      </font>
      <fill>
        <patternFill patternType="solid">
          <bgColor rgb="FFBDD7EE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b/>
        <u val="double"/>
        <color theme="4"/>
      </font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  <alignment horizontal="center" vertical="bottom"/>
    </dxf>
    <dxf>
      <numFmt numFmtId="0" formatCode="General"/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border outline="0">
        <bottom style="thin">
          <color rgb="FF000000"/>
        </bottom>
      </border>
    </dxf>
    <dxf>
      <font>
        <sz val="14"/>
      </font>
    </dxf>
    <dxf>
      <font>
        <b/>
        <u val="double"/>
        <color theme="4"/>
      </font>
      <numFmt numFmtId="0" formatCode="General"/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numFmt numFmtId="0" formatCode="General"/>
      <fill>
        <patternFill patternType="solid">
          <fgColor indexed="64"/>
          <bgColor theme="2"/>
        </patternFill>
      </fill>
      <alignment horizontal="center" vertical="bottom"/>
    </dxf>
    <dxf>
      <numFmt numFmtId="0" formatCode="General"/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border outline="0">
        <bottom style="thin">
          <color rgb="FF000000"/>
        </bottom>
      </border>
    </dxf>
    <dxf>
      <font>
        <sz val="14"/>
      </font>
    </dxf>
  </dxfs>
  <tableStyles count="0" defaultTableStyle="TableStyleMedium2" defaultPivotStyle="Pivot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-409575</xdr:colOff>
      <xdr:row>1</xdr:row>
      <xdr:rowOff>-1781175</xdr:rowOff>
    </xdr:from>
    <xdr:to>
      <xdr:col>0</xdr:col>
      <xdr:colOff>-409575</xdr:colOff>
      <xdr:row>1</xdr:row>
      <xdr:rowOff>-1781175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10F3CED-1EF5-421C-8E66-1953904CCBE9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RHpLVzMyN09PTFFwZjNVWXhJZldWYUFlaXE4LVR5TEQzdzFsU1BZamdYWFVR&quot;}"/>
            </a:ext>
          </a:extLst>
        </xdr:cNvPr>
        <xdr:cNvSpPr/>
      </xdr:nvSpPr>
      <xdr:spPr>
        <a:xfrm>
          <a:off x="-409575" y="-1464945"/>
          <a:ext cx="0" cy="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Run Take Analysis</a:t>
          </a:r>
        </a:p>
      </xdr:txBody>
    </xdr:sp>
    <xdr:clientData/>
  </xdr:twoCellAnchor>
  <xdr:twoCellAnchor>
    <xdr:from>
      <xdr:col>0</xdr:col>
      <xdr:colOff>-409575</xdr:colOff>
      <xdr:row>9</xdr:row>
      <xdr:rowOff>104775</xdr:rowOff>
    </xdr:from>
    <xdr:to>
      <xdr:col>0</xdr:col>
      <xdr:colOff>-409575</xdr:colOff>
      <xdr:row>9</xdr:row>
      <xdr:rowOff>104775</xdr:rowOff>
    </xdr:to>
    <xdr:sp macro="" textlink="">
      <xdr:nvSpPr>
        <xdr:cNvPr id="3" name="Rounded Rectangle 3">
          <a:extLst>
            <a:ext uri="{FF2B5EF4-FFF2-40B4-BE49-F238E27FC236}">
              <a16:creationId xmlns:a16="http://schemas.microsoft.com/office/drawing/2014/main" id="{3B44F008-C86A-4CBF-9FE2-9CE267243D75}"/>
            </a:ext>
            <a:ext uri="{147F2762-F138-4A5C-976F-8EAC2B608ADB}">
              <a16:predDERef xmlns:a16="http://schemas.microsoft.com/office/drawing/2014/main" pred="{8A7CA46A-085F-4327-B5F1-389004CDE35F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Q0paSWxEMjF2OFRaREZMdlZkalhDdUFSQ1dSWUxYMlNScmpmTGdGX3lfUnY4&quot;}"/>
            </a:ext>
          </a:extLst>
        </xdr:cNvPr>
        <xdr:cNvSpPr/>
      </xdr:nvSpPr>
      <xdr:spPr>
        <a:xfrm>
          <a:off x="-409575" y="828675"/>
          <a:ext cx="0" cy="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RUN GIVE ANALYSIS</a:t>
          </a:r>
        </a:p>
      </xdr:txBody>
    </xdr:sp>
    <xdr:clientData/>
  </xdr:twoCellAnchor>
  <xdr:twoCellAnchor>
    <xdr:from>
      <xdr:col>37</xdr:col>
      <xdr:colOff>49530</xdr:colOff>
      <xdr:row>0</xdr:row>
      <xdr:rowOff>55245</xdr:rowOff>
    </xdr:from>
    <xdr:to>
      <xdr:col>38</xdr:col>
      <xdr:colOff>361950</xdr:colOff>
      <xdr:row>1</xdr:row>
      <xdr:rowOff>34925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B0C150D-13FA-41C6-BE1B-78FAB9ADC679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QUJ0NE10cFBJZVRiS1VHRkNiM0hBNEFTLUVLNkxHU2pSSnpucU9UX1UyVlBr&quot;}"/>
            </a:ext>
          </a:extLst>
        </xdr:cNvPr>
        <xdr:cNvSpPr/>
      </xdr:nvSpPr>
      <xdr:spPr>
        <a:xfrm>
          <a:off x="14803755" y="55245"/>
          <a:ext cx="902970" cy="294005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Search</a:t>
          </a:r>
        </a:p>
      </xdr:txBody>
    </xdr:sp>
    <xdr:clientData/>
  </xdr:twoCellAnchor>
  <xdr:twoCellAnchor>
    <xdr:from>
      <xdr:col>37</xdr:col>
      <xdr:colOff>55245</xdr:colOff>
      <xdr:row>1</xdr:row>
      <xdr:rowOff>152400</xdr:rowOff>
    </xdr:from>
    <xdr:to>
      <xdr:col>38</xdr:col>
      <xdr:colOff>369570</xdr:colOff>
      <xdr:row>1</xdr:row>
      <xdr:rowOff>436880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AFAA07F-17C6-4DF0-803A-31FDE708D9AA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QjVxeThoYjYzc1M0OHpvQ210aVhmNkFldE9tRkFrV1BLVWM1djg5bWtzY0lZ&quot;}"/>
            </a:ext>
          </a:extLst>
        </xdr:cNvPr>
        <xdr:cNvSpPr/>
      </xdr:nvSpPr>
      <xdr:spPr>
        <a:xfrm>
          <a:off x="12790170" y="466725"/>
          <a:ext cx="904875" cy="28448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Clear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-409575</xdr:colOff>
      <xdr:row>1</xdr:row>
      <xdr:rowOff>-1781175</xdr:rowOff>
    </xdr:from>
    <xdr:to>
      <xdr:col>0</xdr:col>
      <xdr:colOff>-409575</xdr:colOff>
      <xdr:row>1</xdr:row>
      <xdr:rowOff>-1781175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290FBB3-F012-4792-89E8-E057FE6D96B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RHpLVzMyN09PTFFwZjNVWXhJZldWYUFlaXE4LVR5TEQzdzFsU1BZamdYWFVR&quot;}"/>
            </a:ext>
          </a:extLst>
        </xdr:cNvPr>
        <xdr:cNvSpPr/>
      </xdr:nvSpPr>
      <xdr:spPr>
        <a:xfrm>
          <a:off x="-411480" y="-1781175"/>
          <a:ext cx="0" cy="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Run Take Analysis</a:t>
          </a:r>
        </a:p>
      </xdr:txBody>
    </xdr:sp>
    <xdr:clientData/>
  </xdr:twoCellAnchor>
  <xdr:twoCellAnchor>
    <xdr:from>
      <xdr:col>0</xdr:col>
      <xdr:colOff>-409575</xdr:colOff>
      <xdr:row>9</xdr:row>
      <xdr:rowOff>104775</xdr:rowOff>
    </xdr:from>
    <xdr:to>
      <xdr:col>0</xdr:col>
      <xdr:colOff>-409575</xdr:colOff>
      <xdr:row>9</xdr:row>
      <xdr:rowOff>104775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9A99B9D-858C-4499-B724-7EB1C34B4D0D}"/>
            </a:ext>
            <a:ext uri="{147F2762-F138-4A5C-976F-8EAC2B608ADB}">
              <a16:predDERef xmlns:a16="http://schemas.microsoft.com/office/drawing/2014/main" pred="{8A7CA46A-085F-4327-B5F1-389004CDE35F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Q0paSWxEMjF2OFRaREZMdlZkalhDdUFSQ1dSWUxYMlNScmpmTGdGX3lfUnY4&quot;}"/>
            </a:ext>
          </a:extLst>
        </xdr:cNvPr>
        <xdr:cNvSpPr/>
      </xdr:nvSpPr>
      <xdr:spPr>
        <a:xfrm>
          <a:off x="-411480" y="3549015"/>
          <a:ext cx="0" cy="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RUN GIVE ANALYSIS</a:t>
          </a:r>
        </a:p>
      </xdr:txBody>
    </xdr:sp>
    <xdr:clientData/>
  </xdr:twoCellAnchor>
  <xdr:twoCellAnchor>
    <xdr:from>
      <xdr:col>37</xdr:col>
      <xdr:colOff>53340</xdr:colOff>
      <xdr:row>0</xdr:row>
      <xdr:rowOff>57150</xdr:rowOff>
    </xdr:from>
    <xdr:to>
      <xdr:col>38</xdr:col>
      <xdr:colOff>348615</xdr:colOff>
      <xdr:row>1</xdr:row>
      <xdr:rowOff>40640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69DC2B8-BEDF-4BF6-8E23-1586553C515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Q3Y5Ul9BQnhlUFNKZUxSRmxuV3YwZUFlSlZMTHFaY0R3Znc4cndOX2dUdzNZ&quot;}"/>
            </a:ext>
          </a:extLst>
        </xdr:cNvPr>
        <xdr:cNvSpPr/>
      </xdr:nvSpPr>
      <xdr:spPr>
        <a:xfrm>
          <a:off x="12788265" y="57150"/>
          <a:ext cx="885825" cy="297815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Search</a:t>
          </a:r>
        </a:p>
      </xdr:txBody>
    </xdr:sp>
    <xdr:clientData/>
  </xdr:twoCellAnchor>
  <xdr:twoCellAnchor>
    <xdr:from>
      <xdr:col>37</xdr:col>
      <xdr:colOff>57150</xdr:colOff>
      <xdr:row>1</xdr:row>
      <xdr:rowOff>133350</xdr:rowOff>
    </xdr:from>
    <xdr:to>
      <xdr:col>38</xdr:col>
      <xdr:colOff>352425</xdr:colOff>
      <xdr:row>1</xdr:row>
      <xdr:rowOff>431165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5634FA3-4CED-4E96-8151-4A0422BCFE3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Qkx1U3NvTjR2WlFMTW00b284LWcwX0FiTTQzZ0pvTkdmbnJ2ei1jNWx5MFZr&quot;}"/>
            </a:ext>
          </a:extLst>
        </xdr:cNvPr>
        <xdr:cNvSpPr/>
      </xdr:nvSpPr>
      <xdr:spPr>
        <a:xfrm>
          <a:off x="12792075" y="447675"/>
          <a:ext cx="885825" cy="297815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Clear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97155</xdr:colOff>
      <xdr:row>0</xdr:row>
      <xdr:rowOff>38100</xdr:rowOff>
    </xdr:from>
    <xdr:to>
      <xdr:col>22</xdr:col>
      <xdr:colOff>523875</xdr:colOff>
      <xdr:row>0</xdr:row>
      <xdr:rowOff>476250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5BF9626-6EE6-4920-AEFB-7999569FFDD9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Q0paSWxEMjF2OFRaREZMdlZkalhDdUFSQ1dSWUxYMlNScmpmTGdGX3lfUnY4&quot;}"/>
            </a:ext>
          </a:extLst>
        </xdr:cNvPr>
        <xdr:cNvSpPr/>
      </xdr:nvSpPr>
      <xdr:spPr>
        <a:xfrm>
          <a:off x="11247120" y="38100"/>
          <a:ext cx="1057275" cy="43434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FIND ORDERS TO GIVE TO</a:t>
          </a:r>
        </a:p>
      </xdr:txBody>
    </xdr:sp>
    <xdr:clientData/>
  </xdr:twoCellAnchor>
  <xdr:twoCellAnchor>
    <xdr:from>
      <xdr:col>19</xdr:col>
      <xdr:colOff>99058</xdr:colOff>
      <xdr:row>0</xdr:row>
      <xdr:rowOff>41908</xdr:rowOff>
    </xdr:from>
    <xdr:to>
      <xdr:col>20</xdr:col>
      <xdr:colOff>531112</xdr:colOff>
      <xdr:row>0</xdr:row>
      <xdr:rowOff>483870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D92301E-052C-4917-B0FD-68D4F28BDB0A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bWVyaWNhbWVkaWMtbXkuc2hhcmVwb2ludC5jb20vOnU6L3AvamFjb2JtL0lRRHpLVzMyN09PTFFwZjNVWXhJZldWYUFlaXE4LVR5TEQzdzFsU1BZamdYWFVR&quot;}"/>
            </a:ext>
          </a:extLst>
        </xdr:cNvPr>
        <xdr:cNvSpPr/>
      </xdr:nvSpPr>
      <xdr:spPr>
        <a:xfrm>
          <a:off x="9991723" y="41908"/>
          <a:ext cx="1064514" cy="440057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/>
            <a:t>FIND</a:t>
          </a:r>
          <a:r>
            <a:rPr lang="en-US" sz="900" b="1" baseline="0"/>
            <a:t> ORDERS TO TAKE FROM</a:t>
          </a:r>
          <a:endParaRPr lang="en-US" sz="9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ricamedic.sharepoint.com/logistics/Shared%20Documents/Trackers/AMS%20Weekly%20Business%20Review.xlsx" TargetMode="External"/><Relationship Id="rId1" Type="http://schemas.openxmlformats.org/officeDocument/2006/relationships/externalLinkPath" Target="https://americamedic.sharepoint.com/logistics/Shared%20Documents/Trackers/AMS%20Weekly%20Business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chasing Dashboard"/>
      <sheetName val="Labels &amp; IFCs"/>
      <sheetName val="Dashboard"/>
      <sheetName val="Config"/>
      <sheetName val="2025 Orders (2)"/>
      <sheetName val="Sheet1"/>
      <sheetName val="2026 Orders"/>
      <sheetName val="Logistics"/>
      <sheetName val="2022 OTC Orders"/>
      <sheetName val="2023 Small Orders"/>
      <sheetName val="2026 Completed Orders"/>
      <sheetName val="2025 Completed Orders"/>
      <sheetName val="2024 Completed Orders"/>
      <sheetName val="Amazon FBA"/>
      <sheetName val="2022 Completed Orders"/>
      <sheetName val="Testing label inventory"/>
      <sheetName val="Transformed Data"/>
      <sheetName val="2021 Completed Orders"/>
      <sheetName val="Label WIP"/>
      <sheetName val="Selection"/>
      <sheetName val="Label WIP - OSTEOPL-96 - A4471"/>
      <sheetName val="Label WIP - SPERMCT-60 - A4483"/>
      <sheetName val="Label WIP - ROYALPL-30 - A4411"/>
      <sheetName val="Label WIP - WFSPLS-180 - A4491"/>
      <sheetName val="Label WIP - FLORA50-30 - A4474"/>
      <sheetName val="Label WIP - PEDIABS-50 - A4 (1)"/>
      <sheetName val="Label WIP - PEDIABS-50 - A4387"/>
      <sheetName val="Products W&amp;D"/>
      <sheetName val="PalletCalculator"/>
      <sheetName val="Missing Product Data"/>
      <sheetName val="PalletSummary"/>
      <sheetName val="CustomerPalletSummary"/>
      <sheetName val="Label WIP - UTIC-60-FD - A4437"/>
      <sheetName val="Label WIP - UTIC-60-FD - A4445"/>
      <sheetName val="Qatar_a4411_PalletSummary"/>
      <sheetName val="Libya_a4508_Pallet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>
            <v>45726</v>
          </cell>
          <cell r="B4" t="str">
            <v>China</v>
          </cell>
          <cell r="C4" t="str">
            <v>A4458</v>
          </cell>
          <cell r="D4"/>
          <cell r="F4"/>
          <cell r="G4" t="str">
            <v>SELENIU-60-FD</v>
          </cell>
          <cell r="H4">
            <v>200</v>
          </cell>
          <cell r="I4" t="str">
            <v>F63-25.1</v>
          </cell>
          <cell r="J4">
            <v>0</v>
          </cell>
          <cell r="L4" t="str">
            <v>D/W Sent</v>
          </cell>
          <cell r="M4" t="str">
            <v>12/15 D/W Sent</v>
          </cell>
          <cell r="N4" t="str">
            <v>NA</v>
          </cell>
          <cell r="O4" t="str">
            <v>604776735762</v>
          </cell>
          <cell r="P4">
            <v>3000</v>
          </cell>
          <cell r="Q4">
            <v>4833</v>
          </cell>
          <cell r="R4" t="str">
            <v>complete</v>
          </cell>
          <cell r="S4"/>
          <cell r="T4"/>
          <cell r="U4"/>
          <cell r="V4"/>
          <cell r="W4"/>
          <cell r="X4" t="str">
            <v>Approved 01/16/26</v>
          </cell>
        </row>
        <row r="5">
          <cell r="A5"/>
          <cell r="B5"/>
          <cell r="C5"/>
          <cell r="D5"/>
          <cell r="F5"/>
          <cell r="G5"/>
          <cell r="H5"/>
          <cell r="I5"/>
          <cell r="J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</row>
        <row r="6">
          <cell r="A6">
            <v>45443</v>
          </cell>
          <cell r="B6" t="str">
            <v>China</v>
          </cell>
          <cell r="C6" t="str">
            <v>A4425</v>
          </cell>
          <cell r="D6"/>
          <cell r="F6"/>
          <cell r="G6" t="str">
            <v>VIACAL-60-FD</v>
          </cell>
          <cell r="H6">
            <v>200</v>
          </cell>
          <cell r="I6" t="str">
            <v>F66-22.1</v>
          </cell>
          <cell r="J6">
            <v>200</v>
          </cell>
          <cell r="L6" t="str">
            <v>D/W Sent</v>
          </cell>
          <cell r="M6" t="str">
            <v>01/13 D/W Sent</v>
          </cell>
          <cell r="N6" t="str">
            <v>NA</v>
          </cell>
          <cell r="O6" t="str">
            <v>609788968160</v>
          </cell>
          <cell r="P6">
            <v>2000</v>
          </cell>
          <cell r="Q6">
            <v>4661</v>
          </cell>
          <cell r="R6" t="str">
            <v>complete</v>
          </cell>
          <cell r="S6"/>
          <cell r="T6"/>
          <cell r="U6"/>
          <cell r="V6"/>
          <cell r="W6"/>
          <cell r="X6" t="str">
            <v>Approved</v>
          </cell>
        </row>
        <row r="7">
          <cell r="L7"/>
        </row>
        <row r="8">
          <cell r="A8">
            <v>45589</v>
          </cell>
          <cell r="B8" t="str">
            <v>UAE</v>
          </cell>
          <cell r="C8" t="str">
            <v>A4624</v>
          </cell>
          <cell r="D8" t="str">
            <v>Under going registration in UAE                5/13/2026: UAE unable to take, exploring if other clients can take product.</v>
          </cell>
          <cell r="F8" t="str">
            <v> 6/13/2025: products added from UAE A4393 
9/5/2025: 96 packs allocated to Amazon  
9/18/2025: Moved from A4445</v>
          </cell>
          <cell r="G8" t="str">
            <v>NERUFLX-60-FD</v>
          </cell>
          <cell r="H8">
            <v>1054</v>
          </cell>
          <cell r="I8" t="str">
            <v>F115-25.0</v>
          </cell>
          <cell r="J8">
            <v>1054</v>
          </cell>
          <cell r="L8" t="str">
            <v>Sales Action Needed</v>
          </cell>
          <cell r="M8" t="str">
            <v>01/20 D/W Sent</v>
          </cell>
          <cell r="N8" t="str">
            <v>Y</v>
          </cell>
          <cell r="O8">
            <v>810131193164</v>
          </cell>
          <cell r="P8">
            <v>2500</v>
          </cell>
          <cell r="Q8">
            <v>4524</v>
          </cell>
          <cell r="R8" t="str">
            <v>complete</v>
          </cell>
          <cell r="S8"/>
          <cell r="T8"/>
          <cell r="U8" t="str">
            <v> </v>
          </cell>
          <cell r="V8"/>
          <cell r="W8" t="str">
            <v> </v>
          </cell>
          <cell r="X8" t="str">
            <v>HOLD</v>
          </cell>
        </row>
        <row r="9">
          <cell r="A9">
            <v>46058</v>
          </cell>
          <cell r="B9"/>
          <cell r="C9" t="str">
            <v>A4553</v>
          </cell>
          <cell r="D9" t="str">
            <v>5/13/2026:
*DO NOT PREPARE ORDER FOR SHIPMENT YET: ADDITIONAL PRODUCTS TO BE ADDED*</v>
          </cell>
          <cell r="F9" t="str">
            <v>3/30/2026:
Moved from UAE A4644</v>
          </cell>
          <cell r="G9" t="str">
            <v>MFSPLS-120-RE</v>
          </cell>
          <cell r="H9">
            <v>1050</v>
          </cell>
          <cell r="I9"/>
          <cell r="J9">
            <v>1050</v>
          </cell>
          <cell r="L9" t="str">
            <v>Picked</v>
          </cell>
          <cell r="M9"/>
          <cell r="N9" t="str">
            <v>NA</v>
          </cell>
          <cell r="O9">
            <v>609788968344</v>
          </cell>
          <cell r="P9">
            <v>7000</v>
          </cell>
          <cell r="Q9">
            <v>4935</v>
          </cell>
          <cell r="R9" t="str">
            <v>complete</v>
          </cell>
          <cell r="S9"/>
          <cell r="T9"/>
          <cell r="U9"/>
          <cell r="V9"/>
          <cell r="W9"/>
          <cell r="X9"/>
        </row>
        <row r="10">
          <cell r="A10">
            <v>45880</v>
          </cell>
          <cell r="B10" t="str">
            <v>Kuwait</v>
          </cell>
          <cell r="C10" t="str">
            <v>A4562</v>
          </cell>
          <cell r="D10" t="str">
            <v>5/11/2026: Order on hold</v>
          </cell>
          <cell r="F10" t="str">
            <v>11/3/2025: Waiting for registration   11/5/2025: Allocated 500 packs to UAE A4521</v>
          </cell>
          <cell r="G10" t="str">
            <v>EYECAP-30-FD</v>
          </cell>
          <cell r="H10">
            <v>500</v>
          </cell>
          <cell r="I10" t="str">
            <v>F15-26.0</v>
          </cell>
          <cell r="J10">
            <v>0</v>
          </cell>
          <cell r="L10" t="str">
            <v>ON HOLD</v>
          </cell>
          <cell r="M10"/>
          <cell r="N10" t="str">
            <v>Y</v>
          </cell>
          <cell r="O10">
            <v>609788968443</v>
          </cell>
          <cell r="P10"/>
          <cell r="Q10"/>
          <cell r="R10"/>
          <cell r="S10" t="str">
            <v>MOQ 5000</v>
          </cell>
          <cell r="T10"/>
          <cell r="U10"/>
          <cell r="V10"/>
          <cell r="W10"/>
          <cell r="X10" t="str">
            <v>HOLD</v>
          </cell>
        </row>
        <row r="11">
          <cell r="A11">
            <v>46141</v>
          </cell>
          <cell r="B11" t="str">
            <v>UAE</v>
          </cell>
          <cell r="C11" t="str">
            <v>A4553</v>
          </cell>
          <cell r="D11"/>
          <cell r="F11" t="str">
            <v>4/29/2026: Product added 
5/4/2026: Qty changed 183 -&gt; 182</v>
          </cell>
          <cell r="G11" t="str">
            <v>POLYSIT-90-RE</v>
          </cell>
          <cell r="H11">
            <v>182</v>
          </cell>
          <cell r="I11"/>
          <cell r="J11">
            <v>182</v>
          </cell>
          <cell r="L11"/>
          <cell r="M11" t="str">
            <v>182 available Lot: 49311125</v>
          </cell>
          <cell r="N11" t="str">
            <v>Y</v>
          </cell>
          <cell r="O11">
            <v>609788969006</v>
          </cell>
          <cell r="P11"/>
          <cell r="Q11"/>
          <cell r="R11"/>
          <cell r="S11"/>
          <cell r="T11"/>
          <cell r="U11"/>
          <cell r="V11"/>
          <cell r="W11"/>
          <cell r="X11"/>
        </row>
        <row r="12">
          <cell r="A12">
            <v>45890</v>
          </cell>
          <cell r="B12" t="str">
            <v>Uganda</v>
          </cell>
          <cell r="C12" t="str">
            <v>A4522</v>
          </cell>
          <cell r="D12"/>
          <cell r="F12"/>
          <cell r="G12" t="str">
            <v>SPERMCT-60-FD</v>
          </cell>
          <cell r="H12">
            <v>96</v>
          </cell>
          <cell r="I12" t="str">
            <v>F64-25.0</v>
          </cell>
          <cell r="J12">
            <v>96</v>
          </cell>
          <cell r="L12" t="str">
            <v>Picked</v>
          </cell>
          <cell r="M12"/>
          <cell r="N12" t="str">
            <v>NA</v>
          </cell>
          <cell r="O12">
            <v>609788968405</v>
          </cell>
          <cell r="P12">
            <v>5500</v>
          </cell>
          <cell r="Q12">
            <v>4850</v>
          </cell>
          <cell r="R12" t="str">
            <v>complete</v>
          </cell>
          <cell r="S12"/>
          <cell r="T12"/>
          <cell r="U12"/>
          <cell r="V12"/>
          <cell r="W12"/>
          <cell r="X12" t="str">
            <v>HOLD</v>
          </cell>
        </row>
        <row r="13">
          <cell r="A13">
            <v>45890</v>
          </cell>
          <cell r="B13" t="str">
            <v>Uganda</v>
          </cell>
          <cell r="C13" t="str">
            <v>A4522</v>
          </cell>
          <cell r="D13"/>
          <cell r="F13" t="str">
            <v>5/12/2026: Allocating to Lebanon A4690.</v>
          </cell>
          <cell r="G13" t="str">
            <v>WFSPLS-180-FD</v>
          </cell>
          <cell r="H13">
            <v>120</v>
          </cell>
          <cell r="I13" t="str">
            <v>F73-23.0</v>
          </cell>
          <cell r="J13">
            <v>120</v>
          </cell>
          <cell r="L13" t="str">
            <v>PO Drafted</v>
          </cell>
          <cell r="M13">
            <v>46012</v>
          </cell>
          <cell r="N13" t="str">
            <v>NA</v>
          </cell>
          <cell r="O13">
            <v>609788968351</v>
          </cell>
          <cell r="P13">
            <v>5000</v>
          </cell>
          <cell r="Q13">
            <v>5043</v>
          </cell>
          <cell r="R13" t="str">
            <v>TBD</v>
          </cell>
          <cell r="S13" t="str">
            <v>Pending approval to send to vendor</v>
          </cell>
          <cell r="T13"/>
          <cell r="U13"/>
          <cell r="V13"/>
          <cell r="W13"/>
          <cell r="X13"/>
        </row>
        <row r="14">
          <cell r="A14">
            <v>45890</v>
          </cell>
          <cell r="B14" t="str">
            <v>Uganda</v>
          </cell>
          <cell r="C14" t="str">
            <v>A4522</v>
          </cell>
          <cell r="D14"/>
          <cell r="F14" t="str">
            <v>9/11/2025: product changed to RE 
5/14/2026: Allocate to Cyprus A4675.</v>
          </cell>
          <cell r="G14" t="str">
            <v>FERTMX-90-RE</v>
          </cell>
          <cell r="H14">
            <v>288</v>
          </cell>
          <cell r="I14" t="str">
            <v>R16-22.0</v>
          </cell>
          <cell r="J14">
            <v>0</v>
          </cell>
          <cell r="L14" t="str">
            <v>PO submitted</v>
          </cell>
          <cell r="M14"/>
          <cell r="N14" t="str">
            <v>Y</v>
          </cell>
          <cell r="O14">
            <v>609788968726</v>
          </cell>
          <cell r="P14">
            <v>5000</v>
          </cell>
          <cell r="Q14">
            <v>5041</v>
          </cell>
          <cell r="R14" t="str">
            <v>TBD</v>
          </cell>
          <cell r="S14" t="str">
            <v>Waiting for vendor confirmation.</v>
          </cell>
          <cell r="T14"/>
          <cell r="U14"/>
          <cell r="V14"/>
          <cell r="W14"/>
          <cell r="X14"/>
        </row>
        <row r="15">
          <cell r="A15">
            <v>45890</v>
          </cell>
          <cell r="B15" t="str">
            <v>Uganda</v>
          </cell>
          <cell r="C15" t="str">
            <v>A4522</v>
          </cell>
          <cell r="D15"/>
          <cell r="F15"/>
          <cell r="G15" t="str">
            <v>PRECON-90-FD</v>
          </cell>
          <cell r="H15">
            <v>120</v>
          </cell>
          <cell r="I15" t="str">
            <v>F54-23.0</v>
          </cell>
          <cell r="J15">
            <v>120</v>
          </cell>
          <cell r="L15" t="str">
            <v>Picked</v>
          </cell>
          <cell r="M15"/>
          <cell r="N15" t="str">
            <v>NA</v>
          </cell>
          <cell r="O15">
            <v>609788968368</v>
          </cell>
          <cell r="P15">
            <v>7500</v>
          </cell>
          <cell r="Q15">
            <v>4714</v>
          </cell>
          <cell r="R15" t="str">
            <v>complete</v>
          </cell>
          <cell r="S15"/>
          <cell r="T15"/>
          <cell r="U15"/>
          <cell r="V15"/>
          <cell r="W15"/>
          <cell r="X15"/>
        </row>
        <row r="16">
          <cell r="A16">
            <v>45890</v>
          </cell>
          <cell r="B16" t="str">
            <v>Uganda</v>
          </cell>
          <cell r="C16" t="str">
            <v>A4522</v>
          </cell>
          <cell r="D16"/>
          <cell r="F16"/>
          <cell r="G16" t="str">
            <v>QWELL4-30-SG-FD</v>
          </cell>
          <cell r="H16">
            <v>96</v>
          </cell>
          <cell r="I16" t="str">
            <v>F58-25.3</v>
          </cell>
          <cell r="J16">
            <v>96</v>
          </cell>
          <cell r="L16" t="str">
            <v>Picked</v>
          </cell>
          <cell r="M16"/>
          <cell r="N16" t="str">
            <v>NA</v>
          </cell>
          <cell r="O16">
            <v>609788968214</v>
          </cell>
          <cell r="P16">
            <v>17633</v>
          </cell>
          <cell r="Q16">
            <v>4858</v>
          </cell>
          <cell r="R16" t="str">
            <v>complete</v>
          </cell>
          <cell r="S16"/>
          <cell r="T16"/>
          <cell r="U16"/>
          <cell r="V16"/>
          <cell r="W16"/>
          <cell r="X16"/>
        </row>
        <row r="17">
          <cell r="A17">
            <v>45890</v>
          </cell>
          <cell r="B17" t="str">
            <v>Uganda</v>
          </cell>
          <cell r="C17" t="str">
            <v>A4522</v>
          </cell>
          <cell r="D17"/>
          <cell r="F17"/>
          <cell r="G17" t="str">
            <v>PROSTA-90-FD</v>
          </cell>
          <cell r="H17">
            <v>24</v>
          </cell>
          <cell r="I17" t="str">
            <v>F56-23.0</v>
          </cell>
          <cell r="J17">
            <v>24</v>
          </cell>
          <cell r="L17" t="str">
            <v>Picked</v>
          </cell>
          <cell r="M17"/>
          <cell r="N17" t="str">
            <v>NA</v>
          </cell>
          <cell r="O17">
            <v>609788968504</v>
          </cell>
          <cell r="P17">
            <v>4000</v>
          </cell>
          <cell r="Q17">
            <v>4802</v>
          </cell>
          <cell r="R17" t="str">
            <v>complete</v>
          </cell>
          <cell r="S17"/>
          <cell r="T17"/>
          <cell r="U17"/>
          <cell r="V17"/>
          <cell r="W17"/>
          <cell r="X17"/>
        </row>
        <row r="18">
          <cell r="A18">
            <v>45923</v>
          </cell>
          <cell r="B18" t="str">
            <v>Uganda</v>
          </cell>
          <cell r="C18" t="str">
            <v>A4522</v>
          </cell>
          <cell r="D18"/>
          <cell r="F18" t="str">
            <v>12/4/2025: Moved From UgandaA4534
4/9/2026: 192 packs of Ovamax allocated to Bahrain A4685</v>
          </cell>
          <cell r="G18" t="str">
            <v>OVAMAX-120-FD</v>
          </cell>
          <cell r="H18">
            <v>192</v>
          </cell>
          <cell r="I18" t="str">
            <v>F41-25.0</v>
          </cell>
          <cell r="J18">
            <v>0</v>
          </cell>
          <cell r="L18" t="str">
            <v>In Production</v>
          </cell>
          <cell r="M18"/>
          <cell r="N18" t="str">
            <v>NA</v>
          </cell>
          <cell r="O18">
            <v>810131199586</v>
          </cell>
          <cell r="P18">
            <v>10775</v>
          </cell>
          <cell r="Q18">
            <v>5055</v>
          </cell>
          <cell r="R18">
            <v>46213</v>
          </cell>
          <cell r="S18"/>
          <cell r="T18"/>
          <cell r="U18"/>
          <cell r="V18"/>
          <cell r="W18"/>
          <cell r="X18"/>
        </row>
        <row r="19">
          <cell r="A19">
            <v>45923</v>
          </cell>
          <cell r="B19" t="str">
            <v>Uganda</v>
          </cell>
          <cell r="C19" t="str">
            <v>A4522</v>
          </cell>
          <cell r="D19"/>
          <cell r="F19"/>
          <cell r="G19" t="str">
            <v>WFSPLS-180-FD</v>
          </cell>
          <cell r="H19">
            <v>48</v>
          </cell>
          <cell r="I19" t="str">
            <v>F73-23.0</v>
          </cell>
          <cell r="J19">
            <v>0</v>
          </cell>
          <cell r="L19" t="str">
            <v>Picked</v>
          </cell>
          <cell r="M19"/>
          <cell r="N19" t="str">
            <v>NA</v>
          </cell>
          <cell r="O19">
            <v>609788968351</v>
          </cell>
          <cell r="P19">
            <v>9000</v>
          </cell>
          <cell r="Q19">
            <v>4845</v>
          </cell>
          <cell r="R19" t="str">
            <v>complete</v>
          </cell>
          <cell r="S19"/>
          <cell r="T19"/>
          <cell r="U19"/>
          <cell r="V19"/>
          <cell r="W19"/>
          <cell r="X19"/>
        </row>
        <row r="20">
          <cell r="A20">
            <v>45923</v>
          </cell>
          <cell r="B20" t="str">
            <v>Uganda</v>
          </cell>
          <cell r="C20" t="str">
            <v>A4522</v>
          </cell>
          <cell r="D20"/>
          <cell r="F20"/>
          <cell r="G20" t="str">
            <v>FERTMX-90-RE</v>
          </cell>
          <cell r="H20">
            <v>40</v>
          </cell>
          <cell r="I20" t="str">
            <v>R16-22.0</v>
          </cell>
          <cell r="J20">
            <v>40</v>
          </cell>
          <cell r="L20" t="str">
            <v>Picked</v>
          </cell>
          <cell r="M20"/>
          <cell r="N20" t="str">
            <v>Y</v>
          </cell>
          <cell r="O20">
            <v>609788968726</v>
          </cell>
          <cell r="P20">
            <v>5000</v>
          </cell>
          <cell r="Q20">
            <v>4834</v>
          </cell>
          <cell r="R20" t="str">
            <v>complete</v>
          </cell>
          <cell r="S20"/>
          <cell r="T20"/>
          <cell r="U20"/>
          <cell r="V20"/>
          <cell r="W20"/>
          <cell r="X20"/>
        </row>
        <row r="21">
          <cell r="A21">
            <v>46114</v>
          </cell>
          <cell r="B21" t="str">
            <v>Uganda</v>
          </cell>
          <cell r="C21" t="str">
            <v>A4522</v>
          </cell>
          <cell r="D21"/>
          <cell r="F21" t="str">
            <v>4/2/2026: FERTMX-90-RE 200 packs allocated to Doreen A4678</v>
          </cell>
          <cell r="G21" t="str">
            <v>FERTMX-90-RE</v>
          </cell>
          <cell r="H21">
            <v>200</v>
          </cell>
          <cell r="I21" t="str">
            <v>R16-22.0</v>
          </cell>
          <cell r="J21">
            <v>0</v>
          </cell>
          <cell r="L21" t="str">
            <v>PO submitted</v>
          </cell>
          <cell r="M21"/>
          <cell r="N21" t="str">
            <v>Y</v>
          </cell>
          <cell r="O21">
            <v>609788968726</v>
          </cell>
          <cell r="P21">
            <v>5000</v>
          </cell>
          <cell r="Q21">
            <v>5041</v>
          </cell>
          <cell r="R21" t="str">
            <v>TBD</v>
          </cell>
          <cell r="S21" t="str">
            <v>Waiting for vendor confirmation.</v>
          </cell>
          <cell r="T21"/>
          <cell r="U21"/>
          <cell r="V21"/>
          <cell r="W21"/>
          <cell r="X21"/>
        </row>
        <row r="22">
          <cell r="A22">
            <v>45923</v>
          </cell>
          <cell r="B22" t="str">
            <v>Uganda</v>
          </cell>
          <cell r="C22" t="str">
            <v>A4522</v>
          </cell>
          <cell r="D22" t="str">
            <v>2/11/2026: Updated IFC to Y after IFC scrub.</v>
          </cell>
          <cell r="F22"/>
          <cell r="G22" t="str">
            <v>PENAMAX-60-GE-FD</v>
          </cell>
          <cell r="H22">
            <v>96</v>
          </cell>
          <cell r="I22" t="str">
            <v>F88-25.1</v>
          </cell>
          <cell r="J22">
            <v>96</v>
          </cell>
          <cell r="L22" t="str">
            <v>Picked</v>
          </cell>
          <cell r="M22"/>
          <cell r="N22" t="str">
            <v>Y</v>
          </cell>
          <cell r="O22">
            <v>609788968702</v>
          </cell>
          <cell r="P22"/>
          <cell r="Q22"/>
          <cell r="R22"/>
          <cell r="S22"/>
          <cell r="T22"/>
          <cell r="U22"/>
          <cell r="V22"/>
          <cell r="W22"/>
          <cell r="X22"/>
        </row>
        <row r="23">
          <cell r="A23">
            <v>45923</v>
          </cell>
          <cell r="B23" t="str">
            <v>Uganda</v>
          </cell>
          <cell r="C23" t="str">
            <v>A4522</v>
          </cell>
          <cell r="D23"/>
          <cell r="F23" t="str">
            <v>03/10/26 Product allocated to Somalia A4655</v>
          </cell>
          <cell r="G23" t="str">
            <v>DHEA50-60-FD</v>
          </cell>
          <cell r="H23">
            <v>72</v>
          </cell>
          <cell r="I23" t="str">
            <v>F13-25.2</v>
          </cell>
          <cell r="J23">
            <v>0</v>
          </cell>
          <cell r="L23" t="str">
            <v>In Production</v>
          </cell>
          <cell r="M23"/>
          <cell r="N23" t="str">
            <v>NA</v>
          </cell>
          <cell r="O23">
            <v>609788968221</v>
          </cell>
          <cell r="P23">
            <v>7000</v>
          </cell>
          <cell r="Q23">
            <v>5027</v>
          </cell>
          <cell r="R23">
            <v>46201</v>
          </cell>
          <cell r="S23" t="str">
            <v>Vendor confirming PO ETA</v>
          </cell>
          <cell r="T23"/>
          <cell r="U23"/>
          <cell r="V23"/>
          <cell r="W23"/>
          <cell r="X23"/>
        </row>
        <row r="24">
          <cell r="A24">
            <v>45923</v>
          </cell>
          <cell r="B24" t="str">
            <v>Uganda</v>
          </cell>
          <cell r="C24" t="str">
            <v>A4522</v>
          </cell>
          <cell r="D24"/>
          <cell r="F24" t="str">
            <v>12/4/2025: Moved From UgandaA4534</v>
          </cell>
          <cell r="G24" t="str">
            <v>QWELL4-30-SG-FD</v>
          </cell>
          <cell r="H24">
            <v>48</v>
          </cell>
          <cell r="I24" t="str">
            <v>F58-25.3</v>
          </cell>
          <cell r="J24">
            <v>48</v>
          </cell>
          <cell r="L24" t="str">
            <v>Picked</v>
          </cell>
          <cell r="M24"/>
          <cell r="N24" t="str">
            <v>NA</v>
          </cell>
          <cell r="O24" t="str">
            <v>609788968214</v>
          </cell>
          <cell r="P24">
            <v>17633</v>
          </cell>
          <cell r="Q24">
            <v>4858</v>
          </cell>
          <cell r="R24" t="str">
            <v>complete</v>
          </cell>
          <cell r="S24"/>
          <cell r="T24"/>
          <cell r="U24"/>
          <cell r="V24"/>
          <cell r="W24"/>
          <cell r="X24"/>
        </row>
        <row r="25">
          <cell r="A25">
            <v>45975</v>
          </cell>
          <cell r="B25" t="str">
            <v>Uganda</v>
          </cell>
          <cell r="C25" t="str">
            <v>A4522</v>
          </cell>
          <cell r="D25"/>
          <cell r="F25"/>
          <cell r="G25" t="str">
            <v>PRECON-180-FD</v>
          </cell>
          <cell r="H25">
            <v>50</v>
          </cell>
          <cell r="I25" t="str">
            <v>F55-22.2</v>
          </cell>
          <cell r="J25">
            <v>0</v>
          </cell>
          <cell r="L25" t="str">
            <v>In Production</v>
          </cell>
          <cell r="M25"/>
          <cell r="N25" t="str">
            <v>NA</v>
          </cell>
          <cell r="O25">
            <v>609788968375</v>
          </cell>
          <cell r="P25">
            <v>5000</v>
          </cell>
          <cell r="Q25">
            <v>5060</v>
          </cell>
          <cell r="R25">
            <v>46205</v>
          </cell>
          <cell r="S25"/>
          <cell r="T25"/>
          <cell r="U25"/>
          <cell r="V25"/>
          <cell r="W25"/>
          <cell r="X25"/>
        </row>
        <row r="26">
          <cell r="A26">
            <v>45923</v>
          </cell>
          <cell r="B26" t="str">
            <v>Uganda</v>
          </cell>
          <cell r="C26" t="str">
            <v>A4522</v>
          </cell>
          <cell r="D26"/>
          <cell r="F26" t="str">
            <v>12/4/2025: Moved From UgandaA4534
4/9/2026: 192 packs of Ovamax allocated to Bahrain A4685</v>
          </cell>
          <cell r="G26" t="str">
            <v>OVAMAX-120-FD</v>
          </cell>
          <cell r="H26">
            <v>192</v>
          </cell>
          <cell r="I26" t="str">
            <v>F41-25.0</v>
          </cell>
          <cell r="J26">
            <v>192</v>
          </cell>
          <cell r="L26"/>
          <cell r="M26"/>
          <cell r="N26" t="str">
            <v>NA</v>
          </cell>
          <cell r="O26">
            <v>810131199586</v>
          </cell>
          <cell r="P26">
            <v>4100</v>
          </cell>
          <cell r="Q26">
            <v>4949</v>
          </cell>
          <cell r="R26" t="str">
            <v>Complete</v>
          </cell>
          <cell r="S26"/>
          <cell r="T26"/>
          <cell r="U26"/>
          <cell r="V26"/>
          <cell r="W26"/>
          <cell r="X26"/>
        </row>
        <row r="27">
          <cell r="A27">
            <v>45897</v>
          </cell>
          <cell r="B27" t="str">
            <v>Morocco</v>
          </cell>
          <cell r="C27" t="str">
            <v>A4518</v>
          </cell>
          <cell r="D27" t="str">
            <v xml:space="preserve">Awaiting customer update </v>
          </cell>
          <cell r="F27"/>
          <cell r="G27" t="str">
            <v>MOTILMX-60-FD</v>
          </cell>
          <cell r="H27">
            <v>1</v>
          </cell>
          <cell r="I27" t="str">
            <v>F31-23.0</v>
          </cell>
          <cell r="J27">
            <v>1</v>
          </cell>
          <cell r="L27" t="str">
            <v>D/W Sent</v>
          </cell>
          <cell r="M27" t="str">
            <v>D/W sent on 9/12/25</v>
          </cell>
          <cell r="N27" t="str">
            <v>NA</v>
          </cell>
          <cell r="O27">
            <v>609788968191</v>
          </cell>
          <cell r="P27"/>
          <cell r="Q27"/>
          <cell r="R27"/>
          <cell r="S27"/>
          <cell r="T27"/>
          <cell r="U27"/>
          <cell r="V27"/>
          <cell r="W27"/>
          <cell r="X27" t="str">
            <v>Approved</v>
          </cell>
        </row>
        <row r="28">
          <cell r="A28">
            <v>45897</v>
          </cell>
          <cell r="B28" t="str">
            <v>Morocco</v>
          </cell>
          <cell r="C28" t="str">
            <v>A4518</v>
          </cell>
          <cell r="D28"/>
          <cell r="F28"/>
          <cell r="G28" t="str">
            <v>MFSPLS-60-FD</v>
          </cell>
          <cell r="H28">
            <v>1</v>
          </cell>
          <cell r="I28" t="str">
            <v>F29-25.0</v>
          </cell>
          <cell r="J28">
            <v>1</v>
          </cell>
          <cell r="L28" t="str">
            <v>D/W Sent</v>
          </cell>
          <cell r="M28" t="str">
            <v>NEW D/W sent on 10/20/25</v>
          </cell>
          <cell r="N28" t="str">
            <v>NA</v>
          </cell>
          <cell r="O28">
            <v>609788968092</v>
          </cell>
          <cell r="P28"/>
          <cell r="Q28"/>
          <cell r="R28"/>
          <cell r="S28"/>
          <cell r="T28"/>
          <cell r="U28"/>
          <cell r="V28"/>
          <cell r="W28"/>
          <cell r="X28"/>
        </row>
        <row r="29">
          <cell r="A29">
            <v>45897</v>
          </cell>
          <cell r="B29" t="str">
            <v>Morocco</v>
          </cell>
          <cell r="C29" t="str">
            <v>A4518</v>
          </cell>
          <cell r="D29"/>
          <cell r="F29"/>
          <cell r="G29" t="str">
            <v>MFSPLS-120-FD</v>
          </cell>
          <cell r="H29">
            <v>1</v>
          </cell>
          <cell r="I29" t="str">
            <v>F30-25.1</v>
          </cell>
          <cell r="J29">
            <v>1</v>
          </cell>
          <cell r="L29" t="str">
            <v>D/W Sent</v>
          </cell>
          <cell r="M29"/>
          <cell r="N29" t="str">
            <v>NA</v>
          </cell>
          <cell r="O29">
            <v>609788968344</v>
          </cell>
          <cell r="P29"/>
          <cell r="Q29"/>
          <cell r="R29"/>
          <cell r="S29"/>
          <cell r="T29"/>
          <cell r="U29"/>
          <cell r="V29"/>
          <cell r="W29"/>
          <cell r="X29"/>
        </row>
        <row r="30">
          <cell r="A30">
            <v>45897</v>
          </cell>
          <cell r="B30" t="str">
            <v>Morocco</v>
          </cell>
          <cell r="C30" t="str">
            <v>A4518</v>
          </cell>
          <cell r="D30"/>
          <cell r="F30"/>
          <cell r="G30" t="str">
            <v>POLYSIT-90-FD</v>
          </cell>
          <cell r="H30">
            <v>1</v>
          </cell>
          <cell r="I30" t="str">
            <v>F53-14.0</v>
          </cell>
          <cell r="J30">
            <v>1</v>
          </cell>
          <cell r="L30" t="str">
            <v>D/W Sent</v>
          </cell>
          <cell r="M30"/>
          <cell r="N30" t="str">
            <v>Y</v>
          </cell>
          <cell r="O30">
            <v>609788969006</v>
          </cell>
          <cell r="P30"/>
          <cell r="Q30"/>
          <cell r="R30"/>
          <cell r="S30"/>
          <cell r="T30"/>
          <cell r="U30"/>
          <cell r="V30"/>
          <cell r="W30"/>
          <cell r="X30"/>
        </row>
        <row r="31">
          <cell r="A31">
            <v>45897</v>
          </cell>
          <cell r="B31" t="str">
            <v>Morocco</v>
          </cell>
          <cell r="C31" t="str">
            <v>A4518</v>
          </cell>
          <cell r="D31"/>
          <cell r="F31"/>
          <cell r="G31" t="str">
            <v>PENAMAX-60-GE-FD</v>
          </cell>
          <cell r="H31">
            <v>1</v>
          </cell>
          <cell r="I31" t="str">
            <v>F88-25.1</v>
          </cell>
          <cell r="J31">
            <v>1</v>
          </cell>
          <cell r="L31" t="str">
            <v>D/W Sent</v>
          </cell>
          <cell r="M31"/>
          <cell r="N31" t="str">
            <v>Y</v>
          </cell>
          <cell r="O31">
            <v>609788968702</v>
          </cell>
          <cell r="P31"/>
          <cell r="Q31"/>
          <cell r="R31"/>
          <cell r="S31"/>
          <cell r="T31"/>
          <cell r="U31"/>
          <cell r="V31"/>
          <cell r="W31"/>
          <cell r="X31"/>
        </row>
        <row r="32">
          <cell r="A32">
            <v>45897</v>
          </cell>
          <cell r="B32" t="str">
            <v>Morocco</v>
          </cell>
          <cell r="C32" t="str">
            <v>A4518</v>
          </cell>
          <cell r="D32"/>
          <cell r="F32"/>
          <cell r="G32" t="str">
            <v>FERTMX-90-RE</v>
          </cell>
          <cell r="H32">
            <v>1</v>
          </cell>
          <cell r="I32" t="str">
            <v>R16-22.0</v>
          </cell>
          <cell r="J32">
            <v>1</v>
          </cell>
          <cell r="L32" t="str">
            <v>D/W Sent</v>
          </cell>
          <cell r="M32"/>
          <cell r="N32" t="str">
            <v>Y</v>
          </cell>
          <cell r="O32">
            <v>609788968726</v>
          </cell>
          <cell r="P32"/>
          <cell r="Q32"/>
          <cell r="R32"/>
          <cell r="S32"/>
          <cell r="T32"/>
          <cell r="U32"/>
          <cell r="V32"/>
          <cell r="W32"/>
          <cell r="X32"/>
        </row>
        <row r="33">
          <cell r="A33">
            <v>45897</v>
          </cell>
          <cell r="B33" t="str">
            <v>Morocco</v>
          </cell>
          <cell r="C33" t="str">
            <v>A4518</v>
          </cell>
          <cell r="D33"/>
          <cell r="F33"/>
          <cell r="G33" t="str">
            <v>OVAMAX-120-FD</v>
          </cell>
          <cell r="H33">
            <v>1</v>
          </cell>
          <cell r="I33" t="str">
            <v>F41-25.0</v>
          </cell>
          <cell r="J33">
            <v>1</v>
          </cell>
          <cell r="L33" t="str">
            <v>D/W Sent</v>
          </cell>
          <cell r="M33"/>
          <cell r="N33" t="str">
            <v>NA</v>
          </cell>
          <cell r="O33">
            <v>609788968399</v>
          </cell>
          <cell r="P33"/>
          <cell r="Q33"/>
          <cell r="R33"/>
          <cell r="S33"/>
          <cell r="T33"/>
          <cell r="U33"/>
          <cell r="V33"/>
          <cell r="W33"/>
          <cell r="X33"/>
        </row>
        <row r="34">
          <cell r="A34">
            <v>45947</v>
          </cell>
          <cell r="B34" t="str">
            <v>Morocco</v>
          </cell>
          <cell r="C34" t="str">
            <v>A4518</v>
          </cell>
          <cell r="D34"/>
          <cell r="F34" t="str">
            <v>10/17/2025: Added to order</v>
          </cell>
          <cell r="G34" t="str">
            <v>NMNH-60-FD</v>
          </cell>
          <cell r="H34">
            <v>3</v>
          </cell>
          <cell r="I34" t="str">
            <v>F114-25.0</v>
          </cell>
          <cell r="J34">
            <v>3</v>
          </cell>
          <cell r="L34" t="str">
            <v>D/W Sent</v>
          </cell>
          <cell r="M34"/>
          <cell r="N34" t="str">
            <v>Y</v>
          </cell>
          <cell r="O34" t="str">
            <v>810131192990</v>
          </cell>
          <cell r="P34"/>
          <cell r="Q34"/>
          <cell r="R34"/>
          <cell r="S34"/>
          <cell r="T34"/>
          <cell r="U34"/>
          <cell r="V34"/>
          <cell r="W34"/>
          <cell r="X34"/>
        </row>
        <row r="35">
          <cell r="A35">
            <v>45897</v>
          </cell>
          <cell r="B35" t="str">
            <v>Morocco</v>
          </cell>
          <cell r="C35" t="str">
            <v>A4518</v>
          </cell>
          <cell r="D35" t="str">
            <v xml:space="preserve">Awaiting customer update </v>
          </cell>
          <cell r="F35"/>
          <cell r="G35" t="str">
            <v>MOTILMX-60-FD</v>
          </cell>
          <cell r="H35">
            <v>1</v>
          </cell>
          <cell r="I35" t="str">
            <v>F31-23.0</v>
          </cell>
          <cell r="J35">
            <v>1</v>
          </cell>
          <cell r="L35"/>
          <cell r="M35" t="str">
            <v>D/W sent on 9/12/25</v>
          </cell>
          <cell r="N35" t="str">
            <v>NA</v>
          </cell>
          <cell r="O35">
            <v>609788968191</v>
          </cell>
          <cell r="P35"/>
          <cell r="Q35"/>
          <cell r="R35"/>
          <cell r="S35"/>
          <cell r="T35"/>
          <cell r="U35"/>
          <cell r="V35"/>
          <cell r="W35"/>
          <cell r="X35" t="str">
            <v>Approved</v>
          </cell>
        </row>
        <row r="36">
          <cell r="A36">
            <v>45908</v>
          </cell>
          <cell r="B36" t="str">
            <v>China</v>
          </cell>
          <cell r="C36" t="str">
            <v>A4637</v>
          </cell>
          <cell r="D36"/>
          <cell r="F36" t="str">
            <v xml:space="preserve">9/29/2025: Sku updated </v>
          </cell>
          <cell r="G36" t="str">
            <v>OVAMAXPLUS-120-CS-CN</v>
          </cell>
          <cell r="H36">
            <v>1100</v>
          </cell>
          <cell r="I36" t="str">
            <v>CN41-25.0</v>
          </cell>
          <cell r="J36">
            <v>1100</v>
          </cell>
          <cell r="L36" t="str">
            <v>D/W Sent</v>
          </cell>
          <cell r="M36" t="str">
            <v>01/14 D/W Sent</v>
          </cell>
          <cell r="N36" t="str">
            <v>NA</v>
          </cell>
          <cell r="O36" t="str">
            <v>604776740056</v>
          </cell>
          <cell r="P36">
            <v>16000</v>
          </cell>
          <cell r="Q36">
            <v>4823</v>
          </cell>
          <cell r="R36" t="str">
            <v>complete</v>
          </cell>
          <cell r="S36"/>
          <cell r="T36"/>
          <cell r="U36"/>
          <cell r="V36"/>
          <cell r="W36"/>
          <cell r="X36" t="str">
            <v>Approved</v>
          </cell>
        </row>
        <row r="37">
          <cell r="A37">
            <v>45897</v>
          </cell>
          <cell r="B37" t="str">
            <v>Morocco</v>
          </cell>
          <cell r="C37" t="str">
            <v>A4518</v>
          </cell>
          <cell r="D37"/>
          <cell r="F37"/>
          <cell r="G37" t="str">
            <v>MFSPLS-120-FD</v>
          </cell>
          <cell r="H37">
            <v>1</v>
          </cell>
          <cell r="I37" t="str">
            <v>F30-25.1</v>
          </cell>
          <cell r="J37">
            <v>1</v>
          </cell>
          <cell r="L37" t="str">
            <v>D/W Sent</v>
          </cell>
          <cell r="M37"/>
          <cell r="N37" t="str">
            <v>NA</v>
          </cell>
          <cell r="O37">
            <v>609788968344</v>
          </cell>
          <cell r="P37"/>
          <cell r="Q37"/>
          <cell r="R37"/>
          <cell r="S37"/>
          <cell r="T37"/>
          <cell r="U37"/>
          <cell r="V37"/>
          <cell r="W37"/>
          <cell r="X37"/>
        </row>
        <row r="38">
          <cell r="A38">
            <v>46063</v>
          </cell>
          <cell r="B38" t="str">
            <v>Jordan</v>
          </cell>
          <cell r="C38" t="str">
            <v>A4646</v>
          </cell>
          <cell r="D38" t="str">
            <v>6/1/2026: Products arriving to AMS warehouse on 6/4/2026.</v>
          </cell>
          <cell r="F38"/>
          <cell r="G38" t="str">
            <v xml:space="preserve">FIBRO-10-CS-JO  </v>
          </cell>
          <cell r="H38">
            <v>420</v>
          </cell>
          <cell r="I38" t="str">
            <v>JO130-25.0</v>
          </cell>
          <cell r="J38">
            <v>0</v>
          </cell>
          <cell r="L38" t="str">
            <v>Available</v>
          </cell>
          <cell r="M38" t="str">
            <v>Receiving process</v>
          </cell>
          <cell r="N38" t="str">
            <v>NA</v>
          </cell>
          <cell r="O38" t="str">
            <v>SAMPLE</v>
          </cell>
          <cell r="P38">
            <v>432</v>
          </cell>
          <cell r="Q38">
            <v>5012</v>
          </cell>
          <cell r="R38" t="str">
            <v>complete</v>
          </cell>
          <cell r="S38" t="str">
            <v>Pending D/W from vendor</v>
          </cell>
          <cell r="T38"/>
          <cell r="U38"/>
          <cell r="V38"/>
          <cell r="W38"/>
          <cell r="X38" t="str">
            <v>HOLD</v>
          </cell>
        </row>
        <row r="39">
          <cell r="A39">
            <v>46063</v>
          </cell>
          <cell r="B39" t="str">
            <v>Jordan</v>
          </cell>
          <cell r="C39" t="str">
            <v>A4646</v>
          </cell>
          <cell r="D39"/>
          <cell r="F39"/>
          <cell r="G39" t="str">
            <v>WFSPLS-30-CS-JO</v>
          </cell>
          <cell r="H39">
            <v>345</v>
          </cell>
          <cell r="I39" t="str">
            <v>JO132-25.1</v>
          </cell>
          <cell r="J39">
            <v>0</v>
          </cell>
          <cell r="L39" t="str">
            <v>Available</v>
          </cell>
          <cell r="M39" t="str">
            <v>Receiving process</v>
          </cell>
          <cell r="N39" t="str">
            <v>NA</v>
          </cell>
          <cell r="O39" t="str">
            <v>SAMPLE</v>
          </cell>
          <cell r="P39">
            <v>352</v>
          </cell>
          <cell r="Q39">
            <v>5016</v>
          </cell>
          <cell r="R39" t="str">
            <v>Complete</v>
          </cell>
          <cell r="S39"/>
          <cell r="T39"/>
          <cell r="U39"/>
          <cell r="V39"/>
          <cell r="W39"/>
          <cell r="X39"/>
        </row>
        <row r="40">
          <cell r="A40">
            <v>46063</v>
          </cell>
          <cell r="B40" t="str">
            <v>Jordan</v>
          </cell>
          <cell r="C40" t="str">
            <v>A4646</v>
          </cell>
          <cell r="D40"/>
          <cell r="F40"/>
          <cell r="G40" t="str">
            <v>OVAMAX-20-CS-JO</v>
          </cell>
          <cell r="H40">
            <v>300</v>
          </cell>
          <cell r="I40" t="str">
            <v>JO131-25.0</v>
          </cell>
          <cell r="J40">
            <v>0</v>
          </cell>
          <cell r="L40" t="str">
            <v>Available</v>
          </cell>
          <cell r="M40" t="str">
            <v>Receiving process</v>
          </cell>
          <cell r="N40" t="str">
            <v>NA</v>
          </cell>
          <cell r="O40" t="str">
            <v>SAMPLE</v>
          </cell>
          <cell r="P40">
            <v>300</v>
          </cell>
          <cell r="Q40">
            <v>5017</v>
          </cell>
          <cell r="R40" t="str">
            <v>complete</v>
          </cell>
          <cell r="S40"/>
          <cell r="T40"/>
          <cell r="U40"/>
          <cell r="V40"/>
          <cell r="W40"/>
          <cell r="X40"/>
        </row>
        <row r="41">
          <cell r="A41">
            <v>46063</v>
          </cell>
          <cell r="B41" t="str">
            <v>Jordan</v>
          </cell>
          <cell r="C41" t="str">
            <v>A4646</v>
          </cell>
          <cell r="D41"/>
          <cell r="F41"/>
          <cell r="G41" t="str">
            <v>DHEA50-5-CS-JO</v>
          </cell>
          <cell r="H41">
            <v>300</v>
          </cell>
          <cell r="I41" t="str">
            <v>JO133-25.0</v>
          </cell>
          <cell r="J41">
            <v>0</v>
          </cell>
          <cell r="L41" t="str">
            <v>Available</v>
          </cell>
          <cell r="M41" t="str">
            <v>Receiving process</v>
          </cell>
          <cell r="N41" t="str">
            <v>NA</v>
          </cell>
          <cell r="O41" t="str">
            <v>SAMPLE</v>
          </cell>
          <cell r="P41">
            <v>300</v>
          </cell>
          <cell r="Q41">
            <v>5018</v>
          </cell>
          <cell r="R41" t="str">
            <v>complete</v>
          </cell>
          <cell r="S41"/>
          <cell r="T41"/>
          <cell r="U41"/>
          <cell r="V41"/>
          <cell r="W41"/>
          <cell r="X41"/>
        </row>
        <row r="42">
          <cell r="A42">
            <v>45947</v>
          </cell>
          <cell r="B42" t="str">
            <v>Morocco</v>
          </cell>
          <cell r="C42" t="str">
            <v>A4518</v>
          </cell>
          <cell r="D42"/>
          <cell r="F42" t="str">
            <v>10/17/2025: Added to order</v>
          </cell>
          <cell r="G42" t="str">
            <v>NMNH-60-FD</v>
          </cell>
          <cell r="H42">
            <v>3</v>
          </cell>
          <cell r="I42" t="str">
            <v>F114-25.0</v>
          </cell>
          <cell r="J42">
            <v>3</v>
          </cell>
          <cell r="L42"/>
          <cell r="M42"/>
          <cell r="N42" t="str">
            <v>Y</v>
          </cell>
          <cell r="O42" t="str">
            <v>810131192990</v>
          </cell>
          <cell r="P42"/>
          <cell r="Q42"/>
          <cell r="R42"/>
          <cell r="S42"/>
          <cell r="T42"/>
          <cell r="U42"/>
          <cell r="V42"/>
          <cell r="W42"/>
          <cell r="X42"/>
        </row>
        <row r="43">
          <cell r="A43">
            <v>45919</v>
          </cell>
          <cell r="B43" t="str">
            <v>Ethiopia</v>
          </cell>
          <cell r="C43" t="str">
            <v>A4591</v>
          </cell>
          <cell r="D43" t="str">
            <v> 12/23/2025</v>
          </cell>
          <cell r="F43" t="str">
            <v>11/26/2025: Moved 817 bottles from A4532
5/21/2026: Allocating 817 pcs to Egypt A4683.</v>
          </cell>
          <cell r="G43" t="str">
            <v>MFSPLS-120-FD</v>
          </cell>
          <cell r="H43">
            <v>817</v>
          </cell>
          <cell r="I43" t="str">
            <v>F30-25.1</v>
          </cell>
          <cell r="J43">
            <v>817</v>
          </cell>
          <cell r="L43" t="str">
            <v>In Production</v>
          </cell>
          <cell r="M43"/>
          <cell r="N43" t="str">
            <v>NA</v>
          </cell>
          <cell r="O43">
            <v>609788968344</v>
          </cell>
          <cell r="P43">
            <v>9195</v>
          </cell>
          <cell r="Q43">
            <v>5032</v>
          </cell>
          <cell r="R43">
            <v>46211</v>
          </cell>
          <cell r="S43"/>
          <cell r="T43" t="str">
            <v> </v>
          </cell>
          <cell r="U43" t="str">
            <v> </v>
          </cell>
          <cell r="V43"/>
          <cell r="W43" t="str">
            <v> </v>
          </cell>
          <cell r="X43" t="str">
            <v>HOLD</v>
          </cell>
        </row>
        <row r="44">
          <cell r="A44">
            <v>45919</v>
          </cell>
          <cell r="B44" t="str">
            <v>Ethiopia</v>
          </cell>
          <cell r="C44" t="str">
            <v>A4591</v>
          </cell>
          <cell r="D44" t="str">
            <v> </v>
          </cell>
          <cell r="F44" t="str">
            <v>11/26/2025: Moved 77 bottles from A4532</v>
          </cell>
          <cell r="G44" t="str">
            <v>WFSPLS-180-FD</v>
          </cell>
          <cell r="H44">
            <v>77</v>
          </cell>
          <cell r="I44" t="str">
            <v>F73-23.0</v>
          </cell>
          <cell r="J44">
            <v>77</v>
          </cell>
          <cell r="L44" t="str">
            <v>Picked</v>
          </cell>
          <cell r="M44" t="str">
            <v>D/W sent on 12/22/25</v>
          </cell>
          <cell r="N44" t="str">
            <v>NA</v>
          </cell>
          <cell r="O44">
            <v>609788968351</v>
          </cell>
          <cell r="P44">
            <v>9000</v>
          </cell>
          <cell r="Q44">
            <v>4845</v>
          </cell>
          <cell r="R44" t="str">
            <v>complete</v>
          </cell>
          <cell r="S44"/>
          <cell r="T44" t="str">
            <v> </v>
          </cell>
          <cell r="U44" t="str">
            <v> </v>
          </cell>
          <cell r="V44"/>
          <cell r="W44" t="str">
            <v> </v>
          </cell>
          <cell r="X44"/>
        </row>
        <row r="45">
          <cell r="A45">
            <v>45919</v>
          </cell>
          <cell r="B45" t="str">
            <v>Ethiopia</v>
          </cell>
          <cell r="C45" t="str">
            <v>A4591</v>
          </cell>
          <cell r="D45" t="str">
            <v> </v>
          </cell>
          <cell r="F45" t="str">
            <v>11/26/2025: Moved 480 bottles from A4532</v>
          </cell>
          <cell r="G45" t="str">
            <v>OVAMAX-120-FD</v>
          </cell>
          <cell r="H45">
            <v>480</v>
          </cell>
          <cell r="I45" t="str">
            <v>F41-25.0</v>
          </cell>
          <cell r="J45">
            <v>0</v>
          </cell>
          <cell r="L45" t="str">
            <v>Picked</v>
          </cell>
          <cell r="M45"/>
          <cell r="N45" t="str">
            <v>NA</v>
          </cell>
          <cell r="O45">
            <v>609788968399</v>
          </cell>
          <cell r="P45"/>
          <cell r="Q45"/>
          <cell r="R45"/>
          <cell r="S45"/>
          <cell r="T45"/>
          <cell r="U45" t="str">
            <v> </v>
          </cell>
          <cell r="V45"/>
          <cell r="W45" t="str">
            <v> </v>
          </cell>
          <cell r="X45"/>
        </row>
        <row r="46">
          <cell r="A46">
            <v>45919</v>
          </cell>
          <cell r="B46" t="str">
            <v>Ethiopia</v>
          </cell>
          <cell r="C46" t="str">
            <v>A4591</v>
          </cell>
          <cell r="D46" t="str">
            <v> </v>
          </cell>
          <cell r="F46" t="str">
            <v>11/26/2025: Moved 720 bottles from A4532
6/1/2026: Allocating 528 bottles to Cyprus A4676.</v>
          </cell>
          <cell r="G46" t="str">
            <v>FERTMX-90-RE</v>
          </cell>
          <cell r="H46">
            <v>528</v>
          </cell>
          <cell r="I46" t="str">
            <v>R16-22.0</v>
          </cell>
          <cell r="J46">
            <v>528</v>
          </cell>
          <cell r="L46" t="str">
            <v>PO submitted</v>
          </cell>
          <cell r="M46"/>
          <cell r="N46" t="str">
            <v>Y</v>
          </cell>
          <cell r="O46">
            <v>609788968726</v>
          </cell>
          <cell r="P46">
            <v>5000</v>
          </cell>
          <cell r="Q46">
            <v>5041</v>
          </cell>
          <cell r="R46" t="str">
            <v>TBD</v>
          </cell>
          <cell r="S46" t="str">
            <v>Waiting for vendor confirmation.</v>
          </cell>
          <cell r="T46" t="str">
            <v> </v>
          </cell>
          <cell r="U46" t="str">
            <v> </v>
          </cell>
          <cell r="V46"/>
          <cell r="W46" t="str">
            <v> </v>
          </cell>
          <cell r="X46"/>
        </row>
        <row r="47">
          <cell r="A47">
            <v>45919</v>
          </cell>
          <cell r="B47" t="str">
            <v>Ethiopia</v>
          </cell>
          <cell r="C47" t="str">
            <v>A4591</v>
          </cell>
          <cell r="D47"/>
          <cell r="F47"/>
          <cell r="G47" t="str">
            <v>FERTMX-90-RE</v>
          </cell>
          <cell r="H47">
            <v>192</v>
          </cell>
          <cell r="I47" t="str">
            <v>R16-22.0</v>
          </cell>
          <cell r="J47">
            <v>192</v>
          </cell>
          <cell r="L47" t="str">
            <v>Picked</v>
          </cell>
          <cell r="M47"/>
          <cell r="N47" t="str">
            <v>Y</v>
          </cell>
          <cell r="O47">
            <v>609788968726</v>
          </cell>
          <cell r="P47"/>
          <cell r="Q47"/>
          <cell r="R47"/>
          <cell r="S47"/>
          <cell r="T47"/>
          <cell r="U47"/>
          <cell r="V47"/>
          <cell r="W47"/>
          <cell r="X47"/>
        </row>
        <row r="48">
          <cell r="A48">
            <v>45919</v>
          </cell>
          <cell r="B48" t="str">
            <v>Ethiopia</v>
          </cell>
          <cell r="C48" t="str">
            <v>A4591</v>
          </cell>
          <cell r="D48"/>
          <cell r="F48" t="str">
            <v>11/26/2025: Moved 120 bottles from A4532
5/21/2026: Allocating 120 packs to Somalia A4686</v>
          </cell>
          <cell r="G48" t="str">
            <v>DHEA50-60-FD</v>
          </cell>
          <cell r="H48">
            <v>120</v>
          </cell>
          <cell r="I48" t="str">
            <v>F14-25.2</v>
          </cell>
          <cell r="J48">
            <v>120</v>
          </cell>
          <cell r="L48" t="str">
            <v>In Production</v>
          </cell>
          <cell r="M48"/>
          <cell r="N48" t="str">
            <v>NA</v>
          </cell>
          <cell r="O48">
            <v>609788968221</v>
          </cell>
          <cell r="P48">
            <v>7000</v>
          </cell>
          <cell r="Q48">
            <v>5027</v>
          </cell>
          <cell r="R48">
            <v>46201</v>
          </cell>
          <cell r="S48"/>
          <cell r="T48" t="str">
            <v> </v>
          </cell>
          <cell r="U48" t="str">
            <v> </v>
          </cell>
          <cell r="V48"/>
          <cell r="W48" t="str">
            <v> </v>
          </cell>
          <cell r="X48"/>
        </row>
        <row r="49">
          <cell r="A49">
            <v>45919</v>
          </cell>
          <cell r="B49" t="str">
            <v>Ethiopia</v>
          </cell>
          <cell r="C49" t="str">
            <v>A4591</v>
          </cell>
          <cell r="D49" t="str">
            <v> </v>
          </cell>
          <cell r="F49" t="str">
            <v>11/26/2025: Moved 205 bottles from A4532</v>
          </cell>
          <cell r="G49" t="str">
            <v>PENAMAX-60-GE-FD</v>
          </cell>
          <cell r="H49">
            <v>205</v>
          </cell>
          <cell r="I49" t="str">
            <v>F88-25.1</v>
          </cell>
          <cell r="J49">
            <v>205</v>
          </cell>
          <cell r="L49" t="str">
            <v>Picked</v>
          </cell>
          <cell r="M49"/>
          <cell r="N49" t="str">
            <v>Y</v>
          </cell>
          <cell r="O49">
            <v>609788968702</v>
          </cell>
          <cell r="P49" t="str">
            <v> </v>
          </cell>
          <cell r="Q49" t="str">
            <v> </v>
          </cell>
          <cell r="R49" t="str">
            <v> </v>
          </cell>
          <cell r="S49" t="str">
            <v> </v>
          </cell>
          <cell r="T49" t="str">
            <v> </v>
          </cell>
          <cell r="U49" t="str">
            <v> </v>
          </cell>
          <cell r="V49"/>
          <cell r="W49" t="str">
            <v> </v>
          </cell>
          <cell r="X49"/>
        </row>
        <row r="50">
          <cell r="A50">
            <v>45919</v>
          </cell>
          <cell r="B50" t="str">
            <v>Ethiopia</v>
          </cell>
          <cell r="C50" t="str">
            <v>A4591</v>
          </cell>
          <cell r="D50" t="str">
            <v> </v>
          </cell>
          <cell r="F50" t="str">
            <v>11/26/2025: Moved 245 bottles from A4532
5/14/2026: allocating 245 packs to Egypt A4683</v>
          </cell>
          <cell r="G50" t="str">
            <v>PRECON-180-FD</v>
          </cell>
          <cell r="H50">
            <v>245</v>
          </cell>
          <cell r="I50" t="str">
            <v>F55-22.2</v>
          </cell>
          <cell r="J50">
            <v>245</v>
          </cell>
          <cell r="L50" t="str">
            <v>In Production</v>
          </cell>
          <cell r="M50"/>
          <cell r="N50" t="str">
            <v>NA</v>
          </cell>
          <cell r="O50">
            <v>609788968375</v>
          </cell>
          <cell r="P50">
            <v>5000</v>
          </cell>
          <cell r="Q50">
            <v>5060</v>
          </cell>
          <cell r="R50">
            <v>46205</v>
          </cell>
          <cell r="S50"/>
          <cell r="T50" t="str">
            <v> </v>
          </cell>
          <cell r="U50" t="str">
            <v> </v>
          </cell>
          <cell r="V50"/>
          <cell r="W50" t="str">
            <v> </v>
          </cell>
          <cell r="X50"/>
        </row>
        <row r="51">
          <cell r="A51">
            <v>45919</v>
          </cell>
          <cell r="B51" t="str">
            <v>Ethiopia</v>
          </cell>
          <cell r="C51" t="str">
            <v>A4591</v>
          </cell>
          <cell r="D51"/>
          <cell r="F51" t="str">
            <v>11/26/2025: Moved 484 bottles from A4532</v>
          </cell>
          <cell r="G51" t="str">
            <v>QWELL4-30-SG-FD</v>
          </cell>
          <cell r="H51">
            <v>484</v>
          </cell>
          <cell r="I51" t="str">
            <v>F58-25.3</v>
          </cell>
          <cell r="J51">
            <v>484</v>
          </cell>
          <cell r="L51" t="str">
            <v>Picked</v>
          </cell>
          <cell r="M51"/>
          <cell r="N51" t="str">
            <v>NA</v>
          </cell>
          <cell r="O51" t="str">
            <v>609788968214</v>
          </cell>
          <cell r="P51">
            <v>17633</v>
          </cell>
          <cell r="Q51">
            <v>4858</v>
          </cell>
          <cell r="R51" t="str">
            <v>complete</v>
          </cell>
          <cell r="S51"/>
          <cell r="T51" t="str">
            <v> </v>
          </cell>
          <cell r="U51" t="str">
            <v> </v>
          </cell>
          <cell r="V51"/>
          <cell r="W51" t="str">
            <v> </v>
          </cell>
          <cell r="X51"/>
        </row>
        <row r="52">
          <cell r="A52">
            <v>45958</v>
          </cell>
          <cell r="B52" t="str">
            <v>Ethiopia</v>
          </cell>
          <cell r="C52" t="str">
            <v>A4591</v>
          </cell>
          <cell r="D52"/>
          <cell r="F52" t="str">
            <v>11/26/2025: Moved 34 bottles from A4519</v>
          </cell>
          <cell r="G52" t="str">
            <v>MOTILMX-60-FD</v>
          </cell>
          <cell r="H52">
            <v>34</v>
          </cell>
          <cell r="I52" t="str">
            <v>F31-23.0</v>
          </cell>
          <cell r="J52">
            <v>34</v>
          </cell>
          <cell r="L52" t="str">
            <v>Picked</v>
          </cell>
          <cell r="M52"/>
          <cell r="N52" t="str">
            <v>NA</v>
          </cell>
          <cell r="O52">
            <v>609788968191</v>
          </cell>
          <cell r="P52"/>
          <cell r="Q52"/>
          <cell r="R52"/>
          <cell r="S52"/>
          <cell r="T52"/>
          <cell r="U52"/>
          <cell r="V52"/>
          <cell r="W52"/>
          <cell r="X52"/>
        </row>
        <row r="53">
          <cell r="A53">
            <v>45919</v>
          </cell>
          <cell r="B53"/>
          <cell r="C53" t="str">
            <v>A4591</v>
          </cell>
          <cell r="D53" t="str">
            <v> </v>
          </cell>
          <cell r="F53" t="str">
            <v>11/26/2025: Moved 480 bottles from A4532</v>
          </cell>
          <cell r="G53" t="str">
            <v>OVAMAX-120-FD</v>
          </cell>
          <cell r="H53">
            <v>480</v>
          </cell>
          <cell r="I53"/>
          <cell r="J53">
            <v>480</v>
          </cell>
          <cell r="L53" t="str">
            <v>D/W Sent</v>
          </cell>
          <cell r="M53"/>
          <cell r="N53" t="str">
            <v>NA</v>
          </cell>
          <cell r="O53">
            <v>609788968399</v>
          </cell>
          <cell r="P53">
            <v>16000</v>
          </cell>
          <cell r="Q53">
            <v>4823</v>
          </cell>
          <cell r="R53" t="str">
            <v>complete</v>
          </cell>
          <cell r="S53" t="str">
            <v> </v>
          </cell>
          <cell r="T53" t="str">
            <v> </v>
          </cell>
          <cell r="U53" t="str">
            <v> </v>
          </cell>
          <cell r="V53"/>
          <cell r="W53" t="str">
            <v> </v>
          </cell>
          <cell r="X53"/>
        </row>
        <row r="54">
          <cell r="A54">
            <v>45923</v>
          </cell>
          <cell r="B54" t="str">
            <v>Uganda</v>
          </cell>
          <cell r="C54" t="str">
            <v>A4534</v>
          </cell>
          <cell r="D54"/>
          <cell r="F54" t="str">
            <v>03/10/26 Product allocated to Somalia A4655</v>
          </cell>
          <cell r="G54" t="str">
            <v>MFSPLS-120-FD</v>
          </cell>
          <cell r="H54">
            <v>240</v>
          </cell>
          <cell r="I54" t="str">
            <v>F30-25.1</v>
          </cell>
          <cell r="J54">
            <v>0</v>
          </cell>
          <cell r="L54" t="str">
            <v>PO submitted</v>
          </cell>
          <cell r="M54"/>
          <cell r="N54" t="str">
            <v>NA</v>
          </cell>
          <cell r="O54">
            <v>609788968344</v>
          </cell>
          <cell r="P54" t="str">
            <v>300000bulk</v>
          </cell>
          <cell r="Q54">
            <v>5064</v>
          </cell>
          <cell r="R54" t="str">
            <v>TBD</v>
          </cell>
          <cell r="S54" t="str">
            <v>Bulk PO submitted, pending ETA from vendor</v>
          </cell>
          <cell r="T54"/>
          <cell r="U54"/>
          <cell r="V54"/>
          <cell r="W54"/>
          <cell r="X54" t="str">
            <v>HOLD</v>
          </cell>
        </row>
        <row r="55">
          <cell r="A55">
            <v>45923</v>
          </cell>
          <cell r="B55" t="str">
            <v>Uganda</v>
          </cell>
          <cell r="C55" t="str">
            <v>A4534</v>
          </cell>
          <cell r="D55"/>
          <cell r="F55"/>
          <cell r="G55" t="str">
            <v>PRECON-90-FD</v>
          </cell>
          <cell r="H55">
            <v>72</v>
          </cell>
          <cell r="I55" t="str">
            <v>F54-23.0</v>
          </cell>
          <cell r="J55">
            <v>72</v>
          </cell>
          <cell r="L55" t="str">
            <v>Picked</v>
          </cell>
          <cell r="M55"/>
          <cell r="N55" t="str">
            <v>NA</v>
          </cell>
          <cell r="O55">
            <v>609788968368</v>
          </cell>
          <cell r="P55">
            <v>5000</v>
          </cell>
          <cell r="Q55">
            <v>4851</v>
          </cell>
          <cell r="R55" t="str">
            <v>complete</v>
          </cell>
          <cell r="S55"/>
          <cell r="T55"/>
          <cell r="U55"/>
          <cell r="V55"/>
          <cell r="W55"/>
          <cell r="X55"/>
        </row>
        <row r="56">
          <cell r="A56">
            <v>45919</v>
          </cell>
          <cell r="B56" t="str">
            <v>Ethiopia</v>
          </cell>
          <cell r="C56" t="str">
            <v>A4591</v>
          </cell>
          <cell r="D56" t="str">
            <v> </v>
          </cell>
          <cell r="F56" t="str">
            <v>11/26/2025: Moved 205 bottles from A4532</v>
          </cell>
          <cell r="G56" t="str">
            <v>PENAMAX-60-GE-FD</v>
          </cell>
          <cell r="H56">
            <v>205</v>
          </cell>
          <cell r="I56" t="str">
            <v>F88-25.1</v>
          </cell>
          <cell r="J56">
            <v>205</v>
          </cell>
          <cell r="L56" t="str">
            <v>D/W Sent</v>
          </cell>
          <cell r="M56"/>
          <cell r="N56" t="str">
            <v>Y</v>
          </cell>
          <cell r="O56">
            <v>609788968702</v>
          </cell>
          <cell r="P56" t="str">
            <v> </v>
          </cell>
          <cell r="Q56" t="str">
            <v> </v>
          </cell>
          <cell r="R56" t="str">
            <v> </v>
          </cell>
          <cell r="S56" t="str">
            <v> </v>
          </cell>
          <cell r="T56" t="str">
            <v> </v>
          </cell>
          <cell r="U56" t="str">
            <v> </v>
          </cell>
          <cell r="V56"/>
          <cell r="W56" t="str">
            <v> </v>
          </cell>
          <cell r="X56"/>
        </row>
        <row r="57">
          <cell r="A57">
            <v>45943</v>
          </cell>
          <cell r="B57" t="str">
            <v>Greece</v>
          </cell>
          <cell r="C57" t="str">
            <v>A4547</v>
          </cell>
          <cell r="D57" t="str">
            <v xml:space="preserve">docs approved </v>
          </cell>
          <cell r="F57" t="str">
            <v>5/26/2026: Allocating 576 packs to Cyprus A4676. Remainder (424) to be kept on order to ship Q3.</v>
          </cell>
          <cell r="G57" t="str">
            <v>MFSADV-120-CS-GR</v>
          </cell>
          <cell r="H57">
            <v>424</v>
          </cell>
          <cell r="I57" t="str">
            <v>GR87-25.0</v>
          </cell>
          <cell r="J57">
            <v>424</v>
          </cell>
          <cell r="L57" t="str">
            <v>D/W Sent</v>
          </cell>
          <cell r="M57" t="str">
            <v xml:space="preserve">5/26/2026: Revised D/W </v>
          </cell>
          <cell r="N57" t="str">
            <v>Y</v>
          </cell>
          <cell r="O57">
            <v>604776739272</v>
          </cell>
          <cell r="P57">
            <v>2110</v>
          </cell>
          <cell r="Q57">
            <v>5053</v>
          </cell>
          <cell r="R57" t="str">
            <v>complete</v>
          </cell>
          <cell r="S57"/>
          <cell r="T57"/>
          <cell r="U57"/>
          <cell r="V57"/>
          <cell r="W57"/>
          <cell r="X57" t="str">
            <v>HOLD</v>
          </cell>
        </row>
        <row r="58">
          <cell r="A58">
            <v>45919</v>
          </cell>
          <cell r="B58" t="str">
            <v>Ethiopia</v>
          </cell>
          <cell r="C58" t="str">
            <v>A4591</v>
          </cell>
          <cell r="D58"/>
          <cell r="F58" t="str">
            <v>11/26/2025: Moved 484 bottles from A4532</v>
          </cell>
          <cell r="G58" t="str">
            <v>QWELL4-30-SG-FD</v>
          </cell>
          <cell r="H58">
            <v>484</v>
          </cell>
          <cell r="I58" t="str">
            <v>F58-25.3</v>
          </cell>
          <cell r="J58">
            <v>484</v>
          </cell>
          <cell r="L58"/>
          <cell r="M58"/>
          <cell r="N58" t="str">
            <v>NA</v>
          </cell>
          <cell r="O58" t="str">
            <v>609788968214</v>
          </cell>
          <cell r="P58">
            <v>17633</v>
          </cell>
          <cell r="Q58">
            <v>4858</v>
          </cell>
          <cell r="R58" t="str">
            <v>complete</v>
          </cell>
          <cell r="S58"/>
          <cell r="T58" t="str">
            <v> </v>
          </cell>
          <cell r="U58" t="str">
            <v> </v>
          </cell>
          <cell r="V58"/>
          <cell r="W58" t="str">
            <v> </v>
          </cell>
          <cell r="X58"/>
        </row>
        <row r="59">
          <cell r="A59">
            <v>45946</v>
          </cell>
          <cell r="B59" t="str">
            <v>Sudan</v>
          </cell>
          <cell r="C59" t="str">
            <v>A4549</v>
          </cell>
          <cell r="D59" t="str">
            <v>4/8/2026: Client applying for permit
5/21/2026: Awaiting feedback if client can take available 1300 packs</v>
          </cell>
          <cell r="F59" t="str">
            <v>11/10/2025: Can only Fulfill 1620 from PO A4808 
2/4/2026: Quantity decreased from 4076 to 1476. Fulfilling out of PO A4808.
5/22/2026: QTY decreased 1476 -&gt; 1300 (176 packs moved to Sudan A4697)
1300 packs to be fufilled by available QTY (runoff from 4940)
6/1/2026: QTY increased to original amount: 176 packs added from Sudan A4711 (1300 -&gt; 1476)
to be fufilled by PO 4808</v>
          </cell>
          <cell r="G59" t="str">
            <v>COQ400-30-VE-CS-SU</v>
          </cell>
          <cell r="H59">
            <v>1476</v>
          </cell>
          <cell r="I59" t="str">
            <v>SU58-23.0</v>
          </cell>
          <cell r="J59">
            <v>1476</v>
          </cell>
          <cell r="L59" t="str">
            <v>Transit to Warehouse</v>
          </cell>
          <cell r="M59" t="str">
            <v>ETA 06/12/26</v>
          </cell>
          <cell r="N59" t="str">
            <v>NA</v>
          </cell>
          <cell r="O59">
            <v>609788968467</v>
          </cell>
          <cell r="P59">
            <v>4000</v>
          </cell>
          <cell r="Q59">
            <v>4808</v>
          </cell>
          <cell r="R59" t="str">
            <v>Complete</v>
          </cell>
          <cell r="S59" t="str">
            <v>Awaiting for vendor packing list.</v>
          </cell>
          <cell r="T59"/>
          <cell r="U59"/>
          <cell r="V59"/>
          <cell r="W59"/>
          <cell r="X59" t="str">
            <v>Approved</v>
          </cell>
        </row>
        <row r="60">
          <cell r="B60"/>
          <cell r="I60"/>
          <cell r="L60"/>
        </row>
        <row r="61">
          <cell r="A61">
            <v>45961</v>
          </cell>
          <cell r="B61" t="str">
            <v>China</v>
          </cell>
          <cell r="C61" t="str">
            <v>A4561</v>
          </cell>
          <cell r="D61"/>
          <cell r="F61" t="str">
            <v xml:space="preserve">11/5/2025: Sku confirmed </v>
          </cell>
          <cell r="G61" t="str">
            <v>ZINC25-60-FD</v>
          </cell>
          <cell r="H61">
            <v>240</v>
          </cell>
          <cell r="I61" t="str">
            <v>F78-22.0</v>
          </cell>
          <cell r="J61">
            <v>240</v>
          </cell>
          <cell r="L61" t="str">
            <v>D/W Sent</v>
          </cell>
          <cell r="M61" t="str">
            <v>12//25/25</v>
          </cell>
          <cell r="N61" t="str">
            <v>NA</v>
          </cell>
          <cell r="O61" t="str">
            <v>609788968245</v>
          </cell>
          <cell r="P61"/>
          <cell r="Q61"/>
          <cell r="R61"/>
          <cell r="S61"/>
          <cell r="T61"/>
          <cell r="U61"/>
          <cell r="V61"/>
          <cell r="W61"/>
          <cell r="X61" t="str">
            <v>Approved</v>
          </cell>
        </row>
        <row r="62">
          <cell r="A62">
            <v>45923</v>
          </cell>
          <cell r="B62" t="str">
            <v>Uganda</v>
          </cell>
          <cell r="C62" t="str">
            <v>A4534</v>
          </cell>
          <cell r="D62"/>
          <cell r="F62"/>
          <cell r="G62" t="str">
            <v>PRECON-90-FD</v>
          </cell>
          <cell r="H62">
            <v>72</v>
          </cell>
          <cell r="I62" t="str">
            <v>F54-23.0</v>
          </cell>
          <cell r="J62">
            <v>72</v>
          </cell>
          <cell r="L62"/>
          <cell r="M62"/>
          <cell r="N62" t="str">
            <v>NA</v>
          </cell>
          <cell r="O62">
            <v>609788968368</v>
          </cell>
          <cell r="P62">
            <v>5000</v>
          </cell>
          <cell r="Q62">
            <v>4851</v>
          </cell>
          <cell r="R62" t="str">
            <v>complete</v>
          </cell>
          <cell r="S62"/>
          <cell r="T62"/>
          <cell r="U62"/>
          <cell r="V62"/>
          <cell r="W62"/>
          <cell r="X62"/>
        </row>
        <row r="63">
          <cell r="A63">
            <v>45967</v>
          </cell>
          <cell r="B63" t="str">
            <v>Iraq</v>
          </cell>
          <cell r="C63" t="str">
            <v>A4567</v>
          </cell>
          <cell r="D63" t="str">
            <v>49021225
Mfg:12/2025
Exp:12/2028                                         4/28/2026: 3360 moved to Iraq A4698.</v>
          </cell>
          <cell r="F63" t="str">
            <v>NutraStar</v>
          </cell>
          <cell r="G63" t="str">
            <v>ADVTH-60-FD</v>
          </cell>
          <cell r="H63">
            <v>3240</v>
          </cell>
          <cell r="I63" t="str">
            <v>F01-22.2</v>
          </cell>
          <cell r="J63">
            <v>3240</v>
          </cell>
          <cell r="L63" t="str">
            <v>ON HOLD</v>
          </cell>
          <cell r="M63"/>
          <cell r="N63" t="str">
            <v>NA</v>
          </cell>
          <cell r="O63" t="str">
            <v>609788968894</v>
          </cell>
          <cell r="P63">
            <v>8600</v>
          </cell>
          <cell r="Q63">
            <v>4902</v>
          </cell>
          <cell r="R63" t="str">
            <v>complete</v>
          </cell>
          <cell r="S63"/>
          <cell r="T63"/>
          <cell r="U63"/>
          <cell r="V63"/>
          <cell r="W63"/>
          <cell r="X63" t="str">
            <v>Approved</v>
          </cell>
        </row>
        <row r="64">
          <cell r="A64">
            <v>45967</v>
          </cell>
          <cell r="B64" t="str">
            <v>Iraq</v>
          </cell>
          <cell r="C64" t="str">
            <v>A4567</v>
          </cell>
          <cell r="D64" t="str">
            <v>49031225
Mfg:12/2025
Exp:12/2028                                                2/16/2026: Qty increased 11750 -&gt; 11760                                      5/15/2026: 4800 moved to Iraq A4704</v>
          </cell>
          <cell r="F64" t="str">
            <v>NutraStar</v>
          </cell>
          <cell r="G64" t="str">
            <v>COLLA-60-FD</v>
          </cell>
          <cell r="H64">
            <v>6960</v>
          </cell>
          <cell r="I64" t="str">
            <v>F11-22.1</v>
          </cell>
          <cell r="J64">
            <v>6960</v>
          </cell>
          <cell r="L64" t="str">
            <v>ON HOLD</v>
          </cell>
          <cell r="M64"/>
          <cell r="N64" t="str">
            <v>Y</v>
          </cell>
          <cell r="O64" t="str">
            <v>609788968825</v>
          </cell>
          <cell r="P64">
            <v>15300</v>
          </cell>
          <cell r="Q64">
            <v>4903</v>
          </cell>
          <cell r="R64" t="str">
            <v>complete</v>
          </cell>
          <cell r="S64"/>
          <cell r="T64"/>
          <cell r="U64"/>
          <cell r="V64"/>
          <cell r="W64"/>
          <cell r="X64"/>
        </row>
        <row r="65">
          <cell r="A65">
            <v>45967</v>
          </cell>
          <cell r="B65" t="str">
            <v>Iraq</v>
          </cell>
          <cell r="C65" t="str">
            <v>A4567</v>
          </cell>
          <cell r="D65" t="str">
            <v>49061225
Mfg:12/2025
Exp:12/2028</v>
          </cell>
          <cell r="F65" t="str">
            <v>Nutrastar</v>
          </cell>
          <cell r="G65" t="str">
            <v>METRIO-60-CS-IQ</v>
          </cell>
          <cell r="H65">
            <v>3000</v>
          </cell>
          <cell r="I65" t="str">
            <v>IQ28-23.0</v>
          </cell>
          <cell r="J65">
            <v>3000</v>
          </cell>
          <cell r="L65" t="str">
            <v>ON HOLD</v>
          </cell>
          <cell r="M65"/>
          <cell r="N65" t="str">
            <v>NA</v>
          </cell>
          <cell r="O65">
            <v>604776737797</v>
          </cell>
          <cell r="P65">
            <v>4000</v>
          </cell>
          <cell r="Q65">
            <v>4906</v>
          </cell>
          <cell r="R65" t="str">
            <v>complete</v>
          </cell>
          <cell r="S65"/>
          <cell r="T65"/>
          <cell r="U65"/>
          <cell r="V65"/>
          <cell r="W65"/>
          <cell r="X65"/>
        </row>
        <row r="66">
          <cell r="A66">
            <v>45967</v>
          </cell>
          <cell r="B66" t="str">
            <v>Iraq</v>
          </cell>
          <cell r="C66" t="str">
            <v>A4567</v>
          </cell>
          <cell r="D66" t="str">
            <v>49121225
Mfg:12/2025
Exp:12/2028                                         2/16/2026: Qty increased 8500 -&gt; 8520</v>
          </cell>
          <cell r="F66" t="str">
            <v>Nutrastar</v>
          </cell>
          <cell r="G66" t="str">
            <v>PROSTA-45-RE</v>
          </cell>
          <cell r="H66">
            <v>8520</v>
          </cell>
          <cell r="I66" t="str">
            <v>R94-23.0</v>
          </cell>
          <cell r="J66">
            <v>8520</v>
          </cell>
          <cell r="L66" t="str">
            <v>ON HOLD</v>
          </cell>
          <cell r="M66"/>
          <cell r="N66" t="str">
            <v>NA</v>
          </cell>
          <cell r="O66">
            <v>604776738831</v>
          </cell>
          <cell r="P66">
            <v>11000</v>
          </cell>
          <cell r="Q66">
            <v>4912</v>
          </cell>
          <cell r="R66" t="str">
            <v>complete</v>
          </cell>
          <cell r="S66"/>
          <cell r="T66"/>
          <cell r="U66"/>
          <cell r="V66"/>
          <cell r="W66"/>
          <cell r="X66"/>
        </row>
        <row r="67">
          <cell r="A67">
            <v>45967</v>
          </cell>
          <cell r="B67" t="str">
            <v>Iraq</v>
          </cell>
          <cell r="C67" t="str">
            <v>A4567</v>
          </cell>
          <cell r="D67" t="str">
            <v>49131225
Mfg:12/2025
Exp:12/2028                                           2/16/2026: Qty increased 8000 -&gt; 8016                                       4/28/2026: 6816 moved to Iraq A4698</v>
          </cell>
          <cell r="F67" t="str">
            <v>Nutrastar</v>
          </cell>
          <cell r="G67" t="str">
            <v>SPERMCT-60-RE</v>
          </cell>
          <cell r="H67">
            <v>1200</v>
          </cell>
          <cell r="I67" t="str">
            <v>R64-23.0</v>
          </cell>
          <cell r="J67">
            <v>1200</v>
          </cell>
          <cell r="L67" t="str">
            <v>ON HOLD</v>
          </cell>
          <cell r="M67"/>
          <cell r="N67" t="str">
            <v>NA</v>
          </cell>
          <cell r="O67">
            <v>609788968405</v>
          </cell>
          <cell r="P67">
            <v>10500</v>
          </cell>
          <cell r="Q67">
            <v>4913</v>
          </cell>
          <cell r="R67" t="str">
            <v>complete</v>
          </cell>
          <cell r="S67"/>
          <cell r="T67"/>
          <cell r="U67"/>
          <cell r="V67"/>
          <cell r="W67"/>
          <cell r="X67"/>
        </row>
        <row r="68">
          <cell r="A68">
            <v>45944</v>
          </cell>
          <cell r="B68" t="str">
            <v>Jordan</v>
          </cell>
          <cell r="C68" t="str">
            <v>A4548</v>
          </cell>
          <cell r="D68"/>
          <cell r="F68" t="str">
            <v>Needs to be green capsule</v>
          </cell>
          <cell r="G68" t="str">
            <v>MFSPLS-120-CS-JO</v>
          </cell>
          <cell r="H68">
            <v>3</v>
          </cell>
          <cell r="I68" t="str">
            <v>JO30-26.0</v>
          </cell>
          <cell r="J68">
            <v>3</v>
          </cell>
          <cell r="L68" t="str">
            <v>D/W Sent</v>
          </cell>
          <cell r="M68"/>
          <cell r="N68" t="str">
            <v>NA</v>
          </cell>
          <cell r="O68">
            <v>604776740094</v>
          </cell>
          <cell r="P68"/>
          <cell r="Q68"/>
          <cell r="R68"/>
          <cell r="S68"/>
          <cell r="T68"/>
          <cell r="U68"/>
          <cell r="V68"/>
          <cell r="W68"/>
          <cell r="X68"/>
        </row>
        <row r="69">
          <cell r="A69">
            <v>45967</v>
          </cell>
          <cell r="B69" t="str">
            <v>Iraq</v>
          </cell>
          <cell r="C69" t="str">
            <v>A4632</v>
          </cell>
          <cell r="D69" t="str">
            <v>49081225
Mfg:12/2025
Exp:12/2028                                      2/16/2026: Qty increased 28297 -&gt; 28320                                  4/28/2026: 9360 moved to Iraq A4698</v>
          </cell>
          <cell r="F69" t="str">
            <v xml:space="preserve">Nutrastar  </v>
          </cell>
          <cell r="G69" t="str">
            <v>OVAMAX-60-CS-IQ</v>
          </cell>
          <cell r="H69">
            <v>18960</v>
          </cell>
          <cell r="I69" t="str">
            <v>IQ97-25.0</v>
          </cell>
          <cell r="J69">
            <v>18960</v>
          </cell>
          <cell r="L69" t="str">
            <v>ON HOLD</v>
          </cell>
          <cell r="M69"/>
          <cell r="N69" t="str">
            <v>NA</v>
          </cell>
          <cell r="O69">
            <v>604776738060</v>
          </cell>
          <cell r="P69">
            <v>37000</v>
          </cell>
          <cell r="Q69">
            <v>4908</v>
          </cell>
          <cell r="R69" t="str">
            <v>Complete</v>
          </cell>
          <cell r="S69"/>
          <cell r="T69"/>
          <cell r="U69"/>
          <cell r="V69"/>
          <cell r="W69"/>
          <cell r="X69" t="str">
            <v>HOLD</v>
          </cell>
        </row>
        <row r="70">
          <cell r="A70">
            <v>45967</v>
          </cell>
          <cell r="B70" t="str">
            <v>Iraq</v>
          </cell>
          <cell r="C70" t="str">
            <v>A4632</v>
          </cell>
          <cell r="D70" t="str">
            <v>49091225
Mfg:12/2025
Exp:12/2028                                    4/28/2026: 15120 moved to Iraq A4698                                     5/15/2026: 5208 moved to Iraq A4704</v>
          </cell>
          <cell r="F70" t="str">
            <v>Nutrastar</v>
          </cell>
          <cell r="G70" t="str">
            <v>PEARLY-60-CS-IQ</v>
          </cell>
          <cell r="H70">
            <v>24672</v>
          </cell>
          <cell r="I70" t="str">
            <v>IQ42-23.0</v>
          </cell>
          <cell r="J70">
            <v>24672</v>
          </cell>
          <cell r="L70" t="str">
            <v>ON HOLD</v>
          </cell>
          <cell r="M70"/>
          <cell r="N70" t="str">
            <v>Y</v>
          </cell>
          <cell r="O70">
            <v>604776737803</v>
          </cell>
          <cell r="P70">
            <v>58500</v>
          </cell>
          <cell r="Q70">
            <v>4909</v>
          </cell>
          <cell r="R70" t="str">
            <v>Complete</v>
          </cell>
          <cell r="S70"/>
          <cell r="T70"/>
          <cell r="U70"/>
          <cell r="V70"/>
          <cell r="W70"/>
          <cell r="X70"/>
        </row>
        <row r="71">
          <cell r="A71">
            <v>45944</v>
          </cell>
          <cell r="B71" t="str">
            <v>Jordan</v>
          </cell>
          <cell r="C71" t="str">
            <v>A4548</v>
          </cell>
          <cell r="D71"/>
          <cell r="F71" t="str">
            <v xml:space="preserve">Needs to be green capsule </v>
          </cell>
          <cell r="G71" t="str">
            <v>PRECON-180-CS-JO</v>
          </cell>
          <cell r="H71">
            <v>3</v>
          </cell>
          <cell r="I71" t="str">
            <v>JO55-26.0</v>
          </cell>
          <cell r="J71">
            <v>3</v>
          </cell>
          <cell r="L71" t="str">
            <v>D/W Sent</v>
          </cell>
          <cell r="M71"/>
          <cell r="N71" t="str">
            <v>NA</v>
          </cell>
          <cell r="O71">
            <v>604776740124</v>
          </cell>
          <cell r="P71"/>
          <cell r="Q71"/>
          <cell r="R71"/>
          <cell r="S71"/>
          <cell r="T71"/>
          <cell r="U71"/>
          <cell r="V71"/>
          <cell r="W71"/>
          <cell r="X71"/>
        </row>
        <row r="72">
          <cell r="A72">
            <v>45967</v>
          </cell>
          <cell r="B72" t="str">
            <v>Iraq</v>
          </cell>
          <cell r="C72" t="str">
            <v>A4633</v>
          </cell>
          <cell r="D72" t="str">
            <v>49071225
Mfg:12/2025
Exp:12/2028                                       4/28/2026: 15360 moved to Iraq A4698                                         5/15/2026: 5280 moved to Iraq A4704</v>
          </cell>
          <cell r="F72" t="str">
            <v>Nutrastar                                   6/4/2026: Qty adjusted to 8880 after reviewing Pallets.</v>
          </cell>
          <cell r="G72" t="str">
            <v>MFSPLS-60-RE</v>
          </cell>
          <cell r="H72">
            <v>8880</v>
          </cell>
          <cell r="I72" t="str">
            <v>R29-24.0</v>
          </cell>
          <cell r="J72">
            <v>8880</v>
          </cell>
          <cell r="L72" t="str">
            <v>ON HOLD</v>
          </cell>
          <cell r="M72"/>
          <cell r="N72" t="str">
            <v>NA</v>
          </cell>
          <cell r="O72">
            <v>609788968092</v>
          </cell>
          <cell r="P72">
            <v>39000</v>
          </cell>
          <cell r="Q72">
            <v>4907</v>
          </cell>
          <cell r="R72" t="str">
            <v>Complete</v>
          </cell>
          <cell r="S72"/>
          <cell r="T72"/>
          <cell r="U72"/>
          <cell r="V72"/>
          <cell r="W72"/>
          <cell r="X72" t="str">
            <v>HOLD</v>
          </cell>
        </row>
        <row r="73">
          <cell r="A73">
            <v>45763</v>
          </cell>
          <cell r="B73" t="str">
            <v>Iraq</v>
          </cell>
          <cell r="C73" t="str">
            <v>A4633</v>
          </cell>
          <cell r="D73"/>
          <cell r="F73" t="str">
            <v xml:space="preserve">  8/18/2025: 30,000 packs moved from A4475 
9/30/2025: Moved from Iraq A4442 
1/22/2026: Moved from Iraq A4541</v>
          </cell>
          <cell r="G73" t="str">
            <v>MOTILMX-60-CS-IQ</v>
          </cell>
          <cell r="H73">
            <v>30000</v>
          </cell>
          <cell r="I73" t="str">
            <v>IQ31-23.0</v>
          </cell>
          <cell r="J73">
            <v>30000</v>
          </cell>
          <cell r="L73" t="str">
            <v>ON HOLD</v>
          </cell>
          <cell r="M73"/>
          <cell r="N73" t="str">
            <v>NA</v>
          </cell>
          <cell r="O73">
            <v>604776737681</v>
          </cell>
          <cell r="P73">
            <v>30000</v>
          </cell>
          <cell r="Q73">
            <v>4711</v>
          </cell>
          <cell r="R73" t="str">
            <v>Complete</v>
          </cell>
          <cell r="S73"/>
          <cell r="T73"/>
          <cell r="U73"/>
          <cell r="V73"/>
          <cell r="W73"/>
          <cell r="X73"/>
        </row>
        <row r="74">
          <cell r="L74"/>
        </row>
        <row r="75">
          <cell r="A75">
            <v>45967</v>
          </cell>
          <cell r="B75" t="str">
            <v>Iraq</v>
          </cell>
          <cell r="C75" t="str">
            <v>A4704</v>
          </cell>
          <cell r="D75" t="str">
            <v>49041225
Mfg:12/2025
Exp:12/2028</v>
          </cell>
          <cell r="F75" t="str">
            <v>NutraStar                                5/15/2026: From Iraq A4567.</v>
          </cell>
          <cell r="G75" t="str">
            <v>FIBRO-60-CS-IQ</v>
          </cell>
          <cell r="H75">
            <v>2808</v>
          </cell>
          <cell r="I75" t="str">
            <v>IQ17-23.0</v>
          </cell>
          <cell r="J75">
            <v>2208</v>
          </cell>
          <cell r="L75" t="str">
            <v>ON HOLD</v>
          </cell>
          <cell r="M75"/>
          <cell r="N75" t="str">
            <v>NA</v>
          </cell>
          <cell r="O75">
            <v>604776737650</v>
          </cell>
          <cell r="P75">
            <v>13000</v>
          </cell>
          <cell r="Q75">
            <v>4904</v>
          </cell>
          <cell r="R75" t="str">
            <v>complete</v>
          </cell>
          <cell r="S75"/>
          <cell r="T75"/>
          <cell r="U75"/>
          <cell r="V75"/>
          <cell r="W75"/>
          <cell r="X75"/>
        </row>
        <row r="76">
          <cell r="A76">
            <v>45967</v>
          </cell>
          <cell r="B76" t="str">
            <v>Iraq</v>
          </cell>
          <cell r="C76" t="str">
            <v>A4704</v>
          </cell>
          <cell r="D76" t="str">
            <v>49031225
Mfg:12/2025
Exp:12/2028</v>
          </cell>
          <cell r="F76" t="str">
            <v>NutraStar                             5/15/2026: From Iraq A4567.</v>
          </cell>
          <cell r="G76" t="str">
            <v>COLLA-60-FD</v>
          </cell>
          <cell r="H76">
            <v>4800</v>
          </cell>
          <cell r="I76" t="str">
            <v>F11-22.1</v>
          </cell>
          <cell r="J76">
            <v>4800</v>
          </cell>
          <cell r="L76" t="str">
            <v>ON HOLD</v>
          </cell>
          <cell r="M76"/>
          <cell r="N76" t="str">
            <v>Y</v>
          </cell>
          <cell r="O76" t="str">
            <v>609788968825</v>
          </cell>
          <cell r="P76">
            <v>15300</v>
          </cell>
          <cell r="Q76">
            <v>4903</v>
          </cell>
          <cell r="R76" t="str">
            <v>complete</v>
          </cell>
          <cell r="S76"/>
          <cell r="T76"/>
          <cell r="U76"/>
          <cell r="V76"/>
          <cell r="W76"/>
          <cell r="X76"/>
        </row>
        <row r="77">
          <cell r="A77">
            <v>45967</v>
          </cell>
          <cell r="B77" t="str">
            <v>Iraq</v>
          </cell>
          <cell r="C77" t="str">
            <v>A4704</v>
          </cell>
          <cell r="D77" t="str">
            <v>49071225
Mfg:12/2025
Exp:12/2028</v>
          </cell>
          <cell r="F77" t="str">
            <v>Nutrastar                                     5/16/2026: From Iraq A4633.</v>
          </cell>
          <cell r="G77" t="str">
            <v>MFSPLS-60-RE</v>
          </cell>
          <cell r="H77">
            <v>5280</v>
          </cell>
          <cell r="I77" t="str">
            <v>R29-24.0</v>
          </cell>
          <cell r="J77">
            <v>5280</v>
          </cell>
          <cell r="L77" t="str">
            <v>ON HOLD</v>
          </cell>
          <cell r="M77"/>
          <cell r="N77" t="str">
            <v>NA</v>
          </cell>
          <cell r="O77">
            <v>609788968092</v>
          </cell>
          <cell r="P77">
            <v>39000</v>
          </cell>
          <cell r="Q77">
            <v>4907</v>
          </cell>
          <cell r="R77" t="str">
            <v>Complete</v>
          </cell>
          <cell r="S77"/>
          <cell r="T77"/>
          <cell r="U77"/>
          <cell r="V77"/>
          <cell r="W77"/>
          <cell r="X77"/>
        </row>
        <row r="78">
          <cell r="A78">
            <v>45967</v>
          </cell>
          <cell r="B78" t="str">
            <v>Iraq</v>
          </cell>
          <cell r="C78" t="str">
            <v>A4704</v>
          </cell>
          <cell r="D78" t="str">
            <v>49091225
Mfg:12/2025
Exp:12/2028</v>
          </cell>
          <cell r="F78" t="str">
            <v>Nutrastar                              5/16/2026: From Iraq A4632.</v>
          </cell>
          <cell r="G78" t="str">
            <v>PEARLY-60-CS-IQ</v>
          </cell>
          <cell r="H78">
            <v>5208</v>
          </cell>
          <cell r="I78" t="str">
            <v>IQ42-23.0</v>
          </cell>
          <cell r="J78">
            <v>5208</v>
          </cell>
          <cell r="L78" t="str">
            <v>ON HOLD</v>
          </cell>
          <cell r="M78"/>
          <cell r="N78" t="str">
            <v>Y</v>
          </cell>
          <cell r="O78">
            <v>604776737803</v>
          </cell>
          <cell r="P78">
            <v>58500</v>
          </cell>
          <cell r="Q78">
            <v>4909</v>
          </cell>
          <cell r="R78" t="str">
            <v>Complete</v>
          </cell>
          <cell r="S78"/>
          <cell r="T78"/>
          <cell r="U78"/>
          <cell r="V78"/>
          <cell r="W78"/>
          <cell r="X78"/>
        </row>
        <row r="79">
          <cell r="A79">
            <v>45967</v>
          </cell>
          <cell r="B79" t="str">
            <v>Iraq</v>
          </cell>
          <cell r="C79" t="str">
            <v>A4567</v>
          </cell>
          <cell r="D79" t="str">
            <v>49041225
Mfg:12/2025
Exp:12/2028                                        2/16/2026: Qty increased 10000 -&gt; 10008                      4/28/2026: 7200 moved to Iraq A4698</v>
          </cell>
          <cell r="F79" t="str">
            <v>NutraStar</v>
          </cell>
          <cell r="G79" t="str">
            <v>FIBRO-60-CS-IQ</v>
          </cell>
          <cell r="H79">
            <v>2808</v>
          </cell>
          <cell r="I79" t="str">
            <v>IQ17-23.0</v>
          </cell>
          <cell r="J79">
            <v>2808</v>
          </cell>
          <cell r="L79" t="str">
            <v>ON HOLD</v>
          </cell>
          <cell r="M79"/>
          <cell r="N79" t="str">
            <v>NA</v>
          </cell>
          <cell r="O79">
            <v>604776737650</v>
          </cell>
          <cell r="P79">
            <v>13000</v>
          </cell>
          <cell r="Q79">
            <v>4904</v>
          </cell>
          <cell r="R79" t="str">
            <v>complete</v>
          </cell>
          <cell r="S79"/>
          <cell r="T79"/>
          <cell r="U79"/>
          <cell r="V79"/>
          <cell r="W79"/>
          <cell r="X79"/>
        </row>
        <row r="80">
          <cell r="A80">
            <v>45967</v>
          </cell>
          <cell r="B80" t="str">
            <v>Iraq</v>
          </cell>
          <cell r="C80" t="str">
            <v>A4631</v>
          </cell>
          <cell r="D80" t="str">
            <v>49160126
Mfg: 01/2026
Exp:01/2028</v>
          </cell>
          <cell r="F80" t="str">
            <v>Vitane                                    6/8/2026: Product is at Warehouse.</v>
          </cell>
          <cell r="G80" t="str">
            <v>COQ100-125-FD</v>
          </cell>
          <cell r="H80">
            <v>7968</v>
          </cell>
          <cell r="I80" t="str">
            <v>F12-24.0</v>
          </cell>
          <cell r="J80">
            <v>7968</v>
          </cell>
          <cell r="L80" t="str">
            <v>ON HOLD</v>
          </cell>
          <cell r="M80" t="str">
            <v>Available</v>
          </cell>
          <cell r="N80" t="str">
            <v>Y</v>
          </cell>
          <cell r="O80" t="str">
            <v xml:space="preserve">810131199258
</v>
          </cell>
          <cell r="P80">
            <v>8000</v>
          </cell>
          <cell r="Q80">
            <v>4916</v>
          </cell>
          <cell r="R80" t="str">
            <v>Complete</v>
          </cell>
          <cell r="S80"/>
          <cell r="T80"/>
          <cell r="U80"/>
          <cell r="V80"/>
          <cell r="W80"/>
          <cell r="X80" t="str">
            <v>HOLD</v>
          </cell>
        </row>
        <row r="81">
          <cell r="A81">
            <v>45967</v>
          </cell>
          <cell r="B81" t="str">
            <v>Iraq</v>
          </cell>
          <cell r="C81" t="str">
            <v>A4631</v>
          </cell>
          <cell r="D81" t="str">
            <v>47201025
Mfg: 10/2025
Exp:10/2027</v>
          </cell>
          <cell r="F81" t="str">
            <v>Vitane  1/29/2026: Total CoQ qty increased 8000 -&gt; 9297                     6/8/2026: Product is at Warehouse.</v>
          </cell>
          <cell r="G81" t="str">
            <v>COQ100-125-FD</v>
          </cell>
          <cell r="H81">
            <v>1329</v>
          </cell>
          <cell r="I81"/>
          <cell r="J81">
            <v>1329</v>
          </cell>
          <cell r="L81" t="str">
            <v>ON HOLD</v>
          </cell>
          <cell r="M81" t="str">
            <v>Available</v>
          </cell>
          <cell r="N81" t="str">
            <v>Y</v>
          </cell>
          <cell r="O81" t="str">
            <v xml:space="preserve">810131199258
</v>
          </cell>
          <cell r="P81">
            <v>1329</v>
          </cell>
          <cell r="Q81">
            <v>4720</v>
          </cell>
          <cell r="R81" t="str">
            <v>Complete</v>
          </cell>
          <cell r="S81"/>
          <cell r="T81"/>
          <cell r="U81"/>
          <cell r="V81"/>
          <cell r="W81"/>
          <cell r="X81"/>
        </row>
        <row r="82">
          <cell r="A82">
            <v>45967</v>
          </cell>
          <cell r="B82" t="str">
            <v>Iraq</v>
          </cell>
          <cell r="C82" t="str">
            <v>A4631</v>
          </cell>
          <cell r="D82" t="str">
            <v>49280126
Mfg:01/2026
Exp:01/2028</v>
          </cell>
          <cell r="F82" t="str">
            <v>Vitane  
11/17/2025: Quantity increased to meet MOQ 
1/29/2026: Total Memo Up Qty increased 5250 -&gt; 5649                          6/8/2026: Product is at Warehouse.</v>
          </cell>
          <cell r="G82" t="str">
            <v>MEMOUP-60-FD</v>
          </cell>
          <cell r="H82">
            <v>4507</v>
          </cell>
          <cell r="I82" t="str">
            <v>F27-24.0</v>
          </cell>
          <cell r="J82">
            <v>4507</v>
          </cell>
          <cell r="L82" t="str">
            <v>ON HOLD</v>
          </cell>
          <cell r="M82" t="str">
            <v>Available</v>
          </cell>
          <cell r="N82" t="str">
            <v>Y</v>
          </cell>
          <cell r="O82" t="str">
            <v>810131199449</v>
          </cell>
          <cell r="P82">
            <v>5250</v>
          </cell>
          <cell r="Q82">
            <v>4928</v>
          </cell>
          <cell r="R82" t="str">
            <v>Complete</v>
          </cell>
          <cell r="S82"/>
          <cell r="T82"/>
          <cell r="U82"/>
          <cell r="V82"/>
          <cell r="W82"/>
          <cell r="X82"/>
        </row>
        <row r="83">
          <cell r="A83">
            <v>45967</v>
          </cell>
          <cell r="B83" t="str">
            <v>Iraq</v>
          </cell>
          <cell r="C83" t="str">
            <v>A4631</v>
          </cell>
          <cell r="D83" t="str">
            <v>47211025
Mfg:10/2025
Exp:10/2027</v>
          </cell>
          <cell r="F83" t="str">
            <v>Vitane                                      6/8/2026: Product is at Warehouse.</v>
          </cell>
          <cell r="G83" t="str">
            <v>MEMOUP-60-FD</v>
          </cell>
          <cell r="H83">
            <v>1142</v>
          </cell>
          <cell r="I83" t="str">
            <v>F27-24.0</v>
          </cell>
          <cell r="J83">
            <v>1142</v>
          </cell>
          <cell r="L83" t="str">
            <v>ON HOLD</v>
          </cell>
          <cell r="M83" t="str">
            <v>Available</v>
          </cell>
          <cell r="N83" t="str">
            <v>Y</v>
          </cell>
          <cell r="O83" t="str">
            <v>810131199449</v>
          </cell>
          <cell r="P83"/>
          <cell r="Q83">
            <v>4721</v>
          </cell>
          <cell r="R83" t="str">
            <v>Complete</v>
          </cell>
          <cell r="S83"/>
          <cell r="T83"/>
          <cell r="U83"/>
          <cell r="V83"/>
          <cell r="W83"/>
          <cell r="X83"/>
        </row>
        <row r="84">
          <cell r="A84">
            <v>45967</v>
          </cell>
          <cell r="B84" t="str">
            <v>Iraq</v>
          </cell>
          <cell r="C84" t="str">
            <v>A4631</v>
          </cell>
          <cell r="D84" t="str">
            <v>49440126
Mfg:01/2026
Exp:01/2027</v>
          </cell>
          <cell r="F84" t="str">
            <v>Iceland                                           6/8/2026: Product complete but pending accounting action.</v>
          </cell>
          <cell r="G84" t="str">
            <v>QWELL2-60-SG-CS-IQ</v>
          </cell>
          <cell r="H84">
            <v>6250</v>
          </cell>
          <cell r="I84" t="str">
            <v>IQ57-25.2</v>
          </cell>
          <cell r="J84">
            <v>0</v>
          </cell>
          <cell r="L84" t="str">
            <v>ON HOLD</v>
          </cell>
          <cell r="M84"/>
          <cell r="N84" t="str">
            <v>NA</v>
          </cell>
          <cell r="O84" t="str">
            <v>604776737971</v>
          </cell>
          <cell r="P84">
            <v>7000</v>
          </cell>
          <cell r="Q84">
            <v>4944</v>
          </cell>
          <cell r="R84" t="str">
            <v>Complete</v>
          </cell>
          <cell r="S84" t="str">
            <v>BULk PO A4922, Sample receIved, Waiting for PL, waiting for product release</v>
          </cell>
          <cell r="T84"/>
          <cell r="U84"/>
          <cell r="V84"/>
          <cell r="W84"/>
          <cell r="X84"/>
        </row>
        <row r="85">
          <cell r="A85">
            <v>45967</v>
          </cell>
          <cell r="B85" t="str">
            <v>Iraq</v>
          </cell>
          <cell r="C85" t="str">
            <v>A4631</v>
          </cell>
          <cell r="D85" t="str">
            <v>49450126
Mfg:01/2026
Exp:01/2029</v>
          </cell>
          <cell r="F85" t="str">
            <v>Iceland                                           6/8/2026: Product complete but pending accounting action.</v>
          </cell>
          <cell r="G85" t="str">
            <v>QWELL4-30-SG-CS-IQ</v>
          </cell>
          <cell r="H85">
            <v>12250</v>
          </cell>
          <cell r="I85" t="str">
            <v>IQ58-24.0</v>
          </cell>
          <cell r="J85">
            <v>0</v>
          </cell>
          <cell r="L85" t="str">
            <v>ON HOLD</v>
          </cell>
          <cell r="M85"/>
          <cell r="N85" t="str">
            <v>NA</v>
          </cell>
          <cell r="O85">
            <v>604776737988</v>
          </cell>
          <cell r="P85">
            <v>15000</v>
          </cell>
          <cell r="Q85">
            <v>4945</v>
          </cell>
          <cell r="R85" t="str">
            <v>Complete</v>
          </cell>
          <cell r="S85" t="str">
            <v>Waiting for Sample, waiting for product release</v>
          </cell>
          <cell r="T85"/>
          <cell r="U85"/>
          <cell r="V85"/>
          <cell r="W85"/>
          <cell r="X85"/>
        </row>
        <row r="86">
          <cell r="A86">
            <v>45967</v>
          </cell>
          <cell r="B86" t="str">
            <v>Iraq</v>
          </cell>
          <cell r="C86" t="str">
            <v>A4631</v>
          </cell>
          <cell r="D86" t="str">
            <v>49620925
Mfg:09/2025
Exp:09/2028                                  2/19/2026: Qty decreased to 4872 per packing slip</v>
          </cell>
          <cell r="F86" t="str">
            <v>Genova                                  6/8/2026: Product complete.</v>
          </cell>
          <cell r="G86" t="str">
            <v>XTRAD50-12-SG-FD</v>
          </cell>
          <cell r="H86">
            <v>4872</v>
          </cell>
          <cell r="I86" t="str">
            <v>F95-25.0</v>
          </cell>
          <cell r="J86">
            <v>4872</v>
          </cell>
          <cell r="L86" t="str">
            <v>ON HOLD</v>
          </cell>
          <cell r="M86"/>
          <cell r="N86" t="str">
            <v>NA</v>
          </cell>
          <cell r="O86" t="str">
            <v>801131193058</v>
          </cell>
          <cell r="P86">
            <v>5000</v>
          </cell>
          <cell r="Q86">
            <v>4976</v>
          </cell>
          <cell r="R86" t="str">
            <v>Complete</v>
          </cell>
          <cell r="S86"/>
          <cell r="T86"/>
          <cell r="U86"/>
          <cell r="V86"/>
          <cell r="W86"/>
          <cell r="X86"/>
        </row>
        <row r="87">
          <cell r="A87">
            <v>45967</v>
          </cell>
          <cell r="B87" t="str">
            <v>Iraq</v>
          </cell>
          <cell r="C87" t="str">
            <v>A4631</v>
          </cell>
          <cell r="D87" t="str">
            <v>49460126
Mfg:01/2026
Exp:01/2029                                      2/19/2026: Qty decreased to 4500 per packing slip</v>
          </cell>
          <cell r="F87" t="str">
            <v>Iceland                                           6/8/2026: Product complete but pending accounting action.</v>
          </cell>
          <cell r="G87" t="str">
            <v>XTRAD5-60-FD</v>
          </cell>
          <cell r="H87">
            <v>4500</v>
          </cell>
          <cell r="I87" t="str">
            <v>F80-25.0</v>
          </cell>
          <cell r="J87">
            <v>0</v>
          </cell>
          <cell r="L87" t="str">
            <v>ON HOLD</v>
          </cell>
          <cell r="M87"/>
          <cell r="N87" t="str">
            <v>NA</v>
          </cell>
          <cell r="O87" t="str">
            <v>609788968030</v>
          </cell>
          <cell r="P87">
            <v>5000</v>
          </cell>
          <cell r="Q87">
            <v>4946</v>
          </cell>
          <cell r="R87" t="str">
            <v>Complete</v>
          </cell>
          <cell r="S87" t="str">
            <v>Waiting for product release</v>
          </cell>
          <cell r="T87"/>
          <cell r="U87"/>
          <cell r="V87"/>
          <cell r="W87"/>
          <cell r="X87"/>
        </row>
        <row r="88">
          <cell r="A88">
            <v>45763</v>
          </cell>
          <cell r="B88" t="str">
            <v>Iraq</v>
          </cell>
          <cell r="C88" t="str">
            <v>A4633</v>
          </cell>
          <cell r="D88"/>
          <cell r="F88" t="str">
            <v xml:space="preserve">  8/18/2025: 30,000 packs moved from A4475  9/30/2025: Moved from IraqA4442 1/22/2026: Moved from IraqA4541</v>
          </cell>
          <cell r="G88" t="str">
            <v>MOTILMX-60-CS-IQ</v>
          </cell>
          <cell r="H88">
            <v>30000</v>
          </cell>
          <cell r="I88" t="str">
            <v>IQ31-23.0</v>
          </cell>
          <cell r="J88">
            <v>30000</v>
          </cell>
          <cell r="L88"/>
          <cell r="M88"/>
          <cell r="N88" t="str">
            <v>NA</v>
          </cell>
          <cell r="O88">
            <v>604776737681</v>
          </cell>
          <cell r="P88">
            <v>30000</v>
          </cell>
          <cell r="Q88">
            <v>4711</v>
          </cell>
          <cell r="R88" t="str">
            <v>Complete</v>
          </cell>
          <cell r="S88"/>
          <cell r="T88"/>
          <cell r="U88"/>
          <cell r="V88"/>
          <cell r="W88"/>
          <cell r="X88"/>
        </row>
        <row r="89">
          <cell r="A89">
            <v>45995</v>
          </cell>
          <cell r="B89" t="str">
            <v>Iraq</v>
          </cell>
          <cell r="C89" t="str">
            <v>A4596</v>
          </cell>
          <cell r="D89" t="str">
            <v>45230325
Mfg: 03/2025
Exp: 03/2028</v>
          </cell>
          <cell r="F89"/>
          <cell r="G89" t="str">
            <v>UTIC-60-FD</v>
          </cell>
          <cell r="H89">
            <v>720</v>
          </cell>
          <cell r="I89" t="str">
            <v>F110-25.0</v>
          </cell>
          <cell r="J89">
            <v>720</v>
          </cell>
          <cell r="L89" t="str">
            <v>ON HOLD</v>
          </cell>
          <cell r="M89">
            <v>46092</v>
          </cell>
          <cell r="N89" t="str">
            <v>NA</v>
          </cell>
          <cell r="O89" t="str">
            <v>810131192983</v>
          </cell>
          <cell r="P89"/>
          <cell r="Q89">
            <v>4523</v>
          </cell>
          <cell r="R89"/>
          <cell r="S89"/>
          <cell r="T89"/>
          <cell r="U89"/>
          <cell r="V89"/>
          <cell r="W89"/>
          <cell r="X89" t="str">
            <v>HOLD</v>
          </cell>
        </row>
        <row r="90">
          <cell r="A90">
            <v>45995</v>
          </cell>
          <cell r="B90" t="str">
            <v>Iraq</v>
          </cell>
          <cell r="C90" t="str">
            <v>A4596</v>
          </cell>
          <cell r="D90" t="str">
            <v>48611125
Mfg:11/2025
Exp:11/2028</v>
          </cell>
          <cell r="F90"/>
          <cell r="G90" t="str">
            <v>TESTRON-60-FD</v>
          </cell>
          <cell r="H90">
            <v>2200</v>
          </cell>
          <cell r="I90" t="str">
            <v>F103-25.0</v>
          </cell>
          <cell r="J90">
            <v>2200</v>
          </cell>
          <cell r="L90" t="str">
            <v>ON HOLD</v>
          </cell>
          <cell r="M90"/>
          <cell r="N90" t="str">
            <v>NA</v>
          </cell>
          <cell r="O90" t="str">
            <v>810131192907</v>
          </cell>
          <cell r="P90">
            <v>5000</v>
          </cell>
          <cell r="Q90">
            <v>4861</v>
          </cell>
          <cell r="R90" t="str">
            <v>complete</v>
          </cell>
          <cell r="S90"/>
          <cell r="T90"/>
          <cell r="U90"/>
          <cell r="V90"/>
          <cell r="W90"/>
          <cell r="X90"/>
        </row>
        <row r="91">
          <cell r="A91">
            <v>45995</v>
          </cell>
          <cell r="B91" t="str">
            <v>Iraq</v>
          </cell>
          <cell r="C91" t="str">
            <v>A4596</v>
          </cell>
          <cell r="D91" t="str">
            <v>45320225
Mfg: 02/2025
Exp: 02/2028</v>
          </cell>
          <cell r="F91"/>
          <cell r="G91" t="str">
            <v>BRSTW-60-FD</v>
          </cell>
          <cell r="H91">
            <v>550</v>
          </cell>
          <cell r="I91" t="str">
            <v>F112-25.1</v>
          </cell>
          <cell r="J91">
            <v>550</v>
          </cell>
          <cell r="L91" t="str">
            <v>ON HOLD</v>
          </cell>
          <cell r="M91"/>
          <cell r="N91" t="str">
            <v>NA</v>
          </cell>
          <cell r="O91">
            <v>810131190040</v>
          </cell>
          <cell r="P91"/>
          <cell r="Q91">
            <v>4532</v>
          </cell>
          <cell r="R91"/>
          <cell r="S91"/>
          <cell r="T91"/>
          <cell r="U91"/>
          <cell r="V91"/>
          <cell r="W91"/>
          <cell r="X91"/>
        </row>
        <row r="92">
          <cell r="A92">
            <v>45763</v>
          </cell>
          <cell r="B92" t="str">
            <v>Iraq</v>
          </cell>
          <cell r="C92" t="str">
            <v>A4596</v>
          </cell>
          <cell r="D92"/>
          <cell r="F92" t="str">
            <v>9/30/2025: Moved from IraqA4442 2/17/2026: Moved from IraqA4541 to consolidate for shipment.</v>
          </cell>
          <cell r="G92" t="str">
            <v>GINKGO-60-FD</v>
          </cell>
          <cell r="H92">
            <v>6000</v>
          </cell>
          <cell r="I92" t="str">
            <v>F21-23.0</v>
          </cell>
          <cell r="J92">
            <v>6000</v>
          </cell>
          <cell r="L92" t="str">
            <v>ON HOLD</v>
          </cell>
          <cell r="M92"/>
          <cell r="N92" t="str">
            <v>NA</v>
          </cell>
          <cell r="O92">
            <v>609788968146</v>
          </cell>
          <cell r="P92">
            <v>6000</v>
          </cell>
          <cell r="Q92">
            <v>4964</v>
          </cell>
          <cell r="R92">
            <v>46052</v>
          </cell>
          <cell r="S92"/>
          <cell r="T92"/>
          <cell r="U92"/>
          <cell r="V92"/>
          <cell r="W92"/>
          <cell r="X92"/>
        </row>
        <row r="93">
          <cell r="A93">
            <v>45617</v>
          </cell>
          <cell r="B93" t="str">
            <v>Iraq</v>
          </cell>
          <cell r="C93" t="str">
            <v>A4596</v>
          </cell>
          <cell r="D93" t="str">
            <v>48760725
Mfg:07/2025
Exp:07/2028</v>
          </cell>
          <cell r="F93" t="str">
            <v>5/22/2025: Products moved from IraqA4434 
9/30/2025: Moved from A4384
1/15/2025: Moved 1421 from Iraq A4541 
1/20/2025: 92 bottles allocated to georgia A4615
3/30/2026: qty decreased 1329 -&gt; 529 after allocating to UAE A4644</v>
          </cell>
          <cell r="G93" t="str">
            <v>QWELL2-60-SG-CS-IQ</v>
          </cell>
          <cell r="H93">
            <v>529</v>
          </cell>
          <cell r="I93" t="str">
            <v>IQ57-25.2</v>
          </cell>
          <cell r="J93">
            <v>529</v>
          </cell>
          <cell r="L93" t="str">
            <v>ON HOLD</v>
          </cell>
          <cell r="M93"/>
          <cell r="N93" t="str">
            <v>NA</v>
          </cell>
          <cell r="O93">
            <v>609788968528</v>
          </cell>
          <cell r="P93">
            <v>5000</v>
          </cell>
          <cell r="Q93">
            <v>4876</v>
          </cell>
          <cell r="R93" t="str">
            <v>complete</v>
          </cell>
          <cell r="S93" t="str">
            <v>BULK PO A4758</v>
          </cell>
          <cell r="T93"/>
          <cell r="U93"/>
          <cell r="V93"/>
          <cell r="W93"/>
          <cell r="X93"/>
        </row>
        <row r="94">
          <cell r="A94">
            <v>45763</v>
          </cell>
          <cell r="B94" t="str">
            <v>Iraq</v>
          </cell>
          <cell r="C94" t="str">
            <v>A4596</v>
          </cell>
          <cell r="D94"/>
          <cell r="F94" t="str">
            <v>10/29/2025: moved from IraqA4442 2/10/26: Qty increased from 5000 -&gt; 5208                                   2/17/2026: Moved from IraqA4541 to consolidate for shipment.              5/22/2026: Reduced from 5208 pcs to 4158 pcs. Allocated 1050 pcs to Egypt A4683.</v>
          </cell>
          <cell r="G94" t="str">
            <v>QWELL2-60-SG-CS-IQ</v>
          </cell>
          <cell r="H94">
            <v>4158</v>
          </cell>
          <cell r="I94" t="str">
            <v>IQ57-25.2</v>
          </cell>
          <cell r="J94">
            <v>4158</v>
          </cell>
          <cell r="L94" t="str">
            <v>ON HOLD</v>
          </cell>
          <cell r="M94"/>
          <cell r="N94" t="str">
            <v>NA</v>
          </cell>
          <cell r="O94">
            <v>609788968528</v>
          </cell>
          <cell r="P94">
            <v>5000</v>
          </cell>
          <cell r="Q94">
            <v>4966</v>
          </cell>
          <cell r="R94">
            <v>46052</v>
          </cell>
          <cell r="S94"/>
          <cell r="T94"/>
          <cell r="U94"/>
          <cell r="V94"/>
          <cell r="W94"/>
          <cell r="X94"/>
        </row>
        <row r="95">
          <cell r="A95">
            <v>45763</v>
          </cell>
          <cell r="B95" t="str">
            <v>Iraq</v>
          </cell>
          <cell r="C95" t="str">
            <v>A4596</v>
          </cell>
          <cell r="D95"/>
          <cell r="F95" t="str">
            <v>2/10/26: Qty decreased from 1500 -&gt; 953
2/17/2026: Moved from IraqA4541 to consolidate for shipment.</v>
          </cell>
          <cell r="G95" t="str">
            <v>QWELL2-60-SG-CS-IQ</v>
          </cell>
          <cell r="H95">
            <v>953</v>
          </cell>
          <cell r="I95" t="str">
            <v>IQ58-24.0</v>
          </cell>
          <cell r="J95">
            <v>953</v>
          </cell>
          <cell r="L95" t="str">
            <v>ON HOLD</v>
          </cell>
          <cell r="M95"/>
          <cell r="N95" t="str">
            <v>NA</v>
          </cell>
          <cell r="O95">
            <v>609788968528</v>
          </cell>
          <cell r="P95">
            <v>2550</v>
          </cell>
          <cell r="Q95">
            <v>4965</v>
          </cell>
          <cell r="R95">
            <v>46058</v>
          </cell>
          <cell r="S95"/>
          <cell r="T95"/>
          <cell r="U95"/>
          <cell r="V95"/>
          <cell r="W95"/>
          <cell r="X95"/>
        </row>
        <row r="96">
          <cell r="A96">
            <v>45763</v>
          </cell>
          <cell r="B96" t="str">
            <v>Iraq</v>
          </cell>
          <cell r="C96" t="str">
            <v>A4596</v>
          </cell>
          <cell r="D96" t="str">
            <v>48391125
Mfg:11/2025
Exp:11/2028</v>
          </cell>
          <cell r="F96" t="str">
            <v>9/30/2025: Moved from IraqA4442 1/15/2025: moved from IraqA4541</v>
          </cell>
          <cell r="G96" t="str">
            <v>NRGWOM-45-FD</v>
          </cell>
          <cell r="H96">
            <v>860</v>
          </cell>
          <cell r="I96" t="str">
            <v>F83-22.0</v>
          </cell>
          <cell r="J96">
            <v>860</v>
          </cell>
          <cell r="L96" t="str">
            <v>ON HOLD</v>
          </cell>
          <cell r="M96"/>
          <cell r="N96" t="str">
            <v>Y</v>
          </cell>
          <cell r="O96">
            <v>604776735885</v>
          </cell>
          <cell r="P96">
            <v>5000</v>
          </cell>
          <cell r="Q96">
            <v>4839</v>
          </cell>
          <cell r="R96" t="str">
            <v>complete</v>
          </cell>
          <cell r="S96"/>
          <cell r="T96"/>
          <cell r="U96"/>
          <cell r="V96"/>
          <cell r="W96"/>
          <cell r="X96"/>
        </row>
        <row r="97">
          <cell r="A97">
            <v>45995</v>
          </cell>
          <cell r="B97" t="str">
            <v>Iraq</v>
          </cell>
          <cell r="C97" t="str">
            <v>A4596</v>
          </cell>
          <cell r="D97"/>
          <cell r="F97" t="str">
            <v>1/15/2026: moved from IraqA4541                                 2/17/2026: Moved from IraqA4541 to consolidate for shipment.</v>
          </cell>
          <cell r="G97" t="str">
            <v>NMNH-60-FD</v>
          </cell>
          <cell r="H97">
            <v>2200</v>
          </cell>
          <cell r="I97" t="str">
            <v>F114-25.0</v>
          </cell>
          <cell r="J97">
            <v>2200</v>
          </cell>
          <cell r="L97" t="str">
            <v>ON HOLD</v>
          </cell>
          <cell r="M97"/>
          <cell r="N97" t="str">
            <v>Y</v>
          </cell>
          <cell r="O97" t="str">
            <v>810131192990</v>
          </cell>
          <cell r="P97">
            <v>5000</v>
          </cell>
          <cell r="Q97">
            <v>4798</v>
          </cell>
          <cell r="R97" t="str">
            <v>complete</v>
          </cell>
          <cell r="S97"/>
          <cell r="T97"/>
          <cell r="U97"/>
          <cell r="V97"/>
          <cell r="W97"/>
          <cell r="X97"/>
        </row>
        <row r="98">
          <cell r="A98">
            <v>46072</v>
          </cell>
          <cell r="B98" t="str">
            <v>Iraq</v>
          </cell>
          <cell r="C98" t="str">
            <v>A4596</v>
          </cell>
          <cell r="D98"/>
          <cell r="F98" t="str">
            <v>2/19/2025: Added to order - product in Inventory               2/20/2026: Reduced qty from 1453 -&gt; 1451 after re-work.</v>
          </cell>
          <cell r="G98" t="str">
            <v>CAVINAD-60-FD</v>
          </cell>
          <cell r="H98">
            <v>1451</v>
          </cell>
          <cell r="I98"/>
          <cell r="J98">
            <v>1453</v>
          </cell>
          <cell r="L98" t="str">
            <v>ON HOLD</v>
          </cell>
          <cell r="M98"/>
          <cell r="N98" t="str">
            <v>NA</v>
          </cell>
          <cell r="O98">
            <v>609788968610</v>
          </cell>
          <cell r="P98"/>
          <cell r="Q98"/>
          <cell r="R98"/>
          <cell r="S98"/>
          <cell r="T98"/>
          <cell r="U98"/>
          <cell r="V98"/>
          <cell r="W98"/>
          <cell r="X98"/>
        </row>
        <row r="99">
          <cell r="A99">
            <v>46072</v>
          </cell>
          <cell r="B99" t="str">
            <v>Iraq</v>
          </cell>
          <cell r="C99" t="str">
            <v>A4596</v>
          </cell>
          <cell r="D99"/>
          <cell r="F99" t="str">
            <v>2/19/2025: Added to order - product in Inventory</v>
          </cell>
          <cell r="G99" t="str">
            <v>CAVINAD-60-FD</v>
          </cell>
          <cell r="H99">
            <v>860</v>
          </cell>
          <cell r="I99"/>
          <cell r="J99">
            <v>860</v>
          </cell>
          <cell r="L99" t="str">
            <v>ON HOLD</v>
          </cell>
          <cell r="M99"/>
          <cell r="N99" t="str">
            <v>NA</v>
          </cell>
          <cell r="O99">
            <v>609788968610</v>
          </cell>
          <cell r="P99"/>
          <cell r="Q99"/>
          <cell r="R99"/>
          <cell r="S99"/>
          <cell r="T99"/>
          <cell r="U99"/>
          <cell r="V99"/>
          <cell r="W99"/>
          <cell r="X99"/>
        </row>
        <row r="100">
          <cell r="A100">
            <v>46072</v>
          </cell>
          <cell r="B100" t="str">
            <v>Iraq</v>
          </cell>
          <cell r="C100" t="str">
            <v>A4596</v>
          </cell>
          <cell r="D100"/>
          <cell r="F100" t="str">
            <v>6/5/2026: Product added to order. In inventory.</v>
          </cell>
          <cell r="G100" t="str">
            <v>OSTEOPW-74-FD</v>
          </cell>
          <cell r="H100">
            <v>1001</v>
          </cell>
          <cell r="I100"/>
          <cell r="J100"/>
          <cell r="L100" t="str">
            <v>ON HOLD</v>
          </cell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</row>
        <row r="101">
          <cell r="A101">
            <v>45967</v>
          </cell>
          <cell r="B101" t="str">
            <v>Iraq</v>
          </cell>
          <cell r="C101" t="str">
            <v>A4631</v>
          </cell>
          <cell r="D101" t="str">
            <v>49450126
Mfg:01/2026
Exp:01/2029</v>
          </cell>
          <cell r="F101" t="str">
            <v>Iceland</v>
          </cell>
          <cell r="G101" t="str">
            <v>QWELL4-30-SG-CS-IQ</v>
          </cell>
          <cell r="H101">
            <v>12250</v>
          </cell>
          <cell r="I101" t="str">
            <v>IQ58-24.0</v>
          </cell>
          <cell r="J101">
            <v>0</v>
          </cell>
          <cell r="L101" t="str">
            <v>ON HOLD</v>
          </cell>
          <cell r="M101"/>
          <cell r="N101" t="str">
            <v>NA</v>
          </cell>
          <cell r="O101">
            <v>604776737988</v>
          </cell>
          <cell r="P101">
            <v>15000</v>
          </cell>
          <cell r="Q101">
            <v>4945</v>
          </cell>
          <cell r="R101" t="str">
            <v>Complete</v>
          </cell>
          <cell r="S101" t="str">
            <v>Waiting for Sample, waiting for product release</v>
          </cell>
          <cell r="T101"/>
          <cell r="U101"/>
          <cell r="V101"/>
          <cell r="W101"/>
          <cell r="X101"/>
        </row>
        <row r="102">
          <cell r="A102">
            <v>45967</v>
          </cell>
          <cell r="B102" t="str">
            <v>Iraq</v>
          </cell>
          <cell r="C102" t="str">
            <v>A4622</v>
          </cell>
          <cell r="D102"/>
          <cell r="F102" t="str">
            <v>May need a specific batch number 11/20/205: Should be a fresh batch
6/8/2026: Product arriving at warehouse on 6/10/26.</v>
          </cell>
          <cell r="G102" t="str">
            <v>LIPODIS-60-CS-IQ</v>
          </cell>
          <cell r="H102">
            <v>5000</v>
          </cell>
          <cell r="I102" t="str">
            <v>IQ26-24.1</v>
          </cell>
          <cell r="J102">
            <v>0</v>
          </cell>
          <cell r="L102" t="str">
            <v>ON HOLD</v>
          </cell>
          <cell r="M102" t="str">
            <v>Available</v>
          </cell>
          <cell r="N102" t="str">
            <v>Y</v>
          </cell>
          <cell r="O102">
            <v>604776737834</v>
          </cell>
          <cell r="P102">
            <v>7000</v>
          </cell>
          <cell r="Q102">
            <v>4971</v>
          </cell>
          <cell r="R102">
            <v>46136</v>
          </cell>
          <cell r="S102" t="str">
            <v>Labeled</v>
          </cell>
          <cell r="T102"/>
          <cell r="U102"/>
          <cell r="V102"/>
          <cell r="W102"/>
          <cell r="X102" t="str">
            <v>HOLD</v>
          </cell>
        </row>
        <row r="103">
          <cell r="A103">
            <v>45995</v>
          </cell>
          <cell r="B103" t="str">
            <v>Iraq</v>
          </cell>
          <cell r="C103" t="str">
            <v>A4622</v>
          </cell>
          <cell r="D103"/>
          <cell r="F103" t="str">
            <v>1/15/2026: 1480 packs moved from IraqA4596
2/17/2026: Moved from IraqA4541 to consolidate Back Order.
6/8/2026: Product arriving at warehouse on 6/10/26.</v>
          </cell>
          <cell r="G103" t="str">
            <v>UTIC-60-FD</v>
          </cell>
          <cell r="H103">
            <v>1480</v>
          </cell>
          <cell r="I103" t="str">
            <v>F110-25.0</v>
          </cell>
          <cell r="J103">
            <v>0</v>
          </cell>
          <cell r="L103" t="str">
            <v>ON HOLD</v>
          </cell>
          <cell r="M103" t="str">
            <v>Available</v>
          </cell>
          <cell r="N103" t="str">
            <v>NA</v>
          </cell>
          <cell r="O103" t="str">
            <v>810131192983</v>
          </cell>
          <cell r="P103">
            <v>4000</v>
          </cell>
          <cell r="Q103">
            <v>4973</v>
          </cell>
          <cell r="R103">
            <v>46136</v>
          </cell>
          <cell r="S103"/>
          <cell r="T103"/>
          <cell r="U103"/>
          <cell r="V103"/>
          <cell r="W103"/>
          <cell r="X103"/>
        </row>
        <row r="104">
          <cell r="L104"/>
        </row>
        <row r="105">
          <cell r="A105">
            <v>45971</v>
          </cell>
          <cell r="B105" t="str">
            <v>Botswana</v>
          </cell>
          <cell r="C105" t="str">
            <v>A4569</v>
          </cell>
          <cell r="D105" t="str">
            <v>Awaiting Import Permit Update</v>
          </cell>
          <cell r="F105"/>
          <cell r="G105" t="str">
            <v>OSTEOPL-96-FD</v>
          </cell>
          <cell r="H105">
            <v>96</v>
          </cell>
          <cell r="I105" t="str">
            <v>F39-24.0</v>
          </cell>
          <cell r="J105">
            <v>96</v>
          </cell>
          <cell r="L105" t="str">
            <v>D/W Sent</v>
          </cell>
          <cell r="M105">
            <v>46094</v>
          </cell>
          <cell r="N105" t="str">
            <v>Y</v>
          </cell>
          <cell r="O105" t="str">
            <v>609788968238</v>
          </cell>
          <cell r="P105">
            <v>5000</v>
          </cell>
          <cell r="Q105">
            <v>4841</v>
          </cell>
          <cell r="R105" t="str">
            <v>complete</v>
          </cell>
          <cell r="S105"/>
          <cell r="T105"/>
          <cell r="U105"/>
          <cell r="V105"/>
          <cell r="W105"/>
          <cell r="X105" t="str">
            <v>HOLD</v>
          </cell>
        </row>
        <row r="106">
          <cell r="A106">
            <v>45971</v>
          </cell>
          <cell r="B106" t="str">
            <v>Botswana</v>
          </cell>
          <cell r="C106" t="str">
            <v>A4569</v>
          </cell>
          <cell r="D106"/>
          <cell r="F106"/>
          <cell r="G106" t="str">
            <v>GINKGO-60-FD</v>
          </cell>
          <cell r="H106">
            <v>48</v>
          </cell>
          <cell r="I106" t="str">
            <v>F21-23.0</v>
          </cell>
          <cell r="J106">
            <v>48</v>
          </cell>
          <cell r="L106" t="str">
            <v>D/W Sent</v>
          </cell>
          <cell r="M106"/>
          <cell r="N106" t="str">
            <v>NA</v>
          </cell>
          <cell r="O106" t="str">
            <v>609788968146</v>
          </cell>
          <cell r="P106"/>
          <cell r="Q106"/>
          <cell r="R106"/>
          <cell r="S106"/>
          <cell r="T106"/>
          <cell r="U106"/>
          <cell r="V106"/>
          <cell r="W106"/>
          <cell r="X106"/>
        </row>
        <row r="107">
          <cell r="A107">
            <v>45971</v>
          </cell>
          <cell r="B107" t="str">
            <v>Botswana</v>
          </cell>
          <cell r="C107" t="str">
            <v>A4569</v>
          </cell>
          <cell r="D107"/>
          <cell r="F107"/>
          <cell r="G107" t="str">
            <v>PROSTA-90-FD</v>
          </cell>
          <cell r="H107">
            <v>48</v>
          </cell>
          <cell r="I107" t="str">
            <v>F56-23.0</v>
          </cell>
          <cell r="J107">
            <v>48</v>
          </cell>
          <cell r="L107" t="str">
            <v>D/W Sent</v>
          </cell>
          <cell r="M107"/>
          <cell r="N107" t="str">
            <v>NA</v>
          </cell>
          <cell r="O107">
            <v>609788968504</v>
          </cell>
          <cell r="P107">
            <v>4000</v>
          </cell>
          <cell r="Q107">
            <v>4802</v>
          </cell>
          <cell r="R107" t="str">
            <v>complete</v>
          </cell>
          <cell r="S107"/>
          <cell r="T107"/>
          <cell r="U107"/>
          <cell r="V107"/>
          <cell r="W107"/>
          <cell r="X107"/>
        </row>
        <row r="108">
          <cell r="A108">
            <v>45971</v>
          </cell>
          <cell r="B108" t="str">
            <v>Botswana</v>
          </cell>
          <cell r="C108" t="str">
            <v>A4569</v>
          </cell>
          <cell r="D108"/>
          <cell r="F108"/>
          <cell r="G108" t="str">
            <v>XTRAD10-60-FD</v>
          </cell>
          <cell r="H108">
            <v>120</v>
          </cell>
          <cell r="I108" t="str">
            <v>F76-25.0</v>
          </cell>
          <cell r="J108">
            <v>120</v>
          </cell>
          <cell r="L108" t="str">
            <v>D/W Sent</v>
          </cell>
          <cell r="M108"/>
          <cell r="N108" t="str">
            <v>NA</v>
          </cell>
          <cell r="O108" t="str">
            <v>609788968122</v>
          </cell>
          <cell r="P108">
            <v>12000</v>
          </cell>
          <cell r="Q108">
            <v>4690</v>
          </cell>
          <cell r="R108" t="str">
            <v>complete</v>
          </cell>
          <cell r="S108"/>
          <cell r="T108"/>
          <cell r="U108"/>
          <cell r="V108"/>
          <cell r="W108"/>
          <cell r="X108"/>
        </row>
        <row r="109">
          <cell r="A109">
            <v>45971</v>
          </cell>
          <cell r="B109" t="str">
            <v>Botswana</v>
          </cell>
          <cell r="C109" t="str">
            <v>A4569</v>
          </cell>
          <cell r="D109"/>
          <cell r="F109"/>
          <cell r="G109" t="str">
            <v>MOTILMX-60-FD</v>
          </cell>
          <cell r="H109">
            <v>24</v>
          </cell>
          <cell r="I109" t="str">
            <v>F31-23.0</v>
          </cell>
          <cell r="J109">
            <v>24</v>
          </cell>
          <cell r="L109" t="str">
            <v>D/W Sent</v>
          </cell>
          <cell r="M109"/>
          <cell r="N109" t="str">
            <v>NA</v>
          </cell>
          <cell r="O109" t="str">
            <v>609788968122</v>
          </cell>
          <cell r="P109">
            <v>6500</v>
          </cell>
          <cell r="Q109">
            <v>4848</v>
          </cell>
          <cell r="R109" t="str">
            <v>complete</v>
          </cell>
          <cell r="S109"/>
          <cell r="T109"/>
          <cell r="U109"/>
          <cell r="V109"/>
          <cell r="W109"/>
          <cell r="X109"/>
        </row>
        <row r="110">
          <cell r="A110">
            <v>45971</v>
          </cell>
          <cell r="B110" t="str">
            <v>Botswana</v>
          </cell>
          <cell r="C110" t="str">
            <v>A4569</v>
          </cell>
          <cell r="D110"/>
          <cell r="F110"/>
          <cell r="G110" t="str">
            <v>MFSPLS-120-FD</v>
          </cell>
          <cell r="H110">
            <v>48</v>
          </cell>
          <cell r="I110" t="str">
            <v>F30-25.1</v>
          </cell>
          <cell r="J110">
            <v>48</v>
          </cell>
          <cell r="L110" t="str">
            <v>D/W Sent</v>
          </cell>
          <cell r="M110"/>
          <cell r="N110" t="str">
            <v>NA</v>
          </cell>
          <cell r="O110">
            <v>609788968344</v>
          </cell>
          <cell r="P110">
            <v>14000</v>
          </cell>
          <cell r="Q110">
            <v>4846</v>
          </cell>
          <cell r="R110" t="str">
            <v>complete</v>
          </cell>
          <cell r="S110"/>
          <cell r="T110"/>
          <cell r="U110"/>
          <cell r="V110"/>
          <cell r="W110"/>
          <cell r="X110"/>
        </row>
        <row r="111">
          <cell r="A111">
            <v>45971</v>
          </cell>
          <cell r="B111" t="str">
            <v>Botswana</v>
          </cell>
          <cell r="C111" t="str">
            <v>A4569</v>
          </cell>
          <cell r="D111"/>
          <cell r="F111"/>
          <cell r="G111" t="str">
            <v>FIBRO-60-FD</v>
          </cell>
          <cell r="H111">
            <v>48</v>
          </cell>
          <cell r="I111" t="str">
            <v>F17-25.1</v>
          </cell>
          <cell r="J111">
            <v>48</v>
          </cell>
          <cell r="L111" t="str">
            <v>D/W Sent</v>
          </cell>
          <cell r="M111"/>
          <cell r="N111" t="str">
            <v>NA</v>
          </cell>
          <cell r="O111">
            <v>609788968498</v>
          </cell>
          <cell r="P111">
            <v>6500</v>
          </cell>
          <cell r="Q111">
            <v>4840</v>
          </cell>
          <cell r="R111" t="str">
            <v>complete</v>
          </cell>
          <cell r="S111"/>
          <cell r="T111"/>
          <cell r="U111"/>
          <cell r="V111"/>
          <cell r="W111">
            <v>45981</v>
          </cell>
          <cell r="X111"/>
        </row>
        <row r="112">
          <cell r="A112">
            <v>45971</v>
          </cell>
          <cell r="B112" t="str">
            <v>Botswana</v>
          </cell>
          <cell r="C112" t="str">
            <v>A4569</v>
          </cell>
          <cell r="D112"/>
          <cell r="F112"/>
          <cell r="G112" t="str">
            <v>DHEA25-60-FD</v>
          </cell>
          <cell r="H112">
            <v>48</v>
          </cell>
          <cell r="I112" t="str">
            <v>F14-25.2</v>
          </cell>
          <cell r="J112">
            <v>48</v>
          </cell>
          <cell r="L112" t="str">
            <v>D/W Sent</v>
          </cell>
          <cell r="M112"/>
          <cell r="N112" t="str">
            <v>NA</v>
          </cell>
          <cell r="O112" t="str">
            <v>609788968153</v>
          </cell>
          <cell r="P112"/>
          <cell r="Q112"/>
          <cell r="R112"/>
          <cell r="S112"/>
          <cell r="T112"/>
          <cell r="U112"/>
          <cell r="V112"/>
          <cell r="W112"/>
          <cell r="X112"/>
        </row>
        <row r="113">
          <cell r="A113">
            <v>45971</v>
          </cell>
          <cell r="B113" t="str">
            <v>Botswana</v>
          </cell>
          <cell r="C113" t="str">
            <v>A4569</v>
          </cell>
          <cell r="D113"/>
          <cell r="F113"/>
          <cell r="G113" t="str">
            <v>DHEA50-60-FD</v>
          </cell>
          <cell r="H113">
            <v>48</v>
          </cell>
          <cell r="I113" t="str">
            <v>F13-25.2</v>
          </cell>
          <cell r="J113">
            <v>48</v>
          </cell>
          <cell r="L113" t="str">
            <v>D/W Sent</v>
          </cell>
          <cell r="M113"/>
          <cell r="N113" t="str">
            <v>NA</v>
          </cell>
          <cell r="O113">
            <v>609788968221</v>
          </cell>
          <cell r="P113">
            <v>5000</v>
          </cell>
          <cell r="Q113">
            <v>4832</v>
          </cell>
          <cell r="R113" t="str">
            <v>complete</v>
          </cell>
          <cell r="S113"/>
          <cell r="T113"/>
          <cell r="U113"/>
          <cell r="V113"/>
          <cell r="W113"/>
          <cell r="X113"/>
        </row>
        <row r="114">
          <cell r="A114">
            <v>45971</v>
          </cell>
          <cell r="B114" t="str">
            <v>Botswana</v>
          </cell>
          <cell r="C114" t="str">
            <v>A4569</v>
          </cell>
          <cell r="D114"/>
          <cell r="F114"/>
          <cell r="G114" t="str">
            <v>WFSPLS-180-FD</v>
          </cell>
          <cell r="H114">
            <v>48</v>
          </cell>
          <cell r="I114" t="str">
            <v>F73-23.0</v>
          </cell>
          <cell r="J114">
            <v>48</v>
          </cell>
          <cell r="L114" t="str">
            <v>D/W Sent</v>
          </cell>
          <cell r="M114"/>
          <cell r="N114" t="str">
            <v>NA</v>
          </cell>
          <cell r="O114">
            <v>609788968351</v>
          </cell>
          <cell r="P114">
            <v>9000</v>
          </cell>
          <cell r="Q114">
            <v>4845</v>
          </cell>
          <cell r="R114" t="str">
            <v>complete</v>
          </cell>
          <cell r="S114"/>
          <cell r="T114"/>
          <cell r="U114"/>
          <cell r="V114"/>
          <cell r="W114"/>
          <cell r="X114"/>
        </row>
        <row r="115">
          <cell r="A115">
            <v>45971</v>
          </cell>
          <cell r="B115" t="str">
            <v>Botswana</v>
          </cell>
          <cell r="C115" t="str">
            <v>A4569</v>
          </cell>
          <cell r="D115"/>
          <cell r="F115"/>
          <cell r="G115" t="str">
            <v>SPERMCT-60-FD</v>
          </cell>
          <cell r="H115">
            <v>24</v>
          </cell>
          <cell r="I115" t="str">
            <v>F64-25.0</v>
          </cell>
          <cell r="J115">
            <v>24</v>
          </cell>
          <cell r="L115" t="str">
            <v>D/W Sent</v>
          </cell>
          <cell r="M115"/>
          <cell r="N115" t="str">
            <v>NA</v>
          </cell>
          <cell r="O115">
            <v>609788968405</v>
          </cell>
          <cell r="P115">
            <v>5500</v>
          </cell>
          <cell r="Q115">
            <v>4850</v>
          </cell>
          <cell r="R115" t="str">
            <v>complete</v>
          </cell>
          <cell r="S115"/>
          <cell r="T115"/>
          <cell r="U115"/>
          <cell r="V115"/>
          <cell r="W115"/>
          <cell r="X115"/>
        </row>
        <row r="116">
          <cell r="A116">
            <v>45971</v>
          </cell>
          <cell r="B116" t="str">
            <v>Botswana</v>
          </cell>
          <cell r="C116" t="str">
            <v>A4569</v>
          </cell>
          <cell r="D116"/>
          <cell r="F116"/>
          <cell r="G116" t="str">
            <v>OVAMAX-120-FD</v>
          </cell>
          <cell r="H116">
            <v>48</v>
          </cell>
          <cell r="I116" t="str">
            <v>F97-25.0</v>
          </cell>
          <cell r="J116">
            <v>48</v>
          </cell>
          <cell r="L116" t="str">
            <v>D/W Sent</v>
          </cell>
          <cell r="M116"/>
          <cell r="N116" t="str">
            <v>NA</v>
          </cell>
          <cell r="O116">
            <v>609788968399</v>
          </cell>
          <cell r="P116">
            <v>16000</v>
          </cell>
          <cell r="Q116">
            <v>4823</v>
          </cell>
          <cell r="R116" t="str">
            <v>complete</v>
          </cell>
          <cell r="S116"/>
          <cell r="T116"/>
          <cell r="U116"/>
          <cell r="V116"/>
          <cell r="W116"/>
          <cell r="X116"/>
        </row>
        <row r="117">
          <cell r="A117">
            <v>45971</v>
          </cell>
          <cell r="B117" t="str">
            <v>Botswana</v>
          </cell>
          <cell r="C117" t="str">
            <v>A4569</v>
          </cell>
          <cell r="D117"/>
          <cell r="F117">
            <v>49241225</v>
          </cell>
          <cell r="G117" t="str">
            <v>CAVIN-60-FD</v>
          </cell>
          <cell r="H117">
            <v>48</v>
          </cell>
          <cell r="I117" t="str">
            <v>F08-25.0</v>
          </cell>
          <cell r="J117">
            <v>48</v>
          </cell>
          <cell r="L117" t="str">
            <v>D/W Sent</v>
          </cell>
          <cell r="M117"/>
          <cell r="N117" t="str">
            <v>NA</v>
          </cell>
          <cell r="O117">
            <v>609788968597</v>
          </cell>
          <cell r="P117">
            <v>5000</v>
          </cell>
          <cell r="Q117">
            <v>4924</v>
          </cell>
          <cell r="R117" t="str">
            <v>Complete</v>
          </cell>
          <cell r="S117"/>
          <cell r="T117"/>
          <cell r="U117"/>
          <cell r="V117"/>
          <cell r="W117"/>
          <cell r="X117"/>
        </row>
        <row r="118">
          <cell r="A118">
            <v>45971</v>
          </cell>
          <cell r="B118" t="str">
            <v>Botswana</v>
          </cell>
          <cell r="C118" t="str">
            <v>A4569</v>
          </cell>
          <cell r="D118"/>
          <cell r="F118"/>
          <cell r="G118" t="str">
            <v>FERTMX-90-RE</v>
          </cell>
          <cell r="H118">
            <v>48</v>
          </cell>
          <cell r="I118" t="str">
            <v>R16-22.0</v>
          </cell>
          <cell r="J118">
            <v>48</v>
          </cell>
          <cell r="L118" t="str">
            <v>D/W Sent</v>
          </cell>
          <cell r="M118"/>
          <cell r="N118" t="str">
            <v>Y</v>
          </cell>
          <cell r="O118">
            <v>609788968726</v>
          </cell>
          <cell r="P118">
            <v>5000</v>
          </cell>
          <cell r="Q118">
            <v>4834</v>
          </cell>
          <cell r="R118" t="str">
            <v>complete</v>
          </cell>
          <cell r="S118"/>
          <cell r="T118"/>
          <cell r="U118"/>
          <cell r="V118"/>
          <cell r="W118"/>
          <cell r="X118"/>
        </row>
        <row r="119">
          <cell r="A119">
            <v>45971</v>
          </cell>
          <cell r="B119" t="str">
            <v>Botswana</v>
          </cell>
          <cell r="C119" t="str">
            <v>A4569</v>
          </cell>
          <cell r="D119"/>
          <cell r="F119"/>
          <cell r="G119" t="str">
            <v>OME369-90-FD</v>
          </cell>
          <cell r="H119">
            <v>120</v>
          </cell>
          <cell r="I119" t="str">
            <v>F39-22.1</v>
          </cell>
          <cell r="J119">
            <v>120</v>
          </cell>
          <cell r="L119" t="str">
            <v>D/W Sent</v>
          </cell>
          <cell r="M119"/>
          <cell r="N119" t="str">
            <v>Y</v>
          </cell>
          <cell r="O119" t="str">
            <v>609788968511</v>
          </cell>
          <cell r="P119"/>
          <cell r="Q119">
            <v>4896</v>
          </cell>
          <cell r="R119"/>
          <cell r="S119"/>
          <cell r="T119"/>
          <cell r="U119"/>
          <cell r="V119"/>
          <cell r="W119"/>
          <cell r="X119"/>
        </row>
        <row r="120">
          <cell r="A120">
            <v>45971</v>
          </cell>
          <cell r="B120" t="str">
            <v>Botswana</v>
          </cell>
          <cell r="C120" t="str">
            <v>A4569</v>
          </cell>
          <cell r="D120"/>
          <cell r="F120"/>
          <cell r="G120" t="str">
            <v>PRECON-90-FD</v>
          </cell>
          <cell r="H120">
            <v>48</v>
          </cell>
          <cell r="I120" t="str">
            <v>F54-23.0</v>
          </cell>
          <cell r="J120">
            <v>48</v>
          </cell>
          <cell r="L120" t="str">
            <v>D/W Sent</v>
          </cell>
          <cell r="M120"/>
          <cell r="N120" t="str">
            <v>NA</v>
          </cell>
          <cell r="O120">
            <v>609788968368</v>
          </cell>
          <cell r="P120">
            <v>5000</v>
          </cell>
          <cell r="Q120">
            <v>4851</v>
          </cell>
          <cell r="R120" t="str">
            <v>complete</v>
          </cell>
          <cell r="S120"/>
          <cell r="T120"/>
          <cell r="U120"/>
          <cell r="V120"/>
          <cell r="W120"/>
          <cell r="X120"/>
        </row>
        <row r="121">
          <cell r="A121">
            <v>45971</v>
          </cell>
          <cell r="B121" t="str">
            <v>Botswana</v>
          </cell>
          <cell r="C121" t="str">
            <v>A4569</v>
          </cell>
          <cell r="D121"/>
          <cell r="F121"/>
          <cell r="G121" t="str">
            <v>PRECON-180-FD</v>
          </cell>
          <cell r="H121">
            <v>48</v>
          </cell>
          <cell r="I121" t="str">
            <v>F55-22.2</v>
          </cell>
          <cell r="J121">
            <v>48</v>
          </cell>
          <cell r="L121" t="str">
            <v>D/W Sent</v>
          </cell>
          <cell r="M121"/>
          <cell r="N121" t="str">
            <v>NA</v>
          </cell>
          <cell r="O121">
            <v>609788968375</v>
          </cell>
          <cell r="P121">
            <v>5000</v>
          </cell>
          <cell r="Q121">
            <v>4849</v>
          </cell>
          <cell r="R121" t="str">
            <v>complete</v>
          </cell>
          <cell r="S121"/>
          <cell r="T121"/>
          <cell r="U121"/>
          <cell r="V121"/>
          <cell r="W121"/>
          <cell r="X121"/>
        </row>
        <row r="122">
          <cell r="A122">
            <v>45971</v>
          </cell>
          <cell r="B122" t="str">
            <v>Botswana</v>
          </cell>
          <cell r="C122" t="str">
            <v>A4569</v>
          </cell>
          <cell r="D122"/>
          <cell r="F122"/>
          <cell r="G122" t="str">
            <v>PENAMAX-60-GE-FD</v>
          </cell>
          <cell r="H122">
            <v>24</v>
          </cell>
          <cell r="I122" t="str">
            <v>F88-25.1</v>
          </cell>
          <cell r="J122">
            <v>24</v>
          </cell>
          <cell r="L122" t="str">
            <v>D/W Sent</v>
          </cell>
          <cell r="M122"/>
          <cell r="N122" t="str">
            <v>Y</v>
          </cell>
          <cell r="O122">
            <v>609788968702</v>
          </cell>
          <cell r="P122"/>
          <cell r="Q122"/>
          <cell r="R122"/>
          <cell r="S122"/>
          <cell r="T122"/>
          <cell r="U122"/>
          <cell r="V122"/>
          <cell r="W122"/>
          <cell r="X122"/>
        </row>
        <row r="123">
          <cell r="A123">
            <v>45971</v>
          </cell>
          <cell r="B123" t="str">
            <v>Botswana</v>
          </cell>
          <cell r="C123" t="str">
            <v>A4569</v>
          </cell>
          <cell r="D123"/>
          <cell r="F123"/>
          <cell r="G123" t="str">
            <v>XTRAD10-60-FD</v>
          </cell>
          <cell r="H123">
            <v>120</v>
          </cell>
          <cell r="I123" t="str">
            <v>F76-25.0</v>
          </cell>
          <cell r="J123">
            <v>120</v>
          </cell>
          <cell r="L123"/>
          <cell r="M123"/>
          <cell r="N123" t="str">
            <v>NA</v>
          </cell>
          <cell r="O123" t="str">
            <v>609788968122</v>
          </cell>
          <cell r="P123">
            <v>12000</v>
          </cell>
          <cell r="Q123">
            <v>4690</v>
          </cell>
          <cell r="R123" t="str">
            <v>complete</v>
          </cell>
          <cell r="S123"/>
          <cell r="T123"/>
          <cell r="U123"/>
          <cell r="V123"/>
          <cell r="W123"/>
          <cell r="X123"/>
        </row>
        <row r="124">
          <cell r="A124">
            <v>45975</v>
          </cell>
          <cell r="B124" t="str">
            <v>UAE</v>
          </cell>
          <cell r="C124" t="str">
            <v>A4572</v>
          </cell>
          <cell r="D124"/>
          <cell r="F124"/>
          <cell r="G124" t="str">
            <v>ALC-60-FD</v>
          </cell>
          <cell r="H124">
            <v>417</v>
          </cell>
          <cell r="I124" t="str">
            <v>F03-25.1</v>
          </cell>
          <cell r="J124">
            <v>0</v>
          </cell>
          <cell r="L124" t="str">
            <v>In Production</v>
          </cell>
          <cell r="M124"/>
          <cell r="N124" t="str">
            <v>NA</v>
          </cell>
          <cell r="O124">
            <v>609788968085</v>
          </cell>
          <cell r="P124">
            <v>2000</v>
          </cell>
          <cell r="Q124">
            <v>4933</v>
          </cell>
          <cell r="R124">
            <v>46194</v>
          </cell>
          <cell r="S124"/>
          <cell r="T124"/>
          <cell r="U124"/>
          <cell r="V124"/>
          <cell r="W124"/>
          <cell r="X124" t="str">
            <v>HOLD</v>
          </cell>
        </row>
        <row r="125">
          <cell r="A125">
            <v>45975</v>
          </cell>
          <cell r="B125" t="str">
            <v>UAE</v>
          </cell>
          <cell r="C125" t="str">
            <v>A4572</v>
          </cell>
          <cell r="D125"/>
          <cell r="F125"/>
          <cell r="G125" t="str">
            <v>EYECAP-30-FD</v>
          </cell>
          <cell r="H125">
            <v>600</v>
          </cell>
          <cell r="I125" t="str">
            <v>F15-22.1</v>
          </cell>
          <cell r="J125">
            <v>0</v>
          </cell>
          <cell r="L125" t="str">
            <v>Not Meet MOQ</v>
          </cell>
          <cell r="M125"/>
          <cell r="N125" t="str">
            <v>Y</v>
          </cell>
          <cell r="O125">
            <v>609788968443</v>
          </cell>
          <cell r="P125">
            <v>5000</v>
          </cell>
          <cell r="Q125">
            <v>4934</v>
          </cell>
          <cell r="R125" t="str">
            <v>TBD</v>
          </cell>
          <cell r="S125" t="str">
            <v>Pending approval to send to vendor</v>
          </cell>
          <cell r="T125"/>
          <cell r="U125"/>
          <cell r="V125"/>
          <cell r="W125"/>
          <cell r="X125"/>
        </row>
        <row r="126">
          <cell r="A126">
            <v>45975</v>
          </cell>
          <cell r="B126" t="str">
            <v>UAE</v>
          </cell>
          <cell r="C126" t="str">
            <v>A4572</v>
          </cell>
          <cell r="D126"/>
          <cell r="F126" t="str">
            <v>4/15/2026: 720 packs allocated from Libya A4571
4/29/2026: 720 packs moved from UAE A4572
5/4/2026: Awaiting approval to send without IFC
5/6/2026: Moved from A4553</v>
          </cell>
          <cell r="G126" t="str">
            <v>EYECAP-30-FD</v>
          </cell>
          <cell r="H126">
            <v>720</v>
          </cell>
          <cell r="I126" t="str">
            <v>F15-22.1</v>
          </cell>
          <cell r="J126">
            <v>720</v>
          </cell>
          <cell r="L126" t="str">
            <v>Not Meet MOQ</v>
          </cell>
          <cell r="M126"/>
          <cell r="N126" t="str">
            <v>Y</v>
          </cell>
          <cell r="O126">
            <v>609788968443</v>
          </cell>
          <cell r="P126">
            <v>5000</v>
          </cell>
          <cell r="Q126">
            <v>4934</v>
          </cell>
          <cell r="R126" t="str">
            <v>TBD</v>
          </cell>
          <cell r="S126" t="str">
            <v>Pending approval to send to vendor</v>
          </cell>
          <cell r="T126"/>
          <cell r="U126"/>
          <cell r="V126"/>
          <cell r="W126"/>
          <cell r="X126"/>
        </row>
        <row r="127">
          <cell r="A127">
            <v>45975</v>
          </cell>
          <cell r="B127" t="str">
            <v>UAE</v>
          </cell>
          <cell r="C127" t="str">
            <v>A4572</v>
          </cell>
          <cell r="D127"/>
          <cell r="F127"/>
          <cell r="G127" t="str">
            <v>PEDIAD4-50-FD</v>
          </cell>
          <cell r="H127">
            <v>1350</v>
          </cell>
          <cell r="I127" t="str">
            <v>F45-26.0</v>
          </cell>
          <cell r="J127">
            <v>0</v>
          </cell>
          <cell r="L127" t="str">
            <v>PO submitted</v>
          </cell>
          <cell r="M127"/>
          <cell r="N127" t="str">
            <v>Y</v>
          </cell>
          <cell r="O127">
            <v>810131199623</v>
          </cell>
          <cell r="P127">
            <v>5000</v>
          </cell>
          <cell r="Q127">
            <v>4979</v>
          </cell>
          <cell r="R127" t="str">
            <v>TBD</v>
          </cell>
          <cell r="S127" t="str">
            <v>Waiting for IFC to start production.</v>
          </cell>
          <cell r="T127"/>
          <cell r="U127"/>
          <cell r="V127"/>
          <cell r="W127"/>
          <cell r="X127"/>
        </row>
        <row r="128">
          <cell r="A128">
            <v>45975</v>
          </cell>
          <cell r="B128" t="str">
            <v>UAE</v>
          </cell>
          <cell r="C128" t="str">
            <v>A4572</v>
          </cell>
          <cell r="D128"/>
          <cell r="F128"/>
          <cell r="G128" t="str">
            <v>LARGIN-100-FD</v>
          </cell>
          <cell r="H128">
            <v>619</v>
          </cell>
          <cell r="I128" t="str">
            <v>F25-23.0</v>
          </cell>
          <cell r="J128">
            <v>0</v>
          </cell>
          <cell r="L128" t="str">
            <v>In Production</v>
          </cell>
          <cell r="M128"/>
          <cell r="N128"/>
          <cell r="O128">
            <v>609788968559</v>
          </cell>
          <cell r="P128">
            <v>2000</v>
          </cell>
          <cell r="Q128">
            <v>4998</v>
          </cell>
          <cell r="R128">
            <v>46198</v>
          </cell>
          <cell r="S128"/>
          <cell r="T128"/>
          <cell r="U128"/>
          <cell r="V128"/>
          <cell r="W128"/>
          <cell r="X128"/>
        </row>
        <row r="129">
          <cell r="A129">
            <v>45975</v>
          </cell>
          <cell r="B129" t="str">
            <v>UAE</v>
          </cell>
          <cell r="C129" t="str">
            <v>A4572</v>
          </cell>
          <cell r="D129"/>
          <cell r="F129"/>
          <cell r="G129" t="str">
            <v>ZINC25-60-FD</v>
          </cell>
          <cell r="H129">
            <v>1050</v>
          </cell>
          <cell r="I129" t="str">
            <v>F78-22.0</v>
          </cell>
          <cell r="J129">
            <v>0</v>
          </cell>
          <cell r="L129" t="str">
            <v>PO Drafted</v>
          </cell>
          <cell r="M129"/>
          <cell r="N129" t="str">
            <v>NA</v>
          </cell>
          <cell r="O129">
            <v>609788968245</v>
          </cell>
          <cell r="P129">
            <v>5000</v>
          </cell>
          <cell r="Q129">
            <v>5031</v>
          </cell>
          <cell r="R129" t="str">
            <v>TBD</v>
          </cell>
          <cell r="S129" t="str">
            <v>Pending approval to send to vendor</v>
          </cell>
          <cell r="T129"/>
          <cell r="U129"/>
          <cell r="V129"/>
          <cell r="W129"/>
          <cell r="X129"/>
        </row>
        <row r="130">
          <cell r="A130">
            <v>45975</v>
          </cell>
          <cell r="B130" t="str">
            <v>UAE</v>
          </cell>
          <cell r="C130" t="str">
            <v>A4572</v>
          </cell>
          <cell r="D130"/>
          <cell r="F130"/>
          <cell r="G130" t="str">
            <v>MAGNES-50-FD</v>
          </cell>
          <cell r="H130">
            <v>1050</v>
          </cell>
          <cell r="I130" t="str">
            <v>F85-25.0</v>
          </cell>
          <cell r="J130">
            <v>0</v>
          </cell>
          <cell r="L130" t="str">
            <v>In Production</v>
          </cell>
          <cell r="M130" t="str">
            <v> </v>
          </cell>
          <cell r="N130" t="str">
            <v>NA</v>
          </cell>
          <cell r="O130">
            <v>810131199401</v>
          </cell>
          <cell r="P130">
            <v>2000</v>
          </cell>
          <cell r="Q130">
            <v>4997</v>
          </cell>
          <cell r="R130">
            <v>46193</v>
          </cell>
          <cell r="S130"/>
          <cell r="T130"/>
          <cell r="U130"/>
          <cell r="V130"/>
          <cell r="W130"/>
          <cell r="X130"/>
        </row>
        <row r="131">
          <cell r="A131">
            <v>46034</v>
          </cell>
          <cell r="B131" t="str">
            <v>UAE</v>
          </cell>
          <cell r="C131" t="str">
            <v>A4572</v>
          </cell>
          <cell r="D131"/>
          <cell r="F131" t="str">
            <v>product added on 1/12/2025</v>
          </cell>
          <cell r="G131" t="str">
            <v>NRGMEN-45-CS-UA</v>
          </cell>
          <cell r="H131">
            <v>2000</v>
          </cell>
          <cell r="I131" t="str">
            <v>UA84-26.0</v>
          </cell>
          <cell r="J131">
            <v>0</v>
          </cell>
          <cell r="L131" t="str">
            <v>PO Drafted</v>
          </cell>
          <cell r="M131" t="str">
            <v>from sales: MUST BE NEW LABEL UPLOADED , new batch from new formula. NEW LABEL UPLOADED 2/12 BY OVERSEAS</v>
          </cell>
          <cell r="N131" t="str">
            <v>Y</v>
          </cell>
          <cell r="O131">
            <v>604776735892</v>
          </cell>
          <cell r="P131">
            <v>3000</v>
          </cell>
          <cell r="Q131">
            <v>5028</v>
          </cell>
          <cell r="R131" t="str">
            <v>TBD</v>
          </cell>
          <cell r="S131" t="str">
            <v>Pending approval to send to vendor</v>
          </cell>
          <cell r="T131"/>
          <cell r="U131"/>
          <cell r="V131"/>
          <cell r="W131"/>
          <cell r="X131"/>
        </row>
        <row r="132">
          <cell r="A132">
            <v>46034</v>
          </cell>
          <cell r="B132" t="str">
            <v>UAE</v>
          </cell>
          <cell r="C132" t="str">
            <v>A4572</v>
          </cell>
          <cell r="D132"/>
          <cell r="F132" t="str">
            <v>2/25/2026: Moved from UAE A4553. 
3/4/2026: qty reduced from 790 -&gt; 490</v>
          </cell>
          <cell r="G132" t="str">
            <v>POLYSIT-90-RE</v>
          </cell>
          <cell r="H132">
            <v>490</v>
          </cell>
          <cell r="I132" t="str">
            <v>R53-17.0</v>
          </cell>
          <cell r="J132"/>
          <cell r="L132" t="str">
            <v>In Production</v>
          </cell>
          <cell r="M132"/>
          <cell r="N132" t="str">
            <v>Y</v>
          </cell>
          <cell r="O132">
            <v>609788969006</v>
          </cell>
          <cell r="P132">
            <v>5000</v>
          </cell>
          <cell r="Q132">
            <v>5034</v>
          </cell>
          <cell r="R132">
            <v>46204</v>
          </cell>
          <cell r="S132"/>
          <cell r="T132"/>
          <cell r="U132"/>
          <cell r="V132"/>
          <cell r="W132"/>
          <cell r="X132"/>
        </row>
        <row r="133">
          <cell r="A133">
            <v>45975</v>
          </cell>
          <cell r="B133" t="str">
            <v>UAE</v>
          </cell>
          <cell r="C133" t="str">
            <v>A4572</v>
          </cell>
          <cell r="D133"/>
          <cell r="F133" t="str">
            <v>2/4/2026: Moved from UAE A4572
5/4/2026: Moved back from UAE A4553</v>
          </cell>
          <cell r="G133" t="str">
            <v>ROYALPL-30-FD</v>
          </cell>
          <cell r="H133">
            <v>1485</v>
          </cell>
          <cell r="I133" t="str">
            <v>F62-25.0</v>
          </cell>
          <cell r="J133">
            <v>0</v>
          </cell>
          <cell r="L133" t="str">
            <v>Production Complete</v>
          </cell>
          <cell r="M133"/>
          <cell r="N133" t="str">
            <v>NA</v>
          </cell>
          <cell r="O133">
            <v>609788968672</v>
          </cell>
          <cell r="P133">
            <v>5000</v>
          </cell>
          <cell r="Q133">
            <v>4875</v>
          </cell>
          <cell r="R133" t="str">
            <v>complete</v>
          </cell>
          <cell r="S133" t="str">
            <v>Held at MFR facility</v>
          </cell>
          <cell r="T133"/>
          <cell r="U133"/>
          <cell r="V133"/>
          <cell r="W133"/>
          <cell r="X133"/>
        </row>
        <row r="134">
          <cell r="A134">
            <v>46058</v>
          </cell>
          <cell r="B134" t="str">
            <v>UAE</v>
          </cell>
          <cell r="C134" t="str">
            <v>A4572</v>
          </cell>
          <cell r="D134"/>
          <cell r="F134" t="str">
            <v>3/30/2026:
Moved from UAE A4644
5/4/2026: Moved from A4553</v>
          </cell>
          <cell r="G134" t="str">
            <v>OMEGA3-60-CS-UA</v>
          </cell>
          <cell r="H134">
            <v>1500</v>
          </cell>
          <cell r="I134" t="str">
            <v>UA37-25.0</v>
          </cell>
          <cell r="J134">
            <v>0</v>
          </cell>
          <cell r="L134" t="str">
            <v>In Production</v>
          </cell>
          <cell r="M134"/>
          <cell r="N134" t="str">
            <v>Y</v>
          </cell>
          <cell r="O134">
            <v>609788968184</v>
          </cell>
          <cell r="P134">
            <v>1500</v>
          </cell>
          <cell r="Q134">
            <v>5069</v>
          </cell>
          <cell r="R134">
            <v>46223</v>
          </cell>
          <cell r="S134" t="str">
            <v>PO submitted at Genova</v>
          </cell>
          <cell r="T134"/>
          <cell r="U134"/>
          <cell r="V134"/>
          <cell r="W134"/>
          <cell r="X134"/>
        </row>
        <row r="135">
          <cell r="A135">
            <v>45975</v>
          </cell>
          <cell r="B135" t="str">
            <v>UAE</v>
          </cell>
          <cell r="C135" t="str">
            <v>A4572</v>
          </cell>
          <cell r="D135"/>
          <cell r="F135" t="str">
            <v>2/4/2026: Moved from UAE A4572
5/13/2026: Moved from UAE A4553</v>
          </cell>
          <cell r="G135" t="str">
            <v>LIPODIS-60-FD</v>
          </cell>
          <cell r="H135">
            <v>1207</v>
          </cell>
          <cell r="I135" t="str">
            <v>F26-22.0</v>
          </cell>
          <cell r="J135">
            <v>0</v>
          </cell>
          <cell r="L135" t="str">
            <v>Available</v>
          </cell>
          <cell r="M135"/>
          <cell r="N135" t="str">
            <v>Y</v>
          </cell>
          <cell r="O135">
            <v>604776735823</v>
          </cell>
          <cell r="P135">
            <v>7000</v>
          </cell>
          <cell r="Q135">
            <v>4971</v>
          </cell>
          <cell r="R135" t="str">
            <v>Complete</v>
          </cell>
          <cell r="S135" t="str">
            <v>Waiting for PL and sample approval</v>
          </cell>
          <cell r="T135"/>
          <cell r="U135"/>
          <cell r="V135"/>
          <cell r="W135"/>
          <cell r="X135" t="str">
            <v>HOLD</v>
          </cell>
        </row>
        <row r="136">
          <cell r="A136"/>
          <cell r="B136"/>
          <cell r="C136"/>
          <cell r="D136"/>
          <cell r="F136"/>
          <cell r="G136"/>
          <cell r="H136"/>
          <cell r="I136"/>
          <cell r="J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</row>
        <row r="137">
          <cell r="A137">
            <v>45975</v>
          </cell>
          <cell r="B137" t="str">
            <v>Uganda</v>
          </cell>
          <cell r="C137" t="str">
            <v>A4574</v>
          </cell>
          <cell r="D137" t="str">
            <v>New Docs to be made</v>
          </cell>
          <cell r="F137" t="str">
            <v>49481225
Mfg:12/2025
Exp:12/2028                                  5/21/2026: Allocating 240 pcs to Egypt A4683.</v>
          </cell>
          <cell r="G137" t="str">
            <v>MFSPLS-120-FD</v>
          </cell>
          <cell r="H137">
            <v>240</v>
          </cell>
          <cell r="I137" t="str">
            <v>F30-25.1</v>
          </cell>
          <cell r="J137">
            <v>240</v>
          </cell>
          <cell r="L137" t="str">
            <v>In Production</v>
          </cell>
          <cell r="M137"/>
          <cell r="N137" t="str">
            <v>NA</v>
          </cell>
          <cell r="O137">
            <v>609788968344</v>
          </cell>
          <cell r="P137">
            <v>9195</v>
          </cell>
          <cell r="Q137">
            <v>5032</v>
          </cell>
          <cell r="R137">
            <v>46211</v>
          </cell>
          <cell r="S137"/>
          <cell r="T137"/>
          <cell r="U137"/>
          <cell r="V137"/>
          <cell r="W137"/>
          <cell r="X137" t="str">
            <v>HOLD</v>
          </cell>
        </row>
        <row r="138">
          <cell r="A138">
            <v>45975</v>
          </cell>
          <cell r="B138" t="str">
            <v>Uganda</v>
          </cell>
          <cell r="C138" t="str">
            <v>A4574</v>
          </cell>
          <cell r="D138"/>
          <cell r="F138" t="str">
            <v>11/19/2025: allocated 192 packs to KSA A4566
5/11/2026: Allocating to Kenya A4699.</v>
          </cell>
          <cell r="G138" t="str">
            <v>FERTMX-90-RE</v>
          </cell>
          <cell r="H138">
            <v>8</v>
          </cell>
          <cell r="I138" t="str">
            <v>R16-22.0</v>
          </cell>
          <cell r="J138">
            <v>8</v>
          </cell>
          <cell r="L138" t="str">
            <v>PO submitted</v>
          </cell>
          <cell r="M138"/>
          <cell r="N138" t="str">
            <v>Y</v>
          </cell>
          <cell r="O138">
            <v>609788968726</v>
          </cell>
          <cell r="P138">
            <v>5000</v>
          </cell>
          <cell r="Q138">
            <v>5041</v>
          </cell>
          <cell r="R138" t="str">
            <v>TBD</v>
          </cell>
          <cell r="S138" t="str">
            <v>Waiting for vendor confirmation.</v>
          </cell>
          <cell r="T138"/>
          <cell r="U138"/>
          <cell r="V138"/>
          <cell r="W138"/>
          <cell r="X138"/>
        </row>
        <row r="139">
          <cell r="A139">
            <v>45980</v>
          </cell>
          <cell r="B139" t="str">
            <v>Uganda</v>
          </cell>
          <cell r="C139" t="str">
            <v>A4574</v>
          </cell>
          <cell r="D139"/>
          <cell r="F139" t="str">
            <v>11/19/2025: Fulfilled from PO4834                        5/11/2026: Allocating to Kenya A4699.</v>
          </cell>
          <cell r="G139" t="str">
            <v>FERTMX-90-RE</v>
          </cell>
          <cell r="H139">
            <v>192</v>
          </cell>
          <cell r="I139" t="str">
            <v>R16-22.0</v>
          </cell>
          <cell r="J139">
            <v>192</v>
          </cell>
          <cell r="L139" t="str">
            <v>PO submitted</v>
          </cell>
          <cell r="M139"/>
          <cell r="N139" t="str">
            <v>Y</v>
          </cell>
          <cell r="O139">
            <v>609788968726</v>
          </cell>
          <cell r="P139">
            <v>5000</v>
          </cell>
          <cell r="Q139">
            <v>5041</v>
          </cell>
          <cell r="R139" t="str">
            <v>TBD</v>
          </cell>
          <cell r="S139" t="str">
            <v>Waiting for vendor confirmation.</v>
          </cell>
          <cell r="T139"/>
          <cell r="U139"/>
          <cell r="V139"/>
          <cell r="W139"/>
          <cell r="X139"/>
        </row>
        <row r="140">
          <cell r="A140">
            <v>45975</v>
          </cell>
          <cell r="B140" t="str">
            <v>Uganda</v>
          </cell>
          <cell r="C140" t="str">
            <v>A4574</v>
          </cell>
          <cell r="D140"/>
          <cell r="F140" t="str">
            <v>03/10/26 Product allocated to Somalia A4655</v>
          </cell>
          <cell r="G140" t="str">
            <v>DHEA50-60-FD</v>
          </cell>
          <cell r="H140">
            <v>30</v>
          </cell>
          <cell r="I140" t="str">
            <v>F13-25.2</v>
          </cell>
          <cell r="J140">
            <v>0</v>
          </cell>
          <cell r="L140" t="str">
            <v>In Production</v>
          </cell>
          <cell r="M140"/>
          <cell r="N140" t="str">
            <v>NA</v>
          </cell>
          <cell r="O140">
            <v>609788968221</v>
          </cell>
          <cell r="P140">
            <v>7000</v>
          </cell>
          <cell r="Q140">
            <v>5027</v>
          </cell>
          <cell r="R140">
            <v>46201</v>
          </cell>
          <cell r="S140"/>
          <cell r="T140"/>
          <cell r="U140"/>
          <cell r="V140"/>
          <cell r="W140"/>
          <cell r="X140"/>
        </row>
        <row r="141">
          <cell r="A141">
            <v>45975</v>
          </cell>
          <cell r="B141" t="str">
            <v>Uganda</v>
          </cell>
          <cell r="C141" t="str">
            <v>A4574</v>
          </cell>
          <cell r="D141"/>
          <cell r="F141" t="str">
            <v>4/9/2026: 200 packs of Ovamax allocated to Bahrain A4685</v>
          </cell>
          <cell r="G141" t="str">
            <v>OVAMAX-120-FD</v>
          </cell>
          <cell r="H141">
            <v>200</v>
          </cell>
          <cell r="I141" t="str">
            <v>F41-25.0</v>
          </cell>
          <cell r="J141">
            <v>0</v>
          </cell>
          <cell r="L141" t="str">
            <v>In Production</v>
          </cell>
          <cell r="M141"/>
          <cell r="N141" t="str">
            <v>NA</v>
          </cell>
          <cell r="O141">
            <v>810131199586</v>
          </cell>
          <cell r="P141">
            <v>10775</v>
          </cell>
          <cell r="Q141">
            <v>5055</v>
          </cell>
          <cell r="R141">
            <v>46213</v>
          </cell>
          <cell r="S141"/>
          <cell r="T141"/>
          <cell r="U141"/>
          <cell r="V141"/>
          <cell r="W141"/>
          <cell r="X141"/>
        </row>
        <row r="142">
          <cell r="A142">
            <v>45975</v>
          </cell>
          <cell r="B142" t="str">
            <v>Uganda</v>
          </cell>
          <cell r="C142" t="str">
            <v>A4574</v>
          </cell>
          <cell r="D142"/>
          <cell r="F142"/>
          <cell r="G142" t="str">
            <v>WFSPLS-180-FD</v>
          </cell>
          <cell r="H142">
            <v>30</v>
          </cell>
          <cell r="I142" t="str">
            <v>F73-23.0</v>
          </cell>
          <cell r="J142">
            <v>30</v>
          </cell>
          <cell r="L142" t="str">
            <v>Picked</v>
          </cell>
          <cell r="M142"/>
          <cell r="N142" t="str">
            <v>NA</v>
          </cell>
          <cell r="O142">
            <v>609788968351</v>
          </cell>
          <cell r="P142">
            <v>9000</v>
          </cell>
          <cell r="Q142">
            <v>4845</v>
          </cell>
          <cell r="R142" t="str">
            <v>complete</v>
          </cell>
          <cell r="S142"/>
          <cell r="T142"/>
          <cell r="U142"/>
          <cell r="V142"/>
          <cell r="W142"/>
          <cell r="X142"/>
        </row>
        <row r="143">
          <cell r="A143">
            <v>45975</v>
          </cell>
          <cell r="B143" t="str">
            <v>Uganda</v>
          </cell>
          <cell r="C143" t="str">
            <v>A4574</v>
          </cell>
          <cell r="D143"/>
          <cell r="F143"/>
          <cell r="G143" t="str">
            <v>QWELL4-30-SG-FD</v>
          </cell>
          <cell r="H143">
            <v>60</v>
          </cell>
          <cell r="I143" t="str">
            <v>F58-25.3</v>
          </cell>
          <cell r="J143">
            <v>60</v>
          </cell>
          <cell r="L143" t="str">
            <v>Picked</v>
          </cell>
          <cell r="M143"/>
          <cell r="N143" t="str">
            <v>NA</v>
          </cell>
          <cell r="O143" t="str">
            <v>609788968214</v>
          </cell>
          <cell r="P143"/>
          <cell r="Q143"/>
          <cell r="R143"/>
          <cell r="S143"/>
          <cell r="T143"/>
          <cell r="U143"/>
          <cell r="V143"/>
          <cell r="W143"/>
          <cell r="X143"/>
        </row>
        <row r="144">
          <cell r="A144">
            <v>45975</v>
          </cell>
          <cell r="B144" t="str">
            <v>Uganda</v>
          </cell>
          <cell r="C144" t="str">
            <v>A4574</v>
          </cell>
          <cell r="D144"/>
          <cell r="F144"/>
          <cell r="G144" t="str">
            <v>PRECON-180-FD</v>
          </cell>
          <cell r="H144">
            <v>50</v>
          </cell>
          <cell r="I144" t="str">
            <v>F55-22.2</v>
          </cell>
          <cell r="J144">
            <v>50</v>
          </cell>
          <cell r="L144" t="str">
            <v>Picked</v>
          </cell>
          <cell r="M144"/>
          <cell r="N144" t="str">
            <v>NA</v>
          </cell>
          <cell r="O144">
            <v>609788968375</v>
          </cell>
          <cell r="P144">
            <v>5000</v>
          </cell>
          <cell r="Q144">
            <v>4849</v>
          </cell>
          <cell r="R144" t="str">
            <v>complete</v>
          </cell>
          <cell r="S144"/>
          <cell r="T144"/>
          <cell r="U144"/>
          <cell r="V144"/>
          <cell r="W144"/>
          <cell r="X144"/>
        </row>
        <row r="145">
          <cell r="A145">
            <v>45975</v>
          </cell>
          <cell r="B145" t="str">
            <v>Uganda</v>
          </cell>
          <cell r="C145" t="str">
            <v>A4574</v>
          </cell>
          <cell r="D145"/>
          <cell r="F145"/>
          <cell r="G145" t="str">
            <v>PENAMAX-60-GE-FD</v>
          </cell>
          <cell r="H145">
            <v>100</v>
          </cell>
          <cell r="I145" t="str">
            <v>F88-25.1</v>
          </cell>
          <cell r="J145">
            <v>100</v>
          </cell>
          <cell r="L145" t="str">
            <v>Picked</v>
          </cell>
          <cell r="M145"/>
          <cell r="N145" t="str">
            <v>Y</v>
          </cell>
          <cell r="O145">
            <v>609788968702</v>
          </cell>
          <cell r="P145"/>
          <cell r="Q145"/>
          <cell r="R145"/>
          <cell r="S145"/>
          <cell r="T145"/>
          <cell r="U145"/>
          <cell r="V145"/>
          <cell r="W145"/>
          <cell r="X145"/>
        </row>
        <row r="146">
          <cell r="A146">
            <v>46034</v>
          </cell>
          <cell r="B146" t="str">
            <v>UAE</v>
          </cell>
          <cell r="C146" t="str">
            <v>A4572</v>
          </cell>
          <cell r="D146"/>
          <cell r="F146" t="str">
            <v>product added on 1/12/2025</v>
          </cell>
          <cell r="G146" t="str">
            <v>NRGMEN-45-CS-UA</v>
          </cell>
          <cell r="H146">
            <v>2000</v>
          </cell>
          <cell r="I146" t="str">
            <v>UA84-26.0</v>
          </cell>
          <cell r="J146">
            <v>0</v>
          </cell>
          <cell r="L146"/>
          <cell r="M146" t="str">
            <v>from sales: MUST BE NEW LABEL UPLOADED , new batch from new formula. NEW LABEL UPLOADED 2/12 BY OVERSEAS</v>
          </cell>
          <cell r="N146" t="str">
            <v>Y</v>
          </cell>
          <cell r="O146">
            <v>604777000000</v>
          </cell>
          <cell r="P146">
            <v>3000</v>
          </cell>
          <cell r="Q146">
            <v>5028</v>
          </cell>
          <cell r="R146" t="str">
            <v>TBD</v>
          </cell>
          <cell r="S146" t="str">
            <v>Pending approval to send to vendor</v>
          </cell>
          <cell r="T146"/>
          <cell r="U146"/>
          <cell r="V146"/>
          <cell r="W146"/>
          <cell r="X146"/>
        </row>
        <row r="147">
          <cell r="A147">
            <v>45975</v>
          </cell>
          <cell r="B147" t="str">
            <v>Ethiopia</v>
          </cell>
          <cell r="C147" t="str">
            <v>A4575</v>
          </cell>
          <cell r="D147"/>
          <cell r="F147" t="str">
            <v>5/11/2026: Allocating to Kenya A4699.</v>
          </cell>
          <cell r="G147" t="str">
            <v>FERTMX-90-RE</v>
          </cell>
          <cell r="H147">
            <v>288</v>
          </cell>
          <cell r="I147" t="str">
            <v>R16-22.0</v>
          </cell>
          <cell r="J147">
            <v>288</v>
          </cell>
          <cell r="L147" t="str">
            <v>PO submitted</v>
          </cell>
          <cell r="M147"/>
          <cell r="N147" t="str">
            <v>Y</v>
          </cell>
          <cell r="O147">
            <v>609788968726</v>
          </cell>
          <cell r="P147">
            <v>5000</v>
          </cell>
          <cell r="Q147">
            <v>5041</v>
          </cell>
          <cell r="R147" t="str">
            <v>TBD</v>
          </cell>
          <cell r="S147" t="str">
            <v>Waiting for vendor confirmation.</v>
          </cell>
          <cell r="T147"/>
          <cell r="U147"/>
          <cell r="V147"/>
          <cell r="W147"/>
          <cell r="X147" t="str">
            <v>HOLD</v>
          </cell>
        </row>
        <row r="148">
          <cell r="A148">
            <v>45975</v>
          </cell>
          <cell r="B148" t="str">
            <v>Ethiopia</v>
          </cell>
          <cell r="C148" t="str">
            <v>A4575</v>
          </cell>
          <cell r="D148"/>
          <cell r="F148" t="str">
            <v>5/13/2026: Full qty (1008) allocating to Qatar A4693</v>
          </cell>
          <cell r="G148" t="str">
            <v>MFSPLS-120-FD</v>
          </cell>
          <cell r="H148">
            <v>1008</v>
          </cell>
          <cell r="I148" t="str">
            <v>F30-25.1</v>
          </cell>
          <cell r="J148">
            <v>1008</v>
          </cell>
          <cell r="L148" t="str">
            <v>PO submitted</v>
          </cell>
          <cell r="M148"/>
          <cell r="N148" t="str">
            <v>NA</v>
          </cell>
          <cell r="O148">
            <v>609788968344</v>
          </cell>
          <cell r="P148" t="str">
            <v>300000 bulk</v>
          </cell>
          <cell r="Q148">
            <v>5064</v>
          </cell>
          <cell r="R148" t="str">
            <v>TBD</v>
          </cell>
          <cell r="S148" t="str">
            <v>Bulk PO Submitted, Pending ETA confirmation</v>
          </cell>
          <cell r="T148"/>
          <cell r="U148"/>
          <cell r="V148"/>
          <cell r="W148"/>
          <cell r="X148"/>
        </row>
        <row r="149">
          <cell r="A149">
            <v>45975</v>
          </cell>
          <cell r="B149" t="str">
            <v>Ethiopia</v>
          </cell>
          <cell r="C149" t="str">
            <v>A4575</v>
          </cell>
          <cell r="D149"/>
          <cell r="F149"/>
          <cell r="G149" t="str">
            <v>OVAMAX-120-FD</v>
          </cell>
          <cell r="H149">
            <v>288</v>
          </cell>
          <cell r="I149" t="str">
            <v>F41-25.0</v>
          </cell>
          <cell r="J149">
            <v>288</v>
          </cell>
          <cell r="L149" t="str">
            <v>Picked</v>
          </cell>
          <cell r="M149"/>
          <cell r="N149" t="str">
            <v>NA</v>
          </cell>
          <cell r="O149">
            <v>609788968399</v>
          </cell>
          <cell r="P149">
            <v>16000</v>
          </cell>
          <cell r="Q149">
            <v>4823</v>
          </cell>
          <cell r="R149" t="str">
            <v>complete</v>
          </cell>
          <cell r="S149"/>
          <cell r="T149"/>
          <cell r="U149"/>
          <cell r="V149"/>
          <cell r="W149"/>
          <cell r="X149"/>
        </row>
        <row r="150">
          <cell r="A150">
            <v>45975</v>
          </cell>
          <cell r="B150" t="str">
            <v>Ethiopia</v>
          </cell>
          <cell r="C150" t="str">
            <v>A4575</v>
          </cell>
          <cell r="D150"/>
          <cell r="F150" t="str">
            <v>5/12/2026: Allocating to Lebanon A4690</v>
          </cell>
          <cell r="G150" t="str">
            <v>WFSPLS-180-FD</v>
          </cell>
          <cell r="H150">
            <v>120</v>
          </cell>
          <cell r="I150" t="str">
            <v>F73-23.0</v>
          </cell>
          <cell r="J150">
            <v>120</v>
          </cell>
          <cell r="L150" t="str">
            <v>PO Drafted</v>
          </cell>
          <cell r="M150"/>
          <cell r="N150" t="str">
            <v>NA</v>
          </cell>
          <cell r="O150">
            <v>609788968351</v>
          </cell>
          <cell r="P150">
            <v>5000</v>
          </cell>
          <cell r="Q150">
            <v>5043</v>
          </cell>
          <cell r="R150" t="str">
            <v>TBD</v>
          </cell>
          <cell r="S150" t="str">
            <v>Pending approval to send to vendor</v>
          </cell>
          <cell r="T150"/>
          <cell r="U150"/>
          <cell r="V150"/>
          <cell r="W150"/>
          <cell r="X150"/>
        </row>
        <row r="151">
          <cell r="A151">
            <v>45975</v>
          </cell>
          <cell r="B151" t="str">
            <v>Ethiopia</v>
          </cell>
          <cell r="C151" t="str">
            <v>A4575</v>
          </cell>
          <cell r="D151"/>
          <cell r="F151" t="str">
            <v>12/4/2025: Allocated 201 packs to A4519</v>
          </cell>
          <cell r="G151" t="str">
            <v>QWELL4-30-SG-FD</v>
          </cell>
          <cell r="H151">
            <v>87</v>
          </cell>
          <cell r="I151" t="str">
            <v>F58-25.3</v>
          </cell>
          <cell r="J151">
            <v>87</v>
          </cell>
          <cell r="L151" t="str">
            <v>Picked</v>
          </cell>
          <cell r="M151"/>
          <cell r="N151" t="str">
            <v>NA</v>
          </cell>
          <cell r="O151" t="str">
            <v>609788968214</v>
          </cell>
          <cell r="P151"/>
          <cell r="Q151"/>
          <cell r="R151"/>
          <cell r="S151"/>
          <cell r="T151"/>
          <cell r="U151"/>
          <cell r="V151"/>
          <cell r="W151"/>
          <cell r="X151"/>
        </row>
        <row r="152">
          <cell r="A152">
            <v>45902</v>
          </cell>
          <cell r="B152" t="str">
            <v>Ethiopia</v>
          </cell>
          <cell r="C152" t="str">
            <v>A4575</v>
          </cell>
          <cell r="D152"/>
          <cell r="F152" t="str">
            <v xml:space="preserve">9/3/2025: Changed from SG to VE  12/4/2025: Moved from A4519 due to allocation </v>
          </cell>
          <cell r="G152" t="str">
            <v>QWELL4-30-VE-FD</v>
          </cell>
          <cell r="H152">
            <v>200</v>
          </cell>
          <cell r="I152" t="str">
            <v>F99-23.0</v>
          </cell>
          <cell r="J152">
            <v>0</v>
          </cell>
          <cell r="L152" t="str">
            <v>Production complete</v>
          </cell>
          <cell r="M152"/>
          <cell r="N152" t="str">
            <v>NA</v>
          </cell>
          <cell r="O152" t="str">
            <v>810131192 532</v>
          </cell>
          <cell r="P152">
            <v>4000</v>
          </cell>
          <cell r="Q152">
            <v>4808</v>
          </cell>
          <cell r="R152" t="str">
            <v>Complete</v>
          </cell>
          <cell r="S152" t="str">
            <v>Awaiting vendor packing list</v>
          </cell>
          <cell r="T152"/>
          <cell r="U152"/>
          <cell r="V152"/>
          <cell r="W152"/>
          <cell r="X152"/>
        </row>
        <row r="153">
          <cell r="A153">
            <v>45975</v>
          </cell>
          <cell r="B153" t="str">
            <v>Ethiopia</v>
          </cell>
          <cell r="C153" t="str">
            <v>A4575</v>
          </cell>
          <cell r="D153"/>
          <cell r="F153" t="str">
            <v>5/12/2026: Allocating to Lebanon A4690</v>
          </cell>
          <cell r="G153" t="str">
            <v>PRECON-180-FD</v>
          </cell>
          <cell r="H153">
            <v>165</v>
          </cell>
          <cell r="I153" t="str">
            <v>F55-22.2</v>
          </cell>
          <cell r="J153">
            <v>165</v>
          </cell>
          <cell r="L153" t="str">
            <v>In Production</v>
          </cell>
          <cell r="M153"/>
          <cell r="N153" t="str">
            <v>NA</v>
          </cell>
          <cell r="O153">
            <v>609788968375</v>
          </cell>
          <cell r="P153">
            <v>5000</v>
          </cell>
          <cell r="Q153">
            <v>5060</v>
          </cell>
          <cell r="R153">
            <v>46205</v>
          </cell>
          <cell r="S153"/>
          <cell r="T153"/>
          <cell r="U153"/>
          <cell r="V153"/>
          <cell r="W153"/>
          <cell r="X153"/>
        </row>
        <row r="154">
          <cell r="A154">
            <v>45975</v>
          </cell>
          <cell r="B154" t="str">
            <v>Ethiopia</v>
          </cell>
          <cell r="C154" t="str">
            <v>A4575</v>
          </cell>
          <cell r="D154"/>
          <cell r="F154"/>
          <cell r="G154" t="str">
            <v>PRECON-180-FD</v>
          </cell>
          <cell r="H154">
            <v>37</v>
          </cell>
          <cell r="I154" t="str">
            <v>F55-22.2</v>
          </cell>
          <cell r="J154">
            <v>37</v>
          </cell>
          <cell r="L154" t="str">
            <v>Picked</v>
          </cell>
          <cell r="M154"/>
          <cell r="N154" t="str">
            <v>NA</v>
          </cell>
          <cell r="O154">
            <v>609788968375</v>
          </cell>
          <cell r="P154">
            <v>5000</v>
          </cell>
          <cell r="Q154">
            <v>4849</v>
          </cell>
          <cell r="R154"/>
          <cell r="S154"/>
          <cell r="T154"/>
          <cell r="U154"/>
          <cell r="V154"/>
          <cell r="W154"/>
          <cell r="X154"/>
        </row>
        <row r="155">
          <cell r="A155">
            <v>45975</v>
          </cell>
          <cell r="B155" t="str">
            <v>Ethiopia</v>
          </cell>
          <cell r="C155" t="str">
            <v>A4575</v>
          </cell>
          <cell r="D155"/>
          <cell r="F155"/>
          <cell r="G155" t="str">
            <v>PENAMAX-60-GE-FD</v>
          </cell>
          <cell r="H155">
            <v>202</v>
          </cell>
          <cell r="I155" t="str">
            <v>F88-25.1</v>
          </cell>
          <cell r="J155">
            <v>202</v>
          </cell>
          <cell r="L155" t="str">
            <v>Picked</v>
          </cell>
          <cell r="M155"/>
          <cell r="N155" t="str">
            <v>Y</v>
          </cell>
          <cell r="O155">
            <v>609788968702</v>
          </cell>
          <cell r="P155"/>
          <cell r="Q155"/>
          <cell r="R155"/>
          <cell r="S155"/>
          <cell r="T155"/>
          <cell r="U155"/>
          <cell r="V155"/>
          <cell r="W155"/>
          <cell r="X155"/>
        </row>
        <row r="156">
          <cell r="A156">
            <v>45975</v>
          </cell>
          <cell r="B156" t="str">
            <v>Uganda</v>
          </cell>
          <cell r="C156" t="str">
            <v>A4574</v>
          </cell>
          <cell r="D156"/>
          <cell r="F156" t="str">
            <v>4/9/2026: 200 packs of Ovamax allocated to Bahrain A4685</v>
          </cell>
          <cell r="G156" t="str">
            <v>OVAMAX-120-FD</v>
          </cell>
          <cell r="H156">
            <v>200</v>
          </cell>
          <cell r="I156" t="str">
            <v>F41-25.0</v>
          </cell>
          <cell r="J156">
            <v>200</v>
          </cell>
          <cell r="L156"/>
          <cell r="M156"/>
          <cell r="N156" t="str">
            <v>NA</v>
          </cell>
          <cell r="O156">
            <v>810131199586</v>
          </cell>
          <cell r="P156">
            <v>4100</v>
          </cell>
          <cell r="Q156">
            <v>4949</v>
          </cell>
          <cell r="R156" t="str">
            <v>Complete</v>
          </cell>
          <cell r="S156"/>
          <cell r="T156"/>
          <cell r="U156"/>
          <cell r="V156"/>
          <cell r="W156"/>
          <cell r="X156"/>
        </row>
        <row r="157">
          <cell r="A157">
            <v>46057</v>
          </cell>
          <cell r="B157" t="str">
            <v>Egypt</v>
          </cell>
          <cell r="C157" t="str">
            <v>A4634</v>
          </cell>
          <cell r="D157"/>
          <cell r="F157" t="str">
            <v>2/25/2025: Moved from Egypt A4642. Backorder for excess quantities.                                     5/11/2026: UPC updated.</v>
          </cell>
          <cell r="G157" t="str">
            <v>POLYSIT-90-CS-EG</v>
          </cell>
          <cell r="H157">
            <v>1050</v>
          </cell>
          <cell r="I157" t="str">
            <v>EG53-26</v>
          </cell>
          <cell r="J157">
            <v>0</v>
          </cell>
          <cell r="L157" t="str">
            <v>In Production</v>
          </cell>
          <cell r="M157" t="str">
            <v>2/26/26 may require their new amended label size delay till 4/3</v>
          </cell>
          <cell r="N157" t="str">
            <v>NA</v>
          </cell>
          <cell r="O157">
            <v>604776740414</v>
          </cell>
          <cell r="P157">
            <v>5000</v>
          </cell>
          <cell r="Q157">
            <v>5034</v>
          </cell>
          <cell r="R157">
            <v>46204</v>
          </cell>
          <cell r="S157"/>
          <cell r="T157"/>
          <cell r="U157"/>
          <cell r="V157"/>
          <cell r="W157"/>
          <cell r="X157" t="str">
            <v>Approved</v>
          </cell>
        </row>
        <row r="158">
          <cell r="A158">
            <v>45975</v>
          </cell>
          <cell r="B158" t="str">
            <v>Uganda</v>
          </cell>
          <cell r="C158" t="str">
            <v>A4574</v>
          </cell>
          <cell r="D158"/>
          <cell r="F158"/>
          <cell r="G158" t="str">
            <v>QWELL4-30-SG-FD</v>
          </cell>
          <cell r="H158">
            <v>60</v>
          </cell>
          <cell r="I158" t="str">
            <v>F58-25.3</v>
          </cell>
          <cell r="J158">
            <v>60</v>
          </cell>
          <cell r="L158"/>
          <cell r="M158"/>
          <cell r="N158" t="str">
            <v>NA</v>
          </cell>
          <cell r="O158" t="str">
            <v>609788968214</v>
          </cell>
          <cell r="P158"/>
          <cell r="Q158"/>
          <cell r="R158"/>
          <cell r="S158"/>
          <cell r="T158"/>
          <cell r="U158"/>
          <cell r="V158"/>
          <cell r="W158"/>
          <cell r="X158"/>
        </row>
        <row r="159">
          <cell r="A159">
            <v>45981</v>
          </cell>
          <cell r="B159" t="str">
            <v>Chad</v>
          </cell>
          <cell r="C159" t="str">
            <v>A4640</v>
          </cell>
          <cell r="D159"/>
          <cell r="F159" t="str">
            <v>3/13/2026: qty increased from 1500 -&gt; 1800 (300 packs moved from Chad A4597)</v>
          </cell>
          <cell r="G159" t="str">
            <v>PEDIAIR-50-FD</v>
          </cell>
          <cell r="H159">
            <v>1800</v>
          </cell>
          <cell r="I159" t="str">
            <v>F48-26.0</v>
          </cell>
          <cell r="J159">
            <v>0</v>
          </cell>
          <cell r="L159" t="str">
            <v>PO submitted</v>
          </cell>
          <cell r="M159"/>
          <cell r="N159" t="str">
            <v>Y</v>
          </cell>
          <cell r="O159">
            <v>810131199654</v>
          </cell>
          <cell r="P159">
            <v>5000</v>
          </cell>
          <cell r="Q159">
            <v>4977</v>
          </cell>
          <cell r="R159" t="str">
            <v>TBD</v>
          </cell>
          <cell r="S159" t="str">
            <v>Waiting for IFC to start production.</v>
          </cell>
          <cell r="T159"/>
          <cell r="U159"/>
          <cell r="V159"/>
          <cell r="W159"/>
          <cell r="X159" t="str">
            <v>HOLD</v>
          </cell>
        </row>
        <row r="160">
          <cell r="A160">
            <v>45981</v>
          </cell>
          <cell r="B160" t="str">
            <v>Chad</v>
          </cell>
          <cell r="C160" t="str">
            <v>A4640</v>
          </cell>
          <cell r="D160"/>
          <cell r="F160"/>
          <cell r="G160" t="str">
            <v>PEDIAZI-50-FD</v>
          </cell>
          <cell r="H160">
            <v>1500</v>
          </cell>
          <cell r="I160" t="str">
            <v>F50-26.0</v>
          </cell>
          <cell r="J160">
            <v>0</v>
          </cell>
          <cell r="L160" t="str">
            <v>PO submitted</v>
          </cell>
          <cell r="M160"/>
          <cell r="N160" t="str">
            <v>Y</v>
          </cell>
          <cell r="O160">
            <v>810131199678</v>
          </cell>
          <cell r="P160">
            <v>5000</v>
          </cell>
          <cell r="Q160">
            <v>4978</v>
          </cell>
          <cell r="R160" t="str">
            <v>TBD</v>
          </cell>
          <cell r="S160" t="str">
            <v>Waiting for IFC to start production.</v>
          </cell>
          <cell r="T160"/>
          <cell r="U160"/>
          <cell r="V160"/>
          <cell r="W160"/>
          <cell r="X160"/>
        </row>
        <row r="161">
          <cell r="A161">
            <v>45981</v>
          </cell>
          <cell r="B161" t="str">
            <v>Chad</v>
          </cell>
          <cell r="C161" t="str">
            <v>A4640</v>
          </cell>
          <cell r="D161"/>
          <cell r="F161" t="str">
            <v>11/25/2025: Qty updated</v>
          </cell>
          <cell r="G161" t="str">
            <v>PEDIAD4-50-FD</v>
          </cell>
          <cell r="H161">
            <v>500</v>
          </cell>
          <cell r="I161" t="str">
            <v>F45-26.0</v>
          </cell>
          <cell r="J161">
            <v>0</v>
          </cell>
          <cell r="L161" t="str">
            <v>PO submitted</v>
          </cell>
          <cell r="M161"/>
          <cell r="N161" t="str">
            <v>Y</v>
          </cell>
          <cell r="O161">
            <v>810131199623</v>
          </cell>
          <cell r="P161">
            <v>5000</v>
          </cell>
          <cell r="Q161">
            <v>4979</v>
          </cell>
          <cell r="R161" t="str">
            <v>TBD</v>
          </cell>
          <cell r="S161" t="str">
            <v>Waiting for IFC to start production.</v>
          </cell>
          <cell r="T161"/>
          <cell r="U161"/>
          <cell r="V161"/>
          <cell r="W161"/>
          <cell r="X161"/>
        </row>
        <row r="162">
          <cell r="A162">
            <v>45981</v>
          </cell>
          <cell r="B162" t="str">
            <v>Chad</v>
          </cell>
          <cell r="C162" t="str">
            <v>A4640</v>
          </cell>
          <cell r="D162"/>
          <cell r="F162"/>
          <cell r="G162" t="str">
            <v>PEDIACM-50-FD</v>
          </cell>
          <cell r="H162">
            <v>1500</v>
          </cell>
          <cell r="I162" t="str">
            <v>F44-26.0</v>
          </cell>
          <cell r="J162">
            <v>0</v>
          </cell>
          <cell r="L162" t="str">
            <v>PO submitted</v>
          </cell>
          <cell r="M162"/>
          <cell r="N162" t="str">
            <v>Y</v>
          </cell>
          <cell r="O162">
            <v>810131199616</v>
          </cell>
          <cell r="P162">
            <v>5000</v>
          </cell>
          <cell r="Q162">
            <v>4980</v>
          </cell>
          <cell r="R162" t="str">
            <v>TBD</v>
          </cell>
          <cell r="S162" t="str">
            <v>Waiting for IFC to start production.</v>
          </cell>
          <cell r="T162"/>
          <cell r="U162"/>
          <cell r="V162"/>
          <cell r="W162"/>
          <cell r="X162"/>
        </row>
        <row r="163">
          <cell r="A163">
            <v>45975</v>
          </cell>
          <cell r="B163" t="str">
            <v>Ethiopia</v>
          </cell>
          <cell r="C163" t="str">
            <v>A4575</v>
          </cell>
          <cell r="D163"/>
          <cell r="F163" t="str">
            <v>5/13/2026: Full qty (1008) allocating to Qatar A4693</v>
          </cell>
          <cell r="G163" t="str">
            <v>MFSPLS-120-FD</v>
          </cell>
          <cell r="H163">
            <v>1008</v>
          </cell>
          <cell r="I163" t="str">
            <v>F30-25.1</v>
          </cell>
          <cell r="J163">
            <v>1008</v>
          </cell>
          <cell r="L163"/>
          <cell r="M163"/>
          <cell r="N163" t="str">
            <v>NA</v>
          </cell>
          <cell r="O163">
            <v>609788968344</v>
          </cell>
          <cell r="P163">
            <v>7000</v>
          </cell>
          <cell r="Q163">
            <v>4935</v>
          </cell>
          <cell r="R163" t="str">
            <v>complete</v>
          </cell>
          <cell r="S163"/>
          <cell r="T163"/>
          <cell r="U163"/>
          <cell r="V163"/>
          <cell r="W163"/>
          <cell r="X163"/>
        </row>
        <row r="164">
          <cell r="A164">
            <v>45981</v>
          </cell>
          <cell r="B164" t="str">
            <v>South Sudan</v>
          </cell>
          <cell r="C164" t="str">
            <v>A4586</v>
          </cell>
          <cell r="D164"/>
          <cell r="F164"/>
          <cell r="G164" t="str">
            <v>MFSPLS-120-FD</v>
          </cell>
          <cell r="H164">
            <v>300</v>
          </cell>
          <cell r="I164" t="str">
            <v>F30-25.1</v>
          </cell>
          <cell r="J164">
            <v>0</v>
          </cell>
          <cell r="L164" t="str">
            <v>D/W Sent</v>
          </cell>
          <cell r="M164">
            <v>46143</v>
          </cell>
          <cell r="N164" t="str">
            <v>NA</v>
          </cell>
          <cell r="O164">
            <v>609788968344</v>
          </cell>
          <cell r="P164">
            <v>7000</v>
          </cell>
          <cell r="Q164">
            <v>4935</v>
          </cell>
          <cell r="R164" t="str">
            <v>complete</v>
          </cell>
          <cell r="S164"/>
          <cell r="T164"/>
          <cell r="U164"/>
          <cell r="V164"/>
          <cell r="W164"/>
          <cell r="X164" t="str">
            <v>Approved</v>
          </cell>
        </row>
        <row r="165">
          <cell r="A165">
            <v>45981</v>
          </cell>
          <cell r="B165" t="str">
            <v>South Sudan</v>
          </cell>
          <cell r="C165" t="str">
            <v>A4586</v>
          </cell>
          <cell r="D165"/>
          <cell r="F165"/>
          <cell r="G165" t="str">
            <v>OVAMAX-120-FD</v>
          </cell>
          <cell r="H165">
            <v>300</v>
          </cell>
          <cell r="I165" t="str">
            <v>F41-25.0</v>
          </cell>
          <cell r="J165">
            <v>300</v>
          </cell>
          <cell r="L165" t="str">
            <v>D/W Sent</v>
          </cell>
          <cell r="M165"/>
          <cell r="N165" t="str">
            <v>NA</v>
          </cell>
          <cell r="O165">
            <v>810131199586</v>
          </cell>
          <cell r="P165">
            <v>4100</v>
          </cell>
          <cell r="Q165">
            <v>4823</v>
          </cell>
          <cell r="R165"/>
          <cell r="S165"/>
          <cell r="T165"/>
          <cell r="U165"/>
          <cell r="V165">
            <v>46062</v>
          </cell>
          <cell r="W165"/>
          <cell r="X165"/>
        </row>
        <row r="166">
          <cell r="A166">
            <v>45981</v>
          </cell>
          <cell r="B166" t="str">
            <v>South Sudan</v>
          </cell>
          <cell r="C166" t="str">
            <v>A4586</v>
          </cell>
          <cell r="D166"/>
          <cell r="F166" t="str">
            <v>2/11/2026: IFC updated to Y following IFC scrub.</v>
          </cell>
          <cell r="G166" t="str">
            <v>FERTMX-90-RE</v>
          </cell>
          <cell r="H166">
            <v>300</v>
          </cell>
          <cell r="I166" t="str">
            <v>R16-22</v>
          </cell>
          <cell r="J166">
            <v>300</v>
          </cell>
          <cell r="L166" t="str">
            <v>D/W Sent</v>
          </cell>
          <cell r="M166"/>
          <cell r="N166" t="str">
            <v>Y</v>
          </cell>
          <cell r="O166">
            <v>609788968726</v>
          </cell>
          <cell r="P166">
            <v>5000</v>
          </cell>
          <cell r="Q166">
            <v>4834</v>
          </cell>
          <cell r="R166" t="str">
            <v>complete</v>
          </cell>
          <cell r="S166"/>
          <cell r="T166"/>
          <cell r="U166"/>
          <cell r="V166"/>
          <cell r="W166"/>
          <cell r="X166"/>
        </row>
        <row r="167">
          <cell r="A167">
            <v>45981</v>
          </cell>
          <cell r="B167" t="str">
            <v>South Sudan</v>
          </cell>
          <cell r="C167" t="str">
            <v>A4586</v>
          </cell>
          <cell r="D167"/>
          <cell r="F167"/>
          <cell r="G167" t="str">
            <v>PRECON-180-FD</v>
          </cell>
          <cell r="H167">
            <v>100</v>
          </cell>
          <cell r="I167" t="str">
            <v>F55-22.2</v>
          </cell>
          <cell r="J167">
            <v>100</v>
          </cell>
          <cell r="L167" t="str">
            <v>D/W Sent</v>
          </cell>
          <cell r="M167"/>
          <cell r="N167" t="str">
            <v>NA</v>
          </cell>
          <cell r="O167">
            <v>609788968375</v>
          </cell>
          <cell r="P167">
            <v>5000</v>
          </cell>
          <cell r="Q167">
            <v>4849</v>
          </cell>
          <cell r="R167" t="str">
            <v>complete</v>
          </cell>
          <cell r="S167"/>
          <cell r="T167"/>
          <cell r="U167"/>
          <cell r="V167"/>
          <cell r="W167"/>
          <cell r="X167"/>
        </row>
        <row r="168">
          <cell r="A168">
            <v>45981</v>
          </cell>
          <cell r="B168" t="str">
            <v>South Sudan</v>
          </cell>
          <cell r="C168" t="str">
            <v>A4586</v>
          </cell>
          <cell r="D168"/>
          <cell r="F168"/>
          <cell r="G168" t="str">
            <v>FIBRO-60-FD</v>
          </cell>
          <cell r="H168">
            <v>100</v>
          </cell>
          <cell r="I168" t="str">
            <v>F17-25.0</v>
          </cell>
          <cell r="J168">
            <v>100</v>
          </cell>
          <cell r="L168" t="str">
            <v>D/W Sent</v>
          </cell>
          <cell r="M168"/>
          <cell r="N168" t="str">
            <v>NA</v>
          </cell>
          <cell r="O168" t="str">
            <v>609788968498</v>
          </cell>
          <cell r="P168">
            <v>6500</v>
          </cell>
          <cell r="Q168">
            <v>4840</v>
          </cell>
          <cell r="R168" t="str">
            <v>complete</v>
          </cell>
          <cell r="S168"/>
          <cell r="T168"/>
          <cell r="U168"/>
          <cell r="V168"/>
          <cell r="W168"/>
          <cell r="X168"/>
        </row>
        <row r="169">
          <cell r="A169">
            <v>45981</v>
          </cell>
          <cell r="B169" t="str">
            <v>South Sudan</v>
          </cell>
          <cell r="C169" t="str">
            <v>A4586</v>
          </cell>
          <cell r="D169"/>
          <cell r="F169"/>
          <cell r="G169" t="str">
            <v>COQ400-30-VE-CS-SU</v>
          </cell>
          <cell r="H169">
            <v>400</v>
          </cell>
          <cell r="I169" t="str">
            <v>SU58-23.0</v>
          </cell>
          <cell r="J169">
            <v>0</v>
          </cell>
          <cell r="L169" t="str">
            <v>D/W Sent</v>
          </cell>
          <cell r="M169"/>
          <cell r="N169" t="str">
            <v>NA</v>
          </cell>
          <cell r="O169">
            <v>609788968467</v>
          </cell>
          <cell r="P169">
            <v>4000</v>
          </cell>
          <cell r="Q169">
            <v>4940</v>
          </cell>
          <cell r="R169" t="str">
            <v>Complete</v>
          </cell>
          <cell r="S169"/>
          <cell r="T169"/>
          <cell r="U169"/>
          <cell r="V169"/>
          <cell r="W169"/>
          <cell r="X169"/>
        </row>
        <row r="170">
          <cell r="A170">
            <v>45981</v>
          </cell>
          <cell r="B170" t="str">
            <v>South Sudan</v>
          </cell>
          <cell r="C170" t="str">
            <v>A4586</v>
          </cell>
          <cell r="D170" t="str">
            <v>...</v>
          </cell>
          <cell r="F170"/>
          <cell r="G170" t="str">
            <v>DHEA50-60-FD</v>
          </cell>
          <cell r="H170">
            <v>300</v>
          </cell>
          <cell r="I170" t="str">
            <v>F13-25.2</v>
          </cell>
          <cell r="J170">
            <v>300</v>
          </cell>
          <cell r="L170" t="str">
            <v>D/W Sent</v>
          </cell>
          <cell r="M170"/>
          <cell r="N170" t="str">
            <v>NA</v>
          </cell>
          <cell r="O170">
            <v>609788968221</v>
          </cell>
          <cell r="P170"/>
          <cell r="Q170">
            <v>4832</v>
          </cell>
          <cell r="R170"/>
          <cell r="S170"/>
          <cell r="T170"/>
          <cell r="U170"/>
          <cell r="V170"/>
          <cell r="W170"/>
          <cell r="X170"/>
        </row>
        <row r="171">
          <cell r="A171">
            <v>45981</v>
          </cell>
          <cell r="B171" t="str">
            <v>South Sudan</v>
          </cell>
          <cell r="C171" t="str">
            <v>A4586</v>
          </cell>
          <cell r="D171"/>
          <cell r="F171"/>
          <cell r="G171" t="str">
            <v>PENAMAX-60-GE-FD</v>
          </cell>
          <cell r="H171">
            <v>100</v>
          </cell>
          <cell r="I171" t="str">
            <v>F88-25.1</v>
          </cell>
          <cell r="J171">
            <v>100</v>
          </cell>
          <cell r="L171" t="str">
            <v>D/W Sent</v>
          </cell>
          <cell r="M171"/>
          <cell r="N171" t="str">
            <v>Y</v>
          </cell>
          <cell r="O171">
            <v>609788968702</v>
          </cell>
          <cell r="P171"/>
          <cell r="Q171">
            <v>4805</v>
          </cell>
          <cell r="R171"/>
          <cell r="S171"/>
          <cell r="T171"/>
          <cell r="U171"/>
          <cell r="V171"/>
          <cell r="W171"/>
          <cell r="X171"/>
        </row>
        <row r="172">
          <cell r="A172">
            <v>45981</v>
          </cell>
          <cell r="B172" t="str">
            <v>South Sudan</v>
          </cell>
          <cell r="C172" t="str">
            <v>A4586</v>
          </cell>
          <cell r="D172"/>
          <cell r="F172"/>
          <cell r="G172" t="str">
            <v>MOTILMX-60-FD</v>
          </cell>
          <cell r="H172">
            <v>250</v>
          </cell>
          <cell r="I172" t="str">
            <v>F31-23.0</v>
          </cell>
          <cell r="J172">
            <v>250</v>
          </cell>
          <cell r="L172" t="str">
            <v>D/W Sent</v>
          </cell>
          <cell r="M172"/>
          <cell r="N172" t="str">
            <v>NA</v>
          </cell>
          <cell r="O172">
            <v>609788968191</v>
          </cell>
          <cell r="P172"/>
          <cell r="Q172">
            <v>4754</v>
          </cell>
          <cell r="R172"/>
          <cell r="S172"/>
          <cell r="T172"/>
          <cell r="U172"/>
          <cell r="V172"/>
          <cell r="W172"/>
          <cell r="X172"/>
        </row>
        <row r="173">
          <cell r="A173">
            <v>45981</v>
          </cell>
          <cell r="B173" t="str">
            <v>South Sudan</v>
          </cell>
          <cell r="C173" t="str">
            <v>A4586</v>
          </cell>
          <cell r="D173"/>
          <cell r="F173"/>
          <cell r="G173" t="str">
            <v>WFSPLS-180-FD</v>
          </cell>
          <cell r="H173">
            <v>50</v>
          </cell>
          <cell r="I173" t="str">
            <v>F73-23.0</v>
          </cell>
          <cell r="J173">
            <v>0</v>
          </cell>
          <cell r="L173" t="str">
            <v>D/W Sent</v>
          </cell>
          <cell r="M173"/>
          <cell r="N173" t="str">
            <v>NA</v>
          </cell>
          <cell r="O173">
            <v>609788968351</v>
          </cell>
          <cell r="P173">
            <v>9000</v>
          </cell>
          <cell r="Q173">
            <v>4845</v>
          </cell>
          <cell r="R173" t="str">
            <v>complete</v>
          </cell>
          <cell r="S173"/>
          <cell r="T173"/>
          <cell r="U173"/>
          <cell r="V173"/>
          <cell r="W173"/>
          <cell r="X173"/>
        </row>
        <row r="174">
          <cell r="L174"/>
        </row>
        <row r="175">
          <cell r="A175">
            <v>45992</v>
          </cell>
          <cell r="B175" t="str">
            <v>China</v>
          </cell>
          <cell r="C175" t="str">
            <v>A4592</v>
          </cell>
          <cell r="D175"/>
          <cell r="F175"/>
          <cell r="G175" t="str">
            <v>NERUFLX-60-FD</v>
          </cell>
          <cell r="H175">
            <v>100</v>
          </cell>
          <cell r="I175" t="str">
            <v>F115-25.0</v>
          </cell>
          <cell r="J175">
            <v>100</v>
          </cell>
          <cell r="L175" t="str">
            <v>D/W Sent</v>
          </cell>
          <cell r="M175" t="str">
            <v>01/14 D/W Sent</v>
          </cell>
          <cell r="N175" t="str">
            <v>Y</v>
          </cell>
          <cell r="O175">
            <v>810131193164</v>
          </cell>
          <cell r="P175">
            <v>7000</v>
          </cell>
          <cell r="Q175">
            <v>4867</v>
          </cell>
          <cell r="R175" t="str">
            <v>complete</v>
          </cell>
          <cell r="S175"/>
          <cell r="T175"/>
          <cell r="U175"/>
          <cell r="V175"/>
          <cell r="W175"/>
          <cell r="X175" t="str">
            <v>Approved</v>
          </cell>
        </row>
        <row r="176">
          <cell r="A176">
            <v>45981</v>
          </cell>
          <cell r="B176" t="str">
            <v>Chad</v>
          </cell>
          <cell r="C176" t="str">
            <v>A4640</v>
          </cell>
          <cell r="D176"/>
          <cell r="F176"/>
          <cell r="G176" t="str">
            <v>PEDIAZI-50-FD</v>
          </cell>
          <cell r="H176">
            <v>1500</v>
          </cell>
          <cell r="I176" t="str">
            <v>F50-24.1</v>
          </cell>
          <cell r="J176">
            <v>0</v>
          </cell>
          <cell r="L176"/>
          <cell r="M176"/>
          <cell r="N176" t="str">
            <v>Y</v>
          </cell>
          <cell r="O176"/>
          <cell r="P176">
            <v>5000</v>
          </cell>
          <cell r="Q176">
            <v>4978</v>
          </cell>
          <cell r="R176" t="str">
            <v>TBD</v>
          </cell>
          <cell r="S176" t="str">
            <v>Waiting for Labels and IFC to start production.</v>
          </cell>
          <cell r="T176"/>
          <cell r="U176"/>
          <cell r="V176"/>
          <cell r="W176"/>
          <cell r="X176"/>
        </row>
        <row r="177">
          <cell r="A177">
            <v>46066</v>
          </cell>
          <cell r="B177" t="str">
            <v>Chad</v>
          </cell>
          <cell r="C177" t="str">
            <v>A4647</v>
          </cell>
          <cell r="D177"/>
          <cell r="F177"/>
          <cell r="G177" t="str">
            <v>PEDIAIR-50-CS-CH</v>
          </cell>
          <cell r="H177">
            <v>10</v>
          </cell>
          <cell r="I177" t="str">
            <v>N/A</v>
          </cell>
          <cell r="J177">
            <v>0</v>
          </cell>
          <cell r="L177" t="str">
            <v>PO submitted</v>
          </cell>
          <cell r="M177" t="str">
            <v>label and sku non existent</v>
          </cell>
          <cell r="N177" t="str">
            <v>Y</v>
          </cell>
          <cell r="O177" t="str">
            <v>N/A</v>
          </cell>
          <cell r="P177">
            <v>5000</v>
          </cell>
          <cell r="Q177">
            <v>4977</v>
          </cell>
          <cell r="R177" t="str">
            <v>TBD</v>
          </cell>
          <cell r="S177" t="str">
            <v>Must rework at AMS</v>
          </cell>
          <cell r="T177"/>
          <cell r="U177"/>
          <cell r="V177"/>
          <cell r="W177"/>
          <cell r="X177" t="str">
            <v>HOLD</v>
          </cell>
        </row>
        <row r="178">
          <cell r="A178">
            <v>45981</v>
          </cell>
          <cell r="B178" t="str">
            <v>Chad</v>
          </cell>
          <cell r="C178" t="str">
            <v>A4640</v>
          </cell>
          <cell r="D178"/>
          <cell r="F178"/>
          <cell r="G178" t="str">
            <v>PEDIACM-50-FD</v>
          </cell>
          <cell r="H178">
            <v>1500</v>
          </cell>
          <cell r="I178" t="str">
            <v>F44-24.1</v>
          </cell>
          <cell r="J178">
            <v>0</v>
          </cell>
          <cell r="L178"/>
          <cell r="M178"/>
          <cell r="N178" t="str">
            <v>Y</v>
          </cell>
          <cell r="O178"/>
          <cell r="P178">
            <v>5000</v>
          </cell>
          <cell r="Q178">
            <v>4980</v>
          </cell>
          <cell r="R178" t="str">
            <v>TBD</v>
          </cell>
          <cell r="S178" t="str">
            <v>Waiting for Labels and IFC to start production.</v>
          </cell>
          <cell r="T178"/>
          <cell r="U178"/>
          <cell r="V178"/>
          <cell r="W178"/>
          <cell r="X178"/>
        </row>
        <row r="179">
          <cell r="A179">
            <v>46003</v>
          </cell>
          <cell r="B179" t="str">
            <v>Iraq</v>
          </cell>
          <cell r="C179" t="str">
            <v>A4610</v>
          </cell>
          <cell r="D179" t="str">
            <v>6/2/2026: 30% Down Payment needed.</v>
          </cell>
          <cell r="F179" t="str">
            <v xml:space="preserve">Product changed to Omega3-40-CS-IQ 
1/14/2025: Sales requested for labels to be uploaded to server by overseas team  
2/11/2026: IFC Updated to Y following IFC scrub. 3/10: NO NEED FOR IFC MOE/TARIQ CONFIRMED WITH NIBAL.
5/18/2026: Reduced Qty 100,000 -&gt; 62,962. 37,038 moved to Morocco A4688.         </v>
          </cell>
          <cell r="G179" t="str">
            <v>OMEGA3-40-CS-IQ</v>
          </cell>
          <cell r="H179">
            <v>62962</v>
          </cell>
          <cell r="I179" t="str">
            <v>IQ128-26</v>
          </cell>
          <cell r="J179">
            <v>0</v>
          </cell>
          <cell r="L179" t="str">
            <v>ON HOLD</v>
          </cell>
          <cell r="M179"/>
          <cell r="N179" t="str">
            <v>NA</v>
          </cell>
          <cell r="O179" t="str">
            <v>604776738114</v>
          </cell>
          <cell r="P179">
            <v>100000</v>
          </cell>
          <cell r="Q179">
            <v>4958</v>
          </cell>
          <cell r="R179" t="str">
            <v>TBD</v>
          </cell>
          <cell r="S179"/>
          <cell r="T179"/>
          <cell r="U179"/>
          <cell r="V179"/>
          <cell r="W179"/>
          <cell r="X179" t="str">
            <v>HOLD</v>
          </cell>
        </row>
        <row r="180">
          <cell r="A180">
            <v>46003</v>
          </cell>
          <cell r="B180" t="str">
            <v>Iraq</v>
          </cell>
          <cell r="C180" t="str">
            <v>A4610</v>
          </cell>
          <cell r="D180" t="str">
            <v>6/2/2026: 30% Down Payment needed.</v>
          </cell>
          <cell r="F180" t="str">
            <v>Product changed to ZINC50-30-CS-IQ</v>
          </cell>
          <cell r="G180" t="str">
            <v>ZINC50-30-CS-IQ</v>
          </cell>
          <cell r="H180">
            <v>50000</v>
          </cell>
          <cell r="I180" t="str">
            <v>IQ129-26</v>
          </cell>
          <cell r="J180">
            <v>0</v>
          </cell>
          <cell r="L180" t="str">
            <v>ON HOLD</v>
          </cell>
          <cell r="M180"/>
          <cell r="N180" t="str">
            <v>NA</v>
          </cell>
          <cell r="O180" t="str">
            <v>604776738121</v>
          </cell>
          <cell r="P180">
            <v>50000</v>
          </cell>
          <cell r="Q180">
            <v>4959</v>
          </cell>
          <cell r="R180" t="str">
            <v>TBD</v>
          </cell>
          <cell r="S180" t="str">
            <v>Need lids and labels.</v>
          </cell>
          <cell r="T180"/>
          <cell r="U180"/>
          <cell r="V180"/>
          <cell r="W180"/>
          <cell r="X180"/>
        </row>
        <row r="181">
          <cell r="A181">
            <v>45981</v>
          </cell>
          <cell r="B181" t="str">
            <v>South Sudan</v>
          </cell>
          <cell r="C181" t="str">
            <v>A4586</v>
          </cell>
          <cell r="D181"/>
          <cell r="F181"/>
          <cell r="G181" t="str">
            <v>OVAMAX-120-FD</v>
          </cell>
          <cell r="H181">
            <v>300</v>
          </cell>
          <cell r="I181" t="str">
            <v>F41-25.0</v>
          </cell>
          <cell r="J181">
            <v>300</v>
          </cell>
          <cell r="L181"/>
          <cell r="M181"/>
          <cell r="N181" t="str">
            <v>NA</v>
          </cell>
          <cell r="O181">
            <v>810131199586</v>
          </cell>
          <cell r="P181">
            <v>4100</v>
          </cell>
          <cell r="Q181">
            <v>4823</v>
          </cell>
          <cell r="R181"/>
          <cell r="S181"/>
          <cell r="T181"/>
          <cell r="U181"/>
          <cell r="V181">
            <v>46062</v>
          </cell>
          <cell r="W181"/>
          <cell r="X181"/>
        </row>
        <row r="182">
          <cell r="A182">
            <v>46009</v>
          </cell>
          <cell r="B182" t="str">
            <v>Botswana</v>
          </cell>
          <cell r="C182" t="str">
            <v>A4611</v>
          </cell>
          <cell r="D182" t="str">
            <v>Awaiting Import Permit Update</v>
          </cell>
          <cell r="F182"/>
          <cell r="G182" t="str">
            <v>GINKGO-60-FD</v>
          </cell>
          <cell r="H182">
            <v>40</v>
          </cell>
          <cell r="I182" t="str">
            <v>F21-23.0</v>
          </cell>
          <cell r="J182">
            <v>40</v>
          </cell>
          <cell r="L182" t="str">
            <v>D/W Sent</v>
          </cell>
          <cell r="M182">
            <v>46094</v>
          </cell>
          <cell r="N182" t="str">
            <v>NA</v>
          </cell>
          <cell r="O182">
            <v>609788968146</v>
          </cell>
          <cell r="P182"/>
          <cell r="Q182">
            <v>4791</v>
          </cell>
          <cell r="R182"/>
          <cell r="S182"/>
          <cell r="T182"/>
          <cell r="U182"/>
          <cell r="V182"/>
          <cell r="W182"/>
          <cell r="X182" t="str">
            <v>HOLD</v>
          </cell>
        </row>
        <row r="183">
          <cell r="A183">
            <v>46009</v>
          </cell>
          <cell r="B183" t="str">
            <v>Botswana</v>
          </cell>
          <cell r="C183" t="str">
            <v>A4611</v>
          </cell>
          <cell r="D183"/>
          <cell r="F183"/>
          <cell r="G183" t="str">
            <v>XTRAD10-60-FD</v>
          </cell>
          <cell r="H183">
            <v>1200</v>
          </cell>
          <cell r="I183" t="str">
            <v>F76-25.0</v>
          </cell>
          <cell r="J183">
            <v>1200</v>
          </cell>
          <cell r="L183" t="str">
            <v>D/W Sent</v>
          </cell>
          <cell r="M183"/>
          <cell r="N183" t="str">
            <v>NA</v>
          </cell>
          <cell r="O183">
            <v>609788968122</v>
          </cell>
          <cell r="P183"/>
          <cell r="Q183">
            <v>4926</v>
          </cell>
          <cell r="R183"/>
          <cell r="S183"/>
          <cell r="T183"/>
          <cell r="U183"/>
          <cell r="V183"/>
          <cell r="W183"/>
          <cell r="X183"/>
        </row>
        <row r="184">
          <cell r="A184">
            <v>46009</v>
          </cell>
          <cell r="B184" t="str">
            <v>Botswana</v>
          </cell>
          <cell r="C184" t="str">
            <v>A4611</v>
          </cell>
          <cell r="D184"/>
          <cell r="F184"/>
          <cell r="G184" t="str">
            <v>MOTILMX-60-FD</v>
          </cell>
          <cell r="H184">
            <v>100</v>
          </cell>
          <cell r="I184" t="str">
            <v>F31-23.0</v>
          </cell>
          <cell r="J184">
            <v>100</v>
          </cell>
          <cell r="L184" t="str">
            <v>D/W Sent</v>
          </cell>
          <cell r="M184"/>
          <cell r="N184" t="str">
            <v>NA</v>
          </cell>
          <cell r="O184">
            <v>609788968191</v>
          </cell>
          <cell r="P184"/>
          <cell r="Q184">
            <v>4848</v>
          </cell>
          <cell r="R184"/>
          <cell r="S184"/>
          <cell r="T184"/>
          <cell r="U184"/>
          <cell r="V184"/>
          <cell r="W184"/>
          <cell r="X184"/>
        </row>
        <row r="185">
          <cell r="A185">
            <v>46009</v>
          </cell>
          <cell r="B185" t="str">
            <v>Botswana</v>
          </cell>
          <cell r="C185" t="str">
            <v>A4611</v>
          </cell>
          <cell r="D185"/>
          <cell r="F185"/>
          <cell r="G185" t="str">
            <v>MFSPLS-120-FD</v>
          </cell>
          <cell r="H185">
            <v>80</v>
          </cell>
          <cell r="I185" t="str">
            <v>F30-25.1</v>
          </cell>
          <cell r="J185">
            <v>80</v>
          </cell>
          <cell r="L185" t="str">
            <v>D/W Sent</v>
          </cell>
          <cell r="M185"/>
          <cell r="N185" t="str">
            <v>NA</v>
          </cell>
          <cell r="O185">
            <v>609788968344</v>
          </cell>
          <cell r="P185"/>
          <cell r="Q185">
            <v>4846</v>
          </cell>
          <cell r="R185"/>
          <cell r="S185"/>
          <cell r="T185"/>
          <cell r="U185"/>
          <cell r="V185"/>
          <cell r="W185"/>
          <cell r="X185"/>
        </row>
        <row r="186">
          <cell r="A186">
            <v>46009</v>
          </cell>
          <cell r="B186" t="str">
            <v>Botswana</v>
          </cell>
          <cell r="C186" t="str">
            <v>A4611</v>
          </cell>
          <cell r="D186"/>
          <cell r="F186"/>
          <cell r="G186" t="str">
            <v>FIBRO-60-FD</v>
          </cell>
          <cell r="H186">
            <v>60</v>
          </cell>
          <cell r="I186" t="str">
            <v>F17-25.1</v>
          </cell>
          <cell r="J186">
            <v>60</v>
          </cell>
          <cell r="L186" t="str">
            <v>D/W Sent</v>
          </cell>
          <cell r="M186"/>
          <cell r="N186" t="str">
            <v>NA</v>
          </cell>
          <cell r="O186">
            <v>609788968498</v>
          </cell>
          <cell r="P186"/>
          <cell r="Q186">
            <v>4840</v>
          </cell>
          <cell r="R186"/>
          <cell r="S186"/>
          <cell r="T186"/>
          <cell r="U186"/>
          <cell r="V186"/>
          <cell r="W186"/>
          <cell r="X186"/>
        </row>
        <row r="187">
          <cell r="A187">
            <v>46009</v>
          </cell>
          <cell r="B187" t="str">
            <v>Botswana</v>
          </cell>
          <cell r="C187" t="str">
            <v>A4611</v>
          </cell>
          <cell r="D187"/>
          <cell r="F187"/>
          <cell r="G187" t="str">
            <v>DHEA50-60-FD</v>
          </cell>
          <cell r="H187">
            <v>60</v>
          </cell>
          <cell r="I187" t="str">
            <v>F13-25.2</v>
          </cell>
          <cell r="J187">
            <v>60</v>
          </cell>
          <cell r="L187" t="str">
            <v>D/W Sent</v>
          </cell>
          <cell r="M187"/>
          <cell r="N187" t="str">
            <v>NA</v>
          </cell>
          <cell r="O187">
            <v>609788968221</v>
          </cell>
          <cell r="P187"/>
          <cell r="Q187">
            <v>4832</v>
          </cell>
          <cell r="R187"/>
          <cell r="S187"/>
          <cell r="T187"/>
          <cell r="U187"/>
          <cell r="V187"/>
          <cell r="W187"/>
          <cell r="X187"/>
        </row>
        <row r="188">
          <cell r="A188">
            <v>46009</v>
          </cell>
          <cell r="B188" t="str">
            <v>Botswana</v>
          </cell>
          <cell r="C188" t="str">
            <v>A4611</v>
          </cell>
          <cell r="D188"/>
          <cell r="F188"/>
          <cell r="G188" t="str">
            <v>SPERMCT-60-FD</v>
          </cell>
          <cell r="H188">
            <v>50</v>
          </cell>
          <cell r="I188" t="str">
            <v>F64-25.0</v>
          </cell>
          <cell r="J188">
            <v>50</v>
          </cell>
          <cell r="L188" t="str">
            <v>D/W Sent</v>
          </cell>
          <cell r="M188"/>
          <cell r="N188" t="str">
            <v>NA</v>
          </cell>
          <cell r="O188">
            <v>609788968405</v>
          </cell>
          <cell r="P188"/>
          <cell r="Q188">
            <v>4850</v>
          </cell>
          <cell r="R188"/>
          <cell r="S188"/>
          <cell r="T188"/>
          <cell r="U188"/>
          <cell r="V188"/>
          <cell r="W188"/>
          <cell r="X188"/>
        </row>
        <row r="189">
          <cell r="A189">
            <v>46009</v>
          </cell>
          <cell r="B189" t="str">
            <v>Botswana</v>
          </cell>
          <cell r="C189" t="str">
            <v>A4611</v>
          </cell>
          <cell r="D189"/>
          <cell r="F189">
            <v>49241225</v>
          </cell>
          <cell r="G189" t="str">
            <v>CAVIN-60-FD</v>
          </cell>
          <cell r="H189">
            <v>46</v>
          </cell>
          <cell r="I189" t="str">
            <v>F08-25.0</v>
          </cell>
          <cell r="J189">
            <v>46</v>
          </cell>
          <cell r="L189" t="str">
            <v>D/W Sent</v>
          </cell>
          <cell r="M189"/>
          <cell r="N189" t="str">
            <v>NA</v>
          </cell>
          <cell r="O189">
            <v>609788968597</v>
          </cell>
          <cell r="P189">
            <v>5000</v>
          </cell>
          <cell r="Q189">
            <v>4924</v>
          </cell>
          <cell r="R189" t="str">
            <v>complete</v>
          </cell>
          <cell r="S189"/>
          <cell r="T189"/>
          <cell r="U189"/>
          <cell r="V189"/>
          <cell r="W189"/>
          <cell r="X189"/>
        </row>
        <row r="190">
          <cell r="A190">
            <v>46009</v>
          </cell>
          <cell r="B190" t="str">
            <v>Botswana</v>
          </cell>
          <cell r="C190" t="str">
            <v>A4611</v>
          </cell>
          <cell r="D190"/>
          <cell r="F190"/>
          <cell r="G190" t="str">
            <v>CAVIN-60-FD</v>
          </cell>
          <cell r="H190">
            <v>12</v>
          </cell>
          <cell r="I190" t="str">
            <v>F08-25.0</v>
          </cell>
          <cell r="J190">
            <v>12</v>
          </cell>
          <cell r="L190" t="str">
            <v>D/W Sent</v>
          </cell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</row>
        <row r="191">
          <cell r="A191">
            <v>46009</v>
          </cell>
          <cell r="B191" t="str">
            <v>Botswana</v>
          </cell>
          <cell r="C191" t="str">
            <v>A4611</v>
          </cell>
          <cell r="D191"/>
          <cell r="F191"/>
          <cell r="G191" t="str">
            <v>OME369-90-FD</v>
          </cell>
          <cell r="H191">
            <v>60</v>
          </cell>
          <cell r="I191" t="str">
            <v>F36-22.1</v>
          </cell>
          <cell r="J191">
            <v>60</v>
          </cell>
          <cell r="L191" t="str">
            <v>D/W Sent</v>
          </cell>
          <cell r="M191"/>
          <cell r="N191" t="str">
            <v>Y</v>
          </cell>
          <cell r="O191">
            <v>609788968511</v>
          </cell>
          <cell r="P191"/>
          <cell r="Q191">
            <v>4896</v>
          </cell>
          <cell r="R191"/>
          <cell r="S191"/>
          <cell r="T191"/>
          <cell r="U191"/>
          <cell r="V191"/>
          <cell r="W191"/>
          <cell r="X191"/>
        </row>
        <row r="192">
          <cell r="L192"/>
          <cell r="M192"/>
        </row>
        <row r="193">
          <cell r="A193">
            <v>46009</v>
          </cell>
          <cell r="B193" t="str">
            <v>Botswana</v>
          </cell>
          <cell r="C193" t="str">
            <v>A4612</v>
          </cell>
          <cell r="D193" t="str">
            <v>Awaiting Import Permit Update</v>
          </cell>
          <cell r="F193"/>
          <cell r="G193" t="str">
            <v>OSTEOPL-96-FD</v>
          </cell>
          <cell r="H193">
            <v>40</v>
          </cell>
          <cell r="I193" t="str">
            <v>F39-24.0</v>
          </cell>
          <cell r="J193">
            <v>40</v>
          </cell>
          <cell r="L193" t="str">
            <v>D/W Sent</v>
          </cell>
          <cell r="M193">
            <v>46094</v>
          </cell>
          <cell r="N193" t="str">
            <v>Y</v>
          </cell>
          <cell r="O193">
            <v>609788968238</v>
          </cell>
          <cell r="P193"/>
          <cell r="Q193">
            <v>4841</v>
          </cell>
          <cell r="R193"/>
          <cell r="S193"/>
          <cell r="T193"/>
          <cell r="U193"/>
          <cell r="V193"/>
          <cell r="W193"/>
          <cell r="X193" t="str">
            <v>HOLD</v>
          </cell>
        </row>
        <row r="194">
          <cell r="A194">
            <v>46009</v>
          </cell>
          <cell r="B194" t="str">
            <v>Botswana</v>
          </cell>
          <cell r="C194" t="str">
            <v>A4612</v>
          </cell>
          <cell r="D194"/>
          <cell r="F194"/>
          <cell r="G194" t="str">
            <v>GINKGO-60-FD</v>
          </cell>
          <cell r="H194">
            <v>50</v>
          </cell>
          <cell r="I194" t="str">
            <v>F21-23.0</v>
          </cell>
          <cell r="J194">
            <v>50</v>
          </cell>
          <cell r="L194" t="str">
            <v>D/W Sent</v>
          </cell>
          <cell r="M194"/>
          <cell r="N194" t="str">
            <v>NA</v>
          </cell>
          <cell r="O194">
            <v>609788968146</v>
          </cell>
          <cell r="P194"/>
          <cell r="Q194">
            <v>4791</v>
          </cell>
          <cell r="R194"/>
          <cell r="S194"/>
          <cell r="T194"/>
          <cell r="U194"/>
          <cell r="V194"/>
          <cell r="W194"/>
          <cell r="X194"/>
        </row>
        <row r="195">
          <cell r="A195">
            <v>46009</v>
          </cell>
          <cell r="B195" t="str">
            <v>Botswana</v>
          </cell>
          <cell r="C195" t="str">
            <v>A4612</v>
          </cell>
          <cell r="D195"/>
          <cell r="F195"/>
          <cell r="G195" t="str">
            <v>PROSTA-90-FD</v>
          </cell>
          <cell r="H195">
            <v>40</v>
          </cell>
          <cell r="I195" t="str">
            <v>F56-23.0</v>
          </cell>
          <cell r="J195">
            <v>40</v>
          </cell>
          <cell r="L195" t="str">
            <v>D/W Sent</v>
          </cell>
          <cell r="M195"/>
          <cell r="N195" t="str">
            <v>NA</v>
          </cell>
          <cell r="O195">
            <v>609788968504</v>
          </cell>
          <cell r="P195"/>
          <cell r="Q195">
            <v>4802</v>
          </cell>
          <cell r="R195"/>
          <cell r="S195"/>
          <cell r="T195"/>
          <cell r="U195"/>
          <cell r="V195"/>
          <cell r="W195"/>
          <cell r="X195"/>
        </row>
        <row r="196">
          <cell r="A196">
            <v>46009</v>
          </cell>
          <cell r="B196" t="str">
            <v>Botswana</v>
          </cell>
          <cell r="C196" t="str">
            <v>A4612</v>
          </cell>
          <cell r="D196"/>
          <cell r="F196"/>
          <cell r="G196" t="str">
            <v>XTRAD10-60-FD</v>
          </cell>
          <cell r="H196">
            <v>600</v>
          </cell>
          <cell r="I196" t="str">
            <v>F76-25.0</v>
          </cell>
          <cell r="J196">
            <v>600</v>
          </cell>
          <cell r="L196" t="str">
            <v>D/W Sent</v>
          </cell>
          <cell r="M196"/>
          <cell r="N196" t="str">
            <v>NA</v>
          </cell>
          <cell r="O196">
            <v>609788968122</v>
          </cell>
          <cell r="P196"/>
          <cell r="Q196">
            <v>4926</v>
          </cell>
          <cell r="R196"/>
          <cell r="S196"/>
          <cell r="T196"/>
          <cell r="U196"/>
          <cell r="V196"/>
          <cell r="W196"/>
          <cell r="X196"/>
        </row>
        <row r="197">
          <cell r="A197">
            <v>46009</v>
          </cell>
          <cell r="B197" t="str">
            <v>Botswana</v>
          </cell>
          <cell r="C197" t="str">
            <v>A4612</v>
          </cell>
          <cell r="D197"/>
          <cell r="F197"/>
          <cell r="G197" t="str">
            <v>MOTILMX-60-FD</v>
          </cell>
          <cell r="H197">
            <v>20</v>
          </cell>
          <cell r="I197" t="str">
            <v>F31-23.0</v>
          </cell>
          <cell r="J197">
            <v>20</v>
          </cell>
          <cell r="L197" t="str">
            <v>D/W Sent</v>
          </cell>
          <cell r="M197"/>
          <cell r="N197" t="str">
            <v>NA</v>
          </cell>
          <cell r="O197">
            <v>609788968191</v>
          </cell>
          <cell r="P197"/>
          <cell r="Q197">
            <v>4848</v>
          </cell>
          <cell r="R197"/>
          <cell r="S197"/>
          <cell r="T197"/>
          <cell r="U197"/>
          <cell r="V197"/>
          <cell r="W197"/>
          <cell r="X197"/>
        </row>
        <row r="198">
          <cell r="A198">
            <v>46009</v>
          </cell>
          <cell r="B198" t="str">
            <v>Botswana</v>
          </cell>
          <cell r="C198" t="str">
            <v>A4612</v>
          </cell>
          <cell r="D198"/>
          <cell r="F198"/>
          <cell r="G198" t="str">
            <v>MFSPLS-120-FD</v>
          </cell>
          <cell r="H198">
            <v>40</v>
          </cell>
          <cell r="I198" t="str">
            <v>F30-25.1</v>
          </cell>
          <cell r="J198">
            <v>40</v>
          </cell>
          <cell r="L198" t="str">
            <v>D/W Sent</v>
          </cell>
          <cell r="M198"/>
          <cell r="N198" t="str">
            <v>NA</v>
          </cell>
          <cell r="O198">
            <v>609788968344</v>
          </cell>
          <cell r="P198"/>
          <cell r="Q198">
            <v>4846</v>
          </cell>
          <cell r="R198"/>
          <cell r="S198"/>
          <cell r="T198"/>
          <cell r="U198"/>
          <cell r="V198"/>
          <cell r="W198"/>
          <cell r="X198"/>
        </row>
        <row r="199">
          <cell r="A199">
            <v>46009</v>
          </cell>
          <cell r="B199" t="str">
            <v>Botswana</v>
          </cell>
          <cell r="C199" t="str">
            <v>A4612</v>
          </cell>
          <cell r="D199"/>
          <cell r="F199"/>
          <cell r="G199" t="str">
            <v>FIBRO-60-FD</v>
          </cell>
          <cell r="H199">
            <v>40</v>
          </cell>
          <cell r="I199" t="str">
            <v>F17-25.1</v>
          </cell>
          <cell r="J199">
            <v>40</v>
          </cell>
          <cell r="L199" t="str">
            <v>D/W Sent</v>
          </cell>
          <cell r="M199"/>
          <cell r="N199" t="str">
            <v>NA</v>
          </cell>
          <cell r="O199">
            <v>609788968498</v>
          </cell>
          <cell r="P199"/>
          <cell r="Q199">
            <v>4840</v>
          </cell>
          <cell r="R199"/>
          <cell r="S199"/>
          <cell r="T199"/>
          <cell r="U199"/>
          <cell r="V199"/>
          <cell r="W199"/>
          <cell r="X199"/>
        </row>
        <row r="200">
          <cell r="A200">
            <v>46009</v>
          </cell>
          <cell r="B200" t="str">
            <v>Botswana</v>
          </cell>
          <cell r="C200" t="str">
            <v>A4612</v>
          </cell>
          <cell r="D200"/>
          <cell r="F200"/>
          <cell r="G200" t="str">
            <v>DHEA25-60-FD</v>
          </cell>
          <cell r="H200">
            <v>50</v>
          </cell>
          <cell r="I200" t="str">
            <v>F14-25.2</v>
          </cell>
          <cell r="J200">
            <v>50</v>
          </cell>
          <cell r="L200" t="str">
            <v>D/W Sent</v>
          </cell>
          <cell r="M200"/>
          <cell r="N200" t="str">
            <v>NA</v>
          </cell>
          <cell r="O200">
            <v>609788968153</v>
          </cell>
          <cell r="P200"/>
          <cell r="Q200">
            <v>4831</v>
          </cell>
          <cell r="R200"/>
          <cell r="S200"/>
          <cell r="T200"/>
          <cell r="U200"/>
          <cell r="V200"/>
          <cell r="W200"/>
          <cell r="X200"/>
        </row>
        <row r="201">
          <cell r="A201">
            <v>46009</v>
          </cell>
          <cell r="B201" t="str">
            <v>Botswana</v>
          </cell>
          <cell r="C201" t="str">
            <v>A4612</v>
          </cell>
          <cell r="D201"/>
          <cell r="F201"/>
          <cell r="G201" t="str">
            <v>DHEA50-60-FD</v>
          </cell>
          <cell r="H201">
            <v>50</v>
          </cell>
          <cell r="I201" t="str">
            <v>F13-25.2</v>
          </cell>
          <cell r="J201">
            <v>50</v>
          </cell>
          <cell r="L201" t="str">
            <v>D/W Sent</v>
          </cell>
          <cell r="M201"/>
          <cell r="N201" t="str">
            <v>NA</v>
          </cell>
          <cell r="O201">
            <v>609788968221</v>
          </cell>
          <cell r="P201"/>
          <cell r="Q201">
            <v>4832</v>
          </cell>
          <cell r="R201"/>
          <cell r="S201"/>
          <cell r="T201"/>
          <cell r="U201"/>
          <cell r="V201"/>
          <cell r="W201"/>
          <cell r="X201"/>
        </row>
        <row r="202">
          <cell r="A202">
            <v>46009</v>
          </cell>
          <cell r="B202" t="str">
            <v>Botswana</v>
          </cell>
          <cell r="C202" t="str">
            <v>A4612</v>
          </cell>
          <cell r="D202"/>
          <cell r="F202"/>
          <cell r="G202" t="str">
            <v>WFSPLS-180-FD</v>
          </cell>
          <cell r="H202">
            <v>40</v>
          </cell>
          <cell r="I202" t="str">
            <v>F73-23.0</v>
          </cell>
          <cell r="J202">
            <v>40</v>
          </cell>
          <cell r="L202" t="str">
            <v>D/W Sent</v>
          </cell>
          <cell r="M202"/>
          <cell r="N202" t="str">
            <v>NA</v>
          </cell>
          <cell r="O202">
            <v>609788968351</v>
          </cell>
          <cell r="P202"/>
          <cell r="Q202">
            <v>4684</v>
          </cell>
          <cell r="R202"/>
          <cell r="S202"/>
          <cell r="T202"/>
          <cell r="U202"/>
          <cell r="V202"/>
          <cell r="W202"/>
          <cell r="X202"/>
        </row>
        <row r="203">
          <cell r="A203">
            <v>46009</v>
          </cell>
          <cell r="B203" t="str">
            <v>Botswana</v>
          </cell>
          <cell r="C203" t="str">
            <v>A4612</v>
          </cell>
          <cell r="D203"/>
          <cell r="F203"/>
          <cell r="G203" t="str">
            <v>SPERMCT-60-FD</v>
          </cell>
          <cell r="H203">
            <v>20</v>
          </cell>
          <cell r="I203" t="str">
            <v>F64-25.0</v>
          </cell>
          <cell r="J203">
            <v>20</v>
          </cell>
          <cell r="L203" t="str">
            <v>D/W Sent</v>
          </cell>
          <cell r="M203"/>
          <cell r="N203" t="str">
            <v>NA</v>
          </cell>
          <cell r="O203">
            <v>609788968405</v>
          </cell>
          <cell r="P203"/>
          <cell r="Q203">
            <v>4850</v>
          </cell>
          <cell r="R203"/>
          <cell r="S203"/>
          <cell r="T203"/>
          <cell r="U203"/>
          <cell r="V203"/>
          <cell r="W203"/>
          <cell r="X203"/>
        </row>
        <row r="204">
          <cell r="A204">
            <v>46009</v>
          </cell>
          <cell r="B204" t="str">
            <v>Botswana</v>
          </cell>
          <cell r="C204" t="str">
            <v>A4612</v>
          </cell>
          <cell r="D204"/>
          <cell r="F204"/>
          <cell r="G204" t="str">
            <v>OVAMAX-120-FD</v>
          </cell>
          <cell r="H204">
            <v>40</v>
          </cell>
          <cell r="I204" t="str">
            <v>F41-25.0</v>
          </cell>
          <cell r="J204">
            <v>40</v>
          </cell>
          <cell r="L204" t="str">
            <v>D/W Sent</v>
          </cell>
          <cell r="M204"/>
          <cell r="N204" t="str">
            <v>NA</v>
          </cell>
          <cell r="O204">
            <v>810131199586</v>
          </cell>
          <cell r="P204"/>
          <cell r="Q204">
            <v>4823</v>
          </cell>
          <cell r="R204"/>
          <cell r="S204"/>
          <cell r="T204"/>
          <cell r="U204"/>
          <cell r="V204"/>
          <cell r="W204"/>
          <cell r="X204"/>
        </row>
        <row r="205">
          <cell r="A205">
            <v>46009</v>
          </cell>
          <cell r="B205" t="str">
            <v>Botswana</v>
          </cell>
          <cell r="C205" t="str">
            <v>A4612</v>
          </cell>
          <cell r="D205"/>
          <cell r="F205">
            <v>49241225</v>
          </cell>
          <cell r="G205" t="str">
            <v>CAVIN-60-FD</v>
          </cell>
          <cell r="H205">
            <v>40</v>
          </cell>
          <cell r="I205" t="str">
            <v>F08-25.0</v>
          </cell>
          <cell r="J205">
            <v>0</v>
          </cell>
          <cell r="L205" t="str">
            <v>D/W Sent</v>
          </cell>
          <cell r="M205"/>
          <cell r="N205" t="str">
            <v>NA</v>
          </cell>
          <cell r="O205">
            <v>609788968597</v>
          </cell>
          <cell r="P205">
            <v>5000</v>
          </cell>
          <cell r="Q205">
            <v>4924</v>
          </cell>
          <cell r="R205" t="str">
            <v>complete</v>
          </cell>
          <cell r="S205"/>
          <cell r="T205"/>
          <cell r="U205"/>
          <cell r="V205"/>
          <cell r="W205"/>
          <cell r="X205"/>
        </row>
        <row r="206">
          <cell r="A206">
            <v>46009</v>
          </cell>
          <cell r="B206" t="str">
            <v>Botswana</v>
          </cell>
          <cell r="C206" t="str">
            <v>A4612</v>
          </cell>
          <cell r="D206"/>
          <cell r="F206"/>
          <cell r="G206" t="str">
            <v>FERTMX-90-RE</v>
          </cell>
          <cell r="H206">
            <v>40</v>
          </cell>
          <cell r="I206" t="str">
            <v>R16-22.0</v>
          </cell>
          <cell r="J206">
            <v>40</v>
          </cell>
          <cell r="L206" t="str">
            <v>D/W Sent</v>
          </cell>
          <cell r="M206"/>
          <cell r="N206" t="str">
            <v>Y</v>
          </cell>
          <cell r="O206">
            <v>604776736561</v>
          </cell>
          <cell r="P206"/>
          <cell r="Q206">
            <v>4834</v>
          </cell>
          <cell r="R206"/>
          <cell r="S206"/>
          <cell r="T206"/>
          <cell r="U206"/>
          <cell r="V206"/>
          <cell r="W206"/>
          <cell r="X206"/>
        </row>
        <row r="207">
          <cell r="A207">
            <v>46009</v>
          </cell>
          <cell r="B207" t="str">
            <v>Botswana</v>
          </cell>
          <cell r="C207" t="str">
            <v>A4612</v>
          </cell>
          <cell r="D207"/>
          <cell r="F207"/>
          <cell r="G207" t="str">
            <v>OME369-90-FD</v>
          </cell>
          <cell r="H207">
            <v>120</v>
          </cell>
          <cell r="I207" t="str">
            <v>F36-22.1</v>
          </cell>
          <cell r="J207">
            <v>120</v>
          </cell>
          <cell r="L207" t="str">
            <v>D/W Sent</v>
          </cell>
          <cell r="M207"/>
          <cell r="N207" t="str">
            <v>Y</v>
          </cell>
          <cell r="O207">
            <v>609788968511</v>
          </cell>
          <cell r="P207"/>
          <cell r="Q207">
            <v>4896</v>
          </cell>
          <cell r="R207"/>
          <cell r="S207"/>
          <cell r="T207"/>
          <cell r="U207"/>
          <cell r="V207"/>
          <cell r="W207"/>
          <cell r="X207"/>
        </row>
        <row r="208">
          <cell r="A208">
            <v>46009</v>
          </cell>
          <cell r="B208" t="str">
            <v>Botswana</v>
          </cell>
          <cell r="C208" t="str">
            <v>A4612</v>
          </cell>
          <cell r="D208"/>
          <cell r="F208"/>
          <cell r="G208" t="str">
            <v>PRECON-90-FD</v>
          </cell>
          <cell r="H208">
            <v>40</v>
          </cell>
          <cell r="I208" t="str">
            <v>F54-23.0</v>
          </cell>
          <cell r="J208">
            <v>40</v>
          </cell>
          <cell r="L208" t="str">
            <v>D/W Sent</v>
          </cell>
          <cell r="M208"/>
          <cell r="N208" t="str">
            <v>NA</v>
          </cell>
          <cell r="O208">
            <v>609788968368</v>
          </cell>
          <cell r="P208"/>
          <cell r="Q208">
            <v>4851</v>
          </cell>
          <cell r="R208"/>
          <cell r="S208"/>
          <cell r="T208"/>
          <cell r="U208"/>
          <cell r="V208"/>
          <cell r="W208"/>
          <cell r="X208"/>
        </row>
        <row r="209">
          <cell r="A209">
            <v>46009</v>
          </cell>
          <cell r="B209" t="str">
            <v>Botswana</v>
          </cell>
          <cell r="C209" t="str">
            <v>A4612</v>
          </cell>
          <cell r="D209"/>
          <cell r="F209"/>
          <cell r="G209" t="str">
            <v>PRECON-180-FD</v>
          </cell>
          <cell r="H209">
            <v>40</v>
          </cell>
          <cell r="I209" t="str">
            <v>F55-22.2</v>
          </cell>
          <cell r="J209">
            <v>40</v>
          </cell>
          <cell r="L209" t="str">
            <v>D/W Sent</v>
          </cell>
          <cell r="M209"/>
          <cell r="N209" t="str">
            <v>NA</v>
          </cell>
          <cell r="O209">
            <v>609788968375</v>
          </cell>
          <cell r="P209"/>
          <cell r="Q209">
            <v>4849</v>
          </cell>
          <cell r="R209"/>
          <cell r="S209"/>
          <cell r="T209"/>
          <cell r="U209"/>
          <cell r="V209"/>
          <cell r="W209"/>
          <cell r="X209"/>
        </row>
        <row r="210">
          <cell r="A210">
            <v>46009</v>
          </cell>
          <cell r="B210" t="str">
            <v>Botswana</v>
          </cell>
          <cell r="C210" t="str">
            <v>A4612</v>
          </cell>
          <cell r="D210"/>
          <cell r="F210"/>
          <cell r="G210" t="str">
            <v>PENAMAX-60-GE-FD</v>
          </cell>
          <cell r="H210">
            <v>20</v>
          </cell>
          <cell r="I210" t="str">
            <v>F88-25.1</v>
          </cell>
          <cell r="J210">
            <v>20</v>
          </cell>
          <cell r="L210" t="str">
            <v>D/W Sent</v>
          </cell>
          <cell r="M210"/>
          <cell r="N210" t="str">
            <v>Y</v>
          </cell>
          <cell r="O210">
            <v>604776738824</v>
          </cell>
          <cell r="P210"/>
          <cell r="Q210">
            <v>4805</v>
          </cell>
          <cell r="R210"/>
          <cell r="S210"/>
          <cell r="T210"/>
          <cell r="U210"/>
          <cell r="V210"/>
          <cell r="W210"/>
          <cell r="X210"/>
        </row>
        <row r="211">
          <cell r="A211">
            <v>46009</v>
          </cell>
          <cell r="B211" t="str">
            <v>Botswana</v>
          </cell>
          <cell r="C211" t="str">
            <v>A4612</v>
          </cell>
          <cell r="D211"/>
          <cell r="F211"/>
          <cell r="G211" t="str">
            <v>PROSTA-90-FD</v>
          </cell>
          <cell r="H211">
            <v>40</v>
          </cell>
          <cell r="I211" t="str">
            <v>F56-23.0</v>
          </cell>
          <cell r="J211">
            <v>40</v>
          </cell>
          <cell r="L211"/>
          <cell r="M211"/>
          <cell r="N211" t="str">
            <v>NA</v>
          </cell>
          <cell r="O211">
            <v>609788968504</v>
          </cell>
          <cell r="P211"/>
          <cell r="Q211">
            <v>4802</v>
          </cell>
          <cell r="R211"/>
          <cell r="S211"/>
          <cell r="T211"/>
          <cell r="U211"/>
          <cell r="V211"/>
          <cell r="W211"/>
          <cell r="X211"/>
        </row>
        <row r="212">
          <cell r="A212">
            <v>46009</v>
          </cell>
          <cell r="B212" t="str">
            <v>Georgia</v>
          </cell>
          <cell r="C212" t="str">
            <v>A4625</v>
          </cell>
          <cell r="D212"/>
          <cell r="F212" t="str">
            <v>( l-argine ) 
1/15/2025 moved to back order</v>
          </cell>
          <cell r="G212" t="str">
            <v>ARGI-100-CS-GE</v>
          </cell>
          <cell r="H212">
            <v>239</v>
          </cell>
          <cell r="I212" t="str">
            <v>GO25-21.0</v>
          </cell>
          <cell r="J212">
            <v>0</v>
          </cell>
          <cell r="L212" t="str">
            <v>In Production</v>
          </cell>
          <cell r="M212"/>
          <cell r="N212" t="str">
            <v>NA</v>
          </cell>
          <cell r="O212">
            <v>604776738657</v>
          </cell>
          <cell r="P212">
            <v>2000</v>
          </cell>
          <cell r="Q212">
            <v>4998</v>
          </cell>
          <cell r="R212">
            <v>46198</v>
          </cell>
          <cell r="S212"/>
          <cell r="T212"/>
          <cell r="U212"/>
          <cell r="V212"/>
          <cell r="W212"/>
          <cell r="X212" t="str">
            <v>HOLD</v>
          </cell>
        </row>
        <row r="213">
          <cell r="A213">
            <v>46009</v>
          </cell>
          <cell r="B213" t="str">
            <v>Botswana</v>
          </cell>
          <cell r="C213" t="str">
            <v>A4612</v>
          </cell>
          <cell r="D213"/>
          <cell r="F213"/>
          <cell r="G213" t="str">
            <v>MOTILMX-60-FD</v>
          </cell>
          <cell r="H213">
            <v>20</v>
          </cell>
          <cell r="I213" t="str">
            <v>F31-23.0</v>
          </cell>
          <cell r="J213">
            <v>20</v>
          </cell>
          <cell r="L213"/>
          <cell r="M213"/>
          <cell r="N213" t="str">
            <v>NA</v>
          </cell>
          <cell r="O213">
            <v>609788968191</v>
          </cell>
          <cell r="P213"/>
          <cell r="Q213">
            <v>4848</v>
          </cell>
          <cell r="R213"/>
          <cell r="S213"/>
          <cell r="T213"/>
          <cell r="U213"/>
          <cell r="V213"/>
          <cell r="W213"/>
          <cell r="X213"/>
        </row>
        <row r="214">
          <cell r="A214">
            <v>46013</v>
          </cell>
          <cell r="B214" t="str">
            <v>Nigeria</v>
          </cell>
          <cell r="C214" t="str">
            <v>A4616</v>
          </cell>
          <cell r="D214" t="str">
            <v>waiting on import permit</v>
          </cell>
          <cell r="F214" t="str">
            <v xml:space="preserve">1/8/2025: quanitity increased 16 bottles </v>
          </cell>
          <cell r="G214" t="str">
            <v>FERTMX-90-CS-NI</v>
          </cell>
          <cell r="H214">
            <v>216</v>
          </cell>
          <cell r="I214" t="str">
            <v>NI16-26.0</v>
          </cell>
          <cell r="J214">
            <v>216</v>
          </cell>
          <cell r="L214" t="str">
            <v>D/W Sent</v>
          </cell>
          <cell r="M214">
            <v>46065</v>
          </cell>
          <cell r="N214" t="str">
            <v>y</v>
          </cell>
          <cell r="O214">
            <v>604776739890</v>
          </cell>
          <cell r="P214"/>
          <cell r="Q214">
            <v>4834</v>
          </cell>
          <cell r="R214"/>
          <cell r="S214"/>
          <cell r="T214"/>
          <cell r="U214"/>
          <cell r="V214"/>
          <cell r="W214"/>
          <cell r="X214" t="str">
            <v>HOLD</v>
          </cell>
        </row>
        <row r="215">
          <cell r="A215">
            <v>46013</v>
          </cell>
          <cell r="B215" t="str">
            <v>Nigeria</v>
          </cell>
          <cell r="C215" t="str">
            <v>A4616</v>
          </cell>
          <cell r="D215"/>
          <cell r="F215"/>
          <cell r="G215" t="str">
            <v>MFSPLS-120-CS-NI</v>
          </cell>
          <cell r="H215">
            <v>120</v>
          </cell>
          <cell r="I215" t="str">
            <v>NI30-26.0</v>
          </cell>
          <cell r="J215">
            <v>120</v>
          </cell>
          <cell r="L215" t="str">
            <v>D/W Sent</v>
          </cell>
          <cell r="M215"/>
          <cell r="N215" t="str">
            <v>NA</v>
          </cell>
          <cell r="O215">
            <v>604776739760</v>
          </cell>
          <cell r="P215"/>
          <cell r="Q215">
            <v>4846</v>
          </cell>
          <cell r="R215"/>
          <cell r="S215"/>
          <cell r="T215"/>
          <cell r="U215"/>
          <cell r="V215"/>
          <cell r="W215"/>
          <cell r="X215"/>
        </row>
        <row r="216">
          <cell r="A216">
            <v>46013</v>
          </cell>
          <cell r="B216" t="str">
            <v>Nigeria</v>
          </cell>
          <cell r="C216" t="str">
            <v>A4616</v>
          </cell>
          <cell r="D216"/>
          <cell r="F216" t="str">
            <v xml:space="preserve">1/8/2025: quanitity increased 16 bottles </v>
          </cell>
          <cell r="G216" t="str">
            <v>MOTILMX-60-CS-NI</v>
          </cell>
          <cell r="H216">
            <v>96</v>
          </cell>
          <cell r="I216" t="str">
            <v>NI31-26.0</v>
          </cell>
          <cell r="J216">
            <v>96</v>
          </cell>
          <cell r="L216" t="str">
            <v>D/W Sent</v>
          </cell>
          <cell r="M216"/>
          <cell r="N216" t="str">
            <v>NA</v>
          </cell>
          <cell r="O216">
            <v>604776739906</v>
          </cell>
          <cell r="P216"/>
          <cell r="Q216">
            <v>4848</v>
          </cell>
          <cell r="R216"/>
          <cell r="S216"/>
          <cell r="T216"/>
          <cell r="U216"/>
          <cell r="V216"/>
          <cell r="W216"/>
          <cell r="X216"/>
        </row>
        <row r="217">
          <cell r="A217">
            <v>46013</v>
          </cell>
          <cell r="B217" t="str">
            <v>Nigeria</v>
          </cell>
          <cell r="C217" t="str">
            <v>A4616</v>
          </cell>
          <cell r="D217"/>
          <cell r="F217" t="str">
            <v xml:space="preserve">1/8/2025: quanitity increased 20 bottles </v>
          </cell>
          <cell r="G217" t="str">
            <v>OVAMAX-120-CS-NI</v>
          </cell>
          <cell r="H217">
            <v>120</v>
          </cell>
          <cell r="I217" t="str">
            <v>NI41-26.0</v>
          </cell>
          <cell r="J217">
            <v>120</v>
          </cell>
          <cell r="L217" t="str">
            <v>D/W Sent</v>
          </cell>
          <cell r="M217"/>
          <cell r="N217" t="str">
            <v>NA</v>
          </cell>
          <cell r="O217">
            <v>604776739623</v>
          </cell>
          <cell r="P217"/>
          <cell r="Q217">
            <v>4823</v>
          </cell>
          <cell r="R217"/>
          <cell r="S217"/>
          <cell r="T217"/>
          <cell r="U217"/>
          <cell r="V217"/>
          <cell r="W217"/>
          <cell r="X217"/>
        </row>
        <row r="218">
          <cell r="A218">
            <v>46013</v>
          </cell>
          <cell r="B218" t="str">
            <v>Nigeria</v>
          </cell>
          <cell r="C218" t="str">
            <v>A4616</v>
          </cell>
          <cell r="D218"/>
          <cell r="F218" t="str">
            <v xml:space="preserve">1/8/2025: quanitity increased 20 bottles </v>
          </cell>
          <cell r="G218" t="str">
            <v>WFSPLS-180-CS-NI</v>
          </cell>
          <cell r="H218">
            <v>120</v>
          </cell>
          <cell r="I218" t="str">
            <v>NI73-26.0</v>
          </cell>
          <cell r="J218">
            <v>120</v>
          </cell>
          <cell r="L218" t="str">
            <v>D/W Sent</v>
          </cell>
          <cell r="M218"/>
          <cell r="N218" t="str">
            <v>NA</v>
          </cell>
          <cell r="O218">
            <v>604776739920</v>
          </cell>
          <cell r="P218"/>
          <cell r="Q218">
            <v>4684</v>
          </cell>
          <cell r="R218"/>
          <cell r="S218"/>
          <cell r="T218"/>
          <cell r="U218"/>
          <cell r="V218"/>
          <cell r="W218"/>
          <cell r="X218"/>
        </row>
        <row r="219">
          <cell r="A219">
            <v>46013</v>
          </cell>
          <cell r="B219" t="str">
            <v>Nigeria</v>
          </cell>
          <cell r="C219" t="str">
            <v>A4616</v>
          </cell>
          <cell r="D219"/>
          <cell r="F219" t="str">
            <v>1/8/2025: quanitity increased 12 bottles</v>
          </cell>
          <cell r="G219" t="str">
            <v>VELMARA-60-CS-NI</v>
          </cell>
          <cell r="H219">
            <v>72</v>
          </cell>
          <cell r="I219" t="str">
            <v>NI17-26.0</v>
          </cell>
          <cell r="J219">
            <v>72</v>
          </cell>
          <cell r="L219" t="str">
            <v>D/W Sent</v>
          </cell>
          <cell r="M219"/>
          <cell r="N219" t="str">
            <v>NA</v>
          </cell>
          <cell r="O219">
            <v>604776740131</v>
          </cell>
          <cell r="P219"/>
          <cell r="Q219">
            <v>4840</v>
          </cell>
          <cell r="R219"/>
          <cell r="S219"/>
          <cell r="T219"/>
          <cell r="U219"/>
          <cell r="V219"/>
          <cell r="W219"/>
          <cell r="X219"/>
        </row>
        <row r="220">
          <cell r="A220">
            <v>46009</v>
          </cell>
          <cell r="B220" t="str">
            <v>Botswana</v>
          </cell>
          <cell r="C220" t="str">
            <v>A4612</v>
          </cell>
          <cell r="D220"/>
          <cell r="F220"/>
          <cell r="G220" t="str">
            <v>OVAMAX-120-FD</v>
          </cell>
          <cell r="H220">
            <v>40</v>
          </cell>
          <cell r="I220" t="str">
            <v>F41-25.0</v>
          </cell>
          <cell r="J220">
            <v>40</v>
          </cell>
          <cell r="L220"/>
          <cell r="M220"/>
          <cell r="N220" t="str">
            <v>NA</v>
          </cell>
          <cell r="O220">
            <v>810131199586</v>
          </cell>
          <cell r="P220"/>
          <cell r="Q220">
            <v>4823</v>
          </cell>
          <cell r="R220"/>
          <cell r="S220"/>
          <cell r="T220"/>
          <cell r="U220"/>
          <cell r="V220"/>
          <cell r="W220"/>
          <cell r="X220"/>
        </row>
        <row r="221">
          <cell r="A221">
            <v>46028</v>
          </cell>
          <cell r="B221" t="str">
            <v>Libya</v>
          </cell>
          <cell r="C221" t="str">
            <v>A4617</v>
          </cell>
          <cell r="D221" t="str">
            <v>Waiting for Split Feedback</v>
          </cell>
          <cell r="F221"/>
          <cell r="G221" t="str">
            <v>FERTMX-90-CS-LY</v>
          </cell>
          <cell r="H221">
            <v>500</v>
          </cell>
          <cell r="I221" t="str">
            <v>LY16-25.0</v>
          </cell>
          <cell r="J221">
            <v>500</v>
          </cell>
          <cell r="L221" t="str">
            <v>D/W Sent</v>
          </cell>
          <cell r="M221">
            <v>46183</v>
          </cell>
          <cell r="N221" t="str">
            <v>Y</v>
          </cell>
          <cell r="O221">
            <v>604776737575</v>
          </cell>
          <cell r="P221"/>
          <cell r="Q221">
            <v>4834</v>
          </cell>
          <cell r="R221"/>
          <cell r="S221"/>
          <cell r="T221"/>
          <cell r="U221"/>
          <cell r="V221"/>
          <cell r="W221"/>
          <cell r="X221" t="str">
            <v>HOLD</v>
          </cell>
        </row>
        <row r="222">
          <cell r="A222">
            <v>46028</v>
          </cell>
          <cell r="B222" t="str">
            <v>Libya</v>
          </cell>
          <cell r="C222" t="str">
            <v>A4617</v>
          </cell>
          <cell r="D222" t="str">
            <v>2/13/26 - Docs sent</v>
          </cell>
          <cell r="F222"/>
          <cell r="G222" t="str">
            <v>METRIO-60-CS-LY</v>
          </cell>
          <cell r="H222">
            <v>300</v>
          </cell>
          <cell r="I222" t="str">
            <v>LY28-24.0</v>
          </cell>
          <cell r="J222">
            <v>300</v>
          </cell>
          <cell r="L222" t="str">
            <v>D/W Sent</v>
          </cell>
          <cell r="M222"/>
          <cell r="N222" t="str">
            <v>NA</v>
          </cell>
          <cell r="O222">
            <v>604776739036</v>
          </cell>
          <cell r="P222"/>
          <cell r="Q222">
            <v>4842</v>
          </cell>
          <cell r="R222"/>
          <cell r="S222"/>
          <cell r="T222"/>
          <cell r="U222"/>
          <cell r="V222"/>
          <cell r="W222"/>
          <cell r="X222"/>
        </row>
        <row r="223">
          <cell r="A223">
            <v>46028</v>
          </cell>
          <cell r="B223" t="str">
            <v>Libya</v>
          </cell>
          <cell r="C223" t="str">
            <v>A4617</v>
          </cell>
          <cell r="D223" t="str">
            <v>5/19/2026: Working on Docs</v>
          </cell>
          <cell r="F223"/>
          <cell r="G223" t="str">
            <v>MFSPLS-120-CS-LY</v>
          </cell>
          <cell r="H223">
            <v>800</v>
          </cell>
          <cell r="I223" t="str">
            <v>LY30-24.0</v>
          </cell>
          <cell r="J223">
            <v>800</v>
          </cell>
          <cell r="L223" t="str">
            <v>D/W Sent</v>
          </cell>
          <cell r="M223"/>
          <cell r="N223" t="str">
            <v>NA</v>
          </cell>
          <cell r="O223">
            <v>604776739050</v>
          </cell>
          <cell r="P223">
            <v>7000</v>
          </cell>
          <cell r="Q223">
            <v>4935</v>
          </cell>
          <cell r="R223" t="str">
            <v>complete</v>
          </cell>
          <cell r="S223"/>
          <cell r="T223"/>
          <cell r="U223"/>
          <cell r="V223"/>
          <cell r="W223"/>
          <cell r="X223"/>
        </row>
        <row r="224">
          <cell r="A224">
            <v>46028</v>
          </cell>
          <cell r="B224" t="str">
            <v>Libya</v>
          </cell>
          <cell r="C224" t="str">
            <v>A4617</v>
          </cell>
          <cell r="D224"/>
          <cell r="F224"/>
          <cell r="G224" t="str">
            <v>OVAMAX-120-CS-LY</v>
          </cell>
          <cell r="H224">
            <v>500</v>
          </cell>
          <cell r="I224" t="str">
            <v>LY41-24.0</v>
          </cell>
          <cell r="J224">
            <v>500</v>
          </cell>
          <cell r="L224" t="str">
            <v>D/W Sent</v>
          </cell>
          <cell r="M224"/>
          <cell r="N224" t="str">
            <v>NA</v>
          </cell>
          <cell r="O224">
            <v>604776739081</v>
          </cell>
          <cell r="P224"/>
          <cell r="Q224"/>
          <cell r="R224"/>
          <cell r="S224"/>
          <cell r="T224"/>
          <cell r="U224"/>
          <cell r="V224">
            <v>46062</v>
          </cell>
          <cell r="W224"/>
          <cell r="X224"/>
        </row>
        <row r="225">
          <cell r="A225">
            <v>46028</v>
          </cell>
          <cell r="B225" t="str">
            <v>Libya</v>
          </cell>
          <cell r="C225" t="str">
            <v>A4617</v>
          </cell>
          <cell r="D225"/>
          <cell r="F225"/>
          <cell r="G225" t="str">
            <v>LIPODIS-60-FD</v>
          </cell>
          <cell r="H225">
            <v>300</v>
          </cell>
          <cell r="I225" t="str">
            <v>F26-22.0</v>
          </cell>
          <cell r="J225">
            <v>0</v>
          </cell>
          <cell r="L225" t="str">
            <v>D/W Sent</v>
          </cell>
          <cell r="M225"/>
          <cell r="N225" t="str">
            <v>Y</v>
          </cell>
          <cell r="O225" t="str">
            <v>604776735823</v>
          </cell>
          <cell r="P225">
            <v>7000</v>
          </cell>
          <cell r="Q225">
            <v>4971</v>
          </cell>
          <cell r="R225" t="str">
            <v>Complete</v>
          </cell>
          <cell r="S225" t="str">
            <v>Waiting for PL and sample approval</v>
          </cell>
          <cell r="T225"/>
          <cell r="U225"/>
          <cell r="V225"/>
          <cell r="W225"/>
          <cell r="X225"/>
        </row>
        <row r="226">
          <cell r="A226">
            <v>46009</v>
          </cell>
          <cell r="B226" t="str">
            <v>Botswana</v>
          </cell>
          <cell r="C226" t="str">
            <v>A4612</v>
          </cell>
          <cell r="D226"/>
          <cell r="F226"/>
          <cell r="G226" t="str">
            <v>PENAMAX-60-GE-FD</v>
          </cell>
          <cell r="H226">
            <v>20</v>
          </cell>
          <cell r="I226" t="str">
            <v>F88-25.1</v>
          </cell>
          <cell r="J226">
            <v>20</v>
          </cell>
          <cell r="L226"/>
          <cell r="M226"/>
          <cell r="N226" t="str">
            <v>Y</v>
          </cell>
          <cell r="O226">
            <v>604776738824</v>
          </cell>
          <cell r="P226"/>
          <cell r="Q226">
            <v>4805</v>
          </cell>
          <cell r="R226"/>
          <cell r="S226"/>
          <cell r="T226"/>
          <cell r="U226"/>
          <cell r="V226"/>
          <cell r="W226"/>
          <cell r="X226"/>
        </row>
        <row r="227">
          <cell r="A227">
            <v>46028</v>
          </cell>
          <cell r="B227" t="str">
            <v>Libya</v>
          </cell>
          <cell r="C227" t="str">
            <v>A4706</v>
          </cell>
          <cell r="D227"/>
          <cell r="F227" t="str">
            <v>3/4/2026 - Status changed to out of stock as 300 packs moved to UAE A4553</v>
          </cell>
          <cell r="G227" t="str">
            <v>POLYSIT-90-CS-LY</v>
          </cell>
          <cell r="H227">
            <v>300</v>
          </cell>
          <cell r="I227" t="str">
            <v>LY53-24.0</v>
          </cell>
          <cell r="J227">
            <v>0</v>
          </cell>
          <cell r="L227" t="str">
            <v>In Production</v>
          </cell>
          <cell r="M227"/>
          <cell r="N227" t="str">
            <v>Y</v>
          </cell>
          <cell r="O227">
            <v>604776739203</v>
          </cell>
          <cell r="P227">
            <v>5000</v>
          </cell>
          <cell r="Q227">
            <v>5034</v>
          </cell>
          <cell r="R227">
            <v>46204</v>
          </cell>
          <cell r="S227"/>
          <cell r="T227"/>
          <cell r="U227"/>
          <cell r="V227"/>
          <cell r="W227"/>
          <cell r="X227" t="str">
            <v>HOLD</v>
          </cell>
        </row>
        <row r="228">
          <cell r="A228">
            <v>46009</v>
          </cell>
          <cell r="B228" t="str">
            <v>Georgia</v>
          </cell>
          <cell r="C228" t="str">
            <v>A4625</v>
          </cell>
          <cell r="D228"/>
          <cell r="F228" t="str">
            <v>( l-argine ) 1/15/2025 moved to back order</v>
          </cell>
          <cell r="G228" t="str">
            <v>ARGI-100-CS-GE</v>
          </cell>
          <cell r="H228">
            <v>239</v>
          </cell>
          <cell r="I228" t="str">
            <v>GO25-21.0</v>
          </cell>
          <cell r="J228">
            <v>0</v>
          </cell>
          <cell r="L228"/>
          <cell r="M228"/>
          <cell r="N228" t="str">
            <v>NA</v>
          </cell>
          <cell r="O228">
            <v>604776738657</v>
          </cell>
          <cell r="P228">
            <v>2000</v>
          </cell>
          <cell r="Q228">
            <v>4998</v>
          </cell>
          <cell r="R228" t="str">
            <v>TBD</v>
          </cell>
          <cell r="S228" t="str">
            <v>MOQ 2000</v>
          </cell>
          <cell r="T228"/>
          <cell r="U228"/>
          <cell r="V228"/>
          <cell r="W228"/>
          <cell r="X228" t="str">
            <v>HOLD</v>
          </cell>
        </row>
        <row r="229">
          <cell r="A229">
            <v>46029</v>
          </cell>
          <cell r="B229" t="str">
            <v>Kuwait</v>
          </cell>
          <cell r="C229" t="str">
            <v>A4696</v>
          </cell>
          <cell r="D229"/>
          <cell r="F229" t="str">
            <v xml:space="preserve">Needs to be converted to green capsules </v>
          </cell>
          <cell r="G229" t="str">
            <v>CAVINADV-60-CS-KW</v>
          </cell>
          <cell r="H229">
            <v>1</v>
          </cell>
          <cell r="I229" t="str">
            <v>KW09-26.0</v>
          </cell>
          <cell r="J229">
            <v>1</v>
          </cell>
          <cell r="L229" t="str">
            <v>D/W Sent</v>
          </cell>
          <cell r="M229">
            <v>46147</v>
          </cell>
          <cell r="N229" t="str">
            <v>NA</v>
          </cell>
          <cell r="O229">
            <v>604776740179</v>
          </cell>
          <cell r="P229"/>
          <cell r="Q229"/>
          <cell r="R229"/>
          <cell r="S229"/>
          <cell r="T229"/>
          <cell r="U229"/>
          <cell r="V229"/>
          <cell r="W229"/>
          <cell r="X229" t="str">
            <v>Approved</v>
          </cell>
        </row>
        <row r="230">
          <cell r="A230">
            <v>46013</v>
          </cell>
          <cell r="B230" t="str">
            <v>Nigeria</v>
          </cell>
          <cell r="C230" t="str">
            <v>A4616</v>
          </cell>
          <cell r="D230" t="str">
            <v>waiting on import permit</v>
          </cell>
          <cell r="F230" t="str">
            <v xml:space="preserve">1/8/2025: quanitity increased 16 bottles </v>
          </cell>
          <cell r="G230" t="str">
            <v>FERTMX-90-CS-NI</v>
          </cell>
          <cell r="H230">
            <v>216</v>
          </cell>
          <cell r="I230" t="str">
            <v>NI16|26.0</v>
          </cell>
          <cell r="J230">
            <v>216</v>
          </cell>
          <cell r="L230"/>
          <cell r="M230"/>
          <cell r="N230" t="str">
            <v>y</v>
          </cell>
          <cell r="O230">
            <v>604776739890</v>
          </cell>
          <cell r="P230"/>
          <cell r="Q230">
            <v>4834</v>
          </cell>
          <cell r="R230"/>
          <cell r="S230"/>
          <cell r="T230"/>
          <cell r="U230"/>
          <cell r="V230"/>
          <cell r="W230"/>
          <cell r="X230" t="str">
            <v>HOLD</v>
          </cell>
        </row>
        <row r="231">
          <cell r="A231">
            <v>46028</v>
          </cell>
          <cell r="B231" t="str">
            <v>Kuwait</v>
          </cell>
          <cell r="C231" t="str">
            <v>A4648</v>
          </cell>
          <cell r="D231" t="str">
            <v>EyeCaps are to be placed on hold for now. Cannot register product w/ current formula, waiting for labels.</v>
          </cell>
          <cell r="F231" t="str">
            <v xml:space="preserve">Regular product with country specific labels </v>
          </cell>
          <cell r="G231" t="str">
            <v>EYECAP-30-CS-KW</v>
          </cell>
          <cell r="H231">
            <v>5</v>
          </cell>
          <cell r="I231" t="str">
            <v>N/A</v>
          </cell>
          <cell r="J231">
            <v>5</v>
          </cell>
          <cell r="L231" t="str">
            <v>Sales Action Needed</v>
          </cell>
          <cell r="M231" t="str">
            <v>label and sku non existent</v>
          </cell>
          <cell r="N231" t="str">
            <v>Y</v>
          </cell>
          <cell r="O231" t="str">
            <v>N/A</v>
          </cell>
          <cell r="P231"/>
          <cell r="Q231"/>
          <cell r="R231"/>
          <cell r="S231"/>
          <cell r="T231"/>
          <cell r="U231"/>
          <cell r="V231"/>
          <cell r="W231"/>
          <cell r="X231" t="str">
            <v>Approved</v>
          </cell>
        </row>
        <row r="232">
          <cell r="A232">
            <v>46013</v>
          </cell>
          <cell r="B232" t="str">
            <v>Nigeria</v>
          </cell>
          <cell r="C232" t="str">
            <v>A4616</v>
          </cell>
          <cell r="D232"/>
          <cell r="F232" t="str">
            <v xml:space="preserve">1/8/2025: quanitity increased 16 bottles </v>
          </cell>
          <cell r="G232" t="str">
            <v>MOTILMX-60-CS-NI</v>
          </cell>
          <cell r="H232">
            <v>96</v>
          </cell>
          <cell r="I232" t="str">
            <v>NI31|26.0</v>
          </cell>
          <cell r="J232">
            <v>96</v>
          </cell>
          <cell r="L232"/>
          <cell r="M232"/>
          <cell r="N232" t="str">
            <v>NA</v>
          </cell>
          <cell r="O232">
            <v>604776739906</v>
          </cell>
          <cell r="P232"/>
          <cell r="Q232">
            <v>4848</v>
          </cell>
          <cell r="R232"/>
          <cell r="S232"/>
          <cell r="T232"/>
          <cell r="U232"/>
          <cell r="V232"/>
          <cell r="W232"/>
          <cell r="X232"/>
        </row>
        <row r="233">
          <cell r="A233">
            <v>46037</v>
          </cell>
          <cell r="B233" t="str">
            <v>Iraq</v>
          </cell>
          <cell r="C233" t="str">
            <v>A4626</v>
          </cell>
          <cell r="D233"/>
          <cell r="F233"/>
          <cell r="G233" t="str">
            <v>CAVINAD-60-FD</v>
          </cell>
          <cell r="H233">
            <v>4000</v>
          </cell>
          <cell r="I233" t="str">
            <v>F09-25.0</v>
          </cell>
          <cell r="J233">
            <v>4000</v>
          </cell>
          <cell r="L233" t="str">
            <v>ON HOLD</v>
          </cell>
          <cell r="M233"/>
          <cell r="N233"/>
          <cell r="O233">
            <v>609788968610</v>
          </cell>
          <cell r="P233">
            <v>4000</v>
          </cell>
          <cell r="Q233">
            <v>4992</v>
          </cell>
          <cell r="R233" t="str">
            <v>TBD</v>
          </cell>
          <cell r="S233"/>
          <cell r="T233"/>
          <cell r="U233"/>
          <cell r="V233"/>
          <cell r="W233"/>
          <cell r="X233" t="str">
            <v>HOLD</v>
          </cell>
        </row>
        <row r="234">
          <cell r="A234">
            <v>46013</v>
          </cell>
          <cell r="B234" t="str">
            <v>Nigeria</v>
          </cell>
          <cell r="C234" t="str">
            <v>A4616</v>
          </cell>
          <cell r="D234"/>
          <cell r="F234" t="str">
            <v xml:space="preserve">1/8/2025: quanitity increased 20 bottles </v>
          </cell>
          <cell r="G234" t="str">
            <v>WFSPLS-180-CS-NI</v>
          </cell>
          <cell r="H234">
            <v>120</v>
          </cell>
          <cell r="I234" t="str">
            <v>NI73|26.0</v>
          </cell>
          <cell r="J234">
            <v>120</v>
          </cell>
          <cell r="L234" t="str">
            <v>D/W Sent</v>
          </cell>
          <cell r="M234"/>
          <cell r="N234" t="str">
            <v>NA</v>
          </cell>
          <cell r="O234">
            <v>604776739920</v>
          </cell>
          <cell r="P234"/>
          <cell r="Q234">
            <v>4684</v>
          </cell>
          <cell r="R234"/>
          <cell r="S234"/>
          <cell r="T234"/>
          <cell r="U234"/>
          <cell r="V234"/>
          <cell r="W234"/>
          <cell r="X234"/>
        </row>
        <row r="235">
          <cell r="A235">
            <v>46073</v>
          </cell>
          <cell r="B235" t="str">
            <v>Somalia</v>
          </cell>
          <cell r="C235" t="str">
            <v>A4708</v>
          </cell>
          <cell r="D235"/>
          <cell r="F235" t="str">
            <v>5/21/2026: 1320 packs moved from Somalia A4686</v>
          </cell>
          <cell r="G235" t="str">
            <v>DHEA50-60-FD</v>
          </cell>
          <cell r="H235">
            <v>1320</v>
          </cell>
          <cell r="I235" t="str">
            <v>F13-25.2</v>
          </cell>
          <cell r="J235"/>
          <cell r="L235" t="str">
            <v>In Production</v>
          </cell>
          <cell r="M235"/>
          <cell r="N235" t="str">
            <v>NA</v>
          </cell>
          <cell r="O235">
            <v>609788968221</v>
          </cell>
          <cell r="P235">
            <v>7000</v>
          </cell>
          <cell r="Q235">
            <v>5027</v>
          </cell>
          <cell r="R235">
            <v>46201</v>
          </cell>
          <cell r="S235"/>
          <cell r="T235"/>
          <cell r="U235"/>
          <cell r="V235"/>
          <cell r="W235"/>
          <cell r="X235" t="str">
            <v>Approved</v>
          </cell>
        </row>
        <row r="236">
          <cell r="A236"/>
          <cell r="B236"/>
          <cell r="C236"/>
          <cell r="D236"/>
          <cell r="F236"/>
          <cell r="G236"/>
          <cell r="H236"/>
          <cell r="I236"/>
          <cell r="J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</row>
        <row r="237">
          <cell r="A237">
            <v>46080</v>
          </cell>
          <cell r="B237" t="str">
            <v>Qatar</v>
          </cell>
          <cell r="C237" t="str">
            <v>A4693</v>
          </cell>
          <cell r="D237"/>
          <cell r="F237" t="str">
            <v>5/13/2026: qty decreased 
1052 -&gt; 1008 (44 packs moved to UAE A4701)
1008 packs fufilled by Ethiopia A4575</v>
          </cell>
          <cell r="G237" t="str">
            <v>MFSPLS-120-CS-QT</v>
          </cell>
          <cell r="H237">
            <v>1008</v>
          </cell>
          <cell r="I237" t="str">
            <v>QT30-24.0</v>
          </cell>
          <cell r="J237">
            <v>1008</v>
          </cell>
          <cell r="L237" t="str">
            <v>D/W Sent</v>
          </cell>
          <cell r="M237">
            <v>46181</v>
          </cell>
          <cell r="N237" t="str">
            <v>NA</v>
          </cell>
          <cell r="O237">
            <v>604776736752</v>
          </cell>
          <cell r="P237"/>
          <cell r="Q237"/>
          <cell r="R237"/>
          <cell r="S237"/>
          <cell r="T237"/>
          <cell r="U237"/>
          <cell r="V237"/>
          <cell r="W237"/>
          <cell r="X237" t="str">
            <v>Approved</v>
          </cell>
        </row>
        <row r="238">
          <cell r="A238">
            <v>46080</v>
          </cell>
          <cell r="B238" t="str">
            <v>Qatar</v>
          </cell>
          <cell r="C238" t="str">
            <v>A4693</v>
          </cell>
          <cell r="D238"/>
          <cell r="F238"/>
          <cell r="G238" t="str">
            <v>MFSPLS-120-CS-QT</v>
          </cell>
          <cell r="H238">
            <v>598</v>
          </cell>
          <cell r="I238" t="str">
            <v>QT30-24.0</v>
          </cell>
          <cell r="J238">
            <v>598</v>
          </cell>
          <cell r="L238" t="str">
            <v>D/W Sent</v>
          </cell>
          <cell r="M238"/>
          <cell r="N238" t="str">
            <v>NA</v>
          </cell>
          <cell r="O238">
            <v>604776736752</v>
          </cell>
          <cell r="P238">
            <v>7000</v>
          </cell>
          <cell r="Q238">
            <v>4935</v>
          </cell>
          <cell r="R238" t="str">
            <v>complete</v>
          </cell>
          <cell r="S238"/>
          <cell r="T238"/>
          <cell r="U238"/>
          <cell r="V238"/>
          <cell r="W238"/>
          <cell r="X238"/>
        </row>
        <row r="239">
          <cell r="A239">
            <v>46080</v>
          </cell>
          <cell r="B239" t="str">
            <v>Qatar</v>
          </cell>
          <cell r="C239" t="str">
            <v>A4693</v>
          </cell>
          <cell r="D239"/>
          <cell r="F239"/>
          <cell r="G239" t="str">
            <v>MOTILMX-60-CS-QT</v>
          </cell>
          <cell r="H239">
            <v>2200</v>
          </cell>
          <cell r="I239" t="str">
            <v>QT31-24.0</v>
          </cell>
          <cell r="J239">
            <v>2200</v>
          </cell>
          <cell r="L239" t="str">
            <v>D/W Sent</v>
          </cell>
          <cell r="M239"/>
          <cell r="N239" t="str">
            <v>NA</v>
          </cell>
          <cell r="O239">
            <v>604776736769</v>
          </cell>
          <cell r="P239"/>
          <cell r="Q239"/>
          <cell r="R239"/>
          <cell r="S239"/>
          <cell r="T239"/>
          <cell r="U239"/>
          <cell r="V239"/>
          <cell r="W239"/>
          <cell r="X239"/>
        </row>
        <row r="240">
          <cell r="A240"/>
          <cell r="B240"/>
          <cell r="C240"/>
          <cell r="D240"/>
          <cell r="F240"/>
          <cell r="G240"/>
          <cell r="H240"/>
          <cell r="I240"/>
          <cell r="J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</row>
        <row r="241">
          <cell r="A241">
            <v>46080</v>
          </cell>
          <cell r="B241" t="str">
            <v>Qatar</v>
          </cell>
          <cell r="C241" t="str">
            <v>A4701</v>
          </cell>
          <cell r="D241"/>
          <cell r="F241" t="str">
            <v>5/13/2026: 44 packs moved from Qatar A4693</v>
          </cell>
          <cell r="G241" t="str">
            <v>MFSPLS-120-CS-QT</v>
          </cell>
          <cell r="H241">
            <v>44</v>
          </cell>
          <cell r="I241" t="str">
            <v>QT30-24.0</v>
          </cell>
          <cell r="J241"/>
          <cell r="L241" t="str">
            <v>In Production</v>
          </cell>
          <cell r="M241"/>
          <cell r="N241" t="str">
            <v>NA</v>
          </cell>
          <cell r="O241">
            <v>604776736752</v>
          </cell>
          <cell r="P241">
            <v>9195</v>
          </cell>
          <cell r="Q241">
            <v>5032</v>
          </cell>
          <cell r="R241">
            <v>46211</v>
          </cell>
          <cell r="S241"/>
          <cell r="T241"/>
          <cell r="U241"/>
          <cell r="V241"/>
          <cell r="W241"/>
          <cell r="X241" t="str">
            <v>HOLD</v>
          </cell>
        </row>
        <row r="242">
          <cell r="A242"/>
          <cell r="B242"/>
          <cell r="C242"/>
          <cell r="D242"/>
          <cell r="F242"/>
          <cell r="G242"/>
          <cell r="H242"/>
          <cell r="I242"/>
          <cell r="J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</row>
        <row r="243">
          <cell r="A243">
            <v>46087</v>
          </cell>
          <cell r="B243" t="str">
            <v>KSA</v>
          </cell>
          <cell r="C243" t="str">
            <v>A4654</v>
          </cell>
          <cell r="D243" t="str">
            <v>5/7/2026: working on revised docs</v>
          </cell>
          <cell r="F243"/>
          <cell r="G243" t="str">
            <v>WFSPLS-180-FD</v>
          </cell>
          <cell r="H243">
            <v>48</v>
          </cell>
          <cell r="I243" t="str">
            <v>F73-23.0</v>
          </cell>
          <cell r="J243">
            <v>48</v>
          </cell>
          <cell r="L243" t="str">
            <v>D/W Sent</v>
          </cell>
          <cell r="M243">
            <v>46182</v>
          </cell>
          <cell r="N243" t="str">
            <v>NA</v>
          </cell>
          <cell r="O243">
            <v>609788968351</v>
          </cell>
          <cell r="P243"/>
          <cell r="Q243"/>
          <cell r="R243"/>
          <cell r="S243"/>
          <cell r="T243"/>
          <cell r="U243"/>
          <cell r="V243"/>
          <cell r="W243"/>
          <cell r="X243" t="str">
            <v>HOLD</v>
          </cell>
        </row>
        <row r="244">
          <cell r="A244">
            <v>46087</v>
          </cell>
          <cell r="B244" t="str">
            <v>KSA</v>
          </cell>
          <cell r="C244" t="str">
            <v>A4654</v>
          </cell>
          <cell r="D244"/>
          <cell r="F244"/>
          <cell r="G244" t="str">
            <v>EYECAP-30-FD</v>
          </cell>
          <cell r="H244">
            <v>72</v>
          </cell>
          <cell r="I244" t="str">
            <v>F15-26.0</v>
          </cell>
          <cell r="J244">
            <v>72</v>
          </cell>
          <cell r="L244" t="str">
            <v>D/W Sent</v>
          </cell>
          <cell r="M244">
            <v>46149</v>
          </cell>
          <cell r="N244" t="str">
            <v>Y</v>
          </cell>
          <cell r="O244">
            <v>609788968443</v>
          </cell>
          <cell r="P244"/>
          <cell r="Q244"/>
          <cell r="R244"/>
          <cell r="S244"/>
          <cell r="T244"/>
          <cell r="U244"/>
          <cell r="V244"/>
          <cell r="W244"/>
          <cell r="X244"/>
        </row>
        <row r="245">
          <cell r="A245">
            <v>46087</v>
          </cell>
          <cell r="B245" t="str">
            <v>KSA</v>
          </cell>
          <cell r="C245" t="str">
            <v>A4654</v>
          </cell>
          <cell r="D245"/>
          <cell r="F245"/>
          <cell r="G245" t="str">
            <v>PEARLY-60-FD</v>
          </cell>
          <cell r="H245">
            <v>120</v>
          </cell>
          <cell r="I245" t="str">
            <v>F42-22.0</v>
          </cell>
          <cell r="J245">
            <v>120</v>
          </cell>
          <cell r="L245" t="str">
            <v>D/W Sent</v>
          </cell>
          <cell r="M245"/>
          <cell r="N245" t="str">
            <v>Y</v>
          </cell>
          <cell r="O245">
            <v>609788968665</v>
          </cell>
          <cell r="P245"/>
          <cell r="Q245"/>
          <cell r="R245"/>
          <cell r="S245"/>
          <cell r="T245"/>
          <cell r="U245"/>
          <cell r="V245"/>
          <cell r="W245"/>
          <cell r="X245"/>
        </row>
        <row r="246">
          <cell r="A246">
            <v>46087</v>
          </cell>
          <cell r="B246" t="str">
            <v>KSA</v>
          </cell>
          <cell r="C246" t="str">
            <v>A4654</v>
          </cell>
          <cell r="D246"/>
          <cell r="F246"/>
          <cell r="G246" t="str">
            <v>PEARLY-60-FD</v>
          </cell>
          <cell r="H246">
            <v>24</v>
          </cell>
          <cell r="I246" t="str">
            <v>F42-22.0</v>
          </cell>
          <cell r="J246">
            <v>24</v>
          </cell>
          <cell r="L246" t="str">
            <v>D/W Sent</v>
          </cell>
          <cell r="M246"/>
          <cell r="N246" t="str">
            <v>Y</v>
          </cell>
          <cell r="O246">
            <v>609788968665</v>
          </cell>
          <cell r="P246"/>
          <cell r="Q246"/>
          <cell r="R246"/>
          <cell r="S246"/>
          <cell r="T246"/>
          <cell r="U246"/>
          <cell r="V246"/>
          <cell r="W246"/>
          <cell r="X246"/>
        </row>
        <row r="247">
          <cell r="A247">
            <v>46087</v>
          </cell>
          <cell r="B247" t="str">
            <v>KSA</v>
          </cell>
          <cell r="C247" t="str">
            <v>A4654</v>
          </cell>
          <cell r="D247"/>
          <cell r="F247"/>
          <cell r="G247" t="str">
            <v>QWELL4-30-SG-FD</v>
          </cell>
          <cell r="H247">
            <v>144</v>
          </cell>
          <cell r="I247" t="str">
            <v>F58-25.3</v>
          </cell>
          <cell r="J247">
            <v>144</v>
          </cell>
          <cell r="L247" t="str">
            <v>D/W Sent</v>
          </cell>
          <cell r="M247"/>
          <cell r="N247" t="str">
            <v>NA</v>
          </cell>
          <cell r="O247">
            <v>609788968214</v>
          </cell>
          <cell r="P247"/>
          <cell r="Q247"/>
          <cell r="R247"/>
          <cell r="S247"/>
          <cell r="T247"/>
          <cell r="U247"/>
          <cell r="V247"/>
          <cell r="W247"/>
          <cell r="X247"/>
        </row>
        <row r="248">
          <cell r="A248">
            <v>46087</v>
          </cell>
          <cell r="B248" t="str">
            <v>KSA</v>
          </cell>
          <cell r="C248" t="str">
            <v>A4654</v>
          </cell>
          <cell r="D248"/>
          <cell r="F248"/>
          <cell r="G248" t="str">
            <v>PRECON-90-FD</v>
          </cell>
          <cell r="H248">
            <v>72</v>
          </cell>
          <cell r="I248" t="str">
            <v>F54-23.0</v>
          </cell>
          <cell r="J248">
            <v>72</v>
          </cell>
          <cell r="L248" t="str">
            <v>D/W Sent</v>
          </cell>
          <cell r="M248"/>
          <cell r="N248" t="str">
            <v>NA</v>
          </cell>
          <cell r="O248">
            <v>609788968368</v>
          </cell>
          <cell r="P248"/>
          <cell r="Q248"/>
          <cell r="R248"/>
          <cell r="S248"/>
          <cell r="T248"/>
          <cell r="U248"/>
          <cell r="V248"/>
          <cell r="W248"/>
          <cell r="X248"/>
        </row>
        <row r="249">
          <cell r="A249">
            <v>46087</v>
          </cell>
          <cell r="B249" t="str">
            <v>KSA</v>
          </cell>
          <cell r="C249" t="str">
            <v>A4654</v>
          </cell>
          <cell r="D249"/>
          <cell r="F249" t="str">
            <v>6/8/2026: quantity increased 
240 -&gt; 400 (160 packs added)</v>
          </cell>
          <cell r="G249" t="str">
            <v>DHEA25-60-FD</v>
          </cell>
          <cell r="H249">
            <v>160</v>
          </cell>
          <cell r="I249" t="str">
            <v>F14-25.2</v>
          </cell>
          <cell r="J249">
            <v>160</v>
          </cell>
          <cell r="L249" t="str">
            <v>D/W Sent</v>
          </cell>
          <cell r="M249"/>
          <cell r="N249" t="str">
            <v>NA</v>
          </cell>
          <cell r="O249">
            <v>609788968153</v>
          </cell>
          <cell r="P249"/>
          <cell r="Q249"/>
          <cell r="R249"/>
          <cell r="S249"/>
          <cell r="T249"/>
          <cell r="U249"/>
          <cell r="V249"/>
          <cell r="W249"/>
          <cell r="X249"/>
        </row>
        <row r="250">
          <cell r="A250">
            <v>46087</v>
          </cell>
          <cell r="B250" t="str">
            <v>KSA</v>
          </cell>
          <cell r="C250" t="str">
            <v>A4654</v>
          </cell>
          <cell r="D250"/>
          <cell r="F250" t="str">
            <v>6/8/2026: quantity increased 
240 -&gt; 400 (160 packs added)</v>
          </cell>
          <cell r="G250" t="str">
            <v>DHEA25-60-FD</v>
          </cell>
          <cell r="H250">
            <v>240</v>
          </cell>
          <cell r="I250" t="str">
            <v>F14-25.2</v>
          </cell>
          <cell r="J250">
            <v>240</v>
          </cell>
          <cell r="L250" t="str">
            <v>D/W Sent</v>
          </cell>
          <cell r="M250"/>
          <cell r="N250" t="str">
            <v>NA</v>
          </cell>
          <cell r="O250">
            <v>609788968153</v>
          </cell>
          <cell r="P250"/>
          <cell r="Q250"/>
          <cell r="R250"/>
          <cell r="S250"/>
          <cell r="T250"/>
          <cell r="U250"/>
          <cell r="V250"/>
          <cell r="W250"/>
          <cell r="X250"/>
        </row>
        <row r="251">
          <cell r="A251">
            <v>46087</v>
          </cell>
          <cell r="B251" t="str">
            <v>KSA</v>
          </cell>
          <cell r="C251" t="str">
            <v>A4654</v>
          </cell>
          <cell r="D251"/>
          <cell r="F251"/>
          <cell r="G251" t="str">
            <v>KETONEG-60-FD</v>
          </cell>
          <cell r="H251">
            <v>168</v>
          </cell>
          <cell r="I251" t="str">
            <v>F24-25.1</v>
          </cell>
          <cell r="J251">
            <v>168</v>
          </cell>
          <cell r="L251" t="str">
            <v>D/W Sent</v>
          </cell>
          <cell r="M251"/>
          <cell r="N251" t="str">
            <v>Y</v>
          </cell>
          <cell r="O251">
            <v>810131190071</v>
          </cell>
          <cell r="P251"/>
          <cell r="Q251"/>
          <cell r="R251"/>
          <cell r="S251"/>
          <cell r="T251"/>
          <cell r="U251"/>
          <cell r="V251"/>
          <cell r="W251"/>
          <cell r="X251"/>
        </row>
        <row r="252">
          <cell r="A252">
            <v>46087</v>
          </cell>
          <cell r="B252" t="str">
            <v>KSA</v>
          </cell>
          <cell r="C252" t="str">
            <v>A4654</v>
          </cell>
          <cell r="D252"/>
          <cell r="F252"/>
          <cell r="G252" t="str">
            <v>WFSPLS-90-FD</v>
          </cell>
          <cell r="H252">
            <v>96</v>
          </cell>
          <cell r="I252" t="str">
            <v>F72-25.0</v>
          </cell>
          <cell r="J252">
            <v>96</v>
          </cell>
          <cell r="L252" t="str">
            <v>D/W Sent</v>
          </cell>
          <cell r="M252"/>
          <cell r="N252" t="str">
            <v>NA</v>
          </cell>
          <cell r="O252">
            <v>609788968108</v>
          </cell>
          <cell r="P252">
            <v>4000</v>
          </cell>
          <cell r="Q252">
            <v>4941</v>
          </cell>
          <cell r="R252" t="str">
            <v>complete</v>
          </cell>
          <cell r="S252"/>
          <cell r="T252"/>
          <cell r="U252"/>
          <cell r="V252"/>
          <cell r="W252"/>
          <cell r="X252"/>
        </row>
        <row r="253">
          <cell r="A253">
            <v>46087</v>
          </cell>
          <cell r="B253" t="str">
            <v>KSA</v>
          </cell>
          <cell r="C253" t="str">
            <v>A4654</v>
          </cell>
          <cell r="D253"/>
          <cell r="F253"/>
          <cell r="G253" t="str">
            <v>PRECON-180-FD</v>
          </cell>
          <cell r="H253">
            <v>72</v>
          </cell>
          <cell r="I253" t="str">
            <v>F55-22.2</v>
          </cell>
          <cell r="J253">
            <v>72</v>
          </cell>
          <cell r="L253" t="str">
            <v>D/W Sent</v>
          </cell>
          <cell r="M253"/>
          <cell r="N253" t="str">
            <v>NA</v>
          </cell>
          <cell r="O253">
            <v>609788968375</v>
          </cell>
          <cell r="P253"/>
          <cell r="Q253"/>
          <cell r="R253"/>
          <cell r="S253"/>
          <cell r="T253"/>
          <cell r="U253"/>
          <cell r="V253"/>
          <cell r="W253"/>
          <cell r="X253"/>
        </row>
        <row r="254">
          <cell r="A254">
            <v>46087</v>
          </cell>
          <cell r="B254" t="str">
            <v>KSA</v>
          </cell>
          <cell r="C254" t="str">
            <v>A4654</v>
          </cell>
          <cell r="D254"/>
          <cell r="F254"/>
          <cell r="G254" t="str">
            <v>GINKGO-60-FD</v>
          </cell>
          <cell r="H254">
            <v>120</v>
          </cell>
          <cell r="I254" t="str">
            <v>F21-23.0</v>
          </cell>
          <cell r="J254">
            <v>120</v>
          </cell>
          <cell r="L254" t="str">
            <v>D/W Sent</v>
          </cell>
          <cell r="M254"/>
          <cell r="N254" t="str">
            <v>NA</v>
          </cell>
          <cell r="O254">
            <v>609788968146</v>
          </cell>
          <cell r="P254"/>
          <cell r="Q254"/>
          <cell r="R254"/>
          <cell r="S254"/>
          <cell r="T254"/>
          <cell r="U254"/>
          <cell r="V254"/>
          <cell r="W254"/>
          <cell r="X254"/>
        </row>
        <row r="255">
          <cell r="A255">
            <v>46087</v>
          </cell>
          <cell r="B255" t="str">
            <v>KSA</v>
          </cell>
          <cell r="C255" t="str">
            <v>A4654</v>
          </cell>
          <cell r="D255"/>
          <cell r="F255"/>
          <cell r="G255" t="str">
            <v>OSTEOPL-96-FD</v>
          </cell>
          <cell r="H255">
            <v>96</v>
          </cell>
          <cell r="I255" t="str">
            <v>F39-24.0</v>
          </cell>
          <cell r="J255">
            <v>96</v>
          </cell>
          <cell r="L255" t="str">
            <v>D/W Sent</v>
          </cell>
          <cell r="M255"/>
          <cell r="N255" t="str">
            <v>Y</v>
          </cell>
          <cell r="O255">
            <v>609788968238</v>
          </cell>
          <cell r="P255"/>
          <cell r="Q255"/>
          <cell r="R255"/>
          <cell r="S255"/>
          <cell r="T255"/>
          <cell r="U255"/>
          <cell r="V255"/>
          <cell r="W255"/>
          <cell r="X255"/>
        </row>
        <row r="256">
          <cell r="A256">
            <v>46087</v>
          </cell>
          <cell r="B256" t="str">
            <v>KSA</v>
          </cell>
          <cell r="C256" t="str">
            <v>A4654</v>
          </cell>
          <cell r="D256"/>
          <cell r="F256" t="str">
            <v>Extra run off 
4/22/2026 - Product added back from KSA A4679</v>
          </cell>
          <cell r="G256" t="str">
            <v>COQ100-125-FD</v>
          </cell>
          <cell r="H256">
            <v>140</v>
          </cell>
          <cell r="I256" t="str">
            <v>F12-26.0</v>
          </cell>
          <cell r="J256">
            <v>140</v>
          </cell>
          <cell r="L256" t="str">
            <v>D/W Sent</v>
          </cell>
          <cell r="M256"/>
          <cell r="N256" t="str">
            <v>Y</v>
          </cell>
          <cell r="O256">
            <v>810131199258</v>
          </cell>
          <cell r="P256">
            <v>8000</v>
          </cell>
          <cell r="Q256">
            <v>4916</v>
          </cell>
          <cell r="R256" t="str">
            <v>Complete</v>
          </cell>
          <cell r="S256" t="str">
            <v>Use overrun to fulfill this order. Waiting to pick up from Vitane pending response</v>
          </cell>
          <cell r="T256"/>
          <cell r="U256"/>
          <cell r="V256"/>
          <cell r="W256"/>
          <cell r="X256"/>
        </row>
        <row r="257">
          <cell r="A257">
            <v>46087</v>
          </cell>
          <cell r="B257" t="str">
            <v>KSA</v>
          </cell>
          <cell r="C257" t="str">
            <v>A4654</v>
          </cell>
          <cell r="D257"/>
          <cell r="F257" t="str">
            <v>5/7/2026: Moved from KSA A4679</v>
          </cell>
          <cell r="G257" t="str">
            <v>MFSPLS-120-FD</v>
          </cell>
          <cell r="H257">
            <v>216</v>
          </cell>
          <cell r="I257" t="str">
            <v>F30-25.1</v>
          </cell>
          <cell r="J257">
            <v>216</v>
          </cell>
          <cell r="L257" t="str">
            <v>D/W Sent</v>
          </cell>
          <cell r="M257"/>
          <cell r="N257" t="str">
            <v>NA</v>
          </cell>
          <cell r="O257">
            <v>609788968344</v>
          </cell>
          <cell r="P257"/>
          <cell r="Q257"/>
          <cell r="R257"/>
          <cell r="S257"/>
          <cell r="T257"/>
          <cell r="U257"/>
          <cell r="V257"/>
          <cell r="W257"/>
          <cell r="X257"/>
        </row>
        <row r="258">
          <cell r="A258"/>
          <cell r="B258"/>
          <cell r="C258"/>
          <cell r="D258"/>
          <cell r="F258"/>
          <cell r="G258"/>
          <cell r="H258"/>
          <cell r="I258"/>
          <cell r="J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</row>
        <row r="259">
          <cell r="A259">
            <v>46087</v>
          </cell>
          <cell r="B259" t="str">
            <v>KSA</v>
          </cell>
          <cell r="C259" t="str">
            <v>A4679</v>
          </cell>
          <cell r="D259"/>
          <cell r="F259"/>
          <cell r="G259" t="str">
            <v>MFSADV-120-FD</v>
          </cell>
          <cell r="H259">
            <v>288</v>
          </cell>
          <cell r="I259" t="str">
            <v>F87-25.0</v>
          </cell>
          <cell r="J259">
            <v>0</v>
          </cell>
          <cell r="L259" t="str">
            <v>Not Meet MOQ</v>
          </cell>
          <cell r="M259"/>
          <cell r="N259" t="str">
            <v>Y</v>
          </cell>
          <cell r="O259">
            <v>604776736547</v>
          </cell>
          <cell r="P259"/>
          <cell r="Q259"/>
          <cell r="R259"/>
          <cell r="S259" t="str">
            <v>Tablet</v>
          </cell>
          <cell r="T259"/>
          <cell r="U259"/>
          <cell r="V259"/>
          <cell r="W259"/>
          <cell r="X259" t="str">
            <v>HOLD</v>
          </cell>
        </row>
        <row r="260">
          <cell r="A260">
            <v>46087</v>
          </cell>
          <cell r="B260" t="str">
            <v>KSA</v>
          </cell>
          <cell r="C260" t="str">
            <v>A4679</v>
          </cell>
          <cell r="D260"/>
          <cell r="F260"/>
          <cell r="G260" t="str">
            <v>PEDIACM-50-FD</v>
          </cell>
          <cell r="H260">
            <v>144</v>
          </cell>
          <cell r="I260" t="str">
            <v>F44-26.0</v>
          </cell>
          <cell r="J260">
            <v>0</v>
          </cell>
          <cell r="L260" t="str">
            <v>PO submitted</v>
          </cell>
          <cell r="M260"/>
          <cell r="N260" t="str">
            <v>Y</v>
          </cell>
          <cell r="O260">
            <v>810131199616</v>
          </cell>
          <cell r="P260">
            <v>5000</v>
          </cell>
          <cell r="Q260">
            <v>4980</v>
          </cell>
          <cell r="R260" t="str">
            <v>TBD</v>
          </cell>
          <cell r="S260" t="str">
            <v>Waiting for IFC to start production.</v>
          </cell>
          <cell r="T260"/>
          <cell r="U260"/>
          <cell r="V260"/>
          <cell r="W260"/>
          <cell r="X260"/>
        </row>
        <row r="261">
          <cell r="A261">
            <v>46087</v>
          </cell>
          <cell r="B261" t="str">
            <v>KSA</v>
          </cell>
          <cell r="C261" t="str">
            <v>A4679</v>
          </cell>
          <cell r="D261"/>
          <cell r="F261"/>
          <cell r="G261" t="str">
            <v>PEDIAZI-50-FD</v>
          </cell>
          <cell r="H261">
            <v>216</v>
          </cell>
          <cell r="I261" t="str">
            <v>F50-26.0</v>
          </cell>
          <cell r="J261">
            <v>0</v>
          </cell>
          <cell r="L261" t="str">
            <v>PO submitted</v>
          </cell>
          <cell r="M261"/>
          <cell r="N261" t="str">
            <v>Y</v>
          </cell>
          <cell r="O261">
            <v>810131199678</v>
          </cell>
          <cell r="P261">
            <v>5000</v>
          </cell>
          <cell r="Q261">
            <v>4978</v>
          </cell>
          <cell r="R261" t="str">
            <v>TBD</v>
          </cell>
          <cell r="S261" t="str">
            <v>Waiting for IFC to start production.</v>
          </cell>
          <cell r="T261"/>
          <cell r="U261"/>
          <cell r="V261"/>
          <cell r="W261"/>
          <cell r="X261"/>
        </row>
        <row r="262">
          <cell r="A262">
            <v>46087</v>
          </cell>
          <cell r="B262" t="str">
            <v>KSA</v>
          </cell>
          <cell r="C262" t="str">
            <v>A4679</v>
          </cell>
          <cell r="D262"/>
          <cell r="F262" t="str">
            <v>take from Iraq A4631?</v>
          </cell>
          <cell r="G262" t="str">
            <v>MEMOUP-60-FD</v>
          </cell>
          <cell r="H262">
            <v>105</v>
          </cell>
          <cell r="I262" t="str">
            <v>F27-26.0</v>
          </cell>
          <cell r="J262">
            <v>0</v>
          </cell>
          <cell r="L262" t="str">
            <v>Not Meet MOQ</v>
          </cell>
          <cell r="M262"/>
          <cell r="N262" t="str">
            <v>Y</v>
          </cell>
          <cell r="O262">
            <v>810131199449</v>
          </cell>
          <cell r="P262"/>
          <cell r="Q262"/>
          <cell r="R262"/>
          <cell r="S262" t="str">
            <v>Take from Iraq?</v>
          </cell>
          <cell r="T262"/>
          <cell r="U262"/>
          <cell r="V262"/>
          <cell r="W262"/>
          <cell r="X262"/>
        </row>
        <row r="263">
          <cell r="A263">
            <v>46087</v>
          </cell>
          <cell r="B263" t="str">
            <v>KSA</v>
          </cell>
          <cell r="C263" t="str">
            <v>A4679</v>
          </cell>
          <cell r="D263"/>
          <cell r="F263"/>
          <cell r="G263" t="str">
            <v>ROYALJE-60-FD</v>
          </cell>
          <cell r="H263">
            <v>432</v>
          </cell>
          <cell r="I263" t="str">
            <v>F61-22.1</v>
          </cell>
          <cell r="J263">
            <v>0</v>
          </cell>
          <cell r="L263" t="str">
            <v>Not Meet MOQ</v>
          </cell>
          <cell r="M263"/>
          <cell r="N263" t="str">
            <v>NA</v>
          </cell>
          <cell r="O263">
            <v>609788968276</v>
          </cell>
          <cell r="P263"/>
          <cell r="Q263"/>
          <cell r="R263"/>
          <cell r="S263" t="str">
            <v>MOQ 5000</v>
          </cell>
          <cell r="T263"/>
          <cell r="U263"/>
          <cell r="V263"/>
          <cell r="W263"/>
          <cell r="X263"/>
        </row>
        <row r="264">
          <cell r="A264">
            <v>46087</v>
          </cell>
          <cell r="B264" t="str">
            <v>KSA</v>
          </cell>
          <cell r="C264" t="str">
            <v>A4679</v>
          </cell>
          <cell r="D264"/>
          <cell r="F264"/>
          <cell r="G264" t="str">
            <v>PEDIAFL-50-FD</v>
          </cell>
          <cell r="H264">
            <v>72</v>
          </cell>
          <cell r="I264" t="str">
            <v>F47-24.1</v>
          </cell>
          <cell r="J264">
            <v>0</v>
          </cell>
          <cell r="L264" t="str">
            <v>Not Meet MOQ</v>
          </cell>
          <cell r="M264"/>
          <cell r="N264" t="str">
            <v>Y</v>
          </cell>
          <cell r="O264">
            <v>810131199647</v>
          </cell>
          <cell r="P264"/>
          <cell r="Q264"/>
          <cell r="R264"/>
          <cell r="S264" t="str">
            <v>MOQ 5000</v>
          </cell>
          <cell r="T264"/>
          <cell r="U264"/>
          <cell r="V264"/>
          <cell r="W264"/>
          <cell r="X264"/>
        </row>
        <row r="265">
          <cell r="A265">
            <v>46087</v>
          </cell>
          <cell r="B265" t="str">
            <v>KSA</v>
          </cell>
          <cell r="C265" t="str">
            <v>A4679</v>
          </cell>
          <cell r="D265"/>
          <cell r="F265"/>
          <cell r="G265" t="str">
            <v>PEDIABS-50-FD</v>
          </cell>
          <cell r="H265">
            <v>120</v>
          </cell>
          <cell r="I265" t="str">
            <v>F43-25.0</v>
          </cell>
          <cell r="J265">
            <v>120</v>
          </cell>
          <cell r="L265" t="str">
            <v>Not Meet MOQ</v>
          </cell>
          <cell r="M265"/>
          <cell r="N265" t="str">
            <v>Y</v>
          </cell>
          <cell r="O265">
            <v>810131199609</v>
          </cell>
          <cell r="P265"/>
          <cell r="Q265"/>
          <cell r="R265"/>
          <cell r="S265" t="str">
            <v>MOQ 5000</v>
          </cell>
          <cell r="T265"/>
          <cell r="U265"/>
          <cell r="V265"/>
          <cell r="W265"/>
          <cell r="X265"/>
        </row>
        <row r="266">
          <cell r="A266"/>
          <cell r="B266"/>
          <cell r="C266"/>
          <cell r="D266"/>
          <cell r="F266"/>
          <cell r="G266"/>
          <cell r="H266"/>
          <cell r="I266"/>
          <cell r="J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</row>
        <row r="267">
          <cell r="A267">
            <v>46093</v>
          </cell>
          <cell r="B267" t="str">
            <v>China</v>
          </cell>
          <cell r="C267" t="str">
            <v>A4658</v>
          </cell>
          <cell r="D267" t="str">
            <v>4/1/2026: DHEA 25 and Rapid C Moved to China A4680</v>
          </cell>
          <cell r="F267"/>
          <cell r="G267" t="str">
            <v>PENAMAX-60-GE-FD</v>
          </cell>
          <cell r="H267">
            <v>100</v>
          </cell>
          <cell r="I267" t="str">
            <v>F88-25.1</v>
          </cell>
          <cell r="J267">
            <v>100</v>
          </cell>
          <cell r="L267" t="str">
            <v>Picked</v>
          </cell>
          <cell r="M267"/>
          <cell r="N267" t="str">
            <v>Y</v>
          </cell>
          <cell r="O267">
            <v>609788968702</v>
          </cell>
          <cell r="P267"/>
          <cell r="Q267"/>
          <cell r="R267"/>
          <cell r="S267"/>
          <cell r="T267"/>
          <cell r="U267"/>
          <cell r="V267"/>
          <cell r="W267"/>
          <cell r="X267" t="str">
            <v>HOLD</v>
          </cell>
        </row>
        <row r="268">
          <cell r="A268">
            <v>46093</v>
          </cell>
          <cell r="B268" t="str">
            <v>China</v>
          </cell>
          <cell r="C268" t="str">
            <v>A4658</v>
          </cell>
          <cell r="D268"/>
          <cell r="F268"/>
          <cell r="G268" t="str">
            <v>LARGIN-100-FD</v>
          </cell>
          <cell r="H268">
            <v>100</v>
          </cell>
          <cell r="I268" t="str">
            <v>F25-23.0</v>
          </cell>
          <cell r="J268">
            <v>0</v>
          </cell>
          <cell r="L268" t="str">
            <v>In Production</v>
          </cell>
          <cell r="M268"/>
          <cell r="N268" t="str">
            <v>NA</v>
          </cell>
          <cell r="O268" t="str">
            <v>609788968559</v>
          </cell>
          <cell r="P268">
            <v>2000</v>
          </cell>
          <cell r="Q268">
            <v>4998</v>
          </cell>
          <cell r="R268">
            <v>46198</v>
          </cell>
          <cell r="S268"/>
          <cell r="T268"/>
          <cell r="U268"/>
          <cell r="V268"/>
          <cell r="W268"/>
          <cell r="X268"/>
        </row>
        <row r="269">
          <cell r="A269">
            <v>46093</v>
          </cell>
          <cell r="B269" t="str">
            <v>China</v>
          </cell>
          <cell r="C269" t="str">
            <v>A4658</v>
          </cell>
          <cell r="D269"/>
          <cell r="F269"/>
          <cell r="G269" t="str">
            <v>QWELL2-60-SG-FD</v>
          </cell>
          <cell r="H269">
            <v>100</v>
          </cell>
          <cell r="I269" t="str">
            <v>F57-25.3</v>
          </cell>
          <cell r="J269">
            <v>100</v>
          </cell>
          <cell r="L269" t="str">
            <v>Picked</v>
          </cell>
          <cell r="M269"/>
          <cell r="N269" t="str">
            <v>NA</v>
          </cell>
          <cell r="O269">
            <v>609788968528</v>
          </cell>
          <cell r="P269"/>
          <cell r="Q269"/>
          <cell r="R269"/>
          <cell r="S269"/>
          <cell r="T269"/>
          <cell r="U269"/>
          <cell r="V269"/>
          <cell r="W269"/>
          <cell r="X269"/>
        </row>
        <row r="270">
          <cell r="A270"/>
          <cell r="B270"/>
          <cell r="C270"/>
          <cell r="D270"/>
          <cell r="F270"/>
          <cell r="G270"/>
          <cell r="H270"/>
          <cell r="I270"/>
          <cell r="J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</row>
        <row r="271">
          <cell r="A271">
            <v>46093</v>
          </cell>
          <cell r="B271" t="str">
            <v>China</v>
          </cell>
          <cell r="C271" t="str">
            <v>A4659</v>
          </cell>
          <cell r="D271"/>
          <cell r="F271"/>
          <cell r="G271" t="str">
            <v>FERTMX-90-RE</v>
          </cell>
          <cell r="H271">
            <v>76</v>
          </cell>
          <cell r="I271" t="str">
            <v>R16-22.0</v>
          </cell>
          <cell r="J271">
            <v>76</v>
          </cell>
          <cell r="L271" t="str">
            <v>Picked</v>
          </cell>
          <cell r="M271"/>
          <cell r="N271" t="str">
            <v>Y</v>
          </cell>
          <cell r="O271">
            <v>609788968726</v>
          </cell>
          <cell r="P271"/>
          <cell r="Q271"/>
          <cell r="R271"/>
          <cell r="S271"/>
          <cell r="T271"/>
          <cell r="U271"/>
          <cell r="V271"/>
          <cell r="W271"/>
          <cell r="X271" t="str">
            <v>HOLD</v>
          </cell>
        </row>
        <row r="272">
          <cell r="A272">
            <v>46093</v>
          </cell>
          <cell r="B272" t="str">
            <v>China</v>
          </cell>
          <cell r="C272" t="str">
            <v>A4659</v>
          </cell>
          <cell r="D272"/>
          <cell r="F272"/>
          <cell r="G272" t="str">
            <v>FERTMX-90-RE</v>
          </cell>
          <cell r="H272">
            <v>34</v>
          </cell>
          <cell r="I272" t="str">
            <v>R16-22.0</v>
          </cell>
          <cell r="J272">
            <v>34</v>
          </cell>
          <cell r="L272" t="str">
            <v>Picked</v>
          </cell>
          <cell r="M272"/>
          <cell r="N272" t="str">
            <v>Y</v>
          </cell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</row>
        <row r="273">
          <cell r="A273">
            <v>46093</v>
          </cell>
          <cell r="B273" t="str">
            <v>China</v>
          </cell>
          <cell r="C273" t="str">
            <v>A4659</v>
          </cell>
          <cell r="D273"/>
          <cell r="F273"/>
          <cell r="G273" t="str">
            <v>METRIO-60-FD</v>
          </cell>
          <cell r="H273">
            <v>110</v>
          </cell>
          <cell r="I273" t="str">
            <v>F28-25.0</v>
          </cell>
          <cell r="J273">
            <v>110</v>
          </cell>
          <cell r="L273" t="str">
            <v>Picked</v>
          </cell>
          <cell r="M273"/>
          <cell r="N273" t="str">
            <v>NA</v>
          </cell>
          <cell r="O273">
            <v>609788968481</v>
          </cell>
          <cell r="P273"/>
          <cell r="Q273"/>
          <cell r="R273"/>
          <cell r="S273"/>
          <cell r="T273"/>
          <cell r="U273"/>
          <cell r="V273"/>
          <cell r="W273"/>
          <cell r="X273"/>
        </row>
        <row r="274">
          <cell r="A274">
            <v>46093</v>
          </cell>
          <cell r="B274" t="str">
            <v>China</v>
          </cell>
          <cell r="C274" t="str">
            <v>A4659</v>
          </cell>
          <cell r="D274"/>
          <cell r="F274"/>
          <cell r="G274" t="str">
            <v>MFSPLS-120-CS-CN</v>
          </cell>
          <cell r="H274">
            <v>550</v>
          </cell>
          <cell r="I274" t="str">
            <v>CN30-24.0</v>
          </cell>
          <cell r="J274">
            <v>0</v>
          </cell>
          <cell r="L274" t="str">
            <v>PO submitted</v>
          </cell>
          <cell r="M274"/>
          <cell r="N274" t="str">
            <v>NA</v>
          </cell>
          <cell r="O274" t="str">
            <v>604776737582</v>
          </cell>
          <cell r="P274"/>
          <cell r="Q274"/>
          <cell r="R274" t="str">
            <v>TBD</v>
          </cell>
          <cell r="S274" t="str">
            <v>Bulk PO Submitted, Pending ETA confirmation</v>
          </cell>
          <cell r="T274"/>
          <cell r="U274"/>
          <cell r="V274"/>
          <cell r="W274"/>
          <cell r="X274"/>
        </row>
        <row r="275">
          <cell r="A275">
            <v>46093</v>
          </cell>
          <cell r="B275" t="str">
            <v>China</v>
          </cell>
          <cell r="C275" t="str">
            <v>A4659</v>
          </cell>
          <cell r="D275"/>
          <cell r="F275"/>
          <cell r="G275" t="str">
            <v>OVAMAXPLUS-120-CS-CN</v>
          </cell>
          <cell r="H275">
            <v>1650</v>
          </cell>
          <cell r="I275" t="str">
            <v>CN41-25.0</v>
          </cell>
          <cell r="J275">
            <v>1650</v>
          </cell>
          <cell r="L275" t="str">
            <v>Picked</v>
          </cell>
          <cell r="M275"/>
          <cell r="N275" t="str">
            <v>NA</v>
          </cell>
          <cell r="O275" t="str">
            <v>604776740056</v>
          </cell>
          <cell r="P275"/>
          <cell r="Q275"/>
          <cell r="R275"/>
          <cell r="S275"/>
          <cell r="T275"/>
          <cell r="U275"/>
          <cell r="V275"/>
          <cell r="W275"/>
          <cell r="X275"/>
        </row>
        <row r="276">
          <cell r="A276">
            <v>46093</v>
          </cell>
          <cell r="B276" t="str">
            <v>China</v>
          </cell>
          <cell r="C276" t="str">
            <v>A4659</v>
          </cell>
          <cell r="D276"/>
          <cell r="F276"/>
          <cell r="G276" t="str">
            <v>PRECON-180-FD</v>
          </cell>
          <cell r="H276">
            <v>330</v>
          </cell>
          <cell r="I276" t="str">
            <v>F55-22.0</v>
          </cell>
          <cell r="J276">
            <v>330</v>
          </cell>
          <cell r="L276" t="str">
            <v>Picked</v>
          </cell>
          <cell r="M276"/>
          <cell r="N276" t="str">
            <v>NA</v>
          </cell>
          <cell r="O276">
            <v>609788968375</v>
          </cell>
          <cell r="P276"/>
          <cell r="Q276"/>
          <cell r="R276"/>
          <cell r="S276"/>
          <cell r="T276"/>
          <cell r="U276"/>
          <cell r="V276"/>
          <cell r="W276"/>
          <cell r="X276"/>
        </row>
        <row r="277">
          <cell r="A277">
            <v>46093</v>
          </cell>
          <cell r="B277" t="str">
            <v>China</v>
          </cell>
          <cell r="C277" t="str">
            <v>A4659</v>
          </cell>
          <cell r="D277"/>
          <cell r="F277"/>
          <cell r="G277" t="str">
            <v>SPERMCT-60-FD</v>
          </cell>
          <cell r="H277">
            <v>110</v>
          </cell>
          <cell r="I277" t="str">
            <v>F64-25.0</v>
          </cell>
          <cell r="J277">
            <v>110</v>
          </cell>
          <cell r="L277" t="str">
            <v>Picked</v>
          </cell>
          <cell r="M277"/>
          <cell r="N277" t="str">
            <v>NA</v>
          </cell>
          <cell r="O277">
            <v>609788968405</v>
          </cell>
          <cell r="P277"/>
          <cell r="Q277"/>
          <cell r="R277"/>
          <cell r="S277"/>
          <cell r="T277"/>
          <cell r="U277"/>
          <cell r="V277"/>
          <cell r="W277"/>
          <cell r="X277"/>
        </row>
        <row r="278">
          <cell r="A278">
            <v>46093</v>
          </cell>
          <cell r="B278" t="str">
            <v>China</v>
          </cell>
          <cell r="C278" t="str">
            <v>A4659</v>
          </cell>
          <cell r="D278"/>
          <cell r="F278" t="str">
            <v>5/12/2026: Allocating to Lebanon A4690.</v>
          </cell>
          <cell r="G278" t="str">
            <v>WFSPLS-180-FD</v>
          </cell>
          <cell r="H278">
            <v>110</v>
          </cell>
          <cell r="I278" t="str">
            <v>F73-23.0</v>
          </cell>
          <cell r="J278">
            <v>110</v>
          </cell>
          <cell r="L278" t="str">
            <v>PO Drafted</v>
          </cell>
          <cell r="M278"/>
          <cell r="N278" t="str">
            <v>NA</v>
          </cell>
          <cell r="O278">
            <v>609788968351</v>
          </cell>
          <cell r="P278">
            <v>5000</v>
          </cell>
          <cell r="Q278">
            <v>5043</v>
          </cell>
          <cell r="R278" t="str">
            <v>TBD</v>
          </cell>
          <cell r="S278" t="str">
            <v>Pending approval to send to vendor</v>
          </cell>
          <cell r="T278"/>
          <cell r="U278"/>
          <cell r="V278"/>
          <cell r="W278"/>
          <cell r="X278"/>
        </row>
        <row r="279">
          <cell r="A279">
            <v>46093</v>
          </cell>
          <cell r="B279" t="str">
            <v>China</v>
          </cell>
          <cell r="C279" t="str">
            <v>A4659</v>
          </cell>
          <cell r="D279"/>
          <cell r="F279"/>
          <cell r="G279" t="str">
            <v>TESTRON-60-FD</v>
          </cell>
          <cell r="H279">
            <v>100</v>
          </cell>
          <cell r="I279" t="str">
            <v>F103-26.0</v>
          </cell>
          <cell r="J279">
            <v>100</v>
          </cell>
          <cell r="L279" t="str">
            <v>Picked</v>
          </cell>
          <cell r="M279"/>
          <cell r="N279" t="str">
            <v>NA</v>
          </cell>
          <cell r="O279" t="str">
            <v>810131192907</v>
          </cell>
          <cell r="P279">
            <v>101</v>
          </cell>
          <cell r="Q279">
            <v>5061</v>
          </cell>
          <cell r="R279" t="str">
            <v>Complete</v>
          </cell>
          <cell r="S279" t="str">
            <v>From FX</v>
          </cell>
          <cell r="T279"/>
          <cell r="U279"/>
          <cell r="V279"/>
          <cell r="W279"/>
          <cell r="X279"/>
        </row>
        <row r="280">
          <cell r="A280"/>
          <cell r="B280"/>
          <cell r="C280"/>
          <cell r="D280"/>
          <cell r="F280"/>
          <cell r="G280"/>
          <cell r="H280"/>
          <cell r="I280"/>
          <cell r="J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</row>
        <row r="281">
          <cell r="A281">
            <v>46113</v>
          </cell>
          <cell r="B281" t="str">
            <v>China</v>
          </cell>
          <cell r="C281" t="str">
            <v>A4680</v>
          </cell>
          <cell r="D281"/>
          <cell r="F281" t="str">
            <v>4/1/2026: Moved from China A4658</v>
          </cell>
          <cell r="G281" t="str">
            <v>DHEA25-60-FD</v>
          </cell>
          <cell r="H281">
            <v>300</v>
          </cell>
          <cell r="I281" t="str">
            <v>F14-25.2</v>
          </cell>
          <cell r="J281">
            <v>300</v>
          </cell>
          <cell r="L281" t="str">
            <v>D/W Sent</v>
          </cell>
          <cell r="M281">
            <v>46113</v>
          </cell>
          <cell r="N281" t="str">
            <v>NA</v>
          </cell>
          <cell r="O281" t="str">
            <v>609788968153</v>
          </cell>
          <cell r="P281"/>
          <cell r="Q281"/>
          <cell r="R281"/>
          <cell r="S281"/>
          <cell r="T281"/>
          <cell r="U281"/>
          <cell r="V281"/>
          <cell r="W281"/>
          <cell r="X281" t="str">
            <v>Approved</v>
          </cell>
        </row>
        <row r="282">
          <cell r="A282">
            <v>46113</v>
          </cell>
          <cell r="B282" t="str">
            <v>China</v>
          </cell>
          <cell r="C282" t="str">
            <v>A4680</v>
          </cell>
          <cell r="D282"/>
          <cell r="F282" t="str">
            <v>4/1/2026: Moved from China A4658</v>
          </cell>
          <cell r="G282" t="str">
            <v>RAPIDC5-100-FD</v>
          </cell>
          <cell r="H282">
            <v>500</v>
          </cell>
          <cell r="I282" t="str">
            <v>F59-25.0</v>
          </cell>
          <cell r="J282">
            <v>500</v>
          </cell>
          <cell r="L282" t="str">
            <v>D/W Sent</v>
          </cell>
          <cell r="M282"/>
          <cell r="N282" t="str">
            <v>NA</v>
          </cell>
          <cell r="O282">
            <v>604776736585</v>
          </cell>
          <cell r="P282"/>
          <cell r="Q282"/>
          <cell r="R282"/>
          <cell r="S282"/>
          <cell r="T282"/>
          <cell r="U282"/>
          <cell r="V282"/>
          <cell r="W282"/>
          <cell r="X282"/>
        </row>
        <row r="283">
          <cell r="A283"/>
          <cell r="B283"/>
          <cell r="C283"/>
          <cell r="D283"/>
          <cell r="F283"/>
          <cell r="G283"/>
          <cell r="H283"/>
          <cell r="I283"/>
          <cell r="J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</row>
        <row r="284">
          <cell r="A284">
            <v>46098</v>
          </cell>
          <cell r="B284" t="str">
            <v>Kuwait</v>
          </cell>
          <cell r="C284" t="str">
            <v>A4668</v>
          </cell>
          <cell r="D284" t="str">
            <v>Extra Kuwait Quantities:
536 bottles of Osteo Plus
945 bottles of Keto Lean
(Awaiting feedback if client can take)
5/21/2026: Client cannot take extra quantities</v>
          </cell>
          <cell r="F284" t="str">
            <v>GREEN CAPSULES (NO TITANIUM DIOXIDE)</v>
          </cell>
          <cell r="G284" t="str">
            <v>OVAMAX-120-CS-KW</v>
          </cell>
          <cell r="H284">
            <v>223</v>
          </cell>
          <cell r="I284" t="str">
            <v>KW41-24.0</v>
          </cell>
          <cell r="J284">
            <v>223</v>
          </cell>
          <cell r="L284" t="str">
            <v>Picked</v>
          </cell>
          <cell r="M284"/>
          <cell r="N284" t="str">
            <v>NA</v>
          </cell>
          <cell r="O284">
            <v>810131191061</v>
          </cell>
          <cell r="P284"/>
          <cell r="Q284"/>
          <cell r="R284"/>
          <cell r="S284"/>
          <cell r="T284"/>
          <cell r="U284"/>
          <cell r="V284"/>
          <cell r="W284"/>
          <cell r="X284" t="str">
            <v>HOLD</v>
          </cell>
        </row>
        <row r="285">
          <cell r="A285">
            <v>46098</v>
          </cell>
          <cell r="B285" t="str">
            <v>Kuwait</v>
          </cell>
          <cell r="C285" t="str">
            <v>A4668</v>
          </cell>
          <cell r="D285"/>
          <cell r="F285" t="str">
            <v>GREEN CAPSULES (NO TITANIUM DIOXIDE)</v>
          </cell>
          <cell r="G285" t="str">
            <v>OVAMAX-120-CS-KW</v>
          </cell>
          <cell r="H285">
            <v>1977</v>
          </cell>
          <cell r="I285" t="str">
            <v>KW41-24.0</v>
          </cell>
          <cell r="J285">
            <v>0</v>
          </cell>
          <cell r="L285" t="str">
            <v>PO submitted</v>
          </cell>
          <cell r="M285"/>
          <cell r="N285" t="str">
            <v>NA</v>
          </cell>
          <cell r="O285">
            <v>810131191061</v>
          </cell>
          <cell r="P285">
            <v>3000</v>
          </cell>
          <cell r="Q285">
            <v>5048</v>
          </cell>
          <cell r="R285" t="str">
            <v>TBD</v>
          </cell>
          <cell r="S285" t="str">
            <v>Pending vendor eta</v>
          </cell>
          <cell r="T285"/>
          <cell r="U285"/>
          <cell r="V285"/>
          <cell r="W285"/>
          <cell r="X285"/>
        </row>
        <row r="286">
          <cell r="A286">
            <v>46098</v>
          </cell>
          <cell r="B286" t="str">
            <v>Kuwait</v>
          </cell>
          <cell r="C286" t="str">
            <v>A4668</v>
          </cell>
          <cell r="D286"/>
          <cell r="F286" t="str">
            <v>GREEN CAPSULES (NO TITANIUM DIOXIDE)</v>
          </cell>
          <cell r="G286" t="str">
            <v>MOTILMX-60-CS-KW</v>
          </cell>
          <cell r="H286">
            <v>2100</v>
          </cell>
          <cell r="I286" t="str">
            <v>KW31-24.2</v>
          </cell>
          <cell r="J286">
            <v>0</v>
          </cell>
          <cell r="L286" t="str">
            <v>In Production</v>
          </cell>
          <cell r="M286"/>
          <cell r="N286" t="str">
            <v>NA</v>
          </cell>
          <cell r="O286">
            <v>604776736691</v>
          </cell>
          <cell r="P286">
            <v>7100</v>
          </cell>
          <cell r="Q286">
            <v>5049</v>
          </cell>
          <cell r="R286">
            <v>46223</v>
          </cell>
          <cell r="S286"/>
          <cell r="T286"/>
          <cell r="U286"/>
          <cell r="V286"/>
          <cell r="W286"/>
          <cell r="X286"/>
        </row>
        <row r="287">
          <cell r="A287">
            <v>46098</v>
          </cell>
          <cell r="B287" t="str">
            <v>Kuwait</v>
          </cell>
          <cell r="C287" t="str">
            <v>A4668</v>
          </cell>
          <cell r="D287"/>
          <cell r="F287" t="str">
            <v>Lot: 47080326</v>
          </cell>
          <cell r="G287" t="str">
            <v>COLLA-60-CS-KW</v>
          </cell>
          <cell r="H287">
            <v>399</v>
          </cell>
          <cell r="I287" t="str">
            <v>KW11-25.0</v>
          </cell>
          <cell r="J287">
            <v>399</v>
          </cell>
          <cell r="L287" t="str">
            <v>Picked</v>
          </cell>
          <cell r="M287"/>
          <cell r="N287" t="str">
            <v>NA</v>
          </cell>
          <cell r="O287">
            <v>604776739630</v>
          </cell>
          <cell r="P287"/>
          <cell r="Q287"/>
          <cell r="R287"/>
          <cell r="S287"/>
          <cell r="T287"/>
          <cell r="U287"/>
          <cell r="V287"/>
          <cell r="W287"/>
          <cell r="X287"/>
        </row>
        <row r="288">
          <cell r="A288">
            <v>46098</v>
          </cell>
          <cell r="B288" t="str">
            <v>Kuwait</v>
          </cell>
          <cell r="C288" t="str">
            <v>A4668</v>
          </cell>
          <cell r="D288"/>
          <cell r="F288" t="str">
            <v>Lot: 49030326</v>
          </cell>
          <cell r="G288" t="str">
            <v>COLLA-60-CS-KW</v>
          </cell>
          <cell r="H288">
            <v>301</v>
          </cell>
          <cell r="I288" t="str">
            <v>KW11-25.0</v>
          </cell>
          <cell r="J288">
            <v>301</v>
          </cell>
          <cell r="L288" t="str">
            <v>Picked</v>
          </cell>
          <cell r="M288"/>
          <cell r="N288" t="str">
            <v>NA</v>
          </cell>
          <cell r="O288">
            <v>604776739630</v>
          </cell>
          <cell r="P288"/>
          <cell r="Q288"/>
          <cell r="R288"/>
          <cell r="S288"/>
          <cell r="T288"/>
          <cell r="U288"/>
          <cell r="V288"/>
          <cell r="W288"/>
          <cell r="X288"/>
        </row>
        <row r="289">
          <cell r="A289">
            <v>46098</v>
          </cell>
          <cell r="B289" t="str">
            <v>Kuwait</v>
          </cell>
          <cell r="C289" t="str">
            <v>A4668</v>
          </cell>
          <cell r="D289"/>
          <cell r="F289"/>
          <cell r="G289" t="str">
            <v>DHEA50-60-CS-KW</v>
          </cell>
          <cell r="H289">
            <v>1000</v>
          </cell>
          <cell r="I289" t="str">
            <v>KW13-25.0</v>
          </cell>
          <cell r="J289">
            <v>0</v>
          </cell>
          <cell r="L289" t="str">
            <v>In Production</v>
          </cell>
          <cell r="M289"/>
          <cell r="N289" t="str">
            <v>NA</v>
          </cell>
          <cell r="O289">
            <v>604776739517</v>
          </cell>
          <cell r="P289">
            <v>7000</v>
          </cell>
          <cell r="Q289">
            <v>5027</v>
          </cell>
          <cell r="R289">
            <v>46201</v>
          </cell>
          <cell r="S289"/>
          <cell r="T289"/>
          <cell r="U289"/>
          <cell r="V289"/>
          <cell r="W289"/>
          <cell r="X289"/>
        </row>
        <row r="290">
          <cell r="A290">
            <v>46098</v>
          </cell>
          <cell r="B290" t="str">
            <v>Kuwait</v>
          </cell>
          <cell r="C290" t="str">
            <v>A4668</v>
          </cell>
          <cell r="D290"/>
          <cell r="F290" t="str">
            <v>3/25/2026:
qty changed 1,000 -&gt; 1,500
(500 packs added from Kuwait A4587)</v>
          </cell>
          <cell r="G290" t="str">
            <v>OMEGA3-60-FD</v>
          </cell>
          <cell r="H290">
            <v>1500</v>
          </cell>
          <cell r="I290" t="str">
            <v>37-25.0</v>
          </cell>
          <cell r="J290">
            <v>0</v>
          </cell>
          <cell r="L290" t="str">
            <v>PO submitted</v>
          </cell>
          <cell r="M290"/>
          <cell r="N290" t="str">
            <v>Y</v>
          </cell>
          <cell r="O290">
            <v>810131199531</v>
          </cell>
          <cell r="P290">
            <v>5000</v>
          </cell>
          <cell r="Q290">
            <v>5035</v>
          </cell>
          <cell r="R290" t="str">
            <v>TBD</v>
          </cell>
          <cell r="S290" t="str">
            <v>Waiting for Bulk PL PO A4991 to ship for bottling, waiting for bulk release. Pending rebottling at Genova</v>
          </cell>
          <cell r="T290"/>
          <cell r="U290"/>
          <cell r="V290"/>
          <cell r="W290"/>
          <cell r="X290"/>
        </row>
        <row r="291">
          <cell r="A291">
            <v>45981</v>
          </cell>
          <cell r="B291" t="str">
            <v>Kuwait</v>
          </cell>
          <cell r="C291" t="str">
            <v>A4668</v>
          </cell>
          <cell r="D291"/>
          <cell r="F291" t="str">
            <v>3/26/2026: Item added from Kuwait A4587</v>
          </cell>
          <cell r="G291" t="str">
            <v>OME369-90-FD</v>
          </cell>
          <cell r="H291">
            <v>300</v>
          </cell>
          <cell r="I291" t="str">
            <v>F36-22.1</v>
          </cell>
          <cell r="J291">
            <v>300</v>
          </cell>
          <cell r="L291" t="str">
            <v>Picked</v>
          </cell>
          <cell r="M291"/>
          <cell r="N291" t="str">
            <v>Y</v>
          </cell>
          <cell r="O291" t="str">
            <v>609788968511</v>
          </cell>
          <cell r="P291"/>
          <cell r="Q291"/>
          <cell r="R291"/>
          <cell r="S291"/>
          <cell r="T291"/>
          <cell r="U291"/>
          <cell r="V291"/>
          <cell r="W291"/>
          <cell r="X291"/>
        </row>
        <row r="292">
          <cell r="A292">
            <v>46112</v>
          </cell>
          <cell r="B292" t="str">
            <v xml:space="preserve">Kuwait </v>
          </cell>
          <cell r="C292" t="str">
            <v>A4668</v>
          </cell>
          <cell r="D292"/>
          <cell r="F292" t="str">
            <v>3/31/2026: Item added to order
4/3/2026: Awaiting TD confirmation
4/16/2026: *PRODUCT TO CONTAIN NO TITANIUM DIOXIDE*
6/10/2026: * Approved to send without IFC's *</v>
          </cell>
          <cell r="G292" t="str">
            <v>OSTEOPL-96-CS-KW</v>
          </cell>
          <cell r="H292">
            <v>500</v>
          </cell>
          <cell r="I292" t="str">
            <v>ait</v>
          </cell>
          <cell r="J292">
            <v>500</v>
          </cell>
          <cell r="L292" t="str">
            <v>Rework</v>
          </cell>
          <cell r="M292" t="str">
            <v>LOT:4335
QTY 1036 AVAILABLE, 6/8/2026: Label and IFC Requested</v>
          </cell>
          <cell r="N292" t="str">
            <v>Y</v>
          </cell>
          <cell r="O292">
            <v>604776739258</v>
          </cell>
          <cell r="P292"/>
          <cell r="Q292"/>
          <cell r="R292"/>
          <cell r="S292" t="str">
            <v>Small batch with Genova?</v>
          </cell>
          <cell r="T292"/>
          <cell r="U292"/>
          <cell r="V292"/>
          <cell r="W292"/>
          <cell r="X292"/>
        </row>
        <row r="293">
          <cell r="A293"/>
          <cell r="B293"/>
          <cell r="C293"/>
          <cell r="D293"/>
          <cell r="F293"/>
          <cell r="G293"/>
          <cell r="H293"/>
          <cell r="I293"/>
          <cell r="J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</row>
        <row r="294">
          <cell r="A294">
            <v>46108</v>
          </cell>
          <cell r="B294" t="str">
            <v>Greece</v>
          </cell>
          <cell r="C294" t="str">
            <v>A4672</v>
          </cell>
          <cell r="D294"/>
          <cell r="F294"/>
          <cell r="G294" t="str">
            <v>OVAMAX-120-CS-GR</v>
          </cell>
          <cell r="H294">
            <v>552</v>
          </cell>
          <cell r="I294" t="str">
            <v>GR41-25.1</v>
          </cell>
          <cell r="J294">
            <v>552</v>
          </cell>
          <cell r="L294" t="str">
            <v>D/W Sent</v>
          </cell>
          <cell r="M294">
            <v>46148</v>
          </cell>
          <cell r="N294" t="str">
            <v>NA</v>
          </cell>
          <cell r="O294">
            <v>604776736943</v>
          </cell>
          <cell r="P294"/>
          <cell r="Q294"/>
          <cell r="R294"/>
          <cell r="S294"/>
          <cell r="T294"/>
          <cell r="U294"/>
          <cell r="V294"/>
          <cell r="W294"/>
          <cell r="X294" t="str">
            <v>Approved</v>
          </cell>
        </row>
        <row r="295">
          <cell r="A295">
            <v>46108</v>
          </cell>
          <cell r="B295" t="str">
            <v>Greece</v>
          </cell>
          <cell r="C295" t="str">
            <v>A4672</v>
          </cell>
          <cell r="D295"/>
          <cell r="F295"/>
          <cell r="G295" t="str">
            <v>METRIO-60-CS-GR</v>
          </cell>
          <cell r="H295">
            <v>144</v>
          </cell>
          <cell r="I295" t="str">
            <v>GR28-25.0</v>
          </cell>
          <cell r="J295">
            <v>144</v>
          </cell>
          <cell r="L295" t="str">
            <v>D/W Sent</v>
          </cell>
          <cell r="M295"/>
          <cell r="N295" t="str">
            <v>NA</v>
          </cell>
          <cell r="O295">
            <v>604776736936</v>
          </cell>
          <cell r="P295"/>
          <cell r="Q295"/>
          <cell r="R295"/>
          <cell r="S295"/>
          <cell r="T295"/>
          <cell r="U295"/>
          <cell r="V295"/>
          <cell r="W295"/>
          <cell r="X295"/>
        </row>
        <row r="296">
          <cell r="A296">
            <v>46108</v>
          </cell>
          <cell r="B296" t="str">
            <v>Greece</v>
          </cell>
          <cell r="C296" t="str">
            <v>A4672</v>
          </cell>
          <cell r="D296"/>
          <cell r="F296"/>
          <cell r="G296" t="str">
            <v>PEARLY-60-CS-GR</v>
          </cell>
          <cell r="H296">
            <v>72</v>
          </cell>
          <cell r="I296" t="str">
            <v>GR42-25.0</v>
          </cell>
          <cell r="J296">
            <v>72</v>
          </cell>
          <cell r="L296" t="str">
            <v>D/W Sent</v>
          </cell>
          <cell r="M296"/>
          <cell r="N296" t="str">
            <v>Y</v>
          </cell>
          <cell r="O296">
            <v>604776737469</v>
          </cell>
          <cell r="P296"/>
          <cell r="Q296"/>
          <cell r="R296"/>
          <cell r="S296"/>
          <cell r="T296"/>
          <cell r="U296"/>
          <cell r="V296"/>
          <cell r="W296"/>
          <cell r="X296"/>
        </row>
        <row r="297">
          <cell r="A297">
            <v>46108</v>
          </cell>
          <cell r="B297" t="str">
            <v>Greece</v>
          </cell>
          <cell r="C297" t="str">
            <v>A4672</v>
          </cell>
          <cell r="D297"/>
          <cell r="F297"/>
          <cell r="G297" t="str">
            <v>PEDIAMU-50-FD</v>
          </cell>
          <cell r="H297">
            <v>48</v>
          </cell>
          <cell r="I297" t="str">
            <v>F49-26.0</v>
          </cell>
          <cell r="J297">
            <v>48</v>
          </cell>
          <cell r="L297" t="str">
            <v>D/W Sent</v>
          </cell>
          <cell r="M297" t="str">
            <v>Lot 45130425</v>
          </cell>
          <cell r="N297" t="str">
            <v>Y</v>
          </cell>
          <cell r="O297">
            <v>810131199661</v>
          </cell>
          <cell r="P297"/>
          <cell r="Q297"/>
          <cell r="R297"/>
          <cell r="S297"/>
          <cell r="T297"/>
          <cell r="U297"/>
          <cell r="V297"/>
          <cell r="W297"/>
          <cell r="X297"/>
        </row>
        <row r="298">
          <cell r="A298"/>
          <cell r="B298"/>
          <cell r="C298"/>
          <cell r="D298"/>
          <cell r="F298"/>
          <cell r="G298"/>
          <cell r="H298"/>
          <cell r="I298"/>
          <cell r="J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</row>
        <row r="299">
          <cell r="A299">
            <v>46108</v>
          </cell>
          <cell r="B299" t="str">
            <v>Greece</v>
          </cell>
          <cell r="C299" t="str">
            <v>A4673</v>
          </cell>
          <cell r="D299"/>
          <cell r="F299"/>
          <cell r="G299" t="str">
            <v>FIBRO-60-CS-GR</v>
          </cell>
          <cell r="H299">
            <v>48</v>
          </cell>
          <cell r="I299" t="str">
            <v>GR17-25.0</v>
          </cell>
          <cell r="J299">
            <v>48</v>
          </cell>
          <cell r="L299" t="str">
            <v>D/W Sent</v>
          </cell>
          <cell r="M299">
            <v>46146</v>
          </cell>
          <cell r="N299" t="str">
            <v>NA</v>
          </cell>
          <cell r="O299">
            <v>604776739524</v>
          </cell>
          <cell r="P299"/>
          <cell r="Q299"/>
          <cell r="R299"/>
          <cell r="S299"/>
          <cell r="T299"/>
          <cell r="U299"/>
          <cell r="V299"/>
          <cell r="W299"/>
          <cell r="X299" t="str">
            <v>Approved</v>
          </cell>
        </row>
        <row r="300">
          <cell r="A300">
            <v>46108</v>
          </cell>
          <cell r="B300" t="str">
            <v>Greece</v>
          </cell>
          <cell r="C300" t="str">
            <v>A4673</v>
          </cell>
          <cell r="D300"/>
          <cell r="F300"/>
          <cell r="G300" t="str">
            <v>XTRAD10-60-CS-GR</v>
          </cell>
          <cell r="H300">
            <v>96</v>
          </cell>
          <cell r="I300" t="str">
            <v>GR76-25.0</v>
          </cell>
          <cell r="J300">
            <v>96</v>
          </cell>
          <cell r="L300" t="str">
            <v>D/W Sent</v>
          </cell>
          <cell r="M300"/>
          <cell r="N300" t="str">
            <v>NA</v>
          </cell>
          <cell r="O300">
            <v>604776736882</v>
          </cell>
          <cell r="P300"/>
          <cell r="Q300"/>
          <cell r="R300"/>
          <cell r="S300"/>
          <cell r="T300"/>
          <cell r="U300"/>
          <cell r="V300"/>
          <cell r="W300"/>
          <cell r="X300"/>
        </row>
        <row r="301">
          <cell r="A301">
            <v>46108</v>
          </cell>
          <cell r="B301" t="str">
            <v>Greece</v>
          </cell>
          <cell r="C301" t="str">
            <v>A4673</v>
          </cell>
          <cell r="D301"/>
          <cell r="F301"/>
          <cell r="G301" t="str">
            <v>PENAMAX-60-GE-CS-GR</v>
          </cell>
          <cell r="H301">
            <v>228</v>
          </cell>
          <cell r="I301" t="str">
            <v>GR88-25.0</v>
          </cell>
          <cell r="J301">
            <v>228</v>
          </cell>
          <cell r="L301" t="str">
            <v>D/W Sent</v>
          </cell>
          <cell r="M301"/>
          <cell r="N301" t="str">
            <v>Y</v>
          </cell>
          <cell r="O301">
            <v>604776736905</v>
          </cell>
          <cell r="P301"/>
          <cell r="Q301"/>
          <cell r="R301"/>
          <cell r="S301"/>
          <cell r="T301"/>
          <cell r="U301"/>
          <cell r="V301"/>
          <cell r="W301"/>
          <cell r="X301"/>
        </row>
        <row r="302">
          <cell r="A302"/>
          <cell r="B302"/>
          <cell r="C302"/>
          <cell r="D302"/>
          <cell r="F302"/>
          <cell r="G302"/>
          <cell r="H302"/>
          <cell r="I302"/>
          <cell r="J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</row>
        <row r="303">
          <cell r="A303">
            <v>46108</v>
          </cell>
          <cell r="B303" t="str">
            <v>Greece</v>
          </cell>
          <cell r="C303" t="str">
            <v>A4674</v>
          </cell>
          <cell r="D303"/>
          <cell r="F303" t="str">
            <v xml:space="preserve">MFS Plus capsules blistered </v>
          </cell>
          <cell r="G303" t="str">
            <v>MFSADV-120-CS-GR</v>
          </cell>
          <cell r="H303">
            <v>600</v>
          </cell>
          <cell r="I303" t="str">
            <v>GR87-25.0</v>
          </cell>
          <cell r="J303">
            <v>600</v>
          </cell>
          <cell r="L303" t="str">
            <v>D/W Sent</v>
          </cell>
          <cell r="M303">
            <v>46157</v>
          </cell>
          <cell r="N303" t="str">
            <v>Y</v>
          </cell>
          <cell r="O303">
            <v>604776739272</v>
          </cell>
          <cell r="P303"/>
          <cell r="Q303">
            <v>5053</v>
          </cell>
          <cell r="R303" t="str">
            <v>TBD</v>
          </cell>
          <cell r="S303" t="str">
            <v>Use 342 units left over from PO A5053. Need a bulk PO for remaining. Bulk PO submitted, will need a PO for blistering</v>
          </cell>
          <cell r="T303"/>
          <cell r="U303"/>
          <cell r="V303"/>
          <cell r="W303"/>
          <cell r="X303" t="str">
            <v>Approved</v>
          </cell>
        </row>
        <row r="304">
          <cell r="A304">
            <v>46108</v>
          </cell>
          <cell r="B304" t="str">
            <v>Greece</v>
          </cell>
          <cell r="C304" t="str">
            <v>A4674</v>
          </cell>
          <cell r="D304"/>
          <cell r="F304"/>
          <cell r="G304" t="str">
            <v>FIBRO-60-CS-GR</v>
          </cell>
          <cell r="H304">
            <v>24</v>
          </cell>
          <cell r="I304" t="str">
            <v>GR17-25.0</v>
          </cell>
          <cell r="J304">
            <v>24</v>
          </cell>
          <cell r="L304" t="str">
            <v>D/W Sent</v>
          </cell>
          <cell r="M304"/>
          <cell r="N304" t="str">
            <v>NA</v>
          </cell>
          <cell r="O304">
            <v>604776739524</v>
          </cell>
          <cell r="P304"/>
          <cell r="Q304"/>
          <cell r="R304"/>
          <cell r="S304"/>
          <cell r="T304"/>
          <cell r="U304"/>
          <cell r="V304"/>
          <cell r="W304"/>
          <cell r="X304"/>
        </row>
        <row r="305">
          <cell r="A305">
            <v>46108</v>
          </cell>
          <cell r="B305" t="str">
            <v>Greece</v>
          </cell>
          <cell r="C305" t="str">
            <v>A4674</v>
          </cell>
          <cell r="D305"/>
          <cell r="F305"/>
          <cell r="G305" t="str">
            <v>XTRAD10-60-CS-GR</v>
          </cell>
          <cell r="H305">
            <v>96</v>
          </cell>
          <cell r="I305" t="str">
            <v>GR76-25.0</v>
          </cell>
          <cell r="J305">
            <v>96</v>
          </cell>
          <cell r="L305" t="str">
            <v>D/W Sent</v>
          </cell>
          <cell r="M305"/>
          <cell r="N305" t="str">
            <v>NA</v>
          </cell>
          <cell r="O305">
            <v>604776736882</v>
          </cell>
          <cell r="P305"/>
          <cell r="Q305"/>
          <cell r="R305"/>
          <cell r="S305"/>
          <cell r="T305"/>
          <cell r="U305"/>
          <cell r="V305"/>
          <cell r="W305"/>
          <cell r="X305"/>
        </row>
        <row r="306">
          <cell r="A306">
            <v>46108</v>
          </cell>
          <cell r="B306" t="str">
            <v>Greece</v>
          </cell>
          <cell r="C306" t="str">
            <v>A4674</v>
          </cell>
          <cell r="D306"/>
          <cell r="F306"/>
          <cell r="G306" t="str">
            <v>PENAMAX-60-GE-CS-GR</v>
          </cell>
          <cell r="H306">
            <v>228</v>
          </cell>
          <cell r="I306" t="str">
            <v>GR88-25.0</v>
          </cell>
          <cell r="J306">
            <v>228</v>
          </cell>
          <cell r="L306" t="str">
            <v>D/W Sent</v>
          </cell>
          <cell r="M306"/>
          <cell r="N306" t="str">
            <v>Y</v>
          </cell>
          <cell r="O306">
            <v>604776736905</v>
          </cell>
          <cell r="P306"/>
          <cell r="Q306"/>
          <cell r="R306"/>
          <cell r="S306"/>
          <cell r="T306"/>
          <cell r="U306"/>
          <cell r="V306"/>
          <cell r="W306"/>
          <cell r="X306"/>
        </row>
        <row r="307">
          <cell r="A307"/>
          <cell r="B307"/>
          <cell r="C307"/>
          <cell r="D307"/>
          <cell r="F307"/>
          <cell r="G307"/>
          <cell r="H307"/>
          <cell r="I307"/>
          <cell r="J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</row>
        <row r="308">
          <cell r="A308">
            <v>46108</v>
          </cell>
          <cell r="B308" t="str">
            <v>Cyprus</v>
          </cell>
          <cell r="C308" t="str">
            <v>A4676</v>
          </cell>
          <cell r="D308"/>
          <cell r="F308" t="str">
            <v>6/1/2026: Allocating 528 pcs from Ethiopia A4591.</v>
          </cell>
          <cell r="G308" t="str">
            <v>FERTNOM-90-CS-CY</v>
          </cell>
          <cell r="H308">
            <v>528</v>
          </cell>
          <cell r="I308" t="str">
            <v>CY16-25.0</v>
          </cell>
          <cell r="J308">
            <v>528</v>
          </cell>
          <cell r="L308" t="str">
            <v>Rework</v>
          </cell>
          <cell r="M308" t="str">
            <v>Need Peeling</v>
          </cell>
          <cell r="N308" t="str">
            <v>Y</v>
          </cell>
          <cell r="O308">
            <v>604776737551</v>
          </cell>
          <cell r="P308">
            <v>5000</v>
          </cell>
          <cell r="Q308">
            <v>5041</v>
          </cell>
          <cell r="R308" t="str">
            <v>TBD</v>
          </cell>
          <cell r="S308" t="str">
            <v>Pending approval to send to vendor</v>
          </cell>
          <cell r="T308"/>
          <cell r="U308"/>
          <cell r="V308"/>
          <cell r="W308"/>
          <cell r="X308" t="str">
            <v>Approved</v>
          </cell>
        </row>
        <row r="309">
          <cell r="A309">
            <v>46108</v>
          </cell>
          <cell r="B309" t="str">
            <v>Cyprus</v>
          </cell>
          <cell r="C309" t="str">
            <v>A4676</v>
          </cell>
          <cell r="D309"/>
          <cell r="F309" t="str">
            <v>MFS Plus capsules blistered              5/26/26: Allocating from Greece A4547.</v>
          </cell>
          <cell r="G309" t="str">
            <v>MFSADV-120-CS-GR</v>
          </cell>
          <cell r="H309">
            <v>576</v>
          </cell>
          <cell r="I309" t="str">
            <v>GR87-25.0</v>
          </cell>
          <cell r="J309">
            <v>576</v>
          </cell>
          <cell r="L309" t="str">
            <v>Picked</v>
          </cell>
          <cell r="M309"/>
          <cell r="N309" t="str">
            <v>Y</v>
          </cell>
          <cell r="O309">
            <v>604776739272</v>
          </cell>
          <cell r="P309">
            <v>300000</v>
          </cell>
          <cell r="Q309">
            <v>5064</v>
          </cell>
          <cell r="R309" t="str">
            <v>TBD</v>
          </cell>
          <cell r="S309" t="str">
            <v>Bulk PO submitted, waiting for vendor ETA</v>
          </cell>
          <cell r="T309"/>
          <cell r="U309"/>
          <cell r="V309"/>
          <cell r="W309"/>
          <cell r="X309"/>
        </row>
        <row r="310">
          <cell r="A310">
            <v>46108</v>
          </cell>
          <cell r="B310" t="str">
            <v>Cyprus</v>
          </cell>
          <cell r="C310" t="str">
            <v>A4676</v>
          </cell>
          <cell r="D310"/>
          <cell r="F310"/>
          <cell r="G310" t="str">
            <v>MOTILMX-60-CS-GR</v>
          </cell>
          <cell r="H310">
            <v>120</v>
          </cell>
          <cell r="I310" t="str">
            <v>GR31-25.0</v>
          </cell>
          <cell r="J310">
            <v>120</v>
          </cell>
          <cell r="L310" t="str">
            <v>Picked</v>
          </cell>
          <cell r="M310"/>
          <cell r="N310" t="str">
            <v>NA</v>
          </cell>
          <cell r="O310">
            <v>604776736998</v>
          </cell>
          <cell r="P310"/>
          <cell r="Q310"/>
          <cell r="R310"/>
          <cell r="S310"/>
          <cell r="T310"/>
          <cell r="U310"/>
          <cell r="V310"/>
          <cell r="W310"/>
          <cell r="X310"/>
        </row>
        <row r="311">
          <cell r="A311"/>
          <cell r="B311"/>
          <cell r="C311"/>
          <cell r="D311"/>
          <cell r="F311"/>
          <cell r="G311"/>
          <cell r="H311"/>
          <cell r="I311"/>
          <cell r="J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</row>
        <row r="312">
          <cell r="A312">
            <v>46113</v>
          </cell>
          <cell r="B312" t="str">
            <v>China</v>
          </cell>
          <cell r="C312" t="str">
            <v>A4681</v>
          </cell>
          <cell r="D312" t="str">
            <v>4/2/2026: Proforma Approved.</v>
          </cell>
          <cell r="F312"/>
          <cell r="G312" t="str">
            <v>OME369-90-FD</v>
          </cell>
          <cell r="H312">
            <v>192</v>
          </cell>
          <cell r="I312" t="str">
            <v>F36-22.1</v>
          </cell>
          <cell r="J312">
            <v>192</v>
          </cell>
          <cell r="L312" t="str">
            <v>D/W Sent</v>
          </cell>
          <cell r="M312">
            <v>46119</v>
          </cell>
          <cell r="N312" t="str">
            <v>Y</v>
          </cell>
          <cell r="O312" t="str">
            <v>609788968511</v>
          </cell>
          <cell r="P312"/>
          <cell r="Q312"/>
          <cell r="R312"/>
          <cell r="S312"/>
          <cell r="T312"/>
          <cell r="U312"/>
          <cell r="V312"/>
          <cell r="W312"/>
          <cell r="X312" t="str">
            <v>Approved</v>
          </cell>
        </row>
        <row r="313">
          <cell r="A313"/>
          <cell r="B313"/>
          <cell r="C313"/>
          <cell r="D313"/>
          <cell r="F313"/>
          <cell r="G313"/>
          <cell r="H313"/>
          <cell r="I313"/>
          <cell r="J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</row>
        <row r="314">
          <cell r="A314">
            <v>46114</v>
          </cell>
          <cell r="B314" t="str">
            <v>Egypt</v>
          </cell>
          <cell r="C314" t="str">
            <v>A4683</v>
          </cell>
          <cell r="D314" t="str">
            <v xml:space="preserve">4/7/2026: Pro Forma Invoice approved.                          </v>
          </cell>
          <cell r="F314" t="str">
            <v> 5/11/2026: UPC updated.
5/21/2026: Allocating 817 pcs from Ethiopia A4591, + 240 pcs from Uganda A4574. Reducing quantity on this order to 1057 pcs - remaining 2093 pcs will move to Backorder.</v>
          </cell>
          <cell r="G314" t="str">
            <v>MFSPLS-120-CS-EG</v>
          </cell>
          <cell r="H314">
            <v>1057</v>
          </cell>
          <cell r="I314" t="str">
            <v>EG30-26.0</v>
          </cell>
          <cell r="J314">
            <v>1057</v>
          </cell>
          <cell r="L314" t="str">
            <v>Picked</v>
          </cell>
          <cell r="M314"/>
          <cell r="N314" t="str">
            <v>NA</v>
          </cell>
          <cell r="O314">
            <v>810131193799</v>
          </cell>
          <cell r="P314"/>
          <cell r="Q314"/>
          <cell r="R314"/>
          <cell r="S314"/>
          <cell r="T314" t="str">
            <v> </v>
          </cell>
          <cell r="U314" t="str">
            <v> </v>
          </cell>
          <cell r="V314" t="str">
            <v> </v>
          </cell>
          <cell r="W314" t="str">
            <v> </v>
          </cell>
          <cell r="X314" t="str">
            <v>Approved</v>
          </cell>
        </row>
        <row r="315">
          <cell r="A315">
            <v>46114</v>
          </cell>
          <cell r="B315" t="str">
            <v>Egypt</v>
          </cell>
          <cell r="C315" t="str">
            <v>A4683</v>
          </cell>
          <cell r="D315" t="str">
            <v> </v>
          </cell>
          <cell r="F315" t="str">
            <v> 5/11/2026: UPC updated.</v>
          </cell>
          <cell r="G315" t="str">
            <v>WFSPLS-180-CS-EG</v>
          </cell>
          <cell r="H315">
            <v>2100</v>
          </cell>
          <cell r="I315" t="str">
            <v>EG73-26.0</v>
          </cell>
          <cell r="J315">
            <v>2100</v>
          </cell>
          <cell r="L315" t="str">
            <v>Picked</v>
          </cell>
          <cell r="M315"/>
          <cell r="N315" t="str">
            <v>NA</v>
          </cell>
          <cell r="O315">
            <v>810131193898</v>
          </cell>
          <cell r="P315" t="str">
            <v> </v>
          </cell>
          <cell r="Q315" t="str">
            <v> </v>
          </cell>
          <cell r="R315" t="str">
            <v> </v>
          </cell>
          <cell r="S315" t="str">
            <v> </v>
          </cell>
          <cell r="T315" t="str">
            <v> </v>
          </cell>
          <cell r="U315" t="str">
            <v> </v>
          </cell>
          <cell r="V315" t="str">
            <v> </v>
          </cell>
          <cell r="W315" t="str">
            <v> </v>
          </cell>
          <cell r="X315"/>
        </row>
        <row r="316">
          <cell r="A316">
            <v>46114</v>
          </cell>
          <cell r="B316" t="str">
            <v>Egypt</v>
          </cell>
          <cell r="C316" t="str">
            <v>A4683</v>
          </cell>
          <cell r="D316" t="str">
            <v> </v>
          </cell>
          <cell r="F316" t="str">
            <v> 5/11/2026: UPC updated.
5/14/2026: Allocating 192 from Uganda A4522, 200 from Uganda A4574, 1500 from Libya A4692, 1758 from Sudan A4697, and 480 from Ethiopia A4591. ~100 pcs in stock. Qty reduced from 5775 -&gt; 4230.
5/18/2026: Reserving 100pcs for Ecommerce. Reduced to 4130 pcs.</v>
          </cell>
          <cell r="G316" t="str">
            <v>OVAMAX-120-CS-EG</v>
          </cell>
          <cell r="H316">
            <v>570</v>
          </cell>
          <cell r="I316" t="str">
            <v>EG41-26.0</v>
          </cell>
          <cell r="J316">
            <v>570</v>
          </cell>
          <cell r="L316" t="str">
            <v>Picked</v>
          </cell>
          <cell r="M316"/>
          <cell r="N316" t="str">
            <v>NA</v>
          </cell>
          <cell r="O316">
            <v>810131193812</v>
          </cell>
          <cell r="P316"/>
          <cell r="Q316">
            <v>4949</v>
          </cell>
          <cell r="R316"/>
          <cell r="S316"/>
          <cell r="T316" t="str">
            <v> </v>
          </cell>
          <cell r="U316" t="str">
            <v> </v>
          </cell>
          <cell r="V316" t="str">
            <v> </v>
          </cell>
          <cell r="W316" t="str">
            <v> </v>
          </cell>
          <cell r="X316"/>
        </row>
        <row r="317">
          <cell r="A317">
            <v>46114</v>
          </cell>
          <cell r="B317" t="str">
            <v>Egypt</v>
          </cell>
          <cell r="C317" t="str">
            <v>A4683</v>
          </cell>
          <cell r="D317" t="str">
            <v> </v>
          </cell>
          <cell r="F317" t="str">
            <v> 5/11/2026: UPC updated.
5/14/2026: Allocating 192 from Uganda A4522, 200 from Uganda A4574, 1500 from Libya A4692, 1758 from Sudan A4697, and 480 from Ethiopia A4591. ~100 pcs in stock. Qty reduced from 5775 -&gt; 4230.
5/18/2026: Reserving 100pcs for Ecommerce. Reduced to 4130 pcs.</v>
          </cell>
          <cell r="G317" t="str">
            <v>OVAMAX-120-CS-EG</v>
          </cell>
          <cell r="H317">
            <v>3750</v>
          </cell>
          <cell r="I317" t="str">
            <v>EG41-26.0</v>
          </cell>
          <cell r="J317">
            <v>3750</v>
          </cell>
          <cell r="L317" t="str">
            <v>Picked</v>
          </cell>
          <cell r="M317"/>
          <cell r="N317" t="str">
            <v>NA</v>
          </cell>
          <cell r="O317">
            <v>810131193812</v>
          </cell>
          <cell r="P317"/>
          <cell r="Q317">
            <v>4949</v>
          </cell>
          <cell r="R317"/>
          <cell r="S317"/>
          <cell r="T317" t="str">
            <v> </v>
          </cell>
          <cell r="U317" t="str">
            <v> </v>
          </cell>
          <cell r="V317" t="str">
            <v> </v>
          </cell>
          <cell r="W317" t="str">
            <v> </v>
          </cell>
          <cell r="X317"/>
        </row>
        <row r="318">
          <cell r="A318">
            <v>46114</v>
          </cell>
          <cell r="B318" t="str">
            <v>Egypt</v>
          </cell>
          <cell r="C318" t="str">
            <v>A4683</v>
          </cell>
          <cell r="D318" t="str">
            <v> </v>
          </cell>
          <cell r="F318" t="str">
            <v xml:space="preserve"> 5/11/2026: UPC updated.              5/13/2026: Reducing line by 48; issue with bottle quality.              </v>
          </cell>
          <cell r="G318" t="str">
            <v>PRECON-180-CS-EG</v>
          </cell>
          <cell r="H318">
            <v>516</v>
          </cell>
          <cell r="I318" t="str">
            <v>EG55-26.0</v>
          </cell>
          <cell r="J318">
            <v>516</v>
          </cell>
          <cell r="L318" t="str">
            <v>Picked</v>
          </cell>
          <cell r="M318"/>
          <cell r="N318" t="str">
            <v>NA</v>
          </cell>
          <cell r="O318">
            <v>810131193843</v>
          </cell>
          <cell r="P318" t="str">
            <v> </v>
          </cell>
          <cell r="Q318" t="str">
            <v> </v>
          </cell>
          <cell r="R318" t="str">
            <v> </v>
          </cell>
          <cell r="S318" t="str">
            <v> </v>
          </cell>
          <cell r="T318" t="str">
            <v> </v>
          </cell>
          <cell r="U318" t="str">
            <v> </v>
          </cell>
          <cell r="V318" t="str">
            <v> </v>
          </cell>
          <cell r="W318" t="str">
            <v> </v>
          </cell>
          <cell r="X318"/>
        </row>
        <row r="319">
          <cell r="A319">
            <v>46114</v>
          </cell>
          <cell r="B319" t="str">
            <v>Egypt</v>
          </cell>
          <cell r="C319" t="str">
            <v>A4683</v>
          </cell>
          <cell r="D319"/>
          <cell r="F319" t="str">
            <v> 5/11/2026: UPC updated.         5/14/2026: Allocating 245 from Ethiopia A4591 and 50 from Uganda A4522.                                         6/1/2026: Qty reduced to 261 - only 16/50 bottles were usable from Uganda allocation.</v>
          </cell>
          <cell r="G319" t="str">
            <v>PRECON-180-CS-EG</v>
          </cell>
          <cell r="H319">
            <v>261</v>
          </cell>
          <cell r="I319" t="str">
            <v>EG55-26.0</v>
          </cell>
          <cell r="J319">
            <v>261</v>
          </cell>
          <cell r="L319" t="str">
            <v>Picked</v>
          </cell>
          <cell r="M319"/>
          <cell r="N319" t="str">
            <v>NA</v>
          </cell>
          <cell r="O319">
            <v>810131193843</v>
          </cell>
          <cell r="P319"/>
          <cell r="Q319"/>
          <cell r="R319"/>
          <cell r="S319"/>
          <cell r="T319"/>
          <cell r="U319"/>
          <cell r="V319"/>
          <cell r="W319"/>
          <cell r="X319"/>
        </row>
        <row r="320">
          <cell r="A320">
            <v>46114</v>
          </cell>
          <cell r="B320" t="str">
            <v>Egypt</v>
          </cell>
          <cell r="C320" t="str">
            <v>A4683</v>
          </cell>
          <cell r="D320" t="str">
            <v> </v>
          </cell>
          <cell r="F320"/>
          <cell r="G320" t="str">
            <v>MOTILMX-60-CS-EG</v>
          </cell>
          <cell r="H320">
            <v>1680</v>
          </cell>
          <cell r="I320" t="str">
            <v>EG31-26.0</v>
          </cell>
          <cell r="J320">
            <v>1680</v>
          </cell>
          <cell r="L320" t="str">
            <v>Picked</v>
          </cell>
          <cell r="M320"/>
          <cell r="N320" t="str">
            <v>NA</v>
          </cell>
          <cell r="O320">
            <v>810131191030</v>
          </cell>
          <cell r="P320" t="str">
            <v> </v>
          </cell>
          <cell r="Q320" t="str">
            <v> </v>
          </cell>
          <cell r="R320" t="str">
            <v> </v>
          </cell>
          <cell r="S320" t="str">
            <v> </v>
          </cell>
          <cell r="T320" t="str">
            <v> </v>
          </cell>
          <cell r="U320" t="str">
            <v> </v>
          </cell>
          <cell r="V320" t="str">
            <v> </v>
          </cell>
          <cell r="W320" t="str">
            <v> </v>
          </cell>
          <cell r="X320"/>
        </row>
        <row r="321">
          <cell r="A321">
            <v>46114</v>
          </cell>
          <cell r="B321" t="str">
            <v>Egypt</v>
          </cell>
          <cell r="C321" t="str">
            <v>A4683</v>
          </cell>
          <cell r="D321" t="str">
            <v xml:space="preserve">4/6/2026: SKU changed from WFSPLS-180-CS-EG to WFSPLS-90-CS-EG  </v>
          </cell>
          <cell r="F321" t="str">
            <v> 5/11/2026: UPC updated.</v>
          </cell>
          <cell r="G321" t="str">
            <v xml:space="preserve">WFSPLS-90-CS-EG  </v>
          </cell>
          <cell r="H321">
            <v>840</v>
          </cell>
          <cell r="I321" t="str">
            <v>EG72-25.0</v>
          </cell>
          <cell r="J321">
            <v>840</v>
          </cell>
          <cell r="L321" t="str">
            <v>Picked</v>
          </cell>
          <cell r="M321"/>
          <cell r="N321" t="str">
            <v>NA</v>
          </cell>
          <cell r="O321">
            <v>604776737025</v>
          </cell>
          <cell r="P321">
            <v>4000</v>
          </cell>
          <cell r="Q321">
            <v>4941</v>
          </cell>
          <cell r="R321" t="str">
            <v>complete</v>
          </cell>
          <cell r="S321"/>
          <cell r="T321" t="str">
            <v> </v>
          </cell>
          <cell r="U321" t="str">
            <v> </v>
          </cell>
          <cell r="V321" t="str">
            <v> </v>
          </cell>
          <cell r="W321" t="str">
            <v> </v>
          </cell>
          <cell r="X321"/>
        </row>
        <row r="322">
          <cell r="A322">
            <v>46114</v>
          </cell>
          <cell r="B322" t="str">
            <v>Egypt</v>
          </cell>
          <cell r="C322" t="str">
            <v>A4683</v>
          </cell>
          <cell r="D322" t="str">
            <v> </v>
          </cell>
          <cell r="F322" t="str">
            <v>Ride on back of Bulk MFS order       5/11/2026: UPC updated.</v>
          </cell>
          <cell r="G322" t="str">
            <v>MFSPLS-60-CS-EG</v>
          </cell>
          <cell r="H322">
            <v>840</v>
          </cell>
          <cell r="I322" t="str">
            <v>EG29-26.0</v>
          </cell>
          <cell r="J322">
            <v>840</v>
          </cell>
          <cell r="L322" t="str">
            <v>Picked</v>
          </cell>
          <cell r="M322"/>
          <cell r="N322" t="str">
            <v>NA</v>
          </cell>
          <cell r="O322">
            <v>810131193805</v>
          </cell>
          <cell r="P322">
            <v>39000</v>
          </cell>
          <cell r="Q322">
            <v>4907</v>
          </cell>
          <cell r="R322" t="str">
            <v>Complete</v>
          </cell>
          <cell r="S322"/>
          <cell r="T322" t="str">
            <v> </v>
          </cell>
          <cell r="U322" t="str">
            <v> </v>
          </cell>
          <cell r="V322" t="str">
            <v> </v>
          </cell>
          <cell r="W322" t="str">
            <v> </v>
          </cell>
          <cell r="X322"/>
        </row>
        <row r="323">
          <cell r="A323">
            <v>46114</v>
          </cell>
          <cell r="B323" t="str">
            <v>Egypt</v>
          </cell>
          <cell r="C323" t="str">
            <v>A4683</v>
          </cell>
          <cell r="D323" t="str">
            <v> </v>
          </cell>
          <cell r="F323" t="str">
            <v>5/14/2026: Allocate 1050 pcs from Iraq A4596.</v>
          </cell>
          <cell r="G323" t="str">
            <v>QWELL2-60-SG-CS-EG</v>
          </cell>
          <cell r="H323">
            <v>1050</v>
          </cell>
          <cell r="I323" t="str">
            <v>EG57-26.0</v>
          </cell>
          <cell r="J323">
            <v>1050</v>
          </cell>
          <cell r="L323" t="str">
            <v>Picked</v>
          </cell>
          <cell r="M323"/>
          <cell r="N323" t="str">
            <v>NA</v>
          </cell>
          <cell r="O323">
            <v>604776737407</v>
          </cell>
          <cell r="P323">
            <v>5000</v>
          </cell>
          <cell r="Q323">
            <v>5033</v>
          </cell>
          <cell r="R323" t="str">
            <v>TBD</v>
          </cell>
          <cell r="S323" t="str">
            <v>Bulk PO. Pending approval to send to vendor</v>
          </cell>
          <cell r="T323" t="str">
            <v> </v>
          </cell>
          <cell r="U323" t="str">
            <v> </v>
          </cell>
          <cell r="V323" t="str">
            <v> </v>
          </cell>
          <cell r="W323" t="str">
            <v> </v>
          </cell>
          <cell r="X323"/>
        </row>
        <row r="324">
          <cell r="A324">
            <v>46057</v>
          </cell>
          <cell r="B324" t="str">
            <v>Egypt</v>
          </cell>
          <cell r="C324" t="str">
            <v>A4683</v>
          </cell>
          <cell r="D324"/>
          <cell r="F324" t="str">
            <v>5/21/2026: Moved from Egypt A4634.</v>
          </cell>
          <cell r="G324" t="str">
            <v>UTIC-60-CS-EG</v>
          </cell>
          <cell r="H324">
            <v>1050</v>
          </cell>
          <cell r="I324" t="str">
            <v>EG110-26.0</v>
          </cell>
          <cell r="J324">
            <v>1050</v>
          </cell>
          <cell r="L324" t="str">
            <v>Rework</v>
          </cell>
          <cell r="M324"/>
          <cell r="N324" t="str">
            <v>NA</v>
          </cell>
          <cell r="O324">
            <v>604776740438</v>
          </cell>
          <cell r="P324">
            <v>4000</v>
          </cell>
          <cell r="Q324">
            <v>4973</v>
          </cell>
          <cell r="R324" t="str">
            <v>Complete</v>
          </cell>
          <cell r="S324" t="str">
            <v>Waiting for PL and sample approval</v>
          </cell>
          <cell r="T324"/>
          <cell r="U324"/>
          <cell r="V324"/>
          <cell r="W324"/>
          <cell r="X324"/>
        </row>
        <row r="325">
          <cell r="A325"/>
          <cell r="B325"/>
          <cell r="C325"/>
          <cell r="D325"/>
          <cell r="F325"/>
          <cell r="G325"/>
          <cell r="H325"/>
          <cell r="I325"/>
          <cell r="J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</row>
        <row r="326">
          <cell r="A326">
            <v>46114</v>
          </cell>
          <cell r="B326" t="str">
            <v>Egypt</v>
          </cell>
          <cell r="C326" t="str">
            <v>A4709</v>
          </cell>
          <cell r="D326"/>
          <cell r="F326" t="str">
            <v>5/21/2026: Moved 2093 pcs to backorder from Egypt A4683.</v>
          </cell>
          <cell r="G326" t="str">
            <v>MFSPLS-120-CS-EG</v>
          </cell>
          <cell r="H326">
            <v>2093</v>
          </cell>
          <cell r="I326" t="str">
            <v> EG30-26.0</v>
          </cell>
          <cell r="J326">
            <v>0</v>
          </cell>
          <cell r="L326" t="str">
            <v>In Production</v>
          </cell>
          <cell r="M326"/>
          <cell r="N326" t="str">
            <v>NA</v>
          </cell>
          <cell r="O326">
            <v>810131193799</v>
          </cell>
          <cell r="P326">
            <v>9195</v>
          </cell>
          <cell r="Q326">
            <v>5032</v>
          </cell>
          <cell r="R326">
            <v>46211</v>
          </cell>
          <cell r="S326"/>
          <cell r="T326" t="str">
            <v> </v>
          </cell>
          <cell r="U326" t="str">
            <v> </v>
          </cell>
          <cell r="V326" t="str">
            <v> </v>
          </cell>
          <cell r="W326" t="str">
            <v> </v>
          </cell>
          <cell r="X326" t="str">
            <v>Approved</v>
          </cell>
        </row>
        <row r="327">
          <cell r="A327"/>
          <cell r="B327"/>
          <cell r="C327"/>
          <cell r="D327"/>
          <cell r="F327"/>
          <cell r="G327"/>
          <cell r="H327"/>
          <cell r="I327"/>
          <cell r="J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</row>
        <row r="328">
          <cell r="A328">
            <v>46121</v>
          </cell>
          <cell r="B328" t="str">
            <v>Chad</v>
          </cell>
          <cell r="C328" t="str">
            <v>A4687</v>
          </cell>
          <cell r="D328" t="str">
            <v>4/9/2026: Awaiting Proforma Invoice Confirmation</v>
          </cell>
          <cell r="F328" t="str">
            <v>4/27/2026: SKU changed to PENAMAX-60-GE-FD
4/30/2026: SKU changed to PENAMAX-60-GE-CS-CH (PENNAMAX-60-VE-LAB-CS-CH MUST BE USED)
5/7/2026: VE Chad labels confirmed
qty increased from 240 → 277</v>
          </cell>
          <cell r="G328" t="str">
            <v xml:space="preserve"> PENAMAX-60-GE-CS-CH (PENNAMAX-60-VE-LAB-CS-CH)</v>
          </cell>
          <cell r="H328">
            <v>277</v>
          </cell>
          <cell r="I328" t="str">
            <v>CH51-21.0</v>
          </cell>
          <cell r="J328">
            <v>277</v>
          </cell>
          <cell r="L328" t="str">
            <v>Rework</v>
          </cell>
          <cell r="M328"/>
          <cell r="N328" t="str">
            <v>NA</v>
          </cell>
          <cell r="O328">
            <v>604776738763</v>
          </cell>
          <cell r="P328"/>
          <cell r="Q328"/>
          <cell r="R328"/>
          <cell r="S328"/>
          <cell r="T328"/>
          <cell r="U328"/>
          <cell r="V328"/>
          <cell r="W328"/>
          <cell r="X328" t="str">
            <v>HOLD</v>
          </cell>
        </row>
        <row r="329">
          <cell r="A329">
            <v>46121</v>
          </cell>
          <cell r="B329" t="str">
            <v>Chad</v>
          </cell>
          <cell r="C329" t="str">
            <v>A4687</v>
          </cell>
          <cell r="D329" t="str">
            <v>4/15/2026: Proforma Invoice Confirmed</v>
          </cell>
          <cell r="F329" t="str">
            <v>5/7/2026: qty increased from 1200 → 1290</v>
          </cell>
          <cell r="G329" t="str">
            <v>OSTEOPL-96-CS-CH</v>
          </cell>
          <cell r="H329">
            <v>1290</v>
          </cell>
          <cell r="I329" t="str">
            <v>CH39-21.0</v>
          </cell>
          <cell r="J329">
            <v>1290</v>
          </cell>
          <cell r="L329" t="str">
            <v>Picked</v>
          </cell>
          <cell r="M329"/>
          <cell r="N329" t="str">
            <v>NA</v>
          </cell>
          <cell r="O329">
            <v>604776738749</v>
          </cell>
          <cell r="P329"/>
          <cell r="Q329"/>
          <cell r="R329"/>
          <cell r="S329"/>
          <cell r="T329"/>
          <cell r="U329"/>
          <cell r="V329"/>
          <cell r="W329"/>
          <cell r="X329"/>
        </row>
        <row r="330">
          <cell r="A330">
            <v>46121</v>
          </cell>
          <cell r="B330" t="str">
            <v>Chad</v>
          </cell>
          <cell r="C330" t="str">
            <v>A4687</v>
          </cell>
          <cell r="D330"/>
          <cell r="F330" t="str">
            <v>5/7/2026: qty increased from 240 → 270</v>
          </cell>
          <cell r="G330" t="str">
            <v>DHEA50-60-CS-CH</v>
          </cell>
          <cell r="H330">
            <v>270</v>
          </cell>
          <cell r="I330" t="str">
            <v>CH13-21.0</v>
          </cell>
          <cell r="J330"/>
          <cell r="L330" t="str">
            <v>In Production</v>
          </cell>
          <cell r="M330"/>
          <cell r="N330" t="str">
            <v>NA</v>
          </cell>
          <cell r="O330">
            <v>604776738695</v>
          </cell>
          <cell r="P330">
            <v>7000</v>
          </cell>
          <cell r="Q330">
            <v>5027</v>
          </cell>
          <cell r="R330">
            <v>46201</v>
          </cell>
          <cell r="S330"/>
          <cell r="T330"/>
          <cell r="U330"/>
          <cell r="V330"/>
          <cell r="W330"/>
          <cell r="X330"/>
        </row>
        <row r="331">
          <cell r="A331">
            <v>46121</v>
          </cell>
          <cell r="B331" t="str">
            <v>Chad</v>
          </cell>
          <cell r="C331" t="str">
            <v>A4687</v>
          </cell>
          <cell r="D331"/>
          <cell r="F331" t="str">
            <v>5/7/2026: qty increased from 600 → 636</v>
          </cell>
          <cell r="G331" t="str">
            <v>WFSPLS-180-CS-CH</v>
          </cell>
          <cell r="H331">
            <v>282</v>
          </cell>
          <cell r="I331" t="str">
            <v>CH73-21.0</v>
          </cell>
          <cell r="J331">
            <v>0</v>
          </cell>
          <cell r="L331" t="str">
            <v>Out of Stock</v>
          </cell>
          <cell r="M331"/>
          <cell r="N331" t="str">
            <v>NA</v>
          </cell>
          <cell r="O331">
            <v>604776738817</v>
          </cell>
          <cell r="P331"/>
          <cell r="Q331"/>
          <cell r="R331"/>
          <cell r="S331"/>
          <cell r="T331"/>
          <cell r="U331"/>
          <cell r="V331"/>
          <cell r="W331"/>
          <cell r="X331"/>
        </row>
        <row r="332">
          <cell r="A332">
            <v>46121</v>
          </cell>
          <cell r="B332" t="str">
            <v>Chad</v>
          </cell>
          <cell r="C332" t="str">
            <v>A4687</v>
          </cell>
          <cell r="D332"/>
          <cell r="F332" t="str">
            <v>5/7/2026: qty increased from 600 → 636</v>
          </cell>
          <cell r="G332" t="str">
            <v>WFSPLS-180-CS-CH</v>
          </cell>
          <cell r="H332">
            <v>354</v>
          </cell>
          <cell r="I332" t="str">
            <v>CH73-21.0</v>
          </cell>
          <cell r="J332">
            <v>354</v>
          </cell>
          <cell r="L332" t="str">
            <v>Picked</v>
          </cell>
          <cell r="M332"/>
          <cell r="N332" t="str">
            <v>NA</v>
          </cell>
          <cell r="O332">
            <v>604776738817</v>
          </cell>
          <cell r="P332"/>
          <cell r="Q332"/>
          <cell r="R332"/>
          <cell r="S332"/>
          <cell r="T332"/>
          <cell r="U332"/>
          <cell r="V332"/>
          <cell r="W332"/>
          <cell r="X332"/>
        </row>
        <row r="333">
          <cell r="A333">
            <v>46121</v>
          </cell>
          <cell r="B333" t="str">
            <v>Chad</v>
          </cell>
          <cell r="C333" t="str">
            <v>A4687</v>
          </cell>
          <cell r="D333"/>
          <cell r="F333" t="str">
            <v>5/7/2026: qty increased from 720 → 780</v>
          </cell>
          <cell r="G333" t="str">
            <v>MFSPLS-120-CS-CH</v>
          </cell>
          <cell r="H333">
            <v>780</v>
          </cell>
          <cell r="I333" t="str">
            <v>CH30-21.0</v>
          </cell>
          <cell r="J333"/>
          <cell r="L333" t="str">
            <v>PO submitted</v>
          </cell>
          <cell r="M333"/>
          <cell r="N333" t="str">
            <v>NA</v>
          </cell>
          <cell r="O333">
            <v>604776738725</v>
          </cell>
          <cell r="P333" t="str">
            <v>300000 bulk</v>
          </cell>
          <cell r="Q333">
            <v>5064</v>
          </cell>
          <cell r="R333" t="str">
            <v>TBD</v>
          </cell>
          <cell r="S333" t="str">
            <v>Bulk PO Submitted, Pending ETA confirmation</v>
          </cell>
          <cell r="T333"/>
          <cell r="U333"/>
          <cell r="V333"/>
          <cell r="W333"/>
          <cell r="X333"/>
        </row>
        <row r="334">
          <cell r="A334">
            <v>46121</v>
          </cell>
          <cell r="B334" t="str">
            <v>Chad</v>
          </cell>
          <cell r="C334" t="str">
            <v>A4687</v>
          </cell>
          <cell r="D334"/>
          <cell r="F334" t="str">
            <v>4/14/2026: SKU changed to FD
5/7/2026: qty increased from 1250 → 1351</v>
          </cell>
          <cell r="G334" t="str">
            <v>FLORA30-30-FD</v>
          </cell>
          <cell r="H334">
            <v>1351</v>
          </cell>
          <cell r="I334" t="str">
            <v>CH18-26.0</v>
          </cell>
          <cell r="J334">
            <v>1351</v>
          </cell>
          <cell r="L334" t="str">
            <v>Rework</v>
          </cell>
          <cell r="M334"/>
          <cell r="N334" t="str">
            <v>Y</v>
          </cell>
          <cell r="O334" t="str">
            <v>609788968979</v>
          </cell>
          <cell r="P334"/>
          <cell r="Q334"/>
          <cell r="R334"/>
          <cell r="S334"/>
          <cell r="T334"/>
          <cell r="U334"/>
          <cell r="V334"/>
          <cell r="W334"/>
          <cell r="X334"/>
        </row>
        <row r="335">
          <cell r="A335">
            <v>46121</v>
          </cell>
          <cell r="B335" t="str">
            <v>Chad</v>
          </cell>
          <cell r="C335" t="str">
            <v>A4687</v>
          </cell>
          <cell r="D335"/>
          <cell r="F335" t="str">
            <v>Cannot take available lot (45130425)
5/7/2026: qty increased from 1000 → 1125</v>
          </cell>
          <cell r="G335" t="str">
            <v>PEDIAMU-50-FD</v>
          </cell>
          <cell r="H335">
            <v>1125</v>
          </cell>
          <cell r="I335" t="str">
            <v>F49-24.1</v>
          </cell>
          <cell r="J335"/>
          <cell r="L335" t="str">
            <v>Not Meet MOQ</v>
          </cell>
          <cell r="M335" t="str">
            <v>Lot:45130425</v>
          </cell>
          <cell r="N335" t="str">
            <v>Y</v>
          </cell>
          <cell r="O335">
            <v>810131199661</v>
          </cell>
          <cell r="P335"/>
          <cell r="Q335"/>
          <cell r="R335"/>
          <cell r="S335"/>
          <cell r="T335"/>
          <cell r="U335"/>
          <cell r="V335"/>
          <cell r="W335"/>
          <cell r="X335"/>
        </row>
        <row r="336">
          <cell r="A336">
            <v>46121</v>
          </cell>
          <cell r="B336" t="str">
            <v>Chad</v>
          </cell>
          <cell r="C336" t="str">
            <v>A4687</v>
          </cell>
          <cell r="D336"/>
          <cell r="F336" t="str">
            <v>5/7/2026: qty increased from 2000 → 2100</v>
          </cell>
          <cell r="G336" t="str">
            <v>PEDIAZI-50-FD</v>
          </cell>
          <cell r="H336">
            <v>2100</v>
          </cell>
          <cell r="I336" t="str">
            <v>F50-26.0</v>
          </cell>
          <cell r="J336"/>
          <cell r="L336" t="str">
            <v>PO submitted</v>
          </cell>
          <cell r="M336"/>
          <cell r="N336" t="str">
            <v>Y</v>
          </cell>
          <cell r="O336"/>
          <cell r="P336">
            <v>5000</v>
          </cell>
          <cell r="Q336">
            <v>4978</v>
          </cell>
          <cell r="R336" t="str">
            <v>TBD</v>
          </cell>
          <cell r="S336" t="str">
            <v>Waiting for IFC to start production.</v>
          </cell>
          <cell r="T336"/>
          <cell r="U336"/>
          <cell r="V336"/>
          <cell r="W336"/>
          <cell r="X336"/>
        </row>
        <row r="337">
          <cell r="A337">
            <v>46121</v>
          </cell>
          <cell r="B337" t="str">
            <v>Chad</v>
          </cell>
          <cell r="C337" t="str">
            <v>A4687</v>
          </cell>
          <cell r="D337"/>
          <cell r="F337" t="str">
            <v>4/14/2026: SKU changed to FD
5/7/2026: qty increased from 480 → 504</v>
          </cell>
          <cell r="G337" t="str">
            <v>OMEGA3-60-FD</v>
          </cell>
          <cell r="H337">
            <v>504</v>
          </cell>
          <cell r="I337" t="str">
            <v>F37-26.0</v>
          </cell>
          <cell r="J337">
            <v>0</v>
          </cell>
          <cell r="L337" t="str">
            <v>In Production</v>
          </cell>
          <cell r="M337"/>
          <cell r="N337" t="str">
            <v>Y</v>
          </cell>
          <cell r="O337">
            <v>810131199531</v>
          </cell>
          <cell r="P337">
            <v>10232</v>
          </cell>
          <cell r="Q337">
            <v>5069</v>
          </cell>
          <cell r="R337">
            <v>46223</v>
          </cell>
          <cell r="S337" t="str">
            <v>Order placed with Genova, pulling from Iraq allocation</v>
          </cell>
          <cell r="T337"/>
          <cell r="U337"/>
          <cell r="V337"/>
          <cell r="W337"/>
          <cell r="X337"/>
        </row>
        <row r="338">
          <cell r="A338">
            <v>46121</v>
          </cell>
          <cell r="B338" t="str">
            <v>Chad</v>
          </cell>
          <cell r="C338" t="str">
            <v>A4687</v>
          </cell>
          <cell r="D338"/>
          <cell r="F338" t="str">
            <v>4/14/2026: SKU changed to FD
5/7/2026: qty increased from 360 → 378</v>
          </cell>
          <cell r="G338" t="str">
            <v>UTIC-60-FD</v>
          </cell>
          <cell r="H338">
            <v>378</v>
          </cell>
          <cell r="I338" t="str">
            <v>F110-25.0</v>
          </cell>
          <cell r="J338">
            <v>378</v>
          </cell>
          <cell r="L338" t="str">
            <v>Rework</v>
          </cell>
          <cell r="M338"/>
          <cell r="N338" t="str">
            <v>NA</v>
          </cell>
          <cell r="O338" t="str">
            <v>810131192983</v>
          </cell>
          <cell r="P338">
            <v>4000</v>
          </cell>
          <cell r="Q338">
            <v>4973</v>
          </cell>
          <cell r="R338" t="str">
            <v>Complete</v>
          </cell>
          <cell r="S338" t="str">
            <v>Waiting for PL and sample approval</v>
          </cell>
          <cell r="T338"/>
          <cell r="U338"/>
          <cell r="V338"/>
          <cell r="W338"/>
          <cell r="X338"/>
        </row>
        <row r="339">
          <cell r="A339">
            <v>46121</v>
          </cell>
          <cell r="B339" t="str">
            <v>Chad</v>
          </cell>
          <cell r="C339" t="str">
            <v>A4687</v>
          </cell>
          <cell r="D339"/>
          <cell r="F339" t="str">
            <v>4/14/2026: SKU changed to FD
5/7/2026: qty increased from 
60 → 63</v>
          </cell>
          <cell r="G339" t="str">
            <v>METRIO-60-FD</v>
          </cell>
          <cell r="H339">
            <v>63</v>
          </cell>
          <cell r="I339" t="str">
            <v>F28-25.0</v>
          </cell>
          <cell r="J339">
            <v>63</v>
          </cell>
          <cell r="L339" t="str">
            <v>Rework</v>
          </cell>
          <cell r="M339"/>
          <cell r="N339" t="str">
            <v>NA</v>
          </cell>
          <cell r="O339">
            <v>609788968481</v>
          </cell>
          <cell r="P339"/>
          <cell r="Q339"/>
          <cell r="R339"/>
          <cell r="S339"/>
          <cell r="T339"/>
          <cell r="U339"/>
          <cell r="V339"/>
          <cell r="W339"/>
          <cell r="X339"/>
        </row>
        <row r="340">
          <cell r="A340">
            <v>46121</v>
          </cell>
          <cell r="B340" t="str">
            <v>Chad</v>
          </cell>
          <cell r="C340" t="str">
            <v>A4687</v>
          </cell>
          <cell r="D340"/>
          <cell r="F340" t="str">
            <v>4/14/2026: SKU changed to FD
5/7/2026: qty increased from 120 → 126</v>
          </cell>
          <cell r="G340" t="str">
            <v>VIVAWOM-60-FD</v>
          </cell>
          <cell r="H340">
            <v>126</v>
          </cell>
          <cell r="I340" t="str">
            <v>F90-25.0</v>
          </cell>
          <cell r="J340">
            <v>126</v>
          </cell>
          <cell r="L340" t="str">
            <v>Rework</v>
          </cell>
          <cell r="M340"/>
          <cell r="N340" t="str">
            <v>Y</v>
          </cell>
          <cell r="O340" t="str">
            <v>604776738640</v>
          </cell>
          <cell r="P340"/>
          <cell r="Q340"/>
          <cell r="R340"/>
          <cell r="S340"/>
          <cell r="T340"/>
          <cell r="U340"/>
          <cell r="V340"/>
          <cell r="W340"/>
          <cell r="X340"/>
        </row>
        <row r="341">
          <cell r="A341">
            <v>46149</v>
          </cell>
          <cell r="B341" t="str">
            <v>Chad</v>
          </cell>
          <cell r="C341" t="str">
            <v>A4687</v>
          </cell>
          <cell r="D341"/>
          <cell r="F341" t="str">
            <v>5/7/2026: Product added</v>
          </cell>
          <cell r="G341" t="str">
            <v>FIBRO-60-CS-CH</v>
          </cell>
          <cell r="H341">
            <v>12</v>
          </cell>
          <cell r="I341" t="str">
            <v>CH17-21.0</v>
          </cell>
          <cell r="J341">
            <v>12</v>
          </cell>
          <cell r="L341" t="str">
            <v>Rework</v>
          </cell>
          <cell r="M341"/>
          <cell r="N341" t="str">
            <v>NA</v>
          </cell>
          <cell r="O341">
            <v>604776738701</v>
          </cell>
          <cell r="P341"/>
          <cell r="Q341"/>
          <cell r="R341"/>
          <cell r="S341"/>
          <cell r="T341"/>
          <cell r="U341"/>
          <cell r="V341"/>
          <cell r="W341"/>
          <cell r="X341"/>
        </row>
        <row r="342">
          <cell r="A342">
            <v>46149</v>
          </cell>
          <cell r="B342" t="str">
            <v>Chad</v>
          </cell>
          <cell r="C342" t="str">
            <v>A4687</v>
          </cell>
          <cell r="D342"/>
          <cell r="F342" t="str">
            <v>5/7/2026: Product added</v>
          </cell>
          <cell r="G342" t="str">
            <v>OVAMAX-120-CS-CH</v>
          </cell>
          <cell r="H342">
            <v>18</v>
          </cell>
          <cell r="I342" t="str">
            <v>CH41-21.0</v>
          </cell>
          <cell r="J342">
            <v>18</v>
          </cell>
          <cell r="L342" t="str">
            <v>Rework</v>
          </cell>
          <cell r="M342"/>
          <cell r="N342" t="str">
            <v>NA</v>
          </cell>
          <cell r="O342">
            <v>604776738732</v>
          </cell>
          <cell r="P342"/>
          <cell r="Q342"/>
          <cell r="R342"/>
          <cell r="S342"/>
          <cell r="T342"/>
          <cell r="U342"/>
          <cell r="V342"/>
          <cell r="W342"/>
          <cell r="X342"/>
        </row>
        <row r="343">
          <cell r="A343">
            <v>46149</v>
          </cell>
          <cell r="B343" t="str">
            <v>Chad</v>
          </cell>
          <cell r="C343" t="str">
            <v>A4687</v>
          </cell>
          <cell r="D343"/>
          <cell r="F343" t="str">
            <v>5/7/2026: Product added</v>
          </cell>
          <cell r="G343" t="str">
            <v>PRECON-180-CS-CH</v>
          </cell>
          <cell r="H343">
            <v>24</v>
          </cell>
          <cell r="I343" t="str">
            <v>CH55-21.0</v>
          </cell>
          <cell r="J343"/>
          <cell r="L343" t="str">
            <v>In Production</v>
          </cell>
          <cell r="M343"/>
          <cell r="N343" t="str">
            <v>NA</v>
          </cell>
          <cell r="O343">
            <v>604776738787</v>
          </cell>
          <cell r="P343">
            <v>5000</v>
          </cell>
          <cell r="Q343">
            <v>5060</v>
          </cell>
          <cell r="R343">
            <v>46205</v>
          </cell>
          <cell r="S343"/>
          <cell r="T343"/>
          <cell r="U343"/>
          <cell r="V343"/>
          <cell r="W343"/>
          <cell r="X343"/>
        </row>
        <row r="344">
          <cell r="A344">
            <v>46149</v>
          </cell>
          <cell r="B344" t="str">
            <v>Chad</v>
          </cell>
          <cell r="C344" t="str">
            <v>A4687</v>
          </cell>
          <cell r="D344"/>
          <cell r="F344" t="str">
            <v>5/7/2026: Product added</v>
          </cell>
          <cell r="G344" t="str">
            <v>QWELL4-30-SG-CS-CH</v>
          </cell>
          <cell r="H344">
            <v>12</v>
          </cell>
          <cell r="I344" t="str">
            <v>CH58-21.0</v>
          </cell>
          <cell r="J344">
            <v>12</v>
          </cell>
          <cell r="L344" t="str">
            <v>Rework</v>
          </cell>
          <cell r="M344"/>
          <cell r="N344" t="str">
            <v>NA</v>
          </cell>
          <cell r="O344">
            <v>604776738671</v>
          </cell>
          <cell r="P344"/>
          <cell r="Q344"/>
          <cell r="R344"/>
          <cell r="S344"/>
          <cell r="T344"/>
          <cell r="U344"/>
          <cell r="V344"/>
          <cell r="W344"/>
          <cell r="X344"/>
        </row>
        <row r="345">
          <cell r="A345">
            <v>46149</v>
          </cell>
          <cell r="B345" t="str">
            <v>Chad</v>
          </cell>
          <cell r="C345" t="str">
            <v>A4687</v>
          </cell>
          <cell r="D345"/>
          <cell r="F345" t="str">
            <v>5/7/2026: Product added</v>
          </cell>
          <cell r="G345" t="str">
            <v>VITAE4-60-CS-CH</v>
          </cell>
          <cell r="H345">
            <v>9</v>
          </cell>
          <cell r="I345" t="str">
            <v>CH68-21.0</v>
          </cell>
          <cell r="J345">
            <v>9</v>
          </cell>
          <cell r="L345" t="str">
            <v>Rework</v>
          </cell>
          <cell r="M345"/>
          <cell r="N345" t="str">
            <v>NA</v>
          </cell>
          <cell r="O345">
            <v>604776738794</v>
          </cell>
          <cell r="P345"/>
          <cell r="Q345"/>
          <cell r="R345"/>
          <cell r="S345"/>
          <cell r="T345"/>
          <cell r="U345"/>
          <cell r="V345"/>
          <cell r="W345"/>
          <cell r="X345"/>
        </row>
        <row r="346">
          <cell r="A346">
            <v>46149</v>
          </cell>
          <cell r="B346" t="str">
            <v>Chad</v>
          </cell>
          <cell r="C346" t="str">
            <v>A4687</v>
          </cell>
          <cell r="D346"/>
          <cell r="F346" t="str">
            <v>5/7/2026: Product added</v>
          </cell>
          <cell r="G346" t="str">
            <v>CHARCO-100-FD</v>
          </cell>
          <cell r="H346">
            <v>12</v>
          </cell>
          <cell r="I346" t="str">
            <v>CH10-26.0</v>
          </cell>
          <cell r="J346">
            <v>12</v>
          </cell>
          <cell r="L346" t="str">
            <v>Rework</v>
          </cell>
          <cell r="M346"/>
          <cell r="N346" t="str">
            <v>NA</v>
          </cell>
          <cell r="O346" t="str">
            <v>604776735878</v>
          </cell>
          <cell r="P346"/>
          <cell r="Q346"/>
          <cell r="R346"/>
          <cell r="S346"/>
          <cell r="T346"/>
          <cell r="U346"/>
          <cell r="V346"/>
          <cell r="W346"/>
          <cell r="X346"/>
        </row>
        <row r="347">
          <cell r="A347"/>
          <cell r="B347"/>
          <cell r="C347"/>
          <cell r="D347"/>
          <cell r="F347"/>
          <cell r="G347"/>
          <cell r="H347"/>
          <cell r="I347"/>
          <cell r="J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</row>
        <row r="348">
          <cell r="A348">
            <v>46127</v>
          </cell>
          <cell r="B348" t="str">
            <v>Morocco</v>
          </cell>
          <cell r="C348" t="str">
            <v>A4688</v>
          </cell>
          <cell r="D348" t="str">
            <v>4/15/2026: Awaiting Proforma Confirmation                                          4/20/2026: Proforma Invoice Confirmed</v>
          </cell>
          <cell r="F348" t="str">
            <v>6 Total Pallets = 
2244 bottles per pallet
5/4/2026: use the new label and IFC design</v>
          </cell>
          <cell r="G348" t="str">
            <v>OMEGA3-90-CS-MO</v>
          </cell>
          <cell r="H348">
            <v>13464</v>
          </cell>
          <cell r="I348" t="str">
            <v>MO116-26.0</v>
          </cell>
          <cell r="J348">
            <v>13464</v>
          </cell>
          <cell r="L348" t="str">
            <v>Out of Stock</v>
          </cell>
          <cell r="M348"/>
          <cell r="N348" t="str">
            <v>Y</v>
          </cell>
          <cell r="O348">
            <v>604776739746</v>
          </cell>
          <cell r="P348"/>
          <cell r="Q348"/>
          <cell r="R348"/>
          <cell r="S348" t="str">
            <v>Pending confirmation that Iraq quantities can be pulled for this order</v>
          </cell>
          <cell r="T348"/>
          <cell r="U348"/>
          <cell r="V348"/>
          <cell r="W348"/>
          <cell r="X348" t="str">
            <v>HOLD</v>
          </cell>
        </row>
        <row r="349">
          <cell r="A349">
            <v>46127</v>
          </cell>
          <cell r="B349" t="str">
            <v>Morocco</v>
          </cell>
          <cell r="C349" t="str">
            <v>A4688</v>
          </cell>
          <cell r="D349" t="str">
            <v>*Awaiting Down Payment*</v>
          </cell>
          <cell r="F349" t="str">
            <v>5/4/2026: use the old IFC (CS Morocco IFC 25.1 version already available) with the new label design
5/8/2026: Qty decresead 
6,732 → 4,496</v>
          </cell>
          <cell r="G349" t="str">
            <v>OMEGA3-60-CS-MO</v>
          </cell>
          <cell r="H349">
            <v>4496</v>
          </cell>
          <cell r="I349" t="str">
            <v>MO37-26.0</v>
          </cell>
          <cell r="J349">
            <v>4496</v>
          </cell>
          <cell r="L349" t="str">
            <v>Out of Stock</v>
          </cell>
          <cell r="M349"/>
          <cell r="N349" t="str">
            <v>Y</v>
          </cell>
          <cell r="O349">
            <v>604776737254</v>
          </cell>
          <cell r="P349"/>
          <cell r="Q349"/>
          <cell r="R349"/>
          <cell r="S349" t="str">
            <v>Pending confirmation that Iraq quantities can be pulled for this order</v>
          </cell>
          <cell r="T349"/>
          <cell r="U349"/>
          <cell r="V349"/>
          <cell r="W349"/>
          <cell r="X349"/>
        </row>
        <row r="350">
          <cell r="A350"/>
          <cell r="B350"/>
          <cell r="C350"/>
          <cell r="D350"/>
          <cell r="F350"/>
          <cell r="G350"/>
          <cell r="H350"/>
          <cell r="I350"/>
          <cell r="J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</row>
        <row r="351">
          <cell r="A351">
            <v>46132</v>
          </cell>
          <cell r="B351" t="str">
            <v>Lebanon</v>
          </cell>
          <cell r="C351" t="str">
            <v>A4690</v>
          </cell>
          <cell r="D351" t="str">
            <v>4/20/2026: Awaiting Pro Forma Confirmation.
5/5/2026: Labels are on server. Updating order with CS SKUs then re-sending Pro Forma for approval.
5/8/2026: Removed from Sales Action Needed; Pro Forma confirmed.</v>
          </cell>
          <cell r="F351" t="str">
            <v>4/21/2026: Some SKUs will be CS. Awaiting SKU confirmation.                    4/30/2026: Updated to MFSPLS-120-CS-LB                      5/14/2026: UPC updated.</v>
          </cell>
          <cell r="G351" t="str">
            <v>MFSPLS-120-CS-LB</v>
          </cell>
          <cell r="H351">
            <v>330</v>
          </cell>
          <cell r="I351" t="str">
            <v>LB30-26.0</v>
          </cell>
          <cell r="J351">
            <v>330</v>
          </cell>
          <cell r="L351" t="str">
            <v>Picked</v>
          </cell>
          <cell r="M351"/>
          <cell r="N351" t="str">
            <v>NA</v>
          </cell>
          <cell r="O351" t="str">
            <v>810131194604</v>
          </cell>
          <cell r="P351"/>
          <cell r="Q351"/>
          <cell r="R351"/>
          <cell r="S351"/>
          <cell r="T351"/>
          <cell r="U351"/>
          <cell r="V351"/>
          <cell r="W351"/>
          <cell r="X351" t="str">
            <v>HOLD</v>
          </cell>
        </row>
        <row r="352">
          <cell r="A352">
            <v>46132</v>
          </cell>
          <cell r="B352" t="str">
            <v>Lebanon</v>
          </cell>
          <cell r="C352" t="str">
            <v>A4690</v>
          </cell>
          <cell r="D352"/>
          <cell r="F352" t="str">
            <v>4/30/2026: Updated to MOTILMX-60-CS-LB                      5/14/2026: UPC updated.</v>
          </cell>
          <cell r="G352" t="str">
            <v>MOTILMX-60-CS-LB</v>
          </cell>
          <cell r="H352">
            <v>330</v>
          </cell>
          <cell r="I352" t="str">
            <v>LB31-26.0</v>
          </cell>
          <cell r="J352">
            <v>330</v>
          </cell>
          <cell r="L352" t="str">
            <v>D/W Sent</v>
          </cell>
          <cell r="M352"/>
          <cell r="N352" t="str">
            <v>NA</v>
          </cell>
          <cell r="O352" t="str">
            <v>810131194598</v>
          </cell>
          <cell r="P352"/>
          <cell r="Q352"/>
          <cell r="R352"/>
          <cell r="S352"/>
          <cell r="T352"/>
          <cell r="U352"/>
          <cell r="V352"/>
          <cell r="W352"/>
          <cell r="X352"/>
        </row>
        <row r="353">
          <cell r="A353">
            <v>46132</v>
          </cell>
          <cell r="B353" t="str">
            <v>Lebanon</v>
          </cell>
          <cell r="C353" t="str">
            <v>A4690</v>
          </cell>
          <cell r="D353"/>
          <cell r="F353" t="str">
            <v>4/30/2026: Updated to SPERMCT-60-CS-LB                      5/14/2026: UPC updated.</v>
          </cell>
          <cell r="G353" t="str">
            <v>SPERMCT-60-CS-LB</v>
          </cell>
          <cell r="H353">
            <v>220</v>
          </cell>
          <cell r="I353" t="str">
            <v>LB64-26.0</v>
          </cell>
          <cell r="J353">
            <v>220</v>
          </cell>
          <cell r="L353" t="str">
            <v>D/W Sent</v>
          </cell>
          <cell r="M353"/>
          <cell r="N353" t="str">
            <v>NA</v>
          </cell>
          <cell r="O353" t="str">
            <v>810131194536</v>
          </cell>
          <cell r="P353"/>
          <cell r="Q353"/>
          <cell r="R353"/>
          <cell r="S353"/>
          <cell r="T353"/>
          <cell r="U353"/>
          <cell r="V353"/>
          <cell r="W353"/>
          <cell r="X353"/>
        </row>
        <row r="354">
          <cell r="A354">
            <v>46132</v>
          </cell>
          <cell r="B354" t="str">
            <v>Lebanon</v>
          </cell>
          <cell r="C354" t="str">
            <v>A4690</v>
          </cell>
          <cell r="D354"/>
          <cell r="F354" t="str">
            <v>4/30/2026: Updated to WFSPLS-180-CS-LB
5/12/2026: Allocating from Uganda A4522 (120 pcs), Ethiopia A4575 (120 pcs), China A4659 (110 pcs). Reduced qty 385 -&gt; 350.
5/14/2026: UPC updated.</v>
          </cell>
          <cell r="G354" t="str">
            <v>WFSPLS-180-CS-LB</v>
          </cell>
          <cell r="H354">
            <v>350</v>
          </cell>
          <cell r="I354" t="str">
            <v>LB73-26.0</v>
          </cell>
          <cell r="J354">
            <v>350</v>
          </cell>
          <cell r="L354" t="str">
            <v>D/W Sent</v>
          </cell>
          <cell r="M354"/>
          <cell r="N354" t="str">
            <v>NA</v>
          </cell>
          <cell r="O354" t="str">
            <v>810131194543</v>
          </cell>
          <cell r="P354">
            <v>5000</v>
          </cell>
          <cell r="Q354">
            <v>5043</v>
          </cell>
          <cell r="R354" t="str">
            <v>TBD</v>
          </cell>
          <cell r="S354" t="str">
            <v>Pending approval to send to vendor</v>
          </cell>
          <cell r="T354"/>
          <cell r="U354"/>
          <cell r="V354"/>
          <cell r="W354"/>
          <cell r="X354"/>
        </row>
        <row r="355">
          <cell r="A355">
            <v>46132</v>
          </cell>
          <cell r="B355" t="str">
            <v>Lebanon</v>
          </cell>
          <cell r="C355" t="str">
            <v>A4690</v>
          </cell>
          <cell r="D355"/>
          <cell r="F355" t="str">
            <v>4/30/2026: Updated to OVAMAX-120-CS-LB                      5/14/2026: UPC updated.</v>
          </cell>
          <cell r="G355" t="str">
            <v>OVAMAX-120-CS-LB</v>
          </cell>
          <cell r="H355">
            <v>385</v>
          </cell>
          <cell r="I355" t="str">
            <v>LB41-26.0</v>
          </cell>
          <cell r="J355">
            <v>385</v>
          </cell>
          <cell r="L355" t="str">
            <v>D/W Sent</v>
          </cell>
          <cell r="M355"/>
          <cell r="N355" t="str">
            <v>NA</v>
          </cell>
          <cell r="O355" t="str">
            <v>810131194567</v>
          </cell>
          <cell r="P355"/>
          <cell r="Q355"/>
          <cell r="R355"/>
          <cell r="S355"/>
          <cell r="T355"/>
          <cell r="U355"/>
          <cell r="V355"/>
          <cell r="W355"/>
          <cell r="X355"/>
        </row>
        <row r="356">
          <cell r="A356">
            <v>46132</v>
          </cell>
          <cell r="B356" t="str">
            <v>Lebanon</v>
          </cell>
          <cell r="C356" t="str">
            <v>A4690</v>
          </cell>
          <cell r="D356"/>
          <cell r="F356" t="str">
            <v>4/30/2026: Updated to PRECON-180-CS-LB
5/12/2026: Allocating from Ethiopia A4575 (165 pcs).
5/14/2026: UPC updated.
5/19/2026: Qty reduced 165 -&gt; 161.
6/1/2026: Amended "Suggested Use" needed.                                  6/9/2026: Estimated completion - Monday 6/15/2026</v>
          </cell>
          <cell r="G356" t="str">
            <v>PRECON-180-CS-LB</v>
          </cell>
          <cell r="H356">
            <v>161</v>
          </cell>
          <cell r="I356" t="str">
            <v>LB55-26.0</v>
          </cell>
          <cell r="J356">
            <v>161</v>
          </cell>
          <cell r="L356" t="str">
            <v>Rework</v>
          </cell>
          <cell r="M356" t="str">
            <v>Label ETA 06/10</v>
          </cell>
          <cell r="N356" t="str">
            <v>NA</v>
          </cell>
          <cell r="O356" t="str">
            <v>810131194574</v>
          </cell>
          <cell r="P356"/>
          <cell r="Q356"/>
          <cell r="R356"/>
          <cell r="S356"/>
          <cell r="T356"/>
          <cell r="U356"/>
          <cell r="V356"/>
          <cell r="W356"/>
          <cell r="X356"/>
        </row>
        <row r="357">
          <cell r="A357"/>
          <cell r="B357"/>
          <cell r="C357"/>
          <cell r="D357"/>
          <cell r="F357"/>
          <cell r="G357"/>
          <cell r="H357"/>
          <cell r="I357"/>
          <cell r="J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</row>
        <row r="358">
          <cell r="A358">
            <v>46133</v>
          </cell>
          <cell r="B358" t="str">
            <v>Iraq</v>
          </cell>
          <cell r="C358" t="str">
            <v>A4691</v>
          </cell>
          <cell r="D358" t="str">
            <v>4/21/2026: Awaiting Pro Forma Confirmation.                                   4/28/2026: Proforma Approved.         5/4/2026: Generated Lot Code for COQ runoff arriving Wednesday. No Memoup in stock, need to make plan for this product.</v>
          </cell>
          <cell r="F358" t="str">
            <v>Runoff w/ Lot Code 49160126 arriving Wednesday - change lot to 25110126</v>
          </cell>
          <cell r="G358" t="str">
            <v>COQ100-125-FD</v>
          </cell>
          <cell r="H358">
            <v>30</v>
          </cell>
          <cell r="I358" t="str">
            <v>F12-26.0</v>
          </cell>
          <cell r="J358">
            <v>30</v>
          </cell>
          <cell r="L358" t="str">
            <v>Rework</v>
          </cell>
          <cell r="M358" t="str">
            <v>LABEL ETA 06/12</v>
          </cell>
          <cell r="N358" t="str">
            <v>Y</v>
          </cell>
          <cell r="O358" t="str">
            <v xml:space="preserve">810131199258
</v>
          </cell>
          <cell r="P358"/>
          <cell r="Q358"/>
          <cell r="R358"/>
          <cell r="S358"/>
          <cell r="T358"/>
          <cell r="U358"/>
          <cell r="V358"/>
          <cell r="W358"/>
          <cell r="X358" t="str">
            <v>HOLD</v>
          </cell>
        </row>
        <row r="359">
          <cell r="A359">
            <v>46133</v>
          </cell>
          <cell r="B359" t="str">
            <v>Iraq</v>
          </cell>
          <cell r="C359" t="str">
            <v>A4691</v>
          </cell>
          <cell r="D359" t="str">
            <v>5/11/2026: Allocate from Iraq A4631. Arriving 5/14/2026.</v>
          </cell>
          <cell r="F359" t="str">
            <v>New lot is needed - 25121025</v>
          </cell>
          <cell r="G359" t="str">
            <v>MEMOUP-60-FD</v>
          </cell>
          <cell r="H359">
            <v>30</v>
          </cell>
          <cell r="I359" t="str">
            <v>F27-26.0</v>
          </cell>
          <cell r="J359">
            <v>30</v>
          </cell>
          <cell r="L359" t="str">
            <v>Rework</v>
          </cell>
          <cell r="M359" t="str">
            <v>LABEL ETA 06/12</v>
          </cell>
          <cell r="N359" t="str">
            <v>Y</v>
          </cell>
          <cell r="O359" t="str">
            <v>810131199449</v>
          </cell>
          <cell r="P359">
            <v>5250</v>
          </cell>
          <cell r="Q359">
            <v>4928</v>
          </cell>
          <cell r="R359" t="str">
            <v>Complete</v>
          </cell>
          <cell r="S359"/>
          <cell r="T359"/>
          <cell r="U359"/>
          <cell r="V359"/>
          <cell r="W359"/>
          <cell r="X359"/>
        </row>
        <row r="360">
          <cell r="A360"/>
          <cell r="B360"/>
          <cell r="C360"/>
          <cell r="D360"/>
          <cell r="F360"/>
          <cell r="G360"/>
          <cell r="H360"/>
          <cell r="I360"/>
          <cell r="J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</row>
        <row r="361">
          <cell r="A361">
            <v>46134</v>
          </cell>
          <cell r="B361" t="str">
            <v>Libya</v>
          </cell>
          <cell r="C361" t="str">
            <v>A4692</v>
          </cell>
          <cell r="D361" t="str">
            <v>4/22/2026: Awaiting Proforma Confirmation</v>
          </cell>
          <cell r="F361"/>
          <cell r="G361" t="str">
            <v>FERTMX-90-CS-LY</v>
          </cell>
          <cell r="H361">
            <v>1000</v>
          </cell>
          <cell r="I361" t="str">
            <v>LY16-24.0/25.0</v>
          </cell>
          <cell r="J361">
            <v>0</v>
          </cell>
          <cell r="L361" t="str">
            <v>PO submitted</v>
          </cell>
          <cell r="M361"/>
          <cell r="N361" t="str">
            <v>Y</v>
          </cell>
          <cell r="O361">
            <v>604776737575</v>
          </cell>
          <cell r="P361">
            <v>5000</v>
          </cell>
          <cell r="Q361">
            <v>5041</v>
          </cell>
          <cell r="R361">
            <v>46234</v>
          </cell>
          <cell r="S361" t="str">
            <v>Waiting for vendor confirmation.</v>
          </cell>
          <cell r="T361"/>
          <cell r="U361"/>
          <cell r="V361"/>
          <cell r="W361"/>
          <cell r="X361" t="str">
            <v>HOLD</v>
          </cell>
        </row>
        <row r="362">
          <cell r="A362">
            <v>46134</v>
          </cell>
          <cell r="B362" t="str">
            <v>Libya</v>
          </cell>
          <cell r="C362" t="str">
            <v>A4692</v>
          </cell>
          <cell r="D362" t="str">
            <v>4/24/2026: Proforma Approved</v>
          </cell>
          <cell r="F362"/>
          <cell r="G362" t="str">
            <v>FIBRO-60-CS-LY</v>
          </cell>
          <cell r="H362">
            <v>300</v>
          </cell>
          <cell r="I362" t="str">
            <v>LY17-24.0</v>
          </cell>
          <cell r="J362">
            <v>300</v>
          </cell>
          <cell r="L362" t="str">
            <v>Rework</v>
          </cell>
          <cell r="M362"/>
          <cell r="N362" t="str">
            <v>NA</v>
          </cell>
          <cell r="O362">
            <v>604776739012</v>
          </cell>
          <cell r="P362"/>
          <cell r="Q362"/>
          <cell r="R362"/>
          <cell r="S362"/>
          <cell r="T362"/>
          <cell r="U362"/>
          <cell r="V362"/>
          <cell r="W362"/>
          <cell r="X362"/>
        </row>
        <row r="363">
          <cell r="A363">
            <v>46134</v>
          </cell>
          <cell r="B363" t="str">
            <v>Libya</v>
          </cell>
          <cell r="C363" t="str">
            <v>A4692</v>
          </cell>
          <cell r="D363"/>
          <cell r="F363"/>
          <cell r="G363" t="str">
            <v>MOTILMX-60-CS-LY</v>
          </cell>
          <cell r="H363">
            <v>1500</v>
          </cell>
          <cell r="I363" t="str">
            <v>LY31-26.0</v>
          </cell>
          <cell r="J363">
            <v>1500</v>
          </cell>
          <cell r="L363" t="str">
            <v>Picked</v>
          </cell>
          <cell r="M363"/>
          <cell r="N363" t="str">
            <v>NA</v>
          </cell>
          <cell r="O363">
            <v>604776739067</v>
          </cell>
          <cell r="P363"/>
          <cell r="Q363"/>
          <cell r="R363"/>
          <cell r="S363"/>
          <cell r="T363"/>
          <cell r="U363"/>
          <cell r="V363"/>
          <cell r="W363"/>
          <cell r="X363"/>
        </row>
        <row r="364">
          <cell r="A364">
            <v>46134</v>
          </cell>
          <cell r="B364" t="str">
            <v>Libya</v>
          </cell>
          <cell r="C364" t="str">
            <v>A4692</v>
          </cell>
          <cell r="D364"/>
          <cell r="F364"/>
          <cell r="G364" t="str">
            <v>OVAMAX-120-CS-LY</v>
          </cell>
          <cell r="H364">
            <v>1500</v>
          </cell>
          <cell r="I364" t="str">
            <v>LY41-24.0</v>
          </cell>
          <cell r="J364">
            <v>1500</v>
          </cell>
          <cell r="L364" t="str">
            <v>In Production</v>
          </cell>
          <cell r="M364"/>
          <cell r="N364" t="str">
            <v>NA</v>
          </cell>
          <cell r="O364">
            <v>609788968399</v>
          </cell>
          <cell r="P364">
            <v>10775</v>
          </cell>
          <cell r="Q364">
            <v>5055</v>
          </cell>
          <cell r="R364">
            <v>46213</v>
          </cell>
          <cell r="S364"/>
          <cell r="T364"/>
          <cell r="U364"/>
          <cell r="V364"/>
          <cell r="W364"/>
          <cell r="X364"/>
        </row>
        <row r="365">
          <cell r="A365">
            <v>46134</v>
          </cell>
          <cell r="B365" t="str">
            <v>Libya</v>
          </cell>
          <cell r="C365" t="str">
            <v>A4692</v>
          </cell>
          <cell r="D365"/>
          <cell r="F365"/>
          <cell r="G365" t="str">
            <v>POLYSIT-90-CS-LY</v>
          </cell>
          <cell r="H365">
            <v>300</v>
          </cell>
          <cell r="I365" t="str">
            <v>LY53-24.0</v>
          </cell>
          <cell r="J365">
            <v>0</v>
          </cell>
          <cell r="L365" t="str">
            <v>In Production</v>
          </cell>
          <cell r="M365"/>
          <cell r="N365" t="str">
            <v>Y</v>
          </cell>
          <cell r="O365">
            <v>604776739203</v>
          </cell>
          <cell r="P365">
            <v>5000</v>
          </cell>
          <cell r="Q365">
            <v>5034</v>
          </cell>
          <cell r="R365">
            <v>46204</v>
          </cell>
          <cell r="S365"/>
          <cell r="T365"/>
          <cell r="U365"/>
          <cell r="V365"/>
          <cell r="W365"/>
          <cell r="X365"/>
        </row>
        <row r="366">
          <cell r="A366">
            <v>46134</v>
          </cell>
          <cell r="B366" t="str">
            <v>Libya</v>
          </cell>
          <cell r="C366" t="str">
            <v>A4692</v>
          </cell>
          <cell r="D366"/>
          <cell r="F366"/>
          <cell r="G366" t="str">
            <v>PENAMAX-60-GE-FD</v>
          </cell>
          <cell r="H366">
            <v>800</v>
          </cell>
          <cell r="I366" t="str">
            <v>F88-25.1</v>
          </cell>
          <cell r="J366">
            <v>800</v>
          </cell>
          <cell r="L366" t="str">
            <v>Rework</v>
          </cell>
          <cell r="M366"/>
          <cell r="N366" t="str">
            <v>Y</v>
          </cell>
          <cell r="O366">
            <v>609788968702</v>
          </cell>
          <cell r="P366"/>
          <cell r="Q366"/>
          <cell r="R366"/>
          <cell r="S366"/>
          <cell r="T366"/>
          <cell r="U366"/>
          <cell r="V366"/>
          <cell r="W366"/>
          <cell r="X366"/>
        </row>
        <row r="367">
          <cell r="A367">
            <v>46134</v>
          </cell>
          <cell r="B367" t="str">
            <v>Libya</v>
          </cell>
          <cell r="C367" t="str">
            <v>A4692</v>
          </cell>
          <cell r="D367"/>
          <cell r="F367"/>
          <cell r="G367" t="str">
            <v>WFSPLS-180-CS-LY</v>
          </cell>
          <cell r="H367">
            <v>500</v>
          </cell>
          <cell r="I367" t="str">
            <v>LY73-24.0</v>
          </cell>
          <cell r="J367">
            <v>0</v>
          </cell>
          <cell r="L367" t="str">
            <v>PO Drafted</v>
          </cell>
          <cell r="M367"/>
          <cell r="N367" t="str">
            <v>NA</v>
          </cell>
          <cell r="O367">
            <v>604776739142</v>
          </cell>
          <cell r="P367">
            <v>5000</v>
          </cell>
          <cell r="Q367">
            <v>5043</v>
          </cell>
          <cell r="R367" t="str">
            <v>TBD</v>
          </cell>
          <cell r="S367" t="str">
            <v>Pending approval to send to vendor</v>
          </cell>
          <cell r="T367"/>
          <cell r="U367"/>
          <cell r="V367"/>
          <cell r="W367"/>
          <cell r="X367"/>
        </row>
        <row r="368">
          <cell r="A368">
            <v>46134</v>
          </cell>
          <cell r="B368" t="str">
            <v>Libya</v>
          </cell>
          <cell r="C368" t="str">
            <v>A4692</v>
          </cell>
          <cell r="D368"/>
          <cell r="F368"/>
          <cell r="G368" t="str">
            <v>SPERMCT-60-CS-LY</v>
          </cell>
          <cell r="H368">
            <v>200</v>
          </cell>
          <cell r="I368" t="str">
            <v>LY64-24.0</v>
          </cell>
          <cell r="J368">
            <v>200</v>
          </cell>
          <cell r="L368" t="str">
            <v>Rework</v>
          </cell>
          <cell r="M368"/>
          <cell r="N368" t="str">
            <v>NA</v>
          </cell>
          <cell r="O368">
            <v>604776739128</v>
          </cell>
          <cell r="P368"/>
          <cell r="Q368"/>
          <cell r="R368"/>
          <cell r="S368"/>
          <cell r="T368"/>
          <cell r="U368"/>
          <cell r="V368"/>
          <cell r="W368"/>
          <cell r="X368"/>
        </row>
        <row r="369">
          <cell r="A369">
            <v>46134</v>
          </cell>
          <cell r="B369" t="str">
            <v>Libya</v>
          </cell>
          <cell r="C369" t="str">
            <v>A4692</v>
          </cell>
          <cell r="D369"/>
          <cell r="F369"/>
          <cell r="G369" t="str">
            <v>GRAVFER-90-CS-GO</v>
          </cell>
          <cell r="H369">
            <v>1000</v>
          </cell>
          <cell r="I369" t="str">
            <v>GO21-24.0</v>
          </cell>
          <cell r="J369">
            <v>0</v>
          </cell>
          <cell r="L369" t="str">
            <v>Not Meet MOQ</v>
          </cell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</row>
        <row r="370">
          <cell r="A370">
            <v>46134</v>
          </cell>
          <cell r="B370" t="str">
            <v>Libya</v>
          </cell>
          <cell r="C370" t="str">
            <v>A4692</v>
          </cell>
          <cell r="D370"/>
          <cell r="F370"/>
          <cell r="G370" t="str">
            <v>LIPODIS-60-FD</v>
          </cell>
          <cell r="H370">
            <v>800</v>
          </cell>
          <cell r="I370" t="str">
            <v>F26-22.0</v>
          </cell>
          <cell r="J370">
            <v>779</v>
          </cell>
          <cell r="L370" t="str">
            <v>Rework</v>
          </cell>
          <cell r="M370"/>
          <cell r="N370" t="str">
            <v>Y</v>
          </cell>
          <cell r="O370" t="str">
            <v>604776735823</v>
          </cell>
          <cell r="P370">
            <v>7000</v>
          </cell>
          <cell r="Q370">
            <v>4971</v>
          </cell>
          <cell r="R370" t="str">
            <v>Complete</v>
          </cell>
          <cell r="S370" t="str">
            <v>Waiting for PL and sample approval</v>
          </cell>
          <cell r="T370"/>
          <cell r="U370"/>
          <cell r="V370"/>
          <cell r="W370"/>
          <cell r="X370"/>
        </row>
        <row r="371">
          <cell r="A371">
            <v>46134</v>
          </cell>
          <cell r="B371" t="str">
            <v>Libya</v>
          </cell>
          <cell r="C371" t="str">
            <v>A4692</v>
          </cell>
          <cell r="D371"/>
          <cell r="F371"/>
          <cell r="G371" t="str">
            <v>OSTEOPL-96-FD</v>
          </cell>
          <cell r="H371">
            <v>300</v>
          </cell>
          <cell r="I371" t="str">
            <v>F39-24.0</v>
          </cell>
          <cell r="J371">
            <v>300</v>
          </cell>
          <cell r="L371" t="str">
            <v>Rework</v>
          </cell>
          <cell r="M371"/>
          <cell r="N371" t="str">
            <v>Y</v>
          </cell>
          <cell r="O371" t="str">
            <v>609788968238</v>
          </cell>
          <cell r="P371"/>
          <cell r="Q371"/>
          <cell r="R371"/>
          <cell r="S371"/>
          <cell r="T371"/>
          <cell r="U371"/>
          <cell r="V371"/>
          <cell r="W371"/>
          <cell r="X371"/>
        </row>
        <row r="372">
          <cell r="A372">
            <v>46134</v>
          </cell>
          <cell r="B372" t="str">
            <v>Libya</v>
          </cell>
          <cell r="C372" t="str">
            <v>A4692</v>
          </cell>
          <cell r="D372"/>
          <cell r="F372"/>
          <cell r="G372" t="str">
            <v xml:space="preserve">UTIC-60-FD </v>
          </cell>
          <cell r="H372">
            <v>500</v>
          </cell>
          <cell r="I372" t="str">
            <v>F107-25.0</v>
          </cell>
          <cell r="J372">
            <v>0</v>
          </cell>
          <cell r="L372" t="str">
            <v>Rework</v>
          </cell>
          <cell r="M372"/>
          <cell r="N372" t="str">
            <v>NA</v>
          </cell>
          <cell r="O372" t="str">
            <v>810131192983</v>
          </cell>
          <cell r="P372">
            <v>4000</v>
          </cell>
          <cell r="Q372">
            <v>4973</v>
          </cell>
          <cell r="R372" t="str">
            <v>Complete</v>
          </cell>
          <cell r="S372" t="str">
            <v>Waiting for PL and sample approval</v>
          </cell>
          <cell r="T372"/>
          <cell r="U372"/>
          <cell r="V372"/>
          <cell r="W372"/>
          <cell r="X372"/>
        </row>
        <row r="373">
          <cell r="A373">
            <v>46134</v>
          </cell>
          <cell r="B373" t="str">
            <v>Libya</v>
          </cell>
          <cell r="C373" t="str">
            <v>A4692</v>
          </cell>
          <cell r="D373"/>
          <cell r="F373" t="str">
            <v>4/23/2026: SKU changed from FD to CS - *Use new labels uploaded*
5/4/2026: Awaiting Formula Confirmation
5/6/2026: Available formula confirmed</v>
          </cell>
          <cell r="G373" t="str">
            <v>BRSTW-60-CS-LY</v>
          </cell>
          <cell r="H373">
            <v>500</v>
          </cell>
          <cell r="I373" t="str">
            <v>LY112-26.0</v>
          </cell>
          <cell r="J373">
            <v>500</v>
          </cell>
          <cell r="L373" t="str">
            <v>Pending Picking</v>
          </cell>
          <cell r="M373" t="str">
            <v>Old Formula available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</row>
        <row r="374">
          <cell r="A374"/>
          <cell r="B374"/>
          <cell r="C374"/>
          <cell r="D374"/>
          <cell r="F374"/>
          <cell r="G374"/>
          <cell r="H374"/>
          <cell r="I374"/>
          <cell r="J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</row>
        <row r="375">
          <cell r="A375">
            <v>46135</v>
          </cell>
          <cell r="B375" t="str">
            <v>Qatar</v>
          </cell>
          <cell r="C375" t="str">
            <v>A4694</v>
          </cell>
          <cell r="D375" t="str">
            <v>4/23/2026: Awaiting Proforma Confirmation
4/24/2026: Proforma Approved</v>
          </cell>
          <cell r="F375"/>
          <cell r="G375" t="str">
            <v>PEDIAD4-50-CS-QT</v>
          </cell>
          <cell r="H375">
            <v>2000</v>
          </cell>
          <cell r="I375" t="str">
            <v>F45-25.0</v>
          </cell>
          <cell r="J375">
            <v>0</v>
          </cell>
          <cell r="L375" t="str">
            <v>PO submitted</v>
          </cell>
          <cell r="M375"/>
          <cell r="N375" t="str">
            <v>Y</v>
          </cell>
          <cell r="O375"/>
          <cell r="P375">
            <v>5000</v>
          </cell>
          <cell r="Q375">
            <v>4979</v>
          </cell>
          <cell r="R375" t="str">
            <v>TBD</v>
          </cell>
          <cell r="S375" t="str">
            <v>Waiting for IFC to start production.</v>
          </cell>
          <cell r="T375"/>
          <cell r="U375"/>
          <cell r="V375"/>
          <cell r="W375"/>
          <cell r="X375" t="str">
            <v>HOLD</v>
          </cell>
        </row>
        <row r="376">
          <cell r="A376"/>
          <cell r="B376"/>
          <cell r="C376"/>
          <cell r="D376"/>
          <cell r="F376"/>
          <cell r="G376"/>
          <cell r="H376"/>
          <cell r="I376"/>
          <cell r="J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</row>
        <row r="377">
          <cell r="A377">
            <v>46139</v>
          </cell>
          <cell r="B377" t="str">
            <v>Iraq</v>
          </cell>
          <cell r="C377" t="str">
            <v>A4695</v>
          </cell>
          <cell r="D377" t="str">
            <v>4/27/2026: Awaiting Proforma Confirmation
4/28/2026: Proforma Approved
5/1/2026: Checking with Maya if Lot Codes are usable for this order.
5/4/2026: Lot Codes are reviewed. 60ct needs new Lot Code. Removed from Sales Action Needed.</v>
          </cell>
          <cell r="F377" t="str">
            <v>Lot 49350126</v>
          </cell>
          <cell r="G377" t="str">
            <v>MFSPLS-120-RE</v>
          </cell>
          <cell r="H377">
            <v>5</v>
          </cell>
          <cell r="I377" t="str">
            <v>R30-26.0</v>
          </cell>
          <cell r="J377">
            <v>5</v>
          </cell>
          <cell r="L377" t="str">
            <v>D/W Sent</v>
          </cell>
          <cell r="M377">
            <v>46153</v>
          </cell>
          <cell r="N377" t="str">
            <v>NA</v>
          </cell>
          <cell r="O377">
            <v>609788968344</v>
          </cell>
          <cell r="P377"/>
          <cell r="Q377">
            <v>4935</v>
          </cell>
          <cell r="R377"/>
          <cell r="S377"/>
          <cell r="T377"/>
          <cell r="U377"/>
          <cell r="V377"/>
          <cell r="W377"/>
          <cell r="X377" t="str">
            <v>HOLD</v>
          </cell>
        </row>
        <row r="378">
          <cell r="A378">
            <v>46139</v>
          </cell>
          <cell r="B378" t="str">
            <v>Iraq</v>
          </cell>
          <cell r="C378" t="str">
            <v>A4695</v>
          </cell>
          <cell r="D378"/>
          <cell r="F378" t="str">
            <v>Change lot to 25031225 for customs.</v>
          </cell>
          <cell r="G378" t="str">
            <v>MFSPLS-60-RE</v>
          </cell>
          <cell r="H378">
            <v>3</v>
          </cell>
          <cell r="I378" t="str">
            <v>R29-24.0</v>
          </cell>
          <cell r="J378">
            <v>3</v>
          </cell>
          <cell r="L378" t="str">
            <v>D/W Sent</v>
          </cell>
          <cell r="M378"/>
          <cell r="N378" t="str">
            <v>NA</v>
          </cell>
          <cell r="O378">
            <v>609788968092</v>
          </cell>
          <cell r="P378"/>
          <cell r="Q378">
            <v>4907</v>
          </cell>
          <cell r="R378"/>
          <cell r="S378"/>
          <cell r="T378"/>
          <cell r="U378"/>
          <cell r="V378"/>
          <cell r="W378"/>
          <cell r="X378"/>
        </row>
        <row r="379">
          <cell r="A379"/>
          <cell r="B379"/>
          <cell r="C379"/>
          <cell r="D379"/>
          <cell r="F379"/>
          <cell r="G379"/>
          <cell r="H379"/>
          <cell r="I379"/>
          <cell r="J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</row>
        <row r="380">
          <cell r="A380">
            <v>46139</v>
          </cell>
          <cell r="B380" t="str">
            <v>Sudan</v>
          </cell>
          <cell r="C380" t="str">
            <v>A4697</v>
          </cell>
          <cell r="D380" t="str">
            <v>4/27/2026: Awaiting Proforma Confirmation
4/28/2026: Proforma Approved</v>
          </cell>
          <cell r="F380"/>
          <cell r="G380" t="str">
            <v>MFSPLS-120-RE</v>
          </cell>
          <cell r="H380">
            <v>3245</v>
          </cell>
          <cell r="I380" t="str">
            <v>R30-26.0</v>
          </cell>
          <cell r="J380"/>
          <cell r="L380" t="str">
            <v>In Production</v>
          </cell>
          <cell r="M380"/>
          <cell r="N380" t="str">
            <v>NA</v>
          </cell>
          <cell r="O380">
            <v>609788968344</v>
          </cell>
          <cell r="P380">
            <v>9195</v>
          </cell>
          <cell r="Q380">
            <v>5032</v>
          </cell>
          <cell r="R380">
            <v>46211</v>
          </cell>
          <cell r="S380"/>
          <cell r="T380"/>
          <cell r="U380"/>
          <cell r="V380"/>
          <cell r="W380"/>
          <cell r="X380" t="str">
            <v>HOLD</v>
          </cell>
        </row>
        <row r="381">
          <cell r="A381">
            <v>46139</v>
          </cell>
          <cell r="B381" t="str">
            <v>Sudan</v>
          </cell>
          <cell r="C381" t="str">
            <v>A4697</v>
          </cell>
          <cell r="D381"/>
          <cell r="F381"/>
          <cell r="G381" t="str">
            <v>WFSPLS-180-RE</v>
          </cell>
          <cell r="H381">
            <v>1248</v>
          </cell>
          <cell r="I381" t="str">
            <v>R73-22.0</v>
          </cell>
          <cell r="J381"/>
          <cell r="L381" t="str">
            <v>PO Drafted</v>
          </cell>
          <cell r="M381"/>
          <cell r="N381" t="str">
            <v>NA</v>
          </cell>
          <cell r="O381">
            <v>609788968351</v>
          </cell>
          <cell r="P381">
            <v>5000</v>
          </cell>
          <cell r="Q381">
            <v>5043</v>
          </cell>
          <cell r="R381" t="str">
            <v>TBD</v>
          </cell>
          <cell r="S381" t="str">
            <v>Pending approval to send to vendor</v>
          </cell>
          <cell r="T381"/>
          <cell r="U381"/>
          <cell r="V381"/>
          <cell r="W381"/>
          <cell r="X381"/>
        </row>
        <row r="382">
          <cell r="A382">
            <v>46139</v>
          </cell>
          <cell r="B382" t="str">
            <v>Sudan</v>
          </cell>
          <cell r="C382" t="str">
            <v>A4697</v>
          </cell>
          <cell r="D382"/>
          <cell r="F382"/>
          <cell r="G382" t="str">
            <v>PRECON-180-RE</v>
          </cell>
          <cell r="H382">
            <v>998</v>
          </cell>
          <cell r="I382" t="str">
            <v>R55-22.0</v>
          </cell>
          <cell r="J382"/>
          <cell r="L382" t="str">
            <v>In Production</v>
          </cell>
          <cell r="M382"/>
          <cell r="N382" t="str">
            <v>NA</v>
          </cell>
          <cell r="O382">
            <v>609788968375</v>
          </cell>
          <cell r="P382">
            <v>5000</v>
          </cell>
          <cell r="Q382">
            <v>5060</v>
          </cell>
          <cell r="R382">
            <v>46205</v>
          </cell>
          <cell r="S382"/>
          <cell r="T382"/>
          <cell r="U382"/>
          <cell r="V382"/>
          <cell r="W382"/>
          <cell r="X382"/>
        </row>
        <row r="383">
          <cell r="A383">
            <v>46139</v>
          </cell>
          <cell r="B383" t="str">
            <v>Sudan</v>
          </cell>
          <cell r="C383" t="str">
            <v>A4697</v>
          </cell>
          <cell r="D383"/>
          <cell r="F383"/>
          <cell r="G383" t="str">
            <v>OSTEOPL-96-FD</v>
          </cell>
          <cell r="H383">
            <v>998</v>
          </cell>
          <cell r="I383" t="str">
            <v>F39-24.0</v>
          </cell>
          <cell r="J383">
            <v>998</v>
          </cell>
          <cell r="L383" t="str">
            <v>Rework</v>
          </cell>
          <cell r="M383"/>
          <cell r="N383" t="str">
            <v>Y</v>
          </cell>
          <cell r="O383" t="str">
            <v>609788968238</v>
          </cell>
          <cell r="P383"/>
          <cell r="Q383"/>
          <cell r="R383"/>
          <cell r="S383"/>
          <cell r="T383"/>
          <cell r="U383"/>
          <cell r="V383"/>
          <cell r="W383"/>
          <cell r="X383"/>
        </row>
        <row r="384">
          <cell r="A384">
            <v>46139</v>
          </cell>
          <cell r="B384" t="str">
            <v>Sudan</v>
          </cell>
          <cell r="C384" t="str">
            <v>A4697</v>
          </cell>
          <cell r="D384"/>
          <cell r="F384"/>
          <cell r="G384" t="str">
            <v>DHEA50-60-FD</v>
          </cell>
          <cell r="H384">
            <v>3245</v>
          </cell>
          <cell r="I384" t="str">
            <v>F13-25.2</v>
          </cell>
          <cell r="J384"/>
          <cell r="L384" t="str">
            <v>In Production</v>
          </cell>
          <cell r="M384"/>
          <cell r="N384" t="str">
            <v>NA</v>
          </cell>
          <cell r="O384">
            <v>609788968221</v>
          </cell>
          <cell r="P384">
            <v>7000</v>
          </cell>
          <cell r="Q384">
            <v>5027</v>
          </cell>
          <cell r="R384">
            <v>46201</v>
          </cell>
          <cell r="S384"/>
          <cell r="T384"/>
          <cell r="U384"/>
          <cell r="V384"/>
          <cell r="W384"/>
          <cell r="X384"/>
        </row>
        <row r="385">
          <cell r="A385">
            <v>46139</v>
          </cell>
          <cell r="B385" t="str">
            <v>Sudan</v>
          </cell>
          <cell r="C385" t="str">
            <v>A4697</v>
          </cell>
          <cell r="D385"/>
          <cell r="F385" t="str">
            <v>5/22/2026: QTY increased 
2246 -&gt; 2422 (176 packs added from Sudan A4549)
5/26/2026: Qty changed to original 
2422 -&gt; 2246 packs (176 packs moved to Sudan A4711)</v>
          </cell>
          <cell r="G385" t="str">
            <v>COQ400-30-VE-CS-SU</v>
          </cell>
          <cell r="H385">
            <v>2246</v>
          </cell>
          <cell r="I385" t="str">
            <v>SU58-23.0</v>
          </cell>
          <cell r="J385"/>
          <cell r="L385" t="str">
            <v>Transit to Warehouse</v>
          </cell>
          <cell r="M385"/>
          <cell r="N385" t="str">
            <v>NA</v>
          </cell>
          <cell r="O385">
            <v>609788968467</v>
          </cell>
          <cell r="P385">
            <v>4000</v>
          </cell>
          <cell r="Q385">
            <v>4808</v>
          </cell>
          <cell r="R385" t="str">
            <v>complete</v>
          </cell>
          <cell r="S385" t="str">
            <v>Awaiting for vendor packing list.</v>
          </cell>
          <cell r="T385"/>
          <cell r="U385"/>
          <cell r="V385"/>
          <cell r="W385"/>
          <cell r="X385"/>
        </row>
        <row r="386">
          <cell r="A386">
            <v>46139</v>
          </cell>
          <cell r="B386" t="str">
            <v>Sudan</v>
          </cell>
          <cell r="C386" t="str">
            <v>A4697</v>
          </cell>
          <cell r="D386"/>
          <cell r="F386"/>
          <cell r="G386" t="str">
            <v>OVAMAX-120-RE</v>
          </cell>
          <cell r="H386">
            <v>1758</v>
          </cell>
          <cell r="I386" t="str">
            <v>R41-22.0</v>
          </cell>
          <cell r="J386">
            <v>0</v>
          </cell>
          <cell r="L386" t="str">
            <v>In Production</v>
          </cell>
          <cell r="M386"/>
          <cell r="N386" t="str">
            <v>NA</v>
          </cell>
          <cell r="O386">
            <v>609788968399</v>
          </cell>
          <cell r="P386">
            <v>10775</v>
          </cell>
          <cell r="Q386">
            <v>5055</v>
          </cell>
          <cell r="R386">
            <v>46213</v>
          </cell>
          <cell r="S386"/>
          <cell r="T386"/>
          <cell r="U386"/>
          <cell r="V386"/>
          <cell r="W386"/>
          <cell r="X386"/>
        </row>
        <row r="387">
          <cell r="A387"/>
          <cell r="B387"/>
          <cell r="C387"/>
          <cell r="D387"/>
          <cell r="F387"/>
          <cell r="G387"/>
          <cell r="H387"/>
          <cell r="I387"/>
          <cell r="J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</row>
        <row r="388">
          <cell r="A388">
            <v>46153</v>
          </cell>
          <cell r="B388" t="str">
            <v>Kenya</v>
          </cell>
          <cell r="C388" t="str">
            <v>A4699</v>
          </cell>
          <cell r="D388" t="str">
            <v>5/11/2026: Awaiting Pro Forma confirmation.                                         5/11/2026: Reduced qty to 488 pcs; removed from Sales Action Needed.                                            5/12/2026: Docs + D/W Sent</v>
          </cell>
          <cell r="F388" t="str">
            <v>5/11/2026: Allocate 288 from Ethiopia A4575 + 200 from Uganda A4574.</v>
          </cell>
          <cell r="G388" t="str">
            <v>FERTMX-90-RE</v>
          </cell>
          <cell r="H388">
            <v>488</v>
          </cell>
          <cell r="I388" t="str">
            <v>R16-22.0</v>
          </cell>
          <cell r="J388">
            <v>488</v>
          </cell>
          <cell r="L388" t="str">
            <v>D/W Sent</v>
          </cell>
          <cell r="M388" t="str">
            <v>5/12/2026: D/W sent</v>
          </cell>
          <cell r="N388" t="str">
            <v>Y</v>
          </cell>
          <cell r="O388">
            <v>609788968726</v>
          </cell>
          <cell r="P388"/>
          <cell r="Q388"/>
          <cell r="R388"/>
          <cell r="S388"/>
          <cell r="T388"/>
          <cell r="U388"/>
          <cell r="V388"/>
          <cell r="W388"/>
          <cell r="X388" t="str">
            <v>HOLD</v>
          </cell>
        </row>
        <row r="389">
          <cell r="A389"/>
          <cell r="B389"/>
          <cell r="C389"/>
          <cell r="D389"/>
          <cell r="F389"/>
          <cell r="G389"/>
          <cell r="H389"/>
          <cell r="I389"/>
          <cell r="J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</row>
        <row r="390">
          <cell r="A390">
            <v>46153</v>
          </cell>
          <cell r="B390" t="str">
            <v>Kenya</v>
          </cell>
          <cell r="C390" t="str">
            <v>A4700</v>
          </cell>
          <cell r="D390" t="str">
            <v>5/11/2026: Awaiting Pro Forma confirmation.                                     5/14/2026: Pro Forma Invoice approved. Removed from Sales Action Needed.</v>
          </cell>
          <cell r="F390"/>
          <cell r="G390" t="str">
            <v>FIBRO-60-FD</v>
          </cell>
          <cell r="H390">
            <v>168</v>
          </cell>
          <cell r="I390" t="str">
            <v>F17-25.1</v>
          </cell>
          <cell r="J390">
            <v>168</v>
          </cell>
          <cell r="L390" t="str">
            <v>Rework</v>
          </cell>
          <cell r="M390"/>
          <cell r="N390" t="str">
            <v>NA</v>
          </cell>
          <cell r="O390">
            <v>609788968498</v>
          </cell>
          <cell r="P390"/>
          <cell r="Q390"/>
          <cell r="R390"/>
          <cell r="S390"/>
          <cell r="T390"/>
          <cell r="U390"/>
          <cell r="V390"/>
          <cell r="W390"/>
          <cell r="X390" t="str">
            <v>HOLD</v>
          </cell>
        </row>
        <row r="391">
          <cell r="A391">
            <v>46153</v>
          </cell>
          <cell r="B391" t="str">
            <v>Kenya</v>
          </cell>
          <cell r="C391" t="str">
            <v>A4700</v>
          </cell>
          <cell r="D391"/>
          <cell r="F391"/>
          <cell r="G391" t="str">
            <v>WFSPLS-180-FD</v>
          </cell>
          <cell r="H391">
            <v>120</v>
          </cell>
          <cell r="I391" t="str">
            <v>F73-23.0</v>
          </cell>
          <cell r="J391">
            <v>0</v>
          </cell>
          <cell r="L391" t="str">
            <v>PO Drafted</v>
          </cell>
          <cell r="M391"/>
          <cell r="N391" t="str">
            <v>NA</v>
          </cell>
          <cell r="O391">
            <v>609788968351</v>
          </cell>
          <cell r="P391">
            <v>5000</v>
          </cell>
          <cell r="Q391">
            <v>5043</v>
          </cell>
          <cell r="R391" t="str">
            <v>TBD</v>
          </cell>
          <cell r="S391" t="str">
            <v>Pending approval to send to vendor</v>
          </cell>
          <cell r="T391"/>
          <cell r="U391"/>
          <cell r="V391"/>
          <cell r="W391"/>
          <cell r="X391"/>
        </row>
        <row r="392">
          <cell r="A392">
            <v>46153</v>
          </cell>
          <cell r="B392" t="str">
            <v>Kenya</v>
          </cell>
          <cell r="C392" t="str">
            <v>A4700</v>
          </cell>
          <cell r="D392"/>
          <cell r="F392"/>
          <cell r="G392" t="str">
            <v>SPERMCT-60-FD</v>
          </cell>
          <cell r="H392">
            <v>24</v>
          </cell>
          <cell r="I392" t="str">
            <v>F64-25.0</v>
          </cell>
          <cell r="J392">
            <v>24</v>
          </cell>
          <cell r="L392" t="str">
            <v>Rework</v>
          </cell>
          <cell r="M392"/>
          <cell r="N392" t="str">
            <v>NA</v>
          </cell>
          <cell r="O392">
            <v>609788968405</v>
          </cell>
          <cell r="P392"/>
          <cell r="Q392"/>
          <cell r="R392"/>
          <cell r="S392"/>
          <cell r="T392"/>
          <cell r="U392"/>
          <cell r="V392"/>
          <cell r="W392"/>
          <cell r="X392"/>
        </row>
        <row r="393">
          <cell r="A393">
            <v>46153</v>
          </cell>
          <cell r="B393" t="str">
            <v>Kenya</v>
          </cell>
          <cell r="C393" t="str">
            <v>A4700</v>
          </cell>
          <cell r="D393"/>
          <cell r="F393"/>
          <cell r="G393" t="str">
            <v>OVAMAX-120-FD</v>
          </cell>
          <cell r="H393">
            <v>312</v>
          </cell>
          <cell r="I393" t="str">
            <v>F41-25.0</v>
          </cell>
          <cell r="J393">
            <v>312</v>
          </cell>
          <cell r="L393" t="str">
            <v>In Production</v>
          </cell>
          <cell r="M393"/>
          <cell r="N393" t="str">
            <v>NA</v>
          </cell>
          <cell r="O393">
            <v>810131199586</v>
          </cell>
          <cell r="P393">
            <v>10775</v>
          </cell>
          <cell r="Q393">
            <v>5055</v>
          </cell>
          <cell r="R393">
            <v>46213</v>
          </cell>
          <cell r="S393"/>
          <cell r="T393"/>
          <cell r="U393"/>
          <cell r="V393"/>
          <cell r="W393"/>
          <cell r="X393"/>
        </row>
        <row r="394">
          <cell r="A394">
            <v>46153</v>
          </cell>
          <cell r="B394" t="str">
            <v>Kenya</v>
          </cell>
          <cell r="C394" t="str">
            <v>A4700</v>
          </cell>
          <cell r="D394"/>
          <cell r="F394"/>
          <cell r="G394" t="str">
            <v>FERTMX-90-RE</v>
          </cell>
          <cell r="H394">
            <v>480</v>
          </cell>
          <cell r="I394" t="str">
            <v>R16-22.0</v>
          </cell>
          <cell r="J394">
            <v>0</v>
          </cell>
          <cell r="L394" t="str">
            <v>PO submitted</v>
          </cell>
          <cell r="M394"/>
          <cell r="N394" t="str">
            <v>Y</v>
          </cell>
          <cell r="O394">
            <v>609788968726</v>
          </cell>
          <cell r="P394">
            <v>5000</v>
          </cell>
          <cell r="Q394">
            <v>5041</v>
          </cell>
          <cell r="R394" t="str">
            <v>TBD</v>
          </cell>
          <cell r="S394" t="str">
            <v>Waiting for vendor confirmation.</v>
          </cell>
          <cell r="T394"/>
          <cell r="U394"/>
          <cell r="V394"/>
          <cell r="W394"/>
          <cell r="X394"/>
        </row>
        <row r="395">
          <cell r="A395">
            <v>46153</v>
          </cell>
          <cell r="B395" t="str">
            <v>Kenya</v>
          </cell>
          <cell r="C395" t="str">
            <v>A4700</v>
          </cell>
          <cell r="D395"/>
          <cell r="F395"/>
          <cell r="G395" t="str">
            <v>PRECON-90-FD</v>
          </cell>
          <cell r="H395">
            <v>24</v>
          </cell>
          <cell r="I395" t="str">
            <v>F54-23.0</v>
          </cell>
          <cell r="J395">
            <v>24</v>
          </cell>
          <cell r="L395" t="str">
            <v>Rework</v>
          </cell>
          <cell r="M395"/>
          <cell r="N395" t="str">
            <v>NA</v>
          </cell>
          <cell r="O395">
            <v>609788968368</v>
          </cell>
          <cell r="P395"/>
          <cell r="Q395"/>
          <cell r="R395"/>
          <cell r="S395"/>
          <cell r="T395"/>
          <cell r="U395"/>
          <cell r="V395"/>
          <cell r="W395"/>
          <cell r="X395"/>
        </row>
        <row r="396">
          <cell r="A396">
            <v>46153</v>
          </cell>
          <cell r="B396" t="str">
            <v>Kenya</v>
          </cell>
          <cell r="C396" t="str">
            <v>A4700</v>
          </cell>
          <cell r="D396"/>
          <cell r="F396"/>
          <cell r="G396" t="str">
            <v>POLYSIT-90-FD</v>
          </cell>
          <cell r="H396">
            <v>24</v>
          </cell>
          <cell r="I396" t="str">
            <v>F53-24.0</v>
          </cell>
          <cell r="J396">
            <v>0</v>
          </cell>
          <cell r="L396" t="str">
            <v>In Production</v>
          </cell>
          <cell r="M396"/>
          <cell r="N396" t="str">
            <v>Y</v>
          </cell>
          <cell r="O396">
            <v>609788969006</v>
          </cell>
          <cell r="P396">
            <v>5000</v>
          </cell>
          <cell r="Q396">
            <v>5034</v>
          </cell>
          <cell r="R396">
            <v>46204</v>
          </cell>
          <cell r="S396"/>
          <cell r="T396"/>
          <cell r="U396"/>
          <cell r="V396"/>
          <cell r="W396"/>
          <cell r="X396"/>
        </row>
        <row r="397">
          <cell r="A397">
            <v>46153</v>
          </cell>
          <cell r="B397" t="str">
            <v>Kenya</v>
          </cell>
          <cell r="C397" t="str">
            <v>A4700</v>
          </cell>
          <cell r="D397"/>
          <cell r="F397"/>
          <cell r="G397" t="str">
            <v>METRIO-60-FD</v>
          </cell>
          <cell r="H397">
            <v>24</v>
          </cell>
          <cell r="I397" t="str">
            <v>F28-25.0</v>
          </cell>
          <cell r="J397">
            <v>24</v>
          </cell>
          <cell r="L397" t="str">
            <v>Rework</v>
          </cell>
          <cell r="M397"/>
          <cell r="N397" t="str">
            <v>NA</v>
          </cell>
          <cell r="O397">
            <v>609788968481</v>
          </cell>
          <cell r="P397"/>
          <cell r="Q397"/>
          <cell r="R397"/>
          <cell r="S397"/>
          <cell r="T397"/>
          <cell r="U397"/>
          <cell r="V397"/>
          <cell r="W397"/>
          <cell r="X397"/>
        </row>
        <row r="398">
          <cell r="A398"/>
          <cell r="B398"/>
          <cell r="C398"/>
          <cell r="D398"/>
          <cell r="F398"/>
          <cell r="G398"/>
          <cell r="H398"/>
          <cell r="I398"/>
          <cell r="J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</row>
        <row r="399">
          <cell r="A399">
            <v>46156</v>
          </cell>
          <cell r="B399" t="str">
            <v>Greece</v>
          </cell>
          <cell r="C399" t="str">
            <v>A4702</v>
          </cell>
          <cell r="D399" t="str">
            <v>5/14/2026: Pro Forma Invoice sent.           5/18/2026: Pro Forma approved. Removed from Sales Action Needed.</v>
          </cell>
          <cell r="F399" t="str">
            <v xml:space="preserve">MFS Plus capsules blistered </v>
          </cell>
          <cell r="G399" t="str">
            <v>MFSADV-120-CS-GR</v>
          </cell>
          <cell r="H399">
            <v>1000</v>
          </cell>
          <cell r="I399" t="str">
            <v>GR87-25.0</v>
          </cell>
          <cell r="J399">
            <v>0</v>
          </cell>
          <cell r="L399" t="str">
            <v>PO submitted</v>
          </cell>
          <cell r="M399"/>
          <cell r="N399"/>
          <cell r="O399">
            <v>604776739272</v>
          </cell>
          <cell r="P399" t="str">
            <v>300000 bulk</v>
          </cell>
          <cell r="Q399">
            <v>5064</v>
          </cell>
          <cell r="R399" t="str">
            <v>TBD</v>
          </cell>
          <cell r="S399" t="str">
            <v>Bulk PO Submitted, Pending ETA confirmation</v>
          </cell>
          <cell r="T399"/>
          <cell r="U399"/>
          <cell r="V399"/>
          <cell r="W399"/>
          <cell r="X399" t="str">
            <v>Approved</v>
          </cell>
        </row>
        <row r="400">
          <cell r="A400"/>
          <cell r="B400"/>
          <cell r="C400"/>
          <cell r="D400"/>
          <cell r="F400"/>
          <cell r="G400"/>
          <cell r="H400"/>
          <cell r="I400"/>
          <cell r="J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</row>
        <row r="401">
          <cell r="A401">
            <v>46160</v>
          </cell>
          <cell r="B401" t="str">
            <v>Botswana</v>
          </cell>
          <cell r="C401" t="str">
            <v>A4705</v>
          </cell>
          <cell r="D401" t="str">
            <v>5/18/2026: Awaiting Pro Forma Approval.                                    5/19/2026: Pro Forma approved.</v>
          </cell>
          <cell r="F401"/>
          <cell r="G401" t="str">
            <v>PROSTA-90-FD</v>
          </cell>
          <cell r="H401">
            <v>72</v>
          </cell>
          <cell r="I401" t="str">
            <v>F56-23.0</v>
          </cell>
          <cell r="J401">
            <v>72</v>
          </cell>
          <cell r="L401" t="str">
            <v>Rework</v>
          </cell>
          <cell r="M401"/>
          <cell r="N401" t="str">
            <v>NA</v>
          </cell>
          <cell r="O401">
            <v>609788968504</v>
          </cell>
          <cell r="P401"/>
          <cell r="Q401"/>
          <cell r="R401"/>
          <cell r="S401"/>
          <cell r="T401"/>
          <cell r="U401"/>
          <cell r="V401"/>
          <cell r="W401"/>
          <cell r="X401" t="str">
            <v>HOLD</v>
          </cell>
        </row>
        <row r="402">
          <cell r="A402">
            <v>46160</v>
          </cell>
          <cell r="B402" t="str">
            <v>Botswana</v>
          </cell>
          <cell r="C402" t="str">
            <v>A4705</v>
          </cell>
          <cell r="D402"/>
          <cell r="F402"/>
          <cell r="G402" t="str">
            <v>XTRAD10-60-FD</v>
          </cell>
          <cell r="H402">
            <v>1440</v>
          </cell>
          <cell r="I402" t="str">
            <v>F76-25.0</v>
          </cell>
          <cell r="J402">
            <v>0</v>
          </cell>
          <cell r="L402" t="str">
            <v>Bulk Production Complete</v>
          </cell>
          <cell r="M402"/>
          <cell r="N402" t="str">
            <v>NA</v>
          </cell>
          <cell r="O402" t="str">
            <v>609788968122</v>
          </cell>
          <cell r="P402"/>
          <cell r="Q402">
            <v>4690</v>
          </cell>
          <cell r="R402"/>
          <cell r="S402" t="str">
            <v>Extra bulk at Iceland. Pending vendor release to bottle</v>
          </cell>
          <cell r="T402"/>
          <cell r="U402"/>
          <cell r="V402"/>
          <cell r="W402"/>
          <cell r="X402"/>
        </row>
        <row r="403">
          <cell r="A403">
            <v>46160</v>
          </cell>
          <cell r="B403" t="str">
            <v>Botswana</v>
          </cell>
          <cell r="C403" t="str">
            <v>A4705</v>
          </cell>
          <cell r="D403"/>
          <cell r="F403"/>
          <cell r="G403" t="str">
            <v>MFSPLS-120-FD</v>
          </cell>
          <cell r="H403">
            <v>96</v>
          </cell>
          <cell r="I403" t="str">
            <v>F30-25.1</v>
          </cell>
          <cell r="J403">
            <v>0</v>
          </cell>
          <cell r="L403" t="str">
            <v>In Production</v>
          </cell>
          <cell r="M403"/>
          <cell r="N403" t="str">
            <v>NA</v>
          </cell>
          <cell r="O403">
            <v>609788968344</v>
          </cell>
          <cell r="P403">
            <v>9195</v>
          </cell>
          <cell r="Q403">
            <v>5032</v>
          </cell>
          <cell r="R403">
            <v>46211</v>
          </cell>
          <cell r="S403"/>
          <cell r="T403"/>
          <cell r="U403"/>
          <cell r="V403"/>
          <cell r="W403"/>
          <cell r="X403"/>
        </row>
        <row r="404">
          <cell r="A404">
            <v>46160</v>
          </cell>
          <cell r="B404" t="str">
            <v>Botswana</v>
          </cell>
          <cell r="C404" t="str">
            <v>A4705</v>
          </cell>
          <cell r="D404"/>
          <cell r="F404"/>
          <cell r="G404" t="str">
            <v>DHEA50-60-FD</v>
          </cell>
          <cell r="H404">
            <v>120</v>
          </cell>
          <cell r="I404" t="str">
            <v>F13-25.2</v>
          </cell>
          <cell r="J404">
            <v>0</v>
          </cell>
          <cell r="L404" t="str">
            <v>In Production</v>
          </cell>
          <cell r="M404"/>
          <cell r="N404" t="str">
            <v>NA</v>
          </cell>
          <cell r="O404">
            <v>609788968221</v>
          </cell>
          <cell r="P404">
            <v>7000</v>
          </cell>
          <cell r="Q404">
            <v>5027</v>
          </cell>
          <cell r="R404">
            <v>46201</v>
          </cell>
          <cell r="S404" t="str">
            <v>Vendor confirming PO ETA</v>
          </cell>
          <cell r="T404"/>
          <cell r="U404"/>
          <cell r="V404"/>
          <cell r="W404"/>
          <cell r="X404"/>
        </row>
        <row r="405">
          <cell r="A405">
            <v>46160</v>
          </cell>
          <cell r="B405" t="str">
            <v>Botswana</v>
          </cell>
          <cell r="C405" t="str">
            <v>A4705</v>
          </cell>
          <cell r="D405"/>
          <cell r="F405"/>
          <cell r="G405" t="str">
            <v>CAVIN-60-FD</v>
          </cell>
          <cell r="H405">
            <v>96</v>
          </cell>
          <cell r="I405" t="str">
            <v>F08-25.0</v>
          </cell>
          <cell r="J405">
            <v>96</v>
          </cell>
          <cell r="L405" t="str">
            <v>Rework</v>
          </cell>
          <cell r="M405"/>
          <cell r="N405" t="str">
            <v>NA</v>
          </cell>
          <cell r="O405">
            <v>609788968597</v>
          </cell>
          <cell r="P405"/>
          <cell r="Q405"/>
          <cell r="R405"/>
          <cell r="S405"/>
          <cell r="T405"/>
          <cell r="U405"/>
          <cell r="V405"/>
          <cell r="W405"/>
          <cell r="X405"/>
        </row>
        <row r="406">
          <cell r="A406"/>
          <cell r="B406"/>
          <cell r="C406"/>
          <cell r="D406"/>
          <cell r="F406"/>
          <cell r="G406"/>
          <cell r="H406"/>
          <cell r="I406"/>
          <cell r="J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</row>
        <row r="407">
          <cell r="A407">
            <v>46162</v>
          </cell>
          <cell r="B407" t="str">
            <v>Bahrain</v>
          </cell>
          <cell r="C407" t="str">
            <v>A4707</v>
          </cell>
          <cell r="D407" t="str">
            <v>5/20/2026: Awaiting Proforma Approval
5/21/2026: Proforma approved</v>
          </cell>
          <cell r="F407"/>
          <cell r="G407" t="str">
            <v>MOTILMX-60-CS-BN</v>
          </cell>
          <cell r="H407">
            <v>500</v>
          </cell>
          <cell r="I407" t="str">
            <v>BN31-25.0</v>
          </cell>
          <cell r="J407">
            <v>500</v>
          </cell>
          <cell r="L407" t="str">
            <v>D/W Sent</v>
          </cell>
          <cell r="M407">
            <v>46182</v>
          </cell>
          <cell r="N407" t="str">
            <v>NA</v>
          </cell>
          <cell r="O407" t="str">
            <v>604776739814</v>
          </cell>
          <cell r="P407"/>
          <cell r="Q407"/>
          <cell r="R407"/>
          <cell r="S407"/>
          <cell r="T407"/>
          <cell r="U407"/>
          <cell r="V407"/>
          <cell r="W407"/>
          <cell r="X407" t="str">
            <v>HOLD</v>
          </cell>
        </row>
        <row r="408">
          <cell r="A408"/>
          <cell r="B408"/>
          <cell r="C408"/>
          <cell r="D408"/>
          <cell r="F408"/>
          <cell r="G408"/>
          <cell r="H408"/>
          <cell r="I408"/>
          <cell r="J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</row>
        <row r="409">
          <cell r="A409">
            <v>46163</v>
          </cell>
          <cell r="B409" t="str">
            <v>Tanzania</v>
          </cell>
          <cell r="C409" t="str">
            <v>A4710</v>
          </cell>
          <cell r="D409" t="str">
            <v>5/21/2026: Awaiting Proforma Approval</v>
          </cell>
          <cell r="F409"/>
          <cell r="G409" t="str">
            <v>WFSPLS-180-CS-TA</v>
          </cell>
          <cell r="H409">
            <v>48</v>
          </cell>
          <cell r="I409" t="str">
            <v>TA73-26.0</v>
          </cell>
          <cell r="J409">
            <v>0</v>
          </cell>
          <cell r="L409" t="str">
            <v>PO Drafted</v>
          </cell>
          <cell r="M409"/>
          <cell r="N409" t="str">
            <v>NA</v>
          </cell>
          <cell r="O409">
            <v>810131194680</v>
          </cell>
          <cell r="P409">
            <v>5000</v>
          </cell>
          <cell r="Q409">
            <v>5043</v>
          </cell>
          <cell r="R409" t="str">
            <v>TBD</v>
          </cell>
          <cell r="S409" t="str">
            <v>Pending approval to send to vendor</v>
          </cell>
          <cell r="T409"/>
          <cell r="U409"/>
          <cell r="V409"/>
          <cell r="W409"/>
          <cell r="X409" t="str">
            <v>HOLD</v>
          </cell>
        </row>
        <row r="410">
          <cell r="A410">
            <v>46163</v>
          </cell>
          <cell r="B410" t="str">
            <v>Tanzania</v>
          </cell>
          <cell r="C410" t="str">
            <v>A4710</v>
          </cell>
          <cell r="D410" t="str">
            <v>5/22/2026: Proforma approved</v>
          </cell>
          <cell r="F410"/>
          <cell r="G410" t="str">
            <v>PRECON-180-CS-TA</v>
          </cell>
          <cell r="H410">
            <v>120</v>
          </cell>
          <cell r="I410" t="str">
            <v>TA55-26.0</v>
          </cell>
          <cell r="J410">
            <v>0</v>
          </cell>
          <cell r="L410" t="str">
            <v>In Production</v>
          </cell>
          <cell r="M410"/>
          <cell r="N410" t="str">
            <v>NA</v>
          </cell>
          <cell r="O410">
            <v>810131194666</v>
          </cell>
          <cell r="P410">
            <v>5000</v>
          </cell>
          <cell r="Q410">
            <v>5060</v>
          </cell>
          <cell r="R410">
            <v>46205</v>
          </cell>
          <cell r="S410"/>
          <cell r="T410"/>
          <cell r="U410"/>
          <cell r="V410"/>
          <cell r="W410"/>
          <cell r="X410"/>
        </row>
        <row r="411">
          <cell r="A411">
            <v>46163</v>
          </cell>
          <cell r="B411" t="str">
            <v>Tanzania</v>
          </cell>
          <cell r="C411" t="str">
            <v>A4710</v>
          </cell>
          <cell r="D411"/>
          <cell r="F411"/>
          <cell r="G411" t="str">
            <v>FERTMX-90-CS-TA</v>
          </cell>
          <cell r="H411">
            <v>240</v>
          </cell>
          <cell r="I411" t="str">
            <v>TA16-26.0</v>
          </cell>
          <cell r="J411">
            <v>0</v>
          </cell>
          <cell r="L411" t="str">
            <v>PO submitted</v>
          </cell>
          <cell r="M411"/>
          <cell r="N411" t="str">
            <v>NA</v>
          </cell>
          <cell r="O411">
            <v>810131194628</v>
          </cell>
          <cell r="P411">
            <v>5000</v>
          </cell>
          <cell r="Q411">
            <v>5041</v>
          </cell>
          <cell r="R411" t="str">
            <v>TBD</v>
          </cell>
          <cell r="S411" t="str">
            <v>Waiting for vendor confirmation.</v>
          </cell>
          <cell r="T411"/>
          <cell r="U411"/>
          <cell r="V411"/>
          <cell r="W411"/>
          <cell r="X411"/>
        </row>
        <row r="412">
          <cell r="A412">
            <v>46163</v>
          </cell>
          <cell r="B412" t="str">
            <v>Tanzania</v>
          </cell>
          <cell r="C412" t="str">
            <v>A4710</v>
          </cell>
          <cell r="D412"/>
          <cell r="F412"/>
          <cell r="G412" t="str">
            <v>OVAMANM-120-CS-TA</v>
          </cell>
          <cell r="H412">
            <v>240</v>
          </cell>
          <cell r="I412" t="str">
            <v>TA41-26.0</v>
          </cell>
          <cell r="J412">
            <v>0</v>
          </cell>
          <cell r="L412" t="str">
            <v>Not Meet MOQ</v>
          </cell>
          <cell r="M412" t="str">
            <v>71 available</v>
          </cell>
          <cell r="N412" t="str">
            <v>NA</v>
          </cell>
          <cell r="O412">
            <v>810131194642</v>
          </cell>
          <cell r="P412"/>
          <cell r="Q412"/>
          <cell r="R412"/>
          <cell r="S412"/>
          <cell r="T412"/>
          <cell r="U412"/>
          <cell r="V412"/>
          <cell r="W412"/>
          <cell r="X412"/>
        </row>
        <row r="413">
          <cell r="A413">
            <v>46163</v>
          </cell>
          <cell r="B413" t="str">
            <v>Tanzania</v>
          </cell>
          <cell r="C413" t="str">
            <v>A4710</v>
          </cell>
          <cell r="D413"/>
          <cell r="F413"/>
          <cell r="G413" t="str">
            <v>QWELL4-30-SG-CS-TA</v>
          </cell>
          <cell r="H413">
            <v>120</v>
          </cell>
          <cell r="I413" t="str">
            <v>TA58-26.0</v>
          </cell>
          <cell r="J413">
            <v>120</v>
          </cell>
          <cell r="L413" t="str">
            <v>Rework</v>
          </cell>
          <cell r="M413" t="str">
            <v>5/22/2026:Label requested</v>
          </cell>
          <cell r="N413" t="str">
            <v>NA</v>
          </cell>
          <cell r="O413">
            <v>810131194673</v>
          </cell>
          <cell r="P413"/>
          <cell r="Q413"/>
          <cell r="R413"/>
          <cell r="S413"/>
          <cell r="T413"/>
          <cell r="U413"/>
          <cell r="V413"/>
          <cell r="W413"/>
          <cell r="X413"/>
        </row>
        <row r="414">
          <cell r="A414"/>
          <cell r="B414"/>
          <cell r="C414"/>
          <cell r="D414"/>
          <cell r="F414"/>
          <cell r="G414"/>
          <cell r="H414"/>
          <cell r="I414"/>
          <cell r="J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</row>
        <row r="415">
          <cell r="A415">
            <v>46177</v>
          </cell>
          <cell r="B415" t="str">
            <v>UAE</v>
          </cell>
          <cell r="C415" t="str">
            <v>A4712</v>
          </cell>
          <cell r="D415" t="str">
            <v>6/4/2026: Awaiting Proforma Approval</v>
          </cell>
          <cell r="F415"/>
          <cell r="G415" t="str">
            <v>QWELL4-30-SG-FD</v>
          </cell>
          <cell r="H415">
            <v>1008</v>
          </cell>
          <cell r="I415" t="str">
            <v>F58-25.3</v>
          </cell>
          <cell r="J415">
            <v>696</v>
          </cell>
          <cell r="L415" t="str">
            <v>Available</v>
          </cell>
          <cell r="M415" t="str">
            <v>696 available</v>
          </cell>
          <cell r="N415" t="str">
            <v>NA</v>
          </cell>
          <cell r="O415" t="str">
            <v>609788968214</v>
          </cell>
          <cell r="P415"/>
          <cell r="Q415"/>
          <cell r="R415"/>
          <cell r="S415"/>
          <cell r="T415"/>
          <cell r="U415"/>
          <cell r="V415"/>
          <cell r="W415"/>
          <cell r="X415"/>
        </row>
        <row r="416">
          <cell r="A416">
            <v>46177</v>
          </cell>
          <cell r="B416" t="str">
            <v>UAE</v>
          </cell>
          <cell r="C416" t="str">
            <v>A4712</v>
          </cell>
          <cell r="D416" t="str">
            <v>6/5/2026: Proforma approved</v>
          </cell>
          <cell r="F416"/>
          <cell r="G416" t="str">
            <v>MFSPLS-120-RE</v>
          </cell>
          <cell r="H416">
            <v>1512</v>
          </cell>
          <cell r="I416" t="str">
            <v>R30-26.0</v>
          </cell>
          <cell r="J416">
            <v>0</v>
          </cell>
          <cell r="L416" t="str">
            <v>Out of Stock</v>
          </cell>
          <cell r="M416"/>
          <cell r="N416" t="str">
            <v>NA</v>
          </cell>
          <cell r="O416">
            <v>609788968344</v>
          </cell>
          <cell r="P416"/>
          <cell r="Q416"/>
          <cell r="R416"/>
          <cell r="S416"/>
          <cell r="T416"/>
          <cell r="U416"/>
          <cell r="V416"/>
          <cell r="W416"/>
          <cell r="X416"/>
        </row>
        <row r="417">
          <cell r="A417">
            <v>46177</v>
          </cell>
          <cell r="B417" t="str">
            <v>UAE</v>
          </cell>
          <cell r="C417" t="str">
            <v>A4712</v>
          </cell>
          <cell r="D417"/>
          <cell r="F417"/>
          <cell r="G417" t="str">
            <v>OMEGA3-60-CS-UA</v>
          </cell>
          <cell r="H417">
            <v>2160</v>
          </cell>
          <cell r="I417" t="str">
            <v>UA37-25.0</v>
          </cell>
          <cell r="J417">
            <v>0</v>
          </cell>
          <cell r="L417" t="str">
            <v>Out of Stock</v>
          </cell>
          <cell r="M417"/>
          <cell r="N417" t="str">
            <v>Y</v>
          </cell>
          <cell r="O417">
            <v>609788968184</v>
          </cell>
          <cell r="P417"/>
          <cell r="Q417"/>
          <cell r="R417"/>
          <cell r="S417"/>
          <cell r="T417"/>
          <cell r="U417"/>
          <cell r="V417"/>
          <cell r="W417"/>
          <cell r="X417"/>
        </row>
        <row r="418">
          <cell r="A418">
            <v>46177</v>
          </cell>
          <cell r="B418" t="str">
            <v>UAE</v>
          </cell>
          <cell r="C418" t="str">
            <v>A4712</v>
          </cell>
          <cell r="D418"/>
          <cell r="F418"/>
          <cell r="G418" t="str">
            <v>OVAMANM-120-CS-UA</v>
          </cell>
          <cell r="H418">
            <v>1512</v>
          </cell>
          <cell r="I418" t="str">
            <v>UA41-25.0</v>
          </cell>
          <cell r="J418">
            <v>0</v>
          </cell>
          <cell r="L418" t="str">
            <v>Out of Stock</v>
          </cell>
          <cell r="M418"/>
          <cell r="N418" t="str">
            <v>NA</v>
          </cell>
          <cell r="O418">
            <v>609788968399</v>
          </cell>
          <cell r="P418"/>
          <cell r="Q418"/>
          <cell r="R418"/>
          <cell r="S418"/>
          <cell r="T418"/>
          <cell r="U418"/>
          <cell r="V418"/>
          <cell r="W418"/>
          <cell r="X418"/>
        </row>
        <row r="419">
          <cell r="A419">
            <v>46177</v>
          </cell>
          <cell r="B419" t="str">
            <v>UAE</v>
          </cell>
          <cell r="C419" t="str">
            <v>A4712</v>
          </cell>
          <cell r="D419"/>
          <cell r="F419"/>
          <cell r="G419" t="str">
            <v>PEDIAD4-50-FD</v>
          </cell>
          <cell r="H419">
            <v>1008</v>
          </cell>
          <cell r="I419" t="str">
            <v>F45-26.0</v>
          </cell>
          <cell r="J419">
            <v>0</v>
          </cell>
          <cell r="L419" t="str">
            <v>Out of Stock</v>
          </cell>
          <cell r="M419"/>
          <cell r="N419" t="str">
            <v>Y</v>
          </cell>
          <cell r="O419">
            <v>810131199623</v>
          </cell>
          <cell r="P419"/>
          <cell r="Q419"/>
          <cell r="R419"/>
          <cell r="S419"/>
          <cell r="T419"/>
          <cell r="U419"/>
          <cell r="V419"/>
          <cell r="W419"/>
          <cell r="X419"/>
        </row>
        <row r="420">
          <cell r="A420">
            <v>46177</v>
          </cell>
          <cell r="B420" t="str">
            <v>UAE</v>
          </cell>
          <cell r="C420" t="str">
            <v>A4712</v>
          </cell>
          <cell r="D420"/>
          <cell r="F420"/>
          <cell r="G420" t="str">
            <v>POLYSIT-90-RE</v>
          </cell>
          <cell r="H420">
            <v>1008</v>
          </cell>
          <cell r="I420" t="str">
            <v>R53-17.0</v>
          </cell>
          <cell r="J420">
            <v>0</v>
          </cell>
          <cell r="L420" t="str">
            <v>Out of Stock</v>
          </cell>
          <cell r="M420"/>
          <cell r="N420" t="str">
            <v>Y</v>
          </cell>
          <cell r="O420">
            <v>609788969006</v>
          </cell>
          <cell r="P420"/>
          <cell r="Q420"/>
          <cell r="R420"/>
          <cell r="S420"/>
          <cell r="T420"/>
          <cell r="U420"/>
          <cell r="V420"/>
          <cell r="W420"/>
          <cell r="X420"/>
        </row>
        <row r="421">
          <cell r="A421">
            <v>46177</v>
          </cell>
          <cell r="B421" t="str">
            <v>UAE</v>
          </cell>
          <cell r="C421" t="str">
            <v>A4712</v>
          </cell>
          <cell r="D421"/>
          <cell r="F421"/>
          <cell r="G421" t="str">
            <v>XTRAD10-60-FD</v>
          </cell>
          <cell r="H421">
            <v>2016</v>
          </cell>
          <cell r="I421" t="str">
            <v>F76-25.0</v>
          </cell>
          <cell r="J421">
            <v>164</v>
          </cell>
          <cell r="L421" t="str">
            <v>Out of Stock</v>
          </cell>
          <cell r="M421" t="str">
            <v>164 available</v>
          </cell>
          <cell r="N421" t="str">
            <v>NA</v>
          </cell>
          <cell r="O421" t="str">
            <v>609788968122</v>
          </cell>
          <cell r="P421"/>
          <cell r="Q421"/>
          <cell r="R421"/>
          <cell r="S421"/>
          <cell r="T421"/>
          <cell r="U421"/>
          <cell r="V421"/>
          <cell r="W421"/>
          <cell r="X421"/>
        </row>
        <row r="422">
          <cell r="A422">
            <v>46177</v>
          </cell>
          <cell r="B422" t="str">
            <v>UAE</v>
          </cell>
          <cell r="C422" t="str">
            <v>A4712</v>
          </cell>
          <cell r="D422"/>
          <cell r="F422"/>
          <cell r="G422" t="str">
            <v xml:space="preserve">ZINC25-60-FD </v>
          </cell>
          <cell r="H422">
            <v>1008</v>
          </cell>
          <cell r="I422" t="str">
            <v>F78-22.0</v>
          </cell>
          <cell r="J422">
            <v>0</v>
          </cell>
          <cell r="L422" t="str">
            <v>Out of Stock</v>
          </cell>
          <cell r="M422"/>
          <cell r="N422" t="str">
            <v>NA</v>
          </cell>
          <cell r="O422" t="str">
            <v>609788968245</v>
          </cell>
          <cell r="P422"/>
          <cell r="Q422"/>
          <cell r="R422"/>
          <cell r="S422"/>
          <cell r="T422"/>
          <cell r="U422"/>
          <cell r="V422"/>
          <cell r="W422"/>
          <cell r="X422"/>
        </row>
        <row r="423">
          <cell r="A423">
            <v>46177</v>
          </cell>
          <cell r="B423" t="str">
            <v>UAE</v>
          </cell>
          <cell r="C423" t="str">
            <v>A4712</v>
          </cell>
          <cell r="D423"/>
          <cell r="F423"/>
          <cell r="G423" t="str">
            <v>ZINC50-60-FD</v>
          </cell>
          <cell r="H423">
            <v>1008</v>
          </cell>
          <cell r="I423" t="str">
            <v>F79-25.0</v>
          </cell>
          <cell r="J423">
            <v>0</v>
          </cell>
          <cell r="L423" t="str">
            <v>Out of Stock</v>
          </cell>
          <cell r="M423"/>
          <cell r="N423" t="str">
            <v>NA</v>
          </cell>
          <cell r="O423" t="str">
            <v>609788968535</v>
          </cell>
          <cell r="P423"/>
          <cell r="Q423"/>
          <cell r="R423"/>
          <cell r="S423"/>
          <cell r="T423"/>
          <cell r="U423"/>
          <cell r="V423"/>
          <cell r="W423"/>
          <cell r="X423"/>
        </row>
        <row r="424">
          <cell r="A424"/>
          <cell r="B424"/>
          <cell r="C424"/>
          <cell r="D424"/>
          <cell r="F424"/>
          <cell r="G424"/>
          <cell r="H424"/>
          <cell r="I424"/>
          <cell r="J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</row>
        <row r="425">
          <cell r="A425">
            <v>46177</v>
          </cell>
          <cell r="B425" t="str">
            <v>Lebanon</v>
          </cell>
          <cell r="C425" t="str">
            <v>A4713</v>
          </cell>
          <cell r="D425" t="str">
            <v>6/4/2026: Awaiting Proforma Approval</v>
          </cell>
          <cell r="F425"/>
          <cell r="G425" t="str">
            <v>NMNH-60-FD</v>
          </cell>
          <cell r="H425">
            <v>400</v>
          </cell>
          <cell r="I425" t="str">
            <v>F114-25.0</v>
          </cell>
          <cell r="J425">
            <v>400</v>
          </cell>
          <cell r="L425" t="str">
            <v>Rework</v>
          </cell>
          <cell r="M425"/>
          <cell r="N425" t="str">
            <v>Y</v>
          </cell>
          <cell r="O425" t="str">
            <v>810131192990</v>
          </cell>
          <cell r="P425"/>
          <cell r="Q425"/>
          <cell r="R425"/>
          <cell r="S425"/>
          <cell r="T425"/>
          <cell r="U425"/>
          <cell r="V425"/>
          <cell r="W425"/>
          <cell r="X425"/>
        </row>
        <row r="426">
          <cell r="A426">
            <v>46177</v>
          </cell>
          <cell r="B426" t="str">
            <v>Lebanon</v>
          </cell>
          <cell r="C426" t="str">
            <v>A4713</v>
          </cell>
          <cell r="D426" t="str">
            <v>6/5/2026: Proforma approved</v>
          </cell>
          <cell r="F426" t="str">
            <v>6/8/2026: Qty may increase, checking availability.                      6/9/2026: Qty increased from 200 pcs to 300 pcs.</v>
          </cell>
          <cell r="G426" t="str">
            <v>PEARLY-60-FD</v>
          </cell>
          <cell r="H426">
            <v>300</v>
          </cell>
          <cell r="I426" t="str">
            <v>F42-22.0</v>
          </cell>
          <cell r="J426">
            <v>300</v>
          </cell>
          <cell r="L426" t="str">
            <v>Rework</v>
          </cell>
          <cell r="M426"/>
          <cell r="N426" t="str">
            <v>Y</v>
          </cell>
          <cell r="O426" t="str">
            <v>609788968665</v>
          </cell>
          <cell r="P426"/>
          <cell r="Q426"/>
          <cell r="R426"/>
          <cell r="S426"/>
          <cell r="T426"/>
          <cell r="U426"/>
          <cell r="V426"/>
          <cell r="W426"/>
          <cell r="X426"/>
        </row>
        <row r="427">
          <cell r="A427"/>
          <cell r="B427"/>
          <cell r="C427"/>
          <cell r="D427"/>
          <cell r="F427"/>
          <cell r="G427"/>
          <cell r="H427"/>
          <cell r="I427"/>
          <cell r="J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</row>
        <row r="428">
          <cell r="A428">
            <v>46181</v>
          </cell>
          <cell r="B428" t="str">
            <v>Qatar</v>
          </cell>
          <cell r="C428" t="str">
            <v>A4714</v>
          </cell>
          <cell r="D428" t="str">
            <v>6/8/2026: Awaiting Proforma Approval</v>
          </cell>
          <cell r="F428"/>
          <cell r="G428" t="str">
            <v>SPERMCT-60-CS-QT</v>
          </cell>
          <cell r="H428">
            <v>1100</v>
          </cell>
          <cell r="I428"/>
          <cell r="J428"/>
          <cell r="L428" t="str">
            <v>Sales Action Needed</v>
          </cell>
          <cell r="M428" t="str">
            <v>Available</v>
          </cell>
          <cell r="N428" t="str">
            <v>NA</v>
          </cell>
          <cell r="O428">
            <v>604776736820</v>
          </cell>
          <cell r="P428"/>
          <cell r="Q428"/>
          <cell r="R428"/>
          <cell r="S428"/>
          <cell r="T428"/>
          <cell r="U428"/>
          <cell r="V428"/>
          <cell r="W428"/>
          <cell r="X428"/>
        </row>
        <row r="429">
          <cell r="A429">
            <v>46181</v>
          </cell>
          <cell r="B429" t="str">
            <v>Qatar</v>
          </cell>
          <cell r="C429" t="str">
            <v>A4714</v>
          </cell>
          <cell r="D429" t="str">
            <v>6/9/2026: Proforma approved</v>
          </cell>
          <cell r="F429"/>
          <cell r="G429" t="str">
            <v>WFSPLS-180-CS-QT</v>
          </cell>
          <cell r="H429">
            <v>550</v>
          </cell>
          <cell r="I429"/>
          <cell r="J429"/>
          <cell r="L429" t="str">
            <v>Sales Action Needed</v>
          </cell>
          <cell r="M429" t="str">
            <v>Out of Stock</v>
          </cell>
          <cell r="N429" t="str">
            <v>NA</v>
          </cell>
          <cell r="O429">
            <v>604776736844</v>
          </cell>
          <cell r="P429"/>
          <cell r="Q429"/>
          <cell r="R429"/>
          <cell r="S429"/>
          <cell r="T429"/>
          <cell r="U429"/>
          <cell r="V429"/>
          <cell r="W429"/>
          <cell r="X429"/>
        </row>
        <row r="430">
          <cell r="A430">
            <v>46181</v>
          </cell>
          <cell r="B430" t="str">
            <v>Qatar</v>
          </cell>
          <cell r="C430" t="str">
            <v>A4714</v>
          </cell>
          <cell r="D430" t="str">
            <v>6/9/2026: Awaiting confirmation for labels</v>
          </cell>
          <cell r="F430"/>
          <cell r="G430" t="str">
            <v>METRIO-60-CS-QT</v>
          </cell>
          <cell r="H430">
            <v>550</v>
          </cell>
          <cell r="I430"/>
          <cell r="J430"/>
          <cell r="L430" t="str">
            <v>Sales Action Needed</v>
          </cell>
          <cell r="M430" t="str">
            <v>Available</v>
          </cell>
          <cell r="N430" t="str">
            <v>NA</v>
          </cell>
          <cell r="O430">
            <v>604776736738</v>
          </cell>
          <cell r="P430"/>
          <cell r="Q430"/>
          <cell r="R430"/>
          <cell r="S430"/>
          <cell r="T430"/>
          <cell r="U430"/>
          <cell r="V430"/>
          <cell r="W430"/>
          <cell r="X430"/>
        </row>
        <row r="431">
          <cell r="A431">
            <v>46181</v>
          </cell>
          <cell r="B431" t="str">
            <v>Qatar</v>
          </cell>
          <cell r="C431" t="str">
            <v>A4714</v>
          </cell>
          <cell r="D431"/>
          <cell r="F431" t="str">
            <v>6/11/2026: Can take 66 packs from Amazon reserves + 60 from available lot</v>
          </cell>
          <cell r="G431" t="str">
            <v>BIO5K-60-CS-QT</v>
          </cell>
          <cell r="H431">
            <v>126</v>
          </cell>
          <cell r="I431"/>
          <cell r="J431"/>
          <cell r="L431" t="str">
            <v>Sales Action Needed</v>
          </cell>
          <cell r="M431" t="str">
            <v xml:space="preserve"> 	46350425: 60 available,                                     44251024: 66 available</v>
          </cell>
          <cell r="N431" t="str">
            <v>NA</v>
          </cell>
          <cell r="O431">
            <v>604776739371</v>
          </cell>
          <cell r="P431"/>
          <cell r="Q431"/>
          <cell r="R431"/>
          <cell r="S431"/>
          <cell r="T431"/>
          <cell r="U431"/>
          <cell r="V431"/>
          <cell r="W431"/>
          <cell r="X431"/>
        </row>
        <row r="432">
          <cell r="A432">
            <v>46181</v>
          </cell>
          <cell r="B432" t="str">
            <v>Qatar</v>
          </cell>
          <cell r="C432" t="str">
            <v>A4714</v>
          </cell>
          <cell r="D432"/>
          <cell r="F432" t="str">
            <v>6/11/2026: Client can take old formula containing Citrus Bioflavonoids</v>
          </cell>
          <cell r="G432" t="str">
            <v>EYECAP-30-CS-QT</v>
          </cell>
          <cell r="H432">
            <v>720</v>
          </cell>
          <cell r="I432"/>
          <cell r="J432"/>
          <cell r="L432" t="str">
            <v>Sales Action Needed</v>
          </cell>
          <cell r="M432" t="str">
            <v>720 available with old formula</v>
          </cell>
          <cell r="N432" t="str">
            <v>NA</v>
          </cell>
          <cell r="O432">
            <v>604776739395</v>
          </cell>
          <cell r="P432"/>
          <cell r="Q432"/>
          <cell r="R432"/>
          <cell r="S432"/>
          <cell r="T432"/>
          <cell r="U432"/>
          <cell r="V432"/>
          <cell r="W432"/>
          <cell r="X432"/>
        </row>
        <row r="433">
          <cell r="A433"/>
          <cell r="B433"/>
          <cell r="C433"/>
          <cell r="D433"/>
          <cell r="F433"/>
          <cell r="G433"/>
          <cell r="H433"/>
          <cell r="I433"/>
          <cell r="J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</row>
        <row r="434">
          <cell r="A434">
            <v>46181</v>
          </cell>
          <cell r="B434" t="str">
            <v>Qatar</v>
          </cell>
          <cell r="C434" t="str">
            <v>A4715</v>
          </cell>
          <cell r="D434" t="str">
            <v>6/8/2026: Awaiting Proforma Approval</v>
          </cell>
          <cell r="F434"/>
          <cell r="G434" t="str">
            <v>ROYALPL-30-CS-QT</v>
          </cell>
          <cell r="H434">
            <v>1000</v>
          </cell>
          <cell r="I434"/>
          <cell r="J434"/>
          <cell r="L434" t="str">
            <v>Sales Action Needed</v>
          </cell>
          <cell r="M434" t="str">
            <v>978 available with two lots</v>
          </cell>
          <cell r="N434" t="str">
            <v>NA</v>
          </cell>
          <cell r="O434">
            <v>604776736813</v>
          </cell>
          <cell r="P434"/>
          <cell r="Q434"/>
          <cell r="R434"/>
          <cell r="S434"/>
          <cell r="T434"/>
          <cell r="U434"/>
          <cell r="V434"/>
          <cell r="W434"/>
          <cell r="X434"/>
        </row>
        <row r="435">
          <cell r="A435">
            <v>46181</v>
          </cell>
          <cell r="B435" t="str">
            <v>Qatar</v>
          </cell>
          <cell r="C435" t="str">
            <v>A4715</v>
          </cell>
          <cell r="D435" t="str">
            <v>6/9/2026: Proforma approved</v>
          </cell>
          <cell r="F435"/>
          <cell r="G435" t="str">
            <v>OVAMANM-120-CS-QT</v>
          </cell>
          <cell r="H435">
            <v>1500</v>
          </cell>
          <cell r="I435"/>
          <cell r="J435"/>
          <cell r="L435" t="str">
            <v>Sales Action Needed</v>
          </cell>
          <cell r="M435" t="str">
            <v>Out of Stock</v>
          </cell>
          <cell r="N435" t="str">
            <v>NA</v>
          </cell>
          <cell r="O435">
            <v>604776736776</v>
          </cell>
          <cell r="P435"/>
          <cell r="Q435"/>
          <cell r="R435"/>
          <cell r="S435"/>
          <cell r="T435"/>
          <cell r="U435"/>
          <cell r="V435"/>
          <cell r="W435"/>
          <cell r="X435"/>
        </row>
        <row r="436">
          <cell r="A436">
            <v>46181</v>
          </cell>
          <cell r="B436" t="str">
            <v>Qatar</v>
          </cell>
          <cell r="C436" t="str">
            <v>A4715</v>
          </cell>
          <cell r="D436" t="str">
            <v>6/9/2026: Awaiting confirmation for labels</v>
          </cell>
          <cell r="F436"/>
          <cell r="G436" t="str">
            <v>PRECON-90-CS-QT</v>
          </cell>
          <cell r="H436">
            <v>1500</v>
          </cell>
          <cell r="I436"/>
          <cell r="J436"/>
          <cell r="L436" t="str">
            <v>Sales Action Needed</v>
          </cell>
          <cell r="M436" t="str">
            <v>Available</v>
          </cell>
          <cell r="N436" t="str">
            <v>NA</v>
          </cell>
          <cell r="O436">
            <v>604776736790</v>
          </cell>
          <cell r="P436"/>
          <cell r="Q436"/>
          <cell r="R436"/>
          <cell r="S436"/>
          <cell r="T436"/>
          <cell r="U436"/>
          <cell r="V436"/>
          <cell r="W436"/>
          <cell r="X436"/>
        </row>
        <row r="437">
          <cell r="A437"/>
          <cell r="B437"/>
          <cell r="C437"/>
          <cell r="D437"/>
          <cell r="F437"/>
          <cell r="G437"/>
          <cell r="H437"/>
          <cell r="I437"/>
          <cell r="J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</row>
        <row r="438">
          <cell r="A438">
            <v>46182</v>
          </cell>
          <cell r="B438" t="str">
            <v>Sudan</v>
          </cell>
          <cell r="C438" t="str">
            <v>A4716</v>
          </cell>
          <cell r="D438" t="str">
            <v>6/9/2026: Awaiting Proforma Approval</v>
          </cell>
          <cell r="F438"/>
          <cell r="G438" t="str">
            <v>MFSPLS-120-RE</v>
          </cell>
          <cell r="H438">
            <v>3395</v>
          </cell>
          <cell r="I438"/>
          <cell r="J438">
            <v>0</v>
          </cell>
          <cell r="L438" t="str">
            <v>Out of Stock</v>
          </cell>
          <cell r="M438"/>
          <cell r="N438" t="str">
            <v>NA</v>
          </cell>
          <cell r="O438">
            <v>609788968344</v>
          </cell>
          <cell r="P438"/>
          <cell r="Q438"/>
          <cell r="R438"/>
          <cell r="S438"/>
          <cell r="T438"/>
          <cell r="U438"/>
          <cell r="V438"/>
          <cell r="W438"/>
          <cell r="X438"/>
        </row>
        <row r="439">
          <cell r="A439">
            <v>46182</v>
          </cell>
          <cell r="B439" t="str">
            <v>Sudan</v>
          </cell>
          <cell r="C439" t="str">
            <v>A4716</v>
          </cell>
          <cell r="D439" t="str">
            <v>6/10/2026: Proforma approved</v>
          </cell>
          <cell r="F439"/>
          <cell r="G439" t="str">
            <v>WFSPLS-180-RE</v>
          </cell>
          <cell r="H439">
            <v>1298</v>
          </cell>
          <cell r="I439"/>
          <cell r="J439">
            <v>0</v>
          </cell>
          <cell r="L439" t="str">
            <v>Out of Stock</v>
          </cell>
          <cell r="M439"/>
          <cell r="N439" t="str">
            <v>NA</v>
          </cell>
          <cell r="O439">
            <v>609788968351</v>
          </cell>
          <cell r="P439"/>
          <cell r="Q439"/>
          <cell r="R439"/>
          <cell r="S439"/>
          <cell r="T439"/>
          <cell r="U439"/>
          <cell r="V439"/>
          <cell r="W439"/>
          <cell r="X439"/>
        </row>
        <row r="440">
          <cell r="A440">
            <v>46182</v>
          </cell>
          <cell r="B440" t="str">
            <v>Sudan</v>
          </cell>
          <cell r="C440" t="str">
            <v>A4716</v>
          </cell>
          <cell r="D440"/>
          <cell r="F440"/>
          <cell r="G440" t="str">
            <v>PRECON-180-RE</v>
          </cell>
          <cell r="H440">
            <v>1048</v>
          </cell>
          <cell r="I440"/>
          <cell r="J440">
            <v>0</v>
          </cell>
          <cell r="L440" t="str">
            <v>Out of Stock</v>
          </cell>
          <cell r="M440"/>
          <cell r="N440" t="str">
            <v>NA</v>
          </cell>
          <cell r="O440">
            <v>609788968375</v>
          </cell>
          <cell r="P440"/>
          <cell r="Q440"/>
          <cell r="R440"/>
          <cell r="S440"/>
          <cell r="T440"/>
          <cell r="U440"/>
          <cell r="V440"/>
          <cell r="W440"/>
          <cell r="X440"/>
        </row>
        <row r="441">
          <cell r="A441">
            <v>46182</v>
          </cell>
          <cell r="B441" t="str">
            <v>Sudan</v>
          </cell>
          <cell r="C441" t="str">
            <v>A4716</v>
          </cell>
          <cell r="D441"/>
          <cell r="F441"/>
          <cell r="G441" t="str">
            <v>DHEA50-60-FD</v>
          </cell>
          <cell r="H441">
            <v>3395</v>
          </cell>
          <cell r="I441"/>
          <cell r="J441">
            <v>0</v>
          </cell>
          <cell r="L441" t="str">
            <v>Out of Stock</v>
          </cell>
          <cell r="M441"/>
          <cell r="N441" t="str">
            <v>NA</v>
          </cell>
          <cell r="O441">
            <v>609788968221</v>
          </cell>
          <cell r="P441"/>
          <cell r="Q441"/>
          <cell r="R441"/>
          <cell r="S441"/>
          <cell r="T441"/>
          <cell r="U441"/>
          <cell r="V441"/>
          <cell r="W441"/>
          <cell r="X441"/>
        </row>
        <row r="442">
          <cell r="A442">
            <v>46182</v>
          </cell>
          <cell r="B442" t="str">
            <v>Sudan</v>
          </cell>
          <cell r="C442" t="str">
            <v>A4716</v>
          </cell>
          <cell r="D442"/>
          <cell r="F442"/>
          <cell r="G442" t="str">
            <v>OVAMAX-120-RE</v>
          </cell>
          <cell r="H442">
            <v>1847</v>
          </cell>
          <cell r="I442"/>
          <cell r="J442"/>
          <cell r="L442"/>
          <cell r="M442"/>
          <cell r="N442" t="str">
            <v>NA</v>
          </cell>
          <cell r="O442">
            <v>609788968399</v>
          </cell>
          <cell r="P442"/>
          <cell r="Q442"/>
          <cell r="R442"/>
          <cell r="S442"/>
          <cell r="T442"/>
          <cell r="U442"/>
          <cell r="V442"/>
          <cell r="W442"/>
          <cell r="X442"/>
        </row>
        <row r="443">
          <cell r="A443">
            <v>46182</v>
          </cell>
          <cell r="B443" t="str">
            <v>Sudan</v>
          </cell>
          <cell r="C443" t="str">
            <v>A4716</v>
          </cell>
          <cell r="D443"/>
          <cell r="F443"/>
          <cell r="G443" t="str">
            <v>OSTEOPL-96-FD</v>
          </cell>
          <cell r="H443">
            <v>1048</v>
          </cell>
          <cell r="I443"/>
          <cell r="J443">
            <v>1048</v>
          </cell>
          <cell r="L443" t="str">
            <v>Rework</v>
          </cell>
          <cell r="M443"/>
          <cell r="N443" t="str">
            <v>Y</v>
          </cell>
          <cell r="O443" t="str">
            <v>609788968238</v>
          </cell>
          <cell r="P443"/>
          <cell r="Q443"/>
          <cell r="R443"/>
          <cell r="S443"/>
          <cell r="T443"/>
          <cell r="U443"/>
          <cell r="V443"/>
          <cell r="W443"/>
          <cell r="X443"/>
        </row>
        <row r="444">
          <cell r="A444">
            <v>46182</v>
          </cell>
          <cell r="B444" t="str">
            <v>Sudan</v>
          </cell>
          <cell r="C444" t="str">
            <v>A4716</v>
          </cell>
          <cell r="D444"/>
          <cell r="F444"/>
          <cell r="G444" t="str">
            <v>PENAMAX-60-GE-CS-SU</v>
          </cell>
          <cell r="H444">
            <v>749</v>
          </cell>
          <cell r="I444"/>
          <cell r="J444"/>
          <cell r="L444" t="str">
            <v>Rework</v>
          </cell>
          <cell r="M444"/>
          <cell r="N444" t="str">
            <v>Y</v>
          </cell>
          <cell r="O444">
            <v>604776736875</v>
          </cell>
          <cell r="P444"/>
          <cell r="Q444"/>
          <cell r="R444"/>
          <cell r="S444"/>
          <cell r="T444"/>
          <cell r="U444"/>
          <cell r="V444"/>
          <cell r="W444"/>
          <cell r="X444"/>
        </row>
        <row r="445">
          <cell r="A445">
            <v>46182</v>
          </cell>
          <cell r="B445" t="str">
            <v>Sudan</v>
          </cell>
          <cell r="C445" t="str">
            <v>A4716</v>
          </cell>
          <cell r="D445"/>
          <cell r="F445"/>
          <cell r="G445" t="str">
            <v>COQ400-30-VE-CS-SU</v>
          </cell>
          <cell r="H445">
            <v>1800</v>
          </cell>
          <cell r="I445"/>
          <cell r="J445">
            <v>1800</v>
          </cell>
          <cell r="L445" t="str">
            <v>Transit to Warehouse</v>
          </cell>
          <cell r="M445" t="str">
            <v>1800 will be available from A4808</v>
          </cell>
          <cell r="N445" t="str">
            <v>NA</v>
          </cell>
          <cell r="O445">
            <v>609788968467</v>
          </cell>
          <cell r="P445"/>
          <cell r="Q445"/>
          <cell r="R445"/>
          <cell r="S445"/>
          <cell r="T445"/>
          <cell r="U445"/>
          <cell r="V445"/>
          <cell r="W445"/>
          <cell r="X445"/>
        </row>
        <row r="446">
          <cell r="A446">
            <v>46182</v>
          </cell>
          <cell r="B446" t="str">
            <v>Sudan</v>
          </cell>
          <cell r="C446" t="str">
            <v>A4716</v>
          </cell>
          <cell r="D446"/>
          <cell r="F446"/>
          <cell r="G446" t="str">
            <v>COQ400-30-VE-CS-SU</v>
          </cell>
          <cell r="H446">
            <v>546</v>
          </cell>
          <cell r="I446"/>
          <cell r="J446">
            <v>0</v>
          </cell>
          <cell r="L446" t="str">
            <v>Out of Stock</v>
          </cell>
          <cell r="M446"/>
          <cell r="N446" t="str">
            <v>NA</v>
          </cell>
          <cell r="O446">
            <v>609788968467</v>
          </cell>
          <cell r="P446"/>
          <cell r="Q446"/>
          <cell r="R446"/>
          <cell r="S446"/>
          <cell r="T446"/>
          <cell r="U446"/>
          <cell r="V446"/>
          <cell r="W446"/>
          <cell r="X446"/>
        </row>
        <row r="447">
          <cell r="A447"/>
          <cell r="B447"/>
          <cell r="C447"/>
          <cell r="D447"/>
          <cell r="F447"/>
          <cell r="G447"/>
          <cell r="H447"/>
          <cell r="I447"/>
          <cell r="J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</row>
        <row r="448">
          <cell r="A448">
            <v>46183</v>
          </cell>
          <cell r="B448" t="str">
            <v>Tanzania</v>
          </cell>
          <cell r="C448" t="str">
            <v>A4717</v>
          </cell>
          <cell r="D448" t="str">
            <v>6/10/2026: Awaiting Proforma Approval</v>
          </cell>
          <cell r="F448"/>
          <cell r="G448" t="str">
            <v>PROSTA-90-CS-TA</v>
          </cell>
          <cell r="H448">
            <v>10</v>
          </cell>
          <cell r="I448"/>
          <cell r="J448"/>
          <cell r="L448" t="str">
            <v>Sales Action Needed</v>
          </cell>
          <cell r="M448"/>
          <cell r="N448" t="str">
            <v>NA</v>
          </cell>
          <cell r="O448">
            <v>810131195212</v>
          </cell>
          <cell r="P448"/>
          <cell r="Q448"/>
          <cell r="R448"/>
          <cell r="S448"/>
          <cell r="T448"/>
          <cell r="U448"/>
          <cell r="V448"/>
          <cell r="W448"/>
          <cell r="X448"/>
        </row>
        <row r="449">
          <cell r="A449">
            <v>46183</v>
          </cell>
          <cell r="B449" t="str">
            <v>Tanzania</v>
          </cell>
          <cell r="C449" t="str">
            <v>A4717</v>
          </cell>
          <cell r="D449"/>
          <cell r="F449"/>
          <cell r="G449" t="str">
            <v>METRIO-60-CS-TA</v>
          </cell>
          <cell r="H449">
            <v>10</v>
          </cell>
          <cell r="I449"/>
          <cell r="J449"/>
          <cell r="L449" t="str">
            <v>Sales Action Needed</v>
          </cell>
          <cell r="M449"/>
          <cell r="N449" t="str">
            <v>NA</v>
          </cell>
          <cell r="O449">
            <v>810131195182</v>
          </cell>
          <cell r="P449"/>
          <cell r="Q449"/>
          <cell r="R449"/>
          <cell r="S449"/>
          <cell r="T449"/>
          <cell r="U449"/>
          <cell r="V449"/>
          <cell r="W449"/>
          <cell r="X449"/>
        </row>
        <row r="450">
          <cell r="A450">
            <v>46183</v>
          </cell>
          <cell r="B450" t="str">
            <v>Tanzania</v>
          </cell>
          <cell r="C450" t="str">
            <v>A4717</v>
          </cell>
          <cell r="D450"/>
          <cell r="F450"/>
          <cell r="G450" t="str">
            <v>FIBRO-60-CS-TA</v>
          </cell>
          <cell r="H450">
            <v>10</v>
          </cell>
          <cell r="I450"/>
          <cell r="J450"/>
          <cell r="L450" t="str">
            <v>Sales Action Needed</v>
          </cell>
          <cell r="M450"/>
          <cell r="N450" t="str">
            <v>NA</v>
          </cell>
          <cell r="O450">
            <v>810131195175</v>
          </cell>
          <cell r="P450"/>
          <cell r="Q450"/>
          <cell r="R450"/>
          <cell r="S450"/>
          <cell r="T450"/>
          <cell r="U450"/>
          <cell r="V450"/>
          <cell r="W450"/>
          <cell r="X450"/>
        </row>
        <row r="451">
          <cell r="A451">
            <v>46183</v>
          </cell>
          <cell r="B451" t="str">
            <v>Tanzania</v>
          </cell>
          <cell r="C451" t="str">
            <v>A4717</v>
          </cell>
          <cell r="D451"/>
          <cell r="F451"/>
          <cell r="G451" t="str">
            <v>UTIC-60-CS-TA</v>
          </cell>
          <cell r="H451">
            <v>10</v>
          </cell>
          <cell r="I451"/>
          <cell r="J451"/>
          <cell r="L451" t="str">
            <v>Sales Action Needed</v>
          </cell>
          <cell r="M451"/>
          <cell r="N451" t="str">
            <v>NA</v>
          </cell>
          <cell r="O451">
            <v>810131195243</v>
          </cell>
          <cell r="P451"/>
          <cell r="Q451"/>
          <cell r="R451"/>
          <cell r="S451"/>
          <cell r="T451"/>
          <cell r="U451"/>
          <cell r="V451"/>
          <cell r="W451"/>
          <cell r="X451"/>
        </row>
        <row r="452">
          <cell r="A452">
            <v>46183</v>
          </cell>
          <cell r="B452" t="str">
            <v>Tanzania</v>
          </cell>
          <cell r="C452" t="str">
            <v>A4717</v>
          </cell>
          <cell r="D452"/>
          <cell r="F452"/>
          <cell r="G452" t="str">
            <v>ROYALPL-30-CS-TA</v>
          </cell>
          <cell r="H452">
            <v>10</v>
          </cell>
          <cell r="I452"/>
          <cell r="J452"/>
          <cell r="L452" t="str">
            <v>Sales Action Needed</v>
          </cell>
          <cell r="M452"/>
          <cell r="N452" t="str">
            <v>NA</v>
          </cell>
          <cell r="O452">
            <v>810131195229</v>
          </cell>
          <cell r="P452"/>
          <cell r="Q452"/>
          <cell r="R452"/>
          <cell r="S452"/>
          <cell r="T452"/>
          <cell r="U452"/>
          <cell r="V452"/>
          <cell r="W452"/>
          <cell r="X452"/>
        </row>
        <row r="453">
          <cell r="A453">
            <v>46183</v>
          </cell>
          <cell r="B453" t="str">
            <v>Tanzania</v>
          </cell>
          <cell r="C453" t="str">
            <v>A4717</v>
          </cell>
          <cell r="D453"/>
          <cell r="F453"/>
          <cell r="G453" t="str">
            <v>MOTILMX-60-CS-TA</v>
          </cell>
          <cell r="H453">
            <v>10</v>
          </cell>
          <cell r="I453"/>
          <cell r="J453"/>
          <cell r="L453" t="str">
            <v>Sales Action Needed</v>
          </cell>
          <cell r="M453"/>
          <cell r="N453" t="str">
            <v>NA</v>
          </cell>
          <cell r="O453">
            <v>810131195199</v>
          </cell>
          <cell r="P453"/>
          <cell r="Q453"/>
          <cell r="R453"/>
          <cell r="S453"/>
          <cell r="T453"/>
          <cell r="U453"/>
          <cell r="V453"/>
          <cell r="W453"/>
          <cell r="X453"/>
        </row>
        <row r="454">
          <cell r="A454">
            <v>46183</v>
          </cell>
          <cell r="B454" t="str">
            <v>Tanzania</v>
          </cell>
          <cell r="C454" t="str">
            <v>A4717</v>
          </cell>
          <cell r="D454"/>
          <cell r="F454"/>
          <cell r="G454" t="str">
            <v>POLYSIT-90-CS-TA</v>
          </cell>
          <cell r="H454">
            <v>10</v>
          </cell>
          <cell r="I454"/>
          <cell r="J454"/>
          <cell r="L454" t="str">
            <v>Sales Action Needed</v>
          </cell>
          <cell r="M454"/>
          <cell r="N454" t="str">
            <v>NA</v>
          </cell>
          <cell r="O454">
            <v>810131195205</v>
          </cell>
          <cell r="P454"/>
          <cell r="Q454"/>
          <cell r="R454"/>
          <cell r="S454"/>
          <cell r="T454"/>
          <cell r="U454"/>
          <cell r="V454"/>
          <cell r="W454"/>
          <cell r="X454"/>
        </row>
        <row r="455">
          <cell r="A455">
            <v>46183</v>
          </cell>
          <cell r="B455" t="str">
            <v>Tanzania</v>
          </cell>
          <cell r="C455" t="str">
            <v>A4717</v>
          </cell>
          <cell r="D455"/>
          <cell r="F455"/>
          <cell r="G455" t="str">
            <v>SPERMCT-60-CS-TA</v>
          </cell>
          <cell r="H455">
            <v>10</v>
          </cell>
          <cell r="I455"/>
          <cell r="J455"/>
          <cell r="L455" t="str">
            <v>Sales Action Needed</v>
          </cell>
          <cell r="M455"/>
          <cell r="N455" t="str">
            <v>NA</v>
          </cell>
          <cell r="O455">
            <v>810131195236</v>
          </cell>
          <cell r="P455"/>
          <cell r="Q455"/>
          <cell r="R455"/>
          <cell r="S455"/>
          <cell r="T455"/>
          <cell r="U455"/>
          <cell r="V455"/>
          <cell r="W455"/>
          <cell r="X455"/>
        </row>
        <row r="456">
          <cell r="A456"/>
          <cell r="B456"/>
          <cell r="C456"/>
          <cell r="D456"/>
          <cell r="F456"/>
          <cell r="G456"/>
          <cell r="H456"/>
          <cell r="I456"/>
          <cell r="J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</row>
        <row r="457">
          <cell r="A457">
            <v>46041</v>
          </cell>
          <cell r="B457" t="str">
            <v>Amazon FBA</v>
          </cell>
          <cell r="C457" t="str">
            <v>FBA 42</v>
          </cell>
          <cell r="D457"/>
          <cell r="F457" t="str">
            <v>1PK</v>
          </cell>
          <cell r="G457" t="str">
            <v>LARGINE-100-FD</v>
          </cell>
          <cell r="H457">
            <v>120</v>
          </cell>
          <cell r="I457"/>
          <cell r="J457">
            <v>0</v>
          </cell>
          <cell r="L457" t="str">
            <v>In Production</v>
          </cell>
          <cell r="M457"/>
          <cell r="N457" t="str">
            <v>NA</v>
          </cell>
          <cell r="O457">
            <v>609788968559</v>
          </cell>
          <cell r="P457">
            <v>2000</v>
          </cell>
          <cell r="Q457">
            <v>4998</v>
          </cell>
          <cell r="R457">
            <v>46198</v>
          </cell>
          <cell r="S457"/>
          <cell r="T457"/>
          <cell r="U457"/>
          <cell r="V457"/>
          <cell r="W457"/>
          <cell r="X457"/>
        </row>
        <row r="458">
          <cell r="A458">
            <v>46041</v>
          </cell>
          <cell r="B458" t="str">
            <v>Amazon FBA</v>
          </cell>
          <cell r="C458" t="str">
            <v>FBA 42</v>
          </cell>
          <cell r="D458"/>
          <cell r="F458" t="str">
            <v>2PK</v>
          </cell>
          <cell r="G458" t="str">
            <v>XTRAD5-60-FD</v>
          </cell>
          <cell r="H458">
            <v>96</v>
          </cell>
          <cell r="I458"/>
          <cell r="J458">
            <v>0</v>
          </cell>
          <cell r="L458" t="str">
            <v>Production complete</v>
          </cell>
          <cell r="M458"/>
          <cell r="N458" t="str">
            <v>NA</v>
          </cell>
          <cell r="O458" t="str">
            <v>609788968030</v>
          </cell>
          <cell r="P458">
            <v>5000</v>
          </cell>
          <cell r="Q458">
            <v>4946</v>
          </cell>
          <cell r="R458">
            <v>46094</v>
          </cell>
          <cell r="S458" t="str">
            <v>Pending product release</v>
          </cell>
          <cell r="T458"/>
          <cell r="U458"/>
          <cell r="V458"/>
          <cell r="W458"/>
          <cell r="X458"/>
        </row>
        <row r="459">
          <cell r="A459">
            <v>46118</v>
          </cell>
          <cell r="B459" t="str">
            <v>Amazon AWD</v>
          </cell>
          <cell r="C459" t="str">
            <v>AWD Backorder</v>
          </cell>
          <cell r="D459" t="str">
            <v>Advanced Thyroid 60ct (from AWD 11)</v>
          </cell>
          <cell r="F459" t="str">
            <v>1PK</v>
          </cell>
          <cell r="G459" t="str">
            <v>ADVTH-60-FD</v>
          </cell>
          <cell r="H459">
            <v>24</v>
          </cell>
          <cell r="I459"/>
          <cell r="J459">
            <v>0</v>
          </cell>
          <cell r="L459" t="str">
            <v>Not Meet MOQ</v>
          </cell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</row>
        <row r="460">
          <cell r="A460">
            <v>46085</v>
          </cell>
          <cell r="B460" t="str">
            <v>Amazon AWD</v>
          </cell>
          <cell r="C460" t="str">
            <v>AWD 13</v>
          </cell>
          <cell r="D460" t="str">
            <v>WFS Plus 90ct</v>
          </cell>
          <cell r="F460" t="str">
            <v>1PK                                    6/8/2026: moved from AWD Backorder.</v>
          </cell>
          <cell r="G460" t="str">
            <v>WFSPLS-90-FD</v>
          </cell>
          <cell r="H460">
            <v>240</v>
          </cell>
          <cell r="I460"/>
          <cell r="J460">
            <v>240</v>
          </cell>
          <cell r="L460" t="str">
            <v>Available</v>
          </cell>
          <cell r="M460"/>
          <cell r="N460" t="str">
            <v>NA</v>
          </cell>
          <cell r="O460">
            <v>609788968108</v>
          </cell>
          <cell r="P460">
            <v>4000</v>
          </cell>
          <cell r="Q460">
            <v>4941</v>
          </cell>
          <cell r="R460" t="str">
            <v>Complete</v>
          </cell>
          <cell r="S460"/>
          <cell r="T460"/>
          <cell r="U460"/>
          <cell r="V460"/>
          <cell r="W460"/>
          <cell r="X460" t="str">
            <v>Approved</v>
          </cell>
        </row>
        <row r="461">
          <cell r="A461">
            <v>46085</v>
          </cell>
          <cell r="B461" t="str">
            <v>Amazon AWD</v>
          </cell>
          <cell r="C461" t="str">
            <v>AWD 13</v>
          </cell>
          <cell r="D461" t="str">
            <v>MFS Plus 120ct</v>
          </cell>
          <cell r="F461" t="str">
            <v>1PK                                 6/8/2026: Moved from AWD Backorder.</v>
          </cell>
          <cell r="G461" t="str">
            <v>MFSPLS-120-FD</v>
          </cell>
          <cell r="H461">
            <v>240</v>
          </cell>
          <cell r="I461"/>
          <cell r="J461">
            <v>240</v>
          </cell>
          <cell r="L461" t="str">
            <v>Available</v>
          </cell>
          <cell r="M461"/>
          <cell r="N461" t="str">
            <v>NA</v>
          </cell>
          <cell r="O461">
            <v>609788968344</v>
          </cell>
          <cell r="P461">
            <v>7000</v>
          </cell>
          <cell r="Q461">
            <v>4935</v>
          </cell>
          <cell r="R461" t="str">
            <v>complete</v>
          </cell>
          <cell r="S461"/>
          <cell r="T461"/>
          <cell r="U461"/>
          <cell r="V461"/>
          <cell r="W461"/>
          <cell r="X461"/>
        </row>
        <row r="462">
          <cell r="A462">
            <v>46118</v>
          </cell>
          <cell r="B462" t="str">
            <v>Amazon AWD</v>
          </cell>
          <cell r="C462" t="str">
            <v>AWD 13</v>
          </cell>
          <cell r="D462" t="str">
            <v>Ovamax 120ct (from AWD 11)</v>
          </cell>
          <cell r="F462" t="str">
            <v>1PK 
4/10/2026: qty decreased 600 -&gt; 240                                   6/8/2026: Moved from AWD Backorder.</v>
          </cell>
          <cell r="G462" t="str">
            <v>OVAMAX-120-FD</v>
          </cell>
          <cell r="H462">
            <v>240</v>
          </cell>
          <cell r="I462"/>
          <cell r="J462">
            <v>240</v>
          </cell>
          <cell r="L462" t="str">
            <v>Available</v>
          </cell>
          <cell r="M462" t="str">
            <v>Lot :4949</v>
          </cell>
          <cell r="N462" t="str">
            <v>NA</v>
          </cell>
          <cell r="O462">
            <v>810131199586</v>
          </cell>
          <cell r="P462">
            <v>4100</v>
          </cell>
          <cell r="Q462">
            <v>4949</v>
          </cell>
          <cell r="R462">
            <v>46132</v>
          </cell>
          <cell r="S462"/>
          <cell r="T462"/>
          <cell r="U462"/>
          <cell r="V462"/>
          <cell r="W462"/>
          <cell r="X462"/>
        </row>
        <row r="463">
          <cell r="A463">
            <v>46118</v>
          </cell>
          <cell r="B463" t="str">
            <v>Amazon AWD</v>
          </cell>
          <cell r="C463" t="str">
            <v>AWD 13</v>
          </cell>
          <cell r="D463" t="str">
            <v>MFS Plus 60ct (from AWD 11)</v>
          </cell>
          <cell r="F463" t="str">
            <v>1PK 
4/10/2026: qty decreased 144 -&gt; 72                                          6/8/2026: Moved from AWD Backorder.</v>
          </cell>
          <cell r="G463" t="str">
            <v>MFSPLS-60-FD</v>
          </cell>
          <cell r="H463">
            <v>72</v>
          </cell>
          <cell r="I463"/>
          <cell r="J463">
            <v>72</v>
          </cell>
          <cell r="L463" t="str">
            <v>Available</v>
          </cell>
          <cell r="M463" t="str">
            <v>168 Available With 3 LOTS</v>
          </cell>
          <cell r="N463" t="str">
            <v>NA</v>
          </cell>
          <cell r="O463">
            <v>609788968092</v>
          </cell>
          <cell r="P463"/>
          <cell r="Q463"/>
          <cell r="R463"/>
          <cell r="S463"/>
          <cell r="T463"/>
          <cell r="U463"/>
          <cell r="V463"/>
          <cell r="W463"/>
          <cell r="X463"/>
        </row>
        <row r="464">
          <cell r="A464">
            <v>46041</v>
          </cell>
          <cell r="B464" t="str">
            <v>Amazon FBA</v>
          </cell>
          <cell r="C464" t="str">
            <v>AWD 13</v>
          </cell>
          <cell r="D464"/>
          <cell r="F464" t="str">
            <v>1PK                                6/11/2026: Moved from FBA42</v>
          </cell>
          <cell r="G464" t="str">
            <v>MFSPLS-120-FD</v>
          </cell>
          <cell r="H464">
            <v>216</v>
          </cell>
          <cell r="I464"/>
          <cell r="J464">
            <v>216</v>
          </cell>
          <cell r="L464" t="str">
            <v>Available</v>
          </cell>
          <cell r="M464"/>
          <cell r="N464" t="str">
            <v>NA</v>
          </cell>
          <cell r="O464">
            <v>609788968344</v>
          </cell>
          <cell r="P464">
            <v>7000</v>
          </cell>
          <cell r="Q464">
            <v>4935</v>
          </cell>
          <cell r="R464" t="str">
            <v>complete</v>
          </cell>
          <cell r="S464"/>
          <cell r="T464"/>
          <cell r="U464"/>
          <cell r="V464"/>
          <cell r="W464"/>
        </row>
        <row r="465">
          <cell r="A465">
            <v>46041</v>
          </cell>
          <cell r="B465" t="str">
            <v>Amazon FBA</v>
          </cell>
          <cell r="C465" t="str">
            <v>AWD 13</v>
          </cell>
          <cell r="D465"/>
          <cell r="F465" t="str">
            <v>1PK                                    6/11/2026: Moved from FBA42</v>
          </cell>
          <cell r="G465" t="str">
            <v>NMNH-60-FD</v>
          </cell>
          <cell r="H465">
            <v>120</v>
          </cell>
          <cell r="I465"/>
          <cell r="J465">
            <v>120</v>
          </cell>
          <cell r="L465" t="str">
            <v>Available</v>
          </cell>
          <cell r="M465"/>
          <cell r="N465" t="str">
            <v>NA</v>
          </cell>
          <cell r="O465">
            <v>810131192990</v>
          </cell>
          <cell r="P465">
            <v>5000</v>
          </cell>
          <cell r="Q465">
            <v>4798</v>
          </cell>
          <cell r="R465">
            <v>46041</v>
          </cell>
          <cell r="S465"/>
          <cell r="T465"/>
          <cell r="U465"/>
          <cell r="V465"/>
          <cell r="W465"/>
        </row>
        <row r="466">
          <cell r="A466">
            <v>46041</v>
          </cell>
          <cell r="B466" t="str">
            <v>Amazon FBA</v>
          </cell>
          <cell r="C466" t="str">
            <v>AWD 13</v>
          </cell>
          <cell r="D466"/>
          <cell r="F466" t="str">
            <v>1PK                                    6/11/2026: Moved from FBA42</v>
          </cell>
          <cell r="G466" t="str">
            <v>FERTMX-90-FD</v>
          </cell>
          <cell r="H466">
            <v>168</v>
          </cell>
          <cell r="I466"/>
          <cell r="J466">
            <v>37</v>
          </cell>
          <cell r="L466" t="str">
            <v>Available</v>
          </cell>
          <cell r="M466" t="str">
            <v>120 shipped with AWD11 and left with 37 bottles lot 48091025</v>
          </cell>
          <cell r="N466" t="str">
            <v>NA</v>
          </cell>
          <cell r="O466"/>
          <cell r="P466"/>
          <cell r="Q466"/>
          <cell r="R466"/>
          <cell r="S466"/>
          <cell r="T466"/>
          <cell r="U466"/>
          <cell r="V466"/>
          <cell r="W466"/>
        </row>
        <row r="467">
          <cell r="A467">
            <v>46041</v>
          </cell>
          <cell r="B467" t="str">
            <v>Amazon FBA</v>
          </cell>
          <cell r="C467" t="str">
            <v>AWD 13</v>
          </cell>
          <cell r="D467"/>
          <cell r="F467" t="str">
            <v>1PK                                    6/11/2026: Moved from FBA42</v>
          </cell>
          <cell r="G467" t="str">
            <v>PRECON-180-FD</v>
          </cell>
          <cell r="H467">
            <v>120</v>
          </cell>
          <cell r="I467"/>
          <cell r="J467">
            <v>120</v>
          </cell>
          <cell r="L467" t="str">
            <v>Available</v>
          </cell>
          <cell r="M467" t="str">
            <v>46800725 Reserved</v>
          </cell>
          <cell r="N467" t="str">
            <v>NA</v>
          </cell>
          <cell r="O467">
            <v>609788968375</v>
          </cell>
          <cell r="P467"/>
          <cell r="Q467"/>
          <cell r="R467"/>
          <cell r="S467"/>
          <cell r="T467"/>
          <cell r="U467"/>
          <cell r="V467"/>
          <cell r="W467"/>
        </row>
        <row r="468">
          <cell r="A468">
            <v>46041</v>
          </cell>
          <cell r="B468" t="str">
            <v>Amazon FBA</v>
          </cell>
          <cell r="C468" t="str">
            <v>AWD 13</v>
          </cell>
          <cell r="D468"/>
          <cell r="F468" t="str">
            <v>1PK                                    6/11/2026: Moved from FBA42</v>
          </cell>
          <cell r="G468" t="str">
            <v>CAVIN-60-FD</v>
          </cell>
          <cell r="H468">
            <v>48</v>
          </cell>
          <cell r="I468"/>
          <cell r="J468">
            <v>48</v>
          </cell>
          <cell r="L468" t="str">
            <v>Available</v>
          </cell>
          <cell r="M468"/>
          <cell r="N468" t="str">
            <v>NA</v>
          </cell>
          <cell r="O468">
            <v>609788968597</v>
          </cell>
          <cell r="P468">
            <v>5000</v>
          </cell>
          <cell r="Q468">
            <v>4924</v>
          </cell>
          <cell r="R468">
            <v>46042</v>
          </cell>
          <cell r="S468"/>
          <cell r="T468"/>
          <cell r="U468"/>
          <cell r="V468"/>
          <cell r="W468"/>
        </row>
        <row r="469">
          <cell r="A469">
            <v>46041</v>
          </cell>
          <cell r="B469" t="str">
            <v>Amazon FBA</v>
          </cell>
          <cell r="C469" t="str">
            <v>AWD 13</v>
          </cell>
          <cell r="D469"/>
          <cell r="F469" t="str">
            <v>1PK                                    6/11/2026: Moved from FBA42</v>
          </cell>
          <cell r="G469" t="str">
            <v>MEMOUP-60-FD</v>
          </cell>
          <cell r="H469">
            <v>24</v>
          </cell>
          <cell r="I469"/>
          <cell r="J469">
            <v>24</v>
          </cell>
          <cell r="L469" t="str">
            <v>Available</v>
          </cell>
          <cell r="M469"/>
          <cell r="N469" t="str">
            <v>NA</v>
          </cell>
          <cell r="O469">
            <v>810131199449</v>
          </cell>
          <cell r="P469"/>
          <cell r="Q469"/>
          <cell r="R469"/>
          <cell r="S469"/>
          <cell r="T469"/>
          <cell r="U469"/>
          <cell r="V469"/>
          <cell r="W469"/>
        </row>
        <row r="470">
          <cell r="A470">
            <v>46041</v>
          </cell>
          <cell r="B470" t="str">
            <v>Amazon FBA</v>
          </cell>
          <cell r="C470" t="str">
            <v>AWD 13</v>
          </cell>
          <cell r="D470"/>
          <cell r="F470" t="str">
            <v>1PK                                    6/11/2026: Moved from FBA42</v>
          </cell>
          <cell r="G470" t="str">
            <v>GINKGO-60_FD</v>
          </cell>
          <cell r="H470">
            <v>48</v>
          </cell>
          <cell r="I470"/>
          <cell r="J470">
            <v>48</v>
          </cell>
          <cell r="L470" t="str">
            <v>Available</v>
          </cell>
          <cell r="M470"/>
          <cell r="N470" t="str">
            <v>NA</v>
          </cell>
          <cell r="O470">
            <v>609788968146</v>
          </cell>
          <cell r="P470"/>
          <cell r="Q470"/>
          <cell r="R470"/>
          <cell r="S470"/>
          <cell r="T470"/>
          <cell r="U470"/>
          <cell r="V470"/>
          <cell r="W470"/>
        </row>
        <row r="472">
          <cell r="A472">
            <v>46085</v>
          </cell>
          <cell r="B472" t="str">
            <v>Amazon AWD</v>
          </cell>
          <cell r="C472" t="str">
            <v>AWD Backorder</v>
          </cell>
          <cell r="D472" t="str">
            <v>L-Arginine 1,000mg 100ct</v>
          </cell>
          <cell r="F472" t="str">
            <v>1PK</v>
          </cell>
          <cell r="G472" t="str">
            <v>LARGIN-100-FD</v>
          </cell>
          <cell r="H472">
            <v>120</v>
          </cell>
          <cell r="I472"/>
          <cell r="J472">
            <v>0</v>
          </cell>
          <cell r="L472" t="str">
            <v>In Production</v>
          </cell>
          <cell r="M472"/>
          <cell r="N472" t="str">
            <v>NA</v>
          </cell>
          <cell r="O472">
            <v>609788968559</v>
          </cell>
          <cell r="P472">
            <v>2000</v>
          </cell>
          <cell r="Q472">
            <v>4998</v>
          </cell>
          <cell r="R472">
            <v>46198</v>
          </cell>
          <cell r="S472"/>
          <cell r="T472"/>
          <cell r="U472"/>
          <cell r="V472"/>
          <cell r="W472"/>
          <cell r="X472"/>
        </row>
        <row r="473">
          <cell r="A473">
            <v>46085</v>
          </cell>
          <cell r="B473" t="str">
            <v>Amazon AWD</v>
          </cell>
          <cell r="C473" t="str">
            <v>AWD Backorder</v>
          </cell>
          <cell r="D473" t="str">
            <v>PediaWell D-400 50mL</v>
          </cell>
          <cell r="F473" t="str">
            <v>1PK</v>
          </cell>
          <cell r="G473" t="str">
            <v>PEDIAD4-50-FD</v>
          </cell>
          <cell r="H473">
            <v>120</v>
          </cell>
          <cell r="I473"/>
          <cell r="J473">
            <v>0</v>
          </cell>
          <cell r="L473" t="str">
            <v>PO submitted</v>
          </cell>
          <cell r="M473"/>
          <cell r="N473" t="str">
            <v>NA</v>
          </cell>
          <cell r="O473"/>
          <cell r="P473">
            <v>5000</v>
          </cell>
          <cell r="Q473">
            <v>4979</v>
          </cell>
          <cell r="R473" t="str">
            <v>TBD</v>
          </cell>
          <cell r="S473" t="str">
            <v>Waiting for IFC to start production.</v>
          </cell>
          <cell r="T473"/>
          <cell r="U473"/>
          <cell r="V473"/>
          <cell r="W473"/>
          <cell r="X473"/>
        </row>
        <row r="474">
          <cell r="A474">
            <v>46085</v>
          </cell>
          <cell r="B474" t="str">
            <v>Amazon AWD</v>
          </cell>
          <cell r="C474" t="str">
            <v>AWD Backorder</v>
          </cell>
          <cell r="D474" t="str">
            <v>PediaWell D-800 50mL</v>
          </cell>
          <cell r="F474" t="str">
            <v>1PK</v>
          </cell>
          <cell r="G474" t="str">
            <v>PEDIAD8-50-FD</v>
          </cell>
          <cell r="H474">
            <v>120</v>
          </cell>
          <cell r="I474"/>
          <cell r="J474">
            <v>0</v>
          </cell>
          <cell r="L474" t="str">
            <v>Not Meet MOQ</v>
          </cell>
          <cell r="M474"/>
          <cell r="N474" t="str">
            <v>NA</v>
          </cell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</row>
        <row r="475">
          <cell r="A475">
            <v>46118</v>
          </cell>
          <cell r="B475" t="str">
            <v>Amazon AWD</v>
          </cell>
          <cell r="C475" t="str">
            <v>AWD Backorder</v>
          </cell>
          <cell r="D475" t="str">
            <v>Fertilimax 90ct (from AWD 11)</v>
          </cell>
          <cell r="F475" t="str">
            <v>1PK</v>
          </cell>
          <cell r="G475" t="str">
            <v>FERTMX-90-FD</v>
          </cell>
          <cell r="H475">
            <v>120</v>
          </cell>
          <cell r="I475"/>
          <cell r="J475">
            <v>0</v>
          </cell>
          <cell r="L475" t="str">
            <v>PO submitted</v>
          </cell>
          <cell r="M475"/>
          <cell r="N475" t="str">
            <v>NA</v>
          </cell>
          <cell r="O475"/>
          <cell r="P475">
            <v>5000</v>
          </cell>
          <cell r="Q475">
            <v>5041</v>
          </cell>
          <cell r="R475" t="str">
            <v>TBD</v>
          </cell>
          <cell r="S475" t="str">
            <v>Waiting for vendor confirmation.</v>
          </cell>
          <cell r="T475"/>
          <cell r="U475"/>
          <cell r="V475"/>
          <cell r="W475"/>
          <cell r="X475"/>
        </row>
        <row r="476">
          <cell r="A476">
            <v>46118</v>
          </cell>
          <cell r="B476" t="str">
            <v>Amazon AWD</v>
          </cell>
          <cell r="C476" t="str">
            <v>AWD Backorder</v>
          </cell>
          <cell r="D476" t="str">
            <v>Fertilimax 90ct (from AWD 11)</v>
          </cell>
          <cell r="F476" t="str">
            <v>1PK</v>
          </cell>
          <cell r="G476" t="str">
            <v>FERTMX-90-FD</v>
          </cell>
          <cell r="H476">
            <v>72</v>
          </cell>
          <cell r="I476"/>
          <cell r="J476">
            <v>0</v>
          </cell>
          <cell r="L476" t="str">
            <v>PO submitted</v>
          </cell>
          <cell r="M476"/>
          <cell r="N476"/>
          <cell r="O476"/>
          <cell r="P476">
            <v>5000</v>
          </cell>
          <cell r="Q476">
            <v>5041</v>
          </cell>
          <cell r="R476" t="str">
            <v>TBD</v>
          </cell>
          <cell r="S476" t="str">
            <v>Waiting for vendor confirmation.</v>
          </cell>
          <cell r="T476"/>
          <cell r="U476"/>
          <cell r="V476"/>
          <cell r="W476"/>
          <cell r="X476"/>
        </row>
        <row r="477">
          <cell r="A477">
            <v>46118</v>
          </cell>
          <cell r="B477" t="str">
            <v>Amazon AWD</v>
          </cell>
          <cell r="C477" t="str">
            <v>AWD Backorder</v>
          </cell>
          <cell r="D477" t="str">
            <v>Advanced Thyroid 60ct (from AWD 11)</v>
          </cell>
          <cell r="F477" t="str">
            <v>1PK</v>
          </cell>
          <cell r="G477" t="str">
            <v>ADVTH-60-FD</v>
          </cell>
          <cell r="H477">
            <v>24</v>
          </cell>
          <cell r="I477"/>
          <cell r="J477">
            <v>0</v>
          </cell>
          <cell r="L477" t="str">
            <v>Not Meet MOQ</v>
          </cell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AAC65-0A93-4143-8403-81E64A21A3AA}" name="TableTake" displayName="TableTake" ref="A2:AE652" totalsRowShown="0" headerRowDxfId="115" headerRowBorderDxfId="114">
  <autoFilter ref="A2:AE652" xr:uid="{DEBAAC65-0A93-4143-8403-81E64A21A3AA}">
    <filterColumn colId="7">
      <filters>
        <filter val="QTY:"/>
      </filters>
    </filterColumn>
    <filterColumn colId="13">
      <filters>
        <filter val="Available"/>
        <filter val="D/W Sent"/>
        <filter val="Pending Picking"/>
        <filter val="Picked"/>
        <filter val="Rework"/>
        <filter val="Transit to Warehouse"/>
      </filters>
    </filterColumn>
  </autoFilter>
  <tableColumns count="31">
    <tableColumn id="1" xr3:uid="{8FE738FB-E55D-4A43-89A9-AD877FB9B72B}" name="Date of Order">
      <calculatedColumnFormula>'[1]2026 Orders'!A4</calculatedColumnFormula>
    </tableColumn>
    <tableColumn id="2" xr3:uid="{9BD7EBF9-009E-4383-AC9A-F04436E23404}" name="Customer" dataDxfId="113">
      <calculatedColumnFormula>'[1]2026 Orders'!B4</calculatedColumnFormula>
    </tableColumn>
    <tableColumn id="3" xr3:uid="{B26BF485-0654-4E1A-9F3E-569DFC2D4F95}" name="Order #" dataDxfId="112">
      <calculatedColumnFormula>'[1]2026 Orders'!C4</calculatedColumnFormula>
    </tableColumn>
    <tableColumn id="4" xr3:uid="{3CE461BF-D883-4119-9EA2-4FBA762C3486}" name="Sales Personal Notes" dataDxfId="111">
      <calculatedColumnFormula>'[1]2026 Orders'!D4</calculatedColumnFormula>
    </tableColumn>
    <tableColumn id="5" xr3:uid="{775A5AC4-DA2B-457A-9383-7F5F8CB6E8B3}" name="Order Details" dataDxfId="1">
      <calculatedColumnFormula array="1">IF(C3=0,"",
HYPERLINK(
"#'2026 Orders'!C"&amp;
MATCH(1,
('2026 Orders'!C:C=C3)*
('2026 Orders'!G:G=G3)*
('2026 Orders'!N:N=N3),
0),
"Open "&amp;C3
))</calculatedColumnFormula>
    </tableColumn>
    <tableColumn id="6" xr3:uid="{7E958EA0-D0AF-4253-9652-6DBE634D20AD}" name="Notes:  Include all notes week by week" dataDxfId="110">
      <calculatedColumnFormula>'[1]2026 Orders'!F4</calculatedColumnFormula>
    </tableColumn>
    <tableColumn id="7" xr3:uid="{4DE63CE5-091C-4C14-AFD8-C2908C88BFF7}" name="SKU" dataDxfId="109">
      <calculatedColumnFormula>'[1]2026 Orders'!G4</calculatedColumnFormula>
    </tableColumn>
    <tableColumn id="28" xr3:uid="{F74F9308-6C28-4799-B1DD-36FC2028AE66}" name="Product" dataDxfId="108">
      <calculatedColumnFormula array="1">IFERROR(_xlfn.TEXTJOIN("-",,INDEX(_xlfn.TEXTSPLIT(TableTake[[#This Row],[SKU]],"-"),{1,2})),"")</calculatedColumnFormula>
    </tableColumn>
    <tableColumn id="27" xr3:uid="{20DEBE43-601C-4BA4-B7CC-960BB08B6F3D}" name="Label" dataDxfId="107">
      <calculatedColumnFormula>IFERROR(_xlfn.TEXTAFTER(TableTake[[#This Row],[SKU]],"-",-1),"")</calculatedColumnFormula>
    </tableColumn>
    <tableColumn id="8" xr3:uid="{C1938472-D7CD-4EBE-9CDE-029B713942FE}" name="QTY on Order" dataDxfId="106">
      <calculatedColumnFormula>'[1]2026 Orders'!H4</calculatedColumnFormula>
    </tableColumn>
    <tableColumn id="9" xr3:uid="{A553E15E-A98D-4AB3-9CE6-50DD73277BE7}" name="Labels/IFC- Version/batch">
      <calculatedColumnFormula>'[1]2026 Orders'!I4</calculatedColumnFormula>
    </tableColumn>
    <tableColumn id="10" xr3:uid="{1BA1F751-05C4-4CCE-848E-1BC548129C4A}" name="QTY Commited">
      <calculatedColumnFormula>'[1]2026 Orders'!J4</calculatedColumnFormula>
    </tableColumn>
    <tableColumn id="11" xr3:uid="{C74AD31F-3FBE-4A09-8BE7-78EE67058D24}" name="Column4" dataDxfId="105"/>
    <tableColumn id="12" xr3:uid="{6E489A4D-7142-452C-9665-9F450AB5BD47}" name="Status" dataDxfId="104">
      <calculatedColumnFormula>'[1]2026 Orders'!L4</calculatedColumnFormula>
    </tableColumn>
    <tableColumn id="13" xr3:uid="{CC4DA150-F4B3-4E4C-927B-52A0CBEF91C5}" name="Notes">
      <calculatedColumnFormula>'[1]2026 Orders'!M4</calculatedColumnFormula>
    </tableColumn>
    <tableColumn id="14" xr3:uid="{5CF70E7B-D2B3-440D-959F-999C4D1C5F71}" name="IFC">
      <calculatedColumnFormula>'[1]2026 Orders'!N4</calculatedColumnFormula>
    </tableColumn>
    <tableColumn id="15" xr3:uid="{AFCBFEC8-BB48-4E1F-921E-5F3C14D13714}" name="UPC Code">
      <calculatedColumnFormula>'[1]2026 Orders'!O4</calculatedColumnFormula>
    </tableColumn>
    <tableColumn id="16" xr3:uid="{AC066B09-C297-4AC6-8B07-2478889C9BC0}" name="QTY on Order2">
      <calculatedColumnFormula>'[1]2026 Orders'!P4</calculatedColumnFormula>
    </tableColumn>
    <tableColumn id="17" xr3:uid="{747293FD-4736-496A-805D-AF39D9F76F66}" name="Item PO">
      <calculatedColumnFormula>'[1]2026 Orders'!Q4</calculatedColumnFormula>
    </tableColumn>
    <tableColumn id="18" xr3:uid="{416EF9F5-D118-4651-BA81-7477BC17D20C}" name="EST Manufacture Completion">
      <calculatedColumnFormula>'[1]2026 Orders'!R4</calculatedColumnFormula>
    </tableColumn>
    <tableColumn id="19" xr3:uid="{F00B9A87-24B8-4FF0-9253-208E5484C101}" name="Notes:">
      <calculatedColumnFormula>'[1]2026 Orders'!S4</calculatedColumnFormula>
    </tableColumn>
    <tableColumn id="20" xr3:uid="{0462B7D3-FAFC-423A-BDE4-5CA2BEC7026E}" name="Lot Number">
      <calculatedColumnFormula>'[1]2026 Orders'!T4</calculatedColumnFormula>
    </tableColumn>
    <tableColumn id="21" xr3:uid="{242864BE-9FAB-4D60-A09E-19E2A70B0320}" name="Notes:  Include all notes week by week3">
      <calculatedColumnFormula>'[1]2026 Orders'!U4</calculatedColumnFormula>
    </tableColumn>
    <tableColumn id="22" xr3:uid="{3FD86241-4858-4224-80A9-ECDB335706D1}" name="Order ETA_x000a_** only for products in rework**">
      <calculatedColumnFormula>'[1]2026 Orders'!V4</calculatedColumnFormula>
    </tableColumn>
    <tableColumn id="23" xr3:uid="{99C0603B-DCE3-4B3F-83E0-2650A150D644}" name="Date Completed D/W Sent">
      <calculatedColumnFormula>'[1]2026 Orders'!W4</calculatedColumnFormula>
    </tableColumn>
    <tableColumn id="24" xr3:uid="{5A179656-08FC-4B42-818A-34558C099DD7}" name="Status4">
      <calculatedColumnFormula>'[1]2026 Orders'!X4</calculatedColumnFormula>
    </tableColumn>
    <tableColumn id="25" xr3:uid="{0294C858-72C2-49B4-B8EF-611FB5DABB6D}" name="Column2"/>
    <tableColumn id="26" xr3:uid="{A6CCC903-3EAF-4598-9EE6-D8B66F36E22A}" name="Column1"/>
    <tableColumn id="31" xr3:uid="{3190EF52-06D1-4C85-8674-369659AC8AC2}" name="QTY Fuffilled?" dataDxfId="103">
      <calculatedColumnFormula>IF(OR(B3="",B3=0),"",J3&amp;"/"&amp;$AJ$2)</calculatedColumnFormula>
    </tableColumn>
    <tableColumn id="32" xr3:uid="{CFF0D69C-F9B4-45CE-8FF0-C950792B22EF}" name="Peeling?" dataDxfId="102">
      <calculatedColumnFormula>IF(OR(J3="",J3=0),"",I3&amp;" -&gt; "&amp;$AK$2)</calculatedColumnFormula>
    </tableColumn>
    <tableColumn id="33" xr3:uid="{6C6F7CE7-0728-4936-90B1-C969DC4BA619}" name="Column3" dataDxfId="101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E2332-A999-490E-866A-9F9D4EB0F8C8}" name="TableGive" displayName="TableGive" ref="A2:AE652" totalsRowShown="0" headerRowDxfId="100" headerRowBorderDxfId="99">
  <autoFilter ref="A2:AE652" xr:uid="{607A8C41-7F0E-4E5C-A256-9D4EA0DF1F45}">
    <filterColumn colId="7">
      <filters>
        <filter val="QTY:"/>
      </filters>
    </filterColumn>
    <filterColumn colId="13">
      <filters>
        <filter val="Bulk Production Complete"/>
        <filter val="In Production"/>
        <filter val="Not Meet MOQ"/>
        <filter val="Out of Stock"/>
        <filter val="PO Drafted"/>
        <filter val="PO submitted"/>
        <filter val="Production Complete"/>
      </filters>
    </filterColumn>
  </autoFilter>
  <tableColumns count="31">
    <tableColumn id="1" xr3:uid="{ED7DD79B-3737-4C4A-81F3-249BB8CCB046}" name="Date of Order">
      <calculatedColumnFormula>'[1]2026 Orders'!A4</calculatedColumnFormula>
    </tableColumn>
    <tableColumn id="2" xr3:uid="{6F139930-3A04-491F-8D08-750FBB497FEA}" name="Customer" dataDxfId="98">
      <calculatedColumnFormula>'[1]2026 Orders'!B4</calculatedColumnFormula>
    </tableColumn>
    <tableColumn id="3" xr3:uid="{7DAE4C97-8EFC-483B-B0A4-5773BC7B4EA5}" name="Order #" dataDxfId="97">
      <calculatedColumnFormula>'[1]2026 Orders'!C4</calculatedColumnFormula>
    </tableColumn>
    <tableColumn id="4" xr3:uid="{79547B25-86DA-4F53-84F1-FC6A973E4357}" name="Sales Personal Notes" dataDxfId="96">
      <calculatedColumnFormula>'[1]2026 Orders'!D4</calculatedColumnFormula>
    </tableColumn>
    <tableColumn id="5" xr3:uid="{CBBE503F-9AC0-416C-B5E7-4378C8F6F024}" name="Order Details" dataDxfId="0">
      <calculatedColumnFormula array="1">IF(C3=0,"",
HYPERLINK(
"#'2026 Orders'!C"&amp;
MATCH(1,
('2026 Orders'!C:C=C3)*
('2026 Orders'!G:G=G3)*
('2026 Orders'!N:N=N3),
0),
"Open "&amp;C3
))</calculatedColumnFormula>
    </tableColumn>
    <tableColumn id="6" xr3:uid="{0EF20376-D931-4157-B7E8-41AF44E5FA87}" name="Notes:  Include all notes week by week" dataDxfId="95">
      <calculatedColumnFormula>'[1]2026 Orders'!F4</calculatedColumnFormula>
    </tableColumn>
    <tableColumn id="7" xr3:uid="{E59E4FE3-5D0E-40FF-93FE-56F56936B892}" name="SKU" dataDxfId="94">
      <calculatedColumnFormula>'[1]2026 Orders'!G4</calculatedColumnFormula>
    </tableColumn>
    <tableColumn id="28" xr3:uid="{2D365646-1D13-4CF7-BAD9-163AC443AA75}" name="Product" dataDxfId="93">
      <calculatedColumnFormula array="1">IFERROR(_xlfn.TEXTJOIN("-",,INDEX(_xlfn.TEXTSPLIT(TableGive[[#This Row],[SKU]],"-"),{1,2})),"")</calculatedColumnFormula>
    </tableColumn>
    <tableColumn id="27" xr3:uid="{7C6DA57A-3B40-4EF7-8784-B123DF339AB5}" name="Label" dataDxfId="92">
      <calculatedColumnFormula>IFERROR(_xlfn.TEXTAFTER(TableGive[[#This Row],[SKU]],"-",-1),"")</calculatedColumnFormula>
    </tableColumn>
    <tableColumn id="8" xr3:uid="{06E2CF50-8608-46C2-A51D-B20244A17CCD}" name="QTY on Order" dataDxfId="91">
      <calculatedColumnFormula>'[1]2026 Orders'!H4</calculatedColumnFormula>
    </tableColumn>
    <tableColumn id="9" xr3:uid="{162CE76F-A6A2-4C41-8237-4E771D2980E2}" name="Labels/IFC- Version/batch">
      <calculatedColumnFormula>'[1]2026 Orders'!I4</calculatedColumnFormula>
    </tableColumn>
    <tableColumn id="10" xr3:uid="{81C415A8-3289-41D3-AC2E-FBCA5F6BC5A9}" name="QTY Commited">
      <calculatedColumnFormula>'[1]2026 Orders'!J4</calculatedColumnFormula>
    </tableColumn>
    <tableColumn id="11" xr3:uid="{D3FAC496-F5E2-4B3E-AD8F-4F02E83DF602}" name="Column4" dataDxfId="90"/>
    <tableColumn id="12" xr3:uid="{9E139B93-44FC-4C0A-BE6D-0F78FB8272AD}" name="Status" dataDxfId="89">
      <calculatedColumnFormula>'[1]2026 Orders'!L4</calculatedColumnFormula>
    </tableColumn>
    <tableColumn id="13" xr3:uid="{43B3E568-AAB4-442F-B3DD-5707A89593B6}" name="Notes">
      <calculatedColumnFormula>'[1]2026 Orders'!M4</calculatedColumnFormula>
    </tableColumn>
    <tableColumn id="14" xr3:uid="{21363BA1-6B39-4632-B62F-58A7F41AE131}" name="IFC">
      <calculatedColumnFormula>'[1]2026 Orders'!N4</calculatedColumnFormula>
    </tableColumn>
    <tableColumn id="15" xr3:uid="{9F795A62-402E-4803-B86A-7EEE3032E42D}" name="UPC Code">
      <calculatedColumnFormula>'[1]2026 Orders'!O4</calculatedColumnFormula>
    </tableColumn>
    <tableColumn id="16" xr3:uid="{47E1E7B9-153E-4376-9E6F-C0CB92B8B376}" name="QTY on Order2">
      <calculatedColumnFormula>'[1]2026 Orders'!P4</calculatedColumnFormula>
    </tableColumn>
    <tableColumn id="17" xr3:uid="{E41E3A39-D81D-43AE-8B16-A7881AAF2F7E}" name="Item PO">
      <calculatedColumnFormula>'[1]2026 Orders'!Q4</calculatedColumnFormula>
    </tableColumn>
    <tableColumn id="18" xr3:uid="{DFE1E278-182E-4BB0-89B9-5A8DEBCE0E46}" name="EST Manufacture Completion">
      <calculatedColumnFormula>'[1]2026 Orders'!R4</calculatedColumnFormula>
    </tableColumn>
    <tableColumn id="19" xr3:uid="{4F3AB1AA-67F5-4BD3-A456-A822FBB07CFF}" name="Notes:">
      <calculatedColumnFormula>'[1]2026 Orders'!S4</calculatedColumnFormula>
    </tableColumn>
    <tableColumn id="20" xr3:uid="{7F0A18EA-6CE4-425F-9544-D275D8D8D6C1}" name="Lot Number">
      <calculatedColumnFormula>'[1]2026 Orders'!T4</calculatedColumnFormula>
    </tableColumn>
    <tableColumn id="21" xr3:uid="{D1489500-84C8-4F13-BBB6-8B6D5D6F2F1E}" name="Notes:  Include all notes week by week3">
      <calculatedColumnFormula>'[1]2026 Orders'!U4</calculatedColumnFormula>
    </tableColumn>
    <tableColumn id="22" xr3:uid="{F7DE7F8E-8E3C-4D38-8549-FA4BE85ACB28}" name="Order ETA_x000a_** only for products in rework**">
      <calculatedColumnFormula>'[1]2026 Orders'!V4</calculatedColumnFormula>
    </tableColumn>
    <tableColumn id="23" xr3:uid="{365D7B8F-0FF5-4A5F-8072-E8CE5147D4A9}" name="Date Completed D/W Sent">
      <calculatedColumnFormula>'[1]2026 Orders'!W4</calculatedColumnFormula>
    </tableColumn>
    <tableColumn id="24" xr3:uid="{85B1AA1A-474B-4476-9B1F-AD840FD2502E}" name="Status4">
      <calculatedColumnFormula>'[1]2026 Orders'!X4</calculatedColumnFormula>
    </tableColumn>
    <tableColumn id="25" xr3:uid="{2DB3D4D7-64FD-4FD6-A220-A078ED7988E5}" name="Column2"/>
    <tableColumn id="26" xr3:uid="{80F3DAE1-338F-4D38-8A5E-5DC704625DFE}" name="Column1"/>
    <tableColumn id="31" xr3:uid="{62289ED3-E117-4772-9068-A2379FB1E759}" name="QTY Fuffilled?" dataDxfId="88">
      <calculatedColumnFormula>IF(OR(B3="",B3=0),"",$AJ$2&amp;"/"&amp;J3)</calculatedColumnFormula>
    </tableColumn>
    <tableColumn id="32" xr3:uid="{A2869769-6A90-4E45-84E7-51133EFD3E52}" name="Peeling?" dataDxfId="87">
      <calculatedColumnFormula>IF(OR(J3="",J3=0),"",$AK$2&amp;" -&gt; "&amp;I3)</calculatedColumnFormula>
    </tableColumn>
    <tableColumn id="33" xr3:uid="{C6212B42-64E0-42BF-A79B-1AFB2B132620}" name="Column3" dataDxfId="86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02BA-E6B9-462D-BD2A-CEBDC2A7FFEB}">
  <dimension ref="A1:C370"/>
  <sheetViews>
    <sheetView workbookViewId="0">
      <selection activeCell="D152" sqref="D152"/>
    </sheetView>
  </sheetViews>
  <sheetFormatPr defaultRowHeight="14.4" x14ac:dyDescent="0.3"/>
  <cols>
    <col min="1" max="1" width="26.6640625" bestFit="1" customWidth="1"/>
    <col min="3" max="3" width="20.5546875" bestFit="1" customWidth="1"/>
  </cols>
  <sheetData>
    <row r="1" spans="1:3" x14ac:dyDescent="0.3">
      <c r="A1" s="21" t="s">
        <v>43</v>
      </c>
      <c r="C1" s="46" t="s">
        <v>403</v>
      </c>
    </row>
    <row r="2" spans="1:3" x14ac:dyDescent="0.3">
      <c r="A2" s="21" t="s">
        <v>44</v>
      </c>
    </row>
    <row r="3" spans="1:3" x14ac:dyDescent="0.3">
      <c r="A3" s="21" t="s">
        <v>45</v>
      </c>
    </row>
    <row r="4" spans="1:3" x14ac:dyDescent="0.3">
      <c r="A4" s="21" t="s">
        <v>46</v>
      </c>
    </row>
    <row r="5" spans="1:3" x14ac:dyDescent="0.3">
      <c r="A5" s="21" t="s">
        <v>47</v>
      </c>
    </row>
    <row r="6" spans="1:3" x14ac:dyDescent="0.3">
      <c r="A6" s="22" t="s">
        <v>48</v>
      </c>
    </row>
    <row r="7" spans="1:3" x14ac:dyDescent="0.3">
      <c r="A7" s="23" t="s">
        <v>42</v>
      </c>
    </row>
    <row r="8" spans="1:3" x14ac:dyDescent="0.3">
      <c r="A8" s="24" t="s">
        <v>49</v>
      </c>
    </row>
    <row r="9" spans="1:3" x14ac:dyDescent="0.3">
      <c r="A9" s="24" t="s">
        <v>50</v>
      </c>
    </row>
    <row r="10" spans="1:3" x14ac:dyDescent="0.3">
      <c r="A10" s="21" t="s">
        <v>51</v>
      </c>
    </row>
    <row r="11" spans="1:3" x14ac:dyDescent="0.3">
      <c r="A11" s="25" t="s">
        <v>52</v>
      </c>
    </row>
    <row r="12" spans="1:3" x14ac:dyDescent="0.3">
      <c r="A12" s="25" t="s">
        <v>53</v>
      </c>
    </row>
    <row r="13" spans="1:3" x14ac:dyDescent="0.3">
      <c r="A13" s="21" t="s">
        <v>54</v>
      </c>
    </row>
    <row r="14" spans="1:3" x14ac:dyDescent="0.3">
      <c r="A14" s="21" t="s">
        <v>55</v>
      </c>
    </row>
    <row r="15" spans="1:3" x14ac:dyDescent="0.3">
      <c r="A15" s="21" t="s">
        <v>56</v>
      </c>
    </row>
    <row r="16" spans="1:3" x14ac:dyDescent="0.3">
      <c r="A16" s="22" t="s">
        <v>57</v>
      </c>
    </row>
    <row r="17" spans="1:1" x14ac:dyDescent="0.3">
      <c r="A17" s="22" t="s">
        <v>58</v>
      </c>
    </row>
    <row r="18" spans="1:1" x14ac:dyDescent="0.3">
      <c r="A18" s="21" t="s">
        <v>59</v>
      </c>
    </row>
    <row r="19" spans="1:1" x14ac:dyDescent="0.3">
      <c r="A19" s="21" t="s">
        <v>60</v>
      </c>
    </row>
    <row r="20" spans="1:1" x14ac:dyDescent="0.3">
      <c r="A20" s="22" t="s">
        <v>61</v>
      </c>
    </row>
    <row r="21" spans="1:1" x14ac:dyDescent="0.3">
      <c r="A21" s="26" t="s">
        <v>62</v>
      </c>
    </row>
    <row r="22" spans="1:1" x14ac:dyDescent="0.3">
      <c r="A22" s="22" t="s">
        <v>63</v>
      </c>
    </row>
    <row r="23" spans="1:1" x14ac:dyDescent="0.3">
      <c r="A23" s="22" t="s">
        <v>64</v>
      </c>
    </row>
    <row r="24" spans="1:1" x14ac:dyDescent="0.3">
      <c r="A24" s="22" t="s">
        <v>65</v>
      </c>
    </row>
    <row r="25" spans="1:1" x14ac:dyDescent="0.3">
      <c r="A25" s="26" t="s">
        <v>66</v>
      </c>
    </row>
    <row r="26" spans="1:1" x14ac:dyDescent="0.3">
      <c r="A26" s="26" t="s">
        <v>67</v>
      </c>
    </row>
    <row r="27" spans="1:1" x14ac:dyDescent="0.3">
      <c r="A27" s="26" t="s">
        <v>68</v>
      </c>
    </row>
    <row r="28" spans="1:1" x14ac:dyDescent="0.3">
      <c r="A28" s="21" t="s">
        <v>69</v>
      </c>
    </row>
    <row r="29" spans="1:1" x14ac:dyDescent="0.3">
      <c r="A29" s="21" t="s">
        <v>70</v>
      </c>
    </row>
    <row r="30" spans="1:1" x14ac:dyDescent="0.3">
      <c r="A30" s="22" t="s">
        <v>71</v>
      </c>
    </row>
    <row r="31" spans="1:1" x14ac:dyDescent="0.3">
      <c r="A31" s="21" t="s">
        <v>72</v>
      </c>
    </row>
    <row r="32" spans="1:1" x14ac:dyDescent="0.3">
      <c r="A32" s="21" t="s">
        <v>73</v>
      </c>
    </row>
    <row r="33" spans="1:1" x14ac:dyDescent="0.3">
      <c r="A33" s="21" t="s">
        <v>74</v>
      </c>
    </row>
    <row r="34" spans="1:1" x14ac:dyDescent="0.3">
      <c r="A34" s="21" t="s">
        <v>75</v>
      </c>
    </row>
    <row r="35" spans="1:1" x14ac:dyDescent="0.3">
      <c r="A35" s="21" t="s">
        <v>76</v>
      </c>
    </row>
    <row r="36" spans="1:1" x14ac:dyDescent="0.3">
      <c r="A36" s="22" t="s">
        <v>77</v>
      </c>
    </row>
    <row r="37" spans="1:1" x14ac:dyDescent="0.3">
      <c r="A37" s="22" t="s">
        <v>78</v>
      </c>
    </row>
    <row r="38" spans="1:1" x14ac:dyDescent="0.3">
      <c r="A38" s="27" t="s">
        <v>79</v>
      </c>
    </row>
    <row r="39" spans="1:1" x14ac:dyDescent="0.3">
      <c r="A39" s="22" t="s">
        <v>80</v>
      </c>
    </row>
    <row r="40" spans="1:1" x14ac:dyDescent="0.3">
      <c r="A40" s="22" t="s">
        <v>81</v>
      </c>
    </row>
    <row r="41" spans="1:1" x14ac:dyDescent="0.3">
      <c r="A41" s="22" t="s">
        <v>82</v>
      </c>
    </row>
    <row r="42" spans="1:1" x14ac:dyDescent="0.3">
      <c r="A42" s="22" t="s">
        <v>83</v>
      </c>
    </row>
    <row r="43" spans="1:1" x14ac:dyDescent="0.3">
      <c r="A43" s="22" t="s">
        <v>84</v>
      </c>
    </row>
    <row r="44" spans="1:1" x14ac:dyDescent="0.3">
      <c r="A44" s="21" t="s">
        <v>85</v>
      </c>
    </row>
    <row r="45" spans="1:1" x14ac:dyDescent="0.3">
      <c r="A45" s="21" t="s">
        <v>86</v>
      </c>
    </row>
    <row r="46" spans="1:1" x14ac:dyDescent="0.3">
      <c r="A46" s="22" t="s">
        <v>87</v>
      </c>
    </row>
    <row r="47" spans="1:1" x14ac:dyDescent="0.3">
      <c r="A47" s="22" t="s">
        <v>88</v>
      </c>
    </row>
    <row r="48" spans="1:1" x14ac:dyDescent="0.3">
      <c r="A48" s="22" t="s">
        <v>89</v>
      </c>
    </row>
    <row r="49" spans="1:1" x14ac:dyDescent="0.3">
      <c r="A49" s="21" t="s">
        <v>90</v>
      </c>
    </row>
    <row r="50" spans="1:1" x14ac:dyDescent="0.3">
      <c r="A50" s="21" t="s">
        <v>91</v>
      </c>
    </row>
    <row r="51" spans="1:1" x14ac:dyDescent="0.3">
      <c r="A51" s="21" t="s">
        <v>92</v>
      </c>
    </row>
    <row r="52" spans="1:1" x14ac:dyDescent="0.3">
      <c r="A52" s="21" t="s">
        <v>93</v>
      </c>
    </row>
    <row r="53" spans="1:1" x14ac:dyDescent="0.3">
      <c r="A53" s="21" t="s">
        <v>94</v>
      </c>
    </row>
    <row r="54" spans="1:1" x14ac:dyDescent="0.3">
      <c r="A54" s="21" t="s">
        <v>95</v>
      </c>
    </row>
    <row r="55" spans="1:1" x14ac:dyDescent="0.3">
      <c r="A55" s="21" t="s">
        <v>96</v>
      </c>
    </row>
    <row r="56" spans="1:1" x14ac:dyDescent="0.3">
      <c r="A56" s="21" t="s">
        <v>97</v>
      </c>
    </row>
    <row r="57" spans="1:1" x14ac:dyDescent="0.3">
      <c r="A57" s="28">
        <v>604776737582</v>
      </c>
    </row>
    <row r="58" spans="1:1" x14ac:dyDescent="0.3">
      <c r="A58" s="21" t="s">
        <v>98</v>
      </c>
    </row>
    <row r="59" spans="1:1" x14ac:dyDescent="0.3">
      <c r="A59" s="21" t="s">
        <v>99</v>
      </c>
    </row>
    <row r="60" spans="1:1" x14ac:dyDescent="0.3">
      <c r="A60" s="21" t="s">
        <v>100</v>
      </c>
    </row>
    <row r="61" spans="1:1" x14ac:dyDescent="0.3">
      <c r="A61" s="21" t="s">
        <v>101</v>
      </c>
    </row>
    <row r="62" spans="1:1" x14ac:dyDescent="0.3">
      <c r="A62" s="22" t="s">
        <v>102</v>
      </c>
    </row>
    <row r="63" spans="1:1" x14ac:dyDescent="0.3">
      <c r="A63" s="22" t="s">
        <v>103</v>
      </c>
    </row>
    <row r="64" spans="1:1" x14ac:dyDescent="0.3">
      <c r="A64" s="21" t="s">
        <v>104</v>
      </c>
    </row>
    <row r="65" spans="1:1" x14ac:dyDescent="0.3">
      <c r="A65" s="21" t="s">
        <v>105</v>
      </c>
    </row>
    <row r="66" spans="1:1" x14ac:dyDescent="0.3">
      <c r="A66" s="22" t="s">
        <v>106</v>
      </c>
    </row>
    <row r="67" spans="1:1" x14ac:dyDescent="0.3">
      <c r="A67" s="22" t="s">
        <v>107</v>
      </c>
    </row>
    <row r="68" spans="1:1" x14ac:dyDescent="0.3">
      <c r="A68" s="21" t="s">
        <v>108</v>
      </c>
    </row>
    <row r="69" spans="1:1" x14ac:dyDescent="0.3">
      <c r="A69" s="21" t="s">
        <v>109</v>
      </c>
    </row>
    <row r="70" spans="1:1" x14ac:dyDescent="0.3">
      <c r="A70" s="21" t="s">
        <v>110</v>
      </c>
    </row>
    <row r="71" spans="1:1" x14ac:dyDescent="0.3">
      <c r="A71" s="21" t="s">
        <v>111</v>
      </c>
    </row>
    <row r="72" spans="1:1" x14ac:dyDescent="0.3">
      <c r="A72" s="21" t="s">
        <v>112</v>
      </c>
    </row>
    <row r="73" spans="1:1" x14ac:dyDescent="0.3">
      <c r="A73" s="21" t="s">
        <v>113</v>
      </c>
    </row>
    <row r="74" spans="1:1" x14ac:dyDescent="0.3">
      <c r="A74" s="21" t="s">
        <v>114</v>
      </c>
    </row>
    <row r="75" spans="1:1" x14ac:dyDescent="0.3">
      <c r="A75" s="22" t="s">
        <v>115</v>
      </c>
    </row>
    <row r="76" spans="1:1" x14ac:dyDescent="0.3">
      <c r="A76" s="22" t="s">
        <v>116</v>
      </c>
    </row>
    <row r="77" spans="1:1" x14ac:dyDescent="0.3">
      <c r="A77" s="22" t="s">
        <v>117</v>
      </c>
    </row>
    <row r="78" spans="1:1" x14ac:dyDescent="0.3">
      <c r="A78" s="22" t="s">
        <v>118</v>
      </c>
    </row>
    <row r="79" spans="1:1" x14ac:dyDescent="0.3">
      <c r="A79" s="22" t="s">
        <v>119</v>
      </c>
    </row>
    <row r="80" spans="1:1" x14ac:dyDescent="0.3">
      <c r="A80" s="21" t="s">
        <v>120</v>
      </c>
    </row>
    <row r="81" spans="1:1" x14ac:dyDescent="0.3">
      <c r="A81" s="21" t="s">
        <v>121</v>
      </c>
    </row>
    <row r="82" spans="1:1" x14ac:dyDescent="0.3">
      <c r="A82" s="21" t="s">
        <v>122</v>
      </c>
    </row>
    <row r="83" spans="1:1" x14ac:dyDescent="0.3">
      <c r="A83" s="21" t="s">
        <v>123</v>
      </c>
    </row>
    <row r="84" spans="1:1" x14ac:dyDescent="0.3">
      <c r="A84" s="21" t="s">
        <v>124</v>
      </c>
    </row>
    <row r="85" spans="1:1" x14ac:dyDescent="0.3">
      <c r="A85" s="22" t="s">
        <v>125</v>
      </c>
    </row>
    <row r="86" spans="1:1" x14ac:dyDescent="0.3">
      <c r="A86" s="22" t="s">
        <v>126</v>
      </c>
    </row>
    <row r="87" spans="1:1" x14ac:dyDescent="0.3">
      <c r="A87" s="22" t="s">
        <v>127</v>
      </c>
    </row>
    <row r="88" spans="1:1" x14ac:dyDescent="0.3">
      <c r="A88" s="22" t="s">
        <v>128</v>
      </c>
    </row>
    <row r="89" spans="1:1" x14ac:dyDescent="0.3">
      <c r="A89" s="29" t="s">
        <v>129</v>
      </c>
    </row>
    <row r="90" spans="1:1" x14ac:dyDescent="0.3">
      <c r="A90" s="29" t="s">
        <v>130</v>
      </c>
    </row>
    <row r="91" spans="1:1" x14ac:dyDescent="0.3">
      <c r="A91" s="22" t="s">
        <v>131</v>
      </c>
    </row>
    <row r="92" spans="1:1" x14ac:dyDescent="0.3">
      <c r="A92" s="22" t="s">
        <v>132</v>
      </c>
    </row>
    <row r="93" spans="1:1" x14ac:dyDescent="0.3">
      <c r="A93" s="22" t="s">
        <v>133</v>
      </c>
    </row>
    <row r="94" spans="1:1" x14ac:dyDescent="0.3">
      <c r="A94" s="22" t="s">
        <v>134</v>
      </c>
    </row>
    <row r="95" spans="1:1" x14ac:dyDescent="0.3">
      <c r="A95" s="22" t="s">
        <v>135</v>
      </c>
    </row>
    <row r="96" spans="1:1" x14ac:dyDescent="0.3">
      <c r="A96" s="22" t="s">
        <v>136</v>
      </c>
    </row>
    <row r="97" spans="1:1" x14ac:dyDescent="0.3">
      <c r="A97" s="22" t="s">
        <v>137</v>
      </c>
    </row>
    <row r="98" spans="1:1" x14ac:dyDescent="0.3">
      <c r="A98" s="22" t="s">
        <v>138</v>
      </c>
    </row>
    <row r="99" spans="1:1" x14ac:dyDescent="0.3">
      <c r="A99" s="21" t="s">
        <v>139</v>
      </c>
    </row>
    <row r="100" spans="1:1" x14ac:dyDescent="0.3">
      <c r="A100" s="21" t="s">
        <v>140</v>
      </c>
    </row>
    <row r="101" spans="1:1" x14ac:dyDescent="0.3">
      <c r="A101" s="30" t="s">
        <v>141</v>
      </c>
    </row>
    <row r="102" spans="1:1" x14ac:dyDescent="0.3">
      <c r="A102" s="30" t="s">
        <v>142</v>
      </c>
    </row>
    <row r="103" spans="1:1" x14ac:dyDescent="0.3">
      <c r="A103" s="30" t="s">
        <v>143</v>
      </c>
    </row>
    <row r="104" spans="1:1" x14ac:dyDescent="0.3">
      <c r="A104" s="21" t="s">
        <v>144</v>
      </c>
    </row>
    <row r="105" spans="1:1" x14ac:dyDescent="0.3">
      <c r="A105" s="30" t="s">
        <v>145</v>
      </c>
    </row>
    <row r="106" spans="1:1" x14ac:dyDescent="0.3">
      <c r="A106" s="22" t="s">
        <v>146</v>
      </c>
    </row>
    <row r="107" spans="1:1" x14ac:dyDescent="0.3">
      <c r="A107" s="22" t="s">
        <v>147</v>
      </c>
    </row>
    <row r="108" spans="1:1" x14ac:dyDescent="0.3">
      <c r="A108" s="22" t="s">
        <v>148</v>
      </c>
    </row>
    <row r="109" spans="1:1" x14ac:dyDescent="0.3">
      <c r="A109" s="21" t="s">
        <v>149</v>
      </c>
    </row>
    <row r="110" spans="1:1" x14ac:dyDescent="0.3">
      <c r="A110" s="22" t="s">
        <v>150</v>
      </c>
    </row>
    <row r="111" spans="1:1" x14ac:dyDescent="0.3">
      <c r="A111" s="21" t="s">
        <v>151</v>
      </c>
    </row>
    <row r="112" spans="1:1" x14ac:dyDescent="0.3">
      <c r="A112" s="21" t="s">
        <v>152</v>
      </c>
    </row>
    <row r="113" spans="1:1" x14ac:dyDescent="0.3">
      <c r="A113" s="21" t="s">
        <v>153</v>
      </c>
    </row>
    <row r="114" spans="1:1" x14ac:dyDescent="0.3">
      <c r="A114" s="21" t="s">
        <v>154</v>
      </c>
    </row>
    <row r="115" spans="1:1" x14ac:dyDescent="0.3">
      <c r="A115" s="21" t="s">
        <v>155</v>
      </c>
    </row>
    <row r="116" spans="1:1" x14ac:dyDescent="0.3">
      <c r="A116" s="21" t="s">
        <v>156</v>
      </c>
    </row>
    <row r="117" spans="1:1" x14ac:dyDescent="0.3">
      <c r="A117" s="21" t="s">
        <v>157</v>
      </c>
    </row>
    <row r="118" spans="1:1" x14ac:dyDescent="0.3">
      <c r="A118" s="21" t="s">
        <v>158</v>
      </c>
    </row>
    <row r="119" spans="1:1" x14ac:dyDescent="0.3">
      <c r="A119" s="22" t="s">
        <v>159</v>
      </c>
    </row>
    <row r="120" spans="1:1" x14ac:dyDescent="0.3">
      <c r="A120" s="21" t="s">
        <v>160</v>
      </c>
    </row>
    <row r="121" spans="1:1" x14ac:dyDescent="0.3">
      <c r="A121" s="21" t="s">
        <v>161</v>
      </c>
    </row>
    <row r="122" spans="1:1" x14ac:dyDescent="0.3">
      <c r="A122" s="21" t="s">
        <v>162</v>
      </c>
    </row>
    <row r="123" spans="1:1" x14ac:dyDescent="0.3">
      <c r="A123" s="21" t="s">
        <v>163</v>
      </c>
    </row>
    <row r="124" spans="1:1" x14ac:dyDescent="0.3">
      <c r="A124" s="21" t="s">
        <v>164</v>
      </c>
    </row>
    <row r="125" spans="1:1" x14ac:dyDescent="0.3">
      <c r="A125" s="31" t="s">
        <v>165</v>
      </c>
    </row>
    <row r="126" spans="1:1" x14ac:dyDescent="0.3">
      <c r="A126" s="21" t="s">
        <v>166</v>
      </c>
    </row>
    <row r="127" spans="1:1" x14ac:dyDescent="0.3">
      <c r="A127" s="22" t="s">
        <v>167</v>
      </c>
    </row>
    <row r="128" spans="1:1" x14ac:dyDescent="0.3">
      <c r="A128" s="22" t="s">
        <v>168</v>
      </c>
    </row>
    <row r="129" spans="1:1" x14ac:dyDescent="0.3">
      <c r="A129" s="21" t="s">
        <v>169</v>
      </c>
    </row>
    <row r="130" spans="1:1" x14ac:dyDescent="0.3">
      <c r="A130" s="21" t="s">
        <v>170</v>
      </c>
    </row>
    <row r="131" spans="1:1" x14ac:dyDescent="0.3">
      <c r="A131" s="30" t="s">
        <v>171</v>
      </c>
    </row>
    <row r="132" spans="1:1" x14ac:dyDescent="0.3">
      <c r="A132" s="30" t="s">
        <v>172</v>
      </c>
    </row>
    <row r="133" spans="1:1" x14ac:dyDescent="0.3">
      <c r="A133" s="21" t="s">
        <v>173</v>
      </c>
    </row>
    <row r="134" spans="1:1" x14ac:dyDescent="0.3">
      <c r="A134" s="32" t="s">
        <v>174</v>
      </c>
    </row>
    <row r="135" spans="1:1" x14ac:dyDescent="0.3">
      <c r="A135" s="33" t="s">
        <v>175</v>
      </c>
    </row>
    <row r="136" spans="1:1" x14ac:dyDescent="0.3">
      <c r="A136" s="34" t="s">
        <v>176</v>
      </c>
    </row>
    <row r="137" spans="1:1" x14ac:dyDescent="0.3">
      <c r="A137" s="28" t="s">
        <v>177</v>
      </c>
    </row>
    <row r="138" spans="1:1" x14ac:dyDescent="0.3">
      <c r="A138" s="35" t="s">
        <v>178</v>
      </c>
    </row>
    <row r="139" spans="1:1" x14ac:dyDescent="0.3">
      <c r="A139" s="36" t="s">
        <v>179</v>
      </c>
    </row>
    <row r="140" spans="1:1" x14ac:dyDescent="0.3">
      <c r="A140" s="36" t="s">
        <v>180</v>
      </c>
    </row>
    <row r="141" spans="1:1" x14ac:dyDescent="0.3">
      <c r="A141" s="36" t="s">
        <v>181</v>
      </c>
    </row>
    <row r="142" spans="1:1" x14ac:dyDescent="0.3">
      <c r="A142" s="22" t="s">
        <v>182</v>
      </c>
    </row>
    <row r="143" spans="1:1" x14ac:dyDescent="0.3">
      <c r="A143" s="21" t="s">
        <v>183</v>
      </c>
    </row>
    <row r="144" spans="1:1" x14ac:dyDescent="0.3">
      <c r="A144" s="21" t="s">
        <v>184</v>
      </c>
    </row>
    <row r="145" spans="1:1" x14ac:dyDescent="0.3">
      <c r="A145" s="21" t="s">
        <v>40</v>
      </c>
    </row>
    <row r="146" spans="1:1" x14ac:dyDescent="0.3">
      <c r="A146" s="22" t="s">
        <v>185</v>
      </c>
    </row>
    <row r="147" spans="1:1" x14ac:dyDescent="0.3">
      <c r="A147" s="21" t="s">
        <v>186</v>
      </c>
    </row>
    <row r="148" spans="1:1" x14ac:dyDescent="0.3">
      <c r="A148" s="21" t="s">
        <v>187</v>
      </c>
    </row>
    <row r="149" spans="1:1" x14ac:dyDescent="0.3">
      <c r="A149" s="21" t="s">
        <v>188</v>
      </c>
    </row>
    <row r="150" spans="1:1" x14ac:dyDescent="0.3">
      <c r="A150" s="21" t="s">
        <v>189</v>
      </c>
    </row>
    <row r="151" spans="1:1" x14ac:dyDescent="0.3">
      <c r="A151" s="22" t="s">
        <v>407</v>
      </c>
    </row>
    <row r="152" spans="1:1" x14ac:dyDescent="0.3">
      <c r="A152" s="22" t="s">
        <v>190</v>
      </c>
    </row>
    <row r="153" spans="1:1" x14ac:dyDescent="0.3">
      <c r="A153" s="22" t="s">
        <v>191</v>
      </c>
    </row>
    <row r="154" spans="1:1" x14ac:dyDescent="0.3">
      <c r="A154" s="21" t="s">
        <v>192</v>
      </c>
    </row>
    <row r="155" spans="1:1" x14ac:dyDescent="0.3">
      <c r="A155" s="21" t="s">
        <v>193</v>
      </c>
    </row>
    <row r="156" spans="1:1" x14ac:dyDescent="0.3">
      <c r="A156" s="21" t="s">
        <v>194</v>
      </c>
    </row>
    <row r="157" spans="1:1" x14ac:dyDescent="0.3">
      <c r="A157" s="22" t="s">
        <v>195</v>
      </c>
    </row>
    <row r="158" spans="1:1" x14ac:dyDescent="0.3">
      <c r="A158" s="22" t="s">
        <v>196</v>
      </c>
    </row>
    <row r="159" spans="1:1" x14ac:dyDescent="0.3">
      <c r="A159" s="22" t="s">
        <v>197</v>
      </c>
    </row>
    <row r="160" spans="1:1" x14ac:dyDescent="0.3">
      <c r="A160" s="22" t="s">
        <v>198</v>
      </c>
    </row>
    <row r="161" spans="1:1" x14ac:dyDescent="0.3">
      <c r="A161" s="22" t="s">
        <v>199</v>
      </c>
    </row>
    <row r="162" spans="1:1" x14ac:dyDescent="0.3">
      <c r="A162" s="21" t="s">
        <v>200</v>
      </c>
    </row>
    <row r="163" spans="1:1" x14ac:dyDescent="0.3">
      <c r="A163" s="21" t="s">
        <v>408</v>
      </c>
    </row>
    <row r="164" spans="1:1" x14ac:dyDescent="0.3">
      <c r="A164" s="21" t="s">
        <v>201</v>
      </c>
    </row>
    <row r="165" spans="1:1" x14ac:dyDescent="0.3">
      <c r="A165" s="29" t="s">
        <v>202</v>
      </c>
    </row>
    <row r="166" spans="1:1" x14ac:dyDescent="0.3">
      <c r="A166" s="22" t="s">
        <v>203</v>
      </c>
    </row>
    <row r="167" spans="1:1" x14ac:dyDescent="0.3">
      <c r="A167" s="21" t="s">
        <v>204</v>
      </c>
    </row>
    <row r="168" spans="1:1" x14ac:dyDescent="0.3">
      <c r="A168" s="21" t="s">
        <v>205</v>
      </c>
    </row>
    <row r="169" spans="1:1" x14ac:dyDescent="0.3">
      <c r="A169" s="22" t="s">
        <v>206</v>
      </c>
    </row>
    <row r="170" spans="1:1" x14ac:dyDescent="0.3">
      <c r="A170" s="21" t="s">
        <v>207</v>
      </c>
    </row>
    <row r="171" spans="1:1" x14ac:dyDescent="0.3">
      <c r="A171" s="22" t="s">
        <v>208</v>
      </c>
    </row>
    <row r="172" spans="1:1" x14ac:dyDescent="0.3">
      <c r="A172" s="22" t="s">
        <v>209</v>
      </c>
    </row>
    <row r="173" spans="1:1" x14ac:dyDescent="0.3">
      <c r="A173" s="22" t="s">
        <v>210</v>
      </c>
    </row>
    <row r="174" spans="1:1" x14ac:dyDescent="0.3">
      <c r="A174" s="22" t="s">
        <v>211</v>
      </c>
    </row>
    <row r="175" spans="1:1" x14ac:dyDescent="0.3">
      <c r="A175" s="22" t="s">
        <v>212</v>
      </c>
    </row>
    <row r="176" spans="1:1" x14ac:dyDescent="0.3">
      <c r="A176" s="21" t="s">
        <v>213</v>
      </c>
    </row>
    <row r="177" spans="1:1" x14ac:dyDescent="0.3">
      <c r="A177" s="30" t="s">
        <v>214</v>
      </c>
    </row>
    <row r="178" spans="1:1" x14ac:dyDescent="0.3">
      <c r="A178" s="30" t="s">
        <v>215</v>
      </c>
    </row>
    <row r="179" spans="1:1" x14ac:dyDescent="0.3">
      <c r="A179" s="21" t="s">
        <v>216</v>
      </c>
    </row>
    <row r="180" spans="1:1" x14ac:dyDescent="0.3">
      <c r="A180" s="21" t="s">
        <v>217</v>
      </c>
    </row>
    <row r="181" spans="1:1" x14ac:dyDescent="0.3">
      <c r="A181" s="22" t="s">
        <v>218</v>
      </c>
    </row>
    <row r="182" spans="1:1" x14ac:dyDescent="0.3">
      <c r="A182" s="22" t="s">
        <v>219</v>
      </c>
    </row>
    <row r="183" spans="1:1" x14ac:dyDescent="0.3">
      <c r="A183" s="29" t="s">
        <v>220</v>
      </c>
    </row>
    <row r="184" spans="1:1" x14ac:dyDescent="0.3">
      <c r="A184" s="22" t="s">
        <v>221</v>
      </c>
    </row>
    <row r="185" spans="1:1" x14ac:dyDescent="0.3">
      <c r="A185" s="21" t="s">
        <v>222</v>
      </c>
    </row>
    <row r="186" spans="1:1" x14ac:dyDescent="0.3">
      <c r="A186" s="21" t="s">
        <v>223</v>
      </c>
    </row>
    <row r="187" spans="1:1" x14ac:dyDescent="0.3">
      <c r="A187" s="21" t="s">
        <v>224</v>
      </c>
    </row>
    <row r="188" spans="1:1" x14ac:dyDescent="0.3">
      <c r="A188" s="21" t="s">
        <v>225</v>
      </c>
    </row>
    <row r="189" spans="1:1" x14ac:dyDescent="0.3">
      <c r="A189" s="30" t="s">
        <v>226</v>
      </c>
    </row>
    <row r="190" spans="1:1" x14ac:dyDescent="0.3">
      <c r="A190" s="21" t="s">
        <v>227</v>
      </c>
    </row>
    <row r="191" spans="1:1" x14ac:dyDescent="0.3">
      <c r="A191" s="22" t="s">
        <v>228</v>
      </c>
    </row>
    <row r="192" spans="1:1" x14ac:dyDescent="0.3">
      <c r="A192" s="21" t="s">
        <v>229</v>
      </c>
    </row>
    <row r="193" spans="1:1" x14ac:dyDescent="0.3">
      <c r="A193" s="22" t="s">
        <v>230</v>
      </c>
    </row>
    <row r="194" spans="1:1" x14ac:dyDescent="0.3">
      <c r="A194" s="21" t="s">
        <v>231</v>
      </c>
    </row>
    <row r="195" spans="1:1" x14ac:dyDescent="0.3">
      <c r="A195" s="22" t="s">
        <v>232</v>
      </c>
    </row>
    <row r="196" spans="1:1" x14ac:dyDescent="0.3">
      <c r="A196" s="22" t="s">
        <v>233</v>
      </c>
    </row>
    <row r="197" spans="1:1" x14ac:dyDescent="0.3">
      <c r="A197" s="21" t="s">
        <v>39</v>
      </c>
    </row>
    <row r="198" spans="1:1" x14ac:dyDescent="0.3">
      <c r="A198" s="21" t="s">
        <v>234</v>
      </c>
    </row>
    <row r="199" spans="1:1" x14ac:dyDescent="0.3">
      <c r="A199" s="21" t="s">
        <v>235</v>
      </c>
    </row>
    <row r="200" spans="1:1" x14ac:dyDescent="0.3">
      <c r="A200" s="21" t="s">
        <v>236</v>
      </c>
    </row>
    <row r="201" spans="1:1" x14ac:dyDescent="0.3">
      <c r="A201" s="22" t="s">
        <v>237</v>
      </c>
    </row>
    <row r="202" spans="1:1" x14ac:dyDescent="0.3">
      <c r="A202" s="22" t="s">
        <v>238</v>
      </c>
    </row>
    <row r="203" spans="1:1" x14ac:dyDescent="0.3">
      <c r="A203" s="22" t="s">
        <v>239</v>
      </c>
    </row>
    <row r="204" spans="1:1" x14ac:dyDescent="0.3">
      <c r="A204" s="22" t="s">
        <v>240</v>
      </c>
    </row>
    <row r="205" spans="1:1" x14ac:dyDescent="0.3">
      <c r="A205" s="21" t="s">
        <v>241</v>
      </c>
    </row>
    <row r="206" spans="1:1" x14ac:dyDescent="0.3">
      <c r="A206" s="21" t="s">
        <v>41</v>
      </c>
    </row>
    <row r="207" spans="1:1" x14ac:dyDescent="0.3">
      <c r="A207" s="21" t="s">
        <v>242</v>
      </c>
    </row>
    <row r="208" spans="1:1" x14ac:dyDescent="0.3">
      <c r="A208" s="21" t="s">
        <v>243</v>
      </c>
    </row>
    <row r="209" spans="1:1" x14ac:dyDescent="0.3">
      <c r="A209" s="21" t="s">
        <v>244</v>
      </c>
    </row>
    <row r="210" spans="1:1" x14ac:dyDescent="0.3">
      <c r="A210" s="22" t="s">
        <v>245</v>
      </c>
    </row>
    <row r="211" spans="1:1" x14ac:dyDescent="0.3">
      <c r="A211" s="21" t="s">
        <v>246</v>
      </c>
    </row>
    <row r="212" spans="1:1" x14ac:dyDescent="0.3">
      <c r="A212" s="21" t="s">
        <v>247</v>
      </c>
    </row>
    <row r="213" spans="1:1" x14ac:dyDescent="0.3">
      <c r="A213" s="21" t="s">
        <v>248</v>
      </c>
    </row>
    <row r="214" spans="1:1" x14ac:dyDescent="0.3">
      <c r="A214" s="21" t="s">
        <v>249</v>
      </c>
    </row>
    <row r="215" spans="1:1" x14ac:dyDescent="0.3">
      <c r="A215" s="21" t="s">
        <v>250</v>
      </c>
    </row>
    <row r="216" spans="1:1" x14ac:dyDescent="0.3">
      <c r="A216" s="22" t="s">
        <v>251</v>
      </c>
    </row>
    <row r="217" spans="1:1" x14ac:dyDescent="0.3">
      <c r="A217" s="22" t="s">
        <v>252</v>
      </c>
    </row>
    <row r="218" spans="1:1" x14ac:dyDescent="0.3">
      <c r="A218" s="22" t="s">
        <v>253</v>
      </c>
    </row>
    <row r="219" spans="1:1" x14ac:dyDescent="0.3">
      <c r="A219" s="21" t="s">
        <v>254</v>
      </c>
    </row>
    <row r="220" spans="1:1" x14ac:dyDescent="0.3">
      <c r="A220" s="21" t="s">
        <v>255</v>
      </c>
    </row>
    <row r="221" spans="1:1" x14ac:dyDescent="0.3">
      <c r="A221" s="21" t="s">
        <v>256</v>
      </c>
    </row>
    <row r="222" spans="1:1" x14ac:dyDescent="0.3">
      <c r="A222" s="21" t="s">
        <v>257</v>
      </c>
    </row>
    <row r="223" spans="1:1" x14ac:dyDescent="0.3">
      <c r="A223" s="21" t="s">
        <v>258</v>
      </c>
    </row>
    <row r="224" spans="1:1" x14ac:dyDescent="0.3">
      <c r="A224" s="21" t="s">
        <v>259</v>
      </c>
    </row>
    <row r="225" spans="1:1" x14ac:dyDescent="0.3">
      <c r="A225" s="37" t="s">
        <v>260</v>
      </c>
    </row>
    <row r="226" spans="1:1" x14ac:dyDescent="0.3">
      <c r="A226" s="26" t="s">
        <v>261</v>
      </c>
    </row>
    <row r="227" spans="1:1" x14ac:dyDescent="0.3">
      <c r="A227" s="26" t="s">
        <v>262</v>
      </c>
    </row>
    <row r="228" spans="1:1" x14ac:dyDescent="0.3">
      <c r="A228" s="21" t="s">
        <v>263</v>
      </c>
    </row>
    <row r="229" spans="1:1" x14ac:dyDescent="0.3">
      <c r="A229" s="21" t="s">
        <v>264</v>
      </c>
    </row>
    <row r="230" spans="1:1" x14ac:dyDescent="0.3">
      <c r="A230" s="22" t="s">
        <v>265</v>
      </c>
    </row>
    <row r="231" spans="1:1" x14ac:dyDescent="0.3">
      <c r="A231" s="22" t="s">
        <v>266</v>
      </c>
    </row>
    <row r="232" spans="1:1" x14ac:dyDescent="0.3">
      <c r="A232" s="22" t="s">
        <v>267</v>
      </c>
    </row>
    <row r="233" spans="1:1" x14ac:dyDescent="0.3">
      <c r="A233" s="21" t="s">
        <v>268</v>
      </c>
    </row>
    <row r="234" spans="1:1" x14ac:dyDescent="0.3">
      <c r="A234" s="22" t="s">
        <v>269</v>
      </c>
    </row>
    <row r="235" spans="1:1" x14ac:dyDescent="0.3">
      <c r="A235" s="21" t="s">
        <v>270</v>
      </c>
    </row>
    <row r="236" spans="1:1" x14ac:dyDescent="0.3">
      <c r="A236" s="21" t="s">
        <v>271</v>
      </c>
    </row>
    <row r="237" spans="1:1" x14ac:dyDescent="0.3">
      <c r="A237" s="22" t="s">
        <v>272</v>
      </c>
    </row>
    <row r="238" spans="1:1" x14ac:dyDescent="0.3">
      <c r="A238" s="22" t="s">
        <v>273</v>
      </c>
    </row>
    <row r="239" spans="1:1" x14ac:dyDescent="0.3">
      <c r="A239" s="22" t="s">
        <v>274</v>
      </c>
    </row>
    <row r="240" spans="1:1" x14ac:dyDescent="0.3">
      <c r="A240" s="21" t="s">
        <v>275</v>
      </c>
    </row>
    <row r="241" spans="1:1" x14ac:dyDescent="0.3">
      <c r="A241" s="21" t="s">
        <v>276</v>
      </c>
    </row>
    <row r="242" spans="1:1" x14ac:dyDescent="0.3">
      <c r="A242" s="21" t="s">
        <v>277</v>
      </c>
    </row>
    <row r="243" spans="1:1" x14ac:dyDescent="0.3">
      <c r="A243" s="21" t="s">
        <v>278</v>
      </c>
    </row>
    <row r="244" spans="1:1" x14ac:dyDescent="0.3">
      <c r="A244" s="31" t="s">
        <v>279</v>
      </c>
    </row>
    <row r="245" spans="1:1" x14ac:dyDescent="0.3">
      <c r="A245" s="38" t="s">
        <v>280</v>
      </c>
    </row>
    <row r="246" spans="1:1" x14ac:dyDescent="0.3">
      <c r="A246" s="38" t="s">
        <v>281</v>
      </c>
    </row>
    <row r="247" spans="1:1" x14ac:dyDescent="0.3">
      <c r="A247" s="35" t="s">
        <v>282</v>
      </c>
    </row>
    <row r="248" spans="1:1" x14ac:dyDescent="0.3">
      <c r="A248" s="29" t="s">
        <v>283</v>
      </c>
    </row>
    <row r="249" spans="1:1" x14ac:dyDescent="0.3">
      <c r="A249" s="35" t="s">
        <v>284</v>
      </c>
    </row>
    <row r="250" spans="1:1" x14ac:dyDescent="0.3">
      <c r="A250" s="35" t="s">
        <v>285</v>
      </c>
    </row>
    <row r="251" spans="1:1" x14ac:dyDescent="0.3">
      <c r="A251" s="35" t="s">
        <v>286</v>
      </c>
    </row>
    <row r="252" spans="1:1" x14ac:dyDescent="0.3">
      <c r="A252" s="35" t="s">
        <v>287</v>
      </c>
    </row>
    <row r="253" spans="1:1" x14ac:dyDescent="0.3">
      <c r="A253" s="31" t="s">
        <v>288</v>
      </c>
    </row>
    <row r="254" spans="1:1" x14ac:dyDescent="0.3">
      <c r="A254" s="38" t="s">
        <v>289</v>
      </c>
    </row>
    <row r="255" spans="1:1" x14ac:dyDescent="0.3">
      <c r="A255" s="38" t="s">
        <v>290</v>
      </c>
    </row>
    <row r="256" spans="1:1" x14ac:dyDescent="0.3">
      <c r="A256" s="35" t="s">
        <v>291</v>
      </c>
    </row>
    <row r="257" spans="1:1" x14ac:dyDescent="0.3">
      <c r="A257" s="31" t="s">
        <v>292</v>
      </c>
    </row>
    <row r="258" spans="1:1" x14ac:dyDescent="0.3">
      <c r="A258" s="31" t="s">
        <v>293</v>
      </c>
    </row>
    <row r="259" spans="1:1" x14ac:dyDescent="0.3">
      <c r="A259" s="38" t="s">
        <v>294</v>
      </c>
    </row>
    <row r="260" spans="1:1" x14ac:dyDescent="0.3">
      <c r="A260" s="31" t="s">
        <v>295</v>
      </c>
    </row>
    <row r="261" spans="1:1" x14ac:dyDescent="0.3">
      <c r="A261" s="35" t="s">
        <v>296</v>
      </c>
    </row>
    <row r="262" spans="1:1" x14ac:dyDescent="0.3">
      <c r="A262" s="38" t="s">
        <v>297</v>
      </c>
    </row>
    <row r="263" spans="1:1" x14ac:dyDescent="0.3">
      <c r="A263" s="35" t="s">
        <v>298</v>
      </c>
    </row>
    <row r="264" spans="1:1" x14ac:dyDescent="0.3">
      <c r="A264" s="38" t="s">
        <v>299</v>
      </c>
    </row>
    <row r="265" spans="1:1" x14ac:dyDescent="0.3">
      <c r="A265" s="38" t="s">
        <v>300</v>
      </c>
    </row>
    <row r="266" spans="1:1" x14ac:dyDescent="0.3">
      <c r="A266" s="39" t="s">
        <v>301</v>
      </c>
    </row>
    <row r="267" spans="1:1" x14ac:dyDescent="0.3">
      <c r="A267" s="39" t="s">
        <v>302</v>
      </c>
    </row>
    <row r="268" spans="1:1" x14ac:dyDescent="0.3">
      <c r="A268" s="38" t="s">
        <v>303</v>
      </c>
    </row>
    <row r="269" spans="1:1" x14ac:dyDescent="0.3">
      <c r="A269" s="35" t="s">
        <v>304</v>
      </c>
    </row>
    <row r="270" spans="1:1" x14ac:dyDescent="0.3">
      <c r="A270" s="31" t="s">
        <v>305</v>
      </c>
    </row>
    <row r="271" spans="1:1" x14ac:dyDescent="0.3">
      <c r="A271" s="31" t="s">
        <v>306</v>
      </c>
    </row>
    <row r="272" spans="1:1" x14ac:dyDescent="0.3">
      <c r="A272" s="31" t="s">
        <v>307</v>
      </c>
    </row>
    <row r="273" spans="1:1" x14ac:dyDescent="0.3">
      <c r="A273" s="27" t="s">
        <v>308</v>
      </c>
    </row>
    <row r="274" spans="1:1" x14ac:dyDescent="0.3">
      <c r="A274" s="27" t="s">
        <v>402</v>
      </c>
    </row>
    <row r="275" spans="1:1" x14ac:dyDescent="0.3">
      <c r="A275" s="38" t="s">
        <v>309</v>
      </c>
    </row>
    <row r="276" spans="1:1" x14ac:dyDescent="0.3">
      <c r="A276" s="38" t="s">
        <v>310</v>
      </c>
    </row>
    <row r="277" spans="1:1" x14ac:dyDescent="0.3">
      <c r="A277" s="38" t="s">
        <v>311</v>
      </c>
    </row>
    <row r="278" spans="1:1" x14ac:dyDescent="0.3">
      <c r="A278" s="38" t="s">
        <v>312</v>
      </c>
    </row>
    <row r="279" spans="1:1" x14ac:dyDescent="0.3">
      <c r="A279" s="35" t="s">
        <v>313</v>
      </c>
    </row>
    <row r="280" spans="1:1" x14ac:dyDescent="0.3">
      <c r="A280" s="38" t="s">
        <v>314</v>
      </c>
    </row>
    <row r="281" spans="1:1" x14ac:dyDescent="0.3">
      <c r="A281" s="31" t="s">
        <v>315</v>
      </c>
    </row>
    <row r="282" spans="1:1" x14ac:dyDescent="0.3">
      <c r="A282" s="38" t="s">
        <v>316</v>
      </c>
    </row>
    <row r="283" spans="1:1" x14ac:dyDescent="0.3">
      <c r="A283" s="38" t="s">
        <v>317</v>
      </c>
    </row>
    <row r="284" spans="1:1" x14ac:dyDescent="0.3">
      <c r="A284" s="35" t="s">
        <v>318</v>
      </c>
    </row>
    <row r="285" spans="1:1" x14ac:dyDescent="0.3">
      <c r="A285" s="29" t="s">
        <v>319</v>
      </c>
    </row>
    <row r="286" spans="1:1" x14ac:dyDescent="0.3">
      <c r="A286" s="21" t="s">
        <v>320</v>
      </c>
    </row>
    <row r="287" spans="1:1" x14ac:dyDescent="0.3">
      <c r="A287" s="22" t="s">
        <v>321</v>
      </c>
    </row>
    <row r="288" spans="1:1" x14ac:dyDescent="0.3">
      <c r="A288" s="21" t="s">
        <v>322</v>
      </c>
    </row>
    <row r="289" spans="1:1" x14ac:dyDescent="0.3">
      <c r="A289" s="21" t="s">
        <v>323</v>
      </c>
    </row>
    <row r="290" spans="1:1" x14ac:dyDescent="0.3">
      <c r="A290" s="22" t="s">
        <v>324</v>
      </c>
    </row>
    <row r="291" spans="1:1" x14ac:dyDescent="0.3">
      <c r="A291" s="22" t="s">
        <v>325</v>
      </c>
    </row>
    <row r="292" spans="1:1" x14ac:dyDescent="0.3">
      <c r="A292" s="22" t="s">
        <v>326</v>
      </c>
    </row>
    <row r="293" spans="1:1" x14ac:dyDescent="0.3">
      <c r="A293" s="21" t="s">
        <v>327</v>
      </c>
    </row>
    <row r="294" spans="1:1" x14ac:dyDescent="0.3">
      <c r="A294" s="30" t="s">
        <v>328</v>
      </c>
    </row>
    <row r="295" spans="1:1" x14ac:dyDescent="0.3">
      <c r="A295" s="30" t="s">
        <v>329</v>
      </c>
    </row>
    <row r="296" spans="1:1" x14ac:dyDescent="0.3">
      <c r="A296" s="30" t="s">
        <v>330</v>
      </c>
    </row>
    <row r="297" spans="1:1" x14ac:dyDescent="0.3">
      <c r="A297" s="22" t="s">
        <v>331</v>
      </c>
    </row>
    <row r="298" spans="1:1" x14ac:dyDescent="0.3">
      <c r="A298" s="22" t="s">
        <v>332</v>
      </c>
    </row>
    <row r="299" spans="1:1" x14ac:dyDescent="0.3">
      <c r="A299" s="29" t="s">
        <v>333</v>
      </c>
    </row>
    <row r="300" spans="1:1" x14ac:dyDescent="0.3">
      <c r="A300" s="29" t="s">
        <v>334</v>
      </c>
    </row>
    <row r="301" spans="1:1" x14ac:dyDescent="0.3">
      <c r="A301" s="29" t="s">
        <v>335</v>
      </c>
    </row>
    <row r="302" spans="1:1" x14ac:dyDescent="0.3">
      <c r="A302" s="29" t="s">
        <v>336</v>
      </c>
    </row>
    <row r="303" spans="1:1" x14ac:dyDescent="0.3">
      <c r="A303" s="29" t="s">
        <v>337</v>
      </c>
    </row>
    <row r="304" spans="1:1" x14ac:dyDescent="0.3">
      <c r="A304" s="29" t="s">
        <v>338</v>
      </c>
    </row>
    <row r="305" spans="1:1" x14ac:dyDescent="0.3">
      <c r="A305" s="22" t="s">
        <v>34</v>
      </c>
    </row>
    <row r="306" spans="1:1" x14ac:dyDescent="0.3">
      <c r="A306" s="26" t="s">
        <v>339</v>
      </c>
    </row>
    <row r="307" spans="1:1" x14ac:dyDescent="0.3">
      <c r="A307" s="21" t="s">
        <v>340</v>
      </c>
    </row>
    <row r="308" spans="1:1" x14ac:dyDescent="0.3">
      <c r="A308" s="30" t="s">
        <v>341</v>
      </c>
    </row>
    <row r="309" spans="1:1" x14ac:dyDescent="0.3">
      <c r="A309" s="22" t="s">
        <v>342</v>
      </c>
    </row>
    <row r="310" spans="1:1" x14ac:dyDescent="0.3">
      <c r="A310" s="21" t="s">
        <v>343</v>
      </c>
    </row>
    <row r="311" spans="1:1" x14ac:dyDescent="0.3">
      <c r="A311" s="21" t="s">
        <v>344</v>
      </c>
    </row>
    <row r="312" spans="1:1" x14ac:dyDescent="0.3">
      <c r="A312" s="31" t="s">
        <v>345</v>
      </c>
    </row>
    <row r="313" spans="1:1" x14ac:dyDescent="0.3">
      <c r="A313" s="29" t="s">
        <v>346</v>
      </c>
    </row>
    <row r="314" spans="1:1" x14ac:dyDescent="0.3">
      <c r="A314" s="31" t="s">
        <v>347</v>
      </c>
    </row>
    <row r="315" spans="1:1" x14ac:dyDescent="0.3">
      <c r="A315" s="29" t="s">
        <v>348</v>
      </c>
    </row>
    <row r="316" spans="1:1" x14ac:dyDescent="0.3">
      <c r="A316" s="35" t="s">
        <v>349</v>
      </c>
    </row>
    <row r="317" spans="1:1" x14ac:dyDescent="0.3">
      <c r="A317" s="40" t="s">
        <v>350</v>
      </c>
    </row>
    <row r="318" spans="1:1" x14ac:dyDescent="0.3">
      <c r="A318" s="40" t="s">
        <v>351</v>
      </c>
    </row>
    <row r="319" spans="1:1" x14ac:dyDescent="0.3">
      <c r="A319" s="30" t="s">
        <v>352</v>
      </c>
    </row>
    <row r="320" spans="1:1" x14ac:dyDescent="0.3">
      <c r="A320" s="35" t="s">
        <v>353</v>
      </c>
    </row>
    <row r="321" spans="1:1" x14ac:dyDescent="0.3">
      <c r="A321" s="31" t="s">
        <v>354</v>
      </c>
    </row>
    <row r="322" spans="1:1" x14ac:dyDescent="0.3">
      <c r="A322" s="30" t="s">
        <v>355</v>
      </c>
    </row>
    <row r="323" spans="1:1" x14ac:dyDescent="0.3">
      <c r="A323" s="30" t="s">
        <v>356</v>
      </c>
    </row>
    <row r="324" spans="1:1" x14ac:dyDescent="0.3">
      <c r="A324" s="38" t="s">
        <v>357</v>
      </c>
    </row>
    <row r="325" spans="1:1" x14ac:dyDescent="0.3">
      <c r="A325" s="29" t="s">
        <v>358</v>
      </c>
    </row>
    <row r="326" spans="1:1" x14ac:dyDescent="0.3">
      <c r="A326" s="29" t="s">
        <v>359</v>
      </c>
    </row>
    <row r="327" spans="1:1" x14ac:dyDescent="0.3">
      <c r="A327" s="31" t="s">
        <v>360</v>
      </c>
    </row>
    <row r="328" spans="1:1" x14ac:dyDescent="0.3">
      <c r="A328" s="31" t="s">
        <v>361</v>
      </c>
    </row>
    <row r="329" spans="1:1" x14ac:dyDescent="0.3">
      <c r="A329" s="31" t="s">
        <v>362</v>
      </c>
    </row>
    <row r="330" spans="1:1" x14ac:dyDescent="0.3">
      <c r="A330" s="29" t="s">
        <v>363</v>
      </c>
    </row>
    <row r="331" spans="1:1" x14ac:dyDescent="0.3">
      <c r="A331" s="29" t="s">
        <v>364</v>
      </c>
    </row>
    <row r="332" spans="1:1" x14ac:dyDescent="0.3">
      <c r="A332" s="29" t="s">
        <v>365</v>
      </c>
    </row>
    <row r="333" spans="1:1" x14ac:dyDescent="0.3">
      <c r="A333" s="35" t="s">
        <v>366</v>
      </c>
    </row>
    <row r="334" spans="1:1" x14ac:dyDescent="0.3">
      <c r="A334" s="29" t="s">
        <v>367</v>
      </c>
    </row>
    <row r="335" spans="1:1" x14ac:dyDescent="0.3">
      <c r="A335" s="29" t="s">
        <v>368</v>
      </c>
    </row>
    <row r="336" spans="1:1" x14ac:dyDescent="0.3">
      <c r="A336" s="29" t="s">
        <v>369</v>
      </c>
    </row>
    <row r="337" spans="1:1" x14ac:dyDescent="0.3">
      <c r="A337" s="31" t="s">
        <v>370</v>
      </c>
    </row>
    <row r="338" spans="1:1" x14ac:dyDescent="0.3">
      <c r="A338" s="31" t="s">
        <v>371</v>
      </c>
    </row>
    <row r="339" spans="1:1" x14ac:dyDescent="0.3">
      <c r="A339" s="31" t="s">
        <v>370</v>
      </c>
    </row>
    <row r="340" spans="1:1" x14ac:dyDescent="0.3">
      <c r="A340" s="21" t="s">
        <v>372</v>
      </c>
    </row>
    <row r="341" spans="1:1" x14ac:dyDescent="0.3">
      <c r="A341" s="38" t="s">
        <v>373</v>
      </c>
    </row>
    <row r="342" spans="1:1" x14ac:dyDescent="0.3">
      <c r="A342" s="29" t="s">
        <v>374</v>
      </c>
    </row>
    <row r="343" spans="1:1" x14ac:dyDescent="0.3">
      <c r="A343" s="41" t="s">
        <v>375</v>
      </c>
    </row>
    <row r="344" spans="1:1" x14ac:dyDescent="0.3">
      <c r="A344" s="41" t="s">
        <v>376</v>
      </c>
    </row>
    <row r="345" spans="1:1" x14ac:dyDescent="0.3">
      <c r="A345" s="39" t="s">
        <v>377</v>
      </c>
    </row>
    <row r="346" spans="1:1" x14ac:dyDescent="0.3">
      <c r="A346" s="39" t="s">
        <v>378</v>
      </c>
    </row>
    <row r="347" spans="1:1" x14ac:dyDescent="0.3">
      <c r="A347" s="39" t="s">
        <v>379</v>
      </c>
    </row>
    <row r="348" spans="1:1" x14ac:dyDescent="0.3">
      <c r="A348" s="38" t="s">
        <v>380</v>
      </c>
    </row>
    <row r="349" spans="1:1" x14ac:dyDescent="0.3">
      <c r="A349" s="35" t="s">
        <v>381</v>
      </c>
    </row>
    <row r="350" spans="1:1" x14ac:dyDescent="0.3">
      <c r="A350" s="38" t="s">
        <v>382</v>
      </c>
    </row>
    <row r="351" spans="1:1" x14ac:dyDescent="0.3">
      <c r="A351" s="29" t="s">
        <v>383</v>
      </c>
    </row>
    <row r="352" spans="1:1" x14ac:dyDescent="0.3">
      <c r="A352" s="35" t="s">
        <v>384</v>
      </c>
    </row>
    <row r="353" spans="1:1" x14ac:dyDescent="0.3">
      <c r="A353" s="31" t="s">
        <v>385</v>
      </c>
    </row>
    <row r="354" spans="1:1" x14ac:dyDescent="0.3">
      <c r="A354" s="39" t="s">
        <v>386</v>
      </c>
    </row>
    <row r="355" spans="1:1" x14ac:dyDescent="0.3">
      <c r="A355" s="40" t="s">
        <v>387</v>
      </c>
    </row>
    <row r="356" spans="1:1" x14ac:dyDescent="0.3">
      <c r="A356" s="35" t="s">
        <v>388</v>
      </c>
    </row>
    <row r="357" spans="1:1" x14ac:dyDescent="0.3">
      <c r="A357" s="38" t="s">
        <v>389</v>
      </c>
    </row>
    <row r="358" spans="1:1" x14ac:dyDescent="0.3">
      <c r="A358" s="35" t="s">
        <v>390</v>
      </c>
    </row>
    <row r="359" spans="1:1" x14ac:dyDescent="0.3">
      <c r="A359" s="27" t="s">
        <v>391</v>
      </c>
    </row>
    <row r="360" spans="1:1" x14ac:dyDescent="0.3">
      <c r="A360" s="27" t="s">
        <v>392</v>
      </c>
    </row>
    <row r="361" spans="1:1" x14ac:dyDescent="0.3">
      <c r="A361" s="35" t="s">
        <v>393</v>
      </c>
    </row>
    <row r="362" spans="1:1" x14ac:dyDescent="0.3">
      <c r="A362" s="31" t="s">
        <v>394</v>
      </c>
    </row>
    <row r="363" spans="1:1" x14ac:dyDescent="0.3">
      <c r="A363" s="35" t="s">
        <v>395</v>
      </c>
    </row>
    <row r="364" spans="1:1" x14ac:dyDescent="0.3">
      <c r="A364" s="38" t="s">
        <v>396</v>
      </c>
    </row>
    <row r="365" spans="1:1" x14ac:dyDescent="0.3">
      <c r="A365" s="35" t="s">
        <v>397</v>
      </c>
    </row>
    <row r="366" spans="1:1" x14ac:dyDescent="0.3">
      <c r="A366" s="35" t="s">
        <v>398</v>
      </c>
    </row>
    <row r="367" spans="1:1" x14ac:dyDescent="0.3">
      <c r="A367" s="21" t="s">
        <v>399</v>
      </c>
    </row>
    <row r="368" spans="1:1" x14ac:dyDescent="0.3">
      <c r="A368" s="21" t="s">
        <v>400</v>
      </c>
    </row>
    <row r="369" spans="1:1" x14ac:dyDescent="0.3">
      <c r="A369" s="42" t="s">
        <v>401</v>
      </c>
    </row>
    <row r="370" spans="1:1" x14ac:dyDescent="0.3">
      <c r="A370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E7F1-76D8-407F-A459-F48448A292E4}">
  <dimension ref="A1:ADA1164"/>
  <sheetViews>
    <sheetView topLeftCell="B1" workbookViewId="0">
      <pane ySplit="2" topLeftCell="A653" activePane="bottomLeft" state="frozen"/>
      <selection activeCell="B1" sqref="B1"/>
      <selection pane="bottomLeft" activeCell="AC659" sqref="AC659"/>
    </sheetView>
  </sheetViews>
  <sheetFormatPr defaultColWidth="9.109375" defaultRowHeight="33" customHeight="1" x14ac:dyDescent="0.3"/>
  <cols>
    <col min="1" max="1" width="11.44140625" hidden="1" customWidth="1"/>
    <col min="2" max="2" width="13.33203125" style="12" bestFit="1" customWidth="1"/>
    <col min="3" max="3" width="15.109375" style="12" bestFit="1" customWidth="1"/>
    <col min="4" max="4" width="30.6640625" style="12" hidden="1" customWidth="1"/>
    <col min="5" max="5" width="12" style="18" customWidth="1"/>
    <col min="6" max="6" width="1.33203125" style="12" hidden="1" customWidth="1"/>
    <col min="7" max="7" width="34.5546875" style="12" customWidth="1"/>
    <col min="8" max="8" width="11.21875" style="12" hidden="1" customWidth="1"/>
    <col min="9" max="9" width="7" style="13" hidden="1" customWidth="1"/>
    <col min="10" max="10" width="13.33203125" style="12" customWidth="1"/>
    <col min="11" max="11" width="11.44140625" hidden="1" customWidth="1"/>
    <col min="12" max="12" width="12.44140625" hidden="1" customWidth="1"/>
    <col min="13" max="13" width="9.109375" hidden="1" customWidth="1"/>
    <col min="14" max="14" width="25.33203125" style="10" customWidth="1"/>
    <col min="15" max="15" width="30.6640625" hidden="1" customWidth="1"/>
    <col min="16" max="16" width="12.44140625" hidden="1" customWidth="1"/>
    <col min="17" max="17" width="14.88671875" hidden="1" customWidth="1"/>
    <col min="18" max="20" width="12.44140625" hidden="1" customWidth="1"/>
    <col min="21" max="21" width="30.6640625" hidden="1" customWidth="1"/>
    <col min="22" max="25" width="12.44140625" hidden="1" customWidth="1"/>
    <col min="26" max="26" width="18.5546875" hidden="1" customWidth="1"/>
    <col min="27" max="28" width="20.6640625" hidden="1" customWidth="1"/>
    <col min="29" max="30" width="12.88671875" customWidth="1"/>
    <col min="31" max="31" width="0" hidden="1" customWidth="1"/>
    <col min="32" max="32" width="3.6640625" customWidth="1"/>
    <col min="33" max="33" width="8.6640625" customWidth="1"/>
    <col min="34" max="34" width="17" customWidth="1"/>
    <col min="35" max="35" width="8.6640625" customWidth="1"/>
    <col min="36" max="36" width="8.44140625" customWidth="1"/>
    <col min="37" max="37" width="8.6640625" hidden="1" customWidth="1"/>
    <col min="38" max="38" width="8.6640625" customWidth="1"/>
    <col min="39" max="39" width="6.33203125" customWidth="1"/>
    <col min="40" max="51" width="8.5546875" customWidth="1"/>
  </cols>
  <sheetData>
    <row r="1" spans="1:781" s="6" customFormat="1" ht="24.75" customHeight="1" thickTop="1" thickBot="1" x14ac:dyDescent="0.4">
      <c r="A1" s="16"/>
      <c r="B1" s="51" t="s">
        <v>404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F1"/>
      <c r="AG1" s="53" t="s">
        <v>405</v>
      </c>
      <c r="AH1" s="54"/>
      <c r="AI1" s="54"/>
      <c r="AJ1" s="55"/>
      <c r="AK1" t="e" cm="1">
        <f t="array" ref="AK1">_xlfn.TEXTJOIN("-",,INDEX(_xlfn.TEXTSPLIT(AH2,"-"),{1,2}))</f>
        <v>#VALUE!</v>
      </c>
      <c r="AL1" s="56"/>
      <c r="AM1" s="5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</row>
    <row r="2" spans="1:781" s="6" customFormat="1" ht="40.5" customHeight="1" thickTop="1" thickBot="1" x14ac:dyDescent="0.4">
      <c r="A2" s="8" t="s">
        <v>2</v>
      </c>
      <c r="B2" s="9" t="s">
        <v>3</v>
      </c>
      <c r="C2" s="9" t="s">
        <v>4</v>
      </c>
      <c r="D2" s="9" t="s">
        <v>5</v>
      </c>
      <c r="E2" s="9" t="s">
        <v>32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6" t="s">
        <v>38</v>
      </c>
      <c r="N2" s="9" t="s">
        <v>15</v>
      </c>
      <c r="O2" s="5" t="s">
        <v>16</v>
      </c>
      <c r="P2" s="1" t="s">
        <v>17</v>
      </c>
      <c r="Q2" s="3" t="s">
        <v>18</v>
      </c>
      <c r="R2" s="2" t="s">
        <v>19</v>
      </c>
      <c r="S2" s="2" t="s">
        <v>20</v>
      </c>
      <c r="T2" s="4" t="s">
        <v>21</v>
      </c>
      <c r="U2" s="1" t="s">
        <v>22</v>
      </c>
      <c r="V2" s="5" t="s">
        <v>23</v>
      </c>
      <c r="W2" s="5" t="s">
        <v>24</v>
      </c>
      <c r="X2" s="4" t="s">
        <v>25</v>
      </c>
      <c r="Y2" s="4" t="s">
        <v>26</v>
      </c>
      <c r="Z2" s="11" t="s">
        <v>27</v>
      </c>
      <c r="AA2" t="s">
        <v>28</v>
      </c>
      <c r="AB2" t="s">
        <v>29</v>
      </c>
      <c r="AC2" s="9" t="s">
        <v>30</v>
      </c>
      <c r="AD2" s="9" t="s">
        <v>31</v>
      </c>
      <c r="AE2" s="6" t="s">
        <v>37</v>
      </c>
      <c r="AF2"/>
      <c r="AG2" s="19" t="s">
        <v>33</v>
      </c>
      <c r="AH2" s="44"/>
      <c r="AI2" s="20" t="s">
        <v>35</v>
      </c>
      <c r="AJ2" s="45"/>
      <c r="AK2" t="e">
        <f>_xlfn.TEXTAFTER(AH2,"-", -1)</f>
        <v>#VALUE!</v>
      </c>
      <c r="AL2" s="56"/>
      <c r="AM2" s="5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</row>
    <row r="3" spans="1:781" ht="33" hidden="1" customHeight="1" thickTop="1" x14ac:dyDescent="0.3">
      <c r="A3">
        <f>'[1]2026 Orders'!A4</f>
        <v>45726</v>
      </c>
      <c r="B3" s="14" t="str">
        <f>'[1]2026 Orders'!B4</f>
        <v>China</v>
      </c>
      <c r="C3" s="14" t="str">
        <f>'[1]2026 Orders'!C4</f>
        <v>A4458</v>
      </c>
      <c r="D3" s="14">
        <f>'[1]2026 Orders'!D4</f>
        <v>0</v>
      </c>
      <c r="E3" s="17" t="str" cm="1">
        <f t="array" ref="E3">IF(C3=0,"",
HYPERLINK(
"#'2026 Orders'!C"&amp;
MATCH(1,
('2026 Orders'!C:C=C3)*
('2026 Orders'!G:G=G3)*
('2026 Orders'!N:N=N3),
0),
"Open "&amp;C3
))</f>
        <v>Open A4458</v>
      </c>
      <c r="F3" s="14">
        <f>'[1]2026 Orders'!F4</f>
        <v>0</v>
      </c>
      <c r="G3" s="14" t="str">
        <f>'[1]2026 Orders'!G4</f>
        <v>SELENIU-60-FD</v>
      </c>
      <c r="H3" s="14" t="str" cm="1">
        <f t="array" ref="H3">IFERROR(_xlfn.TEXTJOIN("-",,INDEX(_xlfn.TEXTSPLIT(TableTake[[#This Row],[SKU]],"-"),{1,2})),"")</f>
        <v>SELENIU-60</v>
      </c>
      <c r="I3" s="15" t="str">
        <f>IFERROR(_xlfn.TEXTAFTER(TableTake[[#This Row],[SKU]],"-",-1),"")</f>
        <v>FD</v>
      </c>
      <c r="J3" s="14">
        <f>'[1]2026 Orders'!H4</f>
        <v>200</v>
      </c>
      <c r="K3" t="str">
        <f>'[1]2026 Orders'!I4</f>
        <v>F63-25.1</v>
      </c>
      <c r="L3" t="s">
        <v>406</v>
      </c>
      <c r="N3" s="10" t="str">
        <f>'[1]2026 Orders'!L4</f>
        <v>D/W Sent</v>
      </c>
      <c r="O3" t="str">
        <f>'[1]2026 Orders'!M4</f>
        <v>12/15 D/W Sent</v>
      </c>
      <c r="P3" t="str">
        <f>'[1]2026 Orders'!N4</f>
        <v>NA</v>
      </c>
      <c r="Q3" t="str">
        <f>'[1]2026 Orders'!O4</f>
        <v>604776735762</v>
      </c>
      <c r="R3">
        <f>'[1]2026 Orders'!P4</f>
        <v>3000</v>
      </c>
      <c r="S3">
        <f>'[1]2026 Orders'!Q4</f>
        <v>4833</v>
      </c>
      <c r="T3" t="str">
        <f>'[1]2026 Orders'!R4</f>
        <v>complete</v>
      </c>
      <c r="U3">
        <f>'[1]2026 Orders'!S4</f>
        <v>0</v>
      </c>
      <c r="V3">
        <f>'[1]2026 Orders'!T4</f>
        <v>0</v>
      </c>
      <c r="W3">
        <f>'[1]2026 Orders'!U4</f>
        <v>0</v>
      </c>
      <c r="X3">
        <f>'[1]2026 Orders'!V4</f>
        <v>0</v>
      </c>
      <c r="Y3">
        <f>'[1]2026 Orders'!W4</f>
        <v>0</v>
      </c>
      <c r="Z3" t="str">
        <f>'[1]2026 Orders'!X4</f>
        <v>Approved 01/16/26</v>
      </c>
      <c r="AC3" t="str">
        <f t="shared" ref="AC3:AC66" si="0">IF(OR(B3="",B3=0),"",J3&amp;"/"&amp;$AJ$2)</f>
        <v>200/</v>
      </c>
      <c r="AD3" t="e">
        <f t="shared" ref="AD3:AD66" si="1">IF(OR(J3="",J3=0),"",I3&amp;" -&gt; "&amp;$AK$2)</f>
        <v>#VALUE!</v>
      </c>
    </row>
    <row r="4" spans="1:781" ht="33" hidden="1" customHeight="1" x14ac:dyDescent="0.3">
      <c r="A4">
        <f>'[1]2026 Orders'!A5</f>
        <v>0</v>
      </c>
      <c r="B4" s="14">
        <f>'[1]2026 Orders'!B5</f>
        <v>0</v>
      </c>
      <c r="C4" s="14">
        <f>'[1]2026 Orders'!C5</f>
        <v>0</v>
      </c>
      <c r="D4" s="14">
        <f>'[1]2026 Orders'!D5</f>
        <v>0</v>
      </c>
      <c r="E4" s="17" t="str" cm="1">
        <f t="array" ref="E4">IF(C4=0,"",
HYPERLINK(
"#'2026 Orders'!C"&amp;
MATCH(1,
('2026 Orders'!C:C=C4)*
('2026 Orders'!G:G=G4)*
('2026 Orders'!N:N=N4),
0),
"Open "&amp;C4
))</f>
        <v/>
      </c>
      <c r="F4" s="14">
        <f>'[1]2026 Orders'!F5</f>
        <v>0</v>
      </c>
      <c r="G4" s="14">
        <f>'[1]2026 Orders'!G5</f>
        <v>0</v>
      </c>
      <c r="H4" s="14" t="str" cm="1">
        <f t="array" ref="H4">IFERROR(_xlfn.TEXTJOIN("-",,INDEX(_xlfn.TEXTSPLIT(TableTake[[#This Row],[SKU]],"-"),{1,2})),"")</f>
        <v/>
      </c>
      <c r="I4" s="15" t="str">
        <f>IFERROR(_xlfn.TEXTAFTER(TableTake[[#This Row],[SKU]],"-",-1),"")</f>
        <v/>
      </c>
      <c r="J4" s="14">
        <f>'[1]2026 Orders'!H5</f>
        <v>0</v>
      </c>
      <c r="K4">
        <f>'[1]2026 Orders'!I5</f>
        <v>0</v>
      </c>
      <c r="L4">
        <v>817</v>
      </c>
      <c r="N4" s="10">
        <f>'[1]2026 Orders'!L5</f>
        <v>0</v>
      </c>
      <c r="O4">
        <f>'[1]2026 Orders'!M5</f>
        <v>0</v>
      </c>
      <c r="P4">
        <f>'[1]2026 Orders'!N5</f>
        <v>0</v>
      </c>
      <c r="Q4">
        <f>'[1]2026 Orders'!O5</f>
        <v>0</v>
      </c>
      <c r="R4">
        <f>'[1]2026 Orders'!P5</f>
        <v>0</v>
      </c>
      <c r="S4">
        <f>'[1]2026 Orders'!Q5</f>
        <v>0</v>
      </c>
      <c r="T4">
        <f>'[1]2026 Orders'!R5</f>
        <v>0</v>
      </c>
      <c r="U4">
        <f>'[1]2026 Orders'!S5</f>
        <v>0</v>
      </c>
      <c r="V4">
        <f>'[1]2026 Orders'!T5</f>
        <v>0</v>
      </c>
      <c r="W4">
        <f>'[1]2026 Orders'!U5</f>
        <v>0</v>
      </c>
      <c r="X4">
        <f>'[1]2026 Orders'!V5</f>
        <v>0</v>
      </c>
      <c r="Y4">
        <f>'[1]2026 Orders'!W5</f>
        <v>0</v>
      </c>
      <c r="Z4">
        <f>'[1]2026 Orders'!X5</f>
        <v>0</v>
      </c>
      <c r="AC4" t="str">
        <f t="shared" si="0"/>
        <v/>
      </c>
      <c r="AD4" t="str">
        <f t="shared" si="1"/>
        <v/>
      </c>
    </row>
    <row r="5" spans="1:781" ht="33" hidden="1" customHeight="1" x14ac:dyDescent="0.3">
      <c r="A5">
        <f>'[1]2026 Orders'!A6</f>
        <v>45443</v>
      </c>
      <c r="B5" s="14" t="str">
        <f>'[1]2026 Orders'!B6</f>
        <v>China</v>
      </c>
      <c r="C5" s="14" t="str">
        <f>'[1]2026 Orders'!C6</f>
        <v>A4425</v>
      </c>
      <c r="D5" s="14">
        <f>'[1]2026 Orders'!D6</f>
        <v>0</v>
      </c>
      <c r="E5" s="17" t="str" cm="1">
        <f t="array" ref="E5">IF(C5=0,"",
HYPERLINK(
"#'2026 Orders'!C"&amp;
MATCH(1,
('2026 Orders'!C:C=C5)*
('2026 Orders'!G:G=G5)*
('2026 Orders'!N:N=N5),
0),
"Open "&amp;C5
))</f>
        <v>Open A4425</v>
      </c>
      <c r="F5" s="14">
        <f>'[1]2026 Orders'!F6</f>
        <v>0</v>
      </c>
      <c r="G5" s="14" t="str">
        <f>'[1]2026 Orders'!G6</f>
        <v>VIACAL-60-FD</v>
      </c>
      <c r="H5" s="14" t="str" cm="1">
        <f t="array" ref="H5">IFERROR(_xlfn.TEXTJOIN("-",,INDEX(_xlfn.TEXTSPLIT(TableTake[[#This Row],[SKU]],"-"),{1,2})),"")</f>
        <v>VIACAL-60</v>
      </c>
      <c r="I5" s="15" t="str">
        <f>IFERROR(_xlfn.TEXTAFTER(TableTake[[#This Row],[SKU]],"-",-1),"")</f>
        <v>FD</v>
      </c>
      <c r="J5" s="14">
        <f>'[1]2026 Orders'!H6</f>
        <v>200</v>
      </c>
      <c r="K5" t="str">
        <f>'[1]2026 Orders'!I6</f>
        <v>F66-22.1</v>
      </c>
      <c r="L5">
        <f>'[1]2026 Orders'!J6</f>
        <v>200</v>
      </c>
      <c r="N5" s="10" t="str">
        <f>'[1]2026 Orders'!L6</f>
        <v>D/W Sent</v>
      </c>
      <c r="O5" t="str">
        <f>'[1]2026 Orders'!M6</f>
        <v>01/13 D/W Sent</v>
      </c>
      <c r="P5" t="str">
        <f>'[1]2026 Orders'!N6</f>
        <v>NA</v>
      </c>
      <c r="Q5" t="str">
        <f>'[1]2026 Orders'!O6</f>
        <v>609788968160</v>
      </c>
      <c r="R5">
        <f>'[1]2026 Orders'!P6</f>
        <v>2000</v>
      </c>
      <c r="S5">
        <f>'[1]2026 Orders'!Q6</f>
        <v>4661</v>
      </c>
      <c r="T5" t="str">
        <f>'[1]2026 Orders'!R6</f>
        <v>complete</v>
      </c>
      <c r="U5">
        <f>'[1]2026 Orders'!S6</f>
        <v>0</v>
      </c>
      <c r="V5">
        <f>'[1]2026 Orders'!T6</f>
        <v>0</v>
      </c>
      <c r="W5">
        <f>'[1]2026 Orders'!U6</f>
        <v>0</v>
      </c>
      <c r="X5">
        <f>'[1]2026 Orders'!V6</f>
        <v>0</v>
      </c>
      <c r="Y5">
        <f>'[1]2026 Orders'!W6</f>
        <v>0</v>
      </c>
      <c r="Z5" t="str">
        <f>'[1]2026 Orders'!X6</f>
        <v>Approved</v>
      </c>
      <c r="AC5" t="str">
        <f t="shared" si="0"/>
        <v>200/</v>
      </c>
      <c r="AD5" t="e">
        <f t="shared" si="1"/>
        <v>#VALUE!</v>
      </c>
    </row>
    <row r="6" spans="1:781" ht="33" hidden="1" customHeight="1" x14ac:dyDescent="0.3">
      <c r="A6">
        <f>'[1]2026 Orders'!A7</f>
        <v>0</v>
      </c>
      <c r="B6" s="14">
        <f>'[1]2026 Orders'!B7</f>
        <v>0</v>
      </c>
      <c r="C6" s="14">
        <f>'[1]2026 Orders'!C7</f>
        <v>0</v>
      </c>
      <c r="D6" s="14">
        <f>'[1]2026 Orders'!D7</f>
        <v>0</v>
      </c>
      <c r="E6" s="17" t="str" cm="1">
        <f t="array" ref="E6">IF(C6=0,"",
HYPERLINK(
"#'2026 Orders'!C"&amp;
MATCH(1,
('2026 Orders'!C:C=C6)*
('2026 Orders'!G:G=G6)*
('2026 Orders'!N:N=N6),
0),
"Open "&amp;C6
))</f>
        <v/>
      </c>
      <c r="F6" s="14">
        <f>'[1]2026 Orders'!F7</f>
        <v>0</v>
      </c>
      <c r="G6" s="14">
        <f>'[1]2026 Orders'!G7</f>
        <v>0</v>
      </c>
      <c r="H6" s="14" t="str" cm="1">
        <f t="array" ref="H6">IFERROR(_xlfn.TEXTJOIN("-",,INDEX(_xlfn.TEXTSPLIT(TableTake[[#This Row],[SKU]],"-"),{1,2})),"")</f>
        <v/>
      </c>
      <c r="I6" s="15" t="str">
        <f>IFERROR(_xlfn.TEXTAFTER(TableTake[[#This Row],[SKU]],"-",-1),"")</f>
        <v/>
      </c>
      <c r="J6" s="14">
        <f>'[1]2026 Orders'!H7</f>
        <v>0</v>
      </c>
      <c r="K6">
        <f>'[1]2026 Orders'!I7</f>
        <v>0</v>
      </c>
      <c r="L6">
        <f>'[1]2026 Orders'!J7</f>
        <v>0</v>
      </c>
      <c r="N6" s="10">
        <f>'[1]2026 Orders'!L7</f>
        <v>0</v>
      </c>
      <c r="O6">
        <f>'[1]2026 Orders'!M7</f>
        <v>0</v>
      </c>
      <c r="P6">
        <f>'[1]2026 Orders'!N7</f>
        <v>0</v>
      </c>
      <c r="Q6">
        <f>'[1]2026 Orders'!O7</f>
        <v>0</v>
      </c>
      <c r="R6">
        <f>'[1]2026 Orders'!P7</f>
        <v>0</v>
      </c>
      <c r="S6">
        <f>'[1]2026 Orders'!Q7</f>
        <v>0</v>
      </c>
      <c r="T6">
        <f>'[1]2026 Orders'!R7</f>
        <v>0</v>
      </c>
      <c r="U6">
        <f>'[1]2026 Orders'!S7</f>
        <v>0</v>
      </c>
      <c r="V6">
        <f>'[1]2026 Orders'!T7</f>
        <v>0</v>
      </c>
      <c r="W6">
        <f>'[1]2026 Orders'!U7</f>
        <v>0</v>
      </c>
      <c r="X6">
        <f>'[1]2026 Orders'!V7</f>
        <v>0</v>
      </c>
      <c r="Y6">
        <f>'[1]2026 Orders'!W7</f>
        <v>0</v>
      </c>
      <c r="Z6">
        <f>'[1]2026 Orders'!X7</f>
        <v>0</v>
      </c>
      <c r="AC6" t="str">
        <f t="shared" si="0"/>
        <v/>
      </c>
      <c r="AD6" t="str">
        <f t="shared" si="1"/>
        <v/>
      </c>
    </row>
    <row r="7" spans="1:781" ht="33" hidden="1" customHeight="1" x14ac:dyDescent="0.3">
      <c r="A7">
        <f>'[1]2026 Orders'!A8</f>
        <v>45589</v>
      </c>
      <c r="B7" s="14" t="str">
        <f>'[1]2026 Orders'!B8</f>
        <v>UAE</v>
      </c>
      <c r="C7" s="14" t="str">
        <f>'[1]2026 Orders'!C8</f>
        <v>A4624</v>
      </c>
      <c r="D7" s="14" t="str">
        <f>'[1]2026 Orders'!D8</f>
        <v>Under going registration in UAE                5/13/2026: UAE unable to take, exploring if other clients can take product.</v>
      </c>
      <c r="E7" s="17" t="e" cm="1">
        <f t="array" ref="E7">IF(C7=0,"",
HYPERLINK(
"#'2026 Orders'!C"&amp;
MATCH(1,
('2026 Orders'!C:C=C7)*
('2026 Orders'!G:G=G7)*
('2026 Orders'!N:N=N7),
0),
"Open "&amp;C7
))</f>
        <v>#N/A</v>
      </c>
      <c r="F7" s="14" t="str">
        <f>'[1]2026 Orders'!F8</f>
        <v> 6/13/2025: products added from UAE A4393 
9/5/2025: 96 packs allocated to Amazon  
9/18/2025: Moved from A4445</v>
      </c>
      <c r="G7" s="14" t="str">
        <f>'[1]2026 Orders'!G8</f>
        <v>NERUFLX-60-FD</v>
      </c>
      <c r="H7" s="14" t="str" cm="1">
        <f t="array" ref="H7">IFERROR(_xlfn.TEXTJOIN("-",,INDEX(_xlfn.TEXTSPLIT(TableTake[[#This Row],[SKU]],"-"),{1,2})),"")</f>
        <v>NERUFLX-60</v>
      </c>
      <c r="I7" s="15" t="str">
        <f>IFERROR(_xlfn.TEXTAFTER(TableTake[[#This Row],[SKU]],"-",-1),"")</f>
        <v>FD</v>
      </c>
      <c r="J7" s="14">
        <f>'[1]2026 Orders'!H8</f>
        <v>1054</v>
      </c>
      <c r="K7" t="str">
        <f>'[1]2026 Orders'!I8</f>
        <v>F115-25.0</v>
      </c>
      <c r="L7">
        <f>'[1]2026 Orders'!J8</f>
        <v>1054</v>
      </c>
      <c r="N7" s="10" t="str">
        <f>'[1]2026 Orders'!L8</f>
        <v>Sales Action Needed</v>
      </c>
      <c r="O7" t="str">
        <f>'[1]2026 Orders'!M8</f>
        <v>01/20 D/W Sent</v>
      </c>
      <c r="P7" t="str">
        <f>'[1]2026 Orders'!N8</f>
        <v>Y</v>
      </c>
      <c r="Q7">
        <f>'[1]2026 Orders'!O8</f>
        <v>810131193164</v>
      </c>
      <c r="R7">
        <f>'[1]2026 Orders'!P8</f>
        <v>2500</v>
      </c>
      <c r="S7">
        <f>'[1]2026 Orders'!Q8</f>
        <v>4524</v>
      </c>
      <c r="T7" t="str">
        <f>'[1]2026 Orders'!R8</f>
        <v>complete</v>
      </c>
      <c r="U7">
        <f>'[1]2026 Orders'!S8</f>
        <v>0</v>
      </c>
      <c r="V7">
        <f>'[1]2026 Orders'!T8</f>
        <v>0</v>
      </c>
      <c r="W7" t="str">
        <f>'[1]2026 Orders'!U8</f>
        <v> </v>
      </c>
      <c r="X7">
        <f>'[1]2026 Orders'!V8</f>
        <v>0</v>
      </c>
      <c r="Y7" t="str">
        <f>'[1]2026 Orders'!W8</f>
        <v> </v>
      </c>
      <c r="Z7" t="str">
        <f>'[1]2026 Orders'!X8</f>
        <v>HOLD</v>
      </c>
      <c r="AC7" t="str">
        <f t="shared" si="0"/>
        <v>1054/</v>
      </c>
      <c r="AD7" t="e">
        <f t="shared" si="1"/>
        <v>#VALUE!</v>
      </c>
    </row>
    <row r="8" spans="1:781" ht="33" hidden="1" customHeight="1" x14ac:dyDescent="0.3">
      <c r="A8">
        <f>'[1]2026 Orders'!A9</f>
        <v>46058</v>
      </c>
      <c r="B8" s="14">
        <f>'[1]2026 Orders'!B9</f>
        <v>0</v>
      </c>
      <c r="C8" s="14" t="str">
        <f>'[1]2026 Orders'!C9</f>
        <v>A4553</v>
      </c>
      <c r="D8" s="14" t="str">
        <f>'[1]2026 Orders'!D9</f>
        <v>5/13/2026:
*DO NOT PREPARE ORDER FOR SHIPMENT YET: ADDITIONAL PRODUCTS TO BE ADDED*</v>
      </c>
      <c r="E8" s="17" t="e" cm="1">
        <f t="array" ref="E8">IF(C8=0,"",
HYPERLINK(
"#'2026 Orders'!C"&amp;
MATCH(1,
('2026 Orders'!C:C=C8)*
('2026 Orders'!G:G=G8)*
('2026 Orders'!N:N=N8),
0),
"Open "&amp;C8
))</f>
        <v>#N/A</v>
      </c>
      <c r="F8" s="14" t="str">
        <f>'[1]2026 Orders'!F9</f>
        <v>3/30/2026:
Moved from UAE A4644</v>
      </c>
      <c r="G8" s="14" t="str">
        <f>'[1]2026 Orders'!G9</f>
        <v>MFSPLS-120-RE</v>
      </c>
      <c r="H8" s="14" t="str" cm="1">
        <f t="array" ref="H8">IFERROR(_xlfn.TEXTJOIN("-",,INDEX(_xlfn.TEXTSPLIT(TableTake[[#This Row],[SKU]],"-"),{1,2})),"")</f>
        <v>MFSPLS-120</v>
      </c>
      <c r="I8" s="15" t="str">
        <f>IFERROR(_xlfn.TEXTAFTER(TableTake[[#This Row],[SKU]],"-",-1),"")</f>
        <v>RE</v>
      </c>
      <c r="J8" s="14">
        <f>'[1]2026 Orders'!H9</f>
        <v>1050</v>
      </c>
      <c r="K8">
        <f>'[1]2026 Orders'!I9</f>
        <v>0</v>
      </c>
      <c r="L8">
        <f>'[1]2026 Orders'!J9</f>
        <v>1050</v>
      </c>
      <c r="N8" s="10" t="str">
        <f>'[1]2026 Orders'!L9</f>
        <v>Picked</v>
      </c>
      <c r="O8">
        <f>'[1]2026 Orders'!M9</f>
        <v>0</v>
      </c>
      <c r="P8" t="str">
        <f>'[1]2026 Orders'!N9</f>
        <v>NA</v>
      </c>
      <c r="Q8">
        <f>'[1]2026 Orders'!O9</f>
        <v>609788968344</v>
      </c>
      <c r="R8">
        <f>'[1]2026 Orders'!P9</f>
        <v>7000</v>
      </c>
      <c r="S8">
        <f>'[1]2026 Orders'!Q9</f>
        <v>4935</v>
      </c>
      <c r="T8" t="str">
        <f>'[1]2026 Orders'!R9</f>
        <v>complete</v>
      </c>
      <c r="U8">
        <f>'[1]2026 Orders'!S9</f>
        <v>0</v>
      </c>
      <c r="V8">
        <f>'[1]2026 Orders'!T9</f>
        <v>0</v>
      </c>
      <c r="W8">
        <f>'[1]2026 Orders'!U9</f>
        <v>0</v>
      </c>
      <c r="X8">
        <f>'[1]2026 Orders'!V9</f>
        <v>0</v>
      </c>
      <c r="Y8">
        <f>'[1]2026 Orders'!W9</f>
        <v>0</v>
      </c>
      <c r="Z8">
        <f>'[1]2026 Orders'!X9</f>
        <v>0</v>
      </c>
      <c r="AC8" t="str">
        <f t="shared" si="0"/>
        <v/>
      </c>
      <c r="AD8" t="e">
        <f t="shared" si="1"/>
        <v>#VALUE!</v>
      </c>
    </row>
    <row r="9" spans="1:781" ht="33" hidden="1" customHeight="1" x14ac:dyDescent="0.3">
      <c r="A9">
        <f>'[1]2026 Orders'!A10</f>
        <v>45880</v>
      </c>
      <c r="B9" s="14" t="str">
        <f>'[1]2026 Orders'!B10</f>
        <v>Kuwait</v>
      </c>
      <c r="C9" s="14" t="str">
        <f>'[1]2026 Orders'!C10</f>
        <v>A4562</v>
      </c>
      <c r="D9" s="14" t="str">
        <f>'[1]2026 Orders'!D10</f>
        <v>5/11/2026: Order on hold</v>
      </c>
      <c r="E9" s="17" t="str" cm="1">
        <f t="array" ref="E9">IF(C9=0,"",
HYPERLINK(
"#'2026 Orders'!C"&amp;
MATCH(1,
('2026 Orders'!C:C=C9)*
('2026 Orders'!G:G=G9)*
('2026 Orders'!N:N=N9),
0),
"Open "&amp;C9
))</f>
        <v>Open A4562</v>
      </c>
      <c r="F9" s="14" t="str">
        <f>'[1]2026 Orders'!F10</f>
        <v>11/3/2025: Waiting for registration   11/5/2025: Allocated 500 packs to UAE A4521</v>
      </c>
      <c r="G9" s="14" t="str">
        <f>'[1]2026 Orders'!G10</f>
        <v>EYECAP-30-FD</v>
      </c>
      <c r="H9" s="14" t="str" cm="1">
        <f t="array" ref="H9">IFERROR(_xlfn.TEXTJOIN("-",,INDEX(_xlfn.TEXTSPLIT(TableTake[[#This Row],[SKU]],"-"),{1,2})),"")</f>
        <v>EYECAP-30</v>
      </c>
      <c r="I9" s="15" t="str">
        <f>IFERROR(_xlfn.TEXTAFTER(TableTake[[#This Row],[SKU]],"-",-1),"")</f>
        <v>FD</v>
      </c>
      <c r="J9" s="14">
        <f>'[1]2026 Orders'!H10</f>
        <v>500</v>
      </c>
      <c r="K9" t="str">
        <f>'[1]2026 Orders'!I10</f>
        <v>F15-26.0</v>
      </c>
      <c r="L9">
        <f>'[1]2026 Orders'!J10</f>
        <v>0</v>
      </c>
      <c r="N9" s="10" t="str">
        <f>'[1]2026 Orders'!L10</f>
        <v>ON HOLD</v>
      </c>
      <c r="O9">
        <f>'[1]2026 Orders'!M10</f>
        <v>0</v>
      </c>
      <c r="P9" t="str">
        <f>'[1]2026 Orders'!N10</f>
        <v>Y</v>
      </c>
      <c r="Q9">
        <f>'[1]2026 Orders'!O10</f>
        <v>609788968443</v>
      </c>
      <c r="R9">
        <f>'[1]2026 Orders'!P10</f>
        <v>0</v>
      </c>
      <c r="S9">
        <f>'[1]2026 Orders'!Q10</f>
        <v>0</v>
      </c>
      <c r="T9">
        <f>'[1]2026 Orders'!R10</f>
        <v>0</v>
      </c>
      <c r="U9" t="str">
        <f>'[1]2026 Orders'!S10</f>
        <v>MOQ 5000</v>
      </c>
      <c r="V9">
        <f>'[1]2026 Orders'!T10</f>
        <v>0</v>
      </c>
      <c r="W9">
        <f>'[1]2026 Orders'!U10</f>
        <v>0</v>
      </c>
      <c r="X9">
        <f>'[1]2026 Orders'!V10</f>
        <v>0</v>
      </c>
      <c r="Y9">
        <f>'[1]2026 Orders'!W10</f>
        <v>0</v>
      </c>
      <c r="Z9" t="str">
        <f>'[1]2026 Orders'!X10</f>
        <v>HOLD</v>
      </c>
      <c r="AC9" t="str">
        <f t="shared" si="0"/>
        <v>500/</v>
      </c>
      <c r="AD9" t="e">
        <f t="shared" si="1"/>
        <v>#VALUE!</v>
      </c>
    </row>
    <row r="10" spans="1:781" ht="33" hidden="1" customHeight="1" x14ac:dyDescent="0.3">
      <c r="A10">
        <f>'[1]2026 Orders'!A11</f>
        <v>46141</v>
      </c>
      <c r="B10" s="14" t="str">
        <f>'[1]2026 Orders'!B11</f>
        <v>UAE</v>
      </c>
      <c r="C10" s="14" t="str">
        <f>'[1]2026 Orders'!C11</f>
        <v>A4553</v>
      </c>
      <c r="D10" s="14">
        <f>'[1]2026 Orders'!D11</f>
        <v>0</v>
      </c>
      <c r="E10" s="17" t="e" cm="1">
        <f t="array" ref="E10">IF(C10=0,"",
HYPERLINK(
"#'2026 Orders'!C"&amp;
MATCH(1,
('2026 Orders'!C:C=C10)*
('2026 Orders'!G:G=G10)*
('2026 Orders'!N:N=N10),
0),
"Open "&amp;C10
))</f>
        <v>#N/A</v>
      </c>
      <c r="F10" s="14" t="str">
        <f>'[1]2026 Orders'!F11</f>
        <v>4/29/2026: Product added 
5/4/2026: Qty changed 183 -&gt; 182</v>
      </c>
      <c r="G10" s="14" t="str">
        <f>'[1]2026 Orders'!G11</f>
        <v>POLYSIT-90-RE</v>
      </c>
      <c r="H10" s="14" t="str" cm="1">
        <f t="array" ref="H10">IFERROR(_xlfn.TEXTJOIN("-",,INDEX(_xlfn.TEXTSPLIT(TableTake[[#This Row],[SKU]],"-"),{1,2})),"")</f>
        <v>POLYSIT-90</v>
      </c>
      <c r="I10" s="15" t="str">
        <f>IFERROR(_xlfn.TEXTAFTER(TableTake[[#This Row],[SKU]],"-",-1),"")</f>
        <v>RE</v>
      </c>
      <c r="J10" s="14">
        <f>'[1]2026 Orders'!H11</f>
        <v>182</v>
      </c>
      <c r="K10">
        <f>'[1]2026 Orders'!I11</f>
        <v>0</v>
      </c>
      <c r="L10">
        <f>'[1]2026 Orders'!J11</f>
        <v>182</v>
      </c>
      <c r="N10" s="10">
        <f>'[1]2026 Orders'!L11</f>
        <v>0</v>
      </c>
      <c r="O10" t="str">
        <f>'[1]2026 Orders'!M11</f>
        <v>182 available Lot: 49311125</v>
      </c>
      <c r="P10" t="str">
        <f>'[1]2026 Orders'!N11</f>
        <v>Y</v>
      </c>
      <c r="Q10">
        <f>'[1]2026 Orders'!O11</f>
        <v>609788969006</v>
      </c>
      <c r="R10">
        <f>'[1]2026 Orders'!P11</f>
        <v>0</v>
      </c>
      <c r="S10">
        <f>'[1]2026 Orders'!Q11</f>
        <v>0</v>
      </c>
      <c r="T10">
        <f>'[1]2026 Orders'!R11</f>
        <v>0</v>
      </c>
      <c r="U10">
        <f>'[1]2026 Orders'!S11</f>
        <v>0</v>
      </c>
      <c r="V10">
        <f>'[1]2026 Orders'!T11</f>
        <v>0</v>
      </c>
      <c r="W10">
        <f>'[1]2026 Orders'!U11</f>
        <v>0</v>
      </c>
      <c r="X10">
        <f>'[1]2026 Orders'!V11</f>
        <v>0</v>
      </c>
      <c r="Y10">
        <f>'[1]2026 Orders'!W11</f>
        <v>0</v>
      </c>
      <c r="Z10">
        <f>'[1]2026 Orders'!X11</f>
        <v>0</v>
      </c>
      <c r="AC10" t="str">
        <f t="shared" si="0"/>
        <v>182/</v>
      </c>
      <c r="AD10" t="e">
        <f t="shared" si="1"/>
        <v>#VALUE!</v>
      </c>
    </row>
    <row r="11" spans="1:781" ht="33" hidden="1" customHeight="1" x14ac:dyDescent="0.3">
      <c r="A11">
        <f>'[1]2026 Orders'!A12</f>
        <v>45890</v>
      </c>
      <c r="B11" s="14" t="str">
        <f>'[1]2026 Orders'!B12</f>
        <v>Uganda</v>
      </c>
      <c r="C11" s="14" t="str">
        <f>'[1]2026 Orders'!C12</f>
        <v>A4522</v>
      </c>
      <c r="D11" s="14">
        <f>'[1]2026 Orders'!D12</f>
        <v>0</v>
      </c>
      <c r="E11" s="17" t="str" cm="1">
        <f t="array" ref="E11">IF(C11=0,"",
HYPERLINK(
"#'2026 Orders'!C"&amp;
MATCH(1,
('2026 Orders'!C:C=C11)*
('2026 Orders'!G:G=G11)*
('2026 Orders'!N:N=N11),
0),
"Open "&amp;C11
))</f>
        <v>Open A4522</v>
      </c>
      <c r="F11" s="14">
        <f>'[1]2026 Orders'!F12</f>
        <v>0</v>
      </c>
      <c r="G11" s="14" t="str">
        <f>'[1]2026 Orders'!G12</f>
        <v>SPERMCT-60-FD</v>
      </c>
      <c r="H11" s="14" t="str" cm="1">
        <f t="array" ref="H11">IFERROR(_xlfn.TEXTJOIN("-",,INDEX(_xlfn.TEXTSPLIT(TableTake[[#This Row],[SKU]],"-"),{1,2})),"")</f>
        <v>SPERMCT-60</v>
      </c>
      <c r="I11" s="15" t="str">
        <f>IFERROR(_xlfn.TEXTAFTER(TableTake[[#This Row],[SKU]],"-",-1),"")</f>
        <v>FD</v>
      </c>
      <c r="J11" s="14">
        <f>'[1]2026 Orders'!H12</f>
        <v>96</v>
      </c>
      <c r="K11" t="str">
        <f>'[1]2026 Orders'!I12</f>
        <v>F64-25.0</v>
      </c>
      <c r="L11">
        <f>'[1]2026 Orders'!J12</f>
        <v>96</v>
      </c>
      <c r="N11" s="10" t="str">
        <f>'[1]2026 Orders'!L12</f>
        <v>Picked</v>
      </c>
      <c r="O11">
        <f>'[1]2026 Orders'!M12</f>
        <v>0</v>
      </c>
      <c r="P11" t="str">
        <f>'[1]2026 Orders'!N12</f>
        <v>NA</v>
      </c>
      <c r="Q11">
        <f>'[1]2026 Orders'!O12</f>
        <v>609788968405</v>
      </c>
      <c r="R11">
        <f>'[1]2026 Orders'!P12</f>
        <v>5500</v>
      </c>
      <c r="S11">
        <f>'[1]2026 Orders'!Q12</f>
        <v>4850</v>
      </c>
      <c r="T11" t="str">
        <f>'[1]2026 Orders'!R12</f>
        <v>complete</v>
      </c>
      <c r="U11">
        <f>'[1]2026 Orders'!S12</f>
        <v>0</v>
      </c>
      <c r="V11">
        <f>'[1]2026 Orders'!T12</f>
        <v>0</v>
      </c>
      <c r="W11">
        <f>'[1]2026 Orders'!U12</f>
        <v>0</v>
      </c>
      <c r="X11">
        <f>'[1]2026 Orders'!V12</f>
        <v>0</v>
      </c>
      <c r="Y11">
        <f>'[1]2026 Orders'!W12</f>
        <v>0</v>
      </c>
      <c r="Z11" t="str">
        <f>'[1]2026 Orders'!X12</f>
        <v>HOLD</v>
      </c>
      <c r="AC11" t="str">
        <f t="shared" si="0"/>
        <v>96/</v>
      </c>
      <c r="AD11" t="e">
        <f t="shared" si="1"/>
        <v>#VALUE!</v>
      </c>
    </row>
    <row r="12" spans="1:781" ht="33" hidden="1" customHeight="1" x14ac:dyDescent="0.3">
      <c r="A12">
        <f>'[1]2026 Orders'!A13</f>
        <v>45890</v>
      </c>
      <c r="B12" s="14" t="str">
        <f>'[1]2026 Orders'!B13</f>
        <v>Uganda</v>
      </c>
      <c r="C12" s="14" t="str">
        <f>'[1]2026 Orders'!C13</f>
        <v>A4522</v>
      </c>
      <c r="D12" s="14">
        <f>'[1]2026 Orders'!D13</f>
        <v>0</v>
      </c>
      <c r="E12" s="17" t="str" cm="1">
        <f t="array" ref="E12">IF(C12=0,"",
HYPERLINK(
"#'2026 Orders'!C"&amp;
MATCH(1,
('2026 Orders'!C:C=C12)*
('2026 Orders'!G:G=G12)*
('2026 Orders'!N:N=N12),
0),
"Open "&amp;C12
))</f>
        <v>Open A4522</v>
      </c>
      <c r="F12" s="14" t="str">
        <f>'[1]2026 Orders'!F13</f>
        <v>5/12/2026: Allocating to Lebanon A4690.</v>
      </c>
      <c r="G12" s="14" t="str">
        <f>'[1]2026 Orders'!G13</f>
        <v>WFSPLS-180-FD</v>
      </c>
      <c r="H12" s="14" t="str" cm="1">
        <f t="array" ref="H12">IFERROR(_xlfn.TEXTJOIN("-",,INDEX(_xlfn.TEXTSPLIT(TableTake[[#This Row],[SKU]],"-"),{1,2})),"")</f>
        <v>WFSPLS-180</v>
      </c>
      <c r="I12" s="15" t="str">
        <f>IFERROR(_xlfn.TEXTAFTER(TableTake[[#This Row],[SKU]],"-",-1),"")</f>
        <v>FD</v>
      </c>
      <c r="J12" s="14">
        <f>'[1]2026 Orders'!H13</f>
        <v>120</v>
      </c>
      <c r="K12" t="str">
        <f>'[1]2026 Orders'!I13</f>
        <v>F73-23.0</v>
      </c>
      <c r="L12">
        <f>'[1]2026 Orders'!J13</f>
        <v>120</v>
      </c>
      <c r="N12" s="10" t="str">
        <f>'[1]2026 Orders'!L13</f>
        <v>PO Drafted</v>
      </c>
      <c r="O12">
        <f>'[1]2026 Orders'!M13</f>
        <v>46012</v>
      </c>
      <c r="P12" t="str">
        <f>'[1]2026 Orders'!N13</f>
        <v>NA</v>
      </c>
      <c r="Q12">
        <f>'[1]2026 Orders'!O13</f>
        <v>609788968351</v>
      </c>
      <c r="R12">
        <f>'[1]2026 Orders'!P13</f>
        <v>5000</v>
      </c>
      <c r="S12">
        <f>'[1]2026 Orders'!Q13</f>
        <v>5043</v>
      </c>
      <c r="T12" t="str">
        <f>'[1]2026 Orders'!R13</f>
        <v>TBD</v>
      </c>
      <c r="U12" t="str">
        <f>'[1]2026 Orders'!S13</f>
        <v>Pending approval to send to vendor</v>
      </c>
      <c r="V12">
        <f>'[1]2026 Orders'!T13</f>
        <v>0</v>
      </c>
      <c r="W12">
        <f>'[1]2026 Orders'!U13</f>
        <v>0</v>
      </c>
      <c r="X12">
        <f>'[1]2026 Orders'!V13</f>
        <v>0</v>
      </c>
      <c r="Y12">
        <f>'[1]2026 Orders'!W13</f>
        <v>0</v>
      </c>
      <c r="Z12">
        <f>'[1]2026 Orders'!X13</f>
        <v>0</v>
      </c>
      <c r="AC12" t="str">
        <f t="shared" si="0"/>
        <v>120/</v>
      </c>
      <c r="AD12" t="e">
        <f t="shared" si="1"/>
        <v>#VALUE!</v>
      </c>
    </row>
    <row r="13" spans="1:781" ht="33" hidden="1" customHeight="1" x14ac:dyDescent="0.3">
      <c r="A13">
        <f>'[1]2026 Orders'!A14</f>
        <v>45890</v>
      </c>
      <c r="B13" s="14" t="str">
        <f>'[1]2026 Orders'!B14</f>
        <v>Uganda</v>
      </c>
      <c r="C13" s="14" t="str">
        <f>'[1]2026 Orders'!C14</f>
        <v>A4522</v>
      </c>
      <c r="D13" s="14">
        <f>'[1]2026 Orders'!D14</f>
        <v>0</v>
      </c>
      <c r="E13" s="17" t="str" cm="1">
        <f t="array" ref="E13">IF(C13=0,"",
HYPERLINK(
"#'2026 Orders'!C"&amp;
MATCH(1,
('2026 Orders'!C:C=C13)*
('2026 Orders'!G:G=G13)*
('2026 Orders'!N:N=N13),
0),
"Open "&amp;C13
))</f>
        <v>Open A4522</v>
      </c>
      <c r="F13" s="14" t="str">
        <f>'[1]2026 Orders'!F14</f>
        <v>9/11/2025: product changed to RE 
5/14/2026: Allocate to Cyprus A4675.</v>
      </c>
      <c r="G13" s="14" t="str">
        <f>'[1]2026 Orders'!G14</f>
        <v>FERTMX-90-RE</v>
      </c>
      <c r="H13" s="14" t="str" cm="1">
        <f t="array" ref="H13">IFERROR(_xlfn.TEXTJOIN("-",,INDEX(_xlfn.TEXTSPLIT(TableTake[[#This Row],[SKU]],"-"),{1,2})),"")</f>
        <v>FERTMX-90</v>
      </c>
      <c r="I13" s="15" t="str">
        <f>IFERROR(_xlfn.TEXTAFTER(TableTake[[#This Row],[SKU]],"-",-1),"")</f>
        <v>RE</v>
      </c>
      <c r="J13" s="14">
        <f>'[1]2026 Orders'!H14</f>
        <v>288</v>
      </c>
      <c r="K13" t="str">
        <f>'[1]2026 Orders'!I14</f>
        <v>R16-22.0</v>
      </c>
      <c r="L13">
        <f>'[1]2026 Orders'!J14</f>
        <v>0</v>
      </c>
      <c r="N13" s="10" t="str">
        <f>'[1]2026 Orders'!L14</f>
        <v>PO submitted</v>
      </c>
      <c r="O13">
        <f>'[1]2026 Orders'!M14</f>
        <v>0</v>
      </c>
      <c r="P13" t="str">
        <f>'[1]2026 Orders'!N14</f>
        <v>Y</v>
      </c>
      <c r="Q13">
        <f>'[1]2026 Orders'!O14</f>
        <v>609788968726</v>
      </c>
      <c r="R13">
        <f>'[1]2026 Orders'!P14</f>
        <v>5000</v>
      </c>
      <c r="S13">
        <f>'[1]2026 Orders'!Q14</f>
        <v>5041</v>
      </c>
      <c r="T13" t="str">
        <f>'[1]2026 Orders'!R14</f>
        <v>TBD</v>
      </c>
      <c r="U13" t="str">
        <f>'[1]2026 Orders'!S14</f>
        <v>Waiting for vendor confirmation.</v>
      </c>
      <c r="V13">
        <f>'[1]2026 Orders'!T14</f>
        <v>0</v>
      </c>
      <c r="W13">
        <f>'[1]2026 Orders'!U14</f>
        <v>0</v>
      </c>
      <c r="X13">
        <f>'[1]2026 Orders'!V14</f>
        <v>0</v>
      </c>
      <c r="Y13">
        <f>'[1]2026 Orders'!W14</f>
        <v>0</v>
      </c>
      <c r="Z13">
        <f>'[1]2026 Orders'!X14</f>
        <v>0</v>
      </c>
      <c r="AC13" t="str">
        <f t="shared" si="0"/>
        <v>288/</v>
      </c>
      <c r="AD13" t="e">
        <f t="shared" si="1"/>
        <v>#VALUE!</v>
      </c>
    </row>
    <row r="14" spans="1:781" ht="33" hidden="1" customHeight="1" x14ac:dyDescent="0.3">
      <c r="A14">
        <f>'[1]2026 Orders'!A15</f>
        <v>45890</v>
      </c>
      <c r="B14" s="14" t="str">
        <f>'[1]2026 Orders'!B15</f>
        <v>Uganda</v>
      </c>
      <c r="C14" s="14" t="str">
        <f>'[1]2026 Orders'!C15</f>
        <v>A4522</v>
      </c>
      <c r="D14" s="14">
        <f>'[1]2026 Orders'!D15</f>
        <v>0</v>
      </c>
      <c r="E14" s="17" t="str" cm="1">
        <f t="array" ref="E14">IF(C14=0,"",
HYPERLINK(
"#'2026 Orders'!C"&amp;
MATCH(1,
('2026 Orders'!C:C=C14)*
('2026 Orders'!G:G=G14)*
('2026 Orders'!N:N=N14),
0),
"Open "&amp;C14
))</f>
        <v>Open A4522</v>
      </c>
      <c r="F14" s="14">
        <f>'[1]2026 Orders'!F15</f>
        <v>0</v>
      </c>
      <c r="G14" s="14" t="str">
        <f>'[1]2026 Orders'!G15</f>
        <v>PRECON-90-FD</v>
      </c>
      <c r="H14" s="14" t="str" cm="1">
        <f t="array" ref="H14">IFERROR(_xlfn.TEXTJOIN("-",,INDEX(_xlfn.TEXTSPLIT(TableTake[[#This Row],[SKU]],"-"),{1,2})),"")</f>
        <v>PRECON-90</v>
      </c>
      <c r="I14" s="15" t="str">
        <f>IFERROR(_xlfn.TEXTAFTER(TableTake[[#This Row],[SKU]],"-",-1),"")</f>
        <v>FD</v>
      </c>
      <c r="J14" s="14">
        <f>'[1]2026 Orders'!H15</f>
        <v>120</v>
      </c>
      <c r="K14" t="str">
        <f>'[1]2026 Orders'!I15</f>
        <v>F54-23.0</v>
      </c>
      <c r="L14">
        <f>'[1]2026 Orders'!J15</f>
        <v>120</v>
      </c>
      <c r="N14" s="10" t="str">
        <f>'[1]2026 Orders'!L15</f>
        <v>Picked</v>
      </c>
      <c r="O14">
        <f>'[1]2026 Orders'!M15</f>
        <v>0</v>
      </c>
      <c r="P14" t="str">
        <f>'[1]2026 Orders'!N15</f>
        <v>NA</v>
      </c>
      <c r="Q14">
        <f>'[1]2026 Orders'!O15</f>
        <v>609788968368</v>
      </c>
      <c r="R14">
        <f>'[1]2026 Orders'!P15</f>
        <v>7500</v>
      </c>
      <c r="S14">
        <f>'[1]2026 Orders'!Q15</f>
        <v>4714</v>
      </c>
      <c r="T14" t="str">
        <f>'[1]2026 Orders'!R15</f>
        <v>complete</v>
      </c>
      <c r="U14">
        <f>'[1]2026 Orders'!S15</f>
        <v>0</v>
      </c>
      <c r="V14">
        <f>'[1]2026 Orders'!T15</f>
        <v>0</v>
      </c>
      <c r="W14">
        <f>'[1]2026 Orders'!U15</f>
        <v>0</v>
      </c>
      <c r="X14">
        <f>'[1]2026 Orders'!V15</f>
        <v>0</v>
      </c>
      <c r="Y14">
        <f>'[1]2026 Orders'!W15</f>
        <v>0</v>
      </c>
      <c r="Z14">
        <f>'[1]2026 Orders'!X15</f>
        <v>0</v>
      </c>
      <c r="AC14" t="str">
        <f t="shared" si="0"/>
        <v>120/</v>
      </c>
      <c r="AD14" t="e">
        <f t="shared" si="1"/>
        <v>#VALUE!</v>
      </c>
    </row>
    <row r="15" spans="1:781" ht="33" hidden="1" customHeight="1" x14ac:dyDescent="0.3">
      <c r="A15">
        <f>'[1]2026 Orders'!A16</f>
        <v>45890</v>
      </c>
      <c r="B15" s="14" t="str">
        <f>'[1]2026 Orders'!B16</f>
        <v>Uganda</v>
      </c>
      <c r="C15" s="14" t="str">
        <f>'[1]2026 Orders'!C16</f>
        <v>A4522</v>
      </c>
      <c r="D15" s="14">
        <f>'[1]2026 Orders'!D16</f>
        <v>0</v>
      </c>
      <c r="E15" s="17" t="str" cm="1">
        <f t="array" ref="E15">IF(C15=0,"",
HYPERLINK(
"#'2026 Orders'!C"&amp;
MATCH(1,
('2026 Orders'!C:C=C15)*
('2026 Orders'!G:G=G15)*
('2026 Orders'!N:N=N15),
0),
"Open "&amp;C15
))</f>
        <v>Open A4522</v>
      </c>
      <c r="F15" s="14">
        <f>'[1]2026 Orders'!F16</f>
        <v>0</v>
      </c>
      <c r="G15" s="14" t="str">
        <f>'[1]2026 Orders'!G16</f>
        <v>QWELL4-30-SG-FD</v>
      </c>
      <c r="H15" s="14" t="str" cm="1">
        <f t="array" ref="H15">IFERROR(_xlfn.TEXTJOIN("-",,INDEX(_xlfn.TEXTSPLIT(TableTake[[#This Row],[SKU]],"-"),{1,2})),"")</f>
        <v>QWELL4-30</v>
      </c>
      <c r="I15" s="15" t="str">
        <f>IFERROR(_xlfn.TEXTAFTER(TableTake[[#This Row],[SKU]],"-",-1),"")</f>
        <v>FD</v>
      </c>
      <c r="J15" s="14">
        <f>'[1]2026 Orders'!H16</f>
        <v>96</v>
      </c>
      <c r="K15" t="str">
        <f>'[1]2026 Orders'!I16</f>
        <v>F58-25.3</v>
      </c>
      <c r="L15">
        <f>'[1]2026 Orders'!J16</f>
        <v>96</v>
      </c>
      <c r="N15" s="10" t="str">
        <f>'[1]2026 Orders'!L16</f>
        <v>Picked</v>
      </c>
      <c r="O15">
        <f>'[1]2026 Orders'!M16</f>
        <v>0</v>
      </c>
      <c r="P15" t="str">
        <f>'[1]2026 Orders'!N16</f>
        <v>NA</v>
      </c>
      <c r="Q15">
        <f>'[1]2026 Orders'!O16</f>
        <v>609788968214</v>
      </c>
      <c r="R15">
        <f>'[1]2026 Orders'!P16</f>
        <v>17633</v>
      </c>
      <c r="S15">
        <f>'[1]2026 Orders'!Q16</f>
        <v>4858</v>
      </c>
      <c r="T15" t="str">
        <f>'[1]2026 Orders'!R16</f>
        <v>complete</v>
      </c>
      <c r="U15">
        <f>'[1]2026 Orders'!S16</f>
        <v>0</v>
      </c>
      <c r="V15">
        <f>'[1]2026 Orders'!T16</f>
        <v>0</v>
      </c>
      <c r="W15">
        <f>'[1]2026 Orders'!U16</f>
        <v>0</v>
      </c>
      <c r="X15">
        <f>'[1]2026 Orders'!V16</f>
        <v>0</v>
      </c>
      <c r="Y15">
        <f>'[1]2026 Orders'!W16</f>
        <v>0</v>
      </c>
      <c r="Z15">
        <f>'[1]2026 Orders'!X16</f>
        <v>0</v>
      </c>
      <c r="AC15" t="str">
        <f t="shared" si="0"/>
        <v>96/</v>
      </c>
      <c r="AD15" t="e">
        <f t="shared" si="1"/>
        <v>#VALUE!</v>
      </c>
    </row>
    <row r="16" spans="1:781" ht="33" hidden="1" customHeight="1" x14ac:dyDescent="0.3">
      <c r="A16">
        <f>'[1]2026 Orders'!A17</f>
        <v>45890</v>
      </c>
      <c r="B16" s="14" t="str">
        <f>'[1]2026 Orders'!B17</f>
        <v>Uganda</v>
      </c>
      <c r="C16" s="14" t="str">
        <f>'[1]2026 Orders'!C17</f>
        <v>A4522</v>
      </c>
      <c r="D16" s="14">
        <f>'[1]2026 Orders'!D17</f>
        <v>0</v>
      </c>
      <c r="E16" s="17" t="str" cm="1">
        <f t="array" ref="E16">IF(C16=0,"",
HYPERLINK(
"#'2026 Orders'!C"&amp;
MATCH(1,
('2026 Orders'!C:C=C16)*
('2026 Orders'!G:G=G16)*
('2026 Orders'!N:N=N16),
0),
"Open "&amp;C16
))</f>
        <v>Open A4522</v>
      </c>
      <c r="F16" s="14">
        <f>'[1]2026 Orders'!F17</f>
        <v>0</v>
      </c>
      <c r="G16" s="14" t="str">
        <f>'[1]2026 Orders'!G17</f>
        <v>PROSTA-90-FD</v>
      </c>
      <c r="H16" s="14" t="str" cm="1">
        <f t="array" ref="H16">IFERROR(_xlfn.TEXTJOIN("-",,INDEX(_xlfn.TEXTSPLIT(TableTake[[#This Row],[SKU]],"-"),{1,2})),"")</f>
        <v>PROSTA-90</v>
      </c>
      <c r="I16" s="15" t="str">
        <f>IFERROR(_xlfn.TEXTAFTER(TableTake[[#This Row],[SKU]],"-",-1),"")</f>
        <v>FD</v>
      </c>
      <c r="J16" s="14">
        <f>'[1]2026 Orders'!H17</f>
        <v>24</v>
      </c>
      <c r="K16" t="str">
        <f>'[1]2026 Orders'!I17</f>
        <v>F56-23.0</v>
      </c>
      <c r="L16">
        <f>'[1]2026 Orders'!J17</f>
        <v>24</v>
      </c>
      <c r="N16" s="10" t="str">
        <f>'[1]2026 Orders'!L17</f>
        <v>Picked</v>
      </c>
      <c r="O16">
        <f>'[1]2026 Orders'!M17</f>
        <v>0</v>
      </c>
      <c r="P16" t="str">
        <f>'[1]2026 Orders'!N17</f>
        <v>NA</v>
      </c>
      <c r="Q16">
        <f>'[1]2026 Orders'!O17</f>
        <v>609788968504</v>
      </c>
      <c r="R16">
        <f>'[1]2026 Orders'!P17</f>
        <v>4000</v>
      </c>
      <c r="S16">
        <f>'[1]2026 Orders'!Q17</f>
        <v>4802</v>
      </c>
      <c r="T16" t="str">
        <f>'[1]2026 Orders'!R17</f>
        <v>complete</v>
      </c>
      <c r="U16">
        <f>'[1]2026 Orders'!S17</f>
        <v>0</v>
      </c>
      <c r="V16">
        <f>'[1]2026 Orders'!T17</f>
        <v>0</v>
      </c>
      <c r="W16">
        <f>'[1]2026 Orders'!U17</f>
        <v>0</v>
      </c>
      <c r="X16">
        <f>'[1]2026 Orders'!V17</f>
        <v>0</v>
      </c>
      <c r="Y16">
        <f>'[1]2026 Orders'!W17</f>
        <v>0</v>
      </c>
      <c r="Z16">
        <f>'[1]2026 Orders'!X17</f>
        <v>0</v>
      </c>
      <c r="AC16" t="str">
        <f t="shared" si="0"/>
        <v>24/</v>
      </c>
      <c r="AD16" t="e">
        <f t="shared" si="1"/>
        <v>#VALUE!</v>
      </c>
    </row>
    <row r="17" spans="1:30" ht="33" hidden="1" customHeight="1" x14ac:dyDescent="0.3">
      <c r="A17">
        <f>'[1]2026 Orders'!A18</f>
        <v>45923</v>
      </c>
      <c r="B17" s="14" t="str">
        <f>'[1]2026 Orders'!B18</f>
        <v>Uganda</v>
      </c>
      <c r="C17" s="14" t="str">
        <f>'[1]2026 Orders'!C18</f>
        <v>A4522</v>
      </c>
      <c r="D17" s="14">
        <f>'[1]2026 Orders'!D18</f>
        <v>0</v>
      </c>
      <c r="E17" s="17" t="str" cm="1">
        <f t="array" ref="E17">IF(C17=0,"",
HYPERLINK(
"#'2026 Orders'!C"&amp;
MATCH(1,
('2026 Orders'!C:C=C17)*
('2026 Orders'!G:G=G17)*
('2026 Orders'!N:N=N17),
0),
"Open "&amp;C17
))</f>
        <v>Open A4522</v>
      </c>
      <c r="F17" s="14" t="str">
        <f>'[1]2026 Orders'!F18</f>
        <v>12/4/2025: Moved From UgandaA4534
4/9/2026: 192 packs of Ovamax allocated to Bahrain A4685</v>
      </c>
      <c r="G17" s="14" t="str">
        <f>'[1]2026 Orders'!G18</f>
        <v>OVAMAX-120-FD</v>
      </c>
      <c r="H17" s="14" t="str" cm="1">
        <f t="array" ref="H17">IFERROR(_xlfn.TEXTJOIN("-",,INDEX(_xlfn.TEXTSPLIT(TableTake[[#This Row],[SKU]],"-"),{1,2})),"")</f>
        <v>OVAMAX-120</v>
      </c>
      <c r="I17" s="15" t="str">
        <f>IFERROR(_xlfn.TEXTAFTER(TableTake[[#This Row],[SKU]],"-",-1),"")</f>
        <v>FD</v>
      </c>
      <c r="J17" s="14">
        <f>'[1]2026 Orders'!H18</f>
        <v>192</v>
      </c>
      <c r="K17" t="str">
        <f>'[1]2026 Orders'!I18</f>
        <v>F41-25.0</v>
      </c>
      <c r="L17">
        <f>'[1]2026 Orders'!J18</f>
        <v>0</v>
      </c>
      <c r="N17" s="10" t="str">
        <f>'[1]2026 Orders'!L18</f>
        <v>In Production</v>
      </c>
      <c r="O17">
        <f>'[1]2026 Orders'!M18</f>
        <v>0</v>
      </c>
      <c r="P17" t="str">
        <f>'[1]2026 Orders'!N18</f>
        <v>NA</v>
      </c>
      <c r="Q17">
        <f>'[1]2026 Orders'!O18</f>
        <v>810131199586</v>
      </c>
      <c r="R17">
        <f>'[1]2026 Orders'!P18</f>
        <v>10775</v>
      </c>
      <c r="S17">
        <f>'[1]2026 Orders'!Q18</f>
        <v>5055</v>
      </c>
      <c r="T17">
        <f>'[1]2026 Orders'!R18</f>
        <v>46213</v>
      </c>
      <c r="U17">
        <f>'[1]2026 Orders'!S18</f>
        <v>0</v>
      </c>
      <c r="V17">
        <f>'[1]2026 Orders'!T18</f>
        <v>0</v>
      </c>
      <c r="W17">
        <f>'[1]2026 Orders'!U18</f>
        <v>0</v>
      </c>
      <c r="X17">
        <f>'[1]2026 Orders'!V18</f>
        <v>0</v>
      </c>
      <c r="Y17">
        <f>'[1]2026 Orders'!W18</f>
        <v>0</v>
      </c>
      <c r="Z17">
        <f>'[1]2026 Orders'!X18</f>
        <v>0</v>
      </c>
      <c r="AC17" t="str">
        <f t="shared" si="0"/>
        <v>192/</v>
      </c>
      <c r="AD17" t="e">
        <f t="shared" si="1"/>
        <v>#VALUE!</v>
      </c>
    </row>
    <row r="18" spans="1:30" ht="33" hidden="1" customHeight="1" x14ac:dyDescent="0.3">
      <c r="A18">
        <f>'[1]2026 Orders'!A19</f>
        <v>45923</v>
      </c>
      <c r="B18" s="14" t="str">
        <f>'[1]2026 Orders'!B19</f>
        <v>Uganda</v>
      </c>
      <c r="C18" s="14" t="str">
        <f>'[1]2026 Orders'!C19</f>
        <v>A4522</v>
      </c>
      <c r="D18" s="14">
        <f>'[1]2026 Orders'!D19</f>
        <v>0</v>
      </c>
      <c r="E18" s="17" t="str" cm="1">
        <f t="array" ref="E18">IF(C18=0,"",
HYPERLINK(
"#'2026 Orders'!C"&amp;
MATCH(1,
('2026 Orders'!C:C=C18)*
('2026 Orders'!G:G=G18)*
('2026 Orders'!N:N=N18),
0),
"Open "&amp;C18
))</f>
        <v>Open A4522</v>
      </c>
      <c r="F18" s="14">
        <f>'[1]2026 Orders'!F19</f>
        <v>0</v>
      </c>
      <c r="G18" s="14" t="str">
        <f>'[1]2026 Orders'!G19</f>
        <v>WFSPLS-180-FD</v>
      </c>
      <c r="H18" s="14" t="str" cm="1">
        <f t="array" ref="H18">IFERROR(_xlfn.TEXTJOIN("-",,INDEX(_xlfn.TEXTSPLIT(TableTake[[#This Row],[SKU]],"-"),{1,2})),"")</f>
        <v>WFSPLS-180</v>
      </c>
      <c r="I18" s="15" t="str">
        <f>IFERROR(_xlfn.TEXTAFTER(TableTake[[#This Row],[SKU]],"-",-1),"")</f>
        <v>FD</v>
      </c>
      <c r="J18" s="14">
        <f>'[1]2026 Orders'!H19</f>
        <v>48</v>
      </c>
      <c r="K18" t="str">
        <f>'[1]2026 Orders'!I19</f>
        <v>F73-23.0</v>
      </c>
      <c r="L18">
        <f>'[1]2026 Orders'!J19</f>
        <v>0</v>
      </c>
      <c r="N18" s="10" t="str">
        <f>'[1]2026 Orders'!L19</f>
        <v>Picked</v>
      </c>
      <c r="O18">
        <f>'[1]2026 Orders'!M19</f>
        <v>0</v>
      </c>
      <c r="P18" t="str">
        <f>'[1]2026 Orders'!N19</f>
        <v>NA</v>
      </c>
      <c r="Q18">
        <f>'[1]2026 Orders'!O19</f>
        <v>609788968351</v>
      </c>
      <c r="R18">
        <f>'[1]2026 Orders'!P19</f>
        <v>9000</v>
      </c>
      <c r="S18">
        <f>'[1]2026 Orders'!Q19</f>
        <v>4845</v>
      </c>
      <c r="T18" t="str">
        <f>'[1]2026 Orders'!R19</f>
        <v>complete</v>
      </c>
      <c r="U18">
        <f>'[1]2026 Orders'!S19</f>
        <v>0</v>
      </c>
      <c r="V18">
        <f>'[1]2026 Orders'!T19</f>
        <v>0</v>
      </c>
      <c r="W18">
        <f>'[1]2026 Orders'!U19</f>
        <v>0</v>
      </c>
      <c r="X18">
        <f>'[1]2026 Orders'!V19</f>
        <v>0</v>
      </c>
      <c r="Y18">
        <f>'[1]2026 Orders'!W19</f>
        <v>0</v>
      </c>
      <c r="Z18">
        <f>'[1]2026 Orders'!X19</f>
        <v>0</v>
      </c>
      <c r="AC18" t="str">
        <f t="shared" si="0"/>
        <v>48/</v>
      </c>
      <c r="AD18" t="e">
        <f t="shared" si="1"/>
        <v>#VALUE!</v>
      </c>
    </row>
    <row r="19" spans="1:30" ht="33" hidden="1" customHeight="1" x14ac:dyDescent="0.3">
      <c r="A19">
        <f>'[1]2026 Orders'!A20</f>
        <v>45923</v>
      </c>
      <c r="B19" s="14" t="str">
        <f>'[1]2026 Orders'!B20</f>
        <v>Uganda</v>
      </c>
      <c r="C19" s="14" t="str">
        <f>'[1]2026 Orders'!C20</f>
        <v>A4522</v>
      </c>
      <c r="D19" s="14">
        <f>'[1]2026 Orders'!D20</f>
        <v>0</v>
      </c>
      <c r="E19" s="17" t="str" cm="1">
        <f t="array" ref="E19">IF(C19=0,"",
HYPERLINK(
"#'2026 Orders'!C"&amp;
MATCH(1,
('2026 Orders'!C:C=C19)*
('2026 Orders'!G:G=G19)*
('2026 Orders'!N:N=N19),
0),
"Open "&amp;C19
))</f>
        <v>Open A4522</v>
      </c>
      <c r="F19" s="14">
        <f>'[1]2026 Orders'!F20</f>
        <v>0</v>
      </c>
      <c r="G19" s="14" t="str">
        <f>'[1]2026 Orders'!G20</f>
        <v>FERTMX-90-RE</v>
      </c>
      <c r="H19" s="14" t="str" cm="1">
        <f t="array" ref="H19">IFERROR(_xlfn.TEXTJOIN("-",,INDEX(_xlfn.TEXTSPLIT(TableTake[[#This Row],[SKU]],"-"),{1,2})),"")</f>
        <v>FERTMX-90</v>
      </c>
      <c r="I19" s="15" t="str">
        <f>IFERROR(_xlfn.TEXTAFTER(TableTake[[#This Row],[SKU]],"-",-1),"")</f>
        <v>RE</v>
      </c>
      <c r="J19" s="14">
        <f>'[1]2026 Orders'!H20</f>
        <v>40</v>
      </c>
      <c r="K19" t="str">
        <f>'[1]2026 Orders'!I20</f>
        <v>R16-22.0</v>
      </c>
      <c r="L19">
        <f>'[1]2026 Orders'!J20</f>
        <v>40</v>
      </c>
      <c r="N19" s="10" t="str">
        <f>'[1]2026 Orders'!L20</f>
        <v>Picked</v>
      </c>
      <c r="O19">
        <f>'[1]2026 Orders'!M20</f>
        <v>0</v>
      </c>
      <c r="P19" t="str">
        <f>'[1]2026 Orders'!N20</f>
        <v>Y</v>
      </c>
      <c r="Q19">
        <f>'[1]2026 Orders'!O20</f>
        <v>609788968726</v>
      </c>
      <c r="R19">
        <f>'[1]2026 Orders'!P20</f>
        <v>5000</v>
      </c>
      <c r="S19">
        <f>'[1]2026 Orders'!Q20</f>
        <v>4834</v>
      </c>
      <c r="T19" t="str">
        <f>'[1]2026 Orders'!R20</f>
        <v>complete</v>
      </c>
      <c r="U19">
        <f>'[1]2026 Orders'!S20</f>
        <v>0</v>
      </c>
      <c r="V19">
        <f>'[1]2026 Orders'!T20</f>
        <v>0</v>
      </c>
      <c r="W19">
        <f>'[1]2026 Orders'!U20</f>
        <v>0</v>
      </c>
      <c r="X19">
        <f>'[1]2026 Orders'!V20</f>
        <v>0</v>
      </c>
      <c r="Y19">
        <f>'[1]2026 Orders'!W20</f>
        <v>0</v>
      </c>
      <c r="Z19">
        <f>'[1]2026 Orders'!X20</f>
        <v>0</v>
      </c>
      <c r="AC19" t="str">
        <f t="shared" si="0"/>
        <v>40/</v>
      </c>
      <c r="AD19" t="e">
        <f t="shared" si="1"/>
        <v>#VALUE!</v>
      </c>
    </row>
    <row r="20" spans="1:30" ht="33" hidden="1" customHeight="1" x14ac:dyDescent="0.3">
      <c r="A20">
        <f>'[1]2026 Orders'!A21</f>
        <v>46114</v>
      </c>
      <c r="B20" s="14" t="str">
        <f>'[1]2026 Orders'!B21</f>
        <v>Uganda</v>
      </c>
      <c r="C20" s="14" t="str">
        <f>'[1]2026 Orders'!C21</f>
        <v>A4522</v>
      </c>
      <c r="D20" s="14">
        <f>'[1]2026 Orders'!D21</f>
        <v>0</v>
      </c>
      <c r="E20" s="17" t="str" cm="1">
        <f t="array" ref="E20">IF(C20=0,"",
HYPERLINK(
"#'2026 Orders'!C"&amp;
MATCH(1,
('2026 Orders'!C:C=C20)*
('2026 Orders'!G:G=G20)*
('2026 Orders'!N:N=N20),
0),
"Open "&amp;C20
))</f>
        <v>Open A4522</v>
      </c>
      <c r="F20" s="14" t="str">
        <f>'[1]2026 Orders'!F21</f>
        <v>4/2/2026: FERTMX-90-RE 200 packs allocated to Doreen A4678</v>
      </c>
      <c r="G20" s="14" t="str">
        <f>'[1]2026 Orders'!G21</f>
        <v>FERTMX-90-RE</v>
      </c>
      <c r="H20" s="14" t="str" cm="1">
        <f t="array" ref="H20">IFERROR(_xlfn.TEXTJOIN("-",,INDEX(_xlfn.TEXTSPLIT(TableTake[[#This Row],[SKU]],"-"),{1,2})),"")</f>
        <v>FERTMX-90</v>
      </c>
      <c r="I20" s="15" t="str">
        <f>IFERROR(_xlfn.TEXTAFTER(TableTake[[#This Row],[SKU]],"-",-1),"")</f>
        <v>RE</v>
      </c>
      <c r="J20" s="14">
        <f>'[1]2026 Orders'!H21</f>
        <v>200</v>
      </c>
      <c r="K20" t="str">
        <f>'[1]2026 Orders'!I21</f>
        <v>R16-22.0</v>
      </c>
      <c r="L20">
        <f>'[1]2026 Orders'!J21</f>
        <v>0</v>
      </c>
      <c r="N20" s="10" t="str">
        <f>'[1]2026 Orders'!L21</f>
        <v>PO submitted</v>
      </c>
      <c r="O20">
        <f>'[1]2026 Orders'!M21</f>
        <v>0</v>
      </c>
      <c r="P20" t="str">
        <f>'[1]2026 Orders'!N21</f>
        <v>Y</v>
      </c>
      <c r="Q20">
        <f>'[1]2026 Orders'!O21</f>
        <v>609788968726</v>
      </c>
      <c r="R20">
        <f>'[1]2026 Orders'!P21</f>
        <v>5000</v>
      </c>
      <c r="S20">
        <f>'[1]2026 Orders'!Q21</f>
        <v>5041</v>
      </c>
      <c r="T20" t="str">
        <f>'[1]2026 Orders'!R21</f>
        <v>TBD</v>
      </c>
      <c r="U20" t="str">
        <f>'[1]2026 Orders'!S21</f>
        <v>Waiting for vendor confirmation.</v>
      </c>
      <c r="V20">
        <f>'[1]2026 Orders'!T21</f>
        <v>0</v>
      </c>
      <c r="W20">
        <f>'[1]2026 Orders'!U21</f>
        <v>0</v>
      </c>
      <c r="X20">
        <f>'[1]2026 Orders'!V21</f>
        <v>0</v>
      </c>
      <c r="Y20">
        <f>'[1]2026 Orders'!W21</f>
        <v>0</v>
      </c>
      <c r="Z20">
        <f>'[1]2026 Orders'!X21</f>
        <v>0</v>
      </c>
      <c r="AC20" t="str">
        <f t="shared" si="0"/>
        <v>200/</v>
      </c>
      <c r="AD20" t="e">
        <f t="shared" si="1"/>
        <v>#VALUE!</v>
      </c>
    </row>
    <row r="21" spans="1:30" ht="33" hidden="1" customHeight="1" x14ac:dyDescent="0.3">
      <c r="A21">
        <f>'[1]2026 Orders'!A22</f>
        <v>45923</v>
      </c>
      <c r="B21" s="14" t="str">
        <f>'[1]2026 Orders'!B22</f>
        <v>Uganda</v>
      </c>
      <c r="C21" s="14" t="str">
        <f>'[1]2026 Orders'!C22</f>
        <v>A4522</v>
      </c>
      <c r="D21" s="14" t="str">
        <f>'[1]2026 Orders'!D22</f>
        <v>2/11/2026: Updated IFC to Y after IFC scrub.</v>
      </c>
      <c r="E21" s="17" t="str" cm="1">
        <f t="array" ref="E21">IF(C21=0,"",
HYPERLINK(
"#'2026 Orders'!C"&amp;
MATCH(1,
('2026 Orders'!C:C=C21)*
('2026 Orders'!G:G=G21)*
('2026 Orders'!N:N=N21),
0),
"Open "&amp;C21
))</f>
        <v>Open A4522</v>
      </c>
      <c r="F21" s="14">
        <f>'[1]2026 Orders'!F22</f>
        <v>0</v>
      </c>
      <c r="G21" s="14" t="str">
        <f>'[1]2026 Orders'!G22</f>
        <v>PENAMAX-60-GE-FD</v>
      </c>
      <c r="H21" s="14" t="str" cm="1">
        <f t="array" ref="H21">IFERROR(_xlfn.TEXTJOIN("-",,INDEX(_xlfn.TEXTSPLIT(TableTake[[#This Row],[SKU]],"-"),{1,2})),"")</f>
        <v>PENAMAX-60</v>
      </c>
      <c r="I21" s="15" t="str">
        <f>IFERROR(_xlfn.TEXTAFTER(TableTake[[#This Row],[SKU]],"-",-1),"")</f>
        <v>FD</v>
      </c>
      <c r="J21" s="14">
        <f>'[1]2026 Orders'!H22</f>
        <v>96</v>
      </c>
      <c r="K21" t="str">
        <f>'[1]2026 Orders'!I22</f>
        <v>F88-25.1</v>
      </c>
      <c r="L21">
        <f>'[1]2026 Orders'!J22</f>
        <v>96</v>
      </c>
      <c r="N21" s="10" t="str">
        <f>'[1]2026 Orders'!L22</f>
        <v>Picked</v>
      </c>
      <c r="O21">
        <f>'[1]2026 Orders'!M22</f>
        <v>0</v>
      </c>
      <c r="P21" t="str">
        <f>'[1]2026 Orders'!N22</f>
        <v>Y</v>
      </c>
      <c r="Q21">
        <f>'[1]2026 Orders'!O22</f>
        <v>609788968702</v>
      </c>
      <c r="R21">
        <f>'[1]2026 Orders'!P22</f>
        <v>0</v>
      </c>
      <c r="S21">
        <f>'[1]2026 Orders'!Q22</f>
        <v>0</v>
      </c>
      <c r="T21">
        <f>'[1]2026 Orders'!R22</f>
        <v>0</v>
      </c>
      <c r="U21">
        <f>'[1]2026 Orders'!S22</f>
        <v>0</v>
      </c>
      <c r="V21">
        <f>'[1]2026 Orders'!T22</f>
        <v>0</v>
      </c>
      <c r="W21">
        <f>'[1]2026 Orders'!U22</f>
        <v>0</v>
      </c>
      <c r="X21">
        <f>'[1]2026 Orders'!V22</f>
        <v>0</v>
      </c>
      <c r="Y21">
        <f>'[1]2026 Orders'!W22</f>
        <v>0</v>
      </c>
      <c r="Z21">
        <f>'[1]2026 Orders'!X22</f>
        <v>0</v>
      </c>
      <c r="AC21" t="str">
        <f t="shared" si="0"/>
        <v>96/</v>
      </c>
      <c r="AD21" t="e">
        <f t="shared" si="1"/>
        <v>#VALUE!</v>
      </c>
    </row>
    <row r="22" spans="1:30" ht="33" hidden="1" customHeight="1" x14ac:dyDescent="0.3">
      <c r="A22">
        <f>'[1]2026 Orders'!A23</f>
        <v>45923</v>
      </c>
      <c r="B22" s="14" t="str">
        <f>'[1]2026 Orders'!B23</f>
        <v>Uganda</v>
      </c>
      <c r="C22" s="14" t="str">
        <f>'[1]2026 Orders'!C23</f>
        <v>A4522</v>
      </c>
      <c r="D22" s="14">
        <f>'[1]2026 Orders'!D23</f>
        <v>0</v>
      </c>
      <c r="E22" s="17" t="str" cm="1">
        <f t="array" ref="E22">IF(C22=0,"",
HYPERLINK(
"#'2026 Orders'!C"&amp;
MATCH(1,
('2026 Orders'!C:C=C22)*
('2026 Orders'!G:G=G22)*
('2026 Orders'!N:N=N22),
0),
"Open "&amp;C22
))</f>
        <v>Open A4522</v>
      </c>
      <c r="F22" s="14" t="str">
        <f>'[1]2026 Orders'!F23</f>
        <v>03/10/26 Product allocated to Somalia A4655</v>
      </c>
      <c r="G22" s="14" t="str">
        <f>'[1]2026 Orders'!G23</f>
        <v>DHEA50-60-FD</v>
      </c>
      <c r="H22" s="14" t="str" cm="1">
        <f t="array" ref="H22">IFERROR(_xlfn.TEXTJOIN("-",,INDEX(_xlfn.TEXTSPLIT(TableTake[[#This Row],[SKU]],"-"),{1,2})),"")</f>
        <v>DHEA50-60</v>
      </c>
      <c r="I22" s="15" t="str">
        <f>IFERROR(_xlfn.TEXTAFTER(TableTake[[#This Row],[SKU]],"-",-1),"")</f>
        <v>FD</v>
      </c>
      <c r="J22" s="14">
        <f>'[1]2026 Orders'!H23</f>
        <v>72</v>
      </c>
      <c r="K22" t="str">
        <f>'[1]2026 Orders'!I23</f>
        <v>F13-25.2</v>
      </c>
      <c r="L22">
        <f>'[1]2026 Orders'!J23</f>
        <v>0</v>
      </c>
      <c r="N22" s="10" t="str">
        <f>'[1]2026 Orders'!L23</f>
        <v>In Production</v>
      </c>
      <c r="O22">
        <f>'[1]2026 Orders'!M23</f>
        <v>0</v>
      </c>
      <c r="P22" t="str">
        <f>'[1]2026 Orders'!N23</f>
        <v>NA</v>
      </c>
      <c r="Q22">
        <f>'[1]2026 Orders'!O23</f>
        <v>609788968221</v>
      </c>
      <c r="R22">
        <f>'[1]2026 Orders'!P23</f>
        <v>7000</v>
      </c>
      <c r="S22">
        <f>'[1]2026 Orders'!Q23</f>
        <v>5027</v>
      </c>
      <c r="T22">
        <f>'[1]2026 Orders'!R23</f>
        <v>46201</v>
      </c>
      <c r="U22" t="str">
        <f>'[1]2026 Orders'!S23</f>
        <v>Vendor confirming PO ETA</v>
      </c>
      <c r="V22">
        <f>'[1]2026 Orders'!T23</f>
        <v>0</v>
      </c>
      <c r="W22">
        <f>'[1]2026 Orders'!U23</f>
        <v>0</v>
      </c>
      <c r="X22">
        <f>'[1]2026 Orders'!V23</f>
        <v>0</v>
      </c>
      <c r="Y22">
        <f>'[1]2026 Orders'!W23</f>
        <v>0</v>
      </c>
      <c r="Z22">
        <f>'[1]2026 Orders'!X23</f>
        <v>0</v>
      </c>
      <c r="AC22" t="str">
        <f t="shared" si="0"/>
        <v>72/</v>
      </c>
      <c r="AD22" t="e">
        <f t="shared" si="1"/>
        <v>#VALUE!</v>
      </c>
    </row>
    <row r="23" spans="1:30" ht="33" hidden="1" customHeight="1" x14ac:dyDescent="0.3">
      <c r="A23">
        <f>'[1]2026 Orders'!A24</f>
        <v>45923</v>
      </c>
      <c r="B23" s="14" t="str">
        <f>'[1]2026 Orders'!B24</f>
        <v>Uganda</v>
      </c>
      <c r="C23" s="14" t="str">
        <f>'[1]2026 Orders'!C24</f>
        <v>A4522</v>
      </c>
      <c r="D23" s="14">
        <f>'[1]2026 Orders'!D24</f>
        <v>0</v>
      </c>
      <c r="E23" s="17" t="str" cm="1">
        <f t="array" ref="E23">IF(C23=0,"",
HYPERLINK(
"#'2026 Orders'!C"&amp;
MATCH(1,
('2026 Orders'!C:C=C23)*
('2026 Orders'!G:G=G23)*
('2026 Orders'!N:N=N23),
0),
"Open "&amp;C23
))</f>
        <v>Open A4522</v>
      </c>
      <c r="F23" s="14" t="str">
        <f>'[1]2026 Orders'!F24</f>
        <v>12/4/2025: Moved From UgandaA4534</v>
      </c>
      <c r="G23" s="14" t="str">
        <f>'[1]2026 Orders'!G24</f>
        <v>QWELL4-30-SG-FD</v>
      </c>
      <c r="H23" s="14" t="str" cm="1">
        <f t="array" ref="H23">IFERROR(_xlfn.TEXTJOIN("-",,INDEX(_xlfn.TEXTSPLIT(TableTake[[#This Row],[SKU]],"-"),{1,2})),"")</f>
        <v>QWELL4-30</v>
      </c>
      <c r="I23" s="15" t="str">
        <f>IFERROR(_xlfn.TEXTAFTER(TableTake[[#This Row],[SKU]],"-",-1),"")</f>
        <v>FD</v>
      </c>
      <c r="J23" s="14">
        <f>'[1]2026 Orders'!H24</f>
        <v>48</v>
      </c>
      <c r="K23" t="str">
        <f>'[1]2026 Orders'!I24</f>
        <v>F58-25.3</v>
      </c>
      <c r="L23">
        <f>'[1]2026 Orders'!J24</f>
        <v>48</v>
      </c>
      <c r="N23" s="10" t="str">
        <f>'[1]2026 Orders'!L24</f>
        <v>Picked</v>
      </c>
      <c r="O23">
        <f>'[1]2026 Orders'!M24</f>
        <v>0</v>
      </c>
      <c r="P23" t="str">
        <f>'[1]2026 Orders'!N24</f>
        <v>NA</v>
      </c>
      <c r="Q23" t="str">
        <f>'[1]2026 Orders'!O24</f>
        <v>609788968214</v>
      </c>
      <c r="R23">
        <f>'[1]2026 Orders'!P24</f>
        <v>17633</v>
      </c>
      <c r="S23">
        <f>'[1]2026 Orders'!Q24</f>
        <v>4858</v>
      </c>
      <c r="T23" t="str">
        <f>'[1]2026 Orders'!R24</f>
        <v>complete</v>
      </c>
      <c r="U23">
        <f>'[1]2026 Orders'!S24</f>
        <v>0</v>
      </c>
      <c r="V23">
        <f>'[1]2026 Orders'!T24</f>
        <v>0</v>
      </c>
      <c r="W23">
        <f>'[1]2026 Orders'!U24</f>
        <v>0</v>
      </c>
      <c r="X23">
        <f>'[1]2026 Orders'!V24</f>
        <v>0</v>
      </c>
      <c r="Y23">
        <f>'[1]2026 Orders'!W24</f>
        <v>0</v>
      </c>
      <c r="Z23">
        <f>'[1]2026 Orders'!X24</f>
        <v>0</v>
      </c>
      <c r="AC23" t="str">
        <f t="shared" si="0"/>
        <v>48/</v>
      </c>
      <c r="AD23" t="e">
        <f t="shared" si="1"/>
        <v>#VALUE!</v>
      </c>
    </row>
    <row r="24" spans="1:30" ht="33" hidden="1" customHeight="1" x14ac:dyDescent="0.3">
      <c r="A24">
        <f>'[1]2026 Orders'!A25</f>
        <v>45975</v>
      </c>
      <c r="B24" s="14" t="str">
        <f>'[1]2026 Orders'!B25</f>
        <v>Uganda</v>
      </c>
      <c r="C24" s="14" t="str">
        <f>'[1]2026 Orders'!C25</f>
        <v>A4522</v>
      </c>
      <c r="D24" s="14">
        <f>'[1]2026 Orders'!D25</f>
        <v>0</v>
      </c>
      <c r="E24" s="17" t="str" cm="1">
        <f t="array" ref="E24">IF(C24=0,"",
HYPERLINK(
"#'2026 Orders'!C"&amp;
MATCH(1,
('2026 Orders'!C:C=C24)*
('2026 Orders'!G:G=G24)*
('2026 Orders'!N:N=N24),
0),
"Open "&amp;C24
))</f>
        <v>Open A4522</v>
      </c>
      <c r="F24" s="14">
        <f>'[1]2026 Orders'!F25</f>
        <v>0</v>
      </c>
      <c r="G24" s="14" t="str">
        <f>'[1]2026 Orders'!G25</f>
        <v>PRECON-180-FD</v>
      </c>
      <c r="H24" s="14" t="str" cm="1">
        <f t="array" ref="H24">IFERROR(_xlfn.TEXTJOIN("-",,INDEX(_xlfn.TEXTSPLIT(TableTake[[#This Row],[SKU]],"-"),{1,2})),"")</f>
        <v>PRECON-180</v>
      </c>
      <c r="I24" s="15" t="str">
        <f>IFERROR(_xlfn.TEXTAFTER(TableTake[[#This Row],[SKU]],"-",-1),"")</f>
        <v>FD</v>
      </c>
      <c r="J24" s="14">
        <f>'[1]2026 Orders'!H25</f>
        <v>50</v>
      </c>
      <c r="K24" t="str">
        <f>'[1]2026 Orders'!I25</f>
        <v>F55-22.2</v>
      </c>
      <c r="L24">
        <f>'[1]2026 Orders'!J25</f>
        <v>0</v>
      </c>
      <c r="N24" s="10" t="str">
        <f>'[1]2026 Orders'!L25</f>
        <v>In Production</v>
      </c>
      <c r="O24">
        <f>'[1]2026 Orders'!M25</f>
        <v>0</v>
      </c>
      <c r="P24" t="str">
        <f>'[1]2026 Orders'!N25</f>
        <v>NA</v>
      </c>
      <c r="Q24">
        <f>'[1]2026 Orders'!O25</f>
        <v>609788968375</v>
      </c>
      <c r="R24">
        <f>'[1]2026 Orders'!P25</f>
        <v>5000</v>
      </c>
      <c r="S24">
        <f>'[1]2026 Orders'!Q25</f>
        <v>5060</v>
      </c>
      <c r="T24">
        <f>'[1]2026 Orders'!R25</f>
        <v>46205</v>
      </c>
      <c r="U24">
        <f>'[1]2026 Orders'!S25</f>
        <v>0</v>
      </c>
      <c r="V24">
        <f>'[1]2026 Orders'!T25</f>
        <v>0</v>
      </c>
      <c r="W24">
        <f>'[1]2026 Orders'!U25</f>
        <v>0</v>
      </c>
      <c r="X24">
        <f>'[1]2026 Orders'!V25</f>
        <v>0</v>
      </c>
      <c r="Y24">
        <f>'[1]2026 Orders'!W25</f>
        <v>0</v>
      </c>
      <c r="Z24">
        <f>'[1]2026 Orders'!X25</f>
        <v>0</v>
      </c>
      <c r="AC24" t="str">
        <f t="shared" si="0"/>
        <v>50/</v>
      </c>
      <c r="AD24" t="e">
        <f t="shared" si="1"/>
        <v>#VALUE!</v>
      </c>
    </row>
    <row r="25" spans="1:30" ht="33" hidden="1" customHeight="1" x14ac:dyDescent="0.3">
      <c r="A25">
        <f>'[1]2026 Orders'!A26</f>
        <v>45923</v>
      </c>
      <c r="B25" s="14" t="str">
        <f>'[1]2026 Orders'!B26</f>
        <v>Uganda</v>
      </c>
      <c r="C25" s="14" t="str">
        <f>'[1]2026 Orders'!C26</f>
        <v>A4522</v>
      </c>
      <c r="D25" s="14">
        <f>'[1]2026 Orders'!D26</f>
        <v>0</v>
      </c>
      <c r="E25" s="17" t="e" cm="1">
        <f t="array" ref="E25">IF(C25=0,"",
HYPERLINK(
"#'2026 Orders'!C"&amp;
MATCH(1,
('2026 Orders'!C:C=C25)*
('2026 Orders'!G:G=G25)*
('2026 Orders'!N:N=N25),
0),
"Open "&amp;C25
))</f>
        <v>#N/A</v>
      </c>
      <c r="F25" s="14" t="str">
        <f>'[1]2026 Orders'!F26</f>
        <v>12/4/2025: Moved From UgandaA4534
4/9/2026: 192 packs of Ovamax allocated to Bahrain A4685</v>
      </c>
      <c r="G25" s="14" t="str">
        <f>'[1]2026 Orders'!G26</f>
        <v>OVAMAX-120-FD</v>
      </c>
      <c r="H25" s="14" t="str" cm="1">
        <f t="array" ref="H25">IFERROR(_xlfn.TEXTJOIN("-",,INDEX(_xlfn.TEXTSPLIT(TableTake[[#This Row],[SKU]],"-"),{1,2})),"")</f>
        <v>OVAMAX-120</v>
      </c>
      <c r="I25" s="15" t="str">
        <f>IFERROR(_xlfn.TEXTAFTER(TableTake[[#This Row],[SKU]],"-",-1),"")</f>
        <v>FD</v>
      </c>
      <c r="J25" s="14">
        <f>'[1]2026 Orders'!H26</f>
        <v>192</v>
      </c>
      <c r="K25" t="str">
        <f>'[1]2026 Orders'!I26</f>
        <v>F41-25.0</v>
      </c>
      <c r="L25">
        <f>'[1]2026 Orders'!J26</f>
        <v>192</v>
      </c>
      <c r="N25" s="10">
        <f>'[1]2026 Orders'!L26</f>
        <v>0</v>
      </c>
      <c r="O25">
        <f>'[1]2026 Orders'!M26</f>
        <v>0</v>
      </c>
      <c r="P25" t="str">
        <f>'[1]2026 Orders'!N26</f>
        <v>NA</v>
      </c>
      <c r="Q25">
        <f>'[1]2026 Orders'!O26</f>
        <v>810131199586</v>
      </c>
      <c r="R25">
        <f>'[1]2026 Orders'!P26</f>
        <v>4100</v>
      </c>
      <c r="S25">
        <f>'[1]2026 Orders'!Q26</f>
        <v>4949</v>
      </c>
      <c r="T25" t="str">
        <f>'[1]2026 Orders'!R26</f>
        <v>Complete</v>
      </c>
      <c r="U25">
        <f>'[1]2026 Orders'!S26</f>
        <v>0</v>
      </c>
      <c r="V25">
        <f>'[1]2026 Orders'!T26</f>
        <v>0</v>
      </c>
      <c r="W25">
        <f>'[1]2026 Orders'!U26</f>
        <v>0</v>
      </c>
      <c r="X25">
        <f>'[1]2026 Orders'!V26</f>
        <v>0</v>
      </c>
      <c r="Y25">
        <f>'[1]2026 Orders'!W26</f>
        <v>0</v>
      </c>
      <c r="Z25">
        <f>'[1]2026 Orders'!X26</f>
        <v>0</v>
      </c>
      <c r="AC25" t="str">
        <f t="shared" si="0"/>
        <v>192/</v>
      </c>
      <c r="AD25" t="e">
        <f t="shared" si="1"/>
        <v>#VALUE!</v>
      </c>
    </row>
    <row r="26" spans="1:30" ht="33" hidden="1" customHeight="1" x14ac:dyDescent="0.3">
      <c r="A26">
        <f>'[1]2026 Orders'!A27</f>
        <v>45897</v>
      </c>
      <c r="B26" s="14" t="str">
        <f>'[1]2026 Orders'!B27</f>
        <v>Morocco</v>
      </c>
      <c r="C26" s="14" t="str">
        <f>'[1]2026 Orders'!C27</f>
        <v>A4518</v>
      </c>
      <c r="D26" s="14" t="str">
        <f>'[1]2026 Orders'!D27</f>
        <v xml:space="preserve">Awaiting customer update </v>
      </c>
      <c r="E26" s="17" t="str" cm="1">
        <f t="array" ref="E26">IF(C26=0,"",
HYPERLINK(
"#'2026 Orders'!C"&amp;
MATCH(1,
('2026 Orders'!C:C=C26)*
('2026 Orders'!G:G=G26)*
('2026 Orders'!N:N=N26),
0),
"Open "&amp;C26
))</f>
        <v>Open A4518</v>
      </c>
      <c r="F26" s="14">
        <f>'[1]2026 Orders'!F27</f>
        <v>0</v>
      </c>
      <c r="G26" s="14" t="str">
        <f>'[1]2026 Orders'!G27</f>
        <v>MOTILMX-60-FD</v>
      </c>
      <c r="H26" s="14" t="str" cm="1">
        <f t="array" ref="H26">IFERROR(_xlfn.TEXTJOIN("-",,INDEX(_xlfn.TEXTSPLIT(TableTake[[#This Row],[SKU]],"-"),{1,2})),"")</f>
        <v>MOTILMX-60</v>
      </c>
      <c r="I26" s="15" t="str">
        <f>IFERROR(_xlfn.TEXTAFTER(TableTake[[#This Row],[SKU]],"-",-1),"")</f>
        <v>FD</v>
      </c>
      <c r="J26" s="14">
        <f>'[1]2026 Orders'!H27</f>
        <v>1</v>
      </c>
      <c r="K26" t="str">
        <f>'[1]2026 Orders'!I27</f>
        <v>F31-23.0</v>
      </c>
      <c r="L26">
        <f>'[1]2026 Orders'!J27</f>
        <v>1</v>
      </c>
      <c r="N26" s="10" t="str">
        <f>'[1]2026 Orders'!L27</f>
        <v>D/W Sent</v>
      </c>
      <c r="O26" t="str">
        <f>'[1]2026 Orders'!M27</f>
        <v>D/W sent on 9/12/25</v>
      </c>
      <c r="P26" t="str">
        <f>'[1]2026 Orders'!N27</f>
        <v>NA</v>
      </c>
      <c r="Q26">
        <f>'[1]2026 Orders'!O27</f>
        <v>609788968191</v>
      </c>
      <c r="R26">
        <f>'[1]2026 Orders'!P27</f>
        <v>0</v>
      </c>
      <c r="S26">
        <f>'[1]2026 Orders'!Q27</f>
        <v>0</v>
      </c>
      <c r="T26">
        <f>'[1]2026 Orders'!R27</f>
        <v>0</v>
      </c>
      <c r="U26">
        <f>'[1]2026 Orders'!S27</f>
        <v>0</v>
      </c>
      <c r="V26">
        <f>'[1]2026 Orders'!T27</f>
        <v>0</v>
      </c>
      <c r="W26">
        <f>'[1]2026 Orders'!U27</f>
        <v>0</v>
      </c>
      <c r="X26">
        <f>'[1]2026 Orders'!V27</f>
        <v>0</v>
      </c>
      <c r="Y26">
        <f>'[1]2026 Orders'!W27</f>
        <v>0</v>
      </c>
      <c r="Z26" t="str">
        <f>'[1]2026 Orders'!X27</f>
        <v>Approved</v>
      </c>
      <c r="AC26" t="str">
        <f t="shared" si="0"/>
        <v>1/</v>
      </c>
      <c r="AD26" t="e">
        <f t="shared" si="1"/>
        <v>#VALUE!</v>
      </c>
    </row>
    <row r="27" spans="1:30" ht="33" hidden="1" customHeight="1" x14ac:dyDescent="0.3">
      <c r="A27">
        <f>'[1]2026 Orders'!A28</f>
        <v>45897</v>
      </c>
      <c r="B27" s="14" t="str">
        <f>'[1]2026 Orders'!B28</f>
        <v>Morocco</v>
      </c>
      <c r="C27" s="14" t="str">
        <f>'[1]2026 Orders'!C28</f>
        <v>A4518</v>
      </c>
      <c r="D27" s="14">
        <f>'[1]2026 Orders'!D28</f>
        <v>0</v>
      </c>
      <c r="E27" s="17" t="str" cm="1">
        <f t="array" ref="E27">IF(C27=0,"",
HYPERLINK(
"#'2026 Orders'!C"&amp;
MATCH(1,
('2026 Orders'!C:C=C27)*
('2026 Orders'!G:G=G27)*
('2026 Orders'!N:N=N27),
0),
"Open "&amp;C27
))</f>
        <v>Open A4518</v>
      </c>
      <c r="F27" s="14">
        <f>'[1]2026 Orders'!F28</f>
        <v>0</v>
      </c>
      <c r="G27" s="14" t="str">
        <f>'[1]2026 Orders'!G28</f>
        <v>MFSPLS-60-FD</v>
      </c>
      <c r="H27" s="14" t="str" cm="1">
        <f t="array" ref="H27">IFERROR(_xlfn.TEXTJOIN("-",,INDEX(_xlfn.TEXTSPLIT(TableTake[[#This Row],[SKU]],"-"),{1,2})),"")</f>
        <v>MFSPLS-60</v>
      </c>
      <c r="I27" s="15" t="str">
        <f>IFERROR(_xlfn.TEXTAFTER(TableTake[[#This Row],[SKU]],"-",-1),"")</f>
        <v>FD</v>
      </c>
      <c r="J27" s="14">
        <f>'[1]2026 Orders'!H28</f>
        <v>1</v>
      </c>
      <c r="K27" t="str">
        <f>'[1]2026 Orders'!I28</f>
        <v>F29-25.0</v>
      </c>
      <c r="L27">
        <f>'[1]2026 Orders'!J28</f>
        <v>1</v>
      </c>
      <c r="N27" s="10" t="str">
        <f>'[1]2026 Orders'!L28</f>
        <v>D/W Sent</v>
      </c>
      <c r="O27" t="str">
        <f>'[1]2026 Orders'!M28</f>
        <v>NEW D/W sent on 10/20/25</v>
      </c>
      <c r="P27" t="str">
        <f>'[1]2026 Orders'!N28</f>
        <v>NA</v>
      </c>
      <c r="Q27">
        <f>'[1]2026 Orders'!O28</f>
        <v>609788968092</v>
      </c>
      <c r="R27">
        <f>'[1]2026 Orders'!P28</f>
        <v>0</v>
      </c>
      <c r="S27">
        <f>'[1]2026 Orders'!Q28</f>
        <v>0</v>
      </c>
      <c r="T27">
        <f>'[1]2026 Orders'!R28</f>
        <v>0</v>
      </c>
      <c r="U27">
        <f>'[1]2026 Orders'!S28</f>
        <v>0</v>
      </c>
      <c r="V27">
        <f>'[1]2026 Orders'!T28</f>
        <v>0</v>
      </c>
      <c r="W27">
        <f>'[1]2026 Orders'!U28</f>
        <v>0</v>
      </c>
      <c r="X27">
        <f>'[1]2026 Orders'!V28</f>
        <v>0</v>
      </c>
      <c r="Y27">
        <f>'[1]2026 Orders'!W28</f>
        <v>0</v>
      </c>
      <c r="Z27">
        <f>'[1]2026 Orders'!X28</f>
        <v>0</v>
      </c>
      <c r="AC27" t="str">
        <f t="shared" si="0"/>
        <v>1/</v>
      </c>
      <c r="AD27" t="e">
        <f t="shared" si="1"/>
        <v>#VALUE!</v>
      </c>
    </row>
    <row r="28" spans="1:30" ht="33" hidden="1" customHeight="1" x14ac:dyDescent="0.3">
      <c r="A28">
        <f>'[1]2026 Orders'!A29</f>
        <v>45897</v>
      </c>
      <c r="B28" s="14" t="str">
        <f>'[1]2026 Orders'!B29</f>
        <v>Morocco</v>
      </c>
      <c r="C28" s="14" t="str">
        <f>'[1]2026 Orders'!C29</f>
        <v>A4518</v>
      </c>
      <c r="D28" s="14">
        <f>'[1]2026 Orders'!D29</f>
        <v>0</v>
      </c>
      <c r="E28" s="17" t="str" cm="1">
        <f t="array" ref="E28">IF(C28=0,"",
HYPERLINK(
"#'2026 Orders'!C"&amp;
MATCH(1,
('2026 Orders'!C:C=C28)*
('2026 Orders'!G:G=G28)*
('2026 Orders'!N:N=N28),
0),
"Open "&amp;C28
))</f>
        <v>Open A4518</v>
      </c>
      <c r="F28" s="14">
        <f>'[1]2026 Orders'!F29</f>
        <v>0</v>
      </c>
      <c r="G28" s="14" t="str">
        <f>'[1]2026 Orders'!G29</f>
        <v>MFSPLS-120-FD</v>
      </c>
      <c r="H28" s="14" t="str" cm="1">
        <f t="array" ref="H28">IFERROR(_xlfn.TEXTJOIN("-",,INDEX(_xlfn.TEXTSPLIT(TableTake[[#This Row],[SKU]],"-"),{1,2})),"")</f>
        <v>MFSPLS-120</v>
      </c>
      <c r="I28" s="15" t="str">
        <f>IFERROR(_xlfn.TEXTAFTER(TableTake[[#This Row],[SKU]],"-",-1),"")</f>
        <v>FD</v>
      </c>
      <c r="J28" s="14">
        <f>'[1]2026 Orders'!H29</f>
        <v>1</v>
      </c>
      <c r="K28" t="str">
        <f>'[1]2026 Orders'!I29</f>
        <v>F30-25.1</v>
      </c>
      <c r="L28">
        <f>'[1]2026 Orders'!J29</f>
        <v>1</v>
      </c>
      <c r="N28" s="10" t="str">
        <f>'[1]2026 Orders'!L29</f>
        <v>D/W Sent</v>
      </c>
      <c r="O28">
        <f>'[1]2026 Orders'!M29</f>
        <v>0</v>
      </c>
      <c r="P28" t="str">
        <f>'[1]2026 Orders'!N29</f>
        <v>NA</v>
      </c>
      <c r="Q28">
        <f>'[1]2026 Orders'!O29</f>
        <v>609788968344</v>
      </c>
      <c r="R28">
        <f>'[1]2026 Orders'!P29</f>
        <v>0</v>
      </c>
      <c r="S28">
        <f>'[1]2026 Orders'!Q29</f>
        <v>0</v>
      </c>
      <c r="T28">
        <f>'[1]2026 Orders'!R29</f>
        <v>0</v>
      </c>
      <c r="U28">
        <f>'[1]2026 Orders'!S29</f>
        <v>0</v>
      </c>
      <c r="V28">
        <f>'[1]2026 Orders'!T29</f>
        <v>0</v>
      </c>
      <c r="W28">
        <f>'[1]2026 Orders'!U29</f>
        <v>0</v>
      </c>
      <c r="X28">
        <f>'[1]2026 Orders'!V29</f>
        <v>0</v>
      </c>
      <c r="Y28">
        <f>'[1]2026 Orders'!W29</f>
        <v>0</v>
      </c>
      <c r="Z28">
        <f>'[1]2026 Orders'!X29</f>
        <v>0</v>
      </c>
      <c r="AC28" t="str">
        <f t="shared" si="0"/>
        <v>1/</v>
      </c>
      <c r="AD28" t="e">
        <f t="shared" si="1"/>
        <v>#VALUE!</v>
      </c>
    </row>
    <row r="29" spans="1:30" ht="33" hidden="1" customHeight="1" x14ac:dyDescent="0.3">
      <c r="A29">
        <f>'[1]2026 Orders'!A30</f>
        <v>45897</v>
      </c>
      <c r="B29" s="14" t="str">
        <f>'[1]2026 Orders'!B30</f>
        <v>Morocco</v>
      </c>
      <c r="C29" s="14" t="str">
        <f>'[1]2026 Orders'!C30</f>
        <v>A4518</v>
      </c>
      <c r="D29" s="14">
        <f>'[1]2026 Orders'!D30</f>
        <v>0</v>
      </c>
      <c r="E29" s="17" t="str" cm="1">
        <f t="array" ref="E29">IF(C29=0,"",
HYPERLINK(
"#'2026 Orders'!C"&amp;
MATCH(1,
('2026 Orders'!C:C=C29)*
('2026 Orders'!G:G=G29)*
('2026 Orders'!N:N=N29),
0),
"Open "&amp;C29
))</f>
        <v>Open A4518</v>
      </c>
      <c r="F29" s="14">
        <f>'[1]2026 Orders'!F30</f>
        <v>0</v>
      </c>
      <c r="G29" s="14" t="str">
        <f>'[1]2026 Orders'!G30</f>
        <v>POLYSIT-90-FD</v>
      </c>
      <c r="H29" s="14" t="str" cm="1">
        <f t="array" ref="H29">IFERROR(_xlfn.TEXTJOIN("-",,INDEX(_xlfn.TEXTSPLIT(TableTake[[#This Row],[SKU]],"-"),{1,2})),"")</f>
        <v>POLYSIT-90</v>
      </c>
      <c r="I29" s="15" t="str">
        <f>IFERROR(_xlfn.TEXTAFTER(TableTake[[#This Row],[SKU]],"-",-1),"")</f>
        <v>FD</v>
      </c>
      <c r="J29" s="14">
        <f>'[1]2026 Orders'!H30</f>
        <v>1</v>
      </c>
      <c r="K29" t="str">
        <f>'[1]2026 Orders'!I30</f>
        <v>F53-14.0</v>
      </c>
      <c r="L29">
        <f>'[1]2026 Orders'!J30</f>
        <v>1</v>
      </c>
      <c r="N29" s="10" t="str">
        <f>'[1]2026 Orders'!L30</f>
        <v>D/W Sent</v>
      </c>
      <c r="O29">
        <f>'[1]2026 Orders'!M30</f>
        <v>0</v>
      </c>
      <c r="P29" t="str">
        <f>'[1]2026 Orders'!N30</f>
        <v>Y</v>
      </c>
      <c r="Q29">
        <f>'[1]2026 Orders'!O30</f>
        <v>609788969006</v>
      </c>
      <c r="R29">
        <f>'[1]2026 Orders'!P30</f>
        <v>0</v>
      </c>
      <c r="S29">
        <f>'[1]2026 Orders'!Q30</f>
        <v>0</v>
      </c>
      <c r="T29">
        <f>'[1]2026 Orders'!R30</f>
        <v>0</v>
      </c>
      <c r="U29">
        <f>'[1]2026 Orders'!S30</f>
        <v>0</v>
      </c>
      <c r="V29">
        <f>'[1]2026 Orders'!T30</f>
        <v>0</v>
      </c>
      <c r="W29">
        <f>'[1]2026 Orders'!U30</f>
        <v>0</v>
      </c>
      <c r="X29">
        <f>'[1]2026 Orders'!V30</f>
        <v>0</v>
      </c>
      <c r="Y29">
        <f>'[1]2026 Orders'!W30</f>
        <v>0</v>
      </c>
      <c r="Z29">
        <f>'[1]2026 Orders'!X30</f>
        <v>0</v>
      </c>
      <c r="AC29" t="str">
        <f t="shared" si="0"/>
        <v>1/</v>
      </c>
      <c r="AD29" t="e">
        <f t="shared" si="1"/>
        <v>#VALUE!</v>
      </c>
    </row>
    <row r="30" spans="1:30" ht="33" hidden="1" customHeight="1" x14ac:dyDescent="0.3">
      <c r="A30">
        <f>'[1]2026 Orders'!A31</f>
        <v>45897</v>
      </c>
      <c r="B30" s="14" t="str">
        <f>'[1]2026 Orders'!B31</f>
        <v>Morocco</v>
      </c>
      <c r="C30" s="14" t="str">
        <f>'[1]2026 Orders'!C31</f>
        <v>A4518</v>
      </c>
      <c r="D30" s="14">
        <f>'[1]2026 Orders'!D31</f>
        <v>0</v>
      </c>
      <c r="E30" s="17" t="str" cm="1">
        <f t="array" ref="E30">IF(C30=0,"",
HYPERLINK(
"#'2026 Orders'!C"&amp;
MATCH(1,
('2026 Orders'!C:C=C30)*
('2026 Orders'!G:G=G30)*
('2026 Orders'!N:N=N30),
0),
"Open "&amp;C30
))</f>
        <v>Open A4518</v>
      </c>
      <c r="F30" s="14">
        <f>'[1]2026 Orders'!F31</f>
        <v>0</v>
      </c>
      <c r="G30" s="14" t="str">
        <f>'[1]2026 Orders'!G31</f>
        <v>PENAMAX-60-GE-FD</v>
      </c>
      <c r="H30" s="14" t="str" cm="1">
        <f t="array" ref="H30">IFERROR(_xlfn.TEXTJOIN("-",,INDEX(_xlfn.TEXTSPLIT(TableTake[[#This Row],[SKU]],"-"),{1,2})),"")</f>
        <v>PENAMAX-60</v>
      </c>
      <c r="I30" s="15" t="str">
        <f>IFERROR(_xlfn.TEXTAFTER(TableTake[[#This Row],[SKU]],"-",-1),"")</f>
        <v>FD</v>
      </c>
      <c r="J30" s="14">
        <f>'[1]2026 Orders'!H31</f>
        <v>1</v>
      </c>
      <c r="K30" t="str">
        <f>'[1]2026 Orders'!I31</f>
        <v>F88-25.1</v>
      </c>
      <c r="L30">
        <f>'[1]2026 Orders'!J31</f>
        <v>1</v>
      </c>
      <c r="N30" s="10" t="str">
        <f>'[1]2026 Orders'!L31</f>
        <v>D/W Sent</v>
      </c>
      <c r="O30">
        <f>'[1]2026 Orders'!M31</f>
        <v>0</v>
      </c>
      <c r="P30" t="str">
        <f>'[1]2026 Orders'!N31</f>
        <v>Y</v>
      </c>
      <c r="Q30">
        <f>'[1]2026 Orders'!O31</f>
        <v>609788968702</v>
      </c>
      <c r="R30">
        <f>'[1]2026 Orders'!P31</f>
        <v>0</v>
      </c>
      <c r="S30">
        <f>'[1]2026 Orders'!Q31</f>
        <v>0</v>
      </c>
      <c r="T30">
        <f>'[1]2026 Orders'!R31</f>
        <v>0</v>
      </c>
      <c r="U30">
        <f>'[1]2026 Orders'!S31</f>
        <v>0</v>
      </c>
      <c r="V30">
        <f>'[1]2026 Orders'!T31</f>
        <v>0</v>
      </c>
      <c r="W30">
        <f>'[1]2026 Orders'!U31</f>
        <v>0</v>
      </c>
      <c r="X30">
        <f>'[1]2026 Orders'!V31</f>
        <v>0</v>
      </c>
      <c r="Y30">
        <f>'[1]2026 Orders'!W31</f>
        <v>0</v>
      </c>
      <c r="Z30">
        <f>'[1]2026 Orders'!X31</f>
        <v>0</v>
      </c>
      <c r="AC30" t="str">
        <f t="shared" si="0"/>
        <v>1/</v>
      </c>
      <c r="AD30" t="e">
        <f t="shared" si="1"/>
        <v>#VALUE!</v>
      </c>
    </row>
    <row r="31" spans="1:30" ht="33" hidden="1" customHeight="1" x14ac:dyDescent="0.3">
      <c r="A31">
        <f>'[1]2026 Orders'!A32</f>
        <v>45897</v>
      </c>
      <c r="B31" s="14" t="str">
        <f>'[1]2026 Orders'!B32</f>
        <v>Morocco</v>
      </c>
      <c r="C31" s="14" t="str">
        <f>'[1]2026 Orders'!C32</f>
        <v>A4518</v>
      </c>
      <c r="D31" s="14">
        <f>'[1]2026 Orders'!D32</f>
        <v>0</v>
      </c>
      <c r="E31" s="17" t="str" cm="1">
        <f t="array" ref="E31">IF(C31=0,"",
HYPERLINK(
"#'2026 Orders'!C"&amp;
MATCH(1,
('2026 Orders'!C:C=C31)*
('2026 Orders'!G:G=G31)*
('2026 Orders'!N:N=N31),
0),
"Open "&amp;C31
))</f>
        <v>Open A4518</v>
      </c>
      <c r="F31" s="14">
        <f>'[1]2026 Orders'!F32</f>
        <v>0</v>
      </c>
      <c r="G31" s="14" t="str">
        <f>'[1]2026 Orders'!G32</f>
        <v>FERTMX-90-RE</v>
      </c>
      <c r="H31" s="14" t="str" cm="1">
        <f t="array" ref="H31">IFERROR(_xlfn.TEXTJOIN("-",,INDEX(_xlfn.TEXTSPLIT(TableTake[[#This Row],[SKU]],"-"),{1,2})),"")</f>
        <v>FERTMX-90</v>
      </c>
      <c r="I31" s="15" t="str">
        <f>IFERROR(_xlfn.TEXTAFTER(TableTake[[#This Row],[SKU]],"-",-1),"")</f>
        <v>RE</v>
      </c>
      <c r="J31" s="14">
        <f>'[1]2026 Orders'!H32</f>
        <v>1</v>
      </c>
      <c r="K31" t="str">
        <f>'[1]2026 Orders'!I32</f>
        <v>R16-22.0</v>
      </c>
      <c r="L31">
        <f>'[1]2026 Orders'!J32</f>
        <v>1</v>
      </c>
      <c r="N31" s="10" t="str">
        <f>'[1]2026 Orders'!L32</f>
        <v>D/W Sent</v>
      </c>
      <c r="O31">
        <f>'[1]2026 Orders'!M32</f>
        <v>0</v>
      </c>
      <c r="P31" t="str">
        <f>'[1]2026 Orders'!N32</f>
        <v>Y</v>
      </c>
      <c r="Q31">
        <f>'[1]2026 Orders'!O32</f>
        <v>609788968726</v>
      </c>
      <c r="R31">
        <f>'[1]2026 Orders'!P32</f>
        <v>0</v>
      </c>
      <c r="S31">
        <f>'[1]2026 Orders'!Q32</f>
        <v>0</v>
      </c>
      <c r="T31">
        <f>'[1]2026 Orders'!R32</f>
        <v>0</v>
      </c>
      <c r="U31">
        <f>'[1]2026 Orders'!S32</f>
        <v>0</v>
      </c>
      <c r="V31">
        <f>'[1]2026 Orders'!T32</f>
        <v>0</v>
      </c>
      <c r="W31">
        <f>'[1]2026 Orders'!U32</f>
        <v>0</v>
      </c>
      <c r="X31">
        <f>'[1]2026 Orders'!V32</f>
        <v>0</v>
      </c>
      <c r="Y31">
        <f>'[1]2026 Orders'!W32</f>
        <v>0</v>
      </c>
      <c r="Z31">
        <f>'[1]2026 Orders'!X32</f>
        <v>0</v>
      </c>
      <c r="AC31" t="str">
        <f t="shared" si="0"/>
        <v>1/</v>
      </c>
      <c r="AD31" t="e">
        <f t="shared" si="1"/>
        <v>#VALUE!</v>
      </c>
    </row>
    <row r="32" spans="1:30" ht="33" hidden="1" customHeight="1" x14ac:dyDescent="0.3">
      <c r="A32">
        <f>'[1]2026 Orders'!A33</f>
        <v>45897</v>
      </c>
      <c r="B32" s="14" t="str">
        <f>'[1]2026 Orders'!B33</f>
        <v>Morocco</v>
      </c>
      <c r="C32" s="14" t="str">
        <f>'[1]2026 Orders'!C33</f>
        <v>A4518</v>
      </c>
      <c r="D32" s="14">
        <f>'[1]2026 Orders'!D33</f>
        <v>0</v>
      </c>
      <c r="E32" s="17" t="str" cm="1">
        <f t="array" ref="E32">IF(C32=0,"",
HYPERLINK(
"#'2026 Orders'!C"&amp;
MATCH(1,
('2026 Orders'!C:C=C32)*
('2026 Orders'!G:G=G32)*
('2026 Orders'!N:N=N32),
0),
"Open "&amp;C32
))</f>
        <v>Open A4518</v>
      </c>
      <c r="F32" s="14">
        <f>'[1]2026 Orders'!F33</f>
        <v>0</v>
      </c>
      <c r="G32" s="14" t="str">
        <f>'[1]2026 Orders'!G33</f>
        <v>OVAMAX-120-FD</v>
      </c>
      <c r="H32" s="14" t="str" cm="1">
        <f t="array" ref="H32">IFERROR(_xlfn.TEXTJOIN("-",,INDEX(_xlfn.TEXTSPLIT(TableTake[[#This Row],[SKU]],"-"),{1,2})),"")</f>
        <v>OVAMAX-120</v>
      </c>
      <c r="I32" s="15" t="str">
        <f>IFERROR(_xlfn.TEXTAFTER(TableTake[[#This Row],[SKU]],"-",-1),"")</f>
        <v>FD</v>
      </c>
      <c r="J32" s="14">
        <f>'[1]2026 Orders'!H33</f>
        <v>1</v>
      </c>
      <c r="K32" t="str">
        <f>'[1]2026 Orders'!I33</f>
        <v>F41-25.0</v>
      </c>
      <c r="L32">
        <f>'[1]2026 Orders'!J33</f>
        <v>1</v>
      </c>
      <c r="N32" s="10" t="str">
        <f>'[1]2026 Orders'!L33</f>
        <v>D/W Sent</v>
      </c>
      <c r="O32">
        <f>'[1]2026 Orders'!M33</f>
        <v>0</v>
      </c>
      <c r="P32" t="str">
        <f>'[1]2026 Orders'!N33</f>
        <v>NA</v>
      </c>
      <c r="Q32">
        <f>'[1]2026 Orders'!O33</f>
        <v>609788968399</v>
      </c>
      <c r="R32">
        <f>'[1]2026 Orders'!P33</f>
        <v>0</v>
      </c>
      <c r="S32">
        <f>'[1]2026 Orders'!Q33</f>
        <v>0</v>
      </c>
      <c r="T32">
        <f>'[1]2026 Orders'!R33</f>
        <v>0</v>
      </c>
      <c r="U32">
        <f>'[1]2026 Orders'!S33</f>
        <v>0</v>
      </c>
      <c r="V32">
        <f>'[1]2026 Orders'!T33</f>
        <v>0</v>
      </c>
      <c r="W32">
        <f>'[1]2026 Orders'!U33</f>
        <v>0</v>
      </c>
      <c r="X32">
        <f>'[1]2026 Orders'!V33</f>
        <v>0</v>
      </c>
      <c r="Y32">
        <f>'[1]2026 Orders'!W33</f>
        <v>0</v>
      </c>
      <c r="Z32">
        <f>'[1]2026 Orders'!X33</f>
        <v>0</v>
      </c>
      <c r="AC32" t="str">
        <f t="shared" si="0"/>
        <v>1/</v>
      </c>
      <c r="AD32" t="e">
        <f t="shared" si="1"/>
        <v>#VALUE!</v>
      </c>
    </row>
    <row r="33" spans="1:30" ht="33" hidden="1" customHeight="1" x14ac:dyDescent="0.3">
      <c r="A33">
        <f>'[1]2026 Orders'!A34</f>
        <v>45947</v>
      </c>
      <c r="B33" s="14" t="str">
        <f>'[1]2026 Orders'!B34</f>
        <v>Morocco</v>
      </c>
      <c r="C33" s="14" t="str">
        <f>'[1]2026 Orders'!C34</f>
        <v>A4518</v>
      </c>
      <c r="D33" s="14">
        <f>'[1]2026 Orders'!D34</f>
        <v>0</v>
      </c>
      <c r="E33" s="17" t="str" cm="1">
        <f t="array" ref="E33">IF(C33=0,"",
HYPERLINK(
"#'2026 Orders'!C"&amp;
MATCH(1,
('2026 Orders'!C:C=C33)*
('2026 Orders'!G:G=G33)*
('2026 Orders'!N:N=N33),
0),
"Open "&amp;C33
))</f>
        <v>Open A4518</v>
      </c>
      <c r="F33" s="14" t="str">
        <f>'[1]2026 Orders'!F34</f>
        <v>10/17/2025: Added to order</v>
      </c>
      <c r="G33" s="14" t="str">
        <f>'[1]2026 Orders'!G34</f>
        <v>NMNH-60-FD</v>
      </c>
      <c r="H33" s="14" t="str" cm="1">
        <f t="array" ref="H33">IFERROR(_xlfn.TEXTJOIN("-",,INDEX(_xlfn.TEXTSPLIT(TableTake[[#This Row],[SKU]],"-"),{1,2})),"")</f>
        <v>NMNH-60</v>
      </c>
      <c r="I33" s="15" t="str">
        <f>IFERROR(_xlfn.TEXTAFTER(TableTake[[#This Row],[SKU]],"-",-1),"")</f>
        <v>FD</v>
      </c>
      <c r="J33" s="14">
        <f>'[1]2026 Orders'!H34</f>
        <v>3</v>
      </c>
      <c r="K33" t="str">
        <f>'[1]2026 Orders'!I34</f>
        <v>F114-25.0</v>
      </c>
      <c r="L33">
        <f>'[1]2026 Orders'!J34</f>
        <v>3</v>
      </c>
      <c r="N33" s="10" t="str">
        <f>'[1]2026 Orders'!L34</f>
        <v>D/W Sent</v>
      </c>
      <c r="O33">
        <f>'[1]2026 Orders'!M34</f>
        <v>0</v>
      </c>
      <c r="P33" t="str">
        <f>'[1]2026 Orders'!N34</f>
        <v>Y</v>
      </c>
      <c r="Q33" t="str">
        <f>'[1]2026 Orders'!O34</f>
        <v>810131192990</v>
      </c>
      <c r="R33">
        <f>'[1]2026 Orders'!P34</f>
        <v>0</v>
      </c>
      <c r="S33">
        <f>'[1]2026 Orders'!Q34</f>
        <v>0</v>
      </c>
      <c r="T33">
        <f>'[1]2026 Orders'!R34</f>
        <v>0</v>
      </c>
      <c r="U33">
        <f>'[1]2026 Orders'!S34</f>
        <v>0</v>
      </c>
      <c r="V33">
        <f>'[1]2026 Orders'!T34</f>
        <v>0</v>
      </c>
      <c r="W33">
        <f>'[1]2026 Orders'!U34</f>
        <v>0</v>
      </c>
      <c r="X33">
        <f>'[1]2026 Orders'!V34</f>
        <v>0</v>
      </c>
      <c r="Y33">
        <f>'[1]2026 Orders'!W34</f>
        <v>0</v>
      </c>
      <c r="Z33">
        <f>'[1]2026 Orders'!X34</f>
        <v>0</v>
      </c>
      <c r="AC33" t="str">
        <f t="shared" si="0"/>
        <v>3/</v>
      </c>
      <c r="AD33" t="e">
        <f t="shared" si="1"/>
        <v>#VALUE!</v>
      </c>
    </row>
    <row r="34" spans="1:30" ht="33" hidden="1" customHeight="1" x14ac:dyDescent="0.3">
      <c r="A34">
        <f>'[1]2026 Orders'!A35</f>
        <v>45897</v>
      </c>
      <c r="B34" s="14" t="str">
        <f>'[1]2026 Orders'!B35</f>
        <v>Morocco</v>
      </c>
      <c r="C34" s="14" t="str">
        <f>'[1]2026 Orders'!C35</f>
        <v>A4518</v>
      </c>
      <c r="D34" s="14" t="str">
        <f>'[1]2026 Orders'!D35</f>
        <v xml:space="preserve">Awaiting customer update </v>
      </c>
      <c r="E34" s="17" t="e" cm="1">
        <f t="array" ref="E34">IF(C34=0,"",
HYPERLINK(
"#'2026 Orders'!C"&amp;
MATCH(1,
('2026 Orders'!C:C=C34)*
('2026 Orders'!G:G=G34)*
('2026 Orders'!N:N=N34),
0),
"Open "&amp;C34
))</f>
        <v>#N/A</v>
      </c>
      <c r="F34" s="14">
        <f>'[1]2026 Orders'!F35</f>
        <v>0</v>
      </c>
      <c r="G34" s="14" t="str">
        <f>'[1]2026 Orders'!G35</f>
        <v>MOTILMX-60-FD</v>
      </c>
      <c r="H34" s="14" t="str" cm="1">
        <f t="array" ref="H34">IFERROR(_xlfn.TEXTJOIN("-",,INDEX(_xlfn.TEXTSPLIT(TableTake[[#This Row],[SKU]],"-"),{1,2})),"")</f>
        <v>MOTILMX-60</v>
      </c>
      <c r="I34" s="15" t="str">
        <f>IFERROR(_xlfn.TEXTAFTER(TableTake[[#This Row],[SKU]],"-",-1),"")</f>
        <v>FD</v>
      </c>
      <c r="J34" s="14">
        <f>'[1]2026 Orders'!H35</f>
        <v>1</v>
      </c>
      <c r="K34" t="str">
        <f>'[1]2026 Orders'!I35</f>
        <v>F31-23.0</v>
      </c>
      <c r="L34">
        <f>'[1]2026 Orders'!J35</f>
        <v>1</v>
      </c>
      <c r="N34" s="10">
        <f>'[1]2026 Orders'!L35</f>
        <v>0</v>
      </c>
      <c r="O34" t="str">
        <f>'[1]2026 Orders'!M35</f>
        <v>D/W sent on 9/12/25</v>
      </c>
      <c r="P34" t="str">
        <f>'[1]2026 Orders'!N35</f>
        <v>NA</v>
      </c>
      <c r="Q34">
        <f>'[1]2026 Orders'!O35</f>
        <v>609788968191</v>
      </c>
      <c r="R34">
        <f>'[1]2026 Orders'!P35</f>
        <v>0</v>
      </c>
      <c r="S34">
        <f>'[1]2026 Orders'!Q35</f>
        <v>0</v>
      </c>
      <c r="T34">
        <f>'[1]2026 Orders'!R35</f>
        <v>0</v>
      </c>
      <c r="U34">
        <f>'[1]2026 Orders'!S35</f>
        <v>0</v>
      </c>
      <c r="V34">
        <f>'[1]2026 Orders'!T35</f>
        <v>0</v>
      </c>
      <c r="W34">
        <f>'[1]2026 Orders'!U35</f>
        <v>0</v>
      </c>
      <c r="X34">
        <f>'[1]2026 Orders'!V35</f>
        <v>0</v>
      </c>
      <c r="Y34">
        <f>'[1]2026 Orders'!W35</f>
        <v>0</v>
      </c>
      <c r="Z34" t="str">
        <f>'[1]2026 Orders'!X35</f>
        <v>Approved</v>
      </c>
      <c r="AC34" t="str">
        <f t="shared" si="0"/>
        <v>1/</v>
      </c>
      <c r="AD34" t="e">
        <f t="shared" si="1"/>
        <v>#VALUE!</v>
      </c>
    </row>
    <row r="35" spans="1:30" ht="33" hidden="1" customHeight="1" x14ac:dyDescent="0.3">
      <c r="A35">
        <f>'[1]2026 Orders'!A36</f>
        <v>45908</v>
      </c>
      <c r="B35" s="14" t="str">
        <f>'[1]2026 Orders'!B36</f>
        <v>China</v>
      </c>
      <c r="C35" s="14" t="str">
        <f>'[1]2026 Orders'!C36</f>
        <v>A4637</v>
      </c>
      <c r="D35" s="14">
        <f>'[1]2026 Orders'!D36</f>
        <v>0</v>
      </c>
      <c r="E35" s="17" t="str" cm="1">
        <f t="array" ref="E35">IF(C35=0,"",
HYPERLINK(
"#'2026 Orders'!C"&amp;
MATCH(1,
('2026 Orders'!C:C=C35)*
('2026 Orders'!G:G=G35)*
('2026 Orders'!N:N=N35),
0),
"Open "&amp;C35
))</f>
        <v>Open A4637</v>
      </c>
      <c r="F35" s="14" t="str">
        <f>'[1]2026 Orders'!F36</f>
        <v xml:space="preserve">9/29/2025: Sku updated </v>
      </c>
      <c r="G35" s="14" t="str">
        <f>'[1]2026 Orders'!G36</f>
        <v>OVAMAXPLUS-120-CS-CN</v>
      </c>
      <c r="H35" s="14" t="str" cm="1">
        <f t="array" ref="H35">IFERROR(_xlfn.TEXTJOIN("-",,INDEX(_xlfn.TEXTSPLIT(TableTake[[#This Row],[SKU]],"-"),{1,2})),"")</f>
        <v>OVAMAXPLUS-120</v>
      </c>
      <c r="I35" s="15" t="str">
        <f>IFERROR(_xlfn.TEXTAFTER(TableTake[[#This Row],[SKU]],"-",-1),"")</f>
        <v>CN</v>
      </c>
      <c r="J35" s="14">
        <f>'[1]2026 Orders'!H36</f>
        <v>1100</v>
      </c>
      <c r="K35" t="str">
        <f>'[1]2026 Orders'!I36</f>
        <v>CN41-25.0</v>
      </c>
      <c r="L35">
        <f>'[1]2026 Orders'!J36</f>
        <v>1100</v>
      </c>
      <c r="N35" s="10" t="str">
        <f>'[1]2026 Orders'!L36</f>
        <v>D/W Sent</v>
      </c>
      <c r="O35" t="str">
        <f>'[1]2026 Orders'!M36</f>
        <v>01/14 D/W Sent</v>
      </c>
      <c r="P35" t="str">
        <f>'[1]2026 Orders'!N36</f>
        <v>NA</v>
      </c>
      <c r="Q35" t="str">
        <f>'[1]2026 Orders'!O36</f>
        <v>604776740056</v>
      </c>
      <c r="R35">
        <f>'[1]2026 Orders'!P36</f>
        <v>16000</v>
      </c>
      <c r="S35">
        <f>'[1]2026 Orders'!Q36</f>
        <v>4823</v>
      </c>
      <c r="T35" t="str">
        <f>'[1]2026 Orders'!R36</f>
        <v>complete</v>
      </c>
      <c r="U35">
        <f>'[1]2026 Orders'!S36</f>
        <v>0</v>
      </c>
      <c r="V35">
        <f>'[1]2026 Orders'!T36</f>
        <v>0</v>
      </c>
      <c r="W35">
        <f>'[1]2026 Orders'!U36</f>
        <v>0</v>
      </c>
      <c r="X35">
        <f>'[1]2026 Orders'!V36</f>
        <v>0</v>
      </c>
      <c r="Y35">
        <f>'[1]2026 Orders'!W36</f>
        <v>0</v>
      </c>
      <c r="Z35" t="str">
        <f>'[1]2026 Orders'!X36</f>
        <v>Approved</v>
      </c>
      <c r="AC35" t="str">
        <f t="shared" si="0"/>
        <v>1100/</v>
      </c>
      <c r="AD35" t="e">
        <f t="shared" si="1"/>
        <v>#VALUE!</v>
      </c>
    </row>
    <row r="36" spans="1:30" ht="33" hidden="1" customHeight="1" x14ac:dyDescent="0.3">
      <c r="A36">
        <f>'[1]2026 Orders'!A37</f>
        <v>45897</v>
      </c>
      <c r="B36" s="14" t="str">
        <f>'[1]2026 Orders'!B37</f>
        <v>Morocco</v>
      </c>
      <c r="C36" s="14" t="str">
        <f>'[1]2026 Orders'!C37</f>
        <v>A4518</v>
      </c>
      <c r="D36" s="14">
        <f>'[1]2026 Orders'!D37</f>
        <v>0</v>
      </c>
      <c r="E36" s="17" t="str" cm="1">
        <f t="array" ref="E36">IF(C36=0,"",
HYPERLINK(
"#'2026 Orders'!C"&amp;
MATCH(1,
('2026 Orders'!C:C=C36)*
('2026 Orders'!G:G=G36)*
('2026 Orders'!N:N=N36),
0),
"Open "&amp;C36
))</f>
        <v>Open A4518</v>
      </c>
      <c r="F36" s="14">
        <f>'[1]2026 Orders'!F37</f>
        <v>0</v>
      </c>
      <c r="G36" s="14" t="str">
        <f>'[1]2026 Orders'!G37</f>
        <v>MFSPLS-120-FD</v>
      </c>
      <c r="H36" s="14" t="str" cm="1">
        <f t="array" ref="H36">IFERROR(_xlfn.TEXTJOIN("-",,INDEX(_xlfn.TEXTSPLIT(TableTake[[#This Row],[SKU]],"-"),{1,2})),"")</f>
        <v>MFSPLS-120</v>
      </c>
      <c r="I36" s="15" t="str">
        <f>IFERROR(_xlfn.TEXTAFTER(TableTake[[#This Row],[SKU]],"-",-1),"")</f>
        <v>FD</v>
      </c>
      <c r="J36" s="14">
        <f>'[1]2026 Orders'!H37</f>
        <v>1</v>
      </c>
      <c r="K36" t="str">
        <f>'[1]2026 Orders'!I37</f>
        <v>F30-25.1</v>
      </c>
      <c r="L36">
        <f>'[1]2026 Orders'!J37</f>
        <v>1</v>
      </c>
      <c r="N36" s="10" t="str">
        <f>'[1]2026 Orders'!L37</f>
        <v>D/W Sent</v>
      </c>
      <c r="O36">
        <f>'[1]2026 Orders'!M37</f>
        <v>0</v>
      </c>
      <c r="P36" t="str">
        <f>'[1]2026 Orders'!N37</f>
        <v>NA</v>
      </c>
      <c r="Q36">
        <f>'[1]2026 Orders'!O37</f>
        <v>609788968344</v>
      </c>
      <c r="R36">
        <f>'[1]2026 Orders'!P37</f>
        <v>0</v>
      </c>
      <c r="S36">
        <f>'[1]2026 Orders'!Q37</f>
        <v>0</v>
      </c>
      <c r="T36">
        <f>'[1]2026 Orders'!R37</f>
        <v>0</v>
      </c>
      <c r="U36">
        <f>'[1]2026 Orders'!S37</f>
        <v>0</v>
      </c>
      <c r="V36">
        <f>'[1]2026 Orders'!T37</f>
        <v>0</v>
      </c>
      <c r="W36">
        <f>'[1]2026 Orders'!U37</f>
        <v>0</v>
      </c>
      <c r="X36">
        <f>'[1]2026 Orders'!V37</f>
        <v>0</v>
      </c>
      <c r="Y36">
        <f>'[1]2026 Orders'!W37</f>
        <v>0</v>
      </c>
      <c r="Z36">
        <f>'[1]2026 Orders'!X37</f>
        <v>0</v>
      </c>
      <c r="AC36" t="str">
        <f t="shared" si="0"/>
        <v>1/</v>
      </c>
      <c r="AD36" t="e">
        <f t="shared" si="1"/>
        <v>#VALUE!</v>
      </c>
    </row>
    <row r="37" spans="1:30" ht="33" hidden="1" customHeight="1" x14ac:dyDescent="0.3">
      <c r="A37">
        <f>'[1]2026 Orders'!A38</f>
        <v>46063</v>
      </c>
      <c r="B37" s="14" t="str">
        <f>'[1]2026 Orders'!B38</f>
        <v>Jordan</v>
      </c>
      <c r="C37" s="14" t="str">
        <f>'[1]2026 Orders'!C38</f>
        <v>A4646</v>
      </c>
      <c r="D37" s="14" t="str">
        <f>'[1]2026 Orders'!D38</f>
        <v>6/1/2026: Products arriving to AMS warehouse on 6/4/2026.</v>
      </c>
      <c r="E37" s="17" t="str" cm="1">
        <f t="array" ref="E37">IF(C37=0,"",
HYPERLINK(
"#'2026 Orders'!C"&amp;
MATCH(1,
('2026 Orders'!C:C=C37)*
('2026 Orders'!G:G=G37)*
('2026 Orders'!N:N=N37),
0),
"Open "&amp;C37
))</f>
        <v>Open A4646</v>
      </c>
      <c r="F37" s="14">
        <f>'[1]2026 Orders'!F38</f>
        <v>0</v>
      </c>
      <c r="G37" s="14" t="str">
        <f>'[1]2026 Orders'!G38</f>
        <v xml:space="preserve">FIBRO-10-CS-JO  </v>
      </c>
      <c r="H37" s="14" t="str" cm="1">
        <f t="array" ref="H37">IFERROR(_xlfn.TEXTJOIN("-",,INDEX(_xlfn.TEXTSPLIT(TableTake[[#This Row],[SKU]],"-"),{1,2})),"")</f>
        <v>FIBRO-10</v>
      </c>
      <c r="I37" s="15" t="str">
        <f>IFERROR(_xlfn.TEXTAFTER(TableTake[[#This Row],[SKU]],"-",-1),"")</f>
        <v xml:space="preserve">JO  </v>
      </c>
      <c r="J37" s="14">
        <f>'[1]2026 Orders'!H38</f>
        <v>420</v>
      </c>
      <c r="K37" t="str">
        <f>'[1]2026 Orders'!I38</f>
        <v>JO130-25.0</v>
      </c>
      <c r="L37">
        <f>'[1]2026 Orders'!J38</f>
        <v>0</v>
      </c>
      <c r="N37" s="10" t="str">
        <f>'[1]2026 Orders'!L38</f>
        <v>Available</v>
      </c>
      <c r="O37" t="str">
        <f>'[1]2026 Orders'!M38</f>
        <v>Receiving process</v>
      </c>
      <c r="P37" t="str">
        <f>'[1]2026 Orders'!N38</f>
        <v>NA</v>
      </c>
      <c r="Q37" t="str">
        <f>'[1]2026 Orders'!O38</f>
        <v>SAMPLE</v>
      </c>
      <c r="R37">
        <f>'[1]2026 Orders'!P38</f>
        <v>432</v>
      </c>
      <c r="S37">
        <f>'[1]2026 Orders'!Q38</f>
        <v>5012</v>
      </c>
      <c r="T37" t="str">
        <f>'[1]2026 Orders'!R38</f>
        <v>complete</v>
      </c>
      <c r="U37" t="str">
        <f>'[1]2026 Orders'!S38</f>
        <v>Pending D/W from vendor</v>
      </c>
      <c r="V37">
        <f>'[1]2026 Orders'!T38</f>
        <v>0</v>
      </c>
      <c r="W37">
        <f>'[1]2026 Orders'!U38</f>
        <v>0</v>
      </c>
      <c r="X37">
        <f>'[1]2026 Orders'!V38</f>
        <v>0</v>
      </c>
      <c r="Y37">
        <f>'[1]2026 Orders'!W38</f>
        <v>0</v>
      </c>
      <c r="Z37" t="str">
        <f>'[1]2026 Orders'!X38</f>
        <v>HOLD</v>
      </c>
      <c r="AC37" t="str">
        <f t="shared" si="0"/>
        <v>420/</v>
      </c>
      <c r="AD37" t="e">
        <f t="shared" si="1"/>
        <v>#VALUE!</v>
      </c>
    </row>
    <row r="38" spans="1:30" ht="33" hidden="1" customHeight="1" x14ac:dyDescent="0.3">
      <c r="A38">
        <f>'[1]2026 Orders'!A39</f>
        <v>46063</v>
      </c>
      <c r="B38" s="14" t="str">
        <f>'[1]2026 Orders'!B39</f>
        <v>Jordan</v>
      </c>
      <c r="C38" s="14" t="str">
        <f>'[1]2026 Orders'!C39</f>
        <v>A4646</v>
      </c>
      <c r="D38" s="14">
        <f>'[1]2026 Orders'!D39</f>
        <v>0</v>
      </c>
      <c r="E38" s="17" t="str" cm="1">
        <f t="array" ref="E38">IF(C38=0,"",
HYPERLINK(
"#'2026 Orders'!C"&amp;
MATCH(1,
('2026 Orders'!C:C=C38)*
('2026 Orders'!G:G=G38)*
('2026 Orders'!N:N=N38),
0),
"Open "&amp;C38
))</f>
        <v>Open A4646</v>
      </c>
      <c r="F38" s="14">
        <f>'[1]2026 Orders'!F39</f>
        <v>0</v>
      </c>
      <c r="G38" s="14" t="str">
        <f>'[1]2026 Orders'!G39</f>
        <v>WFSPLS-30-CS-JO</v>
      </c>
      <c r="H38" s="14" t="str" cm="1">
        <f t="array" ref="H38">IFERROR(_xlfn.TEXTJOIN("-",,INDEX(_xlfn.TEXTSPLIT(TableTake[[#This Row],[SKU]],"-"),{1,2})),"")</f>
        <v>WFSPLS-30</v>
      </c>
      <c r="I38" s="15" t="str">
        <f>IFERROR(_xlfn.TEXTAFTER(TableTake[[#This Row],[SKU]],"-",-1),"")</f>
        <v>JO</v>
      </c>
      <c r="J38" s="14">
        <f>'[1]2026 Orders'!H39</f>
        <v>345</v>
      </c>
      <c r="K38" t="str">
        <f>'[1]2026 Orders'!I39</f>
        <v>JO132-25.1</v>
      </c>
      <c r="L38">
        <f>'[1]2026 Orders'!J39</f>
        <v>0</v>
      </c>
      <c r="N38" s="10" t="str">
        <f>'[1]2026 Orders'!L39</f>
        <v>Available</v>
      </c>
      <c r="O38" t="str">
        <f>'[1]2026 Orders'!M39</f>
        <v>Receiving process</v>
      </c>
      <c r="P38" t="str">
        <f>'[1]2026 Orders'!N39</f>
        <v>NA</v>
      </c>
      <c r="Q38" t="str">
        <f>'[1]2026 Orders'!O39</f>
        <v>SAMPLE</v>
      </c>
      <c r="R38">
        <f>'[1]2026 Orders'!P39</f>
        <v>352</v>
      </c>
      <c r="S38">
        <f>'[1]2026 Orders'!Q39</f>
        <v>5016</v>
      </c>
      <c r="T38" t="str">
        <f>'[1]2026 Orders'!R39</f>
        <v>Complete</v>
      </c>
      <c r="U38">
        <f>'[1]2026 Orders'!S39</f>
        <v>0</v>
      </c>
      <c r="V38">
        <f>'[1]2026 Orders'!T39</f>
        <v>0</v>
      </c>
      <c r="W38">
        <f>'[1]2026 Orders'!U39</f>
        <v>0</v>
      </c>
      <c r="X38">
        <f>'[1]2026 Orders'!V39</f>
        <v>0</v>
      </c>
      <c r="Y38">
        <f>'[1]2026 Orders'!W39</f>
        <v>0</v>
      </c>
      <c r="Z38">
        <f>'[1]2026 Orders'!X39</f>
        <v>0</v>
      </c>
      <c r="AC38" t="str">
        <f t="shared" si="0"/>
        <v>345/</v>
      </c>
      <c r="AD38" t="e">
        <f t="shared" si="1"/>
        <v>#VALUE!</v>
      </c>
    </row>
    <row r="39" spans="1:30" ht="33" hidden="1" customHeight="1" x14ac:dyDescent="0.3">
      <c r="A39">
        <f>'[1]2026 Orders'!A40</f>
        <v>46063</v>
      </c>
      <c r="B39" s="14" t="str">
        <f>'[1]2026 Orders'!B40</f>
        <v>Jordan</v>
      </c>
      <c r="C39" s="14" t="str">
        <f>'[1]2026 Orders'!C40</f>
        <v>A4646</v>
      </c>
      <c r="D39" s="14">
        <f>'[1]2026 Orders'!D40</f>
        <v>0</v>
      </c>
      <c r="E39" s="17" t="str" cm="1">
        <f t="array" ref="E39">IF(C39=0,"",
HYPERLINK(
"#'2026 Orders'!C"&amp;
MATCH(1,
('2026 Orders'!C:C=C39)*
('2026 Orders'!G:G=G39)*
('2026 Orders'!N:N=N39),
0),
"Open "&amp;C39
))</f>
        <v>Open A4646</v>
      </c>
      <c r="F39" s="14">
        <f>'[1]2026 Orders'!F40</f>
        <v>0</v>
      </c>
      <c r="G39" s="14" t="str">
        <f>'[1]2026 Orders'!G40</f>
        <v>OVAMAX-20-CS-JO</v>
      </c>
      <c r="H39" s="14" t="str" cm="1">
        <f t="array" ref="H39">IFERROR(_xlfn.TEXTJOIN("-",,INDEX(_xlfn.TEXTSPLIT(TableTake[[#This Row],[SKU]],"-"),{1,2})),"")</f>
        <v>OVAMAX-20</v>
      </c>
      <c r="I39" s="15" t="str">
        <f>IFERROR(_xlfn.TEXTAFTER(TableTake[[#This Row],[SKU]],"-",-1),"")</f>
        <v>JO</v>
      </c>
      <c r="J39" s="14">
        <f>'[1]2026 Orders'!H40</f>
        <v>300</v>
      </c>
      <c r="K39" t="str">
        <f>'[1]2026 Orders'!I40</f>
        <v>JO131-25.0</v>
      </c>
      <c r="L39">
        <f>'[1]2026 Orders'!J40</f>
        <v>0</v>
      </c>
      <c r="N39" s="10" t="str">
        <f>'[1]2026 Orders'!L40</f>
        <v>Available</v>
      </c>
      <c r="O39" t="str">
        <f>'[1]2026 Orders'!M40</f>
        <v>Receiving process</v>
      </c>
      <c r="P39" t="str">
        <f>'[1]2026 Orders'!N40</f>
        <v>NA</v>
      </c>
      <c r="Q39" t="str">
        <f>'[1]2026 Orders'!O40</f>
        <v>SAMPLE</v>
      </c>
      <c r="R39">
        <f>'[1]2026 Orders'!P40</f>
        <v>300</v>
      </c>
      <c r="S39">
        <f>'[1]2026 Orders'!Q40</f>
        <v>5017</v>
      </c>
      <c r="T39" t="str">
        <f>'[1]2026 Orders'!R40</f>
        <v>complete</v>
      </c>
      <c r="U39">
        <f>'[1]2026 Orders'!S40</f>
        <v>0</v>
      </c>
      <c r="V39">
        <f>'[1]2026 Orders'!T40</f>
        <v>0</v>
      </c>
      <c r="W39">
        <f>'[1]2026 Orders'!U40</f>
        <v>0</v>
      </c>
      <c r="X39">
        <f>'[1]2026 Orders'!V40</f>
        <v>0</v>
      </c>
      <c r="Y39">
        <f>'[1]2026 Orders'!W40</f>
        <v>0</v>
      </c>
      <c r="Z39">
        <f>'[1]2026 Orders'!X40</f>
        <v>0</v>
      </c>
      <c r="AC39" t="str">
        <f t="shared" si="0"/>
        <v>300/</v>
      </c>
      <c r="AD39" t="e">
        <f t="shared" si="1"/>
        <v>#VALUE!</v>
      </c>
    </row>
    <row r="40" spans="1:30" ht="33" hidden="1" customHeight="1" x14ac:dyDescent="0.3">
      <c r="A40">
        <f>'[1]2026 Orders'!A41</f>
        <v>46063</v>
      </c>
      <c r="B40" s="14" t="str">
        <f>'[1]2026 Orders'!B41</f>
        <v>Jordan</v>
      </c>
      <c r="C40" s="14" t="str">
        <f>'[1]2026 Orders'!C41</f>
        <v>A4646</v>
      </c>
      <c r="D40" s="14">
        <f>'[1]2026 Orders'!D41</f>
        <v>0</v>
      </c>
      <c r="E40" s="17" t="str" cm="1">
        <f t="array" ref="E40">IF(C40=0,"",
HYPERLINK(
"#'2026 Orders'!C"&amp;
MATCH(1,
('2026 Orders'!C:C=C40)*
('2026 Orders'!G:G=G40)*
('2026 Orders'!N:N=N40),
0),
"Open "&amp;C40
))</f>
        <v>Open A4646</v>
      </c>
      <c r="F40" s="14">
        <f>'[1]2026 Orders'!F41</f>
        <v>0</v>
      </c>
      <c r="G40" s="14" t="str">
        <f>'[1]2026 Orders'!G41</f>
        <v>DHEA50-5-CS-JO</v>
      </c>
      <c r="H40" s="14" t="str" cm="1">
        <f t="array" ref="H40">IFERROR(_xlfn.TEXTJOIN("-",,INDEX(_xlfn.TEXTSPLIT(TableTake[[#This Row],[SKU]],"-"),{1,2})),"")</f>
        <v>DHEA50-5</v>
      </c>
      <c r="I40" s="15" t="str">
        <f>IFERROR(_xlfn.TEXTAFTER(TableTake[[#This Row],[SKU]],"-",-1),"")</f>
        <v>JO</v>
      </c>
      <c r="J40" s="14">
        <f>'[1]2026 Orders'!H41</f>
        <v>300</v>
      </c>
      <c r="K40" t="str">
        <f>'[1]2026 Orders'!I41</f>
        <v>JO133-25.0</v>
      </c>
      <c r="L40">
        <f>'[1]2026 Orders'!J41</f>
        <v>0</v>
      </c>
      <c r="N40" s="10" t="str">
        <f>'[1]2026 Orders'!L41</f>
        <v>Available</v>
      </c>
      <c r="O40" t="str">
        <f>'[1]2026 Orders'!M41</f>
        <v>Receiving process</v>
      </c>
      <c r="P40" t="str">
        <f>'[1]2026 Orders'!N41</f>
        <v>NA</v>
      </c>
      <c r="Q40" t="str">
        <f>'[1]2026 Orders'!O41</f>
        <v>SAMPLE</v>
      </c>
      <c r="R40">
        <f>'[1]2026 Orders'!P41</f>
        <v>300</v>
      </c>
      <c r="S40">
        <f>'[1]2026 Orders'!Q41</f>
        <v>5018</v>
      </c>
      <c r="T40" t="str">
        <f>'[1]2026 Orders'!R41</f>
        <v>complete</v>
      </c>
      <c r="U40">
        <f>'[1]2026 Orders'!S41</f>
        <v>0</v>
      </c>
      <c r="V40">
        <f>'[1]2026 Orders'!T41</f>
        <v>0</v>
      </c>
      <c r="W40">
        <f>'[1]2026 Orders'!U41</f>
        <v>0</v>
      </c>
      <c r="X40">
        <f>'[1]2026 Orders'!V41</f>
        <v>0</v>
      </c>
      <c r="Y40">
        <f>'[1]2026 Orders'!W41</f>
        <v>0</v>
      </c>
      <c r="Z40">
        <f>'[1]2026 Orders'!X41</f>
        <v>0</v>
      </c>
      <c r="AC40" t="str">
        <f t="shared" si="0"/>
        <v>300/</v>
      </c>
      <c r="AD40" t="e">
        <f t="shared" si="1"/>
        <v>#VALUE!</v>
      </c>
    </row>
    <row r="41" spans="1:30" ht="33" hidden="1" customHeight="1" x14ac:dyDescent="0.3">
      <c r="A41">
        <f>'[1]2026 Orders'!A42</f>
        <v>45947</v>
      </c>
      <c r="B41" s="14" t="str">
        <f>'[1]2026 Orders'!B42</f>
        <v>Morocco</v>
      </c>
      <c r="C41" s="14" t="str">
        <f>'[1]2026 Orders'!C42</f>
        <v>A4518</v>
      </c>
      <c r="D41" s="14">
        <f>'[1]2026 Orders'!D42</f>
        <v>0</v>
      </c>
      <c r="E41" s="17" t="e" cm="1">
        <f t="array" ref="E41">IF(C41=0,"",
HYPERLINK(
"#'2026 Orders'!C"&amp;
MATCH(1,
('2026 Orders'!C:C=C41)*
('2026 Orders'!G:G=G41)*
('2026 Orders'!N:N=N41),
0),
"Open "&amp;C41
))</f>
        <v>#N/A</v>
      </c>
      <c r="F41" s="14" t="str">
        <f>'[1]2026 Orders'!F42</f>
        <v>10/17/2025: Added to order</v>
      </c>
      <c r="G41" s="14" t="str">
        <f>'[1]2026 Orders'!G42</f>
        <v>NMNH-60-FD</v>
      </c>
      <c r="H41" s="14" t="str" cm="1">
        <f t="array" ref="H41">IFERROR(_xlfn.TEXTJOIN("-",,INDEX(_xlfn.TEXTSPLIT(TableTake[[#This Row],[SKU]],"-"),{1,2})),"")</f>
        <v>NMNH-60</v>
      </c>
      <c r="I41" s="15" t="str">
        <f>IFERROR(_xlfn.TEXTAFTER(TableTake[[#This Row],[SKU]],"-",-1),"")</f>
        <v>FD</v>
      </c>
      <c r="J41" s="14">
        <f>'[1]2026 Orders'!H42</f>
        <v>3</v>
      </c>
      <c r="K41" t="str">
        <f>'[1]2026 Orders'!I42</f>
        <v>F114-25.0</v>
      </c>
      <c r="L41">
        <f>'[1]2026 Orders'!J42</f>
        <v>3</v>
      </c>
      <c r="N41" s="10">
        <f>'[1]2026 Orders'!L42</f>
        <v>0</v>
      </c>
      <c r="O41">
        <f>'[1]2026 Orders'!M42</f>
        <v>0</v>
      </c>
      <c r="P41" t="str">
        <f>'[1]2026 Orders'!N42</f>
        <v>Y</v>
      </c>
      <c r="Q41" t="str">
        <f>'[1]2026 Orders'!O42</f>
        <v>810131192990</v>
      </c>
      <c r="R41">
        <f>'[1]2026 Orders'!P42</f>
        <v>0</v>
      </c>
      <c r="S41">
        <f>'[1]2026 Orders'!Q42</f>
        <v>0</v>
      </c>
      <c r="T41">
        <f>'[1]2026 Orders'!R42</f>
        <v>0</v>
      </c>
      <c r="U41">
        <f>'[1]2026 Orders'!S42</f>
        <v>0</v>
      </c>
      <c r="V41">
        <f>'[1]2026 Orders'!T42</f>
        <v>0</v>
      </c>
      <c r="W41">
        <f>'[1]2026 Orders'!U42</f>
        <v>0</v>
      </c>
      <c r="X41">
        <f>'[1]2026 Orders'!V42</f>
        <v>0</v>
      </c>
      <c r="Y41">
        <f>'[1]2026 Orders'!W42</f>
        <v>0</v>
      </c>
      <c r="Z41">
        <f>'[1]2026 Orders'!X42</f>
        <v>0</v>
      </c>
      <c r="AC41" t="str">
        <f t="shared" si="0"/>
        <v>3/</v>
      </c>
      <c r="AD41" t="e">
        <f t="shared" si="1"/>
        <v>#VALUE!</v>
      </c>
    </row>
    <row r="42" spans="1:30" ht="33" hidden="1" customHeight="1" x14ac:dyDescent="0.3">
      <c r="A42">
        <f>'[1]2026 Orders'!A43</f>
        <v>45919</v>
      </c>
      <c r="B42" s="14" t="str">
        <f>'[1]2026 Orders'!B43</f>
        <v>Ethiopia</v>
      </c>
      <c r="C42" s="14" t="str">
        <f>'[1]2026 Orders'!C43</f>
        <v>A4591</v>
      </c>
      <c r="D42" s="14" t="str">
        <f>'[1]2026 Orders'!D43</f>
        <v> 12/23/2025</v>
      </c>
      <c r="E42" s="17" t="str" cm="1">
        <f t="array" ref="E42">IF(C42=0,"",
HYPERLINK(
"#'2026 Orders'!C"&amp;
MATCH(1,
('2026 Orders'!C:C=C42)*
('2026 Orders'!G:G=G42)*
('2026 Orders'!N:N=N42),
0),
"Open "&amp;C42
))</f>
        <v>Open A4591</v>
      </c>
      <c r="F42" s="14" t="str">
        <f>'[1]2026 Orders'!F43</f>
        <v>11/26/2025: Moved 817 bottles from A4532
5/21/2026: Allocating 817 pcs to Egypt A4683.</v>
      </c>
      <c r="G42" s="14" t="str">
        <f>'[1]2026 Orders'!G43</f>
        <v>MFSPLS-120-FD</v>
      </c>
      <c r="H42" s="14" t="str" cm="1">
        <f t="array" ref="H42">IFERROR(_xlfn.TEXTJOIN("-",,INDEX(_xlfn.TEXTSPLIT(TableTake[[#This Row],[SKU]],"-"),{1,2})),"")</f>
        <v>MFSPLS-120</v>
      </c>
      <c r="I42" s="15" t="str">
        <f>IFERROR(_xlfn.TEXTAFTER(TableTake[[#This Row],[SKU]],"-",-1),"")</f>
        <v>FD</v>
      </c>
      <c r="J42" s="14">
        <f>'[1]2026 Orders'!H43</f>
        <v>817</v>
      </c>
      <c r="K42" t="str">
        <f>'[1]2026 Orders'!I43</f>
        <v>F30-25.1</v>
      </c>
      <c r="L42">
        <f>'[1]2026 Orders'!J43</f>
        <v>817</v>
      </c>
      <c r="N42" s="10" t="str">
        <f>'[1]2026 Orders'!L43</f>
        <v>In Production</v>
      </c>
      <c r="O42">
        <f>'[1]2026 Orders'!M43</f>
        <v>0</v>
      </c>
      <c r="P42" t="str">
        <f>'[1]2026 Orders'!N43</f>
        <v>NA</v>
      </c>
      <c r="Q42">
        <f>'[1]2026 Orders'!O43</f>
        <v>609788968344</v>
      </c>
      <c r="R42">
        <f>'[1]2026 Orders'!P43</f>
        <v>9195</v>
      </c>
      <c r="S42">
        <f>'[1]2026 Orders'!Q43</f>
        <v>5032</v>
      </c>
      <c r="T42">
        <f>'[1]2026 Orders'!R43</f>
        <v>46211</v>
      </c>
      <c r="U42">
        <f>'[1]2026 Orders'!S43</f>
        <v>0</v>
      </c>
      <c r="V42" t="str">
        <f>'[1]2026 Orders'!T43</f>
        <v> </v>
      </c>
      <c r="W42" t="str">
        <f>'[1]2026 Orders'!U43</f>
        <v> </v>
      </c>
      <c r="X42">
        <f>'[1]2026 Orders'!V43</f>
        <v>0</v>
      </c>
      <c r="Y42" t="str">
        <f>'[1]2026 Orders'!W43</f>
        <v> </v>
      </c>
      <c r="Z42" t="str">
        <f>'[1]2026 Orders'!X43</f>
        <v>HOLD</v>
      </c>
      <c r="AC42" t="str">
        <f t="shared" si="0"/>
        <v>817/</v>
      </c>
      <c r="AD42" t="e">
        <f t="shared" si="1"/>
        <v>#VALUE!</v>
      </c>
    </row>
    <row r="43" spans="1:30" ht="33" hidden="1" customHeight="1" x14ac:dyDescent="0.3">
      <c r="A43">
        <f>'[1]2026 Orders'!A44</f>
        <v>45919</v>
      </c>
      <c r="B43" s="14" t="str">
        <f>'[1]2026 Orders'!B44</f>
        <v>Ethiopia</v>
      </c>
      <c r="C43" s="14" t="str">
        <f>'[1]2026 Orders'!C44</f>
        <v>A4591</v>
      </c>
      <c r="D43" s="14" t="str">
        <f>'[1]2026 Orders'!D44</f>
        <v> </v>
      </c>
      <c r="E43" s="17" t="str" cm="1">
        <f t="array" ref="E43">IF(C43=0,"",
HYPERLINK(
"#'2026 Orders'!C"&amp;
MATCH(1,
('2026 Orders'!C:C=C43)*
('2026 Orders'!G:G=G43)*
('2026 Orders'!N:N=N43),
0),
"Open "&amp;C43
))</f>
        <v>Open A4591</v>
      </c>
      <c r="F43" s="14" t="str">
        <f>'[1]2026 Orders'!F44</f>
        <v>11/26/2025: Moved 77 bottles from A4532</v>
      </c>
      <c r="G43" s="14" t="str">
        <f>'[1]2026 Orders'!G44</f>
        <v>WFSPLS-180-FD</v>
      </c>
      <c r="H43" s="14" t="str" cm="1">
        <f t="array" ref="H43">IFERROR(_xlfn.TEXTJOIN("-",,INDEX(_xlfn.TEXTSPLIT(TableTake[[#This Row],[SKU]],"-"),{1,2})),"")</f>
        <v>WFSPLS-180</v>
      </c>
      <c r="I43" s="15" t="str">
        <f>IFERROR(_xlfn.TEXTAFTER(TableTake[[#This Row],[SKU]],"-",-1),"")</f>
        <v>FD</v>
      </c>
      <c r="J43" s="14">
        <f>'[1]2026 Orders'!H44</f>
        <v>77</v>
      </c>
      <c r="K43" t="str">
        <f>'[1]2026 Orders'!I44</f>
        <v>F73-23.0</v>
      </c>
      <c r="L43">
        <f>'[1]2026 Orders'!J44</f>
        <v>77</v>
      </c>
      <c r="N43" s="10" t="str">
        <f>'[1]2026 Orders'!L44</f>
        <v>Picked</v>
      </c>
      <c r="O43" t="str">
        <f>'[1]2026 Orders'!M44</f>
        <v>D/W sent on 12/22/25</v>
      </c>
      <c r="P43" t="str">
        <f>'[1]2026 Orders'!N44</f>
        <v>NA</v>
      </c>
      <c r="Q43">
        <f>'[1]2026 Orders'!O44</f>
        <v>609788968351</v>
      </c>
      <c r="R43">
        <f>'[1]2026 Orders'!P44</f>
        <v>9000</v>
      </c>
      <c r="S43">
        <f>'[1]2026 Orders'!Q44</f>
        <v>4845</v>
      </c>
      <c r="T43" t="str">
        <f>'[1]2026 Orders'!R44</f>
        <v>complete</v>
      </c>
      <c r="U43">
        <f>'[1]2026 Orders'!S44</f>
        <v>0</v>
      </c>
      <c r="V43" t="str">
        <f>'[1]2026 Orders'!T44</f>
        <v> </v>
      </c>
      <c r="W43" t="str">
        <f>'[1]2026 Orders'!U44</f>
        <v> </v>
      </c>
      <c r="X43">
        <f>'[1]2026 Orders'!V44</f>
        <v>0</v>
      </c>
      <c r="Y43" t="str">
        <f>'[1]2026 Orders'!W44</f>
        <v> </v>
      </c>
      <c r="Z43">
        <f>'[1]2026 Orders'!X44</f>
        <v>0</v>
      </c>
      <c r="AC43" t="str">
        <f t="shared" si="0"/>
        <v>77/</v>
      </c>
      <c r="AD43" t="e">
        <f t="shared" si="1"/>
        <v>#VALUE!</v>
      </c>
    </row>
    <row r="44" spans="1:30" ht="33" hidden="1" customHeight="1" x14ac:dyDescent="0.3">
      <c r="A44">
        <f>'[1]2026 Orders'!A45</f>
        <v>45919</v>
      </c>
      <c r="B44" s="14" t="str">
        <f>'[1]2026 Orders'!B45</f>
        <v>Ethiopia</v>
      </c>
      <c r="C44" s="14" t="str">
        <f>'[1]2026 Orders'!C45</f>
        <v>A4591</v>
      </c>
      <c r="D44" s="14" t="str">
        <f>'[1]2026 Orders'!D45</f>
        <v> </v>
      </c>
      <c r="E44" s="17" t="str" cm="1">
        <f t="array" ref="E44">IF(C44=0,"",
HYPERLINK(
"#'2026 Orders'!C"&amp;
MATCH(1,
('2026 Orders'!C:C=C44)*
('2026 Orders'!G:G=G44)*
('2026 Orders'!N:N=N44),
0),
"Open "&amp;C44
))</f>
        <v>Open A4591</v>
      </c>
      <c r="F44" s="14" t="str">
        <f>'[1]2026 Orders'!F45</f>
        <v>11/26/2025: Moved 480 bottles from A4532</v>
      </c>
      <c r="G44" s="14" t="str">
        <f>'[1]2026 Orders'!G45</f>
        <v>OVAMAX-120-FD</v>
      </c>
      <c r="H44" s="14" t="str" cm="1">
        <f t="array" ref="H44">IFERROR(_xlfn.TEXTJOIN("-",,INDEX(_xlfn.TEXTSPLIT(TableTake[[#This Row],[SKU]],"-"),{1,2})),"")</f>
        <v>OVAMAX-120</v>
      </c>
      <c r="I44" s="15" t="str">
        <f>IFERROR(_xlfn.TEXTAFTER(TableTake[[#This Row],[SKU]],"-",-1),"")</f>
        <v>FD</v>
      </c>
      <c r="J44" s="14">
        <f>'[1]2026 Orders'!H45</f>
        <v>480</v>
      </c>
      <c r="K44" t="str">
        <f>'[1]2026 Orders'!I45</f>
        <v>F41-25.0</v>
      </c>
      <c r="L44">
        <f>'[1]2026 Orders'!J45</f>
        <v>0</v>
      </c>
      <c r="N44" s="10" t="str">
        <f>'[1]2026 Orders'!L45</f>
        <v>Picked</v>
      </c>
      <c r="O44">
        <f>'[1]2026 Orders'!M45</f>
        <v>0</v>
      </c>
      <c r="P44" t="str">
        <f>'[1]2026 Orders'!N45</f>
        <v>NA</v>
      </c>
      <c r="Q44">
        <f>'[1]2026 Orders'!O45</f>
        <v>609788968399</v>
      </c>
      <c r="R44">
        <f>'[1]2026 Orders'!P45</f>
        <v>0</v>
      </c>
      <c r="S44">
        <f>'[1]2026 Orders'!Q45</f>
        <v>0</v>
      </c>
      <c r="T44">
        <f>'[1]2026 Orders'!R45</f>
        <v>0</v>
      </c>
      <c r="U44">
        <f>'[1]2026 Orders'!S45</f>
        <v>0</v>
      </c>
      <c r="V44">
        <f>'[1]2026 Orders'!T45</f>
        <v>0</v>
      </c>
      <c r="W44" t="str">
        <f>'[1]2026 Orders'!U45</f>
        <v> </v>
      </c>
      <c r="X44">
        <f>'[1]2026 Orders'!V45</f>
        <v>0</v>
      </c>
      <c r="Y44" t="str">
        <f>'[1]2026 Orders'!W45</f>
        <v> </v>
      </c>
      <c r="Z44">
        <f>'[1]2026 Orders'!X45</f>
        <v>0</v>
      </c>
      <c r="AC44" t="str">
        <f t="shared" si="0"/>
        <v>480/</v>
      </c>
      <c r="AD44" t="e">
        <f t="shared" si="1"/>
        <v>#VALUE!</v>
      </c>
    </row>
    <row r="45" spans="1:30" ht="33" hidden="1" customHeight="1" x14ac:dyDescent="0.3">
      <c r="A45">
        <f>'[1]2026 Orders'!A46</f>
        <v>45919</v>
      </c>
      <c r="B45" s="14" t="str">
        <f>'[1]2026 Orders'!B46</f>
        <v>Ethiopia</v>
      </c>
      <c r="C45" s="14" t="str">
        <f>'[1]2026 Orders'!C46</f>
        <v>A4591</v>
      </c>
      <c r="D45" s="14" t="str">
        <f>'[1]2026 Orders'!D46</f>
        <v> </v>
      </c>
      <c r="E45" s="17" t="str" cm="1">
        <f t="array" ref="E45">IF(C45=0,"",
HYPERLINK(
"#'2026 Orders'!C"&amp;
MATCH(1,
('2026 Orders'!C:C=C45)*
('2026 Orders'!G:G=G45)*
('2026 Orders'!N:N=N45),
0),
"Open "&amp;C45
))</f>
        <v>Open A4591</v>
      </c>
      <c r="F45" s="14" t="str">
        <f>'[1]2026 Orders'!F46</f>
        <v>11/26/2025: Moved 720 bottles from A4532
6/1/2026: Allocating 528 bottles to Cyprus A4676.</v>
      </c>
      <c r="G45" s="14" t="str">
        <f>'[1]2026 Orders'!G46</f>
        <v>FERTMX-90-RE</v>
      </c>
      <c r="H45" s="14" t="str" cm="1">
        <f t="array" ref="H45">IFERROR(_xlfn.TEXTJOIN("-",,INDEX(_xlfn.TEXTSPLIT(TableTake[[#This Row],[SKU]],"-"),{1,2})),"")</f>
        <v>FERTMX-90</v>
      </c>
      <c r="I45" s="15" t="str">
        <f>IFERROR(_xlfn.TEXTAFTER(TableTake[[#This Row],[SKU]],"-",-1),"")</f>
        <v>RE</v>
      </c>
      <c r="J45" s="14">
        <f>'[1]2026 Orders'!H46</f>
        <v>528</v>
      </c>
      <c r="K45" t="str">
        <f>'[1]2026 Orders'!I46</f>
        <v>R16-22.0</v>
      </c>
      <c r="L45">
        <f>'[1]2026 Orders'!J46</f>
        <v>528</v>
      </c>
      <c r="N45" s="10" t="str">
        <f>'[1]2026 Orders'!L46</f>
        <v>PO submitted</v>
      </c>
      <c r="O45">
        <f>'[1]2026 Orders'!M46</f>
        <v>0</v>
      </c>
      <c r="P45" t="str">
        <f>'[1]2026 Orders'!N46</f>
        <v>Y</v>
      </c>
      <c r="Q45">
        <f>'[1]2026 Orders'!O46</f>
        <v>609788968726</v>
      </c>
      <c r="R45">
        <f>'[1]2026 Orders'!P46</f>
        <v>5000</v>
      </c>
      <c r="S45">
        <f>'[1]2026 Orders'!Q46</f>
        <v>5041</v>
      </c>
      <c r="T45" t="str">
        <f>'[1]2026 Orders'!R46</f>
        <v>TBD</v>
      </c>
      <c r="U45" t="str">
        <f>'[1]2026 Orders'!S46</f>
        <v>Waiting for vendor confirmation.</v>
      </c>
      <c r="V45" t="str">
        <f>'[1]2026 Orders'!T46</f>
        <v> </v>
      </c>
      <c r="W45" t="str">
        <f>'[1]2026 Orders'!U46</f>
        <v> </v>
      </c>
      <c r="X45">
        <f>'[1]2026 Orders'!V46</f>
        <v>0</v>
      </c>
      <c r="Y45" t="str">
        <f>'[1]2026 Orders'!W46</f>
        <v> </v>
      </c>
      <c r="Z45">
        <f>'[1]2026 Orders'!X46</f>
        <v>0</v>
      </c>
      <c r="AC45" t="str">
        <f t="shared" si="0"/>
        <v>528/</v>
      </c>
      <c r="AD45" t="e">
        <f t="shared" si="1"/>
        <v>#VALUE!</v>
      </c>
    </row>
    <row r="46" spans="1:30" ht="33" hidden="1" customHeight="1" x14ac:dyDescent="0.3">
      <c r="A46">
        <f>'[1]2026 Orders'!A47</f>
        <v>45919</v>
      </c>
      <c r="B46" s="14" t="str">
        <f>'[1]2026 Orders'!B47</f>
        <v>Ethiopia</v>
      </c>
      <c r="C46" s="14" t="str">
        <f>'[1]2026 Orders'!C47</f>
        <v>A4591</v>
      </c>
      <c r="D46" s="14">
        <f>'[1]2026 Orders'!D47</f>
        <v>0</v>
      </c>
      <c r="E46" s="17" t="str" cm="1">
        <f t="array" ref="E46">IF(C46=0,"",
HYPERLINK(
"#'2026 Orders'!C"&amp;
MATCH(1,
('2026 Orders'!C:C=C46)*
('2026 Orders'!G:G=G46)*
('2026 Orders'!N:N=N46),
0),
"Open "&amp;C46
))</f>
        <v>Open A4591</v>
      </c>
      <c r="F46" s="14">
        <f>'[1]2026 Orders'!F47</f>
        <v>0</v>
      </c>
      <c r="G46" s="14" t="str">
        <f>'[1]2026 Orders'!G47</f>
        <v>FERTMX-90-RE</v>
      </c>
      <c r="H46" s="14" t="str" cm="1">
        <f t="array" ref="H46">IFERROR(_xlfn.TEXTJOIN("-",,INDEX(_xlfn.TEXTSPLIT(TableTake[[#This Row],[SKU]],"-"),{1,2})),"")</f>
        <v>FERTMX-90</v>
      </c>
      <c r="I46" s="15" t="str">
        <f>IFERROR(_xlfn.TEXTAFTER(TableTake[[#This Row],[SKU]],"-",-1),"")</f>
        <v>RE</v>
      </c>
      <c r="J46" s="14">
        <f>'[1]2026 Orders'!H47</f>
        <v>192</v>
      </c>
      <c r="K46" t="str">
        <f>'[1]2026 Orders'!I47</f>
        <v>R16-22.0</v>
      </c>
      <c r="L46">
        <f>'[1]2026 Orders'!J47</f>
        <v>192</v>
      </c>
      <c r="N46" s="10" t="str">
        <f>'[1]2026 Orders'!L47</f>
        <v>Picked</v>
      </c>
      <c r="O46">
        <f>'[1]2026 Orders'!M47</f>
        <v>0</v>
      </c>
      <c r="P46" t="str">
        <f>'[1]2026 Orders'!N47</f>
        <v>Y</v>
      </c>
      <c r="Q46">
        <f>'[1]2026 Orders'!O47</f>
        <v>609788968726</v>
      </c>
      <c r="R46">
        <f>'[1]2026 Orders'!P47</f>
        <v>0</v>
      </c>
      <c r="S46">
        <f>'[1]2026 Orders'!Q47</f>
        <v>0</v>
      </c>
      <c r="T46">
        <f>'[1]2026 Orders'!R47</f>
        <v>0</v>
      </c>
      <c r="U46">
        <f>'[1]2026 Orders'!S47</f>
        <v>0</v>
      </c>
      <c r="V46">
        <f>'[1]2026 Orders'!T47</f>
        <v>0</v>
      </c>
      <c r="W46">
        <f>'[1]2026 Orders'!U47</f>
        <v>0</v>
      </c>
      <c r="X46">
        <f>'[1]2026 Orders'!V47</f>
        <v>0</v>
      </c>
      <c r="Y46">
        <f>'[1]2026 Orders'!W47</f>
        <v>0</v>
      </c>
      <c r="Z46">
        <f>'[1]2026 Orders'!X47</f>
        <v>0</v>
      </c>
      <c r="AC46" t="str">
        <f t="shared" si="0"/>
        <v>192/</v>
      </c>
      <c r="AD46" t="e">
        <f t="shared" si="1"/>
        <v>#VALUE!</v>
      </c>
    </row>
    <row r="47" spans="1:30" ht="33" hidden="1" customHeight="1" x14ac:dyDescent="0.3">
      <c r="A47">
        <f>'[1]2026 Orders'!A48</f>
        <v>45919</v>
      </c>
      <c r="B47" s="14" t="str">
        <f>'[1]2026 Orders'!B48</f>
        <v>Ethiopia</v>
      </c>
      <c r="C47" s="14" t="str">
        <f>'[1]2026 Orders'!C48</f>
        <v>A4591</v>
      </c>
      <c r="D47" s="14">
        <f>'[1]2026 Orders'!D48</f>
        <v>0</v>
      </c>
      <c r="E47" s="17" t="str" cm="1">
        <f t="array" ref="E47">IF(C47=0,"",
HYPERLINK(
"#'2026 Orders'!C"&amp;
MATCH(1,
('2026 Orders'!C:C=C47)*
('2026 Orders'!G:G=G47)*
('2026 Orders'!N:N=N47),
0),
"Open "&amp;C47
))</f>
        <v>Open A4591</v>
      </c>
      <c r="F47" s="14" t="str">
        <f>'[1]2026 Orders'!F48</f>
        <v>11/26/2025: Moved 120 bottles from A4532
5/21/2026: Allocating 120 packs to Somalia A4686</v>
      </c>
      <c r="G47" s="14" t="str">
        <f>'[1]2026 Orders'!G48</f>
        <v>DHEA50-60-FD</v>
      </c>
      <c r="H47" s="14" t="str" cm="1">
        <f t="array" ref="H47">IFERROR(_xlfn.TEXTJOIN("-",,INDEX(_xlfn.TEXTSPLIT(TableTake[[#This Row],[SKU]],"-"),{1,2})),"")</f>
        <v>DHEA50-60</v>
      </c>
      <c r="I47" s="15" t="str">
        <f>IFERROR(_xlfn.TEXTAFTER(TableTake[[#This Row],[SKU]],"-",-1),"")</f>
        <v>FD</v>
      </c>
      <c r="J47" s="14">
        <f>'[1]2026 Orders'!H48</f>
        <v>120</v>
      </c>
      <c r="K47" t="str">
        <f>'[1]2026 Orders'!I48</f>
        <v>F14-25.2</v>
      </c>
      <c r="L47">
        <f>'[1]2026 Orders'!J48</f>
        <v>120</v>
      </c>
      <c r="N47" s="10" t="str">
        <f>'[1]2026 Orders'!L48</f>
        <v>In Production</v>
      </c>
      <c r="O47">
        <f>'[1]2026 Orders'!M48</f>
        <v>0</v>
      </c>
      <c r="P47" t="str">
        <f>'[1]2026 Orders'!N48</f>
        <v>NA</v>
      </c>
      <c r="Q47">
        <f>'[1]2026 Orders'!O48</f>
        <v>609788968221</v>
      </c>
      <c r="R47">
        <f>'[1]2026 Orders'!P48</f>
        <v>7000</v>
      </c>
      <c r="S47">
        <f>'[1]2026 Orders'!Q48</f>
        <v>5027</v>
      </c>
      <c r="T47">
        <f>'[1]2026 Orders'!R48</f>
        <v>46201</v>
      </c>
      <c r="U47">
        <f>'[1]2026 Orders'!S48</f>
        <v>0</v>
      </c>
      <c r="V47" t="str">
        <f>'[1]2026 Orders'!T48</f>
        <v> </v>
      </c>
      <c r="W47" t="str">
        <f>'[1]2026 Orders'!U48</f>
        <v> </v>
      </c>
      <c r="X47">
        <f>'[1]2026 Orders'!V48</f>
        <v>0</v>
      </c>
      <c r="Y47" t="str">
        <f>'[1]2026 Orders'!W48</f>
        <v> </v>
      </c>
      <c r="Z47">
        <f>'[1]2026 Orders'!X48</f>
        <v>0</v>
      </c>
      <c r="AC47" t="str">
        <f t="shared" si="0"/>
        <v>120/</v>
      </c>
      <c r="AD47" t="e">
        <f t="shared" si="1"/>
        <v>#VALUE!</v>
      </c>
    </row>
    <row r="48" spans="1:30" ht="33" hidden="1" customHeight="1" x14ac:dyDescent="0.3">
      <c r="A48">
        <f>'[1]2026 Orders'!A49</f>
        <v>45919</v>
      </c>
      <c r="B48" s="14" t="str">
        <f>'[1]2026 Orders'!B49</f>
        <v>Ethiopia</v>
      </c>
      <c r="C48" s="14" t="str">
        <f>'[1]2026 Orders'!C49</f>
        <v>A4591</v>
      </c>
      <c r="D48" s="14" t="str">
        <f>'[1]2026 Orders'!D49</f>
        <v> </v>
      </c>
      <c r="E48" s="17" t="str" cm="1">
        <f t="array" ref="E48">IF(C48=0,"",
HYPERLINK(
"#'2026 Orders'!C"&amp;
MATCH(1,
('2026 Orders'!C:C=C48)*
('2026 Orders'!G:G=G48)*
('2026 Orders'!N:N=N48),
0),
"Open "&amp;C48
))</f>
        <v>Open A4591</v>
      </c>
      <c r="F48" s="14" t="str">
        <f>'[1]2026 Orders'!F49</f>
        <v>11/26/2025: Moved 205 bottles from A4532</v>
      </c>
      <c r="G48" s="14" t="str">
        <f>'[1]2026 Orders'!G49</f>
        <v>PENAMAX-60-GE-FD</v>
      </c>
      <c r="H48" s="14" t="str" cm="1">
        <f t="array" ref="H48">IFERROR(_xlfn.TEXTJOIN("-",,INDEX(_xlfn.TEXTSPLIT(TableTake[[#This Row],[SKU]],"-"),{1,2})),"")</f>
        <v>PENAMAX-60</v>
      </c>
      <c r="I48" s="15" t="str">
        <f>IFERROR(_xlfn.TEXTAFTER(TableTake[[#This Row],[SKU]],"-",-1),"")</f>
        <v>FD</v>
      </c>
      <c r="J48" s="14">
        <f>'[1]2026 Orders'!H49</f>
        <v>205</v>
      </c>
      <c r="K48" t="str">
        <f>'[1]2026 Orders'!I49</f>
        <v>F88-25.1</v>
      </c>
      <c r="L48">
        <f>'[1]2026 Orders'!J49</f>
        <v>205</v>
      </c>
      <c r="N48" s="10" t="str">
        <f>'[1]2026 Orders'!L49</f>
        <v>Picked</v>
      </c>
      <c r="O48">
        <f>'[1]2026 Orders'!M49</f>
        <v>0</v>
      </c>
      <c r="P48" t="str">
        <f>'[1]2026 Orders'!N49</f>
        <v>Y</v>
      </c>
      <c r="Q48">
        <f>'[1]2026 Orders'!O49</f>
        <v>609788968702</v>
      </c>
      <c r="R48" t="str">
        <f>'[1]2026 Orders'!P49</f>
        <v> </v>
      </c>
      <c r="S48" t="str">
        <f>'[1]2026 Orders'!Q49</f>
        <v> </v>
      </c>
      <c r="T48" t="str">
        <f>'[1]2026 Orders'!R49</f>
        <v> </v>
      </c>
      <c r="U48" t="str">
        <f>'[1]2026 Orders'!S49</f>
        <v> </v>
      </c>
      <c r="V48" t="str">
        <f>'[1]2026 Orders'!T49</f>
        <v> </v>
      </c>
      <c r="W48" t="str">
        <f>'[1]2026 Orders'!U49</f>
        <v> </v>
      </c>
      <c r="X48">
        <f>'[1]2026 Orders'!V49</f>
        <v>0</v>
      </c>
      <c r="Y48" t="str">
        <f>'[1]2026 Orders'!W49</f>
        <v> </v>
      </c>
      <c r="Z48">
        <f>'[1]2026 Orders'!X49</f>
        <v>0</v>
      </c>
      <c r="AC48" t="str">
        <f t="shared" si="0"/>
        <v>205/</v>
      </c>
      <c r="AD48" t="e">
        <f t="shared" si="1"/>
        <v>#VALUE!</v>
      </c>
    </row>
    <row r="49" spans="1:30" ht="33" hidden="1" customHeight="1" x14ac:dyDescent="0.3">
      <c r="A49">
        <f>'[1]2026 Orders'!A50</f>
        <v>45919</v>
      </c>
      <c r="B49" s="14" t="str">
        <f>'[1]2026 Orders'!B50</f>
        <v>Ethiopia</v>
      </c>
      <c r="C49" s="14" t="str">
        <f>'[1]2026 Orders'!C50</f>
        <v>A4591</v>
      </c>
      <c r="D49" s="14" t="str">
        <f>'[1]2026 Orders'!D50</f>
        <v> </v>
      </c>
      <c r="E49" s="17" t="str" cm="1">
        <f t="array" ref="E49">IF(C49=0,"",
HYPERLINK(
"#'2026 Orders'!C"&amp;
MATCH(1,
('2026 Orders'!C:C=C49)*
('2026 Orders'!G:G=G49)*
('2026 Orders'!N:N=N49),
0),
"Open "&amp;C49
))</f>
        <v>Open A4591</v>
      </c>
      <c r="F49" s="14" t="str">
        <f>'[1]2026 Orders'!F50</f>
        <v>11/26/2025: Moved 245 bottles from A4532
5/14/2026: allocating 245 packs to Egypt A4683</v>
      </c>
      <c r="G49" s="14" t="str">
        <f>'[1]2026 Orders'!G50</f>
        <v>PRECON-180-FD</v>
      </c>
      <c r="H49" s="14" t="str" cm="1">
        <f t="array" ref="H49">IFERROR(_xlfn.TEXTJOIN("-",,INDEX(_xlfn.TEXTSPLIT(TableTake[[#This Row],[SKU]],"-"),{1,2})),"")</f>
        <v>PRECON-180</v>
      </c>
      <c r="I49" s="15" t="str">
        <f>IFERROR(_xlfn.TEXTAFTER(TableTake[[#This Row],[SKU]],"-",-1),"")</f>
        <v>FD</v>
      </c>
      <c r="J49" s="14">
        <f>'[1]2026 Orders'!H50</f>
        <v>245</v>
      </c>
      <c r="K49" t="str">
        <f>'[1]2026 Orders'!I50</f>
        <v>F55-22.2</v>
      </c>
      <c r="L49">
        <f>'[1]2026 Orders'!J50</f>
        <v>245</v>
      </c>
      <c r="N49" s="10" t="str">
        <f>'[1]2026 Orders'!L50</f>
        <v>In Production</v>
      </c>
      <c r="O49">
        <f>'[1]2026 Orders'!M50</f>
        <v>0</v>
      </c>
      <c r="P49" t="str">
        <f>'[1]2026 Orders'!N50</f>
        <v>NA</v>
      </c>
      <c r="Q49">
        <f>'[1]2026 Orders'!O50</f>
        <v>609788968375</v>
      </c>
      <c r="R49">
        <f>'[1]2026 Orders'!P50</f>
        <v>5000</v>
      </c>
      <c r="S49">
        <f>'[1]2026 Orders'!Q50</f>
        <v>5060</v>
      </c>
      <c r="T49">
        <f>'[1]2026 Orders'!R50</f>
        <v>46205</v>
      </c>
      <c r="U49">
        <f>'[1]2026 Orders'!S50</f>
        <v>0</v>
      </c>
      <c r="V49" t="str">
        <f>'[1]2026 Orders'!T50</f>
        <v> </v>
      </c>
      <c r="W49" t="str">
        <f>'[1]2026 Orders'!U50</f>
        <v> </v>
      </c>
      <c r="X49">
        <f>'[1]2026 Orders'!V50</f>
        <v>0</v>
      </c>
      <c r="Y49" t="str">
        <f>'[1]2026 Orders'!W50</f>
        <v> </v>
      </c>
      <c r="Z49">
        <f>'[1]2026 Orders'!X50</f>
        <v>0</v>
      </c>
      <c r="AC49" t="str">
        <f t="shared" si="0"/>
        <v>245/</v>
      </c>
      <c r="AD49" t="e">
        <f t="shared" si="1"/>
        <v>#VALUE!</v>
      </c>
    </row>
    <row r="50" spans="1:30" ht="33" hidden="1" customHeight="1" x14ac:dyDescent="0.3">
      <c r="A50">
        <f>'[1]2026 Orders'!A51</f>
        <v>45919</v>
      </c>
      <c r="B50" s="14" t="str">
        <f>'[1]2026 Orders'!B51</f>
        <v>Ethiopia</v>
      </c>
      <c r="C50" s="14" t="str">
        <f>'[1]2026 Orders'!C51</f>
        <v>A4591</v>
      </c>
      <c r="D50" s="14">
        <f>'[1]2026 Orders'!D51</f>
        <v>0</v>
      </c>
      <c r="E50" s="17" t="str" cm="1">
        <f t="array" ref="E50">IF(C50=0,"",
HYPERLINK(
"#'2026 Orders'!C"&amp;
MATCH(1,
('2026 Orders'!C:C=C50)*
('2026 Orders'!G:G=G50)*
('2026 Orders'!N:N=N50),
0),
"Open "&amp;C50
))</f>
        <v>Open A4591</v>
      </c>
      <c r="F50" s="14" t="str">
        <f>'[1]2026 Orders'!F51</f>
        <v>11/26/2025: Moved 484 bottles from A4532</v>
      </c>
      <c r="G50" s="14" t="str">
        <f>'[1]2026 Orders'!G51</f>
        <v>QWELL4-30-SG-FD</v>
      </c>
      <c r="H50" s="14" t="str" cm="1">
        <f t="array" ref="H50">IFERROR(_xlfn.TEXTJOIN("-",,INDEX(_xlfn.TEXTSPLIT(TableTake[[#This Row],[SKU]],"-"),{1,2})),"")</f>
        <v>QWELL4-30</v>
      </c>
      <c r="I50" s="15" t="str">
        <f>IFERROR(_xlfn.TEXTAFTER(TableTake[[#This Row],[SKU]],"-",-1),"")</f>
        <v>FD</v>
      </c>
      <c r="J50" s="14">
        <f>'[1]2026 Orders'!H51</f>
        <v>484</v>
      </c>
      <c r="K50" t="str">
        <f>'[1]2026 Orders'!I51</f>
        <v>F58-25.3</v>
      </c>
      <c r="L50">
        <f>'[1]2026 Orders'!J51</f>
        <v>484</v>
      </c>
      <c r="N50" s="10" t="str">
        <f>'[1]2026 Orders'!L51</f>
        <v>Picked</v>
      </c>
      <c r="O50">
        <f>'[1]2026 Orders'!M51</f>
        <v>0</v>
      </c>
      <c r="P50" t="str">
        <f>'[1]2026 Orders'!N51</f>
        <v>NA</v>
      </c>
      <c r="Q50" t="str">
        <f>'[1]2026 Orders'!O51</f>
        <v>609788968214</v>
      </c>
      <c r="R50">
        <f>'[1]2026 Orders'!P51</f>
        <v>17633</v>
      </c>
      <c r="S50">
        <f>'[1]2026 Orders'!Q51</f>
        <v>4858</v>
      </c>
      <c r="T50" t="str">
        <f>'[1]2026 Orders'!R51</f>
        <v>complete</v>
      </c>
      <c r="U50">
        <f>'[1]2026 Orders'!S51</f>
        <v>0</v>
      </c>
      <c r="V50" t="str">
        <f>'[1]2026 Orders'!T51</f>
        <v> </v>
      </c>
      <c r="W50" t="str">
        <f>'[1]2026 Orders'!U51</f>
        <v> </v>
      </c>
      <c r="X50">
        <f>'[1]2026 Orders'!V51</f>
        <v>0</v>
      </c>
      <c r="Y50" t="str">
        <f>'[1]2026 Orders'!W51</f>
        <v> </v>
      </c>
      <c r="Z50">
        <f>'[1]2026 Orders'!X51</f>
        <v>0</v>
      </c>
      <c r="AC50" t="str">
        <f t="shared" si="0"/>
        <v>484/</v>
      </c>
      <c r="AD50" t="e">
        <f t="shared" si="1"/>
        <v>#VALUE!</v>
      </c>
    </row>
    <row r="51" spans="1:30" ht="33" hidden="1" customHeight="1" x14ac:dyDescent="0.3">
      <c r="A51">
        <f>'[1]2026 Orders'!A52</f>
        <v>45958</v>
      </c>
      <c r="B51" s="14" t="str">
        <f>'[1]2026 Orders'!B52</f>
        <v>Ethiopia</v>
      </c>
      <c r="C51" s="14" t="str">
        <f>'[1]2026 Orders'!C52</f>
        <v>A4591</v>
      </c>
      <c r="D51" s="14">
        <f>'[1]2026 Orders'!D52</f>
        <v>0</v>
      </c>
      <c r="E51" s="17" t="str" cm="1">
        <f t="array" ref="E51">IF(C51=0,"",
HYPERLINK(
"#'2026 Orders'!C"&amp;
MATCH(1,
('2026 Orders'!C:C=C51)*
('2026 Orders'!G:G=G51)*
('2026 Orders'!N:N=N51),
0),
"Open "&amp;C51
))</f>
        <v>Open A4591</v>
      </c>
      <c r="F51" s="14" t="str">
        <f>'[1]2026 Orders'!F52</f>
        <v>11/26/2025: Moved 34 bottles from A4519</v>
      </c>
      <c r="G51" s="14" t="str">
        <f>'[1]2026 Orders'!G52</f>
        <v>MOTILMX-60-FD</v>
      </c>
      <c r="H51" s="14" t="str" cm="1">
        <f t="array" ref="H51">IFERROR(_xlfn.TEXTJOIN("-",,INDEX(_xlfn.TEXTSPLIT(TableTake[[#This Row],[SKU]],"-"),{1,2})),"")</f>
        <v>MOTILMX-60</v>
      </c>
      <c r="I51" s="15" t="str">
        <f>IFERROR(_xlfn.TEXTAFTER(TableTake[[#This Row],[SKU]],"-",-1),"")</f>
        <v>FD</v>
      </c>
      <c r="J51" s="14">
        <f>'[1]2026 Orders'!H52</f>
        <v>34</v>
      </c>
      <c r="K51" t="str">
        <f>'[1]2026 Orders'!I52</f>
        <v>F31-23.0</v>
      </c>
      <c r="L51">
        <f>'[1]2026 Orders'!J52</f>
        <v>34</v>
      </c>
      <c r="N51" s="10" t="str">
        <f>'[1]2026 Orders'!L52</f>
        <v>Picked</v>
      </c>
      <c r="O51">
        <f>'[1]2026 Orders'!M52</f>
        <v>0</v>
      </c>
      <c r="P51" t="str">
        <f>'[1]2026 Orders'!N52</f>
        <v>NA</v>
      </c>
      <c r="Q51">
        <f>'[1]2026 Orders'!O52</f>
        <v>609788968191</v>
      </c>
      <c r="R51">
        <f>'[1]2026 Orders'!P52</f>
        <v>0</v>
      </c>
      <c r="S51">
        <f>'[1]2026 Orders'!Q52</f>
        <v>0</v>
      </c>
      <c r="T51">
        <f>'[1]2026 Orders'!R52</f>
        <v>0</v>
      </c>
      <c r="U51">
        <f>'[1]2026 Orders'!S52</f>
        <v>0</v>
      </c>
      <c r="V51">
        <f>'[1]2026 Orders'!T52</f>
        <v>0</v>
      </c>
      <c r="W51">
        <f>'[1]2026 Orders'!U52</f>
        <v>0</v>
      </c>
      <c r="X51">
        <f>'[1]2026 Orders'!V52</f>
        <v>0</v>
      </c>
      <c r="Y51">
        <f>'[1]2026 Orders'!W52</f>
        <v>0</v>
      </c>
      <c r="Z51">
        <f>'[1]2026 Orders'!X52</f>
        <v>0</v>
      </c>
      <c r="AC51" t="str">
        <f t="shared" si="0"/>
        <v>34/</v>
      </c>
      <c r="AD51" t="e">
        <f t="shared" si="1"/>
        <v>#VALUE!</v>
      </c>
    </row>
    <row r="52" spans="1:30" ht="33" hidden="1" customHeight="1" x14ac:dyDescent="0.3">
      <c r="A52">
        <f>'[1]2026 Orders'!A53</f>
        <v>45919</v>
      </c>
      <c r="B52" s="14">
        <f>'[1]2026 Orders'!B53</f>
        <v>0</v>
      </c>
      <c r="C52" s="14" t="str">
        <f>'[1]2026 Orders'!C53</f>
        <v>A4591</v>
      </c>
      <c r="D52" s="14" t="str">
        <f>'[1]2026 Orders'!D53</f>
        <v> </v>
      </c>
      <c r="E52" s="17" t="e" cm="1">
        <f t="array" ref="E52">IF(C52=0,"",
HYPERLINK(
"#'2026 Orders'!C"&amp;
MATCH(1,
('2026 Orders'!C:C=C52)*
('2026 Orders'!G:G=G52)*
('2026 Orders'!N:N=N52),
0),
"Open "&amp;C52
))</f>
        <v>#N/A</v>
      </c>
      <c r="F52" s="14" t="str">
        <f>'[1]2026 Orders'!F53</f>
        <v>11/26/2025: Moved 480 bottles from A4532</v>
      </c>
      <c r="G52" s="14" t="str">
        <f>'[1]2026 Orders'!G53</f>
        <v>OVAMAX-120-FD</v>
      </c>
      <c r="H52" s="14" t="str" cm="1">
        <f t="array" ref="H52">IFERROR(_xlfn.TEXTJOIN("-",,INDEX(_xlfn.TEXTSPLIT(TableTake[[#This Row],[SKU]],"-"),{1,2})),"")</f>
        <v>OVAMAX-120</v>
      </c>
      <c r="I52" s="15" t="str">
        <f>IFERROR(_xlfn.TEXTAFTER(TableTake[[#This Row],[SKU]],"-",-1),"")</f>
        <v>FD</v>
      </c>
      <c r="J52" s="14">
        <f>'[1]2026 Orders'!H53</f>
        <v>480</v>
      </c>
      <c r="K52">
        <f>'[1]2026 Orders'!I53</f>
        <v>0</v>
      </c>
      <c r="L52">
        <f>'[1]2026 Orders'!J53</f>
        <v>480</v>
      </c>
      <c r="N52" s="10" t="str">
        <f>'[1]2026 Orders'!L53</f>
        <v>D/W Sent</v>
      </c>
      <c r="O52">
        <f>'[1]2026 Orders'!M53</f>
        <v>0</v>
      </c>
      <c r="P52" t="str">
        <f>'[1]2026 Orders'!N53</f>
        <v>NA</v>
      </c>
      <c r="Q52">
        <f>'[1]2026 Orders'!O53</f>
        <v>609788968399</v>
      </c>
      <c r="R52">
        <f>'[1]2026 Orders'!P53</f>
        <v>16000</v>
      </c>
      <c r="S52">
        <f>'[1]2026 Orders'!Q53</f>
        <v>4823</v>
      </c>
      <c r="T52" t="str">
        <f>'[1]2026 Orders'!R53</f>
        <v>complete</v>
      </c>
      <c r="U52" t="str">
        <f>'[1]2026 Orders'!S53</f>
        <v> </v>
      </c>
      <c r="V52" t="str">
        <f>'[1]2026 Orders'!T53</f>
        <v> </v>
      </c>
      <c r="W52" t="str">
        <f>'[1]2026 Orders'!U53</f>
        <v> </v>
      </c>
      <c r="X52">
        <f>'[1]2026 Orders'!V53</f>
        <v>0</v>
      </c>
      <c r="Y52" t="str">
        <f>'[1]2026 Orders'!W53</f>
        <v> </v>
      </c>
      <c r="Z52">
        <f>'[1]2026 Orders'!X53</f>
        <v>0</v>
      </c>
      <c r="AC52" t="str">
        <f t="shared" si="0"/>
        <v/>
      </c>
      <c r="AD52" t="e">
        <f t="shared" si="1"/>
        <v>#VALUE!</v>
      </c>
    </row>
    <row r="53" spans="1:30" ht="33" hidden="1" customHeight="1" x14ac:dyDescent="0.3">
      <c r="A53">
        <f>'[1]2026 Orders'!A54</f>
        <v>45923</v>
      </c>
      <c r="B53" s="14" t="str">
        <f>'[1]2026 Orders'!B54</f>
        <v>Uganda</v>
      </c>
      <c r="C53" s="14" t="str">
        <f>'[1]2026 Orders'!C54</f>
        <v>A4534</v>
      </c>
      <c r="D53" s="14">
        <f>'[1]2026 Orders'!D54</f>
        <v>0</v>
      </c>
      <c r="E53" s="17" t="str" cm="1">
        <f t="array" ref="E53">IF(C53=0,"",
HYPERLINK(
"#'2026 Orders'!C"&amp;
MATCH(1,
('2026 Orders'!C:C=C53)*
('2026 Orders'!G:G=G53)*
('2026 Orders'!N:N=N53),
0),
"Open "&amp;C53
))</f>
        <v>Open A4534</v>
      </c>
      <c r="F53" s="14" t="str">
        <f>'[1]2026 Orders'!F54</f>
        <v>03/10/26 Product allocated to Somalia A4655</v>
      </c>
      <c r="G53" s="14" t="str">
        <f>'[1]2026 Orders'!G54</f>
        <v>MFSPLS-120-FD</v>
      </c>
      <c r="H53" s="14" t="str" cm="1">
        <f t="array" ref="H53">IFERROR(_xlfn.TEXTJOIN("-",,INDEX(_xlfn.TEXTSPLIT(TableTake[[#This Row],[SKU]],"-"),{1,2})),"")</f>
        <v>MFSPLS-120</v>
      </c>
      <c r="I53" s="15" t="str">
        <f>IFERROR(_xlfn.TEXTAFTER(TableTake[[#This Row],[SKU]],"-",-1),"")</f>
        <v>FD</v>
      </c>
      <c r="J53" s="14">
        <f>'[1]2026 Orders'!H54</f>
        <v>240</v>
      </c>
      <c r="K53" t="str">
        <f>'[1]2026 Orders'!I54</f>
        <v>F30-25.1</v>
      </c>
      <c r="L53">
        <f>'[1]2026 Orders'!J54</f>
        <v>0</v>
      </c>
      <c r="N53" s="10" t="str">
        <f>'[1]2026 Orders'!L54</f>
        <v>PO submitted</v>
      </c>
      <c r="O53">
        <f>'[1]2026 Orders'!M54</f>
        <v>0</v>
      </c>
      <c r="P53" t="str">
        <f>'[1]2026 Orders'!N54</f>
        <v>NA</v>
      </c>
      <c r="Q53">
        <f>'[1]2026 Orders'!O54</f>
        <v>609788968344</v>
      </c>
      <c r="R53" t="str">
        <f>'[1]2026 Orders'!P54</f>
        <v>300000bulk</v>
      </c>
      <c r="S53">
        <f>'[1]2026 Orders'!Q54</f>
        <v>5064</v>
      </c>
      <c r="T53" t="str">
        <f>'[1]2026 Orders'!R54</f>
        <v>TBD</v>
      </c>
      <c r="U53" t="str">
        <f>'[1]2026 Orders'!S54</f>
        <v>Bulk PO submitted, pending ETA from vendor</v>
      </c>
      <c r="V53">
        <f>'[1]2026 Orders'!T54</f>
        <v>0</v>
      </c>
      <c r="W53">
        <f>'[1]2026 Orders'!U54</f>
        <v>0</v>
      </c>
      <c r="X53">
        <f>'[1]2026 Orders'!V54</f>
        <v>0</v>
      </c>
      <c r="Y53">
        <f>'[1]2026 Orders'!W54</f>
        <v>0</v>
      </c>
      <c r="Z53" t="str">
        <f>'[1]2026 Orders'!X54</f>
        <v>HOLD</v>
      </c>
      <c r="AC53" t="str">
        <f t="shared" si="0"/>
        <v>240/</v>
      </c>
      <c r="AD53" t="e">
        <f t="shared" si="1"/>
        <v>#VALUE!</v>
      </c>
    </row>
    <row r="54" spans="1:30" ht="33" hidden="1" customHeight="1" x14ac:dyDescent="0.3">
      <c r="A54">
        <f>'[1]2026 Orders'!A55</f>
        <v>45923</v>
      </c>
      <c r="B54" s="14" t="str">
        <f>'[1]2026 Orders'!B55</f>
        <v>Uganda</v>
      </c>
      <c r="C54" s="14" t="str">
        <f>'[1]2026 Orders'!C55</f>
        <v>A4534</v>
      </c>
      <c r="D54" s="14">
        <f>'[1]2026 Orders'!D55</f>
        <v>0</v>
      </c>
      <c r="E54" s="17" t="str" cm="1">
        <f t="array" ref="E54">IF(C54=0,"",
HYPERLINK(
"#'2026 Orders'!C"&amp;
MATCH(1,
('2026 Orders'!C:C=C54)*
('2026 Orders'!G:G=G54)*
('2026 Orders'!N:N=N54),
0),
"Open "&amp;C54
))</f>
        <v>Open A4534</v>
      </c>
      <c r="F54" s="14">
        <f>'[1]2026 Orders'!F55</f>
        <v>0</v>
      </c>
      <c r="G54" s="14" t="str">
        <f>'[1]2026 Orders'!G55</f>
        <v>PRECON-90-FD</v>
      </c>
      <c r="H54" s="14" t="str" cm="1">
        <f t="array" ref="H54">IFERROR(_xlfn.TEXTJOIN("-",,INDEX(_xlfn.TEXTSPLIT(TableTake[[#This Row],[SKU]],"-"),{1,2})),"")</f>
        <v>PRECON-90</v>
      </c>
      <c r="I54" s="15" t="str">
        <f>IFERROR(_xlfn.TEXTAFTER(TableTake[[#This Row],[SKU]],"-",-1),"")</f>
        <v>FD</v>
      </c>
      <c r="J54" s="14">
        <f>'[1]2026 Orders'!H55</f>
        <v>72</v>
      </c>
      <c r="K54" t="str">
        <f>'[1]2026 Orders'!I55</f>
        <v>F54-23.0</v>
      </c>
      <c r="L54">
        <f>'[1]2026 Orders'!J55</f>
        <v>72</v>
      </c>
      <c r="N54" s="10" t="str">
        <f>'[1]2026 Orders'!L55</f>
        <v>Picked</v>
      </c>
      <c r="O54">
        <f>'[1]2026 Orders'!M55</f>
        <v>0</v>
      </c>
      <c r="P54" t="str">
        <f>'[1]2026 Orders'!N55</f>
        <v>NA</v>
      </c>
      <c r="Q54">
        <f>'[1]2026 Orders'!O55</f>
        <v>609788968368</v>
      </c>
      <c r="R54">
        <f>'[1]2026 Orders'!P55</f>
        <v>5000</v>
      </c>
      <c r="S54">
        <f>'[1]2026 Orders'!Q55</f>
        <v>4851</v>
      </c>
      <c r="T54" t="str">
        <f>'[1]2026 Orders'!R55</f>
        <v>complete</v>
      </c>
      <c r="U54">
        <f>'[1]2026 Orders'!S55</f>
        <v>0</v>
      </c>
      <c r="V54">
        <f>'[1]2026 Orders'!T55</f>
        <v>0</v>
      </c>
      <c r="W54">
        <f>'[1]2026 Orders'!U55</f>
        <v>0</v>
      </c>
      <c r="X54">
        <f>'[1]2026 Orders'!V55</f>
        <v>0</v>
      </c>
      <c r="Y54">
        <f>'[1]2026 Orders'!W55</f>
        <v>0</v>
      </c>
      <c r="Z54">
        <f>'[1]2026 Orders'!X55</f>
        <v>0</v>
      </c>
      <c r="AC54" t="str">
        <f t="shared" si="0"/>
        <v>72/</v>
      </c>
      <c r="AD54" t="e">
        <f t="shared" si="1"/>
        <v>#VALUE!</v>
      </c>
    </row>
    <row r="55" spans="1:30" ht="33" hidden="1" customHeight="1" x14ac:dyDescent="0.3">
      <c r="A55">
        <f>'[1]2026 Orders'!A56</f>
        <v>45919</v>
      </c>
      <c r="B55" s="14" t="str">
        <f>'[1]2026 Orders'!B56</f>
        <v>Ethiopia</v>
      </c>
      <c r="C55" s="14" t="str">
        <f>'[1]2026 Orders'!C56</f>
        <v>A4591</v>
      </c>
      <c r="D55" s="14" t="str">
        <f>'[1]2026 Orders'!D56</f>
        <v> </v>
      </c>
      <c r="E55" s="17" t="e" cm="1">
        <f t="array" ref="E55">IF(C55=0,"",
HYPERLINK(
"#'2026 Orders'!C"&amp;
MATCH(1,
('2026 Orders'!C:C=C55)*
('2026 Orders'!G:G=G55)*
('2026 Orders'!N:N=N55),
0),
"Open "&amp;C55
))</f>
        <v>#N/A</v>
      </c>
      <c r="F55" s="14" t="str">
        <f>'[1]2026 Orders'!F56</f>
        <v>11/26/2025: Moved 205 bottles from A4532</v>
      </c>
      <c r="G55" s="14" t="str">
        <f>'[1]2026 Orders'!G56</f>
        <v>PENAMAX-60-GE-FD</v>
      </c>
      <c r="H55" s="14" t="str" cm="1">
        <f t="array" ref="H55">IFERROR(_xlfn.TEXTJOIN("-",,INDEX(_xlfn.TEXTSPLIT(TableTake[[#This Row],[SKU]],"-"),{1,2})),"")</f>
        <v>PENAMAX-60</v>
      </c>
      <c r="I55" s="15" t="str">
        <f>IFERROR(_xlfn.TEXTAFTER(TableTake[[#This Row],[SKU]],"-",-1),"")</f>
        <v>FD</v>
      </c>
      <c r="J55" s="14">
        <f>'[1]2026 Orders'!H56</f>
        <v>205</v>
      </c>
      <c r="K55" t="str">
        <f>'[1]2026 Orders'!I56</f>
        <v>F88-25.1</v>
      </c>
      <c r="L55">
        <f>'[1]2026 Orders'!J56</f>
        <v>205</v>
      </c>
      <c r="N55" s="10" t="str">
        <f>'[1]2026 Orders'!L56</f>
        <v>D/W Sent</v>
      </c>
      <c r="O55">
        <f>'[1]2026 Orders'!M56</f>
        <v>0</v>
      </c>
      <c r="P55" t="str">
        <f>'[1]2026 Orders'!N56</f>
        <v>Y</v>
      </c>
      <c r="Q55">
        <f>'[1]2026 Orders'!O56</f>
        <v>609788968702</v>
      </c>
      <c r="R55" t="str">
        <f>'[1]2026 Orders'!P56</f>
        <v> </v>
      </c>
      <c r="S55" t="str">
        <f>'[1]2026 Orders'!Q56</f>
        <v> </v>
      </c>
      <c r="T55" t="str">
        <f>'[1]2026 Orders'!R56</f>
        <v> </v>
      </c>
      <c r="U55" t="str">
        <f>'[1]2026 Orders'!S56</f>
        <v> </v>
      </c>
      <c r="V55" t="str">
        <f>'[1]2026 Orders'!T56</f>
        <v> </v>
      </c>
      <c r="W55" t="str">
        <f>'[1]2026 Orders'!U56</f>
        <v> </v>
      </c>
      <c r="X55">
        <f>'[1]2026 Orders'!V56</f>
        <v>0</v>
      </c>
      <c r="Y55" t="str">
        <f>'[1]2026 Orders'!W56</f>
        <v> </v>
      </c>
      <c r="Z55">
        <f>'[1]2026 Orders'!X56</f>
        <v>0</v>
      </c>
      <c r="AC55" t="str">
        <f t="shared" si="0"/>
        <v>205/</v>
      </c>
      <c r="AD55" t="e">
        <f t="shared" si="1"/>
        <v>#VALUE!</v>
      </c>
    </row>
    <row r="56" spans="1:30" ht="33" hidden="1" customHeight="1" x14ac:dyDescent="0.3">
      <c r="A56">
        <f>'[1]2026 Orders'!A57</f>
        <v>45943</v>
      </c>
      <c r="B56" s="14" t="str">
        <f>'[1]2026 Orders'!B57</f>
        <v>Greece</v>
      </c>
      <c r="C56" s="14" t="str">
        <f>'[1]2026 Orders'!C57</f>
        <v>A4547</v>
      </c>
      <c r="D56" s="14" t="str">
        <f>'[1]2026 Orders'!D57</f>
        <v xml:space="preserve">docs approved </v>
      </c>
      <c r="E56" s="17" t="str" cm="1">
        <f t="array" ref="E56">IF(C56=0,"",
HYPERLINK(
"#'2026 Orders'!C"&amp;
MATCH(1,
('2026 Orders'!C:C=C56)*
('2026 Orders'!G:G=G56)*
('2026 Orders'!N:N=N56),
0),
"Open "&amp;C56
))</f>
        <v>Open A4547</v>
      </c>
      <c r="F56" s="14" t="str">
        <f>'[1]2026 Orders'!F57</f>
        <v>5/26/2026: Allocating 576 packs to Cyprus A4676. Remainder (424) to be kept on order to ship Q3.</v>
      </c>
      <c r="G56" s="14" t="str">
        <f>'[1]2026 Orders'!G57</f>
        <v>MFSADV-120-CS-GR</v>
      </c>
      <c r="H56" s="14" t="str" cm="1">
        <f t="array" ref="H56">IFERROR(_xlfn.TEXTJOIN("-",,INDEX(_xlfn.TEXTSPLIT(TableTake[[#This Row],[SKU]],"-"),{1,2})),"")</f>
        <v>MFSADV-120</v>
      </c>
      <c r="I56" s="15" t="str">
        <f>IFERROR(_xlfn.TEXTAFTER(TableTake[[#This Row],[SKU]],"-",-1),"")</f>
        <v>GR</v>
      </c>
      <c r="J56" s="14">
        <f>'[1]2026 Orders'!H57</f>
        <v>424</v>
      </c>
      <c r="K56" t="str">
        <f>'[1]2026 Orders'!I57</f>
        <v>GR87-25.0</v>
      </c>
      <c r="L56">
        <f>'[1]2026 Orders'!J57</f>
        <v>424</v>
      </c>
      <c r="N56" s="10" t="str">
        <f>'[1]2026 Orders'!L57</f>
        <v>D/W Sent</v>
      </c>
      <c r="O56" t="str">
        <f>'[1]2026 Orders'!M57</f>
        <v xml:space="preserve">5/26/2026: Revised D/W </v>
      </c>
      <c r="P56" t="str">
        <f>'[1]2026 Orders'!N57</f>
        <v>Y</v>
      </c>
      <c r="Q56">
        <f>'[1]2026 Orders'!O57</f>
        <v>604776739272</v>
      </c>
      <c r="R56">
        <f>'[1]2026 Orders'!P57</f>
        <v>2110</v>
      </c>
      <c r="S56">
        <f>'[1]2026 Orders'!Q57</f>
        <v>5053</v>
      </c>
      <c r="T56" t="str">
        <f>'[1]2026 Orders'!R57</f>
        <v>complete</v>
      </c>
      <c r="U56">
        <f>'[1]2026 Orders'!S57</f>
        <v>0</v>
      </c>
      <c r="V56">
        <f>'[1]2026 Orders'!T57</f>
        <v>0</v>
      </c>
      <c r="W56">
        <f>'[1]2026 Orders'!U57</f>
        <v>0</v>
      </c>
      <c r="X56">
        <f>'[1]2026 Orders'!V57</f>
        <v>0</v>
      </c>
      <c r="Y56">
        <f>'[1]2026 Orders'!W57</f>
        <v>0</v>
      </c>
      <c r="Z56" t="str">
        <f>'[1]2026 Orders'!X57</f>
        <v>HOLD</v>
      </c>
      <c r="AC56" t="str">
        <f t="shared" si="0"/>
        <v>424/</v>
      </c>
      <c r="AD56" t="e">
        <f t="shared" si="1"/>
        <v>#VALUE!</v>
      </c>
    </row>
    <row r="57" spans="1:30" ht="33" hidden="1" customHeight="1" x14ac:dyDescent="0.3">
      <c r="A57">
        <f>'[1]2026 Orders'!A58</f>
        <v>45919</v>
      </c>
      <c r="B57" s="14" t="str">
        <f>'[1]2026 Orders'!B58</f>
        <v>Ethiopia</v>
      </c>
      <c r="C57" s="14" t="str">
        <f>'[1]2026 Orders'!C58</f>
        <v>A4591</v>
      </c>
      <c r="D57" s="14">
        <f>'[1]2026 Orders'!D58</f>
        <v>0</v>
      </c>
      <c r="E57" s="17" t="e" cm="1">
        <f t="array" ref="E57">IF(C57=0,"",
HYPERLINK(
"#'2026 Orders'!C"&amp;
MATCH(1,
('2026 Orders'!C:C=C57)*
('2026 Orders'!G:G=G57)*
('2026 Orders'!N:N=N57),
0),
"Open "&amp;C57
))</f>
        <v>#N/A</v>
      </c>
      <c r="F57" s="14" t="str">
        <f>'[1]2026 Orders'!F58</f>
        <v>11/26/2025: Moved 484 bottles from A4532</v>
      </c>
      <c r="G57" s="14" t="str">
        <f>'[1]2026 Orders'!G58</f>
        <v>QWELL4-30-SG-FD</v>
      </c>
      <c r="H57" s="14" t="str" cm="1">
        <f t="array" ref="H57">IFERROR(_xlfn.TEXTJOIN("-",,INDEX(_xlfn.TEXTSPLIT(TableTake[[#This Row],[SKU]],"-"),{1,2})),"")</f>
        <v>QWELL4-30</v>
      </c>
      <c r="I57" s="15" t="str">
        <f>IFERROR(_xlfn.TEXTAFTER(TableTake[[#This Row],[SKU]],"-",-1),"")</f>
        <v>FD</v>
      </c>
      <c r="J57" s="14">
        <f>'[1]2026 Orders'!H58</f>
        <v>484</v>
      </c>
      <c r="K57" t="str">
        <f>'[1]2026 Orders'!I58</f>
        <v>F58-25.3</v>
      </c>
      <c r="L57">
        <f>'[1]2026 Orders'!J58</f>
        <v>484</v>
      </c>
      <c r="N57" s="10">
        <f>'[1]2026 Orders'!L58</f>
        <v>0</v>
      </c>
      <c r="O57">
        <f>'[1]2026 Orders'!M58</f>
        <v>0</v>
      </c>
      <c r="P57" t="str">
        <f>'[1]2026 Orders'!N58</f>
        <v>NA</v>
      </c>
      <c r="Q57" t="str">
        <f>'[1]2026 Orders'!O58</f>
        <v>609788968214</v>
      </c>
      <c r="R57">
        <f>'[1]2026 Orders'!P58</f>
        <v>17633</v>
      </c>
      <c r="S57">
        <f>'[1]2026 Orders'!Q58</f>
        <v>4858</v>
      </c>
      <c r="T57" t="str">
        <f>'[1]2026 Orders'!R58</f>
        <v>complete</v>
      </c>
      <c r="U57">
        <f>'[1]2026 Orders'!S58</f>
        <v>0</v>
      </c>
      <c r="V57" t="str">
        <f>'[1]2026 Orders'!T58</f>
        <v> </v>
      </c>
      <c r="W57" t="str">
        <f>'[1]2026 Orders'!U58</f>
        <v> </v>
      </c>
      <c r="X57">
        <f>'[1]2026 Orders'!V58</f>
        <v>0</v>
      </c>
      <c r="Y57" t="str">
        <f>'[1]2026 Orders'!W58</f>
        <v> </v>
      </c>
      <c r="Z57">
        <f>'[1]2026 Orders'!X58</f>
        <v>0</v>
      </c>
      <c r="AC57" t="str">
        <f t="shared" si="0"/>
        <v>484/</v>
      </c>
      <c r="AD57" t="e">
        <f t="shared" si="1"/>
        <v>#VALUE!</v>
      </c>
    </row>
    <row r="58" spans="1:30" ht="33" hidden="1" customHeight="1" x14ac:dyDescent="0.3">
      <c r="A58">
        <f>'[1]2026 Orders'!A59</f>
        <v>45946</v>
      </c>
      <c r="B58" s="14" t="str">
        <f>'[1]2026 Orders'!B59</f>
        <v>Sudan</v>
      </c>
      <c r="C58" s="14" t="str">
        <f>'[1]2026 Orders'!C59</f>
        <v>A4549</v>
      </c>
      <c r="D58" s="14" t="str">
        <f>'[1]2026 Orders'!D59</f>
        <v>4/8/2026: Client applying for permit
5/21/2026: Awaiting feedback if client can take available 1300 packs</v>
      </c>
      <c r="E58" s="17" t="str" cm="1">
        <f t="array" ref="E58">IF(C58=0,"",
HYPERLINK(
"#'2026 Orders'!C"&amp;
MATCH(1,
('2026 Orders'!C:C=C58)*
('2026 Orders'!G:G=G58)*
('2026 Orders'!N:N=N58),
0),
"Open "&amp;C58
))</f>
        <v>Open A4549</v>
      </c>
      <c r="F58" s="14" t="str">
        <f>'[1]2026 Orders'!F59</f>
        <v>11/10/2025: Can only Fulfill 1620 from PO A4808 
2/4/2026: Quantity decreased from 4076 to 1476. Fulfilling out of PO A4808.
5/22/2026: QTY decreased 1476 -&gt; 1300 (176 packs moved to Sudan A4697)
1300 packs to be fufilled by available QTY (runoff from 4940)
6/1/2026: QTY increased to original amount: 176 packs added from Sudan A4711 (1300 -&gt; 1476)
to be fufilled by PO 4808</v>
      </c>
      <c r="G58" s="14" t="str">
        <f>'[1]2026 Orders'!G59</f>
        <v>COQ400-30-VE-CS-SU</v>
      </c>
      <c r="H58" s="14" t="str" cm="1">
        <f t="array" ref="H58">IFERROR(_xlfn.TEXTJOIN("-",,INDEX(_xlfn.TEXTSPLIT(TableTake[[#This Row],[SKU]],"-"),{1,2})),"")</f>
        <v>COQ400-30</v>
      </c>
      <c r="I58" s="15" t="str">
        <f>IFERROR(_xlfn.TEXTAFTER(TableTake[[#This Row],[SKU]],"-",-1),"")</f>
        <v>SU</v>
      </c>
      <c r="J58" s="14">
        <f>'[1]2026 Orders'!H59</f>
        <v>1476</v>
      </c>
      <c r="K58" t="str">
        <f>'[1]2026 Orders'!I59</f>
        <v>SU58-23.0</v>
      </c>
      <c r="L58">
        <f>'[1]2026 Orders'!J59</f>
        <v>1476</v>
      </c>
      <c r="N58" s="10" t="str">
        <f>'[1]2026 Orders'!L59</f>
        <v>Transit to Warehouse</v>
      </c>
      <c r="O58" t="str">
        <f>'[1]2026 Orders'!M59</f>
        <v>ETA 06/12/26</v>
      </c>
      <c r="P58" t="str">
        <f>'[1]2026 Orders'!N59</f>
        <v>NA</v>
      </c>
      <c r="Q58">
        <f>'[1]2026 Orders'!O59</f>
        <v>609788968467</v>
      </c>
      <c r="R58">
        <f>'[1]2026 Orders'!P59</f>
        <v>4000</v>
      </c>
      <c r="S58">
        <f>'[1]2026 Orders'!Q59</f>
        <v>4808</v>
      </c>
      <c r="T58" t="str">
        <f>'[1]2026 Orders'!R59</f>
        <v>Complete</v>
      </c>
      <c r="U58" t="str">
        <f>'[1]2026 Orders'!S59</f>
        <v>Awaiting for vendor packing list.</v>
      </c>
      <c r="V58">
        <f>'[1]2026 Orders'!T59</f>
        <v>0</v>
      </c>
      <c r="W58">
        <f>'[1]2026 Orders'!U59</f>
        <v>0</v>
      </c>
      <c r="X58">
        <f>'[1]2026 Orders'!V59</f>
        <v>0</v>
      </c>
      <c r="Y58">
        <f>'[1]2026 Orders'!W59</f>
        <v>0</v>
      </c>
      <c r="Z58" t="str">
        <f>'[1]2026 Orders'!X59</f>
        <v>Approved</v>
      </c>
      <c r="AC58" t="str">
        <f t="shared" si="0"/>
        <v>1476/</v>
      </c>
      <c r="AD58" t="e">
        <f t="shared" si="1"/>
        <v>#VALUE!</v>
      </c>
    </row>
    <row r="59" spans="1:30" ht="33" hidden="1" customHeight="1" x14ac:dyDescent="0.3">
      <c r="A59">
        <f>'[1]2026 Orders'!A60</f>
        <v>0</v>
      </c>
      <c r="B59" s="14">
        <f>'[1]2026 Orders'!B60</f>
        <v>0</v>
      </c>
      <c r="C59" s="14">
        <f>'[1]2026 Orders'!C60</f>
        <v>0</v>
      </c>
      <c r="D59" s="14">
        <f>'[1]2026 Orders'!D60</f>
        <v>0</v>
      </c>
      <c r="E59" s="17" t="str" cm="1">
        <f t="array" ref="E59">IF(C59=0,"",
HYPERLINK(
"#'2026 Orders'!C"&amp;
MATCH(1,
('2026 Orders'!C:C=C59)*
('2026 Orders'!G:G=G59)*
('2026 Orders'!N:N=N59),
0),
"Open "&amp;C59
))</f>
        <v/>
      </c>
      <c r="F59" s="14">
        <f>'[1]2026 Orders'!F60</f>
        <v>0</v>
      </c>
      <c r="G59" s="14">
        <f>'[1]2026 Orders'!G60</f>
        <v>0</v>
      </c>
      <c r="H59" s="14" t="str" cm="1">
        <f t="array" ref="H59">IFERROR(_xlfn.TEXTJOIN("-",,INDEX(_xlfn.TEXTSPLIT(TableTake[[#This Row],[SKU]],"-"),{1,2})),"")</f>
        <v/>
      </c>
      <c r="I59" s="15" t="str">
        <f>IFERROR(_xlfn.TEXTAFTER(TableTake[[#This Row],[SKU]],"-",-1),"")</f>
        <v/>
      </c>
      <c r="J59" s="14">
        <f>'[1]2026 Orders'!H60</f>
        <v>0</v>
      </c>
      <c r="K59">
        <f>'[1]2026 Orders'!I60</f>
        <v>0</v>
      </c>
      <c r="L59">
        <f>'[1]2026 Orders'!J60</f>
        <v>0</v>
      </c>
      <c r="N59" s="10">
        <f>'[1]2026 Orders'!L60</f>
        <v>0</v>
      </c>
      <c r="O59">
        <f>'[1]2026 Orders'!M60</f>
        <v>0</v>
      </c>
      <c r="P59">
        <f>'[1]2026 Orders'!N60</f>
        <v>0</v>
      </c>
      <c r="Q59">
        <f>'[1]2026 Orders'!O60</f>
        <v>0</v>
      </c>
      <c r="R59">
        <f>'[1]2026 Orders'!P60</f>
        <v>0</v>
      </c>
      <c r="S59">
        <f>'[1]2026 Orders'!Q60</f>
        <v>0</v>
      </c>
      <c r="T59">
        <f>'[1]2026 Orders'!R60</f>
        <v>0</v>
      </c>
      <c r="U59">
        <f>'[1]2026 Orders'!S60</f>
        <v>0</v>
      </c>
      <c r="V59">
        <f>'[1]2026 Orders'!T60</f>
        <v>0</v>
      </c>
      <c r="W59">
        <f>'[1]2026 Orders'!U60</f>
        <v>0</v>
      </c>
      <c r="X59">
        <f>'[1]2026 Orders'!V60</f>
        <v>0</v>
      </c>
      <c r="Y59">
        <f>'[1]2026 Orders'!W60</f>
        <v>0</v>
      </c>
      <c r="Z59">
        <f>'[1]2026 Orders'!X60</f>
        <v>0</v>
      </c>
      <c r="AC59" t="str">
        <f t="shared" si="0"/>
        <v/>
      </c>
      <c r="AD59" t="str">
        <f t="shared" si="1"/>
        <v/>
      </c>
    </row>
    <row r="60" spans="1:30" ht="33" hidden="1" customHeight="1" x14ac:dyDescent="0.3">
      <c r="A60">
        <f>'[1]2026 Orders'!A61</f>
        <v>45961</v>
      </c>
      <c r="B60" s="14" t="str">
        <f>'[1]2026 Orders'!B61</f>
        <v>China</v>
      </c>
      <c r="C60" s="14" t="str">
        <f>'[1]2026 Orders'!C61</f>
        <v>A4561</v>
      </c>
      <c r="D60" s="14">
        <f>'[1]2026 Orders'!D61</f>
        <v>0</v>
      </c>
      <c r="E60" s="17" t="str" cm="1">
        <f t="array" ref="E60">IF(C60=0,"",
HYPERLINK(
"#'2026 Orders'!C"&amp;
MATCH(1,
('2026 Orders'!C:C=C60)*
('2026 Orders'!G:G=G60)*
('2026 Orders'!N:N=N60),
0),
"Open "&amp;C60
))</f>
        <v>Open A4561</v>
      </c>
      <c r="F60" s="14" t="str">
        <f>'[1]2026 Orders'!F61</f>
        <v xml:space="preserve">11/5/2025: Sku confirmed </v>
      </c>
      <c r="G60" s="14" t="str">
        <f>'[1]2026 Orders'!G61</f>
        <v>ZINC25-60-FD</v>
      </c>
      <c r="H60" s="14" t="str" cm="1">
        <f t="array" ref="H60">IFERROR(_xlfn.TEXTJOIN("-",,INDEX(_xlfn.TEXTSPLIT(TableTake[[#This Row],[SKU]],"-"),{1,2})),"")</f>
        <v>ZINC25-60</v>
      </c>
      <c r="I60" s="15" t="str">
        <f>IFERROR(_xlfn.TEXTAFTER(TableTake[[#This Row],[SKU]],"-",-1),"")</f>
        <v>FD</v>
      </c>
      <c r="J60" s="14">
        <f>'[1]2026 Orders'!H61</f>
        <v>240</v>
      </c>
      <c r="K60" t="str">
        <f>'[1]2026 Orders'!I61</f>
        <v>F78-22.0</v>
      </c>
      <c r="L60">
        <f>'[1]2026 Orders'!J61</f>
        <v>240</v>
      </c>
      <c r="N60" s="10" t="str">
        <f>'[1]2026 Orders'!L61</f>
        <v>D/W Sent</v>
      </c>
      <c r="O60" t="str">
        <f>'[1]2026 Orders'!M61</f>
        <v>12//25/25</v>
      </c>
      <c r="P60" t="str">
        <f>'[1]2026 Orders'!N61</f>
        <v>NA</v>
      </c>
      <c r="Q60" t="str">
        <f>'[1]2026 Orders'!O61</f>
        <v>609788968245</v>
      </c>
      <c r="R60">
        <f>'[1]2026 Orders'!P61</f>
        <v>0</v>
      </c>
      <c r="S60">
        <f>'[1]2026 Orders'!Q61</f>
        <v>0</v>
      </c>
      <c r="T60">
        <f>'[1]2026 Orders'!R61</f>
        <v>0</v>
      </c>
      <c r="U60">
        <f>'[1]2026 Orders'!S61</f>
        <v>0</v>
      </c>
      <c r="V60">
        <f>'[1]2026 Orders'!T61</f>
        <v>0</v>
      </c>
      <c r="W60">
        <f>'[1]2026 Orders'!U61</f>
        <v>0</v>
      </c>
      <c r="X60">
        <f>'[1]2026 Orders'!V61</f>
        <v>0</v>
      </c>
      <c r="Y60">
        <f>'[1]2026 Orders'!W61</f>
        <v>0</v>
      </c>
      <c r="Z60" t="str">
        <f>'[1]2026 Orders'!X61</f>
        <v>Approved</v>
      </c>
      <c r="AC60" t="str">
        <f t="shared" si="0"/>
        <v>240/</v>
      </c>
      <c r="AD60" t="e">
        <f t="shared" si="1"/>
        <v>#VALUE!</v>
      </c>
    </row>
    <row r="61" spans="1:30" ht="33" hidden="1" customHeight="1" x14ac:dyDescent="0.3">
      <c r="A61">
        <f>'[1]2026 Orders'!A62</f>
        <v>45923</v>
      </c>
      <c r="B61" s="14" t="str">
        <f>'[1]2026 Orders'!B62</f>
        <v>Uganda</v>
      </c>
      <c r="C61" s="14" t="str">
        <f>'[1]2026 Orders'!C62</f>
        <v>A4534</v>
      </c>
      <c r="D61" s="14">
        <f>'[1]2026 Orders'!D62</f>
        <v>0</v>
      </c>
      <c r="E61" s="17" t="e" cm="1">
        <f t="array" ref="E61">IF(C61=0,"",
HYPERLINK(
"#'2026 Orders'!C"&amp;
MATCH(1,
('2026 Orders'!C:C=C61)*
('2026 Orders'!G:G=G61)*
('2026 Orders'!N:N=N61),
0),
"Open "&amp;C61
))</f>
        <v>#N/A</v>
      </c>
      <c r="F61" s="14">
        <f>'[1]2026 Orders'!F62</f>
        <v>0</v>
      </c>
      <c r="G61" s="14" t="str">
        <f>'[1]2026 Orders'!G62</f>
        <v>PRECON-90-FD</v>
      </c>
      <c r="H61" s="14" t="str" cm="1">
        <f t="array" ref="H61">IFERROR(_xlfn.TEXTJOIN("-",,INDEX(_xlfn.TEXTSPLIT(TableTake[[#This Row],[SKU]],"-"),{1,2})),"")</f>
        <v>PRECON-90</v>
      </c>
      <c r="I61" s="15" t="str">
        <f>IFERROR(_xlfn.TEXTAFTER(TableTake[[#This Row],[SKU]],"-",-1),"")</f>
        <v>FD</v>
      </c>
      <c r="J61" s="14">
        <f>'[1]2026 Orders'!H62</f>
        <v>72</v>
      </c>
      <c r="K61" t="str">
        <f>'[1]2026 Orders'!I62</f>
        <v>F54-23.0</v>
      </c>
      <c r="L61">
        <f>'[1]2026 Orders'!J62</f>
        <v>72</v>
      </c>
      <c r="N61" s="10">
        <f>'[1]2026 Orders'!L62</f>
        <v>0</v>
      </c>
      <c r="O61">
        <f>'[1]2026 Orders'!M62</f>
        <v>0</v>
      </c>
      <c r="P61" t="str">
        <f>'[1]2026 Orders'!N62</f>
        <v>NA</v>
      </c>
      <c r="Q61">
        <f>'[1]2026 Orders'!O62</f>
        <v>609788968368</v>
      </c>
      <c r="R61">
        <f>'[1]2026 Orders'!P62</f>
        <v>5000</v>
      </c>
      <c r="S61">
        <f>'[1]2026 Orders'!Q62</f>
        <v>4851</v>
      </c>
      <c r="T61" t="str">
        <f>'[1]2026 Orders'!R62</f>
        <v>complete</v>
      </c>
      <c r="U61">
        <f>'[1]2026 Orders'!S62</f>
        <v>0</v>
      </c>
      <c r="V61">
        <f>'[1]2026 Orders'!T62</f>
        <v>0</v>
      </c>
      <c r="W61">
        <f>'[1]2026 Orders'!U62</f>
        <v>0</v>
      </c>
      <c r="X61">
        <f>'[1]2026 Orders'!V62</f>
        <v>0</v>
      </c>
      <c r="Y61">
        <f>'[1]2026 Orders'!W62</f>
        <v>0</v>
      </c>
      <c r="Z61">
        <f>'[1]2026 Orders'!X62</f>
        <v>0</v>
      </c>
      <c r="AC61" t="str">
        <f t="shared" si="0"/>
        <v>72/</v>
      </c>
      <c r="AD61" t="e">
        <f t="shared" si="1"/>
        <v>#VALUE!</v>
      </c>
    </row>
    <row r="62" spans="1:30" ht="33" hidden="1" customHeight="1" x14ac:dyDescent="0.3">
      <c r="A62">
        <f>'[1]2026 Orders'!A63</f>
        <v>45967</v>
      </c>
      <c r="B62" s="14" t="str">
        <f>'[1]2026 Orders'!B63</f>
        <v>Iraq</v>
      </c>
      <c r="C62" s="14" t="str">
        <f>'[1]2026 Orders'!C63</f>
        <v>A4567</v>
      </c>
      <c r="D62" s="14" t="str">
        <f>'[1]2026 Orders'!D63</f>
        <v>49021225
Mfg:12/2025
Exp:12/2028                                         4/28/2026: 3360 moved to Iraq A4698.</v>
      </c>
      <c r="E62" s="17" t="str" cm="1">
        <f t="array" ref="E62">IF(C62=0,"",
HYPERLINK(
"#'2026 Orders'!C"&amp;
MATCH(1,
('2026 Orders'!C:C=C62)*
('2026 Orders'!G:G=G62)*
('2026 Orders'!N:N=N62),
0),
"Open "&amp;C62
))</f>
        <v>Open A4567</v>
      </c>
      <c r="F62" s="14" t="str">
        <f>'[1]2026 Orders'!F63</f>
        <v>NutraStar</v>
      </c>
      <c r="G62" s="14" t="str">
        <f>'[1]2026 Orders'!G63</f>
        <v>ADVTH-60-FD</v>
      </c>
      <c r="H62" s="14" t="str" cm="1">
        <f t="array" ref="H62">IFERROR(_xlfn.TEXTJOIN("-",,INDEX(_xlfn.TEXTSPLIT(TableTake[[#This Row],[SKU]],"-"),{1,2})),"")</f>
        <v>ADVTH-60</v>
      </c>
      <c r="I62" s="15" t="str">
        <f>IFERROR(_xlfn.TEXTAFTER(TableTake[[#This Row],[SKU]],"-",-1),"")</f>
        <v>FD</v>
      </c>
      <c r="J62" s="14">
        <f>'[1]2026 Orders'!H63</f>
        <v>3240</v>
      </c>
      <c r="K62" t="str">
        <f>'[1]2026 Orders'!I63</f>
        <v>F01-22.2</v>
      </c>
      <c r="L62">
        <f>'[1]2026 Orders'!J63</f>
        <v>3240</v>
      </c>
      <c r="N62" s="10" t="str">
        <f>'[1]2026 Orders'!L63</f>
        <v>ON HOLD</v>
      </c>
      <c r="O62">
        <f>'[1]2026 Orders'!M63</f>
        <v>0</v>
      </c>
      <c r="P62" t="str">
        <f>'[1]2026 Orders'!N63</f>
        <v>NA</v>
      </c>
      <c r="Q62" t="str">
        <f>'[1]2026 Orders'!O63</f>
        <v>609788968894</v>
      </c>
      <c r="R62">
        <f>'[1]2026 Orders'!P63</f>
        <v>8600</v>
      </c>
      <c r="S62">
        <f>'[1]2026 Orders'!Q63</f>
        <v>4902</v>
      </c>
      <c r="T62" t="str">
        <f>'[1]2026 Orders'!R63</f>
        <v>complete</v>
      </c>
      <c r="U62">
        <f>'[1]2026 Orders'!S63</f>
        <v>0</v>
      </c>
      <c r="V62">
        <f>'[1]2026 Orders'!T63</f>
        <v>0</v>
      </c>
      <c r="W62">
        <f>'[1]2026 Orders'!U63</f>
        <v>0</v>
      </c>
      <c r="X62">
        <f>'[1]2026 Orders'!V63</f>
        <v>0</v>
      </c>
      <c r="Y62">
        <f>'[1]2026 Orders'!W63</f>
        <v>0</v>
      </c>
      <c r="Z62" t="str">
        <f>'[1]2026 Orders'!X63</f>
        <v>Approved</v>
      </c>
      <c r="AC62" t="str">
        <f t="shared" si="0"/>
        <v>3240/</v>
      </c>
      <c r="AD62" t="e">
        <f t="shared" si="1"/>
        <v>#VALUE!</v>
      </c>
    </row>
    <row r="63" spans="1:30" ht="33" hidden="1" customHeight="1" x14ac:dyDescent="0.3">
      <c r="A63">
        <f>'[1]2026 Orders'!A64</f>
        <v>45967</v>
      </c>
      <c r="B63" s="14" t="str">
        <f>'[1]2026 Orders'!B64</f>
        <v>Iraq</v>
      </c>
      <c r="C63" s="14" t="str">
        <f>'[1]2026 Orders'!C64</f>
        <v>A4567</v>
      </c>
      <c r="D63" s="14" t="str">
        <f>'[1]2026 Orders'!D64</f>
        <v>49031225
Mfg:12/2025
Exp:12/2028                                                2/16/2026: Qty increased 11750 -&gt; 11760                                      5/15/2026: 4800 moved to Iraq A4704</v>
      </c>
      <c r="E63" s="17" t="str" cm="1">
        <f t="array" ref="E63">IF(C63=0,"",
HYPERLINK(
"#'2026 Orders'!C"&amp;
MATCH(1,
('2026 Orders'!C:C=C63)*
('2026 Orders'!G:G=G63)*
('2026 Orders'!N:N=N63),
0),
"Open "&amp;C63
))</f>
        <v>Open A4567</v>
      </c>
      <c r="F63" s="14" t="str">
        <f>'[1]2026 Orders'!F64</f>
        <v>NutraStar</v>
      </c>
      <c r="G63" s="14" t="str">
        <f>'[1]2026 Orders'!G64</f>
        <v>COLLA-60-FD</v>
      </c>
      <c r="H63" s="14" t="str" cm="1">
        <f t="array" ref="H63">IFERROR(_xlfn.TEXTJOIN("-",,INDEX(_xlfn.TEXTSPLIT(TableTake[[#This Row],[SKU]],"-"),{1,2})),"")</f>
        <v>COLLA-60</v>
      </c>
      <c r="I63" s="15" t="str">
        <f>IFERROR(_xlfn.TEXTAFTER(TableTake[[#This Row],[SKU]],"-",-1),"")</f>
        <v>FD</v>
      </c>
      <c r="J63" s="14">
        <f>'[1]2026 Orders'!H64</f>
        <v>6960</v>
      </c>
      <c r="K63" t="str">
        <f>'[1]2026 Orders'!I64</f>
        <v>F11-22.1</v>
      </c>
      <c r="L63">
        <f>'[1]2026 Orders'!J64</f>
        <v>6960</v>
      </c>
      <c r="N63" s="10" t="str">
        <f>'[1]2026 Orders'!L64</f>
        <v>ON HOLD</v>
      </c>
      <c r="O63">
        <f>'[1]2026 Orders'!M64</f>
        <v>0</v>
      </c>
      <c r="P63" t="str">
        <f>'[1]2026 Orders'!N64</f>
        <v>Y</v>
      </c>
      <c r="Q63" t="str">
        <f>'[1]2026 Orders'!O64</f>
        <v>609788968825</v>
      </c>
      <c r="R63">
        <f>'[1]2026 Orders'!P64</f>
        <v>15300</v>
      </c>
      <c r="S63">
        <f>'[1]2026 Orders'!Q64</f>
        <v>4903</v>
      </c>
      <c r="T63" t="str">
        <f>'[1]2026 Orders'!R64</f>
        <v>complete</v>
      </c>
      <c r="U63">
        <f>'[1]2026 Orders'!S64</f>
        <v>0</v>
      </c>
      <c r="V63">
        <f>'[1]2026 Orders'!T64</f>
        <v>0</v>
      </c>
      <c r="W63">
        <f>'[1]2026 Orders'!U64</f>
        <v>0</v>
      </c>
      <c r="X63">
        <f>'[1]2026 Orders'!V64</f>
        <v>0</v>
      </c>
      <c r="Y63">
        <f>'[1]2026 Orders'!W64</f>
        <v>0</v>
      </c>
      <c r="Z63">
        <f>'[1]2026 Orders'!X64</f>
        <v>0</v>
      </c>
      <c r="AC63" t="str">
        <f t="shared" si="0"/>
        <v>6960/</v>
      </c>
      <c r="AD63" t="e">
        <f t="shared" si="1"/>
        <v>#VALUE!</v>
      </c>
    </row>
    <row r="64" spans="1:30" ht="33" hidden="1" customHeight="1" x14ac:dyDescent="0.3">
      <c r="A64">
        <f>'[1]2026 Orders'!A65</f>
        <v>45967</v>
      </c>
      <c r="B64" s="14" t="str">
        <f>'[1]2026 Orders'!B65</f>
        <v>Iraq</v>
      </c>
      <c r="C64" s="14" t="str">
        <f>'[1]2026 Orders'!C65</f>
        <v>A4567</v>
      </c>
      <c r="D64" s="14" t="str">
        <f>'[1]2026 Orders'!D65</f>
        <v>49061225
Mfg:12/2025
Exp:12/2028</v>
      </c>
      <c r="E64" s="17" t="str" cm="1">
        <f t="array" ref="E64">IF(C64=0,"",
HYPERLINK(
"#'2026 Orders'!C"&amp;
MATCH(1,
('2026 Orders'!C:C=C64)*
('2026 Orders'!G:G=G64)*
('2026 Orders'!N:N=N64),
0),
"Open "&amp;C64
))</f>
        <v>Open A4567</v>
      </c>
      <c r="F64" s="14" t="str">
        <f>'[1]2026 Orders'!F65</f>
        <v>Nutrastar</v>
      </c>
      <c r="G64" s="14" t="str">
        <f>'[1]2026 Orders'!G65</f>
        <v>METRIO-60-CS-IQ</v>
      </c>
      <c r="H64" s="14" t="str" cm="1">
        <f t="array" ref="H64">IFERROR(_xlfn.TEXTJOIN("-",,INDEX(_xlfn.TEXTSPLIT(TableTake[[#This Row],[SKU]],"-"),{1,2})),"")</f>
        <v>METRIO-60</v>
      </c>
      <c r="I64" s="15" t="str">
        <f>IFERROR(_xlfn.TEXTAFTER(TableTake[[#This Row],[SKU]],"-",-1),"")</f>
        <v>IQ</v>
      </c>
      <c r="J64" s="14">
        <f>'[1]2026 Orders'!H65</f>
        <v>3000</v>
      </c>
      <c r="K64" t="str">
        <f>'[1]2026 Orders'!I65</f>
        <v>IQ28-23.0</v>
      </c>
      <c r="L64">
        <f>'[1]2026 Orders'!J65</f>
        <v>3000</v>
      </c>
      <c r="N64" s="10" t="str">
        <f>'[1]2026 Orders'!L65</f>
        <v>ON HOLD</v>
      </c>
      <c r="O64">
        <f>'[1]2026 Orders'!M65</f>
        <v>0</v>
      </c>
      <c r="P64" t="str">
        <f>'[1]2026 Orders'!N65</f>
        <v>NA</v>
      </c>
      <c r="Q64">
        <f>'[1]2026 Orders'!O65</f>
        <v>604776737797</v>
      </c>
      <c r="R64">
        <f>'[1]2026 Orders'!P65</f>
        <v>4000</v>
      </c>
      <c r="S64">
        <f>'[1]2026 Orders'!Q65</f>
        <v>4906</v>
      </c>
      <c r="T64" t="str">
        <f>'[1]2026 Orders'!R65</f>
        <v>complete</v>
      </c>
      <c r="U64">
        <f>'[1]2026 Orders'!S65</f>
        <v>0</v>
      </c>
      <c r="V64">
        <f>'[1]2026 Orders'!T65</f>
        <v>0</v>
      </c>
      <c r="W64">
        <f>'[1]2026 Orders'!U65</f>
        <v>0</v>
      </c>
      <c r="X64">
        <f>'[1]2026 Orders'!V65</f>
        <v>0</v>
      </c>
      <c r="Y64">
        <f>'[1]2026 Orders'!W65</f>
        <v>0</v>
      </c>
      <c r="Z64">
        <f>'[1]2026 Orders'!X65</f>
        <v>0</v>
      </c>
      <c r="AC64" t="str">
        <f t="shared" si="0"/>
        <v>3000/</v>
      </c>
      <c r="AD64" t="e">
        <f t="shared" si="1"/>
        <v>#VALUE!</v>
      </c>
    </row>
    <row r="65" spans="1:30" ht="33" hidden="1" customHeight="1" x14ac:dyDescent="0.3">
      <c r="A65">
        <f>'[1]2026 Orders'!A66</f>
        <v>45967</v>
      </c>
      <c r="B65" s="14" t="str">
        <f>'[1]2026 Orders'!B66</f>
        <v>Iraq</v>
      </c>
      <c r="C65" s="14" t="str">
        <f>'[1]2026 Orders'!C66</f>
        <v>A4567</v>
      </c>
      <c r="D65" s="14" t="str">
        <f>'[1]2026 Orders'!D66</f>
        <v>49121225
Mfg:12/2025
Exp:12/2028                                         2/16/2026: Qty increased 8500 -&gt; 8520</v>
      </c>
      <c r="E65" s="17" t="str" cm="1">
        <f t="array" ref="E65">IF(C65=0,"",
HYPERLINK(
"#'2026 Orders'!C"&amp;
MATCH(1,
('2026 Orders'!C:C=C65)*
('2026 Orders'!G:G=G65)*
('2026 Orders'!N:N=N65),
0),
"Open "&amp;C65
))</f>
        <v>Open A4567</v>
      </c>
      <c r="F65" s="14" t="str">
        <f>'[1]2026 Orders'!F66</f>
        <v>Nutrastar</v>
      </c>
      <c r="G65" s="14" t="str">
        <f>'[1]2026 Orders'!G66</f>
        <v>PROSTA-45-RE</v>
      </c>
      <c r="H65" s="14" t="str" cm="1">
        <f t="array" ref="H65">IFERROR(_xlfn.TEXTJOIN("-",,INDEX(_xlfn.TEXTSPLIT(TableTake[[#This Row],[SKU]],"-"),{1,2})),"")</f>
        <v>PROSTA-45</v>
      </c>
      <c r="I65" s="15" t="str">
        <f>IFERROR(_xlfn.TEXTAFTER(TableTake[[#This Row],[SKU]],"-",-1),"")</f>
        <v>RE</v>
      </c>
      <c r="J65" s="14">
        <f>'[1]2026 Orders'!H66</f>
        <v>8520</v>
      </c>
      <c r="K65" t="str">
        <f>'[1]2026 Orders'!I66</f>
        <v>R94-23.0</v>
      </c>
      <c r="L65">
        <f>'[1]2026 Orders'!J66</f>
        <v>8520</v>
      </c>
      <c r="N65" s="10" t="str">
        <f>'[1]2026 Orders'!L66</f>
        <v>ON HOLD</v>
      </c>
      <c r="O65">
        <f>'[1]2026 Orders'!M66</f>
        <v>0</v>
      </c>
      <c r="P65" t="str">
        <f>'[1]2026 Orders'!N66</f>
        <v>NA</v>
      </c>
      <c r="Q65">
        <f>'[1]2026 Orders'!O66</f>
        <v>604776738831</v>
      </c>
      <c r="R65">
        <f>'[1]2026 Orders'!P66</f>
        <v>11000</v>
      </c>
      <c r="S65">
        <f>'[1]2026 Orders'!Q66</f>
        <v>4912</v>
      </c>
      <c r="T65" t="str">
        <f>'[1]2026 Orders'!R66</f>
        <v>complete</v>
      </c>
      <c r="U65">
        <f>'[1]2026 Orders'!S66</f>
        <v>0</v>
      </c>
      <c r="V65">
        <f>'[1]2026 Orders'!T66</f>
        <v>0</v>
      </c>
      <c r="W65">
        <f>'[1]2026 Orders'!U66</f>
        <v>0</v>
      </c>
      <c r="X65">
        <f>'[1]2026 Orders'!V66</f>
        <v>0</v>
      </c>
      <c r="Y65">
        <f>'[1]2026 Orders'!W66</f>
        <v>0</v>
      </c>
      <c r="Z65">
        <f>'[1]2026 Orders'!X66</f>
        <v>0</v>
      </c>
      <c r="AC65" t="str">
        <f t="shared" si="0"/>
        <v>8520/</v>
      </c>
      <c r="AD65" t="e">
        <f t="shared" si="1"/>
        <v>#VALUE!</v>
      </c>
    </row>
    <row r="66" spans="1:30" ht="33" hidden="1" customHeight="1" x14ac:dyDescent="0.3">
      <c r="A66">
        <f>'[1]2026 Orders'!A67</f>
        <v>45967</v>
      </c>
      <c r="B66" s="14" t="str">
        <f>'[1]2026 Orders'!B67</f>
        <v>Iraq</v>
      </c>
      <c r="C66" s="14" t="str">
        <f>'[1]2026 Orders'!C67</f>
        <v>A4567</v>
      </c>
      <c r="D66" s="14" t="str">
        <f>'[1]2026 Orders'!D67</f>
        <v>49131225
Mfg:12/2025
Exp:12/2028                                           2/16/2026: Qty increased 8000 -&gt; 8016                                       4/28/2026: 6816 moved to Iraq A4698</v>
      </c>
      <c r="E66" s="17" t="str" cm="1">
        <f t="array" ref="E66">IF(C66=0,"",
HYPERLINK(
"#'2026 Orders'!C"&amp;
MATCH(1,
('2026 Orders'!C:C=C66)*
('2026 Orders'!G:G=G66)*
('2026 Orders'!N:N=N66),
0),
"Open "&amp;C66
))</f>
        <v>Open A4567</v>
      </c>
      <c r="F66" s="14" t="str">
        <f>'[1]2026 Orders'!F67</f>
        <v>Nutrastar</v>
      </c>
      <c r="G66" s="14" t="str">
        <f>'[1]2026 Orders'!G67</f>
        <v>SPERMCT-60-RE</v>
      </c>
      <c r="H66" s="14" t="str" cm="1">
        <f t="array" ref="H66">IFERROR(_xlfn.TEXTJOIN("-",,INDEX(_xlfn.TEXTSPLIT(TableTake[[#This Row],[SKU]],"-"),{1,2})),"")</f>
        <v>SPERMCT-60</v>
      </c>
      <c r="I66" s="15" t="str">
        <f>IFERROR(_xlfn.TEXTAFTER(TableTake[[#This Row],[SKU]],"-",-1),"")</f>
        <v>RE</v>
      </c>
      <c r="J66" s="14">
        <f>'[1]2026 Orders'!H67</f>
        <v>1200</v>
      </c>
      <c r="K66" t="str">
        <f>'[1]2026 Orders'!I67</f>
        <v>R64-23.0</v>
      </c>
      <c r="L66">
        <f>'[1]2026 Orders'!J67</f>
        <v>1200</v>
      </c>
      <c r="N66" s="10" t="str">
        <f>'[1]2026 Orders'!L67</f>
        <v>ON HOLD</v>
      </c>
      <c r="O66">
        <f>'[1]2026 Orders'!M67</f>
        <v>0</v>
      </c>
      <c r="P66" t="str">
        <f>'[1]2026 Orders'!N67</f>
        <v>NA</v>
      </c>
      <c r="Q66">
        <f>'[1]2026 Orders'!O67</f>
        <v>609788968405</v>
      </c>
      <c r="R66">
        <f>'[1]2026 Orders'!P67</f>
        <v>10500</v>
      </c>
      <c r="S66">
        <f>'[1]2026 Orders'!Q67</f>
        <v>4913</v>
      </c>
      <c r="T66" t="str">
        <f>'[1]2026 Orders'!R67</f>
        <v>complete</v>
      </c>
      <c r="U66">
        <f>'[1]2026 Orders'!S67</f>
        <v>0</v>
      </c>
      <c r="V66">
        <f>'[1]2026 Orders'!T67</f>
        <v>0</v>
      </c>
      <c r="W66">
        <f>'[1]2026 Orders'!U67</f>
        <v>0</v>
      </c>
      <c r="X66">
        <f>'[1]2026 Orders'!V67</f>
        <v>0</v>
      </c>
      <c r="Y66">
        <f>'[1]2026 Orders'!W67</f>
        <v>0</v>
      </c>
      <c r="Z66">
        <f>'[1]2026 Orders'!X67</f>
        <v>0</v>
      </c>
      <c r="AC66" t="str">
        <f t="shared" si="0"/>
        <v>1200/</v>
      </c>
      <c r="AD66" t="e">
        <f t="shared" si="1"/>
        <v>#VALUE!</v>
      </c>
    </row>
    <row r="67" spans="1:30" ht="33" hidden="1" customHeight="1" x14ac:dyDescent="0.3">
      <c r="A67">
        <f>'[1]2026 Orders'!A68</f>
        <v>45944</v>
      </c>
      <c r="B67" s="14" t="str">
        <f>'[1]2026 Orders'!B68</f>
        <v>Jordan</v>
      </c>
      <c r="C67" s="14" t="str">
        <f>'[1]2026 Orders'!C68</f>
        <v>A4548</v>
      </c>
      <c r="D67" s="14">
        <f>'[1]2026 Orders'!D68</f>
        <v>0</v>
      </c>
      <c r="E67" s="17" t="e" cm="1">
        <f t="array" ref="E67">IF(C67=0,"",
HYPERLINK(
"#'2026 Orders'!C"&amp;
MATCH(1,
('2026 Orders'!C:C=C67)*
('2026 Orders'!G:G=G67)*
('2026 Orders'!N:N=N67),
0),
"Open "&amp;C67
))</f>
        <v>#N/A</v>
      </c>
      <c r="F67" s="14" t="str">
        <f>'[1]2026 Orders'!F68</f>
        <v>Needs to be green capsule</v>
      </c>
      <c r="G67" s="14" t="str">
        <f>'[1]2026 Orders'!G68</f>
        <v>MFSPLS-120-CS-JO</v>
      </c>
      <c r="H67" s="14" t="str" cm="1">
        <f t="array" ref="H67">IFERROR(_xlfn.TEXTJOIN("-",,INDEX(_xlfn.TEXTSPLIT(TableTake[[#This Row],[SKU]],"-"),{1,2})),"")</f>
        <v>MFSPLS-120</v>
      </c>
      <c r="I67" s="15" t="str">
        <f>IFERROR(_xlfn.TEXTAFTER(TableTake[[#This Row],[SKU]],"-",-1),"")</f>
        <v>JO</v>
      </c>
      <c r="J67" s="14">
        <f>'[1]2026 Orders'!H68</f>
        <v>3</v>
      </c>
      <c r="K67" t="str">
        <f>'[1]2026 Orders'!I68</f>
        <v>JO30-26.0</v>
      </c>
      <c r="L67">
        <f>'[1]2026 Orders'!J68</f>
        <v>3</v>
      </c>
      <c r="N67" s="10" t="str">
        <f>'[1]2026 Orders'!L68</f>
        <v>D/W Sent</v>
      </c>
      <c r="O67">
        <f>'[1]2026 Orders'!M68</f>
        <v>0</v>
      </c>
      <c r="P67" t="str">
        <f>'[1]2026 Orders'!N68</f>
        <v>NA</v>
      </c>
      <c r="Q67">
        <f>'[1]2026 Orders'!O68</f>
        <v>604776740094</v>
      </c>
      <c r="R67">
        <f>'[1]2026 Orders'!P68</f>
        <v>0</v>
      </c>
      <c r="S67">
        <f>'[1]2026 Orders'!Q68</f>
        <v>0</v>
      </c>
      <c r="T67">
        <f>'[1]2026 Orders'!R68</f>
        <v>0</v>
      </c>
      <c r="U67">
        <f>'[1]2026 Orders'!S68</f>
        <v>0</v>
      </c>
      <c r="V67">
        <f>'[1]2026 Orders'!T68</f>
        <v>0</v>
      </c>
      <c r="W67">
        <f>'[1]2026 Orders'!U68</f>
        <v>0</v>
      </c>
      <c r="X67">
        <f>'[1]2026 Orders'!V68</f>
        <v>0</v>
      </c>
      <c r="Y67">
        <f>'[1]2026 Orders'!W68</f>
        <v>0</v>
      </c>
      <c r="Z67">
        <f>'[1]2026 Orders'!X68</f>
        <v>0</v>
      </c>
      <c r="AC67" t="str">
        <f t="shared" ref="AC67:AC130" si="2">IF(OR(B67="",B67=0),"",J67&amp;"/"&amp;$AJ$2)</f>
        <v>3/</v>
      </c>
      <c r="AD67" t="e">
        <f t="shared" ref="AD67:AD130" si="3">IF(OR(J67="",J67=0),"",I67&amp;" -&gt; "&amp;$AK$2)</f>
        <v>#VALUE!</v>
      </c>
    </row>
    <row r="68" spans="1:30" ht="33" hidden="1" customHeight="1" x14ac:dyDescent="0.3">
      <c r="A68">
        <f>'[1]2026 Orders'!A69</f>
        <v>45967</v>
      </c>
      <c r="B68" s="14" t="str">
        <f>'[1]2026 Orders'!B69</f>
        <v>Iraq</v>
      </c>
      <c r="C68" s="14" t="str">
        <f>'[1]2026 Orders'!C69</f>
        <v>A4632</v>
      </c>
      <c r="D68" s="14" t="str">
        <f>'[1]2026 Orders'!D69</f>
        <v>49081225
Mfg:12/2025
Exp:12/2028                                      2/16/2026: Qty increased 28297 -&gt; 28320                                  4/28/2026: 9360 moved to Iraq A4698</v>
      </c>
      <c r="E68" s="17" t="str" cm="1">
        <f t="array" ref="E68">IF(C68=0,"",
HYPERLINK(
"#'2026 Orders'!C"&amp;
MATCH(1,
('2026 Orders'!C:C=C68)*
('2026 Orders'!G:G=G68)*
('2026 Orders'!N:N=N68),
0),
"Open "&amp;C68
))</f>
        <v>Open A4632</v>
      </c>
      <c r="F68" s="14" t="str">
        <f>'[1]2026 Orders'!F69</f>
        <v xml:space="preserve">Nutrastar  </v>
      </c>
      <c r="G68" s="14" t="str">
        <f>'[1]2026 Orders'!G69</f>
        <v>OVAMAX-60-CS-IQ</v>
      </c>
      <c r="H68" s="14" t="str" cm="1">
        <f t="array" ref="H68">IFERROR(_xlfn.TEXTJOIN("-",,INDEX(_xlfn.TEXTSPLIT(TableTake[[#This Row],[SKU]],"-"),{1,2})),"")</f>
        <v>OVAMAX-60</v>
      </c>
      <c r="I68" s="15" t="str">
        <f>IFERROR(_xlfn.TEXTAFTER(TableTake[[#This Row],[SKU]],"-",-1),"")</f>
        <v>IQ</v>
      </c>
      <c r="J68" s="14">
        <f>'[1]2026 Orders'!H69</f>
        <v>18960</v>
      </c>
      <c r="K68" t="str">
        <f>'[1]2026 Orders'!I69</f>
        <v>IQ97-25.0</v>
      </c>
      <c r="L68">
        <f>'[1]2026 Orders'!J69</f>
        <v>18960</v>
      </c>
      <c r="N68" s="10" t="str">
        <f>'[1]2026 Orders'!L69</f>
        <v>ON HOLD</v>
      </c>
      <c r="O68">
        <f>'[1]2026 Orders'!M69</f>
        <v>0</v>
      </c>
      <c r="P68" t="str">
        <f>'[1]2026 Orders'!N69</f>
        <v>NA</v>
      </c>
      <c r="Q68">
        <f>'[1]2026 Orders'!O69</f>
        <v>604776738060</v>
      </c>
      <c r="R68">
        <f>'[1]2026 Orders'!P69</f>
        <v>37000</v>
      </c>
      <c r="S68">
        <f>'[1]2026 Orders'!Q69</f>
        <v>4908</v>
      </c>
      <c r="T68" t="str">
        <f>'[1]2026 Orders'!R69</f>
        <v>Complete</v>
      </c>
      <c r="U68">
        <f>'[1]2026 Orders'!S69</f>
        <v>0</v>
      </c>
      <c r="V68">
        <f>'[1]2026 Orders'!T69</f>
        <v>0</v>
      </c>
      <c r="W68">
        <f>'[1]2026 Orders'!U69</f>
        <v>0</v>
      </c>
      <c r="X68">
        <f>'[1]2026 Orders'!V69</f>
        <v>0</v>
      </c>
      <c r="Y68">
        <f>'[1]2026 Orders'!W69</f>
        <v>0</v>
      </c>
      <c r="Z68" t="str">
        <f>'[1]2026 Orders'!X69</f>
        <v>HOLD</v>
      </c>
      <c r="AC68" t="str">
        <f t="shared" si="2"/>
        <v>18960/</v>
      </c>
      <c r="AD68" t="e">
        <f t="shared" si="3"/>
        <v>#VALUE!</v>
      </c>
    </row>
    <row r="69" spans="1:30" ht="33" hidden="1" customHeight="1" x14ac:dyDescent="0.3">
      <c r="A69">
        <f>'[1]2026 Orders'!A70</f>
        <v>45967</v>
      </c>
      <c r="B69" s="14" t="str">
        <f>'[1]2026 Orders'!B70</f>
        <v>Iraq</v>
      </c>
      <c r="C69" s="14" t="str">
        <f>'[1]2026 Orders'!C70</f>
        <v>A4632</v>
      </c>
      <c r="D69" s="14" t="str">
        <f>'[1]2026 Orders'!D70</f>
        <v>49091225
Mfg:12/2025
Exp:12/2028                                    4/28/2026: 15120 moved to Iraq A4698                                     5/15/2026: 5208 moved to Iraq A4704</v>
      </c>
      <c r="E69" s="17" t="str" cm="1">
        <f t="array" ref="E69">IF(C69=0,"",
HYPERLINK(
"#'2026 Orders'!C"&amp;
MATCH(1,
('2026 Orders'!C:C=C69)*
('2026 Orders'!G:G=G69)*
('2026 Orders'!N:N=N69),
0),
"Open "&amp;C69
))</f>
        <v>Open A4632</v>
      </c>
      <c r="F69" s="14" t="str">
        <f>'[1]2026 Orders'!F70</f>
        <v>Nutrastar</v>
      </c>
      <c r="G69" s="14" t="str">
        <f>'[1]2026 Orders'!G70</f>
        <v>PEARLY-60-CS-IQ</v>
      </c>
      <c r="H69" s="14" t="str" cm="1">
        <f t="array" ref="H69">IFERROR(_xlfn.TEXTJOIN("-",,INDEX(_xlfn.TEXTSPLIT(TableTake[[#This Row],[SKU]],"-"),{1,2})),"")</f>
        <v>PEARLY-60</v>
      </c>
      <c r="I69" s="15" t="str">
        <f>IFERROR(_xlfn.TEXTAFTER(TableTake[[#This Row],[SKU]],"-",-1),"")</f>
        <v>IQ</v>
      </c>
      <c r="J69" s="14">
        <f>'[1]2026 Orders'!H70</f>
        <v>24672</v>
      </c>
      <c r="K69" t="str">
        <f>'[1]2026 Orders'!I70</f>
        <v>IQ42-23.0</v>
      </c>
      <c r="L69">
        <f>'[1]2026 Orders'!J70</f>
        <v>24672</v>
      </c>
      <c r="N69" s="10" t="str">
        <f>'[1]2026 Orders'!L70</f>
        <v>ON HOLD</v>
      </c>
      <c r="O69">
        <f>'[1]2026 Orders'!M70</f>
        <v>0</v>
      </c>
      <c r="P69" t="str">
        <f>'[1]2026 Orders'!N70</f>
        <v>Y</v>
      </c>
      <c r="Q69">
        <f>'[1]2026 Orders'!O70</f>
        <v>604776737803</v>
      </c>
      <c r="R69">
        <f>'[1]2026 Orders'!P70</f>
        <v>58500</v>
      </c>
      <c r="S69">
        <f>'[1]2026 Orders'!Q70</f>
        <v>4909</v>
      </c>
      <c r="T69" t="str">
        <f>'[1]2026 Orders'!R70</f>
        <v>Complete</v>
      </c>
      <c r="U69">
        <f>'[1]2026 Orders'!S70</f>
        <v>0</v>
      </c>
      <c r="V69">
        <f>'[1]2026 Orders'!T70</f>
        <v>0</v>
      </c>
      <c r="W69">
        <f>'[1]2026 Orders'!U70</f>
        <v>0</v>
      </c>
      <c r="X69">
        <f>'[1]2026 Orders'!V70</f>
        <v>0</v>
      </c>
      <c r="Y69">
        <f>'[1]2026 Orders'!W70</f>
        <v>0</v>
      </c>
      <c r="Z69">
        <f>'[1]2026 Orders'!X70</f>
        <v>0</v>
      </c>
      <c r="AC69" t="str">
        <f t="shared" si="2"/>
        <v>24672/</v>
      </c>
      <c r="AD69" t="e">
        <f t="shared" si="3"/>
        <v>#VALUE!</v>
      </c>
    </row>
    <row r="70" spans="1:30" ht="33" hidden="1" customHeight="1" x14ac:dyDescent="0.3">
      <c r="A70">
        <f>'[1]2026 Orders'!A71</f>
        <v>45944</v>
      </c>
      <c r="B70" s="14" t="str">
        <f>'[1]2026 Orders'!B71</f>
        <v>Jordan</v>
      </c>
      <c r="C70" s="14" t="str">
        <f>'[1]2026 Orders'!C71</f>
        <v>A4548</v>
      </c>
      <c r="D70" s="14">
        <f>'[1]2026 Orders'!D71</f>
        <v>0</v>
      </c>
      <c r="E70" s="17" t="e" cm="1">
        <f t="array" ref="E70">IF(C70=0,"",
HYPERLINK(
"#'2026 Orders'!C"&amp;
MATCH(1,
('2026 Orders'!C:C=C70)*
('2026 Orders'!G:G=G70)*
('2026 Orders'!N:N=N70),
0),
"Open "&amp;C70
))</f>
        <v>#N/A</v>
      </c>
      <c r="F70" s="14" t="str">
        <f>'[1]2026 Orders'!F71</f>
        <v xml:space="preserve">Needs to be green capsule </v>
      </c>
      <c r="G70" s="14" t="str">
        <f>'[1]2026 Orders'!G71</f>
        <v>PRECON-180-CS-JO</v>
      </c>
      <c r="H70" s="14" t="str" cm="1">
        <f t="array" ref="H70">IFERROR(_xlfn.TEXTJOIN("-",,INDEX(_xlfn.TEXTSPLIT(TableTake[[#This Row],[SKU]],"-"),{1,2})),"")</f>
        <v>PRECON-180</v>
      </c>
      <c r="I70" s="15" t="str">
        <f>IFERROR(_xlfn.TEXTAFTER(TableTake[[#This Row],[SKU]],"-",-1),"")</f>
        <v>JO</v>
      </c>
      <c r="J70" s="14">
        <f>'[1]2026 Orders'!H71</f>
        <v>3</v>
      </c>
      <c r="K70" t="str">
        <f>'[1]2026 Orders'!I71</f>
        <v>JO55-26.0</v>
      </c>
      <c r="L70">
        <f>'[1]2026 Orders'!J71</f>
        <v>3</v>
      </c>
      <c r="N70" s="10" t="str">
        <f>'[1]2026 Orders'!L71</f>
        <v>D/W Sent</v>
      </c>
      <c r="O70">
        <f>'[1]2026 Orders'!M71</f>
        <v>0</v>
      </c>
      <c r="P70" t="str">
        <f>'[1]2026 Orders'!N71</f>
        <v>NA</v>
      </c>
      <c r="Q70">
        <f>'[1]2026 Orders'!O71</f>
        <v>604776740124</v>
      </c>
      <c r="R70">
        <f>'[1]2026 Orders'!P71</f>
        <v>0</v>
      </c>
      <c r="S70">
        <f>'[1]2026 Orders'!Q71</f>
        <v>0</v>
      </c>
      <c r="T70">
        <f>'[1]2026 Orders'!R71</f>
        <v>0</v>
      </c>
      <c r="U70">
        <f>'[1]2026 Orders'!S71</f>
        <v>0</v>
      </c>
      <c r="V70">
        <f>'[1]2026 Orders'!T71</f>
        <v>0</v>
      </c>
      <c r="W70">
        <f>'[1]2026 Orders'!U71</f>
        <v>0</v>
      </c>
      <c r="X70">
        <f>'[1]2026 Orders'!V71</f>
        <v>0</v>
      </c>
      <c r="Y70">
        <f>'[1]2026 Orders'!W71</f>
        <v>0</v>
      </c>
      <c r="Z70">
        <f>'[1]2026 Orders'!X71</f>
        <v>0</v>
      </c>
      <c r="AC70" t="str">
        <f t="shared" si="2"/>
        <v>3/</v>
      </c>
      <c r="AD70" t="e">
        <f t="shared" si="3"/>
        <v>#VALUE!</v>
      </c>
    </row>
    <row r="71" spans="1:30" ht="33" hidden="1" customHeight="1" x14ac:dyDescent="0.3">
      <c r="A71">
        <f>'[1]2026 Orders'!A72</f>
        <v>45967</v>
      </c>
      <c r="B71" s="14" t="str">
        <f>'[1]2026 Orders'!B72</f>
        <v>Iraq</v>
      </c>
      <c r="C71" s="14" t="str">
        <f>'[1]2026 Orders'!C72</f>
        <v>A4633</v>
      </c>
      <c r="D71" s="14" t="str">
        <f>'[1]2026 Orders'!D72</f>
        <v>49071225
Mfg:12/2025
Exp:12/2028                                       4/28/2026: 15360 moved to Iraq A4698                                         5/15/2026: 5280 moved to Iraq A4704</v>
      </c>
      <c r="E71" s="17" t="str" cm="1">
        <f t="array" ref="E71">IF(C71=0,"",
HYPERLINK(
"#'2026 Orders'!C"&amp;
MATCH(1,
('2026 Orders'!C:C=C71)*
('2026 Orders'!G:G=G71)*
('2026 Orders'!N:N=N71),
0),
"Open "&amp;C71
))</f>
        <v>Open A4633</v>
      </c>
      <c r="F71" s="14" t="str">
        <f>'[1]2026 Orders'!F72</f>
        <v>Nutrastar                                   6/4/2026: Qty adjusted to 8880 after reviewing Pallets.</v>
      </c>
      <c r="G71" s="14" t="str">
        <f>'[1]2026 Orders'!G72</f>
        <v>MFSPLS-60-RE</v>
      </c>
      <c r="H71" s="14" t="str" cm="1">
        <f t="array" ref="H71">IFERROR(_xlfn.TEXTJOIN("-",,INDEX(_xlfn.TEXTSPLIT(TableTake[[#This Row],[SKU]],"-"),{1,2})),"")</f>
        <v>MFSPLS-60</v>
      </c>
      <c r="I71" s="15" t="str">
        <f>IFERROR(_xlfn.TEXTAFTER(TableTake[[#This Row],[SKU]],"-",-1),"")</f>
        <v>RE</v>
      </c>
      <c r="J71" s="14">
        <f>'[1]2026 Orders'!H72</f>
        <v>8880</v>
      </c>
      <c r="K71" t="str">
        <f>'[1]2026 Orders'!I72</f>
        <v>R29-24.0</v>
      </c>
      <c r="L71">
        <f>'[1]2026 Orders'!J72</f>
        <v>8880</v>
      </c>
      <c r="N71" s="10" t="str">
        <f>'[1]2026 Orders'!L72</f>
        <v>ON HOLD</v>
      </c>
      <c r="O71">
        <f>'[1]2026 Orders'!M72</f>
        <v>0</v>
      </c>
      <c r="P71" t="str">
        <f>'[1]2026 Orders'!N72</f>
        <v>NA</v>
      </c>
      <c r="Q71">
        <f>'[1]2026 Orders'!O72</f>
        <v>609788968092</v>
      </c>
      <c r="R71">
        <f>'[1]2026 Orders'!P72</f>
        <v>39000</v>
      </c>
      <c r="S71">
        <f>'[1]2026 Orders'!Q72</f>
        <v>4907</v>
      </c>
      <c r="T71" t="str">
        <f>'[1]2026 Orders'!R72</f>
        <v>Complete</v>
      </c>
      <c r="U71">
        <f>'[1]2026 Orders'!S72</f>
        <v>0</v>
      </c>
      <c r="V71">
        <f>'[1]2026 Orders'!T72</f>
        <v>0</v>
      </c>
      <c r="W71">
        <f>'[1]2026 Orders'!U72</f>
        <v>0</v>
      </c>
      <c r="X71">
        <f>'[1]2026 Orders'!V72</f>
        <v>0</v>
      </c>
      <c r="Y71">
        <f>'[1]2026 Orders'!W72</f>
        <v>0</v>
      </c>
      <c r="Z71" t="str">
        <f>'[1]2026 Orders'!X72</f>
        <v>HOLD</v>
      </c>
      <c r="AC71" t="str">
        <f t="shared" si="2"/>
        <v>8880/</v>
      </c>
      <c r="AD71" t="e">
        <f t="shared" si="3"/>
        <v>#VALUE!</v>
      </c>
    </row>
    <row r="72" spans="1:30" ht="33" hidden="1" customHeight="1" x14ac:dyDescent="0.3">
      <c r="A72">
        <f>'[1]2026 Orders'!A73</f>
        <v>45763</v>
      </c>
      <c r="B72" s="14" t="str">
        <f>'[1]2026 Orders'!B73</f>
        <v>Iraq</v>
      </c>
      <c r="C72" s="14" t="str">
        <f>'[1]2026 Orders'!C73</f>
        <v>A4633</v>
      </c>
      <c r="D72" s="14">
        <f>'[1]2026 Orders'!D73</f>
        <v>0</v>
      </c>
      <c r="E72" s="17" t="str" cm="1">
        <f t="array" ref="E72">IF(C72=0,"",
HYPERLINK(
"#'2026 Orders'!C"&amp;
MATCH(1,
('2026 Orders'!C:C=C72)*
('2026 Orders'!G:G=G72)*
('2026 Orders'!N:N=N72),
0),
"Open "&amp;C72
))</f>
        <v>Open A4633</v>
      </c>
      <c r="F72" s="14" t="str">
        <f>'[1]2026 Orders'!F73</f>
        <v xml:space="preserve">  8/18/2025: 30,000 packs moved from A4475 
9/30/2025: Moved from Iraq A4442 
1/22/2026: Moved from Iraq A4541</v>
      </c>
      <c r="G72" s="14" t="str">
        <f>'[1]2026 Orders'!G73</f>
        <v>MOTILMX-60-CS-IQ</v>
      </c>
      <c r="H72" s="14" t="str" cm="1">
        <f t="array" ref="H72">IFERROR(_xlfn.TEXTJOIN("-",,INDEX(_xlfn.TEXTSPLIT(TableTake[[#This Row],[SKU]],"-"),{1,2})),"")</f>
        <v>MOTILMX-60</v>
      </c>
      <c r="I72" s="15" t="str">
        <f>IFERROR(_xlfn.TEXTAFTER(TableTake[[#This Row],[SKU]],"-",-1),"")</f>
        <v>IQ</v>
      </c>
      <c r="J72" s="14">
        <f>'[1]2026 Orders'!H73</f>
        <v>30000</v>
      </c>
      <c r="K72" t="str">
        <f>'[1]2026 Orders'!I73</f>
        <v>IQ31-23.0</v>
      </c>
      <c r="L72">
        <f>'[1]2026 Orders'!J73</f>
        <v>30000</v>
      </c>
      <c r="N72" s="10" t="str">
        <f>'[1]2026 Orders'!L73</f>
        <v>ON HOLD</v>
      </c>
      <c r="O72">
        <f>'[1]2026 Orders'!M73</f>
        <v>0</v>
      </c>
      <c r="P72" t="str">
        <f>'[1]2026 Orders'!N73</f>
        <v>NA</v>
      </c>
      <c r="Q72">
        <f>'[1]2026 Orders'!O73</f>
        <v>604776737681</v>
      </c>
      <c r="R72">
        <f>'[1]2026 Orders'!P73</f>
        <v>30000</v>
      </c>
      <c r="S72">
        <f>'[1]2026 Orders'!Q73</f>
        <v>4711</v>
      </c>
      <c r="T72" t="str">
        <f>'[1]2026 Orders'!R73</f>
        <v>Complete</v>
      </c>
      <c r="U72">
        <f>'[1]2026 Orders'!S73</f>
        <v>0</v>
      </c>
      <c r="V72">
        <f>'[1]2026 Orders'!T73</f>
        <v>0</v>
      </c>
      <c r="W72">
        <f>'[1]2026 Orders'!U73</f>
        <v>0</v>
      </c>
      <c r="X72">
        <f>'[1]2026 Orders'!V73</f>
        <v>0</v>
      </c>
      <c r="Y72">
        <f>'[1]2026 Orders'!W73</f>
        <v>0</v>
      </c>
      <c r="Z72">
        <f>'[1]2026 Orders'!X73</f>
        <v>0</v>
      </c>
      <c r="AC72" t="str">
        <f t="shared" si="2"/>
        <v>30000/</v>
      </c>
      <c r="AD72" t="e">
        <f t="shared" si="3"/>
        <v>#VALUE!</v>
      </c>
    </row>
    <row r="73" spans="1:30" ht="33" hidden="1" customHeight="1" x14ac:dyDescent="0.3">
      <c r="A73">
        <f>'[1]2026 Orders'!A74</f>
        <v>0</v>
      </c>
      <c r="B73" s="14">
        <f>'[1]2026 Orders'!B74</f>
        <v>0</v>
      </c>
      <c r="C73" s="14">
        <f>'[1]2026 Orders'!C74</f>
        <v>0</v>
      </c>
      <c r="D73" s="14">
        <f>'[1]2026 Orders'!D74</f>
        <v>0</v>
      </c>
      <c r="E73" s="17" t="str" cm="1">
        <f t="array" ref="E73">IF(C73=0,"",
HYPERLINK(
"#'2026 Orders'!C"&amp;
MATCH(1,
('2026 Orders'!C:C=C73)*
('2026 Orders'!G:G=G73)*
('2026 Orders'!N:N=N73),
0),
"Open "&amp;C73
))</f>
        <v/>
      </c>
      <c r="F73" s="14">
        <f>'[1]2026 Orders'!F74</f>
        <v>0</v>
      </c>
      <c r="G73" s="14">
        <f>'[1]2026 Orders'!G74</f>
        <v>0</v>
      </c>
      <c r="H73" s="14" t="str" cm="1">
        <f t="array" ref="H73">IFERROR(_xlfn.TEXTJOIN("-",,INDEX(_xlfn.TEXTSPLIT(TableTake[[#This Row],[SKU]],"-"),{1,2})),"")</f>
        <v/>
      </c>
      <c r="I73" s="15" t="str">
        <f>IFERROR(_xlfn.TEXTAFTER(TableTake[[#This Row],[SKU]],"-",-1),"")</f>
        <v/>
      </c>
      <c r="J73" s="14">
        <f>'[1]2026 Orders'!H74</f>
        <v>0</v>
      </c>
      <c r="K73">
        <f>'[1]2026 Orders'!I74</f>
        <v>0</v>
      </c>
      <c r="L73">
        <f>'[1]2026 Orders'!J74</f>
        <v>0</v>
      </c>
      <c r="N73" s="10">
        <f>'[1]2026 Orders'!L74</f>
        <v>0</v>
      </c>
      <c r="O73">
        <f>'[1]2026 Orders'!M74</f>
        <v>0</v>
      </c>
      <c r="P73">
        <f>'[1]2026 Orders'!N74</f>
        <v>0</v>
      </c>
      <c r="Q73">
        <f>'[1]2026 Orders'!O74</f>
        <v>0</v>
      </c>
      <c r="R73">
        <f>'[1]2026 Orders'!P74</f>
        <v>0</v>
      </c>
      <c r="S73">
        <f>'[1]2026 Orders'!Q74</f>
        <v>0</v>
      </c>
      <c r="T73">
        <f>'[1]2026 Orders'!R74</f>
        <v>0</v>
      </c>
      <c r="U73">
        <f>'[1]2026 Orders'!S74</f>
        <v>0</v>
      </c>
      <c r="V73">
        <f>'[1]2026 Orders'!T74</f>
        <v>0</v>
      </c>
      <c r="W73">
        <f>'[1]2026 Orders'!U74</f>
        <v>0</v>
      </c>
      <c r="X73">
        <f>'[1]2026 Orders'!V74</f>
        <v>0</v>
      </c>
      <c r="Y73">
        <f>'[1]2026 Orders'!W74</f>
        <v>0</v>
      </c>
      <c r="Z73">
        <f>'[1]2026 Orders'!X74</f>
        <v>0</v>
      </c>
      <c r="AC73" t="str">
        <f t="shared" si="2"/>
        <v/>
      </c>
      <c r="AD73" t="str">
        <f t="shared" si="3"/>
        <v/>
      </c>
    </row>
    <row r="74" spans="1:30" ht="33" hidden="1" customHeight="1" x14ac:dyDescent="0.3">
      <c r="A74">
        <f>'[1]2026 Orders'!A75</f>
        <v>45967</v>
      </c>
      <c r="B74" s="14" t="str">
        <f>'[1]2026 Orders'!B75</f>
        <v>Iraq</v>
      </c>
      <c r="C74" s="14" t="str">
        <f>'[1]2026 Orders'!C75</f>
        <v>A4704</v>
      </c>
      <c r="D74" s="14" t="str">
        <f>'[1]2026 Orders'!D75</f>
        <v>49041225
Mfg:12/2025
Exp:12/2028</v>
      </c>
      <c r="E74" s="17" t="str" cm="1">
        <f t="array" ref="E74">IF(C74=0,"",
HYPERLINK(
"#'2026 Orders'!C"&amp;
MATCH(1,
('2026 Orders'!C:C=C74)*
('2026 Orders'!G:G=G74)*
('2026 Orders'!N:N=N74),
0),
"Open "&amp;C74
))</f>
        <v>Open A4704</v>
      </c>
      <c r="F74" s="14" t="str">
        <f>'[1]2026 Orders'!F75</f>
        <v>NutraStar                                5/15/2026: From Iraq A4567.</v>
      </c>
      <c r="G74" s="14" t="str">
        <f>'[1]2026 Orders'!G75</f>
        <v>FIBRO-60-CS-IQ</v>
      </c>
      <c r="H74" s="14" t="str" cm="1">
        <f t="array" ref="H74">IFERROR(_xlfn.TEXTJOIN("-",,INDEX(_xlfn.TEXTSPLIT(TableTake[[#This Row],[SKU]],"-"),{1,2})),"")</f>
        <v>FIBRO-60</v>
      </c>
      <c r="I74" s="15" t="str">
        <f>IFERROR(_xlfn.TEXTAFTER(TableTake[[#This Row],[SKU]],"-",-1),"")</f>
        <v>IQ</v>
      </c>
      <c r="J74" s="14">
        <f>'[1]2026 Orders'!H75</f>
        <v>2808</v>
      </c>
      <c r="K74" t="str">
        <f>'[1]2026 Orders'!I75</f>
        <v>IQ17-23.0</v>
      </c>
      <c r="L74">
        <f>'[1]2026 Orders'!J75</f>
        <v>2208</v>
      </c>
      <c r="N74" s="10" t="str">
        <f>'[1]2026 Orders'!L75</f>
        <v>ON HOLD</v>
      </c>
      <c r="O74">
        <f>'[1]2026 Orders'!M75</f>
        <v>0</v>
      </c>
      <c r="P74" t="str">
        <f>'[1]2026 Orders'!N75</f>
        <v>NA</v>
      </c>
      <c r="Q74">
        <f>'[1]2026 Orders'!O75</f>
        <v>604776737650</v>
      </c>
      <c r="R74">
        <f>'[1]2026 Orders'!P75</f>
        <v>13000</v>
      </c>
      <c r="S74">
        <f>'[1]2026 Orders'!Q75</f>
        <v>4904</v>
      </c>
      <c r="T74" t="str">
        <f>'[1]2026 Orders'!R75</f>
        <v>complete</v>
      </c>
      <c r="U74">
        <f>'[1]2026 Orders'!S75</f>
        <v>0</v>
      </c>
      <c r="V74">
        <f>'[1]2026 Orders'!T75</f>
        <v>0</v>
      </c>
      <c r="W74">
        <f>'[1]2026 Orders'!U75</f>
        <v>0</v>
      </c>
      <c r="X74">
        <f>'[1]2026 Orders'!V75</f>
        <v>0</v>
      </c>
      <c r="Y74">
        <f>'[1]2026 Orders'!W75</f>
        <v>0</v>
      </c>
      <c r="Z74">
        <f>'[1]2026 Orders'!X75</f>
        <v>0</v>
      </c>
      <c r="AC74" t="str">
        <f t="shared" si="2"/>
        <v>2808/</v>
      </c>
      <c r="AD74" t="e">
        <f t="shared" si="3"/>
        <v>#VALUE!</v>
      </c>
    </row>
    <row r="75" spans="1:30" ht="33" hidden="1" customHeight="1" x14ac:dyDescent="0.3">
      <c r="A75">
        <f>'[1]2026 Orders'!A76</f>
        <v>45967</v>
      </c>
      <c r="B75" s="14" t="str">
        <f>'[1]2026 Orders'!B76</f>
        <v>Iraq</v>
      </c>
      <c r="C75" s="14" t="str">
        <f>'[1]2026 Orders'!C76</f>
        <v>A4704</v>
      </c>
      <c r="D75" s="14" t="str">
        <f>'[1]2026 Orders'!D76</f>
        <v>49031225
Mfg:12/2025
Exp:12/2028</v>
      </c>
      <c r="E75" s="17" t="str" cm="1">
        <f t="array" ref="E75">IF(C75=0,"",
HYPERLINK(
"#'2026 Orders'!C"&amp;
MATCH(1,
('2026 Orders'!C:C=C75)*
('2026 Orders'!G:G=G75)*
('2026 Orders'!N:N=N75),
0),
"Open "&amp;C75
))</f>
        <v>Open A4704</v>
      </c>
      <c r="F75" s="14" t="str">
        <f>'[1]2026 Orders'!F76</f>
        <v>NutraStar                             5/15/2026: From Iraq A4567.</v>
      </c>
      <c r="G75" s="14" t="str">
        <f>'[1]2026 Orders'!G76</f>
        <v>COLLA-60-FD</v>
      </c>
      <c r="H75" s="14" t="str" cm="1">
        <f t="array" ref="H75">IFERROR(_xlfn.TEXTJOIN("-",,INDEX(_xlfn.TEXTSPLIT(TableTake[[#This Row],[SKU]],"-"),{1,2})),"")</f>
        <v>COLLA-60</v>
      </c>
      <c r="I75" s="15" t="str">
        <f>IFERROR(_xlfn.TEXTAFTER(TableTake[[#This Row],[SKU]],"-",-1),"")</f>
        <v>FD</v>
      </c>
      <c r="J75" s="14">
        <f>'[1]2026 Orders'!H76</f>
        <v>4800</v>
      </c>
      <c r="K75" t="str">
        <f>'[1]2026 Orders'!I76</f>
        <v>F11-22.1</v>
      </c>
      <c r="L75">
        <f>'[1]2026 Orders'!J76</f>
        <v>4800</v>
      </c>
      <c r="N75" s="10" t="str">
        <f>'[1]2026 Orders'!L76</f>
        <v>ON HOLD</v>
      </c>
      <c r="O75">
        <f>'[1]2026 Orders'!M76</f>
        <v>0</v>
      </c>
      <c r="P75" t="str">
        <f>'[1]2026 Orders'!N76</f>
        <v>Y</v>
      </c>
      <c r="Q75" t="str">
        <f>'[1]2026 Orders'!O76</f>
        <v>609788968825</v>
      </c>
      <c r="R75">
        <f>'[1]2026 Orders'!P76</f>
        <v>15300</v>
      </c>
      <c r="S75">
        <f>'[1]2026 Orders'!Q76</f>
        <v>4903</v>
      </c>
      <c r="T75" t="str">
        <f>'[1]2026 Orders'!R76</f>
        <v>complete</v>
      </c>
      <c r="U75">
        <f>'[1]2026 Orders'!S76</f>
        <v>0</v>
      </c>
      <c r="V75">
        <f>'[1]2026 Orders'!T76</f>
        <v>0</v>
      </c>
      <c r="W75">
        <f>'[1]2026 Orders'!U76</f>
        <v>0</v>
      </c>
      <c r="X75">
        <f>'[1]2026 Orders'!V76</f>
        <v>0</v>
      </c>
      <c r="Y75">
        <f>'[1]2026 Orders'!W76</f>
        <v>0</v>
      </c>
      <c r="Z75">
        <f>'[1]2026 Orders'!X76</f>
        <v>0</v>
      </c>
      <c r="AC75" t="str">
        <f t="shared" si="2"/>
        <v>4800/</v>
      </c>
      <c r="AD75" t="e">
        <f t="shared" si="3"/>
        <v>#VALUE!</v>
      </c>
    </row>
    <row r="76" spans="1:30" ht="33" hidden="1" customHeight="1" x14ac:dyDescent="0.3">
      <c r="A76">
        <f>'[1]2026 Orders'!A77</f>
        <v>45967</v>
      </c>
      <c r="B76" s="14" t="str">
        <f>'[1]2026 Orders'!B77</f>
        <v>Iraq</v>
      </c>
      <c r="C76" s="14" t="str">
        <f>'[1]2026 Orders'!C77</f>
        <v>A4704</v>
      </c>
      <c r="D76" s="14" t="str">
        <f>'[1]2026 Orders'!D77</f>
        <v>49071225
Mfg:12/2025
Exp:12/2028</v>
      </c>
      <c r="E76" s="17" t="str" cm="1">
        <f t="array" ref="E76">IF(C76=0,"",
HYPERLINK(
"#'2026 Orders'!C"&amp;
MATCH(1,
('2026 Orders'!C:C=C76)*
('2026 Orders'!G:G=G76)*
('2026 Orders'!N:N=N76),
0),
"Open "&amp;C76
))</f>
        <v>Open A4704</v>
      </c>
      <c r="F76" s="14" t="str">
        <f>'[1]2026 Orders'!F77</f>
        <v>Nutrastar                                     5/16/2026: From Iraq A4633.</v>
      </c>
      <c r="G76" s="14" t="str">
        <f>'[1]2026 Orders'!G77</f>
        <v>MFSPLS-60-RE</v>
      </c>
      <c r="H76" s="14" t="str" cm="1">
        <f t="array" ref="H76">IFERROR(_xlfn.TEXTJOIN("-",,INDEX(_xlfn.TEXTSPLIT(TableTake[[#This Row],[SKU]],"-"),{1,2})),"")</f>
        <v>MFSPLS-60</v>
      </c>
      <c r="I76" s="15" t="str">
        <f>IFERROR(_xlfn.TEXTAFTER(TableTake[[#This Row],[SKU]],"-",-1),"")</f>
        <v>RE</v>
      </c>
      <c r="J76" s="14">
        <f>'[1]2026 Orders'!H77</f>
        <v>5280</v>
      </c>
      <c r="K76" t="str">
        <f>'[1]2026 Orders'!I77</f>
        <v>R29-24.0</v>
      </c>
      <c r="L76">
        <f>'[1]2026 Orders'!J77</f>
        <v>5280</v>
      </c>
      <c r="N76" s="10" t="str">
        <f>'[1]2026 Orders'!L77</f>
        <v>ON HOLD</v>
      </c>
      <c r="O76">
        <f>'[1]2026 Orders'!M77</f>
        <v>0</v>
      </c>
      <c r="P76" t="str">
        <f>'[1]2026 Orders'!N77</f>
        <v>NA</v>
      </c>
      <c r="Q76">
        <f>'[1]2026 Orders'!O77</f>
        <v>609788968092</v>
      </c>
      <c r="R76">
        <f>'[1]2026 Orders'!P77</f>
        <v>39000</v>
      </c>
      <c r="S76">
        <f>'[1]2026 Orders'!Q77</f>
        <v>4907</v>
      </c>
      <c r="T76" t="str">
        <f>'[1]2026 Orders'!R77</f>
        <v>Complete</v>
      </c>
      <c r="U76">
        <f>'[1]2026 Orders'!S77</f>
        <v>0</v>
      </c>
      <c r="V76">
        <f>'[1]2026 Orders'!T77</f>
        <v>0</v>
      </c>
      <c r="W76">
        <f>'[1]2026 Orders'!U77</f>
        <v>0</v>
      </c>
      <c r="X76">
        <f>'[1]2026 Orders'!V77</f>
        <v>0</v>
      </c>
      <c r="Y76">
        <f>'[1]2026 Orders'!W77</f>
        <v>0</v>
      </c>
      <c r="Z76">
        <f>'[1]2026 Orders'!X77</f>
        <v>0</v>
      </c>
      <c r="AC76" t="str">
        <f t="shared" si="2"/>
        <v>5280/</v>
      </c>
      <c r="AD76" t="e">
        <f t="shared" si="3"/>
        <v>#VALUE!</v>
      </c>
    </row>
    <row r="77" spans="1:30" ht="33" hidden="1" customHeight="1" x14ac:dyDescent="0.3">
      <c r="A77">
        <f>'[1]2026 Orders'!A78</f>
        <v>45967</v>
      </c>
      <c r="B77" s="14" t="str">
        <f>'[1]2026 Orders'!B78</f>
        <v>Iraq</v>
      </c>
      <c r="C77" s="14" t="str">
        <f>'[1]2026 Orders'!C78</f>
        <v>A4704</v>
      </c>
      <c r="D77" s="14" t="str">
        <f>'[1]2026 Orders'!D78</f>
        <v>49091225
Mfg:12/2025
Exp:12/2028</v>
      </c>
      <c r="E77" s="17" t="str" cm="1">
        <f t="array" ref="E77">IF(C77=0,"",
HYPERLINK(
"#'2026 Orders'!C"&amp;
MATCH(1,
('2026 Orders'!C:C=C77)*
('2026 Orders'!G:G=G77)*
('2026 Orders'!N:N=N77),
0),
"Open "&amp;C77
))</f>
        <v>Open A4704</v>
      </c>
      <c r="F77" s="14" t="str">
        <f>'[1]2026 Orders'!F78</f>
        <v>Nutrastar                              5/16/2026: From Iraq A4632.</v>
      </c>
      <c r="G77" s="14" t="str">
        <f>'[1]2026 Orders'!G78</f>
        <v>PEARLY-60-CS-IQ</v>
      </c>
      <c r="H77" s="14" t="str" cm="1">
        <f t="array" ref="H77">IFERROR(_xlfn.TEXTJOIN("-",,INDEX(_xlfn.TEXTSPLIT(TableTake[[#This Row],[SKU]],"-"),{1,2})),"")</f>
        <v>PEARLY-60</v>
      </c>
      <c r="I77" s="15" t="str">
        <f>IFERROR(_xlfn.TEXTAFTER(TableTake[[#This Row],[SKU]],"-",-1),"")</f>
        <v>IQ</v>
      </c>
      <c r="J77" s="14">
        <f>'[1]2026 Orders'!H78</f>
        <v>5208</v>
      </c>
      <c r="K77" t="str">
        <f>'[1]2026 Orders'!I78</f>
        <v>IQ42-23.0</v>
      </c>
      <c r="L77">
        <f>'[1]2026 Orders'!J78</f>
        <v>5208</v>
      </c>
      <c r="N77" s="10" t="str">
        <f>'[1]2026 Orders'!L78</f>
        <v>ON HOLD</v>
      </c>
      <c r="O77">
        <f>'[1]2026 Orders'!M78</f>
        <v>0</v>
      </c>
      <c r="P77" t="str">
        <f>'[1]2026 Orders'!N78</f>
        <v>Y</v>
      </c>
      <c r="Q77">
        <f>'[1]2026 Orders'!O78</f>
        <v>604776737803</v>
      </c>
      <c r="R77">
        <f>'[1]2026 Orders'!P78</f>
        <v>58500</v>
      </c>
      <c r="S77">
        <f>'[1]2026 Orders'!Q78</f>
        <v>4909</v>
      </c>
      <c r="T77" t="str">
        <f>'[1]2026 Orders'!R78</f>
        <v>Complete</v>
      </c>
      <c r="U77">
        <f>'[1]2026 Orders'!S78</f>
        <v>0</v>
      </c>
      <c r="V77">
        <f>'[1]2026 Orders'!T78</f>
        <v>0</v>
      </c>
      <c r="W77">
        <f>'[1]2026 Orders'!U78</f>
        <v>0</v>
      </c>
      <c r="X77">
        <f>'[1]2026 Orders'!V78</f>
        <v>0</v>
      </c>
      <c r="Y77">
        <f>'[1]2026 Orders'!W78</f>
        <v>0</v>
      </c>
      <c r="Z77">
        <f>'[1]2026 Orders'!X78</f>
        <v>0</v>
      </c>
      <c r="AC77" t="str">
        <f t="shared" si="2"/>
        <v>5208/</v>
      </c>
      <c r="AD77" t="e">
        <f t="shared" si="3"/>
        <v>#VALUE!</v>
      </c>
    </row>
    <row r="78" spans="1:30" ht="33" hidden="1" customHeight="1" x14ac:dyDescent="0.3">
      <c r="A78">
        <f>'[1]2026 Orders'!A79</f>
        <v>45967</v>
      </c>
      <c r="B78" s="14" t="str">
        <f>'[1]2026 Orders'!B79</f>
        <v>Iraq</v>
      </c>
      <c r="C78" s="14" t="str">
        <f>'[1]2026 Orders'!C79</f>
        <v>A4567</v>
      </c>
      <c r="D78" s="14" t="str">
        <f>'[1]2026 Orders'!D79</f>
        <v>49041225
Mfg:12/2025
Exp:12/2028                                        2/16/2026: Qty increased 10000 -&gt; 10008                      4/28/2026: 7200 moved to Iraq A4698</v>
      </c>
      <c r="E78" s="17" t="e" cm="1">
        <f t="array" ref="E78">IF(C78=0,"",
HYPERLINK(
"#'2026 Orders'!C"&amp;
MATCH(1,
('2026 Orders'!C:C=C78)*
('2026 Orders'!G:G=G78)*
('2026 Orders'!N:N=N78),
0),
"Open "&amp;C78
))</f>
        <v>#N/A</v>
      </c>
      <c r="F78" s="14" t="str">
        <f>'[1]2026 Orders'!F79</f>
        <v>NutraStar</v>
      </c>
      <c r="G78" s="14" t="str">
        <f>'[1]2026 Orders'!G79</f>
        <v>FIBRO-60-CS-IQ</v>
      </c>
      <c r="H78" s="14" t="str" cm="1">
        <f t="array" ref="H78">IFERROR(_xlfn.TEXTJOIN("-",,INDEX(_xlfn.TEXTSPLIT(TableTake[[#This Row],[SKU]],"-"),{1,2})),"")</f>
        <v>FIBRO-60</v>
      </c>
      <c r="I78" s="15" t="str">
        <f>IFERROR(_xlfn.TEXTAFTER(TableTake[[#This Row],[SKU]],"-",-1),"")</f>
        <v>IQ</v>
      </c>
      <c r="J78" s="14">
        <f>'[1]2026 Orders'!H79</f>
        <v>2808</v>
      </c>
      <c r="K78" t="str">
        <f>'[1]2026 Orders'!I79</f>
        <v>IQ17-23.0</v>
      </c>
      <c r="L78">
        <f>'[1]2026 Orders'!J79</f>
        <v>2808</v>
      </c>
      <c r="N78" s="10" t="str">
        <f>'[1]2026 Orders'!L79</f>
        <v>ON HOLD</v>
      </c>
      <c r="O78">
        <f>'[1]2026 Orders'!M79</f>
        <v>0</v>
      </c>
      <c r="P78" t="str">
        <f>'[1]2026 Orders'!N79</f>
        <v>NA</v>
      </c>
      <c r="Q78">
        <f>'[1]2026 Orders'!O79</f>
        <v>604776737650</v>
      </c>
      <c r="R78">
        <f>'[1]2026 Orders'!P79</f>
        <v>13000</v>
      </c>
      <c r="S78">
        <f>'[1]2026 Orders'!Q79</f>
        <v>4904</v>
      </c>
      <c r="T78" t="str">
        <f>'[1]2026 Orders'!R79</f>
        <v>complete</v>
      </c>
      <c r="U78">
        <f>'[1]2026 Orders'!S79</f>
        <v>0</v>
      </c>
      <c r="V78">
        <f>'[1]2026 Orders'!T79</f>
        <v>0</v>
      </c>
      <c r="W78">
        <f>'[1]2026 Orders'!U79</f>
        <v>0</v>
      </c>
      <c r="X78">
        <f>'[1]2026 Orders'!V79</f>
        <v>0</v>
      </c>
      <c r="Y78">
        <f>'[1]2026 Orders'!W79</f>
        <v>0</v>
      </c>
      <c r="Z78">
        <f>'[1]2026 Orders'!X79</f>
        <v>0</v>
      </c>
      <c r="AC78" t="str">
        <f t="shared" si="2"/>
        <v>2808/</v>
      </c>
      <c r="AD78" t="e">
        <f t="shared" si="3"/>
        <v>#VALUE!</v>
      </c>
    </row>
    <row r="79" spans="1:30" ht="33" hidden="1" customHeight="1" x14ac:dyDescent="0.3">
      <c r="A79">
        <f>'[1]2026 Orders'!A80</f>
        <v>45967</v>
      </c>
      <c r="B79" s="14" t="str">
        <f>'[1]2026 Orders'!B80</f>
        <v>Iraq</v>
      </c>
      <c r="C79" s="14" t="str">
        <f>'[1]2026 Orders'!C80</f>
        <v>A4631</v>
      </c>
      <c r="D79" s="14" t="str">
        <f>'[1]2026 Orders'!D80</f>
        <v>49160126
Mfg: 01/2026
Exp:01/2028</v>
      </c>
      <c r="E79" s="17" t="str" cm="1">
        <f t="array" ref="E79">IF(C79=0,"",
HYPERLINK(
"#'2026 Orders'!C"&amp;
MATCH(1,
('2026 Orders'!C:C=C79)*
('2026 Orders'!G:G=G79)*
('2026 Orders'!N:N=N79),
0),
"Open "&amp;C79
))</f>
        <v>Open A4631</v>
      </c>
      <c r="F79" s="14" t="str">
        <f>'[1]2026 Orders'!F80</f>
        <v>Vitane                                    6/8/2026: Product is at Warehouse.</v>
      </c>
      <c r="G79" s="14" t="str">
        <f>'[1]2026 Orders'!G80</f>
        <v>COQ100-125-FD</v>
      </c>
      <c r="H79" s="14" t="str" cm="1">
        <f t="array" ref="H79">IFERROR(_xlfn.TEXTJOIN("-",,INDEX(_xlfn.TEXTSPLIT(TableTake[[#This Row],[SKU]],"-"),{1,2})),"")</f>
        <v>COQ100-125</v>
      </c>
      <c r="I79" s="15" t="str">
        <f>IFERROR(_xlfn.TEXTAFTER(TableTake[[#This Row],[SKU]],"-",-1),"")</f>
        <v>FD</v>
      </c>
      <c r="J79" s="14">
        <f>'[1]2026 Orders'!H80</f>
        <v>7968</v>
      </c>
      <c r="K79" t="str">
        <f>'[1]2026 Orders'!I80</f>
        <v>F12-24.0</v>
      </c>
      <c r="L79">
        <f>'[1]2026 Orders'!J80</f>
        <v>7968</v>
      </c>
      <c r="N79" s="10" t="str">
        <f>'[1]2026 Orders'!L80</f>
        <v>ON HOLD</v>
      </c>
      <c r="O79" t="str">
        <f>'[1]2026 Orders'!M80</f>
        <v>Available</v>
      </c>
      <c r="P79" t="str">
        <f>'[1]2026 Orders'!N80</f>
        <v>Y</v>
      </c>
      <c r="Q79" t="str">
        <f>'[1]2026 Orders'!O80</f>
        <v xml:space="preserve">810131199258
</v>
      </c>
      <c r="R79">
        <f>'[1]2026 Orders'!P80</f>
        <v>8000</v>
      </c>
      <c r="S79">
        <f>'[1]2026 Orders'!Q80</f>
        <v>4916</v>
      </c>
      <c r="T79" t="str">
        <f>'[1]2026 Orders'!R80</f>
        <v>Complete</v>
      </c>
      <c r="U79">
        <f>'[1]2026 Orders'!S80</f>
        <v>0</v>
      </c>
      <c r="V79">
        <f>'[1]2026 Orders'!T80</f>
        <v>0</v>
      </c>
      <c r="W79">
        <f>'[1]2026 Orders'!U80</f>
        <v>0</v>
      </c>
      <c r="X79">
        <f>'[1]2026 Orders'!V80</f>
        <v>0</v>
      </c>
      <c r="Y79">
        <f>'[1]2026 Orders'!W80</f>
        <v>0</v>
      </c>
      <c r="Z79" t="str">
        <f>'[1]2026 Orders'!X80</f>
        <v>HOLD</v>
      </c>
      <c r="AC79" t="str">
        <f t="shared" si="2"/>
        <v>7968/</v>
      </c>
      <c r="AD79" t="e">
        <f t="shared" si="3"/>
        <v>#VALUE!</v>
      </c>
    </row>
    <row r="80" spans="1:30" ht="33" hidden="1" customHeight="1" x14ac:dyDescent="0.3">
      <c r="A80">
        <f>'[1]2026 Orders'!A81</f>
        <v>45967</v>
      </c>
      <c r="B80" s="14" t="str">
        <f>'[1]2026 Orders'!B81</f>
        <v>Iraq</v>
      </c>
      <c r="C80" s="14" t="str">
        <f>'[1]2026 Orders'!C81</f>
        <v>A4631</v>
      </c>
      <c r="D80" s="14" t="str">
        <f>'[1]2026 Orders'!D81</f>
        <v>47201025
Mfg: 10/2025
Exp:10/2027</v>
      </c>
      <c r="E80" s="17" t="str" cm="1">
        <f t="array" ref="E80">IF(C80=0,"",
HYPERLINK(
"#'2026 Orders'!C"&amp;
MATCH(1,
('2026 Orders'!C:C=C80)*
('2026 Orders'!G:G=G80)*
('2026 Orders'!N:N=N80),
0),
"Open "&amp;C80
))</f>
        <v>Open A4631</v>
      </c>
      <c r="F80" s="14" t="str">
        <f>'[1]2026 Orders'!F81</f>
        <v>Vitane  1/29/2026: Total CoQ qty increased 8000 -&gt; 9297                     6/8/2026: Product is at Warehouse.</v>
      </c>
      <c r="G80" s="14" t="str">
        <f>'[1]2026 Orders'!G81</f>
        <v>COQ100-125-FD</v>
      </c>
      <c r="H80" s="14" t="str" cm="1">
        <f t="array" ref="H80">IFERROR(_xlfn.TEXTJOIN("-",,INDEX(_xlfn.TEXTSPLIT(TableTake[[#This Row],[SKU]],"-"),{1,2})),"")</f>
        <v>COQ100-125</v>
      </c>
      <c r="I80" s="15" t="str">
        <f>IFERROR(_xlfn.TEXTAFTER(TableTake[[#This Row],[SKU]],"-",-1),"")</f>
        <v>FD</v>
      </c>
      <c r="J80" s="14">
        <f>'[1]2026 Orders'!H81</f>
        <v>1329</v>
      </c>
      <c r="K80">
        <f>'[1]2026 Orders'!I81</f>
        <v>0</v>
      </c>
      <c r="L80">
        <f>'[1]2026 Orders'!J81</f>
        <v>1329</v>
      </c>
      <c r="N80" s="10" t="str">
        <f>'[1]2026 Orders'!L81</f>
        <v>ON HOLD</v>
      </c>
      <c r="O80" t="str">
        <f>'[1]2026 Orders'!M81</f>
        <v>Available</v>
      </c>
      <c r="P80" t="str">
        <f>'[1]2026 Orders'!N81</f>
        <v>Y</v>
      </c>
      <c r="Q80" t="str">
        <f>'[1]2026 Orders'!O81</f>
        <v xml:space="preserve">810131199258
</v>
      </c>
      <c r="R80">
        <f>'[1]2026 Orders'!P81</f>
        <v>1329</v>
      </c>
      <c r="S80">
        <f>'[1]2026 Orders'!Q81</f>
        <v>4720</v>
      </c>
      <c r="T80" t="str">
        <f>'[1]2026 Orders'!R81</f>
        <v>Complete</v>
      </c>
      <c r="U80">
        <f>'[1]2026 Orders'!S81</f>
        <v>0</v>
      </c>
      <c r="V80">
        <f>'[1]2026 Orders'!T81</f>
        <v>0</v>
      </c>
      <c r="W80">
        <f>'[1]2026 Orders'!U81</f>
        <v>0</v>
      </c>
      <c r="X80">
        <f>'[1]2026 Orders'!V81</f>
        <v>0</v>
      </c>
      <c r="Y80">
        <f>'[1]2026 Orders'!W81</f>
        <v>0</v>
      </c>
      <c r="Z80">
        <f>'[1]2026 Orders'!X81</f>
        <v>0</v>
      </c>
      <c r="AC80" t="str">
        <f t="shared" si="2"/>
        <v>1329/</v>
      </c>
      <c r="AD80" t="e">
        <f t="shared" si="3"/>
        <v>#VALUE!</v>
      </c>
    </row>
    <row r="81" spans="1:30" ht="33" hidden="1" customHeight="1" x14ac:dyDescent="0.3">
      <c r="A81">
        <f>'[1]2026 Orders'!A82</f>
        <v>45967</v>
      </c>
      <c r="B81" s="14" t="str">
        <f>'[1]2026 Orders'!B82</f>
        <v>Iraq</v>
      </c>
      <c r="C81" s="14" t="str">
        <f>'[1]2026 Orders'!C82</f>
        <v>A4631</v>
      </c>
      <c r="D81" s="14" t="str">
        <f>'[1]2026 Orders'!D82</f>
        <v>49280126
Mfg:01/2026
Exp:01/2028</v>
      </c>
      <c r="E81" s="17" t="str" cm="1">
        <f t="array" ref="E81">IF(C81=0,"",
HYPERLINK(
"#'2026 Orders'!C"&amp;
MATCH(1,
('2026 Orders'!C:C=C81)*
('2026 Orders'!G:G=G81)*
('2026 Orders'!N:N=N81),
0),
"Open "&amp;C81
))</f>
        <v>Open A4631</v>
      </c>
      <c r="F81" s="14" t="str">
        <f>'[1]2026 Orders'!F82</f>
        <v>Vitane  
11/17/2025: Quantity increased to meet MOQ 
1/29/2026: Total Memo Up Qty increased 5250 -&gt; 5649                          6/8/2026: Product is at Warehouse.</v>
      </c>
      <c r="G81" s="14" t="str">
        <f>'[1]2026 Orders'!G82</f>
        <v>MEMOUP-60-FD</v>
      </c>
      <c r="H81" s="14" t="str" cm="1">
        <f t="array" ref="H81">IFERROR(_xlfn.TEXTJOIN("-",,INDEX(_xlfn.TEXTSPLIT(TableTake[[#This Row],[SKU]],"-"),{1,2})),"")</f>
        <v>MEMOUP-60</v>
      </c>
      <c r="I81" s="15" t="str">
        <f>IFERROR(_xlfn.TEXTAFTER(TableTake[[#This Row],[SKU]],"-",-1),"")</f>
        <v>FD</v>
      </c>
      <c r="J81" s="14">
        <f>'[1]2026 Orders'!H82</f>
        <v>4507</v>
      </c>
      <c r="K81" t="str">
        <f>'[1]2026 Orders'!I82</f>
        <v>F27-24.0</v>
      </c>
      <c r="L81">
        <f>'[1]2026 Orders'!J82</f>
        <v>4507</v>
      </c>
      <c r="N81" s="10" t="str">
        <f>'[1]2026 Orders'!L82</f>
        <v>ON HOLD</v>
      </c>
      <c r="O81" t="str">
        <f>'[1]2026 Orders'!M82</f>
        <v>Available</v>
      </c>
      <c r="P81" t="str">
        <f>'[1]2026 Orders'!N82</f>
        <v>Y</v>
      </c>
      <c r="Q81" t="str">
        <f>'[1]2026 Orders'!O82</f>
        <v>810131199449</v>
      </c>
      <c r="R81">
        <f>'[1]2026 Orders'!P82</f>
        <v>5250</v>
      </c>
      <c r="S81">
        <f>'[1]2026 Orders'!Q82</f>
        <v>4928</v>
      </c>
      <c r="T81" t="str">
        <f>'[1]2026 Orders'!R82</f>
        <v>Complete</v>
      </c>
      <c r="U81">
        <f>'[1]2026 Orders'!S82</f>
        <v>0</v>
      </c>
      <c r="V81">
        <f>'[1]2026 Orders'!T82</f>
        <v>0</v>
      </c>
      <c r="W81">
        <f>'[1]2026 Orders'!U82</f>
        <v>0</v>
      </c>
      <c r="X81">
        <f>'[1]2026 Orders'!V82</f>
        <v>0</v>
      </c>
      <c r="Y81">
        <f>'[1]2026 Orders'!W82</f>
        <v>0</v>
      </c>
      <c r="Z81">
        <f>'[1]2026 Orders'!X82</f>
        <v>0</v>
      </c>
      <c r="AC81" t="str">
        <f t="shared" si="2"/>
        <v>4507/</v>
      </c>
      <c r="AD81" t="e">
        <f t="shared" si="3"/>
        <v>#VALUE!</v>
      </c>
    </row>
    <row r="82" spans="1:30" ht="33" hidden="1" customHeight="1" x14ac:dyDescent="0.3">
      <c r="A82">
        <f>'[1]2026 Orders'!A83</f>
        <v>45967</v>
      </c>
      <c r="B82" s="14" t="str">
        <f>'[1]2026 Orders'!B83</f>
        <v>Iraq</v>
      </c>
      <c r="C82" s="14" t="str">
        <f>'[1]2026 Orders'!C83</f>
        <v>A4631</v>
      </c>
      <c r="D82" s="14" t="str">
        <f>'[1]2026 Orders'!D83</f>
        <v>47211025
Mfg:10/2025
Exp:10/2027</v>
      </c>
      <c r="E82" s="17" t="str" cm="1">
        <f t="array" ref="E82">IF(C82=0,"",
HYPERLINK(
"#'2026 Orders'!C"&amp;
MATCH(1,
('2026 Orders'!C:C=C82)*
('2026 Orders'!G:G=G82)*
('2026 Orders'!N:N=N82),
0),
"Open "&amp;C82
))</f>
        <v>Open A4631</v>
      </c>
      <c r="F82" s="14" t="str">
        <f>'[1]2026 Orders'!F83</f>
        <v>Vitane                                      6/8/2026: Product is at Warehouse.</v>
      </c>
      <c r="G82" s="14" t="str">
        <f>'[1]2026 Orders'!G83</f>
        <v>MEMOUP-60-FD</v>
      </c>
      <c r="H82" s="14" t="str" cm="1">
        <f t="array" ref="H82">IFERROR(_xlfn.TEXTJOIN("-",,INDEX(_xlfn.TEXTSPLIT(TableTake[[#This Row],[SKU]],"-"),{1,2})),"")</f>
        <v>MEMOUP-60</v>
      </c>
      <c r="I82" s="15" t="str">
        <f>IFERROR(_xlfn.TEXTAFTER(TableTake[[#This Row],[SKU]],"-",-1),"")</f>
        <v>FD</v>
      </c>
      <c r="J82" s="14">
        <f>'[1]2026 Orders'!H83</f>
        <v>1142</v>
      </c>
      <c r="K82" t="str">
        <f>'[1]2026 Orders'!I83</f>
        <v>F27-24.0</v>
      </c>
      <c r="L82">
        <f>'[1]2026 Orders'!J83</f>
        <v>1142</v>
      </c>
      <c r="N82" s="10" t="str">
        <f>'[1]2026 Orders'!L83</f>
        <v>ON HOLD</v>
      </c>
      <c r="O82" t="str">
        <f>'[1]2026 Orders'!M83</f>
        <v>Available</v>
      </c>
      <c r="P82" t="str">
        <f>'[1]2026 Orders'!N83</f>
        <v>Y</v>
      </c>
      <c r="Q82" t="str">
        <f>'[1]2026 Orders'!O83</f>
        <v>810131199449</v>
      </c>
      <c r="R82">
        <f>'[1]2026 Orders'!P83</f>
        <v>0</v>
      </c>
      <c r="S82">
        <f>'[1]2026 Orders'!Q83</f>
        <v>4721</v>
      </c>
      <c r="T82" t="str">
        <f>'[1]2026 Orders'!R83</f>
        <v>Complete</v>
      </c>
      <c r="U82">
        <f>'[1]2026 Orders'!S83</f>
        <v>0</v>
      </c>
      <c r="V82">
        <f>'[1]2026 Orders'!T83</f>
        <v>0</v>
      </c>
      <c r="W82">
        <f>'[1]2026 Orders'!U83</f>
        <v>0</v>
      </c>
      <c r="X82">
        <f>'[1]2026 Orders'!V83</f>
        <v>0</v>
      </c>
      <c r="Y82">
        <f>'[1]2026 Orders'!W83</f>
        <v>0</v>
      </c>
      <c r="Z82">
        <f>'[1]2026 Orders'!X83</f>
        <v>0</v>
      </c>
      <c r="AC82" t="str">
        <f t="shared" si="2"/>
        <v>1142/</v>
      </c>
      <c r="AD82" t="e">
        <f t="shared" si="3"/>
        <v>#VALUE!</v>
      </c>
    </row>
    <row r="83" spans="1:30" ht="33" hidden="1" customHeight="1" x14ac:dyDescent="0.3">
      <c r="A83">
        <f>'[1]2026 Orders'!A84</f>
        <v>45967</v>
      </c>
      <c r="B83" s="14" t="str">
        <f>'[1]2026 Orders'!B84</f>
        <v>Iraq</v>
      </c>
      <c r="C83" s="14" t="str">
        <f>'[1]2026 Orders'!C84</f>
        <v>A4631</v>
      </c>
      <c r="D83" s="14" t="str">
        <f>'[1]2026 Orders'!D84</f>
        <v>49440126
Mfg:01/2026
Exp:01/2027</v>
      </c>
      <c r="E83" s="17" t="str" cm="1">
        <f t="array" ref="E83">IF(C83=0,"",
HYPERLINK(
"#'2026 Orders'!C"&amp;
MATCH(1,
('2026 Orders'!C:C=C83)*
('2026 Orders'!G:G=G83)*
('2026 Orders'!N:N=N83),
0),
"Open "&amp;C83
))</f>
        <v>Open A4631</v>
      </c>
      <c r="F83" s="14" t="str">
        <f>'[1]2026 Orders'!F84</f>
        <v>Iceland                                           6/8/2026: Product complete but pending accounting action.</v>
      </c>
      <c r="G83" s="14" t="str">
        <f>'[1]2026 Orders'!G84</f>
        <v>QWELL2-60-SG-CS-IQ</v>
      </c>
      <c r="H83" s="14" t="str" cm="1">
        <f t="array" ref="H83">IFERROR(_xlfn.TEXTJOIN("-",,INDEX(_xlfn.TEXTSPLIT(TableTake[[#This Row],[SKU]],"-"),{1,2})),"")</f>
        <v>QWELL2-60</v>
      </c>
      <c r="I83" s="15" t="str">
        <f>IFERROR(_xlfn.TEXTAFTER(TableTake[[#This Row],[SKU]],"-",-1),"")</f>
        <v>IQ</v>
      </c>
      <c r="J83" s="14">
        <f>'[1]2026 Orders'!H84</f>
        <v>6250</v>
      </c>
      <c r="K83" t="str">
        <f>'[1]2026 Orders'!I84</f>
        <v>IQ57-25.2</v>
      </c>
      <c r="L83">
        <f>'[1]2026 Orders'!J84</f>
        <v>0</v>
      </c>
      <c r="N83" s="10" t="str">
        <f>'[1]2026 Orders'!L84</f>
        <v>ON HOLD</v>
      </c>
      <c r="O83">
        <f>'[1]2026 Orders'!M84</f>
        <v>0</v>
      </c>
      <c r="P83" t="str">
        <f>'[1]2026 Orders'!N84</f>
        <v>NA</v>
      </c>
      <c r="Q83" t="str">
        <f>'[1]2026 Orders'!O84</f>
        <v>604776737971</v>
      </c>
      <c r="R83">
        <f>'[1]2026 Orders'!P84</f>
        <v>7000</v>
      </c>
      <c r="S83">
        <f>'[1]2026 Orders'!Q84</f>
        <v>4944</v>
      </c>
      <c r="T83" t="str">
        <f>'[1]2026 Orders'!R84</f>
        <v>Complete</v>
      </c>
      <c r="U83" t="str">
        <f>'[1]2026 Orders'!S84</f>
        <v>BULk PO A4922, Sample receIved, Waiting for PL, waiting for product release</v>
      </c>
      <c r="V83">
        <f>'[1]2026 Orders'!T84</f>
        <v>0</v>
      </c>
      <c r="W83">
        <f>'[1]2026 Orders'!U84</f>
        <v>0</v>
      </c>
      <c r="X83">
        <f>'[1]2026 Orders'!V84</f>
        <v>0</v>
      </c>
      <c r="Y83">
        <f>'[1]2026 Orders'!W84</f>
        <v>0</v>
      </c>
      <c r="Z83">
        <f>'[1]2026 Orders'!X84</f>
        <v>0</v>
      </c>
      <c r="AC83" t="str">
        <f t="shared" si="2"/>
        <v>6250/</v>
      </c>
      <c r="AD83" t="e">
        <f t="shared" si="3"/>
        <v>#VALUE!</v>
      </c>
    </row>
    <row r="84" spans="1:30" ht="33" hidden="1" customHeight="1" x14ac:dyDescent="0.3">
      <c r="A84">
        <f>'[1]2026 Orders'!A85</f>
        <v>45967</v>
      </c>
      <c r="B84" s="14" t="str">
        <f>'[1]2026 Orders'!B85</f>
        <v>Iraq</v>
      </c>
      <c r="C84" s="14" t="str">
        <f>'[1]2026 Orders'!C85</f>
        <v>A4631</v>
      </c>
      <c r="D84" s="14" t="str">
        <f>'[1]2026 Orders'!D85</f>
        <v>49450126
Mfg:01/2026
Exp:01/2029</v>
      </c>
      <c r="E84" s="17" t="str" cm="1">
        <f t="array" ref="E84">IF(C84=0,"",
HYPERLINK(
"#'2026 Orders'!C"&amp;
MATCH(1,
('2026 Orders'!C:C=C84)*
('2026 Orders'!G:G=G84)*
('2026 Orders'!N:N=N84),
0),
"Open "&amp;C84
))</f>
        <v>Open A4631</v>
      </c>
      <c r="F84" s="14" t="str">
        <f>'[1]2026 Orders'!F85</f>
        <v>Iceland                                           6/8/2026: Product complete but pending accounting action.</v>
      </c>
      <c r="G84" s="14" t="str">
        <f>'[1]2026 Orders'!G85</f>
        <v>QWELL4-30-SG-CS-IQ</v>
      </c>
      <c r="H84" s="14" t="str" cm="1">
        <f t="array" ref="H84">IFERROR(_xlfn.TEXTJOIN("-",,INDEX(_xlfn.TEXTSPLIT(TableTake[[#This Row],[SKU]],"-"),{1,2})),"")</f>
        <v>QWELL4-30</v>
      </c>
      <c r="I84" s="15" t="str">
        <f>IFERROR(_xlfn.TEXTAFTER(TableTake[[#This Row],[SKU]],"-",-1),"")</f>
        <v>IQ</v>
      </c>
      <c r="J84" s="14">
        <f>'[1]2026 Orders'!H85</f>
        <v>12250</v>
      </c>
      <c r="K84" t="str">
        <f>'[1]2026 Orders'!I85</f>
        <v>IQ58-24.0</v>
      </c>
      <c r="L84">
        <f>'[1]2026 Orders'!J85</f>
        <v>0</v>
      </c>
      <c r="N84" s="10" t="str">
        <f>'[1]2026 Orders'!L85</f>
        <v>ON HOLD</v>
      </c>
      <c r="O84">
        <f>'[1]2026 Orders'!M85</f>
        <v>0</v>
      </c>
      <c r="P84" t="str">
        <f>'[1]2026 Orders'!N85</f>
        <v>NA</v>
      </c>
      <c r="Q84">
        <f>'[1]2026 Orders'!O85</f>
        <v>604776737988</v>
      </c>
      <c r="R84">
        <f>'[1]2026 Orders'!P85</f>
        <v>15000</v>
      </c>
      <c r="S84">
        <f>'[1]2026 Orders'!Q85</f>
        <v>4945</v>
      </c>
      <c r="T84" t="str">
        <f>'[1]2026 Orders'!R85</f>
        <v>Complete</v>
      </c>
      <c r="U84" t="str">
        <f>'[1]2026 Orders'!S85</f>
        <v>Waiting for Sample, waiting for product release</v>
      </c>
      <c r="V84">
        <f>'[1]2026 Orders'!T85</f>
        <v>0</v>
      </c>
      <c r="W84">
        <f>'[1]2026 Orders'!U85</f>
        <v>0</v>
      </c>
      <c r="X84">
        <f>'[1]2026 Orders'!V85</f>
        <v>0</v>
      </c>
      <c r="Y84">
        <f>'[1]2026 Orders'!W85</f>
        <v>0</v>
      </c>
      <c r="Z84">
        <f>'[1]2026 Orders'!X85</f>
        <v>0</v>
      </c>
      <c r="AC84" t="str">
        <f t="shared" si="2"/>
        <v>12250/</v>
      </c>
      <c r="AD84" t="e">
        <f t="shared" si="3"/>
        <v>#VALUE!</v>
      </c>
    </row>
    <row r="85" spans="1:30" ht="33" hidden="1" customHeight="1" x14ac:dyDescent="0.3">
      <c r="A85">
        <f>'[1]2026 Orders'!A86</f>
        <v>45967</v>
      </c>
      <c r="B85" s="14" t="str">
        <f>'[1]2026 Orders'!B86</f>
        <v>Iraq</v>
      </c>
      <c r="C85" s="14" t="str">
        <f>'[1]2026 Orders'!C86</f>
        <v>A4631</v>
      </c>
      <c r="D85" s="14" t="str">
        <f>'[1]2026 Orders'!D86</f>
        <v>49620925
Mfg:09/2025
Exp:09/2028                                  2/19/2026: Qty decreased to 4872 per packing slip</v>
      </c>
      <c r="E85" s="17" t="str" cm="1">
        <f t="array" ref="E85">IF(C85=0,"",
HYPERLINK(
"#'2026 Orders'!C"&amp;
MATCH(1,
('2026 Orders'!C:C=C85)*
('2026 Orders'!G:G=G85)*
('2026 Orders'!N:N=N85),
0),
"Open "&amp;C85
))</f>
        <v>Open A4631</v>
      </c>
      <c r="F85" s="14" t="str">
        <f>'[1]2026 Orders'!F86</f>
        <v>Genova                                  6/8/2026: Product complete.</v>
      </c>
      <c r="G85" s="14" t="str">
        <f>'[1]2026 Orders'!G86</f>
        <v>XTRAD50-12-SG-FD</v>
      </c>
      <c r="H85" s="14" t="str" cm="1">
        <f t="array" ref="H85">IFERROR(_xlfn.TEXTJOIN("-",,INDEX(_xlfn.TEXTSPLIT(TableTake[[#This Row],[SKU]],"-"),{1,2})),"")</f>
        <v>XTRAD50-12</v>
      </c>
      <c r="I85" s="15" t="str">
        <f>IFERROR(_xlfn.TEXTAFTER(TableTake[[#This Row],[SKU]],"-",-1),"")</f>
        <v>FD</v>
      </c>
      <c r="J85" s="14">
        <f>'[1]2026 Orders'!H86</f>
        <v>4872</v>
      </c>
      <c r="K85" t="str">
        <f>'[1]2026 Orders'!I86</f>
        <v>F95-25.0</v>
      </c>
      <c r="L85">
        <f>'[1]2026 Orders'!J86</f>
        <v>4872</v>
      </c>
      <c r="N85" s="10" t="str">
        <f>'[1]2026 Orders'!L86</f>
        <v>ON HOLD</v>
      </c>
      <c r="O85">
        <f>'[1]2026 Orders'!M86</f>
        <v>0</v>
      </c>
      <c r="P85" t="str">
        <f>'[1]2026 Orders'!N86</f>
        <v>NA</v>
      </c>
      <c r="Q85" t="str">
        <f>'[1]2026 Orders'!O86</f>
        <v>801131193058</v>
      </c>
      <c r="R85">
        <f>'[1]2026 Orders'!P86</f>
        <v>5000</v>
      </c>
      <c r="S85">
        <f>'[1]2026 Orders'!Q86</f>
        <v>4976</v>
      </c>
      <c r="T85" t="str">
        <f>'[1]2026 Orders'!R86</f>
        <v>Complete</v>
      </c>
      <c r="U85">
        <f>'[1]2026 Orders'!S86</f>
        <v>0</v>
      </c>
      <c r="V85">
        <f>'[1]2026 Orders'!T86</f>
        <v>0</v>
      </c>
      <c r="W85">
        <f>'[1]2026 Orders'!U86</f>
        <v>0</v>
      </c>
      <c r="X85">
        <f>'[1]2026 Orders'!V86</f>
        <v>0</v>
      </c>
      <c r="Y85">
        <f>'[1]2026 Orders'!W86</f>
        <v>0</v>
      </c>
      <c r="Z85">
        <f>'[1]2026 Orders'!X86</f>
        <v>0</v>
      </c>
      <c r="AC85" t="str">
        <f t="shared" si="2"/>
        <v>4872/</v>
      </c>
      <c r="AD85" t="e">
        <f t="shared" si="3"/>
        <v>#VALUE!</v>
      </c>
    </row>
    <row r="86" spans="1:30" ht="33" hidden="1" customHeight="1" x14ac:dyDescent="0.3">
      <c r="A86">
        <f>'[1]2026 Orders'!A87</f>
        <v>45967</v>
      </c>
      <c r="B86" s="14" t="str">
        <f>'[1]2026 Orders'!B87</f>
        <v>Iraq</v>
      </c>
      <c r="C86" s="14" t="str">
        <f>'[1]2026 Orders'!C87</f>
        <v>A4631</v>
      </c>
      <c r="D86" s="14" t="str">
        <f>'[1]2026 Orders'!D87</f>
        <v>49460126
Mfg:01/2026
Exp:01/2029                                      2/19/2026: Qty decreased to 4500 per packing slip</v>
      </c>
      <c r="E86" s="17" t="str" cm="1">
        <f t="array" ref="E86">IF(C86=0,"",
HYPERLINK(
"#'2026 Orders'!C"&amp;
MATCH(1,
('2026 Orders'!C:C=C86)*
('2026 Orders'!G:G=G86)*
('2026 Orders'!N:N=N86),
0),
"Open "&amp;C86
))</f>
        <v>Open A4631</v>
      </c>
      <c r="F86" s="14" t="str">
        <f>'[1]2026 Orders'!F87</f>
        <v>Iceland                                           6/8/2026: Product complete but pending accounting action.</v>
      </c>
      <c r="G86" s="14" t="str">
        <f>'[1]2026 Orders'!G87</f>
        <v>XTRAD5-60-FD</v>
      </c>
      <c r="H86" s="14" t="str" cm="1">
        <f t="array" ref="H86">IFERROR(_xlfn.TEXTJOIN("-",,INDEX(_xlfn.TEXTSPLIT(TableTake[[#This Row],[SKU]],"-"),{1,2})),"")</f>
        <v>XTRAD5-60</v>
      </c>
      <c r="I86" s="15" t="str">
        <f>IFERROR(_xlfn.TEXTAFTER(TableTake[[#This Row],[SKU]],"-",-1),"")</f>
        <v>FD</v>
      </c>
      <c r="J86" s="14">
        <f>'[1]2026 Orders'!H87</f>
        <v>4500</v>
      </c>
      <c r="K86" t="str">
        <f>'[1]2026 Orders'!I87</f>
        <v>F80-25.0</v>
      </c>
      <c r="L86">
        <f>'[1]2026 Orders'!J87</f>
        <v>0</v>
      </c>
      <c r="N86" s="10" t="str">
        <f>'[1]2026 Orders'!L87</f>
        <v>ON HOLD</v>
      </c>
      <c r="O86">
        <f>'[1]2026 Orders'!M87</f>
        <v>0</v>
      </c>
      <c r="P86" t="str">
        <f>'[1]2026 Orders'!N87</f>
        <v>NA</v>
      </c>
      <c r="Q86" t="str">
        <f>'[1]2026 Orders'!O87</f>
        <v>609788968030</v>
      </c>
      <c r="R86">
        <f>'[1]2026 Orders'!P87</f>
        <v>5000</v>
      </c>
      <c r="S86">
        <f>'[1]2026 Orders'!Q87</f>
        <v>4946</v>
      </c>
      <c r="T86" t="str">
        <f>'[1]2026 Orders'!R87</f>
        <v>Complete</v>
      </c>
      <c r="U86" t="str">
        <f>'[1]2026 Orders'!S87</f>
        <v>Waiting for product release</v>
      </c>
      <c r="V86">
        <f>'[1]2026 Orders'!T87</f>
        <v>0</v>
      </c>
      <c r="W86">
        <f>'[1]2026 Orders'!U87</f>
        <v>0</v>
      </c>
      <c r="X86">
        <f>'[1]2026 Orders'!V87</f>
        <v>0</v>
      </c>
      <c r="Y86">
        <f>'[1]2026 Orders'!W87</f>
        <v>0</v>
      </c>
      <c r="Z86">
        <f>'[1]2026 Orders'!X87</f>
        <v>0</v>
      </c>
      <c r="AC86" t="str">
        <f t="shared" si="2"/>
        <v>4500/</v>
      </c>
      <c r="AD86" t="e">
        <f t="shared" si="3"/>
        <v>#VALUE!</v>
      </c>
    </row>
    <row r="87" spans="1:30" ht="33" hidden="1" customHeight="1" x14ac:dyDescent="0.3">
      <c r="A87">
        <f>'[1]2026 Orders'!A88</f>
        <v>45763</v>
      </c>
      <c r="B87" s="14" t="str">
        <f>'[1]2026 Orders'!B88</f>
        <v>Iraq</v>
      </c>
      <c r="C87" s="14" t="str">
        <f>'[1]2026 Orders'!C88</f>
        <v>A4633</v>
      </c>
      <c r="D87" s="14">
        <f>'[1]2026 Orders'!D88</f>
        <v>0</v>
      </c>
      <c r="E87" s="17" t="e" cm="1">
        <f t="array" ref="E87">IF(C87=0,"",
HYPERLINK(
"#'2026 Orders'!C"&amp;
MATCH(1,
('2026 Orders'!C:C=C87)*
('2026 Orders'!G:G=G87)*
('2026 Orders'!N:N=N87),
0),
"Open "&amp;C87
))</f>
        <v>#N/A</v>
      </c>
      <c r="F87" s="14" t="str">
        <f>'[1]2026 Orders'!F88</f>
        <v xml:space="preserve">  8/18/2025: 30,000 packs moved from A4475  9/30/2025: Moved from IraqA4442 1/22/2026: Moved from IraqA4541</v>
      </c>
      <c r="G87" s="14" t="str">
        <f>'[1]2026 Orders'!G88</f>
        <v>MOTILMX-60-CS-IQ</v>
      </c>
      <c r="H87" s="14" t="str" cm="1">
        <f t="array" ref="H87">IFERROR(_xlfn.TEXTJOIN("-",,INDEX(_xlfn.TEXTSPLIT(TableTake[[#This Row],[SKU]],"-"),{1,2})),"")</f>
        <v>MOTILMX-60</v>
      </c>
      <c r="I87" s="15" t="str">
        <f>IFERROR(_xlfn.TEXTAFTER(TableTake[[#This Row],[SKU]],"-",-1),"")</f>
        <v>IQ</v>
      </c>
      <c r="J87" s="14">
        <f>'[1]2026 Orders'!H88</f>
        <v>30000</v>
      </c>
      <c r="K87" t="str">
        <f>'[1]2026 Orders'!I88</f>
        <v>IQ31-23.0</v>
      </c>
      <c r="L87">
        <f>'[1]2026 Orders'!J88</f>
        <v>30000</v>
      </c>
      <c r="N87" s="10">
        <f>'[1]2026 Orders'!L88</f>
        <v>0</v>
      </c>
      <c r="O87">
        <f>'[1]2026 Orders'!M88</f>
        <v>0</v>
      </c>
      <c r="P87" t="str">
        <f>'[1]2026 Orders'!N88</f>
        <v>NA</v>
      </c>
      <c r="Q87">
        <f>'[1]2026 Orders'!O88</f>
        <v>604776737681</v>
      </c>
      <c r="R87">
        <f>'[1]2026 Orders'!P88</f>
        <v>30000</v>
      </c>
      <c r="S87">
        <f>'[1]2026 Orders'!Q88</f>
        <v>4711</v>
      </c>
      <c r="T87" t="str">
        <f>'[1]2026 Orders'!R88</f>
        <v>Complete</v>
      </c>
      <c r="U87">
        <f>'[1]2026 Orders'!S88</f>
        <v>0</v>
      </c>
      <c r="V87">
        <f>'[1]2026 Orders'!T88</f>
        <v>0</v>
      </c>
      <c r="W87">
        <f>'[1]2026 Orders'!U88</f>
        <v>0</v>
      </c>
      <c r="X87">
        <f>'[1]2026 Orders'!V88</f>
        <v>0</v>
      </c>
      <c r="Y87">
        <f>'[1]2026 Orders'!W88</f>
        <v>0</v>
      </c>
      <c r="Z87">
        <f>'[1]2026 Orders'!X88</f>
        <v>0</v>
      </c>
      <c r="AC87" t="str">
        <f t="shared" si="2"/>
        <v>30000/</v>
      </c>
      <c r="AD87" t="e">
        <f t="shared" si="3"/>
        <v>#VALUE!</v>
      </c>
    </row>
    <row r="88" spans="1:30" ht="33" hidden="1" customHeight="1" x14ac:dyDescent="0.3">
      <c r="A88">
        <f>'[1]2026 Orders'!A89</f>
        <v>45995</v>
      </c>
      <c r="B88" s="14" t="str">
        <f>'[1]2026 Orders'!B89</f>
        <v>Iraq</v>
      </c>
      <c r="C88" s="14" t="str">
        <f>'[1]2026 Orders'!C89</f>
        <v>A4596</v>
      </c>
      <c r="D88" s="14" t="str">
        <f>'[1]2026 Orders'!D89</f>
        <v>45230325
Mfg: 03/2025
Exp: 03/2028</v>
      </c>
      <c r="E88" s="17" t="str" cm="1">
        <f t="array" ref="E88">IF(C88=0,"",
HYPERLINK(
"#'2026 Orders'!C"&amp;
MATCH(1,
('2026 Orders'!C:C=C88)*
('2026 Orders'!G:G=G88)*
('2026 Orders'!N:N=N88),
0),
"Open "&amp;C88
))</f>
        <v>Open A4596</v>
      </c>
      <c r="F88" s="14">
        <f>'[1]2026 Orders'!F89</f>
        <v>0</v>
      </c>
      <c r="G88" s="14" t="str">
        <f>'[1]2026 Orders'!G89</f>
        <v>UTIC-60-FD</v>
      </c>
      <c r="H88" s="14" t="str" cm="1">
        <f t="array" ref="H88">IFERROR(_xlfn.TEXTJOIN("-",,INDEX(_xlfn.TEXTSPLIT(TableTake[[#This Row],[SKU]],"-"),{1,2})),"")</f>
        <v>UTIC-60</v>
      </c>
      <c r="I88" s="15" t="str">
        <f>IFERROR(_xlfn.TEXTAFTER(TableTake[[#This Row],[SKU]],"-",-1),"")</f>
        <v>FD</v>
      </c>
      <c r="J88" s="14">
        <f>'[1]2026 Orders'!H89</f>
        <v>720</v>
      </c>
      <c r="K88" t="str">
        <f>'[1]2026 Orders'!I89</f>
        <v>F110-25.0</v>
      </c>
      <c r="L88">
        <f>'[1]2026 Orders'!J89</f>
        <v>720</v>
      </c>
      <c r="N88" s="10" t="str">
        <f>'[1]2026 Orders'!L89</f>
        <v>ON HOLD</v>
      </c>
      <c r="O88">
        <f>'[1]2026 Orders'!M89</f>
        <v>46092</v>
      </c>
      <c r="P88" t="str">
        <f>'[1]2026 Orders'!N89</f>
        <v>NA</v>
      </c>
      <c r="Q88" t="str">
        <f>'[1]2026 Orders'!O89</f>
        <v>810131192983</v>
      </c>
      <c r="R88">
        <f>'[1]2026 Orders'!P89</f>
        <v>0</v>
      </c>
      <c r="S88">
        <f>'[1]2026 Orders'!Q89</f>
        <v>4523</v>
      </c>
      <c r="T88">
        <f>'[1]2026 Orders'!R89</f>
        <v>0</v>
      </c>
      <c r="U88">
        <f>'[1]2026 Orders'!S89</f>
        <v>0</v>
      </c>
      <c r="V88">
        <f>'[1]2026 Orders'!T89</f>
        <v>0</v>
      </c>
      <c r="W88">
        <f>'[1]2026 Orders'!U89</f>
        <v>0</v>
      </c>
      <c r="X88">
        <f>'[1]2026 Orders'!V89</f>
        <v>0</v>
      </c>
      <c r="Y88">
        <f>'[1]2026 Orders'!W89</f>
        <v>0</v>
      </c>
      <c r="Z88" t="str">
        <f>'[1]2026 Orders'!X89</f>
        <v>HOLD</v>
      </c>
      <c r="AC88" t="str">
        <f t="shared" si="2"/>
        <v>720/</v>
      </c>
      <c r="AD88" t="e">
        <f t="shared" si="3"/>
        <v>#VALUE!</v>
      </c>
    </row>
    <row r="89" spans="1:30" ht="33" hidden="1" customHeight="1" x14ac:dyDescent="0.3">
      <c r="A89">
        <f>'[1]2026 Orders'!A90</f>
        <v>45995</v>
      </c>
      <c r="B89" s="14" t="str">
        <f>'[1]2026 Orders'!B90</f>
        <v>Iraq</v>
      </c>
      <c r="C89" s="14" t="str">
        <f>'[1]2026 Orders'!C90</f>
        <v>A4596</v>
      </c>
      <c r="D89" s="14" t="str">
        <f>'[1]2026 Orders'!D90</f>
        <v>48611125
Mfg:11/2025
Exp:11/2028</v>
      </c>
      <c r="E89" s="17" t="str" cm="1">
        <f t="array" ref="E89">IF(C89=0,"",
HYPERLINK(
"#'2026 Orders'!C"&amp;
MATCH(1,
('2026 Orders'!C:C=C89)*
('2026 Orders'!G:G=G89)*
('2026 Orders'!N:N=N89),
0),
"Open "&amp;C89
))</f>
        <v>Open A4596</v>
      </c>
      <c r="F89" s="14">
        <f>'[1]2026 Orders'!F90</f>
        <v>0</v>
      </c>
      <c r="G89" s="14" t="str">
        <f>'[1]2026 Orders'!G90</f>
        <v>TESTRON-60-FD</v>
      </c>
      <c r="H89" s="14" t="str" cm="1">
        <f t="array" ref="H89">IFERROR(_xlfn.TEXTJOIN("-",,INDEX(_xlfn.TEXTSPLIT(TableTake[[#This Row],[SKU]],"-"),{1,2})),"")</f>
        <v>TESTRON-60</v>
      </c>
      <c r="I89" s="15" t="str">
        <f>IFERROR(_xlfn.TEXTAFTER(TableTake[[#This Row],[SKU]],"-",-1),"")</f>
        <v>FD</v>
      </c>
      <c r="J89" s="14">
        <f>'[1]2026 Orders'!H90</f>
        <v>2200</v>
      </c>
      <c r="K89" t="str">
        <f>'[1]2026 Orders'!I90</f>
        <v>F103-25.0</v>
      </c>
      <c r="L89">
        <f>'[1]2026 Orders'!J90</f>
        <v>2200</v>
      </c>
      <c r="N89" s="10" t="str">
        <f>'[1]2026 Orders'!L90</f>
        <v>ON HOLD</v>
      </c>
      <c r="O89">
        <f>'[1]2026 Orders'!M90</f>
        <v>0</v>
      </c>
      <c r="P89" t="str">
        <f>'[1]2026 Orders'!N90</f>
        <v>NA</v>
      </c>
      <c r="Q89" t="str">
        <f>'[1]2026 Orders'!O90</f>
        <v>810131192907</v>
      </c>
      <c r="R89">
        <f>'[1]2026 Orders'!P90</f>
        <v>5000</v>
      </c>
      <c r="S89">
        <f>'[1]2026 Orders'!Q90</f>
        <v>4861</v>
      </c>
      <c r="T89" t="str">
        <f>'[1]2026 Orders'!R90</f>
        <v>complete</v>
      </c>
      <c r="U89">
        <f>'[1]2026 Orders'!S90</f>
        <v>0</v>
      </c>
      <c r="V89">
        <f>'[1]2026 Orders'!T90</f>
        <v>0</v>
      </c>
      <c r="W89">
        <f>'[1]2026 Orders'!U90</f>
        <v>0</v>
      </c>
      <c r="X89">
        <f>'[1]2026 Orders'!V90</f>
        <v>0</v>
      </c>
      <c r="Y89">
        <f>'[1]2026 Orders'!W90</f>
        <v>0</v>
      </c>
      <c r="Z89">
        <f>'[1]2026 Orders'!X90</f>
        <v>0</v>
      </c>
      <c r="AC89" t="str">
        <f t="shared" si="2"/>
        <v>2200/</v>
      </c>
      <c r="AD89" t="e">
        <f t="shared" si="3"/>
        <v>#VALUE!</v>
      </c>
    </row>
    <row r="90" spans="1:30" ht="33" hidden="1" customHeight="1" x14ac:dyDescent="0.3">
      <c r="A90">
        <f>'[1]2026 Orders'!A91</f>
        <v>45995</v>
      </c>
      <c r="B90" s="14" t="str">
        <f>'[1]2026 Orders'!B91</f>
        <v>Iraq</v>
      </c>
      <c r="C90" s="14" t="str">
        <f>'[1]2026 Orders'!C91</f>
        <v>A4596</v>
      </c>
      <c r="D90" s="14" t="str">
        <f>'[1]2026 Orders'!D91</f>
        <v>45320225
Mfg: 02/2025
Exp: 02/2028</v>
      </c>
      <c r="E90" s="17" t="str" cm="1">
        <f t="array" ref="E90">IF(C90=0,"",
HYPERLINK(
"#'2026 Orders'!C"&amp;
MATCH(1,
('2026 Orders'!C:C=C90)*
('2026 Orders'!G:G=G90)*
('2026 Orders'!N:N=N90),
0),
"Open "&amp;C90
))</f>
        <v>Open A4596</v>
      </c>
      <c r="F90" s="14">
        <f>'[1]2026 Orders'!F91</f>
        <v>0</v>
      </c>
      <c r="G90" s="14" t="str">
        <f>'[1]2026 Orders'!G91</f>
        <v>BRSTW-60-FD</v>
      </c>
      <c r="H90" s="14" t="str" cm="1">
        <f t="array" ref="H90">IFERROR(_xlfn.TEXTJOIN("-",,INDEX(_xlfn.TEXTSPLIT(TableTake[[#This Row],[SKU]],"-"),{1,2})),"")</f>
        <v>BRSTW-60</v>
      </c>
      <c r="I90" s="15" t="str">
        <f>IFERROR(_xlfn.TEXTAFTER(TableTake[[#This Row],[SKU]],"-",-1),"")</f>
        <v>FD</v>
      </c>
      <c r="J90" s="14">
        <f>'[1]2026 Orders'!H91</f>
        <v>550</v>
      </c>
      <c r="K90" t="str">
        <f>'[1]2026 Orders'!I91</f>
        <v>F112-25.1</v>
      </c>
      <c r="L90">
        <f>'[1]2026 Orders'!J91</f>
        <v>550</v>
      </c>
      <c r="N90" s="10" t="str">
        <f>'[1]2026 Orders'!L91</f>
        <v>ON HOLD</v>
      </c>
      <c r="O90">
        <f>'[1]2026 Orders'!M91</f>
        <v>0</v>
      </c>
      <c r="P90" t="str">
        <f>'[1]2026 Orders'!N91</f>
        <v>NA</v>
      </c>
      <c r="Q90">
        <f>'[1]2026 Orders'!O91</f>
        <v>810131190040</v>
      </c>
      <c r="R90">
        <f>'[1]2026 Orders'!P91</f>
        <v>0</v>
      </c>
      <c r="S90">
        <f>'[1]2026 Orders'!Q91</f>
        <v>4532</v>
      </c>
      <c r="T90">
        <f>'[1]2026 Orders'!R91</f>
        <v>0</v>
      </c>
      <c r="U90">
        <f>'[1]2026 Orders'!S91</f>
        <v>0</v>
      </c>
      <c r="V90">
        <f>'[1]2026 Orders'!T91</f>
        <v>0</v>
      </c>
      <c r="W90">
        <f>'[1]2026 Orders'!U91</f>
        <v>0</v>
      </c>
      <c r="X90">
        <f>'[1]2026 Orders'!V91</f>
        <v>0</v>
      </c>
      <c r="Y90">
        <f>'[1]2026 Orders'!W91</f>
        <v>0</v>
      </c>
      <c r="Z90">
        <f>'[1]2026 Orders'!X91</f>
        <v>0</v>
      </c>
      <c r="AC90" t="str">
        <f t="shared" si="2"/>
        <v>550/</v>
      </c>
      <c r="AD90" t="e">
        <f t="shared" si="3"/>
        <v>#VALUE!</v>
      </c>
    </row>
    <row r="91" spans="1:30" ht="33" hidden="1" customHeight="1" x14ac:dyDescent="0.3">
      <c r="A91">
        <f>'[1]2026 Orders'!A92</f>
        <v>45763</v>
      </c>
      <c r="B91" s="14" t="str">
        <f>'[1]2026 Orders'!B92</f>
        <v>Iraq</v>
      </c>
      <c r="C91" s="14" t="str">
        <f>'[1]2026 Orders'!C92</f>
        <v>A4596</v>
      </c>
      <c r="D91" s="14">
        <f>'[1]2026 Orders'!D92</f>
        <v>0</v>
      </c>
      <c r="E91" s="17" t="str" cm="1">
        <f t="array" ref="E91">IF(C91=0,"",
HYPERLINK(
"#'2026 Orders'!C"&amp;
MATCH(1,
('2026 Orders'!C:C=C91)*
('2026 Orders'!G:G=G91)*
('2026 Orders'!N:N=N91),
0),
"Open "&amp;C91
))</f>
        <v>Open A4596</v>
      </c>
      <c r="F91" s="14" t="str">
        <f>'[1]2026 Orders'!F92</f>
        <v>9/30/2025: Moved from IraqA4442 2/17/2026: Moved from IraqA4541 to consolidate for shipment.</v>
      </c>
      <c r="G91" s="14" t="str">
        <f>'[1]2026 Orders'!G92</f>
        <v>GINKGO-60-FD</v>
      </c>
      <c r="H91" s="14" t="str" cm="1">
        <f t="array" ref="H91">IFERROR(_xlfn.TEXTJOIN("-",,INDEX(_xlfn.TEXTSPLIT(TableTake[[#This Row],[SKU]],"-"),{1,2})),"")</f>
        <v>GINKGO-60</v>
      </c>
      <c r="I91" s="15" t="str">
        <f>IFERROR(_xlfn.TEXTAFTER(TableTake[[#This Row],[SKU]],"-",-1),"")</f>
        <v>FD</v>
      </c>
      <c r="J91" s="14">
        <f>'[1]2026 Orders'!H92</f>
        <v>6000</v>
      </c>
      <c r="K91" t="str">
        <f>'[1]2026 Orders'!I92</f>
        <v>F21-23.0</v>
      </c>
      <c r="L91">
        <f>'[1]2026 Orders'!J92</f>
        <v>6000</v>
      </c>
      <c r="N91" s="10" t="str">
        <f>'[1]2026 Orders'!L92</f>
        <v>ON HOLD</v>
      </c>
      <c r="O91">
        <f>'[1]2026 Orders'!M92</f>
        <v>0</v>
      </c>
      <c r="P91" t="str">
        <f>'[1]2026 Orders'!N92</f>
        <v>NA</v>
      </c>
      <c r="Q91">
        <f>'[1]2026 Orders'!O92</f>
        <v>609788968146</v>
      </c>
      <c r="R91">
        <f>'[1]2026 Orders'!P92</f>
        <v>6000</v>
      </c>
      <c r="S91">
        <f>'[1]2026 Orders'!Q92</f>
        <v>4964</v>
      </c>
      <c r="T91">
        <f>'[1]2026 Orders'!R92</f>
        <v>46052</v>
      </c>
      <c r="U91">
        <f>'[1]2026 Orders'!S92</f>
        <v>0</v>
      </c>
      <c r="V91">
        <f>'[1]2026 Orders'!T92</f>
        <v>0</v>
      </c>
      <c r="W91">
        <f>'[1]2026 Orders'!U92</f>
        <v>0</v>
      </c>
      <c r="X91">
        <f>'[1]2026 Orders'!V92</f>
        <v>0</v>
      </c>
      <c r="Y91">
        <f>'[1]2026 Orders'!W92</f>
        <v>0</v>
      </c>
      <c r="Z91">
        <f>'[1]2026 Orders'!X92</f>
        <v>0</v>
      </c>
      <c r="AC91" t="str">
        <f t="shared" si="2"/>
        <v>6000/</v>
      </c>
      <c r="AD91" t="e">
        <f t="shared" si="3"/>
        <v>#VALUE!</v>
      </c>
    </row>
    <row r="92" spans="1:30" ht="33" hidden="1" customHeight="1" x14ac:dyDescent="0.3">
      <c r="A92">
        <f>'[1]2026 Orders'!A93</f>
        <v>45617</v>
      </c>
      <c r="B92" s="14" t="str">
        <f>'[1]2026 Orders'!B93</f>
        <v>Iraq</v>
      </c>
      <c r="C92" s="14" t="str">
        <f>'[1]2026 Orders'!C93</f>
        <v>A4596</v>
      </c>
      <c r="D92" s="14" t="str">
        <f>'[1]2026 Orders'!D93</f>
        <v>48760725
Mfg:07/2025
Exp:07/2028</v>
      </c>
      <c r="E92" s="17" t="str" cm="1">
        <f t="array" ref="E92">IF(C92=0,"",
HYPERLINK(
"#'2026 Orders'!C"&amp;
MATCH(1,
('2026 Orders'!C:C=C92)*
('2026 Orders'!G:G=G92)*
('2026 Orders'!N:N=N92),
0),
"Open "&amp;C92
))</f>
        <v>Open A4596</v>
      </c>
      <c r="F92" s="14" t="str">
        <f>'[1]2026 Orders'!F93</f>
        <v>5/22/2025: Products moved from IraqA4434 
9/30/2025: Moved from A4384
1/15/2025: Moved 1421 from Iraq A4541 
1/20/2025: 92 bottles allocated to georgia A4615
3/30/2026: qty decreased 1329 -&gt; 529 after allocating to UAE A4644</v>
      </c>
      <c r="G92" s="14" t="str">
        <f>'[1]2026 Orders'!G93</f>
        <v>QWELL2-60-SG-CS-IQ</v>
      </c>
      <c r="H92" s="14" t="str" cm="1">
        <f t="array" ref="H92">IFERROR(_xlfn.TEXTJOIN("-",,INDEX(_xlfn.TEXTSPLIT(TableTake[[#This Row],[SKU]],"-"),{1,2})),"")</f>
        <v>QWELL2-60</v>
      </c>
      <c r="I92" s="15" t="str">
        <f>IFERROR(_xlfn.TEXTAFTER(TableTake[[#This Row],[SKU]],"-",-1),"")</f>
        <v>IQ</v>
      </c>
      <c r="J92" s="14">
        <f>'[1]2026 Orders'!H93</f>
        <v>529</v>
      </c>
      <c r="K92" t="str">
        <f>'[1]2026 Orders'!I93</f>
        <v>IQ57-25.2</v>
      </c>
      <c r="L92">
        <f>'[1]2026 Orders'!J93</f>
        <v>529</v>
      </c>
      <c r="N92" s="10" t="str">
        <f>'[1]2026 Orders'!L93</f>
        <v>ON HOLD</v>
      </c>
      <c r="O92">
        <f>'[1]2026 Orders'!M93</f>
        <v>0</v>
      </c>
      <c r="P92" t="str">
        <f>'[1]2026 Orders'!N93</f>
        <v>NA</v>
      </c>
      <c r="Q92">
        <f>'[1]2026 Orders'!O93</f>
        <v>609788968528</v>
      </c>
      <c r="R92">
        <f>'[1]2026 Orders'!P93</f>
        <v>5000</v>
      </c>
      <c r="S92">
        <f>'[1]2026 Orders'!Q93</f>
        <v>4876</v>
      </c>
      <c r="T92" t="str">
        <f>'[1]2026 Orders'!R93</f>
        <v>complete</v>
      </c>
      <c r="U92" t="str">
        <f>'[1]2026 Orders'!S93</f>
        <v>BULK PO A4758</v>
      </c>
      <c r="V92">
        <f>'[1]2026 Orders'!T93</f>
        <v>0</v>
      </c>
      <c r="W92">
        <f>'[1]2026 Orders'!U93</f>
        <v>0</v>
      </c>
      <c r="X92">
        <f>'[1]2026 Orders'!V93</f>
        <v>0</v>
      </c>
      <c r="Y92">
        <f>'[1]2026 Orders'!W93</f>
        <v>0</v>
      </c>
      <c r="Z92">
        <f>'[1]2026 Orders'!X93</f>
        <v>0</v>
      </c>
      <c r="AC92" t="str">
        <f t="shared" si="2"/>
        <v>529/</v>
      </c>
      <c r="AD92" t="e">
        <f t="shared" si="3"/>
        <v>#VALUE!</v>
      </c>
    </row>
    <row r="93" spans="1:30" ht="33" hidden="1" customHeight="1" x14ac:dyDescent="0.3">
      <c r="A93">
        <f>'[1]2026 Orders'!A94</f>
        <v>45763</v>
      </c>
      <c r="B93" s="14" t="str">
        <f>'[1]2026 Orders'!B94</f>
        <v>Iraq</v>
      </c>
      <c r="C93" s="14" t="str">
        <f>'[1]2026 Orders'!C94</f>
        <v>A4596</v>
      </c>
      <c r="D93" s="14">
        <f>'[1]2026 Orders'!D94</f>
        <v>0</v>
      </c>
      <c r="E93" s="17" t="str" cm="1">
        <f t="array" ref="E93">IF(C93=0,"",
HYPERLINK(
"#'2026 Orders'!C"&amp;
MATCH(1,
('2026 Orders'!C:C=C93)*
('2026 Orders'!G:G=G93)*
('2026 Orders'!N:N=N93),
0),
"Open "&amp;C93
))</f>
        <v>Open A4596</v>
      </c>
      <c r="F93" s="14" t="str">
        <f>'[1]2026 Orders'!F94</f>
        <v>10/29/2025: moved from IraqA4442 2/10/26: Qty increased from 5000 -&gt; 5208                                   2/17/2026: Moved from IraqA4541 to consolidate for shipment.              5/22/2026: Reduced from 5208 pcs to 4158 pcs. Allocated 1050 pcs to Egypt A4683.</v>
      </c>
      <c r="G93" s="14" t="str">
        <f>'[1]2026 Orders'!G94</f>
        <v>QWELL2-60-SG-CS-IQ</v>
      </c>
      <c r="H93" s="14" t="str" cm="1">
        <f t="array" ref="H93">IFERROR(_xlfn.TEXTJOIN("-",,INDEX(_xlfn.TEXTSPLIT(TableTake[[#This Row],[SKU]],"-"),{1,2})),"")</f>
        <v>QWELL2-60</v>
      </c>
      <c r="I93" s="15" t="str">
        <f>IFERROR(_xlfn.TEXTAFTER(TableTake[[#This Row],[SKU]],"-",-1),"")</f>
        <v>IQ</v>
      </c>
      <c r="J93" s="14">
        <f>'[1]2026 Orders'!H94</f>
        <v>4158</v>
      </c>
      <c r="K93" t="str">
        <f>'[1]2026 Orders'!I94</f>
        <v>IQ57-25.2</v>
      </c>
      <c r="L93">
        <f>'[1]2026 Orders'!J94</f>
        <v>4158</v>
      </c>
      <c r="N93" s="10" t="str">
        <f>'[1]2026 Orders'!L94</f>
        <v>ON HOLD</v>
      </c>
      <c r="O93">
        <f>'[1]2026 Orders'!M94</f>
        <v>0</v>
      </c>
      <c r="P93" t="str">
        <f>'[1]2026 Orders'!N94</f>
        <v>NA</v>
      </c>
      <c r="Q93">
        <f>'[1]2026 Orders'!O94</f>
        <v>609788968528</v>
      </c>
      <c r="R93">
        <f>'[1]2026 Orders'!P94</f>
        <v>5000</v>
      </c>
      <c r="S93">
        <f>'[1]2026 Orders'!Q94</f>
        <v>4966</v>
      </c>
      <c r="T93">
        <f>'[1]2026 Orders'!R94</f>
        <v>46052</v>
      </c>
      <c r="U93">
        <f>'[1]2026 Orders'!S94</f>
        <v>0</v>
      </c>
      <c r="V93">
        <f>'[1]2026 Orders'!T94</f>
        <v>0</v>
      </c>
      <c r="W93">
        <f>'[1]2026 Orders'!U94</f>
        <v>0</v>
      </c>
      <c r="X93">
        <f>'[1]2026 Orders'!V94</f>
        <v>0</v>
      </c>
      <c r="Y93">
        <f>'[1]2026 Orders'!W94</f>
        <v>0</v>
      </c>
      <c r="Z93">
        <f>'[1]2026 Orders'!X94</f>
        <v>0</v>
      </c>
      <c r="AC93" t="str">
        <f t="shared" si="2"/>
        <v>4158/</v>
      </c>
      <c r="AD93" t="e">
        <f t="shared" si="3"/>
        <v>#VALUE!</v>
      </c>
    </row>
    <row r="94" spans="1:30" ht="33" hidden="1" customHeight="1" x14ac:dyDescent="0.3">
      <c r="A94">
        <f>'[1]2026 Orders'!A95</f>
        <v>45763</v>
      </c>
      <c r="B94" s="14" t="str">
        <f>'[1]2026 Orders'!B95</f>
        <v>Iraq</v>
      </c>
      <c r="C94" s="14" t="str">
        <f>'[1]2026 Orders'!C95</f>
        <v>A4596</v>
      </c>
      <c r="D94" s="14">
        <f>'[1]2026 Orders'!D95</f>
        <v>0</v>
      </c>
      <c r="E94" s="17" t="str" cm="1">
        <f t="array" ref="E94">IF(C94=0,"",
HYPERLINK(
"#'2026 Orders'!C"&amp;
MATCH(1,
('2026 Orders'!C:C=C94)*
('2026 Orders'!G:G=G94)*
('2026 Orders'!N:N=N94),
0),
"Open "&amp;C94
))</f>
        <v>Open A4596</v>
      </c>
      <c r="F94" s="14" t="str">
        <f>'[1]2026 Orders'!F95</f>
        <v>2/10/26: Qty decreased from 1500 -&gt; 953
2/17/2026: Moved from IraqA4541 to consolidate for shipment.</v>
      </c>
      <c r="G94" s="14" t="str">
        <f>'[1]2026 Orders'!G95</f>
        <v>QWELL2-60-SG-CS-IQ</v>
      </c>
      <c r="H94" s="14" t="str" cm="1">
        <f t="array" ref="H94">IFERROR(_xlfn.TEXTJOIN("-",,INDEX(_xlfn.TEXTSPLIT(TableTake[[#This Row],[SKU]],"-"),{1,2})),"")</f>
        <v>QWELL2-60</v>
      </c>
      <c r="I94" s="15" t="str">
        <f>IFERROR(_xlfn.TEXTAFTER(TableTake[[#This Row],[SKU]],"-",-1),"")</f>
        <v>IQ</v>
      </c>
      <c r="J94" s="14">
        <f>'[1]2026 Orders'!H95</f>
        <v>953</v>
      </c>
      <c r="K94" t="str">
        <f>'[1]2026 Orders'!I95</f>
        <v>IQ58-24.0</v>
      </c>
      <c r="L94">
        <f>'[1]2026 Orders'!J95</f>
        <v>953</v>
      </c>
      <c r="N94" s="10" t="str">
        <f>'[1]2026 Orders'!L95</f>
        <v>ON HOLD</v>
      </c>
      <c r="O94">
        <f>'[1]2026 Orders'!M95</f>
        <v>0</v>
      </c>
      <c r="P94" t="str">
        <f>'[1]2026 Orders'!N95</f>
        <v>NA</v>
      </c>
      <c r="Q94">
        <f>'[1]2026 Orders'!O95</f>
        <v>609788968528</v>
      </c>
      <c r="R94">
        <f>'[1]2026 Orders'!P95</f>
        <v>2550</v>
      </c>
      <c r="S94">
        <f>'[1]2026 Orders'!Q95</f>
        <v>4965</v>
      </c>
      <c r="T94">
        <f>'[1]2026 Orders'!R95</f>
        <v>46058</v>
      </c>
      <c r="U94">
        <f>'[1]2026 Orders'!S95</f>
        <v>0</v>
      </c>
      <c r="V94">
        <f>'[1]2026 Orders'!T95</f>
        <v>0</v>
      </c>
      <c r="W94">
        <f>'[1]2026 Orders'!U95</f>
        <v>0</v>
      </c>
      <c r="X94">
        <f>'[1]2026 Orders'!V95</f>
        <v>0</v>
      </c>
      <c r="Y94">
        <f>'[1]2026 Orders'!W95</f>
        <v>0</v>
      </c>
      <c r="Z94">
        <f>'[1]2026 Orders'!X95</f>
        <v>0</v>
      </c>
      <c r="AC94" t="str">
        <f t="shared" si="2"/>
        <v>953/</v>
      </c>
      <c r="AD94" t="e">
        <f t="shared" si="3"/>
        <v>#VALUE!</v>
      </c>
    </row>
    <row r="95" spans="1:30" ht="33" hidden="1" customHeight="1" x14ac:dyDescent="0.3">
      <c r="A95">
        <f>'[1]2026 Orders'!A96</f>
        <v>45763</v>
      </c>
      <c r="B95" s="14" t="str">
        <f>'[1]2026 Orders'!B96</f>
        <v>Iraq</v>
      </c>
      <c r="C95" s="14" t="str">
        <f>'[1]2026 Orders'!C96</f>
        <v>A4596</v>
      </c>
      <c r="D95" s="14" t="str">
        <f>'[1]2026 Orders'!D96</f>
        <v>48391125
Mfg:11/2025
Exp:11/2028</v>
      </c>
      <c r="E95" s="17" t="str" cm="1">
        <f t="array" ref="E95">IF(C95=0,"",
HYPERLINK(
"#'2026 Orders'!C"&amp;
MATCH(1,
('2026 Orders'!C:C=C95)*
('2026 Orders'!G:G=G95)*
('2026 Orders'!N:N=N95),
0),
"Open "&amp;C95
))</f>
        <v>Open A4596</v>
      </c>
      <c r="F95" s="14" t="str">
        <f>'[1]2026 Orders'!F96</f>
        <v>9/30/2025: Moved from IraqA4442 1/15/2025: moved from IraqA4541</v>
      </c>
      <c r="G95" s="14" t="str">
        <f>'[1]2026 Orders'!G96</f>
        <v>NRGWOM-45-FD</v>
      </c>
      <c r="H95" s="14" t="str" cm="1">
        <f t="array" ref="H95">IFERROR(_xlfn.TEXTJOIN("-",,INDEX(_xlfn.TEXTSPLIT(TableTake[[#This Row],[SKU]],"-"),{1,2})),"")</f>
        <v>NRGWOM-45</v>
      </c>
      <c r="I95" s="15" t="str">
        <f>IFERROR(_xlfn.TEXTAFTER(TableTake[[#This Row],[SKU]],"-",-1),"")</f>
        <v>FD</v>
      </c>
      <c r="J95" s="14">
        <f>'[1]2026 Orders'!H96</f>
        <v>860</v>
      </c>
      <c r="K95" t="str">
        <f>'[1]2026 Orders'!I96</f>
        <v>F83-22.0</v>
      </c>
      <c r="L95">
        <f>'[1]2026 Orders'!J96</f>
        <v>860</v>
      </c>
      <c r="N95" s="10" t="str">
        <f>'[1]2026 Orders'!L96</f>
        <v>ON HOLD</v>
      </c>
      <c r="O95">
        <f>'[1]2026 Orders'!M96</f>
        <v>0</v>
      </c>
      <c r="P95" t="str">
        <f>'[1]2026 Orders'!N96</f>
        <v>Y</v>
      </c>
      <c r="Q95">
        <f>'[1]2026 Orders'!O96</f>
        <v>604776735885</v>
      </c>
      <c r="R95">
        <f>'[1]2026 Orders'!P96</f>
        <v>5000</v>
      </c>
      <c r="S95">
        <f>'[1]2026 Orders'!Q96</f>
        <v>4839</v>
      </c>
      <c r="T95" t="str">
        <f>'[1]2026 Orders'!R96</f>
        <v>complete</v>
      </c>
      <c r="U95">
        <f>'[1]2026 Orders'!S96</f>
        <v>0</v>
      </c>
      <c r="V95">
        <f>'[1]2026 Orders'!T96</f>
        <v>0</v>
      </c>
      <c r="W95">
        <f>'[1]2026 Orders'!U96</f>
        <v>0</v>
      </c>
      <c r="X95">
        <f>'[1]2026 Orders'!V96</f>
        <v>0</v>
      </c>
      <c r="Y95">
        <f>'[1]2026 Orders'!W96</f>
        <v>0</v>
      </c>
      <c r="Z95">
        <f>'[1]2026 Orders'!X96</f>
        <v>0</v>
      </c>
      <c r="AC95" t="str">
        <f t="shared" si="2"/>
        <v>860/</v>
      </c>
      <c r="AD95" t="e">
        <f t="shared" si="3"/>
        <v>#VALUE!</v>
      </c>
    </row>
    <row r="96" spans="1:30" ht="33" hidden="1" customHeight="1" x14ac:dyDescent="0.3">
      <c r="A96">
        <f>'[1]2026 Orders'!A97</f>
        <v>45995</v>
      </c>
      <c r="B96" s="14" t="str">
        <f>'[1]2026 Orders'!B97</f>
        <v>Iraq</v>
      </c>
      <c r="C96" s="14" t="str">
        <f>'[1]2026 Orders'!C97</f>
        <v>A4596</v>
      </c>
      <c r="D96" s="14">
        <f>'[1]2026 Orders'!D97</f>
        <v>0</v>
      </c>
      <c r="E96" s="17" t="str" cm="1">
        <f t="array" ref="E96">IF(C96=0,"",
HYPERLINK(
"#'2026 Orders'!C"&amp;
MATCH(1,
('2026 Orders'!C:C=C96)*
('2026 Orders'!G:G=G96)*
('2026 Orders'!N:N=N96),
0),
"Open "&amp;C96
))</f>
        <v>Open A4596</v>
      </c>
      <c r="F96" s="14" t="str">
        <f>'[1]2026 Orders'!F97</f>
        <v>1/15/2026: moved from IraqA4541                                 2/17/2026: Moved from IraqA4541 to consolidate for shipment.</v>
      </c>
      <c r="G96" s="14" t="str">
        <f>'[1]2026 Orders'!G97</f>
        <v>NMNH-60-FD</v>
      </c>
      <c r="H96" s="14" t="str" cm="1">
        <f t="array" ref="H96">IFERROR(_xlfn.TEXTJOIN("-",,INDEX(_xlfn.TEXTSPLIT(TableTake[[#This Row],[SKU]],"-"),{1,2})),"")</f>
        <v>NMNH-60</v>
      </c>
      <c r="I96" s="15" t="str">
        <f>IFERROR(_xlfn.TEXTAFTER(TableTake[[#This Row],[SKU]],"-",-1),"")</f>
        <v>FD</v>
      </c>
      <c r="J96" s="14">
        <f>'[1]2026 Orders'!H97</f>
        <v>2200</v>
      </c>
      <c r="K96" t="str">
        <f>'[1]2026 Orders'!I97</f>
        <v>F114-25.0</v>
      </c>
      <c r="L96">
        <f>'[1]2026 Orders'!J97</f>
        <v>2200</v>
      </c>
      <c r="N96" s="10" t="str">
        <f>'[1]2026 Orders'!L97</f>
        <v>ON HOLD</v>
      </c>
      <c r="O96">
        <f>'[1]2026 Orders'!M97</f>
        <v>0</v>
      </c>
      <c r="P96" t="str">
        <f>'[1]2026 Orders'!N97</f>
        <v>Y</v>
      </c>
      <c r="Q96" t="str">
        <f>'[1]2026 Orders'!O97</f>
        <v>810131192990</v>
      </c>
      <c r="R96">
        <f>'[1]2026 Orders'!P97</f>
        <v>5000</v>
      </c>
      <c r="S96">
        <f>'[1]2026 Orders'!Q97</f>
        <v>4798</v>
      </c>
      <c r="T96" t="str">
        <f>'[1]2026 Orders'!R97</f>
        <v>complete</v>
      </c>
      <c r="U96">
        <f>'[1]2026 Orders'!S97</f>
        <v>0</v>
      </c>
      <c r="V96">
        <f>'[1]2026 Orders'!T97</f>
        <v>0</v>
      </c>
      <c r="W96">
        <f>'[1]2026 Orders'!U97</f>
        <v>0</v>
      </c>
      <c r="X96">
        <f>'[1]2026 Orders'!V97</f>
        <v>0</v>
      </c>
      <c r="Y96">
        <f>'[1]2026 Orders'!W97</f>
        <v>0</v>
      </c>
      <c r="Z96">
        <f>'[1]2026 Orders'!X97</f>
        <v>0</v>
      </c>
      <c r="AC96" t="str">
        <f t="shared" si="2"/>
        <v>2200/</v>
      </c>
      <c r="AD96" t="e">
        <f t="shared" si="3"/>
        <v>#VALUE!</v>
      </c>
    </row>
    <row r="97" spans="1:30" ht="33" hidden="1" customHeight="1" x14ac:dyDescent="0.3">
      <c r="A97">
        <f>'[1]2026 Orders'!A98</f>
        <v>46072</v>
      </c>
      <c r="B97" s="14" t="str">
        <f>'[1]2026 Orders'!B98</f>
        <v>Iraq</v>
      </c>
      <c r="C97" s="14" t="str">
        <f>'[1]2026 Orders'!C98</f>
        <v>A4596</v>
      </c>
      <c r="D97" s="14">
        <f>'[1]2026 Orders'!D98</f>
        <v>0</v>
      </c>
      <c r="E97" s="17" t="str" cm="1">
        <f t="array" ref="E97">IF(C97=0,"",
HYPERLINK(
"#'2026 Orders'!C"&amp;
MATCH(1,
('2026 Orders'!C:C=C97)*
('2026 Orders'!G:G=G97)*
('2026 Orders'!N:N=N97),
0),
"Open "&amp;C97
))</f>
        <v>Open A4596</v>
      </c>
      <c r="F97" s="14" t="str">
        <f>'[1]2026 Orders'!F98</f>
        <v>2/19/2025: Added to order - product in Inventory               2/20/2026: Reduced qty from 1453 -&gt; 1451 after re-work.</v>
      </c>
      <c r="G97" s="14" t="str">
        <f>'[1]2026 Orders'!G98</f>
        <v>CAVINAD-60-FD</v>
      </c>
      <c r="H97" s="14" t="str" cm="1">
        <f t="array" ref="H97">IFERROR(_xlfn.TEXTJOIN("-",,INDEX(_xlfn.TEXTSPLIT(TableTake[[#This Row],[SKU]],"-"),{1,2})),"")</f>
        <v>CAVINAD-60</v>
      </c>
      <c r="I97" s="15" t="str">
        <f>IFERROR(_xlfn.TEXTAFTER(TableTake[[#This Row],[SKU]],"-",-1),"")</f>
        <v>FD</v>
      </c>
      <c r="J97" s="14">
        <f>'[1]2026 Orders'!H98</f>
        <v>1451</v>
      </c>
      <c r="K97">
        <f>'[1]2026 Orders'!I98</f>
        <v>0</v>
      </c>
      <c r="L97">
        <f>'[1]2026 Orders'!J98</f>
        <v>1453</v>
      </c>
      <c r="N97" s="10" t="str">
        <f>'[1]2026 Orders'!L98</f>
        <v>ON HOLD</v>
      </c>
      <c r="O97">
        <f>'[1]2026 Orders'!M98</f>
        <v>0</v>
      </c>
      <c r="P97" t="str">
        <f>'[1]2026 Orders'!N98</f>
        <v>NA</v>
      </c>
      <c r="Q97">
        <f>'[1]2026 Orders'!O98</f>
        <v>609788968610</v>
      </c>
      <c r="R97">
        <f>'[1]2026 Orders'!P98</f>
        <v>0</v>
      </c>
      <c r="S97">
        <f>'[1]2026 Orders'!Q98</f>
        <v>0</v>
      </c>
      <c r="T97">
        <f>'[1]2026 Orders'!R98</f>
        <v>0</v>
      </c>
      <c r="U97">
        <f>'[1]2026 Orders'!S98</f>
        <v>0</v>
      </c>
      <c r="V97">
        <f>'[1]2026 Orders'!T98</f>
        <v>0</v>
      </c>
      <c r="W97">
        <f>'[1]2026 Orders'!U98</f>
        <v>0</v>
      </c>
      <c r="X97">
        <f>'[1]2026 Orders'!V98</f>
        <v>0</v>
      </c>
      <c r="Y97">
        <f>'[1]2026 Orders'!W98</f>
        <v>0</v>
      </c>
      <c r="Z97">
        <f>'[1]2026 Orders'!X98</f>
        <v>0</v>
      </c>
      <c r="AC97" t="str">
        <f t="shared" si="2"/>
        <v>1451/</v>
      </c>
      <c r="AD97" t="e">
        <f t="shared" si="3"/>
        <v>#VALUE!</v>
      </c>
    </row>
    <row r="98" spans="1:30" ht="33" hidden="1" customHeight="1" x14ac:dyDescent="0.3">
      <c r="A98">
        <f>'[1]2026 Orders'!A99</f>
        <v>46072</v>
      </c>
      <c r="B98" s="14" t="str">
        <f>'[1]2026 Orders'!B99</f>
        <v>Iraq</v>
      </c>
      <c r="C98" s="14" t="str">
        <f>'[1]2026 Orders'!C99</f>
        <v>A4596</v>
      </c>
      <c r="D98" s="14">
        <f>'[1]2026 Orders'!D99</f>
        <v>0</v>
      </c>
      <c r="E98" s="17" t="str" cm="1">
        <f t="array" ref="E98">IF(C98=0,"",
HYPERLINK(
"#'2026 Orders'!C"&amp;
MATCH(1,
('2026 Orders'!C:C=C98)*
('2026 Orders'!G:G=G98)*
('2026 Orders'!N:N=N98),
0),
"Open "&amp;C98
))</f>
        <v>Open A4596</v>
      </c>
      <c r="F98" s="14" t="str">
        <f>'[1]2026 Orders'!F99</f>
        <v>2/19/2025: Added to order - product in Inventory</v>
      </c>
      <c r="G98" s="14" t="str">
        <f>'[1]2026 Orders'!G99</f>
        <v>CAVINAD-60-FD</v>
      </c>
      <c r="H98" s="14" t="str" cm="1">
        <f t="array" ref="H98">IFERROR(_xlfn.TEXTJOIN("-",,INDEX(_xlfn.TEXTSPLIT(TableTake[[#This Row],[SKU]],"-"),{1,2})),"")</f>
        <v>CAVINAD-60</v>
      </c>
      <c r="I98" s="15" t="str">
        <f>IFERROR(_xlfn.TEXTAFTER(TableTake[[#This Row],[SKU]],"-",-1),"")</f>
        <v>FD</v>
      </c>
      <c r="J98" s="14">
        <f>'[1]2026 Orders'!H99</f>
        <v>860</v>
      </c>
      <c r="K98">
        <f>'[1]2026 Orders'!I99</f>
        <v>0</v>
      </c>
      <c r="L98">
        <f>'[1]2026 Orders'!J99</f>
        <v>860</v>
      </c>
      <c r="N98" s="10" t="str">
        <f>'[1]2026 Orders'!L99</f>
        <v>ON HOLD</v>
      </c>
      <c r="O98">
        <f>'[1]2026 Orders'!M99</f>
        <v>0</v>
      </c>
      <c r="P98" t="str">
        <f>'[1]2026 Orders'!N99</f>
        <v>NA</v>
      </c>
      <c r="Q98">
        <f>'[1]2026 Orders'!O99</f>
        <v>609788968610</v>
      </c>
      <c r="R98">
        <f>'[1]2026 Orders'!P99</f>
        <v>0</v>
      </c>
      <c r="S98">
        <f>'[1]2026 Orders'!Q99</f>
        <v>0</v>
      </c>
      <c r="T98">
        <f>'[1]2026 Orders'!R99</f>
        <v>0</v>
      </c>
      <c r="U98">
        <f>'[1]2026 Orders'!S99</f>
        <v>0</v>
      </c>
      <c r="V98">
        <f>'[1]2026 Orders'!T99</f>
        <v>0</v>
      </c>
      <c r="W98">
        <f>'[1]2026 Orders'!U99</f>
        <v>0</v>
      </c>
      <c r="X98">
        <f>'[1]2026 Orders'!V99</f>
        <v>0</v>
      </c>
      <c r="Y98">
        <f>'[1]2026 Orders'!W99</f>
        <v>0</v>
      </c>
      <c r="Z98">
        <f>'[1]2026 Orders'!X99</f>
        <v>0</v>
      </c>
      <c r="AC98" t="str">
        <f t="shared" si="2"/>
        <v>860/</v>
      </c>
      <c r="AD98" t="e">
        <f t="shared" si="3"/>
        <v>#VALUE!</v>
      </c>
    </row>
    <row r="99" spans="1:30" ht="33" hidden="1" customHeight="1" x14ac:dyDescent="0.3">
      <c r="A99">
        <f>'[1]2026 Orders'!A100</f>
        <v>46072</v>
      </c>
      <c r="B99" s="14" t="str">
        <f>'[1]2026 Orders'!B100</f>
        <v>Iraq</v>
      </c>
      <c r="C99" s="14" t="str">
        <f>'[1]2026 Orders'!C100</f>
        <v>A4596</v>
      </c>
      <c r="D99" s="14">
        <f>'[1]2026 Orders'!D100</f>
        <v>0</v>
      </c>
      <c r="E99" s="17" t="str" cm="1">
        <f t="array" ref="E99">IF(C99=0,"",
HYPERLINK(
"#'2026 Orders'!C"&amp;
MATCH(1,
('2026 Orders'!C:C=C99)*
('2026 Orders'!G:G=G99)*
('2026 Orders'!N:N=N99),
0),
"Open "&amp;C99
))</f>
        <v>Open A4596</v>
      </c>
      <c r="F99" s="14" t="str">
        <f>'[1]2026 Orders'!F100</f>
        <v>6/5/2026: Product added to order. In inventory.</v>
      </c>
      <c r="G99" s="14" t="str">
        <f>'[1]2026 Orders'!G100</f>
        <v>OSTEOPW-74-FD</v>
      </c>
      <c r="H99" s="14" t="str" cm="1">
        <f t="array" ref="H99">IFERROR(_xlfn.TEXTJOIN("-",,INDEX(_xlfn.TEXTSPLIT(TableTake[[#This Row],[SKU]],"-"),{1,2})),"")</f>
        <v>OSTEOPW-74</v>
      </c>
      <c r="I99" s="15" t="str">
        <f>IFERROR(_xlfn.TEXTAFTER(TableTake[[#This Row],[SKU]],"-",-1),"")</f>
        <v>FD</v>
      </c>
      <c r="J99" s="14">
        <f>'[1]2026 Orders'!H100</f>
        <v>1001</v>
      </c>
      <c r="K99">
        <f>'[1]2026 Orders'!I100</f>
        <v>0</v>
      </c>
      <c r="L99">
        <f>'[1]2026 Orders'!J100</f>
        <v>0</v>
      </c>
      <c r="N99" s="10" t="str">
        <f>'[1]2026 Orders'!L100</f>
        <v>ON HOLD</v>
      </c>
      <c r="O99">
        <f>'[1]2026 Orders'!M100</f>
        <v>0</v>
      </c>
      <c r="P99">
        <f>'[1]2026 Orders'!N100</f>
        <v>0</v>
      </c>
      <c r="Q99">
        <f>'[1]2026 Orders'!O100</f>
        <v>0</v>
      </c>
      <c r="R99">
        <f>'[1]2026 Orders'!P100</f>
        <v>0</v>
      </c>
      <c r="S99">
        <f>'[1]2026 Orders'!Q100</f>
        <v>0</v>
      </c>
      <c r="T99">
        <f>'[1]2026 Orders'!R100</f>
        <v>0</v>
      </c>
      <c r="U99">
        <f>'[1]2026 Orders'!S100</f>
        <v>0</v>
      </c>
      <c r="V99">
        <f>'[1]2026 Orders'!T100</f>
        <v>0</v>
      </c>
      <c r="W99">
        <f>'[1]2026 Orders'!U100</f>
        <v>0</v>
      </c>
      <c r="X99">
        <f>'[1]2026 Orders'!V100</f>
        <v>0</v>
      </c>
      <c r="Y99">
        <f>'[1]2026 Orders'!W100</f>
        <v>0</v>
      </c>
      <c r="Z99">
        <f>'[1]2026 Orders'!X100</f>
        <v>0</v>
      </c>
      <c r="AC99" t="str">
        <f t="shared" si="2"/>
        <v>1001/</v>
      </c>
      <c r="AD99" t="e">
        <f t="shared" si="3"/>
        <v>#VALUE!</v>
      </c>
    </row>
    <row r="100" spans="1:30" ht="33" hidden="1" customHeight="1" x14ac:dyDescent="0.3">
      <c r="A100">
        <f>'[1]2026 Orders'!A101</f>
        <v>45967</v>
      </c>
      <c r="B100" s="14" t="str">
        <f>'[1]2026 Orders'!B101</f>
        <v>Iraq</v>
      </c>
      <c r="C100" s="14" t="str">
        <f>'[1]2026 Orders'!C101</f>
        <v>A4631</v>
      </c>
      <c r="D100" s="14" t="str">
        <f>'[1]2026 Orders'!D101</f>
        <v>49450126
Mfg:01/2026
Exp:01/2029</v>
      </c>
      <c r="E100" s="17" t="str" cm="1">
        <f t="array" ref="E100">IF(C100=0,"",
HYPERLINK(
"#'2026 Orders'!C"&amp;
MATCH(1,
('2026 Orders'!C:C=C100)*
('2026 Orders'!G:G=G100)*
('2026 Orders'!N:N=N100),
0),
"Open "&amp;C100
))</f>
        <v>Open A4631</v>
      </c>
      <c r="F100" s="14" t="str">
        <f>'[1]2026 Orders'!F101</f>
        <v>Iceland</v>
      </c>
      <c r="G100" s="14" t="str">
        <f>'[1]2026 Orders'!G101</f>
        <v>QWELL4-30-SG-CS-IQ</v>
      </c>
      <c r="H100" s="14" t="str" cm="1">
        <f t="array" ref="H100">IFERROR(_xlfn.TEXTJOIN("-",,INDEX(_xlfn.TEXTSPLIT(TableTake[[#This Row],[SKU]],"-"),{1,2})),"")</f>
        <v>QWELL4-30</v>
      </c>
      <c r="I100" s="15" t="str">
        <f>IFERROR(_xlfn.TEXTAFTER(TableTake[[#This Row],[SKU]],"-",-1),"")</f>
        <v>IQ</v>
      </c>
      <c r="J100" s="14">
        <f>'[1]2026 Orders'!H101</f>
        <v>12250</v>
      </c>
      <c r="K100" t="str">
        <f>'[1]2026 Orders'!I101</f>
        <v>IQ58-24.0</v>
      </c>
      <c r="L100">
        <f>'[1]2026 Orders'!J101</f>
        <v>0</v>
      </c>
      <c r="N100" s="10" t="str">
        <f>'[1]2026 Orders'!L101</f>
        <v>ON HOLD</v>
      </c>
      <c r="O100">
        <f>'[1]2026 Orders'!M101</f>
        <v>0</v>
      </c>
      <c r="P100" t="str">
        <f>'[1]2026 Orders'!N101</f>
        <v>NA</v>
      </c>
      <c r="Q100">
        <f>'[1]2026 Orders'!O101</f>
        <v>604776737988</v>
      </c>
      <c r="R100">
        <f>'[1]2026 Orders'!P101</f>
        <v>15000</v>
      </c>
      <c r="S100">
        <f>'[1]2026 Orders'!Q101</f>
        <v>4945</v>
      </c>
      <c r="T100" t="str">
        <f>'[1]2026 Orders'!R101</f>
        <v>Complete</v>
      </c>
      <c r="U100" t="str">
        <f>'[1]2026 Orders'!S101</f>
        <v>Waiting for Sample, waiting for product release</v>
      </c>
      <c r="V100">
        <f>'[1]2026 Orders'!T101</f>
        <v>0</v>
      </c>
      <c r="W100">
        <f>'[1]2026 Orders'!U101</f>
        <v>0</v>
      </c>
      <c r="X100">
        <f>'[1]2026 Orders'!V101</f>
        <v>0</v>
      </c>
      <c r="Y100">
        <f>'[1]2026 Orders'!W101</f>
        <v>0</v>
      </c>
      <c r="Z100">
        <f>'[1]2026 Orders'!X101</f>
        <v>0</v>
      </c>
      <c r="AC100" t="str">
        <f t="shared" si="2"/>
        <v>12250/</v>
      </c>
      <c r="AD100" t="e">
        <f t="shared" si="3"/>
        <v>#VALUE!</v>
      </c>
    </row>
    <row r="101" spans="1:30" ht="33" hidden="1" customHeight="1" x14ac:dyDescent="0.3">
      <c r="A101">
        <f>'[1]2026 Orders'!A102</f>
        <v>45967</v>
      </c>
      <c r="B101" s="14" t="str">
        <f>'[1]2026 Orders'!B102</f>
        <v>Iraq</v>
      </c>
      <c r="C101" s="14" t="str">
        <f>'[1]2026 Orders'!C102</f>
        <v>A4622</v>
      </c>
      <c r="D101" s="14">
        <f>'[1]2026 Orders'!D102</f>
        <v>0</v>
      </c>
      <c r="E101" s="17" t="str" cm="1">
        <f t="array" ref="E101">IF(C101=0,"",
HYPERLINK(
"#'2026 Orders'!C"&amp;
MATCH(1,
('2026 Orders'!C:C=C101)*
('2026 Orders'!G:G=G101)*
('2026 Orders'!N:N=N101),
0),
"Open "&amp;C101
))</f>
        <v>Open A4622</v>
      </c>
      <c r="F101" s="14" t="str">
        <f>'[1]2026 Orders'!F102</f>
        <v>May need a specific batch number 11/20/205: Should be a fresh batch
6/8/2026: Product arriving at warehouse on 6/10/26.</v>
      </c>
      <c r="G101" s="14" t="str">
        <f>'[1]2026 Orders'!G102</f>
        <v>LIPODIS-60-CS-IQ</v>
      </c>
      <c r="H101" s="14" t="str" cm="1">
        <f t="array" ref="H101">IFERROR(_xlfn.TEXTJOIN("-",,INDEX(_xlfn.TEXTSPLIT(TableTake[[#This Row],[SKU]],"-"),{1,2})),"")</f>
        <v>LIPODIS-60</v>
      </c>
      <c r="I101" s="15" t="str">
        <f>IFERROR(_xlfn.TEXTAFTER(TableTake[[#This Row],[SKU]],"-",-1),"")</f>
        <v>IQ</v>
      </c>
      <c r="J101" s="14">
        <f>'[1]2026 Orders'!H102</f>
        <v>5000</v>
      </c>
      <c r="K101" t="str">
        <f>'[1]2026 Orders'!I102</f>
        <v>IQ26-24.1</v>
      </c>
      <c r="L101">
        <f>'[1]2026 Orders'!J102</f>
        <v>0</v>
      </c>
      <c r="N101" s="10" t="str">
        <f>'[1]2026 Orders'!L102</f>
        <v>ON HOLD</v>
      </c>
      <c r="O101" t="str">
        <f>'[1]2026 Orders'!M102</f>
        <v>Available</v>
      </c>
      <c r="P101" t="str">
        <f>'[1]2026 Orders'!N102</f>
        <v>Y</v>
      </c>
      <c r="Q101">
        <f>'[1]2026 Orders'!O102</f>
        <v>604776737834</v>
      </c>
      <c r="R101">
        <f>'[1]2026 Orders'!P102</f>
        <v>7000</v>
      </c>
      <c r="S101">
        <f>'[1]2026 Orders'!Q102</f>
        <v>4971</v>
      </c>
      <c r="T101">
        <f>'[1]2026 Orders'!R102</f>
        <v>46136</v>
      </c>
      <c r="U101" t="str">
        <f>'[1]2026 Orders'!S102</f>
        <v>Labeled</v>
      </c>
      <c r="V101">
        <f>'[1]2026 Orders'!T102</f>
        <v>0</v>
      </c>
      <c r="W101">
        <f>'[1]2026 Orders'!U102</f>
        <v>0</v>
      </c>
      <c r="X101">
        <f>'[1]2026 Orders'!V102</f>
        <v>0</v>
      </c>
      <c r="Y101">
        <f>'[1]2026 Orders'!W102</f>
        <v>0</v>
      </c>
      <c r="Z101" t="str">
        <f>'[1]2026 Orders'!X102</f>
        <v>HOLD</v>
      </c>
      <c r="AC101" t="str">
        <f t="shared" si="2"/>
        <v>5000/</v>
      </c>
      <c r="AD101" t="e">
        <f t="shared" si="3"/>
        <v>#VALUE!</v>
      </c>
    </row>
    <row r="102" spans="1:30" ht="33" hidden="1" customHeight="1" x14ac:dyDescent="0.3">
      <c r="A102">
        <f>'[1]2026 Orders'!A103</f>
        <v>45995</v>
      </c>
      <c r="B102" s="14" t="str">
        <f>'[1]2026 Orders'!B103</f>
        <v>Iraq</v>
      </c>
      <c r="C102" s="14" t="str">
        <f>'[1]2026 Orders'!C103</f>
        <v>A4622</v>
      </c>
      <c r="D102" s="14">
        <f>'[1]2026 Orders'!D103</f>
        <v>0</v>
      </c>
      <c r="E102" s="17" t="str" cm="1">
        <f t="array" ref="E102">IF(C102=0,"",
HYPERLINK(
"#'2026 Orders'!C"&amp;
MATCH(1,
('2026 Orders'!C:C=C102)*
('2026 Orders'!G:G=G102)*
('2026 Orders'!N:N=N102),
0),
"Open "&amp;C102
))</f>
        <v>Open A4622</v>
      </c>
      <c r="F102" s="14" t="str">
        <f>'[1]2026 Orders'!F103</f>
        <v>1/15/2026: 1480 packs moved from IraqA4596
2/17/2026: Moved from IraqA4541 to consolidate Back Order.
6/8/2026: Product arriving at warehouse on 6/10/26.</v>
      </c>
      <c r="G102" s="14" t="str">
        <f>'[1]2026 Orders'!G103</f>
        <v>UTIC-60-FD</v>
      </c>
      <c r="H102" s="14" t="str" cm="1">
        <f t="array" ref="H102">IFERROR(_xlfn.TEXTJOIN("-",,INDEX(_xlfn.TEXTSPLIT(TableTake[[#This Row],[SKU]],"-"),{1,2})),"")</f>
        <v>UTIC-60</v>
      </c>
      <c r="I102" s="15" t="str">
        <f>IFERROR(_xlfn.TEXTAFTER(TableTake[[#This Row],[SKU]],"-",-1),"")</f>
        <v>FD</v>
      </c>
      <c r="J102" s="14">
        <f>'[1]2026 Orders'!H103</f>
        <v>1480</v>
      </c>
      <c r="K102" t="str">
        <f>'[1]2026 Orders'!I103</f>
        <v>F110-25.0</v>
      </c>
      <c r="L102">
        <f>'[1]2026 Orders'!J103</f>
        <v>0</v>
      </c>
      <c r="N102" s="10" t="str">
        <f>'[1]2026 Orders'!L103</f>
        <v>ON HOLD</v>
      </c>
      <c r="O102" t="str">
        <f>'[1]2026 Orders'!M103</f>
        <v>Available</v>
      </c>
      <c r="P102" t="str">
        <f>'[1]2026 Orders'!N103</f>
        <v>NA</v>
      </c>
      <c r="Q102" t="str">
        <f>'[1]2026 Orders'!O103</f>
        <v>810131192983</v>
      </c>
      <c r="R102">
        <f>'[1]2026 Orders'!P103</f>
        <v>4000</v>
      </c>
      <c r="S102">
        <f>'[1]2026 Orders'!Q103</f>
        <v>4973</v>
      </c>
      <c r="T102">
        <f>'[1]2026 Orders'!R103</f>
        <v>46136</v>
      </c>
      <c r="U102">
        <f>'[1]2026 Orders'!S103</f>
        <v>0</v>
      </c>
      <c r="V102">
        <f>'[1]2026 Orders'!T103</f>
        <v>0</v>
      </c>
      <c r="W102">
        <f>'[1]2026 Orders'!U103</f>
        <v>0</v>
      </c>
      <c r="X102">
        <f>'[1]2026 Orders'!V103</f>
        <v>0</v>
      </c>
      <c r="Y102">
        <f>'[1]2026 Orders'!W103</f>
        <v>0</v>
      </c>
      <c r="Z102">
        <f>'[1]2026 Orders'!X103</f>
        <v>0</v>
      </c>
      <c r="AC102" t="str">
        <f t="shared" si="2"/>
        <v>1480/</v>
      </c>
      <c r="AD102" t="e">
        <f t="shared" si="3"/>
        <v>#VALUE!</v>
      </c>
    </row>
    <row r="103" spans="1:30" ht="33" hidden="1" customHeight="1" x14ac:dyDescent="0.3">
      <c r="A103">
        <f>'[1]2026 Orders'!A104</f>
        <v>0</v>
      </c>
      <c r="B103" s="14">
        <f>'[1]2026 Orders'!B104</f>
        <v>0</v>
      </c>
      <c r="C103" s="14">
        <f>'[1]2026 Orders'!C104</f>
        <v>0</v>
      </c>
      <c r="D103" s="14">
        <f>'[1]2026 Orders'!D104</f>
        <v>0</v>
      </c>
      <c r="E103" s="17" t="str" cm="1">
        <f t="array" ref="E103">IF(C103=0,"",
HYPERLINK(
"#'2026 Orders'!C"&amp;
MATCH(1,
('2026 Orders'!C:C=C103)*
('2026 Orders'!G:G=G103)*
('2026 Orders'!N:N=N103),
0),
"Open "&amp;C103
))</f>
        <v/>
      </c>
      <c r="F103" s="14">
        <f>'[1]2026 Orders'!F104</f>
        <v>0</v>
      </c>
      <c r="G103" s="14">
        <f>'[1]2026 Orders'!G104</f>
        <v>0</v>
      </c>
      <c r="H103" s="14" t="str" cm="1">
        <f t="array" ref="H103">IFERROR(_xlfn.TEXTJOIN("-",,INDEX(_xlfn.TEXTSPLIT(TableTake[[#This Row],[SKU]],"-"),{1,2})),"")</f>
        <v/>
      </c>
      <c r="I103" s="15" t="str">
        <f>IFERROR(_xlfn.TEXTAFTER(TableTake[[#This Row],[SKU]],"-",-1),"")</f>
        <v/>
      </c>
      <c r="J103" s="14">
        <f>'[1]2026 Orders'!H104</f>
        <v>0</v>
      </c>
      <c r="K103">
        <f>'[1]2026 Orders'!I104</f>
        <v>0</v>
      </c>
      <c r="L103">
        <f>'[1]2026 Orders'!J104</f>
        <v>0</v>
      </c>
      <c r="N103" s="10">
        <f>'[1]2026 Orders'!L104</f>
        <v>0</v>
      </c>
      <c r="O103">
        <f>'[1]2026 Orders'!M104</f>
        <v>0</v>
      </c>
      <c r="P103">
        <f>'[1]2026 Orders'!N104</f>
        <v>0</v>
      </c>
      <c r="Q103">
        <f>'[1]2026 Orders'!O104</f>
        <v>0</v>
      </c>
      <c r="R103">
        <f>'[1]2026 Orders'!P104</f>
        <v>0</v>
      </c>
      <c r="S103">
        <f>'[1]2026 Orders'!Q104</f>
        <v>0</v>
      </c>
      <c r="T103">
        <f>'[1]2026 Orders'!R104</f>
        <v>0</v>
      </c>
      <c r="U103">
        <f>'[1]2026 Orders'!S104</f>
        <v>0</v>
      </c>
      <c r="V103">
        <f>'[1]2026 Orders'!T104</f>
        <v>0</v>
      </c>
      <c r="W103">
        <f>'[1]2026 Orders'!U104</f>
        <v>0</v>
      </c>
      <c r="X103">
        <f>'[1]2026 Orders'!V104</f>
        <v>0</v>
      </c>
      <c r="Y103">
        <f>'[1]2026 Orders'!W104</f>
        <v>0</v>
      </c>
      <c r="Z103">
        <f>'[1]2026 Orders'!X104</f>
        <v>0</v>
      </c>
      <c r="AC103" t="str">
        <f t="shared" si="2"/>
        <v/>
      </c>
      <c r="AD103" t="str">
        <f t="shared" si="3"/>
        <v/>
      </c>
    </row>
    <row r="104" spans="1:30" ht="33" hidden="1" customHeight="1" x14ac:dyDescent="0.3">
      <c r="A104">
        <f>'[1]2026 Orders'!A105</f>
        <v>45971</v>
      </c>
      <c r="B104" s="14" t="str">
        <f>'[1]2026 Orders'!B105</f>
        <v>Botswana</v>
      </c>
      <c r="C104" s="14" t="str">
        <f>'[1]2026 Orders'!C105</f>
        <v>A4569</v>
      </c>
      <c r="D104" s="14" t="str">
        <f>'[1]2026 Orders'!D105</f>
        <v>Awaiting Import Permit Update</v>
      </c>
      <c r="E104" s="17" t="str" cm="1">
        <f t="array" ref="E104">IF(C104=0,"",
HYPERLINK(
"#'2026 Orders'!C"&amp;
MATCH(1,
('2026 Orders'!C:C=C104)*
('2026 Orders'!G:G=G104)*
('2026 Orders'!N:N=N104),
0),
"Open "&amp;C104
))</f>
        <v>Open A4569</v>
      </c>
      <c r="F104" s="14">
        <f>'[1]2026 Orders'!F105</f>
        <v>0</v>
      </c>
      <c r="G104" s="14" t="str">
        <f>'[1]2026 Orders'!G105</f>
        <v>OSTEOPL-96-FD</v>
      </c>
      <c r="H104" s="14" t="str" cm="1">
        <f t="array" ref="H104">IFERROR(_xlfn.TEXTJOIN("-",,INDEX(_xlfn.TEXTSPLIT(TableTake[[#This Row],[SKU]],"-"),{1,2})),"")</f>
        <v>OSTEOPL-96</v>
      </c>
      <c r="I104" s="15" t="str">
        <f>IFERROR(_xlfn.TEXTAFTER(TableTake[[#This Row],[SKU]],"-",-1),"")</f>
        <v>FD</v>
      </c>
      <c r="J104" s="14">
        <f>'[1]2026 Orders'!H105</f>
        <v>96</v>
      </c>
      <c r="K104" t="str">
        <f>'[1]2026 Orders'!I105</f>
        <v>F39-24.0</v>
      </c>
      <c r="L104">
        <f>'[1]2026 Orders'!J105</f>
        <v>96</v>
      </c>
      <c r="N104" s="10" t="str">
        <f>'[1]2026 Orders'!L105</f>
        <v>D/W Sent</v>
      </c>
      <c r="O104">
        <f>'[1]2026 Orders'!M105</f>
        <v>46094</v>
      </c>
      <c r="P104" t="str">
        <f>'[1]2026 Orders'!N105</f>
        <v>Y</v>
      </c>
      <c r="Q104" t="str">
        <f>'[1]2026 Orders'!O105</f>
        <v>609788968238</v>
      </c>
      <c r="R104">
        <f>'[1]2026 Orders'!P105</f>
        <v>5000</v>
      </c>
      <c r="S104">
        <f>'[1]2026 Orders'!Q105</f>
        <v>4841</v>
      </c>
      <c r="T104" t="str">
        <f>'[1]2026 Orders'!R105</f>
        <v>complete</v>
      </c>
      <c r="U104">
        <f>'[1]2026 Orders'!S105</f>
        <v>0</v>
      </c>
      <c r="V104">
        <f>'[1]2026 Orders'!T105</f>
        <v>0</v>
      </c>
      <c r="W104">
        <f>'[1]2026 Orders'!U105</f>
        <v>0</v>
      </c>
      <c r="X104">
        <f>'[1]2026 Orders'!V105</f>
        <v>0</v>
      </c>
      <c r="Y104">
        <f>'[1]2026 Orders'!W105</f>
        <v>0</v>
      </c>
      <c r="Z104" t="str">
        <f>'[1]2026 Orders'!X105</f>
        <v>HOLD</v>
      </c>
      <c r="AC104" t="str">
        <f t="shared" si="2"/>
        <v>96/</v>
      </c>
      <c r="AD104" t="e">
        <f t="shared" si="3"/>
        <v>#VALUE!</v>
      </c>
    </row>
    <row r="105" spans="1:30" ht="33" hidden="1" customHeight="1" x14ac:dyDescent="0.3">
      <c r="A105">
        <f>'[1]2026 Orders'!A106</f>
        <v>45971</v>
      </c>
      <c r="B105" s="14" t="str">
        <f>'[1]2026 Orders'!B106</f>
        <v>Botswana</v>
      </c>
      <c r="C105" s="14" t="str">
        <f>'[1]2026 Orders'!C106</f>
        <v>A4569</v>
      </c>
      <c r="D105" s="14">
        <f>'[1]2026 Orders'!D106</f>
        <v>0</v>
      </c>
      <c r="E105" s="17" t="str" cm="1">
        <f t="array" ref="E105">IF(C105=0,"",
HYPERLINK(
"#'2026 Orders'!C"&amp;
MATCH(1,
('2026 Orders'!C:C=C105)*
('2026 Orders'!G:G=G105)*
('2026 Orders'!N:N=N105),
0),
"Open "&amp;C105
))</f>
        <v>Open A4569</v>
      </c>
      <c r="F105" s="14">
        <f>'[1]2026 Orders'!F106</f>
        <v>0</v>
      </c>
      <c r="G105" s="14" t="str">
        <f>'[1]2026 Orders'!G106</f>
        <v>GINKGO-60-FD</v>
      </c>
      <c r="H105" s="14" t="str" cm="1">
        <f t="array" ref="H105">IFERROR(_xlfn.TEXTJOIN("-",,INDEX(_xlfn.TEXTSPLIT(TableTake[[#This Row],[SKU]],"-"),{1,2})),"")</f>
        <v>GINKGO-60</v>
      </c>
      <c r="I105" s="15" t="str">
        <f>IFERROR(_xlfn.TEXTAFTER(TableTake[[#This Row],[SKU]],"-",-1),"")</f>
        <v>FD</v>
      </c>
      <c r="J105" s="14">
        <f>'[1]2026 Orders'!H106</f>
        <v>48</v>
      </c>
      <c r="K105" t="str">
        <f>'[1]2026 Orders'!I106</f>
        <v>F21-23.0</v>
      </c>
      <c r="L105">
        <f>'[1]2026 Orders'!J106</f>
        <v>48</v>
      </c>
      <c r="N105" s="10" t="str">
        <f>'[1]2026 Orders'!L106</f>
        <v>D/W Sent</v>
      </c>
      <c r="O105">
        <f>'[1]2026 Orders'!M106</f>
        <v>0</v>
      </c>
      <c r="P105" t="str">
        <f>'[1]2026 Orders'!N106</f>
        <v>NA</v>
      </c>
      <c r="Q105" t="str">
        <f>'[1]2026 Orders'!O106</f>
        <v>609788968146</v>
      </c>
      <c r="R105">
        <f>'[1]2026 Orders'!P106</f>
        <v>0</v>
      </c>
      <c r="S105">
        <f>'[1]2026 Orders'!Q106</f>
        <v>0</v>
      </c>
      <c r="T105">
        <f>'[1]2026 Orders'!R106</f>
        <v>0</v>
      </c>
      <c r="U105">
        <f>'[1]2026 Orders'!S106</f>
        <v>0</v>
      </c>
      <c r="V105">
        <f>'[1]2026 Orders'!T106</f>
        <v>0</v>
      </c>
      <c r="W105">
        <f>'[1]2026 Orders'!U106</f>
        <v>0</v>
      </c>
      <c r="X105">
        <f>'[1]2026 Orders'!V106</f>
        <v>0</v>
      </c>
      <c r="Y105">
        <f>'[1]2026 Orders'!W106</f>
        <v>0</v>
      </c>
      <c r="Z105">
        <f>'[1]2026 Orders'!X106</f>
        <v>0</v>
      </c>
      <c r="AC105" t="str">
        <f t="shared" si="2"/>
        <v>48/</v>
      </c>
      <c r="AD105" t="e">
        <f t="shared" si="3"/>
        <v>#VALUE!</v>
      </c>
    </row>
    <row r="106" spans="1:30" ht="33" hidden="1" customHeight="1" x14ac:dyDescent="0.3">
      <c r="A106">
        <f>'[1]2026 Orders'!A107</f>
        <v>45971</v>
      </c>
      <c r="B106" s="14" t="str">
        <f>'[1]2026 Orders'!B107</f>
        <v>Botswana</v>
      </c>
      <c r="C106" s="14" t="str">
        <f>'[1]2026 Orders'!C107</f>
        <v>A4569</v>
      </c>
      <c r="D106" s="14">
        <f>'[1]2026 Orders'!D107</f>
        <v>0</v>
      </c>
      <c r="E106" s="17" t="str" cm="1">
        <f t="array" ref="E106">IF(C106=0,"",
HYPERLINK(
"#'2026 Orders'!C"&amp;
MATCH(1,
('2026 Orders'!C:C=C106)*
('2026 Orders'!G:G=G106)*
('2026 Orders'!N:N=N106),
0),
"Open "&amp;C106
))</f>
        <v>Open A4569</v>
      </c>
      <c r="F106" s="14">
        <f>'[1]2026 Orders'!F107</f>
        <v>0</v>
      </c>
      <c r="G106" s="14" t="str">
        <f>'[1]2026 Orders'!G107</f>
        <v>PROSTA-90-FD</v>
      </c>
      <c r="H106" s="14" t="str" cm="1">
        <f t="array" ref="H106">IFERROR(_xlfn.TEXTJOIN("-",,INDEX(_xlfn.TEXTSPLIT(TableTake[[#This Row],[SKU]],"-"),{1,2})),"")</f>
        <v>PROSTA-90</v>
      </c>
      <c r="I106" s="15" t="str">
        <f>IFERROR(_xlfn.TEXTAFTER(TableTake[[#This Row],[SKU]],"-",-1),"")</f>
        <v>FD</v>
      </c>
      <c r="J106" s="14">
        <f>'[1]2026 Orders'!H107</f>
        <v>48</v>
      </c>
      <c r="K106" t="str">
        <f>'[1]2026 Orders'!I107</f>
        <v>F56-23.0</v>
      </c>
      <c r="L106">
        <f>'[1]2026 Orders'!J107</f>
        <v>48</v>
      </c>
      <c r="N106" s="10" t="str">
        <f>'[1]2026 Orders'!L107</f>
        <v>D/W Sent</v>
      </c>
      <c r="O106">
        <f>'[1]2026 Orders'!M107</f>
        <v>0</v>
      </c>
      <c r="P106" t="str">
        <f>'[1]2026 Orders'!N107</f>
        <v>NA</v>
      </c>
      <c r="Q106">
        <f>'[1]2026 Orders'!O107</f>
        <v>609788968504</v>
      </c>
      <c r="R106">
        <f>'[1]2026 Orders'!P107</f>
        <v>4000</v>
      </c>
      <c r="S106">
        <f>'[1]2026 Orders'!Q107</f>
        <v>4802</v>
      </c>
      <c r="T106" t="str">
        <f>'[1]2026 Orders'!R107</f>
        <v>complete</v>
      </c>
      <c r="U106">
        <f>'[1]2026 Orders'!S107</f>
        <v>0</v>
      </c>
      <c r="V106">
        <f>'[1]2026 Orders'!T107</f>
        <v>0</v>
      </c>
      <c r="W106">
        <f>'[1]2026 Orders'!U107</f>
        <v>0</v>
      </c>
      <c r="X106">
        <f>'[1]2026 Orders'!V107</f>
        <v>0</v>
      </c>
      <c r="Y106">
        <f>'[1]2026 Orders'!W107</f>
        <v>0</v>
      </c>
      <c r="Z106">
        <f>'[1]2026 Orders'!X107</f>
        <v>0</v>
      </c>
      <c r="AC106" t="str">
        <f t="shared" si="2"/>
        <v>48/</v>
      </c>
      <c r="AD106" t="e">
        <f t="shared" si="3"/>
        <v>#VALUE!</v>
      </c>
    </row>
    <row r="107" spans="1:30" ht="33" hidden="1" customHeight="1" x14ac:dyDescent="0.3">
      <c r="A107">
        <f>'[1]2026 Orders'!A108</f>
        <v>45971</v>
      </c>
      <c r="B107" s="14" t="str">
        <f>'[1]2026 Orders'!B108</f>
        <v>Botswana</v>
      </c>
      <c r="C107" s="14" t="str">
        <f>'[1]2026 Orders'!C108</f>
        <v>A4569</v>
      </c>
      <c r="D107" s="14">
        <f>'[1]2026 Orders'!D108</f>
        <v>0</v>
      </c>
      <c r="E107" s="17" t="str" cm="1">
        <f t="array" ref="E107">IF(C107=0,"",
HYPERLINK(
"#'2026 Orders'!C"&amp;
MATCH(1,
('2026 Orders'!C:C=C107)*
('2026 Orders'!G:G=G107)*
('2026 Orders'!N:N=N107),
0),
"Open "&amp;C107
))</f>
        <v>Open A4569</v>
      </c>
      <c r="F107" s="14">
        <f>'[1]2026 Orders'!F108</f>
        <v>0</v>
      </c>
      <c r="G107" s="14" t="str">
        <f>'[1]2026 Orders'!G108</f>
        <v>XTRAD10-60-FD</v>
      </c>
      <c r="H107" s="14" t="str" cm="1">
        <f t="array" ref="H107">IFERROR(_xlfn.TEXTJOIN("-",,INDEX(_xlfn.TEXTSPLIT(TableTake[[#This Row],[SKU]],"-"),{1,2})),"")</f>
        <v>XTRAD10-60</v>
      </c>
      <c r="I107" s="15" t="str">
        <f>IFERROR(_xlfn.TEXTAFTER(TableTake[[#This Row],[SKU]],"-",-1),"")</f>
        <v>FD</v>
      </c>
      <c r="J107" s="14">
        <f>'[1]2026 Orders'!H108</f>
        <v>120</v>
      </c>
      <c r="K107" t="str">
        <f>'[1]2026 Orders'!I108</f>
        <v>F76-25.0</v>
      </c>
      <c r="L107">
        <f>'[1]2026 Orders'!J108</f>
        <v>120</v>
      </c>
      <c r="N107" s="10" t="str">
        <f>'[1]2026 Orders'!L108</f>
        <v>D/W Sent</v>
      </c>
      <c r="O107">
        <f>'[1]2026 Orders'!M108</f>
        <v>0</v>
      </c>
      <c r="P107" t="str">
        <f>'[1]2026 Orders'!N108</f>
        <v>NA</v>
      </c>
      <c r="Q107" t="str">
        <f>'[1]2026 Orders'!O108</f>
        <v>609788968122</v>
      </c>
      <c r="R107">
        <f>'[1]2026 Orders'!P108</f>
        <v>12000</v>
      </c>
      <c r="S107">
        <f>'[1]2026 Orders'!Q108</f>
        <v>4690</v>
      </c>
      <c r="T107" t="str">
        <f>'[1]2026 Orders'!R108</f>
        <v>complete</v>
      </c>
      <c r="U107">
        <f>'[1]2026 Orders'!S108</f>
        <v>0</v>
      </c>
      <c r="V107">
        <f>'[1]2026 Orders'!T108</f>
        <v>0</v>
      </c>
      <c r="W107">
        <f>'[1]2026 Orders'!U108</f>
        <v>0</v>
      </c>
      <c r="X107">
        <f>'[1]2026 Orders'!V108</f>
        <v>0</v>
      </c>
      <c r="Y107">
        <f>'[1]2026 Orders'!W108</f>
        <v>0</v>
      </c>
      <c r="Z107">
        <f>'[1]2026 Orders'!X108</f>
        <v>0</v>
      </c>
      <c r="AC107" t="str">
        <f t="shared" si="2"/>
        <v>120/</v>
      </c>
      <c r="AD107" t="e">
        <f t="shared" si="3"/>
        <v>#VALUE!</v>
      </c>
    </row>
    <row r="108" spans="1:30" ht="33" hidden="1" customHeight="1" x14ac:dyDescent="0.3">
      <c r="A108">
        <f>'[1]2026 Orders'!A109</f>
        <v>45971</v>
      </c>
      <c r="B108" s="14" t="str">
        <f>'[1]2026 Orders'!B109</f>
        <v>Botswana</v>
      </c>
      <c r="C108" s="14" t="str">
        <f>'[1]2026 Orders'!C109</f>
        <v>A4569</v>
      </c>
      <c r="D108" s="14">
        <f>'[1]2026 Orders'!D109</f>
        <v>0</v>
      </c>
      <c r="E108" s="17" t="str" cm="1">
        <f t="array" ref="E108">IF(C108=0,"",
HYPERLINK(
"#'2026 Orders'!C"&amp;
MATCH(1,
('2026 Orders'!C:C=C108)*
('2026 Orders'!G:G=G108)*
('2026 Orders'!N:N=N108),
0),
"Open "&amp;C108
))</f>
        <v>Open A4569</v>
      </c>
      <c r="F108" s="14">
        <f>'[1]2026 Orders'!F109</f>
        <v>0</v>
      </c>
      <c r="G108" s="14" t="str">
        <f>'[1]2026 Orders'!G109</f>
        <v>MOTILMX-60-FD</v>
      </c>
      <c r="H108" s="14" t="str" cm="1">
        <f t="array" ref="H108">IFERROR(_xlfn.TEXTJOIN("-",,INDEX(_xlfn.TEXTSPLIT(TableTake[[#This Row],[SKU]],"-"),{1,2})),"")</f>
        <v>MOTILMX-60</v>
      </c>
      <c r="I108" s="15" t="str">
        <f>IFERROR(_xlfn.TEXTAFTER(TableTake[[#This Row],[SKU]],"-",-1),"")</f>
        <v>FD</v>
      </c>
      <c r="J108" s="14">
        <f>'[1]2026 Orders'!H109</f>
        <v>24</v>
      </c>
      <c r="K108" t="str">
        <f>'[1]2026 Orders'!I109</f>
        <v>F31-23.0</v>
      </c>
      <c r="L108">
        <f>'[1]2026 Orders'!J109</f>
        <v>24</v>
      </c>
      <c r="N108" s="10" t="str">
        <f>'[1]2026 Orders'!L109</f>
        <v>D/W Sent</v>
      </c>
      <c r="O108">
        <f>'[1]2026 Orders'!M109</f>
        <v>0</v>
      </c>
      <c r="P108" t="str">
        <f>'[1]2026 Orders'!N109</f>
        <v>NA</v>
      </c>
      <c r="Q108" t="str">
        <f>'[1]2026 Orders'!O109</f>
        <v>609788968122</v>
      </c>
      <c r="R108">
        <f>'[1]2026 Orders'!P109</f>
        <v>6500</v>
      </c>
      <c r="S108">
        <f>'[1]2026 Orders'!Q109</f>
        <v>4848</v>
      </c>
      <c r="T108" t="str">
        <f>'[1]2026 Orders'!R109</f>
        <v>complete</v>
      </c>
      <c r="U108">
        <f>'[1]2026 Orders'!S109</f>
        <v>0</v>
      </c>
      <c r="V108">
        <f>'[1]2026 Orders'!T109</f>
        <v>0</v>
      </c>
      <c r="W108">
        <f>'[1]2026 Orders'!U109</f>
        <v>0</v>
      </c>
      <c r="X108">
        <f>'[1]2026 Orders'!V109</f>
        <v>0</v>
      </c>
      <c r="Y108">
        <f>'[1]2026 Orders'!W109</f>
        <v>0</v>
      </c>
      <c r="Z108">
        <f>'[1]2026 Orders'!X109</f>
        <v>0</v>
      </c>
      <c r="AC108" t="str">
        <f t="shared" si="2"/>
        <v>24/</v>
      </c>
      <c r="AD108" t="e">
        <f t="shared" si="3"/>
        <v>#VALUE!</v>
      </c>
    </row>
    <row r="109" spans="1:30" ht="33" hidden="1" customHeight="1" x14ac:dyDescent="0.3">
      <c r="A109">
        <f>'[1]2026 Orders'!A110</f>
        <v>45971</v>
      </c>
      <c r="B109" s="14" t="str">
        <f>'[1]2026 Orders'!B110</f>
        <v>Botswana</v>
      </c>
      <c r="C109" s="14" t="str">
        <f>'[1]2026 Orders'!C110</f>
        <v>A4569</v>
      </c>
      <c r="D109" s="14">
        <f>'[1]2026 Orders'!D110</f>
        <v>0</v>
      </c>
      <c r="E109" s="17" t="str" cm="1">
        <f t="array" ref="E109">IF(C109=0,"",
HYPERLINK(
"#'2026 Orders'!C"&amp;
MATCH(1,
('2026 Orders'!C:C=C109)*
('2026 Orders'!G:G=G109)*
('2026 Orders'!N:N=N109),
0),
"Open "&amp;C109
))</f>
        <v>Open A4569</v>
      </c>
      <c r="F109" s="14">
        <f>'[1]2026 Orders'!F110</f>
        <v>0</v>
      </c>
      <c r="G109" s="14" t="str">
        <f>'[1]2026 Orders'!G110</f>
        <v>MFSPLS-120-FD</v>
      </c>
      <c r="H109" s="14" t="str" cm="1">
        <f t="array" ref="H109">IFERROR(_xlfn.TEXTJOIN("-",,INDEX(_xlfn.TEXTSPLIT(TableTake[[#This Row],[SKU]],"-"),{1,2})),"")</f>
        <v>MFSPLS-120</v>
      </c>
      <c r="I109" s="15" t="str">
        <f>IFERROR(_xlfn.TEXTAFTER(TableTake[[#This Row],[SKU]],"-",-1),"")</f>
        <v>FD</v>
      </c>
      <c r="J109" s="14">
        <f>'[1]2026 Orders'!H110</f>
        <v>48</v>
      </c>
      <c r="K109" t="str">
        <f>'[1]2026 Orders'!I110</f>
        <v>F30-25.1</v>
      </c>
      <c r="L109">
        <f>'[1]2026 Orders'!J110</f>
        <v>48</v>
      </c>
      <c r="N109" s="10" t="str">
        <f>'[1]2026 Orders'!L110</f>
        <v>D/W Sent</v>
      </c>
      <c r="O109">
        <f>'[1]2026 Orders'!M110</f>
        <v>0</v>
      </c>
      <c r="P109" t="str">
        <f>'[1]2026 Orders'!N110</f>
        <v>NA</v>
      </c>
      <c r="Q109">
        <f>'[1]2026 Orders'!O110</f>
        <v>609788968344</v>
      </c>
      <c r="R109">
        <f>'[1]2026 Orders'!P110</f>
        <v>14000</v>
      </c>
      <c r="S109">
        <f>'[1]2026 Orders'!Q110</f>
        <v>4846</v>
      </c>
      <c r="T109" t="str">
        <f>'[1]2026 Orders'!R110</f>
        <v>complete</v>
      </c>
      <c r="U109">
        <f>'[1]2026 Orders'!S110</f>
        <v>0</v>
      </c>
      <c r="V109">
        <f>'[1]2026 Orders'!T110</f>
        <v>0</v>
      </c>
      <c r="W109">
        <f>'[1]2026 Orders'!U110</f>
        <v>0</v>
      </c>
      <c r="X109">
        <f>'[1]2026 Orders'!V110</f>
        <v>0</v>
      </c>
      <c r="Y109">
        <f>'[1]2026 Orders'!W110</f>
        <v>0</v>
      </c>
      <c r="Z109">
        <f>'[1]2026 Orders'!X110</f>
        <v>0</v>
      </c>
      <c r="AC109" t="str">
        <f t="shared" si="2"/>
        <v>48/</v>
      </c>
      <c r="AD109" t="e">
        <f t="shared" si="3"/>
        <v>#VALUE!</v>
      </c>
    </row>
    <row r="110" spans="1:30" ht="33" hidden="1" customHeight="1" x14ac:dyDescent="0.3">
      <c r="A110">
        <f>'[1]2026 Orders'!A111</f>
        <v>45971</v>
      </c>
      <c r="B110" s="14" t="str">
        <f>'[1]2026 Orders'!B111</f>
        <v>Botswana</v>
      </c>
      <c r="C110" s="14" t="str">
        <f>'[1]2026 Orders'!C111</f>
        <v>A4569</v>
      </c>
      <c r="D110" s="14">
        <f>'[1]2026 Orders'!D111</f>
        <v>0</v>
      </c>
      <c r="E110" s="17" t="str" cm="1">
        <f t="array" ref="E110">IF(C110=0,"",
HYPERLINK(
"#'2026 Orders'!C"&amp;
MATCH(1,
('2026 Orders'!C:C=C110)*
('2026 Orders'!G:G=G110)*
('2026 Orders'!N:N=N110),
0),
"Open "&amp;C110
))</f>
        <v>Open A4569</v>
      </c>
      <c r="F110" s="14">
        <f>'[1]2026 Orders'!F111</f>
        <v>0</v>
      </c>
      <c r="G110" s="14" t="str">
        <f>'[1]2026 Orders'!G111</f>
        <v>FIBRO-60-FD</v>
      </c>
      <c r="H110" s="14" t="str" cm="1">
        <f t="array" ref="H110">IFERROR(_xlfn.TEXTJOIN("-",,INDEX(_xlfn.TEXTSPLIT(TableTake[[#This Row],[SKU]],"-"),{1,2})),"")</f>
        <v>FIBRO-60</v>
      </c>
      <c r="I110" s="15" t="str">
        <f>IFERROR(_xlfn.TEXTAFTER(TableTake[[#This Row],[SKU]],"-",-1),"")</f>
        <v>FD</v>
      </c>
      <c r="J110" s="14">
        <f>'[1]2026 Orders'!H111</f>
        <v>48</v>
      </c>
      <c r="K110" t="str">
        <f>'[1]2026 Orders'!I111</f>
        <v>F17-25.1</v>
      </c>
      <c r="L110">
        <f>'[1]2026 Orders'!J111</f>
        <v>48</v>
      </c>
      <c r="N110" s="10" t="str">
        <f>'[1]2026 Orders'!L111</f>
        <v>D/W Sent</v>
      </c>
      <c r="O110">
        <f>'[1]2026 Orders'!M111</f>
        <v>0</v>
      </c>
      <c r="P110" t="str">
        <f>'[1]2026 Orders'!N111</f>
        <v>NA</v>
      </c>
      <c r="Q110">
        <f>'[1]2026 Orders'!O111</f>
        <v>609788968498</v>
      </c>
      <c r="R110">
        <f>'[1]2026 Orders'!P111</f>
        <v>6500</v>
      </c>
      <c r="S110">
        <f>'[1]2026 Orders'!Q111</f>
        <v>4840</v>
      </c>
      <c r="T110" t="str">
        <f>'[1]2026 Orders'!R111</f>
        <v>complete</v>
      </c>
      <c r="U110">
        <f>'[1]2026 Orders'!S111</f>
        <v>0</v>
      </c>
      <c r="V110">
        <f>'[1]2026 Orders'!T111</f>
        <v>0</v>
      </c>
      <c r="W110">
        <f>'[1]2026 Orders'!U111</f>
        <v>0</v>
      </c>
      <c r="X110">
        <f>'[1]2026 Orders'!V111</f>
        <v>0</v>
      </c>
      <c r="Y110">
        <f>'[1]2026 Orders'!W111</f>
        <v>45981</v>
      </c>
      <c r="Z110">
        <f>'[1]2026 Orders'!X111</f>
        <v>0</v>
      </c>
      <c r="AC110" t="str">
        <f t="shared" si="2"/>
        <v>48/</v>
      </c>
      <c r="AD110" t="e">
        <f t="shared" si="3"/>
        <v>#VALUE!</v>
      </c>
    </row>
    <row r="111" spans="1:30" ht="33" hidden="1" customHeight="1" x14ac:dyDescent="0.3">
      <c r="A111">
        <f>'[1]2026 Orders'!A112</f>
        <v>45971</v>
      </c>
      <c r="B111" s="14" t="str">
        <f>'[1]2026 Orders'!B112</f>
        <v>Botswana</v>
      </c>
      <c r="C111" s="14" t="str">
        <f>'[1]2026 Orders'!C112</f>
        <v>A4569</v>
      </c>
      <c r="D111" s="14">
        <f>'[1]2026 Orders'!D112</f>
        <v>0</v>
      </c>
      <c r="E111" s="17" t="str" cm="1">
        <f t="array" ref="E111">IF(C111=0,"",
HYPERLINK(
"#'2026 Orders'!C"&amp;
MATCH(1,
('2026 Orders'!C:C=C111)*
('2026 Orders'!G:G=G111)*
('2026 Orders'!N:N=N111),
0),
"Open "&amp;C111
))</f>
        <v>Open A4569</v>
      </c>
      <c r="F111" s="14">
        <f>'[1]2026 Orders'!F112</f>
        <v>0</v>
      </c>
      <c r="G111" s="14" t="str">
        <f>'[1]2026 Orders'!G112</f>
        <v>DHEA25-60-FD</v>
      </c>
      <c r="H111" s="14" t="str" cm="1">
        <f t="array" ref="H111">IFERROR(_xlfn.TEXTJOIN("-",,INDEX(_xlfn.TEXTSPLIT(TableTake[[#This Row],[SKU]],"-"),{1,2})),"")</f>
        <v>DHEA25-60</v>
      </c>
      <c r="I111" s="15" t="str">
        <f>IFERROR(_xlfn.TEXTAFTER(TableTake[[#This Row],[SKU]],"-",-1),"")</f>
        <v>FD</v>
      </c>
      <c r="J111" s="14">
        <f>'[1]2026 Orders'!H112</f>
        <v>48</v>
      </c>
      <c r="K111" t="str">
        <f>'[1]2026 Orders'!I112</f>
        <v>F14-25.2</v>
      </c>
      <c r="L111">
        <f>'[1]2026 Orders'!J112</f>
        <v>48</v>
      </c>
      <c r="N111" s="10" t="str">
        <f>'[1]2026 Orders'!L112</f>
        <v>D/W Sent</v>
      </c>
      <c r="O111">
        <f>'[1]2026 Orders'!M112</f>
        <v>0</v>
      </c>
      <c r="P111" t="str">
        <f>'[1]2026 Orders'!N112</f>
        <v>NA</v>
      </c>
      <c r="Q111" t="str">
        <f>'[1]2026 Orders'!O112</f>
        <v>609788968153</v>
      </c>
      <c r="R111">
        <f>'[1]2026 Orders'!P112</f>
        <v>0</v>
      </c>
      <c r="S111">
        <f>'[1]2026 Orders'!Q112</f>
        <v>0</v>
      </c>
      <c r="T111">
        <f>'[1]2026 Orders'!R112</f>
        <v>0</v>
      </c>
      <c r="U111">
        <f>'[1]2026 Orders'!S112</f>
        <v>0</v>
      </c>
      <c r="V111">
        <f>'[1]2026 Orders'!T112</f>
        <v>0</v>
      </c>
      <c r="W111">
        <f>'[1]2026 Orders'!U112</f>
        <v>0</v>
      </c>
      <c r="X111">
        <f>'[1]2026 Orders'!V112</f>
        <v>0</v>
      </c>
      <c r="Y111">
        <f>'[1]2026 Orders'!W112</f>
        <v>0</v>
      </c>
      <c r="Z111">
        <f>'[1]2026 Orders'!X112</f>
        <v>0</v>
      </c>
      <c r="AC111" t="str">
        <f t="shared" si="2"/>
        <v>48/</v>
      </c>
      <c r="AD111" t="e">
        <f t="shared" si="3"/>
        <v>#VALUE!</v>
      </c>
    </row>
    <row r="112" spans="1:30" ht="33" hidden="1" customHeight="1" x14ac:dyDescent="0.3">
      <c r="A112">
        <f>'[1]2026 Orders'!A113</f>
        <v>45971</v>
      </c>
      <c r="B112" s="14" t="str">
        <f>'[1]2026 Orders'!B113</f>
        <v>Botswana</v>
      </c>
      <c r="C112" s="14" t="str">
        <f>'[1]2026 Orders'!C113</f>
        <v>A4569</v>
      </c>
      <c r="D112" s="14">
        <f>'[1]2026 Orders'!D113</f>
        <v>0</v>
      </c>
      <c r="E112" s="17" t="str" cm="1">
        <f t="array" ref="E112">IF(C112=0,"",
HYPERLINK(
"#'2026 Orders'!C"&amp;
MATCH(1,
('2026 Orders'!C:C=C112)*
('2026 Orders'!G:G=G112)*
('2026 Orders'!N:N=N112),
0),
"Open "&amp;C112
))</f>
        <v>Open A4569</v>
      </c>
      <c r="F112" s="14">
        <f>'[1]2026 Orders'!F113</f>
        <v>0</v>
      </c>
      <c r="G112" s="14" t="str">
        <f>'[1]2026 Orders'!G113</f>
        <v>DHEA50-60-FD</v>
      </c>
      <c r="H112" s="14" t="str" cm="1">
        <f t="array" ref="H112">IFERROR(_xlfn.TEXTJOIN("-",,INDEX(_xlfn.TEXTSPLIT(TableTake[[#This Row],[SKU]],"-"),{1,2})),"")</f>
        <v>DHEA50-60</v>
      </c>
      <c r="I112" s="15" t="str">
        <f>IFERROR(_xlfn.TEXTAFTER(TableTake[[#This Row],[SKU]],"-",-1),"")</f>
        <v>FD</v>
      </c>
      <c r="J112" s="14">
        <f>'[1]2026 Orders'!H113</f>
        <v>48</v>
      </c>
      <c r="K112" t="str">
        <f>'[1]2026 Orders'!I113</f>
        <v>F13-25.2</v>
      </c>
      <c r="L112">
        <f>'[1]2026 Orders'!J113</f>
        <v>48</v>
      </c>
      <c r="N112" s="10" t="str">
        <f>'[1]2026 Orders'!L113</f>
        <v>D/W Sent</v>
      </c>
      <c r="O112">
        <f>'[1]2026 Orders'!M113</f>
        <v>0</v>
      </c>
      <c r="P112" t="str">
        <f>'[1]2026 Orders'!N113</f>
        <v>NA</v>
      </c>
      <c r="Q112">
        <f>'[1]2026 Orders'!O113</f>
        <v>609788968221</v>
      </c>
      <c r="R112">
        <f>'[1]2026 Orders'!P113</f>
        <v>5000</v>
      </c>
      <c r="S112">
        <f>'[1]2026 Orders'!Q113</f>
        <v>4832</v>
      </c>
      <c r="T112" t="str">
        <f>'[1]2026 Orders'!R113</f>
        <v>complete</v>
      </c>
      <c r="U112">
        <f>'[1]2026 Orders'!S113</f>
        <v>0</v>
      </c>
      <c r="V112">
        <f>'[1]2026 Orders'!T113</f>
        <v>0</v>
      </c>
      <c r="W112">
        <f>'[1]2026 Orders'!U113</f>
        <v>0</v>
      </c>
      <c r="X112">
        <f>'[1]2026 Orders'!V113</f>
        <v>0</v>
      </c>
      <c r="Y112">
        <f>'[1]2026 Orders'!W113</f>
        <v>0</v>
      </c>
      <c r="Z112">
        <f>'[1]2026 Orders'!X113</f>
        <v>0</v>
      </c>
      <c r="AC112" t="str">
        <f t="shared" si="2"/>
        <v>48/</v>
      </c>
      <c r="AD112" t="e">
        <f t="shared" si="3"/>
        <v>#VALUE!</v>
      </c>
    </row>
    <row r="113" spans="1:30" ht="33" hidden="1" customHeight="1" x14ac:dyDescent="0.3">
      <c r="A113">
        <f>'[1]2026 Orders'!A114</f>
        <v>45971</v>
      </c>
      <c r="B113" s="14" t="str">
        <f>'[1]2026 Orders'!B114</f>
        <v>Botswana</v>
      </c>
      <c r="C113" s="14" t="str">
        <f>'[1]2026 Orders'!C114</f>
        <v>A4569</v>
      </c>
      <c r="D113" s="14">
        <f>'[1]2026 Orders'!D114</f>
        <v>0</v>
      </c>
      <c r="E113" s="17" t="str" cm="1">
        <f t="array" ref="E113">IF(C113=0,"",
HYPERLINK(
"#'2026 Orders'!C"&amp;
MATCH(1,
('2026 Orders'!C:C=C113)*
('2026 Orders'!G:G=G113)*
('2026 Orders'!N:N=N113),
0),
"Open "&amp;C113
))</f>
        <v>Open A4569</v>
      </c>
      <c r="F113" s="14">
        <f>'[1]2026 Orders'!F114</f>
        <v>0</v>
      </c>
      <c r="G113" s="14" t="str">
        <f>'[1]2026 Orders'!G114</f>
        <v>WFSPLS-180-FD</v>
      </c>
      <c r="H113" s="14" t="str" cm="1">
        <f t="array" ref="H113">IFERROR(_xlfn.TEXTJOIN("-",,INDEX(_xlfn.TEXTSPLIT(TableTake[[#This Row],[SKU]],"-"),{1,2})),"")</f>
        <v>WFSPLS-180</v>
      </c>
      <c r="I113" s="15" t="str">
        <f>IFERROR(_xlfn.TEXTAFTER(TableTake[[#This Row],[SKU]],"-",-1),"")</f>
        <v>FD</v>
      </c>
      <c r="J113" s="14">
        <f>'[1]2026 Orders'!H114</f>
        <v>48</v>
      </c>
      <c r="K113" t="str">
        <f>'[1]2026 Orders'!I114</f>
        <v>F73-23.0</v>
      </c>
      <c r="L113">
        <f>'[1]2026 Orders'!J114</f>
        <v>48</v>
      </c>
      <c r="N113" s="10" t="str">
        <f>'[1]2026 Orders'!L114</f>
        <v>D/W Sent</v>
      </c>
      <c r="O113">
        <f>'[1]2026 Orders'!M114</f>
        <v>0</v>
      </c>
      <c r="P113" t="str">
        <f>'[1]2026 Orders'!N114</f>
        <v>NA</v>
      </c>
      <c r="Q113">
        <f>'[1]2026 Orders'!O114</f>
        <v>609788968351</v>
      </c>
      <c r="R113">
        <f>'[1]2026 Orders'!P114</f>
        <v>9000</v>
      </c>
      <c r="S113">
        <f>'[1]2026 Orders'!Q114</f>
        <v>4845</v>
      </c>
      <c r="T113" t="str">
        <f>'[1]2026 Orders'!R114</f>
        <v>complete</v>
      </c>
      <c r="U113">
        <f>'[1]2026 Orders'!S114</f>
        <v>0</v>
      </c>
      <c r="V113">
        <f>'[1]2026 Orders'!T114</f>
        <v>0</v>
      </c>
      <c r="W113">
        <f>'[1]2026 Orders'!U114</f>
        <v>0</v>
      </c>
      <c r="X113">
        <f>'[1]2026 Orders'!V114</f>
        <v>0</v>
      </c>
      <c r="Y113">
        <f>'[1]2026 Orders'!W114</f>
        <v>0</v>
      </c>
      <c r="Z113">
        <f>'[1]2026 Orders'!X114</f>
        <v>0</v>
      </c>
      <c r="AC113" t="str">
        <f t="shared" si="2"/>
        <v>48/</v>
      </c>
      <c r="AD113" t="e">
        <f t="shared" si="3"/>
        <v>#VALUE!</v>
      </c>
    </row>
    <row r="114" spans="1:30" ht="33" hidden="1" customHeight="1" x14ac:dyDescent="0.3">
      <c r="A114">
        <f>'[1]2026 Orders'!A115</f>
        <v>45971</v>
      </c>
      <c r="B114" s="14" t="str">
        <f>'[1]2026 Orders'!B115</f>
        <v>Botswana</v>
      </c>
      <c r="C114" s="14" t="str">
        <f>'[1]2026 Orders'!C115</f>
        <v>A4569</v>
      </c>
      <c r="D114" s="14">
        <f>'[1]2026 Orders'!D115</f>
        <v>0</v>
      </c>
      <c r="E114" s="17" t="str" cm="1">
        <f t="array" ref="E114">IF(C114=0,"",
HYPERLINK(
"#'2026 Orders'!C"&amp;
MATCH(1,
('2026 Orders'!C:C=C114)*
('2026 Orders'!G:G=G114)*
('2026 Orders'!N:N=N114),
0),
"Open "&amp;C114
))</f>
        <v>Open A4569</v>
      </c>
      <c r="F114" s="14">
        <f>'[1]2026 Orders'!F115</f>
        <v>0</v>
      </c>
      <c r="G114" s="14" t="str">
        <f>'[1]2026 Orders'!G115</f>
        <v>SPERMCT-60-FD</v>
      </c>
      <c r="H114" s="14" t="str" cm="1">
        <f t="array" ref="H114">IFERROR(_xlfn.TEXTJOIN("-",,INDEX(_xlfn.TEXTSPLIT(TableTake[[#This Row],[SKU]],"-"),{1,2})),"")</f>
        <v>SPERMCT-60</v>
      </c>
      <c r="I114" s="15" t="str">
        <f>IFERROR(_xlfn.TEXTAFTER(TableTake[[#This Row],[SKU]],"-",-1),"")</f>
        <v>FD</v>
      </c>
      <c r="J114" s="14">
        <f>'[1]2026 Orders'!H115</f>
        <v>24</v>
      </c>
      <c r="K114" t="str">
        <f>'[1]2026 Orders'!I115</f>
        <v>F64-25.0</v>
      </c>
      <c r="L114">
        <f>'[1]2026 Orders'!J115</f>
        <v>24</v>
      </c>
      <c r="N114" s="10" t="str">
        <f>'[1]2026 Orders'!L115</f>
        <v>D/W Sent</v>
      </c>
      <c r="O114">
        <f>'[1]2026 Orders'!M115</f>
        <v>0</v>
      </c>
      <c r="P114" t="str">
        <f>'[1]2026 Orders'!N115</f>
        <v>NA</v>
      </c>
      <c r="Q114">
        <f>'[1]2026 Orders'!O115</f>
        <v>609788968405</v>
      </c>
      <c r="R114">
        <f>'[1]2026 Orders'!P115</f>
        <v>5500</v>
      </c>
      <c r="S114">
        <f>'[1]2026 Orders'!Q115</f>
        <v>4850</v>
      </c>
      <c r="T114" t="str">
        <f>'[1]2026 Orders'!R115</f>
        <v>complete</v>
      </c>
      <c r="U114">
        <f>'[1]2026 Orders'!S115</f>
        <v>0</v>
      </c>
      <c r="V114">
        <f>'[1]2026 Orders'!T115</f>
        <v>0</v>
      </c>
      <c r="W114">
        <f>'[1]2026 Orders'!U115</f>
        <v>0</v>
      </c>
      <c r="X114">
        <f>'[1]2026 Orders'!V115</f>
        <v>0</v>
      </c>
      <c r="Y114">
        <f>'[1]2026 Orders'!W115</f>
        <v>0</v>
      </c>
      <c r="Z114">
        <f>'[1]2026 Orders'!X115</f>
        <v>0</v>
      </c>
      <c r="AC114" t="str">
        <f t="shared" si="2"/>
        <v>24/</v>
      </c>
      <c r="AD114" t="e">
        <f t="shared" si="3"/>
        <v>#VALUE!</v>
      </c>
    </row>
    <row r="115" spans="1:30" ht="33" hidden="1" customHeight="1" x14ac:dyDescent="0.3">
      <c r="A115">
        <f>'[1]2026 Orders'!A116</f>
        <v>45971</v>
      </c>
      <c r="B115" s="14" t="str">
        <f>'[1]2026 Orders'!B116</f>
        <v>Botswana</v>
      </c>
      <c r="C115" s="14" t="str">
        <f>'[1]2026 Orders'!C116</f>
        <v>A4569</v>
      </c>
      <c r="D115" s="14">
        <f>'[1]2026 Orders'!D116</f>
        <v>0</v>
      </c>
      <c r="E115" s="17" t="str" cm="1">
        <f t="array" ref="E115">IF(C115=0,"",
HYPERLINK(
"#'2026 Orders'!C"&amp;
MATCH(1,
('2026 Orders'!C:C=C115)*
('2026 Orders'!G:G=G115)*
('2026 Orders'!N:N=N115),
0),
"Open "&amp;C115
))</f>
        <v>Open A4569</v>
      </c>
      <c r="F115" s="14">
        <f>'[1]2026 Orders'!F116</f>
        <v>0</v>
      </c>
      <c r="G115" s="14" t="str">
        <f>'[1]2026 Orders'!G116</f>
        <v>OVAMAX-120-FD</v>
      </c>
      <c r="H115" s="14" t="str" cm="1">
        <f t="array" ref="H115">IFERROR(_xlfn.TEXTJOIN("-",,INDEX(_xlfn.TEXTSPLIT(TableTake[[#This Row],[SKU]],"-"),{1,2})),"")</f>
        <v>OVAMAX-120</v>
      </c>
      <c r="I115" s="15" t="str">
        <f>IFERROR(_xlfn.TEXTAFTER(TableTake[[#This Row],[SKU]],"-",-1),"")</f>
        <v>FD</v>
      </c>
      <c r="J115" s="14">
        <f>'[1]2026 Orders'!H116</f>
        <v>48</v>
      </c>
      <c r="K115" t="str">
        <f>'[1]2026 Orders'!I116</f>
        <v>F97-25.0</v>
      </c>
      <c r="L115">
        <f>'[1]2026 Orders'!J116</f>
        <v>48</v>
      </c>
      <c r="N115" s="10" t="str">
        <f>'[1]2026 Orders'!L116</f>
        <v>D/W Sent</v>
      </c>
      <c r="O115">
        <f>'[1]2026 Orders'!M116</f>
        <v>0</v>
      </c>
      <c r="P115" t="str">
        <f>'[1]2026 Orders'!N116</f>
        <v>NA</v>
      </c>
      <c r="Q115">
        <f>'[1]2026 Orders'!O116</f>
        <v>609788968399</v>
      </c>
      <c r="R115">
        <f>'[1]2026 Orders'!P116</f>
        <v>16000</v>
      </c>
      <c r="S115">
        <f>'[1]2026 Orders'!Q116</f>
        <v>4823</v>
      </c>
      <c r="T115" t="str">
        <f>'[1]2026 Orders'!R116</f>
        <v>complete</v>
      </c>
      <c r="U115">
        <f>'[1]2026 Orders'!S116</f>
        <v>0</v>
      </c>
      <c r="V115">
        <f>'[1]2026 Orders'!T116</f>
        <v>0</v>
      </c>
      <c r="W115">
        <f>'[1]2026 Orders'!U116</f>
        <v>0</v>
      </c>
      <c r="X115">
        <f>'[1]2026 Orders'!V116</f>
        <v>0</v>
      </c>
      <c r="Y115">
        <f>'[1]2026 Orders'!W116</f>
        <v>0</v>
      </c>
      <c r="Z115">
        <f>'[1]2026 Orders'!X116</f>
        <v>0</v>
      </c>
      <c r="AC115" t="str">
        <f t="shared" si="2"/>
        <v>48/</v>
      </c>
      <c r="AD115" t="e">
        <f t="shared" si="3"/>
        <v>#VALUE!</v>
      </c>
    </row>
    <row r="116" spans="1:30" ht="33" hidden="1" customHeight="1" x14ac:dyDescent="0.3">
      <c r="A116">
        <f>'[1]2026 Orders'!A117</f>
        <v>45971</v>
      </c>
      <c r="B116" s="14" t="str">
        <f>'[1]2026 Orders'!B117</f>
        <v>Botswana</v>
      </c>
      <c r="C116" s="14" t="str">
        <f>'[1]2026 Orders'!C117</f>
        <v>A4569</v>
      </c>
      <c r="D116" s="14">
        <f>'[1]2026 Orders'!D117</f>
        <v>0</v>
      </c>
      <c r="E116" s="17" t="str" cm="1">
        <f t="array" ref="E116">IF(C116=0,"",
HYPERLINK(
"#'2026 Orders'!C"&amp;
MATCH(1,
('2026 Orders'!C:C=C116)*
('2026 Orders'!G:G=G116)*
('2026 Orders'!N:N=N116),
0),
"Open "&amp;C116
))</f>
        <v>Open A4569</v>
      </c>
      <c r="F116" s="14">
        <f>'[1]2026 Orders'!F117</f>
        <v>49241225</v>
      </c>
      <c r="G116" s="14" t="str">
        <f>'[1]2026 Orders'!G117</f>
        <v>CAVIN-60-FD</v>
      </c>
      <c r="H116" s="14" t="str" cm="1">
        <f t="array" ref="H116">IFERROR(_xlfn.TEXTJOIN("-",,INDEX(_xlfn.TEXTSPLIT(TableTake[[#This Row],[SKU]],"-"),{1,2})),"")</f>
        <v>CAVIN-60</v>
      </c>
      <c r="I116" s="15" t="str">
        <f>IFERROR(_xlfn.TEXTAFTER(TableTake[[#This Row],[SKU]],"-",-1),"")</f>
        <v>FD</v>
      </c>
      <c r="J116" s="14">
        <f>'[1]2026 Orders'!H117</f>
        <v>48</v>
      </c>
      <c r="K116" t="str">
        <f>'[1]2026 Orders'!I117</f>
        <v>F08-25.0</v>
      </c>
      <c r="L116">
        <f>'[1]2026 Orders'!J117</f>
        <v>48</v>
      </c>
      <c r="N116" s="10" t="str">
        <f>'[1]2026 Orders'!L117</f>
        <v>D/W Sent</v>
      </c>
      <c r="O116">
        <f>'[1]2026 Orders'!M117</f>
        <v>0</v>
      </c>
      <c r="P116" t="str">
        <f>'[1]2026 Orders'!N117</f>
        <v>NA</v>
      </c>
      <c r="Q116">
        <f>'[1]2026 Orders'!O117</f>
        <v>609788968597</v>
      </c>
      <c r="R116">
        <f>'[1]2026 Orders'!P117</f>
        <v>5000</v>
      </c>
      <c r="S116">
        <f>'[1]2026 Orders'!Q117</f>
        <v>4924</v>
      </c>
      <c r="T116" t="str">
        <f>'[1]2026 Orders'!R117</f>
        <v>Complete</v>
      </c>
      <c r="U116">
        <f>'[1]2026 Orders'!S117</f>
        <v>0</v>
      </c>
      <c r="V116">
        <f>'[1]2026 Orders'!T117</f>
        <v>0</v>
      </c>
      <c r="W116">
        <f>'[1]2026 Orders'!U117</f>
        <v>0</v>
      </c>
      <c r="X116">
        <f>'[1]2026 Orders'!V117</f>
        <v>0</v>
      </c>
      <c r="Y116">
        <f>'[1]2026 Orders'!W117</f>
        <v>0</v>
      </c>
      <c r="Z116">
        <f>'[1]2026 Orders'!X117</f>
        <v>0</v>
      </c>
      <c r="AC116" t="str">
        <f t="shared" si="2"/>
        <v>48/</v>
      </c>
      <c r="AD116" t="e">
        <f t="shared" si="3"/>
        <v>#VALUE!</v>
      </c>
    </row>
    <row r="117" spans="1:30" ht="33" hidden="1" customHeight="1" x14ac:dyDescent="0.3">
      <c r="A117">
        <f>'[1]2026 Orders'!A118</f>
        <v>45971</v>
      </c>
      <c r="B117" s="14" t="str">
        <f>'[1]2026 Orders'!B118</f>
        <v>Botswana</v>
      </c>
      <c r="C117" s="14" t="str">
        <f>'[1]2026 Orders'!C118</f>
        <v>A4569</v>
      </c>
      <c r="D117" s="14">
        <f>'[1]2026 Orders'!D118</f>
        <v>0</v>
      </c>
      <c r="E117" s="17" t="str" cm="1">
        <f t="array" ref="E117">IF(C117=0,"",
HYPERLINK(
"#'2026 Orders'!C"&amp;
MATCH(1,
('2026 Orders'!C:C=C117)*
('2026 Orders'!G:G=G117)*
('2026 Orders'!N:N=N117),
0),
"Open "&amp;C117
))</f>
        <v>Open A4569</v>
      </c>
      <c r="F117" s="14">
        <f>'[1]2026 Orders'!F118</f>
        <v>0</v>
      </c>
      <c r="G117" s="14" t="str">
        <f>'[1]2026 Orders'!G118</f>
        <v>FERTMX-90-RE</v>
      </c>
      <c r="H117" s="14" t="str" cm="1">
        <f t="array" ref="H117">IFERROR(_xlfn.TEXTJOIN("-",,INDEX(_xlfn.TEXTSPLIT(TableTake[[#This Row],[SKU]],"-"),{1,2})),"")</f>
        <v>FERTMX-90</v>
      </c>
      <c r="I117" s="15" t="str">
        <f>IFERROR(_xlfn.TEXTAFTER(TableTake[[#This Row],[SKU]],"-",-1),"")</f>
        <v>RE</v>
      </c>
      <c r="J117" s="14">
        <f>'[1]2026 Orders'!H118</f>
        <v>48</v>
      </c>
      <c r="K117" t="str">
        <f>'[1]2026 Orders'!I118</f>
        <v>R16-22.0</v>
      </c>
      <c r="L117">
        <f>'[1]2026 Orders'!J118</f>
        <v>48</v>
      </c>
      <c r="N117" s="10" t="str">
        <f>'[1]2026 Orders'!L118</f>
        <v>D/W Sent</v>
      </c>
      <c r="O117">
        <f>'[1]2026 Orders'!M118</f>
        <v>0</v>
      </c>
      <c r="P117" t="str">
        <f>'[1]2026 Orders'!N118</f>
        <v>Y</v>
      </c>
      <c r="Q117">
        <f>'[1]2026 Orders'!O118</f>
        <v>609788968726</v>
      </c>
      <c r="R117">
        <f>'[1]2026 Orders'!P118</f>
        <v>5000</v>
      </c>
      <c r="S117">
        <f>'[1]2026 Orders'!Q118</f>
        <v>4834</v>
      </c>
      <c r="T117" t="str">
        <f>'[1]2026 Orders'!R118</f>
        <v>complete</v>
      </c>
      <c r="U117">
        <f>'[1]2026 Orders'!S118</f>
        <v>0</v>
      </c>
      <c r="V117">
        <f>'[1]2026 Orders'!T118</f>
        <v>0</v>
      </c>
      <c r="W117">
        <f>'[1]2026 Orders'!U118</f>
        <v>0</v>
      </c>
      <c r="X117">
        <f>'[1]2026 Orders'!V118</f>
        <v>0</v>
      </c>
      <c r="Y117">
        <f>'[1]2026 Orders'!W118</f>
        <v>0</v>
      </c>
      <c r="Z117">
        <f>'[1]2026 Orders'!X118</f>
        <v>0</v>
      </c>
      <c r="AC117" t="str">
        <f t="shared" si="2"/>
        <v>48/</v>
      </c>
      <c r="AD117" t="e">
        <f t="shared" si="3"/>
        <v>#VALUE!</v>
      </c>
    </row>
    <row r="118" spans="1:30" ht="33" hidden="1" customHeight="1" x14ac:dyDescent="0.3">
      <c r="A118">
        <f>'[1]2026 Orders'!A119</f>
        <v>45971</v>
      </c>
      <c r="B118" s="14" t="str">
        <f>'[1]2026 Orders'!B119</f>
        <v>Botswana</v>
      </c>
      <c r="C118" s="14" t="str">
        <f>'[1]2026 Orders'!C119</f>
        <v>A4569</v>
      </c>
      <c r="D118" s="14">
        <f>'[1]2026 Orders'!D119</f>
        <v>0</v>
      </c>
      <c r="E118" s="17" t="str" cm="1">
        <f t="array" ref="E118">IF(C118=0,"",
HYPERLINK(
"#'2026 Orders'!C"&amp;
MATCH(1,
('2026 Orders'!C:C=C118)*
('2026 Orders'!G:G=G118)*
('2026 Orders'!N:N=N118),
0),
"Open "&amp;C118
))</f>
        <v>Open A4569</v>
      </c>
      <c r="F118" s="14">
        <f>'[1]2026 Orders'!F119</f>
        <v>0</v>
      </c>
      <c r="G118" s="14" t="str">
        <f>'[1]2026 Orders'!G119</f>
        <v>OME369-90-FD</v>
      </c>
      <c r="H118" s="14" t="str" cm="1">
        <f t="array" ref="H118">IFERROR(_xlfn.TEXTJOIN("-",,INDEX(_xlfn.TEXTSPLIT(TableTake[[#This Row],[SKU]],"-"),{1,2})),"")</f>
        <v>OME369-90</v>
      </c>
      <c r="I118" s="15" t="str">
        <f>IFERROR(_xlfn.TEXTAFTER(TableTake[[#This Row],[SKU]],"-",-1),"")</f>
        <v>FD</v>
      </c>
      <c r="J118" s="14">
        <f>'[1]2026 Orders'!H119</f>
        <v>120</v>
      </c>
      <c r="K118" t="str">
        <f>'[1]2026 Orders'!I119</f>
        <v>F39-22.1</v>
      </c>
      <c r="L118">
        <f>'[1]2026 Orders'!J119</f>
        <v>120</v>
      </c>
      <c r="N118" s="10" t="str">
        <f>'[1]2026 Orders'!L119</f>
        <v>D/W Sent</v>
      </c>
      <c r="O118">
        <f>'[1]2026 Orders'!M119</f>
        <v>0</v>
      </c>
      <c r="P118" t="str">
        <f>'[1]2026 Orders'!N119</f>
        <v>Y</v>
      </c>
      <c r="Q118" t="str">
        <f>'[1]2026 Orders'!O119</f>
        <v>609788968511</v>
      </c>
      <c r="R118">
        <f>'[1]2026 Orders'!P119</f>
        <v>0</v>
      </c>
      <c r="S118">
        <f>'[1]2026 Orders'!Q119</f>
        <v>4896</v>
      </c>
      <c r="T118">
        <f>'[1]2026 Orders'!R119</f>
        <v>0</v>
      </c>
      <c r="U118">
        <f>'[1]2026 Orders'!S119</f>
        <v>0</v>
      </c>
      <c r="V118">
        <f>'[1]2026 Orders'!T119</f>
        <v>0</v>
      </c>
      <c r="W118">
        <f>'[1]2026 Orders'!U119</f>
        <v>0</v>
      </c>
      <c r="X118">
        <f>'[1]2026 Orders'!V119</f>
        <v>0</v>
      </c>
      <c r="Y118">
        <f>'[1]2026 Orders'!W119</f>
        <v>0</v>
      </c>
      <c r="Z118">
        <f>'[1]2026 Orders'!X119</f>
        <v>0</v>
      </c>
      <c r="AC118" t="str">
        <f t="shared" si="2"/>
        <v>120/</v>
      </c>
      <c r="AD118" t="e">
        <f t="shared" si="3"/>
        <v>#VALUE!</v>
      </c>
    </row>
    <row r="119" spans="1:30" ht="33" hidden="1" customHeight="1" x14ac:dyDescent="0.3">
      <c r="A119">
        <f>'[1]2026 Orders'!A120</f>
        <v>45971</v>
      </c>
      <c r="B119" s="14" t="str">
        <f>'[1]2026 Orders'!B120</f>
        <v>Botswana</v>
      </c>
      <c r="C119" s="14" t="str">
        <f>'[1]2026 Orders'!C120</f>
        <v>A4569</v>
      </c>
      <c r="D119" s="14">
        <f>'[1]2026 Orders'!D120</f>
        <v>0</v>
      </c>
      <c r="E119" s="17" t="str" cm="1">
        <f t="array" ref="E119">IF(C119=0,"",
HYPERLINK(
"#'2026 Orders'!C"&amp;
MATCH(1,
('2026 Orders'!C:C=C119)*
('2026 Orders'!G:G=G119)*
('2026 Orders'!N:N=N119),
0),
"Open "&amp;C119
))</f>
        <v>Open A4569</v>
      </c>
      <c r="F119" s="14">
        <f>'[1]2026 Orders'!F120</f>
        <v>0</v>
      </c>
      <c r="G119" s="14" t="str">
        <f>'[1]2026 Orders'!G120</f>
        <v>PRECON-90-FD</v>
      </c>
      <c r="H119" s="14" t="str" cm="1">
        <f t="array" ref="H119">IFERROR(_xlfn.TEXTJOIN("-",,INDEX(_xlfn.TEXTSPLIT(TableTake[[#This Row],[SKU]],"-"),{1,2})),"")</f>
        <v>PRECON-90</v>
      </c>
      <c r="I119" s="15" t="str">
        <f>IFERROR(_xlfn.TEXTAFTER(TableTake[[#This Row],[SKU]],"-",-1),"")</f>
        <v>FD</v>
      </c>
      <c r="J119" s="14">
        <f>'[1]2026 Orders'!H120</f>
        <v>48</v>
      </c>
      <c r="K119" t="str">
        <f>'[1]2026 Orders'!I120</f>
        <v>F54-23.0</v>
      </c>
      <c r="L119">
        <f>'[1]2026 Orders'!J120</f>
        <v>48</v>
      </c>
      <c r="N119" s="10" t="str">
        <f>'[1]2026 Orders'!L120</f>
        <v>D/W Sent</v>
      </c>
      <c r="O119">
        <f>'[1]2026 Orders'!M120</f>
        <v>0</v>
      </c>
      <c r="P119" t="str">
        <f>'[1]2026 Orders'!N120</f>
        <v>NA</v>
      </c>
      <c r="Q119">
        <f>'[1]2026 Orders'!O120</f>
        <v>609788968368</v>
      </c>
      <c r="R119">
        <f>'[1]2026 Orders'!P120</f>
        <v>5000</v>
      </c>
      <c r="S119">
        <f>'[1]2026 Orders'!Q120</f>
        <v>4851</v>
      </c>
      <c r="T119" t="str">
        <f>'[1]2026 Orders'!R120</f>
        <v>complete</v>
      </c>
      <c r="U119">
        <f>'[1]2026 Orders'!S120</f>
        <v>0</v>
      </c>
      <c r="V119">
        <f>'[1]2026 Orders'!T120</f>
        <v>0</v>
      </c>
      <c r="W119">
        <f>'[1]2026 Orders'!U120</f>
        <v>0</v>
      </c>
      <c r="X119">
        <f>'[1]2026 Orders'!V120</f>
        <v>0</v>
      </c>
      <c r="Y119">
        <f>'[1]2026 Orders'!W120</f>
        <v>0</v>
      </c>
      <c r="Z119">
        <f>'[1]2026 Orders'!X120</f>
        <v>0</v>
      </c>
      <c r="AC119" t="str">
        <f t="shared" si="2"/>
        <v>48/</v>
      </c>
      <c r="AD119" t="e">
        <f t="shared" si="3"/>
        <v>#VALUE!</v>
      </c>
    </row>
    <row r="120" spans="1:30" ht="33" hidden="1" customHeight="1" x14ac:dyDescent="0.3">
      <c r="A120">
        <f>'[1]2026 Orders'!A121</f>
        <v>45971</v>
      </c>
      <c r="B120" s="14" t="str">
        <f>'[1]2026 Orders'!B121</f>
        <v>Botswana</v>
      </c>
      <c r="C120" s="14" t="str">
        <f>'[1]2026 Orders'!C121</f>
        <v>A4569</v>
      </c>
      <c r="D120" s="14">
        <f>'[1]2026 Orders'!D121</f>
        <v>0</v>
      </c>
      <c r="E120" s="17" t="str" cm="1">
        <f t="array" ref="E120">IF(C120=0,"",
HYPERLINK(
"#'2026 Orders'!C"&amp;
MATCH(1,
('2026 Orders'!C:C=C120)*
('2026 Orders'!G:G=G120)*
('2026 Orders'!N:N=N120),
0),
"Open "&amp;C120
))</f>
        <v>Open A4569</v>
      </c>
      <c r="F120" s="14">
        <f>'[1]2026 Orders'!F121</f>
        <v>0</v>
      </c>
      <c r="G120" s="14" t="str">
        <f>'[1]2026 Orders'!G121</f>
        <v>PRECON-180-FD</v>
      </c>
      <c r="H120" s="14" t="str" cm="1">
        <f t="array" ref="H120">IFERROR(_xlfn.TEXTJOIN("-",,INDEX(_xlfn.TEXTSPLIT(TableTake[[#This Row],[SKU]],"-"),{1,2})),"")</f>
        <v>PRECON-180</v>
      </c>
      <c r="I120" s="15" t="str">
        <f>IFERROR(_xlfn.TEXTAFTER(TableTake[[#This Row],[SKU]],"-",-1),"")</f>
        <v>FD</v>
      </c>
      <c r="J120" s="14">
        <f>'[1]2026 Orders'!H121</f>
        <v>48</v>
      </c>
      <c r="K120" t="str">
        <f>'[1]2026 Orders'!I121</f>
        <v>F55-22.2</v>
      </c>
      <c r="L120">
        <f>'[1]2026 Orders'!J121</f>
        <v>48</v>
      </c>
      <c r="N120" s="10" t="str">
        <f>'[1]2026 Orders'!L121</f>
        <v>D/W Sent</v>
      </c>
      <c r="O120">
        <f>'[1]2026 Orders'!M121</f>
        <v>0</v>
      </c>
      <c r="P120" t="str">
        <f>'[1]2026 Orders'!N121</f>
        <v>NA</v>
      </c>
      <c r="Q120">
        <f>'[1]2026 Orders'!O121</f>
        <v>609788968375</v>
      </c>
      <c r="R120">
        <f>'[1]2026 Orders'!P121</f>
        <v>5000</v>
      </c>
      <c r="S120">
        <f>'[1]2026 Orders'!Q121</f>
        <v>4849</v>
      </c>
      <c r="T120" t="str">
        <f>'[1]2026 Orders'!R121</f>
        <v>complete</v>
      </c>
      <c r="U120">
        <f>'[1]2026 Orders'!S121</f>
        <v>0</v>
      </c>
      <c r="V120">
        <f>'[1]2026 Orders'!T121</f>
        <v>0</v>
      </c>
      <c r="W120">
        <f>'[1]2026 Orders'!U121</f>
        <v>0</v>
      </c>
      <c r="X120">
        <f>'[1]2026 Orders'!V121</f>
        <v>0</v>
      </c>
      <c r="Y120">
        <f>'[1]2026 Orders'!W121</f>
        <v>0</v>
      </c>
      <c r="Z120">
        <f>'[1]2026 Orders'!X121</f>
        <v>0</v>
      </c>
      <c r="AC120" t="str">
        <f t="shared" si="2"/>
        <v>48/</v>
      </c>
      <c r="AD120" t="e">
        <f t="shared" si="3"/>
        <v>#VALUE!</v>
      </c>
    </row>
    <row r="121" spans="1:30" ht="33" hidden="1" customHeight="1" x14ac:dyDescent="0.3">
      <c r="A121">
        <f>'[1]2026 Orders'!A122</f>
        <v>45971</v>
      </c>
      <c r="B121" s="14" t="str">
        <f>'[1]2026 Orders'!B122</f>
        <v>Botswana</v>
      </c>
      <c r="C121" s="14" t="str">
        <f>'[1]2026 Orders'!C122</f>
        <v>A4569</v>
      </c>
      <c r="D121" s="14">
        <f>'[1]2026 Orders'!D122</f>
        <v>0</v>
      </c>
      <c r="E121" s="17" t="str" cm="1">
        <f t="array" ref="E121">IF(C121=0,"",
HYPERLINK(
"#'2026 Orders'!C"&amp;
MATCH(1,
('2026 Orders'!C:C=C121)*
('2026 Orders'!G:G=G121)*
('2026 Orders'!N:N=N121),
0),
"Open "&amp;C121
))</f>
        <v>Open A4569</v>
      </c>
      <c r="F121" s="14">
        <f>'[1]2026 Orders'!F122</f>
        <v>0</v>
      </c>
      <c r="G121" s="14" t="str">
        <f>'[1]2026 Orders'!G122</f>
        <v>PENAMAX-60-GE-FD</v>
      </c>
      <c r="H121" s="14" t="str" cm="1">
        <f t="array" ref="H121">IFERROR(_xlfn.TEXTJOIN("-",,INDEX(_xlfn.TEXTSPLIT(TableTake[[#This Row],[SKU]],"-"),{1,2})),"")</f>
        <v>PENAMAX-60</v>
      </c>
      <c r="I121" s="15" t="str">
        <f>IFERROR(_xlfn.TEXTAFTER(TableTake[[#This Row],[SKU]],"-",-1),"")</f>
        <v>FD</v>
      </c>
      <c r="J121" s="14">
        <f>'[1]2026 Orders'!H122</f>
        <v>24</v>
      </c>
      <c r="K121" t="str">
        <f>'[1]2026 Orders'!I122</f>
        <v>F88-25.1</v>
      </c>
      <c r="L121">
        <f>'[1]2026 Orders'!J122</f>
        <v>24</v>
      </c>
      <c r="N121" s="10" t="str">
        <f>'[1]2026 Orders'!L122</f>
        <v>D/W Sent</v>
      </c>
      <c r="O121">
        <f>'[1]2026 Orders'!M122</f>
        <v>0</v>
      </c>
      <c r="P121" t="str">
        <f>'[1]2026 Orders'!N122</f>
        <v>Y</v>
      </c>
      <c r="Q121">
        <f>'[1]2026 Orders'!O122</f>
        <v>609788968702</v>
      </c>
      <c r="R121">
        <f>'[1]2026 Orders'!P122</f>
        <v>0</v>
      </c>
      <c r="S121">
        <f>'[1]2026 Orders'!Q122</f>
        <v>0</v>
      </c>
      <c r="T121">
        <f>'[1]2026 Orders'!R122</f>
        <v>0</v>
      </c>
      <c r="U121">
        <f>'[1]2026 Orders'!S122</f>
        <v>0</v>
      </c>
      <c r="V121">
        <f>'[1]2026 Orders'!T122</f>
        <v>0</v>
      </c>
      <c r="W121">
        <f>'[1]2026 Orders'!U122</f>
        <v>0</v>
      </c>
      <c r="X121">
        <f>'[1]2026 Orders'!V122</f>
        <v>0</v>
      </c>
      <c r="Y121">
        <f>'[1]2026 Orders'!W122</f>
        <v>0</v>
      </c>
      <c r="Z121">
        <f>'[1]2026 Orders'!X122</f>
        <v>0</v>
      </c>
      <c r="AC121" t="str">
        <f t="shared" si="2"/>
        <v>24/</v>
      </c>
      <c r="AD121" t="e">
        <f t="shared" si="3"/>
        <v>#VALUE!</v>
      </c>
    </row>
    <row r="122" spans="1:30" ht="33" hidden="1" customHeight="1" x14ac:dyDescent="0.3">
      <c r="A122">
        <f>'[1]2026 Orders'!A123</f>
        <v>45971</v>
      </c>
      <c r="B122" s="14" t="str">
        <f>'[1]2026 Orders'!B123</f>
        <v>Botswana</v>
      </c>
      <c r="C122" s="14" t="str">
        <f>'[1]2026 Orders'!C123</f>
        <v>A4569</v>
      </c>
      <c r="D122" s="14">
        <f>'[1]2026 Orders'!D123</f>
        <v>0</v>
      </c>
      <c r="E122" s="17" t="e" cm="1">
        <f t="array" ref="E122">IF(C122=0,"",
HYPERLINK(
"#'2026 Orders'!C"&amp;
MATCH(1,
('2026 Orders'!C:C=C122)*
('2026 Orders'!G:G=G122)*
('2026 Orders'!N:N=N122),
0),
"Open "&amp;C122
))</f>
        <v>#N/A</v>
      </c>
      <c r="F122" s="14">
        <f>'[1]2026 Orders'!F123</f>
        <v>0</v>
      </c>
      <c r="G122" s="14" t="str">
        <f>'[1]2026 Orders'!G123</f>
        <v>XTRAD10-60-FD</v>
      </c>
      <c r="H122" s="14" t="str" cm="1">
        <f t="array" ref="H122">IFERROR(_xlfn.TEXTJOIN("-",,INDEX(_xlfn.TEXTSPLIT(TableTake[[#This Row],[SKU]],"-"),{1,2})),"")</f>
        <v>XTRAD10-60</v>
      </c>
      <c r="I122" s="15" t="str">
        <f>IFERROR(_xlfn.TEXTAFTER(TableTake[[#This Row],[SKU]],"-",-1),"")</f>
        <v>FD</v>
      </c>
      <c r="J122" s="14">
        <f>'[1]2026 Orders'!H123</f>
        <v>120</v>
      </c>
      <c r="K122" t="str">
        <f>'[1]2026 Orders'!I123</f>
        <v>F76-25.0</v>
      </c>
      <c r="L122">
        <f>'[1]2026 Orders'!J123</f>
        <v>120</v>
      </c>
      <c r="N122" s="10">
        <f>'[1]2026 Orders'!L123</f>
        <v>0</v>
      </c>
      <c r="O122">
        <f>'[1]2026 Orders'!M123</f>
        <v>0</v>
      </c>
      <c r="P122" t="str">
        <f>'[1]2026 Orders'!N123</f>
        <v>NA</v>
      </c>
      <c r="Q122" t="str">
        <f>'[1]2026 Orders'!O123</f>
        <v>609788968122</v>
      </c>
      <c r="R122">
        <f>'[1]2026 Orders'!P123</f>
        <v>12000</v>
      </c>
      <c r="S122">
        <f>'[1]2026 Orders'!Q123</f>
        <v>4690</v>
      </c>
      <c r="T122" t="str">
        <f>'[1]2026 Orders'!R123</f>
        <v>complete</v>
      </c>
      <c r="U122">
        <f>'[1]2026 Orders'!S123</f>
        <v>0</v>
      </c>
      <c r="V122">
        <f>'[1]2026 Orders'!T123</f>
        <v>0</v>
      </c>
      <c r="W122">
        <f>'[1]2026 Orders'!U123</f>
        <v>0</v>
      </c>
      <c r="X122">
        <f>'[1]2026 Orders'!V123</f>
        <v>0</v>
      </c>
      <c r="Y122">
        <f>'[1]2026 Orders'!W123</f>
        <v>0</v>
      </c>
      <c r="Z122">
        <f>'[1]2026 Orders'!X123</f>
        <v>0</v>
      </c>
      <c r="AC122" t="str">
        <f t="shared" si="2"/>
        <v>120/</v>
      </c>
      <c r="AD122" t="e">
        <f t="shared" si="3"/>
        <v>#VALUE!</v>
      </c>
    </row>
    <row r="123" spans="1:30" ht="33" hidden="1" customHeight="1" x14ac:dyDescent="0.3">
      <c r="A123">
        <f>'[1]2026 Orders'!A124</f>
        <v>45975</v>
      </c>
      <c r="B123" s="14" t="str">
        <f>'[1]2026 Orders'!B124</f>
        <v>UAE</v>
      </c>
      <c r="C123" s="14" t="str">
        <f>'[1]2026 Orders'!C124</f>
        <v>A4572</v>
      </c>
      <c r="D123" s="14">
        <f>'[1]2026 Orders'!D124</f>
        <v>0</v>
      </c>
      <c r="E123" s="17" t="str" cm="1">
        <f t="array" ref="E123">IF(C123=0,"",
HYPERLINK(
"#'2026 Orders'!C"&amp;
MATCH(1,
('2026 Orders'!C:C=C123)*
('2026 Orders'!G:G=G123)*
('2026 Orders'!N:N=N123),
0),
"Open "&amp;C123
))</f>
        <v>Open A4572</v>
      </c>
      <c r="F123" s="14">
        <f>'[1]2026 Orders'!F124</f>
        <v>0</v>
      </c>
      <c r="G123" s="14" t="str">
        <f>'[1]2026 Orders'!G124</f>
        <v>ALC-60-FD</v>
      </c>
      <c r="H123" s="14" t="str" cm="1">
        <f t="array" ref="H123">IFERROR(_xlfn.TEXTJOIN("-",,INDEX(_xlfn.TEXTSPLIT(TableTake[[#This Row],[SKU]],"-"),{1,2})),"")</f>
        <v>ALC-60</v>
      </c>
      <c r="I123" s="15" t="str">
        <f>IFERROR(_xlfn.TEXTAFTER(TableTake[[#This Row],[SKU]],"-",-1),"")</f>
        <v>FD</v>
      </c>
      <c r="J123" s="14">
        <f>'[1]2026 Orders'!H124</f>
        <v>417</v>
      </c>
      <c r="K123" t="str">
        <f>'[1]2026 Orders'!I124</f>
        <v>F03-25.1</v>
      </c>
      <c r="L123">
        <f>'[1]2026 Orders'!J124</f>
        <v>0</v>
      </c>
      <c r="N123" s="10" t="str">
        <f>'[1]2026 Orders'!L124</f>
        <v>In Production</v>
      </c>
      <c r="O123">
        <f>'[1]2026 Orders'!M124</f>
        <v>0</v>
      </c>
      <c r="P123" t="str">
        <f>'[1]2026 Orders'!N124</f>
        <v>NA</v>
      </c>
      <c r="Q123">
        <f>'[1]2026 Orders'!O124</f>
        <v>609788968085</v>
      </c>
      <c r="R123">
        <f>'[1]2026 Orders'!P124</f>
        <v>2000</v>
      </c>
      <c r="S123">
        <f>'[1]2026 Orders'!Q124</f>
        <v>4933</v>
      </c>
      <c r="T123">
        <f>'[1]2026 Orders'!R124</f>
        <v>46194</v>
      </c>
      <c r="U123">
        <f>'[1]2026 Orders'!S124</f>
        <v>0</v>
      </c>
      <c r="V123">
        <f>'[1]2026 Orders'!T124</f>
        <v>0</v>
      </c>
      <c r="W123">
        <f>'[1]2026 Orders'!U124</f>
        <v>0</v>
      </c>
      <c r="X123">
        <f>'[1]2026 Orders'!V124</f>
        <v>0</v>
      </c>
      <c r="Y123">
        <f>'[1]2026 Orders'!W124</f>
        <v>0</v>
      </c>
      <c r="Z123" t="str">
        <f>'[1]2026 Orders'!X124</f>
        <v>HOLD</v>
      </c>
      <c r="AC123" t="str">
        <f t="shared" si="2"/>
        <v>417/</v>
      </c>
      <c r="AD123" t="e">
        <f t="shared" si="3"/>
        <v>#VALUE!</v>
      </c>
    </row>
    <row r="124" spans="1:30" ht="33" hidden="1" customHeight="1" x14ac:dyDescent="0.3">
      <c r="A124">
        <f>'[1]2026 Orders'!A125</f>
        <v>45975</v>
      </c>
      <c r="B124" s="14" t="str">
        <f>'[1]2026 Orders'!B125</f>
        <v>UAE</v>
      </c>
      <c r="C124" s="14" t="str">
        <f>'[1]2026 Orders'!C125</f>
        <v>A4572</v>
      </c>
      <c r="D124" s="14">
        <f>'[1]2026 Orders'!D125</f>
        <v>0</v>
      </c>
      <c r="E124" s="17" t="str" cm="1">
        <f t="array" ref="E124">IF(C124=0,"",
HYPERLINK(
"#'2026 Orders'!C"&amp;
MATCH(1,
('2026 Orders'!C:C=C124)*
('2026 Orders'!G:G=G124)*
('2026 Orders'!N:N=N124),
0),
"Open "&amp;C124
))</f>
        <v>Open A4572</v>
      </c>
      <c r="F124" s="14">
        <f>'[1]2026 Orders'!F125</f>
        <v>0</v>
      </c>
      <c r="G124" s="14" t="str">
        <f>'[1]2026 Orders'!G125</f>
        <v>EYECAP-30-FD</v>
      </c>
      <c r="H124" s="14" t="str" cm="1">
        <f t="array" ref="H124">IFERROR(_xlfn.TEXTJOIN("-",,INDEX(_xlfn.TEXTSPLIT(TableTake[[#This Row],[SKU]],"-"),{1,2})),"")</f>
        <v>EYECAP-30</v>
      </c>
      <c r="I124" s="15" t="str">
        <f>IFERROR(_xlfn.TEXTAFTER(TableTake[[#This Row],[SKU]],"-",-1),"")</f>
        <v>FD</v>
      </c>
      <c r="J124" s="14">
        <f>'[1]2026 Orders'!H125</f>
        <v>600</v>
      </c>
      <c r="K124" t="str">
        <f>'[1]2026 Orders'!I125</f>
        <v>F15-22.1</v>
      </c>
      <c r="L124">
        <f>'[1]2026 Orders'!J125</f>
        <v>0</v>
      </c>
      <c r="N124" s="10" t="str">
        <f>'[1]2026 Orders'!L125</f>
        <v>Not Meet MOQ</v>
      </c>
      <c r="O124">
        <f>'[1]2026 Orders'!M125</f>
        <v>0</v>
      </c>
      <c r="P124" t="str">
        <f>'[1]2026 Orders'!N125</f>
        <v>Y</v>
      </c>
      <c r="Q124">
        <f>'[1]2026 Orders'!O125</f>
        <v>609788968443</v>
      </c>
      <c r="R124">
        <f>'[1]2026 Orders'!P125</f>
        <v>5000</v>
      </c>
      <c r="S124">
        <f>'[1]2026 Orders'!Q125</f>
        <v>4934</v>
      </c>
      <c r="T124" t="str">
        <f>'[1]2026 Orders'!R125</f>
        <v>TBD</v>
      </c>
      <c r="U124" t="str">
        <f>'[1]2026 Orders'!S125</f>
        <v>Pending approval to send to vendor</v>
      </c>
      <c r="V124">
        <f>'[1]2026 Orders'!T125</f>
        <v>0</v>
      </c>
      <c r="W124">
        <f>'[1]2026 Orders'!U125</f>
        <v>0</v>
      </c>
      <c r="X124">
        <f>'[1]2026 Orders'!V125</f>
        <v>0</v>
      </c>
      <c r="Y124">
        <f>'[1]2026 Orders'!W125</f>
        <v>0</v>
      </c>
      <c r="Z124">
        <f>'[1]2026 Orders'!X125</f>
        <v>0</v>
      </c>
      <c r="AC124" t="str">
        <f t="shared" si="2"/>
        <v>600/</v>
      </c>
      <c r="AD124" t="e">
        <f t="shared" si="3"/>
        <v>#VALUE!</v>
      </c>
    </row>
    <row r="125" spans="1:30" ht="33" hidden="1" customHeight="1" x14ac:dyDescent="0.3">
      <c r="A125">
        <f>'[1]2026 Orders'!A126</f>
        <v>45975</v>
      </c>
      <c r="B125" s="14" t="str">
        <f>'[1]2026 Orders'!B126</f>
        <v>UAE</v>
      </c>
      <c r="C125" s="14" t="str">
        <f>'[1]2026 Orders'!C126</f>
        <v>A4572</v>
      </c>
      <c r="D125" s="14">
        <f>'[1]2026 Orders'!D126</f>
        <v>0</v>
      </c>
      <c r="E125" s="17" t="str" cm="1">
        <f t="array" ref="E125">IF(C125=0,"",
HYPERLINK(
"#'2026 Orders'!C"&amp;
MATCH(1,
('2026 Orders'!C:C=C125)*
('2026 Orders'!G:G=G125)*
('2026 Orders'!N:N=N125),
0),
"Open "&amp;C125
))</f>
        <v>Open A4572</v>
      </c>
      <c r="F125" s="14" t="str">
        <f>'[1]2026 Orders'!F126</f>
        <v>4/15/2026: 720 packs allocated from Libya A4571
4/29/2026: 720 packs moved from UAE A4572
5/4/2026: Awaiting approval to send without IFC
5/6/2026: Moved from A4553</v>
      </c>
      <c r="G125" s="14" t="str">
        <f>'[1]2026 Orders'!G126</f>
        <v>EYECAP-30-FD</v>
      </c>
      <c r="H125" s="14" t="str" cm="1">
        <f t="array" ref="H125">IFERROR(_xlfn.TEXTJOIN("-",,INDEX(_xlfn.TEXTSPLIT(TableTake[[#This Row],[SKU]],"-"),{1,2})),"")</f>
        <v>EYECAP-30</v>
      </c>
      <c r="I125" s="15" t="str">
        <f>IFERROR(_xlfn.TEXTAFTER(TableTake[[#This Row],[SKU]],"-",-1),"")</f>
        <v>FD</v>
      </c>
      <c r="J125" s="14">
        <f>'[1]2026 Orders'!H126</f>
        <v>720</v>
      </c>
      <c r="K125" t="str">
        <f>'[1]2026 Orders'!I126</f>
        <v>F15-22.1</v>
      </c>
      <c r="L125">
        <f>'[1]2026 Orders'!J126</f>
        <v>720</v>
      </c>
      <c r="N125" s="10" t="str">
        <f>'[1]2026 Orders'!L126</f>
        <v>Not Meet MOQ</v>
      </c>
      <c r="O125">
        <f>'[1]2026 Orders'!M126</f>
        <v>0</v>
      </c>
      <c r="P125" t="str">
        <f>'[1]2026 Orders'!N126</f>
        <v>Y</v>
      </c>
      <c r="Q125">
        <f>'[1]2026 Orders'!O126</f>
        <v>609788968443</v>
      </c>
      <c r="R125">
        <f>'[1]2026 Orders'!P126</f>
        <v>5000</v>
      </c>
      <c r="S125">
        <f>'[1]2026 Orders'!Q126</f>
        <v>4934</v>
      </c>
      <c r="T125" t="str">
        <f>'[1]2026 Orders'!R126</f>
        <v>TBD</v>
      </c>
      <c r="U125" t="str">
        <f>'[1]2026 Orders'!S126</f>
        <v>Pending approval to send to vendor</v>
      </c>
      <c r="V125">
        <f>'[1]2026 Orders'!T126</f>
        <v>0</v>
      </c>
      <c r="W125">
        <f>'[1]2026 Orders'!U126</f>
        <v>0</v>
      </c>
      <c r="X125">
        <f>'[1]2026 Orders'!V126</f>
        <v>0</v>
      </c>
      <c r="Y125">
        <f>'[1]2026 Orders'!W126</f>
        <v>0</v>
      </c>
      <c r="Z125">
        <f>'[1]2026 Orders'!X126</f>
        <v>0</v>
      </c>
      <c r="AC125" t="str">
        <f t="shared" si="2"/>
        <v>720/</v>
      </c>
      <c r="AD125" t="e">
        <f t="shared" si="3"/>
        <v>#VALUE!</v>
      </c>
    </row>
    <row r="126" spans="1:30" ht="33" hidden="1" customHeight="1" x14ac:dyDescent="0.3">
      <c r="A126">
        <f>'[1]2026 Orders'!A127</f>
        <v>45975</v>
      </c>
      <c r="B126" s="14" t="str">
        <f>'[1]2026 Orders'!B127</f>
        <v>UAE</v>
      </c>
      <c r="C126" s="14" t="str">
        <f>'[1]2026 Orders'!C127</f>
        <v>A4572</v>
      </c>
      <c r="D126" s="14">
        <f>'[1]2026 Orders'!D127</f>
        <v>0</v>
      </c>
      <c r="E126" s="17" t="str" cm="1">
        <f t="array" ref="E126">IF(C126=0,"",
HYPERLINK(
"#'2026 Orders'!C"&amp;
MATCH(1,
('2026 Orders'!C:C=C126)*
('2026 Orders'!G:G=G126)*
('2026 Orders'!N:N=N126),
0),
"Open "&amp;C126
))</f>
        <v>Open A4572</v>
      </c>
      <c r="F126" s="14">
        <f>'[1]2026 Orders'!F127</f>
        <v>0</v>
      </c>
      <c r="G126" s="14" t="str">
        <f>'[1]2026 Orders'!G127</f>
        <v>PEDIAD4-50-FD</v>
      </c>
      <c r="H126" s="14" t="str" cm="1">
        <f t="array" ref="H126">IFERROR(_xlfn.TEXTJOIN("-",,INDEX(_xlfn.TEXTSPLIT(TableTake[[#This Row],[SKU]],"-"),{1,2})),"")</f>
        <v>PEDIAD4-50</v>
      </c>
      <c r="I126" s="15" t="str">
        <f>IFERROR(_xlfn.TEXTAFTER(TableTake[[#This Row],[SKU]],"-",-1),"")</f>
        <v>FD</v>
      </c>
      <c r="J126" s="14">
        <f>'[1]2026 Orders'!H127</f>
        <v>1350</v>
      </c>
      <c r="K126" t="str">
        <f>'[1]2026 Orders'!I127</f>
        <v>F45-26.0</v>
      </c>
      <c r="L126">
        <f>'[1]2026 Orders'!J127</f>
        <v>0</v>
      </c>
      <c r="N126" s="10" t="str">
        <f>'[1]2026 Orders'!L127</f>
        <v>PO submitted</v>
      </c>
      <c r="O126">
        <f>'[1]2026 Orders'!M127</f>
        <v>0</v>
      </c>
      <c r="P126" t="str">
        <f>'[1]2026 Orders'!N127</f>
        <v>Y</v>
      </c>
      <c r="Q126">
        <f>'[1]2026 Orders'!O127</f>
        <v>810131199623</v>
      </c>
      <c r="R126">
        <f>'[1]2026 Orders'!P127</f>
        <v>5000</v>
      </c>
      <c r="S126">
        <f>'[1]2026 Orders'!Q127</f>
        <v>4979</v>
      </c>
      <c r="T126" t="str">
        <f>'[1]2026 Orders'!R127</f>
        <v>TBD</v>
      </c>
      <c r="U126" t="str">
        <f>'[1]2026 Orders'!S127</f>
        <v>Waiting for IFC to start production.</v>
      </c>
      <c r="V126">
        <f>'[1]2026 Orders'!T127</f>
        <v>0</v>
      </c>
      <c r="W126">
        <f>'[1]2026 Orders'!U127</f>
        <v>0</v>
      </c>
      <c r="X126">
        <f>'[1]2026 Orders'!V127</f>
        <v>0</v>
      </c>
      <c r="Y126">
        <f>'[1]2026 Orders'!W127</f>
        <v>0</v>
      </c>
      <c r="Z126">
        <f>'[1]2026 Orders'!X127</f>
        <v>0</v>
      </c>
      <c r="AC126" t="str">
        <f t="shared" si="2"/>
        <v>1350/</v>
      </c>
      <c r="AD126" t="e">
        <f t="shared" si="3"/>
        <v>#VALUE!</v>
      </c>
    </row>
    <row r="127" spans="1:30" ht="33" hidden="1" customHeight="1" x14ac:dyDescent="0.3">
      <c r="A127">
        <f>'[1]2026 Orders'!A128</f>
        <v>45975</v>
      </c>
      <c r="B127" s="14" t="str">
        <f>'[1]2026 Orders'!B128</f>
        <v>UAE</v>
      </c>
      <c r="C127" s="14" t="str">
        <f>'[1]2026 Orders'!C128</f>
        <v>A4572</v>
      </c>
      <c r="D127" s="14">
        <f>'[1]2026 Orders'!D128</f>
        <v>0</v>
      </c>
      <c r="E127" s="17" t="str" cm="1">
        <f t="array" ref="E127">IF(C127=0,"",
HYPERLINK(
"#'2026 Orders'!C"&amp;
MATCH(1,
('2026 Orders'!C:C=C127)*
('2026 Orders'!G:G=G127)*
('2026 Orders'!N:N=N127),
0),
"Open "&amp;C127
))</f>
        <v>Open A4572</v>
      </c>
      <c r="F127" s="14">
        <f>'[1]2026 Orders'!F128</f>
        <v>0</v>
      </c>
      <c r="G127" s="14" t="str">
        <f>'[1]2026 Orders'!G128</f>
        <v>LARGIN-100-FD</v>
      </c>
      <c r="H127" s="14" t="str" cm="1">
        <f t="array" ref="H127">IFERROR(_xlfn.TEXTJOIN("-",,INDEX(_xlfn.TEXTSPLIT(TableTake[[#This Row],[SKU]],"-"),{1,2})),"")</f>
        <v>LARGIN-100</v>
      </c>
      <c r="I127" s="15" t="str">
        <f>IFERROR(_xlfn.TEXTAFTER(TableTake[[#This Row],[SKU]],"-",-1),"")</f>
        <v>FD</v>
      </c>
      <c r="J127" s="14">
        <f>'[1]2026 Orders'!H128</f>
        <v>619</v>
      </c>
      <c r="K127" t="str">
        <f>'[1]2026 Orders'!I128</f>
        <v>F25-23.0</v>
      </c>
      <c r="L127">
        <f>'[1]2026 Orders'!J128</f>
        <v>0</v>
      </c>
      <c r="N127" s="10" t="str">
        <f>'[1]2026 Orders'!L128</f>
        <v>In Production</v>
      </c>
      <c r="O127">
        <f>'[1]2026 Orders'!M128</f>
        <v>0</v>
      </c>
      <c r="P127">
        <f>'[1]2026 Orders'!N128</f>
        <v>0</v>
      </c>
      <c r="Q127">
        <f>'[1]2026 Orders'!O128</f>
        <v>609788968559</v>
      </c>
      <c r="R127">
        <f>'[1]2026 Orders'!P128</f>
        <v>2000</v>
      </c>
      <c r="S127">
        <f>'[1]2026 Orders'!Q128</f>
        <v>4998</v>
      </c>
      <c r="T127">
        <f>'[1]2026 Orders'!R128</f>
        <v>46198</v>
      </c>
      <c r="U127">
        <f>'[1]2026 Orders'!S128</f>
        <v>0</v>
      </c>
      <c r="V127">
        <f>'[1]2026 Orders'!T128</f>
        <v>0</v>
      </c>
      <c r="W127">
        <f>'[1]2026 Orders'!U128</f>
        <v>0</v>
      </c>
      <c r="X127">
        <f>'[1]2026 Orders'!V128</f>
        <v>0</v>
      </c>
      <c r="Y127">
        <f>'[1]2026 Orders'!W128</f>
        <v>0</v>
      </c>
      <c r="Z127">
        <f>'[1]2026 Orders'!X128</f>
        <v>0</v>
      </c>
      <c r="AC127" t="str">
        <f t="shared" si="2"/>
        <v>619/</v>
      </c>
      <c r="AD127" t="e">
        <f t="shared" si="3"/>
        <v>#VALUE!</v>
      </c>
    </row>
    <row r="128" spans="1:30" ht="33" hidden="1" customHeight="1" x14ac:dyDescent="0.3">
      <c r="A128">
        <f>'[1]2026 Orders'!A129</f>
        <v>45975</v>
      </c>
      <c r="B128" s="14" t="str">
        <f>'[1]2026 Orders'!B129</f>
        <v>UAE</v>
      </c>
      <c r="C128" s="14" t="str">
        <f>'[1]2026 Orders'!C129</f>
        <v>A4572</v>
      </c>
      <c r="D128" s="14">
        <f>'[1]2026 Orders'!D129</f>
        <v>0</v>
      </c>
      <c r="E128" s="17" t="str" cm="1">
        <f t="array" ref="E128">IF(C128=0,"",
HYPERLINK(
"#'2026 Orders'!C"&amp;
MATCH(1,
('2026 Orders'!C:C=C128)*
('2026 Orders'!G:G=G128)*
('2026 Orders'!N:N=N128),
0),
"Open "&amp;C128
))</f>
        <v>Open A4572</v>
      </c>
      <c r="F128" s="14">
        <f>'[1]2026 Orders'!F129</f>
        <v>0</v>
      </c>
      <c r="G128" s="14" t="str">
        <f>'[1]2026 Orders'!G129</f>
        <v>ZINC25-60-FD</v>
      </c>
      <c r="H128" s="14" t="str" cm="1">
        <f t="array" ref="H128">IFERROR(_xlfn.TEXTJOIN("-",,INDEX(_xlfn.TEXTSPLIT(TableTake[[#This Row],[SKU]],"-"),{1,2})),"")</f>
        <v>ZINC25-60</v>
      </c>
      <c r="I128" s="15" t="str">
        <f>IFERROR(_xlfn.TEXTAFTER(TableTake[[#This Row],[SKU]],"-",-1),"")</f>
        <v>FD</v>
      </c>
      <c r="J128" s="14">
        <f>'[1]2026 Orders'!H129</f>
        <v>1050</v>
      </c>
      <c r="K128" t="str">
        <f>'[1]2026 Orders'!I129</f>
        <v>F78-22.0</v>
      </c>
      <c r="L128">
        <f>'[1]2026 Orders'!J129</f>
        <v>0</v>
      </c>
      <c r="N128" s="10" t="str">
        <f>'[1]2026 Orders'!L129</f>
        <v>PO Drafted</v>
      </c>
      <c r="O128">
        <f>'[1]2026 Orders'!M129</f>
        <v>0</v>
      </c>
      <c r="P128" t="str">
        <f>'[1]2026 Orders'!N129</f>
        <v>NA</v>
      </c>
      <c r="Q128">
        <f>'[1]2026 Orders'!O129</f>
        <v>609788968245</v>
      </c>
      <c r="R128">
        <f>'[1]2026 Orders'!P129</f>
        <v>5000</v>
      </c>
      <c r="S128">
        <f>'[1]2026 Orders'!Q129</f>
        <v>5031</v>
      </c>
      <c r="T128" t="str">
        <f>'[1]2026 Orders'!R129</f>
        <v>TBD</v>
      </c>
      <c r="U128" t="str">
        <f>'[1]2026 Orders'!S129</f>
        <v>Pending approval to send to vendor</v>
      </c>
      <c r="V128">
        <f>'[1]2026 Orders'!T129</f>
        <v>0</v>
      </c>
      <c r="W128">
        <f>'[1]2026 Orders'!U129</f>
        <v>0</v>
      </c>
      <c r="X128">
        <f>'[1]2026 Orders'!V129</f>
        <v>0</v>
      </c>
      <c r="Y128">
        <f>'[1]2026 Orders'!W129</f>
        <v>0</v>
      </c>
      <c r="Z128">
        <f>'[1]2026 Orders'!X129</f>
        <v>0</v>
      </c>
      <c r="AC128" t="str">
        <f t="shared" si="2"/>
        <v>1050/</v>
      </c>
      <c r="AD128" t="e">
        <f t="shared" si="3"/>
        <v>#VALUE!</v>
      </c>
    </row>
    <row r="129" spans="1:30" ht="33" hidden="1" customHeight="1" x14ac:dyDescent="0.3">
      <c r="A129">
        <f>'[1]2026 Orders'!A130</f>
        <v>45975</v>
      </c>
      <c r="B129" s="14" t="str">
        <f>'[1]2026 Orders'!B130</f>
        <v>UAE</v>
      </c>
      <c r="C129" s="14" t="str">
        <f>'[1]2026 Orders'!C130</f>
        <v>A4572</v>
      </c>
      <c r="D129" s="14">
        <f>'[1]2026 Orders'!D130</f>
        <v>0</v>
      </c>
      <c r="E129" s="17" t="str" cm="1">
        <f t="array" ref="E129">IF(C129=0,"",
HYPERLINK(
"#'2026 Orders'!C"&amp;
MATCH(1,
('2026 Orders'!C:C=C129)*
('2026 Orders'!G:G=G129)*
('2026 Orders'!N:N=N129),
0),
"Open "&amp;C129
))</f>
        <v>Open A4572</v>
      </c>
      <c r="F129" s="14">
        <f>'[1]2026 Orders'!F130</f>
        <v>0</v>
      </c>
      <c r="G129" s="14" t="str">
        <f>'[1]2026 Orders'!G130</f>
        <v>MAGNES-50-FD</v>
      </c>
      <c r="H129" s="14" t="str" cm="1">
        <f t="array" ref="H129">IFERROR(_xlfn.TEXTJOIN("-",,INDEX(_xlfn.TEXTSPLIT(TableTake[[#This Row],[SKU]],"-"),{1,2})),"")</f>
        <v>MAGNES-50</v>
      </c>
      <c r="I129" s="15" t="str">
        <f>IFERROR(_xlfn.TEXTAFTER(TableTake[[#This Row],[SKU]],"-",-1),"")</f>
        <v>FD</v>
      </c>
      <c r="J129" s="14">
        <f>'[1]2026 Orders'!H130</f>
        <v>1050</v>
      </c>
      <c r="K129" t="str">
        <f>'[1]2026 Orders'!I130</f>
        <v>F85-25.0</v>
      </c>
      <c r="L129">
        <f>'[1]2026 Orders'!J130</f>
        <v>0</v>
      </c>
      <c r="N129" s="10" t="str">
        <f>'[1]2026 Orders'!L130</f>
        <v>In Production</v>
      </c>
      <c r="O129" t="str">
        <f>'[1]2026 Orders'!M130</f>
        <v> </v>
      </c>
      <c r="P129" t="str">
        <f>'[1]2026 Orders'!N130</f>
        <v>NA</v>
      </c>
      <c r="Q129">
        <f>'[1]2026 Orders'!O130</f>
        <v>810131199401</v>
      </c>
      <c r="R129">
        <f>'[1]2026 Orders'!P130</f>
        <v>2000</v>
      </c>
      <c r="S129">
        <f>'[1]2026 Orders'!Q130</f>
        <v>4997</v>
      </c>
      <c r="T129">
        <f>'[1]2026 Orders'!R130</f>
        <v>46193</v>
      </c>
      <c r="U129">
        <f>'[1]2026 Orders'!S130</f>
        <v>0</v>
      </c>
      <c r="V129">
        <f>'[1]2026 Orders'!T130</f>
        <v>0</v>
      </c>
      <c r="W129">
        <f>'[1]2026 Orders'!U130</f>
        <v>0</v>
      </c>
      <c r="X129">
        <f>'[1]2026 Orders'!V130</f>
        <v>0</v>
      </c>
      <c r="Y129">
        <f>'[1]2026 Orders'!W130</f>
        <v>0</v>
      </c>
      <c r="Z129">
        <f>'[1]2026 Orders'!X130</f>
        <v>0</v>
      </c>
      <c r="AC129" t="str">
        <f t="shared" si="2"/>
        <v>1050/</v>
      </c>
      <c r="AD129" t="e">
        <f t="shared" si="3"/>
        <v>#VALUE!</v>
      </c>
    </row>
    <row r="130" spans="1:30" ht="33" hidden="1" customHeight="1" x14ac:dyDescent="0.3">
      <c r="A130">
        <f>'[1]2026 Orders'!A131</f>
        <v>46034</v>
      </c>
      <c r="B130" s="14" t="str">
        <f>'[1]2026 Orders'!B131</f>
        <v>UAE</v>
      </c>
      <c r="C130" s="14" t="str">
        <f>'[1]2026 Orders'!C131</f>
        <v>A4572</v>
      </c>
      <c r="D130" s="14">
        <f>'[1]2026 Orders'!D131</f>
        <v>0</v>
      </c>
      <c r="E130" s="17" t="str" cm="1">
        <f t="array" ref="E130">IF(C130=0,"",
HYPERLINK(
"#'2026 Orders'!C"&amp;
MATCH(1,
('2026 Orders'!C:C=C130)*
('2026 Orders'!G:G=G130)*
('2026 Orders'!N:N=N130),
0),
"Open "&amp;C130
))</f>
        <v>Open A4572</v>
      </c>
      <c r="F130" s="14" t="str">
        <f>'[1]2026 Orders'!F131</f>
        <v>product added on 1/12/2025</v>
      </c>
      <c r="G130" s="14" t="str">
        <f>'[1]2026 Orders'!G131</f>
        <v>NRGMEN-45-CS-UA</v>
      </c>
      <c r="H130" s="14" t="str" cm="1">
        <f t="array" ref="H130">IFERROR(_xlfn.TEXTJOIN("-",,INDEX(_xlfn.TEXTSPLIT(TableTake[[#This Row],[SKU]],"-"),{1,2})),"")</f>
        <v>NRGMEN-45</v>
      </c>
      <c r="I130" s="15" t="str">
        <f>IFERROR(_xlfn.TEXTAFTER(TableTake[[#This Row],[SKU]],"-",-1),"")</f>
        <v>UA</v>
      </c>
      <c r="J130" s="14">
        <f>'[1]2026 Orders'!H131</f>
        <v>2000</v>
      </c>
      <c r="K130" t="str">
        <f>'[1]2026 Orders'!I131</f>
        <v>UA84-26.0</v>
      </c>
      <c r="L130">
        <f>'[1]2026 Orders'!J131</f>
        <v>0</v>
      </c>
      <c r="N130" s="10" t="str">
        <f>'[1]2026 Orders'!L131</f>
        <v>PO Drafted</v>
      </c>
      <c r="O130" t="str">
        <f>'[1]2026 Orders'!M131</f>
        <v>from sales: MUST BE NEW LABEL UPLOADED , new batch from new formula. NEW LABEL UPLOADED 2/12 BY OVERSEAS</v>
      </c>
      <c r="P130" t="str">
        <f>'[1]2026 Orders'!N131</f>
        <v>Y</v>
      </c>
      <c r="Q130">
        <f>'[1]2026 Orders'!O131</f>
        <v>604776735892</v>
      </c>
      <c r="R130">
        <f>'[1]2026 Orders'!P131</f>
        <v>3000</v>
      </c>
      <c r="S130">
        <f>'[1]2026 Orders'!Q131</f>
        <v>5028</v>
      </c>
      <c r="T130" t="str">
        <f>'[1]2026 Orders'!R131</f>
        <v>TBD</v>
      </c>
      <c r="U130" t="str">
        <f>'[1]2026 Orders'!S131</f>
        <v>Pending approval to send to vendor</v>
      </c>
      <c r="V130">
        <f>'[1]2026 Orders'!T131</f>
        <v>0</v>
      </c>
      <c r="W130">
        <f>'[1]2026 Orders'!U131</f>
        <v>0</v>
      </c>
      <c r="X130">
        <f>'[1]2026 Orders'!V131</f>
        <v>0</v>
      </c>
      <c r="Y130">
        <f>'[1]2026 Orders'!W131</f>
        <v>0</v>
      </c>
      <c r="Z130">
        <f>'[1]2026 Orders'!X131</f>
        <v>0</v>
      </c>
      <c r="AC130" t="str">
        <f t="shared" si="2"/>
        <v>2000/</v>
      </c>
      <c r="AD130" t="e">
        <f t="shared" si="3"/>
        <v>#VALUE!</v>
      </c>
    </row>
    <row r="131" spans="1:30" ht="33" hidden="1" customHeight="1" x14ac:dyDescent="0.3">
      <c r="A131">
        <f>'[1]2026 Orders'!A132</f>
        <v>46034</v>
      </c>
      <c r="B131" s="14" t="str">
        <f>'[1]2026 Orders'!B132</f>
        <v>UAE</v>
      </c>
      <c r="C131" s="14" t="str">
        <f>'[1]2026 Orders'!C132</f>
        <v>A4572</v>
      </c>
      <c r="D131" s="14">
        <f>'[1]2026 Orders'!D132</f>
        <v>0</v>
      </c>
      <c r="E131" s="17" t="str" cm="1">
        <f t="array" ref="E131">IF(C131=0,"",
HYPERLINK(
"#'2026 Orders'!C"&amp;
MATCH(1,
('2026 Orders'!C:C=C131)*
('2026 Orders'!G:G=G131)*
('2026 Orders'!N:N=N131),
0),
"Open "&amp;C131
))</f>
        <v>Open A4572</v>
      </c>
      <c r="F131" s="14" t="str">
        <f>'[1]2026 Orders'!F132</f>
        <v>2/25/2026: Moved from UAE A4553. 
3/4/2026: qty reduced from 790 -&gt; 490</v>
      </c>
      <c r="G131" s="14" t="str">
        <f>'[1]2026 Orders'!G132</f>
        <v>POLYSIT-90-RE</v>
      </c>
      <c r="H131" s="14" t="str" cm="1">
        <f t="array" ref="H131">IFERROR(_xlfn.TEXTJOIN("-",,INDEX(_xlfn.TEXTSPLIT(TableTake[[#This Row],[SKU]],"-"),{1,2})),"")</f>
        <v>POLYSIT-90</v>
      </c>
      <c r="I131" s="15" t="str">
        <f>IFERROR(_xlfn.TEXTAFTER(TableTake[[#This Row],[SKU]],"-",-1),"")</f>
        <v>RE</v>
      </c>
      <c r="J131" s="14">
        <f>'[1]2026 Orders'!H132</f>
        <v>490</v>
      </c>
      <c r="K131" t="str">
        <f>'[1]2026 Orders'!I132</f>
        <v>R53-17.0</v>
      </c>
      <c r="L131">
        <f>'[1]2026 Orders'!J132</f>
        <v>0</v>
      </c>
      <c r="N131" s="10" t="str">
        <f>'[1]2026 Orders'!L132</f>
        <v>In Production</v>
      </c>
      <c r="O131">
        <f>'[1]2026 Orders'!M132</f>
        <v>0</v>
      </c>
      <c r="P131" t="str">
        <f>'[1]2026 Orders'!N132</f>
        <v>Y</v>
      </c>
      <c r="Q131">
        <f>'[1]2026 Orders'!O132</f>
        <v>609788969006</v>
      </c>
      <c r="R131">
        <f>'[1]2026 Orders'!P132</f>
        <v>5000</v>
      </c>
      <c r="S131">
        <f>'[1]2026 Orders'!Q132</f>
        <v>5034</v>
      </c>
      <c r="T131">
        <f>'[1]2026 Orders'!R132</f>
        <v>46204</v>
      </c>
      <c r="U131">
        <f>'[1]2026 Orders'!S132</f>
        <v>0</v>
      </c>
      <c r="V131">
        <f>'[1]2026 Orders'!T132</f>
        <v>0</v>
      </c>
      <c r="W131">
        <f>'[1]2026 Orders'!U132</f>
        <v>0</v>
      </c>
      <c r="X131">
        <f>'[1]2026 Orders'!V132</f>
        <v>0</v>
      </c>
      <c r="Y131">
        <f>'[1]2026 Orders'!W132</f>
        <v>0</v>
      </c>
      <c r="Z131">
        <f>'[1]2026 Orders'!X132</f>
        <v>0</v>
      </c>
      <c r="AC131" t="str">
        <f t="shared" ref="AC131:AC194" si="4">IF(OR(B131="",B131=0),"",J131&amp;"/"&amp;$AJ$2)</f>
        <v>490/</v>
      </c>
      <c r="AD131" t="e">
        <f t="shared" ref="AD131:AD194" si="5">IF(OR(J131="",J131=0),"",I131&amp;" -&gt; "&amp;$AK$2)</f>
        <v>#VALUE!</v>
      </c>
    </row>
    <row r="132" spans="1:30" ht="33" hidden="1" customHeight="1" x14ac:dyDescent="0.3">
      <c r="A132">
        <f>'[1]2026 Orders'!A133</f>
        <v>45975</v>
      </c>
      <c r="B132" s="14" t="str">
        <f>'[1]2026 Orders'!B133</f>
        <v>UAE</v>
      </c>
      <c r="C132" s="14" t="str">
        <f>'[1]2026 Orders'!C133</f>
        <v>A4572</v>
      </c>
      <c r="D132" s="14">
        <f>'[1]2026 Orders'!D133</f>
        <v>0</v>
      </c>
      <c r="E132" s="17" t="str" cm="1">
        <f t="array" ref="E132">IF(C132=0,"",
HYPERLINK(
"#'2026 Orders'!C"&amp;
MATCH(1,
('2026 Orders'!C:C=C132)*
('2026 Orders'!G:G=G132)*
('2026 Orders'!N:N=N132),
0),
"Open "&amp;C132
))</f>
        <v>Open A4572</v>
      </c>
      <c r="F132" s="14" t="str">
        <f>'[1]2026 Orders'!F133</f>
        <v>2/4/2026: Moved from UAE A4572
5/4/2026: Moved back from UAE A4553</v>
      </c>
      <c r="G132" s="14" t="str">
        <f>'[1]2026 Orders'!G133</f>
        <v>ROYALPL-30-FD</v>
      </c>
      <c r="H132" s="14" t="str" cm="1">
        <f t="array" ref="H132">IFERROR(_xlfn.TEXTJOIN("-",,INDEX(_xlfn.TEXTSPLIT(TableTake[[#This Row],[SKU]],"-"),{1,2})),"")</f>
        <v>ROYALPL-30</v>
      </c>
      <c r="I132" s="15" t="str">
        <f>IFERROR(_xlfn.TEXTAFTER(TableTake[[#This Row],[SKU]],"-",-1),"")</f>
        <v>FD</v>
      </c>
      <c r="J132" s="14">
        <f>'[1]2026 Orders'!H133</f>
        <v>1485</v>
      </c>
      <c r="K132" t="str">
        <f>'[1]2026 Orders'!I133</f>
        <v>F62-25.0</v>
      </c>
      <c r="L132">
        <f>'[1]2026 Orders'!J133</f>
        <v>0</v>
      </c>
      <c r="N132" s="10" t="str">
        <f>'[1]2026 Orders'!L133</f>
        <v>Production Complete</v>
      </c>
      <c r="O132">
        <f>'[1]2026 Orders'!M133</f>
        <v>0</v>
      </c>
      <c r="P132" t="str">
        <f>'[1]2026 Orders'!N133</f>
        <v>NA</v>
      </c>
      <c r="Q132">
        <f>'[1]2026 Orders'!O133</f>
        <v>609788968672</v>
      </c>
      <c r="R132">
        <f>'[1]2026 Orders'!P133</f>
        <v>5000</v>
      </c>
      <c r="S132">
        <f>'[1]2026 Orders'!Q133</f>
        <v>4875</v>
      </c>
      <c r="T132" t="str">
        <f>'[1]2026 Orders'!R133</f>
        <v>complete</v>
      </c>
      <c r="U132" t="str">
        <f>'[1]2026 Orders'!S133</f>
        <v>Held at MFR facility</v>
      </c>
      <c r="V132">
        <f>'[1]2026 Orders'!T133</f>
        <v>0</v>
      </c>
      <c r="W132">
        <f>'[1]2026 Orders'!U133</f>
        <v>0</v>
      </c>
      <c r="X132">
        <f>'[1]2026 Orders'!V133</f>
        <v>0</v>
      </c>
      <c r="Y132">
        <f>'[1]2026 Orders'!W133</f>
        <v>0</v>
      </c>
      <c r="Z132">
        <f>'[1]2026 Orders'!X133</f>
        <v>0</v>
      </c>
      <c r="AC132" t="str">
        <f t="shared" si="4"/>
        <v>1485/</v>
      </c>
      <c r="AD132" t="e">
        <f t="shared" si="5"/>
        <v>#VALUE!</v>
      </c>
    </row>
    <row r="133" spans="1:30" ht="33" hidden="1" customHeight="1" x14ac:dyDescent="0.3">
      <c r="A133">
        <f>'[1]2026 Orders'!A134</f>
        <v>46058</v>
      </c>
      <c r="B133" s="14" t="str">
        <f>'[1]2026 Orders'!B134</f>
        <v>UAE</v>
      </c>
      <c r="C133" s="14" t="str">
        <f>'[1]2026 Orders'!C134</f>
        <v>A4572</v>
      </c>
      <c r="D133" s="14">
        <f>'[1]2026 Orders'!D134</f>
        <v>0</v>
      </c>
      <c r="E133" s="17" t="str" cm="1">
        <f t="array" ref="E133">IF(C133=0,"",
HYPERLINK(
"#'2026 Orders'!C"&amp;
MATCH(1,
('2026 Orders'!C:C=C133)*
('2026 Orders'!G:G=G133)*
('2026 Orders'!N:N=N133),
0),
"Open "&amp;C133
))</f>
        <v>Open A4572</v>
      </c>
      <c r="F133" s="14" t="str">
        <f>'[1]2026 Orders'!F134</f>
        <v>3/30/2026:
Moved from UAE A4644
5/4/2026: Moved from A4553</v>
      </c>
      <c r="G133" s="14" t="str">
        <f>'[1]2026 Orders'!G134</f>
        <v>OMEGA3-60-CS-UA</v>
      </c>
      <c r="H133" s="14" t="str" cm="1">
        <f t="array" ref="H133">IFERROR(_xlfn.TEXTJOIN("-",,INDEX(_xlfn.TEXTSPLIT(TableTake[[#This Row],[SKU]],"-"),{1,2})),"")</f>
        <v>OMEGA3-60</v>
      </c>
      <c r="I133" s="15" t="str">
        <f>IFERROR(_xlfn.TEXTAFTER(TableTake[[#This Row],[SKU]],"-",-1),"")</f>
        <v>UA</v>
      </c>
      <c r="J133" s="14">
        <f>'[1]2026 Orders'!H134</f>
        <v>1500</v>
      </c>
      <c r="K133" t="str">
        <f>'[1]2026 Orders'!I134</f>
        <v>UA37-25.0</v>
      </c>
      <c r="L133">
        <f>'[1]2026 Orders'!J134</f>
        <v>0</v>
      </c>
      <c r="N133" s="10" t="str">
        <f>'[1]2026 Orders'!L134</f>
        <v>In Production</v>
      </c>
      <c r="O133">
        <f>'[1]2026 Orders'!M134</f>
        <v>0</v>
      </c>
      <c r="P133" t="str">
        <f>'[1]2026 Orders'!N134</f>
        <v>Y</v>
      </c>
      <c r="Q133">
        <f>'[1]2026 Orders'!O134</f>
        <v>609788968184</v>
      </c>
      <c r="R133">
        <f>'[1]2026 Orders'!P134</f>
        <v>1500</v>
      </c>
      <c r="S133">
        <f>'[1]2026 Orders'!Q134</f>
        <v>5069</v>
      </c>
      <c r="T133">
        <f>'[1]2026 Orders'!R134</f>
        <v>46223</v>
      </c>
      <c r="U133" t="str">
        <f>'[1]2026 Orders'!S134</f>
        <v>PO submitted at Genova</v>
      </c>
      <c r="V133">
        <f>'[1]2026 Orders'!T134</f>
        <v>0</v>
      </c>
      <c r="W133">
        <f>'[1]2026 Orders'!U134</f>
        <v>0</v>
      </c>
      <c r="X133">
        <f>'[1]2026 Orders'!V134</f>
        <v>0</v>
      </c>
      <c r="Y133">
        <f>'[1]2026 Orders'!W134</f>
        <v>0</v>
      </c>
      <c r="Z133">
        <f>'[1]2026 Orders'!X134</f>
        <v>0</v>
      </c>
      <c r="AC133" t="str">
        <f t="shared" si="4"/>
        <v>1500/</v>
      </c>
      <c r="AD133" t="e">
        <f t="shared" si="5"/>
        <v>#VALUE!</v>
      </c>
    </row>
    <row r="134" spans="1:30" ht="33" hidden="1" customHeight="1" x14ac:dyDescent="0.3">
      <c r="A134">
        <f>'[1]2026 Orders'!A135</f>
        <v>45975</v>
      </c>
      <c r="B134" s="14" t="str">
        <f>'[1]2026 Orders'!B135</f>
        <v>UAE</v>
      </c>
      <c r="C134" s="14" t="str">
        <f>'[1]2026 Orders'!C135</f>
        <v>A4572</v>
      </c>
      <c r="D134" s="14">
        <f>'[1]2026 Orders'!D135</f>
        <v>0</v>
      </c>
      <c r="E134" s="17" t="str" cm="1">
        <f t="array" ref="E134">IF(C134=0,"",
HYPERLINK(
"#'2026 Orders'!C"&amp;
MATCH(1,
('2026 Orders'!C:C=C134)*
('2026 Orders'!G:G=G134)*
('2026 Orders'!N:N=N134),
0),
"Open "&amp;C134
))</f>
        <v>Open A4572</v>
      </c>
      <c r="F134" s="14" t="str">
        <f>'[1]2026 Orders'!F135</f>
        <v>2/4/2026: Moved from UAE A4572
5/13/2026: Moved from UAE A4553</v>
      </c>
      <c r="G134" s="14" t="str">
        <f>'[1]2026 Orders'!G135</f>
        <v>LIPODIS-60-FD</v>
      </c>
      <c r="H134" s="14" t="str" cm="1">
        <f t="array" ref="H134">IFERROR(_xlfn.TEXTJOIN("-",,INDEX(_xlfn.TEXTSPLIT(TableTake[[#This Row],[SKU]],"-"),{1,2})),"")</f>
        <v>LIPODIS-60</v>
      </c>
      <c r="I134" s="15" t="str">
        <f>IFERROR(_xlfn.TEXTAFTER(TableTake[[#This Row],[SKU]],"-",-1),"")</f>
        <v>FD</v>
      </c>
      <c r="J134" s="14">
        <f>'[1]2026 Orders'!H135</f>
        <v>1207</v>
      </c>
      <c r="K134" t="str">
        <f>'[1]2026 Orders'!I135</f>
        <v>F26-22.0</v>
      </c>
      <c r="L134">
        <f>'[1]2026 Orders'!J135</f>
        <v>0</v>
      </c>
      <c r="N134" s="10" t="str">
        <f>'[1]2026 Orders'!L135</f>
        <v>Available</v>
      </c>
      <c r="O134">
        <f>'[1]2026 Orders'!M135</f>
        <v>0</v>
      </c>
      <c r="P134" t="str">
        <f>'[1]2026 Orders'!N135</f>
        <v>Y</v>
      </c>
      <c r="Q134">
        <f>'[1]2026 Orders'!O135</f>
        <v>604776735823</v>
      </c>
      <c r="R134">
        <f>'[1]2026 Orders'!P135</f>
        <v>7000</v>
      </c>
      <c r="S134">
        <f>'[1]2026 Orders'!Q135</f>
        <v>4971</v>
      </c>
      <c r="T134" t="str">
        <f>'[1]2026 Orders'!R135</f>
        <v>Complete</v>
      </c>
      <c r="U134" t="str">
        <f>'[1]2026 Orders'!S135</f>
        <v>Waiting for PL and sample approval</v>
      </c>
      <c r="V134">
        <f>'[1]2026 Orders'!T135</f>
        <v>0</v>
      </c>
      <c r="W134">
        <f>'[1]2026 Orders'!U135</f>
        <v>0</v>
      </c>
      <c r="X134">
        <f>'[1]2026 Orders'!V135</f>
        <v>0</v>
      </c>
      <c r="Y134">
        <f>'[1]2026 Orders'!W135</f>
        <v>0</v>
      </c>
      <c r="Z134" t="str">
        <f>'[1]2026 Orders'!X135</f>
        <v>HOLD</v>
      </c>
      <c r="AC134" t="str">
        <f t="shared" si="4"/>
        <v>1207/</v>
      </c>
      <c r="AD134" t="e">
        <f t="shared" si="5"/>
        <v>#VALUE!</v>
      </c>
    </row>
    <row r="135" spans="1:30" ht="33" hidden="1" customHeight="1" x14ac:dyDescent="0.3">
      <c r="A135">
        <f>'[1]2026 Orders'!A136</f>
        <v>0</v>
      </c>
      <c r="B135" s="14">
        <f>'[1]2026 Orders'!B136</f>
        <v>0</v>
      </c>
      <c r="C135" s="14">
        <f>'[1]2026 Orders'!C136</f>
        <v>0</v>
      </c>
      <c r="D135" s="14">
        <f>'[1]2026 Orders'!D136</f>
        <v>0</v>
      </c>
      <c r="E135" s="17" t="str" cm="1">
        <f t="array" ref="E135">IF(C135=0,"",
HYPERLINK(
"#'2026 Orders'!C"&amp;
MATCH(1,
('2026 Orders'!C:C=C135)*
('2026 Orders'!G:G=G135)*
('2026 Orders'!N:N=N135),
0),
"Open "&amp;C135
))</f>
        <v/>
      </c>
      <c r="F135" s="14">
        <f>'[1]2026 Orders'!F136</f>
        <v>0</v>
      </c>
      <c r="G135" s="14">
        <f>'[1]2026 Orders'!G136</f>
        <v>0</v>
      </c>
      <c r="H135" s="14" t="str" cm="1">
        <f t="array" ref="H135">IFERROR(_xlfn.TEXTJOIN("-",,INDEX(_xlfn.TEXTSPLIT(TableTake[[#This Row],[SKU]],"-"),{1,2})),"")</f>
        <v/>
      </c>
      <c r="I135" s="15" t="str">
        <f>IFERROR(_xlfn.TEXTAFTER(TableTake[[#This Row],[SKU]],"-",-1),"")</f>
        <v/>
      </c>
      <c r="J135" s="14">
        <f>'[1]2026 Orders'!H136</f>
        <v>0</v>
      </c>
      <c r="K135">
        <f>'[1]2026 Orders'!I136</f>
        <v>0</v>
      </c>
      <c r="L135">
        <f>'[1]2026 Orders'!J136</f>
        <v>0</v>
      </c>
      <c r="N135" s="10">
        <f>'[1]2026 Orders'!L136</f>
        <v>0</v>
      </c>
      <c r="O135">
        <f>'[1]2026 Orders'!M136</f>
        <v>0</v>
      </c>
      <c r="P135">
        <f>'[1]2026 Orders'!N136</f>
        <v>0</v>
      </c>
      <c r="Q135">
        <f>'[1]2026 Orders'!O136</f>
        <v>0</v>
      </c>
      <c r="R135">
        <f>'[1]2026 Orders'!P136</f>
        <v>0</v>
      </c>
      <c r="S135">
        <f>'[1]2026 Orders'!Q136</f>
        <v>0</v>
      </c>
      <c r="T135">
        <f>'[1]2026 Orders'!R136</f>
        <v>0</v>
      </c>
      <c r="U135">
        <f>'[1]2026 Orders'!S136</f>
        <v>0</v>
      </c>
      <c r="V135">
        <f>'[1]2026 Orders'!T136</f>
        <v>0</v>
      </c>
      <c r="W135">
        <f>'[1]2026 Orders'!U136</f>
        <v>0</v>
      </c>
      <c r="X135">
        <f>'[1]2026 Orders'!V136</f>
        <v>0</v>
      </c>
      <c r="Y135">
        <f>'[1]2026 Orders'!W136</f>
        <v>0</v>
      </c>
      <c r="Z135">
        <f>'[1]2026 Orders'!X136</f>
        <v>0</v>
      </c>
      <c r="AC135" t="str">
        <f t="shared" si="4"/>
        <v/>
      </c>
      <c r="AD135" t="str">
        <f t="shared" si="5"/>
        <v/>
      </c>
    </row>
    <row r="136" spans="1:30" ht="33" hidden="1" customHeight="1" x14ac:dyDescent="0.3">
      <c r="A136">
        <f>'[1]2026 Orders'!A137</f>
        <v>45975</v>
      </c>
      <c r="B136" s="14" t="str">
        <f>'[1]2026 Orders'!B137</f>
        <v>Uganda</v>
      </c>
      <c r="C136" s="14" t="str">
        <f>'[1]2026 Orders'!C137</f>
        <v>A4574</v>
      </c>
      <c r="D136" s="14" t="str">
        <f>'[1]2026 Orders'!D137</f>
        <v>New Docs to be made</v>
      </c>
      <c r="E136" s="17" t="str" cm="1">
        <f t="array" ref="E136">IF(C136=0,"",
HYPERLINK(
"#'2026 Orders'!C"&amp;
MATCH(1,
('2026 Orders'!C:C=C136)*
('2026 Orders'!G:G=G136)*
('2026 Orders'!N:N=N136),
0),
"Open "&amp;C136
))</f>
        <v>Open A4574</v>
      </c>
      <c r="F136" s="14" t="str">
        <f>'[1]2026 Orders'!F137</f>
        <v>49481225
Mfg:12/2025
Exp:12/2028                                  5/21/2026: Allocating 240 pcs to Egypt A4683.</v>
      </c>
      <c r="G136" s="14" t="str">
        <f>'[1]2026 Orders'!G137</f>
        <v>MFSPLS-120-FD</v>
      </c>
      <c r="H136" s="14" t="str" cm="1">
        <f t="array" ref="H136">IFERROR(_xlfn.TEXTJOIN("-",,INDEX(_xlfn.TEXTSPLIT(TableTake[[#This Row],[SKU]],"-"),{1,2})),"")</f>
        <v>MFSPLS-120</v>
      </c>
      <c r="I136" s="15" t="str">
        <f>IFERROR(_xlfn.TEXTAFTER(TableTake[[#This Row],[SKU]],"-",-1),"")</f>
        <v>FD</v>
      </c>
      <c r="J136" s="14">
        <f>'[1]2026 Orders'!H137</f>
        <v>240</v>
      </c>
      <c r="K136" t="str">
        <f>'[1]2026 Orders'!I137</f>
        <v>F30-25.1</v>
      </c>
      <c r="L136">
        <f>'[1]2026 Orders'!J137</f>
        <v>240</v>
      </c>
      <c r="N136" s="10" t="str">
        <f>'[1]2026 Orders'!L137</f>
        <v>In Production</v>
      </c>
      <c r="O136">
        <f>'[1]2026 Orders'!M137</f>
        <v>0</v>
      </c>
      <c r="P136" t="str">
        <f>'[1]2026 Orders'!N137</f>
        <v>NA</v>
      </c>
      <c r="Q136">
        <f>'[1]2026 Orders'!O137</f>
        <v>609788968344</v>
      </c>
      <c r="R136">
        <f>'[1]2026 Orders'!P137</f>
        <v>9195</v>
      </c>
      <c r="S136">
        <f>'[1]2026 Orders'!Q137</f>
        <v>5032</v>
      </c>
      <c r="T136">
        <f>'[1]2026 Orders'!R137</f>
        <v>46211</v>
      </c>
      <c r="U136">
        <f>'[1]2026 Orders'!S137</f>
        <v>0</v>
      </c>
      <c r="V136">
        <f>'[1]2026 Orders'!T137</f>
        <v>0</v>
      </c>
      <c r="W136">
        <f>'[1]2026 Orders'!U137</f>
        <v>0</v>
      </c>
      <c r="X136">
        <f>'[1]2026 Orders'!V137</f>
        <v>0</v>
      </c>
      <c r="Y136">
        <f>'[1]2026 Orders'!W137</f>
        <v>0</v>
      </c>
      <c r="Z136" t="str">
        <f>'[1]2026 Orders'!X137</f>
        <v>HOLD</v>
      </c>
      <c r="AC136" t="str">
        <f t="shared" si="4"/>
        <v>240/</v>
      </c>
      <c r="AD136" t="e">
        <f t="shared" si="5"/>
        <v>#VALUE!</v>
      </c>
    </row>
    <row r="137" spans="1:30" ht="33" hidden="1" customHeight="1" x14ac:dyDescent="0.3">
      <c r="A137">
        <f>'[1]2026 Orders'!A138</f>
        <v>45975</v>
      </c>
      <c r="B137" s="14" t="str">
        <f>'[1]2026 Orders'!B138</f>
        <v>Uganda</v>
      </c>
      <c r="C137" s="14" t="str">
        <f>'[1]2026 Orders'!C138</f>
        <v>A4574</v>
      </c>
      <c r="D137" s="14">
        <f>'[1]2026 Orders'!D138</f>
        <v>0</v>
      </c>
      <c r="E137" s="17" t="str" cm="1">
        <f t="array" ref="E137">IF(C137=0,"",
HYPERLINK(
"#'2026 Orders'!C"&amp;
MATCH(1,
('2026 Orders'!C:C=C137)*
('2026 Orders'!G:G=G137)*
('2026 Orders'!N:N=N137),
0),
"Open "&amp;C137
))</f>
        <v>Open A4574</v>
      </c>
      <c r="F137" s="14" t="str">
        <f>'[1]2026 Orders'!F138</f>
        <v>11/19/2025: allocated 192 packs to KSA A4566
5/11/2026: Allocating to Kenya A4699.</v>
      </c>
      <c r="G137" s="14" t="str">
        <f>'[1]2026 Orders'!G138</f>
        <v>FERTMX-90-RE</v>
      </c>
      <c r="H137" s="14" t="str" cm="1">
        <f t="array" ref="H137">IFERROR(_xlfn.TEXTJOIN("-",,INDEX(_xlfn.TEXTSPLIT(TableTake[[#This Row],[SKU]],"-"),{1,2})),"")</f>
        <v>FERTMX-90</v>
      </c>
      <c r="I137" s="15" t="str">
        <f>IFERROR(_xlfn.TEXTAFTER(TableTake[[#This Row],[SKU]],"-",-1),"")</f>
        <v>RE</v>
      </c>
      <c r="J137" s="14">
        <f>'[1]2026 Orders'!H138</f>
        <v>8</v>
      </c>
      <c r="K137" t="str">
        <f>'[1]2026 Orders'!I138</f>
        <v>R16-22.0</v>
      </c>
      <c r="L137">
        <f>'[1]2026 Orders'!J138</f>
        <v>8</v>
      </c>
      <c r="N137" s="10" t="str">
        <f>'[1]2026 Orders'!L138</f>
        <v>PO submitted</v>
      </c>
      <c r="O137">
        <f>'[1]2026 Orders'!M138</f>
        <v>0</v>
      </c>
      <c r="P137" t="str">
        <f>'[1]2026 Orders'!N138</f>
        <v>Y</v>
      </c>
      <c r="Q137">
        <f>'[1]2026 Orders'!O138</f>
        <v>609788968726</v>
      </c>
      <c r="R137">
        <f>'[1]2026 Orders'!P138</f>
        <v>5000</v>
      </c>
      <c r="S137">
        <f>'[1]2026 Orders'!Q138</f>
        <v>5041</v>
      </c>
      <c r="T137" t="str">
        <f>'[1]2026 Orders'!R138</f>
        <v>TBD</v>
      </c>
      <c r="U137" t="str">
        <f>'[1]2026 Orders'!S138</f>
        <v>Waiting for vendor confirmation.</v>
      </c>
      <c r="V137">
        <f>'[1]2026 Orders'!T138</f>
        <v>0</v>
      </c>
      <c r="W137">
        <f>'[1]2026 Orders'!U138</f>
        <v>0</v>
      </c>
      <c r="X137">
        <f>'[1]2026 Orders'!V138</f>
        <v>0</v>
      </c>
      <c r="Y137">
        <f>'[1]2026 Orders'!W138</f>
        <v>0</v>
      </c>
      <c r="Z137">
        <f>'[1]2026 Orders'!X138</f>
        <v>0</v>
      </c>
      <c r="AC137" t="str">
        <f t="shared" si="4"/>
        <v>8/</v>
      </c>
      <c r="AD137" t="e">
        <f t="shared" si="5"/>
        <v>#VALUE!</v>
      </c>
    </row>
    <row r="138" spans="1:30" ht="33" hidden="1" customHeight="1" x14ac:dyDescent="0.3">
      <c r="A138">
        <f>'[1]2026 Orders'!A139</f>
        <v>45980</v>
      </c>
      <c r="B138" s="14" t="str">
        <f>'[1]2026 Orders'!B139</f>
        <v>Uganda</v>
      </c>
      <c r="C138" s="14" t="str">
        <f>'[1]2026 Orders'!C139</f>
        <v>A4574</v>
      </c>
      <c r="D138" s="14">
        <f>'[1]2026 Orders'!D139</f>
        <v>0</v>
      </c>
      <c r="E138" s="17" t="str" cm="1">
        <f t="array" ref="E138">IF(C138=0,"",
HYPERLINK(
"#'2026 Orders'!C"&amp;
MATCH(1,
('2026 Orders'!C:C=C138)*
('2026 Orders'!G:G=G138)*
('2026 Orders'!N:N=N138),
0),
"Open "&amp;C138
))</f>
        <v>Open A4574</v>
      </c>
      <c r="F138" s="14" t="str">
        <f>'[1]2026 Orders'!F139</f>
        <v>11/19/2025: Fulfilled from PO4834                        5/11/2026: Allocating to Kenya A4699.</v>
      </c>
      <c r="G138" s="14" t="str">
        <f>'[1]2026 Orders'!G139</f>
        <v>FERTMX-90-RE</v>
      </c>
      <c r="H138" s="14" t="str" cm="1">
        <f t="array" ref="H138">IFERROR(_xlfn.TEXTJOIN("-",,INDEX(_xlfn.TEXTSPLIT(TableTake[[#This Row],[SKU]],"-"),{1,2})),"")</f>
        <v>FERTMX-90</v>
      </c>
      <c r="I138" s="15" t="str">
        <f>IFERROR(_xlfn.TEXTAFTER(TableTake[[#This Row],[SKU]],"-",-1),"")</f>
        <v>RE</v>
      </c>
      <c r="J138" s="14">
        <f>'[1]2026 Orders'!H139</f>
        <v>192</v>
      </c>
      <c r="K138" t="str">
        <f>'[1]2026 Orders'!I139</f>
        <v>R16-22.0</v>
      </c>
      <c r="L138">
        <f>'[1]2026 Orders'!J139</f>
        <v>192</v>
      </c>
      <c r="N138" s="10" t="str">
        <f>'[1]2026 Orders'!L139</f>
        <v>PO submitted</v>
      </c>
      <c r="O138">
        <f>'[1]2026 Orders'!M139</f>
        <v>0</v>
      </c>
      <c r="P138" t="str">
        <f>'[1]2026 Orders'!N139</f>
        <v>Y</v>
      </c>
      <c r="Q138">
        <f>'[1]2026 Orders'!O139</f>
        <v>609788968726</v>
      </c>
      <c r="R138">
        <f>'[1]2026 Orders'!P139</f>
        <v>5000</v>
      </c>
      <c r="S138">
        <f>'[1]2026 Orders'!Q139</f>
        <v>5041</v>
      </c>
      <c r="T138" t="str">
        <f>'[1]2026 Orders'!R139</f>
        <v>TBD</v>
      </c>
      <c r="U138" t="str">
        <f>'[1]2026 Orders'!S139</f>
        <v>Waiting for vendor confirmation.</v>
      </c>
      <c r="V138">
        <f>'[1]2026 Orders'!T139</f>
        <v>0</v>
      </c>
      <c r="W138">
        <f>'[1]2026 Orders'!U139</f>
        <v>0</v>
      </c>
      <c r="X138">
        <f>'[1]2026 Orders'!V139</f>
        <v>0</v>
      </c>
      <c r="Y138">
        <f>'[1]2026 Orders'!W139</f>
        <v>0</v>
      </c>
      <c r="Z138">
        <f>'[1]2026 Orders'!X139</f>
        <v>0</v>
      </c>
      <c r="AC138" t="str">
        <f t="shared" si="4"/>
        <v>192/</v>
      </c>
      <c r="AD138" t="e">
        <f t="shared" si="5"/>
        <v>#VALUE!</v>
      </c>
    </row>
    <row r="139" spans="1:30" ht="33" hidden="1" customHeight="1" x14ac:dyDescent="0.3">
      <c r="A139">
        <f>'[1]2026 Orders'!A140</f>
        <v>45975</v>
      </c>
      <c r="B139" s="14" t="str">
        <f>'[1]2026 Orders'!B140</f>
        <v>Uganda</v>
      </c>
      <c r="C139" s="14" t="str">
        <f>'[1]2026 Orders'!C140</f>
        <v>A4574</v>
      </c>
      <c r="D139" s="14">
        <f>'[1]2026 Orders'!D140</f>
        <v>0</v>
      </c>
      <c r="E139" s="17" t="str" cm="1">
        <f t="array" ref="E139">IF(C139=0,"",
HYPERLINK(
"#'2026 Orders'!C"&amp;
MATCH(1,
('2026 Orders'!C:C=C139)*
('2026 Orders'!G:G=G139)*
('2026 Orders'!N:N=N139),
0),
"Open "&amp;C139
))</f>
        <v>Open A4574</v>
      </c>
      <c r="F139" s="14" t="str">
        <f>'[1]2026 Orders'!F140</f>
        <v>03/10/26 Product allocated to Somalia A4655</v>
      </c>
      <c r="G139" s="14" t="str">
        <f>'[1]2026 Orders'!G140</f>
        <v>DHEA50-60-FD</v>
      </c>
      <c r="H139" s="14" t="str" cm="1">
        <f t="array" ref="H139">IFERROR(_xlfn.TEXTJOIN("-",,INDEX(_xlfn.TEXTSPLIT(TableTake[[#This Row],[SKU]],"-"),{1,2})),"")</f>
        <v>DHEA50-60</v>
      </c>
      <c r="I139" s="15" t="str">
        <f>IFERROR(_xlfn.TEXTAFTER(TableTake[[#This Row],[SKU]],"-",-1),"")</f>
        <v>FD</v>
      </c>
      <c r="J139" s="14">
        <f>'[1]2026 Orders'!H140</f>
        <v>30</v>
      </c>
      <c r="K139" t="str">
        <f>'[1]2026 Orders'!I140</f>
        <v>F13-25.2</v>
      </c>
      <c r="L139">
        <f>'[1]2026 Orders'!J140</f>
        <v>0</v>
      </c>
      <c r="N139" s="10" t="str">
        <f>'[1]2026 Orders'!L140</f>
        <v>In Production</v>
      </c>
      <c r="O139">
        <f>'[1]2026 Orders'!M140</f>
        <v>0</v>
      </c>
      <c r="P139" t="str">
        <f>'[1]2026 Orders'!N140</f>
        <v>NA</v>
      </c>
      <c r="Q139">
        <f>'[1]2026 Orders'!O140</f>
        <v>609788968221</v>
      </c>
      <c r="R139">
        <f>'[1]2026 Orders'!P140</f>
        <v>7000</v>
      </c>
      <c r="S139">
        <f>'[1]2026 Orders'!Q140</f>
        <v>5027</v>
      </c>
      <c r="T139">
        <f>'[1]2026 Orders'!R140</f>
        <v>46201</v>
      </c>
      <c r="U139">
        <f>'[1]2026 Orders'!S140</f>
        <v>0</v>
      </c>
      <c r="V139">
        <f>'[1]2026 Orders'!T140</f>
        <v>0</v>
      </c>
      <c r="W139">
        <f>'[1]2026 Orders'!U140</f>
        <v>0</v>
      </c>
      <c r="X139">
        <f>'[1]2026 Orders'!V140</f>
        <v>0</v>
      </c>
      <c r="Y139">
        <f>'[1]2026 Orders'!W140</f>
        <v>0</v>
      </c>
      <c r="Z139">
        <f>'[1]2026 Orders'!X140</f>
        <v>0</v>
      </c>
      <c r="AC139" t="str">
        <f t="shared" si="4"/>
        <v>30/</v>
      </c>
      <c r="AD139" t="e">
        <f t="shared" si="5"/>
        <v>#VALUE!</v>
      </c>
    </row>
    <row r="140" spans="1:30" ht="33" hidden="1" customHeight="1" x14ac:dyDescent="0.3">
      <c r="A140">
        <f>'[1]2026 Orders'!A141</f>
        <v>45975</v>
      </c>
      <c r="B140" s="14" t="str">
        <f>'[1]2026 Orders'!B141</f>
        <v>Uganda</v>
      </c>
      <c r="C140" s="14" t="str">
        <f>'[1]2026 Orders'!C141</f>
        <v>A4574</v>
      </c>
      <c r="D140" s="14">
        <f>'[1]2026 Orders'!D141</f>
        <v>0</v>
      </c>
      <c r="E140" s="17" t="str" cm="1">
        <f t="array" ref="E140">IF(C140=0,"",
HYPERLINK(
"#'2026 Orders'!C"&amp;
MATCH(1,
('2026 Orders'!C:C=C140)*
('2026 Orders'!G:G=G140)*
('2026 Orders'!N:N=N140),
0),
"Open "&amp;C140
))</f>
        <v>Open A4574</v>
      </c>
      <c r="F140" s="14" t="str">
        <f>'[1]2026 Orders'!F141</f>
        <v>4/9/2026: 200 packs of Ovamax allocated to Bahrain A4685</v>
      </c>
      <c r="G140" s="14" t="str">
        <f>'[1]2026 Orders'!G141</f>
        <v>OVAMAX-120-FD</v>
      </c>
      <c r="H140" s="14" t="str" cm="1">
        <f t="array" ref="H140">IFERROR(_xlfn.TEXTJOIN("-",,INDEX(_xlfn.TEXTSPLIT(TableTake[[#This Row],[SKU]],"-"),{1,2})),"")</f>
        <v>OVAMAX-120</v>
      </c>
      <c r="I140" s="15" t="str">
        <f>IFERROR(_xlfn.TEXTAFTER(TableTake[[#This Row],[SKU]],"-",-1),"")</f>
        <v>FD</v>
      </c>
      <c r="J140" s="14">
        <f>'[1]2026 Orders'!H141</f>
        <v>200</v>
      </c>
      <c r="K140" t="str">
        <f>'[1]2026 Orders'!I141</f>
        <v>F41-25.0</v>
      </c>
      <c r="L140">
        <f>'[1]2026 Orders'!J141</f>
        <v>0</v>
      </c>
      <c r="N140" s="10" t="str">
        <f>'[1]2026 Orders'!L141</f>
        <v>In Production</v>
      </c>
      <c r="O140">
        <f>'[1]2026 Orders'!M141</f>
        <v>0</v>
      </c>
      <c r="P140" t="str">
        <f>'[1]2026 Orders'!N141</f>
        <v>NA</v>
      </c>
      <c r="Q140">
        <f>'[1]2026 Orders'!O141</f>
        <v>810131199586</v>
      </c>
      <c r="R140">
        <f>'[1]2026 Orders'!P141</f>
        <v>10775</v>
      </c>
      <c r="S140">
        <f>'[1]2026 Orders'!Q141</f>
        <v>5055</v>
      </c>
      <c r="T140">
        <f>'[1]2026 Orders'!R141</f>
        <v>46213</v>
      </c>
      <c r="U140">
        <f>'[1]2026 Orders'!S141</f>
        <v>0</v>
      </c>
      <c r="V140">
        <f>'[1]2026 Orders'!T141</f>
        <v>0</v>
      </c>
      <c r="W140">
        <f>'[1]2026 Orders'!U141</f>
        <v>0</v>
      </c>
      <c r="X140">
        <f>'[1]2026 Orders'!V141</f>
        <v>0</v>
      </c>
      <c r="Y140">
        <f>'[1]2026 Orders'!W141</f>
        <v>0</v>
      </c>
      <c r="Z140">
        <f>'[1]2026 Orders'!X141</f>
        <v>0</v>
      </c>
      <c r="AC140" t="str">
        <f t="shared" si="4"/>
        <v>200/</v>
      </c>
      <c r="AD140" t="e">
        <f t="shared" si="5"/>
        <v>#VALUE!</v>
      </c>
    </row>
    <row r="141" spans="1:30" ht="33" hidden="1" customHeight="1" x14ac:dyDescent="0.3">
      <c r="A141">
        <f>'[1]2026 Orders'!A142</f>
        <v>45975</v>
      </c>
      <c r="B141" s="14" t="str">
        <f>'[1]2026 Orders'!B142</f>
        <v>Uganda</v>
      </c>
      <c r="C141" s="14" t="str">
        <f>'[1]2026 Orders'!C142</f>
        <v>A4574</v>
      </c>
      <c r="D141" s="14">
        <f>'[1]2026 Orders'!D142</f>
        <v>0</v>
      </c>
      <c r="E141" s="17" t="str" cm="1">
        <f t="array" ref="E141">IF(C141=0,"",
HYPERLINK(
"#'2026 Orders'!C"&amp;
MATCH(1,
('2026 Orders'!C:C=C141)*
('2026 Orders'!G:G=G141)*
('2026 Orders'!N:N=N141),
0),
"Open "&amp;C141
))</f>
        <v>Open A4574</v>
      </c>
      <c r="F141" s="14">
        <f>'[1]2026 Orders'!F142</f>
        <v>0</v>
      </c>
      <c r="G141" s="14" t="str">
        <f>'[1]2026 Orders'!G142</f>
        <v>WFSPLS-180-FD</v>
      </c>
      <c r="H141" s="14" t="str" cm="1">
        <f t="array" ref="H141">IFERROR(_xlfn.TEXTJOIN("-",,INDEX(_xlfn.TEXTSPLIT(TableTake[[#This Row],[SKU]],"-"),{1,2})),"")</f>
        <v>WFSPLS-180</v>
      </c>
      <c r="I141" s="15" t="str">
        <f>IFERROR(_xlfn.TEXTAFTER(TableTake[[#This Row],[SKU]],"-",-1),"")</f>
        <v>FD</v>
      </c>
      <c r="J141" s="14">
        <f>'[1]2026 Orders'!H142</f>
        <v>30</v>
      </c>
      <c r="K141" t="str">
        <f>'[1]2026 Orders'!I142</f>
        <v>F73-23.0</v>
      </c>
      <c r="L141">
        <f>'[1]2026 Orders'!J142</f>
        <v>30</v>
      </c>
      <c r="N141" s="10" t="str">
        <f>'[1]2026 Orders'!L142</f>
        <v>Picked</v>
      </c>
      <c r="O141">
        <f>'[1]2026 Orders'!M142</f>
        <v>0</v>
      </c>
      <c r="P141" t="str">
        <f>'[1]2026 Orders'!N142</f>
        <v>NA</v>
      </c>
      <c r="Q141">
        <f>'[1]2026 Orders'!O142</f>
        <v>609788968351</v>
      </c>
      <c r="R141">
        <f>'[1]2026 Orders'!P142</f>
        <v>9000</v>
      </c>
      <c r="S141">
        <f>'[1]2026 Orders'!Q142</f>
        <v>4845</v>
      </c>
      <c r="T141" t="str">
        <f>'[1]2026 Orders'!R142</f>
        <v>complete</v>
      </c>
      <c r="U141">
        <f>'[1]2026 Orders'!S142</f>
        <v>0</v>
      </c>
      <c r="V141">
        <f>'[1]2026 Orders'!T142</f>
        <v>0</v>
      </c>
      <c r="W141">
        <f>'[1]2026 Orders'!U142</f>
        <v>0</v>
      </c>
      <c r="X141">
        <f>'[1]2026 Orders'!V142</f>
        <v>0</v>
      </c>
      <c r="Y141">
        <f>'[1]2026 Orders'!W142</f>
        <v>0</v>
      </c>
      <c r="Z141">
        <f>'[1]2026 Orders'!X142</f>
        <v>0</v>
      </c>
      <c r="AC141" t="str">
        <f t="shared" si="4"/>
        <v>30/</v>
      </c>
      <c r="AD141" t="e">
        <f t="shared" si="5"/>
        <v>#VALUE!</v>
      </c>
    </row>
    <row r="142" spans="1:30" ht="33" hidden="1" customHeight="1" x14ac:dyDescent="0.3">
      <c r="A142">
        <f>'[1]2026 Orders'!A143</f>
        <v>45975</v>
      </c>
      <c r="B142" s="14" t="str">
        <f>'[1]2026 Orders'!B143</f>
        <v>Uganda</v>
      </c>
      <c r="C142" s="14" t="str">
        <f>'[1]2026 Orders'!C143</f>
        <v>A4574</v>
      </c>
      <c r="D142" s="14">
        <f>'[1]2026 Orders'!D143</f>
        <v>0</v>
      </c>
      <c r="E142" s="17" t="str" cm="1">
        <f t="array" ref="E142">IF(C142=0,"",
HYPERLINK(
"#'2026 Orders'!C"&amp;
MATCH(1,
('2026 Orders'!C:C=C142)*
('2026 Orders'!G:G=G142)*
('2026 Orders'!N:N=N142),
0),
"Open "&amp;C142
))</f>
        <v>Open A4574</v>
      </c>
      <c r="F142" s="14">
        <f>'[1]2026 Orders'!F143</f>
        <v>0</v>
      </c>
      <c r="G142" s="14" t="str">
        <f>'[1]2026 Orders'!G143</f>
        <v>QWELL4-30-SG-FD</v>
      </c>
      <c r="H142" s="14" t="str" cm="1">
        <f t="array" ref="H142">IFERROR(_xlfn.TEXTJOIN("-",,INDEX(_xlfn.TEXTSPLIT(TableTake[[#This Row],[SKU]],"-"),{1,2})),"")</f>
        <v>QWELL4-30</v>
      </c>
      <c r="I142" s="15" t="str">
        <f>IFERROR(_xlfn.TEXTAFTER(TableTake[[#This Row],[SKU]],"-",-1),"")</f>
        <v>FD</v>
      </c>
      <c r="J142" s="14">
        <f>'[1]2026 Orders'!H143</f>
        <v>60</v>
      </c>
      <c r="K142" t="str">
        <f>'[1]2026 Orders'!I143</f>
        <v>F58-25.3</v>
      </c>
      <c r="L142">
        <f>'[1]2026 Orders'!J143</f>
        <v>60</v>
      </c>
      <c r="N142" s="10" t="str">
        <f>'[1]2026 Orders'!L143</f>
        <v>Picked</v>
      </c>
      <c r="O142">
        <f>'[1]2026 Orders'!M143</f>
        <v>0</v>
      </c>
      <c r="P142" t="str">
        <f>'[1]2026 Orders'!N143</f>
        <v>NA</v>
      </c>
      <c r="Q142" t="str">
        <f>'[1]2026 Orders'!O143</f>
        <v>609788968214</v>
      </c>
      <c r="R142">
        <f>'[1]2026 Orders'!P143</f>
        <v>0</v>
      </c>
      <c r="S142">
        <f>'[1]2026 Orders'!Q143</f>
        <v>0</v>
      </c>
      <c r="T142">
        <f>'[1]2026 Orders'!R143</f>
        <v>0</v>
      </c>
      <c r="U142">
        <f>'[1]2026 Orders'!S143</f>
        <v>0</v>
      </c>
      <c r="V142">
        <f>'[1]2026 Orders'!T143</f>
        <v>0</v>
      </c>
      <c r="W142">
        <f>'[1]2026 Orders'!U143</f>
        <v>0</v>
      </c>
      <c r="X142">
        <f>'[1]2026 Orders'!V143</f>
        <v>0</v>
      </c>
      <c r="Y142">
        <f>'[1]2026 Orders'!W143</f>
        <v>0</v>
      </c>
      <c r="Z142">
        <f>'[1]2026 Orders'!X143</f>
        <v>0</v>
      </c>
      <c r="AC142" t="str">
        <f t="shared" si="4"/>
        <v>60/</v>
      </c>
      <c r="AD142" t="e">
        <f t="shared" si="5"/>
        <v>#VALUE!</v>
      </c>
    </row>
    <row r="143" spans="1:30" ht="33" hidden="1" customHeight="1" x14ac:dyDescent="0.3">
      <c r="A143">
        <f>'[1]2026 Orders'!A144</f>
        <v>45975</v>
      </c>
      <c r="B143" s="14" t="str">
        <f>'[1]2026 Orders'!B144</f>
        <v>Uganda</v>
      </c>
      <c r="C143" s="14" t="str">
        <f>'[1]2026 Orders'!C144</f>
        <v>A4574</v>
      </c>
      <c r="D143" s="14">
        <f>'[1]2026 Orders'!D144</f>
        <v>0</v>
      </c>
      <c r="E143" s="17" t="str" cm="1">
        <f t="array" ref="E143">IF(C143=0,"",
HYPERLINK(
"#'2026 Orders'!C"&amp;
MATCH(1,
('2026 Orders'!C:C=C143)*
('2026 Orders'!G:G=G143)*
('2026 Orders'!N:N=N143),
0),
"Open "&amp;C143
))</f>
        <v>Open A4574</v>
      </c>
      <c r="F143" s="14">
        <f>'[1]2026 Orders'!F144</f>
        <v>0</v>
      </c>
      <c r="G143" s="14" t="str">
        <f>'[1]2026 Orders'!G144</f>
        <v>PRECON-180-FD</v>
      </c>
      <c r="H143" s="14" t="str" cm="1">
        <f t="array" ref="H143">IFERROR(_xlfn.TEXTJOIN("-",,INDEX(_xlfn.TEXTSPLIT(TableTake[[#This Row],[SKU]],"-"),{1,2})),"")</f>
        <v>PRECON-180</v>
      </c>
      <c r="I143" s="15" t="str">
        <f>IFERROR(_xlfn.TEXTAFTER(TableTake[[#This Row],[SKU]],"-",-1),"")</f>
        <v>FD</v>
      </c>
      <c r="J143" s="14">
        <f>'[1]2026 Orders'!H144</f>
        <v>50</v>
      </c>
      <c r="K143" t="str">
        <f>'[1]2026 Orders'!I144</f>
        <v>F55-22.2</v>
      </c>
      <c r="L143">
        <f>'[1]2026 Orders'!J144</f>
        <v>50</v>
      </c>
      <c r="N143" s="10" t="str">
        <f>'[1]2026 Orders'!L144</f>
        <v>Picked</v>
      </c>
      <c r="O143">
        <f>'[1]2026 Orders'!M144</f>
        <v>0</v>
      </c>
      <c r="P143" t="str">
        <f>'[1]2026 Orders'!N144</f>
        <v>NA</v>
      </c>
      <c r="Q143">
        <f>'[1]2026 Orders'!O144</f>
        <v>609788968375</v>
      </c>
      <c r="R143">
        <f>'[1]2026 Orders'!P144</f>
        <v>5000</v>
      </c>
      <c r="S143">
        <f>'[1]2026 Orders'!Q144</f>
        <v>4849</v>
      </c>
      <c r="T143" t="str">
        <f>'[1]2026 Orders'!R144</f>
        <v>complete</v>
      </c>
      <c r="U143">
        <f>'[1]2026 Orders'!S144</f>
        <v>0</v>
      </c>
      <c r="V143">
        <f>'[1]2026 Orders'!T144</f>
        <v>0</v>
      </c>
      <c r="W143">
        <f>'[1]2026 Orders'!U144</f>
        <v>0</v>
      </c>
      <c r="X143">
        <f>'[1]2026 Orders'!V144</f>
        <v>0</v>
      </c>
      <c r="Y143">
        <f>'[1]2026 Orders'!W144</f>
        <v>0</v>
      </c>
      <c r="Z143">
        <f>'[1]2026 Orders'!X144</f>
        <v>0</v>
      </c>
      <c r="AC143" t="str">
        <f t="shared" si="4"/>
        <v>50/</v>
      </c>
      <c r="AD143" t="e">
        <f t="shared" si="5"/>
        <v>#VALUE!</v>
      </c>
    </row>
    <row r="144" spans="1:30" ht="33" hidden="1" customHeight="1" x14ac:dyDescent="0.3">
      <c r="A144">
        <f>'[1]2026 Orders'!A145</f>
        <v>45975</v>
      </c>
      <c r="B144" s="14" t="str">
        <f>'[1]2026 Orders'!B145</f>
        <v>Uganda</v>
      </c>
      <c r="C144" s="14" t="str">
        <f>'[1]2026 Orders'!C145</f>
        <v>A4574</v>
      </c>
      <c r="D144" s="14">
        <f>'[1]2026 Orders'!D145</f>
        <v>0</v>
      </c>
      <c r="E144" s="17" t="str" cm="1">
        <f t="array" ref="E144">IF(C144=0,"",
HYPERLINK(
"#'2026 Orders'!C"&amp;
MATCH(1,
('2026 Orders'!C:C=C144)*
('2026 Orders'!G:G=G144)*
('2026 Orders'!N:N=N144),
0),
"Open "&amp;C144
))</f>
        <v>Open A4574</v>
      </c>
      <c r="F144" s="14">
        <f>'[1]2026 Orders'!F145</f>
        <v>0</v>
      </c>
      <c r="G144" s="14" t="str">
        <f>'[1]2026 Orders'!G145</f>
        <v>PENAMAX-60-GE-FD</v>
      </c>
      <c r="H144" s="14" t="str" cm="1">
        <f t="array" ref="H144">IFERROR(_xlfn.TEXTJOIN("-",,INDEX(_xlfn.TEXTSPLIT(TableTake[[#This Row],[SKU]],"-"),{1,2})),"")</f>
        <v>PENAMAX-60</v>
      </c>
      <c r="I144" s="15" t="str">
        <f>IFERROR(_xlfn.TEXTAFTER(TableTake[[#This Row],[SKU]],"-",-1),"")</f>
        <v>FD</v>
      </c>
      <c r="J144" s="14">
        <f>'[1]2026 Orders'!H145</f>
        <v>100</v>
      </c>
      <c r="K144" t="str">
        <f>'[1]2026 Orders'!I145</f>
        <v>F88-25.1</v>
      </c>
      <c r="L144">
        <f>'[1]2026 Orders'!J145</f>
        <v>100</v>
      </c>
      <c r="N144" s="10" t="str">
        <f>'[1]2026 Orders'!L145</f>
        <v>Picked</v>
      </c>
      <c r="O144">
        <f>'[1]2026 Orders'!M145</f>
        <v>0</v>
      </c>
      <c r="P144" t="str">
        <f>'[1]2026 Orders'!N145</f>
        <v>Y</v>
      </c>
      <c r="Q144">
        <f>'[1]2026 Orders'!O145</f>
        <v>609788968702</v>
      </c>
      <c r="R144">
        <f>'[1]2026 Orders'!P145</f>
        <v>0</v>
      </c>
      <c r="S144">
        <f>'[1]2026 Orders'!Q145</f>
        <v>0</v>
      </c>
      <c r="T144">
        <f>'[1]2026 Orders'!R145</f>
        <v>0</v>
      </c>
      <c r="U144">
        <f>'[1]2026 Orders'!S145</f>
        <v>0</v>
      </c>
      <c r="V144">
        <f>'[1]2026 Orders'!T145</f>
        <v>0</v>
      </c>
      <c r="W144">
        <f>'[1]2026 Orders'!U145</f>
        <v>0</v>
      </c>
      <c r="X144">
        <f>'[1]2026 Orders'!V145</f>
        <v>0</v>
      </c>
      <c r="Y144">
        <f>'[1]2026 Orders'!W145</f>
        <v>0</v>
      </c>
      <c r="Z144">
        <f>'[1]2026 Orders'!X145</f>
        <v>0</v>
      </c>
      <c r="AC144" t="str">
        <f t="shared" si="4"/>
        <v>100/</v>
      </c>
      <c r="AD144" t="e">
        <f t="shared" si="5"/>
        <v>#VALUE!</v>
      </c>
    </row>
    <row r="145" spans="1:30" ht="33" hidden="1" customHeight="1" x14ac:dyDescent="0.3">
      <c r="A145">
        <f>'[1]2026 Orders'!A146</f>
        <v>46034</v>
      </c>
      <c r="B145" s="14" t="str">
        <f>'[1]2026 Orders'!B146</f>
        <v>UAE</v>
      </c>
      <c r="C145" s="14" t="str">
        <f>'[1]2026 Orders'!C146</f>
        <v>A4572</v>
      </c>
      <c r="D145" s="14">
        <f>'[1]2026 Orders'!D146</f>
        <v>0</v>
      </c>
      <c r="E145" s="17" t="e" cm="1">
        <f t="array" ref="E145">IF(C145=0,"",
HYPERLINK(
"#'2026 Orders'!C"&amp;
MATCH(1,
('2026 Orders'!C:C=C145)*
('2026 Orders'!G:G=G145)*
('2026 Orders'!N:N=N145),
0),
"Open "&amp;C145
))</f>
        <v>#N/A</v>
      </c>
      <c r="F145" s="14" t="str">
        <f>'[1]2026 Orders'!F146</f>
        <v>product added on 1/12/2025</v>
      </c>
      <c r="G145" s="14" t="str">
        <f>'[1]2026 Orders'!G146</f>
        <v>NRGMEN-45-CS-UA</v>
      </c>
      <c r="H145" s="14" t="str" cm="1">
        <f t="array" ref="H145">IFERROR(_xlfn.TEXTJOIN("-",,INDEX(_xlfn.TEXTSPLIT(TableTake[[#This Row],[SKU]],"-"),{1,2})),"")</f>
        <v>NRGMEN-45</v>
      </c>
      <c r="I145" s="15" t="str">
        <f>IFERROR(_xlfn.TEXTAFTER(TableTake[[#This Row],[SKU]],"-",-1),"")</f>
        <v>UA</v>
      </c>
      <c r="J145" s="14">
        <f>'[1]2026 Orders'!H146</f>
        <v>2000</v>
      </c>
      <c r="K145" t="str">
        <f>'[1]2026 Orders'!I146</f>
        <v>UA84-26.0</v>
      </c>
      <c r="L145">
        <f>'[1]2026 Orders'!J146</f>
        <v>0</v>
      </c>
      <c r="N145" s="10">
        <f>'[1]2026 Orders'!L146</f>
        <v>0</v>
      </c>
      <c r="O145" t="str">
        <f>'[1]2026 Orders'!M146</f>
        <v>from sales: MUST BE NEW LABEL UPLOADED , new batch from new formula. NEW LABEL UPLOADED 2/12 BY OVERSEAS</v>
      </c>
      <c r="P145" t="str">
        <f>'[1]2026 Orders'!N146</f>
        <v>Y</v>
      </c>
      <c r="Q145">
        <f>'[1]2026 Orders'!O146</f>
        <v>604777000000</v>
      </c>
      <c r="R145">
        <f>'[1]2026 Orders'!P146</f>
        <v>3000</v>
      </c>
      <c r="S145">
        <f>'[1]2026 Orders'!Q146</f>
        <v>5028</v>
      </c>
      <c r="T145" t="str">
        <f>'[1]2026 Orders'!R146</f>
        <v>TBD</v>
      </c>
      <c r="U145" t="str">
        <f>'[1]2026 Orders'!S146</f>
        <v>Pending approval to send to vendor</v>
      </c>
      <c r="V145">
        <f>'[1]2026 Orders'!T146</f>
        <v>0</v>
      </c>
      <c r="W145">
        <f>'[1]2026 Orders'!U146</f>
        <v>0</v>
      </c>
      <c r="X145">
        <f>'[1]2026 Orders'!V146</f>
        <v>0</v>
      </c>
      <c r="Y145">
        <f>'[1]2026 Orders'!W146</f>
        <v>0</v>
      </c>
      <c r="Z145">
        <f>'[1]2026 Orders'!X146</f>
        <v>0</v>
      </c>
      <c r="AC145" t="str">
        <f t="shared" si="4"/>
        <v>2000/</v>
      </c>
      <c r="AD145" t="e">
        <f t="shared" si="5"/>
        <v>#VALUE!</v>
      </c>
    </row>
    <row r="146" spans="1:30" ht="33" hidden="1" customHeight="1" x14ac:dyDescent="0.3">
      <c r="A146">
        <f>'[1]2026 Orders'!A147</f>
        <v>45975</v>
      </c>
      <c r="B146" s="14" t="str">
        <f>'[1]2026 Orders'!B147</f>
        <v>Ethiopia</v>
      </c>
      <c r="C146" s="14" t="str">
        <f>'[1]2026 Orders'!C147</f>
        <v>A4575</v>
      </c>
      <c r="D146" s="14">
        <f>'[1]2026 Orders'!D147</f>
        <v>0</v>
      </c>
      <c r="E146" s="17" t="str" cm="1">
        <f t="array" ref="E146">IF(C146=0,"",
HYPERLINK(
"#'2026 Orders'!C"&amp;
MATCH(1,
('2026 Orders'!C:C=C146)*
('2026 Orders'!G:G=G146)*
('2026 Orders'!N:N=N146),
0),
"Open "&amp;C146
))</f>
        <v>Open A4575</v>
      </c>
      <c r="F146" s="14" t="str">
        <f>'[1]2026 Orders'!F147</f>
        <v>5/11/2026: Allocating to Kenya A4699.</v>
      </c>
      <c r="G146" s="14" t="str">
        <f>'[1]2026 Orders'!G147</f>
        <v>FERTMX-90-RE</v>
      </c>
      <c r="H146" s="14" t="str" cm="1">
        <f t="array" ref="H146">IFERROR(_xlfn.TEXTJOIN("-",,INDEX(_xlfn.TEXTSPLIT(TableTake[[#This Row],[SKU]],"-"),{1,2})),"")</f>
        <v>FERTMX-90</v>
      </c>
      <c r="I146" s="15" t="str">
        <f>IFERROR(_xlfn.TEXTAFTER(TableTake[[#This Row],[SKU]],"-",-1),"")</f>
        <v>RE</v>
      </c>
      <c r="J146" s="14">
        <f>'[1]2026 Orders'!H147</f>
        <v>288</v>
      </c>
      <c r="K146" t="str">
        <f>'[1]2026 Orders'!I147</f>
        <v>R16-22.0</v>
      </c>
      <c r="L146">
        <f>'[1]2026 Orders'!J147</f>
        <v>288</v>
      </c>
      <c r="N146" s="10" t="str">
        <f>'[1]2026 Orders'!L147</f>
        <v>PO submitted</v>
      </c>
      <c r="O146">
        <f>'[1]2026 Orders'!M147</f>
        <v>0</v>
      </c>
      <c r="P146" t="str">
        <f>'[1]2026 Orders'!N147</f>
        <v>Y</v>
      </c>
      <c r="Q146">
        <f>'[1]2026 Orders'!O147</f>
        <v>609788968726</v>
      </c>
      <c r="R146">
        <f>'[1]2026 Orders'!P147</f>
        <v>5000</v>
      </c>
      <c r="S146">
        <f>'[1]2026 Orders'!Q147</f>
        <v>5041</v>
      </c>
      <c r="T146" t="str">
        <f>'[1]2026 Orders'!R147</f>
        <v>TBD</v>
      </c>
      <c r="U146" t="str">
        <f>'[1]2026 Orders'!S147</f>
        <v>Waiting for vendor confirmation.</v>
      </c>
      <c r="V146">
        <f>'[1]2026 Orders'!T147</f>
        <v>0</v>
      </c>
      <c r="W146">
        <f>'[1]2026 Orders'!U147</f>
        <v>0</v>
      </c>
      <c r="X146">
        <f>'[1]2026 Orders'!V147</f>
        <v>0</v>
      </c>
      <c r="Y146">
        <f>'[1]2026 Orders'!W147</f>
        <v>0</v>
      </c>
      <c r="Z146" t="str">
        <f>'[1]2026 Orders'!X147</f>
        <v>HOLD</v>
      </c>
      <c r="AC146" t="str">
        <f t="shared" si="4"/>
        <v>288/</v>
      </c>
      <c r="AD146" t="e">
        <f t="shared" si="5"/>
        <v>#VALUE!</v>
      </c>
    </row>
    <row r="147" spans="1:30" ht="33" hidden="1" customHeight="1" x14ac:dyDescent="0.3">
      <c r="A147">
        <f>'[1]2026 Orders'!A148</f>
        <v>45975</v>
      </c>
      <c r="B147" s="14" t="str">
        <f>'[1]2026 Orders'!B148</f>
        <v>Ethiopia</v>
      </c>
      <c r="C147" s="14" t="str">
        <f>'[1]2026 Orders'!C148</f>
        <v>A4575</v>
      </c>
      <c r="D147" s="14">
        <f>'[1]2026 Orders'!D148</f>
        <v>0</v>
      </c>
      <c r="E147" s="17" t="str" cm="1">
        <f t="array" ref="E147">IF(C147=0,"",
HYPERLINK(
"#'2026 Orders'!C"&amp;
MATCH(1,
('2026 Orders'!C:C=C147)*
('2026 Orders'!G:G=G147)*
('2026 Orders'!N:N=N147),
0),
"Open "&amp;C147
))</f>
        <v>Open A4575</v>
      </c>
      <c r="F147" s="14" t="str">
        <f>'[1]2026 Orders'!F148</f>
        <v>5/13/2026: Full qty (1008) allocating to Qatar A4693</v>
      </c>
      <c r="G147" s="14" t="str">
        <f>'[1]2026 Orders'!G148</f>
        <v>MFSPLS-120-FD</v>
      </c>
      <c r="H147" s="14" t="str" cm="1">
        <f t="array" ref="H147">IFERROR(_xlfn.TEXTJOIN("-",,INDEX(_xlfn.TEXTSPLIT(TableTake[[#This Row],[SKU]],"-"),{1,2})),"")</f>
        <v>MFSPLS-120</v>
      </c>
      <c r="I147" s="15" t="str">
        <f>IFERROR(_xlfn.TEXTAFTER(TableTake[[#This Row],[SKU]],"-",-1),"")</f>
        <v>FD</v>
      </c>
      <c r="J147" s="14">
        <f>'[1]2026 Orders'!H148</f>
        <v>1008</v>
      </c>
      <c r="K147" t="str">
        <f>'[1]2026 Orders'!I148</f>
        <v>F30-25.1</v>
      </c>
      <c r="L147">
        <f>'[1]2026 Orders'!J148</f>
        <v>1008</v>
      </c>
      <c r="N147" s="10" t="str">
        <f>'[1]2026 Orders'!L148</f>
        <v>PO submitted</v>
      </c>
      <c r="O147">
        <f>'[1]2026 Orders'!M148</f>
        <v>0</v>
      </c>
      <c r="P147" t="str">
        <f>'[1]2026 Orders'!N148</f>
        <v>NA</v>
      </c>
      <c r="Q147">
        <f>'[1]2026 Orders'!O148</f>
        <v>609788968344</v>
      </c>
      <c r="R147" t="str">
        <f>'[1]2026 Orders'!P148</f>
        <v>300000 bulk</v>
      </c>
      <c r="S147">
        <f>'[1]2026 Orders'!Q148</f>
        <v>5064</v>
      </c>
      <c r="T147" t="str">
        <f>'[1]2026 Orders'!R148</f>
        <v>TBD</v>
      </c>
      <c r="U147" t="str">
        <f>'[1]2026 Orders'!S148</f>
        <v>Bulk PO Submitted, Pending ETA confirmation</v>
      </c>
      <c r="V147">
        <f>'[1]2026 Orders'!T148</f>
        <v>0</v>
      </c>
      <c r="W147">
        <f>'[1]2026 Orders'!U148</f>
        <v>0</v>
      </c>
      <c r="X147">
        <f>'[1]2026 Orders'!V148</f>
        <v>0</v>
      </c>
      <c r="Y147">
        <f>'[1]2026 Orders'!W148</f>
        <v>0</v>
      </c>
      <c r="Z147">
        <f>'[1]2026 Orders'!X148</f>
        <v>0</v>
      </c>
      <c r="AC147" t="str">
        <f t="shared" si="4"/>
        <v>1008/</v>
      </c>
      <c r="AD147" t="e">
        <f t="shared" si="5"/>
        <v>#VALUE!</v>
      </c>
    </row>
    <row r="148" spans="1:30" ht="33" hidden="1" customHeight="1" x14ac:dyDescent="0.3">
      <c r="A148">
        <f>'[1]2026 Orders'!A149</f>
        <v>45975</v>
      </c>
      <c r="B148" s="14" t="str">
        <f>'[1]2026 Orders'!B149</f>
        <v>Ethiopia</v>
      </c>
      <c r="C148" s="14" t="str">
        <f>'[1]2026 Orders'!C149</f>
        <v>A4575</v>
      </c>
      <c r="D148" s="14">
        <f>'[1]2026 Orders'!D149</f>
        <v>0</v>
      </c>
      <c r="E148" s="17" t="str" cm="1">
        <f t="array" ref="E148">IF(C148=0,"",
HYPERLINK(
"#'2026 Orders'!C"&amp;
MATCH(1,
('2026 Orders'!C:C=C148)*
('2026 Orders'!G:G=G148)*
('2026 Orders'!N:N=N148),
0),
"Open "&amp;C148
))</f>
        <v>Open A4575</v>
      </c>
      <c r="F148" s="14">
        <f>'[1]2026 Orders'!F149</f>
        <v>0</v>
      </c>
      <c r="G148" s="14" t="str">
        <f>'[1]2026 Orders'!G149</f>
        <v>OVAMAX-120-FD</v>
      </c>
      <c r="H148" s="14" t="str" cm="1">
        <f t="array" ref="H148">IFERROR(_xlfn.TEXTJOIN("-",,INDEX(_xlfn.TEXTSPLIT(TableTake[[#This Row],[SKU]],"-"),{1,2})),"")</f>
        <v>OVAMAX-120</v>
      </c>
      <c r="I148" s="15" t="str">
        <f>IFERROR(_xlfn.TEXTAFTER(TableTake[[#This Row],[SKU]],"-",-1),"")</f>
        <v>FD</v>
      </c>
      <c r="J148" s="14">
        <f>'[1]2026 Orders'!H149</f>
        <v>288</v>
      </c>
      <c r="K148" t="str">
        <f>'[1]2026 Orders'!I149</f>
        <v>F41-25.0</v>
      </c>
      <c r="L148">
        <f>'[1]2026 Orders'!J149</f>
        <v>288</v>
      </c>
      <c r="N148" s="10" t="str">
        <f>'[1]2026 Orders'!L149</f>
        <v>Picked</v>
      </c>
      <c r="O148">
        <f>'[1]2026 Orders'!M149</f>
        <v>0</v>
      </c>
      <c r="P148" t="str">
        <f>'[1]2026 Orders'!N149</f>
        <v>NA</v>
      </c>
      <c r="Q148">
        <f>'[1]2026 Orders'!O149</f>
        <v>609788968399</v>
      </c>
      <c r="R148">
        <f>'[1]2026 Orders'!P149</f>
        <v>16000</v>
      </c>
      <c r="S148">
        <f>'[1]2026 Orders'!Q149</f>
        <v>4823</v>
      </c>
      <c r="T148" t="str">
        <f>'[1]2026 Orders'!R149</f>
        <v>complete</v>
      </c>
      <c r="U148">
        <f>'[1]2026 Orders'!S149</f>
        <v>0</v>
      </c>
      <c r="V148">
        <f>'[1]2026 Orders'!T149</f>
        <v>0</v>
      </c>
      <c r="W148">
        <f>'[1]2026 Orders'!U149</f>
        <v>0</v>
      </c>
      <c r="X148">
        <f>'[1]2026 Orders'!V149</f>
        <v>0</v>
      </c>
      <c r="Y148">
        <f>'[1]2026 Orders'!W149</f>
        <v>0</v>
      </c>
      <c r="Z148">
        <f>'[1]2026 Orders'!X149</f>
        <v>0</v>
      </c>
      <c r="AC148" t="str">
        <f t="shared" si="4"/>
        <v>288/</v>
      </c>
      <c r="AD148" t="e">
        <f t="shared" si="5"/>
        <v>#VALUE!</v>
      </c>
    </row>
    <row r="149" spans="1:30" ht="33" hidden="1" customHeight="1" x14ac:dyDescent="0.3">
      <c r="A149">
        <f>'[1]2026 Orders'!A150</f>
        <v>45975</v>
      </c>
      <c r="B149" s="14" t="str">
        <f>'[1]2026 Orders'!B150</f>
        <v>Ethiopia</v>
      </c>
      <c r="C149" s="14" t="str">
        <f>'[1]2026 Orders'!C150</f>
        <v>A4575</v>
      </c>
      <c r="D149" s="14">
        <f>'[1]2026 Orders'!D150</f>
        <v>0</v>
      </c>
      <c r="E149" s="17" t="str" cm="1">
        <f t="array" ref="E149">IF(C149=0,"",
HYPERLINK(
"#'2026 Orders'!C"&amp;
MATCH(1,
('2026 Orders'!C:C=C149)*
('2026 Orders'!G:G=G149)*
('2026 Orders'!N:N=N149),
0),
"Open "&amp;C149
))</f>
        <v>Open A4575</v>
      </c>
      <c r="F149" s="14" t="str">
        <f>'[1]2026 Orders'!F150</f>
        <v>5/12/2026: Allocating to Lebanon A4690</v>
      </c>
      <c r="G149" s="14" t="str">
        <f>'[1]2026 Orders'!G150</f>
        <v>WFSPLS-180-FD</v>
      </c>
      <c r="H149" s="14" t="str" cm="1">
        <f t="array" ref="H149">IFERROR(_xlfn.TEXTJOIN("-",,INDEX(_xlfn.TEXTSPLIT(TableTake[[#This Row],[SKU]],"-"),{1,2})),"")</f>
        <v>WFSPLS-180</v>
      </c>
      <c r="I149" s="15" t="str">
        <f>IFERROR(_xlfn.TEXTAFTER(TableTake[[#This Row],[SKU]],"-",-1),"")</f>
        <v>FD</v>
      </c>
      <c r="J149" s="14">
        <f>'[1]2026 Orders'!H150</f>
        <v>120</v>
      </c>
      <c r="K149" t="str">
        <f>'[1]2026 Orders'!I150</f>
        <v>F73-23.0</v>
      </c>
      <c r="L149">
        <f>'[1]2026 Orders'!J150</f>
        <v>120</v>
      </c>
      <c r="N149" s="10" t="str">
        <f>'[1]2026 Orders'!L150</f>
        <v>PO Drafted</v>
      </c>
      <c r="O149">
        <f>'[1]2026 Orders'!M150</f>
        <v>0</v>
      </c>
      <c r="P149" t="str">
        <f>'[1]2026 Orders'!N150</f>
        <v>NA</v>
      </c>
      <c r="Q149">
        <f>'[1]2026 Orders'!O150</f>
        <v>609788968351</v>
      </c>
      <c r="R149">
        <f>'[1]2026 Orders'!P150</f>
        <v>5000</v>
      </c>
      <c r="S149">
        <f>'[1]2026 Orders'!Q150</f>
        <v>5043</v>
      </c>
      <c r="T149" t="str">
        <f>'[1]2026 Orders'!R150</f>
        <v>TBD</v>
      </c>
      <c r="U149" t="str">
        <f>'[1]2026 Orders'!S150</f>
        <v>Pending approval to send to vendor</v>
      </c>
      <c r="V149">
        <f>'[1]2026 Orders'!T150</f>
        <v>0</v>
      </c>
      <c r="W149">
        <f>'[1]2026 Orders'!U150</f>
        <v>0</v>
      </c>
      <c r="X149">
        <f>'[1]2026 Orders'!V150</f>
        <v>0</v>
      </c>
      <c r="Y149">
        <f>'[1]2026 Orders'!W150</f>
        <v>0</v>
      </c>
      <c r="Z149">
        <f>'[1]2026 Orders'!X150</f>
        <v>0</v>
      </c>
      <c r="AC149" t="str">
        <f t="shared" si="4"/>
        <v>120/</v>
      </c>
      <c r="AD149" t="e">
        <f t="shared" si="5"/>
        <v>#VALUE!</v>
      </c>
    </row>
    <row r="150" spans="1:30" ht="33" hidden="1" customHeight="1" x14ac:dyDescent="0.3">
      <c r="A150">
        <f>'[1]2026 Orders'!A151</f>
        <v>45975</v>
      </c>
      <c r="B150" s="14" t="str">
        <f>'[1]2026 Orders'!B151</f>
        <v>Ethiopia</v>
      </c>
      <c r="C150" s="14" t="str">
        <f>'[1]2026 Orders'!C151</f>
        <v>A4575</v>
      </c>
      <c r="D150" s="14">
        <f>'[1]2026 Orders'!D151</f>
        <v>0</v>
      </c>
      <c r="E150" s="17" t="str" cm="1">
        <f t="array" ref="E150">IF(C150=0,"",
HYPERLINK(
"#'2026 Orders'!C"&amp;
MATCH(1,
('2026 Orders'!C:C=C150)*
('2026 Orders'!G:G=G150)*
('2026 Orders'!N:N=N150),
0),
"Open "&amp;C150
))</f>
        <v>Open A4575</v>
      </c>
      <c r="F150" s="14" t="str">
        <f>'[1]2026 Orders'!F151</f>
        <v>12/4/2025: Allocated 201 packs to A4519</v>
      </c>
      <c r="G150" s="14" t="str">
        <f>'[1]2026 Orders'!G151</f>
        <v>QWELL4-30-SG-FD</v>
      </c>
      <c r="H150" s="14" t="str" cm="1">
        <f t="array" ref="H150">IFERROR(_xlfn.TEXTJOIN("-",,INDEX(_xlfn.TEXTSPLIT(TableTake[[#This Row],[SKU]],"-"),{1,2})),"")</f>
        <v>QWELL4-30</v>
      </c>
      <c r="I150" s="15" t="str">
        <f>IFERROR(_xlfn.TEXTAFTER(TableTake[[#This Row],[SKU]],"-",-1),"")</f>
        <v>FD</v>
      </c>
      <c r="J150" s="14">
        <f>'[1]2026 Orders'!H151</f>
        <v>87</v>
      </c>
      <c r="K150" t="str">
        <f>'[1]2026 Orders'!I151</f>
        <v>F58-25.3</v>
      </c>
      <c r="L150">
        <f>'[1]2026 Orders'!J151</f>
        <v>87</v>
      </c>
      <c r="N150" s="10" t="str">
        <f>'[1]2026 Orders'!L151</f>
        <v>Picked</v>
      </c>
      <c r="O150">
        <f>'[1]2026 Orders'!M151</f>
        <v>0</v>
      </c>
      <c r="P150" t="str">
        <f>'[1]2026 Orders'!N151</f>
        <v>NA</v>
      </c>
      <c r="Q150" t="str">
        <f>'[1]2026 Orders'!O151</f>
        <v>609788968214</v>
      </c>
      <c r="R150">
        <f>'[1]2026 Orders'!P151</f>
        <v>0</v>
      </c>
      <c r="S150">
        <f>'[1]2026 Orders'!Q151</f>
        <v>0</v>
      </c>
      <c r="T150">
        <f>'[1]2026 Orders'!R151</f>
        <v>0</v>
      </c>
      <c r="U150">
        <f>'[1]2026 Orders'!S151</f>
        <v>0</v>
      </c>
      <c r="V150">
        <f>'[1]2026 Orders'!T151</f>
        <v>0</v>
      </c>
      <c r="W150">
        <f>'[1]2026 Orders'!U151</f>
        <v>0</v>
      </c>
      <c r="X150">
        <f>'[1]2026 Orders'!V151</f>
        <v>0</v>
      </c>
      <c r="Y150">
        <f>'[1]2026 Orders'!W151</f>
        <v>0</v>
      </c>
      <c r="Z150">
        <f>'[1]2026 Orders'!X151</f>
        <v>0</v>
      </c>
      <c r="AC150" t="str">
        <f t="shared" si="4"/>
        <v>87/</v>
      </c>
      <c r="AD150" t="e">
        <f t="shared" si="5"/>
        <v>#VALUE!</v>
      </c>
    </row>
    <row r="151" spans="1:30" ht="33" hidden="1" customHeight="1" x14ac:dyDescent="0.3">
      <c r="A151">
        <f>'[1]2026 Orders'!A152</f>
        <v>45902</v>
      </c>
      <c r="B151" s="14" t="str">
        <f>'[1]2026 Orders'!B152</f>
        <v>Ethiopia</v>
      </c>
      <c r="C151" s="14" t="str">
        <f>'[1]2026 Orders'!C152</f>
        <v>A4575</v>
      </c>
      <c r="D151" s="14">
        <f>'[1]2026 Orders'!D152</f>
        <v>0</v>
      </c>
      <c r="E151" s="17" t="str" cm="1">
        <f t="array" ref="E151">IF(C151=0,"",
HYPERLINK(
"#'2026 Orders'!C"&amp;
MATCH(1,
('2026 Orders'!C:C=C151)*
('2026 Orders'!G:G=G151)*
('2026 Orders'!N:N=N151),
0),
"Open "&amp;C151
))</f>
        <v>Open A4575</v>
      </c>
      <c r="F151" s="14" t="str">
        <f>'[1]2026 Orders'!F152</f>
        <v xml:space="preserve">9/3/2025: Changed from SG to VE  12/4/2025: Moved from A4519 due to allocation </v>
      </c>
      <c r="G151" s="14" t="str">
        <f>'[1]2026 Orders'!G152</f>
        <v>QWELL4-30-VE-FD</v>
      </c>
      <c r="H151" s="14" t="str" cm="1">
        <f t="array" ref="H151">IFERROR(_xlfn.TEXTJOIN("-",,INDEX(_xlfn.TEXTSPLIT(TableTake[[#This Row],[SKU]],"-"),{1,2})),"")</f>
        <v>QWELL4-30</v>
      </c>
      <c r="I151" s="15" t="str">
        <f>IFERROR(_xlfn.TEXTAFTER(TableTake[[#This Row],[SKU]],"-",-1),"")</f>
        <v>FD</v>
      </c>
      <c r="J151" s="14">
        <f>'[1]2026 Orders'!H152</f>
        <v>200</v>
      </c>
      <c r="K151" t="str">
        <f>'[1]2026 Orders'!I152</f>
        <v>F99-23.0</v>
      </c>
      <c r="L151">
        <f>'[1]2026 Orders'!J152</f>
        <v>0</v>
      </c>
      <c r="N151" s="10" t="str">
        <f>'[1]2026 Orders'!L152</f>
        <v>Production complete</v>
      </c>
      <c r="O151">
        <f>'[1]2026 Orders'!M152</f>
        <v>0</v>
      </c>
      <c r="P151" t="str">
        <f>'[1]2026 Orders'!N152</f>
        <v>NA</v>
      </c>
      <c r="Q151" t="str">
        <f>'[1]2026 Orders'!O152</f>
        <v>810131192 532</v>
      </c>
      <c r="R151">
        <f>'[1]2026 Orders'!P152</f>
        <v>4000</v>
      </c>
      <c r="S151">
        <f>'[1]2026 Orders'!Q152</f>
        <v>4808</v>
      </c>
      <c r="T151" t="str">
        <f>'[1]2026 Orders'!R152</f>
        <v>Complete</v>
      </c>
      <c r="U151" t="str">
        <f>'[1]2026 Orders'!S152</f>
        <v>Awaiting vendor packing list</v>
      </c>
      <c r="V151">
        <f>'[1]2026 Orders'!T152</f>
        <v>0</v>
      </c>
      <c r="W151">
        <f>'[1]2026 Orders'!U152</f>
        <v>0</v>
      </c>
      <c r="X151">
        <f>'[1]2026 Orders'!V152</f>
        <v>0</v>
      </c>
      <c r="Y151">
        <f>'[1]2026 Orders'!W152</f>
        <v>0</v>
      </c>
      <c r="Z151">
        <f>'[1]2026 Orders'!X152</f>
        <v>0</v>
      </c>
      <c r="AC151" t="str">
        <f t="shared" si="4"/>
        <v>200/</v>
      </c>
      <c r="AD151" t="e">
        <f t="shared" si="5"/>
        <v>#VALUE!</v>
      </c>
    </row>
    <row r="152" spans="1:30" ht="33" hidden="1" customHeight="1" x14ac:dyDescent="0.3">
      <c r="A152">
        <f>'[1]2026 Orders'!A153</f>
        <v>45975</v>
      </c>
      <c r="B152" s="14" t="str">
        <f>'[1]2026 Orders'!B153</f>
        <v>Ethiopia</v>
      </c>
      <c r="C152" s="14" t="str">
        <f>'[1]2026 Orders'!C153</f>
        <v>A4575</v>
      </c>
      <c r="D152" s="14">
        <f>'[1]2026 Orders'!D153</f>
        <v>0</v>
      </c>
      <c r="E152" s="17" t="str" cm="1">
        <f t="array" ref="E152">IF(C152=0,"",
HYPERLINK(
"#'2026 Orders'!C"&amp;
MATCH(1,
('2026 Orders'!C:C=C152)*
('2026 Orders'!G:G=G152)*
('2026 Orders'!N:N=N152),
0),
"Open "&amp;C152
))</f>
        <v>Open A4575</v>
      </c>
      <c r="F152" s="14" t="str">
        <f>'[1]2026 Orders'!F153</f>
        <v>5/12/2026: Allocating to Lebanon A4690</v>
      </c>
      <c r="G152" s="14" t="str">
        <f>'[1]2026 Orders'!G153</f>
        <v>PRECON-180-FD</v>
      </c>
      <c r="H152" s="14" t="str" cm="1">
        <f t="array" ref="H152">IFERROR(_xlfn.TEXTJOIN("-",,INDEX(_xlfn.TEXTSPLIT(TableTake[[#This Row],[SKU]],"-"),{1,2})),"")</f>
        <v>PRECON-180</v>
      </c>
      <c r="I152" s="15" t="str">
        <f>IFERROR(_xlfn.TEXTAFTER(TableTake[[#This Row],[SKU]],"-",-1),"")</f>
        <v>FD</v>
      </c>
      <c r="J152" s="14">
        <f>'[1]2026 Orders'!H153</f>
        <v>165</v>
      </c>
      <c r="K152" t="str">
        <f>'[1]2026 Orders'!I153</f>
        <v>F55-22.2</v>
      </c>
      <c r="L152">
        <f>'[1]2026 Orders'!J153</f>
        <v>165</v>
      </c>
      <c r="N152" s="10" t="str">
        <f>'[1]2026 Orders'!L153</f>
        <v>In Production</v>
      </c>
      <c r="O152">
        <f>'[1]2026 Orders'!M153</f>
        <v>0</v>
      </c>
      <c r="P152" t="str">
        <f>'[1]2026 Orders'!N153</f>
        <v>NA</v>
      </c>
      <c r="Q152">
        <f>'[1]2026 Orders'!O153</f>
        <v>609788968375</v>
      </c>
      <c r="R152">
        <f>'[1]2026 Orders'!P153</f>
        <v>5000</v>
      </c>
      <c r="S152">
        <f>'[1]2026 Orders'!Q153</f>
        <v>5060</v>
      </c>
      <c r="T152">
        <f>'[1]2026 Orders'!R153</f>
        <v>46205</v>
      </c>
      <c r="U152">
        <f>'[1]2026 Orders'!S153</f>
        <v>0</v>
      </c>
      <c r="V152">
        <f>'[1]2026 Orders'!T153</f>
        <v>0</v>
      </c>
      <c r="W152">
        <f>'[1]2026 Orders'!U153</f>
        <v>0</v>
      </c>
      <c r="X152">
        <f>'[1]2026 Orders'!V153</f>
        <v>0</v>
      </c>
      <c r="Y152">
        <f>'[1]2026 Orders'!W153</f>
        <v>0</v>
      </c>
      <c r="Z152">
        <f>'[1]2026 Orders'!X153</f>
        <v>0</v>
      </c>
      <c r="AC152" t="str">
        <f t="shared" si="4"/>
        <v>165/</v>
      </c>
      <c r="AD152" t="e">
        <f t="shared" si="5"/>
        <v>#VALUE!</v>
      </c>
    </row>
    <row r="153" spans="1:30" ht="33" hidden="1" customHeight="1" x14ac:dyDescent="0.3">
      <c r="A153">
        <f>'[1]2026 Orders'!A154</f>
        <v>45975</v>
      </c>
      <c r="B153" s="14" t="str">
        <f>'[1]2026 Orders'!B154</f>
        <v>Ethiopia</v>
      </c>
      <c r="C153" s="14" t="str">
        <f>'[1]2026 Orders'!C154</f>
        <v>A4575</v>
      </c>
      <c r="D153" s="14">
        <f>'[1]2026 Orders'!D154</f>
        <v>0</v>
      </c>
      <c r="E153" s="17" t="str" cm="1">
        <f t="array" ref="E153">IF(C153=0,"",
HYPERLINK(
"#'2026 Orders'!C"&amp;
MATCH(1,
('2026 Orders'!C:C=C153)*
('2026 Orders'!G:G=G153)*
('2026 Orders'!N:N=N153),
0),
"Open "&amp;C153
))</f>
        <v>Open A4575</v>
      </c>
      <c r="F153" s="14">
        <f>'[1]2026 Orders'!F154</f>
        <v>0</v>
      </c>
      <c r="G153" s="14" t="str">
        <f>'[1]2026 Orders'!G154</f>
        <v>PRECON-180-FD</v>
      </c>
      <c r="H153" s="14" t="str" cm="1">
        <f t="array" ref="H153">IFERROR(_xlfn.TEXTJOIN("-",,INDEX(_xlfn.TEXTSPLIT(TableTake[[#This Row],[SKU]],"-"),{1,2})),"")</f>
        <v>PRECON-180</v>
      </c>
      <c r="I153" s="15" t="str">
        <f>IFERROR(_xlfn.TEXTAFTER(TableTake[[#This Row],[SKU]],"-",-1),"")</f>
        <v>FD</v>
      </c>
      <c r="J153" s="14">
        <f>'[1]2026 Orders'!H154</f>
        <v>37</v>
      </c>
      <c r="K153" t="str">
        <f>'[1]2026 Orders'!I154</f>
        <v>F55-22.2</v>
      </c>
      <c r="L153">
        <f>'[1]2026 Orders'!J154</f>
        <v>37</v>
      </c>
      <c r="N153" s="10" t="str">
        <f>'[1]2026 Orders'!L154</f>
        <v>Picked</v>
      </c>
      <c r="O153">
        <f>'[1]2026 Orders'!M154</f>
        <v>0</v>
      </c>
      <c r="P153" t="str">
        <f>'[1]2026 Orders'!N154</f>
        <v>NA</v>
      </c>
      <c r="Q153">
        <f>'[1]2026 Orders'!O154</f>
        <v>609788968375</v>
      </c>
      <c r="R153">
        <f>'[1]2026 Orders'!P154</f>
        <v>5000</v>
      </c>
      <c r="S153">
        <f>'[1]2026 Orders'!Q154</f>
        <v>4849</v>
      </c>
      <c r="T153">
        <f>'[1]2026 Orders'!R154</f>
        <v>0</v>
      </c>
      <c r="U153">
        <f>'[1]2026 Orders'!S154</f>
        <v>0</v>
      </c>
      <c r="V153">
        <f>'[1]2026 Orders'!T154</f>
        <v>0</v>
      </c>
      <c r="W153">
        <f>'[1]2026 Orders'!U154</f>
        <v>0</v>
      </c>
      <c r="X153">
        <f>'[1]2026 Orders'!V154</f>
        <v>0</v>
      </c>
      <c r="Y153">
        <f>'[1]2026 Orders'!W154</f>
        <v>0</v>
      </c>
      <c r="Z153">
        <f>'[1]2026 Orders'!X154</f>
        <v>0</v>
      </c>
      <c r="AC153" t="str">
        <f t="shared" si="4"/>
        <v>37/</v>
      </c>
      <c r="AD153" t="e">
        <f t="shared" si="5"/>
        <v>#VALUE!</v>
      </c>
    </row>
    <row r="154" spans="1:30" ht="33" hidden="1" customHeight="1" x14ac:dyDescent="0.3">
      <c r="A154">
        <f>'[1]2026 Orders'!A155</f>
        <v>45975</v>
      </c>
      <c r="B154" s="14" t="str">
        <f>'[1]2026 Orders'!B155</f>
        <v>Ethiopia</v>
      </c>
      <c r="C154" s="14" t="str">
        <f>'[1]2026 Orders'!C155</f>
        <v>A4575</v>
      </c>
      <c r="D154" s="14">
        <f>'[1]2026 Orders'!D155</f>
        <v>0</v>
      </c>
      <c r="E154" s="17" t="str" cm="1">
        <f t="array" ref="E154">IF(C154=0,"",
HYPERLINK(
"#'2026 Orders'!C"&amp;
MATCH(1,
('2026 Orders'!C:C=C154)*
('2026 Orders'!G:G=G154)*
('2026 Orders'!N:N=N154),
0),
"Open "&amp;C154
))</f>
        <v>Open A4575</v>
      </c>
      <c r="F154" s="14">
        <f>'[1]2026 Orders'!F155</f>
        <v>0</v>
      </c>
      <c r="G154" s="14" t="str">
        <f>'[1]2026 Orders'!G155</f>
        <v>PENAMAX-60-GE-FD</v>
      </c>
      <c r="H154" s="14" t="str" cm="1">
        <f t="array" ref="H154">IFERROR(_xlfn.TEXTJOIN("-",,INDEX(_xlfn.TEXTSPLIT(TableTake[[#This Row],[SKU]],"-"),{1,2})),"")</f>
        <v>PENAMAX-60</v>
      </c>
      <c r="I154" s="15" t="str">
        <f>IFERROR(_xlfn.TEXTAFTER(TableTake[[#This Row],[SKU]],"-",-1),"")</f>
        <v>FD</v>
      </c>
      <c r="J154" s="14">
        <f>'[1]2026 Orders'!H155</f>
        <v>202</v>
      </c>
      <c r="K154" t="str">
        <f>'[1]2026 Orders'!I155</f>
        <v>F88-25.1</v>
      </c>
      <c r="L154">
        <f>'[1]2026 Orders'!J155</f>
        <v>202</v>
      </c>
      <c r="N154" s="10" t="str">
        <f>'[1]2026 Orders'!L155</f>
        <v>Picked</v>
      </c>
      <c r="O154">
        <f>'[1]2026 Orders'!M155</f>
        <v>0</v>
      </c>
      <c r="P154" t="str">
        <f>'[1]2026 Orders'!N155</f>
        <v>Y</v>
      </c>
      <c r="Q154">
        <f>'[1]2026 Orders'!O155</f>
        <v>609788968702</v>
      </c>
      <c r="R154">
        <f>'[1]2026 Orders'!P155</f>
        <v>0</v>
      </c>
      <c r="S154">
        <f>'[1]2026 Orders'!Q155</f>
        <v>0</v>
      </c>
      <c r="T154">
        <f>'[1]2026 Orders'!R155</f>
        <v>0</v>
      </c>
      <c r="U154">
        <f>'[1]2026 Orders'!S155</f>
        <v>0</v>
      </c>
      <c r="V154">
        <f>'[1]2026 Orders'!T155</f>
        <v>0</v>
      </c>
      <c r="W154">
        <f>'[1]2026 Orders'!U155</f>
        <v>0</v>
      </c>
      <c r="X154">
        <f>'[1]2026 Orders'!V155</f>
        <v>0</v>
      </c>
      <c r="Y154">
        <f>'[1]2026 Orders'!W155</f>
        <v>0</v>
      </c>
      <c r="Z154">
        <f>'[1]2026 Orders'!X155</f>
        <v>0</v>
      </c>
      <c r="AC154" t="str">
        <f t="shared" si="4"/>
        <v>202/</v>
      </c>
      <c r="AD154" t="e">
        <f t="shared" si="5"/>
        <v>#VALUE!</v>
      </c>
    </row>
    <row r="155" spans="1:30" ht="33" hidden="1" customHeight="1" x14ac:dyDescent="0.3">
      <c r="A155">
        <f>'[1]2026 Orders'!A156</f>
        <v>45975</v>
      </c>
      <c r="B155" s="14" t="str">
        <f>'[1]2026 Orders'!B156</f>
        <v>Uganda</v>
      </c>
      <c r="C155" s="14" t="str">
        <f>'[1]2026 Orders'!C156</f>
        <v>A4574</v>
      </c>
      <c r="D155" s="14">
        <f>'[1]2026 Orders'!D156</f>
        <v>0</v>
      </c>
      <c r="E155" s="17" t="e" cm="1">
        <f t="array" ref="E155">IF(C155=0,"",
HYPERLINK(
"#'2026 Orders'!C"&amp;
MATCH(1,
('2026 Orders'!C:C=C155)*
('2026 Orders'!G:G=G155)*
('2026 Orders'!N:N=N155),
0),
"Open "&amp;C155
))</f>
        <v>#N/A</v>
      </c>
      <c r="F155" s="14" t="str">
        <f>'[1]2026 Orders'!F156</f>
        <v>4/9/2026: 200 packs of Ovamax allocated to Bahrain A4685</v>
      </c>
      <c r="G155" s="14" t="str">
        <f>'[1]2026 Orders'!G156</f>
        <v>OVAMAX-120-FD</v>
      </c>
      <c r="H155" s="14" t="str" cm="1">
        <f t="array" ref="H155">IFERROR(_xlfn.TEXTJOIN("-",,INDEX(_xlfn.TEXTSPLIT(TableTake[[#This Row],[SKU]],"-"),{1,2})),"")</f>
        <v>OVAMAX-120</v>
      </c>
      <c r="I155" s="15" t="str">
        <f>IFERROR(_xlfn.TEXTAFTER(TableTake[[#This Row],[SKU]],"-",-1),"")</f>
        <v>FD</v>
      </c>
      <c r="J155" s="14">
        <f>'[1]2026 Orders'!H156</f>
        <v>200</v>
      </c>
      <c r="K155" t="str">
        <f>'[1]2026 Orders'!I156</f>
        <v>F41-25.0</v>
      </c>
      <c r="L155">
        <f>'[1]2026 Orders'!J156</f>
        <v>200</v>
      </c>
      <c r="N155" s="10">
        <f>'[1]2026 Orders'!L156</f>
        <v>0</v>
      </c>
      <c r="O155">
        <f>'[1]2026 Orders'!M156</f>
        <v>0</v>
      </c>
      <c r="P155" t="str">
        <f>'[1]2026 Orders'!N156</f>
        <v>NA</v>
      </c>
      <c r="Q155">
        <f>'[1]2026 Orders'!O156</f>
        <v>810131199586</v>
      </c>
      <c r="R155">
        <f>'[1]2026 Orders'!P156</f>
        <v>4100</v>
      </c>
      <c r="S155">
        <f>'[1]2026 Orders'!Q156</f>
        <v>4949</v>
      </c>
      <c r="T155" t="str">
        <f>'[1]2026 Orders'!R156</f>
        <v>Complete</v>
      </c>
      <c r="U155">
        <f>'[1]2026 Orders'!S156</f>
        <v>0</v>
      </c>
      <c r="V155">
        <f>'[1]2026 Orders'!T156</f>
        <v>0</v>
      </c>
      <c r="W155">
        <f>'[1]2026 Orders'!U156</f>
        <v>0</v>
      </c>
      <c r="X155">
        <f>'[1]2026 Orders'!V156</f>
        <v>0</v>
      </c>
      <c r="Y155">
        <f>'[1]2026 Orders'!W156</f>
        <v>0</v>
      </c>
      <c r="Z155">
        <f>'[1]2026 Orders'!X156</f>
        <v>0</v>
      </c>
      <c r="AC155" t="str">
        <f t="shared" si="4"/>
        <v>200/</v>
      </c>
      <c r="AD155" t="e">
        <f t="shared" si="5"/>
        <v>#VALUE!</v>
      </c>
    </row>
    <row r="156" spans="1:30" ht="33" hidden="1" customHeight="1" x14ac:dyDescent="0.3">
      <c r="A156">
        <f>'[1]2026 Orders'!A157</f>
        <v>46057</v>
      </c>
      <c r="B156" s="14" t="str">
        <f>'[1]2026 Orders'!B157</f>
        <v>Egypt</v>
      </c>
      <c r="C156" s="14" t="str">
        <f>'[1]2026 Orders'!C157</f>
        <v>A4634</v>
      </c>
      <c r="D156" s="14">
        <f>'[1]2026 Orders'!D157</f>
        <v>0</v>
      </c>
      <c r="E156" s="17" t="str" cm="1">
        <f t="array" ref="E156">IF(C156=0,"",
HYPERLINK(
"#'2026 Orders'!C"&amp;
MATCH(1,
('2026 Orders'!C:C=C156)*
('2026 Orders'!G:G=G156)*
('2026 Orders'!N:N=N156),
0),
"Open "&amp;C156
))</f>
        <v>Open A4634</v>
      </c>
      <c r="F156" s="14" t="str">
        <f>'[1]2026 Orders'!F157</f>
        <v>2/25/2025: Moved from Egypt A4642. Backorder for excess quantities.                                     5/11/2026: UPC updated.</v>
      </c>
      <c r="G156" s="14" t="str">
        <f>'[1]2026 Orders'!G157</f>
        <v>POLYSIT-90-CS-EG</v>
      </c>
      <c r="H156" s="14" t="str" cm="1">
        <f t="array" ref="H156">IFERROR(_xlfn.TEXTJOIN("-",,INDEX(_xlfn.TEXTSPLIT(TableTake[[#This Row],[SKU]],"-"),{1,2})),"")</f>
        <v>POLYSIT-90</v>
      </c>
      <c r="I156" s="15" t="str">
        <f>IFERROR(_xlfn.TEXTAFTER(TableTake[[#This Row],[SKU]],"-",-1),"")</f>
        <v>EG</v>
      </c>
      <c r="J156" s="14">
        <f>'[1]2026 Orders'!H157</f>
        <v>1050</v>
      </c>
      <c r="K156" t="str">
        <f>'[1]2026 Orders'!I157</f>
        <v>EG53-26</v>
      </c>
      <c r="L156">
        <f>'[1]2026 Orders'!J157</f>
        <v>0</v>
      </c>
      <c r="N156" s="10" t="str">
        <f>'[1]2026 Orders'!L157</f>
        <v>In Production</v>
      </c>
      <c r="O156" t="str">
        <f>'[1]2026 Orders'!M157</f>
        <v>2/26/26 may require their new amended label size delay till 4/3</v>
      </c>
      <c r="P156" t="str">
        <f>'[1]2026 Orders'!N157</f>
        <v>NA</v>
      </c>
      <c r="Q156">
        <f>'[1]2026 Orders'!O157</f>
        <v>604776740414</v>
      </c>
      <c r="R156">
        <f>'[1]2026 Orders'!P157</f>
        <v>5000</v>
      </c>
      <c r="S156">
        <f>'[1]2026 Orders'!Q157</f>
        <v>5034</v>
      </c>
      <c r="T156">
        <f>'[1]2026 Orders'!R157</f>
        <v>46204</v>
      </c>
      <c r="U156">
        <f>'[1]2026 Orders'!S157</f>
        <v>0</v>
      </c>
      <c r="V156">
        <f>'[1]2026 Orders'!T157</f>
        <v>0</v>
      </c>
      <c r="W156">
        <f>'[1]2026 Orders'!U157</f>
        <v>0</v>
      </c>
      <c r="X156">
        <f>'[1]2026 Orders'!V157</f>
        <v>0</v>
      </c>
      <c r="Y156">
        <f>'[1]2026 Orders'!W157</f>
        <v>0</v>
      </c>
      <c r="Z156" t="str">
        <f>'[1]2026 Orders'!X157</f>
        <v>Approved</v>
      </c>
      <c r="AC156" t="str">
        <f t="shared" si="4"/>
        <v>1050/</v>
      </c>
      <c r="AD156" t="e">
        <f t="shared" si="5"/>
        <v>#VALUE!</v>
      </c>
    </row>
    <row r="157" spans="1:30" ht="33" hidden="1" customHeight="1" x14ac:dyDescent="0.3">
      <c r="A157">
        <f>'[1]2026 Orders'!A158</f>
        <v>45975</v>
      </c>
      <c r="B157" s="14" t="str">
        <f>'[1]2026 Orders'!B158</f>
        <v>Uganda</v>
      </c>
      <c r="C157" s="14" t="str">
        <f>'[1]2026 Orders'!C158</f>
        <v>A4574</v>
      </c>
      <c r="D157" s="14">
        <f>'[1]2026 Orders'!D158</f>
        <v>0</v>
      </c>
      <c r="E157" s="17" t="e" cm="1">
        <f t="array" ref="E157">IF(C157=0,"",
HYPERLINK(
"#'2026 Orders'!C"&amp;
MATCH(1,
('2026 Orders'!C:C=C157)*
('2026 Orders'!G:G=G157)*
('2026 Orders'!N:N=N157),
0),
"Open "&amp;C157
))</f>
        <v>#N/A</v>
      </c>
      <c r="F157" s="14">
        <f>'[1]2026 Orders'!F158</f>
        <v>0</v>
      </c>
      <c r="G157" s="14" t="str">
        <f>'[1]2026 Orders'!G158</f>
        <v>QWELL4-30-SG-FD</v>
      </c>
      <c r="H157" s="14" t="str" cm="1">
        <f t="array" ref="H157">IFERROR(_xlfn.TEXTJOIN("-",,INDEX(_xlfn.TEXTSPLIT(TableTake[[#This Row],[SKU]],"-"),{1,2})),"")</f>
        <v>QWELL4-30</v>
      </c>
      <c r="I157" s="15" t="str">
        <f>IFERROR(_xlfn.TEXTAFTER(TableTake[[#This Row],[SKU]],"-",-1),"")</f>
        <v>FD</v>
      </c>
      <c r="J157" s="14">
        <f>'[1]2026 Orders'!H158</f>
        <v>60</v>
      </c>
      <c r="K157" t="str">
        <f>'[1]2026 Orders'!I158</f>
        <v>F58-25.3</v>
      </c>
      <c r="L157">
        <f>'[1]2026 Orders'!J158</f>
        <v>60</v>
      </c>
      <c r="N157" s="10">
        <f>'[1]2026 Orders'!L158</f>
        <v>0</v>
      </c>
      <c r="O157">
        <f>'[1]2026 Orders'!M158</f>
        <v>0</v>
      </c>
      <c r="P157" t="str">
        <f>'[1]2026 Orders'!N158</f>
        <v>NA</v>
      </c>
      <c r="Q157" t="str">
        <f>'[1]2026 Orders'!O158</f>
        <v>609788968214</v>
      </c>
      <c r="R157">
        <f>'[1]2026 Orders'!P158</f>
        <v>0</v>
      </c>
      <c r="S157">
        <f>'[1]2026 Orders'!Q158</f>
        <v>0</v>
      </c>
      <c r="T157">
        <f>'[1]2026 Orders'!R158</f>
        <v>0</v>
      </c>
      <c r="U157">
        <f>'[1]2026 Orders'!S158</f>
        <v>0</v>
      </c>
      <c r="V157">
        <f>'[1]2026 Orders'!T158</f>
        <v>0</v>
      </c>
      <c r="W157">
        <f>'[1]2026 Orders'!U158</f>
        <v>0</v>
      </c>
      <c r="X157">
        <f>'[1]2026 Orders'!V158</f>
        <v>0</v>
      </c>
      <c r="Y157">
        <f>'[1]2026 Orders'!W158</f>
        <v>0</v>
      </c>
      <c r="Z157">
        <f>'[1]2026 Orders'!X158</f>
        <v>0</v>
      </c>
      <c r="AC157" t="str">
        <f t="shared" si="4"/>
        <v>60/</v>
      </c>
      <c r="AD157" t="e">
        <f t="shared" si="5"/>
        <v>#VALUE!</v>
      </c>
    </row>
    <row r="158" spans="1:30" ht="33" hidden="1" customHeight="1" x14ac:dyDescent="0.3">
      <c r="A158">
        <f>'[1]2026 Orders'!A159</f>
        <v>45981</v>
      </c>
      <c r="B158" s="14" t="str">
        <f>'[1]2026 Orders'!B159</f>
        <v>Chad</v>
      </c>
      <c r="C158" s="14" t="str">
        <f>'[1]2026 Orders'!C159</f>
        <v>A4640</v>
      </c>
      <c r="D158" s="14">
        <f>'[1]2026 Orders'!D159</f>
        <v>0</v>
      </c>
      <c r="E158" s="17" t="str" cm="1">
        <f t="array" ref="E158">IF(C158=0,"",
HYPERLINK(
"#'2026 Orders'!C"&amp;
MATCH(1,
('2026 Orders'!C:C=C158)*
('2026 Orders'!G:G=G158)*
('2026 Orders'!N:N=N158),
0),
"Open "&amp;C158
))</f>
        <v>Open A4640</v>
      </c>
      <c r="F158" s="14" t="str">
        <f>'[1]2026 Orders'!F159</f>
        <v>3/13/2026: qty increased from 1500 -&gt; 1800 (300 packs moved from Chad A4597)</v>
      </c>
      <c r="G158" s="14" t="str">
        <f>'[1]2026 Orders'!G159</f>
        <v>PEDIAIR-50-FD</v>
      </c>
      <c r="H158" s="14" t="str" cm="1">
        <f t="array" ref="H158">IFERROR(_xlfn.TEXTJOIN("-",,INDEX(_xlfn.TEXTSPLIT(TableTake[[#This Row],[SKU]],"-"),{1,2})),"")</f>
        <v>PEDIAIR-50</v>
      </c>
      <c r="I158" s="15" t="str">
        <f>IFERROR(_xlfn.TEXTAFTER(TableTake[[#This Row],[SKU]],"-",-1),"")</f>
        <v>FD</v>
      </c>
      <c r="J158" s="14">
        <f>'[1]2026 Orders'!H159</f>
        <v>1800</v>
      </c>
      <c r="K158" t="str">
        <f>'[1]2026 Orders'!I159</f>
        <v>F48-26.0</v>
      </c>
      <c r="L158">
        <f>'[1]2026 Orders'!J159</f>
        <v>0</v>
      </c>
      <c r="N158" s="10" t="str">
        <f>'[1]2026 Orders'!L159</f>
        <v>PO submitted</v>
      </c>
      <c r="O158">
        <f>'[1]2026 Orders'!M159</f>
        <v>0</v>
      </c>
      <c r="P158" t="str">
        <f>'[1]2026 Orders'!N159</f>
        <v>Y</v>
      </c>
      <c r="Q158">
        <f>'[1]2026 Orders'!O159</f>
        <v>810131199654</v>
      </c>
      <c r="R158">
        <f>'[1]2026 Orders'!P159</f>
        <v>5000</v>
      </c>
      <c r="S158">
        <f>'[1]2026 Orders'!Q159</f>
        <v>4977</v>
      </c>
      <c r="T158" t="str">
        <f>'[1]2026 Orders'!R159</f>
        <v>TBD</v>
      </c>
      <c r="U158" t="str">
        <f>'[1]2026 Orders'!S159</f>
        <v>Waiting for IFC to start production.</v>
      </c>
      <c r="V158">
        <f>'[1]2026 Orders'!T159</f>
        <v>0</v>
      </c>
      <c r="W158">
        <f>'[1]2026 Orders'!U159</f>
        <v>0</v>
      </c>
      <c r="X158">
        <f>'[1]2026 Orders'!V159</f>
        <v>0</v>
      </c>
      <c r="Y158">
        <f>'[1]2026 Orders'!W159</f>
        <v>0</v>
      </c>
      <c r="Z158" t="str">
        <f>'[1]2026 Orders'!X159</f>
        <v>HOLD</v>
      </c>
      <c r="AC158" t="str">
        <f t="shared" si="4"/>
        <v>1800/</v>
      </c>
      <c r="AD158" t="e">
        <f t="shared" si="5"/>
        <v>#VALUE!</v>
      </c>
    </row>
    <row r="159" spans="1:30" ht="33" hidden="1" customHeight="1" x14ac:dyDescent="0.3">
      <c r="A159">
        <f>'[1]2026 Orders'!A160</f>
        <v>45981</v>
      </c>
      <c r="B159" s="14" t="str">
        <f>'[1]2026 Orders'!B160</f>
        <v>Chad</v>
      </c>
      <c r="C159" s="14" t="str">
        <f>'[1]2026 Orders'!C160</f>
        <v>A4640</v>
      </c>
      <c r="D159" s="14">
        <f>'[1]2026 Orders'!D160</f>
        <v>0</v>
      </c>
      <c r="E159" s="17" t="str" cm="1">
        <f t="array" ref="E159">IF(C159=0,"",
HYPERLINK(
"#'2026 Orders'!C"&amp;
MATCH(1,
('2026 Orders'!C:C=C159)*
('2026 Orders'!G:G=G159)*
('2026 Orders'!N:N=N159),
0),
"Open "&amp;C159
))</f>
        <v>Open A4640</v>
      </c>
      <c r="F159" s="14">
        <f>'[1]2026 Orders'!F160</f>
        <v>0</v>
      </c>
      <c r="G159" s="14" t="str">
        <f>'[1]2026 Orders'!G160</f>
        <v>PEDIAZI-50-FD</v>
      </c>
      <c r="H159" s="14" t="str" cm="1">
        <f t="array" ref="H159">IFERROR(_xlfn.TEXTJOIN("-",,INDEX(_xlfn.TEXTSPLIT(TableTake[[#This Row],[SKU]],"-"),{1,2})),"")</f>
        <v>PEDIAZI-50</v>
      </c>
      <c r="I159" s="15" t="str">
        <f>IFERROR(_xlfn.TEXTAFTER(TableTake[[#This Row],[SKU]],"-",-1),"")</f>
        <v>FD</v>
      </c>
      <c r="J159" s="14">
        <f>'[1]2026 Orders'!H160</f>
        <v>1500</v>
      </c>
      <c r="K159" t="str">
        <f>'[1]2026 Orders'!I160</f>
        <v>F50-26.0</v>
      </c>
      <c r="L159">
        <f>'[1]2026 Orders'!J160</f>
        <v>0</v>
      </c>
      <c r="N159" s="10" t="str">
        <f>'[1]2026 Orders'!L160</f>
        <v>PO submitted</v>
      </c>
      <c r="O159">
        <f>'[1]2026 Orders'!M160</f>
        <v>0</v>
      </c>
      <c r="P159" t="str">
        <f>'[1]2026 Orders'!N160</f>
        <v>Y</v>
      </c>
      <c r="Q159">
        <f>'[1]2026 Orders'!O160</f>
        <v>810131199678</v>
      </c>
      <c r="R159">
        <f>'[1]2026 Orders'!P160</f>
        <v>5000</v>
      </c>
      <c r="S159">
        <f>'[1]2026 Orders'!Q160</f>
        <v>4978</v>
      </c>
      <c r="T159" t="str">
        <f>'[1]2026 Orders'!R160</f>
        <v>TBD</v>
      </c>
      <c r="U159" t="str">
        <f>'[1]2026 Orders'!S160</f>
        <v>Waiting for IFC to start production.</v>
      </c>
      <c r="V159">
        <f>'[1]2026 Orders'!T160</f>
        <v>0</v>
      </c>
      <c r="W159">
        <f>'[1]2026 Orders'!U160</f>
        <v>0</v>
      </c>
      <c r="X159">
        <f>'[1]2026 Orders'!V160</f>
        <v>0</v>
      </c>
      <c r="Y159">
        <f>'[1]2026 Orders'!W160</f>
        <v>0</v>
      </c>
      <c r="Z159">
        <f>'[1]2026 Orders'!X160</f>
        <v>0</v>
      </c>
      <c r="AC159" t="str">
        <f t="shared" si="4"/>
        <v>1500/</v>
      </c>
      <c r="AD159" t="e">
        <f t="shared" si="5"/>
        <v>#VALUE!</v>
      </c>
    </row>
    <row r="160" spans="1:30" ht="33" hidden="1" customHeight="1" x14ac:dyDescent="0.3">
      <c r="A160">
        <f>'[1]2026 Orders'!A161</f>
        <v>45981</v>
      </c>
      <c r="B160" s="14" t="str">
        <f>'[1]2026 Orders'!B161</f>
        <v>Chad</v>
      </c>
      <c r="C160" s="14" t="str">
        <f>'[1]2026 Orders'!C161</f>
        <v>A4640</v>
      </c>
      <c r="D160" s="14">
        <f>'[1]2026 Orders'!D161</f>
        <v>0</v>
      </c>
      <c r="E160" s="17" t="str" cm="1">
        <f t="array" ref="E160">IF(C160=0,"",
HYPERLINK(
"#'2026 Orders'!C"&amp;
MATCH(1,
('2026 Orders'!C:C=C160)*
('2026 Orders'!G:G=G160)*
('2026 Orders'!N:N=N160),
0),
"Open "&amp;C160
))</f>
        <v>Open A4640</v>
      </c>
      <c r="F160" s="14" t="str">
        <f>'[1]2026 Orders'!F161</f>
        <v>11/25/2025: Qty updated</v>
      </c>
      <c r="G160" s="14" t="str">
        <f>'[1]2026 Orders'!G161</f>
        <v>PEDIAD4-50-FD</v>
      </c>
      <c r="H160" s="14" t="str" cm="1">
        <f t="array" ref="H160">IFERROR(_xlfn.TEXTJOIN("-",,INDEX(_xlfn.TEXTSPLIT(TableTake[[#This Row],[SKU]],"-"),{1,2})),"")</f>
        <v>PEDIAD4-50</v>
      </c>
      <c r="I160" s="15" t="str">
        <f>IFERROR(_xlfn.TEXTAFTER(TableTake[[#This Row],[SKU]],"-",-1),"")</f>
        <v>FD</v>
      </c>
      <c r="J160" s="14">
        <f>'[1]2026 Orders'!H161</f>
        <v>500</v>
      </c>
      <c r="K160" t="str">
        <f>'[1]2026 Orders'!I161</f>
        <v>F45-26.0</v>
      </c>
      <c r="L160">
        <f>'[1]2026 Orders'!J161</f>
        <v>0</v>
      </c>
      <c r="N160" s="10" t="str">
        <f>'[1]2026 Orders'!L161</f>
        <v>PO submitted</v>
      </c>
      <c r="O160">
        <f>'[1]2026 Orders'!M161</f>
        <v>0</v>
      </c>
      <c r="P160" t="str">
        <f>'[1]2026 Orders'!N161</f>
        <v>Y</v>
      </c>
      <c r="Q160">
        <f>'[1]2026 Orders'!O161</f>
        <v>810131199623</v>
      </c>
      <c r="R160">
        <f>'[1]2026 Orders'!P161</f>
        <v>5000</v>
      </c>
      <c r="S160">
        <f>'[1]2026 Orders'!Q161</f>
        <v>4979</v>
      </c>
      <c r="T160" t="str">
        <f>'[1]2026 Orders'!R161</f>
        <v>TBD</v>
      </c>
      <c r="U160" t="str">
        <f>'[1]2026 Orders'!S161</f>
        <v>Waiting for IFC to start production.</v>
      </c>
      <c r="V160">
        <f>'[1]2026 Orders'!T161</f>
        <v>0</v>
      </c>
      <c r="W160">
        <f>'[1]2026 Orders'!U161</f>
        <v>0</v>
      </c>
      <c r="X160">
        <f>'[1]2026 Orders'!V161</f>
        <v>0</v>
      </c>
      <c r="Y160">
        <f>'[1]2026 Orders'!W161</f>
        <v>0</v>
      </c>
      <c r="Z160">
        <f>'[1]2026 Orders'!X161</f>
        <v>0</v>
      </c>
      <c r="AC160" t="str">
        <f t="shared" si="4"/>
        <v>500/</v>
      </c>
      <c r="AD160" t="e">
        <f t="shared" si="5"/>
        <v>#VALUE!</v>
      </c>
    </row>
    <row r="161" spans="1:30" ht="33" hidden="1" customHeight="1" x14ac:dyDescent="0.3">
      <c r="A161">
        <f>'[1]2026 Orders'!A162</f>
        <v>45981</v>
      </c>
      <c r="B161" s="14" t="str">
        <f>'[1]2026 Orders'!B162</f>
        <v>Chad</v>
      </c>
      <c r="C161" s="14" t="str">
        <f>'[1]2026 Orders'!C162</f>
        <v>A4640</v>
      </c>
      <c r="D161" s="14">
        <f>'[1]2026 Orders'!D162</f>
        <v>0</v>
      </c>
      <c r="E161" s="17" t="str" cm="1">
        <f t="array" ref="E161">IF(C161=0,"",
HYPERLINK(
"#'2026 Orders'!C"&amp;
MATCH(1,
('2026 Orders'!C:C=C161)*
('2026 Orders'!G:G=G161)*
('2026 Orders'!N:N=N161),
0),
"Open "&amp;C161
))</f>
        <v>Open A4640</v>
      </c>
      <c r="F161" s="14">
        <f>'[1]2026 Orders'!F162</f>
        <v>0</v>
      </c>
      <c r="G161" s="14" t="str">
        <f>'[1]2026 Orders'!G162</f>
        <v>PEDIACM-50-FD</v>
      </c>
      <c r="H161" s="14" t="str" cm="1">
        <f t="array" ref="H161">IFERROR(_xlfn.TEXTJOIN("-",,INDEX(_xlfn.TEXTSPLIT(TableTake[[#This Row],[SKU]],"-"),{1,2})),"")</f>
        <v>PEDIACM-50</v>
      </c>
      <c r="I161" s="15" t="str">
        <f>IFERROR(_xlfn.TEXTAFTER(TableTake[[#This Row],[SKU]],"-",-1),"")</f>
        <v>FD</v>
      </c>
      <c r="J161" s="14">
        <f>'[1]2026 Orders'!H162</f>
        <v>1500</v>
      </c>
      <c r="K161" t="str">
        <f>'[1]2026 Orders'!I162</f>
        <v>F44-26.0</v>
      </c>
      <c r="L161">
        <f>'[1]2026 Orders'!J162</f>
        <v>0</v>
      </c>
      <c r="N161" s="10" t="str">
        <f>'[1]2026 Orders'!L162</f>
        <v>PO submitted</v>
      </c>
      <c r="O161">
        <f>'[1]2026 Orders'!M162</f>
        <v>0</v>
      </c>
      <c r="P161" t="str">
        <f>'[1]2026 Orders'!N162</f>
        <v>Y</v>
      </c>
      <c r="Q161">
        <f>'[1]2026 Orders'!O162</f>
        <v>810131199616</v>
      </c>
      <c r="R161">
        <f>'[1]2026 Orders'!P162</f>
        <v>5000</v>
      </c>
      <c r="S161">
        <f>'[1]2026 Orders'!Q162</f>
        <v>4980</v>
      </c>
      <c r="T161" t="str">
        <f>'[1]2026 Orders'!R162</f>
        <v>TBD</v>
      </c>
      <c r="U161" t="str">
        <f>'[1]2026 Orders'!S162</f>
        <v>Waiting for IFC to start production.</v>
      </c>
      <c r="V161">
        <f>'[1]2026 Orders'!T162</f>
        <v>0</v>
      </c>
      <c r="W161">
        <f>'[1]2026 Orders'!U162</f>
        <v>0</v>
      </c>
      <c r="X161">
        <f>'[1]2026 Orders'!V162</f>
        <v>0</v>
      </c>
      <c r="Y161">
        <f>'[1]2026 Orders'!W162</f>
        <v>0</v>
      </c>
      <c r="Z161">
        <f>'[1]2026 Orders'!X162</f>
        <v>0</v>
      </c>
      <c r="AC161" t="str">
        <f t="shared" si="4"/>
        <v>1500/</v>
      </c>
      <c r="AD161" t="e">
        <f t="shared" si="5"/>
        <v>#VALUE!</v>
      </c>
    </row>
    <row r="162" spans="1:30" ht="33" hidden="1" customHeight="1" x14ac:dyDescent="0.3">
      <c r="A162">
        <f>'[1]2026 Orders'!A163</f>
        <v>45975</v>
      </c>
      <c r="B162" s="14" t="str">
        <f>'[1]2026 Orders'!B163</f>
        <v>Ethiopia</v>
      </c>
      <c r="C162" s="14" t="str">
        <f>'[1]2026 Orders'!C163</f>
        <v>A4575</v>
      </c>
      <c r="D162" s="14">
        <f>'[1]2026 Orders'!D163</f>
        <v>0</v>
      </c>
      <c r="E162" s="17" t="e" cm="1">
        <f t="array" ref="E162">IF(C162=0,"",
HYPERLINK(
"#'2026 Orders'!C"&amp;
MATCH(1,
('2026 Orders'!C:C=C162)*
('2026 Orders'!G:G=G162)*
('2026 Orders'!N:N=N162),
0),
"Open "&amp;C162
))</f>
        <v>#N/A</v>
      </c>
      <c r="F162" s="14" t="str">
        <f>'[1]2026 Orders'!F163</f>
        <v>5/13/2026: Full qty (1008) allocating to Qatar A4693</v>
      </c>
      <c r="G162" s="14" t="str">
        <f>'[1]2026 Orders'!G163</f>
        <v>MFSPLS-120-FD</v>
      </c>
      <c r="H162" s="14" t="str" cm="1">
        <f t="array" ref="H162">IFERROR(_xlfn.TEXTJOIN("-",,INDEX(_xlfn.TEXTSPLIT(TableTake[[#This Row],[SKU]],"-"),{1,2})),"")</f>
        <v>MFSPLS-120</v>
      </c>
      <c r="I162" s="15" t="str">
        <f>IFERROR(_xlfn.TEXTAFTER(TableTake[[#This Row],[SKU]],"-",-1),"")</f>
        <v>FD</v>
      </c>
      <c r="J162" s="14">
        <f>'[1]2026 Orders'!H163</f>
        <v>1008</v>
      </c>
      <c r="K162" t="str">
        <f>'[1]2026 Orders'!I163</f>
        <v>F30-25.1</v>
      </c>
      <c r="L162">
        <f>'[1]2026 Orders'!J163</f>
        <v>1008</v>
      </c>
      <c r="N162" s="10">
        <f>'[1]2026 Orders'!L163</f>
        <v>0</v>
      </c>
      <c r="O162">
        <f>'[1]2026 Orders'!M163</f>
        <v>0</v>
      </c>
      <c r="P162" t="str">
        <f>'[1]2026 Orders'!N163</f>
        <v>NA</v>
      </c>
      <c r="Q162">
        <f>'[1]2026 Orders'!O163</f>
        <v>609788968344</v>
      </c>
      <c r="R162">
        <f>'[1]2026 Orders'!P163</f>
        <v>7000</v>
      </c>
      <c r="S162">
        <f>'[1]2026 Orders'!Q163</f>
        <v>4935</v>
      </c>
      <c r="T162" t="str">
        <f>'[1]2026 Orders'!R163</f>
        <v>complete</v>
      </c>
      <c r="U162">
        <f>'[1]2026 Orders'!S163</f>
        <v>0</v>
      </c>
      <c r="V162">
        <f>'[1]2026 Orders'!T163</f>
        <v>0</v>
      </c>
      <c r="W162">
        <f>'[1]2026 Orders'!U163</f>
        <v>0</v>
      </c>
      <c r="X162">
        <f>'[1]2026 Orders'!V163</f>
        <v>0</v>
      </c>
      <c r="Y162">
        <f>'[1]2026 Orders'!W163</f>
        <v>0</v>
      </c>
      <c r="Z162">
        <f>'[1]2026 Orders'!X163</f>
        <v>0</v>
      </c>
      <c r="AC162" t="str">
        <f t="shared" si="4"/>
        <v>1008/</v>
      </c>
      <c r="AD162" t="e">
        <f t="shared" si="5"/>
        <v>#VALUE!</v>
      </c>
    </row>
    <row r="163" spans="1:30" ht="33" hidden="1" customHeight="1" x14ac:dyDescent="0.3">
      <c r="A163">
        <f>'[1]2026 Orders'!A164</f>
        <v>45981</v>
      </c>
      <c r="B163" s="14" t="str">
        <f>'[1]2026 Orders'!B164</f>
        <v>South Sudan</v>
      </c>
      <c r="C163" s="14" t="str">
        <f>'[1]2026 Orders'!C164</f>
        <v>A4586</v>
      </c>
      <c r="D163" s="14">
        <f>'[1]2026 Orders'!D164</f>
        <v>0</v>
      </c>
      <c r="E163" s="17" t="str" cm="1">
        <f t="array" ref="E163">IF(C163=0,"",
HYPERLINK(
"#'2026 Orders'!C"&amp;
MATCH(1,
('2026 Orders'!C:C=C163)*
('2026 Orders'!G:G=G163)*
('2026 Orders'!N:N=N163),
0),
"Open "&amp;C163
))</f>
        <v>Open A4586</v>
      </c>
      <c r="F163" s="14">
        <f>'[1]2026 Orders'!F164</f>
        <v>0</v>
      </c>
      <c r="G163" s="14" t="str">
        <f>'[1]2026 Orders'!G164</f>
        <v>MFSPLS-120-FD</v>
      </c>
      <c r="H163" s="14" t="str" cm="1">
        <f t="array" ref="H163">IFERROR(_xlfn.TEXTJOIN("-",,INDEX(_xlfn.TEXTSPLIT(TableTake[[#This Row],[SKU]],"-"),{1,2})),"")</f>
        <v>MFSPLS-120</v>
      </c>
      <c r="I163" s="15" t="str">
        <f>IFERROR(_xlfn.TEXTAFTER(TableTake[[#This Row],[SKU]],"-",-1),"")</f>
        <v>FD</v>
      </c>
      <c r="J163" s="14">
        <f>'[1]2026 Orders'!H164</f>
        <v>300</v>
      </c>
      <c r="K163" t="str">
        <f>'[1]2026 Orders'!I164</f>
        <v>F30-25.1</v>
      </c>
      <c r="L163">
        <f>'[1]2026 Orders'!J164</f>
        <v>0</v>
      </c>
      <c r="N163" s="10" t="str">
        <f>'[1]2026 Orders'!L164</f>
        <v>D/W Sent</v>
      </c>
      <c r="O163">
        <f>'[1]2026 Orders'!M164</f>
        <v>46143</v>
      </c>
      <c r="P163" t="str">
        <f>'[1]2026 Orders'!N164</f>
        <v>NA</v>
      </c>
      <c r="Q163">
        <f>'[1]2026 Orders'!O164</f>
        <v>609788968344</v>
      </c>
      <c r="R163">
        <f>'[1]2026 Orders'!P164</f>
        <v>7000</v>
      </c>
      <c r="S163">
        <f>'[1]2026 Orders'!Q164</f>
        <v>4935</v>
      </c>
      <c r="T163" t="str">
        <f>'[1]2026 Orders'!R164</f>
        <v>complete</v>
      </c>
      <c r="U163">
        <f>'[1]2026 Orders'!S164</f>
        <v>0</v>
      </c>
      <c r="V163">
        <f>'[1]2026 Orders'!T164</f>
        <v>0</v>
      </c>
      <c r="W163">
        <f>'[1]2026 Orders'!U164</f>
        <v>0</v>
      </c>
      <c r="X163">
        <f>'[1]2026 Orders'!V164</f>
        <v>0</v>
      </c>
      <c r="Y163">
        <f>'[1]2026 Orders'!W164</f>
        <v>0</v>
      </c>
      <c r="Z163" t="str">
        <f>'[1]2026 Orders'!X164</f>
        <v>Approved</v>
      </c>
      <c r="AC163" t="str">
        <f t="shared" si="4"/>
        <v>300/</v>
      </c>
      <c r="AD163" t="e">
        <f t="shared" si="5"/>
        <v>#VALUE!</v>
      </c>
    </row>
    <row r="164" spans="1:30" ht="33" hidden="1" customHeight="1" x14ac:dyDescent="0.3">
      <c r="A164">
        <f>'[1]2026 Orders'!A165</f>
        <v>45981</v>
      </c>
      <c r="B164" s="14" t="str">
        <f>'[1]2026 Orders'!B165</f>
        <v>South Sudan</v>
      </c>
      <c r="C164" s="14" t="str">
        <f>'[1]2026 Orders'!C165</f>
        <v>A4586</v>
      </c>
      <c r="D164" s="14">
        <f>'[1]2026 Orders'!D165</f>
        <v>0</v>
      </c>
      <c r="E164" s="17" t="str" cm="1">
        <f t="array" ref="E164">IF(C164=0,"",
HYPERLINK(
"#'2026 Orders'!C"&amp;
MATCH(1,
('2026 Orders'!C:C=C164)*
('2026 Orders'!G:G=G164)*
('2026 Orders'!N:N=N164),
0),
"Open "&amp;C164
))</f>
        <v>Open A4586</v>
      </c>
      <c r="F164" s="14">
        <f>'[1]2026 Orders'!F165</f>
        <v>0</v>
      </c>
      <c r="G164" s="14" t="str">
        <f>'[1]2026 Orders'!G165</f>
        <v>OVAMAX-120-FD</v>
      </c>
      <c r="H164" s="14" t="str" cm="1">
        <f t="array" ref="H164">IFERROR(_xlfn.TEXTJOIN("-",,INDEX(_xlfn.TEXTSPLIT(TableTake[[#This Row],[SKU]],"-"),{1,2})),"")</f>
        <v>OVAMAX-120</v>
      </c>
      <c r="I164" s="15" t="str">
        <f>IFERROR(_xlfn.TEXTAFTER(TableTake[[#This Row],[SKU]],"-",-1),"")</f>
        <v>FD</v>
      </c>
      <c r="J164" s="14">
        <f>'[1]2026 Orders'!H165</f>
        <v>300</v>
      </c>
      <c r="K164" t="str">
        <f>'[1]2026 Orders'!I165</f>
        <v>F41-25.0</v>
      </c>
      <c r="L164">
        <f>'[1]2026 Orders'!J165</f>
        <v>300</v>
      </c>
      <c r="N164" s="10" t="str">
        <f>'[1]2026 Orders'!L165</f>
        <v>D/W Sent</v>
      </c>
      <c r="O164">
        <f>'[1]2026 Orders'!M165</f>
        <v>0</v>
      </c>
      <c r="P164" t="str">
        <f>'[1]2026 Orders'!N165</f>
        <v>NA</v>
      </c>
      <c r="Q164">
        <f>'[1]2026 Orders'!O165</f>
        <v>810131199586</v>
      </c>
      <c r="R164">
        <f>'[1]2026 Orders'!P165</f>
        <v>4100</v>
      </c>
      <c r="S164">
        <f>'[1]2026 Orders'!Q165</f>
        <v>4823</v>
      </c>
      <c r="T164">
        <f>'[1]2026 Orders'!R165</f>
        <v>0</v>
      </c>
      <c r="U164">
        <f>'[1]2026 Orders'!S165</f>
        <v>0</v>
      </c>
      <c r="V164">
        <f>'[1]2026 Orders'!T165</f>
        <v>0</v>
      </c>
      <c r="W164">
        <f>'[1]2026 Orders'!U165</f>
        <v>0</v>
      </c>
      <c r="X164">
        <f>'[1]2026 Orders'!V165</f>
        <v>46062</v>
      </c>
      <c r="Y164">
        <f>'[1]2026 Orders'!W165</f>
        <v>0</v>
      </c>
      <c r="Z164">
        <f>'[1]2026 Orders'!X165</f>
        <v>0</v>
      </c>
      <c r="AC164" t="str">
        <f t="shared" si="4"/>
        <v>300/</v>
      </c>
      <c r="AD164" t="e">
        <f t="shared" si="5"/>
        <v>#VALUE!</v>
      </c>
    </row>
    <row r="165" spans="1:30" ht="33" hidden="1" customHeight="1" x14ac:dyDescent="0.3">
      <c r="A165">
        <f>'[1]2026 Orders'!A166</f>
        <v>45981</v>
      </c>
      <c r="B165" s="14" t="str">
        <f>'[1]2026 Orders'!B166</f>
        <v>South Sudan</v>
      </c>
      <c r="C165" s="14" t="str">
        <f>'[1]2026 Orders'!C166</f>
        <v>A4586</v>
      </c>
      <c r="D165" s="14">
        <f>'[1]2026 Orders'!D166</f>
        <v>0</v>
      </c>
      <c r="E165" s="17" t="str" cm="1">
        <f t="array" ref="E165">IF(C165=0,"",
HYPERLINK(
"#'2026 Orders'!C"&amp;
MATCH(1,
('2026 Orders'!C:C=C165)*
('2026 Orders'!G:G=G165)*
('2026 Orders'!N:N=N165),
0),
"Open "&amp;C165
))</f>
        <v>Open A4586</v>
      </c>
      <c r="F165" s="14" t="str">
        <f>'[1]2026 Orders'!F166</f>
        <v>2/11/2026: IFC updated to Y following IFC scrub.</v>
      </c>
      <c r="G165" s="14" t="str">
        <f>'[1]2026 Orders'!G166</f>
        <v>FERTMX-90-RE</v>
      </c>
      <c r="H165" s="14" t="str" cm="1">
        <f t="array" ref="H165">IFERROR(_xlfn.TEXTJOIN("-",,INDEX(_xlfn.TEXTSPLIT(TableTake[[#This Row],[SKU]],"-"),{1,2})),"")</f>
        <v>FERTMX-90</v>
      </c>
      <c r="I165" s="15" t="str">
        <f>IFERROR(_xlfn.TEXTAFTER(TableTake[[#This Row],[SKU]],"-",-1),"")</f>
        <v>RE</v>
      </c>
      <c r="J165" s="14">
        <f>'[1]2026 Orders'!H166</f>
        <v>300</v>
      </c>
      <c r="K165" t="str">
        <f>'[1]2026 Orders'!I166</f>
        <v>R16-22</v>
      </c>
      <c r="L165">
        <f>'[1]2026 Orders'!J166</f>
        <v>300</v>
      </c>
      <c r="N165" s="10" t="str">
        <f>'[1]2026 Orders'!L166</f>
        <v>D/W Sent</v>
      </c>
      <c r="O165">
        <f>'[1]2026 Orders'!M166</f>
        <v>0</v>
      </c>
      <c r="P165" t="str">
        <f>'[1]2026 Orders'!N166</f>
        <v>Y</v>
      </c>
      <c r="Q165">
        <f>'[1]2026 Orders'!O166</f>
        <v>609788968726</v>
      </c>
      <c r="R165">
        <f>'[1]2026 Orders'!P166</f>
        <v>5000</v>
      </c>
      <c r="S165">
        <f>'[1]2026 Orders'!Q166</f>
        <v>4834</v>
      </c>
      <c r="T165" t="str">
        <f>'[1]2026 Orders'!R166</f>
        <v>complete</v>
      </c>
      <c r="U165">
        <f>'[1]2026 Orders'!S166</f>
        <v>0</v>
      </c>
      <c r="V165">
        <f>'[1]2026 Orders'!T166</f>
        <v>0</v>
      </c>
      <c r="W165">
        <f>'[1]2026 Orders'!U166</f>
        <v>0</v>
      </c>
      <c r="X165">
        <f>'[1]2026 Orders'!V166</f>
        <v>0</v>
      </c>
      <c r="Y165">
        <f>'[1]2026 Orders'!W166</f>
        <v>0</v>
      </c>
      <c r="Z165">
        <f>'[1]2026 Orders'!X166</f>
        <v>0</v>
      </c>
      <c r="AC165" t="str">
        <f t="shared" si="4"/>
        <v>300/</v>
      </c>
      <c r="AD165" t="e">
        <f t="shared" si="5"/>
        <v>#VALUE!</v>
      </c>
    </row>
    <row r="166" spans="1:30" ht="33" hidden="1" customHeight="1" x14ac:dyDescent="0.3">
      <c r="A166">
        <f>'[1]2026 Orders'!A167</f>
        <v>45981</v>
      </c>
      <c r="B166" s="14" t="str">
        <f>'[1]2026 Orders'!B167</f>
        <v>South Sudan</v>
      </c>
      <c r="C166" s="14" t="str">
        <f>'[1]2026 Orders'!C167</f>
        <v>A4586</v>
      </c>
      <c r="D166" s="14">
        <f>'[1]2026 Orders'!D167</f>
        <v>0</v>
      </c>
      <c r="E166" s="17" t="str" cm="1">
        <f t="array" ref="E166">IF(C166=0,"",
HYPERLINK(
"#'2026 Orders'!C"&amp;
MATCH(1,
('2026 Orders'!C:C=C166)*
('2026 Orders'!G:G=G166)*
('2026 Orders'!N:N=N166),
0),
"Open "&amp;C166
))</f>
        <v>Open A4586</v>
      </c>
      <c r="F166" s="14">
        <f>'[1]2026 Orders'!F167</f>
        <v>0</v>
      </c>
      <c r="G166" s="14" t="str">
        <f>'[1]2026 Orders'!G167</f>
        <v>PRECON-180-FD</v>
      </c>
      <c r="H166" s="14" t="str" cm="1">
        <f t="array" ref="H166">IFERROR(_xlfn.TEXTJOIN("-",,INDEX(_xlfn.TEXTSPLIT(TableTake[[#This Row],[SKU]],"-"),{1,2})),"")</f>
        <v>PRECON-180</v>
      </c>
      <c r="I166" s="15" t="str">
        <f>IFERROR(_xlfn.TEXTAFTER(TableTake[[#This Row],[SKU]],"-",-1),"")</f>
        <v>FD</v>
      </c>
      <c r="J166" s="14">
        <f>'[1]2026 Orders'!H167</f>
        <v>100</v>
      </c>
      <c r="K166" t="str">
        <f>'[1]2026 Orders'!I167</f>
        <v>F55-22.2</v>
      </c>
      <c r="L166">
        <f>'[1]2026 Orders'!J167</f>
        <v>100</v>
      </c>
      <c r="N166" s="10" t="str">
        <f>'[1]2026 Orders'!L167</f>
        <v>D/W Sent</v>
      </c>
      <c r="O166">
        <f>'[1]2026 Orders'!M167</f>
        <v>0</v>
      </c>
      <c r="P166" t="str">
        <f>'[1]2026 Orders'!N167</f>
        <v>NA</v>
      </c>
      <c r="Q166">
        <f>'[1]2026 Orders'!O167</f>
        <v>609788968375</v>
      </c>
      <c r="R166">
        <f>'[1]2026 Orders'!P167</f>
        <v>5000</v>
      </c>
      <c r="S166">
        <f>'[1]2026 Orders'!Q167</f>
        <v>4849</v>
      </c>
      <c r="T166" t="str">
        <f>'[1]2026 Orders'!R167</f>
        <v>complete</v>
      </c>
      <c r="U166">
        <f>'[1]2026 Orders'!S167</f>
        <v>0</v>
      </c>
      <c r="V166">
        <f>'[1]2026 Orders'!T167</f>
        <v>0</v>
      </c>
      <c r="W166">
        <f>'[1]2026 Orders'!U167</f>
        <v>0</v>
      </c>
      <c r="X166">
        <f>'[1]2026 Orders'!V167</f>
        <v>0</v>
      </c>
      <c r="Y166">
        <f>'[1]2026 Orders'!W167</f>
        <v>0</v>
      </c>
      <c r="Z166">
        <f>'[1]2026 Orders'!X167</f>
        <v>0</v>
      </c>
      <c r="AC166" t="str">
        <f t="shared" si="4"/>
        <v>100/</v>
      </c>
      <c r="AD166" t="e">
        <f t="shared" si="5"/>
        <v>#VALUE!</v>
      </c>
    </row>
    <row r="167" spans="1:30" ht="33" hidden="1" customHeight="1" x14ac:dyDescent="0.3">
      <c r="A167">
        <f>'[1]2026 Orders'!A168</f>
        <v>45981</v>
      </c>
      <c r="B167" s="14" t="str">
        <f>'[1]2026 Orders'!B168</f>
        <v>South Sudan</v>
      </c>
      <c r="C167" s="14" t="str">
        <f>'[1]2026 Orders'!C168</f>
        <v>A4586</v>
      </c>
      <c r="D167" s="14">
        <f>'[1]2026 Orders'!D168</f>
        <v>0</v>
      </c>
      <c r="E167" s="17" t="str" cm="1">
        <f t="array" ref="E167">IF(C167=0,"",
HYPERLINK(
"#'2026 Orders'!C"&amp;
MATCH(1,
('2026 Orders'!C:C=C167)*
('2026 Orders'!G:G=G167)*
('2026 Orders'!N:N=N167),
0),
"Open "&amp;C167
))</f>
        <v>Open A4586</v>
      </c>
      <c r="F167" s="14">
        <f>'[1]2026 Orders'!F168</f>
        <v>0</v>
      </c>
      <c r="G167" s="14" t="str">
        <f>'[1]2026 Orders'!G168</f>
        <v>FIBRO-60-FD</v>
      </c>
      <c r="H167" s="14" t="str" cm="1">
        <f t="array" ref="H167">IFERROR(_xlfn.TEXTJOIN("-",,INDEX(_xlfn.TEXTSPLIT(TableTake[[#This Row],[SKU]],"-"),{1,2})),"")</f>
        <v>FIBRO-60</v>
      </c>
      <c r="I167" s="15" t="str">
        <f>IFERROR(_xlfn.TEXTAFTER(TableTake[[#This Row],[SKU]],"-",-1),"")</f>
        <v>FD</v>
      </c>
      <c r="J167" s="14">
        <f>'[1]2026 Orders'!H168</f>
        <v>100</v>
      </c>
      <c r="K167" t="str">
        <f>'[1]2026 Orders'!I168</f>
        <v>F17-25.0</v>
      </c>
      <c r="L167">
        <f>'[1]2026 Orders'!J168</f>
        <v>100</v>
      </c>
      <c r="N167" s="10" t="str">
        <f>'[1]2026 Orders'!L168</f>
        <v>D/W Sent</v>
      </c>
      <c r="O167">
        <f>'[1]2026 Orders'!M168</f>
        <v>0</v>
      </c>
      <c r="P167" t="str">
        <f>'[1]2026 Orders'!N168</f>
        <v>NA</v>
      </c>
      <c r="Q167" t="str">
        <f>'[1]2026 Orders'!O168</f>
        <v>609788968498</v>
      </c>
      <c r="R167">
        <f>'[1]2026 Orders'!P168</f>
        <v>6500</v>
      </c>
      <c r="S167">
        <f>'[1]2026 Orders'!Q168</f>
        <v>4840</v>
      </c>
      <c r="T167" t="str">
        <f>'[1]2026 Orders'!R168</f>
        <v>complete</v>
      </c>
      <c r="U167">
        <f>'[1]2026 Orders'!S168</f>
        <v>0</v>
      </c>
      <c r="V167">
        <f>'[1]2026 Orders'!T168</f>
        <v>0</v>
      </c>
      <c r="W167">
        <f>'[1]2026 Orders'!U168</f>
        <v>0</v>
      </c>
      <c r="X167">
        <f>'[1]2026 Orders'!V168</f>
        <v>0</v>
      </c>
      <c r="Y167">
        <f>'[1]2026 Orders'!W168</f>
        <v>0</v>
      </c>
      <c r="Z167">
        <f>'[1]2026 Orders'!X168</f>
        <v>0</v>
      </c>
      <c r="AC167" t="str">
        <f t="shared" si="4"/>
        <v>100/</v>
      </c>
      <c r="AD167" t="e">
        <f t="shared" si="5"/>
        <v>#VALUE!</v>
      </c>
    </row>
    <row r="168" spans="1:30" ht="33" hidden="1" customHeight="1" x14ac:dyDescent="0.3">
      <c r="A168">
        <f>'[1]2026 Orders'!A169</f>
        <v>45981</v>
      </c>
      <c r="B168" s="14" t="str">
        <f>'[1]2026 Orders'!B169</f>
        <v>South Sudan</v>
      </c>
      <c r="C168" s="14" t="str">
        <f>'[1]2026 Orders'!C169</f>
        <v>A4586</v>
      </c>
      <c r="D168" s="14">
        <f>'[1]2026 Orders'!D169</f>
        <v>0</v>
      </c>
      <c r="E168" s="17" t="str" cm="1">
        <f t="array" ref="E168">IF(C168=0,"",
HYPERLINK(
"#'2026 Orders'!C"&amp;
MATCH(1,
('2026 Orders'!C:C=C168)*
('2026 Orders'!G:G=G168)*
('2026 Orders'!N:N=N168),
0),
"Open "&amp;C168
))</f>
        <v>Open A4586</v>
      </c>
      <c r="F168" s="14">
        <f>'[1]2026 Orders'!F169</f>
        <v>0</v>
      </c>
      <c r="G168" s="14" t="str">
        <f>'[1]2026 Orders'!G169</f>
        <v>COQ400-30-VE-CS-SU</v>
      </c>
      <c r="H168" s="14" t="str" cm="1">
        <f t="array" ref="H168">IFERROR(_xlfn.TEXTJOIN("-",,INDEX(_xlfn.TEXTSPLIT(TableTake[[#This Row],[SKU]],"-"),{1,2})),"")</f>
        <v>COQ400-30</v>
      </c>
      <c r="I168" s="15" t="str">
        <f>IFERROR(_xlfn.TEXTAFTER(TableTake[[#This Row],[SKU]],"-",-1),"")</f>
        <v>SU</v>
      </c>
      <c r="J168" s="14">
        <f>'[1]2026 Orders'!H169</f>
        <v>400</v>
      </c>
      <c r="K168" t="str">
        <f>'[1]2026 Orders'!I169</f>
        <v>SU58-23.0</v>
      </c>
      <c r="L168">
        <f>'[1]2026 Orders'!J169</f>
        <v>0</v>
      </c>
      <c r="N168" s="10" t="str">
        <f>'[1]2026 Orders'!L169</f>
        <v>D/W Sent</v>
      </c>
      <c r="O168">
        <f>'[1]2026 Orders'!M169</f>
        <v>0</v>
      </c>
      <c r="P168" t="str">
        <f>'[1]2026 Orders'!N169</f>
        <v>NA</v>
      </c>
      <c r="Q168">
        <f>'[1]2026 Orders'!O169</f>
        <v>609788968467</v>
      </c>
      <c r="R168">
        <f>'[1]2026 Orders'!P169</f>
        <v>4000</v>
      </c>
      <c r="S168">
        <f>'[1]2026 Orders'!Q169</f>
        <v>4940</v>
      </c>
      <c r="T168" t="str">
        <f>'[1]2026 Orders'!R169</f>
        <v>Complete</v>
      </c>
      <c r="U168">
        <f>'[1]2026 Orders'!S169</f>
        <v>0</v>
      </c>
      <c r="V168">
        <f>'[1]2026 Orders'!T169</f>
        <v>0</v>
      </c>
      <c r="W168">
        <f>'[1]2026 Orders'!U169</f>
        <v>0</v>
      </c>
      <c r="X168">
        <f>'[1]2026 Orders'!V169</f>
        <v>0</v>
      </c>
      <c r="Y168">
        <f>'[1]2026 Orders'!W169</f>
        <v>0</v>
      </c>
      <c r="Z168">
        <f>'[1]2026 Orders'!X169</f>
        <v>0</v>
      </c>
      <c r="AC168" t="str">
        <f t="shared" si="4"/>
        <v>400/</v>
      </c>
      <c r="AD168" t="e">
        <f t="shared" si="5"/>
        <v>#VALUE!</v>
      </c>
    </row>
    <row r="169" spans="1:30" ht="33" hidden="1" customHeight="1" x14ac:dyDescent="0.3">
      <c r="A169">
        <f>'[1]2026 Orders'!A170</f>
        <v>45981</v>
      </c>
      <c r="B169" s="14" t="str">
        <f>'[1]2026 Orders'!B170</f>
        <v>South Sudan</v>
      </c>
      <c r="C169" s="14" t="str">
        <f>'[1]2026 Orders'!C170</f>
        <v>A4586</v>
      </c>
      <c r="D169" s="14" t="str">
        <f>'[1]2026 Orders'!D170</f>
        <v>...</v>
      </c>
      <c r="E169" s="17" t="str" cm="1">
        <f t="array" ref="E169">IF(C169=0,"",
HYPERLINK(
"#'2026 Orders'!C"&amp;
MATCH(1,
('2026 Orders'!C:C=C169)*
('2026 Orders'!G:G=G169)*
('2026 Orders'!N:N=N169),
0),
"Open "&amp;C169
))</f>
        <v>Open A4586</v>
      </c>
      <c r="F169" s="14">
        <f>'[1]2026 Orders'!F170</f>
        <v>0</v>
      </c>
      <c r="G169" s="14" t="str">
        <f>'[1]2026 Orders'!G170</f>
        <v>DHEA50-60-FD</v>
      </c>
      <c r="H169" s="14" t="str" cm="1">
        <f t="array" ref="H169">IFERROR(_xlfn.TEXTJOIN("-",,INDEX(_xlfn.TEXTSPLIT(TableTake[[#This Row],[SKU]],"-"),{1,2})),"")</f>
        <v>DHEA50-60</v>
      </c>
      <c r="I169" s="15" t="str">
        <f>IFERROR(_xlfn.TEXTAFTER(TableTake[[#This Row],[SKU]],"-",-1),"")</f>
        <v>FD</v>
      </c>
      <c r="J169" s="14">
        <f>'[1]2026 Orders'!H170</f>
        <v>300</v>
      </c>
      <c r="K169" t="str">
        <f>'[1]2026 Orders'!I170</f>
        <v>F13-25.2</v>
      </c>
      <c r="L169">
        <f>'[1]2026 Orders'!J170</f>
        <v>300</v>
      </c>
      <c r="N169" s="10" t="str">
        <f>'[1]2026 Orders'!L170</f>
        <v>D/W Sent</v>
      </c>
      <c r="O169">
        <f>'[1]2026 Orders'!M170</f>
        <v>0</v>
      </c>
      <c r="P169" t="str">
        <f>'[1]2026 Orders'!N170</f>
        <v>NA</v>
      </c>
      <c r="Q169">
        <f>'[1]2026 Orders'!O170</f>
        <v>609788968221</v>
      </c>
      <c r="R169">
        <f>'[1]2026 Orders'!P170</f>
        <v>0</v>
      </c>
      <c r="S169">
        <f>'[1]2026 Orders'!Q170</f>
        <v>4832</v>
      </c>
      <c r="T169">
        <f>'[1]2026 Orders'!R170</f>
        <v>0</v>
      </c>
      <c r="U169">
        <f>'[1]2026 Orders'!S170</f>
        <v>0</v>
      </c>
      <c r="V169">
        <f>'[1]2026 Orders'!T170</f>
        <v>0</v>
      </c>
      <c r="W169">
        <f>'[1]2026 Orders'!U170</f>
        <v>0</v>
      </c>
      <c r="X169">
        <f>'[1]2026 Orders'!V170</f>
        <v>0</v>
      </c>
      <c r="Y169">
        <f>'[1]2026 Orders'!W170</f>
        <v>0</v>
      </c>
      <c r="Z169">
        <f>'[1]2026 Orders'!X170</f>
        <v>0</v>
      </c>
      <c r="AC169" t="str">
        <f t="shared" si="4"/>
        <v>300/</v>
      </c>
      <c r="AD169" t="e">
        <f t="shared" si="5"/>
        <v>#VALUE!</v>
      </c>
    </row>
    <row r="170" spans="1:30" ht="33" hidden="1" customHeight="1" x14ac:dyDescent="0.3">
      <c r="A170">
        <f>'[1]2026 Orders'!A171</f>
        <v>45981</v>
      </c>
      <c r="B170" s="14" t="str">
        <f>'[1]2026 Orders'!B171</f>
        <v>South Sudan</v>
      </c>
      <c r="C170" s="14" t="str">
        <f>'[1]2026 Orders'!C171</f>
        <v>A4586</v>
      </c>
      <c r="D170" s="14">
        <f>'[1]2026 Orders'!D171</f>
        <v>0</v>
      </c>
      <c r="E170" s="17" t="str" cm="1">
        <f t="array" ref="E170">IF(C170=0,"",
HYPERLINK(
"#'2026 Orders'!C"&amp;
MATCH(1,
('2026 Orders'!C:C=C170)*
('2026 Orders'!G:G=G170)*
('2026 Orders'!N:N=N170),
0),
"Open "&amp;C170
))</f>
        <v>Open A4586</v>
      </c>
      <c r="F170" s="14">
        <f>'[1]2026 Orders'!F171</f>
        <v>0</v>
      </c>
      <c r="G170" s="14" t="str">
        <f>'[1]2026 Orders'!G171</f>
        <v>PENAMAX-60-GE-FD</v>
      </c>
      <c r="H170" s="14" t="str" cm="1">
        <f t="array" ref="H170">IFERROR(_xlfn.TEXTJOIN("-",,INDEX(_xlfn.TEXTSPLIT(TableTake[[#This Row],[SKU]],"-"),{1,2})),"")</f>
        <v>PENAMAX-60</v>
      </c>
      <c r="I170" s="15" t="str">
        <f>IFERROR(_xlfn.TEXTAFTER(TableTake[[#This Row],[SKU]],"-",-1),"")</f>
        <v>FD</v>
      </c>
      <c r="J170" s="14">
        <f>'[1]2026 Orders'!H171</f>
        <v>100</v>
      </c>
      <c r="K170" t="str">
        <f>'[1]2026 Orders'!I171</f>
        <v>F88-25.1</v>
      </c>
      <c r="L170">
        <f>'[1]2026 Orders'!J171</f>
        <v>100</v>
      </c>
      <c r="N170" s="10" t="str">
        <f>'[1]2026 Orders'!L171</f>
        <v>D/W Sent</v>
      </c>
      <c r="O170">
        <f>'[1]2026 Orders'!M171</f>
        <v>0</v>
      </c>
      <c r="P170" t="str">
        <f>'[1]2026 Orders'!N171</f>
        <v>Y</v>
      </c>
      <c r="Q170">
        <f>'[1]2026 Orders'!O171</f>
        <v>609788968702</v>
      </c>
      <c r="R170">
        <f>'[1]2026 Orders'!P171</f>
        <v>0</v>
      </c>
      <c r="S170">
        <f>'[1]2026 Orders'!Q171</f>
        <v>4805</v>
      </c>
      <c r="T170">
        <f>'[1]2026 Orders'!R171</f>
        <v>0</v>
      </c>
      <c r="U170">
        <f>'[1]2026 Orders'!S171</f>
        <v>0</v>
      </c>
      <c r="V170">
        <f>'[1]2026 Orders'!T171</f>
        <v>0</v>
      </c>
      <c r="W170">
        <f>'[1]2026 Orders'!U171</f>
        <v>0</v>
      </c>
      <c r="X170">
        <f>'[1]2026 Orders'!V171</f>
        <v>0</v>
      </c>
      <c r="Y170">
        <f>'[1]2026 Orders'!W171</f>
        <v>0</v>
      </c>
      <c r="Z170">
        <f>'[1]2026 Orders'!X171</f>
        <v>0</v>
      </c>
      <c r="AC170" t="str">
        <f t="shared" si="4"/>
        <v>100/</v>
      </c>
      <c r="AD170" t="e">
        <f t="shared" si="5"/>
        <v>#VALUE!</v>
      </c>
    </row>
    <row r="171" spans="1:30" ht="33" hidden="1" customHeight="1" x14ac:dyDescent="0.3">
      <c r="A171">
        <f>'[1]2026 Orders'!A172</f>
        <v>45981</v>
      </c>
      <c r="B171" s="14" t="str">
        <f>'[1]2026 Orders'!B172</f>
        <v>South Sudan</v>
      </c>
      <c r="C171" s="14" t="str">
        <f>'[1]2026 Orders'!C172</f>
        <v>A4586</v>
      </c>
      <c r="D171" s="14">
        <f>'[1]2026 Orders'!D172</f>
        <v>0</v>
      </c>
      <c r="E171" s="17" t="str" cm="1">
        <f t="array" ref="E171">IF(C171=0,"",
HYPERLINK(
"#'2026 Orders'!C"&amp;
MATCH(1,
('2026 Orders'!C:C=C171)*
('2026 Orders'!G:G=G171)*
('2026 Orders'!N:N=N171),
0),
"Open "&amp;C171
))</f>
        <v>Open A4586</v>
      </c>
      <c r="F171" s="14">
        <f>'[1]2026 Orders'!F172</f>
        <v>0</v>
      </c>
      <c r="G171" s="14" t="str">
        <f>'[1]2026 Orders'!G172</f>
        <v>MOTILMX-60-FD</v>
      </c>
      <c r="H171" s="14" t="str" cm="1">
        <f t="array" ref="H171">IFERROR(_xlfn.TEXTJOIN("-",,INDEX(_xlfn.TEXTSPLIT(TableTake[[#This Row],[SKU]],"-"),{1,2})),"")</f>
        <v>MOTILMX-60</v>
      </c>
      <c r="I171" s="15" t="str">
        <f>IFERROR(_xlfn.TEXTAFTER(TableTake[[#This Row],[SKU]],"-",-1),"")</f>
        <v>FD</v>
      </c>
      <c r="J171" s="14">
        <f>'[1]2026 Orders'!H172</f>
        <v>250</v>
      </c>
      <c r="K171" t="str">
        <f>'[1]2026 Orders'!I172</f>
        <v>F31-23.0</v>
      </c>
      <c r="L171">
        <f>'[1]2026 Orders'!J172</f>
        <v>250</v>
      </c>
      <c r="N171" s="10" t="str">
        <f>'[1]2026 Orders'!L172</f>
        <v>D/W Sent</v>
      </c>
      <c r="O171">
        <f>'[1]2026 Orders'!M172</f>
        <v>0</v>
      </c>
      <c r="P171" t="str">
        <f>'[1]2026 Orders'!N172</f>
        <v>NA</v>
      </c>
      <c r="Q171">
        <f>'[1]2026 Orders'!O172</f>
        <v>609788968191</v>
      </c>
      <c r="R171">
        <f>'[1]2026 Orders'!P172</f>
        <v>0</v>
      </c>
      <c r="S171">
        <f>'[1]2026 Orders'!Q172</f>
        <v>4754</v>
      </c>
      <c r="T171">
        <f>'[1]2026 Orders'!R172</f>
        <v>0</v>
      </c>
      <c r="U171">
        <f>'[1]2026 Orders'!S172</f>
        <v>0</v>
      </c>
      <c r="V171">
        <f>'[1]2026 Orders'!T172</f>
        <v>0</v>
      </c>
      <c r="W171">
        <f>'[1]2026 Orders'!U172</f>
        <v>0</v>
      </c>
      <c r="X171">
        <f>'[1]2026 Orders'!V172</f>
        <v>0</v>
      </c>
      <c r="Y171">
        <f>'[1]2026 Orders'!W172</f>
        <v>0</v>
      </c>
      <c r="Z171">
        <f>'[1]2026 Orders'!X172</f>
        <v>0</v>
      </c>
      <c r="AC171" t="str">
        <f t="shared" si="4"/>
        <v>250/</v>
      </c>
      <c r="AD171" t="e">
        <f t="shared" si="5"/>
        <v>#VALUE!</v>
      </c>
    </row>
    <row r="172" spans="1:30" ht="33" hidden="1" customHeight="1" x14ac:dyDescent="0.3">
      <c r="A172">
        <f>'[1]2026 Orders'!A173</f>
        <v>45981</v>
      </c>
      <c r="B172" s="14" t="str">
        <f>'[1]2026 Orders'!B173</f>
        <v>South Sudan</v>
      </c>
      <c r="C172" s="14" t="str">
        <f>'[1]2026 Orders'!C173</f>
        <v>A4586</v>
      </c>
      <c r="D172" s="14">
        <f>'[1]2026 Orders'!D173</f>
        <v>0</v>
      </c>
      <c r="E172" s="17" t="str" cm="1">
        <f t="array" ref="E172">IF(C172=0,"",
HYPERLINK(
"#'2026 Orders'!C"&amp;
MATCH(1,
('2026 Orders'!C:C=C172)*
('2026 Orders'!G:G=G172)*
('2026 Orders'!N:N=N172),
0),
"Open "&amp;C172
))</f>
        <v>Open A4586</v>
      </c>
      <c r="F172" s="14">
        <f>'[1]2026 Orders'!F173</f>
        <v>0</v>
      </c>
      <c r="G172" s="14" t="str">
        <f>'[1]2026 Orders'!G173</f>
        <v>WFSPLS-180-FD</v>
      </c>
      <c r="H172" s="14" t="str" cm="1">
        <f t="array" ref="H172">IFERROR(_xlfn.TEXTJOIN("-",,INDEX(_xlfn.TEXTSPLIT(TableTake[[#This Row],[SKU]],"-"),{1,2})),"")</f>
        <v>WFSPLS-180</v>
      </c>
      <c r="I172" s="15" t="str">
        <f>IFERROR(_xlfn.TEXTAFTER(TableTake[[#This Row],[SKU]],"-",-1),"")</f>
        <v>FD</v>
      </c>
      <c r="J172" s="14">
        <f>'[1]2026 Orders'!H173</f>
        <v>50</v>
      </c>
      <c r="K172" t="str">
        <f>'[1]2026 Orders'!I173</f>
        <v>F73-23.0</v>
      </c>
      <c r="L172">
        <f>'[1]2026 Orders'!J173</f>
        <v>0</v>
      </c>
      <c r="N172" s="10" t="str">
        <f>'[1]2026 Orders'!L173</f>
        <v>D/W Sent</v>
      </c>
      <c r="O172">
        <f>'[1]2026 Orders'!M173</f>
        <v>0</v>
      </c>
      <c r="P172" t="str">
        <f>'[1]2026 Orders'!N173</f>
        <v>NA</v>
      </c>
      <c r="Q172">
        <f>'[1]2026 Orders'!O173</f>
        <v>609788968351</v>
      </c>
      <c r="R172">
        <f>'[1]2026 Orders'!P173</f>
        <v>9000</v>
      </c>
      <c r="S172">
        <f>'[1]2026 Orders'!Q173</f>
        <v>4845</v>
      </c>
      <c r="T172" t="str">
        <f>'[1]2026 Orders'!R173</f>
        <v>complete</v>
      </c>
      <c r="U172">
        <f>'[1]2026 Orders'!S173</f>
        <v>0</v>
      </c>
      <c r="V172">
        <f>'[1]2026 Orders'!T173</f>
        <v>0</v>
      </c>
      <c r="W172">
        <f>'[1]2026 Orders'!U173</f>
        <v>0</v>
      </c>
      <c r="X172">
        <f>'[1]2026 Orders'!V173</f>
        <v>0</v>
      </c>
      <c r="Y172">
        <f>'[1]2026 Orders'!W173</f>
        <v>0</v>
      </c>
      <c r="Z172">
        <f>'[1]2026 Orders'!X173</f>
        <v>0</v>
      </c>
      <c r="AC172" t="str">
        <f t="shared" si="4"/>
        <v>50/</v>
      </c>
      <c r="AD172" t="e">
        <f t="shared" si="5"/>
        <v>#VALUE!</v>
      </c>
    </row>
    <row r="173" spans="1:30" ht="33" hidden="1" customHeight="1" x14ac:dyDescent="0.3">
      <c r="A173">
        <f>'[1]2026 Orders'!A174</f>
        <v>0</v>
      </c>
      <c r="B173" s="14">
        <f>'[1]2026 Orders'!B174</f>
        <v>0</v>
      </c>
      <c r="C173" s="14">
        <f>'[1]2026 Orders'!C174</f>
        <v>0</v>
      </c>
      <c r="D173" s="14">
        <f>'[1]2026 Orders'!D174</f>
        <v>0</v>
      </c>
      <c r="E173" s="17" t="str" cm="1">
        <f t="array" ref="E173">IF(C173=0,"",
HYPERLINK(
"#'2026 Orders'!C"&amp;
MATCH(1,
('2026 Orders'!C:C=C173)*
('2026 Orders'!G:G=G173)*
('2026 Orders'!N:N=N173),
0),
"Open "&amp;C173
))</f>
        <v/>
      </c>
      <c r="F173" s="14">
        <f>'[1]2026 Orders'!F174</f>
        <v>0</v>
      </c>
      <c r="G173" s="14">
        <f>'[1]2026 Orders'!G174</f>
        <v>0</v>
      </c>
      <c r="H173" s="14" t="str" cm="1">
        <f t="array" ref="H173">IFERROR(_xlfn.TEXTJOIN("-",,INDEX(_xlfn.TEXTSPLIT(TableTake[[#This Row],[SKU]],"-"),{1,2})),"")</f>
        <v/>
      </c>
      <c r="I173" s="15" t="str">
        <f>IFERROR(_xlfn.TEXTAFTER(TableTake[[#This Row],[SKU]],"-",-1),"")</f>
        <v/>
      </c>
      <c r="J173" s="14">
        <f>'[1]2026 Orders'!H174</f>
        <v>0</v>
      </c>
      <c r="K173">
        <f>'[1]2026 Orders'!I174</f>
        <v>0</v>
      </c>
      <c r="L173">
        <f>'[1]2026 Orders'!J174</f>
        <v>0</v>
      </c>
      <c r="N173" s="10">
        <f>'[1]2026 Orders'!L174</f>
        <v>0</v>
      </c>
      <c r="O173">
        <f>'[1]2026 Orders'!M174</f>
        <v>0</v>
      </c>
      <c r="P173">
        <f>'[1]2026 Orders'!N174</f>
        <v>0</v>
      </c>
      <c r="Q173">
        <f>'[1]2026 Orders'!O174</f>
        <v>0</v>
      </c>
      <c r="R173">
        <f>'[1]2026 Orders'!P174</f>
        <v>0</v>
      </c>
      <c r="S173">
        <f>'[1]2026 Orders'!Q174</f>
        <v>0</v>
      </c>
      <c r="T173">
        <f>'[1]2026 Orders'!R174</f>
        <v>0</v>
      </c>
      <c r="U173">
        <f>'[1]2026 Orders'!S174</f>
        <v>0</v>
      </c>
      <c r="V173">
        <f>'[1]2026 Orders'!T174</f>
        <v>0</v>
      </c>
      <c r="W173">
        <f>'[1]2026 Orders'!U174</f>
        <v>0</v>
      </c>
      <c r="X173">
        <f>'[1]2026 Orders'!V174</f>
        <v>0</v>
      </c>
      <c r="Y173">
        <f>'[1]2026 Orders'!W174</f>
        <v>0</v>
      </c>
      <c r="Z173">
        <f>'[1]2026 Orders'!X174</f>
        <v>0</v>
      </c>
      <c r="AC173" t="str">
        <f t="shared" si="4"/>
        <v/>
      </c>
      <c r="AD173" t="str">
        <f t="shared" si="5"/>
        <v/>
      </c>
    </row>
    <row r="174" spans="1:30" ht="33" hidden="1" customHeight="1" x14ac:dyDescent="0.3">
      <c r="A174">
        <f>'[1]2026 Orders'!A175</f>
        <v>45992</v>
      </c>
      <c r="B174" s="14" t="str">
        <f>'[1]2026 Orders'!B175</f>
        <v>China</v>
      </c>
      <c r="C174" s="14" t="str">
        <f>'[1]2026 Orders'!C175</f>
        <v>A4592</v>
      </c>
      <c r="D174" s="14">
        <f>'[1]2026 Orders'!D175</f>
        <v>0</v>
      </c>
      <c r="E174" s="17" t="str" cm="1">
        <f t="array" ref="E174">IF(C174=0,"",
HYPERLINK(
"#'2026 Orders'!C"&amp;
MATCH(1,
('2026 Orders'!C:C=C174)*
('2026 Orders'!G:G=G174)*
('2026 Orders'!N:N=N174),
0),
"Open "&amp;C174
))</f>
        <v>Open A4592</v>
      </c>
      <c r="F174" s="14">
        <f>'[1]2026 Orders'!F175</f>
        <v>0</v>
      </c>
      <c r="G174" s="14" t="str">
        <f>'[1]2026 Orders'!G175</f>
        <v>NERUFLX-60-FD</v>
      </c>
      <c r="H174" s="14" t="str" cm="1">
        <f t="array" ref="H174">IFERROR(_xlfn.TEXTJOIN("-",,INDEX(_xlfn.TEXTSPLIT(TableTake[[#This Row],[SKU]],"-"),{1,2})),"")</f>
        <v>NERUFLX-60</v>
      </c>
      <c r="I174" s="15" t="str">
        <f>IFERROR(_xlfn.TEXTAFTER(TableTake[[#This Row],[SKU]],"-",-1),"")</f>
        <v>FD</v>
      </c>
      <c r="J174" s="14">
        <f>'[1]2026 Orders'!H175</f>
        <v>100</v>
      </c>
      <c r="K174" t="str">
        <f>'[1]2026 Orders'!I175</f>
        <v>F115-25.0</v>
      </c>
      <c r="L174">
        <f>'[1]2026 Orders'!J175</f>
        <v>100</v>
      </c>
      <c r="N174" s="10" t="str">
        <f>'[1]2026 Orders'!L175</f>
        <v>D/W Sent</v>
      </c>
      <c r="O174" t="str">
        <f>'[1]2026 Orders'!M175</f>
        <v>01/14 D/W Sent</v>
      </c>
      <c r="P174" t="str">
        <f>'[1]2026 Orders'!N175</f>
        <v>Y</v>
      </c>
      <c r="Q174">
        <f>'[1]2026 Orders'!O175</f>
        <v>810131193164</v>
      </c>
      <c r="R174">
        <f>'[1]2026 Orders'!P175</f>
        <v>7000</v>
      </c>
      <c r="S174">
        <f>'[1]2026 Orders'!Q175</f>
        <v>4867</v>
      </c>
      <c r="T174" t="str">
        <f>'[1]2026 Orders'!R175</f>
        <v>complete</v>
      </c>
      <c r="U174">
        <f>'[1]2026 Orders'!S175</f>
        <v>0</v>
      </c>
      <c r="V174">
        <f>'[1]2026 Orders'!T175</f>
        <v>0</v>
      </c>
      <c r="W174">
        <f>'[1]2026 Orders'!U175</f>
        <v>0</v>
      </c>
      <c r="X174">
        <f>'[1]2026 Orders'!V175</f>
        <v>0</v>
      </c>
      <c r="Y174">
        <f>'[1]2026 Orders'!W175</f>
        <v>0</v>
      </c>
      <c r="Z174" t="str">
        <f>'[1]2026 Orders'!X175</f>
        <v>Approved</v>
      </c>
      <c r="AC174" t="str">
        <f t="shared" si="4"/>
        <v>100/</v>
      </c>
      <c r="AD174" t="e">
        <f t="shared" si="5"/>
        <v>#VALUE!</v>
      </c>
    </row>
    <row r="175" spans="1:30" ht="33" hidden="1" customHeight="1" x14ac:dyDescent="0.3">
      <c r="A175">
        <f>'[1]2026 Orders'!A176</f>
        <v>45981</v>
      </c>
      <c r="B175" s="14" t="str">
        <f>'[1]2026 Orders'!B176</f>
        <v>Chad</v>
      </c>
      <c r="C175" s="14" t="str">
        <f>'[1]2026 Orders'!C176</f>
        <v>A4640</v>
      </c>
      <c r="D175" s="14">
        <f>'[1]2026 Orders'!D176</f>
        <v>0</v>
      </c>
      <c r="E175" s="17" t="e" cm="1">
        <f t="array" ref="E175">IF(C175=0,"",
HYPERLINK(
"#'2026 Orders'!C"&amp;
MATCH(1,
('2026 Orders'!C:C=C175)*
('2026 Orders'!G:G=G175)*
('2026 Orders'!N:N=N175),
0),
"Open "&amp;C175
))</f>
        <v>#N/A</v>
      </c>
      <c r="F175" s="14">
        <f>'[1]2026 Orders'!F176</f>
        <v>0</v>
      </c>
      <c r="G175" s="14" t="str">
        <f>'[1]2026 Orders'!G176</f>
        <v>PEDIAZI-50-FD</v>
      </c>
      <c r="H175" s="14" t="str" cm="1">
        <f t="array" ref="H175">IFERROR(_xlfn.TEXTJOIN("-",,INDEX(_xlfn.TEXTSPLIT(TableTake[[#This Row],[SKU]],"-"),{1,2})),"")</f>
        <v>PEDIAZI-50</v>
      </c>
      <c r="I175" s="15" t="str">
        <f>IFERROR(_xlfn.TEXTAFTER(TableTake[[#This Row],[SKU]],"-",-1),"")</f>
        <v>FD</v>
      </c>
      <c r="J175" s="14">
        <f>'[1]2026 Orders'!H176</f>
        <v>1500</v>
      </c>
      <c r="K175" t="str">
        <f>'[1]2026 Orders'!I176</f>
        <v>F50-24.1</v>
      </c>
      <c r="L175">
        <f>'[1]2026 Orders'!J176</f>
        <v>0</v>
      </c>
      <c r="N175" s="10">
        <f>'[1]2026 Orders'!L176</f>
        <v>0</v>
      </c>
      <c r="O175">
        <f>'[1]2026 Orders'!M176</f>
        <v>0</v>
      </c>
      <c r="P175" t="str">
        <f>'[1]2026 Orders'!N176</f>
        <v>Y</v>
      </c>
      <c r="Q175">
        <f>'[1]2026 Orders'!O176</f>
        <v>0</v>
      </c>
      <c r="R175">
        <f>'[1]2026 Orders'!P176</f>
        <v>5000</v>
      </c>
      <c r="S175">
        <f>'[1]2026 Orders'!Q176</f>
        <v>4978</v>
      </c>
      <c r="T175" t="str">
        <f>'[1]2026 Orders'!R176</f>
        <v>TBD</v>
      </c>
      <c r="U175" t="str">
        <f>'[1]2026 Orders'!S176</f>
        <v>Waiting for Labels and IFC to start production.</v>
      </c>
      <c r="V175">
        <f>'[1]2026 Orders'!T176</f>
        <v>0</v>
      </c>
      <c r="W175">
        <f>'[1]2026 Orders'!U176</f>
        <v>0</v>
      </c>
      <c r="X175">
        <f>'[1]2026 Orders'!V176</f>
        <v>0</v>
      </c>
      <c r="Y175">
        <f>'[1]2026 Orders'!W176</f>
        <v>0</v>
      </c>
      <c r="Z175">
        <f>'[1]2026 Orders'!X176</f>
        <v>0</v>
      </c>
      <c r="AC175" t="str">
        <f t="shared" si="4"/>
        <v>1500/</v>
      </c>
      <c r="AD175" t="e">
        <f t="shared" si="5"/>
        <v>#VALUE!</v>
      </c>
    </row>
    <row r="176" spans="1:30" ht="33" hidden="1" customHeight="1" x14ac:dyDescent="0.3">
      <c r="A176">
        <f>'[1]2026 Orders'!A177</f>
        <v>46066</v>
      </c>
      <c r="B176" s="14" t="str">
        <f>'[1]2026 Orders'!B177</f>
        <v>Chad</v>
      </c>
      <c r="C176" s="14" t="str">
        <f>'[1]2026 Orders'!C177</f>
        <v>A4647</v>
      </c>
      <c r="D176" s="14">
        <f>'[1]2026 Orders'!D177</f>
        <v>0</v>
      </c>
      <c r="E176" s="17" t="str" cm="1">
        <f t="array" ref="E176">IF(C176=0,"",
HYPERLINK(
"#'2026 Orders'!C"&amp;
MATCH(1,
('2026 Orders'!C:C=C176)*
('2026 Orders'!G:G=G176)*
('2026 Orders'!N:N=N176),
0),
"Open "&amp;C176
))</f>
        <v>Open A4647</v>
      </c>
      <c r="F176" s="14">
        <f>'[1]2026 Orders'!F177</f>
        <v>0</v>
      </c>
      <c r="G176" s="14" t="str">
        <f>'[1]2026 Orders'!G177</f>
        <v>PEDIAIR-50-CS-CH</v>
      </c>
      <c r="H176" s="14" t="str" cm="1">
        <f t="array" ref="H176">IFERROR(_xlfn.TEXTJOIN("-",,INDEX(_xlfn.TEXTSPLIT(TableTake[[#This Row],[SKU]],"-"),{1,2})),"")</f>
        <v>PEDIAIR-50</v>
      </c>
      <c r="I176" s="15" t="str">
        <f>IFERROR(_xlfn.TEXTAFTER(TableTake[[#This Row],[SKU]],"-",-1),"")</f>
        <v>CH</v>
      </c>
      <c r="J176" s="14">
        <f>'[1]2026 Orders'!H177</f>
        <v>10</v>
      </c>
      <c r="K176" t="str">
        <f>'[1]2026 Orders'!I177</f>
        <v>N/A</v>
      </c>
      <c r="L176">
        <f>'[1]2026 Orders'!J177</f>
        <v>0</v>
      </c>
      <c r="N176" s="10" t="str">
        <f>'[1]2026 Orders'!L177</f>
        <v>PO submitted</v>
      </c>
      <c r="O176" t="str">
        <f>'[1]2026 Orders'!M177</f>
        <v>label and sku non existent</v>
      </c>
      <c r="P176" t="str">
        <f>'[1]2026 Orders'!N177</f>
        <v>Y</v>
      </c>
      <c r="Q176" t="str">
        <f>'[1]2026 Orders'!O177</f>
        <v>N/A</v>
      </c>
      <c r="R176">
        <f>'[1]2026 Orders'!P177</f>
        <v>5000</v>
      </c>
      <c r="S176">
        <f>'[1]2026 Orders'!Q177</f>
        <v>4977</v>
      </c>
      <c r="T176" t="str">
        <f>'[1]2026 Orders'!R177</f>
        <v>TBD</v>
      </c>
      <c r="U176" t="str">
        <f>'[1]2026 Orders'!S177</f>
        <v>Must rework at AMS</v>
      </c>
      <c r="V176">
        <f>'[1]2026 Orders'!T177</f>
        <v>0</v>
      </c>
      <c r="W176">
        <f>'[1]2026 Orders'!U177</f>
        <v>0</v>
      </c>
      <c r="X176">
        <f>'[1]2026 Orders'!V177</f>
        <v>0</v>
      </c>
      <c r="Y176">
        <f>'[1]2026 Orders'!W177</f>
        <v>0</v>
      </c>
      <c r="Z176" t="str">
        <f>'[1]2026 Orders'!X177</f>
        <v>HOLD</v>
      </c>
      <c r="AC176" t="str">
        <f t="shared" si="4"/>
        <v>10/</v>
      </c>
      <c r="AD176" t="e">
        <f t="shared" si="5"/>
        <v>#VALUE!</v>
      </c>
    </row>
    <row r="177" spans="1:30" ht="33" hidden="1" customHeight="1" x14ac:dyDescent="0.3">
      <c r="A177">
        <f>'[1]2026 Orders'!A178</f>
        <v>45981</v>
      </c>
      <c r="B177" s="14" t="str">
        <f>'[1]2026 Orders'!B178</f>
        <v>Chad</v>
      </c>
      <c r="C177" s="14" t="str">
        <f>'[1]2026 Orders'!C178</f>
        <v>A4640</v>
      </c>
      <c r="D177" s="14">
        <f>'[1]2026 Orders'!D178</f>
        <v>0</v>
      </c>
      <c r="E177" s="17" t="e" cm="1">
        <f t="array" ref="E177">IF(C177=0,"",
HYPERLINK(
"#'2026 Orders'!C"&amp;
MATCH(1,
('2026 Orders'!C:C=C177)*
('2026 Orders'!G:G=G177)*
('2026 Orders'!N:N=N177),
0),
"Open "&amp;C177
))</f>
        <v>#N/A</v>
      </c>
      <c r="F177" s="14">
        <f>'[1]2026 Orders'!F178</f>
        <v>0</v>
      </c>
      <c r="G177" s="14" t="str">
        <f>'[1]2026 Orders'!G178</f>
        <v>PEDIACM-50-FD</v>
      </c>
      <c r="H177" s="14" t="str" cm="1">
        <f t="array" ref="H177">IFERROR(_xlfn.TEXTJOIN("-",,INDEX(_xlfn.TEXTSPLIT(TableTake[[#This Row],[SKU]],"-"),{1,2})),"")</f>
        <v>PEDIACM-50</v>
      </c>
      <c r="I177" s="15" t="str">
        <f>IFERROR(_xlfn.TEXTAFTER(TableTake[[#This Row],[SKU]],"-",-1),"")</f>
        <v>FD</v>
      </c>
      <c r="J177" s="14">
        <f>'[1]2026 Orders'!H178</f>
        <v>1500</v>
      </c>
      <c r="K177" t="str">
        <f>'[1]2026 Orders'!I178</f>
        <v>F44-24.1</v>
      </c>
      <c r="L177">
        <f>'[1]2026 Orders'!J178</f>
        <v>0</v>
      </c>
      <c r="N177" s="10">
        <f>'[1]2026 Orders'!L178</f>
        <v>0</v>
      </c>
      <c r="O177">
        <f>'[1]2026 Orders'!M178</f>
        <v>0</v>
      </c>
      <c r="P177" t="str">
        <f>'[1]2026 Orders'!N178</f>
        <v>Y</v>
      </c>
      <c r="Q177">
        <f>'[1]2026 Orders'!O178</f>
        <v>0</v>
      </c>
      <c r="R177">
        <f>'[1]2026 Orders'!P178</f>
        <v>5000</v>
      </c>
      <c r="S177">
        <f>'[1]2026 Orders'!Q178</f>
        <v>4980</v>
      </c>
      <c r="T177" t="str">
        <f>'[1]2026 Orders'!R178</f>
        <v>TBD</v>
      </c>
      <c r="U177" t="str">
        <f>'[1]2026 Orders'!S178</f>
        <v>Waiting for Labels and IFC to start production.</v>
      </c>
      <c r="V177">
        <f>'[1]2026 Orders'!T178</f>
        <v>0</v>
      </c>
      <c r="W177">
        <f>'[1]2026 Orders'!U178</f>
        <v>0</v>
      </c>
      <c r="X177">
        <f>'[1]2026 Orders'!V178</f>
        <v>0</v>
      </c>
      <c r="Y177">
        <f>'[1]2026 Orders'!W178</f>
        <v>0</v>
      </c>
      <c r="Z177">
        <f>'[1]2026 Orders'!X178</f>
        <v>0</v>
      </c>
      <c r="AC177" t="str">
        <f t="shared" si="4"/>
        <v>1500/</v>
      </c>
      <c r="AD177" t="e">
        <f t="shared" si="5"/>
        <v>#VALUE!</v>
      </c>
    </row>
    <row r="178" spans="1:30" ht="33" hidden="1" customHeight="1" x14ac:dyDescent="0.3">
      <c r="A178">
        <f>'[1]2026 Orders'!A179</f>
        <v>46003</v>
      </c>
      <c r="B178" s="14" t="str">
        <f>'[1]2026 Orders'!B179</f>
        <v>Iraq</v>
      </c>
      <c r="C178" s="14" t="str">
        <f>'[1]2026 Orders'!C179</f>
        <v>A4610</v>
      </c>
      <c r="D178" s="14" t="str">
        <f>'[1]2026 Orders'!D179</f>
        <v>6/2/2026: 30% Down Payment needed.</v>
      </c>
      <c r="E178" s="17" t="str" cm="1">
        <f t="array" ref="E178">IF(C178=0,"",
HYPERLINK(
"#'2026 Orders'!C"&amp;
MATCH(1,
('2026 Orders'!C:C=C178)*
('2026 Orders'!G:G=G178)*
('2026 Orders'!N:N=N178),
0),
"Open "&amp;C178
))</f>
        <v>Open A4610</v>
      </c>
      <c r="F178" s="14" t="str">
        <f>'[1]2026 Orders'!F179</f>
        <v xml:space="preserve">Product changed to Omega3-40-CS-IQ 
1/14/2025: Sales requested for labels to be uploaded to server by overseas team  
2/11/2026: IFC Updated to Y following IFC scrub. 3/10: NO NEED FOR IFC MOE/TARIQ CONFIRMED WITH NIBAL.
5/18/2026: Reduced Qty 100,000 -&gt; 62,962. 37,038 moved to Morocco A4688.         </v>
      </c>
      <c r="G178" s="14" t="str">
        <f>'[1]2026 Orders'!G179</f>
        <v>OMEGA3-40-CS-IQ</v>
      </c>
      <c r="H178" s="14" t="str" cm="1">
        <f t="array" ref="H178">IFERROR(_xlfn.TEXTJOIN("-",,INDEX(_xlfn.TEXTSPLIT(TableTake[[#This Row],[SKU]],"-"),{1,2})),"")</f>
        <v>OMEGA3-40</v>
      </c>
      <c r="I178" s="15" t="str">
        <f>IFERROR(_xlfn.TEXTAFTER(TableTake[[#This Row],[SKU]],"-",-1),"")</f>
        <v>IQ</v>
      </c>
      <c r="J178" s="14">
        <f>'[1]2026 Orders'!H179</f>
        <v>62962</v>
      </c>
      <c r="K178" t="str">
        <f>'[1]2026 Orders'!I179</f>
        <v>IQ128-26</v>
      </c>
      <c r="L178">
        <f>'[1]2026 Orders'!J179</f>
        <v>0</v>
      </c>
      <c r="N178" s="10" t="str">
        <f>'[1]2026 Orders'!L179</f>
        <v>ON HOLD</v>
      </c>
      <c r="O178">
        <f>'[1]2026 Orders'!M179</f>
        <v>0</v>
      </c>
      <c r="P178" t="str">
        <f>'[1]2026 Orders'!N179</f>
        <v>NA</v>
      </c>
      <c r="Q178" t="str">
        <f>'[1]2026 Orders'!O179</f>
        <v>604776738114</v>
      </c>
      <c r="R178">
        <f>'[1]2026 Orders'!P179</f>
        <v>100000</v>
      </c>
      <c r="S178">
        <f>'[1]2026 Orders'!Q179</f>
        <v>4958</v>
      </c>
      <c r="T178" t="str">
        <f>'[1]2026 Orders'!R179</f>
        <v>TBD</v>
      </c>
      <c r="U178">
        <f>'[1]2026 Orders'!S179</f>
        <v>0</v>
      </c>
      <c r="V178">
        <f>'[1]2026 Orders'!T179</f>
        <v>0</v>
      </c>
      <c r="W178">
        <f>'[1]2026 Orders'!U179</f>
        <v>0</v>
      </c>
      <c r="X178">
        <f>'[1]2026 Orders'!V179</f>
        <v>0</v>
      </c>
      <c r="Y178">
        <f>'[1]2026 Orders'!W179</f>
        <v>0</v>
      </c>
      <c r="Z178" t="str">
        <f>'[1]2026 Orders'!X179</f>
        <v>HOLD</v>
      </c>
      <c r="AC178" t="str">
        <f t="shared" si="4"/>
        <v>62962/</v>
      </c>
      <c r="AD178" t="e">
        <f t="shared" si="5"/>
        <v>#VALUE!</v>
      </c>
    </row>
    <row r="179" spans="1:30" ht="33" hidden="1" customHeight="1" x14ac:dyDescent="0.3">
      <c r="A179">
        <f>'[1]2026 Orders'!A180</f>
        <v>46003</v>
      </c>
      <c r="B179" s="14" t="str">
        <f>'[1]2026 Orders'!B180</f>
        <v>Iraq</v>
      </c>
      <c r="C179" s="14" t="str">
        <f>'[1]2026 Orders'!C180</f>
        <v>A4610</v>
      </c>
      <c r="D179" s="14" t="str">
        <f>'[1]2026 Orders'!D180</f>
        <v>6/2/2026: 30% Down Payment needed.</v>
      </c>
      <c r="E179" s="17" t="str" cm="1">
        <f t="array" ref="E179">IF(C179=0,"",
HYPERLINK(
"#'2026 Orders'!C"&amp;
MATCH(1,
('2026 Orders'!C:C=C179)*
('2026 Orders'!G:G=G179)*
('2026 Orders'!N:N=N179),
0),
"Open "&amp;C179
))</f>
        <v>Open A4610</v>
      </c>
      <c r="F179" s="14" t="str">
        <f>'[1]2026 Orders'!F180</f>
        <v>Product changed to ZINC50-30-CS-IQ</v>
      </c>
      <c r="G179" s="14" t="str">
        <f>'[1]2026 Orders'!G180</f>
        <v>ZINC50-30-CS-IQ</v>
      </c>
      <c r="H179" s="14" t="str" cm="1">
        <f t="array" ref="H179">IFERROR(_xlfn.TEXTJOIN("-",,INDEX(_xlfn.TEXTSPLIT(TableTake[[#This Row],[SKU]],"-"),{1,2})),"")</f>
        <v>ZINC50-30</v>
      </c>
      <c r="I179" s="15" t="str">
        <f>IFERROR(_xlfn.TEXTAFTER(TableTake[[#This Row],[SKU]],"-",-1),"")</f>
        <v>IQ</v>
      </c>
      <c r="J179" s="14">
        <f>'[1]2026 Orders'!H180</f>
        <v>50000</v>
      </c>
      <c r="K179" t="str">
        <f>'[1]2026 Orders'!I180</f>
        <v>IQ129-26</v>
      </c>
      <c r="L179">
        <f>'[1]2026 Orders'!J180</f>
        <v>0</v>
      </c>
      <c r="N179" s="10" t="str">
        <f>'[1]2026 Orders'!L180</f>
        <v>ON HOLD</v>
      </c>
      <c r="O179">
        <f>'[1]2026 Orders'!M180</f>
        <v>0</v>
      </c>
      <c r="P179" t="str">
        <f>'[1]2026 Orders'!N180</f>
        <v>NA</v>
      </c>
      <c r="Q179" t="str">
        <f>'[1]2026 Orders'!O180</f>
        <v>604776738121</v>
      </c>
      <c r="R179">
        <f>'[1]2026 Orders'!P180</f>
        <v>50000</v>
      </c>
      <c r="S179">
        <f>'[1]2026 Orders'!Q180</f>
        <v>4959</v>
      </c>
      <c r="T179" t="str">
        <f>'[1]2026 Orders'!R180</f>
        <v>TBD</v>
      </c>
      <c r="U179" t="str">
        <f>'[1]2026 Orders'!S180</f>
        <v>Need lids and labels.</v>
      </c>
      <c r="V179">
        <f>'[1]2026 Orders'!T180</f>
        <v>0</v>
      </c>
      <c r="W179">
        <f>'[1]2026 Orders'!U180</f>
        <v>0</v>
      </c>
      <c r="X179">
        <f>'[1]2026 Orders'!V180</f>
        <v>0</v>
      </c>
      <c r="Y179">
        <f>'[1]2026 Orders'!W180</f>
        <v>0</v>
      </c>
      <c r="Z179">
        <f>'[1]2026 Orders'!X180</f>
        <v>0</v>
      </c>
      <c r="AC179" t="str">
        <f t="shared" si="4"/>
        <v>50000/</v>
      </c>
      <c r="AD179" t="e">
        <f t="shared" si="5"/>
        <v>#VALUE!</v>
      </c>
    </row>
    <row r="180" spans="1:30" ht="33" hidden="1" customHeight="1" x14ac:dyDescent="0.3">
      <c r="A180">
        <f>'[1]2026 Orders'!A181</f>
        <v>45981</v>
      </c>
      <c r="B180" s="14" t="str">
        <f>'[1]2026 Orders'!B181</f>
        <v>South Sudan</v>
      </c>
      <c r="C180" s="14" t="str">
        <f>'[1]2026 Orders'!C181</f>
        <v>A4586</v>
      </c>
      <c r="D180" s="14">
        <f>'[1]2026 Orders'!D181</f>
        <v>0</v>
      </c>
      <c r="E180" s="17" t="e" cm="1">
        <f t="array" ref="E180">IF(C180=0,"",
HYPERLINK(
"#'2026 Orders'!C"&amp;
MATCH(1,
('2026 Orders'!C:C=C180)*
('2026 Orders'!G:G=G180)*
('2026 Orders'!N:N=N180),
0),
"Open "&amp;C180
))</f>
        <v>#N/A</v>
      </c>
      <c r="F180" s="14">
        <f>'[1]2026 Orders'!F181</f>
        <v>0</v>
      </c>
      <c r="G180" s="14" t="str">
        <f>'[1]2026 Orders'!G181</f>
        <v>OVAMAX-120-FD</v>
      </c>
      <c r="H180" s="14" t="str" cm="1">
        <f t="array" ref="H180">IFERROR(_xlfn.TEXTJOIN("-",,INDEX(_xlfn.TEXTSPLIT(TableTake[[#This Row],[SKU]],"-"),{1,2})),"")</f>
        <v>OVAMAX-120</v>
      </c>
      <c r="I180" s="15" t="str">
        <f>IFERROR(_xlfn.TEXTAFTER(TableTake[[#This Row],[SKU]],"-",-1),"")</f>
        <v>FD</v>
      </c>
      <c r="J180" s="14">
        <f>'[1]2026 Orders'!H181</f>
        <v>300</v>
      </c>
      <c r="K180" t="str">
        <f>'[1]2026 Orders'!I181</f>
        <v>F41-25.0</v>
      </c>
      <c r="L180">
        <f>'[1]2026 Orders'!J181</f>
        <v>300</v>
      </c>
      <c r="N180" s="10">
        <f>'[1]2026 Orders'!L181</f>
        <v>0</v>
      </c>
      <c r="O180">
        <f>'[1]2026 Orders'!M181</f>
        <v>0</v>
      </c>
      <c r="P180" t="str">
        <f>'[1]2026 Orders'!N181</f>
        <v>NA</v>
      </c>
      <c r="Q180">
        <f>'[1]2026 Orders'!O181</f>
        <v>810131199586</v>
      </c>
      <c r="R180">
        <f>'[1]2026 Orders'!P181</f>
        <v>4100</v>
      </c>
      <c r="S180">
        <f>'[1]2026 Orders'!Q181</f>
        <v>4823</v>
      </c>
      <c r="T180">
        <f>'[1]2026 Orders'!R181</f>
        <v>0</v>
      </c>
      <c r="U180">
        <f>'[1]2026 Orders'!S181</f>
        <v>0</v>
      </c>
      <c r="V180">
        <f>'[1]2026 Orders'!T181</f>
        <v>0</v>
      </c>
      <c r="W180">
        <f>'[1]2026 Orders'!U181</f>
        <v>0</v>
      </c>
      <c r="X180">
        <f>'[1]2026 Orders'!V181</f>
        <v>46062</v>
      </c>
      <c r="Y180">
        <f>'[1]2026 Orders'!W181</f>
        <v>0</v>
      </c>
      <c r="Z180">
        <f>'[1]2026 Orders'!X181</f>
        <v>0</v>
      </c>
      <c r="AC180" t="str">
        <f t="shared" si="4"/>
        <v>300/</v>
      </c>
      <c r="AD180" t="e">
        <f t="shared" si="5"/>
        <v>#VALUE!</v>
      </c>
    </row>
    <row r="181" spans="1:30" ht="33" hidden="1" customHeight="1" x14ac:dyDescent="0.3">
      <c r="A181">
        <f>'[1]2026 Orders'!A182</f>
        <v>46009</v>
      </c>
      <c r="B181" s="14" t="str">
        <f>'[1]2026 Orders'!B182</f>
        <v>Botswana</v>
      </c>
      <c r="C181" s="14" t="str">
        <f>'[1]2026 Orders'!C182</f>
        <v>A4611</v>
      </c>
      <c r="D181" s="14" t="str">
        <f>'[1]2026 Orders'!D182</f>
        <v>Awaiting Import Permit Update</v>
      </c>
      <c r="E181" s="17" t="str" cm="1">
        <f t="array" ref="E181">IF(C181=0,"",
HYPERLINK(
"#'2026 Orders'!C"&amp;
MATCH(1,
('2026 Orders'!C:C=C181)*
('2026 Orders'!G:G=G181)*
('2026 Orders'!N:N=N181),
0),
"Open "&amp;C181
))</f>
        <v>Open A4611</v>
      </c>
      <c r="F181" s="14">
        <f>'[1]2026 Orders'!F182</f>
        <v>0</v>
      </c>
      <c r="G181" s="14" t="str">
        <f>'[1]2026 Orders'!G182</f>
        <v>GINKGO-60-FD</v>
      </c>
      <c r="H181" s="14" t="str" cm="1">
        <f t="array" ref="H181">IFERROR(_xlfn.TEXTJOIN("-",,INDEX(_xlfn.TEXTSPLIT(TableTake[[#This Row],[SKU]],"-"),{1,2})),"")</f>
        <v>GINKGO-60</v>
      </c>
      <c r="I181" s="15" t="str">
        <f>IFERROR(_xlfn.TEXTAFTER(TableTake[[#This Row],[SKU]],"-",-1),"")</f>
        <v>FD</v>
      </c>
      <c r="J181" s="14">
        <f>'[1]2026 Orders'!H182</f>
        <v>40</v>
      </c>
      <c r="K181" t="str">
        <f>'[1]2026 Orders'!I182</f>
        <v>F21-23.0</v>
      </c>
      <c r="L181">
        <f>'[1]2026 Orders'!J182</f>
        <v>40</v>
      </c>
      <c r="N181" s="10" t="str">
        <f>'[1]2026 Orders'!L182</f>
        <v>D/W Sent</v>
      </c>
      <c r="O181">
        <f>'[1]2026 Orders'!M182</f>
        <v>46094</v>
      </c>
      <c r="P181" t="str">
        <f>'[1]2026 Orders'!N182</f>
        <v>NA</v>
      </c>
      <c r="Q181">
        <f>'[1]2026 Orders'!O182</f>
        <v>609788968146</v>
      </c>
      <c r="R181">
        <f>'[1]2026 Orders'!P182</f>
        <v>0</v>
      </c>
      <c r="S181">
        <f>'[1]2026 Orders'!Q182</f>
        <v>4791</v>
      </c>
      <c r="T181">
        <f>'[1]2026 Orders'!R182</f>
        <v>0</v>
      </c>
      <c r="U181">
        <f>'[1]2026 Orders'!S182</f>
        <v>0</v>
      </c>
      <c r="V181">
        <f>'[1]2026 Orders'!T182</f>
        <v>0</v>
      </c>
      <c r="W181">
        <f>'[1]2026 Orders'!U182</f>
        <v>0</v>
      </c>
      <c r="X181">
        <f>'[1]2026 Orders'!V182</f>
        <v>0</v>
      </c>
      <c r="Y181">
        <f>'[1]2026 Orders'!W182</f>
        <v>0</v>
      </c>
      <c r="Z181" t="str">
        <f>'[1]2026 Orders'!X182</f>
        <v>HOLD</v>
      </c>
      <c r="AC181" t="str">
        <f t="shared" si="4"/>
        <v>40/</v>
      </c>
      <c r="AD181" t="e">
        <f t="shared" si="5"/>
        <v>#VALUE!</v>
      </c>
    </row>
    <row r="182" spans="1:30" ht="33" hidden="1" customHeight="1" x14ac:dyDescent="0.3">
      <c r="A182">
        <f>'[1]2026 Orders'!A183</f>
        <v>46009</v>
      </c>
      <c r="B182" s="14" t="str">
        <f>'[1]2026 Orders'!B183</f>
        <v>Botswana</v>
      </c>
      <c r="C182" s="14" t="str">
        <f>'[1]2026 Orders'!C183</f>
        <v>A4611</v>
      </c>
      <c r="D182" s="14">
        <f>'[1]2026 Orders'!D183</f>
        <v>0</v>
      </c>
      <c r="E182" s="17" t="str" cm="1">
        <f t="array" ref="E182">IF(C182=0,"",
HYPERLINK(
"#'2026 Orders'!C"&amp;
MATCH(1,
('2026 Orders'!C:C=C182)*
('2026 Orders'!G:G=G182)*
('2026 Orders'!N:N=N182),
0),
"Open "&amp;C182
))</f>
        <v>Open A4611</v>
      </c>
      <c r="F182" s="14">
        <f>'[1]2026 Orders'!F183</f>
        <v>0</v>
      </c>
      <c r="G182" s="14" t="str">
        <f>'[1]2026 Orders'!G183</f>
        <v>XTRAD10-60-FD</v>
      </c>
      <c r="H182" s="14" t="str" cm="1">
        <f t="array" ref="H182">IFERROR(_xlfn.TEXTJOIN("-",,INDEX(_xlfn.TEXTSPLIT(TableTake[[#This Row],[SKU]],"-"),{1,2})),"")</f>
        <v>XTRAD10-60</v>
      </c>
      <c r="I182" s="15" t="str">
        <f>IFERROR(_xlfn.TEXTAFTER(TableTake[[#This Row],[SKU]],"-",-1),"")</f>
        <v>FD</v>
      </c>
      <c r="J182" s="14">
        <f>'[1]2026 Orders'!H183</f>
        <v>1200</v>
      </c>
      <c r="K182" t="str">
        <f>'[1]2026 Orders'!I183</f>
        <v>F76-25.0</v>
      </c>
      <c r="L182">
        <f>'[1]2026 Orders'!J183</f>
        <v>1200</v>
      </c>
      <c r="N182" s="10" t="str">
        <f>'[1]2026 Orders'!L183</f>
        <v>D/W Sent</v>
      </c>
      <c r="O182">
        <f>'[1]2026 Orders'!M183</f>
        <v>0</v>
      </c>
      <c r="P182" t="str">
        <f>'[1]2026 Orders'!N183</f>
        <v>NA</v>
      </c>
      <c r="Q182">
        <f>'[1]2026 Orders'!O183</f>
        <v>609788968122</v>
      </c>
      <c r="R182">
        <f>'[1]2026 Orders'!P183</f>
        <v>0</v>
      </c>
      <c r="S182">
        <f>'[1]2026 Orders'!Q183</f>
        <v>4926</v>
      </c>
      <c r="T182">
        <f>'[1]2026 Orders'!R183</f>
        <v>0</v>
      </c>
      <c r="U182">
        <f>'[1]2026 Orders'!S183</f>
        <v>0</v>
      </c>
      <c r="V182">
        <f>'[1]2026 Orders'!T183</f>
        <v>0</v>
      </c>
      <c r="W182">
        <f>'[1]2026 Orders'!U183</f>
        <v>0</v>
      </c>
      <c r="X182">
        <f>'[1]2026 Orders'!V183</f>
        <v>0</v>
      </c>
      <c r="Y182">
        <f>'[1]2026 Orders'!W183</f>
        <v>0</v>
      </c>
      <c r="Z182">
        <f>'[1]2026 Orders'!X183</f>
        <v>0</v>
      </c>
      <c r="AC182" t="str">
        <f t="shared" si="4"/>
        <v>1200/</v>
      </c>
      <c r="AD182" t="e">
        <f t="shared" si="5"/>
        <v>#VALUE!</v>
      </c>
    </row>
    <row r="183" spans="1:30" ht="33" hidden="1" customHeight="1" x14ac:dyDescent="0.3">
      <c r="A183">
        <f>'[1]2026 Orders'!A184</f>
        <v>46009</v>
      </c>
      <c r="B183" s="14" t="str">
        <f>'[1]2026 Orders'!B184</f>
        <v>Botswana</v>
      </c>
      <c r="C183" s="14" t="str">
        <f>'[1]2026 Orders'!C184</f>
        <v>A4611</v>
      </c>
      <c r="D183" s="14">
        <f>'[1]2026 Orders'!D184</f>
        <v>0</v>
      </c>
      <c r="E183" s="17" t="str" cm="1">
        <f t="array" ref="E183">IF(C183=0,"",
HYPERLINK(
"#'2026 Orders'!C"&amp;
MATCH(1,
('2026 Orders'!C:C=C183)*
('2026 Orders'!G:G=G183)*
('2026 Orders'!N:N=N183),
0),
"Open "&amp;C183
))</f>
        <v>Open A4611</v>
      </c>
      <c r="F183" s="14">
        <f>'[1]2026 Orders'!F184</f>
        <v>0</v>
      </c>
      <c r="G183" s="14" t="str">
        <f>'[1]2026 Orders'!G184</f>
        <v>MOTILMX-60-FD</v>
      </c>
      <c r="H183" s="14" t="str" cm="1">
        <f t="array" ref="H183">IFERROR(_xlfn.TEXTJOIN("-",,INDEX(_xlfn.TEXTSPLIT(TableTake[[#This Row],[SKU]],"-"),{1,2})),"")</f>
        <v>MOTILMX-60</v>
      </c>
      <c r="I183" s="15" t="str">
        <f>IFERROR(_xlfn.TEXTAFTER(TableTake[[#This Row],[SKU]],"-",-1),"")</f>
        <v>FD</v>
      </c>
      <c r="J183" s="14">
        <f>'[1]2026 Orders'!H184</f>
        <v>100</v>
      </c>
      <c r="K183" t="str">
        <f>'[1]2026 Orders'!I184</f>
        <v>F31-23.0</v>
      </c>
      <c r="L183">
        <f>'[1]2026 Orders'!J184</f>
        <v>100</v>
      </c>
      <c r="N183" s="10" t="str">
        <f>'[1]2026 Orders'!L184</f>
        <v>D/W Sent</v>
      </c>
      <c r="O183">
        <f>'[1]2026 Orders'!M184</f>
        <v>0</v>
      </c>
      <c r="P183" t="str">
        <f>'[1]2026 Orders'!N184</f>
        <v>NA</v>
      </c>
      <c r="Q183">
        <f>'[1]2026 Orders'!O184</f>
        <v>609788968191</v>
      </c>
      <c r="R183">
        <f>'[1]2026 Orders'!P184</f>
        <v>0</v>
      </c>
      <c r="S183">
        <f>'[1]2026 Orders'!Q184</f>
        <v>4848</v>
      </c>
      <c r="T183">
        <f>'[1]2026 Orders'!R184</f>
        <v>0</v>
      </c>
      <c r="U183">
        <f>'[1]2026 Orders'!S184</f>
        <v>0</v>
      </c>
      <c r="V183">
        <f>'[1]2026 Orders'!T184</f>
        <v>0</v>
      </c>
      <c r="W183">
        <f>'[1]2026 Orders'!U184</f>
        <v>0</v>
      </c>
      <c r="X183">
        <f>'[1]2026 Orders'!V184</f>
        <v>0</v>
      </c>
      <c r="Y183">
        <f>'[1]2026 Orders'!W184</f>
        <v>0</v>
      </c>
      <c r="Z183">
        <f>'[1]2026 Orders'!X184</f>
        <v>0</v>
      </c>
      <c r="AC183" t="str">
        <f t="shared" si="4"/>
        <v>100/</v>
      </c>
      <c r="AD183" t="e">
        <f t="shared" si="5"/>
        <v>#VALUE!</v>
      </c>
    </row>
    <row r="184" spans="1:30" ht="33" hidden="1" customHeight="1" x14ac:dyDescent="0.3">
      <c r="A184">
        <f>'[1]2026 Orders'!A185</f>
        <v>46009</v>
      </c>
      <c r="B184" s="14" t="str">
        <f>'[1]2026 Orders'!B185</f>
        <v>Botswana</v>
      </c>
      <c r="C184" s="14" t="str">
        <f>'[1]2026 Orders'!C185</f>
        <v>A4611</v>
      </c>
      <c r="D184" s="14">
        <f>'[1]2026 Orders'!D185</f>
        <v>0</v>
      </c>
      <c r="E184" s="17" t="str" cm="1">
        <f t="array" ref="E184">IF(C184=0,"",
HYPERLINK(
"#'2026 Orders'!C"&amp;
MATCH(1,
('2026 Orders'!C:C=C184)*
('2026 Orders'!G:G=G184)*
('2026 Orders'!N:N=N184),
0),
"Open "&amp;C184
))</f>
        <v>Open A4611</v>
      </c>
      <c r="F184" s="14">
        <f>'[1]2026 Orders'!F185</f>
        <v>0</v>
      </c>
      <c r="G184" s="14" t="str">
        <f>'[1]2026 Orders'!G185</f>
        <v>MFSPLS-120-FD</v>
      </c>
      <c r="H184" s="14" t="str" cm="1">
        <f t="array" ref="H184">IFERROR(_xlfn.TEXTJOIN("-",,INDEX(_xlfn.TEXTSPLIT(TableTake[[#This Row],[SKU]],"-"),{1,2})),"")</f>
        <v>MFSPLS-120</v>
      </c>
      <c r="I184" s="15" t="str">
        <f>IFERROR(_xlfn.TEXTAFTER(TableTake[[#This Row],[SKU]],"-",-1),"")</f>
        <v>FD</v>
      </c>
      <c r="J184" s="14">
        <f>'[1]2026 Orders'!H185</f>
        <v>80</v>
      </c>
      <c r="K184" t="str">
        <f>'[1]2026 Orders'!I185</f>
        <v>F30-25.1</v>
      </c>
      <c r="L184">
        <f>'[1]2026 Orders'!J185</f>
        <v>80</v>
      </c>
      <c r="N184" s="10" t="str">
        <f>'[1]2026 Orders'!L185</f>
        <v>D/W Sent</v>
      </c>
      <c r="O184">
        <f>'[1]2026 Orders'!M185</f>
        <v>0</v>
      </c>
      <c r="P184" t="str">
        <f>'[1]2026 Orders'!N185</f>
        <v>NA</v>
      </c>
      <c r="Q184">
        <f>'[1]2026 Orders'!O185</f>
        <v>609788968344</v>
      </c>
      <c r="R184">
        <f>'[1]2026 Orders'!P185</f>
        <v>0</v>
      </c>
      <c r="S184">
        <f>'[1]2026 Orders'!Q185</f>
        <v>4846</v>
      </c>
      <c r="T184">
        <f>'[1]2026 Orders'!R185</f>
        <v>0</v>
      </c>
      <c r="U184">
        <f>'[1]2026 Orders'!S185</f>
        <v>0</v>
      </c>
      <c r="V184">
        <f>'[1]2026 Orders'!T185</f>
        <v>0</v>
      </c>
      <c r="W184">
        <f>'[1]2026 Orders'!U185</f>
        <v>0</v>
      </c>
      <c r="X184">
        <f>'[1]2026 Orders'!V185</f>
        <v>0</v>
      </c>
      <c r="Y184">
        <f>'[1]2026 Orders'!W185</f>
        <v>0</v>
      </c>
      <c r="Z184">
        <f>'[1]2026 Orders'!X185</f>
        <v>0</v>
      </c>
      <c r="AC184" t="str">
        <f t="shared" si="4"/>
        <v>80/</v>
      </c>
      <c r="AD184" t="e">
        <f t="shared" si="5"/>
        <v>#VALUE!</v>
      </c>
    </row>
    <row r="185" spans="1:30" ht="33" hidden="1" customHeight="1" x14ac:dyDescent="0.3">
      <c r="A185">
        <f>'[1]2026 Orders'!A186</f>
        <v>46009</v>
      </c>
      <c r="B185" s="14" t="str">
        <f>'[1]2026 Orders'!B186</f>
        <v>Botswana</v>
      </c>
      <c r="C185" s="14" t="str">
        <f>'[1]2026 Orders'!C186</f>
        <v>A4611</v>
      </c>
      <c r="D185" s="14">
        <f>'[1]2026 Orders'!D186</f>
        <v>0</v>
      </c>
      <c r="E185" s="17" t="str" cm="1">
        <f t="array" ref="E185">IF(C185=0,"",
HYPERLINK(
"#'2026 Orders'!C"&amp;
MATCH(1,
('2026 Orders'!C:C=C185)*
('2026 Orders'!G:G=G185)*
('2026 Orders'!N:N=N185),
0),
"Open "&amp;C185
))</f>
        <v>Open A4611</v>
      </c>
      <c r="F185" s="14">
        <f>'[1]2026 Orders'!F186</f>
        <v>0</v>
      </c>
      <c r="G185" s="14" t="str">
        <f>'[1]2026 Orders'!G186</f>
        <v>FIBRO-60-FD</v>
      </c>
      <c r="H185" s="14" t="str" cm="1">
        <f t="array" ref="H185">IFERROR(_xlfn.TEXTJOIN("-",,INDEX(_xlfn.TEXTSPLIT(TableTake[[#This Row],[SKU]],"-"),{1,2})),"")</f>
        <v>FIBRO-60</v>
      </c>
      <c r="I185" s="15" t="str">
        <f>IFERROR(_xlfn.TEXTAFTER(TableTake[[#This Row],[SKU]],"-",-1),"")</f>
        <v>FD</v>
      </c>
      <c r="J185" s="14">
        <f>'[1]2026 Orders'!H186</f>
        <v>60</v>
      </c>
      <c r="K185" t="str">
        <f>'[1]2026 Orders'!I186</f>
        <v>F17-25.1</v>
      </c>
      <c r="L185">
        <f>'[1]2026 Orders'!J186</f>
        <v>60</v>
      </c>
      <c r="N185" s="10" t="str">
        <f>'[1]2026 Orders'!L186</f>
        <v>D/W Sent</v>
      </c>
      <c r="O185">
        <f>'[1]2026 Orders'!M186</f>
        <v>0</v>
      </c>
      <c r="P185" t="str">
        <f>'[1]2026 Orders'!N186</f>
        <v>NA</v>
      </c>
      <c r="Q185">
        <f>'[1]2026 Orders'!O186</f>
        <v>609788968498</v>
      </c>
      <c r="R185">
        <f>'[1]2026 Orders'!P186</f>
        <v>0</v>
      </c>
      <c r="S185">
        <f>'[1]2026 Orders'!Q186</f>
        <v>4840</v>
      </c>
      <c r="T185">
        <f>'[1]2026 Orders'!R186</f>
        <v>0</v>
      </c>
      <c r="U185">
        <f>'[1]2026 Orders'!S186</f>
        <v>0</v>
      </c>
      <c r="V185">
        <f>'[1]2026 Orders'!T186</f>
        <v>0</v>
      </c>
      <c r="W185">
        <f>'[1]2026 Orders'!U186</f>
        <v>0</v>
      </c>
      <c r="X185">
        <f>'[1]2026 Orders'!V186</f>
        <v>0</v>
      </c>
      <c r="Y185">
        <f>'[1]2026 Orders'!W186</f>
        <v>0</v>
      </c>
      <c r="Z185">
        <f>'[1]2026 Orders'!X186</f>
        <v>0</v>
      </c>
      <c r="AC185" t="str">
        <f t="shared" si="4"/>
        <v>60/</v>
      </c>
      <c r="AD185" t="e">
        <f t="shared" si="5"/>
        <v>#VALUE!</v>
      </c>
    </row>
    <row r="186" spans="1:30" ht="33" hidden="1" customHeight="1" x14ac:dyDescent="0.3">
      <c r="A186">
        <f>'[1]2026 Orders'!A187</f>
        <v>46009</v>
      </c>
      <c r="B186" s="14" t="str">
        <f>'[1]2026 Orders'!B187</f>
        <v>Botswana</v>
      </c>
      <c r="C186" s="14" t="str">
        <f>'[1]2026 Orders'!C187</f>
        <v>A4611</v>
      </c>
      <c r="D186" s="14">
        <f>'[1]2026 Orders'!D187</f>
        <v>0</v>
      </c>
      <c r="E186" s="17" t="str" cm="1">
        <f t="array" ref="E186">IF(C186=0,"",
HYPERLINK(
"#'2026 Orders'!C"&amp;
MATCH(1,
('2026 Orders'!C:C=C186)*
('2026 Orders'!G:G=G186)*
('2026 Orders'!N:N=N186),
0),
"Open "&amp;C186
))</f>
        <v>Open A4611</v>
      </c>
      <c r="F186" s="14">
        <f>'[1]2026 Orders'!F187</f>
        <v>0</v>
      </c>
      <c r="G186" s="14" t="str">
        <f>'[1]2026 Orders'!G187</f>
        <v>DHEA50-60-FD</v>
      </c>
      <c r="H186" s="14" t="str" cm="1">
        <f t="array" ref="H186">IFERROR(_xlfn.TEXTJOIN("-",,INDEX(_xlfn.TEXTSPLIT(TableTake[[#This Row],[SKU]],"-"),{1,2})),"")</f>
        <v>DHEA50-60</v>
      </c>
      <c r="I186" s="15" t="str">
        <f>IFERROR(_xlfn.TEXTAFTER(TableTake[[#This Row],[SKU]],"-",-1),"")</f>
        <v>FD</v>
      </c>
      <c r="J186" s="14">
        <f>'[1]2026 Orders'!H187</f>
        <v>60</v>
      </c>
      <c r="K186" t="str">
        <f>'[1]2026 Orders'!I187</f>
        <v>F13-25.2</v>
      </c>
      <c r="L186">
        <f>'[1]2026 Orders'!J187</f>
        <v>60</v>
      </c>
      <c r="N186" s="10" t="str">
        <f>'[1]2026 Orders'!L187</f>
        <v>D/W Sent</v>
      </c>
      <c r="O186">
        <f>'[1]2026 Orders'!M187</f>
        <v>0</v>
      </c>
      <c r="P186" t="str">
        <f>'[1]2026 Orders'!N187</f>
        <v>NA</v>
      </c>
      <c r="Q186">
        <f>'[1]2026 Orders'!O187</f>
        <v>609788968221</v>
      </c>
      <c r="R186">
        <f>'[1]2026 Orders'!P187</f>
        <v>0</v>
      </c>
      <c r="S186">
        <f>'[1]2026 Orders'!Q187</f>
        <v>4832</v>
      </c>
      <c r="T186">
        <f>'[1]2026 Orders'!R187</f>
        <v>0</v>
      </c>
      <c r="U186">
        <f>'[1]2026 Orders'!S187</f>
        <v>0</v>
      </c>
      <c r="V186">
        <f>'[1]2026 Orders'!T187</f>
        <v>0</v>
      </c>
      <c r="W186">
        <f>'[1]2026 Orders'!U187</f>
        <v>0</v>
      </c>
      <c r="X186">
        <f>'[1]2026 Orders'!V187</f>
        <v>0</v>
      </c>
      <c r="Y186">
        <f>'[1]2026 Orders'!W187</f>
        <v>0</v>
      </c>
      <c r="Z186">
        <f>'[1]2026 Orders'!X187</f>
        <v>0</v>
      </c>
      <c r="AC186" t="str">
        <f t="shared" si="4"/>
        <v>60/</v>
      </c>
      <c r="AD186" t="e">
        <f t="shared" si="5"/>
        <v>#VALUE!</v>
      </c>
    </row>
    <row r="187" spans="1:30" ht="33" hidden="1" customHeight="1" x14ac:dyDescent="0.3">
      <c r="A187">
        <f>'[1]2026 Orders'!A188</f>
        <v>46009</v>
      </c>
      <c r="B187" s="14" t="str">
        <f>'[1]2026 Orders'!B188</f>
        <v>Botswana</v>
      </c>
      <c r="C187" s="14" t="str">
        <f>'[1]2026 Orders'!C188</f>
        <v>A4611</v>
      </c>
      <c r="D187" s="14">
        <f>'[1]2026 Orders'!D188</f>
        <v>0</v>
      </c>
      <c r="E187" s="17" t="str" cm="1">
        <f t="array" ref="E187">IF(C187=0,"",
HYPERLINK(
"#'2026 Orders'!C"&amp;
MATCH(1,
('2026 Orders'!C:C=C187)*
('2026 Orders'!G:G=G187)*
('2026 Orders'!N:N=N187),
0),
"Open "&amp;C187
))</f>
        <v>Open A4611</v>
      </c>
      <c r="F187" s="14">
        <f>'[1]2026 Orders'!F188</f>
        <v>0</v>
      </c>
      <c r="G187" s="14" t="str">
        <f>'[1]2026 Orders'!G188</f>
        <v>SPERMCT-60-FD</v>
      </c>
      <c r="H187" s="14" t="str" cm="1">
        <f t="array" ref="H187">IFERROR(_xlfn.TEXTJOIN("-",,INDEX(_xlfn.TEXTSPLIT(TableTake[[#This Row],[SKU]],"-"),{1,2})),"")</f>
        <v>SPERMCT-60</v>
      </c>
      <c r="I187" s="15" t="str">
        <f>IFERROR(_xlfn.TEXTAFTER(TableTake[[#This Row],[SKU]],"-",-1),"")</f>
        <v>FD</v>
      </c>
      <c r="J187" s="14">
        <f>'[1]2026 Orders'!H188</f>
        <v>50</v>
      </c>
      <c r="K187" t="str">
        <f>'[1]2026 Orders'!I188</f>
        <v>F64-25.0</v>
      </c>
      <c r="L187">
        <f>'[1]2026 Orders'!J188</f>
        <v>50</v>
      </c>
      <c r="N187" s="10" t="str">
        <f>'[1]2026 Orders'!L188</f>
        <v>D/W Sent</v>
      </c>
      <c r="O187">
        <f>'[1]2026 Orders'!M188</f>
        <v>0</v>
      </c>
      <c r="P187" t="str">
        <f>'[1]2026 Orders'!N188</f>
        <v>NA</v>
      </c>
      <c r="Q187">
        <f>'[1]2026 Orders'!O188</f>
        <v>609788968405</v>
      </c>
      <c r="R187">
        <f>'[1]2026 Orders'!P188</f>
        <v>0</v>
      </c>
      <c r="S187">
        <f>'[1]2026 Orders'!Q188</f>
        <v>4850</v>
      </c>
      <c r="T187">
        <f>'[1]2026 Orders'!R188</f>
        <v>0</v>
      </c>
      <c r="U187">
        <f>'[1]2026 Orders'!S188</f>
        <v>0</v>
      </c>
      <c r="V187">
        <f>'[1]2026 Orders'!T188</f>
        <v>0</v>
      </c>
      <c r="W187">
        <f>'[1]2026 Orders'!U188</f>
        <v>0</v>
      </c>
      <c r="X187">
        <f>'[1]2026 Orders'!V188</f>
        <v>0</v>
      </c>
      <c r="Y187">
        <f>'[1]2026 Orders'!W188</f>
        <v>0</v>
      </c>
      <c r="Z187">
        <f>'[1]2026 Orders'!X188</f>
        <v>0</v>
      </c>
      <c r="AC187" t="str">
        <f t="shared" si="4"/>
        <v>50/</v>
      </c>
      <c r="AD187" t="e">
        <f t="shared" si="5"/>
        <v>#VALUE!</v>
      </c>
    </row>
    <row r="188" spans="1:30" ht="33" hidden="1" customHeight="1" x14ac:dyDescent="0.3">
      <c r="A188">
        <f>'[1]2026 Orders'!A189</f>
        <v>46009</v>
      </c>
      <c r="B188" s="14" t="str">
        <f>'[1]2026 Orders'!B189</f>
        <v>Botswana</v>
      </c>
      <c r="C188" s="14" t="str">
        <f>'[1]2026 Orders'!C189</f>
        <v>A4611</v>
      </c>
      <c r="D188" s="14">
        <f>'[1]2026 Orders'!D189</f>
        <v>0</v>
      </c>
      <c r="E188" s="17" t="str" cm="1">
        <f t="array" ref="E188">IF(C188=0,"",
HYPERLINK(
"#'2026 Orders'!C"&amp;
MATCH(1,
('2026 Orders'!C:C=C188)*
('2026 Orders'!G:G=G188)*
('2026 Orders'!N:N=N188),
0),
"Open "&amp;C188
))</f>
        <v>Open A4611</v>
      </c>
      <c r="F188" s="14">
        <f>'[1]2026 Orders'!F189</f>
        <v>49241225</v>
      </c>
      <c r="G188" s="14" t="str">
        <f>'[1]2026 Orders'!G189</f>
        <v>CAVIN-60-FD</v>
      </c>
      <c r="H188" s="14" t="str" cm="1">
        <f t="array" ref="H188">IFERROR(_xlfn.TEXTJOIN("-",,INDEX(_xlfn.TEXTSPLIT(TableTake[[#This Row],[SKU]],"-"),{1,2})),"")</f>
        <v>CAVIN-60</v>
      </c>
      <c r="I188" s="15" t="str">
        <f>IFERROR(_xlfn.TEXTAFTER(TableTake[[#This Row],[SKU]],"-",-1),"")</f>
        <v>FD</v>
      </c>
      <c r="J188" s="14">
        <f>'[1]2026 Orders'!H189</f>
        <v>46</v>
      </c>
      <c r="K188" t="str">
        <f>'[1]2026 Orders'!I189</f>
        <v>F08-25.0</v>
      </c>
      <c r="L188">
        <f>'[1]2026 Orders'!J189</f>
        <v>46</v>
      </c>
      <c r="N188" s="10" t="str">
        <f>'[1]2026 Orders'!L189</f>
        <v>D/W Sent</v>
      </c>
      <c r="O188">
        <f>'[1]2026 Orders'!M189</f>
        <v>0</v>
      </c>
      <c r="P188" t="str">
        <f>'[1]2026 Orders'!N189</f>
        <v>NA</v>
      </c>
      <c r="Q188">
        <f>'[1]2026 Orders'!O189</f>
        <v>609788968597</v>
      </c>
      <c r="R188">
        <f>'[1]2026 Orders'!P189</f>
        <v>5000</v>
      </c>
      <c r="S188">
        <f>'[1]2026 Orders'!Q189</f>
        <v>4924</v>
      </c>
      <c r="T188" t="str">
        <f>'[1]2026 Orders'!R189</f>
        <v>complete</v>
      </c>
      <c r="U188">
        <f>'[1]2026 Orders'!S189</f>
        <v>0</v>
      </c>
      <c r="V188">
        <f>'[1]2026 Orders'!T189</f>
        <v>0</v>
      </c>
      <c r="W188">
        <f>'[1]2026 Orders'!U189</f>
        <v>0</v>
      </c>
      <c r="X188">
        <f>'[1]2026 Orders'!V189</f>
        <v>0</v>
      </c>
      <c r="Y188">
        <f>'[1]2026 Orders'!W189</f>
        <v>0</v>
      </c>
      <c r="Z188">
        <f>'[1]2026 Orders'!X189</f>
        <v>0</v>
      </c>
      <c r="AC188" t="str">
        <f t="shared" si="4"/>
        <v>46/</v>
      </c>
      <c r="AD188" t="e">
        <f t="shared" si="5"/>
        <v>#VALUE!</v>
      </c>
    </row>
    <row r="189" spans="1:30" ht="33" hidden="1" customHeight="1" x14ac:dyDescent="0.3">
      <c r="A189">
        <f>'[1]2026 Orders'!A190</f>
        <v>46009</v>
      </c>
      <c r="B189" s="14" t="str">
        <f>'[1]2026 Orders'!B190</f>
        <v>Botswana</v>
      </c>
      <c r="C189" s="14" t="str">
        <f>'[1]2026 Orders'!C190</f>
        <v>A4611</v>
      </c>
      <c r="D189" s="14">
        <f>'[1]2026 Orders'!D190</f>
        <v>0</v>
      </c>
      <c r="E189" s="17" t="str" cm="1">
        <f t="array" ref="E189">IF(C189=0,"",
HYPERLINK(
"#'2026 Orders'!C"&amp;
MATCH(1,
('2026 Orders'!C:C=C189)*
('2026 Orders'!G:G=G189)*
('2026 Orders'!N:N=N189),
0),
"Open "&amp;C189
))</f>
        <v>Open A4611</v>
      </c>
      <c r="F189" s="14">
        <f>'[1]2026 Orders'!F190</f>
        <v>0</v>
      </c>
      <c r="G189" s="14" t="str">
        <f>'[1]2026 Orders'!G190</f>
        <v>CAVIN-60-FD</v>
      </c>
      <c r="H189" s="14" t="str" cm="1">
        <f t="array" ref="H189">IFERROR(_xlfn.TEXTJOIN("-",,INDEX(_xlfn.TEXTSPLIT(TableTake[[#This Row],[SKU]],"-"),{1,2})),"")</f>
        <v>CAVIN-60</v>
      </c>
      <c r="I189" s="15" t="str">
        <f>IFERROR(_xlfn.TEXTAFTER(TableTake[[#This Row],[SKU]],"-",-1),"")</f>
        <v>FD</v>
      </c>
      <c r="J189" s="14">
        <f>'[1]2026 Orders'!H190</f>
        <v>12</v>
      </c>
      <c r="K189" t="str">
        <f>'[1]2026 Orders'!I190</f>
        <v>F08-25.0</v>
      </c>
      <c r="L189">
        <f>'[1]2026 Orders'!J190</f>
        <v>12</v>
      </c>
      <c r="N189" s="10" t="str">
        <f>'[1]2026 Orders'!L190</f>
        <v>D/W Sent</v>
      </c>
      <c r="O189">
        <f>'[1]2026 Orders'!M190</f>
        <v>0</v>
      </c>
      <c r="P189">
        <f>'[1]2026 Orders'!N190</f>
        <v>0</v>
      </c>
      <c r="Q189">
        <f>'[1]2026 Orders'!O190</f>
        <v>0</v>
      </c>
      <c r="R189">
        <f>'[1]2026 Orders'!P190</f>
        <v>0</v>
      </c>
      <c r="S189">
        <f>'[1]2026 Orders'!Q190</f>
        <v>0</v>
      </c>
      <c r="T189">
        <f>'[1]2026 Orders'!R190</f>
        <v>0</v>
      </c>
      <c r="U189">
        <f>'[1]2026 Orders'!S190</f>
        <v>0</v>
      </c>
      <c r="V189">
        <f>'[1]2026 Orders'!T190</f>
        <v>0</v>
      </c>
      <c r="W189">
        <f>'[1]2026 Orders'!U190</f>
        <v>0</v>
      </c>
      <c r="X189">
        <f>'[1]2026 Orders'!V190</f>
        <v>0</v>
      </c>
      <c r="Y189">
        <f>'[1]2026 Orders'!W190</f>
        <v>0</v>
      </c>
      <c r="Z189">
        <f>'[1]2026 Orders'!X190</f>
        <v>0</v>
      </c>
      <c r="AC189" t="str">
        <f t="shared" si="4"/>
        <v>12/</v>
      </c>
      <c r="AD189" t="e">
        <f t="shared" si="5"/>
        <v>#VALUE!</v>
      </c>
    </row>
    <row r="190" spans="1:30" ht="33" hidden="1" customHeight="1" x14ac:dyDescent="0.3">
      <c r="A190">
        <f>'[1]2026 Orders'!A191</f>
        <v>46009</v>
      </c>
      <c r="B190" s="14" t="str">
        <f>'[1]2026 Orders'!B191</f>
        <v>Botswana</v>
      </c>
      <c r="C190" s="14" t="str">
        <f>'[1]2026 Orders'!C191</f>
        <v>A4611</v>
      </c>
      <c r="D190" s="14">
        <f>'[1]2026 Orders'!D191</f>
        <v>0</v>
      </c>
      <c r="E190" s="17" t="str" cm="1">
        <f t="array" ref="E190">IF(C190=0,"",
HYPERLINK(
"#'2026 Orders'!C"&amp;
MATCH(1,
('2026 Orders'!C:C=C190)*
('2026 Orders'!G:G=G190)*
('2026 Orders'!N:N=N190),
0),
"Open "&amp;C190
))</f>
        <v>Open A4611</v>
      </c>
      <c r="F190" s="14">
        <f>'[1]2026 Orders'!F191</f>
        <v>0</v>
      </c>
      <c r="G190" s="14" t="str">
        <f>'[1]2026 Orders'!G191</f>
        <v>OME369-90-FD</v>
      </c>
      <c r="H190" s="14" t="str" cm="1">
        <f t="array" ref="H190">IFERROR(_xlfn.TEXTJOIN("-",,INDEX(_xlfn.TEXTSPLIT(TableTake[[#This Row],[SKU]],"-"),{1,2})),"")</f>
        <v>OME369-90</v>
      </c>
      <c r="I190" s="15" t="str">
        <f>IFERROR(_xlfn.TEXTAFTER(TableTake[[#This Row],[SKU]],"-",-1),"")</f>
        <v>FD</v>
      </c>
      <c r="J190" s="14">
        <f>'[1]2026 Orders'!H191</f>
        <v>60</v>
      </c>
      <c r="K190" t="str">
        <f>'[1]2026 Orders'!I191</f>
        <v>F36-22.1</v>
      </c>
      <c r="L190">
        <f>'[1]2026 Orders'!J191</f>
        <v>60</v>
      </c>
      <c r="N190" s="10" t="str">
        <f>'[1]2026 Orders'!L191</f>
        <v>D/W Sent</v>
      </c>
      <c r="O190">
        <f>'[1]2026 Orders'!M191</f>
        <v>0</v>
      </c>
      <c r="P190" t="str">
        <f>'[1]2026 Orders'!N191</f>
        <v>Y</v>
      </c>
      <c r="Q190">
        <f>'[1]2026 Orders'!O191</f>
        <v>609788968511</v>
      </c>
      <c r="R190">
        <f>'[1]2026 Orders'!P191</f>
        <v>0</v>
      </c>
      <c r="S190">
        <f>'[1]2026 Orders'!Q191</f>
        <v>4896</v>
      </c>
      <c r="T190">
        <f>'[1]2026 Orders'!R191</f>
        <v>0</v>
      </c>
      <c r="U190">
        <f>'[1]2026 Orders'!S191</f>
        <v>0</v>
      </c>
      <c r="V190">
        <f>'[1]2026 Orders'!T191</f>
        <v>0</v>
      </c>
      <c r="W190">
        <f>'[1]2026 Orders'!U191</f>
        <v>0</v>
      </c>
      <c r="X190">
        <f>'[1]2026 Orders'!V191</f>
        <v>0</v>
      </c>
      <c r="Y190">
        <f>'[1]2026 Orders'!W191</f>
        <v>0</v>
      </c>
      <c r="Z190">
        <f>'[1]2026 Orders'!X191</f>
        <v>0</v>
      </c>
      <c r="AC190" t="str">
        <f t="shared" si="4"/>
        <v>60/</v>
      </c>
      <c r="AD190" t="e">
        <f t="shared" si="5"/>
        <v>#VALUE!</v>
      </c>
    </row>
    <row r="191" spans="1:30" ht="33" hidden="1" customHeight="1" x14ac:dyDescent="0.3">
      <c r="A191">
        <f>'[1]2026 Orders'!A192</f>
        <v>0</v>
      </c>
      <c r="B191" s="14">
        <f>'[1]2026 Orders'!B192</f>
        <v>0</v>
      </c>
      <c r="C191" s="14">
        <f>'[1]2026 Orders'!C192</f>
        <v>0</v>
      </c>
      <c r="D191" s="14">
        <f>'[1]2026 Orders'!D192</f>
        <v>0</v>
      </c>
      <c r="E191" s="17" t="str" cm="1">
        <f t="array" ref="E191">IF(C191=0,"",
HYPERLINK(
"#'2026 Orders'!C"&amp;
MATCH(1,
('2026 Orders'!C:C=C191)*
('2026 Orders'!G:G=G191)*
('2026 Orders'!N:N=N191),
0),
"Open "&amp;C191
))</f>
        <v/>
      </c>
      <c r="F191" s="14">
        <f>'[1]2026 Orders'!F192</f>
        <v>0</v>
      </c>
      <c r="G191" s="14">
        <f>'[1]2026 Orders'!G192</f>
        <v>0</v>
      </c>
      <c r="H191" s="14" t="str" cm="1">
        <f t="array" ref="H191">IFERROR(_xlfn.TEXTJOIN("-",,INDEX(_xlfn.TEXTSPLIT(TableTake[[#This Row],[SKU]],"-"),{1,2})),"")</f>
        <v/>
      </c>
      <c r="I191" s="15" t="str">
        <f>IFERROR(_xlfn.TEXTAFTER(TableTake[[#This Row],[SKU]],"-",-1),"")</f>
        <v/>
      </c>
      <c r="J191" s="14">
        <f>'[1]2026 Orders'!H192</f>
        <v>0</v>
      </c>
      <c r="K191">
        <f>'[1]2026 Orders'!I192</f>
        <v>0</v>
      </c>
      <c r="L191">
        <f>'[1]2026 Orders'!J192</f>
        <v>0</v>
      </c>
      <c r="N191" s="10">
        <f>'[1]2026 Orders'!L192</f>
        <v>0</v>
      </c>
      <c r="O191">
        <f>'[1]2026 Orders'!M192</f>
        <v>0</v>
      </c>
      <c r="P191">
        <f>'[1]2026 Orders'!N192</f>
        <v>0</v>
      </c>
      <c r="Q191">
        <f>'[1]2026 Orders'!O192</f>
        <v>0</v>
      </c>
      <c r="R191">
        <f>'[1]2026 Orders'!P192</f>
        <v>0</v>
      </c>
      <c r="S191">
        <f>'[1]2026 Orders'!Q192</f>
        <v>0</v>
      </c>
      <c r="T191">
        <f>'[1]2026 Orders'!R192</f>
        <v>0</v>
      </c>
      <c r="U191">
        <f>'[1]2026 Orders'!S192</f>
        <v>0</v>
      </c>
      <c r="V191">
        <f>'[1]2026 Orders'!T192</f>
        <v>0</v>
      </c>
      <c r="W191">
        <f>'[1]2026 Orders'!U192</f>
        <v>0</v>
      </c>
      <c r="X191">
        <f>'[1]2026 Orders'!V192</f>
        <v>0</v>
      </c>
      <c r="Y191">
        <f>'[1]2026 Orders'!W192</f>
        <v>0</v>
      </c>
      <c r="Z191">
        <f>'[1]2026 Orders'!X192</f>
        <v>0</v>
      </c>
      <c r="AC191" t="str">
        <f t="shared" si="4"/>
        <v/>
      </c>
      <c r="AD191" t="str">
        <f t="shared" si="5"/>
        <v/>
      </c>
    </row>
    <row r="192" spans="1:30" ht="33" hidden="1" customHeight="1" x14ac:dyDescent="0.3">
      <c r="A192">
        <f>'[1]2026 Orders'!A193</f>
        <v>46009</v>
      </c>
      <c r="B192" s="14" t="str">
        <f>'[1]2026 Orders'!B193</f>
        <v>Botswana</v>
      </c>
      <c r="C192" s="14" t="str">
        <f>'[1]2026 Orders'!C193</f>
        <v>A4612</v>
      </c>
      <c r="D192" s="14" t="str">
        <f>'[1]2026 Orders'!D193</f>
        <v>Awaiting Import Permit Update</v>
      </c>
      <c r="E192" s="17" t="str" cm="1">
        <f t="array" ref="E192">IF(C192=0,"",
HYPERLINK(
"#'2026 Orders'!C"&amp;
MATCH(1,
('2026 Orders'!C:C=C192)*
('2026 Orders'!G:G=G192)*
('2026 Orders'!N:N=N192),
0),
"Open "&amp;C192
))</f>
        <v>Open A4612</v>
      </c>
      <c r="F192" s="14">
        <f>'[1]2026 Orders'!F193</f>
        <v>0</v>
      </c>
      <c r="G192" s="14" t="str">
        <f>'[1]2026 Orders'!G193</f>
        <v>OSTEOPL-96-FD</v>
      </c>
      <c r="H192" s="14" t="str" cm="1">
        <f t="array" ref="H192">IFERROR(_xlfn.TEXTJOIN("-",,INDEX(_xlfn.TEXTSPLIT(TableTake[[#This Row],[SKU]],"-"),{1,2})),"")</f>
        <v>OSTEOPL-96</v>
      </c>
      <c r="I192" s="15" t="str">
        <f>IFERROR(_xlfn.TEXTAFTER(TableTake[[#This Row],[SKU]],"-",-1),"")</f>
        <v>FD</v>
      </c>
      <c r="J192" s="14">
        <f>'[1]2026 Orders'!H193</f>
        <v>40</v>
      </c>
      <c r="K192" t="str">
        <f>'[1]2026 Orders'!I193</f>
        <v>F39-24.0</v>
      </c>
      <c r="L192">
        <f>'[1]2026 Orders'!J193</f>
        <v>40</v>
      </c>
      <c r="N192" s="10" t="str">
        <f>'[1]2026 Orders'!L193</f>
        <v>D/W Sent</v>
      </c>
      <c r="O192">
        <f>'[1]2026 Orders'!M193</f>
        <v>46094</v>
      </c>
      <c r="P192" t="str">
        <f>'[1]2026 Orders'!N193</f>
        <v>Y</v>
      </c>
      <c r="Q192">
        <f>'[1]2026 Orders'!O193</f>
        <v>609788968238</v>
      </c>
      <c r="R192">
        <f>'[1]2026 Orders'!P193</f>
        <v>0</v>
      </c>
      <c r="S192">
        <f>'[1]2026 Orders'!Q193</f>
        <v>4841</v>
      </c>
      <c r="T192">
        <f>'[1]2026 Orders'!R193</f>
        <v>0</v>
      </c>
      <c r="U192">
        <f>'[1]2026 Orders'!S193</f>
        <v>0</v>
      </c>
      <c r="V192">
        <f>'[1]2026 Orders'!T193</f>
        <v>0</v>
      </c>
      <c r="W192">
        <f>'[1]2026 Orders'!U193</f>
        <v>0</v>
      </c>
      <c r="X192">
        <f>'[1]2026 Orders'!V193</f>
        <v>0</v>
      </c>
      <c r="Y192">
        <f>'[1]2026 Orders'!W193</f>
        <v>0</v>
      </c>
      <c r="Z192" t="str">
        <f>'[1]2026 Orders'!X193</f>
        <v>HOLD</v>
      </c>
      <c r="AC192" t="str">
        <f t="shared" si="4"/>
        <v>40/</v>
      </c>
      <c r="AD192" t="e">
        <f t="shared" si="5"/>
        <v>#VALUE!</v>
      </c>
    </row>
    <row r="193" spans="1:30" ht="33" hidden="1" customHeight="1" x14ac:dyDescent="0.3">
      <c r="A193">
        <f>'[1]2026 Orders'!A194</f>
        <v>46009</v>
      </c>
      <c r="B193" s="14" t="str">
        <f>'[1]2026 Orders'!B194</f>
        <v>Botswana</v>
      </c>
      <c r="C193" s="14" t="str">
        <f>'[1]2026 Orders'!C194</f>
        <v>A4612</v>
      </c>
      <c r="D193" s="14">
        <f>'[1]2026 Orders'!D194</f>
        <v>0</v>
      </c>
      <c r="E193" s="17" t="str" cm="1">
        <f t="array" ref="E193">IF(C193=0,"",
HYPERLINK(
"#'2026 Orders'!C"&amp;
MATCH(1,
('2026 Orders'!C:C=C193)*
('2026 Orders'!G:G=G193)*
('2026 Orders'!N:N=N193),
0),
"Open "&amp;C193
))</f>
        <v>Open A4612</v>
      </c>
      <c r="F193" s="14">
        <f>'[1]2026 Orders'!F194</f>
        <v>0</v>
      </c>
      <c r="G193" s="14" t="str">
        <f>'[1]2026 Orders'!G194</f>
        <v>GINKGO-60-FD</v>
      </c>
      <c r="H193" s="14" t="str" cm="1">
        <f t="array" ref="H193">IFERROR(_xlfn.TEXTJOIN("-",,INDEX(_xlfn.TEXTSPLIT(TableTake[[#This Row],[SKU]],"-"),{1,2})),"")</f>
        <v>GINKGO-60</v>
      </c>
      <c r="I193" s="15" t="str">
        <f>IFERROR(_xlfn.TEXTAFTER(TableTake[[#This Row],[SKU]],"-",-1),"")</f>
        <v>FD</v>
      </c>
      <c r="J193" s="14">
        <f>'[1]2026 Orders'!H194</f>
        <v>50</v>
      </c>
      <c r="K193" t="str">
        <f>'[1]2026 Orders'!I194</f>
        <v>F21-23.0</v>
      </c>
      <c r="L193">
        <f>'[1]2026 Orders'!J194</f>
        <v>50</v>
      </c>
      <c r="N193" s="10" t="str">
        <f>'[1]2026 Orders'!L194</f>
        <v>D/W Sent</v>
      </c>
      <c r="O193">
        <f>'[1]2026 Orders'!M194</f>
        <v>0</v>
      </c>
      <c r="P193" t="str">
        <f>'[1]2026 Orders'!N194</f>
        <v>NA</v>
      </c>
      <c r="Q193">
        <f>'[1]2026 Orders'!O194</f>
        <v>609788968146</v>
      </c>
      <c r="R193">
        <f>'[1]2026 Orders'!P194</f>
        <v>0</v>
      </c>
      <c r="S193">
        <f>'[1]2026 Orders'!Q194</f>
        <v>4791</v>
      </c>
      <c r="T193">
        <f>'[1]2026 Orders'!R194</f>
        <v>0</v>
      </c>
      <c r="U193">
        <f>'[1]2026 Orders'!S194</f>
        <v>0</v>
      </c>
      <c r="V193">
        <f>'[1]2026 Orders'!T194</f>
        <v>0</v>
      </c>
      <c r="W193">
        <f>'[1]2026 Orders'!U194</f>
        <v>0</v>
      </c>
      <c r="X193">
        <f>'[1]2026 Orders'!V194</f>
        <v>0</v>
      </c>
      <c r="Y193">
        <f>'[1]2026 Orders'!W194</f>
        <v>0</v>
      </c>
      <c r="Z193">
        <f>'[1]2026 Orders'!X194</f>
        <v>0</v>
      </c>
      <c r="AC193" t="str">
        <f t="shared" si="4"/>
        <v>50/</v>
      </c>
      <c r="AD193" t="e">
        <f t="shared" si="5"/>
        <v>#VALUE!</v>
      </c>
    </row>
    <row r="194" spans="1:30" ht="33" hidden="1" customHeight="1" x14ac:dyDescent="0.3">
      <c r="A194">
        <f>'[1]2026 Orders'!A195</f>
        <v>46009</v>
      </c>
      <c r="B194" s="14" t="str">
        <f>'[1]2026 Orders'!B195</f>
        <v>Botswana</v>
      </c>
      <c r="C194" s="14" t="str">
        <f>'[1]2026 Orders'!C195</f>
        <v>A4612</v>
      </c>
      <c r="D194" s="14">
        <f>'[1]2026 Orders'!D195</f>
        <v>0</v>
      </c>
      <c r="E194" s="17" t="str" cm="1">
        <f t="array" ref="E194">IF(C194=0,"",
HYPERLINK(
"#'2026 Orders'!C"&amp;
MATCH(1,
('2026 Orders'!C:C=C194)*
('2026 Orders'!G:G=G194)*
('2026 Orders'!N:N=N194),
0),
"Open "&amp;C194
))</f>
        <v>Open A4612</v>
      </c>
      <c r="F194" s="14">
        <f>'[1]2026 Orders'!F195</f>
        <v>0</v>
      </c>
      <c r="G194" s="14" t="str">
        <f>'[1]2026 Orders'!G195</f>
        <v>PROSTA-90-FD</v>
      </c>
      <c r="H194" s="14" t="str" cm="1">
        <f t="array" ref="H194">IFERROR(_xlfn.TEXTJOIN("-",,INDEX(_xlfn.TEXTSPLIT(TableTake[[#This Row],[SKU]],"-"),{1,2})),"")</f>
        <v>PROSTA-90</v>
      </c>
      <c r="I194" s="15" t="str">
        <f>IFERROR(_xlfn.TEXTAFTER(TableTake[[#This Row],[SKU]],"-",-1),"")</f>
        <v>FD</v>
      </c>
      <c r="J194" s="14">
        <f>'[1]2026 Orders'!H195</f>
        <v>40</v>
      </c>
      <c r="K194" t="str">
        <f>'[1]2026 Orders'!I195</f>
        <v>F56-23.0</v>
      </c>
      <c r="L194">
        <f>'[1]2026 Orders'!J195</f>
        <v>40</v>
      </c>
      <c r="N194" s="10" t="str">
        <f>'[1]2026 Orders'!L195</f>
        <v>D/W Sent</v>
      </c>
      <c r="O194">
        <f>'[1]2026 Orders'!M195</f>
        <v>0</v>
      </c>
      <c r="P194" t="str">
        <f>'[1]2026 Orders'!N195</f>
        <v>NA</v>
      </c>
      <c r="Q194">
        <f>'[1]2026 Orders'!O195</f>
        <v>609788968504</v>
      </c>
      <c r="R194">
        <f>'[1]2026 Orders'!P195</f>
        <v>0</v>
      </c>
      <c r="S194">
        <f>'[1]2026 Orders'!Q195</f>
        <v>4802</v>
      </c>
      <c r="T194">
        <f>'[1]2026 Orders'!R195</f>
        <v>0</v>
      </c>
      <c r="U194">
        <f>'[1]2026 Orders'!S195</f>
        <v>0</v>
      </c>
      <c r="V194">
        <f>'[1]2026 Orders'!T195</f>
        <v>0</v>
      </c>
      <c r="W194">
        <f>'[1]2026 Orders'!U195</f>
        <v>0</v>
      </c>
      <c r="X194">
        <f>'[1]2026 Orders'!V195</f>
        <v>0</v>
      </c>
      <c r="Y194">
        <f>'[1]2026 Orders'!W195</f>
        <v>0</v>
      </c>
      <c r="Z194">
        <f>'[1]2026 Orders'!X195</f>
        <v>0</v>
      </c>
      <c r="AC194" t="str">
        <f t="shared" si="4"/>
        <v>40/</v>
      </c>
      <c r="AD194" t="e">
        <f t="shared" si="5"/>
        <v>#VALUE!</v>
      </c>
    </row>
    <row r="195" spans="1:30" ht="33" hidden="1" customHeight="1" x14ac:dyDescent="0.3">
      <c r="A195">
        <f>'[1]2026 Orders'!A196</f>
        <v>46009</v>
      </c>
      <c r="B195" s="14" t="str">
        <f>'[1]2026 Orders'!B196</f>
        <v>Botswana</v>
      </c>
      <c r="C195" s="14" t="str">
        <f>'[1]2026 Orders'!C196</f>
        <v>A4612</v>
      </c>
      <c r="D195" s="14">
        <f>'[1]2026 Orders'!D196</f>
        <v>0</v>
      </c>
      <c r="E195" s="17" t="str" cm="1">
        <f t="array" ref="E195">IF(C195=0,"",
HYPERLINK(
"#'2026 Orders'!C"&amp;
MATCH(1,
('2026 Orders'!C:C=C195)*
('2026 Orders'!G:G=G195)*
('2026 Orders'!N:N=N195),
0),
"Open "&amp;C195
))</f>
        <v>Open A4612</v>
      </c>
      <c r="F195" s="14">
        <f>'[1]2026 Orders'!F196</f>
        <v>0</v>
      </c>
      <c r="G195" s="14" t="str">
        <f>'[1]2026 Orders'!G196</f>
        <v>XTRAD10-60-FD</v>
      </c>
      <c r="H195" s="14" t="str" cm="1">
        <f t="array" ref="H195">IFERROR(_xlfn.TEXTJOIN("-",,INDEX(_xlfn.TEXTSPLIT(TableTake[[#This Row],[SKU]],"-"),{1,2})),"")</f>
        <v>XTRAD10-60</v>
      </c>
      <c r="I195" s="15" t="str">
        <f>IFERROR(_xlfn.TEXTAFTER(TableTake[[#This Row],[SKU]],"-",-1),"")</f>
        <v>FD</v>
      </c>
      <c r="J195" s="14">
        <f>'[1]2026 Orders'!H196</f>
        <v>600</v>
      </c>
      <c r="K195" t="str">
        <f>'[1]2026 Orders'!I196</f>
        <v>F76-25.0</v>
      </c>
      <c r="L195">
        <f>'[1]2026 Orders'!J196</f>
        <v>600</v>
      </c>
      <c r="N195" s="10" t="str">
        <f>'[1]2026 Orders'!L196</f>
        <v>D/W Sent</v>
      </c>
      <c r="O195">
        <f>'[1]2026 Orders'!M196</f>
        <v>0</v>
      </c>
      <c r="P195" t="str">
        <f>'[1]2026 Orders'!N196</f>
        <v>NA</v>
      </c>
      <c r="Q195">
        <f>'[1]2026 Orders'!O196</f>
        <v>609788968122</v>
      </c>
      <c r="R195">
        <f>'[1]2026 Orders'!P196</f>
        <v>0</v>
      </c>
      <c r="S195">
        <f>'[1]2026 Orders'!Q196</f>
        <v>4926</v>
      </c>
      <c r="T195">
        <f>'[1]2026 Orders'!R196</f>
        <v>0</v>
      </c>
      <c r="U195">
        <f>'[1]2026 Orders'!S196</f>
        <v>0</v>
      </c>
      <c r="V195">
        <f>'[1]2026 Orders'!T196</f>
        <v>0</v>
      </c>
      <c r="W195">
        <f>'[1]2026 Orders'!U196</f>
        <v>0</v>
      </c>
      <c r="X195">
        <f>'[1]2026 Orders'!V196</f>
        <v>0</v>
      </c>
      <c r="Y195">
        <f>'[1]2026 Orders'!W196</f>
        <v>0</v>
      </c>
      <c r="Z195">
        <f>'[1]2026 Orders'!X196</f>
        <v>0</v>
      </c>
      <c r="AC195" t="str">
        <f t="shared" ref="AC195:AC258" si="6">IF(OR(B195="",B195=0),"",J195&amp;"/"&amp;$AJ$2)</f>
        <v>600/</v>
      </c>
      <c r="AD195" t="e">
        <f t="shared" ref="AD195:AD258" si="7">IF(OR(J195="",J195=0),"",I195&amp;" -&gt; "&amp;$AK$2)</f>
        <v>#VALUE!</v>
      </c>
    </row>
    <row r="196" spans="1:30" ht="33" hidden="1" customHeight="1" x14ac:dyDescent="0.3">
      <c r="A196">
        <f>'[1]2026 Orders'!A197</f>
        <v>46009</v>
      </c>
      <c r="B196" s="14" t="str">
        <f>'[1]2026 Orders'!B197</f>
        <v>Botswana</v>
      </c>
      <c r="C196" s="14" t="str">
        <f>'[1]2026 Orders'!C197</f>
        <v>A4612</v>
      </c>
      <c r="D196" s="14">
        <f>'[1]2026 Orders'!D197</f>
        <v>0</v>
      </c>
      <c r="E196" s="17" t="str" cm="1">
        <f t="array" ref="E196">IF(C196=0,"",
HYPERLINK(
"#'2026 Orders'!C"&amp;
MATCH(1,
('2026 Orders'!C:C=C196)*
('2026 Orders'!G:G=G196)*
('2026 Orders'!N:N=N196),
0),
"Open "&amp;C196
))</f>
        <v>Open A4612</v>
      </c>
      <c r="F196" s="14">
        <f>'[1]2026 Orders'!F197</f>
        <v>0</v>
      </c>
      <c r="G196" s="14" t="str">
        <f>'[1]2026 Orders'!G197</f>
        <v>MOTILMX-60-FD</v>
      </c>
      <c r="H196" s="14" t="str" cm="1">
        <f t="array" ref="H196">IFERROR(_xlfn.TEXTJOIN("-",,INDEX(_xlfn.TEXTSPLIT(TableTake[[#This Row],[SKU]],"-"),{1,2})),"")</f>
        <v>MOTILMX-60</v>
      </c>
      <c r="I196" s="15" t="str">
        <f>IFERROR(_xlfn.TEXTAFTER(TableTake[[#This Row],[SKU]],"-",-1),"")</f>
        <v>FD</v>
      </c>
      <c r="J196" s="14">
        <f>'[1]2026 Orders'!H197</f>
        <v>20</v>
      </c>
      <c r="K196" t="str">
        <f>'[1]2026 Orders'!I197</f>
        <v>F31-23.0</v>
      </c>
      <c r="L196">
        <f>'[1]2026 Orders'!J197</f>
        <v>20</v>
      </c>
      <c r="N196" s="10" t="str">
        <f>'[1]2026 Orders'!L197</f>
        <v>D/W Sent</v>
      </c>
      <c r="O196">
        <f>'[1]2026 Orders'!M197</f>
        <v>0</v>
      </c>
      <c r="P196" t="str">
        <f>'[1]2026 Orders'!N197</f>
        <v>NA</v>
      </c>
      <c r="Q196">
        <f>'[1]2026 Orders'!O197</f>
        <v>609788968191</v>
      </c>
      <c r="R196">
        <f>'[1]2026 Orders'!P197</f>
        <v>0</v>
      </c>
      <c r="S196">
        <f>'[1]2026 Orders'!Q197</f>
        <v>4848</v>
      </c>
      <c r="T196">
        <f>'[1]2026 Orders'!R197</f>
        <v>0</v>
      </c>
      <c r="U196">
        <f>'[1]2026 Orders'!S197</f>
        <v>0</v>
      </c>
      <c r="V196">
        <f>'[1]2026 Orders'!T197</f>
        <v>0</v>
      </c>
      <c r="W196">
        <f>'[1]2026 Orders'!U197</f>
        <v>0</v>
      </c>
      <c r="X196">
        <f>'[1]2026 Orders'!V197</f>
        <v>0</v>
      </c>
      <c r="Y196">
        <f>'[1]2026 Orders'!W197</f>
        <v>0</v>
      </c>
      <c r="Z196">
        <f>'[1]2026 Orders'!X197</f>
        <v>0</v>
      </c>
      <c r="AC196" t="str">
        <f t="shared" si="6"/>
        <v>20/</v>
      </c>
      <c r="AD196" t="e">
        <f t="shared" si="7"/>
        <v>#VALUE!</v>
      </c>
    </row>
    <row r="197" spans="1:30" ht="33" hidden="1" customHeight="1" x14ac:dyDescent="0.3">
      <c r="A197">
        <f>'[1]2026 Orders'!A198</f>
        <v>46009</v>
      </c>
      <c r="B197" s="14" t="str">
        <f>'[1]2026 Orders'!B198</f>
        <v>Botswana</v>
      </c>
      <c r="C197" s="14" t="str">
        <f>'[1]2026 Orders'!C198</f>
        <v>A4612</v>
      </c>
      <c r="D197" s="14">
        <f>'[1]2026 Orders'!D198</f>
        <v>0</v>
      </c>
      <c r="E197" s="17" t="str" cm="1">
        <f t="array" ref="E197">IF(C197=0,"",
HYPERLINK(
"#'2026 Orders'!C"&amp;
MATCH(1,
('2026 Orders'!C:C=C197)*
('2026 Orders'!G:G=G197)*
('2026 Orders'!N:N=N197),
0),
"Open "&amp;C197
))</f>
        <v>Open A4612</v>
      </c>
      <c r="F197" s="14">
        <f>'[1]2026 Orders'!F198</f>
        <v>0</v>
      </c>
      <c r="G197" s="14" t="str">
        <f>'[1]2026 Orders'!G198</f>
        <v>MFSPLS-120-FD</v>
      </c>
      <c r="H197" s="14" t="str" cm="1">
        <f t="array" ref="H197">IFERROR(_xlfn.TEXTJOIN("-",,INDEX(_xlfn.TEXTSPLIT(TableTake[[#This Row],[SKU]],"-"),{1,2})),"")</f>
        <v>MFSPLS-120</v>
      </c>
      <c r="I197" s="15" t="str">
        <f>IFERROR(_xlfn.TEXTAFTER(TableTake[[#This Row],[SKU]],"-",-1),"")</f>
        <v>FD</v>
      </c>
      <c r="J197" s="14">
        <f>'[1]2026 Orders'!H198</f>
        <v>40</v>
      </c>
      <c r="K197" t="str">
        <f>'[1]2026 Orders'!I198</f>
        <v>F30-25.1</v>
      </c>
      <c r="L197">
        <f>'[1]2026 Orders'!J198</f>
        <v>40</v>
      </c>
      <c r="N197" s="10" t="str">
        <f>'[1]2026 Orders'!L198</f>
        <v>D/W Sent</v>
      </c>
      <c r="O197">
        <f>'[1]2026 Orders'!M198</f>
        <v>0</v>
      </c>
      <c r="P197" t="str">
        <f>'[1]2026 Orders'!N198</f>
        <v>NA</v>
      </c>
      <c r="Q197">
        <f>'[1]2026 Orders'!O198</f>
        <v>609788968344</v>
      </c>
      <c r="R197">
        <f>'[1]2026 Orders'!P198</f>
        <v>0</v>
      </c>
      <c r="S197">
        <f>'[1]2026 Orders'!Q198</f>
        <v>4846</v>
      </c>
      <c r="T197">
        <f>'[1]2026 Orders'!R198</f>
        <v>0</v>
      </c>
      <c r="U197">
        <f>'[1]2026 Orders'!S198</f>
        <v>0</v>
      </c>
      <c r="V197">
        <f>'[1]2026 Orders'!T198</f>
        <v>0</v>
      </c>
      <c r="W197">
        <f>'[1]2026 Orders'!U198</f>
        <v>0</v>
      </c>
      <c r="X197">
        <f>'[1]2026 Orders'!V198</f>
        <v>0</v>
      </c>
      <c r="Y197">
        <f>'[1]2026 Orders'!W198</f>
        <v>0</v>
      </c>
      <c r="Z197">
        <f>'[1]2026 Orders'!X198</f>
        <v>0</v>
      </c>
      <c r="AC197" t="str">
        <f t="shared" si="6"/>
        <v>40/</v>
      </c>
      <c r="AD197" t="e">
        <f t="shared" si="7"/>
        <v>#VALUE!</v>
      </c>
    </row>
    <row r="198" spans="1:30" ht="33" hidden="1" customHeight="1" x14ac:dyDescent="0.3">
      <c r="A198">
        <f>'[1]2026 Orders'!A199</f>
        <v>46009</v>
      </c>
      <c r="B198" s="14" t="str">
        <f>'[1]2026 Orders'!B199</f>
        <v>Botswana</v>
      </c>
      <c r="C198" s="14" t="str">
        <f>'[1]2026 Orders'!C199</f>
        <v>A4612</v>
      </c>
      <c r="D198" s="14">
        <f>'[1]2026 Orders'!D199</f>
        <v>0</v>
      </c>
      <c r="E198" s="17" t="str" cm="1">
        <f t="array" ref="E198">IF(C198=0,"",
HYPERLINK(
"#'2026 Orders'!C"&amp;
MATCH(1,
('2026 Orders'!C:C=C198)*
('2026 Orders'!G:G=G198)*
('2026 Orders'!N:N=N198),
0),
"Open "&amp;C198
))</f>
        <v>Open A4612</v>
      </c>
      <c r="F198" s="14">
        <f>'[1]2026 Orders'!F199</f>
        <v>0</v>
      </c>
      <c r="G198" s="14" t="str">
        <f>'[1]2026 Orders'!G199</f>
        <v>FIBRO-60-FD</v>
      </c>
      <c r="H198" s="14" t="str" cm="1">
        <f t="array" ref="H198">IFERROR(_xlfn.TEXTJOIN("-",,INDEX(_xlfn.TEXTSPLIT(TableTake[[#This Row],[SKU]],"-"),{1,2})),"")</f>
        <v>FIBRO-60</v>
      </c>
      <c r="I198" s="15" t="str">
        <f>IFERROR(_xlfn.TEXTAFTER(TableTake[[#This Row],[SKU]],"-",-1),"")</f>
        <v>FD</v>
      </c>
      <c r="J198" s="14">
        <f>'[1]2026 Orders'!H199</f>
        <v>40</v>
      </c>
      <c r="K198" t="str">
        <f>'[1]2026 Orders'!I199</f>
        <v>F17-25.1</v>
      </c>
      <c r="L198">
        <f>'[1]2026 Orders'!J199</f>
        <v>40</v>
      </c>
      <c r="N198" s="10" t="str">
        <f>'[1]2026 Orders'!L199</f>
        <v>D/W Sent</v>
      </c>
      <c r="O198">
        <f>'[1]2026 Orders'!M199</f>
        <v>0</v>
      </c>
      <c r="P198" t="str">
        <f>'[1]2026 Orders'!N199</f>
        <v>NA</v>
      </c>
      <c r="Q198">
        <f>'[1]2026 Orders'!O199</f>
        <v>609788968498</v>
      </c>
      <c r="R198">
        <f>'[1]2026 Orders'!P199</f>
        <v>0</v>
      </c>
      <c r="S198">
        <f>'[1]2026 Orders'!Q199</f>
        <v>4840</v>
      </c>
      <c r="T198">
        <f>'[1]2026 Orders'!R199</f>
        <v>0</v>
      </c>
      <c r="U198">
        <f>'[1]2026 Orders'!S199</f>
        <v>0</v>
      </c>
      <c r="V198">
        <f>'[1]2026 Orders'!T199</f>
        <v>0</v>
      </c>
      <c r="W198">
        <f>'[1]2026 Orders'!U199</f>
        <v>0</v>
      </c>
      <c r="X198">
        <f>'[1]2026 Orders'!V199</f>
        <v>0</v>
      </c>
      <c r="Y198">
        <f>'[1]2026 Orders'!W199</f>
        <v>0</v>
      </c>
      <c r="Z198">
        <f>'[1]2026 Orders'!X199</f>
        <v>0</v>
      </c>
      <c r="AC198" t="str">
        <f t="shared" si="6"/>
        <v>40/</v>
      </c>
      <c r="AD198" t="e">
        <f t="shared" si="7"/>
        <v>#VALUE!</v>
      </c>
    </row>
    <row r="199" spans="1:30" ht="33" hidden="1" customHeight="1" x14ac:dyDescent="0.3">
      <c r="A199">
        <f>'[1]2026 Orders'!A200</f>
        <v>46009</v>
      </c>
      <c r="B199" s="14" t="str">
        <f>'[1]2026 Orders'!B200</f>
        <v>Botswana</v>
      </c>
      <c r="C199" s="14" t="str">
        <f>'[1]2026 Orders'!C200</f>
        <v>A4612</v>
      </c>
      <c r="D199" s="14">
        <f>'[1]2026 Orders'!D200</f>
        <v>0</v>
      </c>
      <c r="E199" s="17" t="str" cm="1">
        <f t="array" ref="E199">IF(C199=0,"",
HYPERLINK(
"#'2026 Orders'!C"&amp;
MATCH(1,
('2026 Orders'!C:C=C199)*
('2026 Orders'!G:G=G199)*
('2026 Orders'!N:N=N199),
0),
"Open "&amp;C199
))</f>
        <v>Open A4612</v>
      </c>
      <c r="F199" s="14">
        <f>'[1]2026 Orders'!F200</f>
        <v>0</v>
      </c>
      <c r="G199" s="14" t="str">
        <f>'[1]2026 Orders'!G200</f>
        <v>DHEA25-60-FD</v>
      </c>
      <c r="H199" s="14" t="str" cm="1">
        <f t="array" ref="H199">IFERROR(_xlfn.TEXTJOIN("-",,INDEX(_xlfn.TEXTSPLIT(TableTake[[#This Row],[SKU]],"-"),{1,2})),"")</f>
        <v>DHEA25-60</v>
      </c>
      <c r="I199" s="15" t="str">
        <f>IFERROR(_xlfn.TEXTAFTER(TableTake[[#This Row],[SKU]],"-",-1),"")</f>
        <v>FD</v>
      </c>
      <c r="J199" s="14">
        <f>'[1]2026 Orders'!H200</f>
        <v>50</v>
      </c>
      <c r="K199" t="str">
        <f>'[1]2026 Orders'!I200</f>
        <v>F14-25.2</v>
      </c>
      <c r="L199">
        <f>'[1]2026 Orders'!J200</f>
        <v>50</v>
      </c>
      <c r="N199" s="10" t="str">
        <f>'[1]2026 Orders'!L200</f>
        <v>D/W Sent</v>
      </c>
      <c r="O199">
        <f>'[1]2026 Orders'!M200</f>
        <v>0</v>
      </c>
      <c r="P199" t="str">
        <f>'[1]2026 Orders'!N200</f>
        <v>NA</v>
      </c>
      <c r="Q199">
        <f>'[1]2026 Orders'!O200</f>
        <v>609788968153</v>
      </c>
      <c r="R199">
        <f>'[1]2026 Orders'!P200</f>
        <v>0</v>
      </c>
      <c r="S199">
        <f>'[1]2026 Orders'!Q200</f>
        <v>4831</v>
      </c>
      <c r="T199">
        <f>'[1]2026 Orders'!R200</f>
        <v>0</v>
      </c>
      <c r="U199">
        <f>'[1]2026 Orders'!S200</f>
        <v>0</v>
      </c>
      <c r="V199">
        <f>'[1]2026 Orders'!T200</f>
        <v>0</v>
      </c>
      <c r="W199">
        <f>'[1]2026 Orders'!U200</f>
        <v>0</v>
      </c>
      <c r="X199">
        <f>'[1]2026 Orders'!V200</f>
        <v>0</v>
      </c>
      <c r="Y199">
        <f>'[1]2026 Orders'!W200</f>
        <v>0</v>
      </c>
      <c r="Z199">
        <f>'[1]2026 Orders'!X200</f>
        <v>0</v>
      </c>
      <c r="AC199" t="str">
        <f t="shared" si="6"/>
        <v>50/</v>
      </c>
      <c r="AD199" t="e">
        <f t="shared" si="7"/>
        <v>#VALUE!</v>
      </c>
    </row>
    <row r="200" spans="1:30" ht="33" hidden="1" customHeight="1" x14ac:dyDescent="0.3">
      <c r="A200">
        <f>'[1]2026 Orders'!A201</f>
        <v>46009</v>
      </c>
      <c r="B200" s="14" t="str">
        <f>'[1]2026 Orders'!B201</f>
        <v>Botswana</v>
      </c>
      <c r="C200" s="14" t="str">
        <f>'[1]2026 Orders'!C201</f>
        <v>A4612</v>
      </c>
      <c r="D200" s="14">
        <f>'[1]2026 Orders'!D201</f>
        <v>0</v>
      </c>
      <c r="E200" s="17" t="str" cm="1">
        <f t="array" ref="E200">IF(C200=0,"",
HYPERLINK(
"#'2026 Orders'!C"&amp;
MATCH(1,
('2026 Orders'!C:C=C200)*
('2026 Orders'!G:G=G200)*
('2026 Orders'!N:N=N200),
0),
"Open "&amp;C200
))</f>
        <v>Open A4612</v>
      </c>
      <c r="F200" s="14">
        <f>'[1]2026 Orders'!F201</f>
        <v>0</v>
      </c>
      <c r="G200" s="14" t="str">
        <f>'[1]2026 Orders'!G201</f>
        <v>DHEA50-60-FD</v>
      </c>
      <c r="H200" s="14" t="str" cm="1">
        <f t="array" ref="H200">IFERROR(_xlfn.TEXTJOIN("-",,INDEX(_xlfn.TEXTSPLIT(TableTake[[#This Row],[SKU]],"-"),{1,2})),"")</f>
        <v>DHEA50-60</v>
      </c>
      <c r="I200" s="15" t="str">
        <f>IFERROR(_xlfn.TEXTAFTER(TableTake[[#This Row],[SKU]],"-",-1),"")</f>
        <v>FD</v>
      </c>
      <c r="J200" s="14">
        <f>'[1]2026 Orders'!H201</f>
        <v>50</v>
      </c>
      <c r="K200" t="str">
        <f>'[1]2026 Orders'!I201</f>
        <v>F13-25.2</v>
      </c>
      <c r="L200">
        <f>'[1]2026 Orders'!J201</f>
        <v>50</v>
      </c>
      <c r="N200" s="10" t="str">
        <f>'[1]2026 Orders'!L201</f>
        <v>D/W Sent</v>
      </c>
      <c r="O200">
        <f>'[1]2026 Orders'!M201</f>
        <v>0</v>
      </c>
      <c r="P200" t="str">
        <f>'[1]2026 Orders'!N201</f>
        <v>NA</v>
      </c>
      <c r="Q200">
        <f>'[1]2026 Orders'!O201</f>
        <v>609788968221</v>
      </c>
      <c r="R200">
        <f>'[1]2026 Orders'!P201</f>
        <v>0</v>
      </c>
      <c r="S200">
        <f>'[1]2026 Orders'!Q201</f>
        <v>4832</v>
      </c>
      <c r="T200">
        <f>'[1]2026 Orders'!R201</f>
        <v>0</v>
      </c>
      <c r="U200">
        <f>'[1]2026 Orders'!S201</f>
        <v>0</v>
      </c>
      <c r="V200">
        <f>'[1]2026 Orders'!T201</f>
        <v>0</v>
      </c>
      <c r="W200">
        <f>'[1]2026 Orders'!U201</f>
        <v>0</v>
      </c>
      <c r="X200">
        <f>'[1]2026 Orders'!V201</f>
        <v>0</v>
      </c>
      <c r="Y200">
        <f>'[1]2026 Orders'!W201</f>
        <v>0</v>
      </c>
      <c r="Z200">
        <f>'[1]2026 Orders'!X201</f>
        <v>0</v>
      </c>
      <c r="AC200" t="str">
        <f t="shared" si="6"/>
        <v>50/</v>
      </c>
      <c r="AD200" t="e">
        <f t="shared" si="7"/>
        <v>#VALUE!</v>
      </c>
    </row>
    <row r="201" spans="1:30" ht="33" hidden="1" customHeight="1" x14ac:dyDescent="0.3">
      <c r="A201">
        <f>'[1]2026 Orders'!A202</f>
        <v>46009</v>
      </c>
      <c r="B201" s="14" t="str">
        <f>'[1]2026 Orders'!B202</f>
        <v>Botswana</v>
      </c>
      <c r="C201" s="14" t="str">
        <f>'[1]2026 Orders'!C202</f>
        <v>A4612</v>
      </c>
      <c r="D201" s="14">
        <f>'[1]2026 Orders'!D202</f>
        <v>0</v>
      </c>
      <c r="E201" s="17" t="str" cm="1">
        <f t="array" ref="E201">IF(C201=0,"",
HYPERLINK(
"#'2026 Orders'!C"&amp;
MATCH(1,
('2026 Orders'!C:C=C201)*
('2026 Orders'!G:G=G201)*
('2026 Orders'!N:N=N201),
0),
"Open "&amp;C201
))</f>
        <v>Open A4612</v>
      </c>
      <c r="F201" s="14">
        <f>'[1]2026 Orders'!F202</f>
        <v>0</v>
      </c>
      <c r="G201" s="14" t="str">
        <f>'[1]2026 Orders'!G202</f>
        <v>WFSPLS-180-FD</v>
      </c>
      <c r="H201" s="14" t="str" cm="1">
        <f t="array" ref="H201">IFERROR(_xlfn.TEXTJOIN("-",,INDEX(_xlfn.TEXTSPLIT(TableTake[[#This Row],[SKU]],"-"),{1,2})),"")</f>
        <v>WFSPLS-180</v>
      </c>
      <c r="I201" s="15" t="str">
        <f>IFERROR(_xlfn.TEXTAFTER(TableTake[[#This Row],[SKU]],"-",-1),"")</f>
        <v>FD</v>
      </c>
      <c r="J201" s="14">
        <f>'[1]2026 Orders'!H202</f>
        <v>40</v>
      </c>
      <c r="K201" t="str">
        <f>'[1]2026 Orders'!I202</f>
        <v>F73-23.0</v>
      </c>
      <c r="L201">
        <f>'[1]2026 Orders'!J202</f>
        <v>40</v>
      </c>
      <c r="N201" s="10" t="str">
        <f>'[1]2026 Orders'!L202</f>
        <v>D/W Sent</v>
      </c>
      <c r="O201">
        <f>'[1]2026 Orders'!M202</f>
        <v>0</v>
      </c>
      <c r="P201" t="str">
        <f>'[1]2026 Orders'!N202</f>
        <v>NA</v>
      </c>
      <c r="Q201">
        <f>'[1]2026 Orders'!O202</f>
        <v>609788968351</v>
      </c>
      <c r="R201">
        <f>'[1]2026 Orders'!P202</f>
        <v>0</v>
      </c>
      <c r="S201">
        <f>'[1]2026 Orders'!Q202</f>
        <v>4684</v>
      </c>
      <c r="T201">
        <f>'[1]2026 Orders'!R202</f>
        <v>0</v>
      </c>
      <c r="U201">
        <f>'[1]2026 Orders'!S202</f>
        <v>0</v>
      </c>
      <c r="V201">
        <f>'[1]2026 Orders'!T202</f>
        <v>0</v>
      </c>
      <c r="W201">
        <f>'[1]2026 Orders'!U202</f>
        <v>0</v>
      </c>
      <c r="X201">
        <f>'[1]2026 Orders'!V202</f>
        <v>0</v>
      </c>
      <c r="Y201">
        <f>'[1]2026 Orders'!W202</f>
        <v>0</v>
      </c>
      <c r="Z201">
        <f>'[1]2026 Orders'!X202</f>
        <v>0</v>
      </c>
      <c r="AC201" t="str">
        <f t="shared" si="6"/>
        <v>40/</v>
      </c>
      <c r="AD201" t="e">
        <f t="shared" si="7"/>
        <v>#VALUE!</v>
      </c>
    </row>
    <row r="202" spans="1:30" ht="33" hidden="1" customHeight="1" x14ac:dyDescent="0.3">
      <c r="A202">
        <f>'[1]2026 Orders'!A203</f>
        <v>46009</v>
      </c>
      <c r="B202" s="14" t="str">
        <f>'[1]2026 Orders'!B203</f>
        <v>Botswana</v>
      </c>
      <c r="C202" s="14" t="str">
        <f>'[1]2026 Orders'!C203</f>
        <v>A4612</v>
      </c>
      <c r="D202" s="14">
        <f>'[1]2026 Orders'!D203</f>
        <v>0</v>
      </c>
      <c r="E202" s="17" t="str" cm="1">
        <f t="array" ref="E202">IF(C202=0,"",
HYPERLINK(
"#'2026 Orders'!C"&amp;
MATCH(1,
('2026 Orders'!C:C=C202)*
('2026 Orders'!G:G=G202)*
('2026 Orders'!N:N=N202),
0),
"Open "&amp;C202
))</f>
        <v>Open A4612</v>
      </c>
      <c r="F202" s="14">
        <f>'[1]2026 Orders'!F203</f>
        <v>0</v>
      </c>
      <c r="G202" s="14" t="str">
        <f>'[1]2026 Orders'!G203</f>
        <v>SPERMCT-60-FD</v>
      </c>
      <c r="H202" s="14" t="str" cm="1">
        <f t="array" ref="H202">IFERROR(_xlfn.TEXTJOIN("-",,INDEX(_xlfn.TEXTSPLIT(TableTake[[#This Row],[SKU]],"-"),{1,2})),"")</f>
        <v>SPERMCT-60</v>
      </c>
      <c r="I202" s="15" t="str">
        <f>IFERROR(_xlfn.TEXTAFTER(TableTake[[#This Row],[SKU]],"-",-1),"")</f>
        <v>FD</v>
      </c>
      <c r="J202" s="14">
        <f>'[1]2026 Orders'!H203</f>
        <v>20</v>
      </c>
      <c r="K202" t="str">
        <f>'[1]2026 Orders'!I203</f>
        <v>F64-25.0</v>
      </c>
      <c r="L202">
        <f>'[1]2026 Orders'!J203</f>
        <v>20</v>
      </c>
      <c r="N202" s="10" t="str">
        <f>'[1]2026 Orders'!L203</f>
        <v>D/W Sent</v>
      </c>
      <c r="O202">
        <f>'[1]2026 Orders'!M203</f>
        <v>0</v>
      </c>
      <c r="P202" t="str">
        <f>'[1]2026 Orders'!N203</f>
        <v>NA</v>
      </c>
      <c r="Q202">
        <f>'[1]2026 Orders'!O203</f>
        <v>609788968405</v>
      </c>
      <c r="R202">
        <f>'[1]2026 Orders'!P203</f>
        <v>0</v>
      </c>
      <c r="S202">
        <f>'[1]2026 Orders'!Q203</f>
        <v>4850</v>
      </c>
      <c r="T202">
        <f>'[1]2026 Orders'!R203</f>
        <v>0</v>
      </c>
      <c r="U202">
        <f>'[1]2026 Orders'!S203</f>
        <v>0</v>
      </c>
      <c r="V202">
        <f>'[1]2026 Orders'!T203</f>
        <v>0</v>
      </c>
      <c r="W202">
        <f>'[1]2026 Orders'!U203</f>
        <v>0</v>
      </c>
      <c r="X202">
        <f>'[1]2026 Orders'!V203</f>
        <v>0</v>
      </c>
      <c r="Y202">
        <f>'[1]2026 Orders'!W203</f>
        <v>0</v>
      </c>
      <c r="Z202">
        <f>'[1]2026 Orders'!X203</f>
        <v>0</v>
      </c>
      <c r="AC202" t="str">
        <f t="shared" si="6"/>
        <v>20/</v>
      </c>
      <c r="AD202" t="e">
        <f t="shared" si="7"/>
        <v>#VALUE!</v>
      </c>
    </row>
    <row r="203" spans="1:30" ht="33" hidden="1" customHeight="1" x14ac:dyDescent="0.3">
      <c r="A203">
        <f>'[1]2026 Orders'!A204</f>
        <v>46009</v>
      </c>
      <c r="B203" s="14" t="str">
        <f>'[1]2026 Orders'!B204</f>
        <v>Botswana</v>
      </c>
      <c r="C203" s="14" t="str">
        <f>'[1]2026 Orders'!C204</f>
        <v>A4612</v>
      </c>
      <c r="D203" s="14">
        <f>'[1]2026 Orders'!D204</f>
        <v>0</v>
      </c>
      <c r="E203" s="17" t="str" cm="1">
        <f t="array" ref="E203">IF(C203=0,"",
HYPERLINK(
"#'2026 Orders'!C"&amp;
MATCH(1,
('2026 Orders'!C:C=C203)*
('2026 Orders'!G:G=G203)*
('2026 Orders'!N:N=N203),
0),
"Open "&amp;C203
))</f>
        <v>Open A4612</v>
      </c>
      <c r="F203" s="14">
        <f>'[1]2026 Orders'!F204</f>
        <v>0</v>
      </c>
      <c r="G203" s="14" t="str">
        <f>'[1]2026 Orders'!G204</f>
        <v>OVAMAX-120-FD</v>
      </c>
      <c r="H203" s="14" t="str" cm="1">
        <f t="array" ref="H203">IFERROR(_xlfn.TEXTJOIN("-",,INDEX(_xlfn.TEXTSPLIT(TableTake[[#This Row],[SKU]],"-"),{1,2})),"")</f>
        <v>OVAMAX-120</v>
      </c>
      <c r="I203" s="15" t="str">
        <f>IFERROR(_xlfn.TEXTAFTER(TableTake[[#This Row],[SKU]],"-",-1),"")</f>
        <v>FD</v>
      </c>
      <c r="J203" s="14">
        <f>'[1]2026 Orders'!H204</f>
        <v>40</v>
      </c>
      <c r="K203" t="str">
        <f>'[1]2026 Orders'!I204</f>
        <v>F41-25.0</v>
      </c>
      <c r="L203">
        <f>'[1]2026 Orders'!J204</f>
        <v>40</v>
      </c>
      <c r="N203" s="10" t="str">
        <f>'[1]2026 Orders'!L204</f>
        <v>D/W Sent</v>
      </c>
      <c r="O203">
        <f>'[1]2026 Orders'!M204</f>
        <v>0</v>
      </c>
      <c r="P203" t="str">
        <f>'[1]2026 Orders'!N204</f>
        <v>NA</v>
      </c>
      <c r="Q203">
        <f>'[1]2026 Orders'!O204</f>
        <v>810131199586</v>
      </c>
      <c r="R203">
        <f>'[1]2026 Orders'!P204</f>
        <v>0</v>
      </c>
      <c r="S203">
        <f>'[1]2026 Orders'!Q204</f>
        <v>4823</v>
      </c>
      <c r="T203">
        <f>'[1]2026 Orders'!R204</f>
        <v>0</v>
      </c>
      <c r="U203">
        <f>'[1]2026 Orders'!S204</f>
        <v>0</v>
      </c>
      <c r="V203">
        <f>'[1]2026 Orders'!T204</f>
        <v>0</v>
      </c>
      <c r="W203">
        <f>'[1]2026 Orders'!U204</f>
        <v>0</v>
      </c>
      <c r="X203">
        <f>'[1]2026 Orders'!V204</f>
        <v>0</v>
      </c>
      <c r="Y203">
        <f>'[1]2026 Orders'!W204</f>
        <v>0</v>
      </c>
      <c r="Z203">
        <f>'[1]2026 Orders'!X204</f>
        <v>0</v>
      </c>
      <c r="AC203" t="str">
        <f t="shared" si="6"/>
        <v>40/</v>
      </c>
      <c r="AD203" t="e">
        <f t="shared" si="7"/>
        <v>#VALUE!</v>
      </c>
    </row>
    <row r="204" spans="1:30" ht="33" hidden="1" customHeight="1" x14ac:dyDescent="0.3">
      <c r="A204">
        <f>'[1]2026 Orders'!A205</f>
        <v>46009</v>
      </c>
      <c r="B204" s="14" t="str">
        <f>'[1]2026 Orders'!B205</f>
        <v>Botswana</v>
      </c>
      <c r="C204" s="14" t="str">
        <f>'[1]2026 Orders'!C205</f>
        <v>A4612</v>
      </c>
      <c r="D204" s="14">
        <f>'[1]2026 Orders'!D205</f>
        <v>0</v>
      </c>
      <c r="E204" s="17" t="str" cm="1">
        <f t="array" ref="E204">IF(C204=0,"",
HYPERLINK(
"#'2026 Orders'!C"&amp;
MATCH(1,
('2026 Orders'!C:C=C204)*
('2026 Orders'!G:G=G204)*
('2026 Orders'!N:N=N204),
0),
"Open "&amp;C204
))</f>
        <v>Open A4612</v>
      </c>
      <c r="F204" s="14">
        <f>'[1]2026 Orders'!F205</f>
        <v>49241225</v>
      </c>
      <c r="G204" s="14" t="str">
        <f>'[1]2026 Orders'!G205</f>
        <v>CAVIN-60-FD</v>
      </c>
      <c r="H204" s="14" t="str" cm="1">
        <f t="array" ref="H204">IFERROR(_xlfn.TEXTJOIN("-",,INDEX(_xlfn.TEXTSPLIT(TableTake[[#This Row],[SKU]],"-"),{1,2})),"")</f>
        <v>CAVIN-60</v>
      </c>
      <c r="I204" s="15" t="str">
        <f>IFERROR(_xlfn.TEXTAFTER(TableTake[[#This Row],[SKU]],"-",-1),"")</f>
        <v>FD</v>
      </c>
      <c r="J204" s="14">
        <f>'[1]2026 Orders'!H205</f>
        <v>40</v>
      </c>
      <c r="K204" t="str">
        <f>'[1]2026 Orders'!I205</f>
        <v>F08-25.0</v>
      </c>
      <c r="L204">
        <f>'[1]2026 Orders'!J205</f>
        <v>0</v>
      </c>
      <c r="N204" s="10" t="str">
        <f>'[1]2026 Orders'!L205</f>
        <v>D/W Sent</v>
      </c>
      <c r="O204">
        <f>'[1]2026 Orders'!M205</f>
        <v>0</v>
      </c>
      <c r="P204" t="str">
        <f>'[1]2026 Orders'!N205</f>
        <v>NA</v>
      </c>
      <c r="Q204">
        <f>'[1]2026 Orders'!O205</f>
        <v>609788968597</v>
      </c>
      <c r="R204">
        <f>'[1]2026 Orders'!P205</f>
        <v>5000</v>
      </c>
      <c r="S204">
        <f>'[1]2026 Orders'!Q205</f>
        <v>4924</v>
      </c>
      <c r="T204" t="str">
        <f>'[1]2026 Orders'!R205</f>
        <v>complete</v>
      </c>
      <c r="U204">
        <f>'[1]2026 Orders'!S205</f>
        <v>0</v>
      </c>
      <c r="V204">
        <f>'[1]2026 Orders'!T205</f>
        <v>0</v>
      </c>
      <c r="W204">
        <f>'[1]2026 Orders'!U205</f>
        <v>0</v>
      </c>
      <c r="X204">
        <f>'[1]2026 Orders'!V205</f>
        <v>0</v>
      </c>
      <c r="Y204">
        <f>'[1]2026 Orders'!W205</f>
        <v>0</v>
      </c>
      <c r="Z204">
        <f>'[1]2026 Orders'!X205</f>
        <v>0</v>
      </c>
      <c r="AC204" t="str">
        <f t="shared" si="6"/>
        <v>40/</v>
      </c>
      <c r="AD204" t="e">
        <f t="shared" si="7"/>
        <v>#VALUE!</v>
      </c>
    </row>
    <row r="205" spans="1:30" ht="33" hidden="1" customHeight="1" x14ac:dyDescent="0.3">
      <c r="A205">
        <f>'[1]2026 Orders'!A206</f>
        <v>46009</v>
      </c>
      <c r="B205" s="14" t="str">
        <f>'[1]2026 Orders'!B206</f>
        <v>Botswana</v>
      </c>
      <c r="C205" s="14" t="str">
        <f>'[1]2026 Orders'!C206</f>
        <v>A4612</v>
      </c>
      <c r="D205" s="14">
        <f>'[1]2026 Orders'!D206</f>
        <v>0</v>
      </c>
      <c r="E205" s="17" t="str" cm="1">
        <f t="array" ref="E205">IF(C205=0,"",
HYPERLINK(
"#'2026 Orders'!C"&amp;
MATCH(1,
('2026 Orders'!C:C=C205)*
('2026 Orders'!G:G=G205)*
('2026 Orders'!N:N=N205),
0),
"Open "&amp;C205
))</f>
        <v>Open A4612</v>
      </c>
      <c r="F205" s="14">
        <f>'[1]2026 Orders'!F206</f>
        <v>0</v>
      </c>
      <c r="G205" s="14" t="str">
        <f>'[1]2026 Orders'!G206</f>
        <v>FERTMX-90-RE</v>
      </c>
      <c r="H205" s="14" t="str" cm="1">
        <f t="array" ref="H205">IFERROR(_xlfn.TEXTJOIN("-",,INDEX(_xlfn.TEXTSPLIT(TableTake[[#This Row],[SKU]],"-"),{1,2})),"")</f>
        <v>FERTMX-90</v>
      </c>
      <c r="I205" s="15" t="str">
        <f>IFERROR(_xlfn.TEXTAFTER(TableTake[[#This Row],[SKU]],"-",-1),"")</f>
        <v>RE</v>
      </c>
      <c r="J205" s="14">
        <f>'[1]2026 Orders'!H206</f>
        <v>40</v>
      </c>
      <c r="K205" t="str">
        <f>'[1]2026 Orders'!I206</f>
        <v>R16-22.0</v>
      </c>
      <c r="L205">
        <f>'[1]2026 Orders'!J206</f>
        <v>40</v>
      </c>
      <c r="N205" s="10" t="str">
        <f>'[1]2026 Orders'!L206</f>
        <v>D/W Sent</v>
      </c>
      <c r="O205">
        <f>'[1]2026 Orders'!M206</f>
        <v>0</v>
      </c>
      <c r="P205" t="str">
        <f>'[1]2026 Orders'!N206</f>
        <v>Y</v>
      </c>
      <c r="Q205">
        <f>'[1]2026 Orders'!O206</f>
        <v>604776736561</v>
      </c>
      <c r="R205">
        <f>'[1]2026 Orders'!P206</f>
        <v>0</v>
      </c>
      <c r="S205">
        <f>'[1]2026 Orders'!Q206</f>
        <v>4834</v>
      </c>
      <c r="T205">
        <f>'[1]2026 Orders'!R206</f>
        <v>0</v>
      </c>
      <c r="U205">
        <f>'[1]2026 Orders'!S206</f>
        <v>0</v>
      </c>
      <c r="V205">
        <f>'[1]2026 Orders'!T206</f>
        <v>0</v>
      </c>
      <c r="W205">
        <f>'[1]2026 Orders'!U206</f>
        <v>0</v>
      </c>
      <c r="X205">
        <f>'[1]2026 Orders'!V206</f>
        <v>0</v>
      </c>
      <c r="Y205">
        <f>'[1]2026 Orders'!W206</f>
        <v>0</v>
      </c>
      <c r="Z205">
        <f>'[1]2026 Orders'!X206</f>
        <v>0</v>
      </c>
      <c r="AC205" t="str">
        <f t="shared" si="6"/>
        <v>40/</v>
      </c>
      <c r="AD205" t="e">
        <f t="shared" si="7"/>
        <v>#VALUE!</v>
      </c>
    </row>
    <row r="206" spans="1:30" ht="33" hidden="1" customHeight="1" x14ac:dyDescent="0.3">
      <c r="A206">
        <f>'[1]2026 Orders'!A207</f>
        <v>46009</v>
      </c>
      <c r="B206" s="14" t="str">
        <f>'[1]2026 Orders'!B207</f>
        <v>Botswana</v>
      </c>
      <c r="C206" s="14" t="str">
        <f>'[1]2026 Orders'!C207</f>
        <v>A4612</v>
      </c>
      <c r="D206" s="14">
        <f>'[1]2026 Orders'!D207</f>
        <v>0</v>
      </c>
      <c r="E206" s="17" t="str" cm="1">
        <f t="array" ref="E206">IF(C206=0,"",
HYPERLINK(
"#'2026 Orders'!C"&amp;
MATCH(1,
('2026 Orders'!C:C=C206)*
('2026 Orders'!G:G=G206)*
('2026 Orders'!N:N=N206),
0),
"Open "&amp;C206
))</f>
        <v>Open A4612</v>
      </c>
      <c r="F206" s="14">
        <f>'[1]2026 Orders'!F207</f>
        <v>0</v>
      </c>
      <c r="G206" s="14" t="str">
        <f>'[1]2026 Orders'!G207</f>
        <v>OME369-90-FD</v>
      </c>
      <c r="H206" s="14" t="str" cm="1">
        <f t="array" ref="H206">IFERROR(_xlfn.TEXTJOIN("-",,INDEX(_xlfn.TEXTSPLIT(TableTake[[#This Row],[SKU]],"-"),{1,2})),"")</f>
        <v>OME369-90</v>
      </c>
      <c r="I206" s="15" t="str">
        <f>IFERROR(_xlfn.TEXTAFTER(TableTake[[#This Row],[SKU]],"-",-1),"")</f>
        <v>FD</v>
      </c>
      <c r="J206" s="14">
        <f>'[1]2026 Orders'!H207</f>
        <v>120</v>
      </c>
      <c r="K206" t="str">
        <f>'[1]2026 Orders'!I207</f>
        <v>F36-22.1</v>
      </c>
      <c r="L206">
        <f>'[1]2026 Orders'!J207</f>
        <v>120</v>
      </c>
      <c r="N206" s="10" t="str">
        <f>'[1]2026 Orders'!L207</f>
        <v>D/W Sent</v>
      </c>
      <c r="O206">
        <f>'[1]2026 Orders'!M207</f>
        <v>0</v>
      </c>
      <c r="P206" t="str">
        <f>'[1]2026 Orders'!N207</f>
        <v>Y</v>
      </c>
      <c r="Q206">
        <f>'[1]2026 Orders'!O207</f>
        <v>609788968511</v>
      </c>
      <c r="R206">
        <f>'[1]2026 Orders'!P207</f>
        <v>0</v>
      </c>
      <c r="S206">
        <f>'[1]2026 Orders'!Q207</f>
        <v>4896</v>
      </c>
      <c r="T206">
        <f>'[1]2026 Orders'!R207</f>
        <v>0</v>
      </c>
      <c r="U206">
        <f>'[1]2026 Orders'!S207</f>
        <v>0</v>
      </c>
      <c r="V206">
        <f>'[1]2026 Orders'!T207</f>
        <v>0</v>
      </c>
      <c r="W206">
        <f>'[1]2026 Orders'!U207</f>
        <v>0</v>
      </c>
      <c r="X206">
        <f>'[1]2026 Orders'!V207</f>
        <v>0</v>
      </c>
      <c r="Y206">
        <f>'[1]2026 Orders'!W207</f>
        <v>0</v>
      </c>
      <c r="Z206">
        <f>'[1]2026 Orders'!X207</f>
        <v>0</v>
      </c>
      <c r="AC206" t="str">
        <f t="shared" si="6"/>
        <v>120/</v>
      </c>
      <c r="AD206" t="e">
        <f t="shared" si="7"/>
        <v>#VALUE!</v>
      </c>
    </row>
    <row r="207" spans="1:30" ht="33" hidden="1" customHeight="1" x14ac:dyDescent="0.3">
      <c r="A207">
        <f>'[1]2026 Orders'!A208</f>
        <v>46009</v>
      </c>
      <c r="B207" s="14" t="str">
        <f>'[1]2026 Orders'!B208</f>
        <v>Botswana</v>
      </c>
      <c r="C207" s="14" t="str">
        <f>'[1]2026 Orders'!C208</f>
        <v>A4612</v>
      </c>
      <c r="D207" s="14">
        <f>'[1]2026 Orders'!D208</f>
        <v>0</v>
      </c>
      <c r="E207" s="17" t="str" cm="1">
        <f t="array" ref="E207">IF(C207=0,"",
HYPERLINK(
"#'2026 Orders'!C"&amp;
MATCH(1,
('2026 Orders'!C:C=C207)*
('2026 Orders'!G:G=G207)*
('2026 Orders'!N:N=N207),
0),
"Open "&amp;C207
))</f>
        <v>Open A4612</v>
      </c>
      <c r="F207" s="14">
        <f>'[1]2026 Orders'!F208</f>
        <v>0</v>
      </c>
      <c r="G207" s="14" t="str">
        <f>'[1]2026 Orders'!G208</f>
        <v>PRECON-90-FD</v>
      </c>
      <c r="H207" s="14" t="str" cm="1">
        <f t="array" ref="H207">IFERROR(_xlfn.TEXTJOIN("-",,INDEX(_xlfn.TEXTSPLIT(TableTake[[#This Row],[SKU]],"-"),{1,2})),"")</f>
        <v>PRECON-90</v>
      </c>
      <c r="I207" s="15" t="str">
        <f>IFERROR(_xlfn.TEXTAFTER(TableTake[[#This Row],[SKU]],"-",-1),"")</f>
        <v>FD</v>
      </c>
      <c r="J207" s="14">
        <f>'[1]2026 Orders'!H208</f>
        <v>40</v>
      </c>
      <c r="K207" t="str">
        <f>'[1]2026 Orders'!I208</f>
        <v>F54-23.0</v>
      </c>
      <c r="L207">
        <f>'[1]2026 Orders'!J208</f>
        <v>40</v>
      </c>
      <c r="N207" s="10" t="str">
        <f>'[1]2026 Orders'!L208</f>
        <v>D/W Sent</v>
      </c>
      <c r="O207">
        <f>'[1]2026 Orders'!M208</f>
        <v>0</v>
      </c>
      <c r="P207" t="str">
        <f>'[1]2026 Orders'!N208</f>
        <v>NA</v>
      </c>
      <c r="Q207">
        <f>'[1]2026 Orders'!O208</f>
        <v>609788968368</v>
      </c>
      <c r="R207">
        <f>'[1]2026 Orders'!P208</f>
        <v>0</v>
      </c>
      <c r="S207">
        <f>'[1]2026 Orders'!Q208</f>
        <v>4851</v>
      </c>
      <c r="T207">
        <f>'[1]2026 Orders'!R208</f>
        <v>0</v>
      </c>
      <c r="U207">
        <f>'[1]2026 Orders'!S208</f>
        <v>0</v>
      </c>
      <c r="V207">
        <f>'[1]2026 Orders'!T208</f>
        <v>0</v>
      </c>
      <c r="W207">
        <f>'[1]2026 Orders'!U208</f>
        <v>0</v>
      </c>
      <c r="X207">
        <f>'[1]2026 Orders'!V208</f>
        <v>0</v>
      </c>
      <c r="Y207">
        <f>'[1]2026 Orders'!W208</f>
        <v>0</v>
      </c>
      <c r="Z207">
        <f>'[1]2026 Orders'!X208</f>
        <v>0</v>
      </c>
      <c r="AC207" t="str">
        <f t="shared" si="6"/>
        <v>40/</v>
      </c>
      <c r="AD207" t="e">
        <f t="shared" si="7"/>
        <v>#VALUE!</v>
      </c>
    </row>
    <row r="208" spans="1:30" ht="33" hidden="1" customHeight="1" x14ac:dyDescent="0.3">
      <c r="A208">
        <f>'[1]2026 Orders'!A209</f>
        <v>46009</v>
      </c>
      <c r="B208" s="14" t="str">
        <f>'[1]2026 Orders'!B209</f>
        <v>Botswana</v>
      </c>
      <c r="C208" s="14" t="str">
        <f>'[1]2026 Orders'!C209</f>
        <v>A4612</v>
      </c>
      <c r="D208" s="14">
        <f>'[1]2026 Orders'!D209</f>
        <v>0</v>
      </c>
      <c r="E208" s="17" t="str" cm="1">
        <f t="array" ref="E208">IF(C208=0,"",
HYPERLINK(
"#'2026 Orders'!C"&amp;
MATCH(1,
('2026 Orders'!C:C=C208)*
('2026 Orders'!G:G=G208)*
('2026 Orders'!N:N=N208),
0),
"Open "&amp;C208
))</f>
        <v>Open A4612</v>
      </c>
      <c r="F208" s="14">
        <f>'[1]2026 Orders'!F209</f>
        <v>0</v>
      </c>
      <c r="G208" s="14" t="str">
        <f>'[1]2026 Orders'!G209</f>
        <v>PRECON-180-FD</v>
      </c>
      <c r="H208" s="14" t="str" cm="1">
        <f t="array" ref="H208">IFERROR(_xlfn.TEXTJOIN("-",,INDEX(_xlfn.TEXTSPLIT(TableTake[[#This Row],[SKU]],"-"),{1,2})),"")</f>
        <v>PRECON-180</v>
      </c>
      <c r="I208" s="15" t="str">
        <f>IFERROR(_xlfn.TEXTAFTER(TableTake[[#This Row],[SKU]],"-",-1),"")</f>
        <v>FD</v>
      </c>
      <c r="J208" s="14">
        <f>'[1]2026 Orders'!H209</f>
        <v>40</v>
      </c>
      <c r="K208" t="str">
        <f>'[1]2026 Orders'!I209</f>
        <v>F55-22.2</v>
      </c>
      <c r="L208">
        <f>'[1]2026 Orders'!J209</f>
        <v>40</v>
      </c>
      <c r="N208" s="10" t="str">
        <f>'[1]2026 Orders'!L209</f>
        <v>D/W Sent</v>
      </c>
      <c r="O208">
        <f>'[1]2026 Orders'!M209</f>
        <v>0</v>
      </c>
      <c r="P208" t="str">
        <f>'[1]2026 Orders'!N209</f>
        <v>NA</v>
      </c>
      <c r="Q208">
        <f>'[1]2026 Orders'!O209</f>
        <v>609788968375</v>
      </c>
      <c r="R208">
        <f>'[1]2026 Orders'!P209</f>
        <v>0</v>
      </c>
      <c r="S208">
        <f>'[1]2026 Orders'!Q209</f>
        <v>4849</v>
      </c>
      <c r="T208">
        <f>'[1]2026 Orders'!R209</f>
        <v>0</v>
      </c>
      <c r="U208">
        <f>'[1]2026 Orders'!S209</f>
        <v>0</v>
      </c>
      <c r="V208">
        <f>'[1]2026 Orders'!T209</f>
        <v>0</v>
      </c>
      <c r="W208">
        <f>'[1]2026 Orders'!U209</f>
        <v>0</v>
      </c>
      <c r="X208">
        <f>'[1]2026 Orders'!V209</f>
        <v>0</v>
      </c>
      <c r="Y208">
        <f>'[1]2026 Orders'!W209</f>
        <v>0</v>
      </c>
      <c r="Z208">
        <f>'[1]2026 Orders'!X209</f>
        <v>0</v>
      </c>
      <c r="AC208" t="str">
        <f t="shared" si="6"/>
        <v>40/</v>
      </c>
      <c r="AD208" t="e">
        <f t="shared" si="7"/>
        <v>#VALUE!</v>
      </c>
    </row>
    <row r="209" spans="1:30" ht="33" hidden="1" customHeight="1" x14ac:dyDescent="0.3">
      <c r="A209">
        <f>'[1]2026 Orders'!A210</f>
        <v>46009</v>
      </c>
      <c r="B209" s="14" t="str">
        <f>'[1]2026 Orders'!B210</f>
        <v>Botswana</v>
      </c>
      <c r="C209" s="14" t="str">
        <f>'[1]2026 Orders'!C210</f>
        <v>A4612</v>
      </c>
      <c r="D209" s="14">
        <f>'[1]2026 Orders'!D210</f>
        <v>0</v>
      </c>
      <c r="E209" s="17" t="str" cm="1">
        <f t="array" ref="E209">IF(C209=0,"",
HYPERLINK(
"#'2026 Orders'!C"&amp;
MATCH(1,
('2026 Orders'!C:C=C209)*
('2026 Orders'!G:G=G209)*
('2026 Orders'!N:N=N209),
0),
"Open "&amp;C209
))</f>
        <v>Open A4612</v>
      </c>
      <c r="F209" s="14">
        <f>'[1]2026 Orders'!F210</f>
        <v>0</v>
      </c>
      <c r="G209" s="14" t="str">
        <f>'[1]2026 Orders'!G210</f>
        <v>PENAMAX-60-GE-FD</v>
      </c>
      <c r="H209" s="14" t="str" cm="1">
        <f t="array" ref="H209">IFERROR(_xlfn.TEXTJOIN("-",,INDEX(_xlfn.TEXTSPLIT(TableTake[[#This Row],[SKU]],"-"),{1,2})),"")</f>
        <v>PENAMAX-60</v>
      </c>
      <c r="I209" s="15" t="str">
        <f>IFERROR(_xlfn.TEXTAFTER(TableTake[[#This Row],[SKU]],"-",-1),"")</f>
        <v>FD</v>
      </c>
      <c r="J209" s="14">
        <f>'[1]2026 Orders'!H210</f>
        <v>20</v>
      </c>
      <c r="K209" t="str">
        <f>'[1]2026 Orders'!I210</f>
        <v>F88-25.1</v>
      </c>
      <c r="L209">
        <f>'[1]2026 Orders'!J210</f>
        <v>20</v>
      </c>
      <c r="N209" s="10" t="str">
        <f>'[1]2026 Orders'!L210</f>
        <v>D/W Sent</v>
      </c>
      <c r="O209">
        <f>'[1]2026 Orders'!M210</f>
        <v>0</v>
      </c>
      <c r="P209" t="str">
        <f>'[1]2026 Orders'!N210</f>
        <v>Y</v>
      </c>
      <c r="Q209">
        <f>'[1]2026 Orders'!O210</f>
        <v>604776738824</v>
      </c>
      <c r="R209">
        <f>'[1]2026 Orders'!P210</f>
        <v>0</v>
      </c>
      <c r="S209">
        <f>'[1]2026 Orders'!Q210</f>
        <v>4805</v>
      </c>
      <c r="T209">
        <f>'[1]2026 Orders'!R210</f>
        <v>0</v>
      </c>
      <c r="U209">
        <f>'[1]2026 Orders'!S210</f>
        <v>0</v>
      </c>
      <c r="V209">
        <f>'[1]2026 Orders'!T210</f>
        <v>0</v>
      </c>
      <c r="W209">
        <f>'[1]2026 Orders'!U210</f>
        <v>0</v>
      </c>
      <c r="X209">
        <f>'[1]2026 Orders'!V210</f>
        <v>0</v>
      </c>
      <c r="Y209">
        <f>'[1]2026 Orders'!W210</f>
        <v>0</v>
      </c>
      <c r="Z209">
        <f>'[1]2026 Orders'!X210</f>
        <v>0</v>
      </c>
      <c r="AC209" t="str">
        <f t="shared" si="6"/>
        <v>20/</v>
      </c>
      <c r="AD209" t="e">
        <f t="shared" si="7"/>
        <v>#VALUE!</v>
      </c>
    </row>
    <row r="210" spans="1:30" ht="33" hidden="1" customHeight="1" x14ac:dyDescent="0.3">
      <c r="A210">
        <f>'[1]2026 Orders'!A211</f>
        <v>46009</v>
      </c>
      <c r="B210" s="14" t="str">
        <f>'[1]2026 Orders'!B211</f>
        <v>Botswana</v>
      </c>
      <c r="C210" s="14" t="str">
        <f>'[1]2026 Orders'!C211</f>
        <v>A4612</v>
      </c>
      <c r="D210" s="14">
        <f>'[1]2026 Orders'!D211</f>
        <v>0</v>
      </c>
      <c r="E210" s="17" t="e" cm="1">
        <f t="array" ref="E210">IF(C210=0,"",
HYPERLINK(
"#'2026 Orders'!C"&amp;
MATCH(1,
('2026 Orders'!C:C=C210)*
('2026 Orders'!G:G=G210)*
('2026 Orders'!N:N=N210),
0),
"Open "&amp;C210
))</f>
        <v>#N/A</v>
      </c>
      <c r="F210" s="14">
        <f>'[1]2026 Orders'!F211</f>
        <v>0</v>
      </c>
      <c r="G210" s="14" t="str">
        <f>'[1]2026 Orders'!G211</f>
        <v>PROSTA-90-FD</v>
      </c>
      <c r="H210" s="14" t="str" cm="1">
        <f t="array" ref="H210">IFERROR(_xlfn.TEXTJOIN("-",,INDEX(_xlfn.TEXTSPLIT(TableTake[[#This Row],[SKU]],"-"),{1,2})),"")</f>
        <v>PROSTA-90</v>
      </c>
      <c r="I210" s="15" t="str">
        <f>IFERROR(_xlfn.TEXTAFTER(TableTake[[#This Row],[SKU]],"-",-1),"")</f>
        <v>FD</v>
      </c>
      <c r="J210" s="14">
        <f>'[1]2026 Orders'!H211</f>
        <v>40</v>
      </c>
      <c r="K210" t="str">
        <f>'[1]2026 Orders'!I211</f>
        <v>F56-23.0</v>
      </c>
      <c r="L210">
        <f>'[1]2026 Orders'!J211</f>
        <v>40</v>
      </c>
      <c r="N210" s="10">
        <f>'[1]2026 Orders'!L211</f>
        <v>0</v>
      </c>
      <c r="O210">
        <f>'[1]2026 Orders'!M211</f>
        <v>0</v>
      </c>
      <c r="P210" t="str">
        <f>'[1]2026 Orders'!N211</f>
        <v>NA</v>
      </c>
      <c r="Q210">
        <f>'[1]2026 Orders'!O211</f>
        <v>609788968504</v>
      </c>
      <c r="R210">
        <f>'[1]2026 Orders'!P211</f>
        <v>0</v>
      </c>
      <c r="S210">
        <f>'[1]2026 Orders'!Q211</f>
        <v>4802</v>
      </c>
      <c r="T210">
        <f>'[1]2026 Orders'!R211</f>
        <v>0</v>
      </c>
      <c r="U210">
        <f>'[1]2026 Orders'!S211</f>
        <v>0</v>
      </c>
      <c r="V210">
        <f>'[1]2026 Orders'!T211</f>
        <v>0</v>
      </c>
      <c r="W210">
        <f>'[1]2026 Orders'!U211</f>
        <v>0</v>
      </c>
      <c r="X210">
        <f>'[1]2026 Orders'!V211</f>
        <v>0</v>
      </c>
      <c r="Y210">
        <f>'[1]2026 Orders'!W211</f>
        <v>0</v>
      </c>
      <c r="Z210">
        <f>'[1]2026 Orders'!X211</f>
        <v>0</v>
      </c>
      <c r="AC210" t="str">
        <f t="shared" si="6"/>
        <v>40/</v>
      </c>
      <c r="AD210" t="e">
        <f t="shared" si="7"/>
        <v>#VALUE!</v>
      </c>
    </row>
    <row r="211" spans="1:30" ht="33" hidden="1" customHeight="1" x14ac:dyDescent="0.3">
      <c r="A211">
        <f>'[1]2026 Orders'!A212</f>
        <v>46009</v>
      </c>
      <c r="B211" s="14" t="str">
        <f>'[1]2026 Orders'!B212</f>
        <v>Georgia</v>
      </c>
      <c r="C211" s="14" t="str">
        <f>'[1]2026 Orders'!C212</f>
        <v>A4625</v>
      </c>
      <c r="D211" s="14">
        <f>'[1]2026 Orders'!D212</f>
        <v>0</v>
      </c>
      <c r="E211" s="17" t="str" cm="1">
        <f t="array" ref="E211">IF(C211=0,"",
HYPERLINK(
"#'2026 Orders'!C"&amp;
MATCH(1,
('2026 Orders'!C:C=C211)*
('2026 Orders'!G:G=G211)*
('2026 Orders'!N:N=N211),
0),
"Open "&amp;C211
))</f>
        <v>Open A4625</v>
      </c>
      <c r="F211" s="14" t="str">
        <f>'[1]2026 Orders'!F212</f>
        <v>( l-argine ) 
1/15/2025 moved to back order</v>
      </c>
      <c r="G211" s="14" t="str">
        <f>'[1]2026 Orders'!G212</f>
        <v>ARGI-100-CS-GE</v>
      </c>
      <c r="H211" s="14" t="str" cm="1">
        <f t="array" ref="H211">IFERROR(_xlfn.TEXTJOIN("-",,INDEX(_xlfn.TEXTSPLIT(TableTake[[#This Row],[SKU]],"-"),{1,2})),"")</f>
        <v>ARGI-100</v>
      </c>
      <c r="I211" s="15" t="str">
        <f>IFERROR(_xlfn.TEXTAFTER(TableTake[[#This Row],[SKU]],"-",-1),"")</f>
        <v>GE</v>
      </c>
      <c r="J211" s="14">
        <f>'[1]2026 Orders'!H212</f>
        <v>239</v>
      </c>
      <c r="K211" t="str">
        <f>'[1]2026 Orders'!I212</f>
        <v>GO25-21.0</v>
      </c>
      <c r="L211">
        <f>'[1]2026 Orders'!J212</f>
        <v>0</v>
      </c>
      <c r="N211" s="10" t="str">
        <f>'[1]2026 Orders'!L212</f>
        <v>In Production</v>
      </c>
      <c r="O211">
        <f>'[1]2026 Orders'!M212</f>
        <v>0</v>
      </c>
      <c r="P211" t="str">
        <f>'[1]2026 Orders'!N212</f>
        <v>NA</v>
      </c>
      <c r="Q211">
        <f>'[1]2026 Orders'!O212</f>
        <v>604776738657</v>
      </c>
      <c r="R211">
        <f>'[1]2026 Orders'!P212</f>
        <v>2000</v>
      </c>
      <c r="S211">
        <f>'[1]2026 Orders'!Q212</f>
        <v>4998</v>
      </c>
      <c r="T211">
        <f>'[1]2026 Orders'!R212</f>
        <v>46198</v>
      </c>
      <c r="U211">
        <f>'[1]2026 Orders'!S212</f>
        <v>0</v>
      </c>
      <c r="V211">
        <f>'[1]2026 Orders'!T212</f>
        <v>0</v>
      </c>
      <c r="W211">
        <f>'[1]2026 Orders'!U212</f>
        <v>0</v>
      </c>
      <c r="X211">
        <f>'[1]2026 Orders'!V212</f>
        <v>0</v>
      </c>
      <c r="Y211">
        <f>'[1]2026 Orders'!W212</f>
        <v>0</v>
      </c>
      <c r="Z211" t="str">
        <f>'[1]2026 Orders'!X212</f>
        <v>HOLD</v>
      </c>
      <c r="AC211" t="str">
        <f t="shared" si="6"/>
        <v>239/</v>
      </c>
      <c r="AD211" t="e">
        <f t="shared" si="7"/>
        <v>#VALUE!</v>
      </c>
    </row>
    <row r="212" spans="1:30" ht="33" hidden="1" customHeight="1" x14ac:dyDescent="0.3">
      <c r="A212">
        <f>'[1]2026 Orders'!A213</f>
        <v>46009</v>
      </c>
      <c r="B212" s="14" t="str">
        <f>'[1]2026 Orders'!B213</f>
        <v>Botswana</v>
      </c>
      <c r="C212" s="14" t="str">
        <f>'[1]2026 Orders'!C213</f>
        <v>A4612</v>
      </c>
      <c r="D212" s="14">
        <f>'[1]2026 Orders'!D213</f>
        <v>0</v>
      </c>
      <c r="E212" s="17" t="e" cm="1">
        <f t="array" ref="E212">IF(C212=0,"",
HYPERLINK(
"#'2026 Orders'!C"&amp;
MATCH(1,
('2026 Orders'!C:C=C212)*
('2026 Orders'!G:G=G212)*
('2026 Orders'!N:N=N212),
0),
"Open "&amp;C212
))</f>
        <v>#N/A</v>
      </c>
      <c r="F212" s="14">
        <f>'[1]2026 Orders'!F213</f>
        <v>0</v>
      </c>
      <c r="G212" s="14" t="str">
        <f>'[1]2026 Orders'!G213</f>
        <v>MOTILMX-60-FD</v>
      </c>
      <c r="H212" s="14" t="str" cm="1">
        <f t="array" ref="H212">IFERROR(_xlfn.TEXTJOIN("-",,INDEX(_xlfn.TEXTSPLIT(TableTake[[#This Row],[SKU]],"-"),{1,2})),"")</f>
        <v>MOTILMX-60</v>
      </c>
      <c r="I212" s="15" t="str">
        <f>IFERROR(_xlfn.TEXTAFTER(TableTake[[#This Row],[SKU]],"-",-1),"")</f>
        <v>FD</v>
      </c>
      <c r="J212" s="14">
        <f>'[1]2026 Orders'!H213</f>
        <v>20</v>
      </c>
      <c r="K212" t="str">
        <f>'[1]2026 Orders'!I213</f>
        <v>F31-23.0</v>
      </c>
      <c r="L212">
        <f>'[1]2026 Orders'!J213</f>
        <v>20</v>
      </c>
      <c r="N212" s="10">
        <f>'[1]2026 Orders'!L213</f>
        <v>0</v>
      </c>
      <c r="O212">
        <f>'[1]2026 Orders'!M213</f>
        <v>0</v>
      </c>
      <c r="P212" t="str">
        <f>'[1]2026 Orders'!N213</f>
        <v>NA</v>
      </c>
      <c r="Q212">
        <f>'[1]2026 Orders'!O213</f>
        <v>609788968191</v>
      </c>
      <c r="R212">
        <f>'[1]2026 Orders'!P213</f>
        <v>0</v>
      </c>
      <c r="S212">
        <f>'[1]2026 Orders'!Q213</f>
        <v>4848</v>
      </c>
      <c r="T212">
        <f>'[1]2026 Orders'!R213</f>
        <v>0</v>
      </c>
      <c r="U212">
        <f>'[1]2026 Orders'!S213</f>
        <v>0</v>
      </c>
      <c r="V212">
        <f>'[1]2026 Orders'!T213</f>
        <v>0</v>
      </c>
      <c r="W212">
        <f>'[1]2026 Orders'!U213</f>
        <v>0</v>
      </c>
      <c r="X212">
        <f>'[1]2026 Orders'!V213</f>
        <v>0</v>
      </c>
      <c r="Y212">
        <f>'[1]2026 Orders'!W213</f>
        <v>0</v>
      </c>
      <c r="Z212">
        <f>'[1]2026 Orders'!X213</f>
        <v>0</v>
      </c>
      <c r="AC212" t="str">
        <f t="shared" si="6"/>
        <v>20/</v>
      </c>
      <c r="AD212" t="e">
        <f t="shared" si="7"/>
        <v>#VALUE!</v>
      </c>
    </row>
    <row r="213" spans="1:30" ht="33" hidden="1" customHeight="1" x14ac:dyDescent="0.3">
      <c r="A213">
        <f>'[1]2026 Orders'!A214</f>
        <v>46013</v>
      </c>
      <c r="B213" s="14" t="str">
        <f>'[1]2026 Orders'!B214</f>
        <v>Nigeria</v>
      </c>
      <c r="C213" s="14" t="str">
        <f>'[1]2026 Orders'!C214</f>
        <v>A4616</v>
      </c>
      <c r="D213" s="14" t="str">
        <f>'[1]2026 Orders'!D214</f>
        <v>waiting on import permit</v>
      </c>
      <c r="E213" s="17" t="str" cm="1">
        <f t="array" ref="E213">IF(C213=0,"",
HYPERLINK(
"#'2026 Orders'!C"&amp;
MATCH(1,
('2026 Orders'!C:C=C213)*
('2026 Orders'!G:G=G213)*
('2026 Orders'!N:N=N213),
0),
"Open "&amp;C213
))</f>
        <v>Open A4616</v>
      </c>
      <c r="F213" s="14" t="str">
        <f>'[1]2026 Orders'!F214</f>
        <v xml:space="preserve">1/8/2025: quanitity increased 16 bottles </v>
      </c>
      <c r="G213" s="14" t="str">
        <f>'[1]2026 Orders'!G214</f>
        <v>FERTMX-90-CS-NI</v>
      </c>
      <c r="H213" s="14" t="str" cm="1">
        <f t="array" ref="H213">IFERROR(_xlfn.TEXTJOIN("-",,INDEX(_xlfn.TEXTSPLIT(TableTake[[#This Row],[SKU]],"-"),{1,2})),"")</f>
        <v>FERTMX-90</v>
      </c>
      <c r="I213" s="15" t="str">
        <f>IFERROR(_xlfn.TEXTAFTER(TableTake[[#This Row],[SKU]],"-",-1),"")</f>
        <v>NI</v>
      </c>
      <c r="J213" s="14">
        <f>'[1]2026 Orders'!H214</f>
        <v>216</v>
      </c>
      <c r="K213" t="str">
        <f>'[1]2026 Orders'!I214</f>
        <v>NI16-26.0</v>
      </c>
      <c r="L213">
        <f>'[1]2026 Orders'!J214</f>
        <v>216</v>
      </c>
      <c r="N213" s="10" t="str">
        <f>'[1]2026 Orders'!L214</f>
        <v>D/W Sent</v>
      </c>
      <c r="O213">
        <f>'[1]2026 Orders'!M214</f>
        <v>46065</v>
      </c>
      <c r="P213" t="str">
        <f>'[1]2026 Orders'!N214</f>
        <v>y</v>
      </c>
      <c r="Q213">
        <f>'[1]2026 Orders'!O214</f>
        <v>604776739890</v>
      </c>
      <c r="R213">
        <f>'[1]2026 Orders'!P214</f>
        <v>0</v>
      </c>
      <c r="S213">
        <f>'[1]2026 Orders'!Q214</f>
        <v>4834</v>
      </c>
      <c r="T213">
        <f>'[1]2026 Orders'!R214</f>
        <v>0</v>
      </c>
      <c r="U213">
        <f>'[1]2026 Orders'!S214</f>
        <v>0</v>
      </c>
      <c r="V213">
        <f>'[1]2026 Orders'!T214</f>
        <v>0</v>
      </c>
      <c r="W213">
        <f>'[1]2026 Orders'!U214</f>
        <v>0</v>
      </c>
      <c r="X213">
        <f>'[1]2026 Orders'!V214</f>
        <v>0</v>
      </c>
      <c r="Y213">
        <f>'[1]2026 Orders'!W214</f>
        <v>0</v>
      </c>
      <c r="Z213" t="str">
        <f>'[1]2026 Orders'!X214</f>
        <v>HOLD</v>
      </c>
      <c r="AC213" t="str">
        <f t="shared" si="6"/>
        <v>216/</v>
      </c>
      <c r="AD213" t="e">
        <f t="shared" si="7"/>
        <v>#VALUE!</v>
      </c>
    </row>
    <row r="214" spans="1:30" ht="33" hidden="1" customHeight="1" x14ac:dyDescent="0.3">
      <c r="A214">
        <f>'[1]2026 Orders'!A215</f>
        <v>46013</v>
      </c>
      <c r="B214" s="14" t="str">
        <f>'[1]2026 Orders'!B215</f>
        <v>Nigeria</v>
      </c>
      <c r="C214" s="14" t="str">
        <f>'[1]2026 Orders'!C215</f>
        <v>A4616</v>
      </c>
      <c r="D214" s="14">
        <f>'[1]2026 Orders'!D215</f>
        <v>0</v>
      </c>
      <c r="E214" s="17" t="str" cm="1">
        <f t="array" ref="E214">IF(C214=0,"",
HYPERLINK(
"#'2026 Orders'!C"&amp;
MATCH(1,
('2026 Orders'!C:C=C214)*
('2026 Orders'!G:G=G214)*
('2026 Orders'!N:N=N214),
0),
"Open "&amp;C214
))</f>
        <v>Open A4616</v>
      </c>
      <c r="F214" s="14">
        <f>'[1]2026 Orders'!F215</f>
        <v>0</v>
      </c>
      <c r="G214" s="14" t="str">
        <f>'[1]2026 Orders'!G215</f>
        <v>MFSPLS-120-CS-NI</v>
      </c>
      <c r="H214" s="14" t="str" cm="1">
        <f t="array" ref="H214">IFERROR(_xlfn.TEXTJOIN("-",,INDEX(_xlfn.TEXTSPLIT(TableTake[[#This Row],[SKU]],"-"),{1,2})),"")</f>
        <v>MFSPLS-120</v>
      </c>
      <c r="I214" s="15" t="str">
        <f>IFERROR(_xlfn.TEXTAFTER(TableTake[[#This Row],[SKU]],"-",-1),"")</f>
        <v>NI</v>
      </c>
      <c r="J214" s="14">
        <f>'[1]2026 Orders'!H215</f>
        <v>120</v>
      </c>
      <c r="K214" t="str">
        <f>'[1]2026 Orders'!I215</f>
        <v>NI30-26.0</v>
      </c>
      <c r="L214">
        <f>'[1]2026 Orders'!J215</f>
        <v>120</v>
      </c>
      <c r="N214" s="10" t="str">
        <f>'[1]2026 Orders'!L215</f>
        <v>D/W Sent</v>
      </c>
      <c r="O214">
        <f>'[1]2026 Orders'!M215</f>
        <v>0</v>
      </c>
      <c r="P214" t="str">
        <f>'[1]2026 Orders'!N215</f>
        <v>NA</v>
      </c>
      <c r="Q214">
        <f>'[1]2026 Orders'!O215</f>
        <v>604776739760</v>
      </c>
      <c r="R214">
        <f>'[1]2026 Orders'!P215</f>
        <v>0</v>
      </c>
      <c r="S214">
        <f>'[1]2026 Orders'!Q215</f>
        <v>4846</v>
      </c>
      <c r="T214">
        <f>'[1]2026 Orders'!R215</f>
        <v>0</v>
      </c>
      <c r="U214">
        <f>'[1]2026 Orders'!S215</f>
        <v>0</v>
      </c>
      <c r="V214">
        <f>'[1]2026 Orders'!T215</f>
        <v>0</v>
      </c>
      <c r="W214">
        <f>'[1]2026 Orders'!U215</f>
        <v>0</v>
      </c>
      <c r="X214">
        <f>'[1]2026 Orders'!V215</f>
        <v>0</v>
      </c>
      <c r="Y214">
        <f>'[1]2026 Orders'!W215</f>
        <v>0</v>
      </c>
      <c r="Z214">
        <f>'[1]2026 Orders'!X215</f>
        <v>0</v>
      </c>
      <c r="AC214" t="str">
        <f t="shared" si="6"/>
        <v>120/</v>
      </c>
      <c r="AD214" t="e">
        <f t="shared" si="7"/>
        <v>#VALUE!</v>
      </c>
    </row>
    <row r="215" spans="1:30" ht="33" hidden="1" customHeight="1" x14ac:dyDescent="0.3">
      <c r="A215">
        <f>'[1]2026 Orders'!A216</f>
        <v>46013</v>
      </c>
      <c r="B215" s="14" t="str">
        <f>'[1]2026 Orders'!B216</f>
        <v>Nigeria</v>
      </c>
      <c r="C215" s="14" t="str">
        <f>'[1]2026 Orders'!C216</f>
        <v>A4616</v>
      </c>
      <c r="D215" s="14">
        <f>'[1]2026 Orders'!D216</f>
        <v>0</v>
      </c>
      <c r="E215" s="17" t="str" cm="1">
        <f t="array" ref="E215">IF(C215=0,"",
HYPERLINK(
"#'2026 Orders'!C"&amp;
MATCH(1,
('2026 Orders'!C:C=C215)*
('2026 Orders'!G:G=G215)*
('2026 Orders'!N:N=N215),
0),
"Open "&amp;C215
))</f>
        <v>Open A4616</v>
      </c>
      <c r="F215" s="14" t="str">
        <f>'[1]2026 Orders'!F216</f>
        <v xml:space="preserve">1/8/2025: quanitity increased 16 bottles </v>
      </c>
      <c r="G215" s="14" t="str">
        <f>'[1]2026 Orders'!G216</f>
        <v>MOTILMX-60-CS-NI</v>
      </c>
      <c r="H215" s="14" t="str" cm="1">
        <f t="array" ref="H215">IFERROR(_xlfn.TEXTJOIN("-",,INDEX(_xlfn.TEXTSPLIT(TableTake[[#This Row],[SKU]],"-"),{1,2})),"")</f>
        <v>MOTILMX-60</v>
      </c>
      <c r="I215" s="15" t="str">
        <f>IFERROR(_xlfn.TEXTAFTER(TableTake[[#This Row],[SKU]],"-",-1),"")</f>
        <v>NI</v>
      </c>
      <c r="J215" s="14">
        <f>'[1]2026 Orders'!H216</f>
        <v>96</v>
      </c>
      <c r="K215" t="str">
        <f>'[1]2026 Orders'!I216</f>
        <v>NI31-26.0</v>
      </c>
      <c r="L215">
        <f>'[1]2026 Orders'!J216</f>
        <v>96</v>
      </c>
      <c r="N215" s="10" t="str">
        <f>'[1]2026 Orders'!L216</f>
        <v>D/W Sent</v>
      </c>
      <c r="O215">
        <f>'[1]2026 Orders'!M216</f>
        <v>0</v>
      </c>
      <c r="P215" t="str">
        <f>'[1]2026 Orders'!N216</f>
        <v>NA</v>
      </c>
      <c r="Q215">
        <f>'[1]2026 Orders'!O216</f>
        <v>604776739906</v>
      </c>
      <c r="R215">
        <f>'[1]2026 Orders'!P216</f>
        <v>0</v>
      </c>
      <c r="S215">
        <f>'[1]2026 Orders'!Q216</f>
        <v>4848</v>
      </c>
      <c r="T215">
        <f>'[1]2026 Orders'!R216</f>
        <v>0</v>
      </c>
      <c r="U215">
        <f>'[1]2026 Orders'!S216</f>
        <v>0</v>
      </c>
      <c r="V215">
        <f>'[1]2026 Orders'!T216</f>
        <v>0</v>
      </c>
      <c r="W215">
        <f>'[1]2026 Orders'!U216</f>
        <v>0</v>
      </c>
      <c r="X215">
        <f>'[1]2026 Orders'!V216</f>
        <v>0</v>
      </c>
      <c r="Y215">
        <f>'[1]2026 Orders'!W216</f>
        <v>0</v>
      </c>
      <c r="Z215">
        <f>'[1]2026 Orders'!X216</f>
        <v>0</v>
      </c>
      <c r="AC215" t="str">
        <f t="shared" si="6"/>
        <v>96/</v>
      </c>
      <c r="AD215" t="e">
        <f t="shared" si="7"/>
        <v>#VALUE!</v>
      </c>
    </row>
    <row r="216" spans="1:30" ht="33" hidden="1" customHeight="1" x14ac:dyDescent="0.3">
      <c r="A216">
        <f>'[1]2026 Orders'!A217</f>
        <v>46013</v>
      </c>
      <c r="B216" s="14" t="str">
        <f>'[1]2026 Orders'!B217</f>
        <v>Nigeria</v>
      </c>
      <c r="C216" s="14" t="str">
        <f>'[1]2026 Orders'!C217</f>
        <v>A4616</v>
      </c>
      <c r="D216" s="14">
        <f>'[1]2026 Orders'!D217</f>
        <v>0</v>
      </c>
      <c r="E216" s="17" t="str" cm="1">
        <f t="array" ref="E216">IF(C216=0,"",
HYPERLINK(
"#'2026 Orders'!C"&amp;
MATCH(1,
('2026 Orders'!C:C=C216)*
('2026 Orders'!G:G=G216)*
('2026 Orders'!N:N=N216),
0),
"Open "&amp;C216
))</f>
        <v>Open A4616</v>
      </c>
      <c r="F216" s="14" t="str">
        <f>'[1]2026 Orders'!F217</f>
        <v xml:space="preserve">1/8/2025: quanitity increased 20 bottles </v>
      </c>
      <c r="G216" s="14" t="str">
        <f>'[1]2026 Orders'!G217</f>
        <v>OVAMAX-120-CS-NI</v>
      </c>
      <c r="H216" s="14" t="str" cm="1">
        <f t="array" ref="H216">IFERROR(_xlfn.TEXTJOIN("-",,INDEX(_xlfn.TEXTSPLIT(TableTake[[#This Row],[SKU]],"-"),{1,2})),"")</f>
        <v>OVAMAX-120</v>
      </c>
      <c r="I216" s="15" t="str">
        <f>IFERROR(_xlfn.TEXTAFTER(TableTake[[#This Row],[SKU]],"-",-1),"")</f>
        <v>NI</v>
      </c>
      <c r="J216" s="14">
        <f>'[1]2026 Orders'!H217</f>
        <v>120</v>
      </c>
      <c r="K216" t="str">
        <f>'[1]2026 Orders'!I217</f>
        <v>NI41-26.0</v>
      </c>
      <c r="L216">
        <f>'[1]2026 Orders'!J217</f>
        <v>120</v>
      </c>
      <c r="N216" s="10" t="str">
        <f>'[1]2026 Orders'!L217</f>
        <v>D/W Sent</v>
      </c>
      <c r="O216">
        <f>'[1]2026 Orders'!M217</f>
        <v>0</v>
      </c>
      <c r="P216" t="str">
        <f>'[1]2026 Orders'!N217</f>
        <v>NA</v>
      </c>
      <c r="Q216">
        <f>'[1]2026 Orders'!O217</f>
        <v>604776739623</v>
      </c>
      <c r="R216">
        <f>'[1]2026 Orders'!P217</f>
        <v>0</v>
      </c>
      <c r="S216">
        <f>'[1]2026 Orders'!Q217</f>
        <v>4823</v>
      </c>
      <c r="T216">
        <f>'[1]2026 Orders'!R217</f>
        <v>0</v>
      </c>
      <c r="U216">
        <f>'[1]2026 Orders'!S217</f>
        <v>0</v>
      </c>
      <c r="V216">
        <f>'[1]2026 Orders'!T217</f>
        <v>0</v>
      </c>
      <c r="W216">
        <f>'[1]2026 Orders'!U217</f>
        <v>0</v>
      </c>
      <c r="X216">
        <f>'[1]2026 Orders'!V217</f>
        <v>0</v>
      </c>
      <c r="Y216">
        <f>'[1]2026 Orders'!W217</f>
        <v>0</v>
      </c>
      <c r="Z216">
        <f>'[1]2026 Orders'!X217</f>
        <v>0</v>
      </c>
      <c r="AC216" t="str">
        <f t="shared" si="6"/>
        <v>120/</v>
      </c>
      <c r="AD216" t="e">
        <f t="shared" si="7"/>
        <v>#VALUE!</v>
      </c>
    </row>
    <row r="217" spans="1:30" ht="33" hidden="1" customHeight="1" x14ac:dyDescent="0.3">
      <c r="A217">
        <f>'[1]2026 Orders'!A218</f>
        <v>46013</v>
      </c>
      <c r="B217" s="14" t="str">
        <f>'[1]2026 Orders'!B218</f>
        <v>Nigeria</v>
      </c>
      <c r="C217" s="14" t="str">
        <f>'[1]2026 Orders'!C218</f>
        <v>A4616</v>
      </c>
      <c r="D217" s="14">
        <f>'[1]2026 Orders'!D218</f>
        <v>0</v>
      </c>
      <c r="E217" s="17" t="str" cm="1">
        <f t="array" ref="E217">IF(C217=0,"",
HYPERLINK(
"#'2026 Orders'!C"&amp;
MATCH(1,
('2026 Orders'!C:C=C217)*
('2026 Orders'!G:G=G217)*
('2026 Orders'!N:N=N217),
0),
"Open "&amp;C217
))</f>
        <v>Open A4616</v>
      </c>
      <c r="F217" s="14" t="str">
        <f>'[1]2026 Orders'!F218</f>
        <v xml:space="preserve">1/8/2025: quanitity increased 20 bottles </v>
      </c>
      <c r="G217" s="14" t="str">
        <f>'[1]2026 Orders'!G218</f>
        <v>WFSPLS-180-CS-NI</v>
      </c>
      <c r="H217" s="14" t="str" cm="1">
        <f t="array" ref="H217">IFERROR(_xlfn.TEXTJOIN("-",,INDEX(_xlfn.TEXTSPLIT(TableTake[[#This Row],[SKU]],"-"),{1,2})),"")</f>
        <v>WFSPLS-180</v>
      </c>
      <c r="I217" s="15" t="str">
        <f>IFERROR(_xlfn.TEXTAFTER(TableTake[[#This Row],[SKU]],"-",-1),"")</f>
        <v>NI</v>
      </c>
      <c r="J217" s="14">
        <f>'[1]2026 Orders'!H218</f>
        <v>120</v>
      </c>
      <c r="K217" t="str">
        <f>'[1]2026 Orders'!I218</f>
        <v>NI73-26.0</v>
      </c>
      <c r="L217">
        <f>'[1]2026 Orders'!J218</f>
        <v>120</v>
      </c>
      <c r="N217" s="10" t="str">
        <f>'[1]2026 Orders'!L218</f>
        <v>D/W Sent</v>
      </c>
      <c r="O217">
        <f>'[1]2026 Orders'!M218</f>
        <v>0</v>
      </c>
      <c r="P217" t="str">
        <f>'[1]2026 Orders'!N218</f>
        <v>NA</v>
      </c>
      <c r="Q217">
        <f>'[1]2026 Orders'!O218</f>
        <v>604776739920</v>
      </c>
      <c r="R217">
        <f>'[1]2026 Orders'!P218</f>
        <v>0</v>
      </c>
      <c r="S217">
        <f>'[1]2026 Orders'!Q218</f>
        <v>4684</v>
      </c>
      <c r="T217">
        <f>'[1]2026 Orders'!R218</f>
        <v>0</v>
      </c>
      <c r="U217">
        <f>'[1]2026 Orders'!S218</f>
        <v>0</v>
      </c>
      <c r="V217">
        <f>'[1]2026 Orders'!T218</f>
        <v>0</v>
      </c>
      <c r="W217">
        <f>'[1]2026 Orders'!U218</f>
        <v>0</v>
      </c>
      <c r="X217">
        <f>'[1]2026 Orders'!V218</f>
        <v>0</v>
      </c>
      <c r="Y217">
        <f>'[1]2026 Orders'!W218</f>
        <v>0</v>
      </c>
      <c r="Z217">
        <f>'[1]2026 Orders'!X218</f>
        <v>0</v>
      </c>
      <c r="AC217" t="str">
        <f t="shared" si="6"/>
        <v>120/</v>
      </c>
      <c r="AD217" t="e">
        <f t="shared" si="7"/>
        <v>#VALUE!</v>
      </c>
    </row>
    <row r="218" spans="1:30" ht="33" hidden="1" customHeight="1" x14ac:dyDescent="0.3">
      <c r="A218">
        <f>'[1]2026 Orders'!A219</f>
        <v>46013</v>
      </c>
      <c r="B218" s="14" t="str">
        <f>'[1]2026 Orders'!B219</f>
        <v>Nigeria</v>
      </c>
      <c r="C218" s="14" t="str">
        <f>'[1]2026 Orders'!C219</f>
        <v>A4616</v>
      </c>
      <c r="D218" s="14">
        <f>'[1]2026 Orders'!D219</f>
        <v>0</v>
      </c>
      <c r="E218" s="17" t="str" cm="1">
        <f t="array" ref="E218">IF(C218=0,"",
HYPERLINK(
"#'2026 Orders'!C"&amp;
MATCH(1,
('2026 Orders'!C:C=C218)*
('2026 Orders'!G:G=G218)*
('2026 Orders'!N:N=N218),
0),
"Open "&amp;C218
))</f>
        <v>Open A4616</v>
      </c>
      <c r="F218" s="14" t="str">
        <f>'[1]2026 Orders'!F219</f>
        <v>1/8/2025: quanitity increased 12 bottles</v>
      </c>
      <c r="G218" s="14" t="str">
        <f>'[1]2026 Orders'!G219</f>
        <v>VELMARA-60-CS-NI</v>
      </c>
      <c r="H218" s="14" t="str" cm="1">
        <f t="array" ref="H218">IFERROR(_xlfn.TEXTJOIN("-",,INDEX(_xlfn.TEXTSPLIT(TableTake[[#This Row],[SKU]],"-"),{1,2})),"")</f>
        <v>VELMARA-60</v>
      </c>
      <c r="I218" s="15" t="str">
        <f>IFERROR(_xlfn.TEXTAFTER(TableTake[[#This Row],[SKU]],"-",-1),"")</f>
        <v>NI</v>
      </c>
      <c r="J218" s="14">
        <f>'[1]2026 Orders'!H219</f>
        <v>72</v>
      </c>
      <c r="K218" t="str">
        <f>'[1]2026 Orders'!I219</f>
        <v>NI17-26.0</v>
      </c>
      <c r="L218">
        <f>'[1]2026 Orders'!J219</f>
        <v>72</v>
      </c>
      <c r="N218" s="10" t="str">
        <f>'[1]2026 Orders'!L219</f>
        <v>D/W Sent</v>
      </c>
      <c r="O218">
        <f>'[1]2026 Orders'!M219</f>
        <v>0</v>
      </c>
      <c r="P218" t="str">
        <f>'[1]2026 Orders'!N219</f>
        <v>NA</v>
      </c>
      <c r="Q218">
        <f>'[1]2026 Orders'!O219</f>
        <v>604776740131</v>
      </c>
      <c r="R218">
        <f>'[1]2026 Orders'!P219</f>
        <v>0</v>
      </c>
      <c r="S218">
        <f>'[1]2026 Orders'!Q219</f>
        <v>4840</v>
      </c>
      <c r="T218">
        <f>'[1]2026 Orders'!R219</f>
        <v>0</v>
      </c>
      <c r="U218">
        <f>'[1]2026 Orders'!S219</f>
        <v>0</v>
      </c>
      <c r="V218">
        <f>'[1]2026 Orders'!T219</f>
        <v>0</v>
      </c>
      <c r="W218">
        <f>'[1]2026 Orders'!U219</f>
        <v>0</v>
      </c>
      <c r="X218">
        <f>'[1]2026 Orders'!V219</f>
        <v>0</v>
      </c>
      <c r="Y218">
        <f>'[1]2026 Orders'!W219</f>
        <v>0</v>
      </c>
      <c r="Z218">
        <f>'[1]2026 Orders'!X219</f>
        <v>0</v>
      </c>
      <c r="AC218" t="str">
        <f t="shared" si="6"/>
        <v>72/</v>
      </c>
      <c r="AD218" t="e">
        <f t="shared" si="7"/>
        <v>#VALUE!</v>
      </c>
    </row>
    <row r="219" spans="1:30" ht="33" hidden="1" customHeight="1" x14ac:dyDescent="0.3">
      <c r="A219">
        <f>'[1]2026 Orders'!A220</f>
        <v>46009</v>
      </c>
      <c r="B219" s="14" t="str">
        <f>'[1]2026 Orders'!B220</f>
        <v>Botswana</v>
      </c>
      <c r="C219" s="14" t="str">
        <f>'[1]2026 Orders'!C220</f>
        <v>A4612</v>
      </c>
      <c r="D219" s="14">
        <f>'[1]2026 Orders'!D220</f>
        <v>0</v>
      </c>
      <c r="E219" s="17" t="e" cm="1">
        <f t="array" ref="E219">IF(C219=0,"",
HYPERLINK(
"#'2026 Orders'!C"&amp;
MATCH(1,
('2026 Orders'!C:C=C219)*
('2026 Orders'!G:G=G219)*
('2026 Orders'!N:N=N219),
0),
"Open "&amp;C219
))</f>
        <v>#N/A</v>
      </c>
      <c r="F219" s="14">
        <f>'[1]2026 Orders'!F220</f>
        <v>0</v>
      </c>
      <c r="G219" s="14" t="str">
        <f>'[1]2026 Orders'!G220</f>
        <v>OVAMAX-120-FD</v>
      </c>
      <c r="H219" s="14" t="str" cm="1">
        <f t="array" ref="H219">IFERROR(_xlfn.TEXTJOIN("-",,INDEX(_xlfn.TEXTSPLIT(TableTake[[#This Row],[SKU]],"-"),{1,2})),"")</f>
        <v>OVAMAX-120</v>
      </c>
      <c r="I219" s="15" t="str">
        <f>IFERROR(_xlfn.TEXTAFTER(TableTake[[#This Row],[SKU]],"-",-1),"")</f>
        <v>FD</v>
      </c>
      <c r="J219" s="14">
        <f>'[1]2026 Orders'!H220</f>
        <v>40</v>
      </c>
      <c r="K219" t="str">
        <f>'[1]2026 Orders'!I220</f>
        <v>F41-25.0</v>
      </c>
      <c r="L219">
        <f>'[1]2026 Orders'!J220</f>
        <v>40</v>
      </c>
      <c r="N219" s="10">
        <f>'[1]2026 Orders'!L220</f>
        <v>0</v>
      </c>
      <c r="O219">
        <f>'[1]2026 Orders'!M220</f>
        <v>0</v>
      </c>
      <c r="P219" t="str">
        <f>'[1]2026 Orders'!N220</f>
        <v>NA</v>
      </c>
      <c r="Q219">
        <f>'[1]2026 Orders'!O220</f>
        <v>810131199586</v>
      </c>
      <c r="R219">
        <f>'[1]2026 Orders'!P220</f>
        <v>0</v>
      </c>
      <c r="S219">
        <f>'[1]2026 Orders'!Q220</f>
        <v>4823</v>
      </c>
      <c r="T219">
        <f>'[1]2026 Orders'!R220</f>
        <v>0</v>
      </c>
      <c r="U219">
        <f>'[1]2026 Orders'!S220</f>
        <v>0</v>
      </c>
      <c r="V219">
        <f>'[1]2026 Orders'!T220</f>
        <v>0</v>
      </c>
      <c r="W219">
        <f>'[1]2026 Orders'!U220</f>
        <v>0</v>
      </c>
      <c r="X219">
        <f>'[1]2026 Orders'!V220</f>
        <v>0</v>
      </c>
      <c r="Y219">
        <f>'[1]2026 Orders'!W220</f>
        <v>0</v>
      </c>
      <c r="Z219">
        <f>'[1]2026 Orders'!X220</f>
        <v>0</v>
      </c>
      <c r="AC219" t="str">
        <f t="shared" si="6"/>
        <v>40/</v>
      </c>
      <c r="AD219" t="e">
        <f t="shared" si="7"/>
        <v>#VALUE!</v>
      </c>
    </row>
    <row r="220" spans="1:30" ht="33" hidden="1" customHeight="1" x14ac:dyDescent="0.3">
      <c r="A220">
        <f>'[1]2026 Orders'!A221</f>
        <v>46028</v>
      </c>
      <c r="B220" s="14" t="str">
        <f>'[1]2026 Orders'!B221</f>
        <v>Libya</v>
      </c>
      <c r="C220" s="14" t="str">
        <f>'[1]2026 Orders'!C221</f>
        <v>A4617</v>
      </c>
      <c r="D220" s="14" t="str">
        <f>'[1]2026 Orders'!D221</f>
        <v>Waiting for Split Feedback</v>
      </c>
      <c r="E220" s="17" t="str" cm="1">
        <f t="array" ref="E220">IF(C220=0,"",
HYPERLINK(
"#'2026 Orders'!C"&amp;
MATCH(1,
('2026 Orders'!C:C=C220)*
('2026 Orders'!G:G=G220)*
('2026 Orders'!N:N=N220),
0),
"Open "&amp;C220
))</f>
        <v>Open A4617</v>
      </c>
      <c r="F220" s="14">
        <f>'[1]2026 Orders'!F221</f>
        <v>0</v>
      </c>
      <c r="G220" s="14" t="str">
        <f>'[1]2026 Orders'!G221</f>
        <v>FERTMX-90-CS-LY</v>
      </c>
      <c r="H220" s="14" t="str" cm="1">
        <f t="array" ref="H220">IFERROR(_xlfn.TEXTJOIN("-",,INDEX(_xlfn.TEXTSPLIT(TableTake[[#This Row],[SKU]],"-"),{1,2})),"")</f>
        <v>FERTMX-90</v>
      </c>
      <c r="I220" s="15" t="str">
        <f>IFERROR(_xlfn.TEXTAFTER(TableTake[[#This Row],[SKU]],"-",-1),"")</f>
        <v>LY</v>
      </c>
      <c r="J220" s="14">
        <f>'[1]2026 Orders'!H221</f>
        <v>500</v>
      </c>
      <c r="K220" t="str">
        <f>'[1]2026 Orders'!I221</f>
        <v>LY16-25.0</v>
      </c>
      <c r="L220">
        <f>'[1]2026 Orders'!J221</f>
        <v>500</v>
      </c>
      <c r="N220" s="10" t="str">
        <f>'[1]2026 Orders'!L221</f>
        <v>D/W Sent</v>
      </c>
      <c r="O220">
        <f>'[1]2026 Orders'!M221</f>
        <v>46183</v>
      </c>
      <c r="P220" t="str">
        <f>'[1]2026 Orders'!N221</f>
        <v>Y</v>
      </c>
      <c r="Q220">
        <f>'[1]2026 Orders'!O221</f>
        <v>604776737575</v>
      </c>
      <c r="R220">
        <f>'[1]2026 Orders'!P221</f>
        <v>0</v>
      </c>
      <c r="S220">
        <f>'[1]2026 Orders'!Q221</f>
        <v>4834</v>
      </c>
      <c r="T220">
        <f>'[1]2026 Orders'!R221</f>
        <v>0</v>
      </c>
      <c r="U220">
        <f>'[1]2026 Orders'!S221</f>
        <v>0</v>
      </c>
      <c r="V220">
        <f>'[1]2026 Orders'!T221</f>
        <v>0</v>
      </c>
      <c r="W220">
        <f>'[1]2026 Orders'!U221</f>
        <v>0</v>
      </c>
      <c r="X220">
        <f>'[1]2026 Orders'!V221</f>
        <v>0</v>
      </c>
      <c r="Y220">
        <f>'[1]2026 Orders'!W221</f>
        <v>0</v>
      </c>
      <c r="Z220" t="str">
        <f>'[1]2026 Orders'!X221</f>
        <v>HOLD</v>
      </c>
      <c r="AC220" t="str">
        <f t="shared" si="6"/>
        <v>500/</v>
      </c>
      <c r="AD220" t="e">
        <f t="shared" si="7"/>
        <v>#VALUE!</v>
      </c>
    </row>
    <row r="221" spans="1:30" ht="33" hidden="1" customHeight="1" x14ac:dyDescent="0.3">
      <c r="A221">
        <f>'[1]2026 Orders'!A222</f>
        <v>46028</v>
      </c>
      <c r="B221" s="14" t="str">
        <f>'[1]2026 Orders'!B222</f>
        <v>Libya</v>
      </c>
      <c r="C221" s="14" t="str">
        <f>'[1]2026 Orders'!C222</f>
        <v>A4617</v>
      </c>
      <c r="D221" s="14" t="str">
        <f>'[1]2026 Orders'!D222</f>
        <v>2/13/26 - Docs sent</v>
      </c>
      <c r="E221" s="17" t="str" cm="1">
        <f t="array" ref="E221">IF(C221=0,"",
HYPERLINK(
"#'2026 Orders'!C"&amp;
MATCH(1,
('2026 Orders'!C:C=C221)*
('2026 Orders'!G:G=G221)*
('2026 Orders'!N:N=N221),
0),
"Open "&amp;C221
))</f>
        <v>Open A4617</v>
      </c>
      <c r="F221" s="14">
        <f>'[1]2026 Orders'!F222</f>
        <v>0</v>
      </c>
      <c r="G221" s="14" t="str">
        <f>'[1]2026 Orders'!G222</f>
        <v>METRIO-60-CS-LY</v>
      </c>
      <c r="H221" s="14" t="str" cm="1">
        <f t="array" ref="H221">IFERROR(_xlfn.TEXTJOIN("-",,INDEX(_xlfn.TEXTSPLIT(TableTake[[#This Row],[SKU]],"-"),{1,2})),"")</f>
        <v>METRIO-60</v>
      </c>
      <c r="I221" s="15" t="str">
        <f>IFERROR(_xlfn.TEXTAFTER(TableTake[[#This Row],[SKU]],"-",-1),"")</f>
        <v>LY</v>
      </c>
      <c r="J221" s="14">
        <f>'[1]2026 Orders'!H222</f>
        <v>300</v>
      </c>
      <c r="K221" t="str">
        <f>'[1]2026 Orders'!I222</f>
        <v>LY28-24.0</v>
      </c>
      <c r="L221">
        <f>'[1]2026 Orders'!J222</f>
        <v>300</v>
      </c>
      <c r="N221" s="10" t="str">
        <f>'[1]2026 Orders'!L222</f>
        <v>D/W Sent</v>
      </c>
      <c r="O221">
        <f>'[1]2026 Orders'!M222</f>
        <v>0</v>
      </c>
      <c r="P221" t="str">
        <f>'[1]2026 Orders'!N222</f>
        <v>NA</v>
      </c>
      <c r="Q221">
        <f>'[1]2026 Orders'!O222</f>
        <v>604776739036</v>
      </c>
      <c r="R221">
        <f>'[1]2026 Orders'!P222</f>
        <v>0</v>
      </c>
      <c r="S221">
        <f>'[1]2026 Orders'!Q222</f>
        <v>4842</v>
      </c>
      <c r="T221">
        <f>'[1]2026 Orders'!R222</f>
        <v>0</v>
      </c>
      <c r="U221">
        <f>'[1]2026 Orders'!S222</f>
        <v>0</v>
      </c>
      <c r="V221">
        <f>'[1]2026 Orders'!T222</f>
        <v>0</v>
      </c>
      <c r="W221">
        <f>'[1]2026 Orders'!U222</f>
        <v>0</v>
      </c>
      <c r="X221">
        <f>'[1]2026 Orders'!V222</f>
        <v>0</v>
      </c>
      <c r="Y221">
        <f>'[1]2026 Orders'!W222</f>
        <v>0</v>
      </c>
      <c r="Z221">
        <f>'[1]2026 Orders'!X222</f>
        <v>0</v>
      </c>
      <c r="AC221" t="str">
        <f t="shared" si="6"/>
        <v>300/</v>
      </c>
      <c r="AD221" t="e">
        <f t="shared" si="7"/>
        <v>#VALUE!</v>
      </c>
    </row>
    <row r="222" spans="1:30" ht="33" hidden="1" customHeight="1" x14ac:dyDescent="0.3">
      <c r="A222">
        <f>'[1]2026 Orders'!A223</f>
        <v>46028</v>
      </c>
      <c r="B222" s="14" t="str">
        <f>'[1]2026 Orders'!B223</f>
        <v>Libya</v>
      </c>
      <c r="C222" s="14" t="str">
        <f>'[1]2026 Orders'!C223</f>
        <v>A4617</v>
      </c>
      <c r="D222" s="14" t="str">
        <f>'[1]2026 Orders'!D223</f>
        <v>5/19/2026: Working on Docs</v>
      </c>
      <c r="E222" s="17" t="str" cm="1">
        <f t="array" ref="E222">IF(C222=0,"",
HYPERLINK(
"#'2026 Orders'!C"&amp;
MATCH(1,
('2026 Orders'!C:C=C222)*
('2026 Orders'!G:G=G222)*
('2026 Orders'!N:N=N222),
0),
"Open "&amp;C222
))</f>
        <v>Open A4617</v>
      </c>
      <c r="F222" s="14">
        <f>'[1]2026 Orders'!F223</f>
        <v>0</v>
      </c>
      <c r="G222" s="14" t="str">
        <f>'[1]2026 Orders'!G223</f>
        <v>MFSPLS-120-CS-LY</v>
      </c>
      <c r="H222" s="14" t="str" cm="1">
        <f t="array" ref="H222">IFERROR(_xlfn.TEXTJOIN("-",,INDEX(_xlfn.TEXTSPLIT(TableTake[[#This Row],[SKU]],"-"),{1,2})),"")</f>
        <v>MFSPLS-120</v>
      </c>
      <c r="I222" s="15" t="str">
        <f>IFERROR(_xlfn.TEXTAFTER(TableTake[[#This Row],[SKU]],"-",-1),"")</f>
        <v>LY</v>
      </c>
      <c r="J222" s="14">
        <f>'[1]2026 Orders'!H223</f>
        <v>800</v>
      </c>
      <c r="K222" t="str">
        <f>'[1]2026 Orders'!I223</f>
        <v>LY30-24.0</v>
      </c>
      <c r="L222">
        <f>'[1]2026 Orders'!J223</f>
        <v>800</v>
      </c>
      <c r="N222" s="10" t="str">
        <f>'[1]2026 Orders'!L223</f>
        <v>D/W Sent</v>
      </c>
      <c r="O222">
        <f>'[1]2026 Orders'!M223</f>
        <v>0</v>
      </c>
      <c r="P222" t="str">
        <f>'[1]2026 Orders'!N223</f>
        <v>NA</v>
      </c>
      <c r="Q222">
        <f>'[1]2026 Orders'!O223</f>
        <v>604776739050</v>
      </c>
      <c r="R222">
        <f>'[1]2026 Orders'!P223</f>
        <v>7000</v>
      </c>
      <c r="S222">
        <f>'[1]2026 Orders'!Q223</f>
        <v>4935</v>
      </c>
      <c r="T222" t="str">
        <f>'[1]2026 Orders'!R223</f>
        <v>complete</v>
      </c>
      <c r="U222">
        <f>'[1]2026 Orders'!S223</f>
        <v>0</v>
      </c>
      <c r="V222">
        <f>'[1]2026 Orders'!T223</f>
        <v>0</v>
      </c>
      <c r="W222">
        <f>'[1]2026 Orders'!U223</f>
        <v>0</v>
      </c>
      <c r="X222">
        <f>'[1]2026 Orders'!V223</f>
        <v>0</v>
      </c>
      <c r="Y222">
        <f>'[1]2026 Orders'!W223</f>
        <v>0</v>
      </c>
      <c r="Z222">
        <f>'[1]2026 Orders'!X223</f>
        <v>0</v>
      </c>
      <c r="AC222" t="str">
        <f t="shared" si="6"/>
        <v>800/</v>
      </c>
      <c r="AD222" t="e">
        <f t="shared" si="7"/>
        <v>#VALUE!</v>
      </c>
    </row>
    <row r="223" spans="1:30" ht="33" hidden="1" customHeight="1" x14ac:dyDescent="0.3">
      <c r="A223">
        <f>'[1]2026 Orders'!A224</f>
        <v>46028</v>
      </c>
      <c r="B223" s="14" t="str">
        <f>'[1]2026 Orders'!B224</f>
        <v>Libya</v>
      </c>
      <c r="C223" s="14" t="str">
        <f>'[1]2026 Orders'!C224</f>
        <v>A4617</v>
      </c>
      <c r="D223" s="14">
        <f>'[1]2026 Orders'!D224</f>
        <v>0</v>
      </c>
      <c r="E223" s="17" t="str" cm="1">
        <f t="array" ref="E223">IF(C223=0,"",
HYPERLINK(
"#'2026 Orders'!C"&amp;
MATCH(1,
('2026 Orders'!C:C=C223)*
('2026 Orders'!G:G=G223)*
('2026 Orders'!N:N=N223),
0),
"Open "&amp;C223
))</f>
        <v>Open A4617</v>
      </c>
      <c r="F223" s="14">
        <f>'[1]2026 Orders'!F224</f>
        <v>0</v>
      </c>
      <c r="G223" s="14" t="str">
        <f>'[1]2026 Orders'!G224</f>
        <v>OVAMAX-120-CS-LY</v>
      </c>
      <c r="H223" s="14" t="str" cm="1">
        <f t="array" ref="H223">IFERROR(_xlfn.TEXTJOIN("-",,INDEX(_xlfn.TEXTSPLIT(TableTake[[#This Row],[SKU]],"-"),{1,2})),"")</f>
        <v>OVAMAX-120</v>
      </c>
      <c r="I223" s="15" t="str">
        <f>IFERROR(_xlfn.TEXTAFTER(TableTake[[#This Row],[SKU]],"-",-1),"")</f>
        <v>LY</v>
      </c>
      <c r="J223" s="14">
        <f>'[1]2026 Orders'!H224</f>
        <v>500</v>
      </c>
      <c r="K223" t="str">
        <f>'[1]2026 Orders'!I224</f>
        <v>LY41-24.0</v>
      </c>
      <c r="L223">
        <f>'[1]2026 Orders'!J224</f>
        <v>500</v>
      </c>
      <c r="N223" s="10" t="str">
        <f>'[1]2026 Orders'!L224</f>
        <v>D/W Sent</v>
      </c>
      <c r="O223">
        <f>'[1]2026 Orders'!M224</f>
        <v>0</v>
      </c>
      <c r="P223" t="str">
        <f>'[1]2026 Orders'!N224</f>
        <v>NA</v>
      </c>
      <c r="Q223">
        <f>'[1]2026 Orders'!O224</f>
        <v>604776739081</v>
      </c>
      <c r="R223">
        <f>'[1]2026 Orders'!P224</f>
        <v>0</v>
      </c>
      <c r="S223">
        <f>'[1]2026 Orders'!Q224</f>
        <v>0</v>
      </c>
      <c r="T223">
        <f>'[1]2026 Orders'!R224</f>
        <v>0</v>
      </c>
      <c r="U223">
        <f>'[1]2026 Orders'!S224</f>
        <v>0</v>
      </c>
      <c r="V223">
        <f>'[1]2026 Orders'!T224</f>
        <v>0</v>
      </c>
      <c r="W223">
        <f>'[1]2026 Orders'!U224</f>
        <v>0</v>
      </c>
      <c r="X223">
        <f>'[1]2026 Orders'!V224</f>
        <v>46062</v>
      </c>
      <c r="Y223">
        <f>'[1]2026 Orders'!W224</f>
        <v>0</v>
      </c>
      <c r="Z223">
        <f>'[1]2026 Orders'!X224</f>
        <v>0</v>
      </c>
      <c r="AC223" t="str">
        <f t="shared" si="6"/>
        <v>500/</v>
      </c>
      <c r="AD223" t="e">
        <f t="shared" si="7"/>
        <v>#VALUE!</v>
      </c>
    </row>
    <row r="224" spans="1:30" ht="33" hidden="1" customHeight="1" x14ac:dyDescent="0.3">
      <c r="A224">
        <f>'[1]2026 Orders'!A225</f>
        <v>46028</v>
      </c>
      <c r="B224" s="14" t="str">
        <f>'[1]2026 Orders'!B225</f>
        <v>Libya</v>
      </c>
      <c r="C224" s="14" t="str">
        <f>'[1]2026 Orders'!C225</f>
        <v>A4617</v>
      </c>
      <c r="D224" s="14">
        <f>'[1]2026 Orders'!D225</f>
        <v>0</v>
      </c>
      <c r="E224" s="17" t="str" cm="1">
        <f t="array" ref="E224">IF(C224=0,"",
HYPERLINK(
"#'2026 Orders'!C"&amp;
MATCH(1,
('2026 Orders'!C:C=C224)*
('2026 Orders'!G:G=G224)*
('2026 Orders'!N:N=N224),
0),
"Open "&amp;C224
))</f>
        <v>Open A4617</v>
      </c>
      <c r="F224" s="14">
        <f>'[1]2026 Orders'!F225</f>
        <v>0</v>
      </c>
      <c r="G224" s="14" t="str">
        <f>'[1]2026 Orders'!G225</f>
        <v>LIPODIS-60-FD</v>
      </c>
      <c r="H224" s="14" t="str" cm="1">
        <f t="array" ref="H224">IFERROR(_xlfn.TEXTJOIN("-",,INDEX(_xlfn.TEXTSPLIT(TableTake[[#This Row],[SKU]],"-"),{1,2})),"")</f>
        <v>LIPODIS-60</v>
      </c>
      <c r="I224" s="15" t="str">
        <f>IFERROR(_xlfn.TEXTAFTER(TableTake[[#This Row],[SKU]],"-",-1),"")</f>
        <v>FD</v>
      </c>
      <c r="J224" s="14">
        <f>'[1]2026 Orders'!H225</f>
        <v>300</v>
      </c>
      <c r="K224" t="str">
        <f>'[1]2026 Orders'!I225</f>
        <v>F26-22.0</v>
      </c>
      <c r="L224">
        <f>'[1]2026 Orders'!J225</f>
        <v>0</v>
      </c>
      <c r="N224" s="10" t="str">
        <f>'[1]2026 Orders'!L225</f>
        <v>D/W Sent</v>
      </c>
      <c r="O224">
        <f>'[1]2026 Orders'!M225</f>
        <v>0</v>
      </c>
      <c r="P224" t="str">
        <f>'[1]2026 Orders'!N225</f>
        <v>Y</v>
      </c>
      <c r="Q224" t="str">
        <f>'[1]2026 Orders'!O225</f>
        <v>604776735823</v>
      </c>
      <c r="R224">
        <f>'[1]2026 Orders'!P225</f>
        <v>7000</v>
      </c>
      <c r="S224">
        <f>'[1]2026 Orders'!Q225</f>
        <v>4971</v>
      </c>
      <c r="T224" t="str">
        <f>'[1]2026 Orders'!R225</f>
        <v>Complete</v>
      </c>
      <c r="U224" t="str">
        <f>'[1]2026 Orders'!S225</f>
        <v>Waiting for PL and sample approval</v>
      </c>
      <c r="V224">
        <f>'[1]2026 Orders'!T225</f>
        <v>0</v>
      </c>
      <c r="W224">
        <f>'[1]2026 Orders'!U225</f>
        <v>0</v>
      </c>
      <c r="X224">
        <f>'[1]2026 Orders'!V225</f>
        <v>0</v>
      </c>
      <c r="Y224">
        <f>'[1]2026 Orders'!W225</f>
        <v>0</v>
      </c>
      <c r="Z224">
        <f>'[1]2026 Orders'!X225</f>
        <v>0</v>
      </c>
      <c r="AC224" t="str">
        <f t="shared" si="6"/>
        <v>300/</v>
      </c>
      <c r="AD224" t="e">
        <f t="shared" si="7"/>
        <v>#VALUE!</v>
      </c>
    </row>
    <row r="225" spans="1:30" ht="33" hidden="1" customHeight="1" x14ac:dyDescent="0.3">
      <c r="A225">
        <f>'[1]2026 Orders'!A226</f>
        <v>46009</v>
      </c>
      <c r="B225" s="14" t="str">
        <f>'[1]2026 Orders'!B226</f>
        <v>Botswana</v>
      </c>
      <c r="C225" s="14" t="str">
        <f>'[1]2026 Orders'!C226</f>
        <v>A4612</v>
      </c>
      <c r="D225" s="14">
        <f>'[1]2026 Orders'!D226</f>
        <v>0</v>
      </c>
      <c r="E225" s="17" t="e" cm="1">
        <f t="array" ref="E225">IF(C225=0,"",
HYPERLINK(
"#'2026 Orders'!C"&amp;
MATCH(1,
('2026 Orders'!C:C=C225)*
('2026 Orders'!G:G=G225)*
('2026 Orders'!N:N=N225),
0),
"Open "&amp;C225
))</f>
        <v>#N/A</v>
      </c>
      <c r="F225" s="14">
        <f>'[1]2026 Orders'!F226</f>
        <v>0</v>
      </c>
      <c r="G225" s="14" t="str">
        <f>'[1]2026 Orders'!G226</f>
        <v>PENAMAX-60-GE-FD</v>
      </c>
      <c r="H225" s="14" t="str" cm="1">
        <f t="array" ref="H225">IFERROR(_xlfn.TEXTJOIN("-",,INDEX(_xlfn.TEXTSPLIT(TableTake[[#This Row],[SKU]],"-"),{1,2})),"")</f>
        <v>PENAMAX-60</v>
      </c>
      <c r="I225" s="15" t="str">
        <f>IFERROR(_xlfn.TEXTAFTER(TableTake[[#This Row],[SKU]],"-",-1),"")</f>
        <v>FD</v>
      </c>
      <c r="J225" s="14">
        <f>'[1]2026 Orders'!H226</f>
        <v>20</v>
      </c>
      <c r="K225" t="str">
        <f>'[1]2026 Orders'!I226</f>
        <v>F88-25.1</v>
      </c>
      <c r="L225">
        <f>'[1]2026 Orders'!J226</f>
        <v>20</v>
      </c>
      <c r="N225" s="10">
        <f>'[1]2026 Orders'!L226</f>
        <v>0</v>
      </c>
      <c r="O225">
        <f>'[1]2026 Orders'!M226</f>
        <v>0</v>
      </c>
      <c r="P225" t="str">
        <f>'[1]2026 Orders'!N226</f>
        <v>Y</v>
      </c>
      <c r="Q225">
        <f>'[1]2026 Orders'!O226</f>
        <v>604776738824</v>
      </c>
      <c r="R225">
        <f>'[1]2026 Orders'!P226</f>
        <v>0</v>
      </c>
      <c r="S225">
        <f>'[1]2026 Orders'!Q226</f>
        <v>4805</v>
      </c>
      <c r="T225">
        <f>'[1]2026 Orders'!R226</f>
        <v>0</v>
      </c>
      <c r="U225">
        <f>'[1]2026 Orders'!S226</f>
        <v>0</v>
      </c>
      <c r="V225">
        <f>'[1]2026 Orders'!T226</f>
        <v>0</v>
      </c>
      <c r="W225">
        <f>'[1]2026 Orders'!U226</f>
        <v>0</v>
      </c>
      <c r="X225">
        <f>'[1]2026 Orders'!V226</f>
        <v>0</v>
      </c>
      <c r="Y225">
        <f>'[1]2026 Orders'!W226</f>
        <v>0</v>
      </c>
      <c r="Z225">
        <f>'[1]2026 Orders'!X226</f>
        <v>0</v>
      </c>
      <c r="AC225" t="str">
        <f t="shared" si="6"/>
        <v>20/</v>
      </c>
      <c r="AD225" t="e">
        <f t="shared" si="7"/>
        <v>#VALUE!</v>
      </c>
    </row>
    <row r="226" spans="1:30" ht="33" hidden="1" customHeight="1" x14ac:dyDescent="0.3">
      <c r="A226">
        <f>'[1]2026 Orders'!A227</f>
        <v>46028</v>
      </c>
      <c r="B226" s="14" t="str">
        <f>'[1]2026 Orders'!B227</f>
        <v>Libya</v>
      </c>
      <c r="C226" s="14" t="str">
        <f>'[1]2026 Orders'!C227</f>
        <v>A4706</v>
      </c>
      <c r="D226" s="14">
        <f>'[1]2026 Orders'!D227</f>
        <v>0</v>
      </c>
      <c r="E226" s="17" t="str" cm="1">
        <f t="array" ref="E226">IF(C226=0,"",
HYPERLINK(
"#'2026 Orders'!C"&amp;
MATCH(1,
('2026 Orders'!C:C=C226)*
('2026 Orders'!G:G=G226)*
('2026 Orders'!N:N=N226),
0),
"Open "&amp;C226
))</f>
        <v>Open A4706</v>
      </c>
      <c r="F226" s="14" t="str">
        <f>'[1]2026 Orders'!F227</f>
        <v>3/4/2026 - Status changed to out of stock as 300 packs moved to UAE A4553</v>
      </c>
      <c r="G226" s="14" t="str">
        <f>'[1]2026 Orders'!G227</f>
        <v>POLYSIT-90-CS-LY</v>
      </c>
      <c r="H226" s="14" t="str" cm="1">
        <f t="array" ref="H226">IFERROR(_xlfn.TEXTJOIN("-",,INDEX(_xlfn.TEXTSPLIT(TableTake[[#This Row],[SKU]],"-"),{1,2})),"")</f>
        <v>POLYSIT-90</v>
      </c>
      <c r="I226" s="15" t="str">
        <f>IFERROR(_xlfn.TEXTAFTER(TableTake[[#This Row],[SKU]],"-",-1),"")</f>
        <v>LY</v>
      </c>
      <c r="J226" s="14">
        <f>'[1]2026 Orders'!H227</f>
        <v>300</v>
      </c>
      <c r="K226" t="str">
        <f>'[1]2026 Orders'!I227</f>
        <v>LY53-24.0</v>
      </c>
      <c r="L226">
        <f>'[1]2026 Orders'!J227</f>
        <v>0</v>
      </c>
      <c r="N226" s="10" t="str">
        <f>'[1]2026 Orders'!L227</f>
        <v>In Production</v>
      </c>
      <c r="O226">
        <f>'[1]2026 Orders'!M227</f>
        <v>0</v>
      </c>
      <c r="P226" t="str">
        <f>'[1]2026 Orders'!N227</f>
        <v>Y</v>
      </c>
      <c r="Q226">
        <f>'[1]2026 Orders'!O227</f>
        <v>604776739203</v>
      </c>
      <c r="R226">
        <f>'[1]2026 Orders'!P227</f>
        <v>5000</v>
      </c>
      <c r="S226">
        <f>'[1]2026 Orders'!Q227</f>
        <v>5034</v>
      </c>
      <c r="T226">
        <f>'[1]2026 Orders'!R227</f>
        <v>46204</v>
      </c>
      <c r="U226">
        <f>'[1]2026 Orders'!S227</f>
        <v>0</v>
      </c>
      <c r="V226">
        <f>'[1]2026 Orders'!T227</f>
        <v>0</v>
      </c>
      <c r="W226">
        <f>'[1]2026 Orders'!U227</f>
        <v>0</v>
      </c>
      <c r="X226">
        <f>'[1]2026 Orders'!V227</f>
        <v>0</v>
      </c>
      <c r="Y226">
        <f>'[1]2026 Orders'!W227</f>
        <v>0</v>
      </c>
      <c r="Z226" t="str">
        <f>'[1]2026 Orders'!X227</f>
        <v>HOLD</v>
      </c>
      <c r="AC226" t="str">
        <f t="shared" si="6"/>
        <v>300/</v>
      </c>
      <c r="AD226" t="e">
        <f t="shared" si="7"/>
        <v>#VALUE!</v>
      </c>
    </row>
    <row r="227" spans="1:30" ht="33" hidden="1" customHeight="1" x14ac:dyDescent="0.3">
      <c r="A227">
        <f>'[1]2026 Orders'!A228</f>
        <v>46009</v>
      </c>
      <c r="B227" s="14" t="str">
        <f>'[1]2026 Orders'!B228</f>
        <v>Georgia</v>
      </c>
      <c r="C227" s="14" t="str">
        <f>'[1]2026 Orders'!C228</f>
        <v>A4625</v>
      </c>
      <c r="D227" s="14">
        <f>'[1]2026 Orders'!D228</f>
        <v>0</v>
      </c>
      <c r="E227" s="17" t="e" cm="1">
        <f t="array" ref="E227">IF(C227=0,"",
HYPERLINK(
"#'2026 Orders'!C"&amp;
MATCH(1,
('2026 Orders'!C:C=C227)*
('2026 Orders'!G:G=G227)*
('2026 Orders'!N:N=N227),
0),
"Open "&amp;C227
))</f>
        <v>#N/A</v>
      </c>
      <c r="F227" s="14" t="str">
        <f>'[1]2026 Orders'!F228</f>
        <v>( l-argine ) 1/15/2025 moved to back order</v>
      </c>
      <c r="G227" s="14" t="str">
        <f>'[1]2026 Orders'!G228</f>
        <v>ARGI-100-CS-GE</v>
      </c>
      <c r="H227" s="14" t="str" cm="1">
        <f t="array" ref="H227">IFERROR(_xlfn.TEXTJOIN("-",,INDEX(_xlfn.TEXTSPLIT(TableTake[[#This Row],[SKU]],"-"),{1,2})),"")</f>
        <v>ARGI-100</v>
      </c>
      <c r="I227" s="15" t="str">
        <f>IFERROR(_xlfn.TEXTAFTER(TableTake[[#This Row],[SKU]],"-",-1),"")</f>
        <v>GE</v>
      </c>
      <c r="J227" s="14">
        <f>'[1]2026 Orders'!H228</f>
        <v>239</v>
      </c>
      <c r="K227" t="str">
        <f>'[1]2026 Orders'!I228</f>
        <v>GO25-21.0</v>
      </c>
      <c r="L227">
        <f>'[1]2026 Orders'!J228</f>
        <v>0</v>
      </c>
      <c r="N227" s="10">
        <f>'[1]2026 Orders'!L228</f>
        <v>0</v>
      </c>
      <c r="O227">
        <f>'[1]2026 Orders'!M228</f>
        <v>0</v>
      </c>
      <c r="P227" t="str">
        <f>'[1]2026 Orders'!N228</f>
        <v>NA</v>
      </c>
      <c r="Q227">
        <f>'[1]2026 Orders'!O228</f>
        <v>604776738657</v>
      </c>
      <c r="R227">
        <f>'[1]2026 Orders'!P228</f>
        <v>2000</v>
      </c>
      <c r="S227">
        <f>'[1]2026 Orders'!Q228</f>
        <v>4998</v>
      </c>
      <c r="T227" t="str">
        <f>'[1]2026 Orders'!R228</f>
        <v>TBD</v>
      </c>
      <c r="U227" t="str">
        <f>'[1]2026 Orders'!S228</f>
        <v>MOQ 2000</v>
      </c>
      <c r="V227">
        <f>'[1]2026 Orders'!T228</f>
        <v>0</v>
      </c>
      <c r="W227">
        <f>'[1]2026 Orders'!U228</f>
        <v>0</v>
      </c>
      <c r="X227">
        <f>'[1]2026 Orders'!V228</f>
        <v>0</v>
      </c>
      <c r="Y227">
        <f>'[1]2026 Orders'!W228</f>
        <v>0</v>
      </c>
      <c r="Z227" t="str">
        <f>'[1]2026 Orders'!X228</f>
        <v>HOLD</v>
      </c>
      <c r="AC227" t="str">
        <f t="shared" si="6"/>
        <v>239/</v>
      </c>
      <c r="AD227" t="e">
        <f t="shared" si="7"/>
        <v>#VALUE!</v>
      </c>
    </row>
    <row r="228" spans="1:30" ht="33" hidden="1" customHeight="1" x14ac:dyDescent="0.3">
      <c r="A228">
        <f>'[1]2026 Orders'!A229</f>
        <v>46029</v>
      </c>
      <c r="B228" s="14" t="str">
        <f>'[1]2026 Orders'!B229</f>
        <v>Kuwait</v>
      </c>
      <c r="C228" s="14" t="str">
        <f>'[1]2026 Orders'!C229</f>
        <v>A4696</v>
      </c>
      <c r="D228" s="14">
        <f>'[1]2026 Orders'!D229</f>
        <v>0</v>
      </c>
      <c r="E228" s="17" t="str" cm="1">
        <f t="array" ref="E228">IF(C228=0,"",
HYPERLINK(
"#'2026 Orders'!C"&amp;
MATCH(1,
('2026 Orders'!C:C=C228)*
('2026 Orders'!G:G=G228)*
('2026 Orders'!N:N=N228),
0),
"Open "&amp;C228
))</f>
        <v>Open A4696</v>
      </c>
      <c r="F228" s="14" t="str">
        <f>'[1]2026 Orders'!F229</f>
        <v xml:space="preserve">Needs to be converted to green capsules </v>
      </c>
      <c r="G228" s="14" t="str">
        <f>'[1]2026 Orders'!G229</f>
        <v>CAVINADV-60-CS-KW</v>
      </c>
      <c r="H228" s="14" t="str" cm="1">
        <f t="array" ref="H228">IFERROR(_xlfn.TEXTJOIN("-",,INDEX(_xlfn.TEXTSPLIT(TableTake[[#This Row],[SKU]],"-"),{1,2})),"")</f>
        <v>CAVINADV-60</v>
      </c>
      <c r="I228" s="15" t="str">
        <f>IFERROR(_xlfn.TEXTAFTER(TableTake[[#This Row],[SKU]],"-",-1),"")</f>
        <v>KW</v>
      </c>
      <c r="J228" s="14">
        <f>'[1]2026 Orders'!H229</f>
        <v>1</v>
      </c>
      <c r="K228" t="str">
        <f>'[1]2026 Orders'!I229</f>
        <v>KW09-26.0</v>
      </c>
      <c r="L228">
        <f>'[1]2026 Orders'!J229</f>
        <v>1</v>
      </c>
      <c r="N228" s="10" t="str">
        <f>'[1]2026 Orders'!L229</f>
        <v>D/W Sent</v>
      </c>
      <c r="O228">
        <f>'[1]2026 Orders'!M229</f>
        <v>46147</v>
      </c>
      <c r="P228" t="str">
        <f>'[1]2026 Orders'!N229</f>
        <v>NA</v>
      </c>
      <c r="Q228">
        <f>'[1]2026 Orders'!O229</f>
        <v>604776740179</v>
      </c>
      <c r="R228">
        <f>'[1]2026 Orders'!P229</f>
        <v>0</v>
      </c>
      <c r="S228">
        <f>'[1]2026 Orders'!Q229</f>
        <v>0</v>
      </c>
      <c r="T228">
        <f>'[1]2026 Orders'!R229</f>
        <v>0</v>
      </c>
      <c r="U228">
        <f>'[1]2026 Orders'!S229</f>
        <v>0</v>
      </c>
      <c r="V228">
        <f>'[1]2026 Orders'!T229</f>
        <v>0</v>
      </c>
      <c r="W228">
        <f>'[1]2026 Orders'!U229</f>
        <v>0</v>
      </c>
      <c r="X228">
        <f>'[1]2026 Orders'!V229</f>
        <v>0</v>
      </c>
      <c r="Y228">
        <f>'[1]2026 Orders'!W229</f>
        <v>0</v>
      </c>
      <c r="Z228" t="str">
        <f>'[1]2026 Orders'!X229</f>
        <v>Approved</v>
      </c>
      <c r="AC228" t="str">
        <f t="shared" si="6"/>
        <v>1/</v>
      </c>
      <c r="AD228" t="e">
        <f t="shared" si="7"/>
        <v>#VALUE!</v>
      </c>
    </row>
    <row r="229" spans="1:30" ht="33" hidden="1" customHeight="1" x14ac:dyDescent="0.3">
      <c r="A229">
        <f>'[1]2026 Orders'!A230</f>
        <v>46013</v>
      </c>
      <c r="B229" s="14" t="str">
        <f>'[1]2026 Orders'!B230</f>
        <v>Nigeria</v>
      </c>
      <c r="C229" s="14" t="str">
        <f>'[1]2026 Orders'!C230</f>
        <v>A4616</v>
      </c>
      <c r="D229" s="14" t="str">
        <f>'[1]2026 Orders'!D230</f>
        <v>waiting on import permit</v>
      </c>
      <c r="E229" s="17" t="e" cm="1">
        <f t="array" ref="E229">IF(C229=0,"",
HYPERLINK(
"#'2026 Orders'!C"&amp;
MATCH(1,
('2026 Orders'!C:C=C229)*
('2026 Orders'!G:G=G229)*
('2026 Orders'!N:N=N229),
0),
"Open "&amp;C229
))</f>
        <v>#N/A</v>
      </c>
      <c r="F229" s="14" t="str">
        <f>'[1]2026 Orders'!F230</f>
        <v xml:space="preserve">1/8/2025: quanitity increased 16 bottles </v>
      </c>
      <c r="G229" s="14" t="str">
        <f>'[1]2026 Orders'!G230</f>
        <v>FERTMX-90-CS-NI</v>
      </c>
      <c r="H229" s="14" t="str" cm="1">
        <f t="array" ref="H229">IFERROR(_xlfn.TEXTJOIN("-",,INDEX(_xlfn.TEXTSPLIT(TableTake[[#This Row],[SKU]],"-"),{1,2})),"")</f>
        <v>FERTMX-90</v>
      </c>
      <c r="I229" s="15" t="str">
        <f>IFERROR(_xlfn.TEXTAFTER(TableTake[[#This Row],[SKU]],"-",-1),"")</f>
        <v>NI</v>
      </c>
      <c r="J229" s="14">
        <f>'[1]2026 Orders'!H230</f>
        <v>216</v>
      </c>
      <c r="K229" t="str">
        <f>'[1]2026 Orders'!I230</f>
        <v>NI16|26.0</v>
      </c>
      <c r="L229">
        <f>'[1]2026 Orders'!J230</f>
        <v>216</v>
      </c>
      <c r="N229" s="10">
        <f>'[1]2026 Orders'!L230</f>
        <v>0</v>
      </c>
      <c r="O229">
        <f>'[1]2026 Orders'!M230</f>
        <v>0</v>
      </c>
      <c r="P229" t="str">
        <f>'[1]2026 Orders'!N230</f>
        <v>y</v>
      </c>
      <c r="Q229">
        <f>'[1]2026 Orders'!O230</f>
        <v>604776739890</v>
      </c>
      <c r="R229">
        <f>'[1]2026 Orders'!P230</f>
        <v>0</v>
      </c>
      <c r="S229">
        <f>'[1]2026 Orders'!Q230</f>
        <v>4834</v>
      </c>
      <c r="T229">
        <f>'[1]2026 Orders'!R230</f>
        <v>0</v>
      </c>
      <c r="U229">
        <f>'[1]2026 Orders'!S230</f>
        <v>0</v>
      </c>
      <c r="V229">
        <f>'[1]2026 Orders'!T230</f>
        <v>0</v>
      </c>
      <c r="W229">
        <f>'[1]2026 Orders'!U230</f>
        <v>0</v>
      </c>
      <c r="X229">
        <f>'[1]2026 Orders'!V230</f>
        <v>0</v>
      </c>
      <c r="Y229">
        <f>'[1]2026 Orders'!W230</f>
        <v>0</v>
      </c>
      <c r="Z229" t="str">
        <f>'[1]2026 Orders'!X230</f>
        <v>HOLD</v>
      </c>
      <c r="AC229" t="str">
        <f t="shared" si="6"/>
        <v>216/</v>
      </c>
      <c r="AD229" t="e">
        <f t="shared" si="7"/>
        <v>#VALUE!</v>
      </c>
    </row>
    <row r="230" spans="1:30" ht="33" hidden="1" customHeight="1" x14ac:dyDescent="0.3">
      <c r="A230">
        <f>'[1]2026 Orders'!A231</f>
        <v>46028</v>
      </c>
      <c r="B230" s="14" t="str">
        <f>'[1]2026 Orders'!B231</f>
        <v>Kuwait</v>
      </c>
      <c r="C230" s="14" t="str">
        <f>'[1]2026 Orders'!C231</f>
        <v>A4648</v>
      </c>
      <c r="D230" s="14" t="str">
        <f>'[1]2026 Orders'!D231</f>
        <v>EyeCaps are to be placed on hold for now. Cannot register product w/ current formula, waiting for labels.</v>
      </c>
      <c r="E230" s="17" t="str" cm="1">
        <f t="array" ref="E230">IF(C230=0,"",
HYPERLINK(
"#'2026 Orders'!C"&amp;
MATCH(1,
('2026 Orders'!C:C=C230)*
('2026 Orders'!G:G=G230)*
('2026 Orders'!N:N=N230),
0),
"Open "&amp;C230
))</f>
        <v>Open A4648</v>
      </c>
      <c r="F230" s="14" t="str">
        <f>'[1]2026 Orders'!F231</f>
        <v xml:space="preserve">Regular product with country specific labels </v>
      </c>
      <c r="G230" s="14" t="str">
        <f>'[1]2026 Orders'!G231</f>
        <v>EYECAP-30-CS-KW</v>
      </c>
      <c r="H230" s="14" t="str" cm="1">
        <f t="array" ref="H230">IFERROR(_xlfn.TEXTJOIN("-",,INDEX(_xlfn.TEXTSPLIT(TableTake[[#This Row],[SKU]],"-"),{1,2})),"")</f>
        <v>EYECAP-30</v>
      </c>
      <c r="I230" s="15" t="str">
        <f>IFERROR(_xlfn.TEXTAFTER(TableTake[[#This Row],[SKU]],"-",-1),"")</f>
        <v>KW</v>
      </c>
      <c r="J230" s="14">
        <f>'[1]2026 Orders'!H231</f>
        <v>5</v>
      </c>
      <c r="K230" t="str">
        <f>'[1]2026 Orders'!I231</f>
        <v>N/A</v>
      </c>
      <c r="L230">
        <f>'[1]2026 Orders'!J231</f>
        <v>5</v>
      </c>
      <c r="N230" s="10" t="str">
        <f>'[1]2026 Orders'!L231</f>
        <v>Sales Action Needed</v>
      </c>
      <c r="O230" t="str">
        <f>'[1]2026 Orders'!M231</f>
        <v>label and sku non existent</v>
      </c>
      <c r="P230" t="str">
        <f>'[1]2026 Orders'!N231</f>
        <v>Y</v>
      </c>
      <c r="Q230" t="str">
        <f>'[1]2026 Orders'!O231</f>
        <v>N/A</v>
      </c>
      <c r="R230">
        <f>'[1]2026 Orders'!P231</f>
        <v>0</v>
      </c>
      <c r="S230">
        <f>'[1]2026 Orders'!Q231</f>
        <v>0</v>
      </c>
      <c r="T230">
        <f>'[1]2026 Orders'!R231</f>
        <v>0</v>
      </c>
      <c r="U230">
        <f>'[1]2026 Orders'!S231</f>
        <v>0</v>
      </c>
      <c r="V230">
        <f>'[1]2026 Orders'!T231</f>
        <v>0</v>
      </c>
      <c r="W230">
        <f>'[1]2026 Orders'!U231</f>
        <v>0</v>
      </c>
      <c r="X230">
        <f>'[1]2026 Orders'!V231</f>
        <v>0</v>
      </c>
      <c r="Y230">
        <f>'[1]2026 Orders'!W231</f>
        <v>0</v>
      </c>
      <c r="Z230" t="str">
        <f>'[1]2026 Orders'!X231</f>
        <v>Approved</v>
      </c>
      <c r="AC230" t="str">
        <f t="shared" si="6"/>
        <v>5/</v>
      </c>
      <c r="AD230" t="e">
        <f t="shared" si="7"/>
        <v>#VALUE!</v>
      </c>
    </row>
    <row r="231" spans="1:30" ht="33" hidden="1" customHeight="1" x14ac:dyDescent="0.3">
      <c r="A231">
        <f>'[1]2026 Orders'!A232</f>
        <v>46013</v>
      </c>
      <c r="B231" s="14" t="str">
        <f>'[1]2026 Orders'!B232</f>
        <v>Nigeria</v>
      </c>
      <c r="C231" s="14" t="str">
        <f>'[1]2026 Orders'!C232</f>
        <v>A4616</v>
      </c>
      <c r="D231" s="14">
        <f>'[1]2026 Orders'!D232</f>
        <v>0</v>
      </c>
      <c r="E231" s="17" t="e" cm="1">
        <f t="array" ref="E231">IF(C231=0,"",
HYPERLINK(
"#'2026 Orders'!C"&amp;
MATCH(1,
('2026 Orders'!C:C=C231)*
('2026 Orders'!G:G=G231)*
('2026 Orders'!N:N=N231),
0),
"Open "&amp;C231
))</f>
        <v>#N/A</v>
      </c>
      <c r="F231" s="14" t="str">
        <f>'[1]2026 Orders'!F232</f>
        <v xml:space="preserve">1/8/2025: quanitity increased 16 bottles </v>
      </c>
      <c r="G231" s="14" t="str">
        <f>'[1]2026 Orders'!G232</f>
        <v>MOTILMX-60-CS-NI</v>
      </c>
      <c r="H231" s="14" t="str" cm="1">
        <f t="array" ref="H231">IFERROR(_xlfn.TEXTJOIN("-",,INDEX(_xlfn.TEXTSPLIT(TableTake[[#This Row],[SKU]],"-"),{1,2})),"")</f>
        <v>MOTILMX-60</v>
      </c>
      <c r="I231" s="15" t="str">
        <f>IFERROR(_xlfn.TEXTAFTER(TableTake[[#This Row],[SKU]],"-",-1),"")</f>
        <v>NI</v>
      </c>
      <c r="J231" s="14">
        <f>'[1]2026 Orders'!H232</f>
        <v>96</v>
      </c>
      <c r="K231" t="str">
        <f>'[1]2026 Orders'!I232</f>
        <v>NI31|26.0</v>
      </c>
      <c r="L231">
        <f>'[1]2026 Orders'!J232</f>
        <v>96</v>
      </c>
      <c r="N231" s="10">
        <f>'[1]2026 Orders'!L232</f>
        <v>0</v>
      </c>
      <c r="O231">
        <f>'[1]2026 Orders'!M232</f>
        <v>0</v>
      </c>
      <c r="P231" t="str">
        <f>'[1]2026 Orders'!N232</f>
        <v>NA</v>
      </c>
      <c r="Q231">
        <f>'[1]2026 Orders'!O232</f>
        <v>604776739906</v>
      </c>
      <c r="R231">
        <f>'[1]2026 Orders'!P232</f>
        <v>0</v>
      </c>
      <c r="S231">
        <f>'[1]2026 Orders'!Q232</f>
        <v>4848</v>
      </c>
      <c r="T231">
        <f>'[1]2026 Orders'!R232</f>
        <v>0</v>
      </c>
      <c r="U231">
        <f>'[1]2026 Orders'!S232</f>
        <v>0</v>
      </c>
      <c r="V231">
        <f>'[1]2026 Orders'!T232</f>
        <v>0</v>
      </c>
      <c r="W231">
        <f>'[1]2026 Orders'!U232</f>
        <v>0</v>
      </c>
      <c r="X231">
        <f>'[1]2026 Orders'!V232</f>
        <v>0</v>
      </c>
      <c r="Y231">
        <f>'[1]2026 Orders'!W232</f>
        <v>0</v>
      </c>
      <c r="Z231">
        <f>'[1]2026 Orders'!X232</f>
        <v>0</v>
      </c>
      <c r="AC231" t="str">
        <f t="shared" si="6"/>
        <v>96/</v>
      </c>
      <c r="AD231" t="e">
        <f t="shared" si="7"/>
        <v>#VALUE!</v>
      </c>
    </row>
    <row r="232" spans="1:30" ht="33" hidden="1" customHeight="1" x14ac:dyDescent="0.3">
      <c r="A232">
        <f>'[1]2026 Orders'!A233</f>
        <v>46037</v>
      </c>
      <c r="B232" s="14" t="str">
        <f>'[1]2026 Orders'!B233</f>
        <v>Iraq</v>
      </c>
      <c r="C232" s="14" t="str">
        <f>'[1]2026 Orders'!C233</f>
        <v>A4626</v>
      </c>
      <c r="D232" s="14">
        <f>'[1]2026 Orders'!D233</f>
        <v>0</v>
      </c>
      <c r="E232" s="17" t="str" cm="1">
        <f t="array" ref="E232">IF(C232=0,"",
HYPERLINK(
"#'2026 Orders'!C"&amp;
MATCH(1,
('2026 Orders'!C:C=C232)*
('2026 Orders'!G:G=G232)*
('2026 Orders'!N:N=N232),
0),
"Open "&amp;C232
))</f>
        <v>Open A4626</v>
      </c>
      <c r="F232" s="14">
        <f>'[1]2026 Orders'!F233</f>
        <v>0</v>
      </c>
      <c r="G232" s="14" t="str">
        <f>'[1]2026 Orders'!G233</f>
        <v>CAVINAD-60-FD</v>
      </c>
      <c r="H232" s="14" t="str" cm="1">
        <f t="array" ref="H232">IFERROR(_xlfn.TEXTJOIN("-",,INDEX(_xlfn.TEXTSPLIT(TableTake[[#This Row],[SKU]],"-"),{1,2})),"")</f>
        <v>CAVINAD-60</v>
      </c>
      <c r="I232" s="15" t="str">
        <f>IFERROR(_xlfn.TEXTAFTER(TableTake[[#This Row],[SKU]],"-",-1),"")</f>
        <v>FD</v>
      </c>
      <c r="J232" s="14">
        <f>'[1]2026 Orders'!H233</f>
        <v>4000</v>
      </c>
      <c r="K232" t="str">
        <f>'[1]2026 Orders'!I233</f>
        <v>F09-25.0</v>
      </c>
      <c r="L232">
        <f>'[1]2026 Orders'!J233</f>
        <v>4000</v>
      </c>
      <c r="N232" s="10" t="str">
        <f>'[1]2026 Orders'!L233</f>
        <v>ON HOLD</v>
      </c>
      <c r="O232">
        <f>'[1]2026 Orders'!M233</f>
        <v>0</v>
      </c>
      <c r="P232">
        <f>'[1]2026 Orders'!N233</f>
        <v>0</v>
      </c>
      <c r="Q232">
        <f>'[1]2026 Orders'!O233</f>
        <v>609788968610</v>
      </c>
      <c r="R232">
        <f>'[1]2026 Orders'!P233</f>
        <v>4000</v>
      </c>
      <c r="S232">
        <f>'[1]2026 Orders'!Q233</f>
        <v>4992</v>
      </c>
      <c r="T232" t="str">
        <f>'[1]2026 Orders'!R233</f>
        <v>TBD</v>
      </c>
      <c r="U232">
        <f>'[1]2026 Orders'!S233</f>
        <v>0</v>
      </c>
      <c r="V232">
        <f>'[1]2026 Orders'!T233</f>
        <v>0</v>
      </c>
      <c r="W232">
        <f>'[1]2026 Orders'!U233</f>
        <v>0</v>
      </c>
      <c r="X232">
        <f>'[1]2026 Orders'!V233</f>
        <v>0</v>
      </c>
      <c r="Y232">
        <f>'[1]2026 Orders'!W233</f>
        <v>0</v>
      </c>
      <c r="Z232" t="str">
        <f>'[1]2026 Orders'!X233</f>
        <v>HOLD</v>
      </c>
      <c r="AC232" t="str">
        <f t="shared" si="6"/>
        <v>4000/</v>
      </c>
      <c r="AD232" t="e">
        <f t="shared" si="7"/>
        <v>#VALUE!</v>
      </c>
    </row>
    <row r="233" spans="1:30" ht="33" hidden="1" customHeight="1" x14ac:dyDescent="0.3">
      <c r="A233">
        <f>'[1]2026 Orders'!A234</f>
        <v>46013</v>
      </c>
      <c r="B233" s="14" t="str">
        <f>'[1]2026 Orders'!B234</f>
        <v>Nigeria</v>
      </c>
      <c r="C233" s="14" t="str">
        <f>'[1]2026 Orders'!C234</f>
        <v>A4616</v>
      </c>
      <c r="D233" s="14">
        <f>'[1]2026 Orders'!D234</f>
        <v>0</v>
      </c>
      <c r="E233" s="17" t="str" cm="1">
        <f t="array" ref="E233">IF(C233=0,"",
HYPERLINK(
"#'2026 Orders'!C"&amp;
MATCH(1,
('2026 Orders'!C:C=C233)*
('2026 Orders'!G:G=G233)*
('2026 Orders'!N:N=N233),
0),
"Open "&amp;C233
))</f>
        <v>Open A4616</v>
      </c>
      <c r="F233" s="14" t="str">
        <f>'[1]2026 Orders'!F234</f>
        <v xml:space="preserve">1/8/2025: quanitity increased 20 bottles </v>
      </c>
      <c r="G233" s="14" t="str">
        <f>'[1]2026 Orders'!G234</f>
        <v>WFSPLS-180-CS-NI</v>
      </c>
      <c r="H233" s="14" t="str" cm="1">
        <f t="array" ref="H233">IFERROR(_xlfn.TEXTJOIN("-",,INDEX(_xlfn.TEXTSPLIT(TableTake[[#This Row],[SKU]],"-"),{1,2})),"")</f>
        <v>WFSPLS-180</v>
      </c>
      <c r="I233" s="15" t="str">
        <f>IFERROR(_xlfn.TEXTAFTER(TableTake[[#This Row],[SKU]],"-",-1),"")</f>
        <v>NI</v>
      </c>
      <c r="J233" s="14">
        <f>'[1]2026 Orders'!H234</f>
        <v>120</v>
      </c>
      <c r="K233" t="str">
        <f>'[1]2026 Orders'!I234</f>
        <v>NI73|26.0</v>
      </c>
      <c r="L233">
        <f>'[1]2026 Orders'!J234</f>
        <v>120</v>
      </c>
      <c r="N233" s="10" t="str">
        <f>'[1]2026 Orders'!L234</f>
        <v>D/W Sent</v>
      </c>
      <c r="O233">
        <f>'[1]2026 Orders'!M234</f>
        <v>0</v>
      </c>
      <c r="P233" t="str">
        <f>'[1]2026 Orders'!N234</f>
        <v>NA</v>
      </c>
      <c r="Q233">
        <f>'[1]2026 Orders'!O234</f>
        <v>604776739920</v>
      </c>
      <c r="R233">
        <f>'[1]2026 Orders'!P234</f>
        <v>0</v>
      </c>
      <c r="S233">
        <f>'[1]2026 Orders'!Q234</f>
        <v>4684</v>
      </c>
      <c r="T233">
        <f>'[1]2026 Orders'!R234</f>
        <v>0</v>
      </c>
      <c r="U233">
        <f>'[1]2026 Orders'!S234</f>
        <v>0</v>
      </c>
      <c r="V233">
        <f>'[1]2026 Orders'!T234</f>
        <v>0</v>
      </c>
      <c r="W233">
        <f>'[1]2026 Orders'!U234</f>
        <v>0</v>
      </c>
      <c r="X233">
        <f>'[1]2026 Orders'!V234</f>
        <v>0</v>
      </c>
      <c r="Y233">
        <f>'[1]2026 Orders'!W234</f>
        <v>0</v>
      </c>
      <c r="Z233">
        <f>'[1]2026 Orders'!X234</f>
        <v>0</v>
      </c>
      <c r="AC233" t="str">
        <f t="shared" si="6"/>
        <v>120/</v>
      </c>
      <c r="AD233" t="e">
        <f t="shared" si="7"/>
        <v>#VALUE!</v>
      </c>
    </row>
    <row r="234" spans="1:30" ht="33" hidden="1" customHeight="1" x14ac:dyDescent="0.3">
      <c r="A234">
        <f>'[1]2026 Orders'!A235</f>
        <v>46073</v>
      </c>
      <c r="B234" s="14" t="str">
        <f>'[1]2026 Orders'!B235</f>
        <v>Somalia</v>
      </c>
      <c r="C234" s="14" t="str">
        <f>'[1]2026 Orders'!C235</f>
        <v>A4708</v>
      </c>
      <c r="D234" s="14">
        <f>'[1]2026 Orders'!D235</f>
        <v>0</v>
      </c>
      <c r="E234" s="17" t="str" cm="1">
        <f t="array" ref="E234">IF(C234=0,"",
HYPERLINK(
"#'2026 Orders'!C"&amp;
MATCH(1,
('2026 Orders'!C:C=C234)*
('2026 Orders'!G:G=G234)*
('2026 Orders'!N:N=N234),
0),
"Open "&amp;C234
))</f>
        <v>Open A4708</v>
      </c>
      <c r="F234" s="14" t="str">
        <f>'[1]2026 Orders'!F235</f>
        <v>5/21/2026: 1320 packs moved from Somalia A4686</v>
      </c>
      <c r="G234" s="14" t="str">
        <f>'[1]2026 Orders'!G235</f>
        <v>DHEA50-60-FD</v>
      </c>
      <c r="H234" s="14" t="str" cm="1">
        <f t="array" ref="H234">IFERROR(_xlfn.TEXTJOIN("-",,INDEX(_xlfn.TEXTSPLIT(TableTake[[#This Row],[SKU]],"-"),{1,2})),"")</f>
        <v>DHEA50-60</v>
      </c>
      <c r="I234" s="15" t="str">
        <f>IFERROR(_xlfn.TEXTAFTER(TableTake[[#This Row],[SKU]],"-",-1),"")</f>
        <v>FD</v>
      </c>
      <c r="J234" s="14">
        <f>'[1]2026 Orders'!H235</f>
        <v>1320</v>
      </c>
      <c r="K234" t="str">
        <f>'[1]2026 Orders'!I235</f>
        <v>F13-25.2</v>
      </c>
      <c r="L234">
        <f>'[1]2026 Orders'!J235</f>
        <v>0</v>
      </c>
      <c r="N234" s="10" t="str">
        <f>'[1]2026 Orders'!L235</f>
        <v>In Production</v>
      </c>
      <c r="O234">
        <f>'[1]2026 Orders'!M235</f>
        <v>0</v>
      </c>
      <c r="P234" t="str">
        <f>'[1]2026 Orders'!N235</f>
        <v>NA</v>
      </c>
      <c r="Q234">
        <f>'[1]2026 Orders'!O235</f>
        <v>609788968221</v>
      </c>
      <c r="R234">
        <f>'[1]2026 Orders'!P235</f>
        <v>7000</v>
      </c>
      <c r="S234">
        <f>'[1]2026 Orders'!Q235</f>
        <v>5027</v>
      </c>
      <c r="T234">
        <f>'[1]2026 Orders'!R235</f>
        <v>46201</v>
      </c>
      <c r="U234">
        <f>'[1]2026 Orders'!S235</f>
        <v>0</v>
      </c>
      <c r="V234">
        <f>'[1]2026 Orders'!T235</f>
        <v>0</v>
      </c>
      <c r="W234">
        <f>'[1]2026 Orders'!U235</f>
        <v>0</v>
      </c>
      <c r="X234">
        <f>'[1]2026 Orders'!V235</f>
        <v>0</v>
      </c>
      <c r="Y234">
        <f>'[1]2026 Orders'!W235</f>
        <v>0</v>
      </c>
      <c r="Z234" t="str">
        <f>'[1]2026 Orders'!X235</f>
        <v>Approved</v>
      </c>
      <c r="AC234" t="str">
        <f t="shared" si="6"/>
        <v>1320/</v>
      </c>
      <c r="AD234" t="e">
        <f t="shared" si="7"/>
        <v>#VALUE!</v>
      </c>
    </row>
    <row r="235" spans="1:30" ht="33" hidden="1" customHeight="1" x14ac:dyDescent="0.3">
      <c r="A235">
        <f>'[1]2026 Orders'!A236</f>
        <v>0</v>
      </c>
      <c r="B235" s="14">
        <f>'[1]2026 Orders'!B236</f>
        <v>0</v>
      </c>
      <c r="C235" s="14">
        <f>'[1]2026 Orders'!C236</f>
        <v>0</v>
      </c>
      <c r="D235" s="14">
        <f>'[1]2026 Orders'!D236</f>
        <v>0</v>
      </c>
      <c r="E235" s="17" t="str" cm="1">
        <f t="array" ref="E235">IF(C235=0,"",
HYPERLINK(
"#'2026 Orders'!C"&amp;
MATCH(1,
('2026 Orders'!C:C=C235)*
('2026 Orders'!G:G=G235)*
('2026 Orders'!N:N=N235),
0),
"Open "&amp;C235
))</f>
        <v/>
      </c>
      <c r="F235" s="14">
        <f>'[1]2026 Orders'!F236</f>
        <v>0</v>
      </c>
      <c r="G235" s="14">
        <f>'[1]2026 Orders'!G236</f>
        <v>0</v>
      </c>
      <c r="H235" s="14" t="str" cm="1">
        <f t="array" ref="H235">IFERROR(_xlfn.TEXTJOIN("-",,INDEX(_xlfn.TEXTSPLIT(TableTake[[#This Row],[SKU]],"-"),{1,2})),"")</f>
        <v/>
      </c>
      <c r="I235" s="15" t="str">
        <f>IFERROR(_xlfn.TEXTAFTER(TableTake[[#This Row],[SKU]],"-",-1),"")</f>
        <v/>
      </c>
      <c r="J235" s="14">
        <f>'[1]2026 Orders'!H236</f>
        <v>0</v>
      </c>
      <c r="K235">
        <f>'[1]2026 Orders'!I236</f>
        <v>0</v>
      </c>
      <c r="L235">
        <f>'[1]2026 Orders'!J236</f>
        <v>0</v>
      </c>
      <c r="N235" s="10">
        <f>'[1]2026 Orders'!L236</f>
        <v>0</v>
      </c>
      <c r="O235">
        <f>'[1]2026 Orders'!M236</f>
        <v>0</v>
      </c>
      <c r="P235">
        <f>'[1]2026 Orders'!N236</f>
        <v>0</v>
      </c>
      <c r="Q235">
        <f>'[1]2026 Orders'!O236</f>
        <v>0</v>
      </c>
      <c r="R235">
        <f>'[1]2026 Orders'!P236</f>
        <v>0</v>
      </c>
      <c r="S235">
        <f>'[1]2026 Orders'!Q236</f>
        <v>0</v>
      </c>
      <c r="T235">
        <f>'[1]2026 Orders'!R236</f>
        <v>0</v>
      </c>
      <c r="U235">
        <f>'[1]2026 Orders'!S236</f>
        <v>0</v>
      </c>
      <c r="V235">
        <f>'[1]2026 Orders'!T236</f>
        <v>0</v>
      </c>
      <c r="W235">
        <f>'[1]2026 Orders'!U236</f>
        <v>0</v>
      </c>
      <c r="X235">
        <f>'[1]2026 Orders'!V236</f>
        <v>0</v>
      </c>
      <c r="Y235">
        <f>'[1]2026 Orders'!W236</f>
        <v>0</v>
      </c>
      <c r="Z235">
        <f>'[1]2026 Orders'!X236</f>
        <v>0</v>
      </c>
      <c r="AC235" t="str">
        <f t="shared" si="6"/>
        <v/>
      </c>
      <c r="AD235" t="str">
        <f t="shared" si="7"/>
        <v/>
      </c>
    </row>
    <row r="236" spans="1:30" ht="33" hidden="1" customHeight="1" x14ac:dyDescent="0.3">
      <c r="A236">
        <f>'[1]2026 Orders'!A237</f>
        <v>46080</v>
      </c>
      <c r="B236" s="14" t="str">
        <f>'[1]2026 Orders'!B237</f>
        <v>Qatar</v>
      </c>
      <c r="C236" s="14" t="str">
        <f>'[1]2026 Orders'!C237</f>
        <v>A4693</v>
      </c>
      <c r="D236" s="14">
        <f>'[1]2026 Orders'!D237</f>
        <v>0</v>
      </c>
      <c r="E236" s="17" t="str" cm="1">
        <f t="array" ref="E236">IF(C236=0,"",
HYPERLINK(
"#'2026 Orders'!C"&amp;
MATCH(1,
('2026 Orders'!C:C=C236)*
('2026 Orders'!G:G=G236)*
('2026 Orders'!N:N=N236),
0),
"Open "&amp;C236
))</f>
        <v>Open A4693</v>
      </c>
      <c r="F236" s="14" t="str">
        <f>'[1]2026 Orders'!F237</f>
        <v>5/13/2026: qty decreased 
1052 -&gt; 1008 (44 packs moved to UAE A4701)
1008 packs fufilled by Ethiopia A4575</v>
      </c>
      <c r="G236" s="14" t="str">
        <f>'[1]2026 Orders'!G237</f>
        <v>MFSPLS-120-CS-QT</v>
      </c>
      <c r="H236" s="14" t="str" cm="1">
        <f t="array" ref="H236">IFERROR(_xlfn.TEXTJOIN("-",,INDEX(_xlfn.TEXTSPLIT(TableTake[[#This Row],[SKU]],"-"),{1,2})),"")</f>
        <v>MFSPLS-120</v>
      </c>
      <c r="I236" s="15" t="str">
        <f>IFERROR(_xlfn.TEXTAFTER(TableTake[[#This Row],[SKU]],"-",-1),"")</f>
        <v>QT</v>
      </c>
      <c r="J236" s="14">
        <f>'[1]2026 Orders'!H237</f>
        <v>1008</v>
      </c>
      <c r="K236" t="str">
        <f>'[1]2026 Orders'!I237</f>
        <v>QT30-24.0</v>
      </c>
      <c r="L236">
        <f>'[1]2026 Orders'!J237</f>
        <v>1008</v>
      </c>
      <c r="N236" s="10" t="str">
        <f>'[1]2026 Orders'!L237</f>
        <v>D/W Sent</v>
      </c>
      <c r="O236">
        <f>'[1]2026 Orders'!M237</f>
        <v>46181</v>
      </c>
      <c r="P236" t="str">
        <f>'[1]2026 Orders'!N237</f>
        <v>NA</v>
      </c>
      <c r="Q236">
        <f>'[1]2026 Orders'!O237</f>
        <v>604776736752</v>
      </c>
      <c r="R236">
        <f>'[1]2026 Orders'!P237</f>
        <v>0</v>
      </c>
      <c r="S236">
        <f>'[1]2026 Orders'!Q237</f>
        <v>0</v>
      </c>
      <c r="T236">
        <f>'[1]2026 Orders'!R237</f>
        <v>0</v>
      </c>
      <c r="U236">
        <f>'[1]2026 Orders'!S237</f>
        <v>0</v>
      </c>
      <c r="V236">
        <f>'[1]2026 Orders'!T237</f>
        <v>0</v>
      </c>
      <c r="W236">
        <f>'[1]2026 Orders'!U237</f>
        <v>0</v>
      </c>
      <c r="X236">
        <f>'[1]2026 Orders'!V237</f>
        <v>0</v>
      </c>
      <c r="Y236">
        <f>'[1]2026 Orders'!W237</f>
        <v>0</v>
      </c>
      <c r="Z236" t="str">
        <f>'[1]2026 Orders'!X237</f>
        <v>Approved</v>
      </c>
      <c r="AC236" t="str">
        <f t="shared" si="6"/>
        <v>1008/</v>
      </c>
      <c r="AD236" t="e">
        <f t="shared" si="7"/>
        <v>#VALUE!</v>
      </c>
    </row>
    <row r="237" spans="1:30" ht="33" hidden="1" customHeight="1" x14ac:dyDescent="0.3">
      <c r="A237">
        <f>'[1]2026 Orders'!A238</f>
        <v>46080</v>
      </c>
      <c r="B237" s="14" t="str">
        <f>'[1]2026 Orders'!B238</f>
        <v>Qatar</v>
      </c>
      <c r="C237" s="14" t="str">
        <f>'[1]2026 Orders'!C238</f>
        <v>A4693</v>
      </c>
      <c r="D237" s="14">
        <f>'[1]2026 Orders'!D238</f>
        <v>0</v>
      </c>
      <c r="E237" s="17" t="str" cm="1">
        <f t="array" ref="E237">IF(C237=0,"",
HYPERLINK(
"#'2026 Orders'!C"&amp;
MATCH(1,
('2026 Orders'!C:C=C237)*
('2026 Orders'!G:G=G237)*
('2026 Orders'!N:N=N237),
0),
"Open "&amp;C237
))</f>
        <v>Open A4693</v>
      </c>
      <c r="F237" s="14">
        <f>'[1]2026 Orders'!F238</f>
        <v>0</v>
      </c>
      <c r="G237" s="14" t="str">
        <f>'[1]2026 Orders'!G238</f>
        <v>MFSPLS-120-CS-QT</v>
      </c>
      <c r="H237" s="14" t="str" cm="1">
        <f t="array" ref="H237">IFERROR(_xlfn.TEXTJOIN("-",,INDEX(_xlfn.TEXTSPLIT(TableTake[[#This Row],[SKU]],"-"),{1,2})),"")</f>
        <v>MFSPLS-120</v>
      </c>
      <c r="I237" s="15" t="str">
        <f>IFERROR(_xlfn.TEXTAFTER(TableTake[[#This Row],[SKU]],"-",-1),"")</f>
        <v>QT</v>
      </c>
      <c r="J237" s="14">
        <f>'[1]2026 Orders'!H238</f>
        <v>598</v>
      </c>
      <c r="K237" t="str">
        <f>'[1]2026 Orders'!I238</f>
        <v>QT30-24.0</v>
      </c>
      <c r="L237">
        <f>'[1]2026 Orders'!J238</f>
        <v>598</v>
      </c>
      <c r="N237" s="10" t="str">
        <f>'[1]2026 Orders'!L238</f>
        <v>D/W Sent</v>
      </c>
      <c r="O237">
        <f>'[1]2026 Orders'!M238</f>
        <v>0</v>
      </c>
      <c r="P237" t="str">
        <f>'[1]2026 Orders'!N238</f>
        <v>NA</v>
      </c>
      <c r="Q237">
        <f>'[1]2026 Orders'!O238</f>
        <v>604776736752</v>
      </c>
      <c r="R237">
        <f>'[1]2026 Orders'!P238</f>
        <v>7000</v>
      </c>
      <c r="S237">
        <f>'[1]2026 Orders'!Q238</f>
        <v>4935</v>
      </c>
      <c r="T237" t="str">
        <f>'[1]2026 Orders'!R238</f>
        <v>complete</v>
      </c>
      <c r="U237">
        <f>'[1]2026 Orders'!S238</f>
        <v>0</v>
      </c>
      <c r="V237">
        <f>'[1]2026 Orders'!T238</f>
        <v>0</v>
      </c>
      <c r="W237">
        <f>'[1]2026 Orders'!U238</f>
        <v>0</v>
      </c>
      <c r="X237">
        <f>'[1]2026 Orders'!V238</f>
        <v>0</v>
      </c>
      <c r="Y237">
        <f>'[1]2026 Orders'!W238</f>
        <v>0</v>
      </c>
      <c r="Z237">
        <f>'[1]2026 Orders'!X238</f>
        <v>0</v>
      </c>
      <c r="AC237" t="str">
        <f t="shared" si="6"/>
        <v>598/</v>
      </c>
      <c r="AD237" t="e">
        <f t="shared" si="7"/>
        <v>#VALUE!</v>
      </c>
    </row>
    <row r="238" spans="1:30" ht="33" hidden="1" customHeight="1" x14ac:dyDescent="0.3">
      <c r="A238">
        <f>'[1]2026 Orders'!A239</f>
        <v>46080</v>
      </c>
      <c r="B238" s="14" t="str">
        <f>'[1]2026 Orders'!B239</f>
        <v>Qatar</v>
      </c>
      <c r="C238" s="14" t="str">
        <f>'[1]2026 Orders'!C239</f>
        <v>A4693</v>
      </c>
      <c r="D238" s="14">
        <f>'[1]2026 Orders'!D239</f>
        <v>0</v>
      </c>
      <c r="E238" s="17" t="str" cm="1">
        <f t="array" ref="E238">IF(C238=0,"",
HYPERLINK(
"#'2026 Orders'!C"&amp;
MATCH(1,
('2026 Orders'!C:C=C238)*
('2026 Orders'!G:G=G238)*
('2026 Orders'!N:N=N238),
0),
"Open "&amp;C238
))</f>
        <v>Open A4693</v>
      </c>
      <c r="F238" s="14">
        <f>'[1]2026 Orders'!F239</f>
        <v>0</v>
      </c>
      <c r="G238" s="14" t="str">
        <f>'[1]2026 Orders'!G239</f>
        <v>MOTILMX-60-CS-QT</v>
      </c>
      <c r="H238" s="14" t="str" cm="1">
        <f t="array" ref="H238">IFERROR(_xlfn.TEXTJOIN("-",,INDEX(_xlfn.TEXTSPLIT(TableTake[[#This Row],[SKU]],"-"),{1,2})),"")</f>
        <v>MOTILMX-60</v>
      </c>
      <c r="I238" s="15" t="str">
        <f>IFERROR(_xlfn.TEXTAFTER(TableTake[[#This Row],[SKU]],"-",-1),"")</f>
        <v>QT</v>
      </c>
      <c r="J238" s="14">
        <f>'[1]2026 Orders'!H239</f>
        <v>2200</v>
      </c>
      <c r="K238" t="str">
        <f>'[1]2026 Orders'!I239</f>
        <v>QT31-24.0</v>
      </c>
      <c r="L238">
        <f>'[1]2026 Orders'!J239</f>
        <v>2200</v>
      </c>
      <c r="N238" s="10" t="str">
        <f>'[1]2026 Orders'!L239</f>
        <v>D/W Sent</v>
      </c>
      <c r="O238">
        <f>'[1]2026 Orders'!M239</f>
        <v>0</v>
      </c>
      <c r="P238" t="str">
        <f>'[1]2026 Orders'!N239</f>
        <v>NA</v>
      </c>
      <c r="Q238">
        <f>'[1]2026 Orders'!O239</f>
        <v>604776736769</v>
      </c>
      <c r="R238">
        <f>'[1]2026 Orders'!P239</f>
        <v>0</v>
      </c>
      <c r="S238">
        <f>'[1]2026 Orders'!Q239</f>
        <v>0</v>
      </c>
      <c r="T238">
        <f>'[1]2026 Orders'!R239</f>
        <v>0</v>
      </c>
      <c r="U238">
        <f>'[1]2026 Orders'!S239</f>
        <v>0</v>
      </c>
      <c r="V238">
        <f>'[1]2026 Orders'!T239</f>
        <v>0</v>
      </c>
      <c r="W238">
        <f>'[1]2026 Orders'!U239</f>
        <v>0</v>
      </c>
      <c r="X238">
        <f>'[1]2026 Orders'!V239</f>
        <v>0</v>
      </c>
      <c r="Y238">
        <f>'[1]2026 Orders'!W239</f>
        <v>0</v>
      </c>
      <c r="Z238">
        <f>'[1]2026 Orders'!X239</f>
        <v>0</v>
      </c>
      <c r="AC238" t="str">
        <f t="shared" si="6"/>
        <v>2200/</v>
      </c>
      <c r="AD238" t="e">
        <f t="shared" si="7"/>
        <v>#VALUE!</v>
      </c>
    </row>
    <row r="239" spans="1:30" ht="33" hidden="1" customHeight="1" x14ac:dyDescent="0.3">
      <c r="A239">
        <f>'[1]2026 Orders'!A240</f>
        <v>0</v>
      </c>
      <c r="B239" s="14">
        <f>'[1]2026 Orders'!B240</f>
        <v>0</v>
      </c>
      <c r="C239" s="14">
        <f>'[1]2026 Orders'!C240</f>
        <v>0</v>
      </c>
      <c r="D239" s="14">
        <f>'[1]2026 Orders'!D240</f>
        <v>0</v>
      </c>
      <c r="E239" s="17" t="str" cm="1">
        <f t="array" ref="E239">IF(C239=0,"",
HYPERLINK(
"#'2026 Orders'!C"&amp;
MATCH(1,
('2026 Orders'!C:C=C239)*
('2026 Orders'!G:G=G239)*
('2026 Orders'!N:N=N239),
0),
"Open "&amp;C239
))</f>
        <v/>
      </c>
      <c r="F239" s="14">
        <f>'[1]2026 Orders'!F240</f>
        <v>0</v>
      </c>
      <c r="G239" s="14">
        <f>'[1]2026 Orders'!G240</f>
        <v>0</v>
      </c>
      <c r="H239" s="14" t="str" cm="1">
        <f t="array" ref="H239">IFERROR(_xlfn.TEXTJOIN("-",,INDEX(_xlfn.TEXTSPLIT(TableTake[[#This Row],[SKU]],"-"),{1,2})),"")</f>
        <v/>
      </c>
      <c r="I239" s="15" t="str">
        <f>IFERROR(_xlfn.TEXTAFTER(TableTake[[#This Row],[SKU]],"-",-1),"")</f>
        <v/>
      </c>
      <c r="J239" s="14">
        <f>'[1]2026 Orders'!H240</f>
        <v>0</v>
      </c>
      <c r="K239">
        <f>'[1]2026 Orders'!I240</f>
        <v>0</v>
      </c>
      <c r="L239">
        <f>'[1]2026 Orders'!J240</f>
        <v>0</v>
      </c>
      <c r="N239" s="10">
        <f>'[1]2026 Orders'!L240</f>
        <v>0</v>
      </c>
      <c r="O239">
        <f>'[1]2026 Orders'!M240</f>
        <v>0</v>
      </c>
      <c r="P239">
        <f>'[1]2026 Orders'!N240</f>
        <v>0</v>
      </c>
      <c r="Q239">
        <f>'[1]2026 Orders'!O240</f>
        <v>0</v>
      </c>
      <c r="R239">
        <f>'[1]2026 Orders'!P240</f>
        <v>0</v>
      </c>
      <c r="S239">
        <f>'[1]2026 Orders'!Q240</f>
        <v>0</v>
      </c>
      <c r="T239">
        <f>'[1]2026 Orders'!R240</f>
        <v>0</v>
      </c>
      <c r="U239">
        <f>'[1]2026 Orders'!S240</f>
        <v>0</v>
      </c>
      <c r="V239">
        <f>'[1]2026 Orders'!T240</f>
        <v>0</v>
      </c>
      <c r="W239">
        <f>'[1]2026 Orders'!U240</f>
        <v>0</v>
      </c>
      <c r="X239">
        <f>'[1]2026 Orders'!V240</f>
        <v>0</v>
      </c>
      <c r="Y239">
        <f>'[1]2026 Orders'!W240</f>
        <v>0</v>
      </c>
      <c r="Z239">
        <f>'[1]2026 Orders'!X240</f>
        <v>0</v>
      </c>
      <c r="AC239" t="str">
        <f t="shared" si="6"/>
        <v/>
      </c>
      <c r="AD239" t="str">
        <f t="shared" si="7"/>
        <v/>
      </c>
    </row>
    <row r="240" spans="1:30" ht="33" hidden="1" customHeight="1" x14ac:dyDescent="0.3">
      <c r="A240">
        <f>'[1]2026 Orders'!A241</f>
        <v>46080</v>
      </c>
      <c r="B240" s="14" t="str">
        <f>'[1]2026 Orders'!B241</f>
        <v>Qatar</v>
      </c>
      <c r="C240" s="14" t="str">
        <f>'[1]2026 Orders'!C241</f>
        <v>A4701</v>
      </c>
      <c r="D240" s="14">
        <f>'[1]2026 Orders'!D241</f>
        <v>0</v>
      </c>
      <c r="E240" s="17" t="str" cm="1">
        <f t="array" ref="E240">IF(C240=0,"",
HYPERLINK(
"#'2026 Orders'!C"&amp;
MATCH(1,
('2026 Orders'!C:C=C240)*
('2026 Orders'!G:G=G240)*
('2026 Orders'!N:N=N240),
0),
"Open "&amp;C240
))</f>
        <v>Open A4701</v>
      </c>
      <c r="F240" s="14" t="str">
        <f>'[1]2026 Orders'!F241</f>
        <v>5/13/2026: 44 packs moved from Qatar A4693</v>
      </c>
      <c r="G240" s="14" t="str">
        <f>'[1]2026 Orders'!G241</f>
        <v>MFSPLS-120-CS-QT</v>
      </c>
      <c r="H240" s="14" t="str" cm="1">
        <f t="array" ref="H240">IFERROR(_xlfn.TEXTJOIN("-",,INDEX(_xlfn.TEXTSPLIT(TableTake[[#This Row],[SKU]],"-"),{1,2})),"")</f>
        <v>MFSPLS-120</v>
      </c>
      <c r="I240" s="15" t="str">
        <f>IFERROR(_xlfn.TEXTAFTER(TableTake[[#This Row],[SKU]],"-",-1),"")</f>
        <v>QT</v>
      </c>
      <c r="J240" s="14">
        <f>'[1]2026 Orders'!H241</f>
        <v>44</v>
      </c>
      <c r="K240" t="str">
        <f>'[1]2026 Orders'!I241</f>
        <v>QT30-24.0</v>
      </c>
      <c r="L240">
        <f>'[1]2026 Orders'!J241</f>
        <v>0</v>
      </c>
      <c r="N240" s="10" t="str">
        <f>'[1]2026 Orders'!L241</f>
        <v>In Production</v>
      </c>
      <c r="O240">
        <f>'[1]2026 Orders'!M241</f>
        <v>0</v>
      </c>
      <c r="P240" t="str">
        <f>'[1]2026 Orders'!N241</f>
        <v>NA</v>
      </c>
      <c r="Q240">
        <f>'[1]2026 Orders'!O241</f>
        <v>604776736752</v>
      </c>
      <c r="R240">
        <f>'[1]2026 Orders'!P241</f>
        <v>9195</v>
      </c>
      <c r="S240">
        <f>'[1]2026 Orders'!Q241</f>
        <v>5032</v>
      </c>
      <c r="T240">
        <f>'[1]2026 Orders'!R241</f>
        <v>46211</v>
      </c>
      <c r="U240">
        <f>'[1]2026 Orders'!S241</f>
        <v>0</v>
      </c>
      <c r="V240">
        <f>'[1]2026 Orders'!T241</f>
        <v>0</v>
      </c>
      <c r="W240">
        <f>'[1]2026 Orders'!U241</f>
        <v>0</v>
      </c>
      <c r="X240">
        <f>'[1]2026 Orders'!V241</f>
        <v>0</v>
      </c>
      <c r="Y240">
        <f>'[1]2026 Orders'!W241</f>
        <v>0</v>
      </c>
      <c r="Z240" t="str">
        <f>'[1]2026 Orders'!X241</f>
        <v>HOLD</v>
      </c>
      <c r="AC240" t="str">
        <f t="shared" si="6"/>
        <v>44/</v>
      </c>
      <c r="AD240" t="e">
        <f t="shared" si="7"/>
        <v>#VALUE!</v>
      </c>
    </row>
    <row r="241" spans="1:30" ht="33" hidden="1" customHeight="1" x14ac:dyDescent="0.3">
      <c r="A241">
        <f>'[1]2026 Orders'!A242</f>
        <v>0</v>
      </c>
      <c r="B241" s="14">
        <f>'[1]2026 Orders'!B242</f>
        <v>0</v>
      </c>
      <c r="C241" s="14">
        <f>'[1]2026 Orders'!C242</f>
        <v>0</v>
      </c>
      <c r="D241" s="14">
        <f>'[1]2026 Orders'!D242</f>
        <v>0</v>
      </c>
      <c r="E241" s="17" t="str" cm="1">
        <f t="array" ref="E241">IF(C241=0,"",
HYPERLINK(
"#'2026 Orders'!C"&amp;
MATCH(1,
('2026 Orders'!C:C=C241)*
('2026 Orders'!G:G=G241)*
('2026 Orders'!N:N=N241),
0),
"Open "&amp;C241
))</f>
        <v/>
      </c>
      <c r="F241" s="14">
        <f>'[1]2026 Orders'!F242</f>
        <v>0</v>
      </c>
      <c r="G241" s="14">
        <f>'[1]2026 Orders'!G242</f>
        <v>0</v>
      </c>
      <c r="H241" s="14" t="str" cm="1">
        <f t="array" ref="H241">IFERROR(_xlfn.TEXTJOIN("-",,INDEX(_xlfn.TEXTSPLIT(TableTake[[#This Row],[SKU]],"-"),{1,2})),"")</f>
        <v/>
      </c>
      <c r="I241" s="15" t="str">
        <f>IFERROR(_xlfn.TEXTAFTER(TableTake[[#This Row],[SKU]],"-",-1),"")</f>
        <v/>
      </c>
      <c r="J241" s="14">
        <f>'[1]2026 Orders'!H242</f>
        <v>0</v>
      </c>
      <c r="K241">
        <f>'[1]2026 Orders'!I242</f>
        <v>0</v>
      </c>
      <c r="L241">
        <f>'[1]2026 Orders'!J242</f>
        <v>0</v>
      </c>
      <c r="N241" s="10">
        <f>'[1]2026 Orders'!L242</f>
        <v>0</v>
      </c>
      <c r="O241">
        <f>'[1]2026 Orders'!M242</f>
        <v>0</v>
      </c>
      <c r="P241">
        <f>'[1]2026 Orders'!N242</f>
        <v>0</v>
      </c>
      <c r="Q241">
        <f>'[1]2026 Orders'!O242</f>
        <v>0</v>
      </c>
      <c r="R241">
        <f>'[1]2026 Orders'!P242</f>
        <v>0</v>
      </c>
      <c r="S241">
        <f>'[1]2026 Orders'!Q242</f>
        <v>0</v>
      </c>
      <c r="T241">
        <f>'[1]2026 Orders'!R242</f>
        <v>0</v>
      </c>
      <c r="U241">
        <f>'[1]2026 Orders'!S242</f>
        <v>0</v>
      </c>
      <c r="V241">
        <f>'[1]2026 Orders'!T242</f>
        <v>0</v>
      </c>
      <c r="W241">
        <f>'[1]2026 Orders'!U242</f>
        <v>0</v>
      </c>
      <c r="X241">
        <f>'[1]2026 Orders'!V242</f>
        <v>0</v>
      </c>
      <c r="Y241">
        <f>'[1]2026 Orders'!W242</f>
        <v>0</v>
      </c>
      <c r="Z241">
        <f>'[1]2026 Orders'!X242</f>
        <v>0</v>
      </c>
      <c r="AC241" t="str">
        <f t="shared" si="6"/>
        <v/>
      </c>
      <c r="AD241" t="str">
        <f t="shared" si="7"/>
        <v/>
      </c>
    </row>
    <row r="242" spans="1:30" ht="33" hidden="1" customHeight="1" x14ac:dyDescent="0.3">
      <c r="A242">
        <f>'[1]2026 Orders'!A243</f>
        <v>46087</v>
      </c>
      <c r="B242" s="14" t="str">
        <f>'[1]2026 Orders'!B243</f>
        <v>KSA</v>
      </c>
      <c r="C242" s="14" t="str">
        <f>'[1]2026 Orders'!C243</f>
        <v>A4654</v>
      </c>
      <c r="D242" s="14" t="str">
        <f>'[1]2026 Orders'!D243</f>
        <v>5/7/2026: working on revised docs</v>
      </c>
      <c r="E242" s="17" t="str" cm="1">
        <f t="array" ref="E242">IF(C242=0,"",
HYPERLINK(
"#'2026 Orders'!C"&amp;
MATCH(1,
('2026 Orders'!C:C=C242)*
('2026 Orders'!G:G=G242)*
('2026 Orders'!N:N=N242),
0),
"Open "&amp;C242
))</f>
        <v>Open A4654</v>
      </c>
      <c r="F242" s="14">
        <f>'[1]2026 Orders'!F243</f>
        <v>0</v>
      </c>
      <c r="G242" s="14" t="str">
        <f>'[1]2026 Orders'!G243</f>
        <v>WFSPLS-180-FD</v>
      </c>
      <c r="H242" s="14" t="str" cm="1">
        <f t="array" ref="H242">IFERROR(_xlfn.TEXTJOIN("-",,INDEX(_xlfn.TEXTSPLIT(TableTake[[#This Row],[SKU]],"-"),{1,2})),"")</f>
        <v>WFSPLS-180</v>
      </c>
      <c r="I242" s="15" t="str">
        <f>IFERROR(_xlfn.TEXTAFTER(TableTake[[#This Row],[SKU]],"-",-1),"")</f>
        <v>FD</v>
      </c>
      <c r="J242" s="14">
        <f>'[1]2026 Orders'!H243</f>
        <v>48</v>
      </c>
      <c r="K242" t="str">
        <f>'[1]2026 Orders'!I243</f>
        <v>F73-23.0</v>
      </c>
      <c r="L242">
        <f>'[1]2026 Orders'!J243</f>
        <v>48</v>
      </c>
      <c r="N242" s="10" t="str">
        <f>'[1]2026 Orders'!L243</f>
        <v>D/W Sent</v>
      </c>
      <c r="O242">
        <f>'[1]2026 Orders'!M243</f>
        <v>46182</v>
      </c>
      <c r="P242" t="str">
        <f>'[1]2026 Orders'!N243</f>
        <v>NA</v>
      </c>
      <c r="Q242">
        <f>'[1]2026 Orders'!O243</f>
        <v>609788968351</v>
      </c>
      <c r="R242">
        <f>'[1]2026 Orders'!P243</f>
        <v>0</v>
      </c>
      <c r="S242">
        <f>'[1]2026 Orders'!Q243</f>
        <v>0</v>
      </c>
      <c r="T242">
        <f>'[1]2026 Orders'!R243</f>
        <v>0</v>
      </c>
      <c r="U242">
        <f>'[1]2026 Orders'!S243</f>
        <v>0</v>
      </c>
      <c r="V242">
        <f>'[1]2026 Orders'!T243</f>
        <v>0</v>
      </c>
      <c r="W242">
        <f>'[1]2026 Orders'!U243</f>
        <v>0</v>
      </c>
      <c r="X242">
        <f>'[1]2026 Orders'!V243</f>
        <v>0</v>
      </c>
      <c r="Y242">
        <f>'[1]2026 Orders'!W243</f>
        <v>0</v>
      </c>
      <c r="Z242" t="str">
        <f>'[1]2026 Orders'!X243</f>
        <v>HOLD</v>
      </c>
      <c r="AC242" t="str">
        <f t="shared" si="6"/>
        <v>48/</v>
      </c>
      <c r="AD242" t="e">
        <f t="shared" si="7"/>
        <v>#VALUE!</v>
      </c>
    </row>
    <row r="243" spans="1:30" ht="33" hidden="1" customHeight="1" x14ac:dyDescent="0.3">
      <c r="A243">
        <f>'[1]2026 Orders'!A244</f>
        <v>46087</v>
      </c>
      <c r="B243" s="14" t="str">
        <f>'[1]2026 Orders'!B244</f>
        <v>KSA</v>
      </c>
      <c r="C243" s="14" t="str">
        <f>'[1]2026 Orders'!C244</f>
        <v>A4654</v>
      </c>
      <c r="D243" s="14">
        <f>'[1]2026 Orders'!D244</f>
        <v>0</v>
      </c>
      <c r="E243" s="17" t="str" cm="1">
        <f t="array" ref="E243">IF(C243=0,"",
HYPERLINK(
"#'2026 Orders'!C"&amp;
MATCH(1,
('2026 Orders'!C:C=C243)*
('2026 Orders'!G:G=G243)*
('2026 Orders'!N:N=N243),
0),
"Open "&amp;C243
))</f>
        <v>Open A4654</v>
      </c>
      <c r="F243" s="14">
        <f>'[1]2026 Orders'!F244</f>
        <v>0</v>
      </c>
      <c r="G243" s="14" t="str">
        <f>'[1]2026 Orders'!G244</f>
        <v>EYECAP-30-FD</v>
      </c>
      <c r="H243" s="14" t="str" cm="1">
        <f t="array" ref="H243">IFERROR(_xlfn.TEXTJOIN("-",,INDEX(_xlfn.TEXTSPLIT(TableTake[[#This Row],[SKU]],"-"),{1,2})),"")</f>
        <v>EYECAP-30</v>
      </c>
      <c r="I243" s="15" t="str">
        <f>IFERROR(_xlfn.TEXTAFTER(TableTake[[#This Row],[SKU]],"-",-1),"")</f>
        <v>FD</v>
      </c>
      <c r="J243" s="14">
        <f>'[1]2026 Orders'!H244</f>
        <v>72</v>
      </c>
      <c r="K243" t="str">
        <f>'[1]2026 Orders'!I244</f>
        <v>F15-26.0</v>
      </c>
      <c r="L243">
        <f>'[1]2026 Orders'!J244</f>
        <v>72</v>
      </c>
      <c r="N243" s="10" t="str">
        <f>'[1]2026 Orders'!L244</f>
        <v>D/W Sent</v>
      </c>
      <c r="O243">
        <f>'[1]2026 Orders'!M244</f>
        <v>46149</v>
      </c>
      <c r="P243" t="str">
        <f>'[1]2026 Orders'!N244</f>
        <v>Y</v>
      </c>
      <c r="Q243">
        <f>'[1]2026 Orders'!O244</f>
        <v>609788968443</v>
      </c>
      <c r="R243">
        <f>'[1]2026 Orders'!P244</f>
        <v>0</v>
      </c>
      <c r="S243">
        <f>'[1]2026 Orders'!Q244</f>
        <v>0</v>
      </c>
      <c r="T243">
        <f>'[1]2026 Orders'!R244</f>
        <v>0</v>
      </c>
      <c r="U243">
        <f>'[1]2026 Orders'!S244</f>
        <v>0</v>
      </c>
      <c r="V243">
        <f>'[1]2026 Orders'!T244</f>
        <v>0</v>
      </c>
      <c r="W243">
        <f>'[1]2026 Orders'!U244</f>
        <v>0</v>
      </c>
      <c r="X243">
        <f>'[1]2026 Orders'!V244</f>
        <v>0</v>
      </c>
      <c r="Y243">
        <f>'[1]2026 Orders'!W244</f>
        <v>0</v>
      </c>
      <c r="Z243">
        <f>'[1]2026 Orders'!X244</f>
        <v>0</v>
      </c>
      <c r="AC243" t="str">
        <f t="shared" si="6"/>
        <v>72/</v>
      </c>
      <c r="AD243" t="e">
        <f t="shared" si="7"/>
        <v>#VALUE!</v>
      </c>
    </row>
    <row r="244" spans="1:30" ht="33" hidden="1" customHeight="1" x14ac:dyDescent="0.3">
      <c r="A244">
        <f>'[1]2026 Orders'!A245</f>
        <v>46087</v>
      </c>
      <c r="B244" s="14" t="str">
        <f>'[1]2026 Orders'!B245</f>
        <v>KSA</v>
      </c>
      <c r="C244" s="14" t="str">
        <f>'[1]2026 Orders'!C245</f>
        <v>A4654</v>
      </c>
      <c r="D244" s="14">
        <f>'[1]2026 Orders'!D245</f>
        <v>0</v>
      </c>
      <c r="E244" s="17" t="str" cm="1">
        <f t="array" ref="E244">IF(C244=0,"",
HYPERLINK(
"#'2026 Orders'!C"&amp;
MATCH(1,
('2026 Orders'!C:C=C244)*
('2026 Orders'!G:G=G244)*
('2026 Orders'!N:N=N244),
0),
"Open "&amp;C244
))</f>
        <v>Open A4654</v>
      </c>
      <c r="F244" s="14">
        <f>'[1]2026 Orders'!F245</f>
        <v>0</v>
      </c>
      <c r="G244" s="14" t="str">
        <f>'[1]2026 Orders'!G245</f>
        <v>PEARLY-60-FD</v>
      </c>
      <c r="H244" s="14" t="str" cm="1">
        <f t="array" ref="H244">IFERROR(_xlfn.TEXTJOIN("-",,INDEX(_xlfn.TEXTSPLIT(TableTake[[#This Row],[SKU]],"-"),{1,2})),"")</f>
        <v>PEARLY-60</v>
      </c>
      <c r="I244" s="15" t="str">
        <f>IFERROR(_xlfn.TEXTAFTER(TableTake[[#This Row],[SKU]],"-",-1),"")</f>
        <v>FD</v>
      </c>
      <c r="J244" s="14">
        <f>'[1]2026 Orders'!H245</f>
        <v>120</v>
      </c>
      <c r="K244" t="str">
        <f>'[1]2026 Orders'!I245</f>
        <v>F42-22.0</v>
      </c>
      <c r="L244">
        <f>'[1]2026 Orders'!J245</f>
        <v>120</v>
      </c>
      <c r="N244" s="10" t="str">
        <f>'[1]2026 Orders'!L245</f>
        <v>D/W Sent</v>
      </c>
      <c r="O244">
        <f>'[1]2026 Orders'!M245</f>
        <v>0</v>
      </c>
      <c r="P244" t="str">
        <f>'[1]2026 Orders'!N245</f>
        <v>Y</v>
      </c>
      <c r="Q244">
        <f>'[1]2026 Orders'!O245</f>
        <v>609788968665</v>
      </c>
      <c r="R244">
        <f>'[1]2026 Orders'!P245</f>
        <v>0</v>
      </c>
      <c r="S244">
        <f>'[1]2026 Orders'!Q245</f>
        <v>0</v>
      </c>
      <c r="T244">
        <f>'[1]2026 Orders'!R245</f>
        <v>0</v>
      </c>
      <c r="U244">
        <f>'[1]2026 Orders'!S245</f>
        <v>0</v>
      </c>
      <c r="V244">
        <f>'[1]2026 Orders'!T245</f>
        <v>0</v>
      </c>
      <c r="W244">
        <f>'[1]2026 Orders'!U245</f>
        <v>0</v>
      </c>
      <c r="X244">
        <f>'[1]2026 Orders'!V245</f>
        <v>0</v>
      </c>
      <c r="Y244">
        <f>'[1]2026 Orders'!W245</f>
        <v>0</v>
      </c>
      <c r="Z244">
        <f>'[1]2026 Orders'!X245</f>
        <v>0</v>
      </c>
      <c r="AC244" t="str">
        <f t="shared" si="6"/>
        <v>120/</v>
      </c>
      <c r="AD244" t="e">
        <f t="shared" si="7"/>
        <v>#VALUE!</v>
      </c>
    </row>
    <row r="245" spans="1:30" ht="33" hidden="1" customHeight="1" x14ac:dyDescent="0.3">
      <c r="A245">
        <f>'[1]2026 Orders'!A246</f>
        <v>46087</v>
      </c>
      <c r="B245" s="14" t="str">
        <f>'[1]2026 Orders'!B246</f>
        <v>KSA</v>
      </c>
      <c r="C245" s="14" t="str">
        <f>'[1]2026 Orders'!C246</f>
        <v>A4654</v>
      </c>
      <c r="D245" s="14">
        <f>'[1]2026 Orders'!D246</f>
        <v>0</v>
      </c>
      <c r="E245" s="17" t="str" cm="1">
        <f t="array" ref="E245">IF(C245=0,"",
HYPERLINK(
"#'2026 Orders'!C"&amp;
MATCH(1,
('2026 Orders'!C:C=C245)*
('2026 Orders'!G:G=G245)*
('2026 Orders'!N:N=N245),
0),
"Open "&amp;C245
))</f>
        <v>Open A4654</v>
      </c>
      <c r="F245" s="14">
        <f>'[1]2026 Orders'!F246</f>
        <v>0</v>
      </c>
      <c r="G245" s="14" t="str">
        <f>'[1]2026 Orders'!G246</f>
        <v>PEARLY-60-FD</v>
      </c>
      <c r="H245" s="14" t="str" cm="1">
        <f t="array" ref="H245">IFERROR(_xlfn.TEXTJOIN("-",,INDEX(_xlfn.TEXTSPLIT(TableTake[[#This Row],[SKU]],"-"),{1,2})),"")</f>
        <v>PEARLY-60</v>
      </c>
      <c r="I245" s="15" t="str">
        <f>IFERROR(_xlfn.TEXTAFTER(TableTake[[#This Row],[SKU]],"-",-1),"")</f>
        <v>FD</v>
      </c>
      <c r="J245" s="14">
        <f>'[1]2026 Orders'!H246</f>
        <v>24</v>
      </c>
      <c r="K245" t="str">
        <f>'[1]2026 Orders'!I246</f>
        <v>F42-22.0</v>
      </c>
      <c r="L245">
        <f>'[1]2026 Orders'!J246</f>
        <v>24</v>
      </c>
      <c r="N245" s="10" t="str">
        <f>'[1]2026 Orders'!L246</f>
        <v>D/W Sent</v>
      </c>
      <c r="O245">
        <f>'[1]2026 Orders'!M246</f>
        <v>0</v>
      </c>
      <c r="P245" t="str">
        <f>'[1]2026 Orders'!N246</f>
        <v>Y</v>
      </c>
      <c r="Q245">
        <f>'[1]2026 Orders'!O246</f>
        <v>609788968665</v>
      </c>
      <c r="R245">
        <f>'[1]2026 Orders'!P246</f>
        <v>0</v>
      </c>
      <c r="S245">
        <f>'[1]2026 Orders'!Q246</f>
        <v>0</v>
      </c>
      <c r="T245">
        <f>'[1]2026 Orders'!R246</f>
        <v>0</v>
      </c>
      <c r="U245">
        <f>'[1]2026 Orders'!S246</f>
        <v>0</v>
      </c>
      <c r="V245">
        <f>'[1]2026 Orders'!T246</f>
        <v>0</v>
      </c>
      <c r="W245">
        <f>'[1]2026 Orders'!U246</f>
        <v>0</v>
      </c>
      <c r="X245">
        <f>'[1]2026 Orders'!V246</f>
        <v>0</v>
      </c>
      <c r="Y245">
        <f>'[1]2026 Orders'!W246</f>
        <v>0</v>
      </c>
      <c r="Z245">
        <f>'[1]2026 Orders'!X246</f>
        <v>0</v>
      </c>
      <c r="AC245" t="str">
        <f t="shared" si="6"/>
        <v>24/</v>
      </c>
      <c r="AD245" t="e">
        <f t="shared" si="7"/>
        <v>#VALUE!</v>
      </c>
    </row>
    <row r="246" spans="1:30" ht="33" hidden="1" customHeight="1" x14ac:dyDescent="0.3">
      <c r="A246">
        <f>'[1]2026 Orders'!A247</f>
        <v>46087</v>
      </c>
      <c r="B246" s="14" t="str">
        <f>'[1]2026 Orders'!B247</f>
        <v>KSA</v>
      </c>
      <c r="C246" s="14" t="str">
        <f>'[1]2026 Orders'!C247</f>
        <v>A4654</v>
      </c>
      <c r="D246" s="14">
        <f>'[1]2026 Orders'!D247</f>
        <v>0</v>
      </c>
      <c r="E246" s="17" t="str" cm="1">
        <f t="array" ref="E246">IF(C246=0,"",
HYPERLINK(
"#'2026 Orders'!C"&amp;
MATCH(1,
('2026 Orders'!C:C=C246)*
('2026 Orders'!G:G=G246)*
('2026 Orders'!N:N=N246),
0),
"Open "&amp;C246
))</f>
        <v>Open A4654</v>
      </c>
      <c r="F246" s="14">
        <f>'[1]2026 Orders'!F247</f>
        <v>0</v>
      </c>
      <c r="G246" s="14" t="str">
        <f>'[1]2026 Orders'!G247</f>
        <v>QWELL4-30-SG-FD</v>
      </c>
      <c r="H246" s="14" t="str" cm="1">
        <f t="array" ref="H246">IFERROR(_xlfn.TEXTJOIN("-",,INDEX(_xlfn.TEXTSPLIT(TableTake[[#This Row],[SKU]],"-"),{1,2})),"")</f>
        <v>QWELL4-30</v>
      </c>
      <c r="I246" s="15" t="str">
        <f>IFERROR(_xlfn.TEXTAFTER(TableTake[[#This Row],[SKU]],"-",-1),"")</f>
        <v>FD</v>
      </c>
      <c r="J246" s="14">
        <f>'[1]2026 Orders'!H247</f>
        <v>144</v>
      </c>
      <c r="K246" t="str">
        <f>'[1]2026 Orders'!I247</f>
        <v>F58-25.3</v>
      </c>
      <c r="L246">
        <f>'[1]2026 Orders'!J247</f>
        <v>144</v>
      </c>
      <c r="N246" s="10" t="str">
        <f>'[1]2026 Orders'!L247</f>
        <v>D/W Sent</v>
      </c>
      <c r="O246">
        <f>'[1]2026 Orders'!M247</f>
        <v>0</v>
      </c>
      <c r="P246" t="str">
        <f>'[1]2026 Orders'!N247</f>
        <v>NA</v>
      </c>
      <c r="Q246">
        <f>'[1]2026 Orders'!O247</f>
        <v>609788968214</v>
      </c>
      <c r="R246">
        <f>'[1]2026 Orders'!P247</f>
        <v>0</v>
      </c>
      <c r="S246">
        <f>'[1]2026 Orders'!Q247</f>
        <v>0</v>
      </c>
      <c r="T246">
        <f>'[1]2026 Orders'!R247</f>
        <v>0</v>
      </c>
      <c r="U246">
        <f>'[1]2026 Orders'!S247</f>
        <v>0</v>
      </c>
      <c r="V246">
        <f>'[1]2026 Orders'!T247</f>
        <v>0</v>
      </c>
      <c r="W246">
        <f>'[1]2026 Orders'!U247</f>
        <v>0</v>
      </c>
      <c r="X246">
        <f>'[1]2026 Orders'!V247</f>
        <v>0</v>
      </c>
      <c r="Y246">
        <f>'[1]2026 Orders'!W247</f>
        <v>0</v>
      </c>
      <c r="Z246">
        <f>'[1]2026 Orders'!X247</f>
        <v>0</v>
      </c>
      <c r="AC246" t="str">
        <f t="shared" si="6"/>
        <v>144/</v>
      </c>
      <c r="AD246" t="e">
        <f t="shared" si="7"/>
        <v>#VALUE!</v>
      </c>
    </row>
    <row r="247" spans="1:30" ht="33" hidden="1" customHeight="1" x14ac:dyDescent="0.3">
      <c r="A247">
        <f>'[1]2026 Orders'!A248</f>
        <v>46087</v>
      </c>
      <c r="B247" s="14" t="str">
        <f>'[1]2026 Orders'!B248</f>
        <v>KSA</v>
      </c>
      <c r="C247" s="14" t="str">
        <f>'[1]2026 Orders'!C248</f>
        <v>A4654</v>
      </c>
      <c r="D247" s="14">
        <f>'[1]2026 Orders'!D248</f>
        <v>0</v>
      </c>
      <c r="E247" s="17" t="str" cm="1">
        <f t="array" ref="E247">IF(C247=0,"",
HYPERLINK(
"#'2026 Orders'!C"&amp;
MATCH(1,
('2026 Orders'!C:C=C247)*
('2026 Orders'!G:G=G247)*
('2026 Orders'!N:N=N247),
0),
"Open "&amp;C247
))</f>
        <v>Open A4654</v>
      </c>
      <c r="F247" s="14">
        <f>'[1]2026 Orders'!F248</f>
        <v>0</v>
      </c>
      <c r="G247" s="14" t="str">
        <f>'[1]2026 Orders'!G248</f>
        <v>PRECON-90-FD</v>
      </c>
      <c r="H247" s="14" t="str" cm="1">
        <f t="array" ref="H247">IFERROR(_xlfn.TEXTJOIN("-",,INDEX(_xlfn.TEXTSPLIT(TableTake[[#This Row],[SKU]],"-"),{1,2})),"")</f>
        <v>PRECON-90</v>
      </c>
      <c r="I247" s="15" t="str">
        <f>IFERROR(_xlfn.TEXTAFTER(TableTake[[#This Row],[SKU]],"-",-1),"")</f>
        <v>FD</v>
      </c>
      <c r="J247" s="14">
        <f>'[1]2026 Orders'!H248</f>
        <v>72</v>
      </c>
      <c r="K247" t="str">
        <f>'[1]2026 Orders'!I248</f>
        <v>F54-23.0</v>
      </c>
      <c r="L247">
        <f>'[1]2026 Orders'!J248</f>
        <v>72</v>
      </c>
      <c r="N247" s="10" t="str">
        <f>'[1]2026 Orders'!L248</f>
        <v>D/W Sent</v>
      </c>
      <c r="O247">
        <f>'[1]2026 Orders'!M248</f>
        <v>0</v>
      </c>
      <c r="P247" t="str">
        <f>'[1]2026 Orders'!N248</f>
        <v>NA</v>
      </c>
      <c r="Q247">
        <f>'[1]2026 Orders'!O248</f>
        <v>609788968368</v>
      </c>
      <c r="R247">
        <f>'[1]2026 Orders'!P248</f>
        <v>0</v>
      </c>
      <c r="S247">
        <f>'[1]2026 Orders'!Q248</f>
        <v>0</v>
      </c>
      <c r="T247">
        <f>'[1]2026 Orders'!R248</f>
        <v>0</v>
      </c>
      <c r="U247">
        <f>'[1]2026 Orders'!S248</f>
        <v>0</v>
      </c>
      <c r="V247">
        <f>'[1]2026 Orders'!T248</f>
        <v>0</v>
      </c>
      <c r="W247">
        <f>'[1]2026 Orders'!U248</f>
        <v>0</v>
      </c>
      <c r="X247">
        <f>'[1]2026 Orders'!V248</f>
        <v>0</v>
      </c>
      <c r="Y247">
        <f>'[1]2026 Orders'!W248</f>
        <v>0</v>
      </c>
      <c r="Z247">
        <f>'[1]2026 Orders'!X248</f>
        <v>0</v>
      </c>
      <c r="AC247" t="str">
        <f t="shared" si="6"/>
        <v>72/</v>
      </c>
      <c r="AD247" t="e">
        <f t="shared" si="7"/>
        <v>#VALUE!</v>
      </c>
    </row>
    <row r="248" spans="1:30" ht="33" hidden="1" customHeight="1" x14ac:dyDescent="0.3">
      <c r="A248">
        <f>'[1]2026 Orders'!A249</f>
        <v>46087</v>
      </c>
      <c r="B248" s="14" t="str">
        <f>'[1]2026 Orders'!B249</f>
        <v>KSA</v>
      </c>
      <c r="C248" s="14" t="str">
        <f>'[1]2026 Orders'!C249</f>
        <v>A4654</v>
      </c>
      <c r="D248" s="14">
        <f>'[1]2026 Orders'!D249</f>
        <v>0</v>
      </c>
      <c r="E248" s="17" t="str" cm="1">
        <f t="array" ref="E248">IF(C248=0,"",
HYPERLINK(
"#'2026 Orders'!C"&amp;
MATCH(1,
('2026 Orders'!C:C=C248)*
('2026 Orders'!G:G=G248)*
('2026 Orders'!N:N=N248),
0),
"Open "&amp;C248
))</f>
        <v>Open A4654</v>
      </c>
      <c r="F248" s="14" t="str">
        <f>'[1]2026 Orders'!F249</f>
        <v>6/8/2026: quantity increased 
240 -&gt; 400 (160 packs added)</v>
      </c>
      <c r="G248" s="14" t="str">
        <f>'[1]2026 Orders'!G249</f>
        <v>DHEA25-60-FD</v>
      </c>
      <c r="H248" s="14" t="str" cm="1">
        <f t="array" ref="H248">IFERROR(_xlfn.TEXTJOIN("-",,INDEX(_xlfn.TEXTSPLIT(TableTake[[#This Row],[SKU]],"-"),{1,2})),"")</f>
        <v>DHEA25-60</v>
      </c>
      <c r="I248" s="15" t="str">
        <f>IFERROR(_xlfn.TEXTAFTER(TableTake[[#This Row],[SKU]],"-",-1),"")</f>
        <v>FD</v>
      </c>
      <c r="J248" s="14">
        <f>'[1]2026 Orders'!H249</f>
        <v>160</v>
      </c>
      <c r="K248" t="str">
        <f>'[1]2026 Orders'!I249</f>
        <v>F14-25.2</v>
      </c>
      <c r="L248">
        <f>'[1]2026 Orders'!J249</f>
        <v>160</v>
      </c>
      <c r="N248" s="10" t="str">
        <f>'[1]2026 Orders'!L249</f>
        <v>D/W Sent</v>
      </c>
      <c r="O248">
        <f>'[1]2026 Orders'!M249</f>
        <v>0</v>
      </c>
      <c r="P248" t="str">
        <f>'[1]2026 Orders'!N249</f>
        <v>NA</v>
      </c>
      <c r="Q248">
        <f>'[1]2026 Orders'!O249</f>
        <v>609788968153</v>
      </c>
      <c r="R248">
        <f>'[1]2026 Orders'!P249</f>
        <v>0</v>
      </c>
      <c r="S248">
        <f>'[1]2026 Orders'!Q249</f>
        <v>0</v>
      </c>
      <c r="T248">
        <f>'[1]2026 Orders'!R249</f>
        <v>0</v>
      </c>
      <c r="U248">
        <f>'[1]2026 Orders'!S249</f>
        <v>0</v>
      </c>
      <c r="V248">
        <f>'[1]2026 Orders'!T249</f>
        <v>0</v>
      </c>
      <c r="W248">
        <f>'[1]2026 Orders'!U249</f>
        <v>0</v>
      </c>
      <c r="X248">
        <f>'[1]2026 Orders'!V249</f>
        <v>0</v>
      </c>
      <c r="Y248">
        <f>'[1]2026 Orders'!W249</f>
        <v>0</v>
      </c>
      <c r="Z248">
        <f>'[1]2026 Orders'!X249</f>
        <v>0</v>
      </c>
      <c r="AC248" t="str">
        <f t="shared" si="6"/>
        <v>160/</v>
      </c>
      <c r="AD248" t="e">
        <f t="shared" si="7"/>
        <v>#VALUE!</v>
      </c>
    </row>
    <row r="249" spans="1:30" ht="33" hidden="1" customHeight="1" x14ac:dyDescent="0.3">
      <c r="A249">
        <f>'[1]2026 Orders'!A250</f>
        <v>46087</v>
      </c>
      <c r="B249" s="14" t="str">
        <f>'[1]2026 Orders'!B250</f>
        <v>KSA</v>
      </c>
      <c r="C249" s="14" t="str">
        <f>'[1]2026 Orders'!C250</f>
        <v>A4654</v>
      </c>
      <c r="D249" s="14">
        <f>'[1]2026 Orders'!D250</f>
        <v>0</v>
      </c>
      <c r="E249" s="17" t="str" cm="1">
        <f t="array" ref="E249">IF(C249=0,"",
HYPERLINK(
"#'2026 Orders'!C"&amp;
MATCH(1,
('2026 Orders'!C:C=C249)*
('2026 Orders'!G:G=G249)*
('2026 Orders'!N:N=N249),
0),
"Open "&amp;C249
))</f>
        <v>Open A4654</v>
      </c>
      <c r="F249" s="14" t="str">
        <f>'[1]2026 Orders'!F250</f>
        <v>6/8/2026: quantity increased 
240 -&gt; 400 (160 packs added)</v>
      </c>
      <c r="G249" s="14" t="str">
        <f>'[1]2026 Orders'!G250</f>
        <v>DHEA25-60-FD</v>
      </c>
      <c r="H249" s="14" t="str" cm="1">
        <f t="array" ref="H249">IFERROR(_xlfn.TEXTJOIN("-",,INDEX(_xlfn.TEXTSPLIT(TableTake[[#This Row],[SKU]],"-"),{1,2})),"")</f>
        <v>DHEA25-60</v>
      </c>
      <c r="I249" s="15" t="str">
        <f>IFERROR(_xlfn.TEXTAFTER(TableTake[[#This Row],[SKU]],"-",-1),"")</f>
        <v>FD</v>
      </c>
      <c r="J249" s="14">
        <f>'[1]2026 Orders'!H250</f>
        <v>240</v>
      </c>
      <c r="K249" t="str">
        <f>'[1]2026 Orders'!I250</f>
        <v>F14-25.2</v>
      </c>
      <c r="L249">
        <f>'[1]2026 Orders'!J250</f>
        <v>240</v>
      </c>
      <c r="N249" s="10" t="str">
        <f>'[1]2026 Orders'!L250</f>
        <v>D/W Sent</v>
      </c>
      <c r="O249">
        <f>'[1]2026 Orders'!M250</f>
        <v>0</v>
      </c>
      <c r="P249" t="str">
        <f>'[1]2026 Orders'!N250</f>
        <v>NA</v>
      </c>
      <c r="Q249">
        <f>'[1]2026 Orders'!O250</f>
        <v>609788968153</v>
      </c>
      <c r="R249">
        <f>'[1]2026 Orders'!P250</f>
        <v>0</v>
      </c>
      <c r="S249">
        <f>'[1]2026 Orders'!Q250</f>
        <v>0</v>
      </c>
      <c r="T249">
        <f>'[1]2026 Orders'!R250</f>
        <v>0</v>
      </c>
      <c r="U249">
        <f>'[1]2026 Orders'!S250</f>
        <v>0</v>
      </c>
      <c r="V249">
        <f>'[1]2026 Orders'!T250</f>
        <v>0</v>
      </c>
      <c r="W249">
        <f>'[1]2026 Orders'!U250</f>
        <v>0</v>
      </c>
      <c r="X249">
        <f>'[1]2026 Orders'!V250</f>
        <v>0</v>
      </c>
      <c r="Y249">
        <f>'[1]2026 Orders'!W250</f>
        <v>0</v>
      </c>
      <c r="Z249">
        <f>'[1]2026 Orders'!X250</f>
        <v>0</v>
      </c>
      <c r="AC249" t="str">
        <f t="shared" si="6"/>
        <v>240/</v>
      </c>
      <c r="AD249" t="e">
        <f t="shared" si="7"/>
        <v>#VALUE!</v>
      </c>
    </row>
    <row r="250" spans="1:30" ht="33" hidden="1" customHeight="1" x14ac:dyDescent="0.3">
      <c r="A250">
        <f>'[1]2026 Orders'!A251</f>
        <v>46087</v>
      </c>
      <c r="B250" s="14" t="str">
        <f>'[1]2026 Orders'!B251</f>
        <v>KSA</v>
      </c>
      <c r="C250" s="14" t="str">
        <f>'[1]2026 Orders'!C251</f>
        <v>A4654</v>
      </c>
      <c r="D250" s="14">
        <f>'[1]2026 Orders'!D251</f>
        <v>0</v>
      </c>
      <c r="E250" s="17" t="str" cm="1">
        <f t="array" ref="E250">IF(C250=0,"",
HYPERLINK(
"#'2026 Orders'!C"&amp;
MATCH(1,
('2026 Orders'!C:C=C250)*
('2026 Orders'!G:G=G250)*
('2026 Orders'!N:N=N250),
0),
"Open "&amp;C250
))</f>
        <v>Open A4654</v>
      </c>
      <c r="F250" s="14">
        <f>'[1]2026 Orders'!F251</f>
        <v>0</v>
      </c>
      <c r="G250" s="14" t="str">
        <f>'[1]2026 Orders'!G251</f>
        <v>KETONEG-60-FD</v>
      </c>
      <c r="H250" s="14" t="str" cm="1">
        <f t="array" ref="H250">IFERROR(_xlfn.TEXTJOIN("-",,INDEX(_xlfn.TEXTSPLIT(TableTake[[#This Row],[SKU]],"-"),{1,2})),"")</f>
        <v>KETONEG-60</v>
      </c>
      <c r="I250" s="15" t="str">
        <f>IFERROR(_xlfn.TEXTAFTER(TableTake[[#This Row],[SKU]],"-",-1),"")</f>
        <v>FD</v>
      </c>
      <c r="J250" s="14">
        <f>'[1]2026 Orders'!H251</f>
        <v>168</v>
      </c>
      <c r="K250" t="str">
        <f>'[1]2026 Orders'!I251</f>
        <v>F24-25.1</v>
      </c>
      <c r="L250">
        <f>'[1]2026 Orders'!J251</f>
        <v>168</v>
      </c>
      <c r="N250" s="10" t="str">
        <f>'[1]2026 Orders'!L251</f>
        <v>D/W Sent</v>
      </c>
      <c r="O250">
        <f>'[1]2026 Orders'!M251</f>
        <v>0</v>
      </c>
      <c r="P250" t="str">
        <f>'[1]2026 Orders'!N251</f>
        <v>Y</v>
      </c>
      <c r="Q250">
        <f>'[1]2026 Orders'!O251</f>
        <v>810131190071</v>
      </c>
      <c r="R250">
        <f>'[1]2026 Orders'!P251</f>
        <v>0</v>
      </c>
      <c r="S250">
        <f>'[1]2026 Orders'!Q251</f>
        <v>0</v>
      </c>
      <c r="T250">
        <f>'[1]2026 Orders'!R251</f>
        <v>0</v>
      </c>
      <c r="U250">
        <f>'[1]2026 Orders'!S251</f>
        <v>0</v>
      </c>
      <c r="V250">
        <f>'[1]2026 Orders'!T251</f>
        <v>0</v>
      </c>
      <c r="W250">
        <f>'[1]2026 Orders'!U251</f>
        <v>0</v>
      </c>
      <c r="X250">
        <f>'[1]2026 Orders'!V251</f>
        <v>0</v>
      </c>
      <c r="Y250">
        <f>'[1]2026 Orders'!W251</f>
        <v>0</v>
      </c>
      <c r="Z250">
        <f>'[1]2026 Orders'!X251</f>
        <v>0</v>
      </c>
      <c r="AC250" t="str">
        <f t="shared" si="6"/>
        <v>168/</v>
      </c>
      <c r="AD250" t="e">
        <f t="shared" si="7"/>
        <v>#VALUE!</v>
      </c>
    </row>
    <row r="251" spans="1:30" ht="33" hidden="1" customHeight="1" x14ac:dyDescent="0.3">
      <c r="A251">
        <f>'[1]2026 Orders'!A252</f>
        <v>46087</v>
      </c>
      <c r="B251" s="14" t="str">
        <f>'[1]2026 Orders'!B252</f>
        <v>KSA</v>
      </c>
      <c r="C251" s="14" t="str">
        <f>'[1]2026 Orders'!C252</f>
        <v>A4654</v>
      </c>
      <c r="D251" s="14">
        <f>'[1]2026 Orders'!D252</f>
        <v>0</v>
      </c>
      <c r="E251" s="17" t="str" cm="1">
        <f t="array" ref="E251">IF(C251=0,"",
HYPERLINK(
"#'2026 Orders'!C"&amp;
MATCH(1,
('2026 Orders'!C:C=C251)*
('2026 Orders'!G:G=G251)*
('2026 Orders'!N:N=N251),
0),
"Open "&amp;C251
))</f>
        <v>Open A4654</v>
      </c>
      <c r="F251" s="14">
        <f>'[1]2026 Orders'!F252</f>
        <v>0</v>
      </c>
      <c r="G251" s="14" t="str">
        <f>'[1]2026 Orders'!G252</f>
        <v>WFSPLS-90-FD</v>
      </c>
      <c r="H251" s="14" t="str" cm="1">
        <f t="array" ref="H251">IFERROR(_xlfn.TEXTJOIN("-",,INDEX(_xlfn.TEXTSPLIT(TableTake[[#This Row],[SKU]],"-"),{1,2})),"")</f>
        <v>WFSPLS-90</v>
      </c>
      <c r="I251" s="15" t="str">
        <f>IFERROR(_xlfn.TEXTAFTER(TableTake[[#This Row],[SKU]],"-",-1),"")</f>
        <v>FD</v>
      </c>
      <c r="J251" s="14">
        <f>'[1]2026 Orders'!H252</f>
        <v>96</v>
      </c>
      <c r="K251" t="str">
        <f>'[1]2026 Orders'!I252</f>
        <v>F72-25.0</v>
      </c>
      <c r="L251">
        <f>'[1]2026 Orders'!J252</f>
        <v>96</v>
      </c>
      <c r="N251" s="10" t="str">
        <f>'[1]2026 Orders'!L252</f>
        <v>D/W Sent</v>
      </c>
      <c r="O251">
        <f>'[1]2026 Orders'!M252</f>
        <v>0</v>
      </c>
      <c r="P251" t="str">
        <f>'[1]2026 Orders'!N252</f>
        <v>NA</v>
      </c>
      <c r="Q251">
        <f>'[1]2026 Orders'!O252</f>
        <v>609788968108</v>
      </c>
      <c r="R251">
        <f>'[1]2026 Orders'!P252</f>
        <v>4000</v>
      </c>
      <c r="S251">
        <f>'[1]2026 Orders'!Q252</f>
        <v>4941</v>
      </c>
      <c r="T251" t="str">
        <f>'[1]2026 Orders'!R252</f>
        <v>complete</v>
      </c>
      <c r="U251">
        <f>'[1]2026 Orders'!S252</f>
        <v>0</v>
      </c>
      <c r="V251">
        <f>'[1]2026 Orders'!T252</f>
        <v>0</v>
      </c>
      <c r="W251">
        <f>'[1]2026 Orders'!U252</f>
        <v>0</v>
      </c>
      <c r="X251">
        <f>'[1]2026 Orders'!V252</f>
        <v>0</v>
      </c>
      <c r="Y251">
        <f>'[1]2026 Orders'!W252</f>
        <v>0</v>
      </c>
      <c r="Z251">
        <f>'[1]2026 Orders'!X252</f>
        <v>0</v>
      </c>
      <c r="AC251" t="str">
        <f t="shared" si="6"/>
        <v>96/</v>
      </c>
      <c r="AD251" t="e">
        <f t="shared" si="7"/>
        <v>#VALUE!</v>
      </c>
    </row>
    <row r="252" spans="1:30" ht="33" hidden="1" customHeight="1" x14ac:dyDescent="0.3">
      <c r="A252">
        <f>'[1]2026 Orders'!A253</f>
        <v>46087</v>
      </c>
      <c r="B252" s="14" t="str">
        <f>'[1]2026 Orders'!B253</f>
        <v>KSA</v>
      </c>
      <c r="C252" s="14" t="str">
        <f>'[1]2026 Orders'!C253</f>
        <v>A4654</v>
      </c>
      <c r="D252" s="14">
        <f>'[1]2026 Orders'!D253</f>
        <v>0</v>
      </c>
      <c r="E252" s="17" t="str" cm="1">
        <f t="array" ref="E252">IF(C252=0,"",
HYPERLINK(
"#'2026 Orders'!C"&amp;
MATCH(1,
('2026 Orders'!C:C=C252)*
('2026 Orders'!G:G=G252)*
('2026 Orders'!N:N=N252),
0),
"Open "&amp;C252
))</f>
        <v>Open A4654</v>
      </c>
      <c r="F252" s="14">
        <f>'[1]2026 Orders'!F253</f>
        <v>0</v>
      </c>
      <c r="G252" s="14" t="str">
        <f>'[1]2026 Orders'!G253</f>
        <v>PRECON-180-FD</v>
      </c>
      <c r="H252" s="14" t="str" cm="1">
        <f t="array" ref="H252">IFERROR(_xlfn.TEXTJOIN("-",,INDEX(_xlfn.TEXTSPLIT(TableTake[[#This Row],[SKU]],"-"),{1,2})),"")</f>
        <v>PRECON-180</v>
      </c>
      <c r="I252" s="15" t="str">
        <f>IFERROR(_xlfn.TEXTAFTER(TableTake[[#This Row],[SKU]],"-",-1),"")</f>
        <v>FD</v>
      </c>
      <c r="J252" s="14">
        <f>'[1]2026 Orders'!H253</f>
        <v>72</v>
      </c>
      <c r="K252" t="str">
        <f>'[1]2026 Orders'!I253</f>
        <v>F55-22.2</v>
      </c>
      <c r="L252">
        <f>'[1]2026 Orders'!J253</f>
        <v>72</v>
      </c>
      <c r="N252" s="10" t="str">
        <f>'[1]2026 Orders'!L253</f>
        <v>D/W Sent</v>
      </c>
      <c r="O252">
        <f>'[1]2026 Orders'!M253</f>
        <v>0</v>
      </c>
      <c r="P252" t="str">
        <f>'[1]2026 Orders'!N253</f>
        <v>NA</v>
      </c>
      <c r="Q252">
        <f>'[1]2026 Orders'!O253</f>
        <v>609788968375</v>
      </c>
      <c r="R252">
        <f>'[1]2026 Orders'!P253</f>
        <v>0</v>
      </c>
      <c r="S252">
        <f>'[1]2026 Orders'!Q253</f>
        <v>0</v>
      </c>
      <c r="T252">
        <f>'[1]2026 Orders'!R253</f>
        <v>0</v>
      </c>
      <c r="U252">
        <f>'[1]2026 Orders'!S253</f>
        <v>0</v>
      </c>
      <c r="V252">
        <f>'[1]2026 Orders'!T253</f>
        <v>0</v>
      </c>
      <c r="W252">
        <f>'[1]2026 Orders'!U253</f>
        <v>0</v>
      </c>
      <c r="X252">
        <f>'[1]2026 Orders'!V253</f>
        <v>0</v>
      </c>
      <c r="Y252">
        <f>'[1]2026 Orders'!W253</f>
        <v>0</v>
      </c>
      <c r="Z252">
        <f>'[1]2026 Orders'!X253</f>
        <v>0</v>
      </c>
      <c r="AC252" t="str">
        <f t="shared" si="6"/>
        <v>72/</v>
      </c>
      <c r="AD252" t="e">
        <f t="shared" si="7"/>
        <v>#VALUE!</v>
      </c>
    </row>
    <row r="253" spans="1:30" ht="33" hidden="1" customHeight="1" x14ac:dyDescent="0.3">
      <c r="A253">
        <f>'[1]2026 Orders'!A254</f>
        <v>46087</v>
      </c>
      <c r="B253" s="14" t="str">
        <f>'[1]2026 Orders'!B254</f>
        <v>KSA</v>
      </c>
      <c r="C253" s="14" t="str">
        <f>'[1]2026 Orders'!C254</f>
        <v>A4654</v>
      </c>
      <c r="D253" s="14">
        <f>'[1]2026 Orders'!D254</f>
        <v>0</v>
      </c>
      <c r="E253" s="17" t="str" cm="1">
        <f t="array" ref="E253">IF(C253=0,"",
HYPERLINK(
"#'2026 Orders'!C"&amp;
MATCH(1,
('2026 Orders'!C:C=C253)*
('2026 Orders'!G:G=G253)*
('2026 Orders'!N:N=N253),
0),
"Open "&amp;C253
))</f>
        <v>Open A4654</v>
      </c>
      <c r="F253" s="14">
        <f>'[1]2026 Orders'!F254</f>
        <v>0</v>
      </c>
      <c r="G253" s="14" t="str">
        <f>'[1]2026 Orders'!G254</f>
        <v>GINKGO-60-FD</v>
      </c>
      <c r="H253" s="14" t="str" cm="1">
        <f t="array" ref="H253">IFERROR(_xlfn.TEXTJOIN("-",,INDEX(_xlfn.TEXTSPLIT(TableTake[[#This Row],[SKU]],"-"),{1,2})),"")</f>
        <v>GINKGO-60</v>
      </c>
      <c r="I253" s="15" t="str">
        <f>IFERROR(_xlfn.TEXTAFTER(TableTake[[#This Row],[SKU]],"-",-1),"")</f>
        <v>FD</v>
      </c>
      <c r="J253" s="14">
        <f>'[1]2026 Orders'!H254</f>
        <v>120</v>
      </c>
      <c r="K253" t="str">
        <f>'[1]2026 Orders'!I254</f>
        <v>F21-23.0</v>
      </c>
      <c r="L253">
        <f>'[1]2026 Orders'!J254</f>
        <v>120</v>
      </c>
      <c r="N253" s="10" t="str">
        <f>'[1]2026 Orders'!L254</f>
        <v>D/W Sent</v>
      </c>
      <c r="O253">
        <f>'[1]2026 Orders'!M254</f>
        <v>0</v>
      </c>
      <c r="P253" t="str">
        <f>'[1]2026 Orders'!N254</f>
        <v>NA</v>
      </c>
      <c r="Q253">
        <f>'[1]2026 Orders'!O254</f>
        <v>609788968146</v>
      </c>
      <c r="R253">
        <f>'[1]2026 Orders'!P254</f>
        <v>0</v>
      </c>
      <c r="S253">
        <f>'[1]2026 Orders'!Q254</f>
        <v>0</v>
      </c>
      <c r="T253">
        <f>'[1]2026 Orders'!R254</f>
        <v>0</v>
      </c>
      <c r="U253">
        <f>'[1]2026 Orders'!S254</f>
        <v>0</v>
      </c>
      <c r="V253">
        <f>'[1]2026 Orders'!T254</f>
        <v>0</v>
      </c>
      <c r="W253">
        <f>'[1]2026 Orders'!U254</f>
        <v>0</v>
      </c>
      <c r="X253">
        <f>'[1]2026 Orders'!V254</f>
        <v>0</v>
      </c>
      <c r="Y253">
        <f>'[1]2026 Orders'!W254</f>
        <v>0</v>
      </c>
      <c r="Z253">
        <f>'[1]2026 Orders'!X254</f>
        <v>0</v>
      </c>
      <c r="AC253" t="str">
        <f t="shared" si="6"/>
        <v>120/</v>
      </c>
      <c r="AD253" t="e">
        <f t="shared" si="7"/>
        <v>#VALUE!</v>
      </c>
    </row>
    <row r="254" spans="1:30" ht="33" hidden="1" customHeight="1" x14ac:dyDescent="0.3">
      <c r="A254">
        <f>'[1]2026 Orders'!A255</f>
        <v>46087</v>
      </c>
      <c r="B254" s="14" t="str">
        <f>'[1]2026 Orders'!B255</f>
        <v>KSA</v>
      </c>
      <c r="C254" s="14" t="str">
        <f>'[1]2026 Orders'!C255</f>
        <v>A4654</v>
      </c>
      <c r="D254" s="14">
        <f>'[1]2026 Orders'!D255</f>
        <v>0</v>
      </c>
      <c r="E254" s="17" t="str" cm="1">
        <f t="array" ref="E254">IF(C254=0,"",
HYPERLINK(
"#'2026 Orders'!C"&amp;
MATCH(1,
('2026 Orders'!C:C=C254)*
('2026 Orders'!G:G=G254)*
('2026 Orders'!N:N=N254),
0),
"Open "&amp;C254
))</f>
        <v>Open A4654</v>
      </c>
      <c r="F254" s="14">
        <f>'[1]2026 Orders'!F255</f>
        <v>0</v>
      </c>
      <c r="G254" s="14" t="str">
        <f>'[1]2026 Orders'!G255</f>
        <v>OSTEOPL-96-FD</v>
      </c>
      <c r="H254" s="14" t="str" cm="1">
        <f t="array" ref="H254">IFERROR(_xlfn.TEXTJOIN("-",,INDEX(_xlfn.TEXTSPLIT(TableTake[[#This Row],[SKU]],"-"),{1,2})),"")</f>
        <v>OSTEOPL-96</v>
      </c>
      <c r="I254" s="15" t="str">
        <f>IFERROR(_xlfn.TEXTAFTER(TableTake[[#This Row],[SKU]],"-",-1),"")</f>
        <v>FD</v>
      </c>
      <c r="J254" s="14">
        <f>'[1]2026 Orders'!H255</f>
        <v>96</v>
      </c>
      <c r="K254" t="str">
        <f>'[1]2026 Orders'!I255</f>
        <v>F39-24.0</v>
      </c>
      <c r="L254">
        <f>'[1]2026 Orders'!J255</f>
        <v>96</v>
      </c>
      <c r="N254" s="10" t="str">
        <f>'[1]2026 Orders'!L255</f>
        <v>D/W Sent</v>
      </c>
      <c r="O254">
        <f>'[1]2026 Orders'!M255</f>
        <v>0</v>
      </c>
      <c r="P254" t="str">
        <f>'[1]2026 Orders'!N255</f>
        <v>Y</v>
      </c>
      <c r="Q254">
        <f>'[1]2026 Orders'!O255</f>
        <v>609788968238</v>
      </c>
      <c r="R254">
        <f>'[1]2026 Orders'!P255</f>
        <v>0</v>
      </c>
      <c r="S254">
        <f>'[1]2026 Orders'!Q255</f>
        <v>0</v>
      </c>
      <c r="T254">
        <f>'[1]2026 Orders'!R255</f>
        <v>0</v>
      </c>
      <c r="U254">
        <f>'[1]2026 Orders'!S255</f>
        <v>0</v>
      </c>
      <c r="V254">
        <f>'[1]2026 Orders'!T255</f>
        <v>0</v>
      </c>
      <c r="W254">
        <f>'[1]2026 Orders'!U255</f>
        <v>0</v>
      </c>
      <c r="X254">
        <f>'[1]2026 Orders'!V255</f>
        <v>0</v>
      </c>
      <c r="Y254">
        <f>'[1]2026 Orders'!W255</f>
        <v>0</v>
      </c>
      <c r="Z254">
        <f>'[1]2026 Orders'!X255</f>
        <v>0</v>
      </c>
      <c r="AC254" t="str">
        <f t="shared" si="6"/>
        <v>96/</v>
      </c>
      <c r="AD254" t="e">
        <f t="shared" si="7"/>
        <v>#VALUE!</v>
      </c>
    </row>
    <row r="255" spans="1:30" ht="33" hidden="1" customHeight="1" x14ac:dyDescent="0.3">
      <c r="A255">
        <f>'[1]2026 Orders'!A256</f>
        <v>46087</v>
      </c>
      <c r="B255" s="14" t="str">
        <f>'[1]2026 Orders'!B256</f>
        <v>KSA</v>
      </c>
      <c r="C255" s="14" t="str">
        <f>'[1]2026 Orders'!C256</f>
        <v>A4654</v>
      </c>
      <c r="D255" s="14">
        <f>'[1]2026 Orders'!D256</f>
        <v>0</v>
      </c>
      <c r="E255" s="17" t="str" cm="1">
        <f t="array" ref="E255">IF(C255=0,"",
HYPERLINK(
"#'2026 Orders'!C"&amp;
MATCH(1,
('2026 Orders'!C:C=C255)*
('2026 Orders'!G:G=G255)*
('2026 Orders'!N:N=N255),
0),
"Open "&amp;C255
))</f>
        <v>Open A4654</v>
      </c>
      <c r="F255" s="14" t="str">
        <f>'[1]2026 Orders'!F256</f>
        <v>Extra run off 
4/22/2026 - Product added back from KSA A4679</v>
      </c>
      <c r="G255" s="14" t="str">
        <f>'[1]2026 Orders'!G256</f>
        <v>COQ100-125-FD</v>
      </c>
      <c r="H255" s="14" t="str" cm="1">
        <f t="array" ref="H255">IFERROR(_xlfn.TEXTJOIN("-",,INDEX(_xlfn.TEXTSPLIT(TableTake[[#This Row],[SKU]],"-"),{1,2})),"")</f>
        <v>COQ100-125</v>
      </c>
      <c r="I255" s="15" t="str">
        <f>IFERROR(_xlfn.TEXTAFTER(TableTake[[#This Row],[SKU]],"-",-1),"")</f>
        <v>FD</v>
      </c>
      <c r="J255" s="14">
        <f>'[1]2026 Orders'!H256</f>
        <v>140</v>
      </c>
      <c r="K255" t="str">
        <f>'[1]2026 Orders'!I256</f>
        <v>F12-26.0</v>
      </c>
      <c r="L255">
        <f>'[1]2026 Orders'!J256</f>
        <v>140</v>
      </c>
      <c r="N255" s="10" t="str">
        <f>'[1]2026 Orders'!L256</f>
        <v>D/W Sent</v>
      </c>
      <c r="O255">
        <f>'[1]2026 Orders'!M256</f>
        <v>0</v>
      </c>
      <c r="P255" t="str">
        <f>'[1]2026 Orders'!N256</f>
        <v>Y</v>
      </c>
      <c r="Q255">
        <f>'[1]2026 Orders'!O256</f>
        <v>810131199258</v>
      </c>
      <c r="R255">
        <f>'[1]2026 Orders'!P256</f>
        <v>8000</v>
      </c>
      <c r="S255">
        <f>'[1]2026 Orders'!Q256</f>
        <v>4916</v>
      </c>
      <c r="T255" t="str">
        <f>'[1]2026 Orders'!R256</f>
        <v>Complete</v>
      </c>
      <c r="U255" t="str">
        <f>'[1]2026 Orders'!S256</f>
        <v>Use overrun to fulfill this order. Waiting to pick up from Vitane pending response</v>
      </c>
      <c r="V255">
        <f>'[1]2026 Orders'!T256</f>
        <v>0</v>
      </c>
      <c r="W255">
        <f>'[1]2026 Orders'!U256</f>
        <v>0</v>
      </c>
      <c r="X255">
        <f>'[1]2026 Orders'!V256</f>
        <v>0</v>
      </c>
      <c r="Y255">
        <f>'[1]2026 Orders'!W256</f>
        <v>0</v>
      </c>
      <c r="Z255">
        <f>'[1]2026 Orders'!X256</f>
        <v>0</v>
      </c>
      <c r="AC255" t="str">
        <f t="shared" si="6"/>
        <v>140/</v>
      </c>
      <c r="AD255" t="e">
        <f t="shared" si="7"/>
        <v>#VALUE!</v>
      </c>
    </row>
    <row r="256" spans="1:30" ht="33" hidden="1" customHeight="1" x14ac:dyDescent="0.3">
      <c r="A256">
        <f>'[1]2026 Orders'!A257</f>
        <v>46087</v>
      </c>
      <c r="B256" s="14" t="str">
        <f>'[1]2026 Orders'!B257</f>
        <v>KSA</v>
      </c>
      <c r="C256" s="14" t="str">
        <f>'[1]2026 Orders'!C257</f>
        <v>A4654</v>
      </c>
      <c r="D256" s="14">
        <f>'[1]2026 Orders'!D257</f>
        <v>0</v>
      </c>
      <c r="E256" s="17" t="str" cm="1">
        <f t="array" ref="E256">IF(C256=0,"",
HYPERLINK(
"#'2026 Orders'!C"&amp;
MATCH(1,
('2026 Orders'!C:C=C256)*
('2026 Orders'!G:G=G256)*
('2026 Orders'!N:N=N256),
0),
"Open "&amp;C256
))</f>
        <v>Open A4654</v>
      </c>
      <c r="F256" s="14" t="str">
        <f>'[1]2026 Orders'!F257</f>
        <v>5/7/2026: Moved from KSA A4679</v>
      </c>
      <c r="G256" s="14" t="str">
        <f>'[1]2026 Orders'!G257</f>
        <v>MFSPLS-120-FD</v>
      </c>
      <c r="H256" s="14" t="str" cm="1">
        <f t="array" ref="H256">IFERROR(_xlfn.TEXTJOIN("-",,INDEX(_xlfn.TEXTSPLIT(TableTake[[#This Row],[SKU]],"-"),{1,2})),"")</f>
        <v>MFSPLS-120</v>
      </c>
      <c r="I256" s="15" t="str">
        <f>IFERROR(_xlfn.TEXTAFTER(TableTake[[#This Row],[SKU]],"-",-1),"")</f>
        <v>FD</v>
      </c>
      <c r="J256" s="14">
        <f>'[1]2026 Orders'!H257</f>
        <v>216</v>
      </c>
      <c r="K256" t="str">
        <f>'[1]2026 Orders'!I257</f>
        <v>F30-25.1</v>
      </c>
      <c r="L256">
        <f>'[1]2026 Orders'!J257</f>
        <v>216</v>
      </c>
      <c r="N256" s="10" t="str">
        <f>'[1]2026 Orders'!L257</f>
        <v>D/W Sent</v>
      </c>
      <c r="O256">
        <f>'[1]2026 Orders'!M257</f>
        <v>0</v>
      </c>
      <c r="P256" t="str">
        <f>'[1]2026 Orders'!N257</f>
        <v>NA</v>
      </c>
      <c r="Q256">
        <f>'[1]2026 Orders'!O257</f>
        <v>609788968344</v>
      </c>
      <c r="R256">
        <f>'[1]2026 Orders'!P257</f>
        <v>0</v>
      </c>
      <c r="S256">
        <f>'[1]2026 Orders'!Q257</f>
        <v>0</v>
      </c>
      <c r="T256">
        <f>'[1]2026 Orders'!R257</f>
        <v>0</v>
      </c>
      <c r="U256">
        <f>'[1]2026 Orders'!S257</f>
        <v>0</v>
      </c>
      <c r="V256">
        <f>'[1]2026 Orders'!T257</f>
        <v>0</v>
      </c>
      <c r="W256">
        <f>'[1]2026 Orders'!U257</f>
        <v>0</v>
      </c>
      <c r="X256">
        <f>'[1]2026 Orders'!V257</f>
        <v>0</v>
      </c>
      <c r="Y256">
        <f>'[1]2026 Orders'!W257</f>
        <v>0</v>
      </c>
      <c r="Z256">
        <f>'[1]2026 Orders'!X257</f>
        <v>0</v>
      </c>
      <c r="AC256" t="str">
        <f t="shared" si="6"/>
        <v>216/</v>
      </c>
      <c r="AD256" t="e">
        <f t="shared" si="7"/>
        <v>#VALUE!</v>
      </c>
    </row>
    <row r="257" spans="1:30" ht="33" hidden="1" customHeight="1" x14ac:dyDescent="0.3">
      <c r="A257">
        <f>'[1]2026 Orders'!A258</f>
        <v>0</v>
      </c>
      <c r="B257" s="14">
        <f>'[1]2026 Orders'!B258</f>
        <v>0</v>
      </c>
      <c r="C257" s="14">
        <f>'[1]2026 Orders'!C258</f>
        <v>0</v>
      </c>
      <c r="D257" s="14">
        <f>'[1]2026 Orders'!D258</f>
        <v>0</v>
      </c>
      <c r="E257" s="17" t="str" cm="1">
        <f t="array" ref="E257">IF(C257=0,"",
HYPERLINK(
"#'2026 Orders'!C"&amp;
MATCH(1,
('2026 Orders'!C:C=C257)*
('2026 Orders'!G:G=G257)*
('2026 Orders'!N:N=N257),
0),
"Open "&amp;C257
))</f>
        <v/>
      </c>
      <c r="F257" s="14">
        <f>'[1]2026 Orders'!F258</f>
        <v>0</v>
      </c>
      <c r="G257" s="14">
        <f>'[1]2026 Orders'!G258</f>
        <v>0</v>
      </c>
      <c r="H257" s="14" t="str" cm="1">
        <f t="array" ref="H257">IFERROR(_xlfn.TEXTJOIN("-",,INDEX(_xlfn.TEXTSPLIT(TableTake[[#This Row],[SKU]],"-"),{1,2})),"")</f>
        <v/>
      </c>
      <c r="I257" s="15" t="str">
        <f>IFERROR(_xlfn.TEXTAFTER(TableTake[[#This Row],[SKU]],"-",-1),"")</f>
        <v/>
      </c>
      <c r="J257" s="14">
        <f>'[1]2026 Orders'!H258</f>
        <v>0</v>
      </c>
      <c r="K257">
        <f>'[1]2026 Orders'!I258</f>
        <v>0</v>
      </c>
      <c r="L257">
        <f>'[1]2026 Orders'!J258</f>
        <v>0</v>
      </c>
      <c r="N257" s="10">
        <f>'[1]2026 Orders'!L258</f>
        <v>0</v>
      </c>
      <c r="O257">
        <f>'[1]2026 Orders'!M258</f>
        <v>0</v>
      </c>
      <c r="P257">
        <f>'[1]2026 Orders'!N258</f>
        <v>0</v>
      </c>
      <c r="Q257">
        <f>'[1]2026 Orders'!O258</f>
        <v>0</v>
      </c>
      <c r="R257">
        <f>'[1]2026 Orders'!P258</f>
        <v>0</v>
      </c>
      <c r="S257">
        <f>'[1]2026 Orders'!Q258</f>
        <v>0</v>
      </c>
      <c r="T257">
        <f>'[1]2026 Orders'!R258</f>
        <v>0</v>
      </c>
      <c r="U257">
        <f>'[1]2026 Orders'!S258</f>
        <v>0</v>
      </c>
      <c r="V257">
        <f>'[1]2026 Orders'!T258</f>
        <v>0</v>
      </c>
      <c r="W257">
        <f>'[1]2026 Orders'!U258</f>
        <v>0</v>
      </c>
      <c r="X257">
        <f>'[1]2026 Orders'!V258</f>
        <v>0</v>
      </c>
      <c r="Y257">
        <f>'[1]2026 Orders'!W258</f>
        <v>0</v>
      </c>
      <c r="Z257">
        <f>'[1]2026 Orders'!X258</f>
        <v>0</v>
      </c>
      <c r="AC257" t="str">
        <f t="shared" si="6"/>
        <v/>
      </c>
      <c r="AD257" t="str">
        <f t="shared" si="7"/>
        <v/>
      </c>
    </row>
    <row r="258" spans="1:30" ht="33" hidden="1" customHeight="1" x14ac:dyDescent="0.3">
      <c r="A258">
        <f>'[1]2026 Orders'!A259</f>
        <v>46087</v>
      </c>
      <c r="B258" s="14" t="str">
        <f>'[1]2026 Orders'!B259</f>
        <v>KSA</v>
      </c>
      <c r="C258" s="14" t="str">
        <f>'[1]2026 Orders'!C259</f>
        <v>A4679</v>
      </c>
      <c r="D258" s="14">
        <f>'[1]2026 Orders'!D259</f>
        <v>0</v>
      </c>
      <c r="E258" s="17" t="str" cm="1">
        <f t="array" ref="E258">IF(C258=0,"",
HYPERLINK(
"#'2026 Orders'!C"&amp;
MATCH(1,
('2026 Orders'!C:C=C258)*
('2026 Orders'!G:G=G258)*
('2026 Orders'!N:N=N258),
0),
"Open "&amp;C258
))</f>
        <v>Open A4679</v>
      </c>
      <c r="F258" s="14">
        <f>'[1]2026 Orders'!F259</f>
        <v>0</v>
      </c>
      <c r="G258" s="14" t="str">
        <f>'[1]2026 Orders'!G259</f>
        <v>MFSADV-120-FD</v>
      </c>
      <c r="H258" s="14" t="str" cm="1">
        <f t="array" ref="H258">IFERROR(_xlfn.TEXTJOIN("-",,INDEX(_xlfn.TEXTSPLIT(TableTake[[#This Row],[SKU]],"-"),{1,2})),"")</f>
        <v>MFSADV-120</v>
      </c>
      <c r="I258" s="15" t="str">
        <f>IFERROR(_xlfn.TEXTAFTER(TableTake[[#This Row],[SKU]],"-",-1),"")</f>
        <v>FD</v>
      </c>
      <c r="J258" s="14">
        <f>'[1]2026 Orders'!H259</f>
        <v>288</v>
      </c>
      <c r="K258" t="str">
        <f>'[1]2026 Orders'!I259</f>
        <v>F87-25.0</v>
      </c>
      <c r="L258">
        <f>'[1]2026 Orders'!J259</f>
        <v>0</v>
      </c>
      <c r="N258" s="10" t="str">
        <f>'[1]2026 Orders'!L259</f>
        <v>Not Meet MOQ</v>
      </c>
      <c r="O258">
        <f>'[1]2026 Orders'!M259</f>
        <v>0</v>
      </c>
      <c r="P258" t="str">
        <f>'[1]2026 Orders'!N259</f>
        <v>Y</v>
      </c>
      <c r="Q258">
        <f>'[1]2026 Orders'!O259</f>
        <v>604776736547</v>
      </c>
      <c r="R258">
        <f>'[1]2026 Orders'!P259</f>
        <v>0</v>
      </c>
      <c r="S258">
        <f>'[1]2026 Orders'!Q259</f>
        <v>0</v>
      </c>
      <c r="T258">
        <f>'[1]2026 Orders'!R259</f>
        <v>0</v>
      </c>
      <c r="U258" t="str">
        <f>'[1]2026 Orders'!S259</f>
        <v>Tablet</v>
      </c>
      <c r="V258">
        <f>'[1]2026 Orders'!T259</f>
        <v>0</v>
      </c>
      <c r="W258">
        <f>'[1]2026 Orders'!U259</f>
        <v>0</v>
      </c>
      <c r="X258">
        <f>'[1]2026 Orders'!V259</f>
        <v>0</v>
      </c>
      <c r="Y258">
        <f>'[1]2026 Orders'!W259</f>
        <v>0</v>
      </c>
      <c r="Z258" t="str">
        <f>'[1]2026 Orders'!X259</f>
        <v>HOLD</v>
      </c>
      <c r="AC258" t="str">
        <f t="shared" si="6"/>
        <v>288/</v>
      </c>
      <c r="AD258" t="e">
        <f t="shared" si="7"/>
        <v>#VALUE!</v>
      </c>
    </row>
    <row r="259" spans="1:30" ht="33" hidden="1" customHeight="1" x14ac:dyDescent="0.3">
      <c r="A259">
        <f>'[1]2026 Orders'!A260</f>
        <v>46087</v>
      </c>
      <c r="B259" s="14" t="str">
        <f>'[1]2026 Orders'!B260</f>
        <v>KSA</v>
      </c>
      <c r="C259" s="14" t="str">
        <f>'[1]2026 Orders'!C260</f>
        <v>A4679</v>
      </c>
      <c r="D259" s="14">
        <f>'[1]2026 Orders'!D260</f>
        <v>0</v>
      </c>
      <c r="E259" s="17" t="str" cm="1">
        <f t="array" ref="E259">IF(C259=0,"",
HYPERLINK(
"#'2026 Orders'!C"&amp;
MATCH(1,
('2026 Orders'!C:C=C259)*
('2026 Orders'!G:G=G259)*
('2026 Orders'!N:N=N259),
0),
"Open "&amp;C259
))</f>
        <v>Open A4679</v>
      </c>
      <c r="F259" s="14">
        <f>'[1]2026 Orders'!F260</f>
        <v>0</v>
      </c>
      <c r="G259" s="14" t="str">
        <f>'[1]2026 Orders'!G260</f>
        <v>PEDIACM-50-FD</v>
      </c>
      <c r="H259" s="14" t="str" cm="1">
        <f t="array" ref="H259">IFERROR(_xlfn.TEXTJOIN("-",,INDEX(_xlfn.TEXTSPLIT(TableTake[[#This Row],[SKU]],"-"),{1,2})),"")</f>
        <v>PEDIACM-50</v>
      </c>
      <c r="I259" s="15" t="str">
        <f>IFERROR(_xlfn.TEXTAFTER(TableTake[[#This Row],[SKU]],"-",-1),"")</f>
        <v>FD</v>
      </c>
      <c r="J259" s="14">
        <f>'[1]2026 Orders'!H260</f>
        <v>144</v>
      </c>
      <c r="K259" t="str">
        <f>'[1]2026 Orders'!I260</f>
        <v>F44-26.0</v>
      </c>
      <c r="L259">
        <f>'[1]2026 Orders'!J260</f>
        <v>0</v>
      </c>
      <c r="N259" s="10" t="str">
        <f>'[1]2026 Orders'!L260</f>
        <v>PO submitted</v>
      </c>
      <c r="O259">
        <f>'[1]2026 Orders'!M260</f>
        <v>0</v>
      </c>
      <c r="P259" t="str">
        <f>'[1]2026 Orders'!N260</f>
        <v>Y</v>
      </c>
      <c r="Q259">
        <f>'[1]2026 Orders'!O260</f>
        <v>810131199616</v>
      </c>
      <c r="R259">
        <f>'[1]2026 Orders'!P260</f>
        <v>5000</v>
      </c>
      <c r="S259">
        <f>'[1]2026 Orders'!Q260</f>
        <v>4980</v>
      </c>
      <c r="T259" t="str">
        <f>'[1]2026 Orders'!R260</f>
        <v>TBD</v>
      </c>
      <c r="U259" t="str">
        <f>'[1]2026 Orders'!S260</f>
        <v>Waiting for IFC to start production.</v>
      </c>
      <c r="V259">
        <f>'[1]2026 Orders'!T260</f>
        <v>0</v>
      </c>
      <c r="W259">
        <f>'[1]2026 Orders'!U260</f>
        <v>0</v>
      </c>
      <c r="X259">
        <f>'[1]2026 Orders'!V260</f>
        <v>0</v>
      </c>
      <c r="Y259">
        <f>'[1]2026 Orders'!W260</f>
        <v>0</v>
      </c>
      <c r="Z259">
        <f>'[1]2026 Orders'!X260</f>
        <v>0</v>
      </c>
      <c r="AC259" t="str">
        <f t="shared" ref="AC259:AC322" si="8">IF(OR(B259="",B259=0),"",J259&amp;"/"&amp;$AJ$2)</f>
        <v>144/</v>
      </c>
      <c r="AD259" t="e">
        <f t="shared" ref="AD259:AD322" si="9">IF(OR(J259="",J259=0),"",I259&amp;" -&gt; "&amp;$AK$2)</f>
        <v>#VALUE!</v>
      </c>
    </row>
    <row r="260" spans="1:30" ht="33" hidden="1" customHeight="1" x14ac:dyDescent="0.3">
      <c r="A260">
        <f>'[1]2026 Orders'!A261</f>
        <v>46087</v>
      </c>
      <c r="B260" s="14" t="str">
        <f>'[1]2026 Orders'!B261</f>
        <v>KSA</v>
      </c>
      <c r="C260" s="14" t="str">
        <f>'[1]2026 Orders'!C261</f>
        <v>A4679</v>
      </c>
      <c r="D260" s="14">
        <f>'[1]2026 Orders'!D261</f>
        <v>0</v>
      </c>
      <c r="E260" s="17" t="str" cm="1">
        <f t="array" ref="E260">IF(C260=0,"",
HYPERLINK(
"#'2026 Orders'!C"&amp;
MATCH(1,
('2026 Orders'!C:C=C260)*
('2026 Orders'!G:G=G260)*
('2026 Orders'!N:N=N260),
0),
"Open "&amp;C260
))</f>
        <v>Open A4679</v>
      </c>
      <c r="F260" s="14">
        <f>'[1]2026 Orders'!F261</f>
        <v>0</v>
      </c>
      <c r="G260" s="14" t="str">
        <f>'[1]2026 Orders'!G261</f>
        <v>PEDIAZI-50-FD</v>
      </c>
      <c r="H260" s="14" t="str" cm="1">
        <f t="array" ref="H260">IFERROR(_xlfn.TEXTJOIN("-",,INDEX(_xlfn.TEXTSPLIT(TableTake[[#This Row],[SKU]],"-"),{1,2})),"")</f>
        <v>PEDIAZI-50</v>
      </c>
      <c r="I260" s="15" t="str">
        <f>IFERROR(_xlfn.TEXTAFTER(TableTake[[#This Row],[SKU]],"-",-1),"")</f>
        <v>FD</v>
      </c>
      <c r="J260" s="14">
        <f>'[1]2026 Orders'!H261</f>
        <v>216</v>
      </c>
      <c r="K260" t="str">
        <f>'[1]2026 Orders'!I261</f>
        <v>F50-26.0</v>
      </c>
      <c r="L260">
        <f>'[1]2026 Orders'!J261</f>
        <v>0</v>
      </c>
      <c r="N260" s="10" t="str">
        <f>'[1]2026 Orders'!L261</f>
        <v>PO submitted</v>
      </c>
      <c r="O260">
        <f>'[1]2026 Orders'!M261</f>
        <v>0</v>
      </c>
      <c r="P260" t="str">
        <f>'[1]2026 Orders'!N261</f>
        <v>Y</v>
      </c>
      <c r="Q260">
        <f>'[1]2026 Orders'!O261</f>
        <v>810131199678</v>
      </c>
      <c r="R260">
        <f>'[1]2026 Orders'!P261</f>
        <v>5000</v>
      </c>
      <c r="S260">
        <f>'[1]2026 Orders'!Q261</f>
        <v>4978</v>
      </c>
      <c r="T260" t="str">
        <f>'[1]2026 Orders'!R261</f>
        <v>TBD</v>
      </c>
      <c r="U260" t="str">
        <f>'[1]2026 Orders'!S261</f>
        <v>Waiting for IFC to start production.</v>
      </c>
      <c r="V260">
        <f>'[1]2026 Orders'!T261</f>
        <v>0</v>
      </c>
      <c r="W260">
        <f>'[1]2026 Orders'!U261</f>
        <v>0</v>
      </c>
      <c r="X260">
        <f>'[1]2026 Orders'!V261</f>
        <v>0</v>
      </c>
      <c r="Y260">
        <f>'[1]2026 Orders'!W261</f>
        <v>0</v>
      </c>
      <c r="Z260">
        <f>'[1]2026 Orders'!X261</f>
        <v>0</v>
      </c>
      <c r="AC260" t="str">
        <f t="shared" si="8"/>
        <v>216/</v>
      </c>
      <c r="AD260" t="e">
        <f t="shared" si="9"/>
        <v>#VALUE!</v>
      </c>
    </row>
    <row r="261" spans="1:30" ht="33" hidden="1" customHeight="1" x14ac:dyDescent="0.3">
      <c r="A261">
        <f>'[1]2026 Orders'!A262</f>
        <v>46087</v>
      </c>
      <c r="B261" s="14" t="str">
        <f>'[1]2026 Orders'!B262</f>
        <v>KSA</v>
      </c>
      <c r="C261" s="14" t="str">
        <f>'[1]2026 Orders'!C262</f>
        <v>A4679</v>
      </c>
      <c r="D261" s="14">
        <f>'[1]2026 Orders'!D262</f>
        <v>0</v>
      </c>
      <c r="E261" s="17" t="str" cm="1">
        <f t="array" ref="E261">IF(C261=0,"",
HYPERLINK(
"#'2026 Orders'!C"&amp;
MATCH(1,
('2026 Orders'!C:C=C261)*
('2026 Orders'!G:G=G261)*
('2026 Orders'!N:N=N261),
0),
"Open "&amp;C261
))</f>
        <v>Open A4679</v>
      </c>
      <c r="F261" s="14" t="str">
        <f>'[1]2026 Orders'!F262</f>
        <v>take from Iraq A4631?</v>
      </c>
      <c r="G261" s="14" t="str">
        <f>'[1]2026 Orders'!G262</f>
        <v>MEMOUP-60-FD</v>
      </c>
      <c r="H261" s="14" t="str" cm="1">
        <f t="array" ref="H261">IFERROR(_xlfn.TEXTJOIN("-",,INDEX(_xlfn.TEXTSPLIT(TableTake[[#This Row],[SKU]],"-"),{1,2})),"")</f>
        <v>MEMOUP-60</v>
      </c>
      <c r="I261" s="15" t="str">
        <f>IFERROR(_xlfn.TEXTAFTER(TableTake[[#This Row],[SKU]],"-",-1),"")</f>
        <v>FD</v>
      </c>
      <c r="J261" s="14">
        <f>'[1]2026 Orders'!H262</f>
        <v>105</v>
      </c>
      <c r="K261" t="str">
        <f>'[1]2026 Orders'!I262</f>
        <v>F27-26.0</v>
      </c>
      <c r="L261">
        <f>'[1]2026 Orders'!J262</f>
        <v>0</v>
      </c>
      <c r="N261" s="10" t="str">
        <f>'[1]2026 Orders'!L262</f>
        <v>Not Meet MOQ</v>
      </c>
      <c r="O261">
        <f>'[1]2026 Orders'!M262</f>
        <v>0</v>
      </c>
      <c r="P261" t="str">
        <f>'[1]2026 Orders'!N262</f>
        <v>Y</v>
      </c>
      <c r="Q261">
        <f>'[1]2026 Orders'!O262</f>
        <v>810131199449</v>
      </c>
      <c r="R261">
        <f>'[1]2026 Orders'!P262</f>
        <v>0</v>
      </c>
      <c r="S261">
        <f>'[1]2026 Orders'!Q262</f>
        <v>0</v>
      </c>
      <c r="T261">
        <f>'[1]2026 Orders'!R262</f>
        <v>0</v>
      </c>
      <c r="U261" t="str">
        <f>'[1]2026 Orders'!S262</f>
        <v>Take from Iraq?</v>
      </c>
      <c r="V261">
        <f>'[1]2026 Orders'!T262</f>
        <v>0</v>
      </c>
      <c r="W261">
        <f>'[1]2026 Orders'!U262</f>
        <v>0</v>
      </c>
      <c r="X261">
        <f>'[1]2026 Orders'!V262</f>
        <v>0</v>
      </c>
      <c r="Y261">
        <f>'[1]2026 Orders'!W262</f>
        <v>0</v>
      </c>
      <c r="Z261">
        <f>'[1]2026 Orders'!X262</f>
        <v>0</v>
      </c>
      <c r="AC261" t="str">
        <f t="shared" si="8"/>
        <v>105/</v>
      </c>
      <c r="AD261" t="e">
        <f t="shared" si="9"/>
        <v>#VALUE!</v>
      </c>
    </row>
    <row r="262" spans="1:30" ht="33" hidden="1" customHeight="1" x14ac:dyDescent="0.3">
      <c r="A262">
        <f>'[1]2026 Orders'!A263</f>
        <v>46087</v>
      </c>
      <c r="B262" s="14" t="str">
        <f>'[1]2026 Orders'!B263</f>
        <v>KSA</v>
      </c>
      <c r="C262" s="14" t="str">
        <f>'[1]2026 Orders'!C263</f>
        <v>A4679</v>
      </c>
      <c r="D262" s="14">
        <f>'[1]2026 Orders'!D263</f>
        <v>0</v>
      </c>
      <c r="E262" s="17" t="str" cm="1">
        <f t="array" ref="E262">IF(C262=0,"",
HYPERLINK(
"#'2026 Orders'!C"&amp;
MATCH(1,
('2026 Orders'!C:C=C262)*
('2026 Orders'!G:G=G262)*
('2026 Orders'!N:N=N262),
0),
"Open "&amp;C262
))</f>
        <v>Open A4679</v>
      </c>
      <c r="F262" s="14">
        <f>'[1]2026 Orders'!F263</f>
        <v>0</v>
      </c>
      <c r="G262" s="14" t="str">
        <f>'[1]2026 Orders'!G263</f>
        <v>ROYALJE-60-FD</v>
      </c>
      <c r="H262" s="14" t="str" cm="1">
        <f t="array" ref="H262">IFERROR(_xlfn.TEXTJOIN("-",,INDEX(_xlfn.TEXTSPLIT(TableTake[[#This Row],[SKU]],"-"),{1,2})),"")</f>
        <v>ROYALJE-60</v>
      </c>
      <c r="I262" s="15" t="str">
        <f>IFERROR(_xlfn.TEXTAFTER(TableTake[[#This Row],[SKU]],"-",-1),"")</f>
        <v>FD</v>
      </c>
      <c r="J262" s="14">
        <f>'[1]2026 Orders'!H263</f>
        <v>432</v>
      </c>
      <c r="K262" t="str">
        <f>'[1]2026 Orders'!I263</f>
        <v>F61-22.1</v>
      </c>
      <c r="L262">
        <f>'[1]2026 Orders'!J263</f>
        <v>0</v>
      </c>
      <c r="N262" s="10" t="str">
        <f>'[1]2026 Orders'!L263</f>
        <v>Not Meet MOQ</v>
      </c>
      <c r="O262">
        <f>'[1]2026 Orders'!M263</f>
        <v>0</v>
      </c>
      <c r="P262" t="str">
        <f>'[1]2026 Orders'!N263</f>
        <v>NA</v>
      </c>
      <c r="Q262">
        <f>'[1]2026 Orders'!O263</f>
        <v>609788968276</v>
      </c>
      <c r="R262">
        <f>'[1]2026 Orders'!P263</f>
        <v>0</v>
      </c>
      <c r="S262">
        <f>'[1]2026 Orders'!Q263</f>
        <v>0</v>
      </c>
      <c r="T262">
        <f>'[1]2026 Orders'!R263</f>
        <v>0</v>
      </c>
      <c r="U262" t="str">
        <f>'[1]2026 Orders'!S263</f>
        <v>MOQ 5000</v>
      </c>
      <c r="V262">
        <f>'[1]2026 Orders'!T263</f>
        <v>0</v>
      </c>
      <c r="W262">
        <f>'[1]2026 Orders'!U263</f>
        <v>0</v>
      </c>
      <c r="X262">
        <f>'[1]2026 Orders'!V263</f>
        <v>0</v>
      </c>
      <c r="Y262">
        <f>'[1]2026 Orders'!W263</f>
        <v>0</v>
      </c>
      <c r="Z262">
        <f>'[1]2026 Orders'!X263</f>
        <v>0</v>
      </c>
      <c r="AC262" t="str">
        <f t="shared" si="8"/>
        <v>432/</v>
      </c>
      <c r="AD262" t="e">
        <f t="shared" si="9"/>
        <v>#VALUE!</v>
      </c>
    </row>
    <row r="263" spans="1:30" ht="33" hidden="1" customHeight="1" x14ac:dyDescent="0.3">
      <c r="A263">
        <f>'[1]2026 Orders'!A264</f>
        <v>46087</v>
      </c>
      <c r="B263" s="14" t="str">
        <f>'[1]2026 Orders'!B264</f>
        <v>KSA</v>
      </c>
      <c r="C263" s="14" t="str">
        <f>'[1]2026 Orders'!C264</f>
        <v>A4679</v>
      </c>
      <c r="D263" s="14">
        <f>'[1]2026 Orders'!D264</f>
        <v>0</v>
      </c>
      <c r="E263" s="17" t="str" cm="1">
        <f t="array" ref="E263">IF(C263=0,"",
HYPERLINK(
"#'2026 Orders'!C"&amp;
MATCH(1,
('2026 Orders'!C:C=C263)*
('2026 Orders'!G:G=G263)*
('2026 Orders'!N:N=N263),
0),
"Open "&amp;C263
))</f>
        <v>Open A4679</v>
      </c>
      <c r="F263" s="14">
        <f>'[1]2026 Orders'!F264</f>
        <v>0</v>
      </c>
      <c r="G263" s="14" t="str">
        <f>'[1]2026 Orders'!G264</f>
        <v>PEDIAFL-50-FD</v>
      </c>
      <c r="H263" s="14" t="str" cm="1">
        <f t="array" ref="H263">IFERROR(_xlfn.TEXTJOIN("-",,INDEX(_xlfn.TEXTSPLIT(TableTake[[#This Row],[SKU]],"-"),{1,2})),"")</f>
        <v>PEDIAFL-50</v>
      </c>
      <c r="I263" s="15" t="str">
        <f>IFERROR(_xlfn.TEXTAFTER(TableTake[[#This Row],[SKU]],"-",-1),"")</f>
        <v>FD</v>
      </c>
      <c r="J263" s="14">
        <f>'[1]2026 Orders'!H264</f>
        <v>72</v>
      </c>
      <c r="K263" t="str">
        <f>'[1]2026 Orders'!I264</f>
        <v>F47-24.1</v>
      </c>
      <c r="L263">
        <f>'[1]2026 Orders'!J264</f>
        <v>0</v>
      </c>
      <c r="N263" s="10" t="str">
        <f>'[1]2026 Orders'!L264</f>
        <v>Not Meet MOQ</v>
      </c>
      <c r="O263">
        <f>'[1]2026 Orders'!M264</f>
        <v>0</v>
      </c>
      <c r="P263" t="str">
        <f>'[1]2026 Orders'!N264</f>
        <v>Y</v>
      </c>
      <c r="Q263">
        <f>'[1]2026 Orders'!O264</f>
        <v>810131199647</v>
      </c>
      <c r="R263">
        <f>'[1]2026 Orders'!P264</f>
        <v>0</v>
      </c>
      <c r="S263">
        <f>'[1]2026 Orders'!Q264</f>
        <v>0</v>
      </c>
      <c r="T263">
        <f>'[1]2026 Orders'!R264</f>
        <v>0</v>
      </c>
      <c r="U263" t="str">
        <f>'[1]2026 Orders'!S264</f>
        <v>MOQ 5000</v>
      </c>
      <c r="V263">
        <f>'[1]2026 Orders'!T264</f>
        <v>0</v>
      </c>
      <c r="W263">
        <f>'[1]2026 Orders'!U264</f>
        <v>0</v>
      </c>
      <c r="X263">
        <f>'[1]2026 Orders'!V264</f>
        <v>0</v>
      </c>
      <c r="Y263">
        <f>'[1]2026 Orders'!W264</f>
        <v>0</v>
      </c>
      <c r="Z263">
        <f>'[1]2026 Orders'!X264</f>
        <v>0</v>
      </c>
      <c r="AC263" t="str">
        <f t="shared" si="8"/>
        <v>72/</v>
      </c>
      <c r="AD263" t="e">
        <f t="shared" si="9"/>
        <v>#VALUE!</v>
      </c>
    </row>
    <row r="264" spans="1:30" ht="33" hidden="1" customHeight="1" x14ac:dyDescent="0.3">
      <c r="A264">
        <f>'[1]2026 Orders'!A265</f>
        <v>46087</v>
      </c>
      <c r="B264" s="14" t="str">
        <f>'[1]2026 Orders'!B265</f>
        <v>KSA</v>
      </c>
      <c r="C264" s="14" t="str">
        <f>'[1]2026 Orders'!C265</f>
        <v>A4679</v>
      </c>
      <c r="D264" s="14">
        <f>'[1]2026 Orders'!D265</f>
        <v>0</v>
      </c>
      <c r="E264" s="17" t="str" cm="1">
        <f t="array" ref="E264">IF(C264=0,"",
HYPERLINK(
"#'2026 Orders'!C"&amp;
MATCH(1,
('2026 Orders'!C:C=C264)*
('2026 Orders'!G:G=G264)*
('2026 Orders'!N:N=N264),
0),
"Open "&amp;C264
))</f>
        <v>Open A4679</v>
      </c>
      <c r="F264" s="14">
        <f>'[1]2026 Orders'!F265</f>
        <v>0</v>
      </c>
      <c r="G264" s="14" t="str">
        <f>'[1]2026 Orders'!G265</f>
        <v>PEDIABS-50-FD</v>
      </c>
      <c r="H264" s="14" t="str" cm="1">
        <f t="array" ref="H264">IFERROR(_xlfn.TEXTJOIN("-",,INDEX(_xlfn.TEXTSPLIT(TableTake[[#This Row],[SKU]],"-"),{1,2})),"")</f>
        <v>PEDIABS-50</v>
      </c>
      <c r="I264" s="15" t="str">
        <f>IFERROR(_xlfn.TEXTAFTER(TableTake[[#This Row],[SKU]],"-",-1),"")</f>
        <v>FD</v>
      </c>
      <c r="J264" s="14">
        <f>'[1]2026 Orders'!H265</f>
        <v>120</v>
      </c>
      <c r="K264" t="str">
        <f>'[1]2026 Orders'!I265</f>
        <v>F43-25.0</v>
      </c>
      <c r="L264">
        <f>'[1]2026 Orders'!J265</f>
        <v>120</v>
      </c>
      <c r="N264" s="10" t="str">
        <f>'[1]2026 Orders'!L265</f>
        <v>Not Meet MOQ</v>
      </c>
      <c r="O264">
        <f>'[1]2026 Orders'!M265</f>
        <v>0</v>
      </c>
      <c r="P264" t="str">
        <f>'[1]2026 Orders'!N265</f>
        <v>Y</v>
      </c>
      <c r="Q264">
        <f>'[1]2026 Orders'!O265</f>
        <v>810131199609</v>
      </c>
      <c r="R264">
        <f>'[1]2026 Orders'!P265</f>
        <v>0</v>
      </c>
      <c r="S264">
        <f>'[1]2026 Orders'!Q265</f>
        <v>0</v>
      </c>
      <c r="T264">
        <f>'[1]2026 Orders'!R265</f>
        <v>0</v>
      </c>
      <c r="U264" t="str">
        <f>'[1]2026 Orders'!S265</f>
        <v>MOQ 5000</v>
      </c>
      <c r="V264">
        <f>'[1]2026 Orders'!T265</f>
        <v>0</v>
      </c>
      <c r="W264">
        <f>'[1]2026 Orders'!U265</f>
        <v>0</v>
      </c>
      <c r="X264">
        <f>'[1]2026 Orders'!V265</f>
        <v>0</v>
      </c>
      <c r="Y264">
        <f>'[1]2026 Orders'!W265</f>
        <v>0</v>
      </c>
      <c r="Z264">
        <f>'[1]2026 Orders'!X265</f>
        <v>0</v>
      </c>
      <c r="AC264" t="str">
        <f t="shared" si="8"/>
        <v>120/</v>
      </c>
      <c r="AD264" t="e">
        <f t="shared" si="9"/>
        <v>#VALUE!</v>
      </c>
    </row>
    <row r="265" spans="1:30" ht="33" hidden="1" customHeight="1" x14ac:dyDescent="0.3">
      <c r="A265">
        <f>'[1]2026 Orders'!A266</f>
        <v>0</v>
      </c>
      <c r="B265" s="14">
        <f>'[1]2026 Orders'!B266</f>
        <v>0</v>
      </c>
      <c r="C265" s="14">
        <f>'[1]2026 Orders'!C266</f>
        <v>0</v>
      </c>
      <c r="D265" s="14">
        <f>'[1]2026 Orders'!D266</f>
        <v>0</v>
      </c>
      <c r="E265" s="17" t="str" cm="1">
        <f t="array" ref="E265">IF(C265=0,"",
HYPERLINK(
"#'2026 Orders'!C"&amp;
MATCH(1,
('2026 Orders'!C:C=C265)*
('2026 Orders'!G:G=G265)*
('2026 Orders'!N:N=N265),
0),
"Open "&amp;C265
))</f>
        <v/>
      </c>
      <c r="F265" s="14">
        <f>'[1]2026 Orders'!F266</f>
        <v>0</v>
      </c>
      <c r="G265" s="14">
        <f>'[1]2026 Orders'!G266</f>
        <v>0</v>
      </c>
      <c r="H265" s="14" t="str" cm="1">
        <f t="array" ref="H265">IFERROR(_xlfn.TEXTJOIN("-",,INDEX(_xlfn.TEXTSPLIT(TableTake[[#This Row],[SKU]],"-"),{1,2})),"")</f>
        <v/>
      </c>
      <c r="I265" s="15" t="str">
        <f>IFERROR(_xlfn.TEXTAFTER(TableTake[[#This Row],[SKU]],"-",-1),"")</f>
        <v/>
      </c>
      <c r="J265" s="14">
        <f>'[1]2026 Orders'!H266</f>
        <v>0</v>
      </c>
      <c r="K265">
        <f>'[1]2026 Orders'!I266</f>
        <v>0</v>
      </c>
      <c r="L265">
        <f>'[1]2026 Orders'!J266</f>
        <v>0</v>
      </c>
      <c r="N265" s="10">
        <f>'[1]2026 Orders'!L266</f>
        <v>0</v>
      </c>
      <c r="O265">
        <f>'[1]2026 Orders'!M266</f>
        <v>0</v>
      </c>
      <c r="P265">
        <f>'[1]2026 Orders'!N266</f>
        <v>0</v>
      </c>
      <c r="Q265">
        <f>'[1]2026 Orders'!O266</f>
        <v>0</v>
      </c>
      <c r="R265">
        <f>'[1]2026 Orders'!P266</f>
        <v>0</v>
      </c>
      <c r="S265">
        <f>'[1]2026 Orders'!Q266</f>
        <v>0</v>
      </c>
      <c r="T265">
        <f>'[1]2026 Orders'!R266</f>
        <v>0</v>
      </c>
      <c r="U265">
        <f>'[1]2026 Orders'!S266</f>
        <v>0</v>
      </c>
      <c r="V265">
        <f>'[1]2026 Orders'!T266</f>
        <v>0</v>
      </c>
      <c r="W265">
        <f>'[1]2026 Orders'!U266</f>
        <v>0</v>
      </c>
      <c r="X265">
        <f>'[1]2026 Orders'!V266</f>
        <v>0</v>
      </c>
      <c r="Y265">
        <f>'[1]2026 Orders'!W266</f>
        <v>0</v>
      </c>
      <c r="Z265">
        <f>'[1]2026 Orders'!X266</f>
        <v>0</v>
      </c>
      <c r="AC265" t="str">
        <f t="shared" si="8"/>
        <v/>
      </c>
      <c r="AD265" t="str">
        <f t="shared" si="9"/>
        <v/>
      </c>
    </row>
    <row r="266" spans="1:30" ht="33" hidden="1" customHeight="1" x14ac:dyDescent="0.3">
      <c r="A266">
        <f>'[1]2026 Orders'!A267</f>
        <v>46093</v>
      </c>
      <c r="B266" s="14" t="str">
        <f>'[1]2026 Orders'!B267</f>
        <v>China</v>
      </c>
      <c r="C266" s="14" t="str">
        <f>'[1]2026 Orders'!C267</f>
        <v>A4658</v>
      </c>
      <c r="D266" s="14" t="str">
        <f>'[1]2026 Orders'!D267</f>
        <v>4/1/2026: DHEA 25 and Rapid C Moved to China A4680</v>
      </c>
      <c r="E266" s="17" t="str" cm="1">
        <f t="array" ref="E266">IF(C266=0,"",
HYPERLINK(
"#'2026 Orders'!C"&amp;
MATCH(1,
('2026 Orders'!C:C=C266)*
('2026 Orders'!G:G=G266)*
('2026 Orders'!N:N=N266),
0),
"Open "&amp;C266
))</f>
        <v>Open A4658</v>
      </c>
      <c r="F266" s="14">
        <f>'[1]2026 Orders'!F267</f>
        <v>0</v>
      </c>
      <c r="G266" s="14" t="str">
        <f>'[1]2026 Orders'!G267</f>
        <v>PENAMAX-60-GE-FD</v>
      </c>
      <c r="H266" s="14" t="str" cm="1">
        <f t="array" ref="H266">IFERROR(_xlfn.TEXTJOIN("-",,INDEX(_xlfn.TEXTSPLIT(TableTake[[#This Row],[SKU]],"-"),{1,2})),"")</f>
        <v>PENAMAX-60</v>
      </c>
      <c r="I266" s="15" t="str">
        <f>IFERROR(_xlfn.TEXTAFTER(TableTake[[#This Row],[SKU]],"-",-1),"")</f>
        <v>FD</v>
      </c>
      <c r="J266" s="14">
        <f>'[1]2026 Orders'!H267</f>
        <v>100</v>
      </c>
      <c r="K266" t="str">
        <f>'[1]2026 Orders'!I267</f>
        <v>F88-25.1</v>
      </c>
      <c r="L266">
        <f>'[1]2026 Orders'!J267</f>
        <v>100</v>
      </c>
      <c r="N266" s="10" t="str">
        <f>'[1]2026 Orders'!L267</f>
        <v>Picked</v>
      </c>
      <c r="O266">
        <f>'[1]2026 Orders'!M267</f>
        <v>0</v>
      </c>
      <c r="P266" t="str">
        <f>'[1]2026 Orders'!N267</f>
        <v>Y</v>
      </c>
      <c r="Q266">
        <f>'[1]2026 Orders'!O267</f>
        <v>609788968702</v>
      </c>
      <c r="R266">
        <f>'[1]2026 Orders'!P267</f>
        <v>0</v>
      </c>
      <c r="S266">
        <f>'[1]2026 Orders'!Q267</f>
        <v>0</v>
      </c>
      <c r="T266">
        <f>'[1]2026 Orders'!R267</f>
        <v>0</v>
      </c>
      <c r="U266">
        <f>'[1]2026 Orders'!S267</f>
        <v>0</v>
      </c>
      <c r="V266">
        <f>'[1]2026 Orders'!T267</f>
        <v>0</v>
      </c>
      <c r="W266">
        <f>'[1]2026 Orders'!U267</f>
        <v>0</v>
      </c>
      <c r="X266">
        <f>'[1]2026 Orders'!V267</f>
        <v>0</v>
      </c>
      <c r="Y266">
        <f>'[1]2026 Orders'!W267</f>
        <v>0</v>
      </c>
      <c r="Z266" t="str">
        <f>'[1]2026 Orders'!X267</f>
        <v>HOLD</v>
      </c>
      <c r="AC266" t="str">
        <f t="shared" si="8"/>
        <v>100/</v>
      </c>
      <c r="AD266" t="e">
        <f t="shared" si="9"/>
        <v>#VALUE!</v>
      </c>
    </row>
    <row r="267" spans="1:30" ht="33" hidden="1" customHeight="1" x14ac:dyDescent="0.3">
      <c r="A267">
        <f>'[1]2026 Orders'!A268</f>
        <v>46093</v>
      </c>
      <c r="B267" s="14" t="str">
        <f>'[1]2026 Orders'!B268</f>
        <v>China</v>
      </c>
      <c r="C267" s="14" t="str">
        <f>'[1]2026 Orders'!C268</f>
        <v>A4658</v>
      </c>
      <c r="D267" s="14">
        <f>'[1]2026 Orders'!D268</f>
        <v>0</v>
      </c>
      <c r="E267" s="17" t="str" cm="1">
        <f t="array" ref="E267">IF(C267=0,"",
HYPERLINK(
"#'2026 Orders'!C"&amp;
MATCH(1,
('2026 Orders'!C:C=C267)*
('2026 Orders'!G:G=G267)*
('2026 Orders'!N:N=N267),
0),
"Open "&amp;C267
))</f>
        <v>Open A4658</v>
      </c>
      <c r="F267" s="14">
        <f>'[1]2026 Orders'!F268</f>
        <v>0</v>
      </c>
      <c r="G267" s="14" t="str">
        <f>'[1]2026 Orders'!G268</f>
        <v>LARGIN-100-FD</v>
      </c>
      <c r="H267" s="14" t="str" cm="1">
        <f t="array" ref="H267">IFERROR(_xlfn.TEXTJOIN("-",,INDEX(_xlfn.TEXTSPLIT(TableTake[[#This Row],[SKU]],"-"),{1,2})),"")</f>
        <v>LARGIN-100</v>
      </c>
      <c r="I267" s="15" t="str">
        <f>IFERROR(_xlfn.TEXTAFTER(TableTake[[#This Row],[SKU]],"-",-1),"")</f>
        <v>FD</v>
      </c>
      <c r="J267" s="14">
        <f>'[1]2026 Orders'!H268</f>
        <v>100</v>
      </c>
      <c r="K267" t="str">
        <f>'[1]2026 Orders'!I268</f>
        <v>F25-23.0</v>
      </c>
      <c r="L267">
        <f>'[1]2026 Orders'!J268</f>
        <v>0</v>
      </c>
      <c r="N267" s="10" t="str">
        <f>'[1]2026 Orders'!L268</f>
        <v>In Production</v>
      </c>
      <c r="O267">
        <f>'[1]2026 Orders'!M268</f>
        <v>0</v>
      </c>
      <c r="P267" t="str">
        <f>'[1]2026 Orders'!N268</f>
        <v>NA</v>
      </c>
      <c r="Q267" t="str">
        <f>'[1]2026 Orders'!O268</f>
        <v>609788968559</v>
      </c>
      <c r="R267">
        <f>'[1]2026 Orders'!P268</f>
        <v>2000</v>
      </c>
      <c r="S267">
        <f>'[1]2026 Orders'!Q268</f>
        <v>4998</v>
      </c>
      <c r="T267">
        <f>'[1]2026 Orders'!R268</f>
        <v>46198</v>
      </c>
      <c r="U267">
        <f>'[1]2026 Orders'!S268</f>
        <v>0</v>
      </c>
      <c r="V267">
        <f>'[1]2026 Orders'!T268</f>
        <v>0</v>
      </c>
      <c r="W267">
        <f>'[1]2026 Orders'!U268</f>
        <v>0</v>
      </c>
      <c r="X267">
        <f>'[1]2026 Orders'!V268</f>
        <v>0</v>
      </c>
      <c r="Y267">
        <f>'[1]2026 Orders'!W268</f>
        <v>0</v>
      </c>
      <c r="Z267">
        <f>'[1]2026 Orders'!X268</f>
        <v>0</v>
      </c>
      <c r="AC267" t="str">
        <f t="shared" si="8"/>
        <v>100/</v>
      </c>
      <c r="AD267" t="e">
        <f t="shared" si="9"/>
        <v>#VALUE!</v>
      </c>
    </row>
    <row r="268" spans="1:30" ht="33" hidden="1" customHeight="1" x14ac:dyDescent="0.3">
      <c r="A268">
        <f>'[1]2026 Orders'!A269</f>
        <v>46093</v>
      </c>
      <c r="B268" s="14" t="str">
        <f>'[1]2026 Orders'!B269</f>
        <v>China</v>
      </c>
      <c r="C268" s="14" t="str">
        <f>'[1]2026 Orders'!C269</f>
        <v>A4658</v>
      </c>
      <c r="D268" s="14">
        <f>'[1]2026 Orders'!D269</f>
        <v>0</v>
      </c>
      <c r="E268" s="17" t="str" cm="1">
        <f t="array" ref="E268">IF(C268=0,"",
HYPERLINK(
"#'2026 Orders'!C"&amp;
MATCH(1,
('2026 Orders'!C:C=C268)*
('2026 Orders'!G:G=G268)*
('2026 Orders'!N:N=N268),
0),
"Open "&amp;C268
))</f>
        <v>Open A4658</v>
      </c>
      <c r="F268" s="14">
        <f>'[1]2026 Orders'!F269</f>
        <v>0</v>
      </c>
      <c r="G268" s="14" t="str">
        <f>'[1]2026 Orders'!G269</f>
        <v>QWELL2-60-SG-FD</v>
      </c>
      <c r="H268" s="14" t="str" cm="1">
        <f t="array" ref="H268">IFERROR(_xlfn.TEXTJOIN("-",,INDEX(_xlfn.TEXTSPLIT(TableTake[[#This Row],[SKU]],"-"),{1,2})),"")</f>
        <v>QWELL2-60</v>
      </c>
      <c r="I268" s="15" t="str">
        <f>IFERROR(_xlfn.TEXTAFTER(TableTake[[#This Row],[SKU]],"-",-1),"")</f>
        <v>FD</v>
      </c>
      <c r="J268" s="14">
        <f>'[1]2026 Orders'!H269</f>
        <v>100</v>
      </c>
      <c r="K268" t="str">
        <f>'[1]2026 Orders'!I269</f>
        <v>F57-25.3</v>
      </c>
      <c r="L268">
        <f>'[1]2026 Orders'!J269</f>
        <v>100</v>
      </c>
      <c r="N268" s="10" t="str">
        <f>'[1]2026 Orders'!L269</f>
        <v>Picked</v>
      </c>
      <c r="O268">
        <f>'[1]2026 Orders'!M269</f>
        <v>0</v>
      </c>
      <c r="P268" t="str">
        <f>'[1]2026 Orders'!N269</f>
        <v>NA</v>
      </c>
      <c r="Q268">
        <f>'[1]2026 Orders'!O269</f>
        <v>609788968528</v>
      </c>
      <c r="R268">
        <f>'[1]2026 Orders'!P269</f>
        <v>0</v>
      </c>
      <c r="S268">
        <f>'[1]2026 Orders'!Q269</f>
        <v>0</v>
      </c>
      <c r="T268">
        <f>'[1]2026 Orders'!R269</f>
        <v>0</v>
      </c>
      <c r="U268">
        <f>'[1]2026 Orders'!S269</f>
        <v>0</v>
      </c>
      <c r="V268">
        <f>'[1]2026 Orders'!T269</f>
        <v>0</v>
      </c>
      <c r="W268">
        <f>'[1]2026 Orders'!U269</f>
        <v>0</v>
      </c>
      <c r="X268">
        <f>'[1]2026 Orders'!V269</f>
        <v>0</v>
      </c>
      <c r="Y268">
        <f>'[1]2026 Orders'!W269</f>
        <v>0</v>
      </c>
      <c r="Z268">
        <f>'[1]2026 Orders'!X269</f>
        <v>0</v>
      </c>
      <c r="AC268" t="str">
        <f t="shared" si="8"/>
        <v>100/</v>
      </c>
      <c r="AD268" t="e">
        <f t="shared" si="9"/>
        <v>#VALUE!</v>
      </c>
    </row>
    <row r="269" spans="1:30" ht="33" hidden="1" customHeight="1" x14ac:dyDescent="0.3">
      <c r="A269">
        <f>'[1]2026 Orders'!A270</f>
        <v>0</v>
      </c>
      <c r="B269" s="14">
        <f>'[1]2026 Orders'!B270</f>
        <v>0</v>
      </c>
      <c r="C269" s="14">
        <f>'[1]2026 Orders'!C270</f>
        <v>0</v>
      </c>
      <c r="D269" s="14">
        <f>'[1]2026 Orders'!D270</f>
        <v>0</v>
      </c>
      <c r="E269" s="17" t="str" cm="1">
        <f t="array" ref="E269">IF(C269=0,"",
HYPERLINK(
"#'2026 Orders'!C"&amp;
MATCH(1,
('2026 Orders'!C:C=C269)*
('2026 Orders'!G:G=G269)*
('2026 Orders'!N:N=N269),
0),
"Open "&amp;C269
))</f>
        <v/>
      </c>
      <c r="F269" s="14">
        <f>'[1]2026 Orders'!F270</f>
        <v>0</v>
      </c>
      <c r="G269" s="14">
        <f>'[1]2026 Orders'!G270</f>
        <v>0</v>
      </c>
      <c r="H269" s="14" t="str" cm="1">
        <f t="array" ref="H269">IFERROR(_xlfn.TEXTJOIN("-",,INDEX(_xlfn.TEXTSPLIT(TableTake[[#This Row],[SKU]],"-"),{1,2})),"")</f>
        <v/>
      </c>
      <c r="I269" s="15" t="str">
        <f>IFERROR(_xlfn.TEXTAFTER(TableTake[[#This Row],[SKU]],"-",-1),"")</f>
        <v/>
      </c>
      <c r="J269" s="14">
        <f>'[1]2026 Orders'!H270</f>
        <v>0</v>
      </c>
      <c r="K269">
        <f>'[1]2026 Orders'!I270</f>
        <v>0</v>
      </c>
      <c r="L269">
        <f>'[1]2026 Orders'!J270</f>
        <v>0</v>
      </c>
      <c r="N269" s="10">
        <f>'[1]2026 Orders'!L270</f>
        <v>0</v>
      </c>
      <c r="O269">
        <f>'[1]2026 Orders'!M270</f>
        <v>0</v>
      </c>
      <c r="P269">
        <f>'[1]2026 Orders'!N270</f>
        <v>0</v>
      </c>
      <c r="Q269">
        <f>'[1]2026 Orders'!O270</f>
        <v>0</v>
      </c>
      <c r="R269">
        <f>'[1]2026 Orders'!P270</f>
        <v>0</v>
      </c>
      <c r="S269">
        <f>'[1]2026 Orders'!Q270</f>
        <v>0</v>
      </c>
      <c r="T269">
        <f>'[1]2026 Orders'!R270</f>
        <v>0</v>
      </c>
      <c r="U269">
        <f>'[1]2026 Orders'!S270</f>
        <v>0</v>
      </c>
      <c r="V269">
        <f>'[1]2026 Orders'!T270</f>
        <v>0</v>
      </c>
      <c r="W269">
        <f>'[1]2026 Orders'!U270</f>
        <v>0</v>
      </c>
      <c r="X269">
        <f>'[1]2026 Orders'!V270</f>
        <v>0</v>
      </c>
      <c r="Y269">
        <f>'[1]2026 Orders'!W270</f>
        <v>0</v>
      </c>
      <c r="Z269">
        <f>'[1]2026 Orders'!X270</f>
        <v>0</v>
      </c>
      <c r="AC269" t="str">
        <f t="shared" si="8"/>
        <v/>
      </c>
      <c r="AD269" t="str">
        <f t="shared" si="9"/>
        <v/>
      </c>
    </row>
    <row r="270" spans="1:30" ht="33" hidden="1" customHeight="1" x14ac:dyDescent="0.3">
      <c r="A270">
        <f>'[1]2026 Orders'!A271</f>
        <v>46093</v>
      </c>
      <c r="B270" s="14" t="str">
        <f>'[1]2026 Orders'!B271</f>
        <v>China</v>
      </c>
      <c r="C270" s="14" t="str">
        <f>'[1]2026 Orders'!C271</f>
        <v>A4659</v>
      </c>
      <c r="D270" s="14">
        <f>'[1]2026 Orders'!D271</f>
        <v>0</v>
      </c>
      <c r="E270" s="17" t="str" cm="1">
        <f t="array" ref="E270">IF(C270=0,"",
HYPERLINK(
"#'2026 Orders'!C"&amp;
MATCH(1,
('2026 Orders'!C:C=C270)*
('2026 Orders'!G:G=G270)*
('2026 Orders'!N:N=N270),
0),
"Open "&amp;C270
))</f>
        <v>Open A4659</v>
      </c>
      <c r="F270" s="14">
        <f>'[1]2026 Orders'!F271</f>
        <v>0</v>
      </c>
      <c r="G270" s="14" t="str">
        <f>'[1]2026 Orders'!G271</f>
        <v>FERTMX-90-RE</v>
      </c>
      <c r="H270" s="14" t="str" cm="1">
        <f t="array" ref="H270">IFERROR(_xlfn.TEXTJOIN("-",,INDEX(_xlfn.TEXTSPLIT(TableTake[[#This Row],[SKU]],"-"),{1,2})),"")</f>
        <v>FERTMX-90</v>
      </c>
      <c r="I270" s="15" t="str">
        <f>IFERROR(_xlfn.TEXTAFTER(TableTake[[#This Row],[SKU]],"-",-1),"")</f>
        <v>RE</v>
      </c>
      <c r="J270" s="14">
        <f>'[1]2026 Orders'!H271</f>
        <v>76</v>
      </c>
      <c r="K270" t="str">
        <f>'[1]2026 Orders'!I271</f>
        <v>R16-22.0</v>
      </c>
      <c r="L270">
        <f>'[1]2026 Orders'!J271</f>
        <v>76</v>
      </c>
      <c r="N270" s="10" t="str">
        <f>'[1]2026 Orders'!L271</f>
        <v>Picked</v>
      </c>
      <c r="O270">
        <f>'[1]2026 Orders'!M271</f>
        <v>0</v>
      </c>
      <c r="P270" t="str">
        <f>'[1]2026 Orders'!N271</f>
        <v>Y</v>
      </c>
      <c r="Q270">
        <f>'[1]2026 Orders'!O271</f>
        <v>609788968726</v>
      </c>
      <c r="R270">
        <f>'[1]2026 Orders'!P271</f>
        <v>0</v>
      </c>
      <c r="S270">
        <f>'[1]2026 Orders'!Q271</f>
        <v>0</v>
      </c>
      <c r="T270">
        <f>'[1]2026 Orders'!R271</f>
        <v>0</v>
      </c>
      <c r="U270">
        <f>'[1]2026 Orders'!S271</f>
        <v>0</v>
      </c>
      <c r="V270">
        <f>'[1]2026 Orders'!T271</f>
        <v>0</v>
      </c>
      <c r="W270">
        <f>'[1]2026 Orders'!U271</f>
        <v>0</v>
      </c>
      <c r="X270">
        <f>'[1]2026 Orders'!V271</f>
        <v>0</v>
      </c>
      <c r="Y270">
        <f>'[1]2026 Orders'!W271</f>
        <v>0</v>
      </c>
      <c r="Z270" t="str">
        <f>'[1]2026 Orders'!X271</f>
        <v>HOLD</v>
      </c>
      <c r="AC270" t="str">
        <f t="shared" si="8"/>
        <v>76/</v>
      </c>
      <c r="AD270" t="e">
        <f t="shared" si="9"/>
        <v>#VALUE!</v>
      </c>
    </row>
    <row r="271" spans="1:30" ht="33" hidden="1" customHeight="1" x14ac:dyDescent="0.3">
      <c r="A271">
        <f>'[1]2026 Orders'!A272</f>
        <v>46093</v>
      </c>
      <c r="B271" s="14" t="str">
        <f>'[1]2026 Orders'!B272</f>
        <v>China</v>
      </c>
      <c r="C271" s="14" t="str">
        <f>'[1]2026 Orders'!C272</f>
        <v>A4659</v>
      </c>
      <c r="D271" s="14">
        <f>'[1]2026 Orders'!D272</f>
        <v>0</v>
      </c>
      <c r="E271" s="17" t="str" cm="1">
        <f t="array" ref="E271">IF(C271=0,"",
HYPERLINK(
"#'2026 Orders'!C"&amp;
MATCH(1,
('2026 Orders'!C:C=C271)*
('2026 Orders'!G:G=G271)*
('2026 Orders'!N:N=N271),
0),
"Open "&amp;C271
))</f>
        <v>Open A4659</v>
      </c>
      <c r="F271" s="14">
        <f>'[1]2026 Orders'!F272</f>
        <v>0</v>
      </c>
      <c r="G271" s="14" t="str">
        <f>'[1]2026 Orders'!G272</f>
        <v>FERTMX-90-RE</v>
      </c>
      <c r="H271" s="14" t="str" cm="1">
        <f t="array" ref="H271">IFERROR(_xlfn.TEXTJOIN("-",,INDEX(_xlfn.TEXTSPLIT(TableTake[[#This Row],[SKU]],"-"),{1,2})),"")</f>
        <v>FERTMX-90</v>
      </c>
      <c r="I271" s="15" t="str">
        <f>IFERROR(_xlfn.TEXTAFTER(TableTake[[#This Row],[SKU]],"-",-1),"")</f>
        <v>RE</v>
      </c>
      <c r="J271" s="14">
        <f>'[1]2026 Orders'!H272</f>
        <v>34</v>
      </c>
      <c r="K271" t="str">
        <f>'[1]2026 Orders'!I272</f>
        <v>R16-22.0</v>
      </c>
      <c r="L271">
        <f>'[1]2026 Orders'!J272</f>
        <v>34</v>
      </c>
      <c r="N271" s="10" t="str">
        <f>'[1]2026 Orders'!L272</f>
        <v>Picked</v>
      </c>
      <c r="O271">
        <f>'[1]2026 Orders'!M272</f>
        <v>0</v>
      </c>
      <c r="P271" t="str">
        <f>'[1]2026 Orders'!N272</f>
        <v>Y</v>
      </c>
      <c r="Q271">
        <f>'[1]2026 Orders'!O272</f>
        <v>0</v>
      </c>
      <c r="R271">
        <f>'[1]2026 Orders'!P272</f>
        <v>0</v>
      </c>
      <c r="S271">
        <f>'[1]2026 Orders'!Q272</f>
        <v>0</v>
      </c>
      <c r="T271">
        <f>'[1]2026 Orders'!R272</f>
        <v>0</v>
      </c>
      <c r="U271">
        <f>'[1]2026 Orders'!S272</f>
        <v>0</v>
      </c>
      <c r="V271">
        <f>'[1]2026 Orders'!T272</f>
        <v>0</v>
      </c>
      <c r="W271">
        <f>'[1]2026 Orders'!U272</f>
        <v>0</v>
      </c>
      <c r="X271">
        <f>'[1]2026 Orders'!V272</f>
        <v>0</v>
      </c>
      <c r="Y271">
        <f>'[1]2026 Orders'!W272</f>
        <v>0</v>
      </c>
      <c r="Z271">
        <f>'[1]2026 Orders'!X272</f>
        <v>0</v>
      </c>
      <c r="AC271" t="str">
        <f t="shared" si="8"/>
        <v>34/</v>
      </c>
      <c r="AD271" t="e">
        <f t="shared" si="9"/>
        <v>#VALUE!</v>
      </c>
    </row>
    <row r="272" spans="1:30" ht="33" hidden="1" customHeight="1" x14ac:dyDescent="0.3">
      <c r="A272">
        <f>'[1]2026 Orders'!A273</f>
        <v>46093</v>
      </c>
      <c r="B272" s="14" t="str">
        <f>'[1]2026 Orders'!B273</f>
        <v>China</v>
      </c>
      <c r="C272" s="14" t="str">
        <f>'[1]2026 Orders'!C273</f>
        <v>A4659</v>
      </c>
      <c r="D272" s="14">
        <f>'[1]2026 Orders'!D273</f>
        <v>0</v>
      </c>
      <c r="E272" s="17" t="str" cm="1">
        <f t="array" ref="E272">IF(C272=0,"",
HYPERLINK(
"#'2026 Orders'!C"&amp;
MATCH(1,
('2026 Orders'!C:C=C272)*
('2026 Orders'!G:G=G272)*
('2026 Orders'!N:N=N272),
0),
"Open "&amp;C272
))</f>
        <v>Open A4659</v>
      </c>
      <c r="F272" s="14">
        <f>'[1]2026 Orders'!F273</f>
        <v>0</v>
      </c>
      <c r="G272" s="14" t="str">
        <f>'[1]2026 Orders'!G273</f>
        <v>METRIO-60-FD</v>
      </c>
      <c r="H272" s="14" t="str" cm="1">
        <f t="array" ref="H272">IFERROR(_xlfn.TEXTJOIN("-",,INDEX(_xlfn.TEXTSPLIT(TableTake[[#This Row],[SKU]],"-"),{1,2})),"")</f>
        <v>METRIO-60</v>
      </c>
      <c r="I272" s="15" t="str">
        <f>IFERROR(_xlfn.TEXTAFTER(TableTake[[#This Row],[SKU]],"-",-1),"")</f>
        <v>FD</v>
      </c>
      <c r="J272" s="14">
        <f>'[1]2026 Orders'!H273</f>
        <v>110</v>
      </c>
      <c r="K272" t="str">
        <f>'[1]2026 Orders'!I273</f>
        <v>F28-25.0</v>
      </c>
      <c r="L272">
        <f>'[1]2026 Orders'!J273</f>
        <v>110</v>
      </c>
      <c r="N272" s="10" t="str">
        <f>'[1]2026 Orders'!L273</f>
        <v>Picked</v>
      </c>
      <c r="O272">
        <f>'[1]2026 Orders'!M273</f>
        <v>0</v>
      </c>
      <c r="P272" t="str">
        <f>'[1]2026 Orders'!N273</f>
        <v>NA</v>
      </c>
      <c r="Q272">
        <f>'[1]2026 Orders'!O273</f>
        <v>609788968481</v>
      </c>
      <c r="R272">
        <f>'[1]2026 Orders'!P273</f>
        <v>0</v>
      </c>
      <c r="S272">
        <f>'[1]2026 Orders'!Q273</f>
        <v>0</v>
      </c>
      <c r="T272">
        <f>'[1]2026 Orders'!R273</f>
        <v>0</v>
      </c>
      <c r="U272">
        <f>'[1]2026 Orders'!S273</f>
        <v>0</v>
      </c>
      <c r="V272">
        <f>'[1]2026 Orders'!T273</f>
        <v>0</v>
      </c>
      <c r="W272">
        <f>'[1]2026 Orders'!U273</f>
        <v>0</v>
      </c>
      <c r="X272">
        <f>'[1]2026 Orders'!V273</f>
        <v>0</v>
      </c>
      <c r="Y272">
        <f>'[1]2026 Orders'!W273</f>
        <v>0</v>
      </c>
      <c r="Z272">
        <f>'[1]2026 Orders'!X273</f>
        <v>0</v>
      </c>
      <c r="AC272" t="str">
        <f t="shared" si="8"/>
        <v>110/</v>
      </c>
      <c r="AD272" t="e">
        <f t="shared" si="9"/>
        <v>#VALUE!</v>
      </c>
    </row>
    <row r="273" spans="1:30" ht="33" hidden="1" customHeight="1" x14ac:dyDescent="0.3">
      <c r="A273">
        <f>'[1]2026 Orders'!A274</f>
        <v>46093</v>
      </c>
      <c r="B273" s="14" t="str">
        <f>'[1]2026 Orders'!B274</f>
        <v>China</v>
      </c>
      <c r="C273" s="14" t="str">
        <f>'[1]2026 Orders'!C274</f>
        <v>A4659</v>
      </c>
      <c r="D273" s="14">
        <f>'[1]2026 Orders'!D274</f>
        <v>0</v>
      </c>
      <c r="E273" s="17" t="str" cm="1">
        <f t="array" ref="E273">IF(C273=0,"",
HYPERLINK(
"#'2026 Orders'!C"&amp;
MATCH(1,
('2026 Orders'!C:C=C273)*
('2026 Orders'!G:G=G273)*
('2026 Orders'!N:N=N273),
0),
"Open "&amp;C273
))</f>
        <v>Open A4659</v>
      </c>
      <c r="F273" s="14">
        <f>'[1]2026 Orders'!F274</f>
        <v>0</v>
      </c>
      <c r="G273" s="14" t="str">
        <f>'[1]2026 Orders'!G274</f>
        <v>MFSPLS-120-CS-CN</v>
      </c>
      <c r="H273" s="14" t="str" cm="1">
        <f t="array" ref="H273">IFERROR(_xlfn.TEXTJOIN("-",,INDEX(_xlfn.TEXTSPLIT(TableTake[[#This Row],[SKU]],"-"),{1,2})),"")</f>
        <v>MFSPLS-120</v>
      </c>
      <c r="I273" s="15" t="str">
        <f>IFERROR(_xlfn.TEXTAFTER(TableTake[[#This Row],[SKU]],"-",-1),"")</f>
        <v>CN</v>
      </c>
      <c r="J273" s="14">
        <f>'[1]2026 Orders'!H274</f>
        <v>550</v>
      </c>
      <c r="K273" t="str">
        <f>'[1]2026 Orders'!I274</f>
        <v>CN30-24.0</v>
      </c>
      <c r="L273">
        <f>'[1]2026 Orders'!J274</f>
        <v>0</v>
      </c>
      <c r="N273" s="10" t="str">
        <f>'[1]2026 Orders'!L274</f>
        <v>PO submitted</v>
      </c>
      <c r="O273">
        <f>'[1]2026 Orders'!M274</f>
        <v>0</v>
      </c>
      <c r="P273" t="str">
        <f>'[1]2026 Orders'!N274</f>
        <v>NA</v>
      </c>
      <c r="Q273" t="str">
        <f>'[1]2026 Orders'!O274</f>
        <v>604776737582</v>
      </c>
      <c r="R273">
        <f>'[1]2026 Orders'!P274</f>
        <v>0</v>
      </c>
      <c r="S273">
        <f>'[1]2026 Orders'!Q274</f>
        <v>0</v>
      </c>
      <c r="T273" t="str">
        <f>'[1]2026 Orders'!R274</f>
        <v>TBD</v>
      </c>
      <c r="U273" t="str">
        <f>'[1]2026 Orders'!S274</f>
        <v>Bulk PO Submitted, Pending ETA confirmation</v>
      </c>
      <c r="V273">
        <f>'[1]2026 Orders'!T274</f>
        <v>0</v>
      </c>
      <c r="W273">
        <f>'[1]2026 Orders'!U274</f>
        <v>0</v>
      </c>
      <c r="X273">
        <f>'[1]2026 Orders'!V274</f>
        <v>0</v>
      </c>
      <c r="Y273">
        <f>'[1]2026 Orders'!W274</f>
        <v>0</v>
      </c>
      <c r="Z273">
        <f>'[1]2026 Orders'!X274</f>
        <v>0</v>
      </c>
      <c r="AC273" t="str">
        <f t="shared" si="8"/>
        <v>550/</v>
      </c>
      <c r="AD273" t="e">
        <f t="shared" si="9"/>
        <v>#VALUE!</v>
      </c>
    </row>
    <row r="274" spans="1:30" ht="33" hidden="1" customHeight="1" x14ac:dyDescent="0.3">
      <c r="A274">
        <f>'[1]2026 Orders'!A275</f>
        <v>46093</v>
      </c>
      <c r="B274" s="14" t="str">
        <f>'[1]2026 Orders'!B275</f>
        <v>China</v>
      </c>
      <c r="C274" s="14" t="str">
        <f>'[1]2026 Orders'!C275</f>
        <v>A4659</v>
      </c>
      <c r="D274" s="14">
        <f>'[1]2026 Orders'!D275</f>
        <v>0</v>
      </c>
      <c r="E274" s="17" t="str" cm="1">
        <f t="array" ref="E274">IF(C274=0,"",
HYPERLINK(
"#'2026 Orders'!C"&amp;
MATCH(1,
('2026 Orders'!C:C=C274)*
('2026 Orders'!G:G=G274)*
('2026 Orders'!N:N=N274),
0),
"Open "&amp;C274
))</f>
        <v>Open A4659</v>
      </c>
      <c r="F274" s="14">
        <f>'[1]2026 Orders'!F275</f>
        <v>0</v>
      </c>
      <c r="G274" s="14" t="str">
        <f>'[1]2026 Orders'!G275</f>
        <v>OVAMAXPLUS-120-CS-CN</v>
      </c>
      <c r="H274" s="14" t="str" cm="1">
        <f t="array" ref="H274">IFERROR(_xlfn.TEXTJOIN("-",,INDEX(_xlfn.TEXTSPLIT(TableTake[[#This Row],[SKU]],"-"),{1,2})),"")</f>
        <v>OVAMAXPLUS-120</v>
      </c>
      <c r="I274" s="15" t="str">
        <f>IFERROR(_xlfn.TEXTAFTER(TableTake[[#This Row],[SKU]],"-",-1),"")</f>
        <v>CN</v>
      </c>
      <c r="J274" s="14">
        <f>'[1]2026 Orders'!H275</f>
        <v>1650</v>
      </c>
      <c r="K274" t="str">
        <f>'[1]2026 Orders'!I275</f>
        <v>CN41-25.0</v>
      </c>
      <c r="L274">
        <f>'[1]2026 Orders'!J275</f>
        <v>1650</v>
      </c>
      <c r="N274" s="10" t="str">
        <f>'[1]2026 Orders'!L275</f>
        <v>Picked</v>
      </c>
      <c r="O274">
        <f>'[1]2026 Orders'!M275</f>
        <v>0</v>
      </c>
      <c r="P274" t="str">
        <f>'[1]2026 Orders'!N275</f>
        <v>NA</v>
      </c>
      <c r="Q274" t="str">
        <f>'[1]2026 Orders'!O275</f>
        <v>604776740056</v>
      </c>
      <c r="R274">
        <f>'[1]2026 Orders'!P275</f>
        <v>0</v>
      </c>
      <c r="S274">
        <f>'[1]2026 Orders'!Q275</f>
        <v>0</v>
      </c>
      <c r="T274">
        <f>'[1]2026 Orders'!R275</f>
        <v>0</v>
      </c>
      <c r="U274">
        <f>'[1]2026 Orders'!S275</f>
        <v>0</v>
      </c>
      <c r="V274">
        <f>'[1]2026 Orders'!T275</f>
        <v>0</v>
      </c>
      <c r="W274">
        <f>'[1]2026 Orders'!U275</f>
        <v>0</v>
      </c>
      <c r="X274">
        <f>'[1]2026 Orders'!V275</f>
        <v>0</v>
      </c>
      <c r="Y274">
        <f>'[1]2026 Orders'!W275</f>
        <v>0</v>
      </c>
      <c r="Z274">
        <f>'[1]2026 Orders'!X275</f>
        <v>0</v>
      </c>
      <c r="AC274" t="str">
        <f t="shared" si="8"/>
        <v>1650/</v>
      </c>
      <c r="AD274" t="e">
        <f t="shared" si="9"/>
        <v>#VALUE!</v>
      </c>
    </row>
    <row r="275" spans="1:30" ht="33" hidden="1" customHeight="1" x14ac:dyDescent="0.3">
      <c r="A275">
        <f>'[1]2026 Orders'!A276</f>
        <v>46093</v>
      </c>
      <c r="B275" s="14" t="str">
        <f>'[1]2026 Orders'!B276</f>
        <v>China</v>
      </c>
      <c r="C275" s="14" t="str">
        <f>'[1]2026 Orders'!C276</f>
        <v>A4659</v>
      </c>
      <c r="D275" s="14">
        <f>'[1]2026 Orders'!D276</f>
        <v>0</v>
      </c>
      <c r="E275" s="17" t="str" cm="1">
        <f t="array" ref="E275">IF(C275=0,"",
HYPERLINK(
"#'2026 Orders'!C"&amp;
MATCH(1,
('2026 Orders'!C:C=C275)*
('2026 Orders'!G:G=G275)*
('2026 Orders'!N:N=N275),
0),
"Open "&amp;C275
))</f>
        <v>Open A4659</v>
      </c>
      <c r="F275" s="14">
        <f>'[1]2026 Orders'!F276</f>
        <v>0</v>
      </c>
      <c r="G275" s="14" t="str">
        <f>'[1]2026 Orders'!G276</f>
        <v>PRECON-180-FD</v>
      </c>
      <c r="H275" s="14" t="str" cm="1">
        <f t="array" ref="H275">IFERROR(_xlfn.TEXTJOIN("-",,INDEX(_xlfn.TEXTSPLIT(TableTake[[#This Row],[SKU]],"-"),{1,2})),"")</f>
        <v>PRECON-180</v>
      </c>
      <c r="I275" s="15" t="str">
        <f>IFERROR(_xlfn.TEXTAFTER(TableTake[[#This Row],[SKU]],"-",-1),"")</f>
        <v>FD</v>
      </c>
      <c r="J275" s="14">
        <f>'[1]2026 Orders'!H276</f>
        <v>330</v>
      </c>
      <c r="K275" t="str">
        <f>'[1]2026 Orders'!I276</f>
        <v>F55-22.0</v>
      </c>
      <c r="L275">
        <f>'[1]2026 Orders'!J276</f>
        <v>330</v>
      </c>
      <c r="N275" s="10" t="str">
        <f>'[1]2026 Orders'!L276</f>
        <v>Picked</v>
      </c>
      <c r="O275">
        <f>'[1]2026 Orders'!M276</f>
        <v>0</v>
      </c>
      <c r="P275" t="str">
        <f>'[1]2026 Orders'!N276</f>
        <v>NA</v>
      </c>
      <c r="Q275">
        <f>'[1]2026 Orders'!O276</f>
        <v>609788968375</v>
      </c>
      <c r="R275">
        <f>'[1]2026 Orders'!P276</f>
        <v>0</v>
      </c>
      <c r="S275">
        <f>'[1]2026 Orders'!Q276</f>
        <v>0</v>
      </c>
      <c r="T275">
        <f>'[1]2026 Orders'!R276</f>
        <v>0</v>
      </c>
      <c r="U275">
        <f>'[1]2026 Orders'!S276</f>
        <v>0</v>
      </c>
      <c r="V275">
        <f>'[1]2026 Orders'!T276</f>
        <v>0</v>
      </c>
      <c r="W275">
        <f>'[1]2026 Orders'!U276</f>
        <v>0</v>
      </c>
      <c r="X275">
        <f>'[1]2026 Orders'!V276</f>
        <v>0</v>
      </c>
      <c r="Y275">
        <f>'[1]2026 Orders'!W276</f>
        <v>0</v>
      </c>
      <c r="Z275">
        <f>'[1]2026 Orders'!X276</f>
        <v>0</v>
      </c>
      <c r="AC275" t="str">
        <f t="shared" si="8"/>
        <v>330/</v>
      </c>
      <c r="AD275" t="e">
        <f t="shared" si="9"/>
        <v>#VALUE!</v>
      </c>
    </row>
    <row r="276" spans="1:30" ht="33" hidden="1" customHeight="1" x14ac:dyDescent="0.3">
      <c r="A276">
        <f>'[1]2026 Orders'!A277</f>
        <v>46093</v>
      </c>
      <c r="B276" s="14" t="str">
        <f>'[1]2026 Orders'!B277</f>
        <v>China</v>
      </c>
      <c r="C276" s="14" t="str">
        <f>'[1]2026 Orders'!C277</f>
        <v>A4659</v>
      </c>
      <c r="D276" s="14">
        <f>'[1]2026 Orders'!D277</f>
        <v>0</v>
      </c>
      <c r="E276" s="17" t="str" cm="1">
        <f t="array" ref="E276">IF(C276=0,"",
HYPERLINK(
"#'2026 Orders'!C"&amp;
MATCH(1,
('2026 Orders'!C:C=C276)*
('2026 Orders'!G:G=G276)*
('2026 Orders'!N:N=N276),
0),
"Open "&amp;C276
))</f>
        <v>Open A4659</v>
      </c>
      <c r="F276" s="14">
        <f>'[1]2026 Orders'!F277</f>
        <v>0</v>
      </c>
      <c r="G276" s="14" t="str">
        <f>'[1]2026 Orders'!G277</f>
        <v>SPERMCT-60-FD</v>
      </c>
      <c r="H276" s="14" t="str" cm="1">
        <f t="array" ref="H276">IFERROR(_xlfn.TEXTJOIN("-",,INDEX(_xlfn.TEXTSPLIT(TableTake[[#This Row],[SKU]],"-"),{1,2})),"")</f>
        <v>SPERMCT-60</v>
      </c>
      <c r="I276" s="15" t="str">
        <f>IFERROR(_xlfn.TEXTAFTER(TableTake[[#This Row],[SKU]],"-",-1),"")</f>
        <v>FD</v>
      </c>
      <c r="J276" s="14">
        <f>'[1]2026 Orders'!H277</f>
        <v>110</v>
      </c>
      <c r="K276" t="str">
        <f>'[1]2026 Orders'!I277</f>
        <v>F64-25.0</v>
      </c>
      <c r="L276">
        <f>'[1]2026 Orders'!J277</f>
        <v>110</v>
      </c>
      <c r="N276" s="10" t="str">
        <f>'[1]2026 Orders'!L277</f>
        <v>Picked</v>
      </c>
      <c r="O276">
        <f>'[1]2026 Orders'!M277</f>
        <v>0</v>
      </c>
      <c r="P276" t="str">
        <f>'[1]2026 Orders'!N277</f>
        <v>NA</v>
      </c>
      <c r="Q276">
        <f>'[1]2026 Orders'!O277</f>
        <v>609788968405</v>
      </c>
      <c r="R276">
        <f>'[1]2026 Orders'!P277</f>
        <v>0</v>
      </c>
      <c r="S276">
        <f>'[1]2026 Orders'!Q277</f>
        <v>0</v>
      </c>
      <c r="T276">
        <f>'[1]2026 Orders'!R277</f>
        <v>0</v>
      </c>
      <c r="U276">
        <f>'[1]2026 Orders'!S277</f>
        <v>0</v>
      </c>
      <c r="V276">
        <f>'[1]2026 Orders'!T277</f>
        <v>0</v>
      </c>
      <c r="W276">
        <f>'[1]2026 Orders'!U277</f>
        <v>0</v>
      </c>
      <c r="X276">
        <f>'[1]2026 Orders'!V277</f>
        <v>0</v>
      </c>
      <c r="Y276">
        <f>'[1]2026 Orders'!W277</f>
        <v>0</v>
      </c>
      <c r="Z276">
        <f>'[1]2026 Orders'!X277</f>
        <v>0</v>
      </c>
      <c r="AC276" t="str">
        <f t="shared" si="8"/>
        <v>110/</v>
      </c>
      <c r="AD276" t="e">
        <f t="shared" si="9"/>
        <v>#VALUE!</v>
      </c>
    </row>
    <row r="277" spans="1:30" ht="33" hidden="1" customHeight="1" x14ac:dyDescent="0.3">
      <c r="A277">
        <f>'[1]2026 Orders'!A278</f>
        <v>46093</v>
      </c>
      <c r="B277" s="14" t="str">
        <f>'[1]2026 Orders'!B278</f>
        <v>China</v>
      </c>
      <c r="C277" s="14" t="str">
        <f>'[1]2026 Orders'!C278</f>
        <v>A4659</v>
      </c>
      <c r="D277" s="14">
        <f>'[1]2026 Orders'!D278</f>
        <v>0</v>
      </c>
      <c r="E277" s="17" t="str" cm="1">
        <f t="array" ref="E277">IF(C277=0,"",
HYPERLINK(
"#'2026 Orders'!C"&amp;
MATCH(1,
('2026 Orders'!C:C=C277)*
('2026 Orders'!G:G=G277)*
('2026 Orders'!N:N=N277),
0),
"Open "&amp;C277
))</f>
        <v>Open A4659</v>
      </c>
      <c r="F277" s="14" t="str">
        <f>'[1]2026 Orders'!F278</f>
        <v>5/12/2026: Allocating to Lebanon A4690.</v>
      </c>
      <c r="G277" s="14" t="str">
        <f>'[1]2026 Orders'!G278</f>
        <v>WFSPLS-180-FD</v>
      </c>
      <c r="H277" s="14" t="str" cm="1">
        <f t="array" ref="H277">IFERROR(_xlfn.TEXTJOIN("-",,INDEX(_xlfn.TEXTSPLIT(TableTake[[#This Row],[SKU]],"-"),{1,2})),"")</f>
        <v>WFSPLS-180</v>
      </c>
      <c r="I277" s="15" t="str">
        <f>IFERROR(_xlfn.TEXTAFTER(TableTake[[#This Row],[SKU]],"-",-1),"")</f>
        <v>FD</v>
      </c>
      <c r="J277" s="14">
        <f>'[1]2026 Orders'!H278</f>
        <v>110</v>
      </c>
      <c r="K277" t="str">
        <f>'[1]2026 Orders'!I278</f>
        <v>F73-23.0</v>
      </c>
      <c r="L277">
        <f>'[1]2026 Orders'!J278</f>
        <v>110</v>
      </c>
      <c r="N277" s="10" t="str">
        <f>'[1]2026 Orders'!L278</f>
        <v>PO Drafted</v>
      </c>
      <c r="O277">
        <f>'[1]2026 Orders'!M278</f>
        <v>0</v>
      </c>
      <c r="P277" t="str">
        <f>'[1]2026 Orders'!N278</f>
        <v>NA</v>
      </c>
      <c r="Q277">
        <f>'[1]2026 Orders'!O278</f>
        <v>609788968351</v>
      </c>
      <c r="R277">
        <f>'[1]2026 Orders'!P278</f>
        <v>5000</v>
      </c>
      <c r="S277">
        <f>'[1]2026 Orders'!Q278</f>
        <v>5043</v>
      </c>
      <c r="T277" t="str">
        <f>'[1]2026 Orders'!R278</f>
        <v>TBD</v>
      </c>
      <c r="U277" t="str">
        <f>'[1]2026 Orders'!S278</f>
        <v>Pending approval to send to vendor</v>
      </c>
      <c r="V277">
        <f>'[1]2026 Orders'!T278</f>
        <v>0</v>
      </c>
      <c r="W277">
        <f>'[1]2026 Orders'!U278</f>
        <v>0</v>
      </c>
      <c r="X277">
        <f>'[1]2026 Orders'!V278</f>
        <v>0</v>
      </c>
      <c r="Y277">
        <f>'[1]2026 Orders'!W278</f>
        <v>0</v>
      </c>
      <c r="Z277">
        <f>'[1]2026 Orders'!X278</f>
        <v>0</v>
      </c>
      <c r="AC277" t="str">
        <f t="shared" si="8"/>
        <v>110/</v>
      </c>
      <c r="AD277" t="e">
        <f t="shared" si="9"/>
        <v>#VALUE!</v>
      </c>
    </row>
    <row r="278" spans="1:30" ht="33" hidden="1" customHeight="1" x14ac:dyDescent="0.3">
      <c r="A278">
        <f>'[1]2026 Orders'!A279</f>
        <v>46093</v>
      </c>
      <c r="B278" s="14" t="str">
        <f>'[1]2026 Orders'!B279</f>
        <v>China</v>
      </c>
      <c r="C278" s="14" t="str">
        <f>'[1]2026 Orders'!C279</f>
        <v>A4659</v>
      </c>
      <c r="D278" s="14">
        <f>'[1]2026 Orders'!D279</f>
        <v>0</v>
      </c>
      <c r="E278" s="17" t="str" cm="1">
        <f t="array" ref="E278">IF(C278=0,"",
HYPERLINK(
"#'2026 Orders'!C"&amp;
MATCH(1,
('2026 Orders'!C:C=C278)*
('2026 Orders'!G:G=G278)*
('2026 Orders'!N:N=N278),
0),
"Open "&amp;C278
))</f>
        <v>Open A4659</v>
      </c>
      <c r="F278" s="14">
        <f>'[1]2026 Orders'!F279</f>
        <v>0</v>
      </c>
      <c r="G278" s="14" t="str">
        <f>'[1]2026 Orders'!G279</f>
        <v>TESTRON-60-FD</v>
      </c>
      <c r="H278" s="14" t="str" cm="1">
        <f t="array" ref="H278">IFERROR(_xlfn.TEXTJOIN("-",,INDEX(_xlfn.TEXTSPLIT(TableTake[[#This Row],[SKU]],"-"),{1,2})),"")</f>
        <v>TESTRON-60</v>
      </c>
      <c r="I278" s="15" t="str">
        <f>IFERROR(_xlfn.TEXTAFTER(TableTake[[#This Row],[SKU]],"-",-1),"")</f>
        <v>FD</v>
      </c>
      <c r="J278" s="14">
        <f>'[1]2026 Orders'!H279</f>
        <v>100</v>
      </c>
      <c r="K278" t="str">
        <f>'[1]2026 Orders'!I279</f>
        <v>F103-26.0</v>
      </c>
      <c r="L278">
        <f>'[1]2026 Orders'!J279</f>
        <v>100</v>
      </c>
      <c r="N278" s="10" t="str">
        <f>'[1]2026 Orders'!L279</f>
        <v>Picked</v>
      </c>
      <c r="O278">
        <f>'[1]2026 Orders'!M279</f>
        <v>0</v>
      </c>
      <c r="P278" t="str">
        <f>'[1]2026 Orders'!N279</f>
        <v>NA</v>
      </c>
      <c r="Q278" t="str">
        <f>'[1]2026 Orders'!O279</f>
        <v>810131192907</v>
      </c>
      <c r="R278">
        <f>'[1]2026 Orders'!P279</f>
        <v>101</v>
      </c>
      <c r="S278">
        <f>'[1]2026 Orders'!Q279</f>
        <v>5061</v>
      </c>
      <c r="T278" t="str">
        <f>'[1]2026 Orders'!R279</f>
        <v>Complete</v>
      </c>
      <c r="U278" t="str">
        <f>'[1]2026 Orders'!S279</f>
        <v>From FX</v>
      </c>
      <c r="V278">
        <f>'[1]2026 Orders'!T279</f>
        <v>0</v>
      </c>
      <c r="W278">
        <f>'[1]2026 Orders'!U279</f>
        <v>0</v>
      </c>
      <c r="X278">
        <f>'[1]2026 Orders'!V279</f>
        <v>0</v>
      </c>
      <c r="Y278">
        <f>'[1]2026 Orders'!W279</f>
        <v>0</v>
      </c>
      <c r="Z278">
        <f>'[1]2026 Orders'!X279</f>
        <v>0</v>
      </c>
      <c r="AC278" t="str">
        <f t="shared" si="8"/>
        <v>100/</v>
      </c>
      <c r="AD278" t="e">
        <f t="shared" si="9"/>
        <v>#VALUE!</v>
      </c>
    </row>
    <row r="279" spans="1:30" ht="33" hidden="1" customHeight="1" x14ac:dyDescent="0.3">
      <c r="A279">
        <f>'[1]2026 Orders'!A280</f>
        <v>0</v>
      </c>
      <c r="B279" s="14">
        <f>'[1]2026 Orders'!B280</f>
        <v>0</v>
      </c>
      <c r="C279" s="14">
        <f>'[1]2026 Orders'!C280</f>
        <v>0</v>
      </c>
      <c r="D279" s="14">
        <f>'[1]2026 Orders'!D280</f>
        <v>0</v>
      </c>
      <c r="E279" s="17" t="str" cm="1">
        <f t="array" ref="E279">IF(C279=0,"",
HYPERLINK(
"#'2026 Orders'!C"&amp;
MATCH(1,
('2026 Orders'!C:C=C279)*
('2026 Orders'!G:G=G279)*
('2026 Orders'!N:N=N279),
0),
"Open "&amp;C279
))</f>
        <v/>
      </c>
      <c r="F279" s="14">
        <f>'[1]2026 Orders'!F280</f>
        <v>0</v>
      </c>
      <c r="G279" s="14">
        <f>'[1]2026 Orders'!G280</f>
        <v>0</v>
      </c>
      <c r="H279" s="14" t="str" cm="1">
        <f t="array" ref="H279">IFERROR(_xlfn.TEXTJOIN("-",,INDEX(_xlfn.TEXTSPLIT(TableTake[[#This Row],[SKU]],"-"),{1,2})),"")</f>
        <v/>
      </c>
      <c r="I279" s="15" t="str">
        <f>IFERROR(_xlfn.TEXTAFTER(TableTake[[#This Row],[SKU]],"-",-1),"")</f>
        <v/>
      </c>
      <c r="J279" s="14">
        <f>'[1]2026 Orders'!H280</f>
        <v>0</v>
      </c>
      <c r="K279">
        <f>'[1]2026 Orders'!I280</f>
        <v>0</v>
      </c>
      <c r="L279">
        <f>'[1]2026 Orders'!J280</f>
        <v>0</v>
      </c>
      <c r="N279" s="10">
        <f>'[1]2026 Orders'!L280</f>
        <v>0</v>
      </c>
      <c r="O279">
        <f>'[1]2026 Orders'!M280</f>
        <v>0</v>
      </c>
      <c r="P279">
        <f>'[1]2026 Orders'!N280</f>
        <v>0</v>
      </c>
      <c r="Q279">
        <f>'[1]2026 Orders'!O280</f>
        <v>0</v>
      </c>
      <c r="R279">
        <f>'[1]2026 Orders'!P280</f>
        <v>0</v>
      </c>
      <c r="S279">
        <f>'[1]2026 Orders'!Q280</f>
        <v>0</v>
      </c>
      <c r="T279">
        <f>'[1]2026 Orders'!R280</f>
        <v>0</v>
      </c>
      <c r="U279">
        <f>'[1]2026 Orders'!S280</f>
        <v>0</v>
      </c>
      <c r="V279">
        <f>'[1]2026 Orders'!T280</f>
        <v>0</v>
      </c>
      <c r="W279">
        <f>'[1]2026 Orders'!U280</f>
        <v>0</v>
      </c>
      <c r="X279">
        <f>'[1]2026 Orders'!V280</f>
        <v>0</v>
      </c>
      <c r="Y279">
        <f>'[1]2026 Orders'!W280</f>
        <v>0</v>
      </c>
      <c r="Z279">
        <f>'[1]2026 Orders'!X280</f>
        <v>0</v>
      </c>
      <c r="AC279" t="str">
        <f t="shared" si="8"/>
        <v/>
      </c>
      <c r="AD279" t="str">
        <f t="shared" si="9"/>
        <v/>
      </c>
    </row>
    <row r="280" spans="1:30" ht="33" hidden="1" customHeight="1" x14ac:dyDescent="0.3">
      <c r="A280">
        <f>'[1]2026 Orders'!A281</f>
        <v>46113</v>
      </c>
      <c r="B280" s="14" t="str">
        <f>'[1]2026 Orders'!B281</f>
        <v>China</v>
      </c>
      <c r="C280" s="14" t="str">
        <f>'[1]2026 Orders'!C281</f>
        <v>A4680</v>
      </c>
      <c r="D280" s="14">
        <f>'[1]2026 Orders'!D281</f>
        <v>0</v>
      </c>
      <c r="E280" s="17" t="str" cm="1">
        <f t="array" ref="E280">IF(C280=0,"",
HYPERLINK(
"#'2026 Orders'!C"&amp;
MATCH(1,
('2026 Orders'!C:C=C280)*
('2026 Orders'!G:G=G280)*
('2026 Orders'!N:N=N280),
0),
"Open "&amp;C280
))</f>
        <v>Open A4680</v>
      </c>
      <c r="F280" s="14" t="str">
        <f>'[1]2026 Orders'!F281</f>
        <v>4/1/2026: Moved from China A4658</v>
      </c>
      <c r="G280" s="14" t="str">
        <f>'[1]2026 Orders'!G281</f>
        <v>DHEA25-60-FD</v>
      </c>
      <c r="H280" s="14" t="str" cm="1">
        <f t="array" ref="H280">IFERROR(_xlfn.TEXTJOIN("-",,INDEX(_xlfn.TEXTSPLIT(TableTake[[#This Row],[SKU]],"-"),{1,2})),"")</f>
        <v>DHEA25-60</v>
      </c>
      <c r="I280" s="15" t="str">
        <f>IFERROR(_xlfn.TEXTAFTER(TableTake[[#This Row],[SKU]],"-",-1),"")</f>
        <v>FD</v>
      </c>
      <c r="J280" s="14">
        <f>'[1]2026 Orders'!H281</f>
        <v>300</v>
      </c>
      <c r="K280" t="str">
        <f>'[1]2026 Orders'!I281</f>
        <v>F14-25.2</v>
      </c>
      <c r="L280">
        <f>'[1]2026 Orders'!J281</f>
        <v>300</v>
      </c>
      <c r="N280" s="10" t="str">
        <f>'[1]2026 Orders'!L281</f>
        <v>D/W Sent</v>
      </c>
      <c r="O280">
        <f>'[1]2026 Orders'!M281</f>
        <v>46113</v>
      </c>
      <c r="P280" t="str">
        <f>'[1]2026 Orders'!N281</f>
        <v>NA</v>
      </c>
      <c r="Q280" t="str">
        <f>'[1]2026 Orders'!O281</f>
        <v>609788968153</v>
      </c>
      <c r="R280">
        <f>'[1]2026 Orders'!P281</f>
        <v>0</v>
      </c>
      <c r="S280">
        <f>'[1]2026 Orders'!Q281</f>
        <v>0</v>
      </c>
      <c r="T280">
        <f>'[1]2026 Orders'!R281</f>
        <v>0</v>
      </c>
      <c r="U280">
        <f>'[1]2026 Orders'!S281</f>
        <v>0</v>
      </c>
      <c r="V280">
        <f>'[1]2026 Orders'!T281</f>
        <v>0</v>
      </c>
      <c r="W280">
        <f>'[1]2026 Orders'!U281</f>
        <v>0</v>
      </c>
      <c r="X280">
        <f>'[1]2026 Orders'!V281</f>
        <v>0</v>
      </c>
      <c r="Y280">
        <f>'[1]2026 Orders'!W281</f>
        <v>0</v>
      </c>
      <c r="Z280" t="str">
        <f>'[1]2026 Orders'!X281</f>
        <v>Approved</v>
      </c>
      <c r="AC280" t="str">
        <f t="shared" si="8"/>
        <v>300/</v>
      </c>
      <c r="AD280" t="e">
        <f t="shared" si="9"/>
        <v>#VALUE!</v>
      </c>
    </row>
    <row r="281" spans="1:30" ht="33" hidden="1" customHeight="1" x14ac:dyDescent="0.3">
      <c r="A281">
        <f>'[1]2026 Orders'!A282</f>
        <v>46113</v>
      </c>
      <c r="B281" s="14" t="str">
        <f>'[1]2026 Orders'!B282</f>
        <v>China</v>
      </c>
      <c r="C281" s="14" t="str">
        <f>'[1]2026 Orders'!C282</f>
        <v>A4680</v>
      </c>
      <c r="D281" s="14">
        <f>'[1]2026 Orders'!D282</f>
        <v>0</v>
      </c>
      <c r="E281" s="17" t="str" cm="1">
        <f t="array" ref="E281">IF(C281=0,"",
HYPERLINK(
"#'2026 Orders'!C"&amp;
MATCH(1,
('2026 Orders'!C:C=C281)*
('2026 Orders'!G:G=G281)*
('2026 Orders'!N:N=N281),
0),
"Open "&amp;C281
))</f>
        <v>Open A4680</v>
      </c>
      <c r="F281" s="14" t="str">
        <f>'[1]2026 Orders'!F282</f>
        <v>4/1/2026: Moved from China A4658</v>
      </c>
      <c r="G281" s="14" t="str">
        <f>'[1]2026 Orders'!G282</f>
        <v>RAPIDC5-100-FD</v>
      </c>
      <c r="H281" s="14" t="str" cm="1">
        <f t="array" ref="H281">IFERROR(_xlfn.TEXTJOIN("-",,INDEX(_xlfn.TEXTSPLIT(TableTake[[#This Row],[SKU]],"-"),{1,2})),"")</f>
        <v>RAPIDC5-100</v>
      </c>
      <c r="I281" s="15" t="str">
        <f>IFERROR(_xlfn.TEXTAFTER(TableTake[[#This Row],[SKU]],"-",-1),"")</f>
        <v>FD</v>
      </c>
      <c r="J281" s="14">
        <f>'[1]2026 Orders'!H282</f>
        <v>500</v>
      </c>
      <c r="K281" t="str">
        <f>'[1]2026 Orders'!I282</f>
        <v>F59-25.0</v>
      </c>
      <c r="L281">
        <f>'[1]2026 Orders'!J282</f>
        <v>500</v>
      </c>
      <c r="N281" s="10" t="str">
        <f>'[1]2026 Orders'!L282</f>
        <v>D/W Sent</v>
      </c>
      <c r="O281">
        <f>'[1]2026 Orders'!M282</f>
        <v>0</v>
      </c>
      <c r="P281" t="str">
        <f>'[1]2026 Orders'!N282</f>
        <v>NA</v>
      </c>
      <c r="Q281">
        <f>'[1]2026 Orders'!O282</f>
        <v>604776736585</v>
      </c>
      <c r="R281">
        <f>'[1]2026 Orders'!P282</f>
        <v>0</v>
      </c>
      <c r="S281">
        <f>'[1]2026 Orders'!Q282</f>
        <v>0</v>
      </c>
      <c r="T281">
        <f>'[1]2026 Orders'!R282</f>
        <v>0</v>
      </c>
      <c r="U281">
        <f>'[1]2026 Orders'!S282</f>
        <v>0</v>
      </c>
      <c r="V281">
        <f>'[1]2026 Orders'!T282</f>
        <v>0</v>
      </c>
      <c r="W281">
        <f>'[1]2026 Orders'!U282</f>
        <v>0</v>
      </c>
      <c r="X281">
        <f>'[1]2026 Orders'!V282</f>
        <v>0</v>
      </c>
      <c r="Y281">
        <f>'[1]2026 Orders'!W282</f>
        <v>0</v>
      </c>
      <c r="Z281">
        <f>'[1]2026 Orders'!X282</f>
        <v>0</v>
      </c>
      <c r="AC281" t="str">
        <f t="shared" si="8"/>
        <v>500/</v>
      </c>
      <c r="AD281" t="e">
        <f t="shared" si="9"/>
        <v>#VALUE!</v>
      </c>
    </row>
    <row r="282" spans="1:30" ht="33" hidden="1" customHeight="1" x14ac:dyDescent="0.3">
      <c r="A282">
        <f>'[1]2026 Orders'!A283</f>
        <v>0</v>
      </c>
      <c r="B282" s="14">
        <f>'[1]2026 Orders'!B283</f>
        <v>0</v>
      </c>
      <c r="C282" s="14">
        <f>'[1]2026 Orders'!C283</f>
        <v>0</v>
      </c>
      <c r="D282" s="14">
        <f>'[1]2026 Orders'!D283</f>
        <v>0</v>
      </c>
      <c r="E282" s="17" t="str" cm="1">
        <f t="array" ref="E282">IF(C282=0,"",
HYPERLINK(
"#'2026 Orders'!C"&amp;
MATCH(1,
('2026 Orders'!C:C=C282)*
('2026 Orders'!G:G=G282)*
('2026 Orders'!N:N=N282),
0),
"Open "&amp;C282
))</f>
        <v/>
      </c>
      <c r="F282" s="14">
        <f>'[1]2026 Orders'!F283</f>
        <v>0</v>
      </c>
      <c r="G282" s="14">
        <f>'[1]2026 Orders'!G283</f>
        <v>0</v>
      </c>
      <c r="H282" s="14" t="str" cm="1">
        <f t="array" ref="H282">IFERROR(_xlfn.TEXTJOIN("-",,INDEX(_xlfn.TEXTSPLIT(TableTake[[#This Row],[SKU]],"-"),{1,2})),"")</f>
        <v/>
      </c>
      <c r="I282" s="15" t="str">
        <f>IFERROR(_xlfn.TEXTAFTER(TableTake[[#This Row],[SKU]],"-",-1),"")</f>
        <v/>
      </c>
      <c r="J282" s="14">
        <f>'[1]2026 Orders'!H283</f>
        <v>0</v>
      </c>
      <c r="K282">
        <f>'[1]2026 Orders'!I283</f>
        <v>0</v>
      </c>
      <c r="L282">
        <f>'[1]2026 Orders'!J283</f>
        <v>0</v>
      </c>
      <c r="N282" s="10">
        <f>'[1]2026 Orders'!L283</f>
        <v>0</v>
      </c>
      <c r="O282">
        <f>'[1]2026 Orders'!M283</f>
        <v>0</v>
      </c>
      <c r="P282">
        <f>'[1]2026 Orders'!N283</f>
        <v>0</v>
      </c>
      <c r="Q282">
        <f>'[1]2026 Orders'!O283</f>
        <v>0</v>
      </c>
      <c r="R282">
        <f>'[1]2026 Orders'!P283</f>
        <v>0</v>
      </c>
      <c r="S282">
        <f>'[1]2026 Orders'!Q283</f>
        <v>0</v>
      </c>
      <c r="T282">
        <f>'[1]2026 Orders'!R283</f>
        <v>0</v>
      </c>
      <c r="U282">
        <f>'[1]2026 Orders'!S283</f>
        <v>0</v>
      </c>
      <c r="V282">
        <f>'[1]2026 Orders'!T283</f>
        <v>0</v>
      </c>
      <c r="W282">
        <f>'[1]2026 Orders'!U283</f>
        <v>0</v>
      </c>
      <c r="X282">
        <f>'[1]2026 Orders'!V283</f>
        <v>0</v>
      </c>
      <c r="Y282">
        <f>'[1]2026 Orders'!W283</f>
        <v>0</v>
      </c>
      <c r="Z282">
        <f>'[1]2026 Orders'!X283</f>
        <v>0</v>
      </c>
      <c r="AC282" t="str">
        <f t="shared" si="8"/>
        <v/>
      </c>
      <c r="AD282" t="str">
        <f t="shared" si="9"/>
        <v/>
      </c>
    </row>
    <row r="283" spans="1:30" ht="33" hidden="1" customHeight="1" x14ac:dyDescent="0.3">
      <c r="A283">
        <f>'[1]2026 Orders'!A284</f>
        <v>46098</v>
      </c>
      <c r="B283" s="14" t="str">
        <f>'[1]2026 Orders'!B284</f>
        <v>Kuwait</v>
      </c>
      <c r="C283" s="14" t="str">
        <f>'[1]2026 Orders'!C284</f>
        <v>A4668</v>
      </c>
      <c r="D283" s="14" t="str">
        <f>'[1]2026 Orders'!D284</f>
        <v>Extra Kuwait Quantities:
536 bottles of Osteo Plus
945 bottles of Keto Lean
(Awaiting feedback if client can take)
5/21/2026: Client cannot take extra quantities</v>
      </c>
      <c r="E283" s="17" t="str" cm="1">
        <f t="array" ref="E283">IF(C283=0,"",
HYPERLINK(
"#'2026 Orders'!C"&amp;
MATCH(1,
('2026 Orders'!C:C=C283)*
('2026 Orders'!G:G=G283)*
('2026 Orders'!N:N=N283),
0),
"Open "&amp;C283
))</f>
        <v>Open A4668</v>
      </c>
      <c r="F283" s="14" t="str">
        <f>'[1]2026 Orders'!F284</f>
        <v>GREEN CAPSULES (NO TITANIUM DIOXIDE)</v>
      </c>
      <c r="G283" s="14" t="str">
        <f>'[1]2026 Orders'!G284</f>
        <v>OVAMAX-120-CS-KW</v>
      </c>
      <c r="H283" s="14" t="str" cm="1">
        <f t="array" ref="H283">IFERROR(_xlfn.TEXTJOIN("-",,INDEX(_xlfn.TEXTSPLIT(TableTake[[#This Row],[SKU]],"-"),{1,2})),"")</f>
        <v>OVAMAX-120</v>
      </c>
      <c r="I283" s="15" t="str">
        <f>IFERROR(_xlfn.TEXTAFTER(TableTake[[#This Row],[SKU]],"-",-1),"")</f>
        <v>KW</v>
      </c>
      <c r="J283" s="14">
        <f>'[1]2026 Orders'!H284</f>
        <v>223</v>
      </c>
      <c r="K283" t="str">
        <f>'[1]2026 Orders'!I284</f>
        <v>KW41-24.0</v>
      </c>
      <c r="L283">
        <f>'[1]2026 Orders'!J284</f>
        <v>223</v>
      </c>
      <c r="N283" s="10" t="str">
        <f>'[1]2026 Orders'!L284</f>
        <v>Picked</v>
      </c>
      <c r="O283">
        <f>'[1]2026 Orders'!M284</f>
        <v>0</v>
      </c>
      <c r="P283" t="str">
        <f>'[1]2026 Orders'!N284</f>
        <v>NA</v>
      </c>
      <c r="Q283">
        <f>'[1]2026 Orders'!O284</f>
        <v>810131191061</v>
      </c>
      <c r="R283">
        <f>'[1]2026 Orders'!P284</f>
        <v>0</v>
      </c>
      <c r="S283">
        <f>'[1]2026 Orders'!Q284</f>
        <v>0</v>
      </c>
      <c r="T283">
        <f>'[1]2026 Orders'!R284</f>
        <v>0</v>
      </c>
      <c r="U283">
        <f>'[1]2026 Orders'!S284</f>
        <v>0</v>
      </c>
      <c r="V283">
        <f>'[1]2026 Orders'!T284</f>
        <v>0</v>
      </c>
      <c r="W283">
        <f>'[1]2026 Orders'!U284</f>
        <v>0</v>
      </c>
      <c r="X283">
        <f>'[1]2026 Orders'!V284</f>
        <v>0</v>
      </c>
      <c r="Y283">
        <f>'[1]2026 Orders'!W284</f>
        <v>0</v>
      </c>
      <c r="Z283" t="str">
        <f>'[1]2026 Orders'!X284</f>
        <v>HOLD</v>
      </c>
      <c r="AC283" t="str">
        <f t="shared" si="8"/>
        <v>223/</v>
      </c>
      <c r="AD283" t="e">
        <f t="shared" si="9"/>
        <v>#VALUE!</v>
      </c>
    </row>
    <row r="284" spans="1:30" ht="33" hidden="1" customHeight="1" x14ac:dyDescent="0.3">
      <c r="A284">
        <f>'[1]2026 Orders'!A285</f>
        <v>46098</v>
      </c>
      <c r="B284" s="14" t="str">
        <f>'[1]2026 Orders'!B285</f>
        <v>Kuwait</v>
      </c>
      <c r="C284" s="14" t="str">
        <f>'[1]2026 Orders'!C285</f>
        <v>A4668</v>
      </c>
      <c r="D284" s="14">
        <f>'[1]2026 Orders'!D285</f>
        <v>0</v>
      </c>
      <c r="E284" s="17" t="str" cm="1">
        <f t="array" ref="E284">IF(C284=0,"",
HYPERLINK(
"#'2026 Orders'!C"&amp;
MATCH(1,
('2026 Orders'!C:C=C284)*
('2026 Orders'!G:G=G284)*
('2026 Orders'!N:N=N284),
0),
"Open "&amp;C284
))</f>
        <v>Open A4668</v>
      </c>
      <c r="F284" s="14" t="str">
        <f>'[1]2026 Orders'!F285</f>
        <v>GREEN CAPSULES (NO TITANIUM DIOXIDE)</v>
      </c>
      <c r="G284" s="14" t="str">
        <f>'[1]2026 Orders'!G285</f>
        <v>OVAMAX-120-CS-KW</v>
      </c>
      <c r="H284" s="14" t="str" cm="1">
        <f t="array" ref="H284">IFERROR(_xlfn.TEXTJOIN("-",,INDEX(_xlfn.TEXTSPLIT(TableTake[[#This Row],[SKU]],"-"),{1,2})),"")</f>
        <v>OVAMAX-120</v>
      </c>
      <c r="I284" s="15" t="str">
        <f>IFERROR(_xlfn.TEXTAFTER(TableTake[[#This Row],[SKU]],"-",-1),"")</f>
        <v>KW</v>
      </c>
      <c r="J284" s="14">
        <f>'[1]2026 Orders'!H285</f>
        <v>1977</v>
      </c>
      <c r="K284" t="str">
        <f>'[1]2026 Orders'!I285</f>
        <v>KW41-24.0</v>
      </c>
      <c r="L284">
        <f>'[1]2026 Orders'!J285</f>
        <v>0</v>
      </c>
      <c r="N284" s="10" t="str">
        <f>'[1]2026 Orders'!L285</f>
        <v>PO submitted</v>
      </c>
      <c r="O284">
        <f>'[1]2026 Orders'!M285</f>
        <v>0</v>
      </c>
      <c r="P284" t="str">
        <f>'[1]2026 Orders'!N285</f>
        <v>NA</v>
      </c>
      <c r="Q284">
        <f>'[1]2026 Orders'!O285</f>
        <v>810131191061</v>
      </c>
      <c r="R284">
        <f>'[1]2026 Orders'!P285</f>
        <v>3000</v>
      </c>
      <c r="S284">
        <f>'[1]2026 Orders'!Q285</f>
        <v>5048</v>
      </c>
      <c r="T284" t="str">
        <f>'[1]2026 Orders'!R285</f>
        <v>TBD</v>
      </c>
      <c r="U284" t="str">
        <f>'[1]2026 Orders'!S285</f>
        <v>Pending vendor eta</v>
      </c>
      <c r="V284">
        <f>'[1]2026 Orders'!T285</f>
        <v>0</v>
      </c>
      <c r="W284">
        <f>'[1]2026 Orders'!U285</f>
        <v>0</v>
      </c>
      <c r="X284">
        <f>'[1]2026 Orders'!V285</f>
        <v>0</v>
      </c>
      <c r="Y284">
        <f>'[1]2026 Orders'!W285</f>
        <v>0</v>
      </c>
      <c r="Z284">
        <f>'[1]2026 Orders'!X285</f>
        <v>0</v>
      </c>
      <c r="AC284" t="str">
        <f t="shared" si="8"/>
        <v>1977/</v>
      </c>
      <c r="AD284" t="e">
        <f t="shared" si="9"/>
        <v>#VALUE!</v>
      </c>
    </row>
    <row r="285" spans="1:30" ht="33" hidden="1" customHeight="1" x14ac:dyDescent="0.3">
      <c r="A285">
        <f>'[1]2026 Orders'!A286</f>
        <v>46098</v>
      </c>
      <c r="B285" s="14" t="str">
        <f>'[1]2026 Orders'!B286</f>
        <v>Kuwait</v>
      </c>
      <c r="C285" s="14" t="str">
        <f>'[1]2026 Orders'!C286</f>
        <v>A4668</v>
      </c>
      <c r="D285" s="14">
        <f>'[1]2026 Orders'!D286</f>
        <v>0</v>
      </c>
      <c r="E285" s="17" t="str" cm="1">
        <f t="array" ref="E285">IF(C285=0,"",
HYPERLINK(
"#'2026 Orders'!C"&amp;
MATCH(1,
('2026 Orders'!C:C=C285)*
('2026 Orders'!G:G=G285)*
('2026 Orders'!N:N=N285),
0),
"Open "&amp;C285
))</f>
        <v>Open A4668</v>
      </c>
      <c r="F285" s="14" t="str">
        <f>'[1]2026 Orders'!F286</f>
        <v>GREEN CAPSULES (NO TITANIUM DIOXIDE)</v>
      </c>
      <c r="G285" s="14" t="str">
        <f>'[1]2026 Orders'!G286</f>
        <v>MOTILMX-60-CS-KW</v>
      </c>
      <c r="H285" s="14" t="str" cm="1">
        <f t="array" ref="H285">IFERROR(_xlfn.TEXTJOIN("-",,INDEX(_xlfn.TEXTSPLIT(TableTake[[#This Row],[SKU]],"-"),{1,2})),"")</f>
        <v>MOTILMX-60</v>
      </c>
      <c r="I285" s="15" t="str">
        <f>IFERROR(_xlfn.TEXTAFTER(TableTake[[#This Row],[SKU]],"-",-1),"")</f>
        <v>KW</v>
      </c>
      <c r="J285" s="14">
        <f>'[1]2026 Orders'!H286</f>
        <v>2100</v>
      </c>
      <c r="K285" t="str">
        <f>'[1]2026 Orders'!I286</f>
        <v>KW31-24.2</v>
      </c>
      <c r="L285">
        <f>'[1]2026 Orders'!J286</f>
        <v>0</v>
      </c>
      <c r="N285" s="10" t="str">
        <f>'[1]2026 Orders'!L286</f>
        <v>In Production</v>
      </c>
      <c r="O285">
        <f>'[1]2026 Orders'!M286</f>
        <v>0</v>
      </c>
      <c r="P285" t="str">
        <f>'[1]2026 Orders'!N286</f>
        <v>NA</v>
      </c>
      <c r="Q285">
        <f>'[1]2026 Orders'!O286</f>
        <v>604776736691</v>
      </c>
      <c r="R285">
        <f>'[1]2026 Orders'!P286</f>
        <v>7100</v>
      </c>
      <c r="S285">
        <f>'[1]2026 Orders'!Q286</f>
        <v>5049</v>
      </c>
      <c r="T285">
        <f>'[1]2026 Orders'!R286</f>
        <v>46223</v>
      </c>
      <c r="U285">
        <f>'[1]2026 Orders'!S286</f>
        <v>0</v>
      </c>
      <c r="V285">
        <f>'[1]2026 Orders'!T286</f>
        <v>0</v>
      </c>
      <c r="W285">
        <f>'[1]2026 Orders'!U286</f>
        <v>0</v>
      </c>
      <c r="X285">
        <f>'[1]2026 Orders'!V286</f>
        <v>0</v>
      </c>
      <c r="Y285">
        <f>'[1]2026 Orders'!W286</f>
        <v>0</v>
      </c>
      <c r="Z285">
        <f>'[1]2026 Orders'!X286</f>
        <v>0</v>
      </c>
      <c r="AC285" t="str">
        <f t="shared" si="8"/>
        <v>2100/</v>
      </c>
      <c r="AD285" t="e">
        <f t="shared" si="9"/>
        <v>#VALUE!</v>
      </c>
    </row>
    <row r="286" spans="1:30" ht="33" hidden="1" customHeight="1" x14ac:dyDescent="0.3">
      <c r="A286">
        <f>'[1]2026 Orders'!A287</f>
        <v>46098</v>
      </c>
      <c r="B286" s="14" t="str">
        <f>'[1]2026 Orders'!B287</f>
        <v>Kuwait</v>
      </c>
      <c r="C286" s="14" t="str">
        <f>'[1]2026 Orders'!C287</f>
        <v>A4668</v>
      </c>
      <c r="D286" s="14">
        <f>'[1]2026 Orders'!D287</f>
        <v>0</v>
      </c>
      <c r="E286" s="17" t="str" cm="1">
        <f t="array" ref="E286">IF(C286=0,"",
HYPERLINK(
"#'2026 Orders'!C"&amp;
MATCH(1,
('2026 Orders'!C:C=C286)*
('2026 Orders'!G:G=G286)*
('2026 Orders'!N:N=N286),
0),
"Open "&amp;C286
))</f>
        <v>Open A4668</v>
      </c>
      <c r="F286" s="14" t="str">
        <f>'[1]2026 Orders'!F287</f>
        <v>Lot: 47080326</v>
      </c>
      <c r="G286" s="14" t="str">
        <f>'[1]2026 Orders'!G287</f>
        <v>COLLA-60-CS-KW</v>
      </c>
      <c r="H286" s="14" t="str" cm="1">
        <f t="array" ref="H286">IFERROR(_xlfn.TEXTJOIN("-",,INDEX(_xlfn.TEXTSPLIT(TableTake[[#This Row],[SKU]],"-"),{1,2})),"")</f>
        <v>COLLA-60</v>
      </c>
      <c r="I286" s="15" t="str">
        <f>IFERROR(_xlfn.TEXTAFTER(TableTake[[#This Row],[SKU]],"-",-1),"")</f>
        <v>KW</v>
      </c>
      <c r="J286" s="14">
        <f>'[1]2026 Orders'!H287</f>
        <v>399</v>
      </c>
      <c r="K286" t="str">
        <f>'[1]2026 Orders'!I287</f>
        <v>KW11-25.0</v>
      </c>
      <c r="L286">
        <f>'[1]2026 Orders'!J287</f>
        <v>399</v>
      </c>
      <c r="N286" s="10" t="str">
        <f>'[1]2026 Orders'!L287</f>
        <v>Picked</v>
      </c>
      <c r="O286">
        <f>'[1]2026 Orders'!M287</f>
        <v>0</v>
      </c>
      <c r="P286" t="str">
        <f>'[1]2026 Orders'!N287</f>
        <v>NA</v>
      </c>
      <c r="Q286">
        <f>'[1]2026 Orders'!O287</f>
        <v>604776739630</v>
      </c>
      <c r="R286">
        <f>'[1]2026 Orders'!P287</f>
        <v>0</v>
      </c>
      <c r="S286">
        <f>'[1]2026 Orders'!Q287</f>
        <v>0</v>
      </c>
      <c r="T286">
        <f>'[1]2026 Orders'!R287</f>
        <v>0</v>
      </c>
      <c r="U286">
        <f>'[1]2026 Orders'!S287</f>
        <v>0</v>
      </c>
      <c r="V286">
        <f>'[1]2026 Orders'!T287</f>
        <v>0</v>
      </c>
      <c r="W286">
        <f>'[1]2026 Orders'!U287</f>
        <v>0</v>
      </c>
      <c r="X286">
        <f>'[1]2026 Orders'!V287</f>
        <v>0</v>
      </c>
      <c r="Y286">
        <f>'[1]2026 Orders'!W287</f>
        <v>0</v>
      </c>
      <c r="Z286">
        <f>'[1]2026 Orders'!X287</f>
        <v>0</v>
      </c>
      <c r="AC286" t="str">
        <f t="shared" si="8"/>
        <v>399/</v>
      </c>
      <c r="AD286" t="e">
        <f t="shared" si="9"/>
        <v>#VALUE!</v>
      </c>
    </row>
    <row r="287" spans="1:30" ht="33" hidden="1" customHeight="1" x14ac:dyDescent="0.3">
      <c r="A287">
        <f>'[1]2026 Orders'!A288</f>
        <v>46098</v>
      </c>
      <c r="B287" s="14" t="str">
        <f>'[1]2026 Orders'!B288</f>
        <v>Kuwait</v>
      </c>
      <c r="C287" s="14" t="str">
        <f>'[1]2026 Orders'!C288</f>
        <v>A4668</v>
      </c>
      <c r="D287" s="14">
        <f>'[1]2026 Orders'!D288</f>
        <v>0</v>
      </c>
      <c r="E287" s="17" t="str" cm="1">
        <f t="array" ref="E287">IF(C287=0,"",
HYPERLINK(
"#'2026 Orders'!C"&amp;
MATCH(1,
('2026 Orders'!C:C=C287)*
('2026 Orders'!G:G=G287)*
('2026 Orders'!N:N=N287),
0),
"Open "&amp;C287
))</f>
        <v>Open A4668</v>
      </c>
      <c r="F287" s="14" t="str">
        <f>'[1]2026 Orders'!F288</f>
        <v>Lot: 49030326</v>
      </c>
      <c r="G287" s="14" t="str">
        <f>'[1]2026 Orders'!G288</f>
        <v>COLLA-60-CS-KW</v>
      </c>
      <c r="H287" s="14" t="str" cm="1">
        <f t="array" ref="H287">IFERROR(_xlfn.TEXTJOIN("-",,INDEX(_xlfn.TEXTSPLIT(TableTake[[#This Row],[SKU]],"-"),{1,2})),"")</f>
        <v>COLLA-60</v>
      </c>
      <c r="I287" s="15" t="str">
        <f>IFERROR(_xlfn.TEXTAFTER(TableTake[[#This Row],[SKU]],"-",-1),"")</f>
        <v>KW</v>
      </c>
      <c r="J287" s="14">
        <f>'[1]2026 Orders'!H288</f>
        <v>301</v>
      </c>
      <c r="K287" t="str">
        <f>'[1]2026 Orders'!I288</f>
        <v>KW11-25.0</v>
      </c>
      <c r="L287">
        <f>'[1]2026 Orders'!J288</f>
        <v>301</v>
      </c>
      <c r="N287" s="10" t="str">
        <f>'[1]2026 Orders'!L288</f>
        <v>Picked</v>
      </c>
      <c r="O287">
        <f>'[1]2026 Orders'!M288</f>
        <v>0</v>
      </c>
      <c r="P287" t="str">
        <f>'[1]2026 Orders'!N288</f>
        <v>NA</v>
      </c>
      <c r="Q287">
        <f>'[1]2026 Orders'!O288</f>
        <v>604776739630</v>
      </c>
      <c r="R287">
        <f>'[1]2026 Orders'!P288</f>
        <v>0</v>
      </c>
      <c r="S287">
        <f>'[1]2026 Orders'!Q288</f>
        <v>0</v>
      </c>
      <c r="T287">
        <f>'[1]2026 Orders'!R288</f>
        <v>0</v>
      </c>
      <c r="U287">
        <f>'[1]2026 Orders'!S288</f>
        <v>0</v>
      </c>
      <c r="V287">
        <f>'[1]2026 Orders'!T288</f>
        <v>0</v>
      </c>
      <c r="W287">
        <f>'[1]2026 Orders'!U288</f>
        <v>0</v>
      </c>
      <c r="X287">
        <f>'[1]2026 Orders'!V288</f>
        <v>0</v>
      </c>
      <c r="Y287">
        <f>'[1]2026 Orders'!W288</f>
        <v>0</v>
      </c>
      <c r="Z287">
        <f>'[1]2026 Orders'!X288</f>
        <v>0</v>
      </c>
      <c r="AC287" t="str">
        <f t="shared" si="8"/>
        <v>301/</v>
      </c>
      <c r="AD287" t="e">
        <f t="shared" si="9"/>
        <v>#VALUE!</v>
      </c>
    </row>
    <row r="288" spans="1:30" ht="33" hidden="1" customHeight="1" x14ac:dyDescent="0.3">
      <c r="A288">
        <f>'[1]2026 Orders'!A289</f>
        <v>46098</v>
      </c>
      <c r="B288" s="14" t="str">
        <f>'[1]2026 Orders'!B289</f>
        <v>Kuwait</v>
      </c>
      <c r="C288" s="14" t="str">
        <f>'[1]2026 Orders'!C289</f>
        <v>A4668</v>
      </c>
      <c r="D288" s="14">
        <f>'[1]2026 Orders'!D289</f>
        <v>0</v>
      </c>
      <c r="E288" s="17" t="str" cm="1">
        <f t="array" ref="E288">IF(C288=0,"",
HYPERLINK(
"#'2026 Orders'!C"&amp;
MATCH(1,
('2026 Orders'!C:C=C288)*
('2026 Orders'!G:G=G288)*
('2026 Orders'!N:N=N288),
0),
"Open "&amp;C288
))</f>
        <v>Open A4668</v>
      </c>
      <c r="F288" s="14">
        <f>'[1]2026 Orders'!F289</f>
        <v>0</v>
      </c>
      <c r="G288" s="14" t="str">
        <f>'[1]2026 Orders'!G289</f>
        <v>DHEA50-60-CS-KW</v>
      </c>
      <c r="H288" s="14" t="str" cm="1">
        <f t="array" ref="H288">IFERROR(_xlfn.TEXTJOIN("-",,INDEX(_xlfn.TEXTSPLIT(TableTake[[#This Row],[SKU]],"-"),{1,2})),"")</f>
        <v>DHEA50-60</v>
      </c>
      <c r="I288" s="15" t="str">
        <f>IFERROR(_xlfn.TEXTAFTER(TableTake[[#This Row],[SKU]],"-",-1),"")</f>
        <v>KW</v>
      </c>
      <c r="J288" s="14">
        <f>'[1]2026 Orders'!H289</f>
        <v>1000</v>
      </c>
      <c r="K288" t="str">
        <f>'[1]2026 Orders'!I289</f>
        <v>KW13-25.0</v>
      </c>
      <c r="L288">
        <f>'[1]2026 Orders'!J289</f>
        <v>0</v>
      </c>
      <c r="N288" s="10" t="str">
        <f>'[1]2026 Orders'!L289</f>
        <v>In Production</v>
      </c>
      <c r="O288">
        <f>'[1]2026 Orders'!M289</f>
        <v>0</v>
      </c>
      <c r="P288" t="str">
        <f>'[1]2026 Orders'!N289</f>
        <v>NA</v>
      </c>
      <c r="Q288">
        <f>'[1]2026 Orders'!O289</f>
        <v>604776739517</v>
      </c>
      <c r="R288">
        <f>'[1]2026 Orders'!P289</f>
        <v>7000</v>
      </c>
      <c r="S288">
        <f>'[1]2026 Orders'!Q289</f>
        <v>5027</v>
      </c>
      <c r="T288">
        <f>'[1]2026 Orders'!R289</f>
        <v>46201</v>
      </c>
      <c r="U288">
        <f>'[1]2026 Orders'!S289</f>
        <v>0</v>
      </c>
      <c r="V288">
        <f>'[1]2026 Orders'!T289</f>
        <v>0</v>
      </c>
      <c r="W288">
        <f>'[1]2026 Orders'!U289</f>
        <v>0</v>
      </c>
      <c r="X288">
        <f>'[1]2026 Orders'!V289</f>
        <v>0</v>
      </c>
      <c r="Y288">
        <f>'[1]2026 Orders'!W289</f>
        <v>0</v>
      </c>
      <c r="Z288">
        <f>'[1]2026 Orders'!X289</f>
        <v>0</v>
      </c>
      <c r="AC288" t="str">
        <f t="shared" si="8"/>
        <v>1000/</v>
      </c>
      <c r="AD288" t="e">
        <f t="shared" si="9"/>
        <v>#VALUE!</v>
      </c>
    </row>
    <row r="289" spans="1:30" ht="33" hidden="1" customHeight="1" x14ac:dyDescent="0.3">
      <c r="A289">
        <f>'[1]2026 Orders'!A290</f>
        <v>46098</v>
      </c>
      <c r="B289" s="14" t="str">
        <f>'[1]2026 Orders'!B290</f>
        <v>Kuwait</v>
      </c>
      <c r="C289" s="14" t="str">
        <f>'[1]2026 Orders'!C290</f>
        <v>A4668</v>
      </c>
      <c r="D289" s="14">
        <f>'[1]2026 Orders'!D290</f>
        <v>0</v>
      </c>
      <c r="E289" s="17" t="str" cm="1">
        <f t="array" ref="E289">IF(C289=0,"",
HYPERLINK(
"#'2026 Orders'!C"&amp;
MATCH(1,
('2026 Orders'!C:C=C289)*
('2026 Orders'!G:G=G289)*
('2026 Orders'!N:N=N289),
0),
"Open "&amp;C289
))</f>
        <v>Open A4668</v>
      </c>
      <c r="F289" s="14" t="str">
        <f>'[1]2026 Orders'!F290</f>
        <v>3/25/2026:
qty changed 1,000 -&gt; 1,500
(500 packs added from Kuwait A4587)</v>
      </c>
      <c r="G289" s="14" t="str">
        <f>'[1]2026 Orders'!G290</f>
        <v>OMEGA3-60-FD</v>
      </c>
      <c r="H289" s="14" t="str" cm="1">
        <f t="array" ref="H289">IFERROR(_xlfn.TEXTJOIN("-",,INDEX(_xlfn.TEXTSPLIT(TableTake[[#This Row],[SKU]],"-"),{1,2})),"")</f>
        <v>OMEGA3-60</v>
      </c>
      <c r="I289" s="15" t="str">
        <f>IFERROR(_xlfn.TEXTAFTER(TableTake[[#This Row],[SKU]],"-",-1),"")</f>
        <v>FD</v>
      </c>
      <c r="J289" s="14">
        <f>'[1]2026 Orders'!H290</f>
        <v>1500</v>
      </c>
      <c r="K289" t="str">
        <f>'[1]2026 Orders'!I290</f>
        <v>37-25.0</v>
      </c>
      <c r="L289">
        <f>'[1]2026 Orders'!J290</f>
        <v>0</v>
      </c>
      <c r="N289" s="10" t="str">
        <f>'[1]2026 Orders'!L290</f>
        <v>PO submitted</v>
      </c>
      <c r="O289">
        <f>'[1]2026 Orders'!M290</f>
        <v>0</v>
      </c>
      <c r="P289" t="str">
        <f>'[1]2026 Orders'!N290</f>
        <v>Y</v>
      </c>
      <c r="Q289">
        <f>'[1]2026 Orders'!O290</f>
        <v>810131199531</v>
      </c>
      <c r="R289">
        <f>'[1]2026 Orders'!P290</f>
        <v>5000</v>
      </c>
      <c r="S289">
        <f>'[1]2026 Orders'!Q290</f>
        <v>5035</v>
      </c>
      <c r="T289" t="str">
        <f>'[1]2026 Orders'!R290</f>
        <v>TBD</v>
      </c>
      <c r="U289" t="str">
        <f>'[1]2026 Orders'!S290</f>
        <v>Waiting for Bulk PL PO A4991 to ship for bottling, waiting for bulk release. Pending rebottling at Genova</v>
      </c>
      <c r="V289">
        <f>'[1]2026 Orders'!T290</f>
        <v>0</v>
      </c>
      <c r="W289">
        <f>'[1]2026 Orders'!U290</f>
        <v>0</v>
      </c>
      <c r="X289">
        <f>'[1]2026 Orders'!V290</f>
        <v>0</v>
      </c>
      <c r="Y289">
        <f>'[1]2026 Orders'!W290</f>
        <v>0</v>
      </c>
      <c r="Z289">
        <f>'[1]2026 Orders'!X290</f>
        <v>0</v>
      </c>
      <c r="AC289" t="str">
        <f t="shared" si="8"/>
        <v>1500/</v>
      </c>
      <c r="AD289" t="e">
        <f t="shared" si="9"/>
        <v>#VALUE!</v>
      </c>
    </row>
    <row r="290" spans="1:30" ht="33" hidden="1" customHeight="1" x14ac:dyDescent="0.3">
      <c r="A290">
        <f>'[1]2026 Orders'!A291</f>
        <v>45981</v>
      </c>
      <c r="B290" s="14" t="str">
        <f>'[1]2026 Orders'!B291</f>
        <v>Kuwait</v>
      </c>
      <c r="C290" s="14" t="str">
        <f>'[1]2026 Orders'!C291</f>
        <v>A4668</v>
      </c>
      <c r="D290" s="14">
        <f>'[1]2026 Orders'!D291</f>
        <v>0</v>
      </c>
      <c r="E290" s="17" t="str" cm="1">
        <f t="array" ref="E290">IF(C290=0,"",
HYPERLINK(
"#'2026 Orders'!C"&amp;
MATCH(1,
('2026 Orders'!C:C=C290)*
('2026 Orders'!G:G=G290)*
('2026 Orders'!N:N=N290),
0),
"Open "&amp;C290
))</f>
        <v>Open A4668</v>
      </c>
      <c r="F290" s="14" t="str">
        <f>'[1]2026 Orders'!F291</f>
        <v>3/26/2026: Item added from Kuwait A4587</v>
      </c>
      <c r="G290" s="14" t="str">
        <f>'[1]2026 Orders'!G291</f>
        <v>OME369-90-FD</v>
      </c>
      <c r="H290" s="14" t="str" cm="1">
        <f t="array" ref="H290">IFERROR(_xlfn.TEXTJOIN("-",,INDEX(_xlfn.TEXTSPLIT(TableTake[[#This Row],[SKU]],"-"),{1,2})),"")</f>
        <v>OME369-90</v>
      </c>
      <c r="I290" s="15" t="str">
        <f>IFERROR(_xlfn.TEXTAFTER(TableTake[[#This Row],[SKU]],"-",-1),"")</f>
        <v>FD</v>
      </c>
      <c r="J290" s="14">
        <f>'[1]2026 Orders'!H291</f>
        <v>300</v>
      </c>
      <c r="K290" t="str">
        <f>'[1]2026 Orders'!I291</f>
        <v>F36-22.1</v>
      </c>
      <c r="L290">
        <f>'[1]2026 Orders'!J291</f>
        <v>300</v>
      </c>
      <c r="N290" s="10" t="str">
        <f>'[1]2026 Orders'!L291</f>
        <v>Picked</v>
      </c>
      <c r="O290">
        <f>'[1]2026 Orders'!M291</f>
        <v>0</v>
      </c>
      <c r="P290" t="str">
        <f>'[1]2026 Orders'!N291</f>
        <v>Y</v>
      </c>
      <c r="Q290" t="str">
        <f>'[1]2026 Orders'!O291</f>
        <v>609788968511</v>
      </c>
      <c r="R290">
        <f>'[1]2026 Orders'!P291</f>
        <v>0</v>
      </c>
      <c r="S290">
        <f>'[1]2026 Orders'!Q291</f>
        <v>0</v>
      </c>
      <c r="T290">
        <f>'[1]2026 Orders'!R291</f>
        <v>0</v>
      </c>
      <c r="U290">
        <f>'[1]2026 Orders'!S291</f>
        <v>0</v>
      </c>
      <c r="V290">
        <f>'[1]2026 Orders'!T291</f>
        <v>0</v>
      </c>
      <c r="W290">
        <f>'[1]2026 Orders'!U291</f>
        <v>0</v>
      </c>
      <c r="X290">
        <f>'[1]2026 Orders'!V291</f>
        <v>0</v>
      </c>
      <c r="Y290">
        <f>'[1]2026 Orders'!W291</f>
        <v>0</v>
      </c>
      <c r="Z290">
        <f>'[1]2026 Orders'!X291</f>
        <v>0</v>
      </c>
      <c r="AC290" t="str">
        <f t="shared" si="8"/>
        <v>300/</v>
      </c>
      <c r="AD290" t="e">
        <f t="shared" si="9"/>
        <v>#VALUE!</v>
      </c>
    </row>
    <row r="291" spans="1:30" ht="33" hidden="1" customHeight="1" x14ac:dyDescent="0.3">
      <c r="A291">
        <f>'[1]2026 Orders'!A292</f>
        <v>46112</v>
      </c>
      <c r="B291" s="14" t="str">
        <f>'[1]2026 Orders'!B292</f>
        <v xml:space="preserve">Kuwait </v>
      </c>
      <c r="C291" s="14" t="str">
        <f>'[1]2026 Orders'!C292</f>
        <v>A4668</v>
      </c>
      <c r="D291" s="14">
        <f>'[1]2026 Orders'!D292</f>
        <v>0</v>
      </c>
      <c r="E291" s="17" t="str" cm="1">
        <f t="array" ref="E291">IF(C291=0,"",
HYPERLINK(
"#'2026 Orders'!C"&amp;
MATCH(1,
('2026 Orders'!C:C=C291)*
('2026 Orders'!G:G=G291)*
('2026 Orders'!N:N=N291),
0),
"Open "&amp;C291
))</f>
        <v>Open A4668</v>
      </c>
      <c r="F291" s="14" t="str">
        <f>'[1]2026 Orders'!F292</f>
        <v>3/31/2026: Item added to order
4/3/2026: Awaiting TD confirmation
4/16/2026: *PRODUCT TO CONTAIN NO TITANIUM DIOXIDE*
6/10/2026: * Approved to send without IFC's *</v>
      </c>
      <c r="G291" s="14" t="str">
        <f>'[1]2026 Orders'!G292</f>
        <v>OSTEOPL-96-CS-KW</v>
      </c>
      <c r="H291" s="14" t="str" cm="1">
        <f t="array" ref="H291">IFERROR(_xlfn.TEXTJOIN("-",,INDEX(_xlfn.TEXTSPLIT(TableTake[[#This Row],[SKU]],"-"),{1,2})),"")</f>
        <v>OSTEOPL-96</v>
      </c>
      <c r="I291" s="15" t="str">
        <f>IFERROR(_xlfn.TEXTAFTER(TableTake[[#This Row],[SKU]],"-",-1),"")</f>
        <v>KW</v>
      </c>
      <c r="J291" s="14">
        <f>'[1]2026 Orders'!H292</f>
        <v>500</v>
      </c>
      <c r="K291" t="str">
        <f>'[1]2026 Orders'!I292</f>
        <v>ait</v>
      </c>
      <c r="L291">
        <f>'[1]2026 Orders'!J292</f>
        <v>500</v>
      </c>
      <c r="N291" s="10" t="str">
        <f>'[1]2026 Orders'!L292</f>
        <v>Rework</v>
      </c>
      <c r="O291" t="str">
        <f>'[1]2026 Orders'!M292</f>
        <v>LOT:4335
QTY 1036 AVAILABLE, 6/8/2026: Label and IFC Requested</v>
      </c>
      <c r="P291" t="str">
        <f>'[1]2026 Orders'!N292</f>
        <v>Y</v>
      </c>
      <c r="Q291">
        <f>'[1]2026 Orders'!O292</f>
        <v>604776739258</v>
      </c>
      <c r="R291">
        <f>'[1]2026 Orders'!P292</f>
        <v>0</v>
      </c>
      <c r="S291">
        <f>'[1]2026 Orders'!Q292</f>
        <v>0</v>
      </c>
      <c r="T291">
        <f>'[1]2026 Orders'!R292</f>
        <v>0</v>
      </c>
      <c r="U291" t="str">
        <f>'[1]2026 Orders'!S292</f>
        <v>Small batch with Genova?</v>
      </c>
      <c r="V291">
        <f>'[1]2026 Orders'!T292</f>
        <v>0</v>
      </c>
      <c r="W291">
        <f>'[1]2026 Orders'!U292</f>
        <v>0</v>
      </c>
      <c r="X291">
        <f>'[1]2026 Orders'!V292</f>
        <v>0</v>
      </c>
      <c r="Y291">
        <f>'[1]2026 Orders'!W292</f>
        <v>0</v>
      </c>
      <c r="Z291">
        <f>'[1]2026 Orders'!X292</f>
        <v>0</v>
      </c>
      <c r="AC291" t="str">
        <f t="shared" si="8"/>
        <v>500/</v>
      </c>
      <c r="AD291" t="e">
        <f t="shared" si="9"/>
        <v>#VALUE!</v>
      </c>
    </row>
    <row r="292" spans="1:30" ht="33" hidden="1" customHeight="1" x14ac:dyDescent="0.3">
      <c r="A292">
        <f>'[1]2026 Orders'!A293</f>
        <v>0</v>
      </c>
      <c r="B292" s="14">
        <f>'[1]2026 Orders'!B293</f>
        <v>0</v>
      </c>
      <c r="C292" s="14">
        <f>'[1]2026 Orders'!C293</f>
        <v>0</v>
      </c>
      <c r="D292" s="14">
        <f>'[1]2026 Orders'!D293</f>
        <v>0</v>
      </c>
      <c r="E292" s="17" t="str" cm="1">
        <f t="array" ref="E292">IF(C292=0,"",
HYPERLINK(
"#'2026 Orders'!C"&amp;
MATCH(1,
('2026 Orders'!C:C=C292)*
('2026 Orders'!G:G=G292)*
('2026 Orders'!N:N=N292),
0),
"Open "&amp;C292
))</f>
        <v/>
      </c>
      <c r="F292" s="14">
        <f>'[1]2026 Orders'!F293</f>
        <v>0</v>
      </c>
      <c r="G292" s="14">
        <f>'[1]2026 Orders'!G293</f>
        <v>0</v>
      </c>
      <c r="H292" s="14" t="str" cm="1">
        <f t="array" ref="H292">IFERROR(_xlfn.TEXTJOIN("-",,INDEX(_xlfn.TEXTSPLIT(TableTake[[#This Row],[SKU]],"-"),{1,2})),"")</f>
        <v/>
      </c>
      <c r="I292" s="15" t="str">
        <f>IFERROR(_xlfn.TEXTAFTER(TableTake[[#This Row],[SKU]],"-",-1),"")</f>
        <v/>
      </c>
      <c r="J292" s="14">
        <f>'[1]2026 Orders'!H293</f>
        <v>0</v>
      </c>
      <c r="K292">
        <f>'[1]2026 Orders'!I293</f>
        <v>0</v>
      </c>
      <c r="L292">
        <f>'[1]2026 Orders'!J293</f>
        <v>0</v>
      </c>
      <c r="N292" s="10">
        <f>'[1]2026 Orders'!L293</f>
        <v>0</v>
      </c>
      <c r="O292">
        <f>'[1]2026 Orders'!M293</f>
        <v>0</v>
      </c>
      <c r="P292">
        <f>'[1]2026 Orders'!N293</f>
        <v>0</v>
      </c>
      <c r="Q292">
        <f>'[1]2026 Orders'!O293</f>
        <v>0</v>
      </c>
      <c r="R292">
        <f>'[1]2026 Orders'!P293</f>
        <v>0</v>
      </c>
      <c r="S292">
        <f>'[1]2026 Orders'!Q293</f>
        <v>0</v>
      </c>
      <c r="T292">
        <f>'[1]2026 Orders'!R293</f>
        <v>0</v>
      </c>
      <c r="U292">
        <f>'[1]2026 Orders'!S293</f>
        <v>0</v>
      </c>
      <c r="V292">
        <f>'[1]2026 Orders'!T293</f>
        <v>0</v>
      </c>
      <c r="W292">
        <f>'[1]2026 Orders'!U293</f>
        <v>0</v>
      </c>
      <c r="X292">
        <f>'[1]2026 Orders'!V293</f>
        <v>0</v>
      </c>
      <c r="Y292">
        <f>'[1]2026 Orders'!W293</f>
        <v>0</v>
      </c>
      <c r="Z292">
        <f>'[1]2026 Orders'!X293</f>
        <v>0</v>
      </c>
      <c r="AC292" t="str">
        <f t="shared" si="8"/>
        <v/>
      </c>
      <c r="AD292" t="str">
        <f t="shared" si="9"/>
        <v/>
      </c>
    </row>
    <row r="293" spans="1:30" ht="33" hidden="1" customHeight="1" x14ac:dyDescent="0.3">
      <c r="A293">
        <f>'[1]2026 Orders'!A294</f>
        <v>46108</v>
      </c>
      <c r="B293" s="14" t="str">
        <f>'[1]2026 Orders'!B294</f>
        <v>Greece</v>
      </c>
      <c r="C293" s="14" t="str">
        <f>'[1]2026 Orders'!C294</f>
        <v>A4672</v>
      </c>
      <c r="D293" s="14">
        <f>'[1]2026 Orders'!D294</f>
        <v>0</v>
      </c>
      <c r="E293" s="17" t="str" cm="1">
        <f t="array" ref="E293">IF(C293=0,"",
HYPERLINK(
"#'2026 Orders'!C"&amp;
MATCH(1,
('2026 Orders'!C:C=C293)*
('2026 Orders'!G:G=G293)*
('2026 Orders'!N:N=N293),
0),
"Open "&amp;C293
))</f>
        <v>Open A4672</v>
      </c>
      <c r="F293" s="14">
        <f>'[1]2026 Orders'!F294</f>
        <v>0</v>
      </c>
      <c r="G293" s="14" t="str">
        <f>'[1]2026 Orders'!G294</f>
        <v>OVAMAX-120-CS-GR</v>
      </c>
      <c r="H293" s="14" t="str" cm="1">
        <f t="array" ref="H293">IFERROR(_xlfn.TEXTJOIN("-",,INDEX(_xlfn.TEXTSPLIT(TableTake[[#This Row],[SKU]],"-"),{1,2})),"")</f>
        <v>OVAMAX-120</v>
      </c>
      <c r="I293" s="15" t="str">
        <f>IFERROR(_xlfn.TEXTAFTER(TableTake[[#This Row],[SKU]],"-",-1),"")</f>
        <v>GR</v>
      </c>
      <c r="J293" s="14">
        <f>'[1]2026 Orders'!H294</f>
        <v>552</v>
      </c>
      <c r="K293" t="str">
        <f>'[1]2026 Orders'!I294</f>
        <v>GR41-25.1</v>
      </c>
      <c r="L293">
        <f>'[1]2026 Orders'!J294</f>
        <v>552</v>
      </c>
      <c r="N293" s="10" t="str">
        <f>'[1]2026 Orders'!L294</f>
        <v>D/W Sent</v>
      </c>
      <c r="O293">
        <f>'[1]2026 Orders'!M294</f>
        <v>46148</v>
      </c>
      <c r="P293" t="str">
        <f>'[1]2026 Orders'!N294</f>
        <v>NA</v>
      </c>
      <c r="Q293">
        <f>'[1]2026 Orders'!O294</f>
        <v>604776736943</v>
      </c>
      <c r="R293">
        <f>'[1]2026 Orders'!P294</f>
        <v>0</v>
      </c>
      <c r="S293">
        <f>'[1]2026 Orders'!Q294</f>
        <v>0</v>
      </c>
      <c r="T293">
        <f>'[1]2026 Orders'!R294</f>
        <v>0</v>
      </c>
      <c r="U293">
        <f>'[1]2026 Orders'!S294</f>
        <v>0</v>
      </c>
      <c r="V293">
        <f>'[1]2026 Orders'!T294</f>
        <v>0</v>
      </c>
      <c r="W293">
        <f>'[1]2026 Orders'!U294</f>
        <v>0</v>
      </c>
      <c r="X293">
        <f>'[1]2026 Orders'!V294</f>
        <v>0</v>
      </c>
      <c r="Y293">
        <f>'[1]2026 Orders'!W294</f>
        <v>0</v>
      </c>
      <c r="Z293" t="str">
        <f>'[1]2026 Orders'!X294</f>
        <v>Approved</v>
      </c>
      <c r="AC293" t="str">
        <f t="shared" si="8"/>
        <v>552/</v>
      </c>
      <c r="AD293" t="e">
        <f t="shared" si="9"/>
        <v>#VALUE!</v>
      </c>
    </row>
    <row r="294" spans="1:30" ht="33" hidden="1" customHeight="1" x14ac:dyDescent="0.3">
      <c r="A294">
        <f>'[1]2026 Orders'!A295</f>
        <v>46108</v>
      </c>
      <c r="B294" s="14" t="str">
        <f>'[1]2026 Orders'!B295</f>
        <v>Greece</v>
      </c>
      <c r="C294" s="14" t="str">
        <f>'[1]2026 Orders'!C295</f>
        <v>A4672</v>
      </c>
      <c r="D294" s="14">
        <f>'[1]2026 Orders'!D295</f>
        <v>0</v>
      </c>
      <c r="E294" s="17" t="str" cm="1">
        <f t="array" ref="E294">IF(C294=0,"",
HYPERLINK(
"#'2026 Orders'!C"&amp;
MATCH(1,
('2026 Orders'!C:C=C294)*
('2026 Orders'!G:G=G294)*
('2026 Orders'!N:N=N294),
0),
"Open "&amp;C294
))</f>
        <v>Open A4672</v>
      </c>
      <c r="F294" s="14">
        <f>'[1]2026 Orders'!F295</f>
        <v>0</v>
      </c>
      <c r="G294" s="14" t="str">
        <f>'[1]2026 Orders'!G295</f>
        <v>METRIO-60-CS-GR</v>
      </c>
      <c r="H294" s="14" t="str" cm="1">
        <f t="array" ref="H294">IFERROR(_xlfn.TEXTJOIN("-",,INDEX(_xlfn.TEXTSPLIT(TableTake[[#This Row],[SKU]],"-"),{1,2})),"")</f>
        <v>METRIO-60</v>
      </c>
      <c r="I294" s="15" t="str">
        <f>IFERROR(_xlfn.TEXTAFTER(TableTake[[#This Row],[SKU]],"-",-1),"")</f>
        <v>GR</v>
      </c>
      <c r="J294" s="14">
        <f>'[1]2026 Orders'!H295</f>
        <v>144</v>
      </c>
      <c r="K294" t="str">
        <f>'[1]2026 Orders'!I295</f>
        <v>GR28-25.0</v>
      </c>
      <c r="L294">
        <f>'[1]2026 Orders'!J295</f>
        <v>144</v>
      </c>
      <c r="N294" s="10" t="str">
        <f>'[1]2026 Orders'!L295</f>
        <v>D/W Sent</v>
      </c>
      <c r="O294">
        <f>'[1]2026 Orders'!M295</f>
        <v>0</v>
      </c>
      <c r="P294" t="str">
        <f>'[1]2026 Orders'!N295</f>
        <v>NA</v>
      </c>
      <c r="Q294">
        <f>'[1]2026 Orders'!O295</f>
        <v>604776736936</v>
      </c>
      <c r="R294">
        <f>'[1]2026 Orders'!P295</f>
        <v>0</v>
      </c>
      <c r="S294">
        <f>'[1]2026 Orders'!Q295</f>
        <v>0</v>
      </c>
      <c r="T294">
        <f>'[1]2026 Orders'!R295</f>
        <v>0</v>
      </c>
      <c r="U294">
        <f>'[1]2026 Orders'!S295</f>
        <v>0</v>
      </c>
      <c r="V294">
        <f>'[1]2026 Orders'!T295</f>
        <v>0</v>
      </c>
      <c r="W294">
        <f>'[1]2026 Orders'!U295</f>
        <v>0</v>
      </c>
      <c r="X294">
        <f>'[1]2026 Orders'!V295</f>
        <v>0</v>
      </c>
      <c r="Y294">
        <f>'[1]2026 Orders'!W295</f>
        <v>0</v>
      </c>
      <c r="Z294">
        <f>'[1]2026 Orders'!X295</f>
        <v>0</v>
      </c>
      <c r="AC294" t="str">
        <f t="shared" si="8"/>
        <v>144/</v>
      </c>
      <c r="AD294" t="e">
        <f t="shared" si="9"/>
        <v>#VALUE!</v>
      </c>
    </row>
    <row r="295" spans="1:30" ht="33" hidden="1" customHeight="1" x14ac:dyDescent="0.3">
      <c r="A295">
        <f>'[1]2026 Orders'!A296</f>
        <v>46108</v>
      </c>
      <c r="B295" s="14" t="str">
        <f>'[1]2026 Orders'!B296</f>
        <v>Greece</v>
      </c>
      <c r="C295" s="14" t="str">
        <f>'[1]2026 Orders'!C296</f>
        <v>A4672</v>
      </c>
      <c r="D295" s="14">
        <f>'[1]2026 Orders'!D296</f>
        <v>0</v>
      </c>
      <c r="E295" s="17" t="str" cm="1">
        <f t="array" ref="E295">IF(C295=0,"",
HYPERLINK(
"#'2026 Orders'!C"&amp;
MATCH(1,
('2026 Orders'!C:C=C295)*
('2026 Orders'!G:G=G295)*
('2026 Orders'!N:N=N295),
0),
"Open "&amp;C295
))</f>
        <v>Open A4672</v>
      </c>
      <c r="F295" s="14">
        <f>'[1]2026 Orders'!F296</f>
        <v>0</v>
      </c>
      <c r="G295" s="14" t="str">
        <f>'[1]2026 Orders'!G296</f>
        <v>PEARLY-60-CS-GR</v>
      </c>
      <c r="H295" s="14" t="str" cm="1">
        <f t="array" ref="H295">IFERROR(_xlfn.TEXTJOIN("-",,INDEX(_xlfn.TEXTSPLIT(TableTake[[#This Row],[SKU]],"-"),{1,2})),"")</f>
        <v>PEARLY-60</v>
      </c>
      <c r="I295" s="15" t="str">
        <f>IFERROR(_xlfn.TEXTAFTER(TableTake[[#This Row],[SKU]],"-",-1),"")</f>
        <v>GR</v>
      </c>
      <c r="J295" s="14">
        <f>'[1]2026 Orders'!H296</f>
        <v>72</v>
      </c>
      <c r="K295" t="str">
        <f>'[1]2026 Orders'!I296</f>
        <v>GR42-25.0</v>
      </c>
      <c r="L295">
        <f>'[1]2026 Orders'!J296</f>
        <v>72</v>
      </c>
      <c r="N295" s="10" t="str">
        <f>'[1]2026 Orders'!L296</f>
        <v>D/W Sent</v>
      </c>
      <c r="O295">
        <f>'[1]2026 Orders'!M296</f>
        <v>0</v>
      </c>
      <c r="P295" t="str">
        <f>'[1]2026 Orders'!N296</f>
        <v>Y</v>
      </c>
      <c r="Q295">
        <f>'[1]2026 Orders'!O296</f>
        <v>604776737469</v>
      </c>
      <c r="R295">
        <f>'[1]2026 Orders'!P296</f>
        <v>0</v>
      </c>
      <c r="S295">
        <f>'[1]2026 Orders'!Q296</f>
        <v>0</v>
      </c>
      <c r="T295">
        <f>'[1]2026 Orders'!R296</f>
        <v>0</v>
      </c>
      <c r="U295">
        <f>'[1]2026 Orders'!S296</f>
        <v>0</v>
      </c>
      <c r="V295">
        <f>'[1]2026 Orders'!T296</f>
        <v>0</v>
      </c>
      <c r="W295">
        <f>'[1]2026 Orders'!U296</f>
        <v>0</v>
      </c>
      <c r="X295">
        <f>'[1]2026 Orders'!V296</f>
        <v>0</v>
      </c>
      <c r="Y295">
        <f>'[1]2026 Orders'!W296</f>
        <v>0</v>
      </c>
      <c r="Z295">
        <f>'[1]2026 Orders'!X296</f>
        <v>0</v>
      </c>
      <c r="AC295" t="str">
        <f t="shared" si="8"/>
        <v>72/</v>
      </c>
      <c r="AD295" t="e">
        <f t="shared" si="9"/>
        <v>#VALUE!</v>
      </c>
    </row>
    <row r="296" spans="1:30" ht="33" hidden="1" customHeight="1" x14ac:dyDescent="0.3">
      <c r="A296">
        <f>'[1]2026 Orders'!A297</f>
        <v>46108</v>
      </c>
      <c r="B296" s="14" t="str">
        <f>'[1]2026 Orders'!B297</f>
        <v>Greece</v>
      </c>
      <c r="C296" s="14" t="str">
        <f>'[1]2026 Orders'!C297</f>
        <v>A4672</v>
      </c>
      <c r="D296" s="14">
        <f>'[1]2026 Orders'!D297</f>
        <v>0</v>
      </c>
      <c r="E296" s="17" t="str" cm="1">
        <f t="array" ref="E296">IF(C296=0,"",
HYPERLINK(
"#'2026 Orders'!C"&amp;
MATCH(1,
('2026 Orders'!C:C=C296)*
('2026 Orders'!G:G=G296)*
('2026 Orders'!N:N=N296),
0),
"Open "&amp;C296
))</f>
        <v>Open A4672</v>
      </c>
      <c r="F296" s="14">
        <f>'[1]2026 Orders'!F297</f>
        <v>0</v>
      </c>
      <c r="G296" s="14" t="str">
        <f>'[1]2026 Orders'!G297</f>
        <v>PEDIAMU-50-FD</v>
      </c>
      <c r="H296" s="14" t="str" cm="1">
        <f t="array" ref="H296">IFERROR(_xlfn.TEXTJOIN("-",,INDEX(_xlfn.TEXTSPLIT(TableTake[[#This Row],[SKU]],"-"),{1,2})),"")</f>
        <v>PEDIAMU-50</v>
      </c>
      <c r="I296" s="15" t="str">
        <f>IFERROR(_xlfn.TEXTAFTER(TableTake[[#This Row],[SKU]],"-",-1),"")</f>
        <v>FD</v>
      </c>
      <c r="J296" s="14">
        <f>'[1]2026 Orders'!H297</f>
        <v>48</v>
      </c>
      <c r="K296" t="str">
        <f>'[1]2026 Orders'!I297</f>
        <v>F49-26.0</v>
      </c>
      <c r="L296">
        <f>'[1]2026 Orders'!J297</f>
        <v>48</v>
      </c>
      <c r="N296" s="10" t="str">
        <f>'[1]2026 Orders'!L297</f>
        <v>D/W Sent</v>
      </c>
      <c r="O296" t="str">
        <f>'[1]2026 Orders'!M297</f>
        <v>Lot 45130425</v>
      </c>
      <c r="P296" t="str">
        <f>'[1]2026 Orders'!N297</f>
        <v>Y</v>
      </c>
      <c r="Q296">
        <f>'[1]2026 Orders'!O297</f>
        <v>810131199661</v>
      </c>
      <c r="R296">
        <f>'[1]2026 Orders'!P297</f>
        <v>0</v>
      </c>
      <c r="S296">
        <f>'[1]2026 Orders'!Q297</f>
        <v>0</v>
      </c>
      <c r="T296">
        <f>'[1]2026 Orders'!R297</f>
        <v>0</v>
      </c>
      <c r="U296">
        <f>'[1]2026 Orders'!S297</f>
        <v>0</v>
      </c>
      <c r="V296">
        <f>'[1]2026 Orders'!T297</f>
        <v>0</v>
      </c>
      <c r="W296">
        <f>'[1]2026 Orders'!U297</f>
        <v>0</v>
      </c>
      <c r="X296">
        <f>'[1]2026 Orders'!V297</f>
        <v>0</v>
      </c>
      <c r="Y296">
        <f>'[1]2026 Orders'!W297</f>
        <v>0</v>
      </c>
      <c r="Z296">
        <f>'[1]2026 Orders'!X297</f>
        <v>0</v>
      </c>
      <c r="AC296" t="str">
        <f t="shared" si="8"/>
        <v>48/</v>
      </c>
      <c r="AD296" t="e">
        <f t="shared" si="9"/>
        <v>#VALUE!</v>
      </c>
    </row>
    <row r="297" spans="1:30" ht="33" hidden="1" customHeight="1" x14ac:dyDescent="0.3">
      <c r="A297">
        <f>'[1]2026 Orders'!A298</f>
        <v>0</v>
      </c>
      <c r="B297" s="14">
        <f>'[1]2026 Orders'!B298</f>
        <v>0</v>
      </c>
      <c r="C297" s="14">
        <f>'[1]2026 Orders'!C298</f>
        <v>0</v>
      </c>
      <c r="D297" s="14">
        <f>'[1]2026 Orders'!D298</f>
        <v>0</v>
      </c>
      <c r="E297" s="17" t="str" cm="1">
        <f t="array" ref="E297">IF(C297=0,"",
HYPERLINK(
"#'2026 Orders'!C"&amp;
MATCH(1,
('2026 Orders'!C:C=C297)*
('2026 Orders'!G:G=G297)*
('2026 Orders'!N:N=N297),
0),
"Open "&amp;C297
))</f>
        <v/>
      </c>
      <c r="F297" s="14">
        <f>'[1]2026 Orders'!F298</f>
        <v>0</v>
      </c>
      <c r="G297" s="14">
        <f>'[1]2026 Orders'!G298</f>
        <v>0</v>
      </c>
      <c r="H297" s="14" t="str" cm="1">
        <f t="array" ref="H297">IFERROR(_xlfn.TEXTJOIN("-",,INDEX(_xlfn.TEXTSPLIT(TableTake[[#This Row],[SKU]],"-"),{1,2})),"")</f>
        <v/>
      </c>
      <c r="I297" s="15" t="str">
        <f>IFERROR(_xlfn.TEXTAFTER(TableTake[[#This Row],[SKU]],"-",-1),"")</f>
        <v/>
      </c>
      <c r="J297" s="14">
        <f>'[1]2026 Orders'!H298</f>
        <v>0</v>
      </c>
      <c r="K297">
        <f>'[1]2026 Orders'!I298</f>
        <v>0</v>
      </c>
      <c r="L297">
        <f>'[1]2026 Orders'!J298</f>
        <v>0</v>
      </c>
      <c r="N297" s="10">
        <f>'[1]2026 Orders'!L298</f>
        <v>0</v>
      </c>
      <c r="O297">
        <f>'[1]2026 Orders'!M298</f>
        <v>0</v>
      </c>
      <c r="P297">
        <f>'[1]2026 Orders'!N298</f>
        <v>0</v>
      </c>
      <c r="Q297">
        <f>'[1]2026 Orders'!O298</f>
        <v>0</v>
      </c>
      <c r="R297">
        <f>'[1]2026 Orders'!P298</f>
        <v>0</v>
      </c>
      <c r="S297">
        <f>'[1]2026 Orders'!Q298</f>
        <v>0</v>
      </c>
      <c r="T297">
        <f>'[1]2026 Orders'!R298</f>
        <v>0</v>
      </c>
      <c r="U297">
        <f>'[1]2026 Orders'!S298</f>
        <v>0</v>
      </c>
      <c r="V297">
        <f>'[1]2026 Orders'!T298</f>
        <v>0</v>
      </c>
      <c r="W297">
        <f>'[1]2026 Orders'!U298</f>
        <v>0</v>
      </c>
      <c r="X297">
        <f>'[1]2026 Orders'!V298</f>
        <v>0</v>
      </c>
      <c r="Y297">
        <f>'[1]2026 Orders'!W298</f>
        <v>0</v>
      </c>
      <c r="Z297">
        <f>'[1]2026 Orders'!X298</f>
        <v>0</v>
      </c>
      <c r="AC297" t="str">
        <f t="shared" si="8"/>
        <v/>
      </c>
      <c r="AD297" t="str">
        <f t="shared" si="9"/>
        <v/>
      </c>
    </row>
    <row r="298" spans="1:30" ht="33" hidden="1" customHeight="1" x14ac:dyDescent="0.3">
      <c r="A298">
        <f>'[1]2026 Orders'!A299</f>
        <v>46108</v>
      </c>
      <c r="B298" s="14" t="str">
        <f>'[1]2026 Orders'!B299</f>
        <v>Greece</v>
      </c>
      <c r="C298" s="14" t="str">
        <f>'[1]2026 Orders'!C299</f>
        <v>A4673</v>
      </c>
      <c r="D298" s="14">
        <f>'[1]2026 Orders'!D299</f>
        <v>0</v>
      </c>
      <c r="E298" s="17" t="str" cm="1">
        <f t="array" ref="E298">IF(C298=0,"",
HYPERLINK(
"#'2026 Orders'!C"&amp;
MATCH(1,
('2026 Orders'!C:C=C298)*
('2026 Orders'!G:G=G298)*
('2026 Orders'!N:N=N298),
0),
"Open "&amp;C298
))</f>
        <v>Open A4673</v>
      </c>
      <c r="F298" s="14">
        <f>'[1]2026 Orders'!F299</f>
        <v>0</v>
      </c>
      <c r="G298" s="14" t="str">
        <f>'[1]2026 Orders'!G299</f>
        <v>FIBRO-60-CS-GR</v>
      </c>
      <c r="H298" s="14" t="str" cm="1">
        <f t="array" ref="H298">IFERROR(_xlfn.TEXTJOIN("-",,INDEX(_xlfn.TEXTSPLIT(TableTake[[#This Row],[SKU]],"-"),{1,2})),"")</f>
        <v>FIBRO-60</v>
      </c>
      <c r="I298" s="15" t="str">
        <f>IFERROR(_xlfn.TEXTAFTER(TableTake[[#This Row],[SKU]],"-",-1),"")</f>
        <v>GR</v>
      </c>
      <c r="J298" s="14">
        <f>'[1]2026 Orders'!H299</f>
        <v>48</v>
      </c>
      <c r="K298" t="str">
        <f>'[1]2026 Orders'!I299</f>
        <v>GR17-25.0</v>
      </c>
      <c r="L298">
        <f>'[1]2026 Orders'!J299</f>
        <v>48</v>
      </c>
      <c r="N298" s="10" t="str">
        <f>'[1]2026 Orders'!L299</f>
        <v>D/W Sent</v>
      </c>
      <c r="O298">
        <f>'[1]2026 Orders'!M299</f>
        <v>46146</v>
      </c>
      <c r="P298" t="str">
        <f>'[1]2026 Orders'!N299</f>
        <v>NA</v>
      </c>
      <c r="Q298">
        <f>'[1]2026 Orders'!O299</f>
        <v>604776739524</v>
      </c>
      <c r="R298">
        <f>'[1]2026 Orders'!P299</f>
        <v>0</v>
      </c>
      <c r="S298">
        <f>'[1]2026 Orders'!Q299</f>
        <v>0</v>
      </c>
      <c r="T298">
        <f>'[1]2026 Orders'!R299</f>
        <v>0</v>
      </c>
      <c r="U298">
        <f>'[1]2026 Orders'!S299</f>
        <v>0</v>
      </c>
      <c r="V298">
        <f>'[1]2026 Orders'!T299</f>
        <v>0</v>
      </c>
      <c r="W298">
        <f>'[1]2026 Orders'!U299</f>
        <v>0</v>
      </c>
      <c r="X298">
        <f>'[1]2026 Orders'!V299</f>
        <v>0</v>
      </c>
      <c r="Y298">
        <f>'[1]2026 Orders'!W299</f>
        <v>0</v>
      </c>
      <c r="Z298" t="str">
        <f>'[1]2026 Orders'!X299</f>
        <v>Approved</v>
      </c>
      <c r="AC298" t="str">
        <f t="shared" si="8"/>
        <v>48/</v>
      </c>
      <c r="AD298" t="e">
        <f t="shared" si="9"/>
        <v>#VALUE!</v>
      </c>
    </row>
    <row r="299" spans="1:30" ht="33" hidden="1" customHeight="1" x14ac:dyDescent="0.3">
      <c r="A299">
        <f>'[1]2026 Orders'!A300</f>
        <v>46108</v>
      </c>
      <c r="B299" s="14" t="str">
        <f>'[1]2026 Orders'!B300</f>
        <v>Greece</v>
      </c>
      <c r="C299" s="14" t="str">
        <f>'[1]2026 Orders'!C300</f>
        <v>A4673</v>
      </c>
      <c r="D299" s="14">
        <f>'[1]2026 Orders'!D300</f>
        <v>0</v>
      </c>
      <c r="E299" s="17" t="str" cm="1">
        <f t="array" ref="E299">IF(C299=0,"",
HYPERLINK(
"#'2026 Orders'!C"&amp;
MATCH(1,
('2026 Orders'!C:C=C299)*
('2026 Orders'!G:G=G299)*
('2026 Orders'!N:N=N299),
0),
"Open "&amp;C299
))</f>
        <v>Open A4673</v>
      </c>
      <c r="F299" s="14">
        <f>'[1]2026 Orders'!F300</f>
        <v>0</v>
      </c>
      <c r="G299" s="14" t="str">
        <f>'[1]2026 Orders'!G300</f>
        <v>XTRAD10-60-CS-GR</v>
      </c>
      <c r="H299" s="14" t="str" cm="1">
        <f t="array" ref="H299">IFERROR(_xlfn.TEXTJOIN("-",,INDEX(_xlfn.TEXTSPLIT(TableTake[[#This Row],[SKU]],"-"),{1,2})),"")</f>
        <v>XTRAD10-60</v>
      </c>
      <c r="I299" s="15" t="str">
        <f>IFERROR(_xlfn.TEXTAFTER(TableTake[[#This Row],[SKU]],"-",-1),"")</f>
        <v>GR</v>
      </c>
      <c r="J299" s="14">
        <f>'[1]2026 Orders'!H300</f>
        <v>96</v>
      </c>
      <c r="K299" t="str">
        <f>'[1]2026 Orders'!I300</f>
        <v>GR76-25.0</v>
      </c>
      <c r="L299">
        <f>'[1]2026 Orders'!J300</f>
        <v>96</v>
      </c>
      <c r="N299" s="10" t="str">
        <f>'[1]2026 Orders'!L300</f>
        <v>D/W Sent</v>
      </c>
      <c r="O299">
        <f>'[1]2026 Orders'!M300</f>
        <v>0</v>
      </c>
      <c r="P299" t="str">
        <f>'[1]2026 Orders'!N300</f>
        <v>NA</v>
      </c>
      <c r="Q299">
        <f>'[1]2026 Orders'!O300</f>
        <v>604776736882</v>
      </c>
      <c r="R299">
        <f>'[1]2026 Orders'!P300</f>
        <v>0</v>
      </c>
      <c r="S299">
        <f>'[1]2026 Orders'!Q300</f>
        <v>0</v>
      </c>
      <c r="T299">
        <f>'[1]2026 Orders'!R300</f>
        <v>0</v>
      </c>
      <c r="U299">
        <f>'[1]2026 Orders'!S300</f>
        <v>0</v>
      </c>
      <c r="V299">
        <f>'[1]2026 Orders'!T300</f>
        <v>0</v>
      </c>
      <c r="W299">
        <f>'[1]2026 Orders'!U300</f>
        <v>0</v>
      </c>
      <c r="X299">
        <f>'[1]2026 Orders'!V300</f>
        <v>0</v>
      </c>
      <c r="Y299">
        <f>'[1]2026 Orders'!W300</f>
        <v>0</v>
      </c>
      <c r="Z299">
        <f>'[1]2026 Orders'!X300</f>
        <v>0</v>
      </c>
      <c r="AC299" t="str">
        <f t="shared" si="8"/>
        <v>96/</v>
      </c>
      <c r="AD299" t="e">
        <f t="shared" si="9"/>
        <v>#VALUE!</v>
      </c>
    </row>
    <row r="300" spans="1:30" ht="33" hidden="1" customHeight="1" x14ac:dyDescent="0.3">
      <c r="A300">
        <f>'[1]2026 Orders'!A301</f>
        <v>46108</v>
      </c>
      <c r="B300" s="14" t="str">
        <f>'[1]2026 Orders'!B301</f>
        <v>Greece</v>
      </c>
      <c r="C300" s="14" t="str">
        <f>'[1]2026 Orders'!C301</f>
        <v>A4673</v>
      </c>
      <c r="D300" s="14">
        <f>'[1]2026 Orders'!D301</f>
        <v>0</v>
      </c>
      <c r="E300" s="17" t="str" cm="1">
        <f t="array" ref="E300">IF(C300=0,"",
HYPERLINK(
"#'2026 Orders'!C"&amp;
MATCH(1,
('2026 Orders'!C:C=C300)*
('2026 Orders'!G:G=G300)*
('2026 Orders'!N:N=N300),
0),
"Open "&amp;C300
))</f>
        <v>Open A4673</v>
      </c>
      <c r="F300" s="14">
        <f>'[1]2026 Orders'!F301</f>
        <v>0</v>
      </c>
      <c r="G300" s="14" t="str">
        <f>'[1]2026 Orders'!G301</f>
        <v>PENAMAX-60-GE-CS-GR</v>
      </c>
      <c r="H300" s="14" t="str" cm="1">
        <f t="array" ref="H300">IFERROR(_xlfn.TEXTJOIN("-",,INDEX(_xlfn.TEXTSPLIT(TableTake[[#This Row],[SKU]],"-"),{1,2})),"")</f>
        <v>PENAMAX-60</v>
      </c>
      <c r="I300" s="15" t="str">
        <f>IFERROR(_xlfn.TEXTAFTER(TableTake[[#This Row],[SKU]],"-",-1),"")</f>
        <v>GR</v>
      </c>
      <c r="J300" s="14">
        <f>'[1]2026 Orders'!H301</f>
        <v>228</v>
      </c>
      <c r="K300" t="str">
        <f>'[1]2026 Orders'!I301</f>
        <v>GR88-25.0</v>
      </c>
      <c r="L300">
        <f>'[1]2026 Orders'!J301</f>
        <v>228</v>
      </c>
      <c r="N300" s="10" t="str">
        <f>'[1]2026 Orders'!L301</f>
        <v>D/W Sent</v>
      </c>
      <c r="O300">
        <f>'[1]2026 Orders'!M301</f>
        <v>0</v>
      </c>
      <c r="P300" t="str">
        <f>'[1]2026 Orders'!N301</f>
        <v>Y</v>
      </c>
      <c r="Q300">
        <f>'[1]2026 Orders'!O301</f>
        <v>604776736905</v>
      </c>
      <c r="R300">
        <f>'[1]2026 Orders'!P301</f>
        <v>0</v>
      </c>
      <c r="S300">
        <f>'[1]2026 Orders'!Q301</f>
        <v>0</v>
      </c>
      <c r="T300">
        <f>'[1]2026 Orders'!R301</f>
        <v>0</v>
      </c>
      <c r="U300">
        <f>'[1]2026 Orders'!S301</f>
        <v>0</v>
      </c>
      <c r="V300">
        <f>'[1]2026 Orders'!T301</f>
        <v>0</v>
      </c>
      <c r="W300">
        <f>'[1]2026 Orders'!U301</f>
        <v>0</v>
      </c>
      <c r="X300">
        <f>'[1]2026 Orders'!V301</f>
        <v>0</v>
      </c>
      <c r="Y300">
        <f>'[1]2026 Orders'!W301</f>
        <v>0</v>
      </c>
      <c r="Z300">
        <f>'[1]2026 Orders'!X301</f>
        <v>0</v>
      </c>
      <c r="AC300" t="str">
        <f t="shared" si="8"/>
        <v>228/</v>
      </c>
      <c r="AD300" t="e">
        <f t="shared" si="9"/>
        <v>#VALUE!</v>
      </c>
    </row>
    <row r="301" spans="1:30" ht="33" hidden="1" customHeight="1" x14ac:dyDescent="0.3">
      <c r="A301">
        <f>'[1]2026 Orders'!A302</f>
        <v>0</v>
      </c>
      <c r="B301" s="14">
        <f>'[1]2026 Orders'!B302</f>
        <v>0</v>
      </c>
      <c r="C301" s="14">
        <f>'[1]2026 Orders'!C302</f>
        <v>0</v>
      </c>
      <c r="D301" s="14">
        <f>'[1]2026 Orders'!D302</f>
        <v>0</v>
      </c>
      <c r="E301" s="17" t="str" cm="1">
        <f t="array" ref="E301">IF(C301=0,"",
HYPERLINK(
"#'2026 Orders'!C"&amp;
MATCH(1,
('2026 Orders'!C:C=C301)*
('2026 Orders'!G:G=G301)*
('2026 Orders'!N:N=N301),
0),
"Open "&amp;C301
))</f>
        <v/>
      </c>
      <c r="F301" s="14">
        <f>'[1]2026 Orders'!F302</f>
        <v>0</v>
      </c>
      <c r="G301" s="14">
        <f>'[1]2026 Orders'!G302</f>
        <v>0</v>
      </c>
      <c r="H301" s="14" t="str" cm="1">
        <f t="array" ref="H301">IFERROR(_xlfn.TEXTJOIN("-",,INDEX(_xlfn.TEXTSPLIT(TableTake[[#This Row],[SKU]],"-"),{1,2})),"")</f>
        <v/>
      </c>
      <c r="I301" s="15" t="str">
        <f>IFERROR(_xlfn.TEXTAFTER(TableTake[[#This Row],[SKU]],"-",-1),"")</f>
        <v/>
      </c>
      <c r="J301" s="14">
        <f>'[1]2026 Orders'!H302</f>
        <v>0</v>
      </c>
      <c r="K301">
        <f>'[1]2026 Orders'!I302</f>
        <v>0</v>
      </c>
      <c r="L301">
        <f>'[1]2026 Orders'!J302</f>
        <v>0</v>
      </c>
      <c r="N301" s="10">
        <f>'[1]2026 Orders'!L302</f>
        <v>0</v>
      </c>
      <c r="O301">
        <f>'[1]2026 Orders'!M302</f>
        <v>0</v>
      </c>
      <c r="P301">
        <f>'[1]2026 Orders'!N302</f>
        <v>0</v>
      </c>
      <c r="Q301">
        <f>'[1]2026 Orders'!O302</f>
        <v>0</v>
      </c>
      <c r="R301">
        <f>'[1]2026 Orders'!P302</f>
        <v>0</v>
      </c>
      <c r="S301">
        <f>'[1]2026 Orders'!Q302</f>
        <v>0</v>
      </c>
      <c r="T301">
        <f>'[1]2026 Orders'!R302</f>
        <v>0</v>
      </c>
      <c r="U301">
        <f>'[1]2026 Orders'!S302</f>
        <v>0</v>
      </c>
      <c r="V301">
        <f>'[1]2026 Orders'!T302</f>
        <v>0</v>
      </c>
      <c r="W301">
        <f>'[1]2026 Orders'!U302</f>
        <v>0</v>
      </c>
      <c r="X301">
        <f>'[1]2026 Orders'!V302</f>
        <v>0</v>
      </c>
      <c r="Y301">
        <f>'[1]2026 Orders'!W302</f>
        <v>0</v>
      </c>
      <c r="Z301">
        <f>'[1]2026 Orders'!X302</f>
        <v>0</v>
      </c>
      <c r="AC301" t="str">
        <f t="shared" si="8"/>
        <v/>
      </c>
      <c r="AD301" t="str">
        <f t="shared" si="9"/>
        <v/>
      </c>
    </row>
    <row r="302" spans="1:30" ht="33" hidden="1" customHeight="1" x14ac:dyDescent="0.3">
      <c r="A302">
        <f>'[1]2026 Orders'!A303</f>
        <v>46108</v>
      </c>
      <c r="B302" s="14" t="str">
        <f>'[1]2026 Orders'!B303</f>
        <v>Greece</v>
      </c>
      <c r="C302" s="14" t="str">
        <f>'[1]2026 Orders'!C303</f>
        <v>A4674</v>
      </c>
      <c r="D302" s="14">
        <f>'[1]2026 Orders'!D303</f>
        <v>0</v>
      </c>
      <c r="E302" s="17" t="str" cm="1">
        <f t="array" ref="E302">IF(C302=0,"",
HYPERLINK(
"#'2026 Orders'!C"&amp;
MATCH(1,
('2026 Orders'!C:C=C302)*
('2026 Orders'!G:G=G302)*
('2026 Orders'!N:N=N302),
0),
"Open "&amp;C302
))</f>
        <v>Open A4674</v>
      </c>
      <c r="F302" s="14" t="str">
        <f>'[1]2026 Orders'!F303</f>
        <v xml:space="preserve">MFS Plus capsules blistered </v>
      </c>
      <c r="G302" s="14" t="str">
        <f>'[1]2026 Orders'!G303</f>
        <v>MFSADV-120-CS-GR</v>
      </c>
      <c r="H302" s="14" t="str" cm="1">
        <f t="array" ref="H302">IFERROR(_xlfn.TEXTJOIN("-",,INDEX(_xlfn.TEXTSPLIT(TableTake[[#This Row],[SKU]],"-"),{1,2})),"")</f>
        <v>MFSADV-120</v>
      </c>
      <c r="I302" s="15" t="str">
        <f>IFERROR(_xlfn.TEXTAFTER(TableTake[[#This Row],[SKU]],"-",-1),"")</f>
        <v>GR</v>
      </c>
      <c r="J302" s="14">
        <f>'[1]2026 Orders'!H303</f>
        <v>600</v>
      </c>
      <c r="K302" t="str">
        <f>'[1]2026 Orders'!I303</f>
        <v>GR87-25.0</v>
      </c>
      <c r="L302">
        <f>'[1]2026 Orders'!J303</f>
        <v>600</v>
      </c>
      <c r="N302" s="10" t="str">
        <f>'[1]2026 Orders'!L303</f>
        <v>D/W Sent</v>
      </c>
      <c r="O302">
        <f>'[1]2026 Orders'!M303</f>
        <v>46157</v>
      </c>
      <c r="P302" t="str">
        <f>'[1]2026 Orders'!N303</f>
        <v>Y</v>
      </c>
      <c r="Q302">
        <f>'[1]2026 Orders'!O303</f>
        <v>604776739272</v>
      </c>
      <c r="R302">
        <f>'[1]2026 Orders'!P303</f>
        <v>0</v>
      </c>
      <c r="S302">
        <f>'[1]2026 Orders'!Q303</f>
        <v>5053</v>
      </c>
      <c r="T302" t="str">
        <f>'[1]2026 Orders'!R303</f>
        <v>TBD</v>
      </c>
      <c r="U302" t="str">
        <f>'[1]2026 Orders'!S303</f>
        <v>Use 342 units left over from PO A5053. Need a bulk PO for remaining. Bulk PO submitted, will need a PO for blistering</v>
      </c>
      <c r="V302">
        <f>'[1]2026 Orders'!T303</f>
        <v>0</v>
      </c>
      <c r="W302">
        <f>'[1]2026 Orders'!U303</f>
        <v>0</v>
      </c>
      <c r="X302">
        <f>'[1]2026 Orders'!V303</f>
        <v>0</v>
      </c>
      <c r="Y302">
        <f>'[1]2026 Orders'!W303</f>
        <v>0</v>
      </c>
      <c r="Z302" t="str">
        <f>'[1]2026 Orders'!X303</f>
        <v>Approved</v>
      </c>
      <c r="AC302" t="str">
        <f t="shared" si="8"/>
        <v>600/</v>
      </c>
      <c r="AD302" t="e">
        <f t="shared" si="9"/>
        <v>#VALUE!</v>
      </c>
    </row>
    <row r="303" spans="1:30" ht="33" hidden="1" customHeight="1" x14ac:dyDescent="0.3">
      <c r="A303">
        <f>'[1]2026 Orders'!A304</f>
        <v>46108</v>
      </c>
      <c r="B303" s="14" t="str">
        <f>'[1]2026 Orders'!B304</f>
        <v>Greece</v>
      </c>
      <c r="C303" s="14" t="str">
        <f>'[1]2026 Orders'!C304</f>
        <v>A4674</v>
      </c>
      <c r="D303" s="14">
        <f>'[1]2026 Orders'!D304</f>
        <v>0</v>
      </c>
      <c r="E303" s="17" t="str" cm="1">
        <f t="array" ref="E303">IF(C303=0,"",
HYPERLINK(
"#'2026 Orders'!C"&amp;
MATCH(1,
('2026 Orders'!C:C=C303)*
('2026 Orders'!G:G=G303)*
('2026 Orders'!N:N=N303),
0),
"Open "&amp;C303
))</f>
        <v>Open A4674</v>
      </c>
      <c r="F303" s="14">
        <f>'[1]2026 Orders'!F304</f>
        <v>0</v>
      </c>
      <c r="G303" s="14" t="str">
        <f>'[1]2026 Orders'!G304</f>
        <v>FIBRO-60-CS-GR</v>
      </c>
      <c r="H303" s="14" t="str" cm="1">
        <f t="array" ref="H303">IFERROR(_xlfn.TEXTJOIN("-",,INDEX(_xlfn.TEXTSPLIT(TableTake[[#This Row],[SKU]],"-"),{1,2})),"")</f>
        <v>FIBRO-60</v>
      </c>
      <c r="I303" s="15" t="str">
        <f>IFERROR(_xlfn.TEXTAFTER(TableTake[[#This Row],[SKU]],"-",-1),"")</f>
        <v>GR</v>
      </c>
      <c r="J303" s="14">
        <f>'[1]2026 Orders'!H304</f>
        <v>24</v>
      </c>
      <c r="K303" t="str">
        <f>'[1]2026 Orders'!I304</f>
        <v>GR17-25.0</v>
      </c>
      <c r="L303">
        <f>'[1]2026 Orders'!J304</f>
        <v>24</v>
      </c>
      <c r="N303" s="10" t="str">
        <f>'[1]2026 Orders'!L304</f>
        <v>D/W Sent</v>
      </c>
      <c r="O303">
        <f>'[1]2026 Orders'!M304</f>
        <v>0</v>
      </c>
      <c r="P303" t="str">
        <f>'[1]2026 Orders'!N304</f>
        <v>NA</v>
      </c>
      <c r="Q303">
        <f>'[1]2026 Orders'!O304</f>
        <v>604776739524</v>
      </c>
      <c r="R303">
        <f>'[1]2026 Orders'!P304</f>
        <v>0</v>
      </c>
      <c r="S303">
        <f>'[1]2026 Orders'!Q304</f>
        <v>0</v>
      </c>
      <c r="T303">
        <f>'[1]2026 Orders'!R304</f>
        <v>0</v>
      </c>
      <c r="U303">
        <f>'[1]2026 Orders'!S304</f>
        <v>0</v>
      </c>
      <c r="V303">
        <f>'[1]2026 Orders'!T304</f>
        <v>0</v>
      </c>
      <c r="W303">
        <f>'[1]2026 Orders'!U304</f>
        <v>0</v>
      </c>
      <c r="X303">
        <f>'[1]2026 Orders'!V304</f>
        <v>0</v>
      </c>
      <c r="Y303">
        <f>'[1]2026 Orders'!W304</f>
        <v>0</v>
      </c>
      <c r="Z303">
        <f>'[1]2026 Orders'!X304</f>
        <v>0</v>
      </c>
      <c r="AC303" t="str">
        <f t="shared" si="8"/>
        <v>24/</v>
      </c>
      <c r="AD303" t="e">
        <f t="shared" si="9"/>
        <v>#VALUE!</v>
      </c>
    </row>
    <row r="304" spans="1:30" ht="33" hidden="1" customHeight="1" x14ac:dyDescent="0.3">
      <c r="A304">
        <f>'[1]2026 Orders'!A305</f>
        <v>46108</v>
      </c>
      <c r="B304" s="14" t="str">
        <f>'[1]2026 Orders'!B305</f>
        <v>Greece</v>
      </c>
      <c r="C304" s="14" t="str">
        <f>'[1]2026 Orders'!C305</f>
        <v>A4674</v>
      </c>
      <c r="D304" s="14">
        <f>'[1]2026 Orders'!D305</f>
        <v>0</v>
      </c>
      <c r="E304" s="17" t="str" cm="1">
        <f t="array" ref="E304">IF(C304=0,"",
HYPERLINK(
"#'2026 Orders'!C"&amp;
MATCH(1,
('2026 Orders'!C:C=C304)*
('2026 Orders'!G:G=G304)*
('2026 Orders'!N:N=N304),
0),
"Open "&amp;C304
))</f>
        <v>Open A4674</v>
      </c>
      <c r="F304" s="14">
        <f>'[1]2026 Orders'!F305</f>
        <v>0</v>
      </c>
      <c r="G304" s="14" t="str">
        <f>'[1]2026 Orders'!G305</f>
        <v>XTRAD10-60-CS-GR</v>
      </c>
      <c r="H304" s="14" t="str" cm="1">
        <f t="array" ref="H304">IFERROR(_xlfn.TEXTJOIN("-",,INDEX(_xlfn.TEXTSPLIT(TableTake[[#This Row],[SKU]],"-"),{1,2})),"")</f>
        <v>XTRAD10-60</v>
      </c>
      <c r="I304" s="15" t="str">
        <f>IFERROR(_xlfn.TEXTAFTER(TableTake[[#This Row],[SKU]],"-",-1),"")</f>
        <v>GR</v>
      </c>
      <c r="J304" s="14">
        <f>'[1]2026 Orders'!H305</f>
        <v>96</v>
      </c>
      <c r="K304" t="str">
        <f>'[1]2026 Orders'!I305</f>
        <v>GR76-25.0</v>
      </c>
      <c r="L304">
        <f>'[1]2026 Orders'!J305</f>
        <v>96</v>
      </c>
      <c r="N304" s="10" t="str">
        <f>'[1]2026 Orders'!L305</f>
        <v>D/W Sent</v>
      </c>
      <c r="O304">
        <f>'[1]2026 Orders'!M305</f>
        <v>0</v>
      </c>
      <c r="P304" t="str">
        <f>'[1]2026 Orders'!N305</f>
        <v>NA</v>
      </c>
      <c r="Q304">
        <f>'[1]2026 Orders'!O305</f>
        <v>604776736882</v>
      </c>
      <c r="R304">
        <f>'[1]2026 Orders'!P305</f>
        <v>0</v>
      </c>
      <c r="S304">
        <f>'[1]2026 Orders'!Q305</f>
        <v>0</v>
      </c>
      <c r="T304">
        <f>'[1]2026 Orders'!R305</f>
        <v>0</v>
      </c>
      <c r="U304">
        <f>'[1]2026 Orders'!S305</f>
        <v>0</v>
      </c>
      <c r="V304">
        <f>'[1]2026 Orders'!T305</f>
        <v>0</v>
      </c>
      <c r="W304">
        <f>'[1]2026 Orders'!U305</f>
        <v>0</v>
      </c>
      <c r="X304">
        <f>'[1]2026 Orders'!V305</f>
        <v>0</v>
      </c>
      <c r="Y304">
        <f>'[1]2026 Orders'!W305</f>
        <v>0</v>
      </c>
      <c r="Z304">
        <f>'[1]2026 Orders'!X305</f>
        <v>0</v>
      </c>
      <c r="AC304" t="str">
        <f t="shared" si="8"/>
        <v>96/</v>
      </c>
      <c r="AD304" t="e">
        <f t="shared" si="9"/>
        <v>#VALUE!</v>
      </c>
    </row>
    <row r="305" spans="1:30" ht="33" hidden="1" customHeight="1" x14ac:dyDescent="0.3">
      <c r="A305">
        <f>'[1]2026 Orders'!A306</f>
        <v>46108</v>
      </c>
      <c r="B305" s="14" t="str">
        <f>'[1]2026 Orders'!B306</f>
        <v>Greece</v>
      </c>
      <c r="C305" s="14" t="str">
        <f>'[1]2026 Orders'!C306</f>
        <v>A4674</v>
      </c>
      <c r="D305" s="14">
        <f>'[1]2026 Orders'!D306</f>
        <v>0</v>
      </c>
      <c r="E305" s="17" t="str" cm="1">
        <f t="array" ref="E305">IF(C305=0,"",
HYPERLINK(
"#'2026 Orders'!C"&amp;
MATCH(1,
('2026 Orders'!C:C=C305)*
('2026 Orders'!G:G=G305)*
('2026 Orders'!N:N=N305),
0),
"Open "&amp;C305
))</f>
        <v>Open A4674</v>
      </c>
      <c r="F305" s="14">
        <f>'[1]2026 Orders'!F306</f>
        <v>0</v>
      </c>
      <c r="G305" s="14" t="str">
        <f>'[1]2026 Orders'!G306</f>
        <v>PENAMAX-60-GE-CS-GR</v>
      </c>
      <c r="H305" s="14" t="str" cm="1">
        <f t="array" ref="H305">IFERROR(_xlfn.TEXTJOIN("-",,INDEX(_xlfn.TEXTSPLIT(TableTake[[#This Row],[SKU]],"-"),{1,2})),"")</f>
        <v>PENAMAX-60</v>
      </c>
      <c r="I305" s="15" t="str">
        <f>IFERROR(_xlfn.TEXTAFTER(TableTake[[#This Row],[SKU]],"-",-1),"")</f>
        <v>GR</v>
      </c>
      <c r="J305" s="14">
        <f>'[1]2026 Orders'!H306</f>
        <v>228</v>
      </c>
      <c r="K305" t="str">
        <f>'[1]2026 Orders'!I306</f>
        <v>GR88-25.0</v>
      </c>
      <c r="L305">
        <f>'[1]2026 Orders'!J306</f>
        <v>228</v>
      </c>
      <c r="N305" s="10" t="str">
        <f>'[1]2026 Orders'!L306</f>
        <v>D/W Sent</v>
      </c>
      <c r="O305">
        <f>'[1]2026 Orders'!M306</f>
        <v>0</v>
      </c>
      <c r="P305" t="str">
        <f>'[1]2026 Orders'!N306</f>
        <v>Y</v>
      </c>
      <c r="Q305">
        <f>'[1]2026 Orders'!O306</f>
        <v>604776736905</v>
      </c>
      <c r="R305">
        <f>'[1]2026 Orders'!P306</f>
        <v>0</v>
      </c>
      <c r="S305">
        <f>'[1]2026 Orders'!Q306</f>
        <v>0</v>
      </c>
      <c r="T305">
        <f>'[1]2026 Orders'!R306</f>
        <v>0</v>
      </c>
      <c r="U305">
        <f>'[1]2026 Orders'!S306</f>
        <v>0</v>
      </c>
      <c r="V305">
        <f>'[1]2026 Orders'!T306</f>
        <v>0</v>
      </c>
      <c r="W305">
        <f>'[1]2026 Orders'!U306</f>
        <v>0</v>
      </c>
      <c r="X305">
        <f>'[1]2026 Orders'!V306</f>
        <v>0</v>
      </c>
      <c r="Y305">
        <f>'[1]2026 Orders'!W306</f>
        <v>0</v>
      </c>
      <c r="Z305">
        <f>'[1]2026 Orders'!X306</f>
        <v>0</v>
      </c>
      <c r="AC305" t="str">
        <f t="shared" si="8"/>
        <v>228/</v>
      </c>
      <c r="AD305" t="e">
        <f t="shared" si="9"/>
        <v>#VALUE!</v>
      </c>
    </row>
    <row r="306" spans="1:30" ht="33" hidden="1" customHeight="1" x14ac:dyDescent="0.3">
      <c r="A306">
        <f>'[1]2026 Orders'!A307</f>
        <v>0</v>
      </c>
      <c r="B306" s="14">
        <f>'[1]2026 Orders'!B307</f>
        <v>0</v>
      </c>
      <c r="C306" s="14">
        <f>'[1]2026 Orders'!C307</f>
        <v>0</v>
      </c>
      <c r="D306" s="14">
        <f>'[1]2026 Orders'!D307</f>
        <v>0</v>
      </c>
      <c r="E306" s="17" t="str" cm="1">
        <f t="array" ref="E306">IF(C306=0,"",
HYPERLINK(
"#'2026 Orders'!C"&amp;
MATCH(1,
('2026 Orders'!C:C=C306)*
('2026 Orders'!G:G=G306)*
('2026 Orders'!N:N=N306),
0),
"Open "&amp;C306
))</f>
        <v/>
      </c>
      <c r="F306" s="14">
        <f>'[1]2026 Orders'!F307</f>
        <v>0</v>
      </c>
      <c r="G306" s="14">
        <f>'[1]2026 Orders'!G307</f>
        <v>0</v>
      </c>
      <c r="H306" s="14" t="str" cm="1">
        <f t="array" ref="H306">IFERROR(_xlfn.TEXTJOIN("-",,INDEX(_xlfn.TEXTSPLIT(TableTake[[#This Row],[SKU]],"-"),{1,2})),"")</f>
        <v/>
      </c>
      <c r="I306" s="15" t="str">
        <f>IFERROR(_xlfn.TEXTAFTER(TableTake[[#This Row],[SKU]],"-",-1),"")</f>
        <v/>
      </c>
      <c r="J306" s="14">
        <f>'[1]2026 Orders'!H307</f>
        <v>0</v>
      </c>
      <c r="K306">
        <f>'[1]2026 Orders'!I307</f>
        <v>0</v>
      </c>
      <c r="L306">
        <f>'[1]2026 Orders'!J307</f>
        <v>0</v>
      </c>
      <c r="N306" s="10">
        <f>'[1]2026 Orders'!L307</f>
        <v>0</v>
      </c>
      <c r="O306">
        <f>'[1]2026 Orders'!M307</f>
        <v>0</v>
      </c>
      <c r="P306">
        <f>'[1]2026 Orders'!N307</f>
        <v>0</v>
      </c>
      <c r="Q306">
        <f>'[1]2026 Orders'!O307</f>
        <v>0</v>
      </c>
      <c r="R306">
        <f>'[1]2026 Orders'!P307</f>
        <v>0</v>
      </c>
      <c r="S306">
        <f>'[1]2026 Orders'!Q307</f>
        <v>0</v>
      </c>
      <c r="T306">
        <f>'[1]2026 Orders'!R307</f>
        <v>0</v>
      </c>
      <c r="U306">
        <f>'[1]2026 Orders'!S307</f>
        <v>0</v>
      </c>
      <c r="V306">
        <f>'[1]2026 Orders'!T307</f>
        <v>0</v>
      </c>
      <c r="W306">
        <f>'[1]2026 Orders'!U307</f>
        <v>0</v>
      </c>
      <c r="X306">
        <f>'[1]2026 Orders'!V307</f>
        <v>0</v>
      </c>
      <c r="Y306">
        <f>'[1]2026 Orders'!W307</f>
        <v>0</v>
      </c>
      <c r="Z306">
        <f>'[1]2026 Orders'!X307</f>
        <v>0</v>
      </c>
      <c r="AC306" t="str">
        <f t="shared" si="8"/>
        <v/>
      </c>
      <c r="AD306" t="str">
        <f t="shared" si="9"/>
        <v/>
      </c>
    </row>
    <row r="307" spans="1:30" ht="33" hidden="1" customHeight="1" x14ac:dyDescent="0.3">
      <c r="A307">
        <f>'[1]2026 Orders'!A308</f>
        <v>46108</v>
      </c>
      <c r="B307" s="14" t="str">
        <f>'[1]2026 Orders'!B308</f>
        <v>Cyprus</v>
      </c>
      <c r="C307" s="14" t="str">
        <f>'[1]2026 Orders'!C308</f>
        <v>A4676</v>
      </c>
      <c r="D307" s="14">
        <f>'[1]2026 Orders'!D308</f>
        <v>0</v>
      </c>
      <c r="E307" s="17" t="str" cm="1">
        <f t="array" ref="E307">IF(C307=0,"",
HYPERLINK(
"#'2026 Orders'!C"&amp;
MATCH(1,
('2026 Orders'!C:C=C307)*
('2026 Orders'!G:G=G307)*
('2026 Orders'!N:N=N307),
0),
"Open "&amp;C307
))</f>
        <v>Open A4676</v>
      </c>
      <c r="F307" s="14" t="str">
        <f>'[1]2026 Orders'!F308</f>
        <v>6/1/2026: Allocating 528 pcs from Ethiopia A4591.</v>
      </c>
      <c r="G307" s="14" t="str">
        <f>'[1]2026 Orders'!G308</f>
        <v>FERTNOM-90-CS-CY</v>
      </c>
      <c r="H307" s="14" t="str" cm="1">
        <f t="array" ref="H307">IFERROR(_xlfn.TEXTJOIN("-",,INDEX(_xlfn.TEXTSPLIT(TableTake[[#This Row],[SKU]],"-"),{1,2})),"")</f>
        <v>FERTNOM-90</v>
      </c>
      <c r="I307" s="15" t="str">
        <f>IFERROR(_xlfn.TEXTAFTER(TableTake[[#This Row],[SKU]],"-",-1),"")</f>
        <v>CY</v>
      </c>
      <c r="J307" s="14">
        <f>'[1]2026 Orders'!H308</f>
        <v>528</v>
      </c>
      <c r="K307" t="str">
        <f>'[1]2026 Orders'!I308</f>
        <v>CY16-25.0</v>
      </c>
      <c r="L307">
        <f>'[1]2026 Orders'!J308</f>
        <v>528</v>
      </c>
      <c r="N307" s="10" t="str">
        <f>'[1]2026 Orders'!L308</f>
        <v>Rework</v>
      </c>
      <c r="O307" t="str">
        <f>'[1]2026 Orders'!M308</f>
        <v>Need Peeling</v>
      </c>
      <c r="P307" t="str">
        <f>'[1]2026 Orders'!N308</f>
        <v>Y</v>
      </c>
      <c r="Q307">
        <f>'[1]2026 Orders'!O308</f>
        <v>604776737551</v>
      </c>
      <c r="R307">
        <f>'[1]2026 Orders'!P308</f>
        <v>5000</v>
      </c>
      <c r="S307">
        <f>'[1]2026 Orders'!Q308</f>
        <v>5041</v>
      </c>
      <c r="T307" t="str">
        <f>'[1]2026 Orders'!R308</f>
        <v>TBD</v>
      </c>
      <c r="U307" t="str">
        <f>'[1]2026 Orders'!S308</f>
        <v>Pending approval to send to vendor</v>
      </c>
      <c r="V307">
        <f>'[1]2026 Orders'!T308</f>
        <v>0</v>
      </c>
      <c r="W307">
        <f>'[1]2026 Orders'!U308</f>
        <v>0</v>
      </c>
      <c r="X307">
        <f>'[1]2026 Orders'!V308</f>
        <v>0</v>
      </c>
      <c r="Y307">
        <f>'[1]2026 Orders'!W308</f>
        <v>0</v>
      </c>
      <c r="Z307" t="str">
        <f>'[1]2026 Orders'!X308</f>
        <v>Approved</v>
      </c>
      <c r="AC307" t="str">
        <f t="shared" si="8"/>
        <v>528/</v>
      </c>
      <c r="AD307" t="e">
        <f t="shared" si="9"/>
        <v>#VALUE!</v>
      </c>
    </row>
    <row r="308" spans="1:30" ht="33" hidden="1" customHeight="1" x14ac:dyDescent="0.3">
      <c r="A308">
        <f>'[1]2026 Orders'!A309</f>
        <v>46108</v>
      </c>
      <c r="B308" s="14" t="str">
        <f>'[1]2026 Orders'!B309</f>
        <v>Cyprus</v>
      </c>
      <c r="C308" s="14" t="str">
        <f>'[1]2026 Orders'!C309</f>
        <v>A4676</v>
      </c>
      <c r="D308" s="14">
        <f>'[1]2026 Orders'!D309</f>
        <v>0</v>
      </c>
      <c r="E308" s="17" t="str" cm="1">
        <f t="array" ref="E308">IF(C308=0,"",
HYPERLINK(
"#'2026 Orders'!C"&amp;
MATCH(1,
('2026 Orders'!C:C=C308)*
('2026 Orders'!G:G=G308)*
('2026 Orders'!N:N=N308),
0),
"Open "&amp;C308
))</f>
        <v>Open A4676</v>
      </c>
      <c r="F308" s="14" t="str">
        <f>'[1]2026 Orders'!F309</f>
        <v>MFS Plus capsules blistered              5/26/26: Allocating from Greece A4547.</v>
      </c>
      <c r="G308" s="14" t="str">
        <f>'[1]2026 Orders'!G309</f>
        <v>MFSADV-120-CS-GR</v>
      </c>
      <c r="H308" s="14" t="str" cm="1">
        <f t="array" ref="H308">IFERROR(_xlfn.TEXTJOIN("-",,INDEX(_xlfn.TEXTSPLIT(TableTake[[#This Row],[SKU]],"-"),{1,2})),"")</f>
        <v>MFSADV-120</v>
      </c>
      <c r="I308" s="15" t="str">
        <f>IFERROR(_xlfn.TEXTAFTER(TableTake[[#This Row],[SKU]],"-",-1),"")</f>
        <v>GR</v>
      </c>
      <c r="J308" s="14">
        <f>'[1]2026 Orders'!H309</f>
        <v>576</v>
      </c>
      <c r="K308" t="str">
        <f>'[1]2026 Orders'!I309</f>
        <v>GR87-25.0</v>
      </c>
      <c r="L308">
        <f>'[1]2026 Orders'!J309</f>
        <v>576</v>
      </c>
      <c r="N308" s="10" t="str">
        <f>'[1]2026 Orders'!L309</f>
        <v>Picked</v>
      </c>
      <c r="O308">
        <f>'[1]2026 Orders'!M309</f>
        <v>0</v>
      </c>
      <c r="P308" t="str">
        <f>'[1]2026 Orders'!N309</f>
        <v>Y</v>
      </c>
      <c r="Q308">
        <f>'[1]2026 Orders'!O309</f>
        <v>604776739272</v>
      </c>
      <c r="R308">
        <f>'[1]2026 Orders'!P309</f>
        <v>300000</v>
      </c>
      <c r="S308">
        <f>'[1]2026 Orders'!Q309</f>
        <v>5064</v>
      </c>
      <c r="T308" t="str">
        <f>'[1]2026 Orders'!R309</f>
        <v>TBD</v>
      </c>
      <c r="U308" t="str">
        <f>'[1]2026 Orders'!S309</f>
        <v>Bulk PO submitted, waiting for vendor ETA</v>
      </c>
      <c r="V308">
        <f>'[1]2026 Orders'!T309</f>
        <v>0</v>
      </c>
      <c r="W308">
        <f>'[1]2026 Orders'!U309</f>
        <v>0</v>
      </c>
      <c r="X308">
        <f>'[1]2026 Orders'!V309</f>
        <v>0</v>
      </c>
      <c r="Y308">
        <f>'[1]2026 Orders'!W309</f>
        <v>0</v>
      </c>
      <c r="Z308">
        <f>'[1]2026 Orders'!X309</f>
        <v>0</v>
      </c>
      <c r="AC308" t="str">
        <f t="shared" si="8"/>
        <v>576/</v>
      </c>
      <c r="AD308" t="e">
        <f t="shared" si="9"/>
        <v>#VALUE!</v>
      </c>
    </row>
    <row r="309" spans="1:30" ht="33" hidden="1" customHeight="1" x14ac:dyDescent="0.3">
      <c r="A309">
        <f>'[1]2026 Orders'!A310</f>
        <v>46108</v>
      </c>
      <c r="B309" s="14" t="str">
        <f>'[1]2026 Orders'!B310</f>
        <v>Cyprus</v>
      </c>
      <c r="C309" s="14" t="str">
        <f>'[1]2026 Orders'!C310</f>
        <v>A4676</v>
      </c>
      <c r="D309" s="14">
        <f>'[1]2026 Orders'!D310</f>
        <v>0</v>
      </c>
      <c r="E309" s="17" t="str" cm="1">
        <f t="array" ref="E309">IF(C309=0,"",
HYPERLINK(
"#'2026 Orders'!C"&amp;
MATCH(1,
('2026 Orders'!C:C=C309)*
('2026 Orders'!G:G=G309)*
('2026 Orders'!N:N=N309),
0),
"Open "&amp;C309
))</f>
        <v>Open A4676</v>
      </c>
      <c r="F309" s="14">
        <f>'[1]2026 Orders'!F310</f>
        <v>0</v>
      </c>
      <c r="G309" s="14" t="str">
        <f>'[1]2026 Orders'!G310</f>
        <v>MOTILMX-60-CS-GR</v>
      </c>
      <c r="H309" s="14" t="str" cm="1">
        <f t="array" ref="H309">IFERROR(_xlfn.TEXTJOIN("-",,INDEX(_xlfn.TEXTSPLIT(TableTake[[#This Row],[SKU]],"-"),{1,2})),"")</f>
        <v>MOTILMX-60</v>
      </c>
      <c r="I309" s="15" t="str">
        <f>IFERROR(_xlfn.TEXTAFTER(TableTake[[#This Row],[SKU]],"-",-1),"")</f>
        <v>GR</v>
      </c>
      <c r="J309" s="14">
        <f>'[1]2026 Orders'!H310</f>
        <v>120</v>
      </c>
      <c r="K309" t="str">
        <f>'[1]2026 Orders'!I310</f>
        <v>GR31-25.0</v>
      </c>
      <c r="L309">
        <f>'[1]2026 Orders'!J310</f>
        <v>120</v>
      </c>
      <c r="N309" s="10" t="str">
        <f>'[1]2026 Orders'!L310</f>
        <v>Picked</v>
      </c>
      <c r="O309">
        <f>'[1]2026 Orders'!M310</f>
        <v>0</v>
      </c>
      <c r="P309" t="str">
        <f>'[1]2026 Orders'!N310</f>
        <v>NA</v>
      </c>
      <c r="Q309">
        <f>'[1]2026 Orders'!O310</f>
        <v>604776736998</v>
      </c>
      <c r="R309">
        <f>'[1]2026 Orders'!P310</f>
        <v>0</v>
      </c>
      <c r="S309">
        <f>'[1]2026 Orders'!Q310</f>
        <v>0</v>
      </c>
      <c r="T309">
        <f>'[1]2026 Orders'!R310</f>
        <v>0</v>
      </c>
      <c r="U309">
        <f>'[1]2026 Orders'!S310</f>
        <v>0</v>
      </c>
      <c r="V309">
        <f>'[1]2026 Orders'!T310</f>
        <v>0</v>
      </c>
      <c r="W309">
        <f>'[1]2026 Orders'!U310</f>
        <v>0</v>
      </c>
      <c r="X309">
        <f>'[1]2026 Orders'!V310</f>
        <v>0</v>
      </c>
      <c r="Y309">
        <f>'[1]2026 Orders'!W310</f>
        <v>0</v>
      </c>
      <c r="Z309">
        <f>'[1]2026 Orders'!X310</f>
        <v>0</v>
      </c>
      <c r="AC309" t="str">
        <f t="shared" si="8"/>
        <v>120/</v>
      </c>
      <c r="AD309" t="e">
        <f t="shared" si="9"/>
        <v>#VALUE!</v>
      </c>
    </row>
    <row r="310" spans="1:30" ht="33" hidden="1" customHeight="1" x14ac:dyDescent="0.3">
      <c r="A310">
        <f>'[1]2026 Orders'!A311</f>
        <v>0</v>
      </c>
      <c r="B310" s="14">
        <f>'[1]2026 Orders'!B311</f>
        <v>0</v>
      </c>
      <c r="C310" s="14">
        <f>'[1]2026 Orders'!C311</f>
        <v>0</v>
      </c>
      <c r="D310" s="14">
        <f>'[1]2026 Orders'!D311</f>
        <v>0</v>
      </c>
      <c r="E310" s="17" t="str" cm="1">
        <f t="array" ref="E310">IF(C310=0,"",
HYPERLINK(
"#'2026 Orders'!C"&amp;
MATCH(1,
('2026 Orders'!C:C=C310)*
('2026 Orders'!G:G=G310)*
('2026 Orders'!N:N=N310),
0),
"Open "&amp;C310
))</f>
        <v/>
      </c>
      <c r="F310" s="14">
        <f>'[1]2026 Orders'!F311</f>
        <v>0</v>
      </c>
      <c r="G310" s="14">
        <f>'[1]2026 Orders'!G311</f>
        <v>0</v>
      </c>
      <c r="H310" s="14" t="str" cm="1">
        <f t="array" ref="H310">IFERROR(_xlfn.TEXTJOIN("-",,INDEX(_xlfn.TEXTSPLIT(TableTake[[#This Row],[SKU]],"-"),{1,2})),"")</f>
        <v/>
      </c>
      <c r="I310" s="15" t="str">
        <f>IFERROR(_xlfn.TEXTAFTER(TableTake[[#This Row],[SKU]],"-",-1),"")</f>
        <v/>
      </c>
      <c r="J310" s="14">
        <f>'[1]2026 Orders'!H311</f>
        <v>0</v>
      </c>
      <c r="K310">
        <f>'[1]2026 Orders'!I311</f>
        <v>0</v>
      </c>
      <c r="L310">
        <f>'[1]2026 Orders'!J311</f>
        <v>0</v>
      </c>
      <c r="N310" s="10">
        <f>'[1]2026 Orders'!L311</f>
        <v>0</v>
      </c>
      <c r="O310">
        <f>'[1]2026 Orders'!M311</f>
        <v>0</v>
      </c>
      <c r="P310">
        <f>'[1]2026 Orders'!N311</f>
        <v>0</v>
      </c>
      <c r="Q310">
        <f>'[1]2026 Orders'!O311</f>
        <v>0</v>
      </c>
      <c r="R310">
        <f>'[1]2026 Orders'!P311</f>
        <v>0</v>
      </c>
      <c r="S310">
        <f>'[1]2026 Orders'!Q311</f>
        <v>0</v>
      </c>
      <c r="T310">
        <f>'[1]2026 Orders'!R311</f>
        <v>0</v>
      </c>
      <c r="U310">
        <f>'[1]2026 Orders'!S311</f>
        <v>0</v>
      </c>
      <c r="V310">
        <f>'[1]2026 Orders'!T311</f>
        <v>0</v>
      </c>
      <c r="W310">
        <f>'[1]2026 Orders'!U311</f>
        <v>0</v>
      </c>
      <c r="X310">
        <f>'[1]2026 Orders'!V311</f>
        <v>0</v>
      </c>
      <c r="Y310">
        <f>'[1]2026 Orders'!W311</f>
        <v>0</v>
      </c>
      <c r="Z310">
        <f>'[1]2026 Orders'!X311</f>
        <v>0</v>
      </c>
      <c r="AC310" t="str">
        <f t="shared" si="8"/>
        <v/>
      </c>
      <c r="AD310" t="str">
        <f t="shared" si="9"/>
        <v/>
      </c>
    </row>
    <row r="311" spans="1:30" ht="33" hidden="1" customHeight="1" x14ac:dyDescent="0.3">
      <c r="A311">
        <f>'[1]2026 Orders'!A312</f>
        <v>46113</v>
      </c>
      <c r="B311" s="14" t="str">
        <f>'[1]2026 Orders'!B312</f>
        <v>China</v>
      </c>
      <c r="C311" s="14" t="str">
        <f>'[1]2026 Orders'!C312</f>
        <v>A4681</v>
      </c>
      <c r="D311" s="14" t="str">
        <f>'[1]2026 Orders'!D312</f>
        <v>4/2/2026: Proforma Approved.</v>
      </c>
      <c r="E311" s="17" t="str" cm="1">
        <f t="array" ref="E311">IF(C311=0,"",
HYPERLINK(
"#'2026 Orders'!C"&amp;
MATCH(1,
('2026 Orders'!C:C=C311)*
('2026 Orders'!G:G=G311)*
('2026 Orders'!N:N=N311),
0),
"Open "&amp;C311
))</f>
        <v>Open A4681</v>
      </c>
      <c r="F311" s="14">
        <f>'[1]2026 Orders'!F312</f>
        <v>0</v>
      </c>
      <c r="G311" s="14" t="str">
        <f>'[1]2026 Orders'!G312</f>
        <v>OME369-90-FD</v>
      </c>
      <c r="H311" s="14" t="str" cm="1">
        <f t="array" ref="H311">IFERROR(_xlfn.TEXTJOIN("-",,INDEX(_xlfn.TEXTSPLIT(TableTake[[#This Row],[SKU]],"-"),{1,2})),"")</f>
        <v>OME369-90</v>
      </c>
      <c r="I311" s="15" t="str">
        <f>IFERROR(_xlfn.TEXTAFTER(TableTake[[#This Row],[SKU]],"-",-1),"")</f>
        <v>FD</v>
      </c>
      <c r="J311" s="14">
        <f>'[1]2026 Orders'!H312</f>
        <v>192</v>
      </c>
      <c r="K311" t="str">
        <f>'[1]2026 Orders'!I312</f>
        <v>F36-22.1</v>
      </c>
      <c r="L311">
        <f>'[1]2026 Orders'!J312</f>
        <v>192</v>
      </c>
      <c r="N311" s="10" t="str">
        <f>'[1]2026 Orders'!L312</f>
        <v>D/W Sent</v>
      </c>
      <c r="O311">
        <f>'[1]2026 Orders'!M312</f>
        <v>46119</v>
      </c>
      <c r="P311" t="str">
        <f>'[1]2026 Orders'!N312</f>
        <v>Y</v>
      </c>
      <c r="Q311" t="str">
        <f>'[1]2026 Orders'!O312</f>
        <v>609788968511</v>
      </c>
      <c r="R311">
        <f>'[1]2026 Orders'!P312</f>
        <v>0</v>
      </c>
      <c r="S311">
        <f>'[1]2026 Orders'!Q312</f>
        <v>0</v>
      </c>
      <c r="T311">
        <f>'[1]2026 Orders'!R312</f>
        <v>0</v>
      </c>
      <c r="U311">
        <f>'[1]2026 Orders'!S312</f>
        <v>0</v>
      </c>
      <c r="V311">
        <f>'[1]2026 Orders'!T312</f>
        <v>0</v>
      </c>
      <c r="W311">
        <f>'[1]2026 Orders'!U312</f>
        <v>0</v>
      </c>
      <c r="X311">
        <f>'[1]2026 Orders'!V312</f>
        <v>0</v>
      </c>
      <c r="Y311">
        <f>'[1]2026 Orders'!W312</f>
        <v>0</v>
      </c>
      <c r="Z311" t="str">
        <f>'[1]2026 Orders'!X312</f>
        <v>Approved</v>
      </c>
      <c r="AC311" t="str">
        <f t="shared" si="8"/>
        <v>192/</v>
      </c>
      <c r="AD311" t="e">
        <f t="shared" si="9"/>
        <v>#VALUE!</v>
      </c>
    </row>
    <row r="312" spans="1:30" ht="33" hidden="1" customHeight="1" x14ac:dyDescent="0.3">
      <c r="A312">
        <f>'[1]2026 Orders'!A313</f>
        <v>0</v>
      </c>
      <c r="B312" s="14">
        <f>'[1]2026 Orders'!B313</f>
        <v>0</v>
      </c>
      <c r="C312" s="14">
        <f>'[1]2026 Orders'!C313</f>
        <v>0</v>
      </c>
      <c r="D312" s="14">
        <f>'[1]2026 Orders'!D313</f>
        <v>0</v>
      </c>
      <c r="E312" s="17" t="str" cm="1">
        <f t="array" ref="E312">IF(C312=0,"",
HYPERLINK(
"#'2026 Orders'!C"&amp;
MATCH(1,
('2026 Orders'!C:C=C312)*
('2026 Orders'!G:G=G312)*
('2026 Orders'!N:N=N312),
0),
"Open "&amp;C312
))</f>
        <v/>
      </c>
      <c r="F312" s="14">
        <f>'[1]2026 Orders'!F313</f>
        <v>0</v>
      </c>
      <c r="G312" s="14">
        <f>'[1]2026 Orders'!G313</f>
        <v>0</v>
      </c>
      <c r="H312" s="14" t="str" cm="1">
        <f t="array" ref="H312">IFERROR(_xlfn.TEXTJOIN("-",,INDEX(_xlfn.TEXTSPLIT(TableTake[[#This Row],[SKU]],"-"),{1,2})),"")</f>
        <v/>
      </c>
      <c r="I312" s="15" t="str">
        <f>IFERROR(_xlfn.TEXTAFTER(TableTake[[#This Row],[SKU]],"-",-1),"")</f>
        <v/>
      </c>
      <c r="J312" s="14">
        <f>'[1]2026 Orders'!H313</f>
        <v>0</v>
      </c>
      <c r="K312">
        <f>'[1]2026 Orders'!I313</f>
        <v>0</v>
      </c>
      <c r="L312">
        <f>'[1]2026 Orders'!J313</f>
        <v>0</v>
      </c>
      <c r="N312" s="10">
        <f>'[1]2026 Orders'!L313</f>
        <v>0</v>
      </c>
      <c r="O312">
        <f>'[1]2026 Orders'!M313</f>
        <v>0</v>
      </c>
      <c r="P312">
        <f>'[1]2026 Orders'!N313</f>
        <v>0</v>
      </c>
      <c r="Q312">
        <f>'[1]2026 Orders'!O313</f>
        <v>0</v>
      </c>
      <c r="R312">
        <f>'[1]2026 Orders'!P313</f>
        <v>0</v>
      </c>
      <c r="S312">
        <f>'[1]2026 Orders'!Q313</f>
        <v>0</v>
      </c>
      <c r="T312">
        <f>'[1]2026 Orders'!R313</f>
        <v>0</v>
      </c>
      <c r="U312">
        <f>'[1]2026 Orders'!S313</f>
        <v>0</v>
      </c>
      <c r="V312">
        <f>'[1]2026 Orders'!T313</f>
        <v>0</v>
      </c>
      <c r="W312">
        <f>'[1]2026 Orders'!U313</f>
        <v>0</v>
      </c>
      <c r="X312">
        <f>'[1]2026 Orders'!V313</f>
        <v>0</v>
      </c>
      <c r="Y312">
        <f>'[1]2026 Orders'!W313</f>
        <v>0</v>
      </c>
      <c r="Z312">
        <f>'[1]2026 Orders'!X313</f>
        <v>0</v>
      </c>
      <c r="AC312" t="str">
        <f t="shared" si="8"/>
        <v/>
      </c>
      <c r="AD312" t="str">
        <f t="shared" si="9"/>
        <v/>
      </c>
    </row>
    <row r="313" spans="1:30" ht="33" hidden="1" customHeight="1" x14ac:dyDescent="0.3">
      <c r="A313">
        <f>'[1]2026 Orders'!A314</f>
        <v>46114</v>
      </c>
      <c r="B313" s="14" t="str">
        <f>'[1]2026 Orders'!B314</f>
        <v>Egypt</v>
      </c>
      <c r="C313" s="14" t="str">
        <f>'[1]2026 Orders'!C314</f>
        <v>A4683</v>
      </c>
      <c r="D313" s="14" t="str">
        <f>'[1]2026 Orders'!D314</f>
        <v xml:space="preserve">4/7/2026: Pro Forma Invoice approved.                          </v>
      </c>
      <c r="E313" s="17" t="str" cm="1">
        <f t="array" ref="E313">IF(C313=0,"",
HYPERLINK(
"#'2026 Orders'!C"&amp;
MATCH(1,
('2026 Orders'!C:C=C313)*
('2026 Orders'!G:G=G313)*
('2026 Orders'!N:N=N313),
0),
"Open "&amp;C313
))</f>
        <v>Open A4683</v>
      </c>
      <c r="F313" s="14" t="str">
        <f>'[1]2026 Orders'!F314</f>
        <v> 5/11/2026: UPC updated.
5/21/2026: Allocating 817 pcs from Ethiopia A4591, + 240 pcs from Uganda A4574. Reducing quantity on this order to 1057 pcs - remaining 2093 pcs will move to Backorder.</v>
      </c>
      <c r="G313" s="14" t="str">
        <f>'[1]2026 Orders'!G314</f>
        <v>MFSPLS-120-CS-EG</v>
      </c>
      <c r="H313" s="14" t="str" cm="1">
        <f t="array" ref="H313">IFERROR(_xlfn.TEXTJOIN("-",,INDEX(_xlfn.TEXTSPLIT(TableTake[[#This Row],[SKU]],"-"),{1,2})),"")</f>
        <v>MFSPLS-120</v>
      </c>
      <c r="I313" s="15" t="str">
        <f>IFERROR(_xlfn.TEXTAFTER(TableTake[[#This Row],[SKU]],"-",-1),"")</f>
        <v>EG</v>
      </c>
      <c r="J313" s="14">
        <f>'[1]2026 Orders'!H314</f>
        <v>1057</v>
      </c>
      <c r="K313" t="str">
        <f>'[1]2026 Orders'!I314</f>
        <v>EG30-26.0</v>
      </c>
      <c r="L313">
        <f>'[1]2026 Orders'!J314</f>
        <v>1057</v>
      </c>
      <c r="N313" s="10" t="str">
        <f>'[1]2026 Orders'!L314</f>
        <v>Picked</v>
      </c>
      <c r="O313">
        <f>'[1]2026 Orders'!M314</f>
        <v>0</v>
      </c>
      <c r="P313" t="str">
        <f>'[1]2026 Orders'!N314</f>
        <v>NA</v>
      </c>
      <c r="Q313">
        <f>'[1]2026 Orders'!O314</f>
        <v>810131193799</v>
      </c>
      <c r="R313">
        <f>'[1]2026 Orders'!P314</f>
        <v>0</v>
      </c>
      <c r="S313">
        <f>'[1]2026 Orders'!Q314</f>
        <v>0</v>
      </c>
      <c r="T313">
        <f>'[1]2026 Orders'!R314</f>
        <v>0</v>
      </c>
      <c r="U313">
        <f>'[1]2026 Orders'!S314</f>
        <v>0</v>
      </c>
      <c r="V313" t="str">
        <f>'[1]2026 Orders'!T314</f>
        <v> </v>
      </c>
      <c r="W313" t="str">
        <f>'[1]2026 Orders'!U314</f>
        <v> </v>
      </c>
      <c r="X313" t="str">
        <f>'[1]2026 Orders'!V314</f>
        <v> </v>
      </c>
      <c r="Y313" t="str">
        <f>'[1]2026 Orders'!W314</f>
        <v> </v>
      </c>
      <c r="Z313" t="str">
        <f>'[1]2026 Orders'!X314</f>
        <v>Approved</v>
      </c>
      <c r="AC313" t="str">
        <f t="shared" si="8"/>
        <v>1057/</v>
      </c>
      <c r="AD313" t="e">
        <f t="shared" si="9"/>
        <v>#VALUE!</v>
      </c>
    </row>
    <row r="314" spans="1:30" ht="33" hidden="1" customHeight="1" x14ac:dyDescent="0.3">
      <c r="A314">
        <f>'[1]2026 Orders'!A315</f>
        <v>46114</v>
      </c>
      <c r="B314" s="14" t="str">
        <f>'[1]2026 Orders'!B315</f>
        <v>Egypt</v>
      </c>
      <c r="C314" s="14" t="str">
        <f>'[1]2026 Orders'!C315</f>
        <v>A4683</v>
      </c>
      <c r="D314" s="14" t="str">
        <f>'[1]2026 Orders'!D315</f>
        <v> </v>
      </c>
      <c r="E314" s="17" t="str" cm="1">
        <f t="array" ref="E314">IF(C314=0,"",
HYPERLINK(
"#'2026 Orders'!C"&amp;
MATCH(1,
('2026 Orders'!C:C=C314)*
('2026 Orders'!G:G=G314)*
('2026 Orders'!N:N=N314),
0),
"Open "&amp;C314
))</f>
        <v>Open A4683</v>
      </c>
      <c r="F314" s="14" t="str">
        <f>'[1]2026 Orders'!F315</f>
        <v> 5/11/2026: UPC updated.</v>
      </c>
      <c r="G314" s="14" t="str">
        <f>'[1]2026 Orders'!G315</f>
        <v>WFSPLS-180-CS-EG</v>
      </c>
      <c r="H314" s="14" t="str" cm="1">
        <f t="array" ref="H314">IFERROR(_xlfn.TEXTJOIN("-",,INDEX(_xlfn.TEXTSPLIT(TableTake[[#This Row],[SKU]],"-"),{1,2})),"")</f>
        <v>WFSPLS-180</v>
      </c>
      <c r="I314" s="15" t="str">
        <f>IFERROR(_xlfn.TEXTAFTER(TableTake[[#This Row],[SKU]],"-",-1),"")</f>
        <v>EG</v>
      </c>
      <c r="J314" s="14">
        <f>'[1]2026 Orders'!H315</f>
        <v>2100</v>
      </c>
      <c r="K314" t="str">
        <f>'[1]2026 Orders'!I315</f>
        <v>EG73-26.0</v>
      </c>
      <c r="L314">
        <f>'[1]2026 Orders'!J315</f>
        <v>2100</v>
      </c>
      <c r="N314" s="10" t="str">
        <f>'[1]2026 Orders'!L315</f>
        <v>Picked</v>
      </c>
      <c r="O314">
        <f>'[1]2026 Orders'!M315</f>
        <v>0</v>
      </c>
      <c r="P314" t="str">
        <f>'[1]2026 Orders'!N315</f>
        <v>NA</v>
      </c>
      <c r="Q314">
        <f>'[1]2026 Orders'!O315</f>
        <v>810131193898</v>
      </c>
      <c r="R314" t="str">
        <f>'[1]2026 Orders'!P315</f>
        <v> </v>
      </c>
      <c r="S314" t="str">
        <f>'[1]2026 Orders'!Q315</f>
        <v> </v>
      </c>
      <c r="T314" t="str">
        <f>'[1]2026 Orders'!R315</f>
        <v> </v>
      </c>
      <c r="U314" t="str">
        <f>'[1]2026 Orders'!S315</f>
        <v> </v>
      </c>
      <c r="V314" t="str">
        <f>'[1]2026 Orders'!T315</f>
        <v> </v>
      </c>
      <c r="W314" t="str">
        <f>'[1]2026 Orders'!U315</f>
        <v> </v>
      </c>
      <c r="X314" t="str">
        <f>'[1]2026 Orders'!V315</f>
        <v> </v>
      </c>
      <c r="Y314" t="str">
        <f>'[1]2026 Orders'!W315</f>
        <v> </v>
      </c>
      <c r="Z314">
        <f>'[1]2026 Orders'!X315</f>
        <v>0</v>
      </c>
      <c r="AC314" t="str">
        <f t="shared" si="8"/>
        <v>2100/</v>
      </c>
      <c r="AD314" t="e">
        <f t="shared" si="9"/>
        <v>#VALUE!</v>
      </c>
    </row>
    <row r="315" spans="1:30" ht="33" hidden="1" customHeight="1" x14ac:dyDescent="0.3">
      <c r="A315">
        <f>'[1]2026 Orders'!A316</f>
        <v>46114</v>
      </c>
      <c r="B315" s="14" t="str">
        <f>'[1]2026 Orders'!B316</f>
        <v>Egypt</v>
      </c>
      <c r="C315" s="14" t="str">
        <f>'[1]2026 Orders'!C316</f>
        <v>A4683</v>
      </c>
      <c r="D315" s="14" t="str">
        <f>'[1]2026 Orders'!D316</f>
        <v> </v>
      </c>
      <c r="E315" s="17" t="str" cm="1">
        <f t="array" ref="E315">IF(C315=0,"",
HYPERLINK(
"#'2026 Orders'!C"&amp;
MATCH(1,
('2026 Orders'!C:C=C315)*
('2026 Orders'!G:G=G315)*
('2026 Orders'!N:N=N315),
0),
"Open "&amp;C315
))</f>
        <v>Open A4683</v>
      </c>
      <c r="F315" s="14" t="str">
        <f>'[1]2026 Orders'!F316</f>
        <v> 5/11/2026: UPC updated.
5/14/2026: Allocating 192 from Uganda A4522, 200 from Uganda A4574, 1500 from Libya A4692, 1758 from Sudan A4697, and 480 from Ethiopia A4591. ~100 pcs in stock. Qty reduced from 5775 -&gt; 4230.
5/18/2026: Reserving 100pcs for Ecommerce. Reduced to 4130 pcs.</v>
      </c>
      <c r="G315" s="14" t="str">
        <f>'[1]2026 Orders'!G316</f>
        <v>OVAMAX-120-CS-EG</v>
      </c>
      <c r="H315" s="14" t="str" cm="1">
        <f t="array" ref="H315">IFERROR(_xlfn.TEXTJOIN("-",,INDEX(_xlfn.TEXTSPLIT(TableTake[[#This Row],[SKU]],"-"),{1,2})),"")</f>
        <v>OVAMAX-120</v>
      </c>
      <c r="I315" s="15" t="str">
        <f>IFERROR(_xlfn.TEXTAFTER(TableTake[[#This Row],[SKU]],"-",-1),"")</f>
        <v>EG</v>
      </c>
      <c r="J315" s="14">
        <f>'[1]2026 Orders'!H316</f>
        <v>570</v>
      </c>
      <c r="K315" t="str">
        <f>'[1]2026 Orders'!I316</f>
        <v>EG41-26.0</v>
      </c>
      <c r="L315">
        <f>'[1]2026 Orders'!J316</f>
        <v>570</v>
      </c>
      <c r="N315" s="10" t="str">
        <f>'[1]2026 Orders'!L316</f>
        <v>Picked</v>
      </c>
      <c r="O315">
        <f>'[1]2026 Orders'!M316</f>
        <v>0</v>
      </c>
      <c r="P315" t="str">
        <f>'[1]2026 Orders'!N316</f>
        <v>NA</v>
      </c>
      <c r="Q315">
        <f>'[1]2026 Orders'!O316</f>
        <v>810131193812</v>
      </c>
      <c r="R315">
        <f>'[1]2026 Orders'!P316</f>
        <v>0</v>
      </c>
      <c r="S315">
        <f>'[1]2026 Orders'!Q316</f>
        <v>4949</v>
      </c>
      <c r="T315">
        <f>'[1]2026 Orders'!R316</f>
        <v>0</v>
      </c>
      <c r="U315">
        <f>'[1]2026 Orders'!S316</f>
        <v>0</v>
      </c>
      <c r="V315" t="str">
        <f>'[1]2026 Orders'!T316</f>
        <v> </v>
      </c>
      <c r="W315" t="str">
        <f>'[1]2026 Orders'!U316</f>
        <v> </v>
      </c>
      <c r="X315" t="str">
        <f>'[1]2026 Orders'!V316</f>
        <v> </v>
      </c>
      <c r="Y315" t="str">
        <f>'[1]2026 Orders'!W316</f>
        <v> </v>
      </c>
      <c r="Z315">
        <f>'[1]2026 Orders'!X316</f>
        <v>0</v>
      </c>
      <c r="AC315" t="str">
        <f t="shared" si="8"/>
        <v>570/</v>
      </c>
      <c r="AD315" t="e">
        <f t="shared" si="9"/>
        <v>#VALUE!</v>
      </c>
    </row>
    <row r="316" spans="1:30" ht="33" hidden="1" customHeight="1" x14ac:dyDescent="0.3">
      <c r="A316">
        <f>'[1]2026 Orders'!A317</f>
        <v>46114</v>
      </c>
      <c r="B316" s="14" t="str">
        <f>'[1]2026 Orders'!B317</f>
        <v>Egypt</v>
      </c>
      <c r="C316" s="14" t="str">
        <f>'[1]2026 Orders'!C317</f>
        <v>A4683</v>
      </c>
      <c r="D316" s="14" t="str">
        <f>'[1]2026 Orders'!D317</f>
        <v> </v>
      </c>
      <c r="E316" s="17" t="str" cm="1">
        <f t="array" ref="E316">IF(C316=0,"",
HYPERLINK(
"#'2026 Orders'!C"&amp;
MATCH(1,
('2026 Orders'!C:C=C316)*
('2026 Orders'!G:G=G316)*
('2026 Orders'!N:N=N316),
0),
"Open "&amp;C316
))</f>
        <v>Open A4683</v>
      </c>
      <c r="F316" s="14" t="str">
        <f>'[1]2026 Orders'!F317</f>
        <v> 5/11/2026: UPC updated.
5/14/2026: Allocating 192 from Uganda A4522, 200 from Uganda A4574, 1500 from Libya A4692, 1758 from Sudan A4697, and 480 from Ethiopia A4591. ~100 pcs in stock. Qty reduced from 5775 -&gt; 4230.
5/18/2026: Reserving 100pcs for Ecommerce. Reduced to 4130 pcs.</v>
      </c>
      <c r="G316" s="14" t="str">
        <f>'[1]2026 Orders'!G317</f>
        <v>OVAMAX-120-CS-EG</v>
      </c>
      <c r="H316" s="14" t="str" cm="1">
        <f t="array" ref="H316">IFERROR(_xlfn.TEXTJOIN("-",,INDEX(_xlfn.TEXTSPLIT(TableTake[[#This Row],[SKU]],"-"),{1,2})),"")</f>
        <v>OVAMAX-120</v>
      </c>
      <c r="I316" s="15" t="str">
        <f>IFERROR(_xlfn.TEXTAFTER(TableTake[[#This Row],[SKU]],"-",-1),"")</f>
        <v>EG</v>
      </c>
      <c r="J316" s="14">
        <f>'[1]2026 Orders'!H317</f>
        <v>3750</v>
      </c>
      <c r="K316" t="str">
        <f>'[1]2026 Orders'!I317</f>
        <v>EG41-26.0</v>
      </c>
      <c r="L316">
        <f>'[1]2026 Orders'!J317</f>
        <v>3750</v>
      </c>
      <c r="N316" s="10" t="str">
        <f>'[1]2026 Orders'!L317</f>
        <v>Picked</v>
      </c>
      <c r="O316">
        <f>'[1]2026 Orders'!M317</f>
        <v>0</v>
      </c>
      <c r="P316" t="str">
        <f>'[1]2026 Orders'!N317</f>
        <v>NA</v>
      </c>
      <c r="Q316">
        <f>'[1]2026 Orders'!O317</f>
        <v>810131193812</v>
      </c>
      <c r="R316">
        <f>'[1]2026 Orders'!P317</f>
        <v>0</v>
      </c>
      <c r="S316">
        <f>'[1]2026 Orders'!Q317</f>
        <v>4949</v>
      </c>
      <c r="T316">
        <f>'[1]2026 Orders'!R317</f>
        <v>0</v>
      </c>
      <c r="U316">
        <f>'[1]2026 Orders'!S317</f>
        <v>0</v>
      </c>
      <c r="V316" t="str">
        <f>'[1]2026 Orders'!T317</f>
        <v> </v>
      </c>
      <c r="W316" t="str">
        <f>'[1]2026 Orders'!U317</f>
        <v> </v>
      </c>
      <c r="X316" t="str">
        <f>'[1]2026 Orders'!V317</f>
        <v> </v>
      </c>
      <c r="Y316" t="str">
        <f>'[1]2026 Orders'!W317</f>
        <v> </v>
      </c>
      <c r="Z316">
        <f>'[1]2026 Orders'!X317</f>
        <v>0</v>
      </c>
      <c r="AC316" t="str">
        <f t="shared" si="8"/>
        <v>3750/</v>
      </c>
      <c r="AD316" t="e">
        <f t="shared" si="9"/>
        <v>#VALUE!</v>
      </c>
    </row>
    <row r="317" spans="1:30" ht="33" hidden="1" customHeight="1" x14ac:dyDescent="0.3">
      <c r="A317">
        <f>'[1]2026 Orders'!A318</f>
        <v>46114</v>
      </c>
      <c r="B317" s="14" t="str">
        <f>'[1]2026 Orders'!B318</f>
        <v>Egypt</v>
      </c>
      <c r="C317" s="14" t="str">
        <f>'[1]2026 Orders'!C318</f>
        <v>A4683</v>
      </c>
      <c r="D317" s="14" t="str">
        <f>'[1]2026 Orders'!D318</f>
        <v> </v>
      </c>
      <c r="E317" s="17" t="str" cm="1">
        <f t="array" ref="E317">IF(C317=0,"",
HYPERLINK(
"#'2026 Orders'!C"&amp;
MATCH(1,
('2026 Orders'!C:C=C317)*
('2026 Orders'!G:G=G317)*
('2026 Orders'!N:N=N317),
0),
"Open "&amp;C317
))</f>
        <v>Open A4683</v>
      </c>
      <c r="F317" s="14" t="str">
        <f>'[1]2026 Orders'!F318</f>
        <v xml:space="preserve"> 5/11/2026: UPC updated.              5/13/2026: Reducing line by 48; issue with bottle quality.              </v>
      </c>
      <c r="G317" s="14" t="str">
        <f>'[1]2026 Orders'!G318</f>
        <v>PRECON-180-CS-EG</v>
      </c>
      <c r="H317" s="14" t="str" cm="1">
        <f t="array" ref="H317">IFERROR(_xlfn.TEXTJOIN("-",,INDEX(_xlfn.TEXTSPLIT(TableTake[[#This Row],[SKU]],"-"),{1,2})),"")</f>
        <v>PRECON-180</v>
      </c>
      <c r="I317" s="15" t="str">
        <f>IFERROR(_xlfn.TEXTAFTER(TableTake[[#This Row],[SKU]],"-",-1),"")</f>
        <v>EG</v>
      </c>
      <c r="J317" s="14">
        <f>'[1]2026 Orders'!H318</f>
        <v>516</v>
      </c>
      <c r="K317" t="str">
        <f>'[1]2026 Orders'!I318</f>
        <v>EG55-26.0</v>
      </c>
      <c r="L317">
        <f>'[1]2026 Orders'!J318</f>
        <v>516</v>
      </c>
      <c r="N317" s="10" t="str">
        <f>'[1]2026 Orders'!L318</f>
        <v>Picked</v>
      </c>
      <c r="O317">
        <f>'[1]2026 Orders'!M318</f>
        <v>0</v>
      </c>
      <c r="P317" t="str">
        <f>'[1]2026 Orders'!N318</f>
        <v>NA</v>
      </c>
      <c r="Q317">
        <f>'[1]2026 Orders'!O318</f>
        <v>810131193843</v>
      </c>
      <c r="R317" t="str">
        <f>'[1]2026 Orders'!P318</f>
        <v> </v>
      </c>
      <c r="S317" t="str">
        <f>'[1]2026 Orders'!Q318</f>
        <v> </v>
      </c>
      <c r="T317" t="str">
        <f>'[1]2026 Orders'!R318</f>
        <v> </v>
      </c>
      <c r="U317" t="str">
        <f>'[1]2026 Orders'!S318</f>
        <v> </v>
      </c>
      <c r="V317" t="str">
        <f>'[1]2026 Orders'!T318</f>
        <v> </v>
      </c>
      <c r="W317" t="str">
        <f>'[1]2026 Orders'!U318</f>
        <v> </v>
      </c>
      <c r="X317" t="str">
        <f>'[1]2026 Orders'!V318</f>
        <v> </v>
      </c>
      <c r="Y317" t="str">
        <f>'[1]2026 Orders'!W318</f>
        <v> </v>
      </c>
      <c r="Z317">
        <f>'[1]2026 Orders'!X318</f>
        <v>0</v>
      </c>
      <c r="AC317" t="str">
        <f t="shared" si="8"/>
        <v>516/</v>
      </c>
      <c r="AD317" t="e">
        <f t="shared" si="9"/>
        <v>#VALUE!</v>
      </c>
    </row>
    <row r="318" spans="1:30" ht="33" hidden="1" customHeight="1" x14ac:dyDescent="0.3">
      <c r="A318">
        <f>'[1]2026 Orders'!A319</f>
        <v>46114</v>
      </c>
      <c r="B318" s="14" t="str">
        <f>'[1]2026 Orders'!B319</f>
        <v>Egypt</v>
      </c>
      <c r="C318" s="14" t="str">
        <f>'[1]2026 Orders'!C319</f>
        <v>A4683</v>
      </c>
      <c r="D318" s="14">
        <f>'[1]2026 Orders'!D319</f>
        <v>0</v>
      </c>
      <c r="E318" s="17" t="str" cm="1">
        <f t="array" ref="E318">IF(C318=0,"",
HYPERLINK(
"#'2026 Orders'!C"&amp;
MATCH(1,
('2026 Orders'!C:C=C318)*
('2026 Orders'!G:G=G318)*
('2026 Orders'!N:N=N318),
0),
"Open "&amp;C318
))</f>
        <v>Open A4683</v>
      </c>
      <c r="F318" s="14" t="str">
        <f>'[1]2026 Orders'!F319</f>
        <v> 5/11/2026: UPC updated.         5/14/2026: Allocating 245 from Ethiopia A4591 and 50 from Uganda A4522.                                         6/1/2026: Qty reduced to 261 - only 16/50 bottles were usable from Uganda allocation.</v>
      </c>
      <c r="G318" s="14" t="str">
        <f>'[1]2026 Orders'!G319</f>
        <v>PRECON-180-CS-EG</v>
      </c>
      <c r="H318" s="14" t="str" cm="1">
        <f t="array" ref="H318">IFERROR(_xlfn.TEXTJOIN("-",,INDEX(_xlfn.TEXTSPLIT(TableTake[[#This Row],[SKU]],"-"),{1,2})),"")</f>
        <v>PRECON-180</v>
      </c>
      <c r="I318" s="15" t="str">
        <f>IFERROR(_xlfn.TEXTAFTER(TableTake[[#This Row],[SKU]],"-",-1),"")</f>
        <v>EG</v>
      </c>
      <c r="J318" s="14">
        <f>'[1]2026 Orders'!H319</f>
        <v>261</v>
      </c>
      <c r="K318" t="str">
        <f>'[1]2026 Orders'!I319</f>
        <v>EG55-26.0</v>
      </c>
      <c r="L318">
        <f>'[1]2026 Orders'!J319</f>
        <v>261</v>
      </c>
      <c r="N318" s="10" t="str">
        <f>'[1]2026 Orders'!L319</f>
        <v>Picked</v>
      </c>
      <c r="O318">
        <f>'[1]2026 Orders'!M319</f>
        <v>0</v>
      </c>
      <c r="P318" t="str">
        <f>'[1]2026 Orders'!N319</f>
        <v>NA</v>
      </c>
      <c r="Q318">
        <f>'[1]2026 Orders'!O319</f>
        <v>810131193843</v>
      </c>
      <c r="R318">
        <f>'[1]2026 Orders'!P319</f>
        <v>0</v>
      </c>
      <c r="S318">
        <f>'[1]2026 Orders'!Q319</f>
        <v>0</v>
      </c>
      <c r="T318">
        <f>'[1]2026 Orders'!R319</f>
        <v>0</v>
      </c>
      <c r="U318">
        <f>'[1]2026 Orders'!S319</f>
        <v>0</v>
      </c>
      <c r="V318">
        <f>'[1]2026 Orders'!T319</f>
        <v>0</v>
      </c>
      <c r="W318">
        <f>'[1]2026 Orders'!U319</f>
        <v>0</v>
      </c>
      <c r="X318">
        <f>'[1]2026 Orders'!V319</f>
        <v>0</v>
      </c>
      <c r="Y318">
        <f>'[1]2026 Orders'!W319</f>
        <v>0</v>
      </c>
      <c r="Z318">
        <f>'[1]2026 Orders'!X319</f>
        <v>0</v>
      </c>
      <c r="AC318" t="str">
        <f t="shared" si="8"/>
        <v>261/</v>
      </c>
      <c r="AD318" t="e">
        <f t="shared" si="9"/>
        <v>#VALUE!</v>
      </c>
    </row>
    <row r="319" spans="1:30" ht="33" hidden="1" customHeight="1" x14ac:dyDescent="0.3">
      <c r="A319">
        <f>'[1]2026 Orders'!A320</f>
        <v>46114</v>
      </c>
      <c r="B319" s="14" t="str">
        <f>'[1]2026 Orders'!B320</f>
        <v>Egypt</v>
      </c>
      <c r="C319" s="14" t="str">
        <f>'[1]2026 Orders'!C320</f>
        <v>A4683</v>
      </c>
      <c r="D319" s="14" t="str">
        <f>'[1]2026 Orders'!D320</f>
        <v> </v>
      </c>
      <c r="E319" s="17" t="str" cm="1">
        <f t="array" ref="E319">IF(C319=0,"",
HYPERLINK(
"#'2026 Orders'!C"&amp;
MATCH(1,
('2026 Orders'!C:C=C319)*
('2026 Orders'!G:G=G319)*
('2026 Orders'!N:N=N319),
0),
"Open "&amp;C319
))</f>
        <v>Open A4683</v>
      </c>
      <c r="F319" s="14">
        <f>'[1]2026 Orders'!F320</f>
        <v>0</v>
      </c>
      <c r="G319" s="14" t="str">
        <f>'[1]2026 Orders'!G320</f>
        <v>MOTILMX-60-CS-EG</v>
      </c>
      <c r="H319" s="14" t="str" cm="1">
        <f t="array" ref="H319">IFERROR(_xlfn.TEXTJOIN("-",,INDEX(_xlfn.TEXTSPLIT(TableTake[[#This Row],[SKU]],"-"),{1,2})),"")</f>
        <v>MOTILMX-60</v>
      </c>
      <c r="I319" s="15" t="str">
        <f>IFERROR(_xlfn.TEXTAFTER(TableTake[[#This Row],[SKU]],"-",-1),"")</f>
        <v>EG</v>
      </c>
      <c r="J319" s="14">
        <f>'[1]2026 Orders'!H320</f>
        <v>1680</v>
      </c>
      <c r="K319" t="str">
        <f>'[1]2026 Orders'!I320</f>
        <v>EG31-26.0</v>
      </c>
      <c r="L319">
        <f>'[1]2026 Orders'!J320</f>
        <v>1680</v>
      </c>
      <c r="N319" s="10" t="str">
        <f>'[1]2026 Orders'!L320</f>
        <v>Picked</v>
      </c>
      <c r="O319">
        <f>'[1]2026 Orders'!M320</f>
        <v>0</v>
      </c>
      <c r="P319" t="str">
        <f>'[1]2026 Orders'!N320</f>
        <v>NA</v>
      </c>
      <c r="Q319">
        <f>'[1]2026 Orders'!O320</f>
        <v>810131191030</v>
      </c>
      <c r="R319" t="str">
        <f>'[1]2026 Orders'!P320</f>
        <v> </v>
      </c>
      <c r="S319" t="str">
        <f>'[1]2026 Orders'!Q320</f>
        <v> </v>
      </c>
      <c r="T319" t="str">
        <f>'[1]2026 Orders'!R320</f>
        <v> </v>
      </c>
      <c r="U319" t="str">
        <f>'[1]2026 Orders'!S320</f>
        <v> </v>
      </c>
      <c r="V319" t="str">
        <f>'[1]2026 Orders'!T320</f>
        <v> </v>
      </c>
      <c r="W319" t="str">
        <f>'[1]2026 Orders'!U320</f>
        <v> </v>
      </c>
      <c r="X319" t="str">
        <f>'[1]2026 Orders'!V320</f>
        <v> </v>
      </c>
      <c r="Y319" t="str">
        <f>'[1]2026 Orders'!W320</f>
        <v> </v>
      </c>
      <c r="Z319">
        <f>'[1]2026 Orders'!X320</f>
        <v>0</v>
      </c>
      <c r="AC319" t="str">
        <f t="shared" si="8"/>
        <v>1680/</v>
      </c>
      <c r="AD319" t="e">
        <f t="shared" si="9"/>
        <v>#VALUE!</v>
      </c>
    </row>
    <row r="320" spans="1:30" ht="33" hidden="1" customHeight="1" x14ac:dyDescent="0.3">
      <c r="A320">
        <f>'[1]2026 Orders'!A321</f>
        <v>46114</v>
      </c>
      <c r="B320" s="14" t="str">
        <f>'[1]2026 Orders'!B321</f>
        <v>Egypt</v>
      </c>
      <c r="C320" s="14" t="str">
        <f>'[1]2026 Orders'!C321</f>
        <v>A4683</v>
      </c>
      <c r="D320" s="14" t="str">
        <f>'[1]2026 Orders'!D321</f>
        <v xml:space="preserve">4/6/2026: SKU changed from WFSPLS-180-CS-EG to WFSPLS-90-CS-EG  </v>
      </c>
      <c r="E320" s="17" t="str" cm="1">
        <f t="array" ref="E320">IF(C320=0,"",
HYPERLINK(
"#'2026 Orders'!C"&amp;
MATCH(1,
('2026 Orders'!C:C=C320)*
('2026 Orders'!G:G=G320)*
('2026 Orders'!N:N=N320),
0),
"Open "&amp;C320
))</f>
        <v>Open A4683</v>
      </c>
      <c r="F320" s="14" t="str">
        <f>'[1]2026 Orders'!F321</f>
        <v> 5/11/2026: UPC updated.</v>
      </c>
      <c r="G320" s="14" t="str">
        <f>'[1]2026 Orders'!G321</f>
        <v xml:space="preserve">WFSPLS-90-CS-EG  </v>
      </c>
      <c r="H320" s="14" t="str" cm="1">
        <f t="array" ref="H320">IFERROR(_xlfn.TEXTJOIN("-",,INDEX(_xlfn.TEXTSPLIT(TableTake[[#This Row],[SKU]],"-"),{1,2})),"")</f>
        <v>WFSPLS-90</v>
      </c>
      <c r="I320" s="15" t="str">
        <f>IFERROR(_xlfn.TEXTAFTER(TableTake[[#This Row],[SKU]],"-",-1),"")</f>
        <v xml:space="preserve">EG  </v>
      </c>
      <c r="J320" s="14">
        <f>'[1]2026 Orders'!H321</f>
        <v>840</v>
      </c>
      <c r="K320" t="str">
        <f>'[1]2026 Orders'!I321</f>
        <v>EG72-25.0</v>
      </c>
      <c r="L320">
        <f>'[1]2026 Orders'!J321</f>
        <v>840</v>
      </c>
      <c r="N320" s="10" t="str">
        <f>'[1]2026 Orders'!L321</f>
        <v>Picked</v>
      </c>
      <c r="O320">
        <f>'[1]2026 Orders'!M321</f>
        <v>0</v>
      </c>
      <c r="P320" t="str">
        <f>'[1]2026 Orders'!N321</f>
        <v>NA</v>
      </c>
      <c r="Q320">
        <f>'[1]2026 Orders'!O321</f>
        <v>604776737025</v>
      </c>
      <c r="R320">
        <f>'[1]2026 Orders'!P321</f>
        <v>4000</v>
      </c>
      <c r="S320">
        <f>'[1]2026 Orders'!Q321</f>
        <v>4941</v>
      </c>
      <c r="T320" t="str">
        <f>'[1]2026 Orders'!R321</f>
        <v>complete</v>
      </c>
      <c r="U320">
        <f>'[1]2026 Orders'!S321</f>
        <v>0</v>
      </c>
      <c r="V320" t="str">
        <f>'[1]2026 Orders'!T321</f>
        <v> </v>
      </c>
      <c r="W320" t="str">
        <f>'[1]2026 Orders'!U321</f>
        <v> </v>
      </c>
      <c r="X320" t="str">
        <f>'[1]2026 Orders'!V321</f>
        <v> </v>
      </c>
      <c r="Y320" t="str">
        <f>'[1]2026 Orders'!W321</f>
        <v> </v>
      </c>
      <c r="Z320">
        <f>'[1]2026 Orders'!X321</f>
        <v>0</v>
      </c>
      <c r="AC320" t="str">
        <f t="shared" si="8"/>
        <v>840/</v>
      </c>
      <c r="AD320" t="e">
        <f t="shared" si="9"/>
        <v>#VALUE!</v>
      </c>
    </row>
    <row r="321" spans="1:30" ht="33" hidden="1" customHeight="1" x14ac:dyDescent="0.3">
      <c r="A321">
        <f>'[1]2026 Orders'!A322</f>
        <v>46114</v>
      </c>
      <c r="B321" s="14" t="str">
        <f>'[1]2026 Orders'!B322</f>
        <v>Egypt</v>
      </c>
      <c r="C321" s="14" t="str">
        <f>'[1]2026 Orders'!C322</f>
        <v>A4683</v>
      </c>
      <c r="D321" s="14" t="str">
        <f>'[1]2026 Orders'!D322</f>
        <v> </v>
      </c>
      <c r="E321" s="17" t="str" cm="1">
        <f t="array" ref="E321">IF(C321=0,"",
HYPERLINK(
"#'2026 Orders'!C"&amp;
MATCH(1,
('2026 Orders'!C:C=C321)*
('2026 Orders'!G:G=G321)*
('2026 Orders'!N:N=N321),
0),
"Open "&amp;C321
))</f>
        <v>Open A4683</v>
      </c>
      <c r="F321" s="14" t="str">
        <f>'[1]2026 Orders'!F322</f>
        <v>Ride on back of Bulk MFS order       5/11/2026: UPC updated.</v>
      </c>
      <c r="G321" s="14" t="str">
        <f>'[1]2026 Orders'!G322</f>
        <v>MFSPLS-60-CS-EG</v>
      </c>
      <c r="H321" s="14" t="str" cm="1">
        <f t="array" ref="H321">IFERROR(_xlfn.TEXTJOIN("-",,INDEX(_xlfn.TEXTSPLIT(TableTake[[#This Row],[SKU]],"-"),{1,2})),"")</f>
        <v>MFSPLS-60</v>
      </c>
      <c r="I321" s="15" t="str">
        <f>IFERROR(_xlfn.TEXTAFTER(TableTake[[#This Row],[SKU]],"-",-1),"")</f>
        <v>EG</v>
      </c>
      <c r="J321" s="14">
        <f>'[1]2026 Orders'!H322</f>
        <v>840</v>
      </c>
      <c r="K321" t="str">
        <f>'[1]2026 Orders'!I322</f>
        <v>EG29-26.0</v>
      </c>
      <c r="L321">
        <f>'[1]2026 Orders'!J322</f>
        <v>840</v>
      </c>
      <c r="N321" s="10" t="str">
        <f>'[1]2026 Orders'!L322</f>
        <v>Picked</v>
      </c>
      <c r="O321">
        <f>'[1]2026 Orders'!M322</f>
        <v>0</v>
      </c>
      <c r="P321" t="str">
        <f>'[1]2026 Orders'!N322</f>
        <v>NA</v>
      </c>
      <c r="Q321">
        <f>'[1]2026 Orders'!O322</f>
        <v>810131193805</v>
      </c>
      <c r="R321">
        <f>'[1]2026 Orders'!P322</f>
        <v>39000</v>
      </c>
      <c r="S321">
        <f>'[1]2026 Orders'!Q322</f>
        <v>4907</v>
      </c>
      <c r="T321" t="str">
        <f>'[1]2026 Orders'!R322</f>
        <v>Complete</v>
      </c>
      <c r="U321">
        <f>'[1]2026 Orders'!S322</f>
        <v>0</v>
      </c>
      <c r="V321" t="str">
        <f>'[1]2026 Orders'!T322</f>
        <v> </v>
      </c>
      <c r="W321" t="str">
        <f>'[1]2026 Orders'!U322</f>
        <v> </v>
      </c>
      <c r="X321" t="str">
        <f>'[1]2026 Orders'!V322</f>
        <v> </v>
      </c>
      <c r="Y321" t="str">
        <f>'[1]2026 Orders'!W322</f>
        <v> </v>
      </c>
      <c r="Z321">
        <f>'[1]2026 Orders'!X322</f>
        <v>0</v>
      </c>
      <c r="AC321" t="str">
        <f t="shared" si="8"/>
        <v>840/</v>
      </c>
      <c r="AD321" t="e">
        <f t="shared" si="9"/>
        <v>#VALUE!</v>
      </c>
    </row>
    <row r="322" spans="1:30" ht="33" hidden="1" customHeight="1" x14ac:dyDescent="0.3">
      <c r="A322">
        <f>'[1]2026 Orders'!A323</f>
        <v>46114</v>
      </c>
      <c r="B322" s="14" t="str">
        <f>'[1]2026 Orders'!B323</f>
        <v>Egypt</v>
      </c>
      <c r="C322" s="14" t="str">
        <f>'[1]2026 Orders'!C323</f>
        <v>A4683</v>
      </c>
      <c r="D322" s="14" t="str">
        <f>'[1]2026 Orders'!D323</f>
        <v> </v>
      </c>
      <c r="E322" s="17" t="str" cm="1">
        <f t="array" ref="E322">IF(C322=0,"",
HYPERLINK(
"#'2026 Orders'!C"&amp;
MATCH(1,
('2026 Orders'!C:C=C322)*
('2026 Orders'!G:G=G322)*
('2026 Orders'!N:N=N322),
0),
"Open "&amp;C322
))</f>
        <v>Open A4683</v>
      </c>
      <c r="F322" s="14" t="str">
        <f>'[1]2026 Orders'!F323</f>
        <v>5/14/2026: Allocate 1050 pcs from Iraq A4596.</v>
      </c>
      <c r="G322" s="14" t="str">
        <f>'[1]2026 Orders'!G323</f>
        <v>QWELL2-60-SG-CS-EG</v>
      </c>
      <c r="H322" s="14" t="str" cm="1">
        <f t="array" ref="H322">IFERROR(_xlfn.TEXTJOIN("-",,INDEX(_xlfn.TEXTSPLIT(TableTake[[#This Row],[SKU]],"-"),{1,2})),"")</f>
        <v>QWELL2-60</v>
      </c>
      <c r="I322" s="15" t="str">
        <f>IFERROR(_xlfn.TEXTAFTER(TableTake[[#This Row],[SKU]],"-",-1),"")</f>
        <v>EG</v>
      </c>
      <c r="J322" s="14">
        <f>'[1]2026 Orders'!H323</f>
        <v>1050</v>
      </c>
      <c r="K322" t="str">
        <f>'[1]2026 Orders'!I323</f>
        <v>EG57-26.0</v>
      </c>
      <c r="L322">
        <f>'[1]2026 Orders'!J323</f>
        <v>1050</v>
      </c>
      <c r="N322" s="10" t="str">
        <f>'[1]2026 Orders'!L323</f>
        <v>Picked</v>
      </c>
      <c r="O322">
        <f>'[1]2026 Orders'!M323</f>
        <v>0</v>
      </c>
      <c r="P322" t="str">
        <f>'[1]2026 Orders'!N323</f>
        <v>NA</v>
      </c>
      <c r="Q322">
        <f>'[1]2026 Orders'!O323</f>
        <v>604776737407</v>
      </c>
      <c r="R322">
        <f>'[1]2026 Orders'!P323</f>
        <v>5000</v>
      </c>
      <c r="S322">
        <f>'[1]2026 Orders'!Q323</f>
        <v>5033</v>
      </c>
      <c r="T322" t="str">
        <f>'[1]2026 Orders'!R323</f>
        <v>TBD</v>
      </c>
      <c r="U322" t="str">
        <f>'[1]2026 Orders'!S323</f>
        <v>Bulk PO. Pending approval to send to vendor</v>
      </c>
      <c r="V322" t="str">
        <f>'[1]2026 Orders'!T323</f>
        <v> </v>
      </c>
      <c r="W322" t="str">
        <f>'[1]2026 Orders'!U323</f>
        <v> </v>
      </c>
      <c r="X322" t="str">
        <f>'[1]2026 Orders'!V323</f>
        <v> </v>
      </c>
      <c r="Y322" t="str">
        <f>'[1]2026 Orders'!W323</f>
        <v> </v>
      </c>
      <c r="Z322">
        <f>'[1]2026 Orders'!X323</f>
        <v>0</v>
      </c>
      <c r="AC322" t="str">
        <f t="shared" si="8"/>
        <v>1050/</v>
      </c>
      <c r="AD322" t="e">
        <f t="shared" si="9"/>
        <v>#VALUE!</v>
      </c>
    </row>
    <row r="323" spans="1:30" ht="33" hidden="1" customHeight="1" x14ac:dyDescent="0.3">
      <c r="A323">
        <f>'[1]2026 Orders'!A324</f>
        <v>46057</v>
      </c>
      <c r="B323" s="14" t="str">
        <f>'[1]2026 Orders'!B324</f>
        <v>Egypt</v>
      </c>
      <c r="C323" s="14" t="str">
        <f>'[1]2026 Orders'!C324</f>
        <v>A4683</v>
      </c>
      <c r="D323" s="14">
        <f>'[1]2026 Orders'!D324</f>
        <v>0</v>
      </c>
      <c r="E323" s="17" t="str" cm="1">
        <f t="array" ref="E323">IF(C323=0,"",
HYPERLINK(
"#'2026 Orders'!C"&amp;
MATCH(1,
('2026 Orders'!C:C=C323)*
('2026 Orders'!G:G=G323)*
('2026 Orders'!N:N=N323),
0),
"Open "&amp;C323
))</f>
        <v>Open A4683</v>
      </c>
      <c r="F323" s="14" t="str">
        <f>'[1]2026 Orders'!F324</f>
        <v>5/21/2026: Moved from Egypt A4634.</v>
      </c>
      <c r="G323" s="14" t="str">
        <f>'[1]2026 Orders'!G324</f>
        <v>UTIC-60-CS-EG</v>
      </c>
      <c r="H323" s="14" t="str" cm="1">
        <f t="array" ref="H323">IFERROR(_xlfn.TEXTJOIN("-",,INDEX(_xlfn.TEXTSPLIT(TableTake[[#This Row],[SKU]],"-"),{1,2})),"")</f>
        <v>UTIC-60</v>
      </c>
      <c r="I323" s="15" t="str">
        <f>IFERROR(_xlfn.TEXTAFTER(TableTake[[#This Row],[SKU]],"-",-1),"")</f>
        <v>EG</v>
      </c>
      <c r="J323" s="14">
        <f>'[1]2026 Orders'!H324</f>
        <v>1050</v>
      </c>
      <c r="K323" t="str">
        <f>'[1]2026 Orders'!I324</f>
        <v>EG110-26.0</v>
      </c>
      <c r="L323">
        <f>'[1]2026 Orders'!J324</f>
        <v>1050</v>
      </c>
      <c r="N323" s="10" t="str">
        <f>'[1]2026 Orders'!L324</f>
        <v>Rework</v>
      </c>
      <c r="O323">
        <f>'[1]2026 Orders'!M324</f>
        <v>0</v>
      </c>
      <c r="P323" t="str">
        <f>'[1]2026 Orders'!N324</f>
        <v>NA</v>
      </c>
      <c r="Q323">
        <f>'[1]2026 Orders'!O324</f>
        <v>604776740438</v>
      </c>
      <c r="R323">
        <f>'[1]2026 Orders'!P324</f>
        <v>4000</v>
      </c>
      <c r="S323">
        <f>'[1]2026 Orders'!Q324</f>
        <v>4973</v>
      </c>
      <c r="T323" t="str">
        <f>'[1]2026 Orders'!R324</f>
        <v>Complete</v>
      </c>
      <c r="U323" t="str">
        <f>'[1]2026 Orders'!S324</f>
        <v>Waiting for PL and sample approval</v>
      </c>
      <c r="V323">
        <f>'[1]2026 Orders'!T324</f>
        <v>0</v>
      </c>
      <c r="W323">
        <f>'[1]2026 Orders'!U324</f>
        <v>0</v>
      </c>
      <c r="X323">
        <f>'[1]2026 Orders'!V324</f>
        <v>0</v>
      </c>
      <c r="Y323">
        <f>'[1]2026 Orders'!W324</f>
        <v>0</v>
      </c>
      <c r="Z323">
        <f>'[1]2026 Orders'!X324</f>
        <v>0</v>
      </c>
      <c r="AC323" t="str">
        <f t="shared" ref="AC323:AC386" si="10">IF(OR(B323="",B323=0),"",J323&amp;"/"&amp;$AJ$2)</f>
        <v>1050/</v>
      </c>
      <c r="AD323" t="e">
        <f t="shared" ref="AD323:AD386" si="11">IF(OR(J323="",J323=0),"",I323&amp;" -&gt; "&amp;$AK$2)</f>
        <v>#VALUE!</v>
      </c>
    </row>
    <row r="324" spans="1:30" ht="33" hidden="1" customHeight="1" x14ac:dyDescent="0.3">
      <c r="A324">
        <f>'[1]2026 Orders'!A325</f>
        <v>0</v>
      </c>
      <c r="B324" s="14">
        <f>'[1]2026 Orders'!B325</f>
        <v>0</v>
      </c>
      <c r="C324" s="14">
        <f>'[1]2026 Orders'!C325</f>
        <v>0</v>
      </c>
      <c r="D324" s="14">
        <f>'[1]2026 Orders'!D325</f>
        <v>0</v>
      </c>
      <c r="E324" s="17" t="str" cm="1">
        <f t="array" ref="E324">IF(C324=0,"",
HYPERLINK(
"#'2026 Orders'!C"&amp;
MATCH(1,
('2026 Orders'!C:C=C324)*
('2026 Orders'!G:G=G324)*
('2026 Orders'!N:N=N324),
0),
"Open "&amp;C324
))</f>
        <v/>
      </c>
      <c r="F324" s="14">
        <f>'[1]2026 Orders'!F325</f>
        <v>0</v>
      </c>
      <c r="G324" s="14">
        <f>'[1]2026 Orders'!G325</f>
        <v>0</v>
      </c>
      <c r="H324" s="14" t="str" cm="1">
        <f t="array" ref="H324">IFERROR(_xlfn.TEXTJOIN("-",,INDEX(_xlfn.TEXTSPLIT(TableTake[[#This Row],[SKU]],"-"),{1,2})),"")</f>
        <v/>
      </c>
      <c r="I324" s="15" t="str">
        <f>IFERROR(_xlfn.TEXTAFTER(TableTake[[#This Row],[SKU]],"-",-1),"")</f>
        <v/>
      </c>
      <c r="J324" s="14">
        <f>'[1]2026 Orders'!H325</f>
        <v>0</v>
      </c>
      <c r="K324">
        <f>'[1]2026 Orders'!I325</f>
        <v>0</v>
      </c>
      <c r="L324">
        <f>'[1]2026 Orders'!J325</f>
        <v>0</v>
      </c>
      <c r="N324" s="10">
        <f>'[1]2026 Orders'!L325</f>
        <v>0</v>
      </c>
      <c r="O324">
        <f>'[1]2026 Orders'!M325</f>
        <v>0</v>
      </c>
      <c r="P324">
        <f>'[1]2026 Orders'!N325</f>
        <v>0</v>
      </c>
      <c r="Q324">
        <f>'[1]2026 Orders'!O325</f>
        <v>0</v>
      </c>
      <c r="R324">
        <f>'[1]2026 Orders'!P325</f>
        <v>0</v>
      </c>
      <c r="S324">
        <f>'[1]2026 Orders'!Q325</f>
        <v>0</v>
      </c>
      <c r="T324">
        <f>'[1]2026 Orders'!R325</f>
        <v>0</v>
      </c>
      <c r="U324">
        <f>'[1]2026 Orders'!S325</f>
        <v>0</v>
      </c>
      <c r="V324">
        <f>'[1]2026 Orders'!T325</f>
        <v>0</v>
      </c>
      <c r="W324">
        <f>'[1]2026 Orders'!U325</f>
        <v>0</v>
      </c>
      <c r="X324">
        <f>'[1]2026 Orders'!V325</f>
        <v>0</v>
      </c>
      <c r="Y324">
        <f>'[1]2026 Orders'!W325</f>
        <v>0</v>
      </c>
      <c r="Z324">
        <f>'[1]2026 Orders'!X325</f>
        <v>0</v>
      </c>
      <c r="AC324" t="str">
        <f t="shared" si="10"/>
        <v/>
      </c>
      <c r="AD324" t="str">
        <f t="shared" si="11"/>
        <v/>
      </c>
    </row>
    <row r="325" spans="1:30" ht="33" hidden="1" customHeight="1" x14ac:dyDescent="0.3">
      <c r="A325">
        <f>'[1]2026 Orders'!A326</f>
        <v>46114</v>
      </c>
      <c r="B325" s="14" t="str">
        <f>'[1]2026 Orders'!B326</f>
        <v>Egypt</v>
      </c>
      <c r="C325" s="14" t="str">
        <f>'[1]2026 Orders'!C326</f>
        <v>A4709</v>
      </c>
      <c r="D325" s="14">
        <f>'[1]2026 Orders'!D326</f>
        <v>0</v>
      </c>
      <c r="E325" s="17" t="str" cm="1">
        <f t="array" ref="E325">IF(C325=0,"",
HYPERLINK(
"#'2026 Orders'!C"&amp;
MATCH(1,
('2026 Orders'!C:C=C325)*
('2026 Orders'!G:G=G325)*
('2026 Orders'!N:N=N325),
0),
"Open "&amp;C325
))</f>
        <v>Open A4709</v>
      </c>
      <c r="F325" s="14" t="str">
        <f>'[1]2026 Orders'!F326</f>
        <v>5/21/2026: Moved 2093 pcs to backorder from Egypt A4683.</v>
      </c>
      <c r="G325" s="14" t="str">
        <f>'[1]2026 Orders'!G326</f>
        <v>MFSPLS-120-CS-EG</v>
      </c>
      <c r="H325" s="14" t="str" cm="1">
        <f t="array" ref="H325">IFERROR(_xlfn.TEXTJOIN("-",,INDEX(_xlfn.TEXTSPLIT(TableTake[[#This Row],[SKU]],"-"),{1,2})),"")</f>
        <v>MFSPLS-120</v>
      </c>
      <c r="I325" s="15" t="str">
        <f>IFERROR(_xlfn.TEXTAFTER(TableTake[[#This Row],[SKU]],"-",-1),"")</f>
        <v>EG</v>
      </c>
      <c r="J325" s="14">
        <f>'[1]2026 Orders'!H326</f>
        <v>2093</v>
      </c>
      <c r="K325" t="str">
        <f>'[1]2026 Orders'!I326</f>
        <v> EG30-26.0</v>
      </c>
      <c r="L325">
        <f>'[1]2026 Orders'!J326</f>
        <v>0</v>
      </c>
      <c r="N325" s="10" t="str">
        <f>'[1]2026 Orders'!L326</f>
        <v>In Production</v>
      </c>
      <c r="O325">
        <f>'[1]2026 Orders'!M326</f>
        <v>0</v>
      </c>
      <c r="P325" t="str">
        <f>'[1]2026 Orders'!N326</f>
        <v>NA</v>
      </c>
      <c r="Q325">
        <f>'[1]2026 Orders'!O326</f>
        <v>810131193799</v>
      </c>
      <c r="R325">
        <f>'[1]2026 Orders'!P326</f>
        <v>9195</v>
      </c>
      <c r="S325">
        <f>'[1]2026 Orders'!Q326</f>
        <v>5032</v>
      </c>
      <c r="T325">
        <f>'[1]2026 Orders'!R326</f>
        <v>46211</v>
      </c>
      <c r="U325">
        <f>'[1]2026 Orders'!S326</f>
        <v>0</v>
      </c>
      <c r="V325" t="str">
        <f>'[1]2026 Orders'!T326</f>
        <v> </v>
      </c>
      <c r="W325" t="str">
        <f>'[1]2026 Orders'!U326</f>
        <v> </v>
      </c>
      <c r="X325" t="str">
        <f>'[1]2026 Orders'!V326</f>
        <v> </v>
      </c>
      <c r="Y325" t="str">
        <f>'[1]2026 Orders'!W326</f>
        <v> </v>
      </c>
      <c r="Z325" t="str">
        <f>'[1]2026 Orders'!X326</f>
        <v>Approved</v>
      </c>
      <c r="AC325" t="str">
        <f t="shared" si="10"/>
        <v>2093/</v>
      </c>
      <c r="AD325" t="e">
        <f t="shared" si="11"/>
        <v>#VALUE!</v>
      </c>
    </row>
    <row r="326" spans="1:30" ht="33" hidden="1" customHeight="1" x14ac:dyDescent="0.3">
      <c r="A326">
        <f>'[1]2026 Orders'!A327</f>
        <v>0</v>
      </c>
      <c r="B326" s="14">
        <f>'[1]2026 Orders'!B327</f>
        <v>0</v>
      </c>
      <c r="C326" s="14">
        <f>'[1]2026 Orders'!C327</f>
        <v>0</v>
      </c>
      <c r="D326" s="14">
        <f>'[1]2026 Orders'!D327</f>
        <v>0</v>
      </c>
      <c r="E326" s="17" t="str" cm="1">
        <f t="array" ref="E326">IF(C326=0,"",
HYPERLINK(
"#'2026 Orders'!C"&amp;
MATCH(1,
('2026 Orders'!C:C=C326)*
('2026 Orders'!G:G=G326)*
('2026 Orders'!N:N=N326),
0),
"Open "&amp;C326
))</f>
        <v/>
      </c>
      <c r="F326" s="14">
        <f>'[1]2026 Orders'!F327</f>
        <v>0</v>
      </c>
      <c r="G326" s="14">
        <f>'[1]2026 Orders'!G327</f>
        <v>0</v>
      </c>
      <c r="H326" s="14" t="str" cm="1">
        <f t="array" ref="H326">IFERROR(_xlfn.TEXTJOIN("-",,INDEX(_xlfn.TEXTSPLIT(TableTake[[#This Row],[SKU]],"-"),{1,2})),"")</f>
        <v/>
      </c>
      <c r="I326" s="15" t="str">
        <f>IFERROR(_xlfn.TEXTAFTER(TableTake[[#This Row],[SKU]],"-",-1),"")</f>
        <v/>
      </c>
      <c r="J326" s="14">
        <f>'[1]2026 Orders'!H327</f>
        <v>0</v>
      </c>
      <c r="K326">
        <f>'[1]2026 Orders'!I327</f>
        <v>0</v>
      </c>
      <c r="L326">
        <f>'[1]2026 Orders'!J327</f>
        <v>0</v>
      </c>
      <c r="N326" s="10">
        <f>'[1]2026 Orders'!L327</f>
        <v>0</v>
      </c>
      <c r="O326">
        <f>'[1]2026 Orders'!M327</f>
        <v>0</v>
      </c>
      <c r="P326">
        <f>'[1]2026 Orders'!N327</f>
        <v>0</v>
      </c>
      <c r="Q326">
        <f>'[1]2026 Orders'!O327</f>
        <v>0</v>
      </c>
      <c r="R326">
        <f>'[1]2026 Orders'!P327</f>
        <v>0</v>
      </c>
      <c r="S326">
        <f>'[1]2026 Orders'!Q327</f>
        <v>0</v>
      </c>
      <c r="T326">
        <f>'[1]2026 Orders'!R327</f>
        <v>0</v>
      </c>
      <c r="U326">
        <f>'[1]2026 Orders'!S327</f>
        <v>0</v>
      </c>
      <c r="V326">
        <f>'[1]2026 Orders'!T327</f>
        <v>0</v>
      </c>
      <c r="W326">
        <f>'[1]2026 Orders'!U327</f>
        <v>0</v>
      </c>
      <c r="X326">
        <f>'[1]2026 Orders'!V327</f>
        <v>0</v>
      </c>
      <c r="Y326">
        <f>'[1]2026 Orders'!W327</f>
        <v>0</v>
      </c>
      <c r="Z326">
        <f>'[1]2026 Orders'!X327</f>
        <v>0</v>
      </c>
      <c r="AC326" t="str">
        <f t="shared" si="10"/>
        <v/>
      </c>
      <c r="AD326" t="str">
        <f t="shared" si="11"/>
        <v/>
      </c>
    </row>
    <row r="327" spans="1:30" ht="33" hidden="1" customHeight="1" x14ac:dyDescent="0.3">
      <c r="A327">
        <f>'[1]2026 Orders'!A328</f>
        <v>46121</v>
      </c>
      <c r="B327" s="14" t="str">
        <f>'[1]2026 Orders'!B328</f>
        <v>Chad</v>
      </c>
      <c r="C327" s="14" t="str">
        <f>'[1]2026 Orders'!C328</f>
        <v>A4687</v>
      </c>
      <c r="D327" s="14" t="str">
        <f>'[1]2026 Orders'!D328</f>
        <v>4/9/2026: Awaiting Proforma Invoice Confirmation</v>
      </c>
      <c r="E327" s="17" t="str" cm="1">
        <f t="array" ref="E327">IF(C327=0,"",
HYPERLINK(
"#'2026 Orders'!C"&amp;
MATCH(1,
('2026 Orders'!C:C=C327)*
('2026 Orders'!G:G=G327)*
('2026 Orders'!N:N=N327),
0),
"Open "&amp;C327
))</f>
        <v>Open A4687</v>
      </c>
      <c r="F327" s="14" t="str">
        <f>'[1]2026 Orders'!F328</f>
        <v>4/27/2026: SKU changed to PENAMAX-60-GE-FD
4/30/2026: SKU changed to PENAMAX-60-GE-CS-CH (PENNAMAX-60-VE-LAB-CS-CH MUST BE USED)
5/7/2026: VE Chad labels confirmed
qty increased from 240 → 277</v>
      </c>
      <c r="G327" s="14" t="str">
        <f>'[1]2026 Orders'!G328</f>
        <v xml:space="preserve"> PENAMAX-60-GE-CS-CH (PENNAMAX-60-VE-LAB-CS-CH)</v>
      </c>
      <c r="H327" s="14" t="str" cm="1">
        <f t="array" ref="H327">IFERROR(_xlfn.TEXTJOIN("-",,INDEX(_xlfn.TEXTSPLIT(TableTake[[#This Row],[SKU]],"-"),{1,2})),"")</f>
        <v xml:space="preserve"> PENAMAX-60</v>
      </c>
      <c r="I327" s="15" t="str">
        <f>IFERROR(_xlfn.TEXTAFTER(TableTake[[#This Row],[SKU]],"-",-1),"")</f>
        <v>CH)</v>
      </c>
      <c r="J327" s="14">
        <f>'[1]2026 Orders'!H328</f>
        <v>277</v>
      </c>
      <c r="K327" t="str">
        <f>'[1]2026 Orders'!I328</f>
        <v>CH51-21.0</v>
      </c>
      <c r="L327">
        <f>'[1]2026 Orders'!J328</f>
        <v>277</v>
      </c>
      <c r="N327" s="10" t="str">
        <f>'[1]2026 Orders'!L328</f>
        <v>Rework</v>
      </c>
      <c r="O327">
        <f>'[1]2026 Orders'!M328</f>
        <v>0</v>
      </c>
      <c r="P327" t="str">
        <f>'[1]2026 Orders'!N328</f>
        <v>NA</v>
      </c>
      <c r="Q327">
        <f>'[1]2026 Orders'!O328</f>
        <v>604776738763</v>
      </c>
      <c r="R327">
        <f>'[1]2026 Orders'!P328</f>
        <v>0</v>
      </c>
      <c r="S327">
        <f>'[1]2026 Orders'!Q328</f>
        <v>0</v>
      </c>
      <c r="T327">
        <f>'[1]2026 Orders'!R328</f>
        <v>0</v>
      </c>
      <c r="U327">
        <f>'[1]2026 Orders'!S328</f>
        <v>0</v>
      </c>
      <c r="V327">
        <f>'[1]2026 Orders'!T328</f>
        <v>0</v>
      </c>
      <c r="W327">
        <f>'[1]2026 Orders'!U328</f>
        <v>0</v>
      </c>
      <c r="X327">
        <f>'[1]2026 Orders'!V328</f>
        <v>0</v>
      </c>
      <c r="Y327">
        <f>'[1]2026 Orders'!W328</f>
        <v>0</v>
      </c>
      <c r="Z327" t="str">
        <f>'[1]2026 Orders'!X328</f>
        <v>HOLD</v>
      </c>
      <c r="AC327" t="str">
        <f t="shared" si="10"/>
        <v>277/</v>
      </c>
      <c r="AD327" t="e">
        <f t="shared" si="11"/>
        <v>#VALUE!</v>
      </c>
    </row>
    <row r="328" spans="1:30" ht="33" hidden="1" customHeight="1" x14ac:dyDescent="0.3">
      <c r="A328">
        <f>'[1]2026 Orders'!A329</f>
        <v>46121</v>
      </c>
      <c r="B328" s="14" t="str">
        <f>'[1]2026 Orders'!B329</f>
        <v>Chad</v>
      </c>
      <c r="C328" s="14" t="str">
        <f>'[1]2026 Orders'!C329</f>
        <v>A4687</v>
      </c>
      <c r="D328" s="14" t="str">
        <f>'[1]2026 Orders'!D329</f>
        <v>4/15/2026: Proforma Invoice Confirmed</v>
      </c>
      <c r="E328" s="17" t="str" cm="1">
        <f t="array" ref="E328">IF(C328=0,"",
HYPERLINK(
"#'2026 Orders'!C"&amp;
MATCH(1,
('2026 Orders'!C:C=C328)*
('2026 Orders'!G:G=G328)*
('2026 Orders'!N:N=N328),
0),
"Open "&amp;C328
))</f>
        <v>Open A4687</v>
      </c>
      <c r="F328" s="14" t="str">
        <f>'[1]2026 Orders'!F329</f>
        <v>5/7/2026: qty increased from 1200 → 1290</v>
      </c>
      <c r="G328" s="14" t="str">
        <f>'[1]2026 Orders'!G329</f>
        <v>OSTEOPL-96-CS-CH</v>
      </c>
      <c r="H328" s="14" t="str" cm="1">
        <f t="array" ref="H328">IFERROR(_xlfn.TEXTJOIN("-",,INDEX(_xlfn.TEXTSPLIT(TableTake[[#This Row],[SKU]],"-"),{1,2})),"")</f>
        <v>OSTEOPL-96</v>
      </c>
      <c r="I328" s="15" t="str">
        <f>IFERROR(_xlfn.TEXTAFTER(TableTake[[#This Row],[SKU]],"-",-1),"")</f>
        <v>CH</v>
      </c>
      <c r="J328" s="14">
        <f>'[1]2026 Orders'!H329</f>
        <v>1290</v>
      </c>
      <c r="K328" t="str">
        <f>'[1]2026 Orders'!I329</f>
        <v>CH39-21.0</v>
      </c>
      <c r="L328">
        <f>'[1]2026 Orders'!J329</f>
        <v>1290</v>
      </c>
      <c r="N328" s="10" t="str">
        <f>'[1]2026 Orders'!L329</f>
        <v>Picked</v>
      </c>
      <c r="O328">
        <f>'[1]2026 Orders'!M329</f>
        <v>0</v>
      </c>
      <c r="P328" t="str">
        <f>'[1]2026 Orders'!N329</f>
        <v>NA</v>
      </c>
      <c r="Q328">
        <f>'[1]2026 Orders'!O329</f>
        <v>604776738749</v>
      </c>
      <c r="R328">
        <f>'[1]2026 Orders'!P329</f>
        <v>0</v>
      </c>
      <c r="S328">
        <f>'[1]2026 Orders'!Q329</f>
        <v>0</v>
      </c>
      <c r="T328">
        <f>'[1]2026 Orders'!R329</f>
        <v>0</v>
      </c>
      <c r="U328">
        <f>'[1]2026 Orders'!S329</f>
        <v>0</v>
      </c>
      <c r="V328">
        <f>'[1]2026 Orders'!T329</f>
        <v>0</v>
      </c>
      <c r="W328">
        <f>'[1]2026 Orders'!U329</f>
        <v>0</v>
      </c>
      <c r="X328">
        <f>'[1]2026 Orders'!V329</f>
        <v>0</v>
      </c>
      <c r="Y328">
        <f>'[1]2026 Orders'!W329</f>
        <v>0</v>
      </c>
      <c r="Z328">
        <f>'[1]2026 Orders'!X329</f>
        <v>0</v>
      </c>
      <c r="AC328" t="str">
        <f t="shared" si="10"/>
        <v>1290/</v>
      </c>
      <c r="AD328" t="e">
        <f t="shared" si="11"/>
        <v>#VALUE!</v>
      </c>
    </row>
    <row r="329" spans="1:30" ht="33" hidden="1" customHeight="1" x14ac:dyDescent="0.3">
      <c r="A329">
        <f>'[1]2026 Orders'!A330</f>
        <v>46121</v>
      </c>
      <c r="B329" s="14" t="str">
        <f>'[1]2026 Orders'!B330</f>
        <v>Chad</v>
      </c>
      <c r="C329" s="14" t="str">
        <f>'[1]2026 Orders'!C330</f>
        <v>A4687</v>
      </c>
      <c r="D329" s="14">
        <f>'[1]2026 Orders'!D330</f>
        <v>0</v>
      </c>
      <c r="E329" s="17" t="str" cm="1">
        <f t="array" ref="E329">IF(C329=0,"",
HYPERLINK(
"#'2026 Orders'!C"&amp;
MATCH(1,
('2026 Orders'!C:C=C329)*
('2026 Orders'!G:G=G329)*
('2026 Orders'!N:N=N329),
0),
"Open "&amp;C329
))</f>
        <v>Open A4687</v>
      </c>
      <c r="F329" s="14" t="str">
        <f>'[1]2026 Orders'!F330</f>
        <v>5/7/2026: qty increased from 240 → 270</v>
      </c>
      <c r="G329" s="14" t="str">
        <f>'[1]2026 Orders'!G330</f>
        <v>DHEA50-60-CS-CH</v>
      </c>
      <c r="H329" s="14" t="str" cm="1">
        <f t="array" ref="H329">IFERROR(_xlfn.TEXTJOIN("-",,INDEX(_xlfn.TEXTSPLIT(TableTake[[#This Row],[SKU]],"-"),{1,2})),"")</f>
        <v>DHEA50-60</v>
      </c>
      <c r="I329" s="15" t="str">
        <f>IFERROR(_xlfn.TEXTAFTER(TableTake[[#This Row],[SKU]],"-",-1),"")</f>
        <v>CH</v>
      </c>
      <c r="J329" s="14">
        <f>'[1]2026 Orders'!H330</f>
        <v>270</v>
      </c>
      <c r="K329" t="str">
        <f>'[1]2026 Orders'!I330</f>
        <v>CH13-21.0</v>
      </c>
      <c r="L329">
        <f>'[1]2026 Orders'!J330</f>
        <v>0</v>
      </c>
      <c r="N329" s="10" t="str">
        <f>'[1]2026 Orders'!L330</f>
        <v>In Production</v>
      </c>
      <c r="O329">
        <f>'[1]2026 Orders'!M330</f>
        <v>0</v>
      </c>
      <c r="P329" t="str">
        <f>'[1]2026 Orders'!N330</f>
        <v>NA</v>
      </c>
      <c r="Q329">
        <f>'[1]2026 Orders'!O330</f>
        <v>604776738695</v>
      </c>
      <c r="R329">
        <f>'[1]2026 Orders'!P330</f>
        <v>7000</v>
      </c>
      <c r="S329">
        <f>'[1]2026 Orders'!Q330</f>
        <v>5027</v>
      </c>
      <c r="T329">
        <f>'[1]2026 Orders'!R330</f>
        <v>46201</v>
      </c>
      <c r="U329">
        <f>'[1]2026 Orders'!S330</f>
        <v>0</v>
      </c>
      <c r="V329">
        <f>'[1]2026 Orders'!T330</f>
        <v>0</v>
      </c>
      <c r="W329">
        <f>'[1]2026 Orders'!U330</f>
        <v>0</v>
      </c>
      <c r="X329">
        <f>'[1]2026 Orders'!V330</f>
        <v>0</v>
      </c>
      <c r="Y329">
        <f>'[1]2026 Orders'!W330</f>
        <v>0</v>
      </c>
      <c r="Z329">
        <f>'[1]2026 Orders'!X330</f>
        <v>0</v>
      </c>
      <c r="AC329" t="str">
        <f t="shared" si="10"/>
        <v>270/</v>
      </c>
      <c r="AD329" t="e">
        <f t="shared" si="11"/>
        <v>#VALUE!</v>
      </c>
    </row>
    <row r="330" spans="1:30" ht="33" hidden="1" customHeight="1" x14ac:dyDescent="0.3">
      <c r="A330">
        <f>'[1]2026 Orders'!A331</f>
        <v>46121</v>
      </c>
      <c r="B330" s="14" t="str">
        <f>'[1]2026 Orders'!B331</f>
        <v>Chad</v>
      </c>
      <c r="C330" s="14" t="str">
        <f>'[1]2026 Orders'!C331</f>
        <v>A4687</v>
      </c>
      <c r="D330" s="14">
        <f>'[1]2026 Orders'!D331</f>
        <v>0</v>
      </c>
      <c r="E330" s="17" t="str" cm="1">
        <f t="array" ref="E330">IF(C330=0,"",
HYPERLINK(
"#'2026 Orders'!C"&amp;
MATCH(1,
('2026 Orders'!C:C=C330)*
('2026 Orders'!G:G=G330)*
('2026 Orders'!N:N=N330),
0),
"Open "&amp;C330
))</f>
        <v>Open A4687</v>
      </c>
      <c r="F330" s="14" t="str">
        <f>'[1]2026 Orders'!F331</f>
        <v>5/7/2026: qty increased from 600 → 636</v>
      </c>
      <c r="G330" s="14" t="str">
        <f>'[1]2026 Orders'!G331</f>
        <v>WFSPLS-180-CS-CH</v>
      </c>
      <c r="H330" s="14" t="str" cm="1">
        <f t="array" ref="H330">IFERROR(_xlfn.TEXTJOIN("-",,INDEX(_xlfn.TEXTSPLIT(TableTake[[#This Row],[SKU]],"-"),{1,2})),"")</f>
        <v>WFSPLS-180</v>
      </c>
      <c r="I330" s="15" t="str">
        <f>IFERROR(_xlfn.TEXTAFTER(TableTake[[#This Row],[SKU]],"-",-1),"")</f>
        <v>CH</v>
      </c>
      <c r="J330" s="14">
        <f>'[1]2026 Orders'!H331</f>
        <v>282</v>
      </c>
      <c r="K330" t="str">
        <f>'[1]2026 Orders'!I331</f>
        <v>CH73-21.0</v>
      </c>
      <c r="L330">
        <f>'[1]2026 Orders'!J331</f>
        <v>0</v>
      </c>
      <c r="N330" s="10" t="str">
        <f>'[1]2026 Orders'!L331</f>
        <v>Out of Stock</v>
      </c>
      <c r="O330">
        <f>'[1]2026 Orders'!M331</f>
        <v>0</v>
      </c>
      <c r="P330" t="str">
        <f>'[1]2026 Orders'!N331</f>
        <v>NA</v>
      </c>
      <c r="Q330">
        <f>'[1]2026 Orders'!O331</f>
        <v>604776738817</v>
      </c>
      <c r="R330">
        <f>'[1]2026 Orders'!P331</f>
        <v>0</v>
      </c>
      <c r="S330">
        <f>'[1]2026 Orders'!Q331</f>
        <v>0</v>
      </c>
      <c r="T330">
        <f>'[1]2026 Orders'!R331</f>
        <v>0</v>
      </c>
      <c r="U330">
        <f>'[1]2026 Orders'!S331</f>
        <v>0</v>
      </c>
      <c r="V330">
        <f>'[1]2026 Orders'!T331</f>
        <v>0</v>
      </c>
      <c r="W330">
        <f>'[1]2026 Orders'!U331</f>
        <v>0</v>
      </c>
      <c r="X330">
        <f>'[1]2026 Orders'!V331</f>
        <v>0</v>
      </c>
      <c r="Y330">
        <f>'[1]2026 Orders'!W331</f>
        <v>0</v>
      </c>
      <c r="Z330">
        <f>'[1]2026 Orders'!X331</f>
        <v>0</v>
      </c>
      <c r="AC330" t="str">
        <f t="shared" si="10"/>
        <v>282/</v>
      </c>
      <c r="AD330" t="e">
        <f t="shared" si="11"/>
        <v>#VALUE!</v>
      </c>
    </row>
    <row r="331" spans="1:30" ht="33" hidden="1" customHeight="1" x14ac:dyDescent="0.3">
      <c r="A331">
        <f>'[1]2026 Orders'!A332</f>
        <v>46121</v>
      </c>
      <c r="B331" s="14" t="str">
        <f>'[1]2026 Orders'!B332</f>
        <v>Chad</v>
      </c>
      <c r="C331" s="14" t="str">
        <f>'[1]2026 Orders'!C332</f>
        <v>A4687</v>
      </c>
      <c r="D331" s="14">
        <f>'[1]2026 Orders'!D332</f>
        <v>0</v>
      </c>
      <c r="E331" s="17" t="str" cm="1">
        <f t="array" ref="E331">IF(C331=0,"",
HYPERLINK(
"#'2026 Orders'!C"&amp;
MATCH(1,
('2026 Orders'!C:C=C331)*
('2026 Orders'!G:G=G331)*
('2026 Orders'!N:N=N331),
0),
"Open "&amp;C331
))</f>
        <v>Open A4687</v>
      </c>
      <c r="F331" s="14" t="str">
        <f>'[1]2026 Orders'!F332</f>
        <v>5/7/2026: qty increased from 600 → 636</v>
      </c>
      <c r="G331" s="14" t="str">
        <f>'[1]2026 Orders'!G332</f>
        <v>WFSPLS-180-CS-CH</v>
      </c>
      <c r="H331" s="14" t="str" cm="1">
        <f t="array" ref="H331">IFERROR(_xlfn.TEXTJOIN("-",,INDEX(_xlfn.TEXTSPLIT(TableTake[[#This Row],[SKU]],"-"),{1,2})),"")</f>
        <v>WFSPLS-180</v>
      </c>
      <c r="I331" s="15" t="str">
        <f>IFERROR(_xlfn.TEXTAFTER(TableTake[[#This Row],[SKU]],"-",-1),"")</f>
        <v>CH</v>
      </c>
      <c r="J331" s="14">
        <f>'[1]2026 Orders'!H332</f>
        <v>354</v>
      </c>
      <c r="K331" t="str">
        <f>'[1]2026 Orders'!I332</f>
        <v>CH73-21.0</v>
      </c>
      <c r="L331">
        <f>'[1]2026 Orders'!J332</f>
        <v>354</v>
      </c>
      <c r="N331" s="10" t="str">
        <f>'[1]2026 Orders'!L332</f>
        <v>Picked</v>
      </c>
      <c r="O331">
        <f>'[1]2026 Orders'!M332</f>
        <v>0</v>
      </c>
      <c r="P331" t="str">
        <f>'[1]2026 Orders'!N332</f>
        <v>NA</v>
      </c>
      <c r="Q331">
        <f>'[1]2026 Orders'!O332</f>
        <v>604776738817</v>
      </c>
      <c r="R331">
        <f>'[1]2026 Orders'!P332</f>
        <v>0</v>
      </c>
      <c r="S331">
        <f>'[1]2026 Orders'!Q332</f>
        <v>0</v>
      </c>
      <c r="T331">
        <f>'[1]2026 Orders'!R332</f>
        <v>0</v>
      </c>
      <c r="U331">
        <f>'[1]2026 Orders'!S332</f>
        <v>0</v>
      </c>
      <c r="V331">
        <f>'[1]2026 Orders'!T332</f>
        <v>0</v>
      </c>
      <c r="W331">
        <f>'[1]2026 Orders'!U332</f>
        <v>0</v>
      </c>
      <c r="X331">
        <f>'[1]2026 Orders'!V332</f>
        <v>0</v>
      </c>
      <c r="Y331">
        <f>'[1]2026 Orders'!W332</f>
        <v>0</v>
      </c>
      <c r="Z331">
        <f>'[1]2026 Orders'!X332</f>
        <v>0</v>
      </c>
      <c r="AC331" t="str">
        <f t="shared" si="10"/>
        <v>354/</v>
      </c>
      <c r="AD331" t="e">
        <f t="shared" si="11"/>
        <v>#VALUE!</v>
      </c>
    </row>
    <row r="332" spans="1:30" ht="33" hidden="1" customHeight="1" x14ac:dyDescent="0.3">
      <c r="A332">
        <f>'[1]2026 Orders'!A333</f>
        <v>46121</v>
      </c>
      <c r="B332" s="14" t="str">
        <f>'[1]2026 Orders'!B333</f>
        <v>Chad</v>
      </c>
      <c r="C332" s="14" t="str">
        <f>'[1]2026 Orders'!C333</f>
        <v>A4687</v>
      </c>
      <c r="D332" s="14">
        <f>'[1]2026 Orders'!D333</f>
        <v>0</v>
      </c>
      <c r="E332" s="17" t="str" cm="1">
        <f t="array" ref="E332">IF(C332=0,"",
HYPERLINK(
"#'2026 Orders'!C"&amp;
MATCH(1,
('2026 Orders'!C:C=C332)*
('2026 Orders'!G:G=G332)*
('2026 Orders'!N:N=N332),
0),
"Open "&amp;C332
))</f>
        <v>Open A4687</v>
      </c>
      <c r="F332" s="14" t="str">
        <f>'[1]2026 Orders'!F333</f>
        <v>5/7/2026: qty increased from 720 → 780</v>
      </c>
      <c r="G332" s="14" t="str">
        <f>'[1]2026 Orders'!G333</f>
        <v>MFSPLS-120-CS-CH</v>
      </c>
      <c r="H332" s="14" t="str" cm="1">
        <f t="array" ref="H332">IFERROR(_xlfn.TEXTJOIN("-",,INDEX(_xlfn.TEXTSPLIT(TableTake[[#This Row],[SKU]],"-"),{1,2})),"")</f>
        <v>MFSPLS-120</v>
      </c>
      <c r="I332" s="15" t="str">
        <f>IFERROR(_xlfn.TEXTAFTER(TableTake[[#This Row],[SKU]],"-",-1),"")</f>
        <v>CH</v>
      </c>
      <c r="J332" s="14">
        <f>'[1]2026 Orders'!H333</f>
        <v>780</v>
      </c>
      <c r="K332" t="str">
        <f>'[1]2026 Orders'!I333</f>
        <v>CH30-21.0</v>
      </c>
      <c r="L332">
        <f>'[1]2026 Orders'!J333</f>
        <v>0</v>
      </c>
      <c r="N332" s="10" t="str">
        <f>'[1]2026 Orders'!L333</f>
        <v>PO submitted</v>
      </c>
      <c r="O332">
        <f>'[1]2026 Orders'!M333</f>
        <v>0</v>
      </c>
      <c r="P332" t="str">
        <f>'[1]2026 Orders'!N333</f>
        <v>NA</v>
      </c>
      <c r="Q332">
        <f>'[1]2026 Orders'!O333</f>
        <v>604776738725</v>
      </c>
      <c r="R332" t="str">
        <f>'[1]2026 Orders'!P333</f>
        <v>300000 bulk</v>
      </c>
      <c r="S332">
        <f>'[1]2026 Orders'!Q333</f>
        <v>5064</v>
      </c>
      <c r="T332" t="str">
        <f>'[1]2026 Orders'!R333</f>
        <v>TBD</v>
      </c>
      <c r="U332" t="str">
        <f>'[1]2026 Orders'!S333</f>
        <v>Bulk PO Submitted, Pending ETA confirmation</v>
      </c>
      <c r="V332">
        <f>'[1]2026 Orders'!T333</f>
        <v>0</v>
      </c>
      <c r="W332">
        <f>'[1]2026 Orders'!U333</f>
        <v>0</v>
      </c>
      <c r="X332">
        <f>'[1]2026 Orders'!V333</f>
        <v>0</v>
      </c>
      <c r="Y332">
        <f>'[1]2026 Orders'!W333</f>
        <v>0</v>
      </c>
      <c r="Z332">
        <f>'[1]2026 Orders'!X333</f>
        <v>0</v>
      </c>
      <c r="AC332" t="str">
        <f t="shared" si="10"/>
        <v>780/</v>
      </c>
      <c r="AD332" t="e">
        <f t="shared" si="11"/>
        <v>#VALUE!</v>
      </c>
    </row>
    <row r="333" spans="1:30" ht="33" hidden="1" customHeight="1" x14ac:dyDescent="0.3">
      <c r="A333">
        <f>'[1]2026 Orders'!A334</f>
        <v>46121</v>
      </c>
      <c r="B333" s="14" t="str">
        <f>'[1]2026 Orders'!B334</f>
        <v>Chad</v>
      </c>
      <c r="C333" s="14" t="str">
        <f>'[1]2026 Orders'!C334</f>
        <v>A4687</v>
      </c>
      <c r="D333" s="14">
        <f>'[1]2026 Orders'!D334</f>
        <v>0</v>
      </c>
      <c r="E333" s="17" t="str" cm="1">
        <f t="array" ref="E333">IF(C333=0,"",
HYPERLINK(
"#'2026 Orders'!C"&amp;
MATCH(1,
('2026 Orders'!C:C=C333)*
('2026 Orders'!G:G=G333)*
('2026 Orders'!N:N=N333),
0),
"Open "&amp;C333
))</f>
        <v>Open A4687</v>
      </c>
      <c r="F333" s="14" t="str">
        <f>'[1]2026 Orders'!F334</f>
        <v>4/14/2026: SKU changed to FD
5/7/2026: qty increased from 1250 → 1351</v>
      </c>
      <c r="G333" s="14" t="str">
        <f>'[1]2026 Orders'!G334</f>
        <v>FLORA30-30-FD</v>
      </c>
      <c r="H333" s="14" t="str" cm="1">
        <f t="array" ref="H333">IFERROR(_xlfn.TEXTJOIN("-",,INDEX(_xlfn.TEXTSPLIT(TableTake[[#This Row],[SKU]],"-"),{1,2})),"")</f>
        <v>FLORA30-30</v>
      </c>
      <c r="I333" s="15" t="str">
        <f>IFERROR(_xlfn.TEXTAFTER(TableTake[[#This Row],[SKU]],"-",-1),"")</f>
        <v>FD</v>
      </c>
      <c r="J333" s="14">
        <f>'[1]2026 Orders'!H334</f>
        <v>1351</v>
      </c>
      <c r="K333" t="str">
        <f>'[1]2026 Orders'!I334</f>
        <v>CH18-26.0</v>
      </c>
      <c r="L333">
        <f>'[1]2026 Orders'!J334</f>
        <v>1351</v>
      </c>
      <c r="N333" s="10" t="str">
        <f>'[1]2026 Orders'!L334</f>
        <v>Rework</v>
      </c>
      <c r="O333">
        <f>'[1]2026 Orders'!M334</f>
        <v>0</v>
      </c>
      <c r="P333" t="str">
        <f>'[1]2026 Orders'!N334</f>
        <v>Y</v>
      </c>
      <c r="Q333" t="str">
        <f>'[1]2026 Orders'!O334</f>
        <v>609788968979</v>
      </c>
      <c r="R333">
        <f>'[1]2026 Orders'!P334</f>
        <v>0</v>
      </c>
      <c r="S333">
        <f>'[1]2026 Orders'!Q334</f>
        <v>0</v>
      </c>
      <c r="T333">
        <f>'[1]2026 Orders'!R334</f>
        <v>0</v>
      </c>
      <c r="U333">
        <f>'[1]2026 Orders'!S334</f>
        <v>0</v>
      </c>
      <c r="V333">
        <f>'[1]2026 Orders'!T334</f>
        <v>0</v>
      </c>
      <c r="W333">
        <f>'[1]2026 Orders'!U334</f>
        <v>0</v>
      </c>
      <c r="X333">
        <f>'[1]2026 Orders'!V334</f>
        <v>0</v>
      </c>
      <c r="Y333">
        <f>'[1]2026 Orders'!W334</f>
        <v>0</v>
      </c>
      <c r="Z333">
        <f>'[1]2026 Orders'!X334</f>
        <v>0</v>
      </c>
      <c r="AC333" t="str">
        <f t="shared" si="10"/>
        <v>1351/</v>
      </c>
      <c r="AD333" t="e">
        <f t="shared" si="11"/>
        <v>#VALUE!</v>
      </c>
    </row>
    <row r="334" spans="1:30" ht="33" hidden="1" customHeight="1" x14ac:dyDescent="0.3">
      <c r="A334">
        <f>'[1]2026 Orders'!A335</f>
        <v>46121</v>
      </c>
      <c r="B334" s="14" t="str">
        <f>'[1]2026 Orders'!B335</f>
        <v>Chad</v>
      </c>
      <c r="C334" s="14" t="str">
        <f>'[1]2026 Orders'!C335</f>
        <v>A4687</v>
      </c>
      <c r="D334" s="14">
        <f>'[1]2026 Orders'!D335</f>
        <v>0</v>
      </c>
      <c r="E334" s="17" t="str" cm="1">
        <f t="array" ref="E334">IF(C334=0,"",
HYPERLINK(
"#'2026 Orders'!C"&amp;
MATCH(1,
('2026 Orders'!C:C=C334)*
('2026 Orders'!G:G=G334)*
('2026 Orders'!N:N=N334),
0),
"Open "&amp;C334
))</f>
        <v>Open A4687</v>
      </c>
      <c r="F334" s="14" t="str">
        <f>'[1]2026 Orders'!F335</f>
        <v>Cannot take available lot (45130425)
5/7/2026: qty increased from 1000 → 1125</v>
      </c>
      <c r="G334" s="14" t="str">
        <f>'[1]2026 Orders'!G335</f>
        <v>PEDIAMU-50-FD</v>
      </c>
      <c r="H334" s="14" t="str" cm="1">
        <f t="array" ref="H334">IFERROR(_xlfn.TEXTJOIN("-",,INDEX(_xlfn.TEXTSPLIT(TableTake[[#This Row],[SKU]],"-"),{1,2})),"")</f>
        <v>PEDIAMU-50</v>
      </c>
      <c r="I334" s="15" t="str">
        <f>IFERROR(_xlfn.TEXTAFTER(TableTake[[#This Row],[SKU]],"-",-1),"")</f>
        <v>FD</v>
      </c>
      <c r="J334" s="14">
        <f>'[1]2026 Orders'!H335</f>
        <v>1125</v>
      </c>
      <c r="K334" t="str">
        <f>'[1]2026 Orders'!I335</f>
        <v>F49-24.1</v>
      </c>
      <c r="L334">
        <f>'[1]2026 Orders'!J335</f>
        <v>0</v>
      </c>
      <c r="N334" s="10" t="str">
        <f>'[1]2026 Orders'!L335</f>
        <v>Not Meet MOQ</v>
      </c>
      <c r="O334" t="str">
        <f>'[1]2026 Orders'!M335</f>
        <v>Lot:45130425</v>
      </c>
      <c r="P334" t="str">
        <f>'[1]2026 Orders'!N335</f>
        <v>Y</v>
      </c>
      <c r="Q334">
        <f>'[1]2026 Orders'!O335</f>
        <v>810131199661</v>
      </c>
      <c r="R334">
        <f>'[1]2026 Orders'!P335</f>
        <v>0</v>
      </c>
      <c r="S334">
        <f>'[1]2026 Orders'!Q335</f>
        <v>0</v>
      </c>
      <c r="T334">
        <f>'[1]2026 Orders'!R335</f>
        <v>0</v>
      </c>
      <c r="U334">
        <f>'[1]2026 Orders'!S335</f>
        <v>0</v>
      </c>
      <c r="V334">
        <f>'[1]2026 Orders'!T335</f>
        <v>0</v>
      </c>
      <c r="W334">
        <f>'[1]2026 Orders'!U335</f>
        <v>0</v>
      </c>
      <c r="X334">
        <f>'[1]2026 Orders'!V335</f>
        <v>0</v>
      </c>
      <c r="Y334">
        <f>'[1]2026 Orders'!W335</f>
        <v>0</v>
      </c>
      <c r="Z334">
        <f>'[1]2026 Orders'!X335</f>
        <v>0</v>
      </c>
      <c r="AC334" t="str">
        <f t="shared" si="10"/>
        <v>1125/</v>
      </c>
      <c r="AD334" t="e">
        <f t="shared" si="11"/>
        <v>#VALUE!</v>
      </c>
    </row>
    <row r="335" spans="1:30" ht="33" hidden="1" customHeight="1" x14ac:dyDescent="0.3">
      <c r="A335">
        <f>'[1]2026 Orders'!A336</f>
        <v>46121</v>
      </c>
      <c r="B335" s="14" t="str">
        <f>'[1]2026 Orders'!B336</f>
        <v>Chad</v>
      </c>
      <c r="C335" s="14" t="str">
        <f>'[1]2026 Orders'!C336</f>
        <v>A4687</v>
      </c>
      <c r="D335" s="14">
        <f>'[1]2026 Orders'!D336</f>
        <v>0</v>
      </c>
      <c r="E335" s="17" t="str" cm="1">
        <f t="array" ref="E335">IF(C335=0,"",
HYPERLINK(
"#'2026 Orders'!C"&amp;
MATCH(1,
('2026 Orders'!C:C=C335)*
('2026 Orders'!G:G=G335)*
('2026 Orders'!N:N=N335),
0),
"Open "&amp;C335
))</f>
        <v>Open A4687</v>
      </c>
      <c r="F335" s="14" t="str">
        <f>'[1]2026 Orders'!F336</f>
        <v>5/7/2026: qty increased from 2000 → 2100</v>
      </c>
      <c r="G335" s="14" t="str">
        <f>'[1]2026 Orders'!G336</f>
        <v>PEDIAZI-50-FD</v>
      </c>
      <c r="H335" s="14" t="str" cm="1">
        <f t="array" ref="H335">IFERROR(_xlfn.TEXTJOIN("-",,INDEX(_xlfn.TEXTSPLIT(TableTake[[#This Row],[SKU]],"-"),{1,2})),"")</f>
        <v>PEDIAZI-50</v>
      </c>
      <c r="I335" s="15" t="str">
        <f>IFERROR(_xlfn.TEXTAFTER(TableTake[[#This Row],[SKU]],"-",-1),"")</f>
        <v>FD</v>
      </c>
      <c r="J335" s="14">
        <f>'[1]2026 Orders'!H336</f>
        <v>2100</v>
      </c>
      <c r="K335" t="str">
        <f>'[1]2026 Orders'!I336</f>
        <v>F50-26.0</v>
      </c>
      <c r="L335">
        <f>'[1]2026 Orders'!J336</f>
        <v>0</v>
      </c>
      <c r="N335" s="10" t="str">
        <f>'[1]2026 Orders'!L336</f>
        <v>PO submitted</v>
      </c>
      <c r="O335">
        <f>'[1]2026 Orders'!M336</f>
        <v>0</v>
      </c>
      <c r="P335" t="str">
        <f>'[1]2026 Orders'!N336</f>
        <v>Y</v>
      </c>
      <c r="Q335">
        <f>'[1]2026 Orders'!O336</f>
        <v>0</v>
      </c>
      <c r="R335">
        <f>'[1]2026 Orders'!P336</f>
        <v>5000</v>
      </c>
      <c r="S335">
        <f>'[1]2026 Orders'!Q336</f>
        <v>4978</v>
      </c>
      <c r="T335" t="str">
        <f>'[1]2026 Orders'!R336</f>
        <v>TBD</v>
      </c>
      <c r="U335" t="str">
        <f>'[1]2026 Orders'!S336</f>
        <v>Waiting for IFC to start production.</v>
      </c>
      <c r="V335">
        <f>'[1]2026 Orders'!T336</f>
        <v>0</v>
      </c>
      <c r="W335">
        <f>'[1]2026 Orders'!U336</f>
        <v>0</v>
      </c>
      <c r="X335">
        <f>'[1]2026 Orders'!V336</f>
        <v>0</v>
      </c>
      <c r="Y335">
        <f>'[1]2026 Orders'!W336</f>
        <v>0</v>
      </c>
      <c r="Z335">
        <f>'[1]2026 Orders'!X336</f>
        <v>0</v>
      </c>
      <c r="AC335" t="str">
        <f t="shared" si="10"/>
        <v>2100/</v>
      </c>
      <c r="AD335" t="e">
        <f t="shared" si="11"/>
        <v>#VALUE!</v>
      </c>
    </row>
    <row r="336" spans="1:30" ht="33" hidden="1" customHeight="1" x14ac:dyDescent="0.3">
      <c r="A336">
        <f>'[1]2026 Orders'!A337</f>
        <v>46121</v>
      </c>
      <c r="B336" s="14" t="str">
        <f>'[1]2026 Orders'!B337</f>
        <v>Chad</v>
      </c>
      <c r="C336" s="14" t="str">
        <f>'[1]2026 Orders'!C337</f>
        <v>A4687</v>
      </c>
      <c r="D336" s="14">
        <f>'[1]2026 Orders'!D337</f>
        <v>0</v>
      </c>
      <c r="E336" s="17" t="str" cm="1">
        <f t="array" ref="E336">IF(C336=0,"",
HYPERLINK(
"#'2026 Orders'!C"&amp;
MATCH(1,
('2026 Orders'!C:C=C336)*
('2026 Orders'!G:G=G336)*
('2026 Orders'!N:N=N336),
0),
"Open "&amp;C336
))</f>
        <v>Open A4687</v>
      </c>
      <c r="F336" s="14" t="str">
        <f>'[1]2026 Orders'!F337</f>
        <v>4/14/2026: SKU changed to FD
5/7/2026: qty increased from 480 → 504</v>
      </c>
      <c r="G336" s="14" t="str">
        <f>'[1]2026 Orders'!G337</f>
        <v>OMEGA3-60-FD</v>
      </c>
      <c r="H336" s="14" t="str" cm="1">
        <f t="array" ref="H336">IFERROR(_xlfn.TEXTJOIN("-",,INDEX(_xlfn.TEXTSPLIT(TableTake[[#This Row],[SKU]],"-"),{1,2})),"")</f>
        <v>OMEGA3-60</v>
      </c>
      <c r="I336" s="15" t="str">
        <f>IFERROR(_xlfn.TEXTAFTER(TableTake[[#This Row],[SKU]],"-",-1),"")</f>
        <v>FD</v>
      </c>
      <c r="J336" s="14">
        <f>'[1]2026 Orders'!H337</f>
        <v>504</v>
      </c>
      <c r="K336" t="str">
        <f>'[1]2026 Orders'!I337</f>
        <v>F37-26.0</v>
      </c>
      <c r="L336">
        <f>'[1]2026 Orders'!J337</f>
        <v>0</v>
      </c>
      <c r="N336" s="10" t="str">
        <f>'[1]2026 Orders'!L337</f>
        <v>In Production</v>
      </c>
      <c r="O336">
        <f>'[1]2026 Orders'!M337</f>
        <v>0</v>
      </c>
      <c r="P336" t="str">
        <f>'[1]2026 Orders'!N337</f>
        <v>Y</v>
      </c>
      <c r="Q336">
        <f>'[1]2026 Orders'!O337</f>
        <v>810131199531</v>
      </c>
      <c r="R336">
        <f>'[1]2026 Orders'!P337</f>
        <v>10232</v>
      </c>
      <c r="S336">
        <f>'[1]2026 Orders'!Q337</f>
        <v>5069</v>
      </c>
      <c r="T336">
        <f>'[1]2026 Orders'!R337</f>
        <v>46223</v>
      </c>
      <c r="U336" t="str">
        <f>'[1]2026 Orders'!S337</f>
        <v>Order placed with Genova, pulling from Iraq allocation</v>
      </c>
      <c r="V336">
        <f>'[1]2026 Orders'!T337</f>
        <v>0</v>
      </c>
      <c r="W336">
        <f>'[1]2026 Orders'!U337</f>
        <v>0</v>
      </c>
      <c r="X336">
        <f>'[1]2026 Orders'!V337</f>
        <v>0</v>
      </c>
      <c r="Y336">
        <f>'[1]2026 Orders'!W337</f>
        <v>0</v>
      </c>
      <c r="Z336">
        <f>'[1]2026 Orders'!X337</f>
        <v>0</v>
      </c>
      <c r="AC336" t="str">
        <f t="shared" si="10"/>
        <v>504/</v>
      </c>
      <c r="AD336" t="e">
        <f t="shared" si="11"/>
        <v>#VALUE!</v>
      </c>
    </row>
    <row r="337" spans="1:30" ht="33" hidden="1" customHeight="1" x14ac:dyDescent="0.3">
      <c r="A337">
        <f>'[1]2026 Orders'!A338</f>
        <v>46121</v>
      </c>
      <c r="B337" s="14" t="str">
        <f>'[1]2026 Orders'!B338</f>
        <v>Chad</v>
      </c>
      <c r="C337" s="14" t="str">
        <f>'[1]2026 Orders'!C338</f>
        <v>A4687</v>
      </c>
      <c r="D337" s="14">
        <f>'[1]2026 Orders'!D338</f>
        <v>0</v>
      </c>
      <c r="E337" s="17" t="str" cm="1">
        <f t="array" ref="E337">IF(C337=0,"",
HYPERLINK(
"#'2026 Orders'!C"&amp;
MATCH(1,
('2026 Orders'!C:C=C337)*
('2026 Orders'!G:G=G337)*
('2026 Orders'!N:N=N337),
0),
"Open "&amp;C337
))</f>
        <v>Open A4687</v>
      </c>
      <c r="F337" s="14" t="str">
        <f>'[1]2026 Orders'!F338</f>
        <v>4/14/2026: SKU changed to FD
5/7/2026: qty increased from 360 → 378</v>
      </c>
      <c r="G337" s="14" t="str">
        <f>'[1]2026 Orders'!G338</f>
        <v>UTIC-60-FD</v>
      </c>
      <c r="H337" s="14" t="str" cm="1">
        <f t="array" ref="H337">IFERROR(_xlfn.TEXTJOIN("-",,INDEX(_xlfn.TEXTSPLIT(TableTake[[#This Row],[SKU]],"-"),{1,2})),"")</f>
        <v>UTIC-60</v>
      </c>
      <c r="I337" s="15" t="str">
        <f>IFERROR(_xlfn.TEXTAFTER(TableTake[[#This Row],[SKU]],"-",-1),"")</f>
        <v>FD</v>
      </c>
      <c r="J337" s="14">
        <f>'[1]2026 Orders'!H338</f>
        <v>378</v>
      </c>
      <c r="K337" t="str">
        <f>'[1]2026 Orders'!I338</f>
        <v>F110-25.0</v>
      </c>
      <c r="L337">
        <f>'[1]2026 Orders'!J338</f>
        <v>378</v>
      </c>
      <c r="N337" s="10" t="str">
        <f>'[1]2026 Orders'!L338</f>
        <v>Rework</v>
      </c>
      <c r="O337">
        <f>'[1]2026 Orders'!M338</f>
        <v>0</v>
      </c>
      <c r="P337" t="str">
        <f>'[1]2026 Orders'!N338</f>
        <v>NA</v>
      </c>
      <c r="Q337" t="str">
        <f>'[1]2026 Orders'!O338</f>
        <v>810131192983</v>
      </c>
      <c r="R337">
        <f>'[1]2026 Orders'!P338</f>
        <v>4000</v>
      </c>
      <c r="S337">
        <f>'[1]2026 Orders'!Q338</f>
        <v>4973</v>
      </c>
      <c r="T337" t="str">
        <f>'[1]2026 Orders'!R338</f>
        <v>Complete</v>
      </c>
      <c r="U337" t="str">
        <f>'[1]2026 Orders'!S338</f>
        <v>Waiting for PL and sample approval</v>
      </c>
      <c r="V337">
        <f>'[1]2026 Orders'!T338</f>
        <v>0</v>
      </c>
      <c r="W337">
        <f>'[1]2026 Orders'!U338</f>
        <v>0</v>
      </c>
      <c r="X337">
        <f>'[1]2026 Orders'!V338</f>
        <v>0</v>
      </c>
      <c r="Y337">
        <f>'[1]2026 Orders'!W338</f>
        <v>0</v>
      </c>
      <c r="Z337">
        <f>'[1]2026 Orders'!X338</f>
        <v>0</v>
      </c>
      <c r="AC337" t="str">
        <f t="shared" si="10"/>
        <v>378/</v>
      </c>
      <c r="AD337" t="e">
        <f t="shared" si="11"/>
        <v>#VALUE!</v>
      </c>
    </row>
    <row r="338" spans="1:30" ht="33" hidden="1" customHeight="1" x14ac:dyDescent="0.3">
      <c r="A338">
        <f>'[1]2026 Orders'!A339</f>
        <v>46121</v>
      </c>
      <c r="B338" s="14" t="str">
        <f>'[1]2026 Orders'!B339</f>
        <v>Chad</v>
      </c>
      <c r="C338" s="14" t="str">
        <f>'[1]2026 Orders'!C339</f>
        <v>A4687</v>
      </c>
      <c r="D338" s="14">
        <f>'[1]2026 Orders'!D339</f>
        <v>0</v>
      </c>
      <c r="E338" s="17" t="str" cm="1">
        <f t="array" ref="E338">IF(C338=0,"",
HYPERLINK(
"#'2026 Orders'!C"&amp;
MATCH(1,
('2026 Orders'!C:C=C338)*
('2026 Orders'!G:G=G338)*
('2026 Orders'!N:N=N338),
0),
"Open "&amp;C338
))</f>
        <v>Open A4687</v>
      </c>
      <c r="F338" s="14" t="str">
        <f>'[1]2026 Orders'!F339</f>
        <v>4/14/2026: SKU changed to FD
5/7/2026: qty increased from 
60 → 63</v>
      </c>
      <c r="G338" s="14" t="str">
        <f>'[1]2026 Orders'!G339</f>
        <v>METRIO-60-FD</v>
      </c>
      <c r="H338" s="14" t="str" cm="1">
        <f t="array" ref="H338">IFERROR(_xlfn.TEXTJOIN("-",,INDEX(_xlfn.TEXTSPLIT(TableTake[[#This Row],[SKU]],"-"),{1,2})),"")</f>
        <v>METRIO-60</v>
      </c>
      <c r="I338" s="15" t="str">
        <f>IFERROR(_xlfn.TEXTAFTER(TableTake[[#This Row],[SKU]],"-",-1),"")</f>
        <v>FD</v>
      </c>
      <c r="J338" s="14">
        <f>'[1]2026 Orders'!H339</f>
        <v>63</v>
      </c>
      <c r="K338" t="str">
        <f>'[1]2026 Orders'!I339</f>
        <v>F28-25.0</v>
      </c>
      <c r="L338">
        <f>'[1]2026 Orders'!J339</f>
        <v>63</v>
      </c>
      <c r="N338" s="10" t="str">
        <f>'[1]2026 Orders'!L339</f>
        <v>Rework</v>
      </c>
      <c r="O338">
        <f>'[1]2026 Orders'!M339</f>
        <v>0</v>
      </c>
      <c r="P338" t="str">
        <f>'[1]2026 Orders'!N339</f>
        <v>NA</v>
      </c>
      <c r="Q338">
        <f>'[1]2026 Orders'!O339</f>
        <v>609788968481</v>
      </c>
      <c r="R338">
        <f>'[1]2026 Orders'!P339</f>
        <v>0</v>
      </c>
      <c r="S338">
        <f>'[1]2026 Orders'!Q339</f>
        <v>0</v>
      </c>
      <c r="T338">
        <f>'[1]2026 Orders'!R339</f>
        <v>0</v>
      </c>
      <c r="U338">
        <f>'[1]2026 Orders'!S339</f>
        <v>0</v>
      </c>
      <c r="V338">
        <f>'[1]2026 Orders'!T339</f>
        <v>0</v>
      </c>
      <c r="W338">
        <f>'[1]2026 Orders'!U339</f>
        <v>0</v>
      </c>
      <c r="X338">
        <f>'[1]2026 Orders'!V339</f>
        <v>0</v>
      </c>
      <c r="Y338">
        <f>'[1]2026 Orders'!W339</f>
        <v>0</v>
      </c>
      <c r="Z338">
        <f>'[1]2026 Orders'!X339</f>
        <v>0</v>
      </c>
      <c r="AC338" t="str">
        <f t="shared" si="10"/>
        <v>63/</v>
      </c>
      <c r="AD338" t="e">
        <f t="shared" si="11"/>
        <v>#VALUE!</v>
      </c>
    </row>
    <row r="339" spans="1:30" ht="33" hidden="1" customHeight="1" x14ac:dyDescent="0.3">
      <c r="A339">
        <f>'[1]2026 Orders'!A340</f>
        <v>46121</v>
      </c>
      <c r="B339" s="14" t="str">
        <f>'[1]2026 Orders'!B340</f>
        <v>Chad</v>
      </c>
      <c r="C339" s="14" t="str">
        <f>'[1]2026 Orders'!C340</f>
        <v>A4687</v>
      </c>
      <c r="D339" s="14">
        <f>'[1]2026 Orders'!D340</f>
        <v>0</v>
      </c>
      <c r="E339" s="17" t="str" cm="1">
        <f t="array" ref="E339">IF(C339=0,"",
HYPERLINK(
"#'2026 Orders'!C"&amp;
MATCH(1,
('2026 Orders'!C:C=C339)*
('2026 Orders'!G:G=G339)*
('2026 Orders'!N:N=N339),
0),
"Open "&amp;C339
))</f>
        <v>Open A4687</v>
      </c>
      <c r="F339" s="14" t="str">
        <f>'[1]2026 Orders'!F340</f>
        <v>4/14/2026: SKU changed to FD
5/7/2026: qty increased from 120 → 126</v>
      </c>
      <c r="G339" s="14" t="str">
        <f>'[1]2026 Orders'!G340</f>
        <v>VIVAWOM-60-FD</v>
      </c>
      <c r="H339" s="14" t="str" cm="1">
        <f t="array" ref="H339">IFERROR(_xlfn.TEXTJOIN("-",,INDEX(_xlfn.TEXTSPLIT(TableTake[[#This Row],[SKU]],"-"),{1,2})),"")</f>
        <v>VIVAWOM-60</v>
      </c>
      <c r="I339" s="15" t="str">
        <f>IFERROR(_xlfn.TEXTAFTER(TableTake[[#This Row],[SKU]],"-",-1),"")</f>
        <v>FD</v>
      </c>
      <c r="J339" s="14">
        <f>'[1]2026 Orders'!H340</f>
        <v>126</v>
      </c>
      <c r="K339" t="str">
        <f>'[1]2026 Orders'!I340</f>
        <v>F90-25.0</v>
      </c>
      <c r="L339">
        <f>'[1]2026 Orders'!J340</f>
        <v>126</v>
      </c>
      <c r="N339" s="10" t="str">
        <f>'[1]2026 Orders'!L340</f>
        <v>Rework</v>
      </c>
      <c r="O339">
        <f>'[1]2026 Orders'!M340</f>
        <v>0</v>
      </c>
      <c r="P339" t="str">
        <f>'[1]2026 Orders'!N340</f>
        <v>Y</v>
      </c>
      <c r="Q339" t="str">
        <f>'[1]2026 Orders'!O340</f>
        <v>604776738640</v>
      </c>
      <c r="R339">
        <f>'[1]2026 Orders'!P340</f>
        <v>0</v>
      </c>
      <c r="S339">
        <f>'[1]2026 Orders'!Q340</f>
        <v>0</v>
      </c>
      <c r="T339">
        <f>'[1]2026 Orders'!R340</f>
        <v>0</v>
      </c>
      <c r="U339">
        <f>'[1]2026 Orders'!S340</f>
        <v>0</v>
      </c>
      <c r="V339">
        <f>'[1]2026 Orders'!T340</f>
        <v>0</v>
      </c>
      <c r="W339">
        <f>'[1]2026 Orders'!U340</f>
        <v>0</v>
      </c>
      <c r="X339">
        <f>'[1]2026 Orders'!V340</f>
        <v>0</v>
      </c>
      <c r="Y339">
        <f>'[1]2026 Orders'!W340</f>
        <v>0</v>
      </c>
      <c r="Z339">
        <f>'[1]2026 Orders'!X340</f>
        <v>0</v>
      </c>
      <c r="AC339" t="str">
        <f t="shared" si="10"/>
        <v>126/</v>
      </c>
      <c r="AD339" t="e">
        <f t="shared" si="11"/>
        <v>#VALUE!</v>
      </c>
    </row>
    <row r="340" spans="1:30" ht="33" hidden="1" customHeight="1" x14ac:dyDescent="0.3">
      <c r="A340">
        <f>'[1]2026 Orders'!A341</f>
        <v>46149</v>
      </c>
      <c r="B340" s="14" t="str">
        <f>'[1]2026 Orders'!B341</f>
        <v>Chad</v>
      </c>
      <c r="C340" s="14" t="str">
        <f>'[1]2026 Orders'!C341</f>
        <v>A4687</v>
      </c>
      <c r="D340" s="14">
        <f>'[1]2026 Orders'!D341</f>
        <v>0</v>
      </c>
      <c r="E340" s="17" t="str" cm="1">
        <f t="array" ref="E340">IF(C340=0,"",
HYPERLINK(
"#'2026 Orders'!C"&amp;
MATCH(1,
('2026 Orders'!C:C=C340)*
('2026 Orders'!G:G=G340)*
('2026 Orders'!N:N=N340),
0),
"Open "&amp;C340
))</f>
        <v>Open A4687</v>
      </c>
      <c r="F340" s="14" t="str">
        <f>'[1]2026 Orders'!F341</f>
        <v>5/7/2026: Product added</v>
      </c>
      <c r="G340" s="14" t="str">
        <f>'[1]2026 Orders'!G341</f>
        <v>FIBRO-60-CS-CH</v>
      </c>
      <c r="H340" s="14" t="str" cm="1">
        <f t="array" ref="H340">IFERROR(_xlfn.TEXTJOIN("-",,INDEX(_xlfn.TEXTSPLIT(TableTake[[#This Row],[SKU]],"-"),{1,2})),"")</f>
        <v>FIBRO-60</v>
      </c>
      <c r="I340" s="15" t="str">
        <f>IFERROR(_xlfn.TEXTAFTER(TableTake[[#This Row],[SKU]],"-",-1),"")</f>
        <v>CH</v>
      </c>
      <c r="J340" s="14">
        <f>'[1]2026 Orders'!H341</f>
        <v>12</v>
      </c>
      <c r="K340" t="str">
        <f>'[1]2026 Orders'!I341</f>
        <v>CH17-21.0</v>
      </c>
      <c r="L340">
        <f>'[1]2026 Orders'!J341</f>
        <v>12</v>
      </c>
      <c r="N340" s="10" t="str">
        <f>'[1]2026 Orders'!L341</f>
        <v>Rework</v>
      </c>
      <c r="O340">
        <f>'[1]2026 Orders'!M341</f>
        <v>0</v>
      </c>
      <c r="P340" t="str">
        <f>'[1]2026 Orders'!N341</f>
        <v>NA</v>
      </c>
      <c r="Q340">
        <f>'[1]2026 Orders'!O341</f>
        <v>604776738701</v>
      </c>
      <c r="R340">
        <f>'[1]2026 Orders'!P341</f>
        <v>0</v>
      </c>
      <c r="S340">
        <f>'[1]2026 Orders'!Q341</f>
        <v>0</v>
      </c>
      <c r="T340">
        <f>'[1]2026 Orders'!R341</f>
        <v>0</v>
      </c>
      <c r="U340">
        <f>'[1]2026 Orders'!S341</f>
        <v>0</v>
      </c>
      <c r="V340">
        <f>'[1]2026 Orders'!T341</f>
        <v>0</v>
      </c>
      <c r="W340">
        <f>'[1]2026 Orders'!U341</f>
        <v>0</v>
      </c>
      <c r="X340">
        <f>'[1]2026 Orders'!V341</f>
        <v>0</v>
      </c>
      <c r="Y340">
        <f>'[1]2026 Orders'!W341</f>
        <v>0</v>
      </c>
      <c r="Z340">
        <f>'[1]2026 Orders'!X341</f>
        <v>0</v>
      </c>
      <c r="AC340" t="str">
        <f t="shared" si="10"/>
        <v>12/</v>
      </c>
      <c r="AD340" t="e">
        <f t="shared" si="11"/>
        <v>#VALUE!</v>
      </c>
    </row>
    <row r="341" spans="1:30" ht="33" hidden="1" customHeight="1" x14ac:dyDescent="0.3">
      <c r="A341">
        <f>'[1]2026 Orders'!A342</f>
        <v>46149</v>
      </c>
      <c r="B341" s="14" t="str">
        <f>'[1]2026 Orders'!B342</f>
        <v>Chad</v>
      </c>
      <c r="C341" s="14" t="str">
        <f>'[1]2026 Orders'!C342</f>
        <v>A4687</v>
      </c>
      <c r="D341" s="14">
        <f>'[1]2026 Orders'!D342</f>
        <v>0</v>
      </c>
      <c r="E341" s="17" t="str" cm="1">
        <f t="array" ref="E341">IF(C341=0,"",
HYPERLINK(
"#'2026 Orders'!C"&amp;
MATCH(1,
('2026 Orders'!C:C=C341)*
('2026 Orders'!G:G=G341)*
('2026 Orders'!N:N=N341),
0),
"Open "&amp;C341
))</f>
        <v>Open A4687</v>
      </c>
      <c r="F341" s="14" t="str">
        <f>'[1]2026 Orders'!F342</f>
        <v>5/7/2026: Product added</v>
      </c>
      <c r="G341" s="14" t="str">
        <f>'[1]2026 Orders'!G342</f>
        <v>OVAMAX-120-CS-CH</v>
      </c>
      <c r="H341" s="14" t="str" cm="1">
        <f t="array" ref="H341">IFERROR(_xlfn.TEXTJOIN("-",,INDEX(_xlfn.TEXTSPLIT(TableTake[[#This Row],[SKU]],"-"),{1,2})),"")</f>
        <v>OVAMAX-120</v>
      </c>
      <c r="I341" s="15" t="str">
        <f>IFERROR(_xlfn.TEXTAFTER(TableTake[[#This Row],[SKU]],"-",-1),"")</f>
        <v>CH</v>
      </c>
      <c r="J341" s="14">
        <f>'[1]2026 Orders'!H342</f>
        <v>18</v>
      </c>
      <c r="K341" t="str">
        <f>'[1]2026 Orders'!I342</f>
        <v>CH41-21.0</v>
      </c>
      <c r="L341">
        <f>'[1]2026 Orders'!J342</f>
        <v>18</v>
      </c>
      <c r="N341" s="10" t="str">
        <f>'[1]2026 Orders'!L342</f>
        <v>Rework</v>
      </c>
      <c r="O341">
        <f>'[1]2026 Orders'!M342</f>
        <v>0</v>
      </c>
      <c r="P341" t="str">
        <f>'[1]2026 Orders'!N342</f>
        <v>NA</v>
      </c>
      <c r="Q341">
        <f>'[1]2026 Orders'!O342</f>
        <v>604776738732</v>
      </c>
      <c r="R341">
        <f>'[1]2026 Orders'!P342</f>
        <v>0</v>
      </c>
      <c r="S341">
        <f>'[1]2026 Orders'!Q342</f>
        <v>0</v>
      </c>
      <c r="T341">
        <f>'[1]2026 Orders'!R342</f>
        <v>0</v>
      </c>
      <c r="U341">
        <f>'[1]2026 Orders'!S342</f>
        <v>0</v>
      </c>
      <c r="V341">
        <f>'[1]2026 Orders'!T342</f>
        <v>0</v>
      </c>
      <c r="W341">
        <f>'[1]2026 Orders'!U342</f>
        <v>0</v>
      </c>
      <c r="X341">
        <f>'[1]2026 Orders'!V342</f>
        <v>0</v>
      </c>
      <c r="Y341">
        <f>'[1]2026 Orders'!W342</f>
        <v>0</v>
      </c>
      <c r="Z341">
        <f>'[1]2026 Orders'!X342</f>
        <v>0</v>
      </c>
      <c r="AC341" t="str">
        <f t="shared" si="10"/>
        <v>18/</v>
      </c>
      <c r="AD341" t="e">
        <f t="shared" si="11"/>
        <v>#VALUE!</v>
      </c>
    </row>
    <row r="342" spans="1:30" ht="33" hidden="1" customHeight="1" x14ac:dyDescent="0.3">
      <c r="A342">
        <f>'[1]2026 Orders'!A343</f>
        <v>46149</v>
      </c>
      <c r="B342" s="14" t="str">
        <f>'[1]2026 Orders'!B343</f>
        <v>Chad</v>
      </c>
      <c r="C342" s="14" t="str">
        <f>'[1]2026 Orders'!C343</f>
        <v>A4687</v>
      </c>
      <c r="D342" s="14">
        <f>'[1]2026 Orders'!D343</f>
        <v>0</v>
      </c>
      <c r="E342" s="17" t="str" cm="1">
        <f t="array" ref="E342">IF(C342=0,"",
HYPERLINK(
"#'2026 Orders'!C"&amp;
MATCH(1,
('2026 Orders'!C:C=C342)*
('2026 Orders'!G:G=G342)*
('2026 Orders'!N:N=N342),
0),
"Open "&amp;C342
))</f>
        <v>Open A4687</v>
      </c>
      <c r="F342" s="14" t="str">
        <f>'[1]2026 Orders'!F343</f>
        <v>5/7/2026: Product added</v>
      </c>
      <c r="G342" s="14" t="str">
        <f>'[1]2026 Orders'!G343</f>
        <v>PRECON-180-CS-CH</v>
      </c>
      <c r="H342" s="14" t="str" cm="1">
        <f t="array" ref="H342">IFERROR(_xlfn.TEXTJOIN("-",,INDEX(_xlfn.TEXTSPLIT(TableTake[[#This Row],[SKU]],"-"),{1,2})),"")</f>
        <v>PRECON-180</v>
      </c>
      <c r="I342" s="15" t="str">
        <f>IFERROR(_xlfn.TEXTAFTER(TableTake[[#This Row],[SKU]],"-",-1),"")</f>
        <v>CH</v>
      </c>
      <c r="J342" s="14">
        <f>'[1]2026 Orders'!H343</f>
        <v>24</v>
      </c>
      <c r="K342" t="str">
        <f>'[1]2026 Orders'!I343</f>
        <v>CH55-21.0</v>
      </c>
      <c r="L342">
        <f>'[1]2026 Orders'!J343</f>
        <v>0</v>
      </c>
      <c r="N342" s="10" t="str">
        <f>'[1]2026 Orders'!L343</f>
        <v>In Production</v>
      </c>
      <c r="O342">
        <f>'[1]2026 Orders'!M343</f>
        <v>0</v>
      </c>
      <c r="P342" t="str">
        <f>'[1]2026 Orders'!N343</f>
        <v>NA</v>
      </c>
      <c r="Q342">
        <f>'[1]2026 Orders'!O343</f>
        <v>604776738787</v>
      </c>
      <c r="R342">
        <f>'[1]2026 Orders'!P343</f>
        <v>5000</v>
      </c>
      <c r="S342">
        <f>'[1]2026 Orders'!Q343</f>
        <v>5060</v>
      </c>
      <c r="T342">
        <f>'[1]2026 Orders'!R343</f>
        <v>46205</v>
      </c>
      <c r="U342">
        <f>'[1]2026 Orders'!S343</f>
        <v>0</v>
      </c>
      <c r="V342">
        <f>'[1]2026 Orders'!T343</f>
        <v>0</v>
      </c>
      <c r="W342">
        <f>'[1]2026 Orders'!U343</f>
        <v>0</v>
      </c>
      <c r="X342">
        <f>'[1]2026 Orders'!V343</f>
        <v>0</v>
      </c>
      <c r="Y342">
        <f>'[1]2026 Orders'!W343</f>
        <v>0</v>
      </c>
      <c r="Z342">
        <f>'[1]2026 Orders'!X343</f>
        <v>0</v>
      </c>
      <c r="AC342" t="str">
        <f t="shared" si="10"/>
        <v>24/</v>
      </c>
      <c r="AD342" t="e">
        <f t="shared" si="11"/>
        <v>#VALUE!</v>
      </c>
    </row>
    <row r="343" spans="1:30" ht="33" hidden="1" customHeight="1" x14ac:dyDescent="0.3">
      <c r="A343">
        <f>'[1]2026 Orders'!A344</f>
        <v>46149</v>
      </c>
      <c r="B343" s="14" t="str">
        <f>'[1]2026 Orders'!B344</f>
        <v>Chad</v>
      </c>
      <c r="C343" s="14" t="str">
        <f>'[1]2026 Orders'!C344</f>
        <v>A4687</v>
      </c>
      <c r="D343" s="14">
        <f>'[1]2026 Orders'!D344</f>
        <v>0</v>
      </c>
      <c r="E343" s="17" t="str" cm="1">
        <f t="array" ref="E343">IF(C343=0,"",
HYPERLINK(
"#'2026 Orders'!C"&amp;
MATCH(1,
('2026 Orders'!C:C=C343)*
('2026 Orders'!G:G=G343)*
('2026 Orders'!N:N=N343),
0),
"Open "&amp;C343
))</f>
        <v>Open A4687</v>
      </c>
      <c r="F343" s="14" t="str">
        <f>'[1]2026 Orders'!F344</f>
        <v>5/7/2026: Product added</v>
      </c>
      <c r="G343" s="14" t="str">
        <f>'[1]2026 Orders'!G344</f>
        <v>QWELL4-30-SG-CS-CH</v>
      </c>
      <c r="H343" s="14" t="str" cm="1">
        <f t="array" ref="H343">IFERROR(_xlfn.TEXTJOIN("-",,INDEX(_xlfn.TEXTSPLIT(TableTake[[#This Row],[SKU]],"-"),{1,2})),"")</f>
        <v>QWELL4-30</v>
      </c>
      <c r="I343" s="15" t="str">
        <f>IFERROR(_xlfn.TEXTAFTER(TableTake[[#This Row],[SKU]],"-",-1),"")</f>
        <v>CH</v>
      </c>
      <c r="J343" s="14">
        <f>'[1]2026 Orders'!H344</f>
        <v>12</v>
      </c>
      <c r="K343" t="str">
        <f>'[1]2026 Orders'!I344</f>
        <v>CH58-21.0</v>
      </c>
      <c r="L343">
        <f>'[1]2026 Orders'!J344</f>
        <v>12</v>
      </c>
      <c r="N343" s="10" t="str">
        <f>'[1]2026 Orders'!L344</f>
        <v>Rework</v>
      </c>
      <c r="O343">
        <f>'[1]2026 Orders'!M344</f>
        <v>0</v>
      </c>
      <c r="P343" t="str">
        <f>'[1]2026 Orders'!N344</f>
        <v>NA</v>
      </c>
      <c r="Q343">
        <f>'[1]2026 Orders'!O344</f>
        <v>604776738671</v>
      </c>
      <c r="R343">
        <f>'[1]2026 Orders'!P344</f>
        <v>0</v>
      </c>
      <c r="S343">
        <f>'[1]2026 Orders'!Q344</f>
        <v>0</v>
      </c>
      <c r="T343">
        <f>'[1]2026 Orders'!R344</f>
        <v>0</v>
      </c>
      <c r="U343">
        <f>'[1]2026 Orders'!S344</f>
        <v>0</v>
      </c>
      <c r="V343">
        <f>'[1]2026 Orders'!T344</f>
        <v>0</v>
      </c>
      <c r="W343">
        <f>'[1]2026 Orders'!U344</f>
        <v>0</v>
      </c>
      <c r="X343">
        <f>'[1]2026 Orders'!V344</f>
        <v>0</v>
      </c>
      <c r="Y343">
        <f>'[1]2026 Orders'!W344</f>
        <v>0</v>
      </c>
      <c r="Z343">
        <f>'[1]2026 Orders'!X344</f>
        <v>0</v>
      </c>
      <c r="AC343" t="str">
        <f t="shared" si="10"/>
        <v>12/</v>
      </c>
      <c r="AD343" t="e">
        <f t="shared" si="11"/>
        <v>#VALUE!</v>
      </c>
    </row>
    <row r="344" spans="1:30" ht="33" hidden="1" customHeight="1" x14ac:dyDescent="0.3">
      <c r="A344">
        <f>'[1]2026 Orders'!A345</f>
        <v>46149</v>
      </c>
      <c r="B344" s="14" t="str">
        <f>'[1]2026 Orders'!B345</f>
        <v>Chad</v>
      </c>
      <c r="C344" s="14" t="str">
        <f>'[1]2026 Orders'!C345</f>
        <v>A4687</v>
      </c>
      <c r="D344" s="14">
        <f>'[1]2026 Orders'!D345</f>
        <v>0</v>
      </c>
      <c r="E344" s="17" t="str" cm="1">
        <f t="array" ref="E344">IF(C344=0,"",
HYPERLINK(
"#'2026 Orders'!C"&amp;
MATCH(1,
('2026 Orders'!C:C=C344)*
('2026 Orders'!G:G=G344)*
('2026 Orders'!N:N=N344),
0),
"Open "&amp;C344
))</f>
        <v>Open A4687</v>
      </c>
      <c r="F344" s="14" t="str">
        <f>'[1]2026 Orders'!F345</f>
        <v>5/7/2026: Product added</v>
      </c>
      <c r="G344" s="14" t="str">
        <f>'[1]2026 Orders'!G345</f>
        <v>VITAE4-60-CS-CH</v>
      </c>
      <c r="H344" s="14" t="str" cm="1">
        <f t="array" ref="H344">IFERROR(_xlfn.TEXTJOIN("-",,INDEX(_xlfn.TEXTSPLIT(TableTake[[#This Row],[SKU]],"-"),{1,2})),"")</f>
        <v>VITAE4-60</v>
      </c>
      <c r="I344" s="15" t="str">
        <f>IFERROR(_xlfn.TEXTAFTER(TableTake[[#This Row],[SKU]],"-",-1),"")</f>
        <v>CH</v>
      </c>
      <c r="J344" s="14">
        <f>'[1]2026 Orders'!H345</f>
        <v>9</v>
      </c>
      <c r="K344" t="str">
        <f>'[1]2026 Orders'!I345</f>
        <v>CH68-21.0</v>
      </c>
      <c r="L344">
        <f>'[1]2026 Orders'!J345</f>
        <v>9</v>
      </c>
      <c r="N344" s="10" t="str">
        <f>'[1]2026 Orders'!L345</f>
        <v>Rework</v>
      </c>
      <c r="O344">
        <f>'[1]2026 Orders'!M345</f>
        <v>0</v>
      </c>
      <c r="P344" t="str">
        <f>'[1]2026 Orders'!N345</f>
        <v>NA</v>
      </c>
      <c r="Q344">
        <f>'[1]2026 Orders'!O345</f>
        <v>604776738794</v>
      </c>
      <c r="R344">
        <f>'[1]2026 Orders'!P345</f>
        <v>0</v>
      </c>
      <c r="S344">
        <f>'[1]2026 Orders'!Q345</f>
        <v>0</v>
      </c>
      <c r="T344">
        <f>'[1]2026 Orders'!R345</f>
        <v>0</v>
      </c>
      <c r="U344">
        <f>'[1]2026 Orders'!S345</f>
        <v>0</v>
      </c>
      <c r="V344">
        <f>'[1]2026 Orders'!T345</f>
        <v>0</v>
      </c>
      <c r="W344">
        <f>'[1]2026 Orders'!U345</f>
        <v>0</v>
      </c>
      <c r="X344">
        <f>'[1]2026 Orders'!V345</f>
        <v>0</v>
      </c>
      <c r="Y344">
        <f>'[1]2026 Orders'!W345</f>
        <v>0</v>
      </c>
      <c r="Z344">
        <f>'[1]2026 Orders'!X345</f>
        <v>0</v>
      </c>
      <c r="AC344" t="str">
        <f t="shared" si="10"/>
        <v>9/</v>
      </c>
      <c r="AD344" t="e">
        <f t="shared" si="11"/>
        <v>#VALUE!</v>
      </c>
    </row>
    <row r="345" spans="1:30" ht="33" hidden="1" customHeight="1" x14ac:dyDescent="0.3">
      <c r="A345">
        <f>'[1]2026 Orders'!A346</f>
        <v>46149</v>
      </c>
      <c r="B345" s="14" t="str">
        <f>'[1]2026 Orders'!B346</f>
        <v>Chad</v>
      </c>
      <c r="C345" s="14" t="str">
        <f>'[1]2026 Orders'!C346</f>
        <v>A4687</v>
      </c>
      <c r="D345" s="14">
        <f>'[1]2026 Orders'!D346</f>
        <v>0</v>
      </c>
      <c r="E345" s="17" t="str" cm="1">
        <f t="array" ref="E345">IF(C345=0,"",
HYPERLINK(
"#'2026 Orders'!C"&amp;
MATCH(1,
('2026 Orders'!C:C=C345)*
('2026 Orders'!G:G=G345)*
('2026 Orders'!N:N=N345),
0),
"Open "&amp;C345
))</f>
        <v>Open A4687</v>
      </c>
      <c r="F345" s="14" t="str">
        <f>'[1]2026 Orders'!F346</f>
        <v>5/7/2026: Product added</v>
      </c>
      <c r="G345" s="14" t="str">
        <f>'[1]2026 Orders'!G346</f>
        <v>CHARCO-100-FD</v>
      </c>
      <c r="H345" s="14" t="str" cm="1">
        <f t="array" ref="H345">IFERROR(_xlfn.TEXTJOIN("-",,INDEX(_xlfn.TEXTSPLIT(TableTake[[#This Row],[SKU]],"-"),{1,2})),"")</f>
        <v>CHARCO-100</v>
      </c>
      <c r="I345" s="15" t="str">
        <f>IFERROR(_xlfn.TEXTAFTER(TableTake[[#This Row],[SKU]],"-",-1),"")</f>
        <v>FD</v>
      </c>
      <c r="J345" s="14">
        <f>'[1]2026 Orders'!H346</f>
        <v>12</v>
      </c>
      <c r="K345" t="str">
        <f>'[1]2026 Orders'!I346</f>
        <v>CH10-26.0</v>
      </c>
      <c r="L345">
        <f>'[1]2026 Orders'!J346</f>
        <v>12</v>
      </c>
      <c r="N345" s="10" t="str">
        <f>'[1]2026 Orders'!L346</f>
        <v>Rework</v>
      </c>
      <c r="O345">
        <f>'[1]2026 Orders'!M346</f>
        <v>0</v>
      </c>
      <c r="P345" t="str">
        <f>'[1]2026 Orders'!N346</f>
        <v>NA</v>
      </c>
      <c r="Q345" t="str">
        <f>'[1]2026 Orders'!O346</f>
        <v>604776735878</v>
      </c>
      <c r="R345">
        <f>'[1]2026 Orders'!P346</f>
        <v>0</v>
      </c>
      <c r="S345">
        <f>'[1]2026 Orders'!Q346</f>
        <v>0</v>
      </c>
      <c r="T345">
        <f>'[1]2026 Orders'!R346</f>
        <v>0</v>
      </c>
      <c r="U345">
        <f>'[1]2026 Orders'!S346</f>
        <v>0</v>
      </c>
      <c r="V345">
        <f>'[1]2026 Orders'!T346</f>
        <v>0</v>
      </c>
      <c r="W345">
        <f>'[1]2026 Orders'!U346</f>
        <v>0</v>
      </c>
      <c r="X345">
        <f>'[1]2026 Orders'!V346</f>
        <v>0</v>
      </c>
      <c r="Y345">
        <f>'[1]2026 Orders'!W346</f>
        <v>0</v>
      </c>
      <c r="Z345">
        <f>'[1]2026 Orders'!X346</f>
        <v>0</v>
      </c>
      <c r="AC345" t="str">
        <f t="shared" si="10"/>
        <v>12/</v>
      </c>
      <c r="AD345" t="e">
        <f t="shared" si="11"/>
        <v>#VALUE!</v>
      </c>
    </row>
    <row r="346" spans="1:30" ht="33" hidden="1" customHeight="1" x14ac:dyDescent="0.3">
      <c r="A346">
        <f>'[1]2026 Orders'!A347</f>
        <v>0</v>
      </c>
      <c r="B346" s="14">
        <f>'[1]2026 Orders'!B347</f>
        <v>0</v>
      </c>
      <c r="C346" s="14">
        <f>'[1]2026 Orders'!C347</f>
        <v>0</v>
      </c>
      <c r="D346" s="14">
        <f>'[1]2026 Orders'!D347</f>
        <v>0</v>
      </c>
      <c r="E346" s="17" t="str" cm="1">
        <f t="array" ref="E346">IF(C346=0,"",
HYPERLINK(
"#'2026 Orders'!C"&amp;
MATCH(1,
('2026 Orders'!C:C=C346)*
('2026 Orders'!G:G=G346)*
('2026 Orders'!N:N=N346),
0),
"Open "&amp;C346
))</f>
        <v/>
      </c>
      <c r="F346" s="14">
        <f>'[1]2026 Orders'!F347</f>
        <v>0</v>
      </c>
      <c r="G346" s="14">
        <f>'[1]2026 Orders'!G347</f>
        <v>0</v>
      </c>
      <c r="H346" s="14" t="str" cm="1">
        <f t="array" ref="H346">IFERROR(_xlfn.TEXTJOIN("-",,INDEX(_xlfn.TEXTSPLIT(TableTake[[#This Row],[SKU]],"-"),{1,2})),"")</f>
        <v/>
      </c>
      <c r="I346" s="15" t="str">
        <f>IFERROR(_xlfn.TEXTAFTER(TableTake[[#This Row],[SKU]],"-",-1),"")</f>
        <v/>
      </c>
      <c r="J346" s="14">
        <f>'[1]2026 Orders'!H347</f>
        <v>0</v>
      </c>
      <c r="K346">
        <f>'[1]2026 Orders'!I347</f>
        <v>0</v>
      </c>
      <c r="L346">
        <f>'[1]2026 Orders'!J347</f>
        <v>0</v>
      </c>
      <c r="N346" s="10">
        <f>'[1]2026 Orders'!L347</f>
        <v>0</v>
      </c>
      <c r="O346">
        <f>'[1]2026 Orders'!M347</f>
        <v>0</v>
      </c>
      <c r="P346">
        <f>'[1]2026 Orders'!N347</f>
        <v>0</v>
      </c>
      <c r="Q346">
        <f>'[1]2026 Orders'!O347</f>
        <v>0</v>
      </c>
      <c r="R346">
        <f>'[1]2026 Orders'!P347</f>
        <v>0</v>
      </c>
      <c r="S346">
        <f>'[1]2026 Orders'!Q347</f>
        <v>0</v>
      </c>
      <c r="T346">
        <f>'[1]2026 Orders'!R347</f>
        <v>0</v>
      </c>
      <c r="U346">
        <f>'[1]2026 Orders'!S347</f>
        <v>0</v>
      </c>
      <c r="V346">
        <f>'[1]2026 Orders'!T347</f>
        <v>0</v>
      </c>
      <c r="W346">
        <f>'[1]2026 Orders'!U347</f>
        <v>0</v>
      </c>
      <c r="X346">
        <f>'[1]2026 Orders'!V347</f>
        <v>0</v>
      </c>
      <c r="Y346">
        <f>'[1]2026 Orders'!W347</f>
        <v>0</v>
      </c>
      <c r="Z346">
        <f>'[1]2026 Orders'!X347</f>
        <v>0</v>
      </c>
      <c r="AC346" t="str">
        <f t="shared" si="10"/>
        <v/>
      </c>
      <c r="AD346" t="str">
        <f t="shared" si="11"/>
        <v/>
      </c>
    </row>
    <row r="347" spans="1:30" ht="33" hidden="1" customHeight="1" x14ac:dyDescent="0.3">
      <c r="A347">
        <f>'[1]2026 Orders'!A348</f>
        <v>46127</v>
      </c>
      <c r="B347" s="14" t="str">
        <f>'[1]2026 Orders'!B348</f>
        <v>Morocco</v>
      </c>
      <c r="C347" s="14" t="str">
        <f>'[1]2026 Orders'!C348</f>
        <v>A4688</v>
      </c>
      <c r="D347" s="14" t="str">
        <f>'[1]2026 Orders'!D348</f>
        <v>4/15/2026: Awaiting Proforma Confirmation                                          4/20/2026: Proforma Invoice Confirmed</v>
      </c>
      <c r="E347" s="17" t="str" cm="1">
        <f t="array" ref="E347">IF(C347=0,"",
HYPERLINK(
"#'2026 Orders'!C"&amp;
MATCH(1,
('2026 Orders'!C:C=C347)*
('2026 Orders'!G:G=G347)*
('2026 Orders'!N:N=N347),
0),
"Open "&amp;C347
))</f>
        <v>Open A4688</v>
      </c>
      <c r="F347" s="14" t="str">
        <f>'[1]2026 Orders'!F348</f>
        <v>6 Total Pallets = 
2244 bottles per pallet
5/4/2026: use the new label and IFC design</v>
      </c>
      <c r="G347" s="14" t="str">
        <f>'[1]2026 Orders'!G348</f>
        <v>OMEGA3-90-CS-MO</v>
      </c>
      <c r="H347" s="14" t="str" cm="1">
        <f t="array" ref="H347">IFERROR(_xlfn.TEXTJOIN("-",,INDEX(_xlfn.TEXTSPLIT(TableTake[[#This Row],[SKU]],"-"),{1,2})),"")</f>
        <v>OMEGA3-90</v>
      </c>
      <c r="I347" s="15" t="str">
        <f>IFERROR(_xlfn.TEXTAFTER(TableTake[[#This Row],[SKU]],"-",-1),"")</f>
        <v>MO</v>
      </c>
      <c r="J347" s="14">
        <f>'[1]2026 Orders'!H348</f>
        <v>13464</v>
      </c>
      <c r="K347" t="str">
        <f>'[1]2026 Orders'!I348</f>
        <v>MO116-26.0</v>
      </c>
      <c r="L347">
        <f>'[1]2026 Orders'!J348</f>
        <v>13464</v>
      </c>
      <c r="N347" s="10" t="str">
        <f>'[1]2026 Orders'!L348</f>
        <v>Out of Stock</v>
      </c>
      <c r="O347">
        <f>'[1]2026 Orders'!M348</f>
        <v>0</v>
      </c>
      <c r="P347" t="str">
        <f>'[1]2026 Orders'!N348</f>
        <v>Y</v>
      </c>
      <c r="Q347">
        <f>'[1]2026 Orders'!O348</f>
        <v>604776739746</v>
      </c>
      <c r="R347">
        <f>'[1]2026 Orders'!P348</f>
        <v>0</v>
      </c>
      <c r="S347">
        <f>'[1]2026 Orders'!Q348</f>
        <v>0</v>
      </c>
      <c r="T347">
        <f>'[1]2026 Orders'!R348</f>
        <v>0</v>
      </c>
      <c r="U347" t="str">
        <f>'[1]2026 Orders'!S348</f>
        <v>Pending confirmation that Iraq quantities can be pulled for this order</v>
      </c>
      <c r="V347">
        <f>'[1]2026 Orders'!T348</f>
        <v>0</v>
      </c>
      <c r="W347">
        <f>'[1]2026 Orders'!U348</f>
        <v>0</v>
      </c>
      <c r="X347">
        <f>'[1]2026 Orders'!V348</f>
        <v>0</v>
      </c>
      <c r="Y347">
        <f>'[1]2026 Orders'!W348</f>
        <v>0</v>
      </c>
      <c r="Z347" t="str">
        <f>'[1]2026 Orders'!X348</f>
        <v>HOLD</v>
      </c>
      <c r="AC347" t="str">
        <f t="shared" si="10"/>
        <v>13464/</v>
      </c>
      <c r="AD347" t="e">
        <f t="shared" si="11"/>
        <v>#VALUE!</v>
      </c>
    </row>
    <row r="348" spans="1:30" ht="33" hidden="1" customHeight="1" x14ac:dyDescent="0.3">
      <c r="A348">
        <f>'[1]2026 Orders'!A349</f>
        <v>46127</v>
      </c>
      <c r="B348" s="14" t="str">
        <f>'[1]2026 Orders'!B349</f>
        <v>Morocco</v>
      </c>
      <c r="C348" s="14" t="str">
        <f>'[1]2026 Orders'!C349</f>
        <v>A4688</v>
      </c>
      <c r="D348" s="14" t="str">
        <f>'[1]2026 Orders'!D349</f>
        <v>*Awaiting Down Payment*</v>
      </c>
      <c r="E348" s="17" t="str" cm="1">
        <f t="array" ref="E348">IF(C348=0,"",
HYPERLINK(
"#'2026 Orders'!C"&amp;
MATCH(1,
('2026 Orders'!C:C=C348)*
('2026 Orders'!G:G=G348)*
('2026 Orders'!N:N=N348),
0),
"Open "&amp;C348
))</f>
        <v>Open A4688</v>
      </c>
      <c r="F348" s="14" t="str">
        <f>'[1]2026 Orders'!F349</f>
        <v>5/4/2026: use the old IFC (CS Morocco IFC 25.1 version already available) with the new label design
5/8/2026: Qty decresead 
6,732 → 4,496</v>
      </c>
      <c r="G348" s="14" t="str">
        <f>'[1]2026 Orders'!G349</f>
        <v>OMEGA3-60-CS-MO</v>
      </c>
      <c r="H348" s="14" t="str" cm="1">
        <f t="array" ref="H348">IFERROR(_xlfn.TEXTJOIN("-",,INDEX(_xlfn.TEXTSPLIT(TableTake[[#This Row],[SKU]],"-"),{1,2})),"")</f>
        <v>OMEGA3-60</v>
      </c>
      <c r="I348" s="15" t="str">
        <f>IFERROR(_xlfn.TEXTAFTER(TableTake[[#This Row],[SKU]],"-",-1),"")</f>
        <v>MO</v>
      </c>
      <c r="J348" s="14">
        <f>'[1]2026 Orders'!H349</f>
        <v>4496</v>
      </c>
      <c r="K348" t="str">
        <f>'[1]2026 Orders'!I349</f>
        <v>MO37-26.0</v>
      </c>
      <c r="L348">
        <f>'[1]2026 Orders'!J349</f>
        <v>4496</v>
      </c>
      <c r="N348" s="10" t="str">
        <f>'[1]2026 Orders'!L349</f>
        <v>Out of Stock</v>
      </c>
      <c r="O348">
        <f>'[1]2026 Orders'!M349</f>
        <v>0</v>
      </c>
      <c r="P348" t="str">
        <f>'[1]2026 Orders'!N349</f>
        <v>Y</v>
      </c>
      <c r="Q348">
        <f>'[1]2026 Orders'!O349</f>
        <v>604776737254</v>
      </c>
      <c r="R348">
        <f>'[1]2026 Orders'!P349</f>
        <v>0</v>
      </c>
      <c r="S348">
        <f>'[1]2026 Orders'!Q349</f>
        <v>0</v>
      </c>
      <c r="T348">
        <f>'[1]2026 Orders'!R349</f>
        <v>0</v>
      </c>
      <c r="U348" t="str">
        <f>'[1]2026 Orders'!S349</f>
        <v>Pending confirmation that Iraq quantities can be pulled for this order</v>
      </c>
      <c r="V348">
        <f>'[1]2026 Orders'!T349</f>
        <v>0</v>
      </c>
      <c r="W348">
        <f>'[1]2026 Orders'!U349</f>
        <v>0</v>
      </c>
      <c r="X348">
        <f>'[1]2026 Orders'!V349</f>
        <v>0</v>
      </c>
      <c r="Y348">
        <f>'[1]2026 Orders'!W349</f>
        <v>0</v>
      </c>
      <c r="Z348">
        <f>'[1]2026 Orders'!X349</f>
        <v>0</v>
      </c>
      <c r="AC348" t="str">
        <f t="shared" si="10"/>
        <v>4496/</v>
      </c>
      <c r="AD348" t="e">
        <f t="shared" si="11"/>
        <v>#VALUE!</v>
      </c>
    </row>
    <row r="349" spans="1:30" ht="33" hidden="1" customHeight="1" x14ac:dyDescent="0.3">
      <c r="A349">
        <f>'[1]2026 Orders'!A350</f>
        <v>0</v>
      </c>
      <c r="B349" s="14">
        <f>'[1]2026 Orders'!B350</f>
        <v>0</v>
      </c>
      <c r="C349" s="14">
        <f>'[1]2026 Orders'!C350</f>
        <v>0</v>
      </c>
      <c r="D349" s="14">
        <f>'[1]2026 Orders'!D350</f>
        <v>0</v>
      </c>
      <c r="E349" s="17" t="str" cm="1">
        <f t="array" ref="E349">IF(C349=0,"",
HYPERLINK(
"#'2026 Orders'!C"&amp;
MATCH(1,
('2026 Orders'!C:C=C349)*
('2026 Orders'!G:G=G349)*
('2026 Orders'!N:N=N349),
0),
"Open "&amp;C349
))</f>
        <v/>
      </c>
      <c r="F349" s="14">
        <f>'[1]2026 Orders'!F350</f>
        <v>0</v>
      </c>
      <c r="G349" s="14">
        <f>'[1]2026 Orders'!G350</f>
        <v>0</v>
      </c>
      <c r="H349" s="14" t="str" cm="1">
        <f t="array" ref="H349">IFERROR(_xlfn.TEXTJOIN("-",,INDEX(_xlfn.TEXTSPLIT(TableTake[[#This Row],[SKU]],"-"),{1,2})),"")</f>
        <v/>
      </c>
      <c r="I349" s="15" t="str">
        <f>IFERROR(_xlfn.TEXTAFTER(TableTake[[#This Row],[SKU]],"-",-1),"")</f>
        <v/>
      </c>
      <c r="J349" s="14">
        <f>'[1]2026 Orders'!H350</f>
        <v>0</v>
      </c>
      <c r="K349">
        <f>'[1]2026 Orders'!I350</f>
        <v>0</v>
      </c>
      <c r="L349">
        <f>'[1]2026 Orders'!J350</f>
        <v>0</v>
      </c>
      <c r="N349" s="10">
        <f>'[1]2026 Orders'!L350</f>
        <v>0</v>
      </c>
      <c r="O349">
        <f>'[1]2026 Orders'!M350</f>
        <v>0</v>
      </c>
      <c r="P349">
        <f>'[1]2026 Orders'!N350</f>
        <v>0</v>
      </c>
      <c r="Q349">
        <f>'[1]2026 Orders'!O350</f>
        <v>0</v>
      </c>
      <c r="R349">
        <f>'[1]2026 Orders'!P350</f>
        <v>0</v>
      </c>
      <c r="S349">
        <f>'[1]2026 Orders'!Q350</f>
        <v>0</v>
      </c>
      <c r="T349">
        <f>'[1]2026 Orders'!R350</f>
        <v>0</v>
      </c>
      <c r="U349">
        <f>'[1]2026 Orders'!S350</f>
        <v>0</v>
      </c>
      <c r="V349">
        <f>'[1]2026 Orders'!T350</f>
        <v>0</v>
      </c>
      <c r="W349">
        <f>'[1]2026 Orders'!U350</f>
        <v>0</v>
      </c>
      <c r="X349">
        <f>'[1]2026 Orders'!V350</f>
        <v>0</v>
      </c>
      <c r="Y349">
        <f>'[1]2026 Orders'!W350</f>
        <v>0</v>
      </c>
      <c r="Z349">
        <f>'[1]2026 Orders'!X350</f>
        <v>0</v>
      </c>
      <c r="AC349" t="str">
        <f t="shared" si="10"/>
        <v/>
      </c>
      <c r="AD349" t="str">
        <f t="shared" si="11"/>
        <v/>
      </c>
    </row>
    <row r="350" spans="1:30" ht="33" hidden="1" customHeight="1" x14ac:dyDescent="0.3">
      <c r="A350">
        <f>'[1]2026 Orders'!A351</f>
        <v>46132</v>
      </c>
      <c r="B350" s="14" t="str">
        <f>'[1]2026 Orders'!B351</f>
        <v>Lebanon</v>
      </c>
      <c r="C350" s="14" t="str">
        <f>'[1]2026 Orders'!C351</f>
        <v>A4690</v>
      </c>
      <c r="D350" s="14" t="str">
        <f>'[1]2026 Orders'!D351</f>
        <v>4/20/2026: Awaiting Pro Forma Confirmation.
5/5/2026: Labels are on server. Updating order with CS SKUs then re-sending Pro Forma for approval.
5/8/2026: Removed from Sales Action Needed; Pro Forma confirmed.</v>
      </c>
      <c r="E350" s="17" t="str" cm="1">
        <f t="array" ref="E350">IF(C350=0,"",
HYPERLINK(
"#'2026 Orders'!C"&amp;
MATCH(1,
('2026 Orders'!C:C=C350)*
('2026 Orders'!G:G=G350)*
('2026 Orders'!N:N=N350),
0),
"Open "&amp;C350
))</f>
        <v>Open A4690</v>
      </c>
      <c r="F350" s="14" t="str">
        <f>'[1]2026 Orders'!F351</f>
        <v>4/21/2026: Some SKUs will be CS. Awaiting SKU confirmation.                    4/30/2026: Updated to MFSPLS-120-CS-LB                      5/14/2026: UPC updated.</v>
      </c>
      <c r="G350" s="14" t="str">
        <f>'[1]2026 Orders'!G351</f>
        <v>MFSPLS-120-CS-LB</v>
      </c>
      <c r="H350" s="14" t="str" cm="1">
        <f t="array" ref="H350">IFERROR(_xlfn.TEXTJOIN("-",,INDEX(_xlfn.TEXTSPLIT(TableTake[[#This Row],[SKU]],"-"),{1,2})),"")</f>
        <v>MFSPLS-120</v>
      </c>
      <c r="I350" s="15" t="str">
        <f>IFERROR(_xlfn.TEXTAFTER(TableTake[[#This Row],[SKU]],"-",-1),"")</f>
        <v>LB</v>
      </c>
      <c r="J350" s="14">
        <f>'[1]2026 Orders'!H351</f>
        <v>330</v>
      </c>
      <c r="K350" t="str">
        <f>'[1]2026 Orders'!I351</f>
        <v>LB30-26.0</v>
      </c>
      <c r="L350">
        <f>'[1]2026 Orders'!J351</f>
        <v>330</v>
      </c>
      <c r="N350" s="10" t="str">
        <f>'[1]2026 Orders'!L351</f>
        <v>Picked</v>
      </c>
      <c r="O350">
        <f>'[1]2026 Orders'!M351</f>
        <v>0</v>
      </c>
      <c r="P350" t="str">
        <f>'[1]2026 Orders'!N351</f>
        <v>NA</v>
      </c>
      <c r="Q350" t="str">
        <f>'[1]2026 Orders'!O351</f>
        <v>810131194604</v>
      </c>
      <c r="R350">
        <f>'[1]2026 Orders'!P351</f>
        <v>0</v>
      </c>
      <c r="S350">
        <f>'[1]2026 Orders'!Q351</f>
        <v>0</v>
      </c>
      <c r="T350">
        <f>'[1]2026 Orders'!R351</f>
        <v>0</v>
      </c>
      <c r="U350">
        <f>'[1]2026 Orders'!S351</f>
        <v>0</v>
      </c>
      <c r="V350">
        <f>'[1]2026 Orders'!T351</f>
        <v>0</v>
      </c>
      <c r="W350">
        <f>'[1]2026 Orders'!U351</f>
        <v>0</v>
      </c>
      <c r="X350">
        <f>'[1]2026 Orders'!V351</f>
        <v>0</v>
      </c>
      <c r="Y350">
        <f>'[1]2026 Orders'!W351</f>
        <v>0</v>
      </c>
      <c r="Z350" t="str">
        <f>'[1]2026 Orders'!X351</f>
        <v>HOLD</v>
      </c>
      <c r="AC350" t="str">
        <f t="shared" si="10"/>
        <v>330/</v>
      </c>
      <c r="AD350" t="e">
        <f t="shared" si="11"/>
        <v>#VALUE!</v>
      </c>
    </row>
    <row r="351" spans="1:30" ht="33" hidden="1" customHeight="1" x14ac:dyDescent="0.3">
      <c r="A351">
        <f>'[1]2026 Orders'!A352</f>
        <v>46132</v>
      </c>
      <c r="B351" s="14" t="str">
        <f>'[1]2026 Orders'!B352</f>
        <v>Lebanon</v>
      </c>
      <c r="C351" s="14" t="str">
        <f>'[1]2026 Orders'!C352</f>
        <v>A4690</v>
      </c>
      <c r="D351" s="14">
        <f>'[1]2026 Orders'!D352</f>
        <v>0</v>
      </c>
      <c r="E351" s="17" t="str" cm="1">
        <f t="array" ref="E351">IF(C351=0,"",
HYPERLINK(
"#'2026 Orders'!C"&amp;
MATCH(1,
('2026 Orders'!C:C=C351)*
('2026 Orders'!G:G=G351)*
('2026 Orders'!N:N=N351),
0),
"Open "&amp;C351
))</f>
        <v>Open A4690</v>
      </c>
      <c r="F351" s="14" t="str">
        <f>'[1]2026 Orders'!F352</f>
        <v>4/30/2026: Updated to MOTILMX-60-CS-LB                      5/14/2026: UPC updated.</v>
      </c>
      <c r="G351" s="14" t="str">
        <f>'[1]2026 Orders'!G352</f>
        <v>MOTILMX-60-CS-LB</v>
      </c>
      <c r="H351" s="14" t="str" cm="1">
        <f t="array" ref="H351">IFERROR(_xlfn.TEXTJOIN("-",,INDEX(_xlfn.TEXTSPLIT(TableTake[[#This Row],[SKU]],"-"),{1,2})),"")</f>
        <v>MOTILMX-60</v>
      </c>
      <c r="I351" s="15" t="str">
        <f>IFERROR(_xlfn.TEXTAFTER(TableTake[[#This Row],[SKU]],"-",-1),"")</f>
        <v>LB</v>
      </c>
      <c r="J351" s="14">
        <f>'[1]2026 Orders'!H352</f>
        <v>330</v>
      </c>
      <c r="K351" t="str">
        <f>'[1]2026 Orders'!I352</f>
        <v>LB31-26.0</v>
      </c>
      <c r="L351">
        <f>'[1]2026 Orders'!J352</f>
        <v>330</v>
      </c>
      <c r="N351" s="10" t="str">
        <f>'[1]2026 Orders'!L352</f>
        <v>D/W Sent</v>
      </c>
      <c r="O351">
        <f>'[1]2026 Orders'!M352</f>
        <v>0</v>
      </c>
      <c r="P351" t="str">
        <f>'[1]2026 Orders'!N352</f>
        <v>NA</v>
      </c>
      <c r="Q351" t="str">
        <f>'[1]2026 Orders'!O352</f>
        <v>810131194598</v>
      </c>
      <c r="R351">
        <f>'[1]2026 Orders'!P352</f>
        <v>0</v>
      </c>
      <c r="S351">
        <f>'[1]2026 Orders'!Q352</f>
        <v>0</v>
      </c>
      <c r="T351">
        <f>'[1]2026 Orders'!R352</f>
        <v>0</v>
      </c>
      <c r="U351">
        <f>'[1]2026 Orders'!S352</f>
        <v>0</v>
      </c>
      <c r="V351">
        <f>'[1]2026 Orders'!T352</f>
        <v>0</v>
      </c>
      <c r="W351">
        <f>'[1]2026 Orders'!U352</f>
        <v>0</v>
      </c>
      <c r="X351">
        <f>'[1]2026 Orders'!V352</f>
        <v>0</v>
      </c>
      <c r="Y351">
        <f>'[1]2026 Orders'!W352</f>
        <v>0</v>
      </c>
      <c r="Z351">
        <f>'[1]2026 Orders'!X352</f>
        <v>0</v>
      </c>
      <c r="AC351" t="str">
        <f t="shared" si="10"/>
        <v>330/</v>
      </c>
      <c r="AD351" t="e">
        <f t="shared" si="11"/>
        <v>#VALUE!</v>
      </c>
    </row>
    <row r="352" spans="1:30" ht="33" hidden="1" customHeight="1" x14ac:dyDescent="0.3">
      <c r="A352">
        <f>'[1]2026 Orders'!A353</f>
        <v>46132</v>
      </c>
      <c r="B352" s="14" t="str">
        <f>'[1]2026 Orders'!B353</f>
        <v>Lebanon</v>
      </c>
      <c r="C352" s="14" t="str">
        <f>'[1]2026 Orders'!C353</f>
        <v>A4690</v>
      </c>
      <c r="D352" s="14">
        <f>'[1]2026 Orders'!D353</f>
        <v>0</v>
      </c>
      <c r="E352" s="17" t="str" cm="1">
        <f t="array" ref="E352">IF(C352=0,"",
HYPERLINK(
"#'2026 Orders'!C"&amp;
MATCH(1,
('2026 Orders'!C:C=C352)*
('2026 Orders'!G:G=G352)*
('2026 Orders'!N:N=N352),
0),
"Open "&amp;C352
))</f>
        <v>Open A4690</v>
      </c>
      <c r="F352" s="14" t="str">
        <f>'[1]2026 Orders'!F353</f>
        <v>4/30/2026: Updated to SPERMCT-60-CS-LB                      5/14/2026: UPC updated.</v>
      </c>
      <c r="G352" s="14" t="str">
        <f>'[1]2026 Orders'!G353</f>
        <v>SPERMCT-60-CS-LB</v>
      </c>
      <c r="H352" s="14" t="str" cm="1">
        <f t="array" ref="H352">IFERROR(_xlfn.TEXTJOIN("-",,INDEX(_xlfn.TEXTSPLIT(TableTake[[#This Row],[SKU]],"-"),{1,2})),"")</f>
        <v>SPERMCT-60</v>
      </c>
      <c r="I352" s="15" t="str">
        <f>IFERROR(_xlfn.TEXTAFTER(TableTake[[#This Row],[SKU]],"-",-1),"")</f>
        <v>LB</v>
      </c>
      <c r="J352" s="14">
        <f>'[1]2026 Orders'!H353</f>
        <v>220</v>
      </c>
      <c r="K352" t="str">
        <f>'[1]2026 Orders'!I353</f>
        <v>LB64-26.0</v>
      </c>
      <c r="L352">
        <f>'[1]2026 Orders'!J353</f>
        <v>220</v>
      </c>
      <c r="N352" s="10" t="str">
        <f>'[1]2026 Orders'!L353</f>
        <v>D/W Sent</v>
      </c>
      <c r="O352">
        <f>'[1]2026 Orders'!M353</f>
        <v>0</v>
      </c>
      <c r="P352" t="str">
        <f>'[1]2026 Orders'!N353</f>
        <v>NA</v>
      </c>
      <c r="Q352" t="str">
        <f>'[1]2026 Orders'!O353</f>
        <v>810131194536</v>
      </c>
      <c r="R352">
        <f>'[1]2026 Orders'!P353</f>
        <v>0</v>
      </c>
      <c r="S352">
        <f>'[1]2026 Orders'!Q353</f>
        <v>0</v>
      </c>
      <c r="T352">
        <f>'[1]2026 Orders'!R353</f>
        <v>0</v>
      </c>
      <c r="U352">
        <f>'[1]2026 Orders'!S353</f>
        <v>0</v>
      </c>
      <c r="V352">
        <f>'[1]2026 Orders'!T353</f>
        <v>0</v>
      </c>
      <c r="W352">
        <f>'[1]2026 Orders'!U353</f>
        <v>0</v>
      </c>
      <c r="X352">
        <f>'[1]2026 Orders'!V353</f>
        <v>0</v>
      </c>
      <c r="Y352">
        <f>'[1]2026 Orders'!W353</f>
        <v>0</v>
      </c>
      <c r="Z352">
        <f>'[1]2026 Orders'!X353</f>
        <v>0</v>
      </c>
      <c r="AC352" t="str">
        <f t="shared" si="10"/>
        <v>220/</v>
      </c>
      <c r="AD352" t="e">
        <f t="shared" si="11"/>
        <v>#VALUE!</v>
      </c>
    </row>
    <row r="353" spans="1:30" ht="33" hidden="1" customHeight="1" x14ac:dyDescent="0.3">
      <c r="A353">
        <f>'[1]2026 Orders'!A354</f>
        <v>46132</v>
      </c>
      <c r="B353" s="14" t="str">
        <f>'[1]2026 Orders'!B354</f>
        <v>Lebanon</v>
      </c>
      <c r="C353" s="14" t="str">
        <f>'[1]2026 Orders'!C354</f>
        <v>A4690</v>
      </c>
      <c r="D353" s="14">
        <f>'[1]2026 Orders'!D354</f>
        <v>0</v>
      </c>
      <c r="E353" s="17" t="str" cm="1">
        <f t="array" ref="E353">IF(C353=0,"",
HYPERLINK(
"#'2026 Orders'!C"&amp;
MATCH(1,
('2026 Orders'!C:C=C353)*
('2026 Orders'!G:G=G353)*
('2026 Orders'!N:N=N353),
0),
"Open "&amp;C353
))</f>
        <v>Open A4690</v>
      </c>
      <c r="F353" s="14" t="str">
        <f>'[1]2026 Orders'!F354</f>
        <v>4/30/2026: Updated to WFSPLS-180-CS-LB
5/12/2026: Allocating from Uganda A4522 (120 pcs), Ethiopia A4575 (120 pcs), China A4659 (110 pcs). Reduced qty 385 -&gt; 350.
5/14/2026: UPC updated.</v>
      </c>
      <c r="G353" s="14" t="str">
        <f>'[1]2026 Orders'!G354</f>
        <v>WFSPLS-180-CS-LB</v>
      </c>
      <c r="H353" s="14" t="str" cm="1">
        <f t="array" ref="H353">IFERROR(_xlfn.TEXTJOIN("-",,INDEX(_xlfn.TEXTSPLIT(TableTake[[#This Row],[SKU]],"-"),{1,2})),"")</f>
        <v>WFSPLS-180</v>
      </c>
      <c r="I353" s="15" t="str">
        <f>IFERROR(_xlfn.TEXTAFTER(TableTake[[#This Row],[SKU]],"-",-1),"")</f>
        <v>LB</v>
      </c>
      <c r="J353" s="14">
        <f>'[1]2026 Orders'!H354</f>
        <v>350</v>
      </c>
      <c r="K353" t="str">
        <f>'[1]2026 Orders'!I354</f>
        <v>LB73-26.0</v>
      </c>
      <c r="L353">
        <f>'[1]2026 Orders'!J354</f>
        <v>350</v>
      </c>
      <c r="N353" s="10" t="str">
        <f>'[1]2026 Orders'!L354</f>
        <v>D/W Sent</v>
      </c>
      <c r="O353">
        <f>'[1]2026 Orders'!M354</f>
        <v>0</v>
      </c>
      <c r="P353" t="str">
        <f>'[1]2026 Orders'!N354</f>
        <v>NA</v>
      </c>
      <c r="Q353" t="str">
        <f>'[1]2026 Orders'!O354</f>
        <v>810131194543</v>
      </c>
      <c r="R353">
        <f>'[1]2026 Orders'!P354</f>
        <v>5000</v>
      </c>
      <c r="S353">
        <f>'[1]2026 Orders'!Q354</f>
        <v>5043</v>
      </c>
      <c r="T353" t="str">
        <f>'[1]2026 Orders'!R354</f>
        <v>TBD</v>
      </c>
      <c r="U353" t="str">
        <f>'[1]2026 Orders'!S354</f>
        <v>Pending approval to send to vendor</v>
      </c>
      <c r="V353">
        <f>'[1]2026 Orders'!T354</f>
        <v>0</v>
      </c>
      <c r="W353">
        <f>'[1]2026 Orders'!U354</f>
        <v>0</v>
      </c>
      <c r="X353">
        <f>'[1]2026 Orders'!V354</f>
        <v>0</v>
      </c>
      <c r="Y353">
        <f>'[1]2026 Orders'!W354</f>
        <v>0</v>
      </c>
      <c r="Z353">
        <f>'[1]2026 Orders'!X354</f>
        <v>0</v>
      </c>
      <c r="AC353" t="str">
        <f t="shared" si="10"/>
        <v>350/</v>
      </c>
      <c r="AD353" t="e">
        <f t="shared" si="11"/>
        <v>#VALUE!</v>
      </c>
    </row>
    <row r="354" spans="1:30" ht="33" hidden="1" customHeight="1" x14ac:dyDescent="0.3">
      <c r="A354">
        <f>'[1]2026 Orders'!A355</f>
        <v>46132</v>
      </c>
      <c r="B354" s="14" t="str">
        <f>'[1]2026 Orders'!B355</f>
        <v>Lebanon</v>
      </c>
      <c r="C354" s="14" t="str">
        <f>'[1]2026 Orders'!C355</f>
        <v>A4690</v>
      </c>
      <c r="D354" s="14">
        <f>'[1]2026 Orders'!D355</f>
        <v>0</v>
      </c>
      <c r="E354" s="17" t="str" cm="1">
        <f t="array" ref="E354">IF(C354=0,"",
HYPERLINK(
"#'2026 Orders'!C"&amp;
MATCH(1,
('2026 Orders'!C:C=C354)*
('2026 Orders'!G:G=G354)*
('2026 Orders'!N:N=N354),
0),
"Open "&amp;C354
))</f>
        <v>Open A4690</v>
      </c>
      <c r="F354" s="14" t="str">
        <f>'[1]2026 Orders'!F355</f>
        <v>4/30/2026: Updated to OVAMAX-120-CS-LB                      5/14/2026: UPC updated.</v>
      </c>
      <c r="G354" s="14" t="str">
        <f>'[1]2026 Orders'!G355</f>
        <v>OVAMAX-120-CS-LB</v>
      </c>
      <c r="H354" s="14" t="str" cm="1">
        <f t="array" ref="H354">IFERROR(_xlfn.TEXTJOIN("-",,INDEX(_xlfn.TEXTSPLIT(TableTake[[#This Row],[SKU]],"-"),{1,2})),"")</f>
        <v>OVAMAX-120</v>
      </c>
      <c r="I354" s="15" t="str">
        <f>IFERROR(_xlfn.TEXTAFTER(TableTake[[#This Row],[SKU]],"-",-1),"")</f>
        <v>LB</v>
      </c>
      <c r="J354" s="14">
        <f>'[1]2026 Orders'!H355</f>
        <v>385</v>
      </c>
      <c r="K354" t="str">
        <f>'[1]2026 Orders'!I355</f>
        <v>LB41-26.0</v>
      </c>
      <c r="L354">
        <f>'[1]2026 Orders'!J355</f>
        <v>385</v>
      </c>
      <c r="N354" s="10" t="str">
        <f>'[1]2026 Orders'!L355</f>
        <v>D/W Sent</v>
      </c>
      <c r="O354">
        <f>'[1]2026 Orders'!M355</f>
        <v>0</v>
      </c>
      <c r="P354" t="str">
        <f>'[1]2026 Orders'!N355</f>
        <v>NA</v>
      </c>
      <c r="Q354" t="str">
        <f>'[1]2026 Orders'!O355</f>
        <v>810131194567</v>
      </c>
      <c r="R354">
        <f>'[1]2026 Orders'!P355</f>
        <v>0</v>
      </c>
      <c r="S354">
        <f>'[1]2026 Orders'!Q355</f>
        <v>0</v>
      </c>
      <c r="T354">
        <f>'[1]2026 Orders'!R355</f>
        <v>0</v>
      </c>
      <c r="U354">
        <f>'[1]2026 Orders'!S355</f>
        <v>0</v>
      </c>
      <c r="V354">
        <f>'[1]2026 Orders'!T355</f>
        <v>0</v>
      </c>
      <c r="W354">
        <f>'[1]2026 Orders'!U355</f>
        <v>0</v>
      </c>
      <c r="X354">
        <f>'[1]2026 Orders'!V355</f>
        <v>0</v>
      </c>
      <c r="Y354">
        <f>'[1]2026 Orders'!W355</f>
        <v>0</v>
      </c>
      <c r="Z354">
        <f>'[1]2026 Orders'!X355</f>
        <v>0</v>
      </c>
      <c r="AC354" t="str">
        <f t="shared" si="10"/>
        <v>385/</v>
      </c>
      <c r="AD354" t="e">
        <f t="shared" si="11"/>
        <v>#VALUE!</v>
      </c>
    </row>
    <row r="355" spans="1:30" ht="33" hidden="1" customHeight="1" x14ac:dyDescent="0.3">
      <c r="A355">
        <f>'[1]2026 Orders'!A356</f>
        <v>46132</v>
      </c>
      <c r="B355" s="14" t="str">
        <f>'[1]2026 Orders'!B356</f>
        <v>Lebanon</v>
      </c>
      <c r="C355" s="14" t="str">
        <f>'[1]2026 Orders'!C356</f>
        <v>A4690</v>
      </c>
      <c r="D355" s="14">
        <f>'[1]2026 Orders'!D356</f>
        <v>0</v>
      </c>
      <c r="E355" s="17" t="str" cm="1">
        <f t="array" ref="E355">IF(C355=0,"",
HYPERLINK(
"#'2026 Orders'!C"&amp;
MATCH(1,
('2026 Orders'!C:C=C355)*
('2026 Orders'!G:G=G355)*
('2026 Orders'!N:N=N355),
0),
"Open "&amp;C355
))</f>
        <v>Open A4690</v>
      </c>
      <c r="F355" s="14" t="str">
        <f>'[1]2026 Orders'!F356</f>
        <v>4/30/2026: Updated to PRECON-180-CS-LB
5/12/2026: Allocating from Ethiopia A4575 (165 pcs).
5/14/2026: UPC updated.
5/19/2026: Qty reduced 165 -&gt; 161.
6/1/2026: Amended "Suggested Use" needed.                                  6/9/2026: Estimated completion - Monday 6/15/2026</v>
      </c>
      <c r="G355" s="14" t="str">
        <f>'[1]2026 Orders'!G356</f>
        <v>PRECON-180-CS-LB</v>
      </c>
      <c r="H355" s="14" t="str" cm="1">
        <f t="array" ref="H355">IFERROR(_xlfn.TEXTJOIN("-",,INDEX(_xlfn.TEXTSPLIT(TableTake[[#This Row],[SKU]],"-"),{1,2})),"")</f>
        <v>PRECON-180</v>
      </c>
      <c r="I355" s="15" t="str">
        <f>IFERROR(_xlfn.TEXTAFTER(TableTake[[#This Row],[SKU]],"-",-1),"")</f>
        <v>LB</v>
      </c>
      <c r="J355" s="14">
        <f>'[1]2026 Orders'!H356</f>
        <v>161</v>
      </c>
      <c r="K355" t="str">
        <f>'[1]2026 Orders'!I356</f>
        <v>LB55-26.0</v>
      </c>
      <c r="L355">
        <f>'[1]2026 Orders'!J356</f>
        <v>161</v>
      </c>
      <c r="N355" s="10" t="str">
        <f>'[1]2026 Orders'!L356</f>
        <v>Rework</v>
      </c>
      <c r="O355" t="str">
        <f>'[1]2026 Orders'!M356</f>
        <v>Label ETA 06/10</v>
      </c>
      <c r="P355" t="str">
        <f>'[1]2026 Orders'!N356</f>
        <v>NA</v>
      </c>
      <c r="Q355" t="str">
        <f>'[1]2026 Orders'!O356</f>
        <v>810131194574</v>
      </c>
      <c r="R355">
        <f>'[1]2026 Orders'!P356</f>
        <v>0</v>
      </c>
      <c r="S355">
        <f>'[1]2026 Orders'!Q356</f>
        <v>0</v>
      </c>
      <c r="T355">
        <f>'[1]2026 Orders'!R356</f>
        <v>0</v>
      </c>
      <c r="U355">
        <f>'[1]2026 Orders'!S356</f>
        <v>0</v>
      </c>
      <c r="V355">
        <f>'[1]2026 Orders'!T356</f>
        <v>0</v>
      </c>
      <c r="W355">
        <f>'[1]2026 Orders'!U356</f>
        <v>0</v>
      </c>
      <c r="X355">
        <f>'[1]2026 Orders'!V356</f>
        <v>0</v>
      </c>
      <c r="Y355">
        <f>'[1]2026 Orders'!W356</f>
        <v>0</v>
      </c>
      <c r="Z355">
        <f>'[1]2026 Orders'!X356</f>
        <v>0</v>
      </c>
      <c r="AC355" t="str">
        <f t="shared" si="10"/>
        <v>161/</v>
      </c>
      <c r="AD355" t="e">
        <f t="shared" si="11"/>
        <v>#VALUE!</v>
      </c>
    </row>
    <row r="356" spans="1:30" ht="33" hidden="1" customHeight="1" x14ac:dyDescent="0.3">
      <c r="A356">
        <f>'[1]2026 Orders'!A357</f>
        <v>0</v>
      </c>
      <c r="B356" s="14">
        <f>'[1]2026 Orders'!B357</f>
        <v>0</v>
      </c>
      <c r="C356" s="14">
        <f>'[1]2026 Orders'!C357</f>
        <v>0</v>
      </c>
      <c r="D356" s="14">
        <f>'[1]2026 Orders'!D357</f>
        <v>0</v>
      </c>
      <c r="E356" s="17" t="str" cm="1">
        <f t="array" ref="E356">IF(C356=0,"",
HYPERLINK(
"#'2026 Orders'!C"&amp;
MATCH(1,
('2026 Orders'!C:C=C356)*
('2026 Orders'!G:G=G356)*
('2026 Orders'!N:N=N356),
0),
"Open "&amp;C356
))</f>
        <v/>
      </c>
      <c r="F356" s="14">
        <f>'[1]2026 Orders'!F357</f>
        <v>0</v>
      </c>
      <c r="G356" s="14">
        <f>'[1]2026 Orders'!G357</f>
        <v>0</v>
      </c>
      <c r="H356" s="14" t="str" cm="1">
        <f t="array" ref="H356">IFERROR(_xlfn.TEXTJOIN("-",,INDEX(_xlfn.TEXTSPLIT(TableTake[[#This Row],[SKU]],"-"),{1,2})),"")</f>
        <v/>
      </c>
      <c r="I356" s="15" t="str">
        <f>IFERROR(_xlfn.TEXTAFTER(TableTake[[#This Row],[SKU]],"-",-1),"")</f>
        <v/>
      </c>
      <c r="J356" s="14">
        <f>'[1]2026 Orders'!H357</f>
        <v>0</v>
      </c>
      <c r="K356">
        <f>'[1]2026 Orders'!I357</f>
        <v>0</v>
      </c>
      <c r="L356">
        <f>'[1]2026 Orders'!J357</f>
        <v>0</v>
      </c>
      <c r="N356" s="10">
        <f>'[1]2026 Orders'!L357</f>
        <v>0</v>
      </c>
      <c r="O356">
        <f>'[1]2026 Orders'!M357</f>
        <v>0</v>
      </c>
      <c r="P356">
        <f>'[1]2026 Orders'!N357</f>
        <v>0</v>
      </c>
      <c r="Q356">
        <f>'[1]2026 Orders'!O357</f>
        <v>0</v>
      </c>
      <c r="R356">
        <f>'[1]2026 Orders'!P357</f>
        <v>0</v>
      </c>
      <c r="S356">
        <f>'[1]2026 Orders'!Q357</f>
        <v>0</v>
      </c>
      <c r="T356">
        <f>'[1]2026 Orders'!R357</f>
        <v>0</v>
      </c>
      <c r="U356">
        <f>'[1]2026 Orders'!S357</f>
        <v>0</v>
      </c>
      <c r="V356">
        <f>'[1]2026 Orders'!T357</f>
        <v>0</v>
      </c>
      <c r="W356">
        <f>'[1]2026 Orders'!U357</f>
        <v>0</v>
      </c>
      <c r="X356">
        <f>'[1]2026 Orders'!V357</f>
        <v>0</v>
      </c>
      <c r="Y356">
        <f>'[1]2026 Orders'!W357</f>
        <v>0</v>
      </c>
      <c r="Z356">
        <f>'[1]2026 Orders'!X357</f>
        <v>0</v>
      </c>
      <c r="AC356" t="str">
        <f t="shared" si="10"/>
        <v/>
      </c>
      <c r="AD356" t="str">
        <f t="shared" si="11"/>
        <v/>
      </c>
    </row>
    <row r="357" spans="1:30" ht="33" hidden="1" customHeight="1" x14ac:dyDescent="0.3">
      <c r="A357">
        <f>'[1]2026 Orders'!A358</f>
        <v>46133</v>
      </c>
      <c r="B357" s="14" t="str">
        <f>'[1]2026 Orders'!B358</f>
        <v>Iraq</v>
      </c>
      <c r="C357" s="14" t="str">
        <f>'[1]2026 Orders'!C358</f>
        <v>A4691</v>
      </c>
      <c r="D357" s="14" t="str">
        <f>'[1]2026 Orders'!D358</f>
        <v>4/21/2026: Awaiting Pro Forma Confirmation.                                   4/28/2026: Proforma Approved.         5/4/2026: Generated Lot Code for COQ runoff arriving Wednesday. No Memoup in stock, need to make plan for this product.</v>
      </c>
      <c r="E357" s="17" t="str" cm="1">
        <f t="array" ref="E357">IF(C357=0,"",
HYPERLINK(
"#'2026 Orders'!C"&amp;
MATCH(1,
('2026 Orders'!C:C=C357)*
('2026 Orders'!G:G=G357)*
('2026 Orders'!N:N=N357),
0),
"Open "&amp;C357
))</f>
        <v>Open A4691</v>
      </c>
      <c r="F357" s="14" t="str">
        <f>'[1]2026 Orders'!F358</f>
        <v>Runoff w/ Lot Code 49160126 arriving Wednesday - change lot to 25110126</v>
      </c>
      <c r="G357" s="14" t="str">
        <f>'[1]2026 Orders'!G358</f>
        <v>COQ100-125-FD</v>
      </c>
      <c r="H357" s="14" t="str" cm="1">
        <f t="array" ref="H357">IFERROR(_xlfn.TEXTJOIN("-",,INDEX(_xlfn.TEXTSPLIT(TableTake[[#This Row],[SKU]],"-"),{1,2})),"")</f>
        <v>COQ100-125</v>
      </c>
      <c r="I357" s="15" t="str">
        <f>IFERROR(_xlfn.TEXTAFTER(TableTake[[#This Row],[SKU]],"-",-1),"")</f>
        <v>FD</v>
      </c>
      <c r="J357" s="14">
        <f>'[1]2026 Orders'!H358</f>
        <v>30</v>
      </c>
      <c r="K357" t="str">
        <f>'[1]2026 Orders'!I358</f>
        <v>F12-26.0</v>
      </c>
      <c r="L357">
        <f>'[1]2026 Orders'!J358</f>
        <v>30</v>
      </c>
      <c r="N357" s="10" t="str">
        <f>'[1]2026 Orders'!L358</f>
        <v>Rework</v>
      </c>
      <c r="O357" t="str">
        <f>'[1]2026 Orders'!M358</f>
        <v>LABEL ETA 06/12</v>
      </c>
      <c r="P357" t="str">
        <f>'[1]2026 Orders'!N358</f>
        <v>Y</v>
      </c>
      <c r="Q357" t="str">
        <f>'[1]2026 Orders'!O358</f>
        <v xml:space="preserve">810131199258
</v>
      </c>
      <c r="R357">
        <f>'[1]2026 Orders'!P358</f>
        <v>0</v>
      </c>
      <c r="S357">
        <f>'[1]2026 Orders'!Q358</f>
        <v>0</v>
      </c>
      <c r="T357">
        <f>'[1]2026 Orders'!R358</f>
        <v>0</v>
      </c>
      <c r="U357">
        <f>'[1]2026 Orders'!S358</f>
        <v>0</v>
      </c>
      <c r="V357">
        <f>'[1]2026 Orders'!T358</f>
        <v>0</v>
      </c>
      <c r="W357">
        <f>'[1]2026 Orders'!U358</f>
        <v>0</v>
      </c>
      <c r="X357">
        <f>'[1]2026 Orders'!V358</f>
        <v>0</v>
      </c>
      <c r="Y357">
        <f>'[1]2026 Orders'!W358</f>
        <v>0</v>
      </c>
      <c r="Z357" t="str">
        <f>'[1]2026 Orders'!X358</f>
        <v>HOLD</v>
      </c>
      <c r="AC357" t="str">
        <f t="shared" si="10"/>
        <v>30/</v>
      </c>
      <c r="AD357" t="e">
        <f t="shared" si="11"/>
        <v>#VALUE!</v>
      </c>
    </row>
    <row r="358" spans="1:30" ht="33" hidden="1" customHeight="1" x14ac:dyDescent="0.3">
      <c r="A358">
        <f>'[1]2026 Orders'!A359</f>
        <v>46133</v>
      </c>
      <c r="B358" s="14" t="str">
        <f>'[1]2026 Orders'!B359</f>
        <v>Iraq</v>
      </c>
      <c r="C358" s="14" t="str">
        <f>'[1]2026 Orders'!C359</f>
        <v>A4691</v>
      </c>
      <c r="D358" s="14" t="str">
        <f>'[1]2026 Orders'!D359</f>
        <v>5/11/2026: Allocate from Iraq A4631. Arriving 5/14/2026.</v>
      </c>
      <c r="E358" s="17" t="str" cm="1">
        <f t="array" ref="E358">IF(C358=0,"",
HYPERLINK(
"#'2026 Orders'!C"&amp;
MATCH(1,
('2026 Orders'!C:C=C358)*
('2026 Orders'!G:G=G358)*
('2026 Orders'!N:N=N358),
0),
"Open "&amp;C358
))</f>
        <v>Open A4691</v>
      </c>
      <c r="F358" s="14" t="str">
        <f>'[1]2026 Orders'!F359</f>
        <v>New lot is needed - 25121025</v>
      </c>
      <c r="G358" s="14" t="str">
        <f>'[1]2026 Orders'!G359</f>
        <v>MEMOUP-60-FD</v>
      </c>
      <c r="H358" s="14" t="str" cm="1">
        <f t="array" ref="H358">IFERROR(_xlfn.TEXTJOIN("-",,INDEX(_xlfn.TEXTSPLIT(TableTake[[#This Row],[SKU]],"-"),{1,2})),"")</f>
        <v>MEMOUP-60</v>
      </c>
      <c r="I358" s="15" t="str">
        <f>IFERROR(_xlfn.TEXTAFTER(TableTake[[#This Row],[SKU]],"-",-1),"")</f>
        <v>FD</v>
      </c>
      <c r="J358" s="14">
        <f>'[1]2026 Orders'!H359</f>
        <v>30</v>
      </c>
      <c r="K358" t="str">
        <f>'[1]2026 Orders'!I359</f>
        <v>F27-26.0</v>
      </c>
      <c r="L358">
        <f>'[1]2026 Orders'!J359</f>
        <v>30</v>
      </c>
      <c r="N358" s="10" t="str">
        <f>'[1]2026 Orders'!L359</f>
        <v>Rework</v>
      </c>
      <c r="O358" t="str">
        <f>'[1]2026 Orders'!M359</f>
        <v>LABEL ETA 06/12</v>
      </c>
      <c r="P358" t="str">
        <f>'[1]2026 Orders'!N359</f>
        <v>Y</v>
      </c>
      <c r="Q358" t="str">
        <f>'[1]2026 Orders'!O359</f>
        <v>810131199449</v>
      </c>
      <c r="R358">
        <f>'[1]2026 Orders'!P359</f>
        <v>5250</v>
      </c>
      <c r="S358">
        <f>'[1]2026 Orders'!Q359</f>
        <v>4928</v>
      </c>
      <c r="T358" t="str">
        <f>'[1]2026 Orders'!R359</f>
        <v>Complete</v>
      </c>
      <c r="U358">
        <f>'[1]2026 Orders'!S359</f>
        <v>0</v>
      </c>
      <c r="V358">
        <f>'[1]2026 Orders'!T359</f>
        <v>0</v>
      </c>
      <c r="W358">
        <f>'[1]2026 Orders'!U359</f>
        <v>0</v>
      </c>
      <c r="X358">
        <f>'[1]2026 Orders'!V359</f>
        <v>0</v>
      </c>
      <c r="Y358">
        <f>'[1]2026 Orders'!W359</f>
        <v>0</v>
      </c>
      <c r="Z358">
        <f>'[1]2026 Orders'!X359</f>
        <v>0</v>
      </c>
      <c r="AC358" t="str">
        <f t="shared" si="10"/>
        <v>30/</v>
      </c>
      <c r="AD358" t="e">
        <f t="shared" si="11"/>
        <v>#VALUE!</v>
      </c>
    </row>
    <row r="359" spans="1:30" ht="33" hidden="1" customHeight="1" x14ac:dyDescent="0.3">
      <c r="A359">
        <f>'[1]2026 Orders'!A360</f>
        <v>0</v>
      </c>
      <c r="B359" s="14">
        <f>'[1]2026 Orders'!B360</f>
        <v>0</v>
      </c>
      <c r="C359" s="14">
        <f>'[1]2026 Orders'!C360</f>
        <v>0</v>
      </c>
      <c r="D359" s="14">
        <f>'[1]2026 Orders'!D360</f>
        <v>0</v>
      </c>
      <c r="E359" s="17" t="str" cm="1">
        <f t="array" ref="E359">IF(C359=0,"",
HYPERLINK(
"#'2026 Orders'!C"&amp;
MATCH(1,
('2026 Orders'!C:C=C359)*
('2026 Orders'!G:G=G359)*
('2026 Orders'!N:N=N359),
0),
"Open "&amp;C359
))</f>
        <v/>
      </c>
      <c r="F359" s="14">
        <f>'[1]2026 Orders'!F360</f>
        <v>0</v>
      </c>
      <c r="G359" s="14">
        <f>'[1]2026 Orders'!G360</f>
        <v>0</v>
      </c>
      <c r="H359" s="14" t="str" cm="1">
        <f t="array" ref="H359">IFERROR(_xlfn.TEXTJOIN("-",,INDEX(_xlfn.TEXTSPLIT(TableTake[[#This Row],[SKU]],"-"),{1,2})),"")</f>
        <v/>
      </c>
      <c r="I359" s="15" t="str">
        <f>IFERROR(_xlfn.TEXTAFTER(TableTake[[#This Row],[SKU]],"-",-1),"")</f>
        <v/>
      </c>
      <c r="J359" s="14">
        <f>'[1]2026 Orders'!H360</f>
        <v>0</v>
      </c>
      <c r="K359">
        <f>'[1]2026 Orders'!I360</f>
        <v>0</v>
      </c>
      <c r="L359">
        <f>'[1]2026 Orders'!J360</f>
        <v>0</v>
      </c>
      <c r="N359" s="10">
        <f>'[1]2026 Orders'!L360</f>
        <v>0</v>
      </c>
      <c r="O359">
        <f>'[1]2026 Orders'!M360</f>
        <v>0</v>
      </c>
      <c r="P359">
        <f>'[1]2026 Orders'!N360</f>
        <v>0</v>
      </c>
      <c r="Q359">
        <f>'[1]2026 Orders'!O360</f>
        <v>0</v>
      </c>
      <c r="R359">
        <f>'[1]2026 Orders'!P360</f>
        <v>0</v>
      </c>
      <c r="S359">
        <f>'[1]2026 Orders'!Q360</f>
        <v>0</v>
      </c>
      <c r="T359">
        <f>'[1]2026 Orders'!R360</f>
        <v>0</v>
      </c>
      <c r="U359">
        <f>'[1]2026 Orders'!S360</f>
        <v>0</v>
      </c>
      <c r="V359">
        <f>'[1]2026 Orders'!T360</f>
        <v>0</v>
      </c>
      <c r="W359">
        <f>'[1]2026 Orders'!U360</f>
        <v>0</v>
      </c>
      <c r="X359">
        <f>'[1]2026 Orders'!V360</f>
        <v>0</v>
      </c>
      <c r="Y359">
        <f>'[1]2026 Orders'!W360</f>
        <v>0</v>
      </c>
      <c r="Z359">
        <f>'[1]2026 Orders'!X360</f>
        <v>0</v>
      </c>
      <c r="AC359" t="str">
        <f t="shared" si="10"/>
        <v/>
      </c>
      <c r="AD359" t="str">
        <f t="shared" si="11"/>
        <v/>
      </c>
    </row>
    <row r="360" spans="1:30" ht="33" hidden="1" customHeight="1" x14ac:dyDescent="0.3">
      <c r="A360">
        <f>'[1]2026 Orders'!A361</f>
        <v>46134</v>
      </c>
      <c r="B360" s="14" t="str">
        <f>'[1]2026 Orders'!B361</f>
        <v>Libya</v>
      </c>
      <c r="C360" s="14" t="str">
        <f>'[1]2026 Orders'!C361</f>
        <v>A4692</v>
      </c>
      <c r="D360" s="14" t="str">
        <f>'[1]2026 Orders'!D361</f>
        <v>4/22/2026: Awaiting Proforma Confirmation</v>
      </c>
      <c r="E360" s="17" t="str" cm="1">
        <f t="array" ref="E360">IF(C360=0,"",
HYPERLINK(
"#'2026 Orders'!C"&amp;
MATCH(1,
('2026 Orders'!C:C=C360)*
('2026 Orders'!G:G=G360)*
('2026 Orders'!N:N=N360),
0),
"Open "&amp;C360
))</f>
        <v>Open A4692</v>
      </c>
      <c r="F360" s="14">
        <f>'[1]2026 Orders'!F361</f>
        <v>0</v>
      </c>
      <c r="G360" s="14" t="str">
        <f>'[1]2026 Orders'!G361</f>
        <v>FERTMX-90-CS-LY</v>
      </c>
      <c r="H360" s="14" t="str" cm="1">
        <f t="array" ref="H360">IFERROR(_xlfn.TEXTJOIN("-",,INDEX(_xlfn.TEXTSPLIT(TableTake[[#This Row],[SKU]],"-"),{1,2})),"")</f>
        <v>FERTMX-90</v>
      </c>
      <c r="I360" s="15" t="str">
        <f>IFERROR(_xlfn.TEXTAFTER(TableTake[[#This Row],[SKU]],"-",-1),"")</f>
        <v>LY</v>
      </c>
      <c r="J360" s="14">
        <f>'[1]2026 Orders'!H361</f>
        <v>1000</v>
      </c>
      <c r="K360" t="str">
        <f>'[1]2026 Orders'!I361</f>
        <v>LY16-24.0/25.0</v>
      </c>
      <c r="L360">
        <f>'[1]2026 Orders'!J361</f>
        <v>0</v>
      </c>
      <c r="N360" s="10" t="str">
        <f>'[1]2026 Orders'!L361</f>
        <v>PO submitted</v>
      </c>
      <c r="O360">
        <f>'[1]2026 Orders'!M361</f>
        <v>0</v>
      </c>
      <c r="P360" t="str">
        <f>'[1]2026 Orders'!N361</f>
        <v>Y</v>
      </c>
      <c r="Q360">
        <f>'[1]2026 Orders'!O361</f>
        <v>604776737575</v>
      </c>
      <c r="R360">
        <f>'[1]2026 Orders'!P361</f>
        <v>5000</v>
      </c>
      <c r="S360">
        <f>'[1]2026 Orders'!Q361</f>
        <v>5041</v>
      </c>
      <c r="T360">
        <f>'[1]2026 Orders'!R361</f>
        <v>46234</v>
      </c>
      <c r="U360" t="str">
        <f>'[1]2026 Orders'!S361</f>
        <v>Waiting for vendor confirmation.</v>
      </c>
      <c r="V360">
        <f>'[1]2026 Orders'!T361</f>
        <v>0</v>
      </c>
      <c r="W360">
        <f>'[1]2026 Orders'!U361</f>
        <v>0</v>
      </c>
      <c r="X360">
        <f>'[1]2026 Orders'!V361</f>
        <v>0</v>
      </c>
      <c r="Y360">
        <f>'[1]2026 Orders'!W361</f>
        <v>0</v>
      </c>
      <c r="Z360" t="str">
        <f>'[1]2026 Orders'!X361</f>
        <v>HOLD</v>
      </c>
      <c r="AC360" t="str">
        <f t="shared" si="10"/>
        <v>1000/</v>
      </c>
      <c r="AD360" t="e">
        <f t="shared" si="11"/>
        <v>#VALUE!</v>
      </c>
    </row>
    <row r="361" spans="1:30" ht="33" hidden="1" customHeight="1" x14ac:dyDescent="0.3">
      <c r="A361">
        <f>'[1]2026 Orders'!A362</f>
        <v>46134</v>
      </c>
      <c r="B361" s="14" t="str">
        <f>'[1]2026 Orders'!B362</f>
        <v>Libya</v>
      </c>
      <c r="C361" s="14" t="str">
        <f>'[1]2026 Orders'!C362</f>
        <v>A4692</v>
      </c>
      <c r="D361" s="14" t="str">
        <f>'[1]2026 Orders'!D362</f>
        <v>4/24/2026: Proforma Approved</v>
      </c>
      <c r="E361" s="17" t="str" cm="1">
        <f t="array" ref="E361">IF(C361=0,"",
HYPERLINK(
"#'2026 Orders'!C"&amp;
MATCH(1,
('2026 Orders'!C:C=C361)*
('2026 Orders'!G:G=G361)*
('2026 Orders'!N:N=N361),
0),
"Open "&amp;C361
))</f>
        <v>Open A4692</v>
      </c>
      <c r="F361" s="14">
        <f>'[1]2026 Orders'!F362</f>
        <v>0</v>
      </c>
      <c r="G361" s="14" t="str">
        <f>'[1]2026 Orders'!G362</f>
        <v>FIBRO-60-CS-LY</v>
      </c>
      <c r="H361" s="14" t="str" cm="1">
        <f t="array" ref="H361">IFERROR(_xlfn.TEXTJOIN("-",,INDEX(_xlfn.TEXTSPLIT(TableTake[[#This Row],[SKU]],"-"),{1,2})),"")</f>
        <v>FIBRO-60</v>
      </c>
      <c r="I361" s="15" t="str">
        <f>IFERROR(_xlfn.TEXTAFTER(TableTake[[#This Row],[SKU]],"-",-1),"")</f>
        <v>LY</v>
      </c>
      <c r="J361" s="14">
        <f>'[1]2026 Orders'!H362</f>
        <v>300</v>
      </c>
      <c r="K361" t="str">
        <f>'[1]2026 Orders'!I362</f>
        <v>LY17-24.0</v>
      </c>
      <c r="L361">
        <f>'[1]2026 Orders'!J362</f>
        <v>300</v>
      </c>
      <c r="N361" s="10" t="str">
        <f>'[1]2026 Orders'!L362</f>
        <v>Rework</v>
      </c>
      <c r="O361">
        <f>'[1]2026 Orders'!M362</f>
        <v>0</v>
      </c>
      <c r="P361" t="str">
        <f>'[1]2026 Orders'!N362</f>
        <v>NA</v>
      </c>
      <c r="Q361">
        <f>'[1]2026 Orders'!O362</f>
        <v>604776739012</v>
      </c>
      <c r="R361">
        <f>'[1]2026 Orders'!P362</f>
        <v>0</v>
      </c>
      <c r="S361">
        <f>'[1]2026 Orders'!Q362</f>
        <v>0</v>
      </c>
      <c r="T361">
        <f>'[1]2026 Orders'!R362</f>
        <v>0</v>
      </c>
      <c r="U361">
        <f>'[1]2026 Orders'!S362</f>
        <v>0</v>
      </c>
      <c r="V361">
        <f>'[1]2026 Orders'!T362</f>
        <v>0</v>
      </c>
      <c r="W361">
        <f>'[1]2026 Orders'!U362</f>
        <v>0</v>
      </c>
      <c r="X361">
        <f>'[1]2026 Orders'!V362</f>
        <v>0</v>
      </c>
      <c r="Y361">
        <f>'[1]2026 Orders'!W362</f>
        <v>0</v>
      </c>
      <c r="Z361">
        <f>'[1]2026 Orders'!X362</f>
        <v>0</v>
      </c>
      <c r="AC361" t="str">
        <f t="shared" si="10"/>
        <v>300/</v>
      </c>
      <c r="AD361" t="e">
        <f t="shared" si="11"/>
        <v>#VALUE!</v>
      </c>
    </row>
    <row r="362" spans="1:30" ht="33" hidden="1" customHeight="1" x14ac:dyDescent="0.3">
      <c r="A362">
        <f>'[1]2026 Orders'!A363</f>
        <v>46134</v>
      </c>
      <c r="B362" s="14" t="str">
        <f>'[1]2026 Orders'!B363</f>
        <v>Libya</v>
      </c>
      <c r="C362" s="14" t="str">
        <f>'[1]2026 Orders'!C363</f>
        <v>A4692</v>
      </c>
      <c r="D362" s="14">
        <f>'[1]2026 Orders'!D363</f>
        <v>0</v>
      </c>
      <c r="E362" s="17" t="str" cm="1">
        <f t="array" ref="E362">IF(C362=0,"",
HYPERLINK(
"#'2026 Orders'!C"&amp;
MATCH(1,
('2026 Orders'!C:C=C362)*
('2026 Orders'!G:G=G362)*
('2026 Orders'!N:N=N362),
0),
"Open "&amp;C362
))</f>
        <v>Open A4692</v>
      </c>
      <c r="F362" s="14">
        <f>'[1]2026 Orders'!F363</f>
        <v>0</v>
      </c>
      <c r="G362" s="14" t="str">
        <f>'[1]2026 Orders'!G363</f>
        <v>MOTILMX-60-CS-LY</v>
      </c>
      <c r="H362" s="14" t="str" cm="1">
        <f t="array" ref="H362">IFERROR(_xlfn.TEXTJOIN("-",,INDEX(_xlfn.TEXTSPLIT(TableTake[[#This Row],[SKU]],"-"),{1,2})),"")</f>
        <v>MOTILMX-60</v>
      </c>
      <c r="I362" s="15" t="str">
        <f>IFERROR(_xlfn.TEXTAFTER(TableTake[[#This Row],[SKU]],"-",-1),"")</f>
        <v>LY</v>
      </c>
      <c r="J362" s="14">
        <f>'[1]2026 Orders'!H363</f>
        <v>1500</v>
      </c>
      <c r="K362" t="str">
        <f>'[1]2026 Orders'!I363</f>
        <v>LY31-26.0</v>
      </c>
      <c r="L362">
        <f>'[1]2026 Orders'!J363</f>
        <v>1500</v>
      </c>
      <c r="N362" s="10" t="str">
        <f>'[1]2026 Orders'!L363</f>
        <v>Picked</v>
      </c>
      <c r="O362">
        <f>'[1]2026 Orders'!M363</f>
        <v>0</v>
      </c>
      <c r="P362" t="str">
        <f>'[1]2026 Orders'!N363</f>
        <v>NA</v>
      </c>
      <c r="Q362">
        <f>'[1]2026 Orders'!O363</f>
        <v>604776739067</v>
      </c>
      <c r="R362">
        <f>'[1]2026 Orders'!P363</f>
        <v>0</v>
      </c>
      <c r="S362">
        <f>'[1]2026 Orders'!Q363</f>
        <v>0</v>
      </c>
      <c r="T362">
        <f>'[1]2026 Orders'!R363</f>
        <v>0</v>
      </c>
      <c r="U362">
        <f>'[1]2026 Orders'!S363</f>
        <v>0</v>
      </c>
      <c r="V362">
        <f>'[1]2026 Orders'!T363</f>
        <v>0</v>
      </c>
      <c r="W362">
        <f>'[1]2026 Orders'!U363</f>
        <v>0</v>
      </c>
      <c r="X362">
        <f>'[1]2026 Orders'!V363</f>
        <v>0</v>
      </c>
      <c r="Y362">
        <f>'[1]2026 Orders'!W363</f>
        <v>0</v>
      </c>
      <c r="Z362">
        <f>'[1]2026 Orders'!X363</f>
        <v>0</v>
      </c>
      <c r="AC362" t="str">
        <f t="shared" si="10"/>
        <v>1500/</v>
      </c>
      <c r="AD362" t="e">
        <f t="shared" si="11"/>
        <v>#VALUE!</v>
      </c>
    </row>
    <row r="363" spans="1:30" ht="33" hidden="1" customHeight="1" x14ac:dyDescent="0.3">
      <c r="A363">
        <f>'[1]2026 Orders'!A364</f>
        <v>46134</v>
      </c>
      <c r="B363" s="14" t="str">
        <f>'[1]2026 Orders'!B364</f>
        <v>Libya</v>
      </c>
      <c r="C363" s="14" t="str">
        <f>'[1]2026 Orders'!C364</f>
        <v>A4692</v>
      </c>
      <c r="D363" s="14">
        <f>'[1]2026 Orders'!D364</f>
        <v>0</v>
      </c>
      <c r="E363" s="17" t="str" cm="1">
        <f t="array" ref="E363">IF(C363=0,"",
HYPERLINK(
"#'2026 Orders'!C"&amp;
MATCH(1,
('2026 Orders'!C:C=C363)*
('2026 Orders'!G:G=G363)*
('2026 Orders'!N:N=N363),
0),
"Open "&amp;C363
))</f>
        <v>Open A4692</v>
      </c>
      <c r="F363" s="14">
        <f>'[1]2026 Orders'!F364</f>
        <v>0</v>
      </c>
      <c r="G363" s="14" t="str">
        <f>'[1]2026 Orders'!G364</f>
        <v>OVAMAX-120-CS-LY</v>
      </c>
      <c r="H363" s="14" t="str" cm="1">
        <f t="array" ref="H363">IFERROR(_xlfn.TEXTJOIN("-",,INDEX(_xlfn.TEXTSPLIT(TableTake[[#This Row],[SKU]],"-"),{1,2})),"")</f>
        <v>OVAMAX-120</v>
      </c>
      <c r="I363" s="15" t="str">
        <f>IFERROR(_xlfn.TEXTAFTER(TableTake[[#This Row],[SKU]],"-",-1),"")</f>
        <v>LY</v>
      </c>
      <c r="J363" s="14">
        <f>'[1]2026 Orders'!H364</f>
        <v>1500</v>
      </c>
      <c r="K363" t="str">
        <f>'[1]2026 Orders'!I364</f>
        <v>LY41-24.0</v>
      </c>
      <c r="L363">
        <f>'[1]2026 Orders'!J364</f>
        <v>1500</v>
      </c>
      <c r="N363" s="10" t="str">
        <f>'[1]2026 Orders'!L364</f>
        <v>In Production</v>
      </c>
      <c r="O363">
        <f>'[1]2026 Orders'!M364</f>
        <v>0</v>
      </c>
      <c r="P363" t="str">
        <f>'[1]2026 Orders'!N364</f>
        <v>NA</v>
      </c>
      <c r="Q363">
        <f>'[1]2026 Orders'!O364</f>
        <v>609788968399</v>
      </c>
      <c r="R363">
        <f>'[1]2026 Orders'!P364</f>
        <v>10775</v>
      </c>
      <c r="S363">
        <f>'[1]2026 Orders'!Q364</f>
        <v>5055</v>
      </c>
      <c r="T363">
        <f>'[1]2026 Orders'!R364</f>
        <v>46213</v>
      </c>
      <c r="U363">
        <f>'[1]2026 Orders'!S364</f>
        <v>0</v>
      </c>
      <c r="V363">
        <f>'[1]2026 Orders'!T364</f>
        <v>0</v>
      </c>
      <c r="W363">
        <f>'[1]2026 Orders'!U364</f>
        <v>0</v>
      </c>
      <c r="X363">
        <f>'[1]2026 Orders'!V364</f>
        <v>0</v>
      </c>
      <c r="Y363">
        <f>'[1]2026 Orders'!W364</f>
        <v>0</v>
      </c>
      <c r="Z363">
        <f>'[1]2026 Orders'!X364</f>
        <v>0</v>
      </c>
      <c r="AC363" t="str">
        <f t="shared" si="10"/>
        <v>1500/</v>
      </c>
      <c r="AD363" t="e">
        <f t="shared" si="11"/>
        <v>#VALUE!</v>
      </c>
    </row>
    <row r="364" spans="1:30" ht="33" hidden="1" customHeight="1" x14ac:dyDescent="0.3">
      <c r="A364">
        <f>'[1]2026 Orders'!A365</f>
        <v>46134</v>
      </c>
      <c r="B364" s="14" t="str">
        <f>'[1]2026 Orders'!B365</f>
        <v>Libya</v>
      </c>
      <c r="C364" s="14" t="str">
        <f>'[1]2026 Orders'!C365</f>
        <v>A4692</v>
      </c>
      <c r="D364" s="14">
        <f>'[1]2026 Orders'!D365</f>
        <v>0</v>
      </c>
      <c r="E364" s="17" t="str" cm="1">
        <f t="array" ref="E364">IF(C364=0,"",
HYPERLINK(
"#'2026 Orders'!C"&amp;
MATCH(1,
('2026 Orders'!C:C=C364)*
('2026 Orders'!G:G=G364)*
('2026 Orders'!N:N=N364),
0),
"Open "&amp;C364
))</f>
        <v>Open A4692</v>
      </c>
      <c r="F364" s="14">
        <f>'[1]2026 Orders'!F365</f>
        <v>0</v>
      </c>
      <c r="G364" s="14" t="str">
        <f>'[1]2026 Orders'!G365</f>
        <v>POLYSIT-90-CS-LY</v>
      </c>
      <c r="H364" s="14" t="str" cm="1">
        <f t="array" ref="H364">IFERROR(_xlfn.TEXTJOIN("-",,INDEX(_xlfn.TEXTSPLIT(TableTake[[#This Row],[SKU]],"-"),{1,2})),"")</f>
        <v>POLYSIT-90</v>
      </c>
      <c r="I364" s="15" t="str">
        <f>IFERROR(_xlfn.TEXTAFTER(TableTake[[#This Row],[SKU]],"-",-1),"")</f>
        <v>LY</v>
      </c>
      <c r="J364" s="14">
        <f>'[1]2026 Orders'!H365</f>
        <v>300</v>
      </c>
      <c r="K364" t="str">
        <f>'[1]2026 Orders'!I365</f>
        <v>LY53-24.0</v>
      </c>
      <c r="L364">
        <f>'[1]2026 Orders'!J365</f>
        <v>0</v>
      </c>
      <c r="N364" s="10" t="str">
        <f>'[1]2026 Orders'!L365</f>
        <v>In Production</v>
      </c>
      <c r="O364">
        <f>'[1]2026 Orders'!M365</f>
        <v>0</v>
      </c>
      <c r="P364" t="str">
        <f>'[1]2026 Orders'!N365</f>
        <v>Y</v>
      </c>
      <c r="Q364">
        <f>'[1]2026 Orders'!O365</f>
        <v>604776739203</v>
      </c>
      <c r="R364">
        <f>'[1]2026 Orders'!P365</f>
        <v>5000</v>
      </c>
      <c r="S364">
        <f>'[1]2026 Orders'!Q365</f>
        <v>5034</v>
      </c>
      <c r="T364">
        <f>'[1]2026 Orders'!R365</f>
        <v>46204</v>
      </c>
      <c r="U364">
        <f>'[1]2026 Orders'!S365</f>
        <v>0</v>
      </c>
      <c r="V364">
        <f>'[1]2026 Orders'!T365</f>
        <v>0</v>
      </c>
      <c r="W364">
        <f>'[1]2026 Orders'!U365</f>
        <v>0</v>
      </c>
      <c r="X364">
        <f>'[1]2026 Orders'!V365</f>
        <v>0</v>
      </c>
      <c r="Y364">
        <f>'[1]2026 Orders'!W365</f>
        <v>0</v>
      </c>
      <c r="Z364">
        <f>'[1]2026 Orders'!X365</f>
        <v>0</v>
      </c>
      <c r="AC364" t="str">
        <f t="shared" si="10"/>
        <v>300/</v>
      </c>
      <c r="AD364" t="e">
        <f t="shared" si="11"/>
        <v>#VALUE!</v>
      </c>
    </row>
    <row r="365" spans="1:30" ht="33" hidden="1" customHeight="1" x14ac:dyDescent="0.3">
      <c r="A365">
        <f>'[1]2026 Orders'!A366</f>
        <v>46134</v>
      </c>
      <c r="B365" s="14" t="str">
        <f>'[1]2026 Orders'!B366</f>
        <v>Libya</v>
      </c>
      <c r="C365" s="14" t="str">
        <f>'[1]2026 Orders'!C366</f>
        <v>A4692</v>
      </c>
      <c r="D365" s="14">
        <f>'[1]2026 Orders'!D366</f>
        <v>0</v>
      </c>
      <c r="E365" s="17" t="str" cm="1">
        <f t="array" ref="E365">IF(C365=0,"",
HYPERLINK(
"#'2026 Orders'!C"&amp;
MATCH(1,
('2026 Orders'!C:C=C365)*
('2026 Orders'!G:G=G365)*
('2026 Orders'!N:N=N365),
0),
"Open "&amp;C365
))</f>
        <v>Open A4692</v>
      </c>
      <c r="F365" s="14">
        <f>'[1]2026 Orders'!F366</f>
        <v>0</v>
      </c>
      <c r="G365" s="14" t="str">
        <f>'[1]2026 Orders'!G366</f>
        <v>PENAMAX-60-GE-FD</v>
      </c>
      <c r="H365" s="14" t="str" cm="1">
        <f t="array" ref="H365">IFERROR(_xlfn.TEXTJOIN("-",,INDEX(_xlfn.TEXTSPLIT(TableTake[[#This Row],[SKU]],"-"),{1,2})),"")</f>
        <v>PENAMAX-60</v>
      </c>
      <c r="I365" s="15" t="str">
        <f>IFERROR(_xlfn.TEXTAFTER(TableTake[[#This Row],[SKU]],"-",-1),"")</f>
        <v>FD</v>
      </c>
      <c r="J365" s="14">
        <f>'[1]2026 Orders'!H366</f>
        <v>800</v>
      </c>
      <c r="K365" t="str">
        <f>'[1]2026 Orders'!I366</f>
        <v>F88-25.1</v>
      </c>
      <c r="L365">
        <f>'[1]2026 Orders'!J366</f>
        <v>800</v>
      </c>
      <c r="N365" s="10" t="str">
        <f>'[1]2026 Orders'!L366</f>
        <v>Rework</v>
      </c>
      <c r="O365">
        <f>'[1]2026 Orders'!M366</f>
        <v>0</v>
      </c>
      <c r="P365" t="str">
        <f>'[1]2026 Orders'!N366</f>
        <v>Y</v>
      </c>
      <c r="Q365">
        <f>'[1]2026 Orders'!O366</f>
        <v>609788968702</v>
      </c>
      <c r="R365">
        <f>'[1]2026 Orders'!P366</f>
        <v>0</v>
      </c>
      <c r="S365">
        <f>'[1]2026 Orders'!Q366</f>
        <v>0</v>
      </c>
      <c r="T365">
        <f>'[1]2026 Orders'!R366</f>
        <v>0</v>
      </c>
      <c r="U365">
        <f>'[1]2026 Orders'!S366</f>
        <v>0</v>
      </c>
      <c r="V365">
        <f>'[1]2026 Orders'!T366</f>
        <v>0</v>
      </c>
      <c r="W365">
        <f>'[1]2026 Orders'!U366</f>
        <v>0</v>
      </c>
      <c r="X365">
        <f>'[1]2026 Orders'!V366</f>
        <v>0</v>
      </c>
      <c r="Y365">
        <f>'[1]2026 Orders'!W366</f>
        <v>0</v>
      </c>
      <c r="Z365">
        <f>'[1]2026 Orders'!X366</f>
        <v>0</v>
      </c>
      <c r="AC365" t="str">
        <f t="shared" si="10"/>
        <v>800/</v>
      </c>
      <c r="AD365" t="e">
        <f t="shared" si="11"/>
        <v>#VALUE!</v>
      </c>
    </row>
    <row r="366" spans="1:30" ht="33" hidden="1" customHeight="1" x14ac:dyDescent="0.3">
      <c r="A366">
        <f>'[1]2026 Orders'!A367</f>
        <v>46134</v>
      </c>
      <c r="B366" s="14" t="str">
        <f>'[1]2026 Orders'!B367</f>
        <v>Libya</v>
      </c>
      <c r="C366" s="14" t="str">
        <f>'[1]2026 Orders'!C367</f>
        <v>A4692</v>
      </c>
      <c r="D366" s="14">
        <f>'[1]2026 Orders'!D367</f>
        <v>0</v>
      </c>
      <c r="E366" s="17" t="str" cm="1">
        <f t="array" ref="E366">IF(C366=0,"",
HYPERLINK(
"#'2026 Orders'!C"&amp;
MATCH(1,
('2026 Orders'!C:C=C366)*
('2026 Orders'!G:G=G366)*
('2026 Orders'!N:N=N366),
0),
"Open "&amp;C366
))</f>
        <v>Open A4692</v>
      </c>
      <c r="F366" s="14">
        <f>'[1]2026 Orders'!F367</f>
        <v>0</v>
      </c>
      <c r="G366" s="14" t="str">
        <f>'[1]2026 Orders'!G367</f>
        <v>WFSPLS-180-CS-LY</v>
      </c>
      <c r="H366" s="14" t="str" cm="1">
        <f t="array" ref="H366">IFERROR(_xlfn.TEXTJOIN("-",,INDEX(_xlfn.TEXTSPLIT(TableTake[[#This Row],[SKU]],"-"),{1,2})),"")</f>
        <v>WFSPLS-180</v>
      </c>
      <c r="I366" s="15" t="str">
        <f>IFERROR(_xlfn.TEXTAFTER(TableTake[[#This Row],[SKU]],"-",-1),"")</f>
        <v>LY</v>
      </c>
      <c r="J366" s="14">
        <f>'[1]2026 Orders'!H367</f>
        <v>500</v>
      </c>
      <c r="K366" t="str">
        <f>'[1]2026 Orders'!I367</f>
        <v>LY73-24.0</v>
      </c>
      <c r="L366">
        <f>'[1]2026 Orders'!J367</f>
        <v>0</v>
      </c>
      <c r="N366" s="10" t="str">
        <f>'[1]2026 Orders'!L367</f>
        <v>PO Drafted</v>
      </c>
      <c r="O366">
        <f>'[1]2026 Orders'!M367</f>
        <v>0</v>
      </c>
      <c r="P366" t="str">
        <f>'[1]2026 Orders'!N367</f>
        <v>NA</v>
      </c>
      <c r="Q366">
        <f>'[1]2026 Orders'!O367</f>
        <v>604776739142</v>
      </c>
      <c r="R366">
        <f>'[1]2026 Orders'!P367</f>
        <v>5000</v>
      </c>
      <c r="S366">
        <f>'[1]2026 Orders'!Q367</f>
        <v>5043</v>
      </c>
      <c r="T366" t="str">
        <f>'[1]2026 Orders'!R367</f>
        <v>TBD</v>
      </c>
      <c r="U366" t="str">
        <f>'[1]2026 Orders'!S367</f>
        <v>Pending approval to send to vendor</v>
      </c>
      <c r="V366">
        <f>'[1]2026 Orders'!T367</f>
        <v>0</v>
      </c>
      <c r="W366">
        <f>'[1]2026 Orders'!U367</f>
        <v>0</v>
      </c>
      <c r="X366">
        <f>'[1]2026 Orders'!V367</f>
        <v>0</v>
      </c>
      <c r="Y366">
        <f>'[1]2026 Orders'!W367</f>
        <v>0</v>
      </c>
      <c r="Z366">
        <f>'[1]2026 Orders'!X367</f>
        <v>0</v>
      </c>
      <c r="AC366" t="str">
        <f t="shared" si="10"/>
        <v>500/</v>
      </c>
      <c r="AD366" t="e">
        <f t="shared" si="11"/>
        <v>#VALUE!</v>
      </c>
    </row>
    <row r="367" spans="1:30" ht="33" hidden="1" customHeight="1" x14ac:dyDescent="0.3">
      <c r="A367">
        <f>'[1]2026 Orders'!A368</f>
        <v>46134</v>
      </c>
      <c r="B367" s="14" t="str">
        <f>'[1]2026 Orders'!B368</f>
        <v>Libya</v>
      </c>
      <c r="C367" s="14" t="str">
        <f>'[1]2026 Orders'!C368</f>
        <v>A4692</v>
      </c>
      <c r="D367" s="14">
        <f>'[1]2026 Orders'!D368</f>
        <v>0</v>
      </c>
      <c r="E367" s="17" t="str" cm="1">
        <f t="array" ref="E367">IF(C367=0,"",
HYPERLINK(
"#'2026 Orders'!C"&amp;
MATCH(1,
('2026 Orders'!C:C=C367)*
('2026 Orders'!G:G=G367)*
('2026 Orders'!N:N=N367),
0),
"Open "&amp;C367
))</f>
        <v>Open A4692</v>
      </c>
      <c r="F367" s="14">
        <f>'[1]2026 Orders'!F368</f>
        <v>0</v>
      </c>
      <c r="G367" s="14" t="str">
        <f>'[1]2026 Orders'!G368</f>
        <v>SPERMCT-60-CS-LY</v>
      </c>
      <c r="H367" s="14" t="str" cm="1">
        <f t="array" ref="H367">IFERROR(_xlfn.TEXTJOIN("-",,INDEX(_xlfn.TEXTSPLIT(TableTake[[#This Row],[SKU]],"-"),{1,2})),"")</f>
        <v>SPERMCT-60</v>
      </c>
      <c r="I367" s="15" t="str">
        <f>IFERROR(_xlfn.TEXTAFTER(TableTake[[#This Row],[SKU]],"-",-1),"")</f>
        <v>LY</v>
      </c>
      <c r="J367" s="14">
        <f>'[1]2026 Orders'!H368</f>
        <v>200</v>
      </c>
      <c r="K367" t="str">
        <f>'[1]2026 Orders'!I368</f>
        <v>LY64-24.0</v>
      </c>
      <c r="L367">
        <f>'[1]2026 Orders'!J368</f>
        <v>200</v>
      </c>
      <c r="N367" s="10" t="str">
        <f>'[1]2026 Orders'!L368</f>
        <v>Rework</v>
      </c>
      <c r="O367">
        <f>'[1]2026 Orders'!M368</f>
        <v>0</v>
      </c>
      <c r="P367" t="str">
        <f>'[1]2026 Orders'!N368</f>
        <v>NA</v>
      </c>
      <c r="Q367">
        <f>'[1]2026 Orders'!O368</f>
        <v>604776739128</v>
      </c>
      <c r="R367">
        <f>'[1]2026 Orders'!P368</f>
        <v>0</v>
      </c>
      <c r="S367">
        <f>'[1]2026 Orders'!Q368</f>
        <v>0</v>
      </c>
      <c r="T367">
        <f>'[1]2026 Orders'!R368</f>
        <v>0</v>
      </c>
      <c r="U367">
        <f>'[1]2026 Orders'!S368</f>
        <v>0</v>
      </c>
      <c r="V367">
        <f>'[1]2026 Orders'!T368</f>
        <v>0</v>
      </c>
      <c r="W367">
        <f>'[1]2026 Orders'!U368</f>
        <v>0</v>
      </c>
      <c r="X367">
        <f>'[1]2026 Orders'!V368</f>
        <v>0</v>
      </c>
      <c r="Y367">
        <f>'[1]2026 Orders'!W368</f>
        <v>0</v>
      </c>
      <c r="Z367">
        <f>'[1]2026 Orders'!X368</f>
        <v>0</v>
      </c>
      <c r="AC367" t="str">
        <f t="shared" si="10"/>
        <v>200/</v>
      </c>
      <c r="AD367" t="e">
        <f t="shared" si="11"/>
        <v>#VALUE!</v>
      </c>
    </row>
    <row r="368" spans="1:30" ht="33" hidden="1" customHeight="1" x14ac:dyDescent="0.3">
      <c r="A368">
        <f>'[1]2026 Orders'!A369</f>
        <v>46134</v>
      </c>
      <c r="B368" s="14" t="str">
        <f>'[1]2026 Orders'!B369</f>
        <v>Libya</v>
      </c>
      <c r="C368" s="14" t="str">
        <f>'[1]2026 Orders'!C369</f>
        <v>A4692</v>
      </c>
      <c r="D368" s="14">
        <f>'[1]2026 Orders'!D369</f>
        <v>0</v>
      </c>
      <c r="E368" s="17" t="str" cm="1">
        <f t="array" ref="E368">IF(C368=0,"",
HYPERLINK(
"#'2026 Orders'!C"&amp;
MATCH(1,
('2026 Orders'!C:C=C368)*
('2026 Orders'!G:G=G368)*
('2026 Orders'!N:N=N368),
0),
"Open "&amp;C368
))</f>
        <v>Open A4692</v>
      </c>
      <c r="F368" s="14">
        <f>'[1]2026 Orders'!F369</f>
        <v>0</v>
      </c>
      <c r="G368" s="14" t="str">
        <f>'[1]2026 Orders'!G369</f>
        <v>GRAVFER-90-CS-GO</v>
      </c>
      <c r="H368" s="14" t="str" cm="1">
        <f t="array" ref="H368">IFERROR(_xlfn.TEXTJOIN("-",,INDEX(_xlfn.TEXTSPLIT(TableTake[[#This Row],[SKU]],"-"),{1,2})),"")</f>
        <v>GRAVFER-90</v>
      </c>
      <c r="I368" s="15" t="str">
        <f>IFERROR(_xlfn.TEXTAFTER(TableTake[[#This Row],[SKU]],"-",-1),"")</f>
        <v>GO</v>
      </c>
      <c r="J368" s="14">
        <f>'[1]2026 Orders'!H369</f>
        <v>1000</v>
      </c>
      <c r="K368" t="str">
        <f>'[1]2026 Orders'!I369</f>
        <v>GO21-24.0</v>
      </c>
      <c r="L368">
        <f>'[1]2026 Orders'!J369</f>
        <v>0</v>
      </c>
      <c r="N368" s="10" t="str">
        <f>'[1]2026 Orders'!L369</f>
        <v>Not Meet MOQ</v>
      </c>
      <c r="O368">
        <f>'[1]2026 Orders'!M369</f>
        <v>0</v>
      </c>
      <c r="P368">
        <f>'[1]2026 Orders'!N369</f>
        <v>0</v>
      </c>
      <c r="Q368">
        <f>'[1]2026 Orders'!O369</f>
        <v>0</v>
      </c>
      <c r="R368">
        <f>'[1]2026 Orders'!P369</f>
        <v>0</v>
      </c>
      <c r="S368">
        <f>'[1]2026 Orders'!Q369</f>
        <v>0</v>
      </c>
      <c r="T368">
        <f>'[1]2026 Orders'!R369</f>
        <v>0</v>
      </c>
      <c r="U368">
        <f>'[1]2026 Orders'!S369</f>
        <v>0</v>
      </c>
      <c r="V368">
        <f>'[1]2026 Orders'!T369</f>
        <v>0</v>
      </c>
      <c r="W368">
        <f>'[1]2026 Orders'!U369</f>
        <v>0</v>
      </c>
      <c r="X368">
        <f>'[1]2026 Orders'!V369</f>
        <v>0</v>
      </c>
      <c r="Y368">
        <f>'[1]2026 Orders'!W369</f>
        <v>0</v>
      </c>
      <c r="Z368">
        <f>'[1]2026 Orders'!X369</f>
        <v>0</v>
      </c>
      <c r="AC368" t="str">
        <f t="shared" si="10"/>
        <v>1000/</v>
      </c>
      <c r="AD368" t="e">
        <f t="shared" si="11"/>
        <v>#VALUE!</v>
      </c>
    </row>
    <row r="369" spans="1:30" ht="33" hidden="1" customHeight="1" x14ac:dyDescent="0.3">
      <c r="A369">
        <f>'[1]2026 Orders'!A370</f>
        <v>46134</v>
      </c>
      <c r="B369" s="14" t="str">
        <f>'[1]2026 Orders'!B370</f>
        <v>Libya</v>
      </c>
      <c r="C369" s="14" t="str">
        <f>'[1]2026 Orders'!C370</f>
        <v>A4692</v>
      </c>
      <c r="D369" s="14">
        <f>'[1]2026 Orders'!D370</f>
        <v>0</v>
      </c>
      <c r="E369" s="17" t="str" cm="1">
        <f t="array" ref="E369">IF(C369=0,"",
HYPERLINK(
"#'2026 Orders'!C"&amp;
MATCH(1,
('2026 Orders'!C:C=C369)*
('2026 Orders'!G:G=G369)*
('2026 Orders'!N:N=N369),
0),
"Open "&amp;C369
))</f>
        <v>Open A4692</v>
      </c>
      <c r="F369" s="14">
        <f>'[1]2026 Orders'!F370</f>
        <v>0</v>
      </c>
      <c r="G369" s="14" t="str">
        <f>'[1]2026 Orders'!G370</f>
        <v>LIPODIS-60-FD</v>
      </c>
      <c r="H369" s="14" t="str" cm="1">
        <f t="array" ref="H369">IFERROR(_xlfn.TEXTJOIN("-",,INDEX(_xlfn.TEXTSPLIT(TableTake[[#This Row],[SKU]],"-"),{1,2})),"")</f>
        <v>LIPODIS-60</v>
      </c>
      <c r="I369" s="15" t="str">
        <f>IFERROR(_xlfn.TEXTAFTER(TableTake[[#This Row],[SKU]],"-",-1),"")</f>
        <v>FD</v>
      </c>
      <c r="J369" s="14">
        <f>'[1]2026 Orders'!H370</f>
        <v>800</v>
      </c>
      <c r="K369" t="str">
        <f>'[1]2026 Orders'!I370</f>
        <v>F26-22.0</v>
      </c>
      <c r="L369">
        <f>'[1]2026 Orders'!J370</f>
        <v>779</v>
      </c>
      <c r="N369" s="10" t="str">
        <f>'[1]2026 Orders'!L370</f>
        <v>Rework</v>
      </c>
      <c r="O369">
        <f>'[1]2026 Orders'!M370</f>
        <v>0</v>
      </c>
      <c r="P369" t="str">
        <f>'[1]2026 Orders'!N370</f>
        <v>Y</v>
      </c>
      <c r="Q369" t="str">
        <f>'[1]2026 Orders'!O370</f>
        <v>604776735823</v>
      </c>
      <c r="R369">
        <f>'[1]2026 Orders'!P370</f>
        <v>7000</v>
      </c>
      <c r="S369">
        <f>'[1]2026 Orders'!Q370</f>
        <v>4971</v>
      </c>
      <c r="T369" t="str">
        <f>'[1]2026 Orders'!R370</f>
        <v>Complete</v>
      </c>
      <c r="U369" t="str">
        <f>'[1]2026 Orders'!S370</f>
        <v>Waiting for PL and sample approval</v>
      </c>
      <c r="V369">
        <f>'[1]2026 Orders'!T370</f>
        <v>0</v>
      </c>
      <c r="W369">
        <f>'[1]2026 Orders'!U370</f>
        <v>0</v>
      </c>
      <c r="X369">
        <f>'[1]2026 Orders'!V370</f>
        <v>0</v>
      </c>
      <c r="Y369">
        <f>'[1]2026 Orders'!W370</f>
        <v>0</v>
      </c>
      <c r="Z369">
        <f>'[1]2026 Orders'!X370</f>
        <v>0</v>
      </c>
      <c r="AC369" t="str">
        <f t="shared" si="10"/>
        <v>800/</v>
      </c>
      <c r="AD369" t="e">
        <f t="shared" si="11"/>
        <v>#VALUE!</v>
      </c>
    </row>
    <row r="370" spans="1:30" ht="33" hidden="1" customHeight="1" x14ac:dyDescent="0.3">
      <c r="A370">
        <f>'[1]2026 Orders'!A371</f>
        <v>46134</v>
      </c>
      <c r="B370" s="14" t="str">
        <f>'[1]2026 Orders'!B371</f>
        <v>Libya</v>
      </c>
      <c r="C370" s="14" t="str">
        <f>'[1]2026 Orders'!C371</f>
        <v>A4692</v>
      </c>
      <c r="D370" s="14">
        <f>'[1]2026 Orders'!D371</f>
        <v>0</v>
      </c>
      <c r="E370" s="17" t="str" cm="1">
        <f t="array" ref="E370">IF(C370=0,"",
HYPERLINK(
"#'2026 Orders'!C"&amp;
MATCH(1,
('2026 Orders'!C:C=C370)*
('2026 Orders'!G:G=G370)*
('2026 Orders'!N:N=N370),
0),
"Open "&amp;C370
))</f>
        <v>Open A4692</v>
      </c>
      <c r="F370" s="14">
        <f>'[1]2026 Orders'!F371</f>
        <v>0</v>
      </c>
      <c r="G370" s="14" t="str">
        <f>'[1]2026 Orders'!G371</f>
        <v>OSTEOPL-96-FD</v>
      </c>
      <c r="H370" s="14" t="str" cm="1">
        <f t="array" ref="H370">IFERROR(_xlfn.TEXTJOIN("-",,INDEX(_xlfn.TEXTSPLIT(TableTake[[#This Row],[SKU]],"-"),{1,2})),"")</f>
        <v>OSTEOPL-96</v>
      </c>
      <c r="I370" s="15" t="str">
        <f>IFERROR(_xlfn.TEXTAFTER(TableTake[[#This Row],[SKU]],"-",-1),"")</f>
        <v>FD</v>
      </c>
      <c r="J370" s="14">
        <f>'[1]2026 Orders'!H371</f>
        <v>300</v>
      </c>
      <c r="K370" t="str">
        <f>'[1]2026 Orders'!I371</f>
        <v>F39-24.0</v>
      </c>
      <c r="L370">
        <f>'[1]2026 Orders'!J371</f>
        <v>300</v>
      </c>
      <c r="N370" s="10" t="str">
        <f>'[1]2026 Orders'!L371</f>
        <v>Rework</v>
      </c>
      <c r="O370">
        <f>'[1]2026 Orders'!M371</f>
        <v>0</v>
      </c>
      <c r="P370" t="str">
        <f>'[1]2026 Orders'!N371</f>
        <v>Y</v>
      </c>
      <c r="Q370" t="str">
        <f>'[1]2026 Orders'!O371</f>
        <v>609788968238</v>
      </c>
      <c r="R370">
        <f>'[1]2026 Orders'!P371</f>
        <v>0</v>
      </c>
      <c r="S370">
        <f>'[1]2026 Orders'!Q371</f>
        <v>0</v>
      </c>
      <c r="T370">
        <f>'[1]2026 Orders'!R371</f>
        <v>0</v>
      </c>
      <c r="U370">
        <f>'[1]2026 Orders'!S371</f>
        <v>0</v>
      </c>
      <c r="V370">
        <f>'[1]2026 Orders'!T371</f>
        <v>0</v>
      </c>
      <c r="W370">
        <f>'[1]2026 Orders'!U371</f>
        <v>0</v>
      </c>
      <c r="X370">
        <f>'[1]2026 Orders'!V371</f>
        <v>0</v>
      </c>
      <c r="Y370">
        <f>'[1]2026 Orders'!W371</f>
        <v>0</v>
      </c>
      <c r="Z370">
        <f>'[1]2026 Orders'!X371</f>
        <v>0</v>
      </c>
      <c r="AC370" t="str">
        <f t="shared" si="10"/>
        <v>300/</v>
      </c>
      <c r="AD370" t="e">
        <f t="shared" si="11"/>
        <v>#VALUE!</v>
      </c>
    </row>
    <row r="371" spans="1:30" ht="33" hidden="1" customHeight="1" x14ac:dyDescent="0.3">
      <c r="A371">
        <f>'[1]2026 Orders'!A372</f>
        <v>46134</v>
      </c>
      <c r="B371" s="14" t="str">
        <f>'[1]2026 Orders'!B372</f>
        <v>Libya</v>
      </c>
      <c r="C371" s="14" t="str">
        <f>'[1]2026 Orders'!C372</f>
        <v>A4692</v>
      </c>
      <c r="D371" s="14">
        <f>'[1]2026 Orders'!D372</f>
        <v>0</v>
      </c>
      <c r="E371" s="17" t="str" cm="1">
        <f t="array" ref="E371">IF(C371=0,"",
HYPERLINK(
"#'2026 Orders'!C"&amp;
MATCH(1,
('2026 Orders'!C:C=C371)*
('2026 Orders'!G:G=G371)*
('2026 Orders'!N:N=N371),
0),
"Open "&amp;C371
))</f>
        <v>Open A4692</v>
      </c>
      <c r="F371" s="14">
        <f>'[1]2026 Orders'!F372</f>
        <v>0</v>
      </c>
      <c r="G371" s="14" t="str">
        <f>'[1]2026 Orders'!G372</f>
        <v xml:space="preserve">UTIC-60-FD </v>
      </c>
      <c r="H371" s="14" t="str" cm="1">
        <f t="array" ref="H371">IFERROR(_xlfn.TEXTJOIN("-",,INDEX(_xlfn.TEXTSPLIT(TableTake[[#This Row],[SKU]],"-"),{1,2})),"")</f>
        <v>UTIC-60</v>
      </c>
      <c r="I371" s="15" t="str">
        <f>IFERROR(_xlfn.TEXTAFTER(TableTake[[#This Row],[SKU]],"-",-1),"")</f>
        <v xml:space="preserve">FD </v>
      </c>
      <c r="J371" s="14">
        <f>'[1]2026 Orders'!H372</f>
        <v>500</v>
      </c>
      <c r="K371" t="str">
        <f>'[1]2026 Orders'!I372</f>
        <v>F107-25.0</v>
      </c>
      <c r="L371">
        <f>'[1]2026 Orders'!J372</f>
        <v>0</v>
      </c>
      <c r="N371" s="10" t="str">
        <f>'[1]2026 Orders'!L372</f>
        <v>Rework</v>
      </c>
      <c r="O371">
        <f>'[1]2026 Orders'!M372</f>
        <v>0</v>
      </c>
      <c r="P371" t="str">
        <f>'[1]2026 Orders'!N372</f>
        <v>NA</v>
      </c>
      <c r="Q371" t="str">
        <f>'[1]2026 Orders'!O372</f>
        <v>810131192983</v>
      </c>
      <c r="R371">
        <f>'[1]2026 Orders'!P372</f>
        <v>4000</v>
      </c>
      <c r="S371">
        <f>'[1]2026 Orders'!Q372</f>
        <v>4973</v>
      </c>
      <c r="T371" t="str">
        <f>'[1]2026 Orders'!R372</f>
        <v>Complete</v>
      </c>
      <c r="U371" t="str">
        <f>'[1]2026 Orders'!S372</f>
        <v>Waiting for PL and sample approval</v>
      </c>
      <c r="V371">
        <f>'[1]2026 Orders'!T372</f>
        <v>0</v>
      </c>
      <c r="W371">
        <f>'[1]2026 Orders'!U372</f>
        <v>0</v>
      </c>
      <c r="X371">
        <f>'[1]2026 Orders'!V372</f>
        <v>0</v>
      </c>
      <c r="Y371">
        <f>'[1]2026 Orders'!W372</f>
        <v>0</v>
      </c>
      <c r="Z371">
        <f>'[1]2026 Orders'!X372</f>
        <v>0</v>
      </c>
      <c r="AC371" t="str">
        <f t="shared" si="10"/>
        <v>500/</v>
      </c>
      <c r="AD371" t="e">
        <f t="shared" si="11"/>
        <v>#VALUE!</v>
      </c>
    </row>
    <row r="372" spans="1:30" ht="33" hidden="1" customHeight="1" x14ac:dyDescent="0.3">
      <c r="A372">
        <f>'[1]2026 Orders'!A373</f>
        <v>46134</v>
      </c>
      <c r="B372" s="14" t="str">
        <f>'[1]2026 Orders'!B373</f>
        <v>Libya</v>
      </c>
      <c r="C372" s="14" t="str">
        <f>'[1]2026 Orders'!C373</f>
        <v>A4692</v>
      </c>
      <c r="D372" s="14">
        <f>'[1]2026 Orders'!D373</f>
        <v>0</v>
      </c>
      <c r="E372" s="17" t="str" cm="1">
        <f t="array" ref="E372">IF(C372=0,"",
HYPERLINK(
"#'2026 Orders'!C"&amp;
MATCH(1,
('2026 Orders'!C:C=C372)*
('2026 Orders'!G:G=G372)*
('2026 Orders'!N:N=N372),
0),
"Open "&amp;C372
))</f>
        <v>Open A4692</v>
      </c>
      <c r="F372" s="14" t="str">
        <f>'[1]2026 Orders'!F373</f>
        <v>4/23/2026: SKU changed from FD to CS - *Use new labels uploaded*
5/4/2026: Awaiting Formula Confirmation
5/6/2026: Available formula confirmed</v>
      </c>
      <c r="G372" s="14" t="str">
        <f>'[1]2026 Orders'!G373</f>
        <v>BRSTW-60-CS-LY</v>
      </c>
      <c r="H372" s="14" t="str" cm="1">
        <f t="array" ref="H372">IFERROR(_xlfn.TEXTJOIN("-",,INDEX(_xlfn.TEXTSPLIT(TableTake[[#This Row],[SKU]],"-"),{1,2})),"")</f>
        <v>BRSTW-60</v>
      </c>
      <c r="I372" s="15" t="str">
        <f>IFERROR(_xlfn.TEXTAFTER(TableTake[[#This Row],[SKU]],"-",-1),"")</f>
        <v>LY</v>
      </c>
      <c r="J372" s="14">
        <f>'[1]2026 Orders'!H373</f>
        <v>500</v>
      </c>
      <c r="K372" t="str">
        <f>'[1]2026 Orders'!I373</f>
        <v>LY112-26.0</v>
      </c>
      <c r="L372">
        <f>'[1]2026 Orders'!J373</f>
        <v>500</v>
      </c>
      <c r="N372" s="10" t="str">
        <f>'[1]2026 Orders'!L373</f>
        <v>Pending Picking</v>
      </c>
      <c r="O372" t="str">
        <f>'[1]2026 Orders'!M373</f>
        <v>Old Formula available</v>
      </c>
      <c r="P372">
        <f>'[1]2026 Orders'!N373</f>
        <v>0</v>
      </c>
      <c r="Q372">
        <f>'[1]2026 Orders'!O373</f>
        <v>0</v>
      </c>
      <c r="R372">
        <f>'[1]2026 Orders'!P373</f>
        <v>0</v>
      </c>
      <c r="S372">
        <f>'[1]2026 Orders'!Q373</f>
        <v>0</v>
      </c>
      <c r="T372">
        <f>'[1]2026 Orders'!R373</f>
        <v>0</v>
      </c>
      <c r="U372">
        <f>'[1]2026 Orders'!S373</f>
        <v>0</v>
      </c>
      <c r="V372">
        <f>'[1]2026 Orders'!T373</f>
        <v>0</v>
      </c>
      <c r="W372">
        <f>'[1]2026 Orders'!U373</f>
        <v>0</v>
      </c>
      <c r="X372">
        <f>'[1]2026 Orders'!V373</f>
        <v>0</v>
      </c>
      <c r="Y372">
        <f>'[1]2026 Orders'!W373</f>
        <v>0</v>
      </c>
      <c r="Z372">
        <f>'[1]2026 Orders'!X373</f>
        <v>0</v>
      </c>
      <c r="AC372" t="str">
        <f t="shared" si="10"/>
        <v>500/</v>
      </c>
      <c r="AD372" t="e">
        <f t="shared" si="11"/>
        <v>#VALUE!</v>
      </c>
    </row>
    <row r="373" spans="1:30" ht="33" hidden="1" customHeight="1" x14ac:dyDescent="0.3">
      <c r="A373">
        <f>'[1]2026 Orders'!A374</f>
        <v>0</v>
      </c>
      <c r="B373" s="14">
        <f>'[1]2026 Orders'!B374</f>
        <v>0</v>
      </c>
      <c r="C373" s="14">
        <f>'[1]2026 Orders'!C374</f>
        <v>0</v>
      </c>
      <c r="D373" s="14">
        <f>'[1]2026 Orders'!D374</f>
        <v>0</v>
      </c>
      <c r="E373" s="17" t="str" cm="1">
        <f t="array" ref="E373">IF(C373=0,"",
HYPERLINK(
"#'2026 Orders'!C"&amp;
MATCH(1,
('2026 Orders'!C:C=C373)*
('2026 Orders'!G:G=G373)*
('2026 Orders'!N:N=N373),
0),
"Open "&amp;C373
))</f>
        <v/>
      </c>
      <c r="F373" s="14">
        <f>'[1]2026 Orders'!F374</f>
        <v>0</v>
      </c>
      <c r="G373" s="14">
        <f>'[1]2026 Orders'!G374</f>
        <v>0</v>
      </c>
      <c r="H373" s="14" t="str" cm="1">
        <f t="array" ref="H373">IFERROR(_xlfn.TEXTJOIN("-",,INDEX(_xlfn.TEXTSPLIT(TableTake[[#This Row],[SKU]],"-"),{1,2})),"")</f>
        <v/>
      </c>
      <c r="I373" s="15" t="str">
        <f>IFERROR(_xlfn.TEXTAFTER(TableTake[[#This Row],[SKU]],"-",-1),"")</f>
        <v/>
      </c>
      <c r="J373" s="14">
        <f>'[1]2026 Orders'!H374</f>
        <v>0</v>
      </c>
      <c r="K373">
        <f>'[1]2026 Orders'!I374</f>
        <v>0</v>
      </c>
      <c r="L373">
        <f>'[1]2026 Orders'!J374</f>
        <v>0</v>
      </c>
      <c r="N373" s="10">
        <f>'[1]2026 Orders'!L374</f>
        <v>0</v>
      </c>
      <c r="O373">
        <f>'[1]2026 Orders'!M374</f>
        <v>0</v>
      </c>
      <c r="P373">
        <f>'[1]2026 Orders'!N374</f>
        <v>0</v>
      </c>
      <c r="Q373">
        <f>'[1]2026 Orders'!O374</f>
        <v>0</v>
      </c>
      <c r="R373">
        <f>'[1]2026 Orders'!P374</f>
        <v>0</v>
      </c>
      <c r="S373">
        <f>'[1]2026 Orders'!Q374</f>
        <v>0</v>
      </c>
      <c r="T373">
        <f>'[1]2026 Orders'!R374</f>
        <v>0</v>
      </c>
      <c r="U373">
        <f>'[1]2026 Orders'!S374</f>
        <v>0</v>
      </c>
      <c r="V373">
        <f>'[1]2026 Orders'!T374</f>
        <v>0</v>
      </c>
      <c r="W373">
        <f>'[1]2026 Orders'!U374</f>
        <v>0</v>
      </c>
      <c r="X373">
        <f>'[1]2026 Orders'!V374</f>
        <v>0</v>
      </c>
      <c r="Y373">
        <f>'[1]2026 Orders'!W374</f>
        <v>0</v>
      </c>
      <c r="Z373">
        <f>'[1]2026 Orders'!X374</f>
        <v>0</v>
      </c>
      <c r="AC373" t="str">
        <f t="shared" si="10"/>
        <v/>
      </c>
      <c r="AD373" t="str">
        <f t="shared" si="11"/>
        <v/>
      </c>
    </row>
    <row r="374" spans="1:30" ht="33" hidden="1" customHeight="1" x14ac:dyDescent="0.3">
      <c r="A374">
        <f>'[1]2026 Orders'!A375</f>
        <v>46135</v>
      </c>
      <c r="B374" s="14" t="str">
        <f>'[1]2026 Orders'!B375</f>
        <v>Qatar</v>
      </c>
      <c r="C374" s="14" t="str">
        <f>'[1]2026 Orders'!C375</f>
        <v>A4694</v>
      </c>
      <c r="D374" s="14" t="str">
        <f>'[1]2026 Orders'!D375</f>
        <v>4/23/2026: Awaiting Proforma Confirmation
4/24/2026: Proforma Approved</v>
      </c>
      <c r="E374" s="17" t="str" cm="1">
        <f t="array" ref="E374">IF(C374=0,"",
HYPERLINK(
"#'2026 Orders'!C"&amp;
MATCH(1,
('2026 Orders'!C:C=C374)*
('2026 Orders'!G:G=G374)*
('2026 Orders'!N:N=N374),
0),
"Open "&amp;C374
))</f>
        <v>Open A4694</v>
      </c>
      <c r="F374" s="14">
        <f>'[1]2026 Orders'!F375</f>
        <v>0</v>
      </c>
      <c r="G374" s="14" t="str">
        <f>'[1]2026 Orders'!G375</f>
        <v>PEDIAD4-50-CS-QT</v>
      </c>
      <c r="H374" s="14" t="str" cm="1">
        <f t="array" ref="H374">IFERROR(_xlfn.TEXTJOIN("-",,INDEX(_xlfn.TEXTSPLIT(TableTake[[#This Row],[SKU]],"-"),{1,2})),"")</f>
        <v>PEDIAD4-50</v>
      </c>
      <c r="I374" s="15" t="str">
        <f>IFERROR(_xlfn.TEXTAFTER(TableTake[[#This Row],[SKU]],"-",-1),"")</f>
        <v>QT</v>
      </c>
      <c r="J374" s="14">
        <f>'[1]2026 Orders'!H375</f>
        <v>2000</v>
      </c>
      <c r="K374" t="str">
        <f>'[1]2026 Orders'!I375</f>
        <v>F45-25.0</v>
      </c>
      <c r="L374">
        <f>'[1]2026 Orders'!J375</f>
        <v>0</v>
      </c>
      <c r="N374" s="10" t="str">
        <f>'[1]2026 Orders'!L375</f>
        <v>PO submitted</v>
      </c>
      <c r="O374">
        <f>'[1]2026 Orders'!M375</f>
        <v>0</v>
      </c>
      <c r="P374" t="str">
        <f>'[1]2026 Orders'!N375</f>
        <v>Y</v>
      </c>
      <c r="Q374">
        <f>'[1]2026 Orders'!O375</f>
        <v>0</v>
      </c>
      <c r="R374">
        <f>'[1]2026 Orders'!P375</f>
        <v>5000</v>
      </c>
      <c r="S374">
        <f>'[1]2026 Orders'!Q375</f>
        <v>4979</v>
      </c>
      <c r="T374" t="str">
        <f>'[1]2026 Orders'!R375</f>
        <v>TBD</v>
      </c>
      <c r="U374" t="str">
        <f>'[1]2026 Orders'!S375</f>
        <v>Waiting for IFC to start production.</v>
      </c>
      <c r="V374">
        <f>'[1]2026 Orders'!T375</f>
        <v>0</v>
      </c>
      <c r="W374">
        <f>'[1]2026 Orders'!U375</f>
        <v>0</v>
      </c>
      <c r="X374">
        <f>'[1]2026 Orders'!V375</f>
        <v>0</v>
      </c>
      <c r="Y374">
        <f>'[1]2026 Orders'!W375</f>
        <v>0</v>
      </c>
      <c r="Z374" t="str">
        <f>'[1]2026 Orders'!X375</f>
        <v>HOLD</v>
      </c>
      <c r="AC374" t="str">
        <f t="shared" si="10"/>
        <v>2000/</v>
      </c>
      <c r="AD374" t="e">
        <f t="shared" si="11"/>
        <v>#VALUE!</v>
      </c>
    </row>
    <row r="375" spans="1:30" ht="33" hidden="1" customHeight="1" x14ac:dyDescent="0.3">
      <c r="A375">
        <f>'[1]2026 Orders'!A376</f>
        <v>0</v>
      </c>
      <c r="B375" s="14">
        <f>'[1]2026 Orders'!B376</f>
        <v>0</v>
      </c>
      <c r="C375" s="14">
        <f>'[1]2026 Orders'!C376</f>
        <v>0</v>
      </c>
      <c r="D375" s="14">
        <f>'[1]2026 Orders'!D376</f>
        <v>0</v>
      </c>
      <c r="E375" s="17" t="str" cm="1">
        <f t="array" ref="E375">IF(C375=0,"",
HYPERLINK(
"#'2026 Orders'!C"&amp;
MATCH(1,
('2026 Orders'!C:C=C375)*
('2026 Orders'!G:G=G375)*
('2026 Orders'!N:N=N375),
0),
"Open "&amp;C375
))</f>
        <v/>
      </c>
      <c r="F375" s="14">
        <f>'[1]2026 Orders'!F376</f>
        <v>0</v>
      </c>
      <c r="G375" s="14">
        <f>'[1]2026 Orders'!G376</f>
        <v>0</v>
      </c>
      <c r="H375" s="14" t="str" cm="1">
        <f t="array" ref="H375">IFERROR(_xlfn.TEXTJOIN("-",,INDEX(_xlfn.TEXTSPLIT(TableTake[[#This Row],[SKU]],"-"),{1,2})),"")</f>
        <v/>
      </c>
      <c r="I375" s="15" t="str">
        <f>IFERROR(_xlfn.TEXTAFTER(TableTake[[#This Row],[SKU]],"-",-1),"")</f>
        <v/>
      </c>
      <c r="J375" s="14">
        <f>'[1]2026 Orders'!H376</f>
        <v>0</v>
      </c>
      <c r="K375">
        <f>'[1]2026 Orders'!I376</f>
        <v>0</v>
      </c>
      <c r="L375">
        <f>'[1]2026 Orders'!J376</f>
        <v>0</v>
      </c>
      <c r="N375" s="10">
        <f>'[1]2026 Orders'!L376</f>
        <v>0</v>
      </c>
      <c r="O375">
        <f>'[1]2026 Orders'!M376</f>
        <v>0</v>
      </c>
      <c r="P375">
        <f>'[1]2026 Orders'!N376</f>
        <v>0</v>
      </c>
      <c r="Q375">
        <f>'[1]2026 Orders'!O376</f>
        <v>0</v>
      </c>
      <c r="R375">
        <f>'[1]2026 Orders'!P376</f>
        <v>0</v>
      </c>
      <c r="S375">
        <f>'[1]2026 Orders'!Q376</f>
        <v>0</v>
      </c>
      <c r="T375">
        <f>'[1]2026 Orders'!R376</f>
        <v>0</v>
      </c>
      <c r="U375">
        <f>'[1]2026 Orders'!S376</f>
        <v>0</v>
      </c>
      <c r="V375">
        <f>'[1]2026 Orders'!T376</f>
        <v>0</v>
      </c>
      <c r="W375">
        <f>'[1]2026 Orders'!U376</f>
        <v>0</v>
      </c>
      <c r="X375">
        <f>'[1]2026 Orders'!V376</f>
        <v>0</v>
      </c>
      <c r="Y375">
        <f>'[1]2026 Orders'!W376</f>
        <v>0</v>
      </c>
      <c r="Z375">
        <f>'[1]2026 Orders'!X376</f>
        <v>0</v>
      </c>
      <c r="AC375" t="str">
        <f t="shared" si="10"/>
        <v/>
      </c>
      <c r="AD375" t="str">
        <f t="shared" si="11"/>
        <v/>
      </c>
    </row>
    <row r="376" spans="1:30" ht="33" hidden="1" customHeight="1" x14ac:dyDescent="0.3">
      <c r="A376">
        <f>'[1]2026 Orders'!A377</f>
        <v>46139</v>
      </c>
      <c r="B376" s="14" t="str">
        <f>'[1]2026 Orders'!B377</f>
        <v>Iraq</v>
      </c>
      <c r="C376" s="14" t="str">
        <f>'[1]2026 Orders'!C377</f>
        <v>A4695</v>
      </c>
      <c r="D376" s="14" t="str">
        <f>'[1]2026 Orders'!D377</f>
        <v>4/27/2026: Awaiting Proforma Confirmation
4/28/2026: Proforma Approved
5/1/2026: Checking with Maya if Lot Codes are usable for this order.
5/4/2026: Lot Codes are reviewed. 60ct needs new Lot Code. Removed from Sales Action Needed.</v>
      </c>
      <c r="E376" s="17" t="str" cm="1">
        <f t="array" ref="E376">IF(C376=0,"",
HYPERLINK(
"#'2026 Orders'!C"&amp;
MATCH(1,
('2026 Orders'!C:C=C376)*
('2026 Orders'!G:G=G376)*
('2026 Orders'!N:N=N376),
0),
"Open "&amp;C376
))</f>
        <v>Open A4695</v>
      </c>
      <c r="F376" s="14" t="str">
        <f>'[1]2026 Orders'!F377</f>
        <v>Lot 49350126</v>
      </c>
      <c r="G376" s="14" t="str">
        <f>'[1]2026 Orders'!G377</f>
        <v>MFSPLS-120-RE</v>
      </c>
      <c r="H376" s="14" t="str" cm="1">
        <f t="array" ref="H376">IFERROR(_xlfn.TEXTJOIN("-",,INDEX(_xlfn.TEXTSPLIT(TableTake[[#This Row],[SKU]],"-"),{1,2})),"")</f>
        <v>MFSPLS-120</v>
      </c>
      <c r="I376" s="15" t="str">
        <f>IFERROR(_xlfn.TEXTAFTER(TableTake[[#This Row],[SKU]],"-",-1),"")</f>
        <v>RE</v>
      </c>
      <c r="J376" s="14">
        <f>'[1]2026 Orders'!H377</f>
        <v>5</v>
      </c>
      <c r="K376" t="str">
        <f>'[1]2026 Orders'!I377</f>
        <v>R30-26.0</v>
      </c>
      <c r="L376">
        <f>'[1]2026 Orders'!J377</f>
        <v>5</v>
      </c>
      <c r="N376" s="10" t="str">
        <f>'[1]2026 Orders'!L377</f>
        <v>D/W Sent</v>
      </c>
      <c r="O376">
        <f>'[1]2026 Orders'!M377</f>
        <v>46153</v>
      </c>
      <c r="P376" t="str">
        <f>'[1]2026 Orders'!N377</f>
        <v>NA</v>
      </c>
      <c r="Q376">
        <f>'[1]2026 Orders'!O377</f>
        <v>609788968344</v>
      </c>
      <c r="R376">
        <f>'[1]2026 Orders'!P377</f>
        <v>0</v>
      </c>
      <c r="S376">
        <f>'[1]2026 Orders'!Q377</f>
        <v>4935</v>
      </c>
      <c r="T376">
        <f>'[1]2026 Orders'!R377</f>
        <v>0</v>
      </c>
      <c r="U376">
        <f>'[1]2026 Orders'!S377</f>
        <v>0</v>
      </c>
      <c r="V376">
        <f>'[1]2026 Orders'!T377</f>
        <v>0</v>
      </c>
      <c r="W376">
        <f>'[1]2026 Orders'!U377</f>
        <v>0</v>
      </c>
      <c r="X376">
        <f>'[1]2026 Orders'!V377</f>
        <v>0</v>
      </c>
      <c r="Y376">
        <f>'[1]2026 Orders'!W377</f>
        <v>0</v>
      </c>
      <c r="Z376" t="str">
        <f>'[1]2026 Orders'!X377</f>
        <v>HOLD</v>
      </c>
      <c r="AC376" t="str">
        <f t="shared" si="10"/>
        <v>5/</v>
      </c>
      <c r="AD376" t="e">
        <f t="shared" si="11"/>
        <v>#VALUE!</v>
      </c>
    </row>
    <row r="377" spans="1:30" ht="33" hidden="1" customHeight="1" x14ac:dyDescent="0.3">
      <c r="A377">
        <f>'[1]2026 Orders'!A378</f>
        <v>46139</v>
      </c>
      <c r="B377" s="14" t="str">
        <f>'[1]2026 Orders'!B378</f>
        <v>Iraq</v>
      </c>
      <c r="C377" s="14" t="str">
        <f>'[1]2026 Orders'!C378</f>
        <v>A4695</v>
      </c>
      <c r="D377" s="14">
        <f>'[1]2026 Orders'!D378</f>
        <v>0</v>
      </c>
      <c r="E377" s="17" t="str" cm="1">
        <f t="array" ref="E377">IF(C377=0,"",
HYPERLINK(
"#'2026 Orders'!C"&amp;
MATCH(1,
('2026 Orders'!C:C=C377)*
('2026 Orders'!G:G=G377)*
('2026 Orders'!N:N=N377),
0),
"Open "&amp;C377
))</f>
        <v>Open A4695</v>
      </c>
      <c r="F377" s="14" t="str">
        <f>'[1]2026 Orders'!F378</f>
        <v>Change lot to 25031225 for customs.</v>
      </c>
      <c r="G377" s="14" t="str">
        <f>'[1]2026 Orders'!G378</f>
        <v>MFSPLS-60-RE</v>
      </c>
      <c r="H377" s="14" t="str" cm="1">
        <f t="array" ref="H377">IFERROR(_xlfn.TEXTJOIN("-",,INDEX(_xlfn.TEXTSPLIT(TableTake[[#This Row],[SKU]],"-"),{1,2})),"")</f>
        <v>MFSPLS-60</v>
      </c>
      <c r="I377" s="15" t="str">
        <f>IFERROR(_xlfn.TEXTAFTER(TableTake[[#This Row],[SKU]],"-",-1),"")</f>
        <v>RE</v>
      </c>
      <c r="J377" s="14">
        <f>'[1]2026 Orders'!H378</f>
        <v>3</v>
      </c>
      <c r="K377" t="str">
        <f>'[1]2026 Orders'!I378</f>
        <v>R29-24.0</v>
      </c>
      <c r="L377">
        <f>'[1]2026 Orders'!J378</f>
        <v>3</v>
      </c>
      <c r="N377" s="10" t="str">
        <f>'[1]2026 Orders'!L378</f>
        <v>D/W Sent</v>
      </c>
      <c r="O377">
        <f>'[1]2026 Orders'!M378</f>
        <v>0</v>
      </c>
      <c r="P377" t="str">
        <f>'[1]2026 Orders'!N378</f>
        <v>NA</v>
      </c>
      <c r="Q377">
        <f>'[1]2026 Orders'!O378</f>
        <v>609788968092</v>
      </c>
      <c r="R377">
        <f>'[1]2026 Orders'!P378</f>
        <v>0</v>
      </c>
      <c r="S377">
        <f>'[1]2026 Orders'!Q378</f>
        <v>4907</v>
      </c>
      <c r="T377">
        <f>'[1]2026 Orders'!R378</f>
        <v>0</v>
      </c>
      <c r="U377">
        <f>'[1]2026 Orders'!S378</f>
        <v>0</v>
      </c>
      <c r="V377">
        <f>'[1]2026 Orders'!T378</f>
        <v>0</v>
      </c>
      <c r="W377">
        <f>'[1]2026 Orders'!U378</f>
        <v>0</v>
      </c>
      <c r="X377">
        <f>'[1]2026 Orders'!V378</f>
        <v>0</v>
      </c>
      <c r="Y377">
        <f>'[1]2026 Orders'!W378</f>
        <v>0</v>
      </c>
      <c r="Z377">
        <f>'[1]2026 Orders'!X378</f>
        <v>0</v>
      </c>
      <c r="AC377" t="str">
        <f t="shared" si="10"/>
        <v>3/</v>
      </c>
      <c r="AD377" t="e">
        <f t="shared" si="11"/>
        <v>#VALUE!</v>
      </c>
    </row>
    <row r="378" spans="1:30" ht="33" hidden="1" customHeight="1" x14ac:dyDescent="0.3">
      <c r="A378">
        <f>'[1]2026 Orders'!A379</f>
        <v>0</v>
      </c>
      <c r="B378" s="14">
        <f>'[1]2026 Orders'!B379</f>
        <v>0</v>
      </c>
      <c r="C378" s="14">
        <f>'[1]2026 Orders'!C379</f>
        <v>0</v>
      </c>
      <c r="D378" s="14">
        <f>'[1]2026 Orders'!D379</f>
        <v>0</v>
      </c>
      <c r="E378" s="17" t="str" cm="1">
        <f t="array" ref="E378">IF(C378=0,"",
HYPERLINK(
"#'2026 Orders'!C"&amp;
MATCH(1,
('2026 Orders'!C:C=C378)*
('2026 Orders'!G:G=G378)*
('2026 Orders'!N:N=N378),
0),
"Open "&amp;C378
))</f>
        <v/>
      </c>
      <c r="F378" s="14">
        <f>'[1]2026 Orders'!F379</f>
        <v>0</v>
      </c>
      <c r="G378" s="14">
        <f>'[1]2026 Orders'!G379</f>
        <v>0</v>
      </c>
      <c r="H378" s="14" t="str" cm="1">
        <f t="array" ref="H378">IFERROR(_xlfn.TEXTJOIN("-",,INDEX(_xlfn.TEXTSPLIT(TableTake[[#This Row],[SKU]],"-"),{1,2})),"")</f>
        <v/>
      </c>
      <c r="I378" s="15" t="str">
        <f>IFERROR(_xlfn.TEXTAFTER(TableTake[[#This Row],[SKU]],"-",-1),"")</f>
        <v/>
      </c>
      <c r="J378" s="14">
        <f>'[1]2026 Orders'!H379</f>
        <v>0</v>
      </c>
      <c r="K378">
        <f>'[1]2026 Orders'!I379</f>
        <v>0</v>
      </c>
      <c r="L378">
        <f>'[1]2026 Orders'!J379</f>
        <v>0</v>
      </c>
      <c r="N378" s="10">
        <f>'[1]2026 Orders'!L379</f>
        <v>0</v>
      </c>
      <c r="O378">
        <f>'[1]2026 Orders'!M379</f>
        <v>0</v>
      </c>
      <c r="P378">
        <f>'[1]2026 Orders'!N379</f>
        <v>0</v>
      </c>
      <c r="Q378">
        <f>'[1]2026 Orders'!O379</f>
        <v>0</v>
      </c>
      <c r="R378">
        <f>'[1]2026 Orders'!P379</f>
        <v>0</v>
      </c>
      <c r="S378">
        <f>'[1]2026 Orders'!Q379</f>
        <v>0</v>
      </c>
      <c r="T378">
        <f>'[1]2026 Orders'!R379</f>
        <v>0</v>
      </c>
      <c r="U378">
        <f>'[1]2026 Orders'!S379</f>
        <v>0</v>
      </c>
      <c r="V378">
        <f>'[1]2026 Orders'!T379</f>
        <v>0</v>
      </c>
      <c r="W378">
        <f>'[1]2026 Orders'!U379</f>
        <v>0</v>
      </c>
      <c r="X378">
        <f>'[1]2026 Orders'!V379</f>
        <v>0</v>
      </c>
      <c r="Y378">
        <f>'[1]2026 Orders'!W379</f>
        <v>0</v>
      </c>
      <c r="Z378">
        <f>'[1]2026 Orders'!X379</f>
        <v>0</v>
      </c>
      <c r="AC378" t="str">
        <f t="shared" si="10"/>
        <v/>
      </c>
      <c r="AD378" t="str">
        <f t="shared" si="11"/>
        <v/>
      </c>
    </row>
    <row r="379" spans="1:30" ht="33" hidden="1" customHeight="1" x14ac:dyDescent="0.3">
      <c r="A379">
        <f>'[1]2026 Orders'!A380</f>
        <v>46139</v>
      </c>
      <c r="B379" s="14" t="str">
        <f>'[1]2026 Orders'!B380</f>
        <v>Sudan</v>
      </c>
      <c r="C379" s="14" t="str">
        <f>'[1]2026 Orders'!C380</f>
        <v>A4697</v>
      </c>
      <c r="D379" s="14" t="str">
        <f>'[1]2026 Orders'!D380</f>
        <v>4/27/2026: Awaiting Proforma Confirmation
4/28/2026: Proforma Approved</v>
      </c>
      <c r="E379" s="17" t="str" cm="1">
        <f t="array" ref="E379">IF(C379=0,"",
HYPERLINK(
"#'2026 Orders'!C"&amp;
MATCH(1,
('2026 Orders'!C:C=C379)*
('2026 Orders'!G:G=G379)*
('2026 Orders'!N:N=N379),
0),
"Open "&amp;C379
))</f>
        <v>Open A4697</v>
      </c>
      <c r="F379" s="14">
        <f>'[1]2026 Orders'!F380</f>
        <v>0</v>
      </c>
      <c r="G379" s="14" t="str">
        <f>'[1]2026 Orders'!G380</f>
        <v>MFSPLS-120-RE</v>
      </c>
      <c r="H379" s="14" t="str" cm="1">
        <f t="array" ref="H379">IFERROR(_xlfn.TEXTJOIN("-",,INDEX(_xlfn.TEXTSPLIT(TableTake[[#This Row],[SKU]],"-"),{1,2})),"")</f>
        <v>MFSPLS-120</v>
      </c>
      <c r="I379" s="15" t="str">
        <f>IFERROR(_xlfn.TEXTAFTER(TableTake[[#This Row],[SKU]],"-",-1),"")</f>
        <v>RE</v>
      </c>
      <c r="J379" s="14">
        <f>'[1]2026 Orders'!H380</f>
        <v>3245</v>
      </c>
      <c r="K379" t="str">
        <f>'[1]2026 Orders'!I380</f>
        <v>R30-26.0</v>
      </c>
      <c r="L379">
        <f>'[1]2026 Orders'!J380</f>
        <v>0</v>
      </c>
      <c r="N379" s="10" t="str">
        <f>'[1]2026 Orders'!L380</f>
        <v>In Production</v>
      </c>
      <c r="O379">
        <f>'[1]2026 Orders'!M380</f>
        <v>0</v>
      </c>
      <c r="P379" t="str">
        <f>'[1]2026 Orders'!N380</f>
        <v>NA</v>
      </c>
      <c r="Q379">
        <f>'[1]2026 Orders'!O380</f>
        <v>609788968344</v>
      </c>
      <c r="R379">
        <f>'[1]2026 Orders'!P380</f>
        <v>9195</v>
      </c>
      <c r="S379">
        <f>'[1]2026 Orders'!Q380</f>
        <v>5032</v>
      </c>
      <c r="T379">
        <f>'[1]2026 Orders'!R380</f>
        <v>46211</v>
      </c>
      <c r="U379">
        <f>'[1]2026 Orders'!S380</f>
        <v>0</v>
      </c>
      <c r="V379">
        <f>'[1]2026 Orders'!T380</f>
        <v>0</v>
      </c>
      <c r="W379">
        <f>'[1]2026 Orders'!U380</f>
        <v>0</v>
      </c>
      <c r="X379">
        <f>'[1]2026 Orders'!V380</f>
        <v>0</v>
      </c>
      <c r="Y379">
        <f>'[1]2026 Orders'!W380</f>
        <v>0</v>
      </c>
      <c r="Z379" t="str">
        <f>'[1]2026 Orders'!X380</f>
        <v>HOLD</v>
      </c>
      <c r="AC379" t="str">
        <f t="shared" si="10"/>
        <v>3245/</v>
      </c>
      <c r="AD379" t="e">
        <f t="shared" si="11"/>
        <v>#VALUE!</v>
      </c>
    </row>
    <row r="380" spans="1:30" ht="33" hidden="1" customHeight="1" x14ac:dyDescent="0.3">
      <c r="A380">
        <f>'[1]2026 Orders'!A381</f>
        <v>46139</v>
      </c>
      <c r="B380" s="14" t="str">
        <f>'[1]2026 Orders'!B381</f>
        <v>Sudan</v>
      </c>
      <c r="C380" s="14" t="str">
        <f>'[1]2026 Orders'!C381</f>
        <v>A4697</v>
      </c>
      <c r="D380" s="14">
        <f>'[1]2026 Orders'!D381</f>
        <v>0</v>
      </c>
      <c r="E380" s="17" t="str" cm="1">
        <f t="array" ref="E380">IF(C380=0,"",
HYPERLINK(
"#'2026 Orders'!C"&amp;
MATCH(1,
('2026 Orders'!C:C=C380)*
('2026 Orders'!G:G=G380)*
('2026 Orders'!N:N=N380),
0),
"Open "&amp;C380
))</f>
        <v>Open A4697</v>
      </c>
      <c r="F380" s="14">
        <f>'[1]2026 Orders'!F381</f>
        <v>0</v>
      </c>
      <c r="G380" s="14" t="str">
        <f>'[1]2026 Orders'!G381</f>
        <v>WFSPLS-180-RE</v>
      </c>
      <c r="H380" s="14" t="str" cm="1">
        <f t="array" ref="H380">IFERROR(_xlfn.TEXTJOIN("-",,INDEX(_xlfn.TEXTSPLIT(TableTake[[#This Row],[SKU]],"-"),{1,2})),"")</f>
        <v>WFSPLS-180</v>
      </c>
      <c r="I380" s="15" t="str">
        <f>IFERROR(_xlfn.TEXTAFTER(TableTake[[#This Row],[SKU]],"-",-1),"")</f>
        <v>RE</v>
      </c>
      <c r="J380" s="14">
        <f>'[1]2026 Orders'!H381</f>
        <v>1248</v>
      </c>
      <c r="K380" t="str">
        <f>'[1]2026 Orders'!I381</f>
        <v>R73-22.0</v>
      </c>
      <c r="L380">
        <f>'[1]2026 Orders'!J381</f>
        <v>0</v>
      </c>
      <c r="N380" s="10" t="str">
        <f>'[1]2026 Orders'!L381</f>
        <v>PO Drafted</v>
      </c>
      <c r="O380">
        <f>'[1]2026 Orders'!M381</f>
        <v>0</v>
      </c>
      <c r="P380" t="str">
        <f>'[1]2026 Orders'!N381</f>
        <v>NA</v>
      </c>
      <c r="Q380">
        <f>'[1]2026 Orders'!O381</f>
        <v>609788968351</v>
      </c>
      <c r="R380">
        <f>'[1]2026 Orders'!P381</f>
        <v>5000</v>
      </c>
      <c r="S380">
        <f>'[1]2026 Orders'!Q381</f>
        <v>5043</v>
      </c>
      <c r="T380" t="str">
        <f>'[1]2026 Orders'!R381</f>
        <v>TBD</v>
      </c>
      <c r="U380" t="str">
        <f>'[1]2026 Orders'!S381</f>
        <v>Pending approval to send to vendor</v>
      </c>
      <c r="V380">
        <f>'[1]2026 Orders'!T381</f>
        <v>0</v>
      </c>
      <c r="W380">
        <f>'[1]2026 Orders'!U381</f>
        <v>0</v>
      </c>
      <c r="X380">
        <f>'[1]2026 Orders'!V381</f>
        <v>0</v>
      </c>
      <c r="Y380">
        <f>'[1]2026 Orders'!W381</f>
        <v>0</v>
      </c>
      <c r="Z380">
        <f>'[1]2026 Orders'!X381</f>
        <v>0</v>
      </c>
      <c r="AC380" t="str">
        <f t="shared" si="10"/>
        <v>1248/</v>
      </c>
      <c r="AD380" t="e">
        <f t="shared" si="11"/>
        <v>#VALUE!</v>
      </c>
    </row>
    <row r="381" spans="1:30" ht="33" hidden="1" customHeight="1" x14ac:dyDescent="0.3">
      <c r="A381">
        <f>'[1]2026 Orders'!A382</f>
        <v>46139</v>
      </c>
      <c r="B381" s="14" t="str">
        <f>'[1]2026 Orders'!B382</f>
        <v>Sudan</v>
      </c>
      <c r="C381" s="14" t="str">
        <f>'[1]2026 Orders'!C382</f>
        <v>A4697</v>
      </c>
      <c r="D381" s="14">
        <f>'[1]2026 Orders'!D382</f>
        <v>0</v>
      </c>
      <c r="E381" s="17" t="str" cm="1">
        <f t="array" ref="E381">IF(C381=0,"",
HYPERLINK(
"#'2026 Orders'!C"&amp;
MATCH(1,
('2026 Orders'!C:C=C381)*
('2026 Orders'!G:G=G381)*
('2026 Orders'!N:N=N381),
0),
"Open "&amp;C381
))</f>
        <v>Open A4697</v>
      </c>
      <c r="F381" s="14">
        <f>'[1]2026 Orders'!F382</f>
        <v>0</v>
      </c>
      <c r="G381" s="14" t="str">
        <f>'[1]2026 Orders'!G382</f>
        <v>PRECON-180-RE</v>
      </c>
      <c r="H381" s="14" t="str" cm="1">
        <f t="array" ref="H381">IFERROR(_xlfn.TEXTJOIN("-",,INDEX(_xlfn.TEXTSPLIT(TableTake[[#This Row],[SKU]],"-"),{1,2})),"")</f>
        <v>PRECON-180</v>
      </c>
      <c r="I381" s="15" t="str">
        <f>IFERROR(_xlfn.TEXTAFTER(TableTake[[#This Row],[SKU]],"-",-1),"")</f>
        <v>RE</v>
      </c>
      <c r="J381" s="14">
        <f>'[1]2026 Orders'!H382</f>
        <v>998</v>
      </c>
      <c r="K381" t="str">
        <f>'[1]2026 Orders'!I382</f>
        <v>R55-22.0</v>
      </c>
      <c r="L381">
        <f>'[1]2026 Orders'!J382</f>
        <v>0</v>
      </c>
      <c r="N381" s="10" t="str">
        <f>'[1]2026 Orders'!L382</f>
        <v>In Production</v>
      </c>
      <c r="O381">
        <f>'[1]2026 Orders'!M382</f>
        <v>0</v>
      </c>
      <c r="P381" t="str">
        <f>'[1]2026 Orders'!N382</f>
        <v>NA</v>
      </c>
      <c r="Q381">
        <f>'[1]2026 Orders'!O382</f>
        <v>609788968375</v>
      </c>
      <c r="R381">
        <f>'[1]2026 Orders'!P382</f>
        <v>5000</v>
      </c>
      <c r="S381">
        <f>'[1]2026 Orders'!Q382</f>
        <v>5060</v>
      </c>
      <c r="T381">
        <f>'[1]2026 Orders'!R382</f>
        <v>46205</v>
      </c>
      <c r="U381">
        <f>'[1]2026 Orders'!S382</f>
        <v>0</v>
      </c>
      <c r="V381">
        <f>'[1]2026 Orders'!T382</f>
        <v>0</v>
      </c>
      <c r="W381">
        <f>'[1]2026 Orders'!U382</f>
        <v>0</v>
      </c>
      <c r="X381">
        <f>'[1]2026 Orders'!V382</f>
        <v>0</v>
      </c>
      <c r="Y381">
        <f>'[1]2026 Orders'!W382</f>
        <v>0</v>
      </c>
      <c r="Z381">
        <f>'[1]2026 Orders'!X382</f>
        <v>0</v>
      </c>
      <c r="AC381" t="str">
        <f t="shared" si="10"/>
        <v>998/</v>
      </c>
      <c r="AD381" t="e">
        <f t="shared" si="11"/>
        <v>#VALUE!</v>
      </c>
    </row>
    <row r="382" spans="1:30" ht="33" hidden="1" customHeight="1" x14ac:dyDescent="0.3">
      <c r="A382">
        <f>'[1]2026 Orders'!A383</f>
        <v>46139</v>
      </c>
      <c r="B382" s="14" t="str">
        <f>'[1]2026 Orders'!B383</f>
        <v>Sudan</v>
      </c>
      <c r="C382" s="14" t="str">
        <f>'[1]2026 Orders'!C383</f>
        <v>A4697</v>
      </c>
      <c r="D382" s="14">
        <f>'[1]2026 Orders'!D383</f>
        <v>0</v>
      </c>
      <c r="E382" s="17" t="str" cm="1">
        <f t="array" ref="E382">IF(C382=0,"",
HYPERLINK(
"#'2026 Orders'!C"&amp;
MATCH(1,
('2026 Orders'!C:C=C382)*
('2026 Orders'!G:G=G382)*
('2026 Orders'!N:N=N382),
0),
"Open "&amp;C382
))</f>
        <v>Open A4697</v>
      </c>
      <c r="F382" s="14">
        <f>'[1]2026 Orders'!F383</f>
        <v>0</v>
      </c>
      <c r="G382" s="14" t="str">
        <f>'[1]2026 Orders'!G383</f>
        <v>OSTEOPL-96-FD</v>
      </c>
      <c r="H382" s="14" t="str" cm="1">
        <f t="array" ref="H382">IFERROR(_xlfn.TEXTJOIN("-",,INDEX(_xlfn.TEXTSPLIT(TableTake[[#This Row],[SKU]],"-"),{1,2})),"")</f>
        <v>OSTEOPL-96</v>
      </c>
      <c r="I382" s="15" t="str">
        <f>IFERROR(_xlfn.TEXTAFTER(TableTake[[#This Row],[SKU]],"-",-1),"")</f>
        <v>FD</v>
      </c>
      <c r="J382" s="14">
        <f>'[1]2026 Orders'!H383</f>
        <v>998</v>
      </c>
      <c r="K382" t="str">
        <f>'[1]2026 Orders'!I383</f>
        <v>F39-24.0</v>
      </c>
      <c r="L382">
        <f>'[1]2026 Orders'!J383</f>
        <v>998</v>
      </c>
      <c r="N382" s="10" t="str">
        <f>'[1]2026 Orders'!L383</f>
        <v>Rework</v>
      </c>
      <c r="O382">
        <f>'[1]2026 Orders'!M383</f>
        <v>0</v>
      </c>
      <c r="P382" t="str">
        <f>'[1]2026 Orders'!N383</f>
        <v>Y</v>
      </c>
      <c r="Q382" t="str">
        <f>'[1]2026 Orders'!O383</f>
        <v>609788968238</v>
      </c>
      <c r="R382">
        <f>'[1]2026 Orders'!P383</f>
        <v>0</v>
      </c>
      <c r="S382">
        <f>'[1]2026 Orders'!Q383</f>
        <v>0</v>
      </c>
      <c r="T382">
        <f>'[1]2026 Orders'!R383</f>
        <v>0</v>
      </c>
      <c r="U382">
        <f>'[1]2026 Orders'!S383</f>
        <v>0</v>
      </c>
      <c r="V382">
        <f>'[1]2026 Orders'!T383</f>
        <v>0</v>
      </c>
      <c r="W382">
        <f>'[1]2026 Orders'!U383</f>
        <v>0</v>
      </c>
      <c r="X382">
        <f>'[1]2026 Orders'!V383</f>
        <v>0</v>
      </c>
      <c r="Y382">
        <f>'[1]2026 Orders'!W383</f>
        <v>0</v>
      </c>
      <c r="Z382">
        <f>'[1]2026 Orders'!X383</f>
        <v>0</v>
      </c>
      <c r="AC382" t="str">
        <f t="shared" si="10"/>
        <v>998/</v>
      </c>
      <c r="AD382" t="e">
        <f t="shared" si="11"/>
        <v>#VALUE!</v>
      </c>
    </row>
    <row r="383" spans="1:30" ht="33" hidden="1" customHeight="1" x14ac:dyDescent="0.3">
      <c r="A383">
        <f>'[1]2026 Orders'!A384</f>
        <v>46139</v>
      </c>
      <c r="B383" s="14" t="str">
        <f>'[1]2026 Orders'!B384</f>
        <v>Sudan</v>
      </c>
      <c r="C383" s="14" t="str">
        <f>'[1]2026 Orders'!C384</f>
        <v>A4697</v>
      </c>
      <c r="D383" s="14">
        <f>'[1]2026 Orders'!D384</f>
        <v>0</v>
      </c>
      <c r="E383" s="17" t="str" cm="1">
        <f t="array" ref="E383">IF(C383=0,"",
HYPERLINK(
"#'2026 Orders'!C"&amp;
MATCH(1,
('2026 Orders'!C:C=C383)*
('2026 Orders'!G:G=G383)*
('2026 Orders'!N:N=N383),
0),
"Open "&amp;C383
))</f>
        <v>Open A4697</v>
      </c>
      <c r="F383" s="14">
        <f>'[1]2026 Orders'!F384</f>
        <v>0</v>
      </c>
      <c r="G383" s="14" t="str">
        <f>'[1]2026 Orders'!G384</f>
        <v>DHEA50-60-FD</v>
      </c>
      <c r="H383" s="14" t="str" cm="1">
        <f t="array" ref="H383">IFERROR(_xlfn.TEXTJOIN("-",,INDEX(_xlfn.TEXTSPLIT(TableTake[[#This Row],[SKU]],"-"),{1,2})),"")</f>
        <v>DHEA50-60</v>
      </c>
      <c r="I383" s="15" t="str">
        <f>IFERROR(_xlfn.TEXTAFTER(TableTake[[#This Row],[SKU]],"-",-1),"")</f>
        <v>FD</v>
      </c>
      <c r="J383" s="14">
        <f>'[1]2026 Orders'!H384</f>
        <v>3245</v>
      </c>
      <c r="K383" t="str">
        <f>'[1]2026 Orders'!I384</f>
        <v>F13-25.2</v>
      </c>
      <c r="L383">
        <f>'[1]2026 Orders'!J384</f>
        <v>0</v>
      </c>
      <c r="N383" s="10" t="str">
        <f>'[1]2026 Orders'!L384</f>
        <v>In Production</v>
      </c>
      <c r="O383">
        <f>'[1]2026 Orders'!M384</f>
        <v>0</v>
      </c>
      <c r="P383" t="str">
        <f>'[1]2026 Orders'!N384</f>
        <v>NA</v>
      </c>
      <c r="Q383">
        <f>'[1]2026 Orders'!O384</f>
        <v>609788968221</v>
      </c>
      <c r="R383">
        <f>'[1]2026 Orders'!P384</f>
        <v>7000</v>
      </c>
      <c r="S383">
        <f>'[1]2026 Orders'!Q384</f>
        <v>5027</v>
      </c>
      <c r="T383">
        <f>'[1]2026 Orders'!R384</f>
        <v>46201</v>
      </c>
      <c r="U383">
        <f>'[1]2026 Orders'!S384</f>
        <v>0</v>
      </c>
      <c r="V383">
        <f>'[1]2026 Orders'!T384</f>
        <v>0</v>
      </c>
      <c r="W383">
        <f>'[1]2026 Orders'!U384</f>
        <v>0</v>
      </c>
      <c r="X383">
        <f>'[1]2026 Orders'!V384</f>
        <v>0</v>
      </c>
      <c r="Y383">
        <f>'[1]2026 Orders'!W384</f>
        <v>0</v>
      </c>
      <c r="Z383">
        <f>'[1]2026 Orders'!X384</f>
        <v>0</v>
      </c>
      <c r="AC383" t="str">
        <f t="shared" si="10"/>
        <v>3245/</v>
      </c>
      <c r="AD383" t="e">
        <f t="shared" si="11"/>
        <v>#VALUE!</v>
      </c>
    </row>
    <row r="384" spans="1:30" ht="33" hidden="1" customHeight="1" x14ac:dyDescent="0.3">
      <c r="A384">
        <f>'[1]2026 Orders'!A385</f>
        <v>46139</v>
      </c>
      <c r="B384" s="14" t="str">
        <f>'[1]2026 Orders'!B385</f>
        <v>Sudan</v>
      </c>
      <c r="C384" s="14" t="str">
        <f>'[1]2026 Orders'!C385</f>
        <v>A4697</v>
      </c>
      <c r="D384" s="14">
        <f>'[1]2026 Orders'!D385</f>
        <v>0</v>
      </c>
      <c r="E384" s="17" t="str" cm="1">
        <f t="array" ref="E384">IF(C384=0,"",
HYPERLINK(
"#'2026 Orders'!C"&amp;
MATCH(1,
('2026 Orders'!C:C=C384)*
('2026 Orders'!G:G=G384)*
('2026 Orders'!N:N=N384),
0),
"Open "&amp;C384
))</f>
        <v>Open A4697</v>
      </c>
      <c r="F384" s="14" t="str">
        <f>'[1]2026 Orders'!F385</f>
        <v>5/22/2026: QTY increased 
2246 -&gt; 2422 (176 packs added from Sudan A4549)
5/26/2026: Qty changed to original 
2422 -&gt; 2246 packs (176 packs moved to Sudan A4711)</v>
      </c>
      <c r="G384" s="14" t="str">
        <f>'[1]2026 Orders'!G385</f>
        <v>COQ400-30-VE-CS-SU</v>
      </c>
      <c r="H384" s="14" t="str" cm="1">
        <f t="array" ref="H384">IFERROR(_xlfn.TEXTJOIN("-",,INDEX(_xlfn.TEXTSPLIT(TableTake[[#This Row],[SKU]],"-"),{1,2})),"")</f>
        <v>COQ400-30</v>
      </c>
      <c r="I384" s="15" t="str">
        <f>IFERROR(_xlfn.TEXTAFTER(TableTake[[#This Row],[SKU]],"-",-1),"")</f>
        <v>SU</v>
      </c>
      <c r="J384" s="14">
        <f>'[1]2026 Orders'!H385</f>
        <v>2246</v>
      </c>
      <c r="K384" t="str">
        <f>'[1]2026 Orders'!I385</f>
        <v>SU58-23.0</v>
      </c>
      <c r="L384">
        <f>'[1]2026 Orders'!J385</f>
        <v>0</v>
      </c>
      <c r="N384" s="10" t="str">
        <f>'[1]2026 Orders'!L385</f>
        <v>Transit to Warehouse</v>
      </c>
      <c r="O384">
        <f>'[1]2026 Orders'!M385</f>
        <v>0</v>
      </c>
      <c r="P384" t="str">
        <f>'[1]2026 Orders'!N385</f>
        <v>NA</v>
      </c>
      <c r="Q384">
        <f>'[1]2026 Orders'!O385</f>
        <v>609788968467</v>
      </c>
      <c r="R384">
        <f>'[1]2026 Orders'!P385</f>
        <v>4000</v>
      </c>
      <c r="S384">
        <f>'[1]2026 Orders'!Q385</f>
        <v>4808</v>
      </c>
      <c r="T384" t="str">
        <f>'[1]2026 Orders'!R385</f>
        <v>complete</v>
      </c>
      <c r="U384" t="str">
        <f>'[1]2026 Orders'!S385</f>
        <v>Awaiting for vendor packing list.</v>
      </c>
      <c r="V384">
        <f>'[1]2026 Orders'!T385</f>
        <v>0</v>
      </c>
      <c r="W384">
        <f>'[1]2026 Orders'!U385</f>
        <v>0</v>
      </c>
      <c r="X384">
        <f>'[1]2026 Orders'!V385</f>
        <v>0</v>
      </c>
      <c r="Y384">
        <f>'[1]2026 Orders'!W385</f>
        <v>0</v>
      </c>
      <c r="Z384">
        <f>'[1]2026 Orders'!X385</f>
        <v>0</v>
      </c>
      <c r="AC384" t="str">
        <f t="shared" si="10"/>
        <v>2246/</v>
      </c>
      <c r="AD384" t="e">
        <f t="shared" si="11"/>
        <v>#VALUE!</v>
      </c>
    </row>
    <row r="385" spans="1:30" ht="33" hidden="1" customHeight="1" x14ac:dyDescent="0.3">
      <c r="A385">
        <f>'[1]2026 Orders'!A386</f>
        <v>46139</v>
      </c>
      <c r="B385" s="14" t="str">
        <f>'[1]2026 Orders'!B386</f>
        <v>Sudan</v>
      </c>
      <c r="C385" s="14" t="str">
        <f>'[1]2026 Orders'!C386</f>
        <v>A4697</v>
      </c>
      <c r="D385" s="14">
        <f>'[1]2026 Orders'!D386</f>
        <v>0</v>
      </c>
      <c r="E385" s="17" t="str" cm="1">
        <f t="array" ref="E385">IF(C385=0,"",
HYPERLINK(
"#'2026 Orders'!C"&amp;
MATCH(1,
('2026 Orders'!C:C=C385)*
('2026 Orders'!G:G=G385)*
('2026 Orders'!N:N=N385),
0),
"Open "&amp;C385
))</f>
        <v>Open A4697</v>
      </c>
      <c r="F385" s="14">
        <f>'[1]2026 Orders'!F386</f>
        <v>0</v>
      </c>
      <c r="G385" s="14" t="str">
        <f>'[1]2026 Orders'!G386</f>
        <v>OVAMAX-120-RE</v>
      </c>
      <c r="H385" s="14" t="str" cm="1">
        <f t="array" ref="H385">IFERROR(_xlfn.TEXTJOIN("-",,INDEX(_xlfn.TEXTSPLIT(TableTake[[#This Row],[SKU]],"-"),{1,2})),"")</f>
        <v>OVAMAX-120</v>
      </c>
      <c r="I385" s="15" t="str">
        <f>IFERROR(_xlfn.TEXTAFTER(TableTake[[#This Row],[SKU]],"-",-1),"")</f>
        <v>RE</v>
      </c>
      <c r="J385" s="14">
        <f>'[1]2026 Orders'!H386</f>
        <v>1758</v>
      </c>
      <c r="K385" t="str">
        <f>'[1]2026 Orders'!I386</f>
        <v>R41-22.0</v>
      </c>
      <c r="L385">
        <f>'[1]2026 Orders'!J386</f>
        <v>0</v>
      </c>
      <c r="N385" s="10" t="str">
        <f>'[1]2026 Orders'!L386</f>
        <v>In Production</v>
      </c>
      <c r="O385">
        <f>'[1]2026 Orders'!M386</f>
        <v>0</v>
      </c>
      <c r="P385" t="str">
        <f>'[1]2026 Orders'!N386</f>
        <v>NA</v>
      </c>
      <c r="Q385">
        <f>'[1]2026 Orders'!O386</f>
        <v>609788968399</v>
      </c>
      <c r="R385">
        <f>'[1]2026 Orders'!P386</f>
        <v>10775</v>
      </c>
      <c r="S385">
        <f>'[1]2026 Orders'!Q386</f>
        <v>5055</v>
      </c>
      <c r="T385">
        <f>'[1]2026 Orders'!R386</f>
        <v>46213</v>
      </c>
      <c r="U385">
        <f>'[1]2026 Orders'!S386</f>
        <v>0</v>
      </c>
      <c r="V385">
        <f>'[1]2026 Orders'!T386</f>
        <v>0</v>
      </c>
      <c r="W385">
        <f>'[1]2026 Orders'!U386</f>
        <v>0</v>
      </c>
      <c r="X385">
        <f>'[1]2026 Orders'!V386</f>
        <v>0</v>
      </c>
      <c r="Y385">
        <f>'[1]2026 Orders'!W386</f>
        <v>0</v>
      </c>
      <c r="Z385">
        <f>'[1]2026 Orders'!X386</f>
        <v>0</v>
      </c>
      <c r="AC385" t="str">
        <f t="shared" si="10"/>
        <v>1758/</v>
      </c>
      <c r="AD385" t="e">
        <f t="shared" si="11"/>
        <v>#VALUE!</v>
      </c>
    </row>
    <row r="386" spans="1:30" ht="33" hidden="1" customHeight="1" x14ac:dyDescent="0.3">
      <c r="A386">
        <f>'[1]2026 Orders'!A387</f>
        <v>0</v>
      </c>
      <c r="B386" s="14">
        <f>'[1]2026 Orders'!B387</f>
        <v>0</v>
      </c>
      <c r="C386" s="14">
        <f>'[1]2026 Orders'!C387</f>
        <v>0</v>
      </c>
      <c r="D386" s="14">
        <f>'[1]2026 Orders'!D387</f>
        <v>0</v>
      </c>
      <c r="E386" s="17" t="str" cm="1">
        <f t="array" ref="E386">IF(C386=0,"",
HYPERLINK(
"#'2026 Orders'!C"&amp;
MATCH(1,
('2026 Orders'!C:C=C386)*
('2026 Orders'!G:G=G386)*
('2026 Orders'!N:N=N386),
0),
"Open "&amp;C386
))</f>
        <v/>
      </c>
      <c r="F386" s="14">
        <f>'[1]2026 Orders'!F387</f>
        <v>0</v>
      </c>
      <c r="G386" s="14">
        <f>'[1]2026 Orders'!G387</f>
        <v>0</v>
      </c>
      <c r="H386" s="14" t="str" cm="1">
        <f t="array" ref="H386">IFERROR(_xlfn.TEXTJOIN("-",,INDEX(_xlfn.TEXTSPLIT(TableTake[[#This Row],[SKU]],"-"),{1,2})),"")</f>
        <v/>
      </c>
      <c r="I386" s="15" t="str">
        <f>IFERROR(_xlfn.TEXTAFTER(TableTake[[#This Row],[SKU]],"-",-1),"")</f>
        <v/>
      </c>
      <c r="J386" s="14">
        <f>'[1]2026 Orders'!H387</f>
        <v>0</v>
      </c>
      <c r="K386">
        <f>'[1]2026 Orders'!I387</f>
        <v>0</v>
      </c>
      <c r="L386">
        <f>'[1]2026 Orders'!J387</f>
        <v>0</v>
      </c>
      <c r="N386" s="10">
        <f>'[1]2026 Orders'!L387</f>
        <v>0</v>
      </c>
      <c r="O386">
        <f>'[1]2026 Orders'!M387</f>
        <v>0</v>
      </c>
      <c r="P386">
        <f>'[1]2026 Orders'!N387</f>
        <v>0</v>
      </c>
      <c r="Q386">
        <f>'[1]2026 Orders'!O387</f>
        <v>0</v>
      </c>
      <c r="R386">
        <f>'[1]2026 Orders'!P387</f>
        <v>0</v>
      </c>
      <c r="S386">
        <f>'[1]2026 Orders'!Q387</f>
        <v>0</v>
      </c>
      <c r="T386">
        <f>'[1]2026 Orders'!R387</f>
        <v>0</v>
      </c>
      <c r="U386">
        <f>'[1]2026 Orders'!S387</f>
        <v>0</v>
      </c>
      <c r="V386">
        <f>'[1]2026 Orders'!T387</f>
        <v>0</v>
      </c>
      <c r="W386">
        <f>'[1]2026 Orders'!U387</f>
        <v>0</v>
      </c>
      <c r="X386">
        <f>'[1]2026 Orders'!V387</f>
        <v>0</v>
      </c>
      <c r="Y386">
        <f>'[1]2026 Orders'!W387</f>
        <v>0</v>
      </c>
      <c r="Z386">
        <f>'[1]2026 Orders'!X387</f>
        <v>0</v>
      </c>
      <c r="AC386" t="str">
        <f t="shared" si="10"/>
        <v/>
      </c>
      <c r="AD386" t="str">
        <f t="shared" si="11"/>
        <v/>
      </c>
    </row>
    <row r="387" spans="1:30" ht="33" hidden="1" customHeight="1" x14ac:dyDescent="0.3">
      <c r="A387">
        <f>'[1]2026 Orders'!A388</f>
        <v>46153</v>
      </c>
      <c r="B387" s="14" t="str">
        <f>'[1]2026 Orders'!B388</f>
        <v>Kenya</v>
      </c>
      <c r="C387" s="14" t="str">
        <f>'[1]2026 Orders'!C388</f>
        <v>A4699</v>
      </c>
      <c r="D387" s="14" t="str">
        <f>'[1]2026 Orders'!D388</f>
        <v>5/11/2026: Awaiting Pro Forma confirmation.                                         5/11/2026: Reduced qty to 488 pcs; removed from Sales Action Needed.                                            5/12/2026: Docs + D/W Sent</v>
      </c>
      <c r="E387" s="17" t="str" cm="1">
        <f t="array" ref="E387">IF(C387=0,"",
HYPERLINK(
"#'2026 Orders'!C"&amp;
MATCH(1,
('2026 Orders'!C:C=C387)*
('2026 Orders'!G:G=G387)*
('2026 Orders'!N:N=N387),
0),
"Open "&amp;C387
))</f>
        <v>Open A4699</v>
      </c>
      <c r="F387" s="14" t="str">
        <f>'[1]2026 Orders'!F388</f>
        <v>5/11/2026: Allocate 288 from Ethiopia A4575 + 200 from Uganda A4574.</v>
      </c>
      <c r="G387" s="14" t="str">
        <f>'[1]2026 Orders'!G388</f>
        <v>FERTMX-90-RE</v>
      </c>
      <c r="H387" s="14" t="str" cm="1">
        <f t="array" ref="H387">IFERROR(_xlfn.TEXTJOIN("-",,INDEX(_xlfn.TEXTSPLIT(TableTake[[#This Row],[SKU]],"-"),{1,2})),"")</f>
        <v>FERTMX-90</v>
      </c>
      <c r="I387" s="15" t="str">
        <f>IFERROR(_xlfn.TEXTAFTER(TableTake[[#This Row],[SKU]],"-",-1),"")</f>
        <v>RE</v>
      </c>
      <c r="J387" s="14">
        <f>'[1]2026 Orders'!H388</f>
        <v>488</v>
      </c>
      <c r="K387" t="str">
        <f>'[1]2026 Orders'!I388</f>
        <v>R16-22.0</v>
      </c>
      <c r="L387">
        <f>'[1]2026 Orders'!J388</f>
        <v>488</v>
      </c>
      <c r="N387" s="10" t="str">
        <f>'[1]2026 Orders'!L388</f>
        <v>D/W Sent</v>
      </c>
      <c r="O387" t="str">
        <f>'[1]2026 Orders'!M388</f>
        <v>5/12/2026: D/W sent</v>
      </c>
      <c r="P387" t="str">
        <f>'[1]2026 Orders'!N388</f>
        <v>Y</v>
      </c>
      <c r="Q387">
        <f>'[1]2026 Orders'!O388</f>
        <v>609788968726</v>
      </c>
      <c r="R387">
        <f>'[1]2026 Orders'!P388</f>
        <v>0</v>
      </c>
      <c r="S387">
        <f>'[1]2026 Orders'!Q388</f>
        <v>0</v>
      </c>
      <c r="T387">
        <f>'[1]2026 Orders'!R388</f>
        <v>0</v>
      </c>
      <c r="U387">
        <f>'[1]2026 Orders'!S388</f>
        <v>0</v>
      </c>
      <c r="V387">
        <f>'[1]2026 Orders'!T388</f>
        <v>0</v>
      </c>
      <c r="W387">
        <f>'[1]2026 Orders'!U388</f>
        <v>0</v>
      </c>
      <c r="X387">
        <f>'[1]2026 Orders'!V388</f>
        <v>0</v>
      </c>
      <c r="Y387">
        <f>'[1]2026 Orders'!W388</f>
        <v>0</v>
      </c>
      <c r="Z387" t="str">
        <f>'[1]2026 Orders'!X388</f>
        <v>HOLD</v>
      </c>
      <c r="AC387" t="str">
        <f t="shared" ref="AC387:AC450" si="12">IF(OR(B387="",B387=0),"",J387&amp;"/"&amp;$AJ$2)</f>
        <v>488/</v>
      </c>
      <c r="AD387" t="e">
        <f t="shared" ref="AD387:AD450" si="13">IF(OR(J387="",J387=0),"",I387&amp;" -&gt; "&amp;$AK$2)</f>
        <v>#VALUE!</v>
      </c>
    </row>
    <row r="388" spans="1:30" ht="33" hidden="1" customHeight="1" x14ac:dyDescent="0.3">
      <c r="A388">
        <f>'[1]2026 Orders'!A389</f>
        <v>0</v>
      </c>
      <c r="B388" s="14">
        <f>'[1]2026 Orders'!B389</f>
        <v>0</v>
      </c>
      <c r="C388" s="14">
        <f>'[1]2026 Orders'!C389</f>
        <v>0</v>
      </c>
      <c r="D388" s="14">
        <f>'[1]2026 Orders'!D389</f>
        <v>0</v>
      </c>
      <c r="E388" s="17" t="str" cm="1">
        <f t="array" ref="E388">IF(C388=0,"",
HYPERLINK(
"#'2026 Orders'!C"&amp;
MATCH(1,
('2026 Orders'!C:C=C388)*
('2026 Orders'!G:G=G388)*
('2026 Orders'!N:N=N388),
0),
"Open "&amp;C388
))</f>
        <v/>
      </c>
      <c r="F388" s="14">
        <f>'[1]2026 Orders'!F389</f>
        <v>0</v>
      </c>
      <c r="G388" s="14">
        <f>'[1]2026 Orders'!G389</f>
        <v>0</v>
      </c>
      <c r="H388" s="14" t="str" cm="1">
        <f t="array" ref="H388">IFERROR(_xlfn.TEXTJOIN("-",,INDEX(_xlfn.TEXTSPLIT(TableTake[[#This Row],[SKU]],"-"),{1,2})),"")</f>
        <v/>
      </c>
      <c r="I388" s="15" t="str">
        <f>IFERROR(_xlfn.TEXTAFTER(TableTake[[#This Row],[SKU]],"-",-1),"")</f>
        <v/>
      </c>
      <c r="J388" s="14">
        <f>'[1]2026 Orders'!H389</f>
        <v>0</v>
      </c>
      <c r="K388">
        <f>'[1]2026 Orders'!I389</f>
        <v>0</v>
      </c>
      <c r="L388">
        <f>'[1]2026 Orders'!J389</f>
        <v>0</v>
      </c>
      <c r="N388" s="10">
        <f>'[1]2026 Orders'!L389</f>
        <v>0</v>
      </c>
      <c r="O388">
        <f>'[1]2026 Orders'!M389</f>
        <v>0</v>
      </c>
      <c r="P388">
        <f>'[1]2026 Orders'!N389</f>
        <v>0</v>
      </c>
      <c r="Q388">
        <f>'[1]2026 Orders'!O389</f>
        <v>0</v>
      </c>
      <c r="R388">
        <f>'[1]2026 Orders'!P389</f>
        <v>0</v>
      </c>
      <c r="S388">
        <f>'[1]2026 Orders'!Q389</f>
        <v>0</v>
      </c>
      <c r="T388">
        <f>'[1]2026 Orders'!R389</f>
        <v>0</v>
      </c>
      <c r="U388">
        <f>'[1]2026 Orders'!S389</f>
        <v>0</v>
      </c>
      <c r="V388">
        <f>'[1]2026 Orders'!T389</f>
        <v>0</v>
      </c>
      <c r="W388">
        <f>'[1]2026 Orders'!U389</f>
        <v>0</v>
      </c>
      <c r="X388">
        <f>'[1]2026 Orders'!V389</f>
        <v>0</v>
      </c>
      <c r="Y388">
        <f>'[1]2026 Orders'!W389</f>
        <v>0</v>
      </c>
      <c r="Z388">
        <f>'[1]2026 Orders'!X389</f>
        <v>0</v>
      </c>
      <c r="AC388" t="str">
        <f t="shared" si="12"/>
        <v/>
      </c>
      <c r="AD388" t="str">
        <f t="shared" si="13"/>
        <v/>
      </c>
    </row>
    <row r="389" spans="1:30" ht="33" hidden="1" customHeight="1" x14ac:dyDescent="0.3">
      <c r="A389">
        <f>'[1]2026 Orders'!A390</f>
        <v>46153</v>
      </c>
      <c r="B389" s="14" t="str">
        <f>'[1]2026 Orders'!B390</f>
        <v>Kenya</v>
      </c>
      <c r="C389" s="14" t="str">
        <f>'[1]2026 Orders'!C390</f>
        <v>A4700</v>
      </c>
      <c r="D389" s="14" t="str">
        <f>'[1]2026 Orders'!D390</f>
        <v>5/11/2026: Awaiting Pro Forma confirmation.                                     5/14/2026: Pro Forma Invoice approved. Removed from Sales Action Needed.</v>
      </c>
      <c r="E389" s="17" t="str" cm="1">
        <f t="array" ref="E389">IF(C389=0,"",
HYPERLINK(
"#'2026 Orders'!C"&amp;
MATCH(1,
('2026 Orders'!C:C=C389)*
('2026 Orders'!G:G=G389)*
('2026 Orders'!N:N=N389),
0),
"Open "&amp;C389
))</f>
        <v>Open A4700</v>
      </c>
      <c r="F389" s="14">
        <f>'[1]2026 Orders'!F390</f>
        <v>0</v>
      </c>
      <c r="G389" s="14" t="str">
        <f>'[1]2026 Orders'!G390</f>
        <v>FIBRO-60-FD</v>
      </c>
      <c r="H389" s="14" t="str" cm="1">
        <f t="array" ref="H389">IFERROR(_xlfn.TEXTJOIN("-",,INDEX(_xlfn.TEXTSPLIT(TableTake[[#This Row],[SKU]],"-"),{1,2})),"")</f>
        <v>FIBRO-60</v>
      </c>
      <c r="I389" s="15" t="str">
        <f>IFERROR(_xlfn.TEXTAFTER(TableTake[[#This Row],[SKU]],"-",-1),"")</f>
        <v>FD</v>
      </c>
      <c r="J389" s="14">
        <f>'[1]2026 Orders'!H390</f>
        <v>168</v>
      </c>
      <c r="K389" t="str">
        <f>'[1]2026 Orders'!I390</f>
        <v>F17-25.1</v>
      </c>
      <c r="L389">
        <f>'[1]2026 Orders'!J390</f>
        <v>168</v>
      </c>
      <c r="N389" s="10" t="str">
        <f>'[1]2026 Orders'!L390</f>
        <v>Rework</v>
      </c>
      <c r="O389">
        <f>'[1]2026 Orders'!M390</f>
        <v>0</v>
      </c>
      <c r="P389" t="str">
        <f>'[1]2026 Orders'!N390</f>
        <v>NA</v>
      </c>
      <c r="Q389">
        <f>'[1]2026 Orders'!O390</f>
        <v>609788968498</v>
      </c>
      <c r="R389">
        <f>'[1]2026 Orders'!P390</f>
        <v>0</v>
      </c>
      <c r="S389">
        <f>'[1]2026 Orders'!Q390</f>
        <v>0</v>
      </c>
      <c r="T389">
        <f>'[1]2026 Orders'!R390</f>
        <v>0</v>
      </c>
      <c r="U389">
        <f>'[1]2026 Orders'!S390</f>
        <v>0</v>
      </c>
      <c r="V389">
        <f>'[1]2026 Orders'!T390</f>
        <v>0</v>
      </c>
      <c r="W389">
        <f>'[1]2026 Orders'!U390</f>
        <v>0</v>
      </c>
      <c r="X389">
        <f>'[1]2026 Orders'!V390</f>
        <v>0</v>
      </c>
      <c r="Y389">
        <f>'[1]2026 Orders'!W390</f>
        <v>0</v>
      </c>
      <c r="Z389" t="str">
        <f>'[1]2026 Orders'!X390</f>
        <v>HOLD</v>
      </c>
      <c r="AC389" t="str">
        <f t="shared" si="12"/>
        <v>168/</v>
      </c>
      <c r="AD389" t="e">
        <f t="shared" si="13"/>
        <v>#VALUE!</v>
      </c>
    </row>
    <row r="390" spans="1:30" ht="33" hidden="1" customHeight="1" x14ac:dyDescent="0.3">
      <c r="A390">
        <f>'[1]2026 Orders'!A391</f>
        <v>46153</v>
      </c>
      <c r="B390" s="14" t="str">
        <f>'[1]2026 Orders'!B391</f>
        <v>Kenya</v>
      </c>
      <c r="C390" s="14" t="str">
        <f>'[1]2026 Orders'!C391</f>
        <v>A4700</v>
      </c>
      <c r="D390" s="14">
        <f>'[1]2026 Orders'!D391</f>
        <v>0</v>
      </c>
      <c r="E390" s="17" t="str" cm="1">
        <f t="array" ref="E390">IF(C390=0,"",
HYPERLINK(
"#'2026 Orders'!C"&amp;
MATCH(1,
('2026 Orders'!C:C=C390)*
('2026 Orders'!G:G=G390)*
('2026 Orders'!N:N=N390),
0),
"Open "&amp;C390
))</f>
        <v>Open A4700</v>
      </c>
      <c r="F390" s="14">
        <f>'[1]2026 Orders'!F391</f>
        <v>0</v>
      </c>
      <c r="G390" s="14" t="str">
        <f>'[1]2026 Orders'!G391</f>
        <v>WFSPLS-180-FD</v>
      </c>
      <c r="H390" s="14" t="str" cm="1">
        <f t="array" ref="H390">IFERROR(_xlfn.TEXTJOIN("-",,INDEX(_xlfn.TEXTSPLIT(TableTake[[#This Row],[SKU]],"-"),{1,2})),"")</f>
        <v>WFSPLS-180</v>
      </c>
      <c r="I390" s="15" t="str">
        <f>IFERROR(_xlfn.TEXTAFTER(TableTake[[#This Row],[SKU]],"-",-1),"")</f>
        <v>FD</v>
      </c>
      <c r="J390" s="14">
        <f>'[1]2026 Orders'!H391</f>
        <v>120</v>
      </c>
      <c r="K390" t="str">
        <f>'[1]2026 Orders'!I391</f>
        <v>F73-23.0</v>
      </c>
      <c r="L390">
        <f>'[1]2026 Orders'!J391</f>
        <v>0</v>
      </c>
      <c r="N390" s="10" t="str">
        <f>'[1]2026 Orders'!L391</f>
        <v>PO Drafted</v>
      </c>
      <c r="O390">
        <f>'[1]2026 Orders'!M391</f>
        <v>0</v>
      </c>
      <c r="P390" t="str">
        <f>'[1]2026 Orders'!N391</f>
        <v>NA</v>
      </c>
      <c r="Q390">
        <f>'[1]2026 Orders'!O391</f>
        <v>609788968351</v>
      </c>
      <c r="R390">
        <f>'[1]2026 Orders'!P391</f>
        <v>5000</v>
      </c>
      <c r="S390">
        <f>'[1]2026 Orders'!Q391</f>
        <v>5043</v>
      </c>
      <c r="T390" t="str">
        <f>'[1]2026 Orders'!R391</f>
        <v>TBD</v>
      </c>
      <c r="U390" t="str">
        <f>'[1]2026 Orders'!S391</f>
        <v>Pending approval to send to vendor</v>
      </c>
      <c r="V390">
        <f>'[1]2026 Orders'!T391</f>
        <v>0</v>
      </c>
      <c r="W390">
        <f>'[1]2026 Orders'!U391</f>
        <v>0</v>
      </c>
      <c r="X390">
        <f>'[1]2026 Orders'!V391</f>
        <v>0</v>
      </c>
      <c r="Y390">
        <f>'[1]2026 Orders'!W391</f>
        <v>0</v>
      </c>
      <c r="Z390">
        <f>'[1]2026 Orders'!X391</f>
        <v>0</v>
      </c>
      <c r="AC390" t="str">
        <f t="shared" si="12"/>
        <v>120/</v>
      </c>
      <c r="AD390" t="e">
        <f t="shared" si="13"/>
        <v>#VALUE!</v>
      </c>
    </row>
    <row r="391" spans="1:30" ht="33" hidden="1" customHeight="1" x14ac:dyDescent="0.3">
      <c r="A391">
        <f>'[1]2026 Orders'!A392</f>
        <v>46153</v>
      </c>
      <c r="B391" s="14" t="str">
        <f>'[1]2026 Orders'!B392</f>
        <v>Kenya</v>
      </c>
      <c r="C391" s="14" t="str">
        <f>'[1]2026 Orders'!C392</f>
        <v>A4700</v>
      </c>
      <c r="D391" s="14">
        <f>'[1]2026 Orders'!D392</f>
        <v>0</v>
      </c>
      <c r="E391" s="17" t="str" cm="1">
        <f t="array" ref="E391">IF(C391=0,"",
HYPERLINK(
"#'2026 Orders'!C"&amp;
MATCH(1,
('2026 Orders'!C:C=C391)*
('2026 Orders'!G:G=G391)*
('2026 Orders'!N:N=N391),
0),
"Open "&amp;C391
))</f>
        <v>Open A4700</v>
      </c>
      <c r="F391" s="14">
        <f>'[1]2026 Orders'!F392</f>
        <v>0</v>
      </c>
      <c r="G391" s="14" t="str">
        <f>'[1]2026 Orders'!G392</f>
        <v>SPERMCT-60-FD</v>
      </c>
      <c r="H391" s="14" t="str" cm="1">
        <f t="array" ref="H391">IFERROR(_xlfn.TEXTJOIN("-",,INDEX(_xlfn.TEXTSPLIT(TableTake[[#This Row],[SKU]],"-"),{1,2})),"")</f>
        <v>SPERMCT-60</v>
      </c>
      <c r="I391" s="15" t="str">
        <f>IFERROR(_xlfn.TEXTAFTER(TableTake[[#This Row],[SKU]],"-",-1),"")</f>
        <v>FD</v>
      </c>
      <c r="J391" s="14">
        <f>'[1]2026 Orders'!H392</f>
        <v>24</v>
      </c>
      <c r="K391" t="str">
        <f>'[1]2026 Orders'!I392</f>
        <v>F64-25.0</v>
      </c>
      <c r="L391">
        <f>'[1]2026 Orders'!J392</f>
        <v>24</v>
      </c>
      <c r="N391" s="10" t="str">
        <f>'[1]2026 Orders'!L392</f>
        <v>Rework</v>
      </c>
      <c r="O391">
        <f>'[1]2026 Orders'!M392</f>
        <v>0</v>
      </c>
      <c r="P391" t="str">
        <f>'[1]2026 Orders'!N392</f>
        <v>NA</v>
      </c>
      <c r="Q391">
        <f>'[1]2026 Orders'!O392</f>
        <v>609788968405</v>
      </c>
      <c r="R391">
        <f>'[1]2026 Orders'!P392</f>
        <v>0</v>
      </c>
      <c r="S391">
        <f>'[1]2026 Orders'!Q392</f>
        <v>0</v>
      </c>
      <c r="T391">
        <f>'[1]2026 Orders'!R392</f>
        <v>0</v>
      </c>
      <c r="U391">
        <f>'[1]2026 Orders'!S392</f>
        <v>0</v>
      </c>
      <c r="V391">
        <f>'[1]2026 Orders'!T392</f>
        <v>0</v>
      </c>
      <c r="W391">
        <f>'[1]2026 Orders'!U392</f>
        <v>0</v>
      </c>
      <c r="X391">
        <f>'[1]2026 Orders'!V392</f>
        <v>0</v>
      </c>
      <c r="Y391">
        <f>'[1]2026 Orders'!W392</f>
        <v>0</v>
      </c>
      <c r="Z391">
        <f>'[1]2026 Orders'!X392</f>
        <v>0</v>
      </c>
      <c r="AC391" t="str">
        <f t="shared" si="12"/>
        <v>24/</v>
      </c>
      <c r="AD391" t="e">
        <f t="shared" si="13"/>
        <v>#VALUE!</v>
      </c>
    </row>
    <row r="392" spans="1:30" ht="33" hidden="1" customHeight="1" x14ac:dyDescent="0.3">
      <c r="A392">
        <f>'[1]2026 Orders'!A393</f>
        <v>46153</v>
      </c>
      <c r="B392" s="14" t="str">
        <f>'[1]2026 Orders'!B393</f>
        <v>Kenya</v>
      </c>
      <c r="C392" s="14" t="str">
        <f>'[1]2026 Orders'!C393</f>
        <v>A4700</v>
      </c>
      <c r="D392" s="14">
        <f>'[1]2026 Orders'!D393</f>
        <v>0</v>
      </c>
      <c r="E392" s="17" t="str" cm="1">
        <f t="array" ref="E392">IF(C392=0,"",
HYPERLINK(
"#'2026 Orders'!C"&amp;
MATCH(1,
('2026 Orders'!C:C=C392)*
('2026 Orders'!G:G=G392)*
('2026 Orders'!N:N=N392),
0),
"Open "&amp;C392
))</f>
        <v>Open A4700</v>
      </c>
      <c r="F392" s="14">
        <f>'[1]2026 Orders'!F393</f>
        <v>0</v>
      </c>
      <c r="G392" s="14" t="str">
        <f>'[1]2026 Orders'!G393</f>
        <v>OVAMAX-120-FD</v>
      </c>
      <c r="H392" s="14" t="str" cm="1">
        <f t="array" ref="H392">IFERROR(_xlfn.TEXTJOIN("-",,INDEX(_xlfn.TEXTSPLIT(TableTake[[#This Row],[SKU]],"-"),{1,2})),"")</f>
        <v>OVAMAX-120</v>
      </c>
      <c r="I392" s="15" t="str">
        <f>IFERROR(_xlfn.TEXTAFTER(TableTake[[#This Row],[SKU]],"-",-1),"")</f>
        <v>FD</v>
      </c>
      <c r="J392" s="14">
        <f>'[1]2026 Orders'!H393</f>
        <v>312</v>
      </c>
      <c r="K392" t="str">
        <f>'[1]2026 Orders'!I393</f>
        <v>F41-25.0</v>
      </c>
      <c r="L392">
        <f>'[1]2026 Orders'!J393</f>
        <v>312</v>
      </c>
      <c r="N392" s="10" t="str">
        <f>'[1]2026 Orders'!L393</f>
        <v>In Production</v>
      </c>
      <c r="O392">
        <f>'[1]2026 Orders'!M393</f>
        <v>0</v>
      </c>
      <c r="P392" t="str">
        <f>'[1]2026 Orders'!N393</f>
        <v>NA</v>
      </c>
      <c r="Q392">
        <f>'[1]2026 Orders'!O393</f>
        <v>810131199586</v>
      </c>
      <c r="R392">
        <f>'[1]2026 Orders'!P393</f>
        <v>10775</v>
      </c>
      <c r="S392">
        <f>'[1]2026 Orders'!Q393</f>
        <v>5055</v>
      </c>
      <c r="T392">
        <f>'[1]2026 Orders'!R393</f>
        <v>46213</v>
      </c>
      <c r="U392">
        <f>'[1]2026 Orders'!S393</f>
        <v>0</v>
      </c>
      <c r="V392">
        <f>'[1]2026 Orders'!T393</f>
        <v>0</v>
      </c>
      <c r="W392">
        <f>'[1]2026 Orders'!U393</f>
        <v>0</v>
      </c>
      <c r="X392">
        <f>'[1]2026 Orders'!V393</f>
        <v>0</v>
      </c>
      <c r="Y392">
        <f>'[1]2026 Orders'!W393</f>
        <v>0</v>
      </c>
      <c r="Z392">
        <f>'[1]2026 Orders'!X393</f>
        <v>0</v>
      </c>
      <c r="AC392" t="str">
        <f t="shared" si="12"/>
        <v>312/</v>
      </c>
      <c r="AD392" t="e">
        <f t="shared" si="13"/>
        <v>#VALUE!</v>
      </c>
    </row>
    <row r="393" spans="1:30" ht="33" hidden="1" customHeight="1" x14ac:dyDescent="0.3">
      <c r="A393">
        <f>'[1]2026 Orders'!A394</f>
        <v>46153</v>
      </c>
      <c r="B393" s="14" t="str">
        <f>'[1]2026 Orders'!B394</f>
        <v>Kenya</v>
      </c>
      <c r="C393" s="14" t="str">
        <f>'[1]2026 Orders'!C394</f>
        <v>A4700</v>
      </c>
      <c r="D393" s="14">
        <f>'[1]2026 Orders'!D394</f>
        <v>0</v>
      </c>
      <c r="E393" s="17" t="str" cm="1">
        <f t="array" ref="E393">IF(C393=0,"",
HYPERLINK(
"#'2026 Orders'!C"&amp;
MATCH(1,
('2026 Orders'!C:C=C393)*
('2026 Orders'!G:G=G393)*
('2026 Orders'!N:N=N393),
0),
"Open "&amp;C393
))</f>
        <v>Open A4700</v>
      </c>
      <c r="F393" s="14">
        <f>'[1]2026 Orders'!F394</f>
        <v>0</v>
      </c>
      <c r="G393" s="14" t="str">
        <f>'[1]2026 Orders'!G394</f>
        <v>FERTMX-90-RE</v>
      </c>
      <c r="H393" s="14" t="str" cm="1">
        <f t="array" ref="H393">IFERROR(_xlfn.TEXTJOIN("-",,INDEX(_xlfn.TEXTSPLIT(TableTake[[#This Row],[SKU]],"-"),{1,2})),"")</f>
        <v>FERTMX-90</v>
      </c>
      <c r="I393" s="15" t="str">
        <f>IFERROR(_xlfn.TEXTAFTER(TableTake[[#This Row],[SKU]],"-",-1),"")</f>
        <v>RE</v>
      </c>
      <c r="J393" s="14">
        <f>'[1]2026 Orders'!H394</f>
        <v>480</v>
      </c>
      <c r="K393" t="str">
        <f>'[1]2026 Orders'!I394</f>
        <v>R16-22.0</v>
      </c>
      <c r="L393">
        <f>'[1]2026 Orders'!J394</f>
        <v>0</v>
      </c>
      <c r="N393" s="10" t="str">
        <f>'[1]2026 Orders'!L394</f>
        <v>PO submitted</v>
      </c>
      <c r="O393">
        <f>'[1]2026 Orders'!M394</f>
        <v>0</v>
      </c>
      <c r="P393" t="str">
        <f>'[1]2026 Orders'!N394</f>
        <v>Y</v>
      </c>
      <c r="Q393">
        <f>'[1]2026 Orders'!O394</f>
        <v>609788968726</v>
      </c>
      <c r="R393">
        <f>'[1]2026 Orders'!P394</f>
        <v>5000</v>
      </c>
      <c r="S393">
        <f>'[1]2026 Orders'!Q394</f>
        <v>5041</v>
      </c>
      <c r="T393" t="str">
        <f>'[1]2026 Orders'!R394</f>
        <v>TBD</v>
      </c>
      <c r="U393" t="str">
        <f>'[1]2026 Orders'!S394</f>
        <v>Waiting for vendor confirmation.</v>
      </c>
      <c r="V393">
        <f>'[1]2026 Orders'!T394</f>
        <v>0</v>
      </c>
      <c r="W393">
        <f>'[1]2026 Orders'!U394</f>
        <v>0</v>
      </c>
      <c r="X393">
        <f>'[1]2026 Orders'!V394</f>
        <v>0</v>
      </c>
      <c r="Y393">
        <f>'[1]2026 Orders'!W394</f>
        <v>0</v>
      </c>
      <c r="Z393">
        <f>'[1]2026 Orders'!X394</f>
        <v>0</v>
      </c>
      <c r="AC393" t="str">
        <f t="shared" si="12"/>
        <v>480/</v>
      </c>
      <c r="AD393" t="e">
        <f t="shared" si="13"/>
        <v>#VALUE!</v>
      </c>
    </row>
    <row r="394" spans="1:30" ht="33" hidden="1" customHeight="1" x14ac:dyDescent="0.3">
      <c r="A394">
        <f>'[1]2026 Orders'!A395</f>
        <v>46153</v>
      </c>
      <c r="B394" s="14" t="str">
        <f>'[1]2026 Orders'!B395</f>
        <v>Kenya</v>
      </c>
      <c r="C394" s="14" t="str">
        <f>'[1]2026 Orders'!C395</f>
        <v>A4700</v>
      </c>
      <c r="D394" s="14">
        <f>'[1]2026 Orders'!D395</f>
        <v>0</v>
      </c>
      <c r="E394" s="17" t="str" cm="1">
        <f t="array" ref="E394">IF(C394=0,"",
HYPERLINK(
"#'2026 Orders'!C"&amp;
MATCH(1,
('2026 Orders'!C:C=C394)*
('2026 Orders'!G:G=G394)*
('2026 Orders'!N:N=N394),
0),
"Open "&amp;C394
))</f>
        <v>Open A4700</v>
      </c>
      <c r="F394" s="14">
        <f>'[1]2026 Orders'!F395</f>
        <v>0</v>
      </c>
      <c r="G394" s="14" t="str">
        <f>'[1]2026 Orders'!G395</f>
        <v>PRECON-90-FD</v>
      </c>
      <c r="H394" s="14" t="str" cm="1">
        <f t="array" ref="H394">IFERROR(_xlfn.TEXTJOIN("-",,INDEX(_xlfn.TEXTSPLIT(TableTake[[#This Row],[SKU]],"-"),{1,2})),"")</f>
        <v>PRECON-90</v>
      </c>
      <c r="I394" s="15" t="str">
        <f>IFERROR(_xlfn.TEXTAFTER(TableTake[[#This Row],[SKU]],"-",-1),"")</f>
        <v>FD</v>
      </c>
      <c r="J394" s="14">
        <f>'[1]2026 Orders'!H395</f>
        <v>24</v>
      </c>
      <c r="K394" t="str">
        <f>'[1]2026 Orders'!I395</f>
        <v>F54-23.0</v>
      </c>
      <c r="L394">
        <f>'[1]2026 Orders'!J395</f>
        <v>24</v>
      </c>
      <c r="N394" s="10" t="str">
        <f>'[1]2026 Orders'!L395</f>
        <v>Rework</v>
      </c>
      <c r="O394">
        <f>'[1]2026 Orders'!M395</f>
        <v>0</v>
      </c>
      <c r="P394" t="str">
        <f>'[1]2026 Orders'!N395</f>
        <v>NA</v>
      </c>
      <c r="Q394">
        <f>'[1]2026 Orders'!O395</f>
        <v>609788968368</v>
      </c>
      <c r="R394">
        <f>'[1]2026 Orders'!P395</f>
        <v>0</v>
      </c>
      <c r="S394">
        <f>'[1]2026 Orders'!Q395</f>
        <v>0</v>
      </c>
      <c r="T394">
        <f>'[1]2026 Orders'!R395</f>
        <v>0</v>
      </c>
      <c r="U394">
        <f>'[1]2026 Orders'!S395</f>
        <v>0</v>
      </c>
      <c r="V394">
        <f>'[1]2026 Orders'!T395</f>
        <v>0</v>
      </c>
      <c r="W394">
        <f>'[1]2026 Orders'!U395</f>
        <v>0</v>
      </c>
      <c r="X394">
        <f>'[1]2026 Orders'!V395</f>
        <v>0</v>
      </c>
      <c r="Y394">
        <f>'[1]2026 Orders'!W395</f>
        <v>0</v>
      </c>
      <c r="Z394">
        <f>'[1]2026 Orders'!X395</f>
        <v>0</v>
      </c>
      <c r="AC394" t="str">
        <f t="shared" si="12"/>
        <v>24/</v>
      </c>
      <c r="AD394" t="e">
        <f t="shared" si="13"/>
        <v>#VALUE!</v>
      </c>
    </row>
    <row r="395" spans="1:30" ht="33" hidden="1" customHeight="1" x14ac:dyDescent="0.3">
      <c r="A395">
        <f>'[1]2026 Orders'!A396</f>
        <v>46153</v>
      </c>
      <c r="B395" s="14" t="str">
        <f>'[1]2026 Orders'!B396</f>
        <v>Kenya</v>
      </c>
      <c r="C395" s="14" t="str">
        <f>'[1]2026 Orders'!C396</f>
        <v>A4700</v>
      </c>
      <c r="D395" s="14">
        <f>'[1]2026 Orders'!D396</f>
        <v>0</v>
      </c>
      <c r="E395" s="17" t="str" cm="1">
        <f t="array" ref="E395">IF(C395=0,"",
HYPERLINK(
"#'2026 Orders'!C"&amp;
MATCH(1,
('2026 Orders'!C:C=C395)*
('2026 Orders'!G:G=G395)*
('2026 Orders'!N:N=N395),
0),
"Open "&amp;C395
))</f>
        <v>Open A4700</v>
      </c>
      <c r="F395" s="14">
        <f>'[1]2026 Orders'!F396</f>
        <v>0</v>
      </c>
      <c r="G395" s="14" t="str">
        <f>'[1]2026 Orders'!G396</f>
        <v>POLYSIT-90-FD</v>
      </c>
      <c r="H395" s="14" t="str" cm="1">
        <f t="array" ref="H395">IFERROR(_xlfn.TEXTJOIN("-",,INDEX(_xlfn.TEXTSPLIT(TableTake[[#This Row],[SKU]],"-"),{1,2})),"")</f>
        <v>POLYSIT-90</v>
      </c>
      <c r="I395" s="15" t="str">
        <f>IFERROR(_xlfn.TEXTAFTER(TableTake[[#This Row],[SKU]],"-",-1),"")</f>
        <v>FD</v>
      </c>
      <c r="J395" s="14">
        <f>'[1]2026 Orders'!H396</f>
        <v>24</v>
      </c>
      <c r="K395" t="str">
        <f>'[1]2026 Orders'!I396</f>
        <v>F53-24.0</v>
      </c>
      <c r="L395">
        <f>'[1]2026 Orders'!J396</f>
        <v>0</v>
      </c>
      <c r="N395" s="10" t="str">
        <f>'[1]2026 Orders'!L396</f>
        <v>In Production</v>
      </c>
      <c r="O395">
        <f>'[1]2026 Orders'!M396</f>
        <v>0</v>
      </c>
      <c r="P395" t="str">
        <f>'[1]2026 Orders'!N396</f>
        <v>Y</v>
      </c>
      <c r="Q395">
        <f>'[1]2026 Orders'!O396</f>
        <v>609788969006</v>
      </c>
      <c r="R395">
        <f>'[1]2026 Orders'!P396</f>
        <v>5000</v>
      </c>
      <c r="S395">
        <f>'[1]2026 Orders'!Q396</f>
        <v>5034</v>
      </c>
      <c r="T395">
        <f>'[1]2026 Orders'!R396</f>
        <v>46204</v>
      </c>
      <c r="U395">
        <f>'[1]2026 Orders'!S396</f>
        <v>0</v>
      </c>
      <c r="V395">
        <f>'[1]2026 Orders'!T396</f>
        <v>0</v>
      </c>
      <c r="W395">
        <f>'[1]2026 Orders'!U396</f>
        <v>0</v>
      </c>
      <c r="X395">
        <f>'[1]2026 Orders'!V396</f>
        <v>0</v>
      </c>
      <c r="Y395">
        <f>'[1]2026 Orders'!W396</f>
        <v>0</v>
      </c>
      <c r="Z395">
        <f>'[1]2026 Orders'!X396</f>
        <v>0</v>
      </c>
      <c r="AC395" t="str">
        <f t="shared" si="12"/>
        <v>24/</v>
      </c>
      <c r="AD395" t="e">
        <f t="shared" si="13"/>
        <v>#VALUE!</v>
      </c>
    </row>
    <row r="396" spans="1:30" ht="33" hidden="1" customHeight="1" x14ac:dyDescent="0.3">
      <c r="A396">
        <f>'[1]2026 Orders'!A397</f>
        <v>46153</v>
      </c>
      <c r="B396" s="14" t="str">
        <f>'[1]2026 Orders'!B397</f>
        <v>Kenya</v>
      </c>
      <c r="C396" s="14" t="str">
        <f>'[1]2026 Orders'!C397</f>
        <v>A4700</v>
      </c>
      <c r="D396" s="14">
        <f>'[1]2026 Orders'!D397</f>
        <v>0</v>
      </c>
      <c r="E396" s="17" t="str" cm="1">
        <f t="array" ref="E396">IF(C396=0,"",
HYPERLINK(
"#'2026 Orders'!C"&amp;
MATCH(1,
('2026 Orders'!C:C=C396)*
('2026 Orders'!G:G=G396)*
('2026 Orders'!N:N=N396),
0),
"Open "&amp;C396
))</f>
        <v>Open A4700</v>
      </c>
      <c r="F396" s="14">
        <f>'[1]2026 Orders'!F397</f>
        <v>0</v>
      </c>
      <c r="G396" s="14" t="str">
        <f>'[1]2026 Orders'!G397</f>
        <v>METRIO-60-FD</v>
      </c>
      <c r="H396" s="14" t="str" cm="1">
        <f t="array" ref="H396">IFERROR(_xlfn.TEXTJOIN("-",,INDEX(_xlfn.TEXTSPLIT(TableTake[[#This Row],[SKU]],"-"),{1,2})),"")</f>
        <v>METRIO-60</v>
      </c>
      <c r="I396" s="15" t="str">
        <f>IFERROR(_xlfn.TEXTAFTER(TableTake[[#This Row],[SKU]],"-",-1),"")</f>
        <v>FD</v>
      </c>
      <c r="J396" s="14">
        <f>'[1]2026 Orders'!H397</f>
        <v>24</v>
      </c>
      <c r="K396" t="str">
        <f>'[1]2026 Orders'!I397</f>
        <v>F28-25.0</v>
      </c>
      <c r="L396">
        <f>'[1]2026 Orders'!J397</f>
        <v>24</v>
      </c>
      <c r="N396" s="10" t="str">
        <f>'[1]2026 Orders'!L397</f>
        <v>Rework</v>
      </c>
      <c r="O396">
        <f>'[1]2026 Orders'!M397</f>
        <v>0</v>
      </c>
      <c r="P396" t="str">
        <f>'[1]2026 Orders'!N397</f>
        <v>NA</v>
      </c>
      <c r="Q396">
        <f>'[1]2026 Orders'!O397</f>
        <v>609788968481</v>
      </c>
      <c r="R396">
        <f>'[1]2026 Orders'!P397</f>
        <v>0</v>
      </c>
      <c r="S396">
        <f>'[1]2026 Orders'!Q397</f>
        <v>0</v>
      </c>
      <c r="T396">
        <f>'[1]2026 Orders'!R397</f>
        <v>0</v>
      </c>
      <c r="U396">
        <f>'[1]2026 Orders'!S397</f>
        <v>0</v>
      </c>
      <c r="V396">
        <f>'[1]2026 Orders'!T397</f>
        <v>0</v>
      </c>
      <c r="W396">
        <f>'[1]2026 Orders'!U397</f>
        <v>0</v>
      </c>
      <c r="X396">
        <f>'[1]2026 Orders'!V397</f>
        <v>0</v>
      </c>
      <c r="Y396">
        <f>'[1]2026 Orders'!W397</f>
        <v>0</v>
      </c>
      <c r="Z396">
        <f>'[1]2026 Orders'!X397</f>
        <v>0</v>
      </c>
      <c r="AC396" t="str">
        <f t="shared" si="12"/>
        <v>24/</v>
      </c>
      <c r="AD396" t="e">
        <f t="shared" si="13"/>
        <v>#VALUE!</v>
      </c>
    </row>
    <row r="397" spans="1:30" ht="33" hidden="1" customHeight="1" x14ac:dyDescent="0.3">
      <c r="A397">
        <f>'[1]2026 Orders'!A398</f>
        <v>0</v>
      </c>
      <c r="B397" s="14">
        <f>'[1]2026 Orders'!B398</f>
        <v>0</v>
      </c>
      <c r="C397" s="14">
        <f>'[1]2026 Orders'!C398</f>
        <v>0</v>
      </c>
      <c r="D397" s="14">
        <f>'[1]2026 Orders'!D398</f>
        <v>0</v>
      </c>
      <c r="E397" s="17" t="str" cm="1">
        <f t="array" ref="E397">IF(C397=0,"",
HYPERLINK(
"#'2026 Orders'!C"&amp;
MATCH(1,
('2026 Orders'!C:C=C397)*
('2026 Orders'!G:G=G397)*
('2026 Orders'!N:N=N397),
0),
"Open "&amp;C397
))</f>
        <v/>
      </c>
      <c r="F397" s="14">
        <f>'[1]2026 Orders'!F398</f>
        <v>0</v>
      </c>
      <c r="G397" s="14">
        <f>'[1]2026 Orders'!G398</f>
        <v>0</v>
      </c>
      <c r="H397" s="14" t="str" cm="1">
        <f t="array" ref="H397">IFERROR(_xlfn.TEXTJOIN("-",,INDEX(_xlfn.TEXTSPLIT(TableTake[[#This Row],[SKU]],"-"),{1,2})),"")</f>
        <v/>
      </c>
      <c r="I397" s="15" t="str">
        <f>IFERROR(_xlfn.TEXTAFTER(TableTake[[#This Row],[SKU]],"-",-1),"")</f>
        <v/>
      </c>
      <c r="J397" s="14">
        <f>'[1]2026 Orders'!H398</f>
        <v>0</v>
      </c>
      <c r="K397">
        <f>'[1]2026 Orders'!I398</f>
        <v>0</v>
      </c>
      <c r="L397">
        <f>'[1]2026 Orders'!J398</f>
        <v>0</v>
      </c>
      <c r="N397" s="10">
        <f>'[1]2026 Orders'!L398</f>
        <v>0</v>
      </c>
      <c r="O397">
        <f>'[1]2026 Orders'!M398</f>
        <v>0</v>
      </c>
      <c r="P397">
        <f>'[1]2026 Orders'!N398</f>
        <v>0</v>
      </c>
      <c r="Q397">
        <f>'[1]2026 Orders'!O398</f>
        <v>0</v>
      </c>
      <c r="R397">
        <f>'[1]2026 Orders'!P398</f>
        <v>0</v>
      </c>
      <c r="S397">
        <f>'[1]2026 Orders'!Q398</f>
        <v>0</v>
      </c>
      <c r="T397">
        <f>'[1]2026 Orders'!R398</f>
        <v>0</v>
      </c>
      <c r="U397">
        <f>'[1]2026 Orders'!S398</f>
        <v>0</v>
      </c>
      <c r="V397">
        <f>'[1]2026 Orders'!T398</f>
        <v>0</v>
      </c>
      <c r="W397">
        <f>'[1]2026 Orders'!U398</f>
        <v>0</v>
      </c>
      <c r="X397">
        <f>'[1]2026 Orders'!V398</f>
        <v>0</v>
      </c>
      <c r="Y397">
        <f>'[1]2026 Orders'!W398</f>
        <v>0</v>
      </c>
      <c r="Z397">
        <f>'[1]2026 Orders'!X398</f>
        <v>0</v>
      </c>
      <c r="AC397" t="str">
        <f t="shared" si="12"/>
        <v/>
      </c>
      <c r="AD397" t="str">
        <f t="shared" si="13"/>
        <v/>
      </c>
    </row>
    <row r="398" spans="1:30" ht="33" hidden="1" customHeight="1" x14ac:dyDescent="0.3">
      <c r="A398">
        <f>'[1]2026 Orders'!A399</f>
        <v>46156</v>
      </c>
      <c r="B398" s="14" t="str">
        <f>'[1]2026 Orders'!B399</f>
        <v>Greece</v>
      </c>
      <c r="C398" s="14" t="str">
        <f>'[1]2026 Orders'!C399</f>
        <v>A4702</v>
      </c>
      <c r="D398" s="14" t="str">
        <f>'[1]2026 Orders'!D399</f>
        <v>5/14/2026: Pro Forma Invoice sent.           5/18/2026: Pro Forma approved. Removed from Sales Action Needed.</v>
      </c>
      <c r="E398" s="17" t="str" cm="1">
        <f t="array" ref="E398">IF(C398=0,"",
HYPERLINK(
"#'2026 Orders'!C"&amp;
MATCH(1,
('2026 Orders'!C:C=C398)*
('2026 Orders'!G:G=G398)*
('2026 Orders'!N:N=N398),
0),
"Open "&amp;C398
))</f>
        <v>Open A4702</v>
      </c>
      <c r="F398" s="14" t="str">
        <f>'[1]2026 Orders'!F399</f>
        <v xml:space="preserve">MFS Plus capsules blistered </v>
      </c>
      <c r="G398" s="14" t="str">
        <f>'[1]2026 Orders'!G399</f>
        <v>MFSADV-120-CS-GR</v>
      </c>
      <c r="H398" s="14" t="str" cm="1">
        <f t="array" ref="H398">IFERROR(_xlfn.TEXTJOIN("-",,INDEX(_xlfn.TEXTSPLIT(TableTake[[#This Row],[SKU]],"-"),{1,2})),"")</f>
        <v>MFSADV-120</v>
      </c>
      <c r="I398" s="15" t="str">
        <f>IFERROR(_xlfn.TEXTAFTER(TableTake[[#This Row],[SKU]],"-",-1),"")</f>
        <v>GR</v>
      </c>
      <c r="J398" s="14">
        <f>'[1]2026 Orders'!H399</f>
        <v>1000</v>
      </c>
      <c r="K398" t="str">
        <f>'[1]2026 Orders'!I399</f>
        <v>GR87-25.0</v>
      </c>
      <c r="L398">
        <f>'[1]2026 Orders'!J399</f>
        <v>0</v>
      </c>
      <c r="N398" s="10" t="str">
        <f>'[1]2026 Orders'!L399</f>
        <v>PO submitted</v>
      </c>
      <c r="O398">
        <f>'[1]2026 Orders'!M399</f>
        <v>0</v>
      </c>
      <c r="P398">
        <f>'[1]2026 Orders'!N399</f>
        <v>0</v>
      </c>
      <c r="Q398">
        <f>'[1]2026 Orders'!O399</f>
        <v>604776739272</v>
      </c>
      <c r="R398" t="str">
        <f>'[1]2026 Orders'!P399</f>
        <v>300000 bulk</v>
      </c>
      <c r="S398">
        <f>'[1]2026 Orders'!Q399</f>
        <v>5064</v>
      </c>
      <c r="T398" t="str">
        <f>'[1]2026 Orders'!R399</f>
        <v>TBD</v>
      </c>
      <c r="U398" t="str">
        <f>'[1]2026 Orders'!S399</f>
        <v>Bulk PO Submitted, Pending ETA confirmation</v>
      </c>
      <c r="V398">
        <f>'[1]2026 Orders'!T399</f>
        <v>0</v>
      </c>
      <c r="W398">
        <f>'[1]2026 Orders'!U399</f>
        <v>0</v>
      </c>
      <c r="X398">
        <f>'[1]2026 Orders'!V399</f>
        <v>0</v>
      </c>
      <c r="Y398">
        <f>'[1]2026 Orders'!W399</f>
        <v>0</v>
      </c>
      <c r="Z398" t="str">
        <f>'[1]2026 Orders'!X399</f>
        <v>Approved</v>
      </c>
      <c r="AC398" t="str">
        <f t="shared" si="12"/>
        <v>1000/</v>
      </c>
      <c r="AD398" t="e">
        <f t="shared" si="13"/>
        <v>#VALUE!</v>
      </c>
    </row>
    <row r="399" spans="1:30" ht="33" hidden="1" customHeight="1" x14ac:dyDescent="0.3">
      <c r="A399">
        <f>'[1]2026 Orders'!A400</f>
        <v>0</v>
      </c>
      <c r="B399" s="14">
        <f>'[1]2026 Orders'!B400</f>
        <v>0</v>
      </c>
      <c r="C399" s="14">
        <f>'[1]2026 Orders'!C400</f>
        <v>0</v>
      </c>
      <c r="D399" s="14">
        <f>'[1]2026 Orders'!D400</f>
        <v>0</v>
      </c>
      <c r="E399" s="17" t="str" cm="1">
        <f t="array" ref="E399">IF(C399=0,"",
HYPERLINK(
"#'2026 Orders'!C"&amp;
MATCH(1,
('2026 Orders'!C:C=C399)*
('2026 Orders'!G:G=G399)*
('2026 Orders'!N:N=N399),
0),
"Open "&amp;C399
))</f>
        <v/>
      </c>
      <c r="F399" s="14">
        <f>'[1]2026 Orders'!F400</f>
        <v>0</v>
      </c>
      <c r="G399" s="14">
        <f>'[1]2026 Orders'!G400</f>
        <v>0</v>
      </c>
      <c r="H399" s="14" t="str" cm="1">
        <f t="array" ref="H399">IFERROR(_xlfn.TEXTJOIN("-",,INDEX(_xlfn.TEXTSPLIT(TableTake[[#This Row],[SKU]],"-"),{1,2})),"")</f>
        <v/>
      </c>
      <c r="I399" s="15" t="str">
        <f>IFERROR(_xlfn.TEXTAFTER(TableTake[[#This Row],[SKU]],"-",-1),"")</f>
        <v/>
      </c>
      <c r="J399" s="14">
        <f>'[1]2026 Orders'!H400</f>
        <v>0</v>
      </c>
      <c r="K399">
        <f>'[1]2026 Orders'!I400</f>
        <v>0</v>
      </c>
      <c r="L399">
        <f>'[1]2026 Orders'!J400</f>
        <v>0</v>
      </c>
      <c r="N399" s="10">
        <f>'[1]2026 Orders'!L400</f>
        <v>0</v>
      </c>
      <c r="O399">
        <f>'[1]2026 Orders'!M400</f>
        <v>0</v>
      </c>
      <c r="P399">
        <f>'[1]2026 Orders'!N400</f>
        <v>0</v>
      </c>
      <c r="Q399">
        <f>'[1]2026 Orders'!O400</f>
        <v>0</v>
      </c>
      <c r="R399">
        <f>'[1]2026 Orders'!P400</f>
        <v>0</v>
      </c>
      <c r="S399">
        <f>'[1]2026 Orders'!Q400</f>
        <v>0</v>
      </c>
      <c r="T399">
        <f>'[1]2026 Orders'!R400</f>
        <v>0</v>
      </c>
      <c r="U399">
        <f>'[1]2026 Orders'!S400</f>
        <v>0</v>
      </c>
      <c r="V399">
        <f>'[1]2026 Orders'!T400</f>
        <v>0</v>
      </c>
      <c r="W399">
        <f>'[1]2026 Orders'!U400</f>
        <v>0</v>
      </c>
      <c r="X399">
        <f>'[1]2026 Orders'!V400</f>
        <v>0</v>
      </c>
      <c r="Y399">
        <f>'[1]2026 Orders'!W400</f>
        <v>0</v>
      </c>
      <c r="Z399">
        <f>'[1]2026 Orders'!X400</f>
        <v>0</v>
      </c>
      <c r="AC399" t="str">
        <f t="shared" si="12"/>
        <v/>
      </c>
      <c r="AD399" t="str">
        <f t="shared" si="13"/>
        <v/>
      </c>
    </row>
    <row r="400" spans="1:30" ht="33" hidden="1" customHeight="1" x14ac:dyDescent="0.3">
      <c r="A400">
        <f>'[1]2026 Orders'!A401</f>
        <v>46160</v>
      </c>
      <c r="B400" s="14" t="str">
        <f>'[1]2026 Orders'!B401</f>
        <v>Botswana</v>
      </c>
      <c r="C400" s="14" t="str">
        <f>'[1]2026 Orders'!C401</f>
        <v>A4705</v>
      </c>
      <c r="D400" s="14" t="str">
        <f>'[1]2026 Orders'!D401</f>
        <v>5/18/2026: Awaiting Pro Forma Approval.                                    5/19/2026: Pro Forma approved.</v>
      </c>
      <c r="E400" s="17" t="str" cm="1">
        <f t="array" ref="E400">IF(C400=0,"",
HYPERLINK(
"#'2026 Orders'!C"&amp;
MATCH(1,
('2026 Orders'!C:C=C400)*
('2026 Orders'!G:G=G400)*
('2026 Orders'!N:N=N400),
0),
"Open "&amp;C400
))</f>
        <v>Open A4705</v>
      </c>
      <c r="F400" s="14">
        <f>'[1]2026 Orders'!F401</f>
        <v>0</v>
      </c>
      <c r="G400" s="14" t="str">
        <f>'[1]2026 Orders'!G401</f>
        <v>PROSTA-90-FD</v>
      </c>
      <c r="H400" s="14" t="str" cm="1">
        <f t="array" ref="H400">IFERROR(_xlfn.TEXTJOIN("-",,INDEX(_xlfn.TEXTSPLIT(TableTake[[#This Row],[SKU]],"-"),{1,2})),"")</f>
        <v>PROSTA-90</v>
      </c>
      <c r="I400" s="15" t="str">
        <f>IFERROR(_xlfn.TEXTAFTER(TableTake[[#This Row],[SKU]],"-",-1),"")</f>
        <v>FD</v>
      </c>
      <c r="J400" s="14">
        <f>'[1]2026 Orders'!H401</f>
        <v>72</v>
      </c>
      <c r="K400" t="str">
        <f>'[1]2026 Orders'!I401</f>
        <v>F56-23.0</v>
      </c>
      <c r="L400">
        <f>'[1]2026 Orders'!J401</f>
        <v>72</v>
      </c>
      <c r="N400" s="10" t="str">
        <f>'[1]2026 Orders'!L401</f>
        <v>Rework</v>
      </c>
      <c r="O400">
        <f>'[1]2026 Orders'!M401</f>
        <v>0</v>
      </c>
      <c r="P400" t="str">
        <f>'[1]2026 Orders'!N401</f>
        <v>NA</v>
      </c>
      <c r="Q400">
        <f>'[1]2026 Orders'!O401</f>
        <v>609788968504</v>
      </c>
      <c r="R400">
        <f>'[1]2026 Orders'!P401</f>
        <v>0</v>
      </c>
      <c r="S400">
        <f>'[1]2026 Orders'!Q401</f>
        <v>0</v>
      </c>
      <c r="T400">
        <f>'[1]2026 Orders'!R401</f>
        <v>0</v>
      </c>
      <c r="U400">
        <f>'[1]2026 Orders'!S401</f>
        <v>0</v>
      </c>
      <c r="V400">
        <f>'[1]2026 Orders'!T401</f>
        <v>0</v>
      </c>
      <c r="W400">
        <f>'[1]2026 Orders'!U401</f>
        <v>0</v>
      </c>
      <c r="X400">
        <f>'[1]2026 Orders'!V401</f>
        <v>0</v>
      </c>
      <c r="Y400">
        <f>'[1]2026 Orders'!W401</f>
        <v>0</v>
      </c>
      <c r="Z400" t="str">
        <f>'[1]2026 Orders'!X401</f>
        <v>HOLD</v>
      </c>
      <c r="AC400" t="str">
        <f t="shared" si="12"/>
        <v>72/</v>
      </c>
      <c r="AD400" t="e">
        <f t="shared" si="13"/>
        <v>#VALUE!</v>
      </c>
    </row>
    <row r="401" spans="1:30" ht="33" hidden="1" customHeight="1" x14ac:dyDescent="0.3">
      <c r="A401">
        <f>'[1]2026 Orders'!A402</f>
        <v>46160</v>
      </c>
      <c r="B401" s="14" t="str">
        <f>'[1]2026 Orders'!B402</f>
        <v>Botswana</v>
      </c>
      <c r="C401" s="14" t="str">
        <f>'[1]2026 Orders'!C402</f>
        <v>A4705</v>
      </c>
      <c r="D401" s="14">
        <f>'[1]2026 Orders'!D402</f>
        <v>0</v>
      </c>
      <c r="E401" s="17" t="str" cm="1">
        <f t="array" ref="E401">IF(C401=0,"",
HYPERLINK(
"#'2026 Orders'!C"&amp;
MATCH(1,
('2026 Orders'!C:C=C401)*
('2026 Orders'!G:G=G401)*
('2026 Orders'!N:N=N401),
0),
"Open "&amp;C401
))</f>
        <v>Open A4705</v>
      </c>
      <c r="F401" s="14">
        <f>'[1]2026 Orders'!F402</f>
        <v>0</v>
      </c>
      <c r="G401" s="14" t="str">
        <f>'[1]2026 Orders'!G402</f>
        <v>XTRAD10-60-FD</v>
      </c>
      <c r="H401" s="14" t="str" cm="1">
        <f t="array" ref="H401">IFERROR(_xlfn.TEXTJOIN("-",,INDEX(_xlfn.TEXTSPLIT(TableTake[[#This Row],[SKU]],"-"),{1,2})),"")</f>
        <v>XTRAD10-60</v>
      </c>
      <c r="I401" s="15" t="str">
        <f>IFERROR(_xlfn.TEXTAFTER(TableTake[[#This Row],[SKU]],"-",-1),"")</f>
        <v>FD</v>
      </c>
      <c r="J401" s="14">
        <f>'[1]2026 Orders'!H402</f>
        <v>1440</v>
      </c>
      <c r="K401" t="str">
        <f>'[1]2026 Orders'!I402</f>
        <v>F76-25.0</v>
      </c>
      <c r="L401">
        <f>'[1]2026 Orders'!J402</f>
        <v>0</v>
      </c>
      <c r="N401" s="10" t="str">
        <f>'[1]2026 Orders'!L402</f>
        <v>Bulk Production Complete</v>
      </c>
      <c r="O401">
        <f>'[1]2026 Orders'!M402</f>
        <v>0</v>
      </c>
      <c r="P401" t="str">
        <f>'[1]2026 Orders'!N402</f>
        <v>NA</v>
      </c>
      <c r="Q401" t="str">
        <f>'[1]2026 Orders'!O402</f>
        <v>609788968122</v>
      </c>
      <c r="R401">
        <f>'[1]2026 Orders'!P402</f>
        <v>0</v>
      </c>
      <c r="S401">
        <f>'[1]2026 Orders'!Q402</f>
        <v>4690</v>
      </c>
      <c r="T401">
        <f>'[1]2026 Orders'!R402</f>
        <v>0</v>
      </c>
      <c r="U401" t="str">
        <f>'[1]2026 Orders'!S402</f>
        <v>Extra bulk at Iceland. Pending vendor release to bottle</v>
      </c>
      <c r="V401">
        <f>'[1]2026 Orders'!T402</f>
        <v>0</v>
      </c>
      <c r="W401">
        <f>'[1]2026 Orders'!U402</f>
        <v>0</v>
      </c>
      <c r="X401">
        <f>'[1]2026 Orders'!V402</f>
        <v>0</v>
      </c>
      <c r="Y401">
        <f>'[1]2026 Orders'!W402</f>
        <v>0</v>
      </c>
      <c r="Z401">
        <f>'[1]2026 Orders'!X402</f>
        <v>0</v>
      </c>
      <c r="AC401" t="str">
        <f t="shared" si="12"/>
        <v>1440/</v>
      </c>
      <c r="AD401" t="e">
        <f t="shared" si="13"/>
        <v>#VALUE!</v>
      </c>
    </row>
    <row r="402" spans="1:30" ht="33" hidden="1" customHeight="1" x14ac:dyDescent="0.3">
      <c r="A402">
        <f>'[1]2026 Orders'!A403</f>
        <v>46160</v>
      </c>
      <c r="B402" s="14" t="str">
        <f>'[1]2026 Orders'!B403</f>
        <v>Botswana</v>
      </c>
      <c r="C402" s="14" t="str">
        <f>'[1]2026 Orders'!C403</f>
        <v>A4705</v>
      </c>
      <c r="D402" s="14">
        <f>'[1]2026 Orders'!D403</f>
        <v>0</v>
      </c>
      <c r="E402" s="17" t="str" cm="1">
        <f t="array" ref="E402">IF(C402=0,"",
HYPERLINK(
"#'2026 Orders'!C"&amp;
MATCH(1,
('2026 Orders'!C:C=C402)*
('2026 Orders'!G:G=G402)*
('2026 Orders'!N:N=N402),
0),
"Open "&amp;C402
))</f>
        <v>Open A4705</v>
      </c>
      <c r="F402" s="14">
        <f>'[1]2026 Orders'!F403</f>
        <v>0</v>
      </c>
      <c r="G402" s="14" t="str">
        <f>'[1]2026 Orders'!G403</f>
        <v>MFSPLS-120-FD</v>
      </c>
      <c r="H402" s="14" t="str" cm="1">
        <f t="array" ref="H402">IFERROR(_xlfn.TEXTJOIN("-",,INDEX(_xlfn.TEXTSPLIT(TableTake[[#This Row],[SKU]],"-"),{1,2})),"")</f>
        <v>MFSPLS-120</v>
      </c>
      <c r="I402" s="15" t="str">
        <f>IFERROR(_xlfn.TEXTAFTER(TableTake[[#This Row],[SKU]],"-",-1),"")</f>
        <v>FD</v>
      </c>
      <c r="J402" s="14">
        <f>'[1]2026 Orders'!H403</f>
        <v>96</v>
      </c>
      <c r="K402" t="str">
        <f>'[1]2026 Orders'!I403</f>
        <v>F30-25.1</v>
      </c>
      <c r="L402">
        <f>'[1]2026 Orders'!J403</f>
        <v>0</v>
      </c>
      <c r="N402" s="10" t="str">
        <f>'[1]2026 Orders'!L403</f>
        <v>In Production</v>
      </c>
      <c r="O402">
        <f>'[1]2026 Orders'!M403</f>
        <v>0</v>
      </c>
      <c r="P402" t="str">
        <f>'[1]2026 Orders'!N403</f>
        <v>NA</v>
      </c>
      <c r="Q402">
        <f>'[1]2026 Orders'!O403</f>
        <v>609788968344</v>
      </c>
      <c r="R402">
        <f>'[1]2026 Orders'!P403</f>
        <v>9195</v>
      </c>
      <c r="S402">
        <f>'[1]2026 Orders'!Q403</f>
        <v>5032</v>
      </c>
      <c r="T402">
        <f>'[1]2026 Orders'!R403</f>
        <v>46211</v>
      </c>
      <c r="U402">
        <f>'[1]2026 Orders'!S403</f>
        <v>0</v>
      </c>
      <c r="V402">
        <f>'[1]2026 Orders'!T403</f>
        <v>0</v>
      </c>
      <c r="W402">
        <f>'[1]2026 Orders'!U403</f>
        <v>0</v>
      </c>
      <c r="X402">
        <f>'[1]2026 Orders'!V403</f>
        <v>0</v>
      </c>
      <c r="Y402">
        <f>'[1]2026 Orders'!W403</f>
        <v>0</v>
      </c>
      <c r="Z402">
        <f>'[1]2026 Orders'!X403</f>
        <v>0</v>
      </c>
      <c r="AC402" t="str">
        <f t="shared" si="12"/>
        <v>96/</v>
      </c>
      <c r="AD402" t="e">
        <f t="shared" si="13"/>
        <v>#VALUE!</v>
      </c>
    </row>
    <row r="403" spans="1:30" ht="33" hidden="1" customHeight="1" x14ac:dyDescent="0.3">
      <c r="A403">
        <f>'[1]2026 Orders'!A404</f>
        <v>46160</v>
      </c>
      <c r="B403" s="14" t="str">
        <f>'[1]2026 Orders'!B404</f>
        <v>Botswana</v>
      </c>
      <c r="C403" s="14" t="str">
        <f>'[1]2026 Orders'!C404</f>
        <v>A4705</v>
      </c>
      <c r="D403" s="14">
        <f>'[1]2026 Orders'!D404</f>
        <v>0</v>
      </c>
      <c r="E403" s="17" t="str" cm="1">
        <f t="array" ref="E403">IF(C403=0,"",
HYPERLINK(
"#'2026 Orders'!C"&amp;
MATCH(1,
('2026 Orders'!C:C=C403)*
('2026 Orders'!G:G=G403)*
('2026 Orders'!N:N=N403),
0),
"Open "&amp;C403
))</f>
        <v>Open A4705</v>
      </c>
      <c r="F403" s="14">
        <f>'[1]2026 Orders'!F404</f>
        <v>0</v>
      </c>
      <c r="G403" s="14" t="str">
        <f>'[1]2026 Orders'!G404</f>
        <v>DHEA50-60-FD</v>
      </c>
      <c r="H403" s="14" t="str" cm="1">
        <f t="array" ref="H403">IFERROR(_xlfn.TEXTJOIN("-",,INDEX(_xlfn.TEXTSPLIT(TableTake[[#This Row],[SKU]],"-"),{1,2})),"")</f>
        <v>DHEA50-60</v>
      </c>
      <c r="I403" s="15" t="str">
        <f>IFERROR(_xlfn.TEXTAFTER(TableTake[[#This Row],[SKU]],"-",-1),"")</f>
        <v>FD</v>
      </c>
      <c r="J403" s="14">
        <f>'[1]2026 Orders'!H404</f>
        <v>120</v>
      </c>
      <c r="K403" t="str">
        <f>'[1]2026 Orders'!I404</f>
        <v>F13-25.2</v>
      </c>
      <c r="L403">
        <f>'[1]2026 Orders'!J404</f>
        <v>0</v>
      </c>
      <c r="N403" s="10" t="str">
        <f>'[1]2026 Orders'!L404</f>
        <v>In Production</v>
      </c>
      <c r="O403">
        <f>'[1]2026 Orders'!M404</f>
        <v>0</v>
      </c>
      <c r="P403" t="str">
        <f>'[1]2026 Orders'!N404</f>
        <v>NA</v>
      </c>
      <c r="Q403">
        <f>'[1]2026 Orders'!O404</f>
        <v>609788968221</v>
      </c>
      <c r="R403">
        <f>'[1]2026 Orders'!P404</f>
        <v>7000</v>
      </c>
      <c r="S403">
        <f>'[1]2026 Orders'!Q404</f>
        <v>5027</v>
      </c>
      <c r="T403">
        <f>'[1]2026 Orders'!R404</f>
        <v>46201</v>
      </c>
      <c r="U403" t="str">
        <f>'[1]2026 Orders'!S404</f>
        <v>Vendor confirming PO ETA</v>
      </c>
      <c r="V403">
        <f>'[1]2026 Orders'!T404</f>
        <v>0</v>
      </c>
      <c r="W403">
        <f>'[1]2026 Orders'!U404</f>
        <v>0</v>
      </c>
      <c r="X403">
        <f>'[1]2026 Orders'!V404</f>
        <v>0</v>
      </c>
      <c r="Y403">
        <f>'[1]2026 Orders'!W404</f>
        <v>0</v>
      </c>
      <c r="Z403">
        <f>'[1]2026 Orders'!X404</f>
        <v>0</v>
      </c>
      <c r="AC403" t="str">
        <f t="shared" si="12"/>
        <v>120/</v>
      </c>
      <c r="AD403" t="e">
        <f t="shared" si="13"/>
        <v>#VALUE!</v>
      </c>
    </row>
    <row r="404" spans="1:30" ht="33" hidden="1" customHeight="1" x14ac:dyDescent="0.3">
      <c r="A404">
        <f>'[1]2026 Orders'!A405</f>
        <v>46160</v>
      </c>
      <c r="B404" s="14" t="str">
        <f>'[1]2026 Orders'!B405</f>
        <v>Botswana</v>
      </c>
      <c r="C404" s="14" t="str">
        <f>'[1]2026 Orders'!C405</f>
        <v>A4705</v>
      </c>
      <c r="D404" s="14">
        <f>'[1]2026 Orders'!D405</f>
        <v>0</v>
      </c>
      <c r="E404" s="17" t="str" cm="1">
        <f t="array" ref="E404">IF(C404=0,"",
HYPERLINK(
"#'2026 Orders'!C"&amp;
MATCH(1,
('2026 Orders'!C:C=C404)*
('2026 Orders'!G:G=G404)*
('2026 Orders'!N:N=N404),
0),
"Open "&amp;C404
))</f>
        <v>Open A4705</v>
      </c>
      <c r="F404" s="14">
        <f>'[1]2026 Orders'!F405</f>
        <v>0</v>
      </c>
      <c r="G404" s="14" t="str">
        <f>'[1]2026 Orders'!G405</f>
        <v>CAVIN-60-FD</v>
      </c>
      <c r="H404" s="14" t="str" cm="1">
        <f t="array" ref="H404">IFERROR(_xlfn.TEXTJOIN("-",,INDEX(_xlfn.TEXTSPLIT(TableTake[[#This Row],[SKU]],"-"),{1,2})),"")</f>
        <v>CAVIN-60</v>
      </c>
      <c r="I404" s="15" t="str">
        <f>IFERROR(_xlfn.TEXTAFTER(TableTake[[#This Row],[SKU]],"-",-1),"")</f>
        <v>FD</v>
      </c>
      <c r="J404" s="14">
        <f>'[1]2026 Orders'!H405</f>
        <v>96</v>
      </c>
      <c r="K404" t="str">
        <f>'[1]2026 Orders'!I405</f>
        <v>F08-25.0</v>
      </c>
      <c r="L404">
        <f>'[1]2026 Orders'!J405</f>
        <v>96</v>
      </c>
      <c r="N404" s="10" t="str">
        <f>'[1]2026 Orders'!L405</f>
        <v>Rework</v>
      </c>
      <c r="O404">
        <f>'[1]2026 Orders'!M405</f>
        <v>0</v>
      </c>
      <c r="P404" t="str">
        <f>'[1]2026 Orders'!N405</f>
        <v>NA</v>
      </c>
      <c r="Q404">
        <f>'[1]2026 Orders'!O405</f>
        <v>609788968597</v>
      </c>
      <c r="R404">
        <f>'[1]2026 Orders'!P405</f>
        <v>0</v>
      </c>
      <c r="S404">
        <f>'[1]2026 Orders'!Q405</f>
        <v>0</v>
      </c>
      <c r="T404">
        <f>'[1]2026 Orders'!R405</f>
        <v>0</v>
      </c>
      <c r="U404">
        <f>'[1]2026 Orders'!S405</f>
        <v>0</v>
      </c>
      <c r="V404">
        <f>'[1]2026 Orders'!T405</f>
        <v>0</v>
      </c>
      <c r="W404">
        <f>'[1]2026 Orders'!U405</f>
        <v>0</v>
      </c>
      <c r="X404">
        <f>'[1]2026 Orders'!V405</f>
        <v>0</v>
      </c>
      <c r="Y404">
        <f>'[1]2026 Orders'!W405</f>
        <v>0</v>
      </c>
      <c r="Z404">
        <f>'[1]2026 Orders'!X405</f>
        <v>0</v>
      </c>
      <c r="AC404" t="str">
        <f t="shared" si="12"/>
        <v>96/</v>
      </c>
      <c r="AD404" t="e">
        <f t="shared" si="13"/>
        <v>#VALUE!</v>
      </c>
    </row>
    <row r="405" spans="1:30" ht="33" hidden="1" customHeight="1" x14ac:dyDescent="0.3">
      <c r="A405">
        <f>'[1]2026 Orders'!A406</f>
        <v>0</v>
      </c>
      <c r="B405" s="14">
        <f>'[1]2026 Orders'!B406</f>
        <v>0</v>
      </c>
      <c r="C405" s="14">
        <f>'[1]2026 Orders'!C406</f>
        <v>0</v>
      </c>
      <c r="D405" s="14">
        <f>'[1]2026 Orders'!D406</f>
        <v>0</v>
      </c>
      <c r="E405" s="17" t="str" cm="1">
        <f t="array" ref="E405">IF(C405=0,"",
HYPERLINK(
"#'2026 Orders'!C"&amp;
MATCH(1,
('2026 Orders'!C:C=C405)*
('2026 Orders'!G:G=G405)*
('2026 Orders'!N:N=N405),
0),
"Open "&amp;C405
))</f>
        <v/>
      </c>
      <c r="F405" s="14">
        <f>'[1]2026 Orders'!F406</f>
        <v>0</v>
      </c>
      <c r="G405" s="14">
        <f>'[1]2026 Orders'!G406</f>
        <v>0</v>
      </c>
      <c r="H405" s="14" t="str" cm="1">
        <f t="array" ref="H405">IFERROR(_xlfn.TEXTJOIN("-",,INDEX(_xlfn.TEXTSPLIT(TableTake[[#This Row],[SKU]],"-"),{1,2})),"")</f>
        <v/>
      </c>
      <c r="I405" s="15" t="str">
        <f>IFERROR(_xlfn.TEXTAFTER(TableTake[[#This Row],[SKU]],"-",-1),"")</f>
        <v/>
      </c>
      <c r="J405" s="14">
        <f>'[1]2026 Orders'!H406</f>
        <v>0</v>
      </c>
      <c r="K405">
        <f>'[1]2026 Orders'!I406</f>
        <v>0</v>
      </c>
      <c r="L405">
        <f>'[1]2026 Orders'!J406</f>
        <v>0</v>
      </c>
      <c r="N405" s="10">
        <f>'[1]2026 Orders'!L406</f>
        <v>0</v>
      </c>
      <c r="O405">
        <f>'[1]2026 Orders'!M406</f>
        <v>0</v>
      </c>
      <c r="P405">
        <f>'[1]2026 Orders'!N406</f>
        <v>0</v>
      </c>
      <c r="Q405">
        <f>'[1]2026 Orders'!O406</f>
        <v>0</v>
      </c>
      <c r="R405">
        <f>'[1]2026 Orders'!P406</f>
        <v>0</v>
      </c>
      <c r="S405">
        <f>'[1]2026 Orders'!Q406</f>
        <v>0</v>
      </c>
      <c r="T405">
        <f>'[1]2026 Orders'!R406</f>
        <v>0</v>
      </c>
      <c r="U405">
        <f>'[1]2026 Orders'!S406</f>
        <v>0</v>
      </c>
      <c r="V405">
        <f>'[1]2026 Orders'!T406</f>
        <v>0</v>
      </c>
      <c r="W405">
        <f>'[1]2026 Orders'!U406</f>
        <v>0</v>
      </c>
      <c r="X405">
        <f>'[1]2026 Orders'!V406</f>
        <v>0</v>
      </c>
      <c r="Y405">
        <f>'[1]2026 Orders'!W406</f>
        <v>0</v>
      </c>
      <c r="Z405">
        <f>'[1]2026 Orders'!X406</f>
        <v>0</v>
      </c>
      <c r="AC405" t="str">
        <f t="shared" si="12"/>
        <v/>
      </c>
      <c r="AD405" t="str">
        <f t="shared" si="13"/>
        <v/>
      </c>
    </row>
    <row r="406" spans="1:30" ht="33" hidden="1" customHeight="1" x14ac:dyDescent="0.3">
      <c r="A406">
        <f>'[1]2026 Orders'!A407</f>
        <v>46162</v>
      </c>
      <c r="B406" s="14" t="str">
        <f>'[1]2026 Orders'!B407</f>
        <v>Bahrain</v>
      </c>
      <c r="C406" s="14" t="str">
        <f>'[1]2026 Orders'!C407</f>
        <v>A4707</v>
      </c>
      <c r="D406" s="14" t="str">
        <f>'[1]2026 Orders'!D407</f>
        <v>5/20/2026: Awaiting Proforma Approval
5/21/2026: Proforma approved</v>
      </c>
      <c r="E406" s="17" t="str" cm="1">
        <f t="array" ref="E406">IF(C406=0,"",
HYPERLINK(
"#'2026 Orders'!C"&amp;
MATCH(1,
('2026 Orders'!C:C=C406)*
('2026 Orders'!G:G=G406)*
('2026 Orders'!N:N=N406),
0),
"Open "&amp;C406
))</f>
        <v>Open A4707</v>
      </c>
      <c r="F406" s="14">
        <f>'[1]2026 Orders'!F407</f>
        <v>0</v>
      </c>
      <c r="G406" s="14" t="str">
        <f>'[1]2026 Orders'!G407</f>
        <v>MOTILMX-60-CS-BN</v>
      </c>
      <c r="H406" s="14" t="str" cm="1">
        <f t="array" ref="H406">IFERROR(_xlfn.TEXTJOIN("-",,INDEX(_xlfn.TEXTSPLIT(TableTake[[#This Row],[SKU]],"-"),{1,2})),"")</f>
        <v>MOTILMX-60</v>
      </c>
      <c r="I406" s="15" t="str">
        <f>IFERROR(_xlfn.TEXTAFTER(TableTake[[#This Row],[SKU]],"-",-1),"")</f>
        <v>BN</v>
      </c>
      <c r="J406" s="14">
        <f>'[1]2026 Orders'!H407</f>
        <v>500</v>
      </c>
      <c r="K406" t="str">
        <f>'[1]2026 Orders'!I407</f>
        <v>BN31-25.0</v>
      </c>
      <c r="L406">
        <f>'[1]2026 Orders'!J407</f>
        <v>500</v>
      </c>
      <c r="N406" s="10" t="str">
        <f>'[1]2026 Orders'!L407</f>
        <v>D/W Sent</v>
      </c>
      <c r="O406">
        <f>'[1]2026 Orders'!M407</f>
        <v>46182</v>
      </c>
      <c r="P406" t="str">
        <f>'[1]2026 Orders'!N407</f>
        <v>NA</v>
      </c>
      <c r="Q406" t="str">
        <f>'[1]2026 Orders'!O407</f>
        <v>604776739814</v>
      </c>
      <c r="R406">
        <f>'[1]2026 Orders'!P407</f>
        <v>0</v>
      </c>
      <c r="S406">
        <f>'[1]2026 Orders'!Q407</f>
        <v>0</v>
      </c>
      <c r="T406">
        <f>'[1]2026 Orders'!R407</f>
        <v>0</v>
      </c>
      <c r="U406">
        <f>'[1]2026 Orders'!S407</f>
        <v>0</v>
      </c>
      <c r="V406">
        <f>'[1]2026 Orders'!T407</f>
        <v>0</v>
      </c>
      <c r="W406">
        <f>'[1]2026 Orders'!U407</f>
        <v>0</v>
      </c>
      <c r="X406">
        <f>'[1]2026 Orders'!V407</f>
        <v>0</v>
      </c>
      <c r="Y406">
        <f>'[1]2026 Orders'!W407</f>
        <v>0</v>
      </c>
      <c r="Z406" t="str">
        <f>'[1]2026 Orders'!X407</f>
        <v>HOLD</v>
      </c>
      <c r="AC406" t="str">
        <f t="shared" si="12"/>
        <v>500/</v>
      </c>
      <c r="AD406" t="e">
        <f t="shared" si="13"/>
        <v>#VALUE!</v>
      </c>
    </row>
    <row r="407" spans="1:30" ht="33" hidden="1" customHeight="1" x14ac:dyDescent="0.3">
      <c r="A407">
        <f>'[1]2026 Orders'!A408</f>
        <v>0</v>
      </c>
      <c r="B407" s="14">
        <f>'[1]2026 Orders'!B408</f>
        <v>0</v>
      </c>
      <c r="C407" s="14">
        <f>'[1]2026 Orders'!C408</f>
        <v>0</v>
      </c>
      <c r="D407" s="14">
        <f>'[1]2026 Orders'!D408</f>
        <v>0</v>
      </c>
      <c r="E407" s="17" t="str" cm="1">
        <f t="array" ref="E407">IF(C407=0,"",
HYPERLINK(
"#'2026 Orders'!C"&amp;
MATCH(1,
('2026 Orders'!C:C=C407)*
('2026 Orders'!G:G=G407)*
('2026 Orders'!N:N=N407),
0),
"Open "&amp;C407
))</f>
        <v/>
      </c>
      <c r="F407" s="14">
        <f>'[1]2026 Orders'!F408</f>
        <v>0</v>
      </c>
      <c r="G407" s="14">
        <f>'[1]2026 Orders'!G408</f>
        <v>0</v>
      </c>
      <c r="H407" s="14" t="str" cm="1">
        <f t="array" ref="H407">IFERROR(_xlfn.TEXTJOIN("-",,INDEX(_xlfn.TEXTSPLIT(TableTake[[#This Row],[SKU]],"-"),{1,2})),"")</f>
        <v/>
      </c>
      <c r="I407" s="15" t="str">
        <f>IFERROR(_xlfn.TEXTAFTER(TableTake[[#This Row],[SKU]],"-",-1),"")</f>
        <v/>
      </c>
      <c r="J407" s="14">
        <f>'[1]2026 Orders'!H408</f>
        <v>0</v>
      </c>
      <c r="K407">
        <f>'[1]2026 Orders'!I408</f>
        <v>0</v>
      </c>
      <c r="L407">
        <f>'[1]2026 Orders'!J408</f>
        <v>0</v>
      </c>
      <c r="N407" s="10">
        <f>'[1]2026 Orders'!L408</f>
        <v>0</v>
      </c>
      <c r="O407">
        <f>'[1]2026 Orders'!M408</f>
        <v>0</v>
      </c>
      <c r="P407">
        <f>'[1]2026 Orders'!N408</f>
        <v>0</v>
      </c>
      <c r="Q407">
        <f>'[1]2026 Orders'!O408</f>
        <v>0</v>
      </c>
      <c r="R407">
        <f>'[1]2026 Orders'!P408</f>
        <v>0</v>
      </c>
      <c r="S407">
        <f>'[1]2026 Orders'!Q408</f>
        <v>0</v>
      </c>
      <c r="T407">
        <f>'[1]2026 Orders'!R408</f>
        <v>0</v>
      </c>
      <c r="U407">
        <f>'[1]2026 Orders'!S408</f>
        <v>0</v>
      </c>
      <c r="V407">
        <f>'[1]2026 Orders'!T408</f>
        <v>0</v>
      </c>
      <c r="W407">
        <f>'[1]2026 Orders'!U408</f>
        <v>0</v>
      </c>
      <c r="X407">
        <f>'[1]2026 Orders'!V408</f>
        <v>0</v>
      </c>
      <c r="Y407">
        <f>'[1]2026 Orders'!W408</f>
        <v>0</v>
      </c>
      <c r="Z407">
        <f>'[1]2026 Orders'!X408</f>
        <v>0</v>
      </c>
      <c r="AC407" t="str">
        <f t="shared" si="12"/>
        <v/>
      </c>
      <c r="AD407" t="str">
        <f t="shared" si="13"/>
        <v/>
      </c>
    </row>
    <row r="408" spans="1:30" ht="33" hidden="1" customHeight="1" x14ac:dyDescent="0.3">
      <c r="A408">
        <f>'[1]2026 Orders'!A409</f>
        <v>46163</v>
      </c>
      <c r="B408" s="14" t="str">
        <f>'[1]2026 Orders'!B409</f>
        <v>Tanzania</v>
      </c>
      <c r="C408" s="14" t="str">
        <f>'[1]2026 Orders'!C409</f>
        <v>A4710</v>
      </c>
      <c r="D408" s="14" t="str">
        <f>'[1]2026 Orders'!D409</f>
        <v>5/21/2026: Awaiting Proforma Approval</v>
      </c>
      <c r="E408" s="17" t="str" cm="1">
        <f t="array" ref="E408">IF(C408=0,"",
HYPERLINK(
"#'2026 Orders'!C"&amp;
MATCH(1,
('2026 Orders'!C:C=C408)*
('2026 Orders'!G:G=G408)*
('2026 Orders'!N:N=N408),
0),
"Open "&amp;C408
))</f>
        <v>Open A4710</v>
      </c>
      <c r="F408" s="14">
        <f>'[1]2026 Orders'!F409</f>
        <v>0</v>
      </c>
      <c r="G408" s="14" t="str">
        <f>'[1]2026 Orders'!G409</f>
        <v>WFSPLS-180-CS-TA</v>
      </c>
      <c r="H408" s="14" t="str" cm="1">
        <f t="array" ref="H408">IFERROR(_xlfn.TEXTJOIN("-",,INDEX(_xlfn.TEXTSPLIT(TableTake[[#This Row],[SKU]],"-"),{1,2})),"")</f>
        <v>WFSPLS-180</v>
      </c>
      <c r="I408" s="15" t="str">
        <f>IFERROR(_xlfn.TEXTAFTER(TableTake[[#This Row],[SKU]],"-",-1),"")</f>
        <v>TA</v>
      </c>
      <c r="J408" s="14">
        <f>'[1]2026 Orders'!H409</f>
        <v>48</v>
      </c>
      <c r="K408" t="str">
        <f>'[1]2026 Orders'!I409</f>
        <v>TA73-26.0</v>
      </c>
      <c r="L408">
        <f>'[1]2026 Orders'!J409</f>
        <v>0</v>
      </c>
      <c r="N408" s="10" t="str">
        <f>'[1]2026 Orders'!L409</f>
        <v>PO Drafted</v>
      </c>
      <c r="O408">
        <f>'[1]2026 Orders'!M409</f>
        <v>0</v>
      </c>
      <c r="P408" t="str">
        <f>'[1]2026 Orders'!N409</f>
        <v>NA</v>
      </c>
      <c r="Q408">
        <f>'[1]2026 Orders'!O409</f>
        <v>810131194680</v>
      </c>
      <c r="R408">
        <f>'[1]2026 Orders'!P409</f>
        <v>5000</v>
      </c>
      <c r="S408">
        <f>'[1]2026 Orders'!Q409</f>
        <v>5043</v>
      </c>
      <c r="T408" t="str">
        <f>'[1]2026 Orders'!R409</f>
        <v>TBD</v>
      </c>
      <c r="U408" t="str">
        <f>'[1]2026 Orders'!S409</f>
        <v>Pending approval to send to vendor</v>
      </c>
      <c r="V408">
        <f>'[1]2026 Orders'!T409</f>
        <v>0</v>
      </c>
      <c r="W408">
        <f>'[1]2026 Orders'!U409</f>
        <v>0</v>
      </c>
      <c r="X408">
        <f>'[1]2026 Orders'!V409</f>
        <v>0</v>
      </c>
      <c r="Y408">
        <f>'[1]2026 Orders'!W409</f>
        <v>0</v>
      </c>
      <c r="Z408" t="str">
        <f>'[1]2026 Orders'!X409</f>
        <v>HOLD</v>
      </c>
      <c r="AC408" t="str">
        <f t="shared" si="12"/>
        <v>48/</v>
      </c>
      <c r="AD408" t="e">
        <f t="shared" si="13"/>
        <v>#VALUE!</v>
      </c>
    </row>
    <row r="409" spans="1:30" ht="33" hidden="1" customHeight="1" x14ac:dyDescent="0.3">
      <c r="A409">
        <f>'[1]2026 Orders'!A410</f>
        <v>46163</v>
      </c>
      <c r="B409" s="14" t="str">
        <f>'[1]2026 Orders'!B410</f>
        <v>Tanzania</v>
      </c>
      <c r="C409" s="14" t="str">
        <f>'[1]2026 Orders'!C410</f>
        <v>A4710</v>
      </c>
      <c r="D409" s="14" t="str">
        <f>'[1]2026 Orders'!D410</f>
        <v>5/22/2026: Proforma approved</v>
      </c>
      <c r="E409" s="17" t="str" cm="1">
        <f t="array" ref="E409">IF(C409=0,"",
HYPERLINK(
"#'2026 Orders'!C"&amp;
MATCH(1,
('2026 Orders'!C:C=C409)*
('2026 Orders'!G:G=G409)*
('2026 Orders'!N:N=N409),
0),
"Open "&amp;C409
))</f>
        <v>Open A4710</v>
      </c>
      <c r="F409" s="14">
        <f>'[1]2026 Orders'!F410</f>
        <v>0</v>
      </c>
      <c r="G409" s="14" t="str">
        <f>'[1]2026 Orders'!G410</f>
        <v>PRECON-180-CS-TA</v>
      </c>
      <c r="H409" s="14" t="str" cm="1">
        <f t="array" ref="H409">IFERROR(_xlfn.TEXTJOIN("-",,INDEX(_xlfn.TEXTSPLIT(TableTake[[#This Row],[SKU]],"-"),{1,2})),"")</f>
        <v>PRECON-180</v>
      </c>
      <c r="I409" s="15" t="str">
        <f>IFERROR(_xlfn.TEXTAFTER(TableTake[[#This Row],[SKU]],"-",-1),"")</f>
        <v>TA</v>
      </c>
      <c r="J409" s="14">
        <f>'[1]2026 Orders'!H410</f>
        <v>120</v>
      </c>
      <c r="K409" t="str">
        <f>'[1]2026 Orders'!I410</f>
        <v>TA55-26.0</v>
      </c>
      <c r="L409">
        <f>'[1]2026 Orders'!J410</f>
        <v>0</v>
      </c>
      <c r="N409" s="10" t="str">
        <f>'[1]2026 Orders'!L410</f>
        <v>In Production</v>
      </c>
      <c r="O409">
        <f>'[1]2026 Orders'!M410</f>
        <v>0</v>
      </c>
      <c r="P409" t="str">
        <f>'[1]2026 Orders'!N410</f>
        <v>NA</v>
      </c>
      <c r="Q409">
        <f>'[1]2026 Orders'!O410</f>
        <v>810131194666</v>
      </c>
      <c r="R409">
        <f>'[1]2026 Orders'!P410</f>
        <v>5000</v>
      </c>
      <c r="S409">
        <f>'[1]2026 Orders'!Q410</f>
        <v>5060</v>
      </c>
      <c r="T409">
        <f>'[1]2026 Orders'!R410</f>
        <v>46205</v>
      </c>
      <c r="U409">
        <f>'[1]2026 Orders'!S410</f>
        <v>0</v>
      </c>
      <c r="V409">
        <f>'[1]2026 Orders'!T410</f>
        <v>0</v>
      </c>
      <c r="W409">
        <f>'[1]2026 Orders'!U410</f>
        <v>0</v>
      </c>
      <c r="X409">
        <f>'[1]2026 Orders'!V410</f>
        <v>0</v>
      </c>
      <c r="Y409">
        <f>'[1]2026 Orders'!W410</f>
        <v>0</v>
      </c>
      <c r="Z409">
        <f>'[1]2026 Orders'!X410</f>
        <v>0</v>
      </c>
      <c r="AC409" t="str">
        <f t="shared" si="12"/>
        <v>120/</v>
      </c>
      <c r="AD409" t="e">
        <f t="shared" si="13"/>
        <v>#VALUE!</v>
      </c>
    </row>
    <row r="410" spans="1:30" ht="33" hidden="1" customHeight="1" x14ac:dyDescent="0.3">
      <c r="A410">
        <f>'[1]2026 Orders'!A411</f>
        <v>46163</v>
      </c>
      <c r="B410" s="14" t="str">
        <f>'[1]2026 Orders'!B411</f>
        <v>Tanzania</v>
      </c>
      <c r="C410" s="14" t="str">
        <f>'[1]2026 Orders'!C411</f>
        <v>A4710</v>
      </c>
      <c r="D410" s="14">
        <f>'[1]2026 Orders'!D411</f>
        <v>0</v>
      </c>
      <c r="E410" s="17" t="str" cm="1">
        <f t="array" ref="E410">IF(C410=0,"",
HYPERLINK(
"#'2026 Orders'!C"&amp;
MATCH(1,
('2026 Orders'!C:C=C410)*
('2026 Orders'!G:G=G410)*
('2026 Orders'!N:N=N410),
0),
"Open "&amp;C410
))</f>
        <v>Open A4710</v>
      </c>
      <c r="F410" s="14">
        <f>'[1]2026 Orders'!F411</f>
        <v>0</v>
      </c>
      <c r="G410" s="14" t="str">
        <f>'[1]2026 Orders'!G411</f>
        <v>FERTMX-90-CS-TA</v>
      </c>
      <c r="H410" s="14" t="str" cm="1">
        <f t="array" ref="H410">IFERROR(_xlfn.TEXTJOIN("-",,INDEX(_xlfn.TEXTSPLIT(TableTake[[#This Row],[SKU]],"-"),{1,2})),"")</f>
        <v>FERTMX-90</v>
      </c>
      <c r="I410" s="15" t="str">
        <f>IFERROR(_xlfn.TEXTAFTER(TableTake[[#This Row],[SKU]],"-",-1),"")</f>
        <v>TA</v>
      </c>
      <c r="J410" s="14">
        <f>'[1]2026 Orders'!H411</f>
        <v>240</v>
      </c>
      <c r="K410" t="str">
        <f>'[1]2026 Orders'!I411</f>
        <v>TA16-26.0</v>
      </c>
      <c r="L410">
        <f>'[1]2026 Orders'!J411</f>
        <v>0</v>
      </c>
      <c r="N410" s="10" t="str">
        <f>'[1]2026 Orders'!L411</f>
        <v>PO submitted</v>
      </c>
      <c r="O410">
        <f>'[1]2026 Orders'!M411</f>
        <v>0</v>
      </c>
      <c r="P410" t="str">
        <f>'[1]2026 Orders'!N411</f>
        <v>NA</v>
      </c>
      <c r="Q410">
        <f>'[1]2026 Orders'!O411</f>
        <v>810131194628</v>
      </c>
      <c r="R410">
        <f>'[1]2026 Orders'!P411</f>
        <v>5000</v>
      </c>
      <c r="S410">
        <f>'[1]2026 Orders'!Q411</f>
        <v>5041</v>
      </c>
      <c r="T410" t="str">
        <f>'[1]2026 Orders'!R411</f>
        <v>TBD</v>
      </c>
      <c r="U410" t="str">
        <f>'[1]2026 Orders'!S411</f>
        <v>Waiting for vendor confirmation.</v>
      </c>
      <c r="V410">
        <f>'[1]2026 Orders'!T411</f>
        <v>0</v>
      </c>
      <c r="W410">
        <f>'[1]2026 Orders'!U411</f>
        <v>0</v>
      </c>
      <c r="X410">
        <f>'[1]2026 Orders'!V411</f>
        <v>0</v>
      </c>
      <c r="Y410">
        <f>'[1]2026 Orders'!W411</f>
        <v>0</v>
      </c>
      <c r="Z410">
        <f>'[1]2026 Orders'!X411</f>
        <v>0</v>
      </c>
      <c r="AC410" t="str">
        <f t="shared" si="12"/>
        <v>240/</v>
      </c>
      <c r="AD410" t="e">
        <f t="shared" si="13"/>
        <v>#VALUE!</v>
      </c>
    </row>
    <row r="411" spans="1:30" ht="33" hidden="1" customHeight="1" x14ac:dyDescent="0.3">
      <c r="A411">
        <f>'[1]2026 Orders'!A412</f>
        <v>46163</v>
      </c>
      <c r="B411" s="14" t="str">
        <f>'[1]2026 Orders'!B412</f>
        <v>Tanzania</v>
      </c>
      <c r="C411" s="14" t="str">
        <f>'[1]2026 Orders'!C412</f>
        <v>A4710</v>
      </c>
      <c r="D411" s="14">
        <f>'[1]2026 Orders'!D412</f>
        <v>0</v>
      </c>
      <c r="E411" s="17" t="str" cm="1">
        <f t="array" ref="E411">IF(C411=0,"",
HYPERLINK(
"#'2026 Orders'!C"&amp;
MATCH(1,
('2026 Orders'!C:C=C411)*
('2026 Orders'!G:G=G411)*
('2026 Orders'!N:N=N411),
0),
"Open "&amp;C411
))</f>
        <v>Open A4710</v>
      </c>
      <c r="F411" s="14">
        <f>'[1]2026 Orders'!F412</f>
        <v>0</v>
      </c>
      <c r="G411" s="14" t="str">
        <f>'[1]2026 Orders'!G412</f>
        <v>OVAMANM-120-CS-TA</v>
      </c>
      <c r="H411" s="14" t="str" cm="1">
        <f t="array" ref="H411">IFERROR(_xlfn.TEXTJOIN("-",,INDEX(_xlfn.TEXTSPLIT(TableTake[[#This Row],[SKU]],"-"),{1,2})),"")</f>
        <v>OVAMANM-120</v>
      </c>
      <c r="I411" s="15" t="str">
        <f>IFERROR(_xlfn.TEXTAFTER(TableTake[[#This Row],[SKU]],"-",-1),"")</f>
        <v>TA</v>
      </c>
      <c r="J411" s="14">
        <f>'[1]2026 Orders'!H412</f>
        <v>240</v>
      </c>
      <c r="K411" t="str">
        <f>'[1]2026 Orders'!I412</f>
        <v>TA41-26.0</v>
      </c>
      <c r="L411">
        <f>'[1]2026 Orders'!J412</f>
        <v>0</v>
      </c>
      <c r="N411" s="10" t="str">
        <f>'[1]2026 Orders'!L412</f>
        <v>Not Meet MOQ</v>
      </c>
      <c r="O411" t="str">
        <f>'[1]2026 Orders'!M412</f>
        <v>71 available</v>
      </c>
      <c r="P411" t="str">
        <f>'[1]2026 Orders'!N412</f>
        <v>NA</v>
      </c>
      <c r="Q411">
        <f>'[1]2026 Orders'!O412</f>
        <v>810131194642</v>
      </c>
      <c r="R411">
        <f>'[1]2026 Orders'!P412</f>
        <v>0</v>
      </c>
      <c r="S411">
        <f>'[1]2026 Orders'!Q412</f>
        <v>0</v>
      </c>
      <c r="T411">
        <f>'[1]2026 Orders'!R412</f>
        <v>0</v>
      </c>
      <c r="U411">
        <f>'[1]2026 Orders'!S412</f>
        <v>0</v>
      </c>
      <c r="V411">
        <f>'[1]2026 Orders'!T412</f>
        <v>0</v>
      </c>
      <c r="W411">
        <f>'[1]2026 Orders'!U412</f>
        <v>0</v>
      </c>
      <c r="X411">
        <f>'[1]2026 Orders'!V412</f>
        <v>0</v>
      </c>
      <c r="Y411">
        <f>'[1]2026 Orders'!W412</f>
        <v>0</v>
      </c>
      <c r="Z411">
        <f>'[1]2026 Orders'!X412</f>
        <v>0</v>
      </c>
      <c r="AC411" t="str">
        <f t="shared" si="12"/>
        <v>240/</v>
      </c>
      <c r="AD411" t="e">
        <f t="shared" si="13"/>
        <v>#VALUE!</v>
      </c>
    </row>
    <row r="412" spans="1:30" ht="33" hidden="1" customHeight="1" x14ac:dyDescent="0.3">
      <c r="A412">
        <f>'[1]2026 Orders'!A413</f>
        <v>46163</v>
      </c>
      <c r="B412" s="14" t="str">
        <f>'[1]2026 Orders'!B413</f>
        <v>Tanzania</v>
      </c>
      <c r="C412" s="14" t="str">
        <f>'[1]2026 Orders'!C413</f>
        <v>A4710</v>
      </c>
      <c r="D412" s="14">
        <f>'[1]2026 Orders'!D413</f>
        <v>0</v>
      </c>
      <c r="E412" s="17" t="str" cm="1">
        <f t="array" ref="E412">IF(C412=0,"",
HYPERLINK(
"#'2026 Orders'!C"&amp;
MATCH(1,
('2026 Orders'!C:C=C412)*
('2026 Orders'!G:G=G412)*
('2026 Orders'!N:N=N412),
0),
"Open "&amp;C412
))</f>
        <v>Open A4710</v>
      </c>
      <c r="F412" s="14">
        <f>'[1]2026 Orders'!F413</f>
        <v>0</v>
      </c>
      <c r="G412" s="14" t="str">
        <f>'[1]2026 Orders'!G413</f>
        <v>QWELL4-30-SG-CS-TA</v>
      </c>
      <c r="H412" s="14" t="str" cm="1">
        <f t="array" ref="H412">IFERROR(_xlfn.TEXTJOIN("-",,INDEX(_xlfn.TEXTSPLIT(TableTake[[#This Row],[SKU]],"-"),{1,2})),"")</f>
        <v>QWELL4-30</v>
      </c>
      <c r="I412" s="15" t="str">
        <f>IFERROR(_xlfn.TEXTAFTER(TableTake[[#This Row],[SKU]],"-",-1),"")</f>
        <v>TA</v>
      </c>
      <c r="J412" s="14">
        <f>'[1]2026 Orders'!H413</f>
        <v>120</v>
      </c>
      <c r="K412" t="str">
        <f>'[1]2026 Orders'!I413</f>
        <v>TA58-26.0</v>
      </c>
      <c r="L412">
        <f>'[1]2026 Orders'!J413</f>
        <v>120</v>
      </c>
      <c r="N412" s="10" t="str">
        <f>'[1]2026 Orders'!L413</f>
        <v>Rework</v>
      </c>
      <c r="O412" t="str">
        <f>'[1]2026 Orders'!M413</f>
        <v>5/22/2026:Label requested</v>
      </c>
      <c r="P412" t="str">
        <f>'[1]2026 Orders'!N413</f>
        <v>NA</v>
      </c>
      <c r="Q412">
        <f>'[1]2026 Orders'!O413</f>
        <v>810131194673</v>
      </c>
      <c r="R412">
        <f>'[1]2026 Orders'!P413</f>
        <v>0</v>
      </c>
      <c r="S412">
        <f>'[1]2026 Orders'!Q413</f>
        <v>0</v>
      </c>
      <c r="T412">
        <f>'[1]2026 Orders'!R413</f>
        <v>0</v>
      </c>
      <c r="U412">
        <f>'[1]2026 Orders'!S413</f>
        <v>0</v>
      </c>
      <c r="V412">
        <f>'[1]2026 Orders'!T413</f>
        <v>0</v>
      </c>
      <c r="W412">
        <f>'[1]2026 Orders'!U413</f>
        <v>0</v>
      </c>
      <c r="X412">
        <f>'[1]2026 Orders'!V413</f>
        <v>0</v>
      </c>
      <c r="Y412">
        <f>'[1]2026 Orders'!W413</f>
        <v>0</v>
      </c>
      <c r="Z412">
        <f>'[1]2026 Orders'!X413</f>
        <v>0</v>
      </c>
      <c r="AC412" t="str">
        <f t="shared" si="12"/>
        <v>120/</v>
      </c>
      <c r="AD412" t="e">
        <f t="shared" si="13"/>
        <v>#VALUE!</v>
      </c>
    </row>
    <row r="413" spans="1:30" ht="33" hidden="1" customHeight="1" x14ac:dyDescent="0.3">
      <c r="A413">
        <f>'[1]2026 Orders'!A414</f>
        <v>0</v>
      </c>
      <c r="B413" s="14">
        <f>'[1]2026 Orders'!B414</f>
        <v>0</v>
      </c>
      <c r="C413" s="14">
        <f>'[1]2026 Orders'!C414</f>
        <v>0</v>
      </c>
      <c r="D413" s="14">
        <f>'[1]2026 Orders'!D414</f>
        <v>0</v>
      </c>
      <c r="E413" s="17" t="str" cm="1">
        <f t="array" ref="E413">IF(C413=0,"",
HYPERLINK(
"#'2026 Orders'!C"&amp;
MATCH(1,
('2026 Orders'!C:C=C413)*
('2026 Orders'!G:G=G413)*
('2026 Orders'!N:N=N413),
0),
"Open "&amp;C413
))</f>
        <v/>
      </c>
      <c r="F413" s="14">
        <f>'[1]2026 Orders'!F414</f>
        <v>0</v>
      </c>
      <c r="G413" s="14">
        <f>'[1]2026 Orders'!G414</f>
        <v>0</v>
      </c>
      <c r="H413" s="14" t="str" cm="1">
        <f t="array" ref="H413">IFERROR(_xlfn.TEXTJOIN("-",,INDEX(_xlfn.TEXTSPLIT(TableTake[[#This Row],[SKU]],"-"),{1,2})),"")</f>
        <v/>
      </c>
      <c r="I413" s="15" t="str">
        <f>IFERROR(_xlfn.TEXTAFTER(TableTake[[#This Row],[SKU]],"-",-1),"")</f>
        <v/>
      </c>
      <c r="J413" s="14">
        <f>'[1]2026 Orders'!H414</f>
        <v>0</v>
      </c>
      <c r="K413">
        <f>'[1]2026 Orders'!I414</f>
        <v>0</v>
      </c>
      <c r="L413">
        <f>'[1]2026 Orders'!J414</f>
        <v>0</v>
      </c>
      <c r="N413" s="10">
        <f>'[1]2026 Orders'!L414</f>
        <v>0</v>
      </c>
      <c r="O413">
        <f>'[1]2026 Orders'!M414</f>
        <v>0</v>
      </c>
      <c r="P413">
        <f>'[1]2026 Orders'!N414</f>
        <v>0</v>
      </c>
      <c r="Q413">
        <f>'[1]2026 Orders'!O414</f>
        <v>0</v>
      </c>
      <c r="R413">
        <f>'[1]2026 Orders'!P414</f>
        <v>0</v>
      </c>
      <c r="S413">
        <f>'[1]2026 Orders'!Q414</f>
        <v>0</v>
      </c>
      <c r="T413">
        <f>'[1]2026 Orders'!R414</f>
        <v>0</v>
      </c>
      <c r="U413">
        <f>'[1]2026 Orders'!S414</f>
        <v>0</v>
      </c>
      <c r="V413">
        <f>'[1]2026 Orders'!T414</f>
        <v>0</v>
      </c>
      <c r="W413">
        <f>'[1]2026 Orders'!U414</f>
        <v>0</v>
      </c>
      <c r="X413">
        <f>'[1]2026 Orders'!V414</f>
        <v>0</v>
      </c>
      <c r="Y413">
        <f>'[1]2026 Orders'!W414</f>
        <v>0</v>
      </c>
      <c r="Z413">
        <f>'[1]2026 Orders'!X414</f>
        <v>0</v>
      </c>
      <c r="AC413" t="str">
        <f t="shared" si="12"/>
        <v/>
      </c>
      <c r="AD413" t="str">
        <f t="shared" si="13"/>
        <v/>
      </c>
    </row>
    <row r="414" spans="1:30" ht="33" hidden="1" customHeight="1" x14ac:dyDescent="0.3">
      <c r="A414">
        <f>'[1]2026 Orders'!A415</f>
        <v>46177</v>
      </c>
      <c r="B414" s="14" t="str">
        <f>'[1]2026 Orders'!B415</f>
        <v>UAE</v>
      </c>
      <c r="C414" s="14" t="str">
        <f>'[1]2026 Orders'!C415</f>
        <v>A4712</v>
      </c>
      <c r="D414" s="14" t="str">
        <f>'[1]2026 Orders'!D415</f>
        <v>6/4/2026: Awaiting Proforma Approval</v>
      </c>
      <c r="E414" s="17" t="str" cm="1">
        <f t="array" ref="E414">IF(C414=0,"",
HYPERLINK(
"#'2026 Orders'!C"&amp;
MATCH(1,
('2026 Orders'!C:C=C414)*
('2026 Orders'!G:G=G414)*
('2026 Orders'!N:N=N414),
0),
"Open "&amp;C414
))</f>
        <v>Open A4712</v>
      </c>
      <c r="F414" s="14">
        <f>'[1]2026 Orders'!F415</f>
        <v>0</v>
      </c>
      <c r="G414" s="14" t="str">
        <f>'[1]2026 Orders'!G415</f>
        <v>QWELL4-30-SG-FD</v>
      </c>
      <c r="H414" s="14" t="str" cm="1">
        <f t="array" ref="H414">IFERROR(_xlfn.TEXTJOIN("-",,INDEX(_xlfn.TEXTSPLIT(TableTake[[#This Row],[SKU]],"-"),{1,2})),"")</f>
        <v>QWELL4-30</v>
      </c>
      <c r="I414" s="15" t="str">
        <f>IFERROR(_xlfn.TEXTAFTER(TableTake[[#This Row],[SKU]],"-",-1),"")</f>
        <v>FD</v>
      </c>
      <c r="J414" s="14">
        <f>'[1]2026 Orders'!H415</f>
        <v>1008</v>
      </c>
      <c r="K414" t="str">
        <f>'[1]2026 Orders'!I415</f>
        <v>F58-25.3</v>
      </c>
      <c r="L414">
        <f>'[1]2026 Orders'!J415</f>
        <v>696</v>
      </c>
      <c r="N414" s="10" t="str">
        <f>'[1]2026 Orders'!L415</f>
        <v>Available</v>
      </c>
      <c r="O414" t="str">
        <f>'[1]2026 Orders'!M415</f>
        <v>696 available</v>
      </c>
      <c r="P414" t="str">
        <f>'[1]2026 Orders'!N415</f>
        <v>NA</v>
      </c>
      <c r="Q414" t="str">
        <f>'[1]2026 Orders'!O415</f>
        <v>609788968214</v>
      </c>
      <c r="R414">
        <f>'[1]2026 Orders'!P415</f>
        <v>0</v>
      </c>
      <c r="S414">
        <f>'[1]2026 Orders'!Q415</f>
        <v>0</v>
      </c>
      <c r="T414">
        <f>'[1]2026 Orders'!R415</f>
        <v>0</v>
      </c>
      <c r="U414">
        <f>'[1]2026 Orders'!S415</f>
        <v>0</v>
      </c>
      <c r="V414">
        <f>'[1]2026 Orders'!T415</f>
        <v>0</v>
      </c>
      <c r="W414">
        <f>'[1]2026 Orders'!U415</f>
        <v>0</v>
      </c>
      <c r="X414">
        <f>'[1]2026 Orders'!V415</f>
        <v>0</v>
      </c>
      <c r="Y414">
        <f>'[1]2026 Orders'!W415</f>
        <v>0</v>
      </c>
      <c r="Z414">
        <f>'[1]2026 Orders'!X415</f>
        <v>0</v>
      </c>
      <c r="AC414" t="str">
        <f t="shared" si="12"/>
        <v>1008/</v>
      </c>
      <c r="AD414" t="e">
        <f t="shared" si="13"/>
        <v>#VALUE!</v>
      </c>
    </row>
    <row r="415" spans="1:30" ht="33" hidden="1" customHeight="1" x14ac:dyDescent="0.3">
      <c r="A415">
        <f>'[1]2026 Orders'!A416</f>
        <v>46177</v>
      </c>
      <c r="B415" s="14" t="str">
        <f>'[1]2026 Orders'!B416</f>
        <v>UAE</v>
      </c>
      <c r="C415" s="14" t="str">
        <f>'[1]2026 Orders'!C416</f>
        <v>A4712</v>
      </c>
      <c r="D415" s="14" t="str">
        <f>'[1]2026 Orders'!D416</f>
        <v>6/5/2026: Proforma approved</v>
      </c>
      <c r="E415" s="17" t="str" cm="1">
        <f t="array" ref="E415">IF(C415=0,"",
HYPERLINK(
"#'2026 Orders'!C"&amp;
MATCH(1,
('2026 Orders'!C:C=C415)*
('2026 Orders'!G:G=G415)*
('2026 Orders'!N:N=N415),
0),
"Open "&amp;C415
))</f>
        <v>Open A4712</v>
      </c>
      <c r="F415" s="14">
        <f>'[1]2026 Orders'!F416</f>
        <v>0</v>
      </c>
      <c r="G415" s="14" t="str">
        <f>'[1]2026 Orders'!G416</f>
        <v>MFSPLS-120-RE</v>
      </c>
      <c r="H415" s="14" t="str" cm="1">
        <f t="array" ref="H415">IFERROR(_xlfn.TEXTJOIN("-",,INDEX(_xlfn.TEXTSPLIT(TableTake[[#This Row],[SKU]],"-"),{1,2})),"")</f>
        <v>MFSPLS-120</v>
      </c>
      <c r="I415" s="15" t="str">
        <f>IFERROR(_xlfn.TEXTAFTER(TableTake[[#This Row],[SKU]],"-",-1),"")</f>
        <v>RE</v>
      </c>
      <c r="J415" s="14">
        <f>'[1]2026 Orders'!H416</f>
        <v>1512</v>
      </c>
      <c r="K415" t="str">
        <f>'[1]2026 Orders'!I416</f>
        <v>R30-26.0</v>
      </c>
      <c r="L415">
        <f>'[1]2026 Orders'!J416</f>
        <v>0</v>
      </c>
      <c r="N415" s="10" t="str">
        <f>'[1]2026 Orders'!L416</f>
        <v>Out of Stock</v>
      </c>
      <c r="O415">
        <f>'[1]2026 Orders'!M416</f>
        <v>0</v>
      </c>
      <c r="P415" t="str">
        <f>'[1]2026 Orders'!N416</f>
        <v>NA</v>
      </c>
      <c r="Q415">
        <f>'[1]2026 Orders'!O416</f>
        <v>609788968344</v>
      </c>
      <c r="R415">
        <f>'[1]2026 Orders'!P416</f>
        <v>0</v>
      </c>
      <c r="S415">
        <f>'[1]2026 Orders'!Q416</f>
        <v>0</v>
      </c>
      <c r="T415">
        <f>'[1]2026 Orders'!R416</f>
        <v>0</v>
      </c>
      <c r="U415">
        <f>'[1]2026 Orders'!S416</f>
        <v>0</v>
      </c>
      <c r="V415">
        <f>'[1]2026 Orders'!T416</f>
        <v>0</v>
      </c>
      <c r="W415">
        <f>'[1]2026 Orders'!U416</f>
        <v>0</v>
      </c>
      <c r="X415">
        <f>'[1]2026 Orders'!V416</f>
        <v>0</v>
      </c>
      <c r="Y415">
        <f>'[1]2026 Orders'!W416</f>
        <v>0</v>
      </c>
      <c r="Z415">
        <f>'[1]2026 Orders'!X416</f>
        <v>0</v>
      </c>
      <c r="AC415" t="str">
        <f t="shared" si="12"/>
        <v>1512/</v>
      </c>
      <c r="AD415" t="e">
        <f t="shared" si="13"/>
        <v>#VALUE!</v>
      </c>
    </row>
    <row r="416" spans="1:30" ht="33" hidden="1" customHeight="1" x14ac:dyDescent="0.3">
      <c r="A416">
        <f>'[1]2026 Orders'!A417</f>
        <v>46177</v>
      </c>
      <c r="B416" s="14" t="str">
        <f>'[1]2026 Orders'!B417</f>
        <v>UAE</v>
      </c>
      <c r="C416" s="14" t="str">
        <f>'[1]2026 Orders'!C417</f>
        <v>A4712</v>
      </c>
      <c r="D416" s="14">
        <f>'[1]2026 Orders'!D417</f>
        <v>0</v>
      </c>
      <c r="E416" s="17" t="str" cm="1">
        <f t="array" ref="E416">IF(C416=0,"",
HYPERLINK(
"#'2026 Orders'!C"&amp;
MATCH(1,
('2026 Orders'!C:C=C416)*
('2026 Orders'!G:G=G416)*
('2026 Orders'!N:N=N416),
0),
"Open "&amp;C416
))</f>
        <v>Open A4712</v>
      </c>
      <c r="F416" s="14">
        <f>'[1]2026 Orders'!F417</f>
        <v>0</v>
      </c>
      <c r="G416" s="14" t="str">
        <f>'[1]2026 Orders'!G417</f>
        <v>OMEGA3-60-CS-UA</v>
      </c>
      <c r="H416" s="14" t="str" cm="1">
        <f t="array" ref="H416">IFERROR(_xlfn.TEXTJOIN("-",,INDEX(_xlfn.TEXTSPLIT(TableTake[[#This Row],[SKU]],"-"),{1,2})),"")</f>
        <v>OMEGA3-60</v>
      </c>
      <c r="I416" s="15" t="str">
        <f>IFERROR(_xlfn.TEXTAFTER(TableTake[[#This Row],[SKU]],"-",-1),"")</f>
        <v>UA</v>
      </c>
      <c r="J416" s="14">
        <f>'[1]2026 Orders'!H417</f>
        <v>2160</v>
      </c>
      <c r="K416" t="str">
        <f>'[1]2026 Orders'!I417</f>
        <v>UA37-25.0</v>
      </c>
      <c r="L416">
        <f>'[1]2026 Orders'!J417</f>
        <v>0</v>
      </c>
      <c r="N416" s="10" t="str">
        <f>'[1]2026 Orders'!L417</f>
        <v>Out of Stock</v>
      </c>
      <c r="O416">
        <f>'[1]2026 Orders'!M417</f>
        <v>0</v>
      </c>
      <c r="P416" t="str">
        <f>'[1]2026 Orders'!N417</f>
        <v>Y</v>
      </c>
      <c r="Q416">
        <f>'[1]2026 Orders'!O417</f>
        <v>609788968184</v>
      </c>
      <c r="R416">
        <f>'[1]2026 Orders'!P417</f>
        <v>0</v>
      </c>
      <c r="S416">
        <f>'[1]2026 Orders'!Q417</f>
        <v>0</v>
      </c>
      <c r="T416">
        <f>'[1]2026 Orders'!R417</f>
        <v>0</v>
      </c>
      <c r="U416">
        <f>'[1]2026 Orders'!S417</f>
        <v>0</v>
      </c>
      <c r="V416">
        <f>'[1]2026 Orders'!T417</f>
        <v>0</v>
      </c>
      <c r="W416">
        <f>'[1]2026 Orders'!U417</f>
        <v>0</v>
      </c>
      <c r="X416">
        <f>'[1]2026 Orders'!V417</f>
        <v>0</v>
      </c>
      <c r="Y416">
        <f>'[1]2026 Orders'!W417</f>
        <v>0</v>
      </c>
      <c r="Z416">
        <f>'[1]2026 Orders'!X417</f>
        <v>0</v>
      </c>
      <c r="AC416" t="str">
        <f t="shared" si="12"/>
        <v>2160/</v>
      </c>
      <c r="AD416" t="e">
        <f t="shared" si="13"/>
        <v>#VALUE!</v>
      </c>
    </row>
    <row r="417" spans="1:30" ht="33" hidden="1" customHeight="1" x14ac:dyDescent="0.3">
      <c r="A417">
        <f>'[1]2026 Orders'!A418</f>
        <v>46177</v>
      </c>
      <c r="B417" s="14" t="str">
        <f>'[1]2026 Orders'!B418</f>
        <v>UAE</v>
      </c>
      <c r="C417" s="14" t="str">
        <f>'[1]2026 Orders'!C418</f>
        <v>A4712</v>
      </c>
      <c r="D417" s="14">
        <f>'[1]2026 Orders'!D418</f>
        <v>0</v>
      </c>
      <c r="E417" s="17" t="str" cm="1">
        <f t="array" ref="E417">IF(C417=0,"",
HYPERLINK(
"#'2026 Orders'!C"&amp;
MATCH(1,
('2026 Orders'!C:C=C417)*
('2026 Orders'!G:G=G417)*
('2026 Orders'!N:N=N417),
0),
"Open "&amp;C417
))</f>
        <v>Open A4712</v>
      </c>
      <c r="F417" s="14">
        <f>'[1]2026 Orders'!F418</f>
        <v>0</v>
      </c>
      <c r="G417" s="14" t="str">
        <f>'[1]2026 Orders'!G418</f>
        <v>OVAMANM-120-CS-UA</v>
      </c>
      <c r="H417" s="14" t="str" cm="1">
        <f t="array" ref="H417">IFERROR(_xlfn.TEXTJOIN("-",,INDEX(_xlfn.TEXTSPLIT(TableTake[[#This Row],[SKU]],"-"),{1,2})),"")</f>
        <v>OVAMANM-120</v>
      </c>
      <c r="I417" s="15" t="str">
        <f>IFERROR(_xlfn.TEXTAFTER(TableTake[[#This Row],[SKU]],"-",-1),"")</f>
        <v>UA</v>
      </c>
      <c r="J417" s="14">
        <f>'[1]2026 Orders'!H418</f>
        <v>1512</v>
      </c>
      <c r="K417" t="str">
        <f>'[1]2026 Orders'!I418</f>
        <v>UA41-25.0</v>
      </c>
      <c r="L417">
        <f>'[1]2026 Orders'!J418</f>
        <v>0</v>
      </c>
      <c r="N417" s="10" t="str">
        <f>'[1]2026 Orders'!L418</f>
        <v>Out of Stock</v>
      </c>
      <c r="O417">
        <f>'[1]2026 Orders'!M418</f>
        <v>0</v>
      </c>
      <c r="P417" t="str">
        <f>'[1]2026 Orders'!N418</f>
        <v>NA</v>
      </c>
      <c r="Q417">
        <f>'[1]2026 Orders'!O418</f>
        <v>609788968399</v>
      </c>
      <c r="R417">
        <f>'[1]2026 Orders'!P418</f>
        <v>0</v>
      </c>
      <c r="S417">
        <f>'[1]2026 Orders'!Q418</f>
        <v>0</v>
      </c>
      <c r="T417">
        <f>'[1]2026 Orders'!R418</f>
        <v>0</v>
      </c>
      <c r="U417">
        <f>'[1]2026 Orders'!S418</f>
        <v>0</v>
      </c>
      <c r="V417">
        <f>'[1]2026 Orders'!T418</f>
        <v>0</v>
      </c>
      <c r="W417">
        <f>'[1]2026 Orders'!U418</f>
        <v>0</v>
      </c>
      <c r="X417">
        <f>'[1]2026 Orders'!V418</f>
        <v>0</v>
      </c>
      <c r="Y417">
        <f>'[1]2026 Orders'!W418</f>
        <v>0</v>
      </c>
      <c r="Z417">
        <f>'[1]2026 Orders'!X418</f>
        <v>0</v>
      </c>
      <c r="AC417" t="str">
        <f t="shared" si="12"/>
        <v>1512/</v>
      </c>
      <c r="AD417" t="e">
        <f t="shared" si="13"/>
        <v>#VALUE!</v>
      </c>
    </row>
    <row r="418" spans="1:30" ht="33" hidden="1" customHeight="1" x14ac:dyDescent="0.3">
      <c r="A418">
        <f>'[1]2026 Orders'!A419</f>
        <v>46177</v>
      </c>
      <c r="B418" s="14" t="str">
        <f>'[1]2026 Orders'!B419</f>
        <v>UAE</v>
      </c>
      <c r="C418" s="14" t="str">
        <f>'[1]2026 Orders'!C419</f>
        <v>A4712</v>
      </c>
      <c r="D418" s="14">
        <f>'[1]2026 Orders'!D419</f>
        <v>0</v>
      </c>
      <c r="E418" s="17" t="str" cm="1">
        <f t="array" ref="E418">IF(C418=0,"",
HYPERLINK(
"#'2026 Orders'!C"&amp;
MATCH(1,
('2026 Orders'!C:C=C418)*
('2026 Orders'!G:G=G418)*
('2026 Orders'!N:N=N418),
0),
"Open "&amp;C418
))</f>
        <v>Open A4712</v>
      </c>
      <c r="F418" s="14">
        <f>'[1]2026 Orders'!F419</f>
        <v>0</v>
      </c>
      <c r="G418" s="14" t="str">
        <f>'[1]2026 Orders'!G419</f>
        <v>PEDIAD4-50-FD</v>
      </c>
      <c r="H418" s="14" t="str" cm="1">
        <f t="array" ref="H418">IFERROR(_xlfn.TEXTJOIN("-",,INDEX(_xlfn.TEXTSPLIT(TableTake[[#This Row],[SKU]],"-"),{1,2})),"")</f>
        <v>PEDIAD4-50</v>
      </c>
      <c r="I418" s="15" t="str">
        <f>IFERROR(_xlfn.TEXTAFTER(TableTake[[#This Row],[SKU]],"-",-1),"")</f>
        <v>FD</v>
      </c>
      <c r="J418" s="14">
        <f>'[1]2026 Orders'!H419</f>
        <v>1008</v>
      </c>
      <c r="K418" t="str">
        <f>'[1]2026 Orders'!I419</f>
        <v>F45-26.0</v>
      </c>
      <c r="L418">
        <f>'[1]2026 Orders'!J419</f>
        <v>0</v>
      </c>
      <c r="N418" s="10" t="str">
        <f>'[1]2026 Orders'!L419</f>
        <v>Out of Stock</v>
      </c>
      <c r="O418">
        <f>'[1]2026 Orders'!M419</f>
        <v>0</v>
      </c>
      <c r="P418" t="str">
        <f>'[1]2026 Orders'!N419</f>
        <v>Y</v>
      </c>
      <c r="Q418">
        <f>'[1]2026 Orders'!O419</f>
        <v>810131199623</v>
      </c>
      <c r="R418">
        <f>'[1]2026 Orders'!P419</f>
        <v>0</v>
      </c>
      <c r="S418">
        <f>'[1]2026 Orders'!Q419</f>
        <v>0</v>
      </c>
      <c r="T418">
        <f>'[1]2026 Orders'!R419</f>
        <v>0</v>
      </c>
      <c r="U418">
        <f>'[1]2026 Orders'!S419</f>
        <v>0</v>
      </c>
      <c r="V418">
        <f>'[1]2026 Orders'!T419</f>
        <v>0</v>
      </c>
      <c r="W418">
        <f>'[1]2026 Orders'!U419</f>
        <v>0</v>
      </c>
      <c r="X418">
        <f>'[1]2026 Orders'!V419</f>
        <v>0</v>
      </c>
      <c r="Y418">
        <f>'[1]2026 Orders'!W419</f>
        <v>0</v>
      </c>
      <c r="Z418">
        <f>'[1]2026 Orders'!X419</f>
        <v>0</v>
      </c>
      <c r="AC418" t="str">
        <f t="shared" si="12"/>
        <v>1008/</v>
      </c>
      <c r="AD418" t="e">
        <f t="shared" si="13"/>
        <v>#VALUE!</v>
      </c>
    </row>
    <row r="419" spans="1:30" ht="33" hidden="1" customHeight="1" x14ac:dyDescent="0.3">
      <c r="A419">
        <f>'[1]2026 Orders'!A420</f>
        <v>46177</v>
      </c>
      <c r="B419" s="14" t="str">
        <f>'[1]2026 Orders'!B420</f>
        <v>UAE</v>
      </c>
      <c r="C419" s="14" t="str">
        <f>'[1]2026 Orders'!C420</f>
        <v>A4712</v>
      </c>
      <c r="D419" s="14">
        <f>'[1]2026 Orders'!D420</f>
        <v>0</v>
      </c>
      <c r="E419" s="17" t="str" cm="1">
        <f t="array" ref="E419">IF(C419=0,"",
HYPERLINK(
"#'2026 Orders'!C"&amp;
MATCH(1,
('2026 Orders'!C:C=C419)*
('2026 Orders'!G:G=G419)*
('2026 Orders'!N:N=N419),
0),
"Open "&amp;C419
))</f>
        <v>Open A4712</v>
      </c>
      <c r="F419" s="14">
        <f>'[1]2026 Orders'!F420</f>
        <v>0</v>
      </c>
      <c r="G419" s="14" t="str">
        <f>'[1]2026 Orders'!G420</f>
        <v>POLYSIT-90-RE</v>
      </c>
      <c r="H419" s="14" t="str" cm="1">
        <f t="array" ref="H419">IFERROR(_xlfn.TEXTJOIN("-",,INDEX(_xlfn.TEXTSPLIT(TableTake[[#This Row],[SKU]],"-"),{1,2})),"")</f>
        <v>POLYSIT-90</v>
      </c>
      <c r="I419" s="15" t="str">
        <f>IFERROR(_xlfn.TEXTAFTER(TableTake[[#This Row],[SKU]],"-",-1),"")</f>
        <v>RE</v>
      </c>
      <c r="J419" s="14">
        <f>'[1]2026 Orders'!H420</f>
        <v>1008</v>
      </c>
      <c r="K419" t="str">
        <f>'[1]2026 Orders'!I420</f>
        <v>R53-17.0</v>
      </c>
      <c r="L419">
        <f>'[1]2026 Orders'!J420</f>
        <v>0</v>
      </c>
      <c r="N419" s="10" t="str">
        <f>'[1]2026 Orders'!L420</f>
        <v>Out of Stock</v>
      </c>
      <c r="O419">
        <f>'[1]2026 Orders'!M420</f>
        <v>0</v>
      </c>
      <c r="P419" t="str">
        <f>'[1]2026 Orders'!N420</f>
        <v>Y</v>
      </c>
      <c r="Q419">
        <f>'[1]2026 Orders'!O420</f>
        <v>609788969006</v>
      </c>
      <c r="R419">
        <f>'[1]2026 Orders'!P420</f>
        <v>0</v>
      </c>
      <c r="S419">
        <f>'[1]2026 Orders'!Q420</f>
        <v>0</v>
      </c>
      <c r="T419">
        <f>'[1]2026 Orders'!R420</f>
        <v>0</v>
      </c>
      <c r="U419">
        <f>'[1]2026 Orders'!S420</f>
        <v>0</v>
      </c>
      <c r="V419">
        <f>'[1]2026 Orders'!T420</f>
        <v>0</v>
      </c>
      <c r="W419">
        <f>'[1]2026 Orders'!U420</f>
        <v>0</v>
      </c>
      <c r="X419">
        <f>'[1]2026 Orders'!V420</f>
        <v>0</v>
      </c>
      <c r="Y419">
        <f>'[1]2026 Orders'!W420</f>
        <v>0</v>
      </c>
      <c r="Z419">
        <f>'[1]2026 Orders'!X420</f>
        <v>0</v>
      </c>
      <c r="AC419" t="str">
        <f t="shared" si="12"/>
        <v>1008/</v>
      </c>
      <c r="AD419" t="e">
        <f t="shared" si="13"/>
        <v>#VALUE!</v>
      </c>
    </row>
    <row r="420" spans="1:30" ht="33" hidden="1" customHeight="1" x14ac:dyDescent="0.3">
      <c r="A420">
        <f>'[1]2026 Orders'!A421</f>
        <v>46177</v>
      </c>
      <c r="B420" s="14" t="str">
        <f>'[1]2026 Orders'!B421</f>
        <v>UAE</v>
      </c>
      <c r="C420" s="14" t="str">
        <f>'[1]2026 Orders'!C421</f>
        <v>A4712</v>
      </c>
      <c r="D420" s="14">
        <f>'[1]2026 Orders'!D421</f>
        <v>0</v>
      </c>
      <c r="E420" s="17" t="str" cm="1">
        <f t="array" ref="E420">IF(C420=0,"",
HYPERLINK(
"#'2026 Orders'!C"&amp;
MATCH(1,
('2026 Orders'!C:C=C420)*
('2026 Orders'!G:G=G420)*
('2026 Orders'!N:N=N420),
0),
"Open "&amp;C420
))</f>
        <v>Open A4712</v>
      </c>
      <c r="F420" s="14">
        <f>'[1]2026 Orders'!F421</f>
        <v>0</v>
      </c>
      <c r="G420" s="14" t="str">
        <f>'[1]2026 Orders'!G421</f>
        <v>XTRAD10-60-FD</v>
      </c>
      <c r="H420" s="14" t="str" cm="1">
        <f t="array" ref="H420">IFERROR(_xlfn.TEXTJOIN("-",,INDEX(_xlfn.TEXTSPLIT(TableTake[[#This Row],[SKU]],"-"),{1,2})),"")</f>
        <v>XTRAD10-60</v>
      </c>
      <c r="I420" s="15" t="str">
        <f>IFERROR(_xlfn.TEXTAFTER(TableTake[[#This Row],[SKU]],"-",-1),"")</f>
        <v>FD</v>
      </c>
      <c r="J420" s="14">
        <f>'[1]2026 Orders'!H421</f>
        <v>2016</v>
      </c>
      <c r="K420" t="str">
        <f>'[1]2026 Orders'!I421</f>
        <v>F76-25.0</v>
      </c>
      <c r="L420">
        <f>'[1]2026 Orders'!J421</f>
        <v>164</v>
      </c>
      <c r="N420" s="10" t="str">
        <f>'[1]2026 Orders'!L421</f>
        <v>Out of Stock</v>
      </c>
      <c r="O420" t="str">
        <f>'[1]2026 Orders'!M421</f>
        <v>164 available</v>
      </c>
      <c r="P420" t="str">
        <f>'[1]2026 Orders'!N421</f>
        <v>NA</v>
      </c>
      <c r="Q420" t="str">
        <f>'[1]2026 Orders'!O421</f>
        <v>609788968122</v>
      </c>
      <c r="R420">
        <f>'[1]2026 Orders'!P421</f>
        <v>0</v>
      </c>
      <c r="S420">
        <f>'[1]2026 Orders'!Q421</f>
        <v>0</v>
      </c>
      <c r="T420">
        <f>'[1]2026 Orders'!R421</f>
        <v>0</v>
      </c>
      <c r="U420">
        <f>'[1]2026 Orders'!S421</f>
        <v>0</v>
      </c>
      <c r="V420">
        <f>'[1]2026 Orders'!T421</f>
        <v>0</v>
      </c>
      <c r="W420">
        <f>'[1]2026 Orders'!U421</f>
        <v>0</v>
      </c>
      <c r="X420">
        <f>'[1]2026 Orders'!V421</f>
        <v>0</v>
      </c>
      <c r="Y420">
        <f>'[1]2026 Orders'!W421</f>
        <v>0</v>
      </c>
      <c r="Z420">
        <f>'[1]2026 Orders'!X421</f>
        <v>0</v>
      </c>
      <c r="AC420" t="str">
        <f t="shared" si="12"/>
        <v>2016/</v>
      </c>
      <c r="AD420" t="e">
        <f t="shared" si="13"/>
        <v>#VALUE!</v>
      </c>
    </row>
    <row r="421" spans="1:30" ht="33" hidden="1" customHeight="1" x14ac:dyDescent="0.3">
      <c r="A421">
        <f>'[1]2026 Orders'!A422</f>
        <v>46177</v>
      </c>
      <c r="B421" s="14" t="str">
        <f>'[1]2026 Orders'!B422</f>
        <v>UAE</v>
      </c>
      <c r="C421" s="14" t="str">
        <f>'[1]2026 Orders'!C422</f>
        <v>A4712</v>
      </c>
      <c r="D421" s="14">
        <f>'[1]2026 Orders'!D422</f>
        <v>0</v>
      </c>
      <c r="E421" s="17" t="str" cm="1">
        <f t="array" ref="E421">IF(C421=0,"",
HYPERLINK(
"#'2026 Orders'!C"&amp;
MATCH(1,
('2026 Orders'!C:C=C421)*
('2026 Orders'!G:G=G421)*
('2026 Orders'!N:N=N421),
0),
"Open "&amp;C421
))</f>
        <v>Open A4712</v>
      </c>
      <c r="F421" s="14">
        <f>'[1]2026 Orders'!F422</f>
        <v>0</v>
      </c>
      <c r="G421" s="14" t="str">
        <f>'[1]2026 Orders'!G422</f>
        <v xml:space="preserve">ZINC25-60-FD </v>
      </c>
      <c r="H421" s="14" t="str" cm="1">
        <f t="array" ref="H421">IFERROR(_xlfn.TEXTJOIN("-",,INDEX(_xlfn.TEXTSPLIT(TableTake[[#This Row],[SKU]],"-"),{1,2})),"")</f>
        <v>ZINC25-60</v>
      </c>
      <c r="I421" s="15" t="str">
        <f>IFERROR(_xlfn.TEXTAFTER(TableTake[[#This Row],[SKU]],"-",-1),"")</f>
        <v xml:space="preserve">FD </v>
      </c>
      <c r="J421" s="14">
        <f>'[1]2026 Orders'!H422</f>
        <v>1008</v>
      </c>
      <c r="K421" t="str">
        <f>'[1]2026 Orders'!I422</f>
        <v>F78-22.0</v>
      </c>
      <c r="L421">
        <f>'[1]2026 Orders'!J422</f>
        <v>0</v>
      </c>
      <c r="N421" s="10" t="str">
        <f>'[1]2026 Orders'!L422</f>
        <v>Out of Stock</v>
      </c>
      <c r="O421">
        <f>'[1]2026 Orders'!M422</f>
        <v>0</v>
      </c>
      <c r="P421" t="str">
        <f>'[1]2026 Orders'!N422</f>
        <v>NA</v>
      </c>
      <c r="Q421" t="str">
        <f>'[1]2026 Orders'!O422</f>
        <v>609788968245</v>
      </c>
      <c r="R421">
        <f>'[1]2026 Orders'!P422</f>
        <v>0</v>
      </c>
      <c r="S421">
        <f>'[1]2026 Orders'!Q422</f>
        <v>0</v>
      </c>
      <c r="T421">
        <f>'[1]2026 Orders'!R422</f>
        <v>0</v>
      </c>
      <c r="U421">
        <f>'[1]2026 Orders'!S422</f>
        <v>0</v>
      </c>
      <c r="V421">
        <f>'[1]2026 Orders'!T422</f>
        <v>0</v>
      </c>
      <c r="W421">
        <f>'[1]2026 Orders'!U422</f>
        <v>0</v>
      </c>
      <c r="X421">
        <f>'[1]2026 Orders'!V422</f>
        <v>0</v>
      </c>
      <c r="Y421">
        <f>'[1]2026 Orders'!W422</f>
        <v>0</v>
      </c>
      <c r="Z421">
        <f>'[1]2026 Orders'!X422</f>
        <v>0</v>
      </c>
      <c r="AC421" t="str">
        <f t="shared" si="12"/>
        <v>1008/</v>
      </c>
      <c r="AD421" t="e">
        <f t="shared" si="13"/>
        <v>#VALUE!</v>
      </c>
    </row>
    <row r="422" spans="1:30" ht="33" hidden="1" customHeight="1" x14ac:dyDescent="0.3">
      <c r="A422">
        <f>'[1]2026 Orders'!A423</f>
        <v>46177</v>
      </c>
      <c r="B422" s="14" t="str">
        <f>'[1]2026 Orders'!B423</f>
        <v>UAE</v>
      </c>
      <c r="C422" s="14" t="str">
        <f>'[1]2026 Orders'!C423</f>
        <v>A4712</v>
      </c>
      <c r="D422" s="14">
        <f>'[1]2026 Orders'!D423</f>
        <v>0</v>
      </c>
      <c r="E422" s="17" t="str" cm="1">
        <f t="array" ref="E422">IF(C422=0,"",
HYPERLINK(
"#'2026 Orders'!C"&amp;
MATCH(1,
('2026 Orders'!C:C=C422)*
('2026 Orders'!G:G=G422)*
('2026 Orders'!N:N=N422),
0),
"Open "&amp;C422
))</f>
        <v>Open A4712</v>
      </c>
      <c r="F422" s="14">
        <f>'[1]2026 Orders'!F423</f>
        <v>0</v>
      </c>
      <c r="G422" s="14" t="str">
        <f>'[1]2026 Orders'!G423</f>
        <v>ZINC50-60-FD</v>
      </c>
      <c r="H422" s="14" t="str" cm="1">
        <f t="array" ref="H422">IFERROR(_xlfn.TEXTJOIN("-",,INDEX(_xlfn.TEXTSPLIT(TableTake[[#This Row],[SKU]],"-"),{1,2})),"")</f>
        <v>ZINC50-60</v>
      </c>
      <c r="I422" s="15" t="str">
        <f>IFERROR(_xlfn.TEXTAFTER(TableTake[[#This Row],[SKU]],"-",-1),"")</f>
        <v>FD</v>
      </c>
      <c r="J422" s="14">
        <f>'[1]2026 Orders'!H423</f>
        <v>1008</v>
      </c>
      <c r="K422" t="str">
        <f>'[1]2026 Orders'!I423</f>
        <v>F79-25.0</v>
      </c>
      <c r="L422">
        <f>'[1]2026 Orders'!J423</f>
        <v>0</v>
      </c>
      <c r="N422" s="10" t="str">
        <f>'[1]2026 Orders'!L423</f>
        <v>Out of Stock</v>
      </c>
      <c r="O422">
        <f>'[1]2026 Orders'!M423</f>
        <v>0</v>
      </c>
      <c r="P422" t="str">
        <f>'[1]2026 Orders'!N423</f>
        <v>NA</v>
      </c>
      <c r="Q422" t="str">
        <f>'[1]2026 Orders'!O423</f>
        <v>609788968535</v>
      </c>
      <c r="R422">
        <f>'[1]2026 Orders'!P423</f>
        <v>0</v>
      </c>
      <c r="S422">
        <f>'[1]2026 Orders'!Q423</f>
        <v>0</v>
      </c>
      <c r="T422">
        <f>'[1]2026 Orders'!R423</f>
        <v>0</v>
      </c>
      <c r="U422">
        <f>'[1]2026 Orders'!S423</f>
        <v>0</v>
      </c>
      <c r="V422">
        <f>'[1]2026 Orders'!T423</f>
        <v>0</v>
      </c>
      <c r="W422">
        <f>'[1]2026 Orders'!U423</f>
        <v>0</v>
      </c>
      <c r="X422">
        <f>'[1]2026 Orders'!V423</f>
        <v>0</v>
      </c>
      <c r="Y422">
        <f>'[1]2026 Orders'!W423</f>
        <v>0</v>
      </c>
      <c r="Z422">
        <f>'[1]2026 Orders'!X423</f>
        <v>0</v>
      </c>
      <c r="AC422" t="str">
        <f t="shared" si="12"/>
        <v>1008/</v>
      </c>
      <c r="AD422" t="e">
        <f t="shared" si="13"/>
        <v>#VALUE!</v>
      </c>
    </row>
    <row r="423" spans="1:30" ht="33" hidden="1" customHeight="1" x14ac:dyDescent="0.3">
      <c r="A423">
        <f>'[1]2026 Orders'!A424</f>
        <v>0</v>
      </c>
      <c r="B423" s="14">
        <f>'[1]2026 Orders'!B424</f>
        <v>0</v>
      </c>
      <c r="C423" s="14">
        <f>'[1]2026 Orders'!C424</f>
        <v>0</v>
      </c>
      <c r="D423" s="14">
        <f>'[1]2026 Orders'!D424</f>
        <v>0</v>
      </c>
      <c r="E423" s="17" t="str" cm="1">
        <f t="array" ref="E423">IF(C423=0,"",
HYPERLINK(
"#'2026 Orders'!C"&amp;
MATCH(1,
('2026 Orders'!C:C=C423)*
('2026 Orders'!G:G=G423)*
('2026 Orders'!N:N=N423),
0),
"Open "&amp;C423
))</f>
        <v/>
      </c>
      <c r="F423" s="14">
        <f>'[1]2026 Orders'!F424</f>
        <v>0</v>
      </c>
      <c r="G423" s="14">
        <f>'[1]2026 Orders'!G424</f>
        <v>0</v>
      </c>
      <c r="H423" s="14" t="str" cm="1">
        <f t="array" ref="H423">IFERROR(_xlfn.TEXTJOIN("-",,INDEX(_xlfn.TEXTSPLIT(TableTake[[#This Row],[SKU]],"-"),{1,2})),"")</f>
        <v/>
      </c>
      <c r="I423" s="15" t="str">
        <f>IFERROR(_xlfn.TEXTAFTER(TableTake[[#This Row],[SKU]],"-",-1),"")</f>
        <v/>
      </c>
      <c r="J423" s="14">
        <f>'[1]2026 Orders'!H424</f>
        <v>0</v>
      </c>
      <c r="K423">
        <f>'[1]2026 Orders'!I424</f>
        <v>0</v>
      </c>
      <c r="L423">
        <f>'[1]2026 Orders'!J424</f>
        <v>0</v>
      </c>
      <c r="N423" s="10">
        <f>'[1]2026 Orders'!L424</f>
        <v>0</v>
      </c>
      <c r="O423">
        <f>'[1]2026 Orders'!M424</f>
        <v>0</v>
      </c>
      <c r="P423">
        <f>'[1]2026 Orders'!N424</f>
        <v>0</v>
      </c>
      <c r="Q423">
        <f>'[1]2026 Orders'!O424</f>
        <v>0</v>
      </c>
      <c r="R423">
        <f>'[1]2026 Orders'!P424</f>
        <v>0</v>
      </c>
      <c r="S423">
        <f>'[1]2026 Orders'!Q424</f>
        <v>0</v>
      </c>
      <c r="T423">
        <f>'[1]2026 Orders'!R424</f>
        <v>0</v>
      </c>
      <c r="U423">
        <f>'[1]2026 Orders'!S424</f>
        <v>0</v>
      </c>
      <c r="V423">
        <f>'[1]2026 Orders'!T424</f>
        <v>0</v>
      </c>
      <c r="W423">
        <f>'[1]2026 Orders'!U424</f>
        <v>0</v>
      </c>
      <c r="X423">
        <f>'[1]2026 Orders'!V424</f>
        <v>0</v>
      </c>
      <c r="Y423">
        <f>'[1]2026 Orders'!W424</f>
        <v>0</v>
      </c>
      <c r="Z423">
        <f>'[1]2026 Orders'!X424</f>
        <v>0</v>
      </c>
      <c r="AC423" t="str">
        <f t="shared" si="12"/>
        <v/>
      </c>
      <c r="AD423" t="str">
        <f t="shared" si="13"/>
        <v/>
      </c>
    </row>
    <row r="424" spans="1:30" ht="33" hidden="1" customHeight="1" x14ac:dyDescent="0.3">
      <c r="A424">
        <f>'[1]2026 Orders'!A425</f>
        <v>46177</v>
      </c>
      <c r="B424" s="14" t="str">
        <f>'[1]2026 Orders'!B425</f>
        <v>Lebanon</v>
      </c>
      <c r="C424" s="14" t="str">
        <f>'[1]2026 Orders'!C425</f>
        <v>A4713</v>
      </c>
      <c r="D424" s="14" t="str">
        <f>'[1]2026 Orders'!D425</f>
        <v>6/4/2026: Awaiting Proforma Approval</v>
      </c>
      <c r="E424" s="17" t="str" cm="1">
        <f t="array" ref="E424">IF(C424=0,"",
HYPERLINK(
"#'2026 Orders'!C"&amp;
MATCH(1,
('2026 Orders'!C:C=C424)*
('2026 Orders'!G:G=G424)*
('2026 Orders'!N:N=N424),
0),
"Open "&amp;C424
))</f>
        <v>Open A4713</v>
      </c>
      <c r="F424" s="14">
        <f>'[1]2026 Orders'!F425</f>
        <v>0</v>
      </c>
      <c r="G424" s="14" t="str">
        <f>'[1]2026 Orders'!G425</f>
        <v>NMNH-60-FD</v>
      </c>
      <c r="H424" s="14" t="str" cm="1">
        <f t="array" ref="H424">IFERROR(_xlfn.TEXTJOIN("-",,INDEX(_xlfn.TEXTSPLIT(TableTake[[#This Row],[SKU]],"-"),{1,2})),"")</f>
        <v>NMNH-60</v>
      </c>
      <c r="I424" s="15" t="str">
        <f>IFERROR(_xlfn.TEXTAFTER(TableTake[[#This Row],[SKU]],"-",-1),"")</f>
        <v>FD</v>
      </c>
      <c r="J424" s="14">
        <f>'[1]2026 Orders'!H425</f>
        <v>400</v>
      </c>
      <c r="K424" t="str">
        <f>'[1]2026 Orders'!I425</f>
        <v>F114-25.0</v>
      </c>
      <c r="L424">
        <f>'[1]2026 Orders'!J425</f>
        <v>400</v>
      </c>
      <c r="N424" s="10" t="str">
        <f>'[1]2026 Orders'!L425</f>
        <v>Rework</v>
      </c>
      <c r="O424">
        <f>'[1]2026 Orders'!M425</f>
        <v>0</v>
      </c>
      <c r="P424" t="str">
        <f>'[1]2026 Orders'!N425</f>
        <v>Y</v>
      </c>
      <c r="Q424" t="str">
        <f>'[1]2026 Orders'!O425</f>
        <v>810131192990</v>
      </c>
      <c r="R424">
        <f>'[1]2026 Orders'!P425</f>
        <v>0</v>
      </c>
      <c r="S424">
        <f>'[1]2026 Orders'!Q425</f>
        <v>0</v>
      </c>
      <c r="T424">
        <f>'[1]2026 Orders'!R425</f>
        <v>0</v>
      </c>
      <c r="U424">
        <f>'[1]2026 Orders'!S425</f>
        <v>0</v>
      </c>
      <c r="V424">
        <f>'[1]2026 Orders'!T425</f>
        <v>0</v>
      </c>
      <c r="W424">
        <f>'[1]2026 Orders'!U425</f>
        <v>0</v>
      </c>
      <c r="X424">
        <f>'[1]2026 Orders'!V425</f>
        <v>0</v>
      </c>
      <c r="Y424">
        <f>'[1]2026 Orders'!W425</f>
        <v>0</v>
      </c>
      <c r="Z424">
        <f>'[1]2026 Orders'!X425</f>
        <v>0</v>
      </c>
      <c r="AC424" t="str">
        <f t="shared" si="12"/>
        <v>400/</v>
      </c>
      <c r="AD424" t="e">
        <f t="shared" si="13"/>
        <v>#VALUE!</v>
      </c>
    </row>
    <row r="425" spans="1:30" ht="33" hidden="1" customHeight="1" x14ac:dyDescent="0.3">
      <c r="A425">
        <f>'[1]2026 Orders'!A426</f>
        <v>46177</v>
      </c>
      <c r="B425" s="14" t="str">
        <f>'[1]2026 Orders'!B426</f>
        <v>Lebanon</v>
      </c>
      <c r="C425" s="14" t="str">
        <f>'[1]2026 Orders'!C426</f>
        <v>A4713</v>
      </c>
      <c r="D425" s="14" t="str">
        <f>'[1]2026 Orders'!D426</f>
        <v>6/5/2026: Proforma approved</v>
      </c>
      <c r="E425" s="17" t="str" cm="1">
        <f t="array" ref="E425">IF(C425=0,"",
HYPERLINK(
"#'2026 Orders'!C"&amp;
MATCH(1,
('2026 Orders'!C:C=C425)*
('2026 Orders'!G:G=G425)*
('2026 Orders'!N:N=N425),
0),
"Open "&amp;C425
))</f>
        <v>Open A4713</v>
      </c>
      <c r="F425" s="14" t="str">
        <f>'[1]2026 Orders'!F426</f>
        <v>6/8/2026: Qty may increase, checking availability.                      6/9/2026: Qty increased from 200 pcs to 300 pcs.</v>
      </c>
      <c r="G425" s="14" t="str">
        <f>'[1]2026 Orders'!G426</f>
        <v>PEARLY-60-FD</v>
      </c>
      <c r="H425" s="14" t="str" cm="1">
        <f t="array" ref="H425">IFERROR(_xlfn.TEXTJOIN("-",,INDEX(_xlfn.TEXTSPLIT(TableTake[[#This Row],[SKU]],"-"),{1,2})),"")</f>
        <v>PEARLY-60</v>
      </c>
      <c r="I425" s="15" t="str">
        <f>IFERROR(_xlfn.TEXTAFTER(TableTake[[#This Row],[SKU]],"-",-1),"")</f>
        <v>FD</v>
      </c>
      <c r="J425" s="14">
        <f>'[1]2026 Orders'!H426</f>
        <v>300</v>
      </c>
      <c r="K425" t="str">
        <f>'[1]2026 Orders'!I426</f>
        <v>F42-22.0</v>
      </c>
      <c r="L425">
        <f>'[1]2026 Orders'!J426</f>
        <v>300</v>
      </c>
      <c r="N425" s="10" t="str">
        <f>'[1]2026 Orders'!L426</f>
        <v>Rework</v>
      </c>
      <c r="O425">
        <f>'[1]2026 Orders'!M426</f>
        <v>0</v>
      </c>
      <c r="P425" t="str">
        <f>'[1]2026 Orders'!N426</f>
        <v>Y</v>
      </c>
      <c r="Q425" t="str">
        <f>'[1]2026 Orders'!O426</f>
        <v>609788968665</v>
      </c>
      <c r="R425">
        <f>'[1]2026 Orders'!P426</f>
        <v>0</v>
      </c>
      <c r="S425">
        <f>'[1]2026 Orders'!Q426</f>
        <v>0</v>
      </c>
      <c r="T425">
        <f>'[1]2026 Orders'!R426</f>
        <v>0</v>
      </c>
      <c r="U425">
        <f>'[1]2026 Orders'!S426</f>
        <v>0</v>
      </c>
      <c r="V425">
        <f>'[1]2026 Orders'!T426</f>
        <v>0</v>
      </c>
      <c r="W425">
        <f>'[1]2026 Orders'!U426</f>
        <v>0</v>
      </c>
      <c r="X425">
        <f>'[1]2026 Orders'!V426</f>
        <v>0</v>
      </c>
      <c r="Y425">
        <f>'[1]2026 Orders'!W426</f>
        <v>0</v>
      </c>
      <c r="Z425">
        <f>'[1]2026 Orders'!X426</f>
        <v>0</v>
      </c>
      <c r="AC425" t="str">
        <f t="shared" si="12"/>
        <v>300/</v>
      </c>
      <c r="AD425" t="e">
        <f t="shared" si="13"/>
        <v>#VALUE!</v>
      </c>
    </row>
    <row r="426" spans="1:30" ht="33" hidden="1" customHeight="1" x14ac:dyDescent="0.3">
      <c r="A426">
        <f>'[1]2026 Orders'!A427</f>
        <v>0</v>
      </c>
      <c r="B426" s="14">
        <f>'[1]2026 Orders'!B427</f>
        <v>0</v>
      </c>
      <c r="C426" s="14">
        <f>'[1]2026 Orders'!C427</f>
        <v>0</v>
      </c>
      <c r="D426" s="14">
        <f>'[1]2026 Orders'!D427</f>
        <v>0</v>
      </c>
      <c r="E426" s="17" t="str" cm="1">
        <f t="array" ref="E426">IF(C426=0,"",
HYPERLINK(
"#'2026 Orders'!C"&amp;
MATCH(1,
('2026 Orders'!C:C=C426)*
('2026 Orders'!G:G=G426)*
('2026 Orders'!N:N=N426),
0),
"Open "&amp;C426
))</f>
        <v/>
      </c>
      <c r="F426" s="14">
        <f>'[1]2026 Orders'!F427</f>
        <v>0</v>
      </c>
      <c r="G426" s="14">
        <f>'[1]2026 Orders'!G427</f>
        <v>0</v>
      </c>
      <c r="H426" s="14" t="str" cm="1">
        <f t="array" ref="H426">IFERROR(_xlfn.TEXTJOIN("-",,INDEX(_xlfn.TEXTSPLIT(TableTake[[#This Row],[SKU]],"-"),{1,2})),"")</f>
        <v/>
      </c>
      <c r="I426" s="15" t="str">
        <f>IFERROR(_xlfn.TEXTAFTER(TableTake[[#This Row],[SKU]],"-",-1),"")</f>
        <v/>
      </c>
      <c r="J426" s="14">
        <f>'[1]2026 Orders'!H427</f>
        <v>0</v>
      </c>
      <c r="K426">
        <f>'[1]2026 Orders'!I427</f>
        <v>0</v>
      </c>
      <c r="L426">
        <f>'[1]2026 Orders'!J427</f>
        <v>0</v>
      </c>
      <c r="N426" s="10">
        <f>'[1]2026 Orders'!L427</f>
        <v>0</v>
      </c>
      <c r="O426">
        <f>'[1]2026 Orders'!M427</f>
        <v>0</v>
      </c>
      <c r="P426">
        <f>'[1]2026 Orders'!N427</f>
        <v>0</v>
      </c>
      <c r="Q426">
        <f>'[1]2026 Orders'!O427</f>
        <v>0</v>
      </c>
      <c r="R426">
        <f>'[1]2026 Orders'!P427</f>
        <v>0</v>
      </c>
      <c r="S426">
        <f>'[1]2026 Orders'!Q427</f>
        <v>0</v>
      </c>
      <c r="T426">
        <f>'[1]2026 Orders'!R427</f>
        <v>0</v>
      </c>
      <c r="U426">
        <f>'[1]2026 Orders'!S427</f>
        <v>0</v>
      </c>
      <c r="V426">
        <f>'[1]2026 Orders'!T427</f>
        <v>0</v>
      </c>
      <c r="W426">
        <f>'[1]2026 Orders'!U427</f>
        <v>0</v>
      </c>
      <c r="X426">
        <f>'[1]2026 Orders'!V427</f>
        <v>0</v>
      </c>
      <c r="Y426">
        <f>'[1]2026 Orders'!W427</f>
        <v>0</v>
      </c>
      <c r="Z426">
        <f>'[1]2026 Orders'!X427</f>
        <v>0</v>
      </c>
      <c r="AC426" t="str">
        <f t="shared" si="12"/>
        <v/>
      </c>
      <c r="AD426" t="str">
        <f t="shared" si="13"/>
        <v/>
      </c>
    </row>
    <row r="427" spans="1:30" ht="33" hidden="1" customHeight="1" x14ac:dyDescent="0.3">
      <c r="A427">
        <f>'[1]2026 Orders'!A428</f>
        <v>46181</v>
      </c>
      <c r="B427" s="14" t="str">
        <f>'[1]2026 Orders'!B428</f>
        <v>Qatar</v>
      </c>
      <c r="C427" s="14" t="str">
        <f>'[1]2026 Orders'!C428</f>
        <v>A4714</v>
      </c>
      <c r="D427" s="14" t="str">
        <f>'[1]2026 Orders'!D428</f>
        <v>6/8/2026: Awaiting Proforma Approval</v>
      </c>
      <c r="E427" s="17" t="str" cm="1">
        <f t="array" ref="E427">IF(C427=0,"",
HYPERLINK(
"#'2026 Orders'!C"&amp;
MATCH(1,
('2026 Orders'!C:C=C427)*
('2026 Orders'!G:G=G427)*
('2026 Orders'!N:N=N427),
0),
"Open "&amp;C427
))</f>
        <v>Open A4714</v>
      </c>
      <c r="F427" s="14">
        <f>'[1]2026 Orders'!F428</f>
        <v>0</v>
      </c>
      <c r="G427" s="14" t="str">
        <f>'[1]2026 Orders'!G428</f>
        <v>SPERMCT-60-CS-QT</v>
      </c>
      <c r="H427" s="14" t="str" cm="1">
        <f t="array" ref="H427">IFERROR(_xlfn.TEXTJOIN("-",,INDEX(_xlfn.TEXTSPLIT(TableTake[[#This Row],[SKU]],"-"),{1,2})),"")</f>
        <v>SPERMCT-60</v>
      </c>
      <c r="I427" s="15" t="str">
        <f>IFERROR(_xlfn.TEXTAFTER(TableTake[[#This Row],[SKU]],"-",-1),"")</f>
        <v>QT</v>
      </c>
      <c r="J427" s="14">
        <f>'[1]2026 Orders'!H428</f>
        <v>1100</v>
      </c>
      <c r="K427">
        <f>'[1]2026 Orders'!I428</f>
        <v>0</v>
      </c>
      <c r="L427">
        <f>'[1]2026 Orders'!J428</f>
        <v>0</v>
      </c>
      <c r="N427" s="10" t="str">
        <f>'[1]2026 Orders'!L428</f>
        <v>Sales Action Needed</v>
      </c>
      <c r="O427" t="str">
        <f>'[1]2026 Orders'!M428</f>
        <v>Available</v>
      </c>
      <c r="P427" t="str">
        <f>'[1]2026 Orders'!N428</f>
        <v>NA</v>
      </c>
      <c r="Q427">
        <f>'[1]2026 Orders'!O428</f>
        <v>604776736820</v>
      </c>
      <c r="R427">
        <f>'[1]2026 Orders'!P428</f>
        <v>0</v>
      </c>
      <c r="S427">
        <f>'[1]2026 Orders'!Q428</f>
        <v>0</v>
      </c>
      <c r="T427">
        <f>'[1]2026 Orders'!R428</f>
        <v>0</v>
      </c>
      <c r="U427">
        <f>'[1]2026 Orders'!S428</f>
        <v>0</v>
      </c>
      <c r="V427">
        <f>'[1]2026 Orders'!T428</f>
        <v>0</v>
      </c>
      <c r="W427">
        <f>'[1]2026 Orders'!U428</f>
        <v>0</v>
      </c>
      <c r="X427">
        <f>'[1]2026 Orders'!V428</f>
        <v>0</v>
      </c>
      <c r="Y427">
        <f>'[1]2026 Orders'!W428</f>
        <v>0</v>
      </c>
      <c r="Z427">
        <f>'[1]2026 Orders'!X428</f>
        <v>0</v>
      </c>
      <c r="AC427" t="str">
        <f t="shared" si="12"/>
        <v>1100/</v>
      </c>
      <c r="AD427" t="e">
        <f t="shared" si="13"/>
        <v>#VALUE!</v>
      </c>
    </row>
    <row r="428" spans="1:30" ht="33" hidden="1" customHeight="1" x14ac:dyDescent="0.3">
      <c r="A428">
        <f>'[1]2026 Orders'!A429</f>
        <v>46181</v>
      </c>
      <c r="B428" s="14" t="str">
        <f>'[1]2026 Orders'!B429</f>
        <v>Qatar</v>
      </c>
      <c r="C428" s="14" t="str">
        <f>'[1]2026 Orders'!C429</f>
        <v>A4714</v>
      </c>
      <c r="D428" s="14" t="str">
        <f>'[1]2026 Orders'!D429</f>
        <v>6/9/2026: Proforma approved</v>
      </c>
      <c r="E428" s="17" t="str" cm="1">
        <f t="array" ref="E428">IF(C428=0,"",
HYPERLINK(
"#'2026 Orders'!C"&amp;
MATCH(1,
('2026 Orders'!C:C=C428)*
('2026 Orders'!G:G=G428)*
('2026 Orders'!N:N=N428),
0),
"Open "&amp;C428
))</f>
        <v>Open A4714</v>
      </c>
      <c r="F428" s="14">
        <f>'[1]2026 Orders'!F429</f>
        <v>0</v>
      </c>
      <c r="G428" s="14" t="str">
        <f>'[1]2026 Orders'!G429</f>
        <v>WFSPLS-180-CS-QT</v>
      </c>
      <c r="H428" s="14" t="str" cm="1">
        <f t="array" ref="H428">IFERROR(_xlfn.TEXTJOIN("-",,INDEX(_xlfn.TEXTSPLIT(TableTake[[#This Row],[SKU]],"-"),{1,2})),"")</f>
        <v>WFSPLS-180</v>
      </c>
      <c r="I428" s="15" t="str">
        <f>IFERROR(_xlfn.TEXTAFTER(TableTake[[#This Row],[SKU]],"-",-1),"")</f>
        <v>QT</v>
      </c>
      <c r="J428" s="14">
        <f>'[1]2026 Orders'!H429</f>
        <v>550</v>
      </c>
      <c r="K428">
        <f>'[1]2026 Orders'!I429</f>
        <v>0</v>
      </c>
      <c r="L428">
        <f>'[1]2026 Orders'!J429</f>
        <v>0</v>
      </c>
      <c r="N428" s="10" t="str">
        <f>'[1]2026 Orders'!L429</f>
        <v>Sales Action Needed</v>
      </c>
      <c r="O428" t="str">
        <f>'[1]2026 Orders'!M429</f>
        <v>Out of Stock</v>
      </c>
      <c r="P428" t="str">
        <f>'[1]2026 Orders'!N429</f>
        <v>NA</v>
      </c>
      <c r="Q428">
        <f>'[1]2026 Orders'!O429</f>
        <v>604776736844</v>
      </c>
      <c r="R428">
        <f>'[1]2026 Orders'!P429</f>
        <v>0</v>
      </c>
      <c r="S428">
        <f>'[1]2026 Orders'!Q429</f>
        <v>0</v>
      </c>
      <c r="T428">
        <f>'[1]2026 Orders'!R429</f>
        <v>0</v>
      </c>
      <c r="U428">
        <f>'[1]2026 Orders'!S429</f>
        <v>0</v>
      </c>
      <c r="V428">
        <f>'[1]2026 Orders'!T429</f>
        <v>0</v>
      </c>
      <c r="W428">
        <f>'[1]2026 Orders'!U429</f>
        <v>0</v>
      </c>
      <c r="X428">
        <f>'[1]2026 Orders'!V429</f>
        <v>0</v>
      </c>
      <c r="Y428">
        <f>'[1]2026 Orders'!W429</f>
        <v>0</v>
      </c>
      <c r="Z428">
        <f>'[1]2026 Orders'!X429</f>
        <v>0</v>
      </c>
      <c r="AC428" t="str">
        <f t="shared" si="12"/>
        <v>550/</v>
      </c>
      <c r="AD428" t="e">
        <f t="shared" si="13"/>
        <v>#VALUE!</v>
      </c>
    </row>
    <row r="429" spans="1:30" ht="33" hidden="1" customHeight="1" x14ac:dyDescent="0.3">
      <c r="A429">
        <f>'[1]2026 Orders'!A430</f>
        <v>46181</v>
      </c>
      <c r="B429" s="14" t="str">
        <f>'[1]2026 Orders'!B430</f>
        <v>Qatar</v>
      </c>
      <c r="C429" s="14" t="str">
        <f>'[1]2026 Orders'!C430</f>
        <v>A4714</v>
      </c>
      <c r="D429" s="14" t="str">
        <f>'[1]2026 Orders'!D430</f>
        <v>6/9/2026: Awaiting confirmation for labels</v>
      </c>
      <c r="E429" s="17" t="str" cm="1">
        <f t="array" ref="E429">IF(C429=0,"",
HYPERLINK(
"#'2026 Orders'!C"&amp;
MATCH(1,
('2026 Orders'!C:C=C429)*
('2026 Orders'!G:G=G429)*
('2026 Orders'!N:N=N429),
0),
"Open "&amp;C429
))</f>
        <v>Open A4714</v>
      </c>
      <c r="F429" s="14">
        <f>'[1]2026 Orders'!F430</f>
        <v>0</v>
      </c>
      <c r="G429" s="14" t="str">
        <f>'[1]2026 Orders'!G430</f>
        <v>METRIO-60-CS-QT</v>
      </c>
      <c r="H429" s="14" t="str" cm="1">
        <f t="array" ref="H429">IFERROR(_xlfn.TEXTJOIN("-",,INDEX(_xlfn.TEXTSPLIT(TableTake[[#This Row],[SKU]],"-"),{1,2})),"")</f>
        <v>METRIO-60</v>
      </c>
      <c r="I429" s="15" t="str">
        <f>IFERROR(_xlfn.TEXTAFTER(TableTake[[#This Row],[SKU]],"-",-1),"")</f>
        <v>QT</v>
      </c>
      <c r="J429" s="14">
        <f>'[1]2026 Orders'!H430</f>
        <v>550</v>
      </c>
      <c r="K429">
        <f>'[1]2026 Orders'!I430</f>
        <v>0</v>
      </c>
      <c r="L429">
        <f>'[1]2026 Orders'!J430</f>
        <v>0</v>
      </c>
      <c r="N429" s="10" t="str">
        <f>'[1]2026 Orders'!L430</f>
        <v>Sales Action Needed</v>
      </c>
      <c r="O429" t="str">
        <f>'[1]2026 Orders'!M430</f>
        <v>Available</v>
      </c>
      <c r="P429" t="str">
        <f>'[1]2026 Orders'!N430</f>
        <v>NA</v>
      </c>
      <c r="Q429">
        <f>'[1]2026 Orders'!O430</f>
        <v>604776736738</v>
      </c>
      <c r="R429">
        <f>'[1]2026 Orders'!P430</f>
        <v>0</v>
      </c>
      <c r="S429">
        <f>'[1]2026 Orders'!Q430</f>
        <v>0</v>
      </c>
      <c r="T429">
        <f>'[1]2026 Orders'!R430</f>
        <v>0</v>
      </c>
      <c r="U429">
        <f>'[1]2026 Orders'!S430</f>
        <v>0</v>
      </c>
      <c r="V429">
        <f>'[1]2026 Orders'!T430</f>
        <v>0</v>
      </c>
      <c r="W429">
        <f>'[1]2026 Orders'!U430</f>
        <v>0</v>
      </c>
      <c r="X429">
        <f>'[1]2026 Orders'!V430</f>
        <v>0</v>
      </c>
      <c r="Y429">
        <f>'[1]2026 Orders'!W430</f>
        <v>0</v>
      </c>
      <c r="Z429">
        <f>'[1]2026 Orders'!X430</f>
        <v>0</v>
      </c>
      <c r="AC429" t="str">
        <f t="shared" si="12"/>
        <v>550/</v>
      </c>
      <c r="AD429" t="e">
        <f t="shared" si="13"/>
        <v>#VALUE!</v>
      </c>
    </row>
    <row r="430" spans="1:30" ht="33" hidden="1" customHeight="1" x14ac:dyDescent="0.3">
      <c r="A430">
        <f>'[1]2026 Orders'!A431</f>
        <v>46181</v>
      </c>
      <c r="B430" s="14" t="str">
        <f>'[1]2026 Orders'!B431</f>
        <v>Qatar</v>
      </c>
      <c r="C430" s="14" t="str">
        <f>'[1]2026 Orders'!C431</f>
        <v>A4714</v>
      </c>
      <c r="D430" s="14">
        <f>'[1]2026 Orders'!D431</f>
        <v>0</v>
      </c>
      <c r="E430" s="17" t="str" cm="1">
        <f t="array" ref="E430">IF(C430=0,"",
HYPERLINK(
"#'2026 Orders'!C"&amp;
MATCH(1,
('2026 Orders'!C:C=C430)*
('2026 Orders'!G:G=G430)*
('2026 Orders'!N:N=N430),
0),
"Open "&amp;C430
))</f>
        <v>Open A4714</v>
      </c>
      <c r="F430" s="14" t="str">
        <f>'[1]2026 Orders'!F431</f>
        <v>6/11/2026: Can take 66 packs from Amazon reserves + 60 from available lot</v>
      </c>
      <c r="G430" s="14" t="str">
        <f>'[1]2026 Orders'!G431</f>
        <v>BIO5K-60-CS-QT</v>
      </c>
      <c r="H430" s="14" t="str" cm="1">
        <f t="array" ref="H430">IFERROR(_xlfn.TEXTJOIN("-",,INDEX(_xlfn.TEXTSPLIT(TableTake[[#This Row],[SKU]],"-"),{1,2})),"")</f>
        <v>BIO5K-60</v>
      </c>
      <c r="I430" s="15" t="str">
        <f>IFERROR(_xlfn.TEXTAFTER(TableTake[[#This Row],[SKU]],"-",-1),"")</f>
        <v>QT</v>
      </c>
      <c r="J430" s="14">
        <f>'[1]2026 Orders'!H431</f>
        <v>126</v>
      </c>
      <c r="K430">
        <f>'[1]2026 Orders'!I431</f>
        <v>0</v>
      </c>
      <c r="L430">
        <f>'[1]2026 Orders'!J431</f>
        <v>0</v>
      </c>
      <c r="N430" s="10" t="str">
        <f>'[1]2026 Orders'!L431</f>
        <v>Sales Action Needed</v>
      </c>
      <c r="O430" t="str">
        <f>'[1]2026 Orders'!M431</f>
        <v xml:space="preserve"> 	46350425: 60 available,                                     44251024: 66 available</v>
      </c>
      <c r="P430" t="str">
        <f>'[1]2026 Orders'!N431</f>
        <v>NA</v>
      </c>
      <c r="Q430">
        <f>'[1]2026 Orders'!O431</f>
        <v>604776739371</v>
      </c>
      <c r="R430">
        <f>'[1]2026 Orders'!P431</f>
        <v>0</v>
      </c>
      <c r="S430">
        <f>'[1]2026 Orders'!Q431</f>
        <v>0</v>
      </c>
      <c r="T430">
        <f>'[1]2026 Orders'!R431</f>
        <v>0</v>
      </c>
      <c r="U430">
        <f>'[1]2026 Orders'!S431</f>
        <v>0</v>
      </c>
      <c r="V430">
        <f>'[1]2026 Orders'!T431</f>
        <v>0</v>
      </c>
      <c r="W430">
        <f>'[1]2026 Orders'!U431</f>
        <v>0</v>
      </c>
      <c r="X430">
        <f>'[1]2026 Orders'!V431</f>
        <v>0</v>
      </c>
      <c r="Y430">
        <f>'[1]2026 Orders'!W431</f>
        <v>0</v>
      </c>
      <c r="Z430">
        <f>'[1]2026 Orders'!X431</f>
        <v>0</v>
      </c>
      <c r="AC430" t="str">
        <f t="shared" si="12"/>
        <v>126/</v>
      </c>
      <c r="AD430" t="e">
        <f t="shared" si="13"/>
        <v>#VALUE!</v>
      </c>
    </row>
    <row r="431" spans="1:30" ht="33" hidden="1" customHeight="1" x14ac:dyDescent="0.3">
      <c r="A431">
        <f>'[1]2026 Orders'!A432</f>
        <v>46181</v>
      </c>
      <c r="B431" s="14" t="str">
        <f>'[1]2026 Orders'!B432</f>
        <v>Qatar</v>
      </c>
      <c r="C431" s="14" t="str">
        <f>'[1]2026 Orders'!C432</f>
        <v>A4714</v>
      </c>
      <c r="D431" s="14">
        <f>'[1]2026 Orders'!D432</f>
        <v>0</v>
      </c>
      <c r="E431" s="17" t="str" cm="1">
        <f t="array" ref="E431">IF(C431=0,"",
HYPERLINK(
"#'2026 Orders'!C"&amp;
MATCH(1,
('2026 Orders'!C:C=C431)*
('2026 Orders'!G:G=G431)*
('2026 Orders'!N:N=N431),
0),
"Open "&amp;C431
))</f>
        <v>Open A4714</v>
      </c>
      <c r="F431" s="14" t="str">
        <f>'[1]2026 Orders'!F432</f>
        <v>6/11/2026: Client can take old formula containing Citrus Bioflavonoids</v>
      </c>
      <c r="G431" s="14" t="str">
        <f>'[1]2026 Orders'!G432</f>
        <v>EYECAP-30-CS-QT</v>
      </c>
      <c r="H431" s="14" t="str" cm="1">
        <f t="array" ref="H431">IFERROR(_xlfn.TEXTJOIN("-",,INDEX(_xlfn.TEXTSPLIT(TableTake[[#This Row],[SKU]],"-"),{1,2})),"")</f>
        <v>EYECAP-30</v>
      </c>
      <c r="I431" s="15" t="str">
        <f>IFERROR(_xlfn.TEXTAFTER(TableTake[[#This Row],[SKU]],"-",-1),"")</f>
        <v>QT</v>
      </c>
      <c r="J431" s="14">
        <f>'[1]2026 Orders'!H432</f>
        <v>720</v>
      </c>
      <c r="K431">
        <f>'[1]2026 Orders'!I432</f>
        <v>0</v>
      </c>
      <c r="L431">
        <f>'[1]2026 Orders'!J432</f>
        <v>0</v>
      </c>
      <c r="N431" s="10" t="str">
        <f>'[1]2026 Orders'!L432</f>
        <v>Sales Action Needed</v>
      </c>
      <c r="O431" t="str">
        <f>'[1]2026 Orders'!M432</f>
        <v>720 available with old formula</v>
      </c>
      <c r="P431" t="str">
        <f>'[1]2026 Orders'!N432</f>
        <v>NA</v>
      </c>
      <c r="Q431">
        <f>'[1]2026 Orders'!O432</f>
        <v>604776739395</v>
      </c>
      <c r="R431">
        <f>'[1]2026 Orders'!P432</f>
        <v>0</v>
      </c>
      <c r="S431">
        <f>'[1]2026 Orders'!Q432</f>
        <v>0</v>
      </c>
      <c r="T431">
        <f>'[1]2026 Orders'!R432</f>
        <v>0</v>
      </c>
      <c r="U431">
        <f>'[1]2026 Orders'!S432</f>
        <v>0</v>
      </c>
      <c r="V431">
        <f>'[1]2026 Orders'!T432</f>
        <v>0</v>
      </c>
      <c r="W431">
        <f>'[1]2026 Orders'!U432</f>
        <v>0</v>
      </c>
      <c r="X431">
        <f>'[1]2026 Orders'!V432</f>
        <v>0</v>
      </c>
      <c r="Y431">
        <f>'[1]2026 Orders'!W432</f>
        <v>0</v>
      </c>
      <c r="Z431">
        <f>'[1]2026 Orders'!X432</f>
        <v>0</v>
      </c>
      <c r="AC431" t="str">
        <f t="shared" si="12"/>
        <v>720/</v>
      </c>
      <c r="AD431" t="e">
        <f t="shared" si="13"/>
        <v>#VALUE!</v>
      </c>
    </row>
    <row r="432" spans="1:30" ht="33" hidden="1" customHeight="1" x14ac:dyDescent="0.3">
      <c r="A432">
        <f>'[1]2026 Orders'!A433</f>
        <v>0</v>
      </c>
      <c r="B432" s="14">
        <f>'[1]2026 Orders'!B433</f>
        <v>0</v>
      </c>
      <c r="C432" s="14">
        <f>'[1]2026 Orders'!C433</f>
        <v>0</v>
      </c>
      <c r="D432" s="14">
        <f>'[1]2026 Orders'!D433</f>
        <v>0</v>
      </c>
      <c r="E432" s="17" t="str" cm="1">
        <f t="array" ref="E432">IF(C432=0,"",
HYPERLINK(
"#'2026 Orders'!C"&amp;
MATCH(1,
('2026 Orders'!C:C=C432)*
('2026 Orders'!G:G=G432)*
('2026 Orders'!N:N=N432),
0),
"Open "&amp;C432
))</f>
        <v/>
      </c>
      <c r="F432" s="14">
        <f>'[1]2026 Orders'!F433</f>
        <v>0</v>
      </c>
      <c r="G432" s="14">
        <f>'[1]2026 Orders'!G433</f>
        <v>0</v>
      </c>
      <c r="H432" s="14" t="str" cm="1">
        <f t="array" ref="H432">IFERROR(_xlfn.TEXTJOIN("-",,INDEX(_xlfn.TEXTSPLIT(TableTake[[#This Row],[SKU]],"-"),{1,2})),"")</f>
        <v/>
      </c>
      <c r="I432" s="15" t="str">
        <f>IFERROR(_xlfn.TEXTAFTER(TableTake[[#This Row],[SKU]],"-",-1),"")</f>
        <v/>
      </c>
      <c r="J432" s="14">
        <f>'[1]2026 Orders'!H433</f>
        <v>0</v>
      </c>
      <c r="K432">
        <f>'[1]2026 Orders'!I433</f>
        <v>0</v>
      </c>
      <c r="L432">
        <f>'[1]2026 Orders'!J433</f>
        <v>0</v>
      </c>
      <c r="N432" s="10">
        <f>'[1]2026 Orders'!L433</f>
        <v>0</v>
      </c>
      <c r="O432">
        <f>'[1]2026 Orders'!M433</f>
        <v>0</v>
      </c>
      <c r="P432">
        <f>'[1]2026 Orders'!N433</f>
        <v>0</v>
      </c>
      <c r="Q432">
        <f>'[1]2026 Orders'!O433</f>
        <v>0</v>
      </c>
      <c r="R432">
        <f>'[1]2026 Orders'!P433</f>
        <v>0</v>
      </c>
      <c r="S432">
        <f>'[1]2026 Orders'!Q433</f>
        <v>0</v>
      </c>
      <c r="T432">
        <f>'[1]2026 Orders'!R433</f>
        <v>0</v>
      </c>
      <c r="U432">
        <f>'[1]2026 Orders'!S433</f>
        <v>0</v>
      </c>
      <c r="V432">
        <f>'[1]2026 Orders'!T433</f>
        <v>0</v>
      </c>
      <c r="W432">
        <f>'[1]2026 Orders'!U433</f>
        <v>0</v>
      </c>
      <c r="X432">
        <f>'[1]2026 Orders'!V433</f>
        <v>0</v>
      </c>
      <c r="Y432">
        <f>'[1]2026 Orders'!W433</f>
        <v>0</v>
      </c>
      <c r="Z432">
        <f>'[1]2026 Orders'!X433</f>
        <v>0</v>
      </c>
      <c r="AC432" t="str">
        <f t="shared" si="12"/>
        <v/>
      </c>
      <c r="AD432" t="str">
        <f t="shared" si="13"/>
        <v/>
      </c>
    </row>
    <row r="433" spans="1:30" ht="33" hidden="1" customHeight="1" x14ac:dyDescent="0.3">
      <c r="A433">
        <f>'[1]2026 Orders'!A434</f>
        <v>46181</v>
      </c>
      <c r="B433" s="14" t="str">
        <f>'[1]2026 Orders'!B434</f>
        <v>Qatar</v>
      </c>
      <c r="C433" s="14" t="str">
        <f>'[1]2026 Orders'!C434</f>
        <v>A4715</v>
      </c>
      <c r="D433" s="14" t="str">
        <f>'[1]2026 Orders'!D434</f>
        <v>6/8/2026: Awaiting Proforma Approval</v>
      </c>
      <c r="E433" s="17" t="str" cm="1">
        <f t="array" ref="E433">IF(C433=0,"",
HYPERLINK(
"#'2026 Orders'!C"&amp;
MATCH(1,
('2026 Orders'!C:C=C433)*
('2026 Orders'!G:G=G433)*
('2026 Orders'!N:N=N433),
0),
"Open "&amp;C433
))</f>
        <v>Open A4715</v>
      </c>
      <c r="F433" s="14">
        <f>'[1]2026 Orders'!F434</f>
        <v>0</v>
      </c>
      <c r="G433" s="14" t="str">
        <f>'[1]2026 Orders'!G434</f>
        <v>ROYALPL-30-CS-QT</v>
      </c>
      <c r="H433" s="14" t="str" cm="1">
        <f t="array" ref="H433">IFERROR(_xlfn.TEXTJOIN("-",,INDEX(_xlfn.TEXTSPLIT(TableTake[[#This Row],[SKU]],"-"),{1,2})),"")</f>
        <v>ROYALPL-30</v>
      </c>
      <c r="I433" s="15" t="str">
        <f>IFERROR(_xlfn.TEXTAFTER(TableTake[[#This Row],[SKU]],"-",-1),"")</f>
        <v>QT</v>
      </c>
      <c r="J433" s="14">
        <f>'[1]2026 Orders'!H434</f>
        <v>1000</v>
      </c>
      <c r="K433">
        <f>'[1]2026 Orders'!I434</f>
        <v>0</v>
      </c>
      <c r="L433">
        <f>'[1]2026 Orders'!J434</f>
        <v>0</v>
      </c>
      <c r="N433" s="10" t="str">
        <f>'[1]2026 Orders'!L434</f>
        <v>Sales Action Needed</v>
      </c>
      <c r="O433" t="str">
        <f>'[1]2026 Orders'!M434</f>
        <v>978 available with two lots</v>
      </c>
      <c r="P433" t="str">
        <f>'[1]2026 Orders'!N434</f>
        <v>NA</v>
      </c>
      <c r="Q433">
        <f>'[1]2026 Orders'!O434</f>
        <v>604776736813</v>
      </c>
      <c r="R433">
        <f>'[1]2026 Orders'!P434</f>
        <v>0</v>
      </c>
      <c r="S433">
        <f>'[1]2026 Orders'!Q434</f>
        <v>0</v>
      </c>
      <c r="T433">
        <f>'[1]2026 Orders'!R434</f>
        <v>0</v>
      </c>
      <c r="U433">
        <f>'[1]2026 Orders'!S434</f>
        <v>0</v>
      </c>
      <c r="V433">
        <f>'[1]2026 Orders'!T434</f>
        <v>0</v>
      </c>
      <c r="W433">
        <f>'[1]2026 Orders'!U434</f>
        <v>0</v>
      </c>
      <c r="X433">
        <f>'[1]2026 Orders'!V434</f>
        <v>0</v>
      </c>
      <c r="Y433">
        <f>'[1]2026 Orders'!W434</f>
        <v>0</v>
      </c>
      <c r="Z433">
        <f>'[1]2026 Orders'!X434</f>
        <v>0</v>
      </c>
      <c r="AC433" t="str">
        <f t="shared" si="12"/>
        <v>1000/</v>
      </c>
      <c r="AD433" t="e">
        <f t="shared" si="13"/>
        <v>#VALUE!</v>
      </c>
    </row>
    <row r="434" spans="1:30" ht="33" hidden="1" customHeight="1" x14ac:dyDescent="0.3">
      <c r="A434">
        <f>'[1]2026 Orders'!A435</f>
        <v>46181</v>
      </c>
      <c r="B434" s="14" t="str">
        <f>'[1]2026 Orders'!B435</f>
        <v>Qatar</v>
      </c>
      <c r="C434" s="14" t="str">
        <f>'[1]2026 Orders'!C435</f>
        <v>A4715</v>
      </c>
      <c r="D434" s="14" t="str">
        <f>'[1]2026 Orders'!D435</f>
        <v>6/9/2026: Proforma approved</v>
      </c>
      <c r="E434" s="17" t="str" cm="1">
        <f t="array" ref="E434">IF(C434=0,"",
HYPERLINK(
"#'2026 Orders'!C"&amp;
MATCH(1,
('2026 Orders'!C:C=C434)*
('2026 Orders'!G:G=G434)*
('2026 Orders'!N:N=N434),
0),
"Open "&amp;C434
))</f>
        <v>Open A4715</v>
      </c>
      <c r="F434" s="14">
        <f>'[1]2026 Orders'!F435</f>
        <v>0</v>
      </c>
      <c r="G434" s="14" t="str">
        <f>'[1]2026 Orders'!G435</f>
        <v>OVAMANM-120-CS-QT</v>
      </c>
      <c r="H434" s="14" t="str" cm="1">
        <f t="array" ref="H434">IFERROR(_xlfn.TEXTJOIN("-",,INDEX(_xlfn.TEXTSPLIT(TableTake[[#This Row],[SKU]],"-"),{1,2})),"")</f>
        <v>OVAMANM-120</v>
      </c>
      <c r="I434" s="15" t="str">
        <f>IFERROR(_xlfn.TEXTAFTER(TableTake[[#This Row],[SKU]],"-",-1),"")</f>
        <v>QT</v>
      </c>
      <c r="J434" s="14">
        <f>'[1]2026 Orders'!H435</f>
        <v>1500</v>
      </c>
      <c r="K434">
        <f>'[1]2026 Orders'!I435</f>
        <v>0</v>
      </c>
      <c r="L434">
        <f>'[1]2026 Orders'!J435</f>
        <v>0</v>
      </c>
      <c r="N434" s="10" t="str">
        <f>'[1]2026 Orders'!L435</f>
        <v>Sales Action Needed</v>
      </c>
      <c r="O434" t="str">
        <f>'[1]2026 Orders'!M435</f>
        <v>Out of Stock</v>
      </c>
      <c r="P434" t="str">
        <f>'[1]2026 Orders'!N435</f>
        <v>NA</v>
      </c>
      <c r="Q434">
        <f>'[1]2026 Orders'!O435</f>
        <v>604776736776</v>
      </c>
      <c r="R434">
        <f>'[1]2026 Orders'!P435</f>
        <v>0</v>
      </c>
      <c r="S434">
        <f>'[1]2026 Orders'!Q435</f>
        <v>0</v>
      </c>
      <c r="T434">
        <f>'[1]2026 Orders'!R435</f>
        <v>0</v>
      </c>
      <c r="U434">
        <f>'[1]2026 Orders'!S435</f>
        <v>0</v>
      </c>
      <c r="V434">
        <f>'[1]2026 Orders'!T435</f>
        <v>0</v>
      </c>
      <c r="W434">
        <f>'[1]2026 Orders'!U435</f>
        <v>0</v>
      </c>
      <c r="X434">
        <f>'[1]2026 Orders'!V435</f>
        <v>0</v>
      </c>
      <c r="Y434">
        <f>'[1]2026 Orders'!W435</f>
        <v>0</v>
      </c>
      <c r="Z434">
        <f>'[1]2026 Orders'!X435</f>
        <v>0</v>
      </c>
      <c r="AC434" t="str">
        <f t="shared" si="12"/>
        <v>1500/</v>
      </c>
      <c r="AD434" t="e">
        <f t="shared" si="13"/>
        <v>#VALUE!</v>
      </c>
    </row>
    <row r="435" spans="1:30" ht="33" hidden="1" customHeight="1" x14ac:dyDescent="0.3">
      <c r="A435">
        <f>'[1]2026 Orders'!A436</f>
        <v>46181</v>
      </c>
      <c r="B435" s="14" t="str">
        <f>'[1]2026 Orders'!B436</f>
        <v>Qatar</v>
      </c>
      <c r="C435" s="14" t="str">
        <f>'[1]2026 Orders'!C436</f>
        <v>A4715</v>
      </c>
      <c r="D435" s="14" t="str">
        <f>'[1]2026 Orders'!D436</f>
        <v>6/9/2026: Awaiting confirmation for labels</v>
      </c>
      <c r="E435" s="17" t="str" cm="1">
        <f t="array" ref="E435">IF(C435=0,"",
HYPERLINK(
"#'2026 Orders'!C"&amp;
MATCH(1,
('2026 Orders'!C:C=C435)*
('2026 Orders'!G:G=G435)*
('2026 Orders'!N:N=N435),
0),
"Open "&amp;C435
))</f>
        <v>Open A4715</v>
      </c>
      <c r="F435" s="14">
        <f>'[1]2026 Orders'!F436</f>
        <v>0</v>
      </c>
      <c r="G435" s="14" t="str">
        <f>'[1]2026 Orders'!G436</f>
        <v>PRECON-90-CS-QT</v>
      </c>
      <c r="H435" s="14" t="str" cm="1">
        <f t="array" ref="H435">IFERROR(_xlfn.TEXTJOIN("-",,INDEX(_xlfn.TEXTSPLIT(TableTake[[#This Row],[SKU]],"-"),{1,2})),"")</f>
        <v>PRECON-90</v>
      </c>
      <c r="I435" s="15" t="str">
        <f>IFERROR(_xlfn.TEXTAFTER(TableTake[[#This Row],[SKU]],"-",-1),"")</f>
        <v>QT</v>
      </c>
      <c r="J435" s="14">
        <f>'[1]2026 Orders'!H436</f>
        <v>1500</v>
      </c>
      <c r="K435">
        <f>'[1]2026 Orders'!I436</f>
        <v>0</v>
      </c>
      <c r="L435">
        <f>'[1]2026 Orders'!J436</f>
        <v>0</v>
      </c>
      <c r="N435" s="10" t="str">
        <f>'[1]2026 Orders'!L436</f>
        <v>Sales Action Needed</v>
      </c>
      <c r="O435" t="str">
        <f>'[1]2026 Orders'!M436</f>
        <v>Available</v>
      </c>
      <c r="P435" t="str">
        <f>'[1]2026 Orders'!N436</f>
        <v>NA</v>
      </c>
      <c r="Q435">
        <f>'[1]2026 Orders'!O436</f>
        <v>604776736790</v>
      </c>
      <c r="R435">
        <f>'[1]2026 Orders'!P436</f>
        <v>0</v>
      </c>
      <c r="S435">
        <f>'[1]2026 Orders'!Q436</f>
        <v>0</v>
      </c>
      <c r="T435">
        <f>'[1]2026 Orders'!R436</f>
        <v>0</v>
      </c>
      <c r="U435">
        <f>'[1]2026 Orders'!S436</f>
        <v>0</v>
      </c>
      <c r="V435">
        <f>'[1]2026 Orders'!T436</f>
        <v>0</v>
      </c>
      <c r="W435">
        <f>'[1]2026 Orders'!U436</f>
        <v>0</v>
      </c>
      <c r="X435">
        <f>'[1]2026 Orders'!V436</f>
        <v>0</v>
      </c>
      <c r="Y435">
        <f>'[1]2026 Orders'!W436</f>
        <v>0</v>
      </c>
      <c r="Z435">
        <f>'[1]2026 Orders'!X436</f>
        <v>0</v>
      </c>
      <c r="AC435" t="str">
        <f t="shared" si="12"/>
        <v>1500/</v>
      </c>
      <c r="AD435" t="e">
        <f t="shared" si="13"/>
        <v>#VALUE!</v>
      </c>
    </row>
    <row r="436" spans="1:30" ht="33" hidden="1" customHeight="1" x14ac:dyDescent="0.3">
      <c r="A436">
        <f>'[1]2026 Orders'!A437</f>
        <v>0</v>
      </c>
      <c r="B436" s="14">
        <f>'[1]2026 Orders'!B437</f>
        <v>0</v>
      </c>
      <c r="C436" s="14">
        <f>'[1]2026 Orders'!C437</f>
        <v>0</v>
      </c>
      <c r="D436" s="14">
        <f>'[1]2026 Orders'!D437</f>
        <v>0</v>
      </c>
      <c r="E436" s="17" t="str" cm="1">
        <f t="array" ref="E436">IF(C436=0,"",
HYPERLINK(
"#'2026 Orders'!C"&amp;
MATCH(1,
('2026 Orders'!C:C=C436)*
('2026 Orders'!G:G=G436)*
('2026 Orders'!N:N=N436),
0),
"Open "&amp;C436
))</f>
        <v/>
      </c>
      <c r="F436" s="14">
        <f>'[1]2026 Orders'!F437</f>
        <v>0</v>
      </c>
      <c r="G436" s="14">
        <f>'[1]2026 Orders'!G437</f>
        <v>0</v>
      </c>
      <c r="H436" s="14" t="str" cm="1">
        <f t="array" ref="H436">IFERROR(_xlfn.TEXTJOIN("-",,INDEX(_xlfn.TEXTSPLIT(TableTake[[#This Row],[SKU]],"-"),{1,2})),"")</f>
        <v/>
      </c>
      <c r="I436" s="15" t="str">
        <f>IFERROR(_xlfn.TEXTAFTER(TableTake[[#This Row],[SKU]],"-",-1),"")</f>
        <v/>
      </c>
      <c r="J436" s="14">
        <f>'[1]2026 Orders'!H437</f>
        <v>0</v>
      </c>
      <c r="K436">
        <f>'[1]2026 Orders'!I437</f>
        <v>0</v>
      </c>
      <c r="L436">
        <f>'[1]2026 Orders'!J437</f>
        <v>0</v>
      </c>
      <c r="N436" s="10">
        <f>'[1]2026 Orders'!L437</f>
        <v>0</v>
      </c>
      <c r="O436">
        <f>'[1]2026 Orders'!M437</f>
        <v>0</v>
      </c>
      <c r="P436">
        <f>'[1]2026 Orders'!N437</f>
        <v>0</v>
      </c>
      <c r="Q436">
        <f>'[1]2026 Orders'!O437</f>
        <v>0</v>
      </c>
      <c r="R436">
        <f>'[1]2026 Orders'!P437</f>
        <v>0</v>
      </c>
      <c r="S436">
        <f>'[1]2026 Orders'!Q437</f>
        <v>0</v>
      </c>
      <c r="T436">
        <f>'[1]2026 Orders'!R437</f>
        <v>0</v>
      </c>
      <c r="U436">
        <f>'[1]2026 Orders'!S437</f>
        <v>0</v>
      </c>
      <c r="V436">
        <f>'[1]2026 Orders'!T437</f>
        <v>0</v>
      </c>
      <c r="W436">
        <f>'[1]2026 Orders'!U437</f>
        <v>0</v>
      </c>
      <c r="X436">
        <f>'[1]2026 Orders'!V437</f>
        <v>0</v>
      </c>
      <c r="Y436">
        <f>'[1]2026 Orders'!W437</f>
        <v>0</v>
      </c>
      <c r="Z436">
        <f>'[1]2026 Orders'!X437</f>
        <v>0</v>
      </c>
      <c r="AC436" t="str">
        <f t="shared" si="12"/>
        <v/>
      </c>
      <c r="AD436" t="str">
        <f t="shared" si="13"/>
        <v/>
      </c>
    </row>
    <row r="437" spans="1:30" ht="33" hidden="1" customHeight="1" x14ac:dyDescent="0.3">
      <c r="A437">
        <f>'[1]2026 Orders'!A438</f>
        <v>46182</v>
      </c>
      <c r="B437" s="14" t="str">
        <f>'[1]2026 Orders'!B438</f>
        <v>Sudan</v>
      </c>
      <c r="C437" s="14" t="str">
        <f>'[1]2026 Orders'!C438</f>
        <v>A4716</v>
      </c>
      <c r="D437" s="14" t="str">
        <f>'[1]2026 Orders'!D438</f>
        <v>6/9/2026: Awaiting Proforma Approval</v>
      </c>
      <c r="E437" s="17" t="str" cm="1">
        <f t="array" ref="E437">IF(C437=0,"",
HYPERLINK(
"#'2026 Orders'!C"&amp;
MATCH(1,
('2026 Orders'!C:C=C437)*
('2026 Orders'!G:G=G437)*
('2026 Orders'!N:N=N437),
0),
"Open "&amp;C437
))</f>
        <v>Open A4716</v>
      </c>
      <c r="F437" s="14">
        <f>'[1]2026 Orders'!F438</f>
        <v>0</v>
      </c>
      <c r="G437" s="14" t="str">
        <f>'[1]2026 Orders'!G438</f>
        <v>MFSPLS-120-RE</v>
      </c>
      <c r="H437" s="14" t="str" cm="1">
        <f t="array" ref="H437">IFERROR(_xlfn.TEXTJOIN("-",,INDEX(_xlfn.TEXTSPLIT(TableTake[[#This Row],[SKU]],"-"),{1,2})),"")</f>
        <v>MFSPLS-120</v>
      </c>
      <c r="I437" s="15" t="str">
        <f>IFERROR(_xlfn.TEXTAFTER(TableTake[[#This Row],[SKU]],"-",-1),"")</f>
        <v>RE</v>
      </c>
      <c r="J437" s="14">
        <f>'[1]2026 Orders'!H438</f>
        <v>3395</v>
      </c>
      <c r="K437">
        <f>'[1]2026 Orders'!I438</f>
        <v>0</v>
      </c>
      <c r="L437">
        <f>'[1]2026 Orders'!J438</f>
        <v>0</v>
      </c>
      <c r="N437" s="10" t="str">
        <f>'[1]2026 Orders'!L438</f>
        <v>Out of Stock</v>
      </c>
      <c r="O437">
        <f>'[1]2026 Orders'!M438</f>
        <v>0</v>
      </c>
      <c r="P437" t="str">
        <f>'[1]2026 Orders'!N438</f>
        <v>NA</v>
      </c>
      <c r="Q437">
        <f>'[1]2026 Orders'!O438</f>
        <v>609788968344</v>
      </c>
      <c r="R437">
        <f>'[1]2026 Orders'!P438</f>
        <v>0</v>
      </c>
      <c r="S437">
        <f>'[1]2026 Orders'!Q438</f>
        <v>0</v>
      </c>
      <c r="T437">
        <f>'[1]2026 Orders'!R438</f>
        <v>0</v>
      </c>
      <c r="U437">
        <f>'[1]2026 Orders'!S438</f>
        <v>0</v>
      </c>
      <c r="V437">
        <f>'[1]2026 Orders'!T438</f>
        <v>0</v>
      </c>
      <c r="W437">
        <f>'[1]2026 Orders'!U438</f>
        <v>0</v>
      </c>
      <c r="X437">
        <f>'[1]2026 Orders'!V438</f>
        <v>0</v>
      </c>
      <c r="Y437">
        <f>'[1]2026 Orders'!W438</f>
        <v>0</v>
      </c>
      <c r="Z437">
        <f>'[1]2026 Orders'!X438</f>
        <v>0</v>
      </c>
      <c r="AC437" t="str">
        <f t="shared" si="12"/>
        <v>3395/</v>
      </c>
      <c r="AD437" t="e">
        <f t="shared" si="13"/>
        <v>#VALUE!</v>
      </c>
    </row>
    <row r="438" spans="1:30" ht="33" hidden="1" customHeight="1" x14ac:dyDescent="0.3">
      <c r="A438">
        <f>'[1]2026 Orders'!A439</f>
        <v>46182</v>
      </c>
      <c r="B438" s="14" t="str">
        <f>'[1]2026 Orders'!B439</f>
        <v>Sudan</v>
      </c>
      <c r="C438" s="14" t="str">
        <f>'[1]2026 Orders'!C439</f>
        <v>A4716</v>
      </c>
      <c r="D438" s="14" t="str">
        <f>'[1]2026 Orders'!D439</f>
        <v>6/10/2026: Proforma approved</v>
      </c>
      <c r="E438" s="17" t="str" cm="1">
        <f t="array" ref="E438">IF(C438=0,"",
HYPERLINK(
"#'2026 Orders'!C"&amp;
MATCH(1,
('2026 Orders'!C:C=C438)*
('2026 Orders'!G:G=G438)*
('2026 Orders'!N:N=N438),
0),
"Open "&amp;C438
))</f>
        <v>Open A4716</v>
      </c>
      <c r="F438" s="14">
        <f>'[1]2026 Orders'!F439</f>
        <v>0</v>
      </c>
      <c r="G438" s="14" t="str">
        <f>'[1]2026 Orders'!G439</f>
        <v>WFSPLS-180-RE</v>
      </c>
      <c r="H438" s="14" t="str" cm="1">
        <f t="array" ref="H438">IFERROR(_xlfn.TEXTJOIN("-",,INDEX(_xlfn.TEXTSPLIT(TableTake[[#This Row],[SKU]],"-"),{1,2})),"")</f>
        <v>WFSPLS-180</v>
      </c>
      <c r="I438" s="15" t="str">
        <f>IFERROR(_xlfn.TEXTAFTER(TableTake[[#This Row],[SKU]],"-",-1),"")</f>
        <v>RE</v>
      </c>
      <c r="J438" s="14">
        <f>'[1]2026 Orders'!H439</f>
        <v>1298</v>
      </c>
      <c r="K438">
        <f>'[1]2026 Orders'!I439</f>
        <v>0</v>
      </c>
      <c r="L438">
        <f>'[1]2026 Orders'!J439</f>
        <v>0</v>
      </c>
      <c r="N438" s="10" t="str">
        <f>'[1]2026 Orders'!L439</f>
        <v>Out of Stock</v>
      </c>
      <c r="O438">
        <f>'[1]2026 Orders'!M439</f>
        <v>0</v>
      </c>
      <c r="P438" t="str">
        <f>'[1]2026 Orders'!N439</f>
        <v>NA</v>
      </c>
      <c r="Q438">
        <f>'[1]2026 Orders'!O439</f>
        <v>609788968351</v>
      </c>
      <c r="R438">
        <f>'[1]2026 Orders'!P439</f>
        <v>0</v>
      </c>
      <c r="S438">
        <f>'[1]2026 Orders'!Q439</f>
        <v>0</v>
      </c>
      <c r="T438">
        <f>'[1]2026 Orders'!R439</f>
        <v>0</v>
      </c>
      <c r="U438">
        <f>'[1]2026 Orders'!S439</f>
        <v>0</v>
      </c>
      <c r="V438">
        <f>'[1]2026 Orders'!T439</f>
        <v>0</v>
      </c>
      <c r="W438">
        <f>'[1]2026 Orders'!U439</f>
        <v>0</v>
      </c>
      <c r="X438">
        <f>'[1]2026 Orders'!V439</f>
        <v>0</v>
      </c>
      <c r="Y438">
        <f>'[1]2026 Orders'!W439</f>
        <v>0</v>
      </c>
      <c r="Z438">
        <f>'[1]2026 Orders'!X439</f>
        <v>0</v>
      </c>
      <c r="AC438" t="str">
        <f t="shared" si="12"/>
        <v>1298/</v>
      </c>
      <c r="AD438" t="e">
        <f t="shared" si="13"/>
        <v>#VALUE!</v>
      </c>
    </row>
    <row r="439" spans="1:30" ht="33" hidden="1" customHeight="1" x14ac:dyDescent="0.3">
      <c r="A439">
        <f>'[1]2026 Orders'!A440</f>
        <v>46182</v>
      </c>
      <c r="B439" s="14" t="str">
        <f>'[1]2026 Orders'!B440</f>
        <v>Sudan</v>
      </c>
      <c r="C439" s="14" t="str">
        <f>'[1]2026 Orders'!C440</f>
        <v>A4716</v>
      </c>
      <c r="D439" s="14">
        <f>'[1]2026 Orders'!D440</f>
        <v>0</v>
      </c>
      <c r="E439" s="17" t="str" cm="1">
        <f t="array" ref="E439">IF(C439=0,"",
HYPERLINK(
"#'2026 Orders'!C"&amp;
MATCH(1,
('2026 Orders'!C:C=C439)*
('2026 Orders'!G:G=G439)*
('2026 Orders'!N:N=N439),
0),
"Open "&amp;C439
))</f>
        <v>Open A4716</v>
      </c>
      <c r="F439" s="14">
        <f>'[1]2026 Orders'!F440</f>
        <v>0</v>
      </c>
      <c r="G439" s="14" t="str">
        <f>'[1]2026 Orders'!G440</f>
        <v>PRECON-180-RE</v>
      </c>
      <c r="H439" s="14" t="str" cm="1">
        <f t="array" ref="H439">IFERROR(_xlfn.TEXTJOIN("-",,INDEX(_xlfn.TEXTSPLIT(TableTake[[#This Row],[SKU]],"-"),{1,2})),"")</f>
        <v>PRECON-180</v>
      </c>
      <c r="I439" s="15" t="str">
        <f>IFERROR(_xlfn.TEXTAFTER(TableTake[[#This Row],[SKU]],"-",-1),"")</f>
        <v>RE</v>
      </c>
      <c r="J439" s="14">
        <f>'[1]2026 Orders'!H440</f>
        <v>1048</v>
      </c>
      <c r="K439">
        <f>'[1]2026 Orders'!I440</f>
        <v>0</v>
      </c>
      <c r="L439">
        <f>'[1]2026 Orders'!J440</f>
        <v>0</v>
      </c>
      <c r="N439" s="10" t="str">
        <f>'[1]2026 Orders'!L440</f>
        <v>Out of Stock</v>
      </c>
      <c r="O439">
        <f>'[1]2026 Orders'!M440</f>
        <v>0</v>
      </c>
      <c r="P439" t="str">
        <f>'[1]2026 Orders'!N440</f>
        <v>NA</v>
      </c>
      <c r="Q439">
        <f>'[1]2026 Orders'!O440</f>
        <v>609788968375</v>
      </c>
      <c r="R439">
        <f>'[1]2026 Orders'!P440</f>
        <v>0</v>
      </c>
      <c r="S439">
        <f>'[1]2026 Orders'!Q440</f>
        <v>0</v>
      </c>
      <c r="T439">
        <f>'[1]2026 Orders'!R440</f>
        <v>0</v>
      </c>
      <c r="U439">
        <f>'[1]2026 Orders'!S440</f>
        <v>0</v>
      </c>
      <c r="V439">
        <f>'[1]2026 Orders'!T440</f>
        <v>0</v>
      </c>
      <c r="W439">
        <f>'[1]2026 Orders'!U440</f>
        <v>0</v>
      </c>
      <c r="X439">
        <f>'[1]2026 Orders'!V440</f>
        <v>0</v>
      </c>
      <c r="Y439">
        <f>'[1]2026 Orders'!W440</f>
        <v>0</v>
      </c>
      <c r="Z439">
        <f>'[1]2026 Orders'!X440</f>
        <v>0</v>
      </c>
      <c r="AC439" t="str">
        <f t="shared" si="12"/>
        <v>1048/</v>
      </c>
      <c r="AD439" t="e">
        <f t="shared" si="13"/>
        <v>#VALUE!</v>
      </c>
    </row>
    <row r="440" spans="1:30" ht="33" hidden="1" customHeight="1" x14ac:dyDescent="0.3">
      <c r="A440">
        <f>'[1]2026 Orders'!A441</f>
        <v>46182</v>
      </c>
      <c r="B440" s="14" t="str">
        <f>'[1]2026 Orders'!B441</f>
        <v>Sudan</v>
      </c>
      <c r="C440" s="14" t="str">
        <f>'[1]2026 Orders'!C441</f>
        <v>A4716</v>
      </c>
      <c r="D440" s="14">
        <f>'[1]2026 Orders'!D441</f>
        <v>0</v>
      </c>
      <c r="E440" s="17" t="str" cm="1">
        <f t="array" ref="E440">IF(C440=0,"",
HYPERLINK(
"#'2026 Orders'!C"&amp;
MATCH(1,
('2026 Orders'!C:C=C440)*
('2026 Orders'!G:G=G440)*
('2026 Orders'!N:N=N440),
0),
"Open "&amp;C440
))</f>
        <v>Open A4716</v>
      </c>
      <c r="F440" s="14">
        <f>'[1]2026 Orders'!F441</f>
        <v>0</v>
      </c>
      <c r="G440" s="14" t="str">
        <f>'[1]2026 Orders'!G441</f>
        <v>DHEA50-60-FD</v>
      </c>
      <c r="H440" s="14" t="str" cm="1">
        <f t="array" ref="H440">IFERROR(_xlfn.TEXTJOIN("-",,INDEX(_xlfn.TEXTSPLIT(TableTake[[#This Row],[SKU]],"-"),{1,2})),"")</f>
        <v>DHEA50-60</v>
      </c>
      <c r="I440" s="15" t="str">
        <f>IFERROR(_xlfn.TEXTAFTER(TableTake[[#This Row],[SKU]],"-",-1),"")</f>
        <v>FD</v>
      </c>
      <c r="J440" s="14">
        <f>'[1]2026 Orders'!H441</f>
        <v>3395</v>
      </c>
      <c r="K440">
        <f>'[1]2026 Orders'!I441</f>
        <v>0</v>
      </c>
      <c r="L440">
        <f>'[1]2026 Orders'!J441</f>
        <v>0</v>
      </c>
      <c r="N440" s="10" t="str">
        <f>'[1]2026 Orders'!L441</f>
        <v>Out of Stock</v>
      </c>
      <c r="O440">
        <f>'[1]2026 Orders'!M441</f>
        <v>0</v>
      </c>
      <c r="P440" t="str">
        <f>'[1]2026 Orders'!N441</f>
        <v>NA</v>
      </c>
      <c r="Q440">
        <f>'[1]2026 Orders'!O441</f>
        <v>609788968221</v>
      </c>
      <c r="R440">
        <f>'[1]2026 Orders'!P441</f>
        <v>0</v>
      </c>
      <c r="S440">
        <f>'[1]2026 Orders'!Q441</f>
        <v>0</v>
      </c>
      <c r="T440">
        <f>'[1]2026 Orders'!R441</f>
        <v>0</v>
      </c>
      <c r="U440">
        <f>'[1]2026 Orders'!S441</f>
        <v>0</v>
      </c>
      <c r="V440">
        <f>'[1]2026 Orders'!T441</f>
        <v>0</v>
      </c>
      <c r="W440">
        <f>'[1]2026 Orders'!U441</f>
        <v>0</v>
      </c>
      <c r="X440">
        <f>'[1]2026 Orders'!V441</f>
        <v>0</v>
      </c>
      <c r="Y440">
        <f>'[1]2026 Orders'!W441</f>
        <v>0</v>
      </c>
      <c r="Z440">
        <f>'[1]2026 Orders'!X441</f>
        <v>0</v>
      </c>
      <c r="AC440" t="str">
        <f t="shared" si="12"/>
        <v>3395/</v>
      </c>
      <c r="AD440" t="e">
        <f t="shared" si="13"/>
        <v>#VALUE!</v>
      </c>
    </row>
    <row r="441" spans="1:30" ht="33" hidden="1" customHeight="1" x14ac:dyDescent="0.3">
      <c r="A441">
        <f>'[1]2026 Orders'!A442</f>
        <v>46182</v>
      </c>
      <c r="B441" s="14" t="str">
        <f>'[1]2026 Orders'!B442</f>
        <v>Sudan</v>
      </c>
      <c r="C441" s="14" t="str">
        <f>'[1]2026 Orders'!C442</f>
        <v>A4716</v>
      </c>
      <c r="D441" s="14">
        <f>'[1]2026 Orders'!D442</f>
        <v>0</v>
      </c>
      <c r="E441" s="17" t="e" cm="1">
        <f t="array" ref="E441">IF(C441=0,"",
HYPERLINK(
"#'2026 Orders'!C"&amp;
MATCH(1,
('2026 Orders'!C:C=C441)*
('2026 Orders'!G:G=G441)*
('2026 Orders'!N:N=N441),
0),
"Open "&amp;C441
))</f>
        <v>#N/A</v>
      </c>
      <c r="F441" s="14">
        <f>'[1]2026 Orders'!F442</f>
        <v>0</v>
      </c>
      <c r="G441" s="14" t="str">
        <f>'[1]2026 Orders'!G442</f>
        <v>OVAMAX-120-RE</v>
      </c>
      <c r="H441" s="14" t="str" cm="1">
        <f t="array" ref="H441">IFERROR(_xlfn.TEXTJOIN("-",,INDEX(_xlfn.TEXTSPLIT(TableTake[[#This Row],[SKU]],"-"),{1,2})),"")</f>
        <v>OVAMAX-120</v>
      </c>
      <c r="I441" s="15" t="str">
        <f>IFERROR(_xlfn.TEXTAFTER(TableTake[[#This Row],[SKU]],"-",-1),"")</f>
        <v>RE</v>
      </c>
      <c r="J441" s="14">
        <f>'[1]2026 Orders'!H442</f>
        <v>1847</v>
      </c>
      <c r="K441">
        <f>'[1]2026 Orders'!I442</f>
        <v>0</v>
      </c>
      <c r="L441">
        <f>'[1]2026 Orders'!J442</f>
        <v>0</v>
      </c>
      <c r="N441" s="10">
        <f>'[1]2026 Orders'!L442</f>
        <v>0</v>
      </c>
      <c r="O441">
        <f>'[1]2026 Orders'!M442</f>
        <v>0</v>
      </c>
      <c r="P441" t="str">
        <f>'[1]2026 Orders'!N442</f>
        <v>NA</v>
      </c>
      <c r="Q441">
        <f>'[1]2026 Orders'!O442</f>
        <v>609788968399</v>
      </c>
      <c r="R441">
        <f>'[1]2026 Orders'!P442</f>
        <v>0</v>
      </c>
      <c r="S441">
        <f>'[1]2026 Orders'!Q442</f>
        <v>0</v>
      </c>
      <c r="T441">
        <f>'[1]2026 Orders'!R442</f>
        <v>0</v>
      </c>
      <c r="U441">
        <f>'[1]2026 Orders'!S442</f>
        <v>0</v>
      </c>
      <c r="V441">
        <f>'[1]2026 Orders'!T442</f>
        <v>0</v>
      </c>
      <c r="W441">
        <f>'[1]2026 Orders'!U442</f>
        <v>0</v>
      </c>
      <c r="X441">
        <f>'[1]2026 Orders'!V442</f>
        <v>0</v>
      </c>
      <c r="Y441">
        <f>'[1]2026 Orders'!W442</f>
        <v>0</v>
      </c>
      <c r="Z441">
        <f>'[1]2026 Orders'!X442</f>
        <v>0</v>
      </c>
      <c r="AC441" t="str">
        <f t="shared" si="12"/>
        <v>1847/</v>
      </c>
      <c r="AD441" t="e">
        <f t="shared" si="13"/>
        <v>#VALUE!</v>
      </c>
    </row>
    <row r="442" spans="1:30" ht="33" hidden="1" customHeight="1" x14ac:dyDescent="0.3">
      <c r="A442">
        <f>'[1]2026 Orders'!A443</f>
        <v>46182</v>
      </c>
      <c r="B442" s="14" t="str">
        <f>'[1]2026 Orders'!B443</f>
        <v>Sudan</v>
      </c>
      <c r="C442" s="14" t="str">
        <f>'[1]2026 Orders'!C443</f>
        <v>A4716</v>
      </c>
      <c r="D442" s="14">
        <f>'[1]2026 Orders'!D443</f>
        <v>0</v>
      </c>
      <c r="E442" s="17" t="str" cm="1">
        <f t="array" ref="E442">IF(C442=0,"",
HYPERLINK(
"#'2026 Orders'!C"&amp;
MATCH(1,
('2026 Orders'!C:C=C442)*
('2026 Orders'!G:G=G442)*
('2026 Orders'!N:N=N442),
0),
"Open "&amp;C442
))</f>
        <v>Open A4716</v>
      </c>
      <c r="F442" s="14">
        <f>'[1]2026 Orders'!F443</f>
        <v>0</v>
      </c>
      <c r="G442" s="14" t="str">
        <f>'[1]2026 Orders'!G443</f>
        <v>OSTEOPL-96-FD</v>
      </c>
      <c r="H442" s="14" t="str" cm="1">
        <f t="array" ref="H442">IFERROR(_xlfn.TEXTJOIN("-",,INDEX(_xlfn.TEXTSPLIT(TableTake[[#This Row],[SKU]],"-"),{1,2})),"")</f>
        <v>OSTEOPL-96</v>
      </c>
      <c r="I442" s="15" t="str">
        <f>IFERROR(_xlfn.TEXTAFTER(TableTake[[#This Row],[SKU]],"-",-1),"")</f>
        <v>FD</v>
      </c>
      <c r="J442" s="14">
        <f>'[1]2026 Orders'!H443</f>
        <v>1048</v>
      </c>
      <c r="K442">
        <f>'[1]2026 Orders'!I443</f>
        <v>0</v>
      </c>
      <c r="L442">
        <f>'[1]2026 Orders'!J443</f>
        <v>1048</v>
      </c>
      <c r="N442" s="10" t="str">
        <f>'[1]2026 Orders'!L443</f>
        <v>Rework</v>
      </c>
      <c r="O442">
        <f>'[1]2026 Orders'!M443</f>
        <v>0</v>
      </c>
      <c r="P442" t="str">
        <f>'[1]2026 Orders'!N443</f>
        <v>Y</v>
      </c>
      <c r="Q442" t="str">
        <f>'[1]2026 Orders'!O443</f>
        <v>609788968238</v>
      </c>
      <c r="R442">
        <f>'[1]2026 Orders'!P443</f>
        <v>0</v>
      </c>
      <c r="S442">
        <f>'[1]2026 Orders'!Q443</f>
        <v>0</v>
      </c>
      <c r="T442">
        <f>'[1]2026 Orders'!R443</f>
        <v>0</v>
      </c>
      <c r="U442">
        <f>'[1]2026 Orders'!S443</f>
        <v>0</v>
      </c>
      <c r="V442">
        <f>'[1]2026 Orders'!T443</f>
        <v>0</v>
      </c>
      <c r="W442">
        <f>'[1]2026 Orders'!U443</f>
        <v>0</v>
      </c>
      <c r="X442">
        <f>'[1]2026 Orders'!V443</f>
        <v>0</v>
      </c>
      <c r="Y442">
        <f>'[1]2026 Orders'!W443</f>
        <v>0</v>
      </c>
      <c r="Z442">
        <f>'[1]2026 Orders'!X443</f>
        <v>0</v>
      </c>
      <c r="AC442" t="str">
        <f t="shared" si="12"/>
        <v>1048/</v>
      </c>
      <c r="AD442" t="e">
        <f t="shared" si="13"/>
        <v>#VALUE!</v>
      </c>
    </row>
    <row r="443" spans="1:30" ht="33" hidden="1" customHeight="1" x14ac:dyDescent="0.3">
      <c r="A443">
        <f>'[1]2026 Orders'!A444</f>
        <v>46182</v>
      </c>
      <c r="B443" s="14" t="str">
        <f>'[1]2026 Orders'!B444</f>
        <v>Sudan</v>
      </c>
      <c r="C443" s="14" t="str">
        <f>'[1]2026 Orders'!C444</f>
        <v>A4716</v>
      </c>
      <c r="D443" s="14">
        <f>'[1]2026 Orders'!D444</f>
        <v>0</v>
      </c>
      <c r="E443" s="17" t="str" cm="1">
        <f t="array" ref="E443">IF(C443=0,"",
HYPERLINK(
"#'2026 Orders'!C"&amp;
MATCH(1,
('2026 Orders'!C:C=C443)*
('2026 Orders'!G:G=G443)*
('2026 Orders'!N:N=N443),
0),
"Open "&amp;C443
))</f>
        <v>Open A4716</v>
      </c>
      <c r="F443" s="14">
        <f>'[1]2026 Orders'!F444</f>
        <v>0</v>
      </c>
      <c r="G443" s="14" t="str">
        <f>'[1]2026 Orders'!G444</f>
        <v>PENAMAX-60-GE-CS-SU</v>
      </c>
      <c r="H443" s="14" t="str" cm="1">
        <f t="array" ref="H443">IFERROR(_xlfn.TEXTJOIN("-",,INDEX(_xlfn.TEXTSPLIT(TableTake[[#This Row],[SKU]],"-"),{1,2})),"")</f>
        <v>PENAMAX-60</v>
      </c>
      <c r="I443" s="15" t="str">
        <f>IFERROR(_xlfn.TEXTAFTER(TableTake[[#This Row],[SKU]],"-",-1),"")</f>
        <v>SU</v>
      </c>
      <c r="J443" s="14">
        <f>'[1]2026 Orders'!H444</f>
        <v>749</v>
      </c>
      <c r="K443">
        <f>'[1]2026 Orders'!I444</f>
        <v>0</v>
      </c>
      <c r="L443">
        <f>'[1]2026 Orders'!J444</f>
        <v>0</v>
      </c>
      <c r="N443" s="10" t="str">
        <f>'[1]2026 Orders'!L444</f>
        <v>Rework</v>
      </c>
      <c r="O443">
        <f>'[1]2026 Orders'!M444</f>
        <v>0</v>
      </c>
      <c r="P443" t="str">
        <f>'[1]2026 Orders'!N444</f>
        <v>Y</v>
      </c>
      <c r="Q443">
        <f>'[1]2026 Orders'!O444</f>
        <v>604776736875</v>
      </c>
      <c r="R443">
        <f>'[1]2026 Orders'!P444</f>
        <v>0</v>
      </c>
      <c r="S443">
        <f>'[1]2026 Orders'!Q444</f>
        <v>0</v>
      </c>
      <c r="T443">
        <f>'[1]2026 Orders'!R444</f>
        <v>0</v>
      </c>
      <c r="U443">
        <f>'[1]2026 Orders'!S444</f>
        <v>0</v>
      </c>
      <c r="V443">
        <f>'[1]2026 Orders'!T444</f>
        <v>0</v>
      </c>
      <c r="W443">
        <f>'[1]2026 Orders'!U444</f>
        <v>0</v>
      </c>
      <c r="X443">
        <f>'[1]2026 Orders'!V444</f>
        <v>0</v>
      </c>
      <c r="Y443">
        <f>'[1]2026 Orders'!W444</f>
        <v>0</v>
      </c>
      <c r="Z443">
        <f>'[1]2026 Orders'!X444</f>
        <v>0</v>
      </c>
      <c r="AC443" t="str">
        <f t="shared" si="12"/>
        <v>749/</v>
      </c>
      <c r="AD443" t="e">
        <f t="shared" si="13"/>
        <v>#VALUE!</v>
      </c>
    </row>
    <row r="444" spans="1:30" ht="33" hidden="1" customHeight="1" x14ac:dyDescent="0.3">
      <c r="A444">
        <f>'[1]2026 Orders'!A445</f>
        <v>46182</v>
      </c>
      <c r="B444" s="14" t="str">
        <f>'[1]2026 Orders'!B445</f>
        <v>Sudan</v>
      </c>
      <c r="C444" s="14" t="str">
        <f>'[1]2026 Orders'!C445</f>
        <v>A4716</v>
      </c>
      <c r="D444" s="14">
        <f>'[1]2026 Orders'!D445</f>
        <v>0</v>
      </c>
      <c r="E444" s="17" t="str" cm="1">
        <f t="array" ref="E444">IF(C444=0,"",
HYPERLINK(
"#'2026 Orders'!C"&amp;
MATCH(1,
('2026 Orders'!C:C=C444)*
('2026 Orders'!G:G=G444)*
('2026 Orders'!N:N=N444),
0),
"Open "&amp;C444
))</f>
        <v>Open A4716</v>
      </c>
      <c r="F444" s="14">
        <f>'[1]2026 Orders'!F445</f>
        <v>0</v>
      </c>
      <c r="G444" s="14" t="str">
        <f>'[1]2026 Orders'!G445</f>
        <v>COQ400-30-VE-CS-SU</v>
      </c>
      <c r="H444" s="14" t="str" cm="1">
        <f t="array" ref="H444">IFERROR(_xlfn.TEXTJOIN("-",,INDEX(_xlfn.TEXTSPLIT(TableTake[[#This Row],[SKU]],"-"),{1,2})),"")</f>
        <v>COQ400-30</v>
      </c>
      <c r="I444" s="15" t="str">
        <f>IFERROR(_xlfn.TEXTAFTER(TableTake[[#This Row],[SKU]],"-",-1),"")</f>
        <v>SU</v>
      </c>
      <c r="J444" s="14">
        <f>'[1]2026 Orders'!H445</f>
        <v>1800</v>
      </c>
      <c r="K444">
        <f>'[1]2026 Orders'!I445</f>
        <v>0</v>
      </c>
      <c r="L444">
        <f>'[1]2026 Orders'!J445</f>
        <v>1800</v>
      </c>
      <c r="N444" s="10" t="str">
        <f>'[1]2026 Orders'!L445</f>
        <v>Transit to Warehouse</v>
      </c>
      <c r="O444" t="str">
        <f>'[1]2026 Orders'!M445</f>
        <v>1800 will be available from A4808</v>
      </c>
      <c r="P444" t="str">
        <f>'[1]2026 Orders'!N445</f>
        <v>NA</v>
      </c>
      <c r="Q444">
        <f>'[1]2026 Orders'!O445</f>
        <v>609788968467</v>
      </c>
      <c r="R444">
        <f>'[1]2026 Orders'!P445</f>
        <v>0</v>
      </c>
      <c r="S444">
        <f>'[1]2026 Orders'!Q445</f>
        <v>0</v>
      </c>
      <c r="T444">
        <f>'[1]2026 Orders'!R445</f>
        <v>0</v>
      </c>
      <c r="U444">
        <f>'[1]2026 Orders'!S445</f>
        <v>0</v>
      </c>
      <c r="V444">
        <f>'[1]2026 Orders'!T445</f>
        <v>0</v>
      </c>
      <c r="W444">
        <f>'[1]2026 Orders'!U445</f>
        <v>0</v>
      </c>
      <c r="X444">
        <f>'[1]2026 Orders'!V445</f>
        <v>0</v>
      </c>
      <c r="Y444">
        <f>'[1]2026 Orders'!W445</f>
        <v>0</v>
      </c>
      <c r="Z444">
        <f>'[1]2026 Orders'!X445</f>
        <v>0</v>
      </c>
      <c r="AC444" t="str">
        <f t="shared" si="12"/>
        <v>1800/</v>
      </c>
      <c r="AD444" t="e">
        <f t="shared" si="13"/>
        <v>#VALUE!</v>
      </c>
    </row>
    <row r="445" spans="1:30" ht="33" hidden="1" customHeight="1" x14ac:dyDescent="0.3">
      <c r="A445">
        <f>'[1]2026 Orders'!A446</f>
        <v>46182</v>
      </c>
      <c r="B445" s="14" t="str">
        <f>'[1]2026 Orders'!B446</f>
        <v>Sudan</v>
      </c>
      <c r="C445" s="14" t="str">
        <f>'[1]2026 Orders'!C446</f>
        <v>A4716</v>
      </c>
      <c r="D445" s="14">
        <f>'[1]2026 Orders'!D446</f>
        <v>0</v>
      </c>
      <c r="E445" s="17" t="str" cm="1">
        <f t="array" ref="E445">IF(C445=0,"",
HYPERLINK(
"#'2026 Orders'!C"&amp;
MATCH(1,
('2026 Orders'!C:C=C445)*
('2026 Orders'!G:G=G445)*
('2026 Orders'!N:N=N445),
0),
"Open "&amp;C445
))</f>
        <v>Open A4716</v>
      </c>
      <c r="F445" s="14">
        <f>'[1]2026 Orders'!F446</f>
        <v>0</v>
      </c>
      <c r="G445" s="14" t="str">
        <f>'[1]2026 Orders'!G446</f>
        <v>COQ400-30-VE-CS-SU</v>
      </c>
      <c r="H445" s="14" t="str" cm="1">
        <f t="array" ref="H445">IFERROR(_xlfn.TEXTJOIN("-",,INDEX(_xlfn.TEXTSPLIT(TableTake[[#This Row],[SKU]],"-"),{1,2})),"")</f>
        <v>COQ400-30</v>
      </c>
      <c r="I445" s="15" t="str">
        <f>IFERROR(_xlfn.TEXTAFTER(TableTake[[#This Row],[SKU]],"-",-1),"")</f>
        <v>SU</v>
      </c>
      <c r="J445" s="14">
        <f>'[1]2026 Orders'!H446</f>
        <v>546</v>
      </c>
      <c r="K445">
        <f>'[1]2026 Orders'!I446</f>
        <v>0</v>
      </c>
      <c r="L445">
        <f>'[1]2026 Orders'!J446</f>
        <v>0</v>
      </c>
      <c r="N445" s="10" t="str">
        <f>'[1]2026 Orders'!L446</f>
        <v>Out of Stock</v>
      </c>
      <c r="O445">
        <f>'[1]2026 Orders'!M446</f>
        <v>0</v>
      </c>
      <c r="P445" t="str">
        <f>'[1]2026 Orders'!N446</f>
        <v>NA</v>
      </c>
      <c r="Q445">
        <f>'[1]2026 Orders'!O446</f>
        <v>609788968467</v>
      </c>
      <c r="R445">
        <f>'[1]2026 Orders'!P446</f>
        <v>0</v>
      </c>
      <c r="S445">
        <f>'[1]2026 Orders'!Q446</f>
        <v>0</v>
      </c>
      <c r="T445">
        <f>'[1]2026 Orders'!R446</f>
        <v>0</v>
      </c>
      <c r="U445">
        <f>'[1]2026 Orders'!S446</f>
        <v>0</v>
      </c>
      <c r="V445">
        <f>'[1]2026 Orders'!T446</f>
        <v>0</v>
      </c>
      <c r="W445">
        <f>'[1]2026 Orders'!U446</f>
        <v>0</v>
      </c>
      <c r="X445">
        <f>'[1]2026 Orders'!V446</f>
        <v>0</v>
      </c>
      <c r="Y445">
        <f>'[1]2026 Orders'!W446</f>
        <v>0</v>
      </c>
      <c r="Z445">
        <f>'[1]2026 Orders'!X446</f>
        <v>0</v>
      </c>
      <c r="AC445" t="str">
        <f t="shared" si="12"/>
        <v>546/</v>
      </c>
      <c r="AD445" t="e">
        <f t="shared" si="13"/>
        <v>#VALUE!</v>
      </c>
    </row>
    <row r="446" spans="1:30" ht="33" hidden="1" customHeight="1" x14ac:dyDescent="0.3">
      <c r="A446">
        <f>'[1]2026 Orders'!A447</f>
        <v>0</v>
      </c>
      <c r="B446" s="14">
        <f>'[1]2026 Orders'!B447</f>
        <v>0</v>
      </c>
      <c r="C446" s="14">
        <f>'[1]2026 Orders'!C447</f>
        <v>0</v>
      </c>
      <c r="D446" s="14">
        <f>'[1]2026 Orders'!D447</f>
        <v>0</v>
      </c>
      <c r="E446" s="17" t="str" cm="1">
        <f t="array" ref="E446">IF(C446=0,"",
HYPERLINK(
"#'2026 Orders'!C"&amp;
MATCH(1,
('2026 Orders'!C:C=C446)*
('2026 Orders'!G:G=G446)*
('2026 Orders'!N:N=N446),
0),
"Open "&amp;C446
))</f>
        <v/>
      </c>
      <c r="F446" s="14">
        <f>'[1]2026 Orders'!F447</f>
        <v>0</v>
      </c>
      <c r="G446" s="14">
        <f>'[1]2026 Orders'!G447</f>
        <v>0</v>
      </c>
      <c r="H446" s="14" t="str" cm="1">
        <f t="array" ref="H446">IFERROR(_xlfn.TEXTJOIN("-",,INDEX(_xlfn.TEXTSPLIT(TableTake[[#This Row],[SKU]],"-"),{1,2})),"")</f>
        <v/>
      </c>
      <c r="I446" s="15" t="str">
        <f>IFERROR(_xlfn.TEXTAFTER(TableTake[[#This Row],[SKU]],"-",-1),"")</f>
        <v/>
      </c>
      <c r="J446" s="14">
        <f>'[1]2026 Orders'!H447</f>
        <v>0</v>
      </c>
      <c r="K446">
        <f>'[1]2026 Orders'!I447</f>
        <v>0</v>
      </c>
      <c r="L446">
        <f>'[1]2026 Orders'!J447</f>
        <v>0</v>
      </c>
      <c r="N446" s="10">
        <f>'[1]2026 Orders'!L447</f>
        <v>0</v>
      </c>
      <c r="O446">
        <f>'[1]2026 Orders'!M447</f>
        <v>0</v>
      </c>
      <c r="P446">
        <f>'[1]2026 Orders'!N447</f>
        <v>0</v>
      </c>
      <c r="Q446">
        <f>'[1]2026 Orders'!O447</f>
        <v>0</v>
      </c>
      <c r="R446">
        <f>'[1]2026 Orders'!P447</f>
        <v>0</v>
      </c>
      <c r="S446">
        <f>'[1]2026 Orders'!Q447</f>
        <v>0</v>
      </c>
      <c r="T446">
        <f>'[1]2026 Orders'!R447</f>
        <v>0</v>
      </c>
      <c r="U446">
        <f>'[1]2026 Orders'!S447</f>
        <v>0</v>
      </c>
      <c r="V446">
        <f>'[1]2026 Orders'!T447</f>
        <v>0</v>
      </c>
      <c r="W446">
        <f>'[1]2026 Orders'!U447</f>
        <v>0</v>
      </c>
      <c r="X446">
        <f>'[1]2026 Orders'!V447</f>
        <v>0</v>
      </c>
      <c r="Y446">
        <f>'[1]2026 Orders'!W447</f>
        <v>0</v>
      </c>
      <c r="Z446">
        <f>'[1]2026 Orders'!X447</f>
        <v>0</v>
      </c>
      <c r="AC446" t="str">
        <f t="shared" si="12"/>
        <v/>
      </c>
      <c r="AD446" t="str">
        <f t="shared" si="13"/>
        <v/>
      </c>
    </row>
    <row r="447" spans="1:30" ht="33" hidden="1" customHeight="1" x14ac:dyDescent="0.3">
      <c r="A447">
        <f>'[1]2026 Orders'!A448</f>
        <v>46183</v>
      </c>
      <c r="B447" s="14" t="str">
        <f>'[1]2026 Orders'!B448</f>
        <v>Tanzania</v>
      </c>
      <c r="C447" s="14" t="str">
        <f>'[1]2026 Orders'!C448</f>
        <v>A4717</v>
      </c>
      <c r="D447" s="14" t="str">
        <f>'[1]2026 Orders'!D448</f>
        <v>6/10/2026: Awaiting Proforma Approval</v>
      </c>
      <c r="E447" s="17" t="str" cm="1">
        <f t="array" ref="E447">IF(C447=0,"",
HYPERLINK(
"#'2026 Orders'!C"&amp;
MATCH(1,
('2026 Orders'!C:C=C447)*
('2026 Orders'!G:G=G447)*
('2026 Orders'!N:N=N447),
0),
"Open "&amp;C447
))</f>
        <v>Open A4717</v>
      </c>
      <c r="F447" s="14">
        <f>'[1]2026 Orders'!F448</f>
        <v>0</v>
      </c>
      <c r="G447" s="14" t="str">
        <f>'[1]2026 Orders'!G448</f>
        <v>PROSTA-90-CS-TA</v>
      </c>
      <c r="H447" s="14" t="str" cm="1">
        <f t="array" ref="H447">IFERROR(_xlfn.TEXTJOIN("-",,INDEX(_xlfn.TEXTSPLIT(TableTake[[#This Row],[SKU]],"-"),{1,2})),"")</f>
        <v>PROSTA-90</v>
      </c>
      <c r="I447" s="15" t="str">
        <f>IFERROR(_xlfn.TEXTAFTER(TableTake[[#This Row],[SKU]],"-",-1),"")</f>
        <v>TA</v>
      </c>
      <c r="J447" s="14">
        <f>'[1]2026 Orders'!H448</f>
        <v>10</v>
      </c>
      <c r="K447">
        <f>'[1]2026 Orders'!I448</f>
        <v>0</v>
      </c>
      <c r="L447">
        <f>'[1]2026 Orders'!J448</f>
        <v>0</v>
      </c>
      <c r="N447" s="10" t="str">
        <f>'[1]2026 Orders'!L448</f>
        <v>Sales Action Needed</v>
      </c>
      <c r="O447">
        <f>'[1]2026 Orders'!M448</f>
        <v>0</v>
      </c>
      <c r="P447" t="str">
        <f>'[1]2026 Orders'!N448</f>
        <v>NA</v>
      </c>
      <c r="Q447">
        <f>'[1]2026 Orders'!O448</f>
        <v>810131195212</v>
      </c>
      <c r="R447">
        <f>'[1]2026 Orders'!P448</f>
        <v>0</v>
      </c>
      <c r="S447">
        <f>'[1]2026 Orders'!Q448</f>
        <v>0</v>
      </c>
      <c r="T447">
        <f>'[1]2026 Orders'!R448</f>
        <v>0</v>
      </c>
      <c r="U447">
        <f>'[1]2026 Orders'!S448</f>
        <v>0</v>
      </c>
      <c r="V447">
        <f>'[1]2026 Orders'!T448</f>
        <v>0</v>
      </c>
      <c r="W447">
        <f>'[1]2026 Orders'!U448</f>
        <v>0</v>
      </c>
      <c r="X447">
        <f>'[1]2026 Orders'!V448</f>
        <v>0</v>
      </c>
      <c r="Y447">
        <f>'[1]2026 Orders'!W448</f>
        <v>0</v>
      </c>
      <c r="Z447">
        <f>'[1]2026 Orders'!X448</f>
        <v>0</v>
      </c>
      <c r="AC447" t="str">
        <f t="shared" si="12"/>
        <v>10/</v>
      </c>
      <c r="AD447" t="e">
        <f t="shared" si="13"/>
        <v>#VALUE!</v>
      </c>
    </row>
    <row r="448" spans="1:30" ht="33" hidden="1" customHeight="1" x14ac:dyDescent="0.3">
      <c r="A448">
        <f>'[1]2026 Orders'!A449</f>
        <v>46183</v>
      </c>
      <c r="B448" s="14" t="str">
        <f>'[1]2026 Orders'!B449</f>
        <v>Tanzania</v>
      </c>
      <c r="C448" s="14" t="str">
        <f>'[1]2026 Orders'!C449</f>
        <v>A4717</v>
      </c>
      <c r="D448" s="14">
        <f>'[1]2026 Orders'!D449</f>
        <v>0</v>
      </c>
      <c r="E448" s="17" t="str" cm="1">
        <f t="array" ref="E448">IF(C448=0,"",
HYPERLINK(
"#'2026 Orders'!C"&amp;
MATCH(1,
('2026 Orders'!C:C=C448)*
('2026 Orders'!G:G=G448)*
('2026 Orders'!N:N=N448),
0),
"Open "&amp;C448
))</f>
        <v>Open A4717</v>
      </c>
      <c r="F448" s="14">
        <f>'[1]2026 Orders'!F449</f>
        <v>0</v>
      </c>
      <c r="G448" s="14" t="str">
        <f>'[1]2026 Orders'!G449</f>
        <v>METRIO-60-CS-TA</v>
      </c>
      <c r="H448" s="14" t="str" cm="1">
        <f t="array" ref="H448">IFERROR(_xlfn.TEXTJOIN("-",,INDEX(_xlfn.TEXTSPLIT(TableTake[[#This Row],[SKU]],"-"),{1,2})),"")</f>
        <v>METRIO-60</v>
      </c>
      <c r="I448" s="15" t="str">
        <f>IFERROR(_xlfn.TEXTAFTER(TableTake[[#This Row],[SKU]],"-",-1),"")</f>
        <v>TA</v>
      </c>
      <c r="J448" s="14">
        <f>'[1]2026 Orders'!H449</f>
        <v>10</v>
      </c>
      <c r="K448">
        <f>'[1]2026 Orders'!I449</f>
        <v>0</v>
      </c>
      <c r="L448">
        <f>'[1]2026 Orders'!J449</f>
        <v>0</v>
      </c>
      <c r="N448" s="10" t="str">
        <f>'[1]2026 Orders'!L449</f>
        <v>Sales Action Needed</v>
      </c>
      <c r="O448">
        <f>'[1]2026 Orders'!M449</f>
        <v>0</v>
      </c>
      <c r="P448" t="str">
        <f>'[1]2026 Orders'!N449</f>
        <v>NA</v>
      </c>
      <c r="Q448">
        <f>'[1]2026 Orders'!O449</f>
        <v>810131195182</v>
      </c>
      <c r="R448">
        <f>'[1]2026 Orders'!P449</f>
        <v>0</v>
      </c>
      <c r="S448">
        <f>'[1]2026 Orders'!Q449</f>
        <v>0</v>
      </c>
      <c r="T448">
        <f>'[1]2026 Orders'!R449</f>
        <v>0</v>
      </c>
      <c r="U448">
        <f>'[1]2026 Orders'!S449</f>
        <v>0</v>
      </c>
      <c r="V448">
        <f>'[1]2026 Orders'!T449</f>
        <v>0</v>
      </c>
      <c r="W448">
        <f>'[1]2026 Orders'!U449</f>
        <v>0</v>
      </c>
      <c r="X448">
        <f>'[1]2026 Orders'!V449</f>
        <v>0</v>
      </c>
      <c r="Y448">
        <f>'[1]2026 Orders'!W449</f>
        <v>0</v>
      </c>
      <c r="Z448">
        <f>'[1]2026 Orders'!X449</f>
        <v>0</v>
      </c>
      <c r="AC448" t="str">
        <f t="shared" si="12"/>
        <v>10/</v>
      </c>
      <c r="AD448" t="e">
        <f t="shared" si="13"/>
        <v>#VALUE!</v>
      </c>
    </row>
    <row r="449" spans="1:30" ht="33" hidden="1" customHeight="1" x14ac:dyDescent="0.3">
      <c r="A449">
        <f>'[1]2026 Orders'!A450</f>
        <v>46183</v>
      </c>
      <c r="B449" s="14" t="str">
        <f>'[1]2026 Orders'!B450</f>
        <v>Tanzania</v>
      </c>
      <c r="C449" s="14" t="str">
        <f>'[1]2026 Orders'!C450</f>
        <v>A4717</v>
      </c>
      <c r="D449" s="14">
        <f>'[1]2026 Orders'!D450</f>
        <v>0</v>
      </c>
      <c r="E449" s="17" t="str" cm="1">
        <f t="array" ref="E449">IF(C449=0,"",
HYPERLINK(
"#'2026 Orders'!C"&amp;
MATCH(1,
('2026 Orders'!C:C=C449)*
('2026 Orders'!G:G=G449)*
('2026 Orders'!N:N=N449),
0),
"Open "&amp;C449
))</f>
        <v>Open A4717</v>
      </c>
      <c r="F449" s="14">
        <f>'[1]2026 Orders'!F450</f>
        <v>0</v>
      </c>
      <c r="G449" s="14" t="str">
        <f>'[1]2026 Orders'!G450</f>
        <v>FIBRO-60-CS-TA</v>
      </c>
      <c r="H449" s="14" t="str" cm="1">
        <f t="array" ref="H449">IFERROR(_xlfn.TEXTJOIN("-",,INDEX(_xlfn.TEXTSPLIT(TableTake[[#This Row],[SKU]],"-"),{1,2})),"")</f>
        <v>FIBRO-60</v>
      </c>
      <c r="I449" s="15" t="str">
        <f>IFERROR(_xlfn.TEXTAFTER(TableTake[[#This Row],[SKU]],"-",-1),"")</f>
        <v>TA</v>
      </c>
      <c r="J449" s="14">
        <f>'[1]2026 Orders'!H450</f>
        <v>10</v>
      </c>
      <c r="K449">
        <f>'[1]2026 Orders'!I450</f>
        <v>0</v>
      </c>
      <c r="L449">
        <f>'[1]2026 Orders'!J450</f>
        <v>0</v>
      </c>
      <c r="N449" s="10" t="str">
        <f>'[1]2026 Orders'!L450</f>
        <v>Sales Action Needed</v>
      </c>
      <c r="O449">
        <f>'[1]2026 Orders'!M450</f>
        <v>0</v>
      </c>
      <c r="P449" t="str">
        <f>'[1]2026 Orders'!N450</f>
        <v>NA</v>
      </c>
      <c r="Q449">
        <f>'[1]2026 Orders'!O450</f>
        <v>810131195175</v>
      </c>
      <c r="R449">
        <f>'[1]2026 Orders'!P450</f>
        <v>0</v>
      </c>
      <c r="S449">
        <f>'[1]2026 Orders'!Q450</f>
        <v>0</v>
      </c>
      <c r="T449">
        <f>'[1]2026 Orders'!R450</f>
        <v>0</v>
      </c>
      <c r="U449">
        <f>'[1]2026 Orders'!S450</f>
        <v>0</v>
      </c>
      <c r="V449">
        <f>'[1]2026 Orders'!T450</f>
        <v>0</v>
      </c>
      <c r="W449">
        <f>'[1]2026 Orders'!U450</f>
        <v>0</v>
      </c>
      <c r="X449">
        <f>'[1]2026 Orders'!V450</f>
        <v>0</v>
      </c>
      <c r="Y449">
        <f>'[1]2026 Orders'!W450</f>
        <v>0</v>
      </c>
      <c r="Z449">
        <f>'[1]2026 Orders'!X450</f>
        <v>0</v>
      </c>
      <c r="AC449" t="str">
        <f t="shared" si="12"/>
        <v>10/</v>
      </c>
      <c r="AD449" t="e">
        <f t="shared" si="13"/>
        <v>#VALUE!</v>
      </c>
    </row>
    <row r="450" spans="1:30" ht="33" hidden="1" customHeight="1" x14ac:dyDescent="0.3">
      <c r="A450">
        <f>'[1]2026 Orders'!A451</f>
        <v>46183</v>
      </c>
      <c r="B450" s="14" t="str">
        <f>'[1]2026 Orders'!B451</f>
        <v>Tanzania</v>
      </c>
      <c r="C450" s="14" t="str">
        <f>'[1]2026 Orders'!C451</f>
        <v>A4717</v>
      </c>
      <c r="D450" s="14">
        <f>'[1]2026 Orders'!D451</f>
        <v>0</v>
      </c>
      <c r="E450" s="17" t="str" cm="1">
        <f t="array" ref="E450">IF(C450=0,"",
HYPERLINK(
"#'2026 Orders'!C"&amp;
MATCH(1,
('2026 Orders'!C:C=C450)*
('2026 Orders'!G:G=G450)*
('2026 Orders'!N:N=N450),
0),
"Open "&amp;C450
))</f>
        <v>Open A4717</v>
      </c>
      <c r="F450" s="14">
        <f>'[1]2026 Orders'!F451</f>
        <v>0</v>
      </c>
      <c r="G450" s="14" t="str">
        <f>'[1]2026 Orders'!G451</f>
        <v>UTIC-60-CS-TA</v>
      </c>
      <c r="H450" s="14" t="str" cm="1">
        <f t="array" ref="H450">IFERROR(_xlfn.TEXTJOIN("-",,INDEX(_xlfn.TEXTSPLIT(TableTake[[#This Row],[SKU]],"-"),{1,2})),"")</f>
        <v>UTIC-60</v>
      </c>
      <c r="I450" s="15" t="str">
        <f>IFERROR(_xlfn.TEXTAFTER(TableTake[[#This Row],[SKU]],"-",-1),"")</f>
        <v>TA</v>
      </c>
      <c r="J450" s="14">
        <f>'[1]2026 Orders'!H451</f>
        <v>10</v>
      </c>
      <c r="K450">
        <f>'[1]2026 Orders'!I451</f>
        <v>0</v>
      </c>
      <c r="L450">
        <f>'[1]2026 Orders'!J451</f>
        <v>0</v>
      </c>
      <c r="N450" s="10" t="str">
        <f>'[1]2026 Orders'!L451</f>
        <v>Sales Action Needed</v>
      </c>
      <c r="O450">
        <f>'[1]2026 Orders'!M451</f>
        <v>0</v>
      </c>
      <c r="P450" t="str">
        <f>'[1]2026 Orders'!N451</f>
        <v>NA</v>
      </c>
      <c r="Q450">
        <f>'[1]2026 Orders'!O451</f>
        <v>810131195243</v>
      </c>
      <c r="R450">
        <f>'[1]2026 Orders'!P451</f>
        <v>0</v>
      </c>
      <c r="S450">
        <f>'[1]2026 Orders'!Q451</f>
        <v>0</v>
      </c>
      <c r="T450">
        <f>'[1]2026 Orders'!R451</f>
        <v>0</v>
      </c>
      <c r="U450">
        <f>'[1]2026 Orders'!S451</f>
        <v>0</v>
      </c>
      <c r="V450">
        <f>'[1]2026 Orders'!T451</f>
        <v>0</v>
      </c>
      <c r="W450">
        <f>'[1]2026 Orders'!U451</f>
        <v>0</v>
      </c>
      <c r="X450">
        <f>'[1]2026 Orders'!V451</f>
        <v>0</v>
      </c>
      <c r="Y450">
        <f>'[1]2026 Orders'!W451</f>
        <v>0</v>
      </c>
      <c r="Z450">
        <f>'[1]2026 Orders'!X451</f>
        <v>0</v>
      </c>
      <c r="AC450" t="str">
        <f t="shared" si="12"/>
        <v>10/</v>
      </c>
      <c r="AD450" t="e">
        <f t="shared" si="13"/>
        <v>#VALUE!</v>
      </c>
    </row>
    <row r="451" spans="1:30" ht="33" hidden="1" customHeight="1" x14ac:dyDescent="0.3">
      <c r="A451">
        <f>'[1]2026 Orders'!A452</f>
        <v>46183</v>
      </c>
      <c r="B451" s="14" t="str">
        <f>'[1]2026 Orders'!B452</f>
        <v>Tanzania</v>
      </c>
      <c r="C451" s="14" t="str">
        <f>'[1]2026 Orders'!C452</f>
        <v>A4717</v>
      </c>
      <c r="D451" s="14">
        <f>'[1]2026 Orders'!D452</f>
        <v>0</v>
      </c>
      <c r="E451" s="17" t="str" cm="1">
        <f t="array" ref="E451">IF(C451=0,"",
HYPERLINK(
"#'2026 Orders'!C"&amp;
MATCH(1,
('2026 Orders'!C:C=C451)*
('2026 Orders'!G:G=G451)*
('2026 Orders'!N:N=N451),
0),
"Open "&amp;C451
))</f>
        <v>Open A4717</v>
      </c>
      <c r="F451" s="14">
        <f>'[1]2026 Orders'!F452</f>
        <v>0</v>
      </c>
      <c r="G451" s="14" t="str">
        <f>'[1]2026 Orders'!G452</f>
        <v>ROYALPL-30-CS-TA</v>
      </c>
      <c r="H451" s="14" t="str" cm="1">
        <f t="array" ref="H451">IFERROR(_xlfn.TEXTJOIN("-",,INDEX(_xlfn.TEXTSPLIT(TableTake[[#This Row],[SKU]],"-"),{1,2})),"")</f>
        <v>ROYALPL-30</v>
      </c>
      <c r="I451" s="15" t="str">
        <f>IFERROR(_xlfn.TEXTAFTER(TableTake[[#This Row],[SKU]],"-",-1),"")</f>
        <v>TA</v>
      </c>
      <c r="J451" s="14">
        <f>'[1]2026 Orders'!H452</f>
        <v>10</v>
      </c>
      <c r="K451">
        <f>'[1]2026 Orders'!I452</f>
        <v>0</v>
      </c>
      <c r="L451">
        <f>'[1]2026 Orders'!J452</f>
        <v>0</v>
      </c>
      <c r="N451" s="10" t="str">
        <f>'[1]2026 Orders'!L452</f>
        <v>Sales Action Needed</v>
      </c>
      <c r="O451">
        <f>'[1]2026 Orders'!M452</f>
        <v>0</v>
      </c>
      <c r="P451" t="str">
        <f>'[1]2026 Orders'!N452</f>
        <v>NA</v>
      </c>
      <c r="Q451">
        <f>'[1]2026 Orders'!O452</f>
        <v>810131195229</v>
      </c>
      <c r="R451">
        <f>'[1]2026 Orders'!P452</f>
        <v>0</v>
      </c>
      <c r="S451">
        <f>'[1]2026 Orders'!Q452</f>
        <v>0</v>
      </c>
      <c r="T451">
        <f>'[1]2026 Orders'!R452</f>
        <v>0</v>
      </c>
      <c r="U451">
        <f>'[1]2026 Orders'!S452</f>
        <v>0</v>
      </c>
      <c r="V451">
        <f>'[1]2026 Orders'!T452</f>
        <v>0</v>
      </c>
      <c r="W451">
        <f>'[1]2026 Orders'!U452</f>
        <v>0</v>
      </c>
      <c r="X451">
        <f>'[1]2026 Orders'!V452</f>
        <v>0</v>
      </c>
      <c r="Y451">
        <f>'[1]2026 Orders'!W452</f>
        <v>0</v>
      </c>
      <c r="Z451">
        <f>'[1]2026 Orders'!X452</f>
        <v>0</v>
      </c>
      <c r="AC451" t="str">
        <f t="shared" ref="AC451:AC514" si="14">IF(OR(B451="",B451=0),"",J451&amp;"/"&amp;$AJ$2)</f>
        <v>10/</v>
      </c>
      <c r="AD451" t="e">
        <f t="shared" ref="AD451:AD514" si="15">IF(OR(J451="",J451=0),"",I451&amp;" -&gt; "&amp;$AK$2)</f>
        <v>#VALUE!</v>
      </c>
    </row>
    <row r="452" spans="1:30" ht="33" hidden="1" customHeight="1" x14ac:dyDescent="0.3">
      <c r="A452">
        <f>'[1]2026 Orders'!A453</f>
        <v>46183</v>
      </c>
      <c r="B452" s="14" t="str">
        <f>'[1]2026 Orders'!B453</f>
        <v>Tanzania</v>
      </c>
      <c r="C452" s="14" t="str">
        <f>'[1]2026 Orders'!C453</f>
        <v>A4717</v>
      </c>
      <c r="D452" s="14">
        <f>'[1]2026 Orders'!D453</f>
        <v>0</v>
      </c>
      <c r="E452" s="17" t="str" cm="1">
        <f t="array" ref="E452">IF(C452=0,"",
HYPERLINK(
"#'2026 Orders'!C"&amp;
MATCH(1,
('2026 Orders'!C:C=C452)*
('2026 Orders'!G:G=G452)*
('2026 Orders'!N:N=N452),
0),
"Open "&amp;C452
))</f>
        <v>Open A4717</v>
      </c>
      <c r="F452" s="14">
        <f>'[1]2026 Orders'!F453</f>
        <v>0</v>
      </c>
      <c r="G452" s="14" t="str">
        <f>'[1]2026 Orders'!G453</f>
        <v>MOTILMX-60-CS-TA</v>
      </c>
      <c r="H452" s="14" t="str" cm="1">
        <f t="array" ref="H452">IFERROR(_xlfn.TEXTJOIN("-",,INDEX(_xlfn.TEXTSPLIT(TableTake[[#This Row],[SKU]],"-"),{1,2})),"")</f>
        <v>MOTILMX-60</v>
      </c>
      <c r="I452" s="15" t="str">
        <f>IFERROR(_xlfn.TEXTAFTER(TableTake[[#This Row],[SKU]],"-",-1),"")</f>
        <v>TA</v>
      </c>
      <c r="J452" s="14">
        <f>'[1]2026 Orders'!H453</f>
        <v>10</v>
      </c>
      <c r="K452">
        <f>'[1]2026 Orders'!I453</f>
        <v>0</v>
      </c>
      <c r="L452">
        <f>'[1]2026 Orders'!J453</f>
        <v>0</v>
      </c>
      <c r="N452" s="10" t="str">
        <f>'[1]2026 Orders'!L453</f>
        <v>Sales Action Needed</v>
      </c>
      <c r="O452">
        <f>'[1]2026 Orders'!M453</f>
        <v>0</v>
      </c>
      <c r="P452" t="str">
        <f>'[1]2026 Orders'!N453</f>
        <v>NA</v>
      </c>
      <c r="Q452">
        <f>'[1]2026 Orders'!O453</f>
        <v>810131195199</v>
      </c>
      <c r="R452">
        <f>'[1]2026 Orders'!P453</f>
        <v>0</v>
      </c>
      <c r="S452">
        <f>'[1]2026 Orders'!Q453</f>
        <v>0</v>
      </c>
      <c r="T452">
        <f>'[1]2026 Orders'!R453</f>
        <v>0</v>
      </c>
      <c r="U452">
        <f>'[1]2026 Orders'!S453</f>
        <v>0</v>
      </c>
      <c r="V452">
        <f>'[1]2026 Orders'!T453</f>
        <v>0</v>
      </c>
      <c r="W452">
        <f>'[1]2026 Orders'!U453</f>
        <v>0</v>
      </c>
      <c r="X452">
        <f>'[1]2026 Orders'!V453</f>
        <v>0</v>
      </c>
      <c r="Y452">
        <f>'[1]2026 Orders'!W453</f>
        <v>0</v>
      </c>
      <c r="Z452">
        <f>'[1]2026 Orders'!X453</f>
        <v>0</v>
      </c>
      <c r="AC452" t="str">
        <f t="shared" si="14"/>
        <v>10/</v>
      </c>
      <c r="AD452" t="e">
        <f t="shared" si="15"/>
        <v>#VALUE!</v>
      </c>
    </row>
    <row r="453" spans="1:30" ht="33" hidden="1" customHeight="1" x14ac:dyDescent="0.3">
      <c r="A453">
        <f>'[1]2026 Orders'!A454</f>
        <v>46183</v>
      </c>
      <c r="B453" s="14" t="str">
        <f>'[1]2026 Orders'!B454</f>
        <v>Tanzania</v>
      </c>
      <c r="C453" s="14" t="str">
        <f>'[1]2026 Orders'!C454</f>
        <v>A4717</v>
      </c>
      <c r="D453" s="14">
        <f>'[1]2026 Orders'!D454</f>
        <v>0</v>
      </c>
      <c r="E453" s="17" t="str" cm="1">
        <f t="array" ref="E453">IF(C453=0,"",
HYPERLINK(
"#'2026 Orders'!C"&amp;
MATCH(1,
('2026 Orders'!C:C=C453)*
('2026 Orders'!G:G=G453)*
('2026 Orders'!N:N=N453),
0),
"Open "&amp;C453
))</f>
        <v>Open A4717</v>
      </c>
      <c r="F453" s="14">
        <f>'[1]2026 Orders'!F454</f>
        <v>0</v>
      </c>
      <c r="G453" s="14" t="str">
        <f>'[1]2026 Orders'!G454</f>
        <v>POLYSIT-90-CS-TA</v>
      </c>
      <c r="H453" s="14" t="str" cm="1">
        <f t="array" ref="H453">IFERROR(_xlfn.TEXTJOIN("-",,INDEX(_xlfn.TEXTSPLIT(TableTake[[#This Row],[SKU]],"-"),{1,2})),"")</f>
        <v>POLYSIT-90</v>
      </c>
      <c r="I453" s="15" t="str">
        <f>IFERROR(_xlfn.TEXTAFTER(TableTake[[#This Row],[SKU]],"-",-1),"")</f>
        <v>TA</v>
      </c>
      <c r="J453" s="14">
        <f>'[1]2026 Orders'!H454</f>
        <v>10</v>
      </c>
      <c r="K453">
        <f>'[1]2026 Orders'!I454</f>
        <v>0</v>
      </c>
      <c r="L453">
        <f>'[1]2026 Orders'!J454</f>
        <v>0</v>
      </c>
      <c r="N453" s="10" t="str">
        <f>'[1]2026 Orders'!L454</f>
        <v>Sales Action Needed</v>
      </c>
      <c r="O453">
        <f>'[1]2026 Orders'!M454</f>
        <v>0</v>
      </c>
      <c r="P453" t="str">
        <f>'[1]2026 Orders'!N454</f>
        <v>NA</v>
      </c>
      <c r="Q453">
        <f>'[1]2026 Orders'!O454</f>
        <v>810131195205</v>
      </c>
      <c r="R453">
        <f>'[1]2026 Orders'!P454</f>
        <v>0</v>
      </c>
      <c r="S453">
        <f>'[1]2026 Orders'!Q454</f>
        <v>0</v>
      </c>
      <c r="T453">
        <f>'[1]2026 Orders'!R454</f>
        <v>0</v>
      </c>
      <c r="U453">
        <f>'[1]2026 Orders'!S454</f>
        <v>0</v>
      </c>
      <c r="V453">
        <f>'[1]2026 Orders'!T454</f>
        <v>0</v>
      </c>
      <c r="W453">
        <f>'[1]2026 Orders'!U454</f>
        <v>0</v>
      </c>
      <c r="X453">
        <f>'[1]2026 Orders'!V454</f>
        <v>0</v>
      </c>
      <c r="Y453">
        <f>'[1]2026 Orders'!W454</f>
        <v>0</v>
      </c>
      <c r="Z453">
        <f>'[1]2026 Orders'!X454</f>
        <v>0</v>
      </c>
      <c r="AC453" t="str">
        <f t="shared" si="14"/>
        <v>10/</v>
      </c>
      <c r="AD453" t="e">
        <f t="shared" si="15"/>
        <v>#VALUE!</v>
      </c>
    </row>
    <row r="454" spans="1:30" ht="33" hidden="1" customHeight="1" x14ac:dyDescent="0.3">
      <c r="A454">
        <f>'[1]2026 Orders'!A455</f>
        <v>46183</v>
      </c>
      <c r="B454" s="14" t="str">
        <f>'[1]2026 Orders'!B455</f>
        <v>Tanzania</v>
      </c>
      <c r="C454" s="14" t="str">
        <f>'[1]2026 Orders'!C455</f>
        <v>A4717</v>
      </c>
      <c r="D454" s="14">
        <f>'[1]2026 Orders'!D455</f>
        <v>0</v>
      </c>
      <c r="E454" s="17" t="str" cm="1">
        <f t="array" ref="E454">IF(C454=0,"",
HYPERLINK(
"#'2026 Orders'!C"&amp;
MATCH(1,
('2026 Orders'!C:C=C454)*
('2026 Orders'!G:G=G454)*
('2026 Orders'!N:N=N454),
0),
"Open "&amp;C454
))</f>
        <v>Open A4717</v>
      </c>
      <c r="F454" s="14">
        <f>'[1]2026 Orders'!F455</f>
        <v>0</v>
      </c>
      <c r="G454" s="14" t="str">
        <f>'[1]2026 Orders'!G455</f>
        <v>SPERMCT-60-CS-TA</v>
      </c>
      <c r="H454" s="14" t="str" cm="1">
        <f t="array" ref="H454">IFERROR(_xlfn.TEXTJOIN("-",,INDEX(_xlfn.TEXTSPLIT(TableTake[[#This Row],[SKU]],"-"),{1,2})),"")</f>
        <v>SPERMCT-60</v>
      </c>
      <c r="I454" s="15" t="str">
        <f>IFERROR(_xlfn.TEXTAFTER(TableTake[[#This Row],[SKU]],"-",-1),"")</f>
        <v>TA</v>
      </c>
      <c r="J454" s="14">
        <f>'[1]2026 Orders'!H455</f>
        <v>10</v>
      </c>
      <c r="K454">
        <f>'[1]2026 Orders'!I455</f>
        <v>0</v>
      </c>
      <c r="L454">
        <f>'[1]2026 Orders'!J455</f>
        <v>0</v>
      </c>
      <c r="N454" s="10" t="str">
        <f>'[1]2026 Orders'!L455</f>
        <v>Sales Action Needed</v>
      </c>
      <c r="O454">
        <f>'[1]2026 Orders'!M455</f>
        <v>0</v>
      </c>
      <c r="P454" t="str">
        <f>'[1]2026 Orders'!N455</f>
        <v>NA</v>
      </c>
      <c r="Q454">
        <f>'[1]2026 Orders'!O455</f>
        <v>810131195236</v>
      </c>
      <c r="R454">
        <f>'[1]2026 Orders'!P455</f>
        <v>0</v>
      </c>
      <c r="S454">
        <f>'[1]2026 Orders'!Q455</f>
        <v>0</v>
      </c>
      <c r="T454">
        <f>'[1]2026 Orders'!R455</f>
        <v>0</v>
      </c>
      <c r="U454">
        <f>'[1]2026 Orders'!S455</f>
        <v>0</v>
      </c>
      <c r="V454">
        <f>'[1]2026 Orders'!T455</f>
        <v>0</v>
      </c>
      <c r="W454">
        <f>'[1]2026 Orders'!U455</f>
        <v>0</v>
      </c>
      <c r="X454">
        <f>'[1]2026 Orders'!V455</f>
        <v>0</v>
      </c>
      <c r="Y454">
        <f>'[1]2026 Orders'!W455</f>
        <v>0</v>
      </c>
      <c r="Z454">
        <f>'[1]2026 Orders'!X455</f>
        <v>0</v>
      </c>
      <c r="AC454" t="str">
        <f t="shared" si="14"/>
        <v>10/</v>
      </c>
      <c r="AD454" t="e">
        <f t="shared" si="15"/>
        <v>#VALUE!</v>
      </c>
    </row>
    <row r="455" spans="1:30" ht="33" hidden="1" customHeight="1" x14ac:dyDescent="0.3">
      <c r="A455">
        <f>'[1]2026 Orders'!A456</f>
        <v>0</v>
      </c>
      <c r="B455" s="14">
        <f>'[1]2026 Orders'!B456</f>
        <v>0</v>
      </c>
      <c r="C455" s="14">
        <f>'[1]2026 Orders'!C456</f>
        <v>0</v>
      </c>
      <c r="D455" s="14">
        <f>'[1]2026 Orders'!D456</f>
        <v>0</v>
      </c>
      <c r="E455" s="17" t="str" cm="1">
        <f t="array" ref="E455">IF(C455=0,"",
HYPERLINK(
"#'2026 Orders'!C"&amp;
MATCH(1,
('2026 Orders'!C:C=C455)*
('2026 Orders'!G:G=G455)*
('2026 Orders'!N:N=N455),
0),
"Open "&amp;C455
))</f>
        <v/>
      </c>
      <c r="F455" s="14">
        <f>'[1]2026 Orders'!F456</f>
        <v>0</v>
      </c>
      <c r="G455" s="14">
        <f>'[1]2026 Orders'!G456</f>
        <v>0</v>
      </c>
      <c r="H455" s="14" t="str" cm="1">
        <f t="array" ref="H455">IFERROR(_xlfn.TEXTJOIN("-",,INDEX(_xlfn.TEXTSPLIT(TableTake[[#This Row],[SKU]],"-"),{1,2})),"")</f>
        <v/>
      </c>
      <c r="I455" s="15" t="str">
        <f>IFERROR(_xlfn.TEXTAFTER(TableTake[[#This Row],[SKU]],"-",-1),"")</f>
        <v/>
      </c>
      <c r="J455" s="14">
        <f>'[1]2026 Orders'!H456</f>
        <v>0</v>
      </c>
      <c r="K455">
        <f>'[1]2026 Orders'!I456</f>
        <v>0</v>
      </c>
      <c r="L455">
        <f>'[1]2026 Orders'!J456</f>
        <v>0</v>
      </c>
      <c r="N455" s="10">
        <f>'[1]2026 Orders'!L456</f>
        <v>0</v>
      </c>
      <c r="O455">
        <f>'[1]2026 Orders'!M456</f>
        <v>0</v>
      </c>
      <c r="P455">
        <f>'[1]2026 Orders'!N456</f>
        <v>0</v>
      </c>
      <c r="Q455">
        <f>'[1]2026 Orders'!O456</f>
        <v>0</v>
      </c>
      <c r="R455">
        <f>'[1]2026 Orders'!P456</f>
        <v>0</v>
      </c>
      <c r="S455">
        <f>'[1]2026 Orders'!Q456</f>
        <v>0</v>
      </c>
      <c r="T455">
        <f>'[1]2026 Orders'!R456</f>
        <v>0</v>
      </c>
      <c r="U455">
        <f>'[1]2026 Orders'!S456</f>
        <v>0</v>
      </c>
      <c r="V455">
        <f>'[1]2026 Orders'!T456</f>
        <v>0</v>
      </c>
      <c r="W455">
        <f>'[1]2026 Orders'!U456</f>
        <v>0</v>
      </c>
      <c r="X455">
        <f>'[1]2026 Orders'!V456</f>
        <v>0</v>
      </c>
      <c r="Y455">
        <f>'[1]2026 Orders'!W456</f>
        <v>0</v>
      </c>
      <c r="Z455">
        <f>'[1]2026 Orders'!X456</f>
        <v>0</v>
      </c>
      <c r="AC455" t="str">
        <f t="shared" si="14"/>
        <v/>
      </c>
      <c r="AD455" t="str">
        <f t="shared" si="15"/>
        <v/>
      </c>
    </row>
    <row r="456" spans="1:30" ht="33" hidden="1" customHeight="1" x14ac:dyDescent="0.3">
      <c r="A456">
        <f>'[1]2026 Orders'!A457</f>
        <v>46041</v>
      </c>
      <c r="B456" s="14" t="str">
        <f>'[1]2026 Orders'!B457</f>
        <v>Amazon FBA</v>
      </c>
      <c r="C456" s="14" t="str">
        <f>'[1]2026 Orders'!C457</f>
        <v>FBA 42</v>
      </c>
      <c r="D456" s="14">
        <f>'[1]2026 Orders'!D457</f>
        <v>0</v>
      </c>
      <c r="E456" s="17" t="str" cm="1">
        <f t="array" ref="E456">IF(C456=0,"",
HYPERLINK(
"#'2026 Orders'!C"&amp;
MATCH(1,
('2026 Orders'!C:C=C456)*
('2026 Orders'!G:G=G456)*
('2026 Orders'!N:N=N456),
0),
"Open "&amp;C456
))</f>
        <v>Open FBA 42</v>
      </c>
      <c r="F456" s="14" t="str">
        <f>'[1]2026 Orders'!F457</f>
        <v>1PK</v>
      </c>
      <c r="G456" s="14" t="str">
        <f>'[1]2026 Orders'!G457</f>
        <v>LARGINE-100-FD</v>
      </c>
      <c r="H456" s="14" t="str" cm="1">
        <f t="array" ref="H456">IFERROR(_xlfn.TEXTJOIN("-",,INDEX(_xlfn.TEXTSPLIT(TableTake[[#This Row],[SKU]],"-"),{1,2})),"")</f>
        <v>LARGINE-100</v>
      </c>
      <c r="I456" s="15" t="str">
        <f>IFERROR(_xlfn.TEXTAFTER(TableTake[[#This Row],[SKU]],"-",-1),"")</f>
        <v>FD</v>
      </c>
      <c r="J456" s="14">
        <f>'[1]2026 Orders'!H457</f>
        <v>120</v>
      </c>
      <c r="K456">
        <f>'[1]2026 Orders'!I457</f>
        <v>0</v>
      </c>
      <c r="L456">
        <f>'[1]2026 Orders'!J457</f>
        <v>0</v>
      </c>
      <c r="N456" s="10" t="str">
        <f>'[1]2026 Orders'!L457</f>
        <v>In Production</v>
      </c>
      <c r="O456">
        <f>'[1]2026 Orders'!M457</f>
        <v>0</v>
      </c>
      <c r="P456" t="str">
        <f>'[1]2026 Orders'!N457</f>
        <v>NA</v>
      </c>
      <c r="Q456">
        <f>'[1]2026 Orders'!O457</f>
        <v>609788968559</v>
      </c>
      <c r="R456">
        <f>'[1]2026 Orders'!P457</f>
        <v>2000</v>
      </c>
      <c r="S456">
        <f>'[1]2026 Orders'!Q457</f>
        <v>4998</v>
      </c>
      <c r="T456">
        <f>'[1]2026 Orders'!R457</f>
        <v>46198</v>
      </c>
      <c r="U456">
        <f>'[1]2026 Orders'!S457</f>
        <v>0</v>
      </c>
      <c r="V456">
        <f>'[1]2026 Orders'!T457</f>
        <v>0</v>
      </c>
      <c r="W456">
        <f>'[1]2026 Orders'!U457</f>
        <v>0</v>
      </c>
      <c r="X456">
        <f>'[1]2026 Orders'!V457</f>
        <v>0</v>
      </c>
      <c r="Y456">
        <f>'[1]2026 Orders'!W457</f>
        <v>0</v>
      </c>
      <c r="Z456">
        <f>'[1]2026 Orders'!X457</f>
        <v>0</v>
      </c>
      <c r="AC456" t="str">
        <f t="shared" si="14"/>
        <v>120/</v>
      </c>
      <c r="AD456" t="e">
        <f t="shared" si="15"/>
        <v>#VALUE!</v>
      </c>
    </row>
    <row r="457" spans="1:30" ht="33" hidden="1" customHeight="1" x14ac:dyDescent="0.3">
      <c r="A457">
        <f>'[1]2026 Orders'!A458</f>
        <v>46041</v>
      </c>
      <c r="B457" s="14" t="str">
        <f>'[1]2026 Orders'!B458</f>
        <v>Amazon FBA</v>
      </c>
      <c r="C457" s="14" t="str">
        <f>'[1]2026 Orders'!C458</f>
        <v>FBA 42</v>
      </c>
      <c r="D457" s="14">
        <f>'[1]2026 Orders'!D458</f>
        <v>0</v>
      </c>
      <c r="E457" s="17" t="str" cm="1">
        <f t="array" ref="E457">IF(C457=0,"",
HYPERLINK(
"#'2026 Orders'!C"&amp;
MATCH(1,
('2026 Orders'!C:C=C457)*
('2026 Orders'!G:G=G457)*
('2026 Orders'!N:N=N457),
0),
"Open "&amp;C457
))</f>
        <v>Open FBA 42</v>
      </c>
      <c r="F457" s="14" t="str">
        <f>'[1]2026 Orders'!F458</f>
        <v>2PK</v>
      </c>
      <c r="G457" s="14" t="str">
        <f>'[1]2026 Orders'!G458</f>
        <v>XTRAD5-60-FD</v>
      </c>
      <c r="H457" s="14" t="str" cm="1">
        <f t="array" ref="H457">IFERROR(_xlfn.TEXTJOIN("-",,INDEX(_xlfn.TEXTSPLIT(TableTake[[#This Row],[SKU]],"-"),{1,2})),"")</f>
        <v>XTRAD5-60</v>
      </c>
      <c r="I457" s="15" t="str">
        <f>IFERROR(_xlfn.TEXTAFTER(TableTake[[#This Row],[SKU]],"-",-1),"")</f>
        <v>FD</v>
      </c>
      <c r="J457" s="14">
        <f>'[1]2026 Orders'!H458</f>
        <v>96</v>
      </c>
      <c r="K457">
        <f>'[1]2026 Orders'!I458</f>
        <v>0</v>
      </c>
      <c r="L457">
        <f>'[1]2026 Orders'!J458</f>
        <v>0</v>
      </c>
      <c r="N457" s="10" t="str">
        <f>'[1]2026 Orders'!L458</f>
        <v>Production complete</v>
      </c>
      <c r="O457">
        <f>'[1]2026 Orders'!M458</f>
        <v>0</v>
      </c>
      <c r="P457" t="str">
        <f>'[1]2026 Orders'!N458</f>
        <v>NA</v>
      </c>
      <c r="Q457" t="str">
        <f>'[1]2026 Orders'!O458</f>
        <v>609788968030</v>
      </c>
      <c r="R457">
        <f>'[1]2026 Orders'!P458</f>
        <v>5000</v>
      </c>
      <c r="S457">
        <f>'[1]2026 Orders'!Q458</f>
        <v>4946</v>
      </c>
      <c r="T457">
        <f>'[1]2026 Orders'!R458</f>
        <v>46094</v>
      </c>
      <c r="U457" t="str">
        <f>'[1]2026 Orders'!S458</f>
        <v>Pending product release</v>
      </c>
      <c r="V457">
        <f>'[1]2026 Orders'!T458</f>
        <v>0</v>
      </c>
      <c r="W457">
        <f>'[1]2026 Orders'!U458</f>
        <v>0</v>
      </c>
      <c r="X457">
        <f>'[1]2026 Orders'!V458</f>
        <v>0</v>
      </c>
      <c r="Y457">
        <f>'[1]2026 Orders'!W458</f>
        <v>0</v>
      </c>
      <c r="Z457">
        <f>'[1]2026 Orders'!X458</f>
        <v>0</v>
      </c>
      <c r="AC457" t="str">
        <f t="shared" si="14"/>
        <v>96/</v>
      </c>
      <c r="AD457" t="e">
        <f t="shared" si="15"/>
        <v>#VALUE!</v>
      </c>
    </row>
    <row r="458" spans="1:30" ht="33" hidden="1" customHeight="1" x14ac:dyDescent="0.3">
      <c r="A458">
        <f>'[1]2026 Orders'!A459</f>
        <v>46118</v>
      </c>
      <c r="B458" s="14" t="str">
        <f>'[1]2026 Orders'!B459</f>
        <v>Amazon AWD</v>
      </c>
      <c r="C458" s="14" t="str">
        <f>'[1]2026 Orders'!C459</f>
        <v>AWD Backorder</v>
      </c>
      <c r="D458" s="14" t="str">
        <f>'[1]2026 Orders'!D459</f>
        <v>Advanced Thyroid 60ct (from AWD 11)</v>
      </c>
      <c r="E458" s="17" t="str" cm="1">
        <f t="array" ref="E458">IF(C458=0,"",
HYPERLINK(
"#'2026 Orders'!C"&amp;
MATCH(1,
('2026 Orders'!C:C=C458)*
('2026 Orders'!G:G=G458)*
('2026 Orders'!N:N=N458),
0),
"Open "&amp;C458
))</f>
        <v>Open AWD Backorder</v>
      </c>
      <c r="F458" s="14" t="str">
        <f>'[1]2026 Orders'!F459</f>
        <v>1PK</v>
      </c>
      <c r="G458" s="14" t="str">
        <f>'[1]2026 Orders'!G459</f>
        <v>ADVTH-60-FD</v>
      </c>
      <c r="H458" s="14" t="str" cm="1">
        <f t="array" ref="H458">IFERROR(_xlfn.TEXTJOIN("-",,INDEX(_xlfn.TEXTSPLIT(TableTake[[#This Row],[SKU]],"-"),{1,2})),"")</f>
        <v>ADVTH-60</v>
      </c>
      <c r="I458" s="15" t="str">
        <f>IFERROR(_xlfn.TEXTAFTER(TableTake[[#This Row],[SKU]],"-",-1),"")</f>
        <v>FD</v>
      </c>
      <c r="J458" s="14">
        <f>'[1]2026 Orders'!H459</f>
        <v>24</v>
      </c>
      <c r="K458">
        <f>'[1]2026 Orders'!I459</f>
        <v>0</v>
      </c>
      <c r="L458">
        <f>'[1]2026 Orders'!J459</f>
        <v>0</v>
      </c>
      <c r="N458" s="10" t="str">
        <f>'[1]2026 Orders'!L459</f>
        <v>Not Meet MOQ</v>
      </c>
      <c r="O458">
        <f>'[1]2026 Orders'!M459</f>
        <v>0</v>
      </c>
      <c r="P458">
        <f>'[1]2026 Orders'!N459</f>
        <v>0</v>
      </c>
      <c r="Q458">
        <f>'[1]2026 Orders'!O459</f>
        <v>0</v>
      </c>
      <c r="R458">
        <f>'[1]2026 Orders'!P459</f>
        <v>0</v>
      </c>
      <c r="S458">
        <f>'[1]2026 Orders'!Q459</f>
        <v>0</v>
      </c>
      <c r="T458">
        <f>'[1]2026 Orders'!R459</f>
        <v>0</v>
      </c>
      <c r="U458">
        <f>'[1]2026 Orders'!S459</f>
        <v>0</v>
      </c>
      <c r="V458">
        <f>'[1]2026 Orders'!T459</f>
        <v>0</v>
      </c>
      <c r="W458">
        <f>'[1]2026 Orders'!U459</f>
        <v>0</v>
      </c>
      <c r="X458">
        <f>'[1]2026 Orders'!V459</f>
        <v>0</v>
      </c>
      <c r="Y458">
        <f>'[1]2026 Orders'!W459</f>
        <v>0</v>
      </c>
      <c r="Z458">
        <f>'[1]2026 Orders'!X459</f>
        <v>0</v>
      </c>
      <c r="AC458" t="str">
        <f t="shared" si="14"/>
        <v>24/</v>
      </c>
      <c r="AD458" t="e">
        <f t="shared" si="15"/>
        <v>#VALUE!</v>
      </c>
    </row>
    <row r="459" spans="1:30" ht="33" hidden="1" customHeight="1" x14ac:dyDescent="0.3">
      <c r="A459">
        <f>'[1]2026 Orders'!A460</f>
        <v>46085</v>
      </c>
      <c r="B459" s="14" t="str">
        <f>'[1]2026 Orders'!B460</f>
        <v>Amazon AWD</v>
      </c>
      <c r="C459" s="14" t="str">
        <f>'[1]2026 Orders'!C460</f>
        <v>AWD 13</v>
      </c>
      <c r="D459" s="14" t="str">
        <f>'[1]2026 Orders'!D460</f>
        <v>WFS Plus 90ct</v>
      </c>
      <c r="E459" s="17" t="str" cm="1">
        <f t="array" ref="E459">IF(C459=0,"",
HYPERLINK(
"#'2026 Orders'!C"&amp;
MATCH(1,
('2026 Orders'!C:C=C459)*
('2026 Orders'!G:G=G459)*
('2026 Orders'!N:N=N459),
0),
"Open "&amp;C459
))</f>
        <v>Open AWD 13</v>
      </c>
      <c r="F459" s="14" t="str">
        <f>'[1]2026 Orders'!F460</f>
        <v>1PK                                    6/8/2026: moved from AWD Backorder.</v>
      </c>
      <c r="G459" s="14" t="str">
        <f>'[1]2026 Orders'!G460</f>
        <v>WFSPLS-90-FD</v>
      </c>
      <c r="H459" s="14" t="str" cm="1">
        <f t="array" ref="H459">IFERROR(_xlfn.TEXTJOIN("-",,INDEX(_xlfn.TEXTSPLIT(TableTake[[#This Row],[SKU]],"-"),{1,2})),"")</f>
        <v>WFSPLS-90</v>
      </c>
      <c r="I459" s="15" t="str">
        <f>IFERROR(_xlfn.TEXTAFTER(TableTake[[#This Row],[SKU]],"-",-1),"")</f>
        <v>FD</v>
      </c>
      <c r="J459" s="14">
        <f>'[1]2026 Orders'!H460</f>
        <v>240</v>
      </c>
      <c r="K459">
        <f>'[1]2026 Orders'!I460</f>
        <v>0</v>
      </c>
      <c r="L459">
        <f>'[1]2026 Orders'!J460</f>
        <v>240</v>
      </c>
      <c r="N459" s="10" t="str">
        <f>'[1]2026 Orders'!L460</f>
        <v>Available</v>
      </c>
      <c r="O459">
        <f>'[1]2026 Orders'!M460</f>
        <v>0</v>
      </c>
      <c r="P459" t="str">
        <f>'[1]2026 Orders'!N460</f>
        <v>NA</v>
      </c>
      <c r="Q459">
        <f>'[1]2026 Orders'!O460</f>
        <v>609788968108</v>
      </c>
      <c r="R459">
        <f>'[1]2026 Orders'!P460</f>
        <v>4000</v>
      </c>
      <c r="S459">
        <f>'[1]2026 Orders'!Q460</f>
        <v>4941</v>
      </c>
      <c r="T459" t="str">
        <f>'[1]2026 Orders'!R460</f>
        <v>Complete</v>
      </c>
      <c r="U459">
        <f>'[1]2026 Orders'!S460</f>
        <v>0</v>
      </c>
      <c r="V459">
        <f>'[1]2026 Orders'!T460</f>
        <v>0</v>
      </c>
      <c r="W459">
        <f>'[1]2026 Orders'!U460</f>
        <v>0</v>
      </c>
      <c r="X459">
        <f>'[1]2026 Orders'!V460</f>
        <v>0</v>
      </c>
      <c r="Y459">
        <f>'[1]2026 Orders'!W460</f>
        <v>0</v>
      </c>
      <c r="Z459" t="str">
        <f>'[1]2026 Orders'!X460</f>
        <v>Approved</v>
      </c>
      <c r="AC459" t="str">
        <f t="shared" si="14"/>
        <v>240/</v>
      </c>
      <c r="AD459" t="e">
        <f t="shared" si="15"/>
        <v>#VALUE!</v>
      </c>
    </row>
    <row r="460" spans="1:30" ht="33" hidden="1" customHeight="1" x14ac:dyDescent="0.3">
      <c r="A460">
        <f>'[1]2026 Orders'!A461</f>
        <v>46085</v>
      </c>
      <c r="B460" s="14" t="str">
        <f>'[1]2026 Orders'!B461</f>
        <v>Amazon AWD</v>
      </c>
      <c r="C460" s="14" t="str">
        <f>'[1]2026 Orders'!C461</f>
        <v>AWD 13</v>
      </c>
      <c r="D460" s="14" t="str">
        <f>'[1]2026 Orders'!D461</f>
        <v>MFS Plus 120ct</v>
      </c>
      <c r="E460" s="17" t="str" cm="1">
        <f t="array" ref="E460">IF(C460=0,"",
HYPERLINK(
"#'2026 Orders'!C"&amp;
MATCH(1,
('2026 Orders'!C:C=C460)*
('2026 Orders'!G:G=G460)*
('2026 Orders'!N:N=N460),
0),
"Open "&amp;C460
))</f>
        <v>Open AWD 13</v>
      </c>
      <c r="F460" s="14" t="str">
        <f>'[1]2026 Orders'!F461</f>
        <v>1PK                                 6/8/2026: Moved from AWD Backorder.</v>
      </c>
      <c r="G460" s="14" t="str">
        <f>'[1]2026 Orders'!G461</f>
        <v>MFSPLS-120-FD</v>
      </c>
      <c r="H460" s="14" t="str" cm="1">
        <f t="array" ref="H460">IFERROR(_xlfn.TEXTJOIN("-",,INDEX(_xlfn.TEXTSPLIT(TableTake[[#This Row],[SKU]],"-"),{1,2})),"")</f>
        <v>MFSPLS-120</v>
      </c>
      <c r="I460" s="15" t="str">
        <f>IFERROR(_xlfn.TEXTAFTER(TableTake[[#This Row],[SKU]],"-",-1),"")</f>
        <v>FD</v>
      </c>
      <c r="J460" s="14">
        <f>'[1]2026 Orders'!H461</f>
        <v>240</v>
      </c>
      <c r="K460">
        <f>'[1]2026 Orders'!I461</f>
        <v>0</v>
      </c>
      <c r="L460">
        <f>'[1]2026 Orders'!J461</f>
        <v>240</v>
      </c>
      <c r="N460" s="10" t="str">
        <f>'[1]2026 Orders'!L461</f>
        <v>Available</v>
      </c>
      <c r="O460">
        <f>'[1]2026 Orders'!M461</f>
        <v>0</v>
      </c>
      <c r="P460" t="str">
        <f>'[1]2026 Orders'!N461</f>
        <v>NA</v>
      </c>
      <c r="Q460">
        <f>'[1]2026 Orders'!O461</f>
        <v>609788968344</v>
      </c>
      <c r="R460">
        <f>'[1]2026 Orders'!P461</f>
        <v>7000</v>
      </c>
      <c r="S460">
        <f>'[1]2026 Orders'!Q461</f>
        <v>4935</v>
      </c>
      <c r="T460" t="str">
        <f>'[1]2026 Orders'!R461</f>
        <v>complete</v>
      </c>
      <c r="U460">
        <f>'[1]2026 Orders'!S461</f>
        <v>0</v>
      </c>
      <c r="V460">
        <f>'[1]2026 Orders'!T461</f>
        <v>0</v>
      </c>
      <c r="W460">
        <f>'[1]2026 Orders'!U461</f>
        <v>0</v>
      </c>
      <c r="X460">
        <f>'[1]2026 Orders'!V461</f>
        <v>0</v>
      </c>
      <c r="Y460">
        <f>'[1]2026 Orders'!W461</f>
        <v>0</v>
      </c>
      <c r="Z460">
        <f>'[1]2026 Orders'!X461</f>
        <v>0</v>
      </c>
      <c r="AC460" t="str">
        <f t="shared" si="14"/>
        <v>240/</v>
      </c>
      <c r="AD460" t="e">
        <f t="shared" si="15"/>
        <v>#VALUE!</v>
      </c>
    </row>
    <row r="461" spans="1:30" ht="33" hidden="1" customHeight="1" x14ac:dyDescent="0.3">
      <c r="A461">
        <f>'[1]2026 Orders'!A462</f>
        <v>46118</v>
      </c>
      <c r="B461" s="14" t="str">
        <f>'[1]2026 Orders'!B462</f>
        <v>Amazon AWD</v>
      </c>
      <c r="C461" s="14" t="str">
        <f>'[1]2026 Orders'!C462</f>
        <v>AWD 13</v>
      </c>
      <c r="D461" s="14" t="str">
        <f>'[1]2026 Orders'!D462</f>
        <v>Ovamax 120ct (from AWD 11)</v>
      </c>
      <c r="E461" s="17" t="str" cm="1">
        <f t="array" ref="E461">IF(C461=0,"",
HYPERLINK(
"#'2026 Orders'!C"&amp;
MATCH(1,
('2026 Orders'!C:C=C461)*
('2026 Orders'!G:G=G461)*
('2026 Orders'!N:N=N461),
0),
"Open "&amp;C461
))</f>
        <v>Open AWD 13</v>
      </c>
      <c r="F461" s="14" t="str">
        <f>'[1]2026 Orders'!F462</f>
        <v>1PK 
4/10/2026: qty decreased 600 -&gt; 240                                   6/8/2026: Moved from AWD Backorder.</v>
      </c>
      <c r="G461" s="14" t="str">
        <f>'[1]2026 Orders'!G462</f>
        <v>OVAMAX-120-FD</v>
      </c>
      <c r="H461" s="14" t="str" cm="1">
        <f t="array" ref="H461">IFERROR(_xlfn.TEXTJOIN("-",,INDEX(_xlfn.TEXTSPLIT(TableTake[[#This Row],[SKU]],"-"),{1,2})),"")</f>
        <v>OVAMAX-120</v>
      </c>
      <c r="I461" s="15" t="str">
        <f>IFERROR(_xlfn.TEXTAFTER(TableTake[[#This Row],[SKU]],"-",-1),"")</f>
        <v>FD</v>
      </c>
      <c r="J461" s="14">
        <f>'[1]2026 Orders'!H462</f>
        <v>240</v>
      </c>
      <c r="K461">
        <f>'[1]2026 Orders'!I462</f>
        <v>0</v>
      </c>
      <c r="L461">
        <f>'[1]2026 Orders'!J462</f>
        <v>240</v>
      </c>
      <c r="N461" s="10" t="str">
        <f>'[1]2026 Orders'!L462</f>
        <v>Available</v>
      </c>
      <c r="O461" t="str">
        <f>'[1]2026 Orders'!M462</f>
        <v>Lot :4949</v>
      </c>
      <c r="P461" t="str">
        <f>'[1]2026 Orders'!N462</f>
        <v>NA</v>
      </c>
      <c r="Q461">
        <f>'[1]2026 Orders'!O462</f>
        <v>810131199586</v>
      </c>
      <c r="R461">
        <f>'[1]2026 Orders'!P462</f>
        <v>4100</v>
      </c>
      <c r="S461">
        <f>'[1]2026 Orders'!Q462</f>
        <v>4949</v>
      </c>
      <c r="T461">
        <f>'[1]2026 Orders'!R462</f>
        <v>46132</v>
      </c>
      <c r="U461">
        <f>'[1]2026 Orders'!S462</f>
        <v>0</v>
      </c>
      <c r="V461">
        <f>'[1]2026 Orders'!T462</f>
        <v>0</v>
      </c>
      <c r="W461">
        <f>'[1]2026 Orders'!U462</f>
        <v>0</v>
      </c>
      <c r="X461">
        <f>'[1]2026 Orders'!V462</f>
        <v>0</v>
      </c>
      <c r="Y461">
        <f>'[1]2026 Orders'!W462</f>
        <v>0</v>
      </c>
      <c r="Z461">
        <f>'[1]2026 Orders'!X462</f>
        <v>0</v>
      </c>
      <c r="AC461" t="str">
        <f t="shared" si="14"/>
        <v>240/</v>
      </c>
      <c r="AD461" t="e">
        <f t="shared" si="15"/>
        <v>#VALUE!</v>
      </c>
    </row>
    <row r="462" spans="1:30" ht="33" hidden="1" customHeight="1" x14ac:dyDescent="0.3">
      <c r="A462">
        <f>'[1]2026 Orders'!A463</f>
        <v>46118</v>
      </c>
      <c r="B462" s="14" t="str">
        <f>'[1]2026 Orders'!B463</f>
        <v>Amazon AWD</v>
      </c>
      <c r="C462" s="14" t="str">
        <f>'[1]2026 Orders'!C463</f>
        <v>AWD 13</v>
      </c>
      <c r="D462" s="14" t="str">
        <f>'[1]2026 Orders'!D463</f>
        <v>MFS Plus 60ct (from AWD 11)</v>
      </c>
      <c r="E462" s="17" t="str" cm="1">
        <f t="array" ref="E462">IF(C462=0,"",
HYPERLINK(
"#'2026 Orders'!C"&amp;
MATCH(1,
('2026 Orders'!C:C=C462)*
('2026 Orders'!G:G=G462)*
('2026 Orders'!N:N=N462),
0),
"Open "&amp;C462
))</f>
        <v>Open AWD 13</v>
      </c>
      <c r="F462" s="14" t="str">
        <f>'[1]2026 Orders'!F463</f>
        <v>1PK 
4/10/2026: qty decreased 144 -&gt; 72                                          6/8/2026: Moved from AWD Backorder.</v>
      </c>
      <c r="G462" s="14" t="str">
        <f>'[1]2026 Orders'!G463</f>
        <v>MFSPLS-60-FD</v>
      </c>
      <c r="H462" s="14" t="str" cm="1">
        <f t="array" ref="H462">IFERROR(_xlfn.TEXTJOIN("-",,INDEX(_xlfn.TEXTSPLIT(TableTake[[#This Row],[SKU]],"-"),{1,2})),"")</f>
        <v>MFSPLS-60</v>
      </c>
      <c r="I462" s="15" t="str">
        <f>IFERROR(_xlfn.TEXTAFTER(TableTake[[#This Row],[SKU]],"-",-1),"")</f>
        <v>FD</v>
      </c>
      <c r="J462" s="14">
        <f>'[1]2026 Orders'!H463</f>
        <v>72</v>
      </c>
      <c r="K462">
        <f>'[1]2026 Orders'!I463</f>
        <v>0</v>
      </c>
      <c r="L462">
        <f>'[1]2026 Orders'!J463</f>
        <v>72</v>
      </c>
      <c r="N462" s="10" t="str">
        <f>'[1]2026 Orders'!L463</f>
        <v>Available</v>
      </c>
      <c r="O462" t="str">
        <f>'[1]2026 Orders'!M463</f>
        <v>168 Available With 3 LOTS</v>
      </c>
      <c r="P462" t="str">
        <f>'[1]2026 Orders'!N463</f>
        <v>NA</v>
      </c>
      <c r="Q462">
        <f>'[1]2026 Orders'!O463</f>
        <v>609788968092</v>
      </c>
      <c r="R462">
        <f>'[1]2026 Orders'!P463</f>
        <v>0</v>
      </c>
      <c r="S462">
        <f>'[1]2026 Orders'!Q463</f>
        <v>0</v>
      </c>
      <c r="T462">
        <f>'[1]2026 Orders'!R463</f>
        <v>0</v>
      </c>
      <c r="U462">
        <f>'[1]2026 Orders'!S463</f>
        <v>0</v>
      </c>
      <c r="V462">
        <f>'[1]2026 Orders'!T463</f>
        <v>0</v>
      </c>
      <c r="W462">
        <f>'[1]2026 Orders'!U463</f>
        <v>0</v>
      </c>
      <c r="X462">
        <f>'[1]2026 Orders'!V463</f>
        <v>0</v>
      </c>
      <c r="Y462">
        <f>'[1]2026 Orders'!W463</f>
        <v>0</v>
      </c>
      <c r="Z462">
        <f>'[1]2026 Orders'!X463</f>
        <v>0</v>
      </c>
      <c r="AC462" t="str">
        <f t="shared" si="14"/>
        <v>72/</v>
      </c>
      <c r="AD462" t="e">
        <f t="shared" si="15"/>
        <v>#VALUE!</v>
      </c>
    </row>
    <row r="463" spans="1:30" ht="33" hidden="1" customHeight="1" x14ac:dyDescent="0.3">
      <c r="A463">
        <f>'[1]2026 Orders'!A464</f>
        <v>46041</v>
      </c>
      <c r="B463" s="14" t="str">
        <f>'[1]2026 Orders'!B464</f>
        <v>Amazon FBA</v>
      </c>
      <c r="C463" s="14" t="str">
        <f>'[1]2026 Orders'!C464</f>
        <v>AWD 13</v>
      </c>
      <c r="D463" s="14">
        <f>'[1]2026 Orders'!D464</f>
        <v>0</v>
      </c>
      <c r="E463" s="17" t="str" cm="1">
        <f t="array" ref="E463">IF(C463=0,"",
HYPERLINK(
"#'2026 Orders'!C"&amp;
MATCH(1,
('2026 Orders'!C:C=C463)*
('2026 Orders'!G:G=G463)*
('2026 Orders'!N:N=N463),
0),
"Open "&amp;C463
))</f>
        <v>Open AWD 13</v>
      </c>
      <c r="F463" s="14" t="str">
        <f>'[1]2026 Orders'!F464</f>
        <v>1PK                                6/11/2026: Moved from FBA42</v>
      </c>
      <c r="G463" s="14" t="str">
        <f>'[1]2026 Orders'!G464</f>
        <v>MFSPLS-120-FD</v>
      </c>
      <c r="H463" s="14" t="str" cm="1">
        <f t="array" ref="H463">IFERROR(_xlfn.TEXTJOIN("-",,INDEX(_xlfn.TEXTSPLIT(TableTake[[#This Row],[SKU]],"-"),{1,2})),"")</f>
        <v>MFSPLS-120</v>
      </c>
      <c r="I463" s="15" t="str">
        <f>IFERROR(_xlfn.TEXTAFTER(TableTake[[#This Row],[SKU]],"-",-1),"")</f>
        <v>FD</v>
      </c>
      <c r="J463" s="14">
        <f>'[1]2026 Orders'!H464</f>
        <v>216</v>
      </c>
      <c r="K463">
        <f>'[1]2026 Orders'!I464</f>
        <v>0</v>
      </c>
      <c r="L463">
        <f>'[1]2026 Orders'!J464</f>
        <v>216</v>
      </c>
      <c r="N463" s="10" t="str">
        <f>'[1]2026 Orders'!L464</f>
        <v>Available</v>
      </c>
      <c r="O463">
        <f>'[1]2026 Orders'!M464</f>
        <v>0</v>
      </c>
      <c r="P463" t="str">
        <f>'[1]2026 Orders'!N464</f>
        <v>NA</v>
      </c>
      <c r="Q463">
        <f>'[1]2026 Orders'!O464</f>
        <v>609788968344</v>
      </c>
      <c r="R463">
        <f>'[1]2026 Orders'!P464</f>
        <v>7000</v>
      </c>
      <c r="S463">
        <f>'[1]2026 Orders'!Q464</f>
        <v>4935</v>
      </c>
      <c r="T463" t="str">
        <f>'[1]2026 Orders'!R464</f>
        <v>complete</v>
      </c>
      <c r="U463">
        <f>'[1]2026 Orders'!S464</f>
        <v>0</v>
      </c>
      <c r="V463">
        <f>'[1]2026 Orders'!T464</f>
        <v>0</v>
      </c>
      <c r="W463">
        <f>'[1]2026 Orders'!U464</f>
        <v>0</v>
      </c>
      <c r="X463">
        <f>'[1]2026 Orders'!V464</f>
        <v>0</v>
      </c>
      <c r="Y463">
        <f>'[1]2026 Orders'!W464</f>
        <v>0</v>
      </c>
      <c r="Z463">
        <f>'[1]2026 Orders'!X464</f>
        <v>0</v>
      </c>
      <c r="AC463" t="str">
        <f t="shared" si="14"/>
        <v>216/</v>
      </c>
      <c r="AD463" t="e">
        <f t="shared" si="15"/>
        <v>#VALUE!</v>
      </c>
    </row>
    <row r="464" spans="1:30" ht="33" hidden="1" customHeight="1" x14ac:dyDescent="0.3">
      <c r="A464">
        <f>'[1]2026 Orders'!A465</f>
        <v>46041</v>
      </c>
      <c r="B464" s="14" t="str">
        <f>'[1]2026 Orders'!B465</f>
        <v>Amazon FBA</v>
      </c>
      <c r="C464" s="14" t="str">
        <f>'[1]2026 Orders'!C465</f>
        <v>AWD 13</v>
      </c>
      <c r="D464" s="14">
        <f>'[1]2026 Orders'!D465</f>
        <v>0</v>
      </c>
      <c r="E464" s="17" t="str" cm="1">
        <f t="array" ref="E464">IF(C464=0,"",
HYPERLINK(
"#'2026 Orders'!C"&amp;
MATCH(1,
('2026 Orders'!C:C=C464)*
('2026 Orders'!G:G=G464)*
('2026 Orders'!N:N=N464),
0),
"Open "&amp;C464
))</f>
        <v>Open AWD 13</v>
      </c>
      <c r="F464" s="14" t="str">
        <f>'[1]2026 Orders'!F465</f>
        <v>1PK                                    6/11/2026: Moved from FBA42</v>
      </c>
      <c r="G464" s="14" t="str">
        <f>'[1]2026 Orders'!G465</f>
        <v>NMNH-60-FD</v>
      </c>
      <c r="H464" s="14" t="str" cm="1">
        <f t="array" ref="H464">IFERROR(_xlfn.TEXTJOIN("-",,INDEX(_xlfn.TEXTSPLIT(TableTake[[#This Row],[SKU]],"-"),{1,2})),"")</f>
        <v>NMNH-60</v>
      </c>
      <c r="I464" s="15" t="str">
        <f>IFERROR(_xlfn.TEXTAFTER(TableTake[[#This Row],[SKU]],"-",-1),"")</f>
        <v>FD</v>
      </c>
      <c r="J464" s="14">
        <f>'[1]2026 Orders'!H465</f>
        <v>120</v>
      </c>
      <c r="K464">
        <f>'[1]2026 Orders'!I465</f>
        <v>0</v>
      </c>
      <c r="L464">
        <f>'[1]2026 Orders'!J465</f>
        <v>120</v>
      </c>
      <c r="N464" s="10" t="str">
        <f>'[1]2026 Orders'!L465</f>
        <v>Available</v>
      </c>
      <c r="O464">
        <f>'[1]2026 Orders'!M465</f>
        <v>0</v>
      </c>
      <c r="P464" t="str">
        <f>'[1]2026 Orders'!N465</f>
        <v>NA</v>
      </c>
      <c r="Q464">
        <f>'[1]2026 Orders'!O465</f>
        <v>810131192990</v>
      </c>
      <c r="R464">
        <f>'[1]2026 Orders'!P465</f>
        <v>5000</v>
      </c>
      <c r="S464">
        <f>'[1]2026 Orders'!Q465</f>
        <v>4798</v>
      </c>
      <c r="T464">
        <f>'[1]2026 Orders'!R465</f>
        <v>46041</v>
      </c>
      <c r="U464">
        <f>'[1]2026 Orders'!S465</f>
        <v>0</v>
      </c>
      <c r="V464">
        <f>'[1]2026 Orders'!T465</f>
        <v>0</v>
      </c>
      <c r="W464">
        <f>'[1]2026 Orders'!U465</f>
        <v>0</v>
      </c>
      <c r="X464">
        <f>'[1]2026 Orders'!V465</f>
        <v>0</v>
      </c>
      <c r="Y464">
        <f>'[1]2026 Orders'!W465</f>
        <v>0</v>
      </c>
      <c r="Z464">
        <f>'[1]2026 Orders'!X465</f>
        <v>0</v>
      </c>
      <c r="AC464" t="str">
        <f t="shared" si="14"/>
        <v>120/</v>
      </c>
      <c r="AD464" t="e">
        <f t="shared" si="15"/>
        <v>#VALUE!</v>
      </c>
    </row>
    <row r="465" spans="1:30" ht="33" hidden="1" customHeight="1" x14ac:dyDescent="0.3">
      <c r="A465">
        <f>'[1]2026 Orders'!A466</f>
        <v>46041</v>
      </c>
      <c r="B465" s="14" t="str">
        <f>'[1]2026 Orders'!B466</f>
        <v>Amazon FBA</v>
      </c>
      <c r="C465" s="14" t="str">
        <f>'[1]2026 Orders'!C466</f>
        <v>AWD 13</v>
      </c>
      <c r="D465" s="14">
        <f>'[1]2026 Orders'!D466</f>
        <v>0</v>
      </c>
      <c r="E465" s="17" t="str" cm="1">
        <f t="array" ref="E465">IF(C465=0,"",
HYPERLINK(
"#'2026 Orders'!C"&amp;
MATCH(1,
('2026 Orders'!C:C=C465)*
('2026 Orders'!G:G=G465)*
('2026 Orders'!N:N=N465),
0),
"Open "&amp;C465
))</f>
        <v>Open AWD 13</v>
      </c>
      <c r="F465" s="14" t="str">
        <f>'[1]2026 Orders'!F466</f>
        <v>1PK                                    6/11/2026: Moved from FBA42</v>
      </c>
      <c r="G465" s="14" t="str">
        <f>'[1]2026 Orders'!G466</f>
        <v>FERTMX-90-FD</v>
      </c>
      <c r="H465" s="14" t="str" cm="1">
        <f t="array" ref="H465">IFERROR(_xlfn.TEXTJOIN("-",,INDEX(_xlfn.TEXTSPLIT(TableTake[[#This Row],[SKU]],"-"),{1,2})),"")</f>
        <v>FERTMX-90</v>
      </c>
      <c r="I465" s="15" t="str">
        <f>IFERROR(_xlfn.TEXTAFTER(TableTake[[#This Row],[SKU]],"-",-1),"")</f>
        <v>FD</v>
      </c>
      <c r="J465" s="14">
        <f>'[1]2026 Orders'!H466</f>
        <v>168</v>
      </c>
      <c r="K465">
        <f>'[1]2026 Orders'!I466</f>
        <v>0</v>
      </c>
      <c r="L465">
        <f>'[1]2026 Orders'!J466</f>
        <v>37</v>
      </c>
      <c r="N465" s="10" t="str">
        <f>'[1]2026 Orders'!L466</f>
        <v>Available</v>
      </c>
      <c r="O465" t="str">
        <f>'[1]2026 Orders'!M466</f>
        <v>120 shipped with AWD11 and left with 37 bottles lot 48091025</v>
      </c>
      <c r="P465" t="str">
        <f>'[1]2026 Orders'!N466</f>
        <v>NA</v>
      </c>
      <c r="Q465">
        <f>'[1]2026 Orders'!O466</f>
        <v>0</v>
      </c>
      <c r="R465">
        <f>'[1]2026 Orders'!P466</f>
        <v>0</v>
      </c>
      <c r="S465">
        <f>'[1]2026 Orders'!Q466</f>
        <v>0</v>
      </c>
      <c r="T465">
        <f>'[1]2026 Orders'!R466</f>
        <v>0</v>
      </c>
      <c r="U465">
        <f>'[1]2026 Orders'!S466</f>
        <v>0</v>
      </c>
      <c r="V465">
        <f>'[1]2026 Orders'!T466</f>
        <v>0</v>
      </c>
      <c r="W465">
        <f>'[1]2026 Orders'!U466</f>
        <v>0</v>
      </c>
      <c r="X465">
        <f>'[1]2026 Orders'!V466</f>
        <v>0</v>
      </c>
      <c r="Y465">
        <f>'[1]2026 Orders'!W466</f>
        <v>0</v>
      </c>
      <c r="Z465">
        <f>'[1]2026 Orders'!X466</f>
        <v>0</v>
      </c>
      <c r="AC465" t="str">
        <f t="shared" si="14"/>
        <v>168/</v>
      </c>
      <c r="AD465" t="e">
        <f t="shared" si="15"/>
        <v>#VALUE!</v>
      </c>
    </row>
    <row r="466" spans="1:30" ht="33" hidden="1" customHeight="1" x14ac:dyDescent="0.3">
      <c r="A466">
        <f>'[1]2026 Orders'!A467</f>
        <v>46041</v>
      </c>
      <c r="B466" s="14" t="str">
        <f>'[1]2026 Orders'!B467</f>
        <v>Amazon FBA</v>
      </c>
      <c r="C466" s="14" t="str">
        <f>'[1]2026 Orders'!C467</f>
        <v>AWD 13</v>
      </c>
      <c r="D466" s="14">
        <f>'[1]2026 Orders'!D467</f>
        <v>0</v>
      </c>
      <c r="E466" s="17" t="str" cm="1">
        <f t="array" ref="E466">IF(C466=0,"",
HYPERLINK(
"#'2026 Orders'!C"&amp;
MATCH(1,
('2026 Orders'!C:C=C466)*
('2026 Orders'!G:G=G466)*
('2026 Orders'!N:N=N466),
0),
"Open "&amp;C466
))</f>
        <v>Open AWD 13</v>
      </c>
      <c r="F466" s="14" t="str">
        <f>'[1]2026 Orders'!F467</f>
        <v>1PK                                    6/11/2026: Moved from FBA42</v>
      </c>
      <c r="G466" s="14" t="str">
        <f>'[1]2026 Orders'!G467</f>
        <v>PRECON-180-FD</v>
      </c>
      <c r="H466" s="14" t="str" cm="1">
        <f t="array" ref="H466">IFERROR(_xlfn.TEXTJOIN("-",,INDEX(_xlfn.TEXTSPLIT(TableTake[[#This Row],[SKU]],"-"),{1,2})),"")</f>
        <v>PRECON-180</v>
      </c>
      <c r="I466" s="15" t="str">
        <f>IFERROR(_xlfn.TEXTAFTER(TableTake[[#This Row],[SKU]],"-",-1),"")</f>
        <v>FD</v>
      </c>
      <c r="J466" s="14">
        <f>'[1]2026 Orders'!H467</f>
        <v>120</v>
      </c>
      <c r="K466">
        <f>'[1]2026 Orders'!I467</f>
        <v>0</v>
      </c>
      <c r="L466">
        <f>'[1]2026 Orders'!J467</f>
        <v>120</v>
      </c>
      <c r="N466" s="10" t="str">
        <f>'[1]2026 Orders'!L467</f>
        <v>Available</v>
      </c>
      <c r="O466" t="str">
        <f>'[1]2026 Orders'!M467</f>
        <v>46800725 Reserved</v>
      </c>
      <c r="P466" t="str">
        <f>'[1]2026 Orders'!N467</f>
        <v>NA</v>
      </c>
      <c r="Q466">
        <f>'[1]2026 Orders'!O467</f>
        <v>609788968375</v>
      </c>
      <c r="R466">
        <f>'[1]2026 Orders'!P467</f>
        <v>0</v>
      </c>
      <c r="S466">
        <f>'[1]2026 Orders'!Q467</f>
        <v>0</v>
      </c>
      <c r="T466">
        <f>'[1]2026 Orders'!R467</f>
        <v>0</v>
      </c>
      <c r="U466">
        <f>'[1]2026 Orders'!S467</f>
        <v>0</v>
      </c>
      <c r="V466">
        <f>'[1]2026 Orders'!T467</f>
        <v>0</v>
      </c>
      <c r="W466">
        <f>'[1]2026 Orders'!U467</f>
        <v>0</v>
      </c>
      <c r="X466">
        <f>'[1]2026 Orders'!V467</f>
        <v>0</v>
      </c>
      <c r="Y466">
        <f>'[1]2026 Orders'!W467</f>
        <v>0</v>
      </c>
      <c r="Z466">
        <f>'[1]2026 Orders'!X467</f>
        <v>0</v>
      </c>
      <c r="AC466" t="str">
        <f t="shared" si="14"/>
        <v>120/</v>
      </c>
      <c r="AD466" t="e">
        <f t="shared" si="15"/>
        <v>#VALUE!</v>
      </c>
    </row>
    <row r="467" spans="1:30" ht="33" hidden="1" customHeight="1" x14ac:dyDescent="0.3">
      <c r="A467">
        <f>'[1]2026 Orders'!A468</f>
        <v>46041</v>
      </c>
      <c r="B467" s="14" t="str">
        <f>'[1]2026 Orders'!B468</f>
        <v>Amazon FBA</v>
      </c>
      <c r="C467" s="14" t="str">
        <f>'[1]2026 Orders'!C468</f>
        <v>AWD 13</v>
      </c>
      <c r="D467" s="14">
        <f>'[1]2026 Orders'!D468</f>
        <v>0</v>
      </c>
      <c r="E467" s="17" t="str" cm="1">
        <f t="array" ref="E467">IF(C467=0,"",
HYPERLINK(
"#'2026 Orders'!C"&amp;
MATCH(1,
('2026 Orders'!C:C=C467)*
('2026 Orders'!G:G=G467)*
('2026 Orders'!N:N=N467),
0),
"Open "&amp;C467
))</f>
        <v>Open AWD 13</v>
      </c>
      <c r="F467" s="14" t="str">
        <f>'[1]2026 Orders'!F468</f>
        <v>1PK                                    6/11/2026: Moved from FBA42</v>
      </c>
      <c r="G467" s="14" t="str">
        <f>'[1]2026 Orders'!G468</f>
        <v>CAVIN-60-FD</v>
      </c>
      <c r="H467" s="14" t="str" cm="1">
        <f t="array" ref="H467">IFERROR(_xlfn.TEXTJOIN("-",,INDEX(_xlfn.TEXTSPLIT(TableTake[[#This Row],[SKU]],"-"),{1,2})),"")</f>
        <v>CAVIN-60</v>
      </c>
      <c r="I467" s="15" t="str">
        <f>IFERROR(_xlfn.TEXTAFTER(TableTake[[#This Row],[SKU]],"-",-1),"")</f>
        <v>FD</v>
      </c>
      <c r="J467" s="14">
        <f>'[1]2026 Orders'!H468</f>
        <v>48</v>
      </c>
      <c r="K467">
        <f>'[1]2026 Orders'!I468</f>
        <v>0</v>
      </c>
      <c r="L467">
        <f>'[1]2026 Orders'!J468</f>
        <v>48</v>
      </c>
      <c r="N467" s="10" t="str">
        <f>'[1]2026 Orders'!L468</f>
        <v>Available</v>
      </c>
      <c r="O467">
        <f>'[1]2026 Orders'!M468</f>
        <v>0</v>
      </c>
      <c r="P467" t="str">
        <f>'[1]2026 Orders'!N468</f>
        <v>NA</v>
      </c>
      <c r="Q467">
        <f>'[1]2026 Orders'!O468</f>
        <v>609788968597</v>
      </c>
      <c r="R467">
        <f>'[1]2026 Orders'!P468</f>
        <v>5000</v>
      </c>
      <c r="S467">
        <f>'[1]2026 Orders'!Q468</f>
        <v>4924</v>
      </c>
      <c r="T467">
        <f>'[1]2026 Orders'!R468</f>
        <v>46042</v>
      </c>
      <c r="U467">
        <f>'[1]2026 Orders'!S468</f>
        <v>0</v>
      </c>
      <c r="V467">
        <f>'[1]2026 Orders'!T468</f>
        <v>0</v>
      </c>
      <c r="W467">
        <f>'[1]2026 Orders'!U468</f>
        <v>0</v>
      </c>
      <c r="X467">
        <f>'[1]2026 Orders'!V468</f>
        <v>0</v>
      </c>
      <c r="Y467">
        <f>'[1]2026 Orders'!W468</f>
        <v>0</v>
      </c>
      <c r="Z467">
        <f>'[1]2026 Orders'!X468</f>
        <v>0</v>
      </c>
      <c r="AC467" t="str">
        <f t="shared" si="14"/>
        <v>48/</v>
      </c>
      <c r="AD467" t="e">
        <f t="shared" si="15"/>
        <v>#VALUE!</v>
      </c>
    </row>
    <row r="468" spans="1:30" ht="33" hidden="1" customHeight="1" x14ac:dyDescent="0.3">
      <c r="A468">
        <f>'[1]2026 Orders'!A469</f>
        <v>46041</v>
      </c>
      <c r="B468" s="14" t="str">
        <f>'[1]2026 Orders'!B469</f>
        <v>Amazon FBA</v>
      </c>
      <c r="C468" s="14" t="str">
        <f>'[1]2026 Orders'!C469</f>
        <v>AWD 13</v>
      </c>
      <c r="D468" s="14">
        <f>'[1]2026 Orders'!D469</f>
        <v>0</v>
      </c>
      <c r="E468" s="17" t="str" cm="1">
        <f t="array" ref="E468">IF(C468=0,"",
HYPERLINK(
"#'2026 Orders'!C"&amp;
MATCH(1,
('2026 Orders'!C:C=C468)*
('2026 Orders'!G:G=G468)*
('2026 Orders'!N:N=N468),
0),
"Open "&amp;C468
))</f>
        <v>Open AWD 13</v>
      </c>
      <c r="F468" s="14" t="str">
        <f>'[1]2026 Orders'!F469</f>
        <v>1PK                                    6/11/2026: Moved from FBA42</v>
      </c>
      <c r="G468" s="14" t="str">
        <f>'[1]2026 Orders'!G469</f>
        <v>MEMOUP-60-FD</v>
      </c>
      <c r="H468" s="14" t="str" cm="1">
        <f t="array" ref="H468">IFERROR(_xlfn.TEXTJOIN("-",,INDEX(_xlfn.TEXTSPLIT(TableTake[[#This Row],[SKU]],"-"),{1,2})),"")</f>
        <v>MEMOUP-60</v>
      </c>
      <c r="I468" s="15" t="str">
        <f>IFERROR(_xlfn.TEXTAFTER(TableTake[[#This Row],[SKU]],"-",-1),"")</f>
        <v>FD</v>
      </c>
      <c r="J468" s="14">
        <f>'[1]2026 Orders'!H469</f>
        <v>24</v>
      </c>
      <c r="K468">
        <f>'[1]2026 Orders'!I469</f>
        <v>0</v>
      </c>
      <c r="L468">
        <f>'[1]2026 Orders'!J469</f>
        <v>24</v>
      </c>
      <c r="N468" s="10" t="str">
        <f>'[1]2026 Orders'!L469</f>
        <v>Available</v>
      </c>
      <c r="O468">
        <f>'[1]2026 Orders'!M469</f>
        <v>0</v>
      </c>
      <c r="P468" t="str">
        <f>'[1]2026 Orders'!N469</f>
        <v>NA</v>
      </c>
      <c r="Q468">
        <f>'[1]2026 Orders'!O469</f>
        <v>810131199449</v>
      </c>
      <c r="R468">
        <f>'[1]2026 Orders'!P469</f>
        <v>0</v>
      </c>
      <c r="S468">
        <f>'[1]2026 Orders'!Q469</f>
        <v>0</v>
      </c>
      <c r="T468">
        <f>'[1]2026 Orders'!R469</f>
        <v>0</v>
      </c>
      <c r="U468">
        <f>'[1]2026 Orders'!S469</f>
        <v>0</v>
      </c>
      <c r="V468">
        <f>'[1]2026 Orders'!T469</f>
        <v>0</v>
      </c>
      <c r="W468">
        <f>'[1]2026 Orders'!U469</f>
        <v>0</v>
      </c>
      <c r="X468">
        <f>'[1]2026 Orders'!V469</f>
        <v>0</v>
      </c>
      <c r="Y468">
        <f>'[1]2026 Orders'!W469</f>
        <v>0</v>
      </c>
      <c r="Z468">
        <f>'[1]2026 Orders'!X469</f>
        <v>0</v>
      </c>
      <c r="AC468" t="str">
        <f t="shared" si="14"/>
        <v>24/</v>
      </c>
      <c r="AD468" t="e">
        <f t="shared" si="15"/>
        <v>#VALUE!</v>
      </c>
    </row>
    <row r="469" spans="1:30" ht="33" hidden="1" customHeight="1" x14ac:dyDescent="0.3">
      <c r="A469">
        <f>'[1]2026 Orders'!A470</f>
        <v>46041</v>
      </c>
      <c r="B469" s="14" t="str">
        <f>'[1]2026 Orders'!B470</f>
        <v>Amazon FBA</v>
      </c>
      <c r="C469" s="14" t="str">
        <f>'[1]2026 Orders'!C470</f>
        <v>AWD 13</v>
      </c>
      <c r="D469" s="14">
        <f>'[1]2026 Orders'!D470</f>
        <v>0</v>
      </c>
      <c r="E469" s="17" t="str" cm="1">
        <f t="array" ref="E469">IF(C469=0,"",
HYPERLINK(
"#'2026 Orders'!C"&amp;
MATCH(1,
('2026 Orders'!C:C=C469)*
('2026 Orders'!G:G=G469)*
('2026 Orders'!N:N=N469),
0),
"Open "&amp;C469
))</f>
        <v>Open AWD 13</v>
      </c>
      <c r="F469" s="14" t="str">
        <f>'[1]2026 Orders'!F470</f>
        <v>1PK                                    6/11/2026: Moved from FBA42</v>
      </c>
      <c r="G469" s="14" t="str">
        <f>'[1]2026 Orders'!G470</f>
        <v>GINKGO-60_FD</v>
      </c>
      <c r="H469" s="14" t="str" cm="1">
        <f t="array" ref="H469">IFERROR(_xlfn.TEXTJOIN("-",,INDEX(_xlfn.TEXTSPLIT(TableTake[[#This Row],[SKU]],"-"),{1,2})),"")</f>
        <v>GINKGO-60_FD</v>
      </c>
      <c r="I469" s="15" t="str">
        <f>IFERROR(_xlfn.TEXTAFTER(TableTake[[#This Row],[SKU]],"-",-1),"")</f>
        <v>60_FD</v>
      </c>
      <c r="J469" s="14">
        <f>'[1]2026 Orders'!H470</f>
        <v>48</v>
      </c>
      <c r="K469">
        <f>'[1]2026 Orders'!I470</f>
        <v>0</v>
      </c>
      <c r="L469">
        <f>'[1]2026 Orders'!J470</f>
        <v>48</v>
      </c>
      <c r="N469" s="10" t="str">
        <f>'[1]2026 Orders'!L470</f>
        <v>Available</v>
      </c>
      <c r="O469">
        <f>'[1]2026 Orders'!M470</f>
        <v>0</v>
      </c>
      <c r="P469" t="str">
        <f>'[1]2026 Orders'!N470</f>
        <v>NA</v>
      </c>
      <c r="Q469">
        <f>'[1]2026 Orders'!O470</f>
        <v>609788968146</v>
      </c>
      <c r="R469">
        <f>'[1]2026 Orders'!P470</f>
        <v>0</v>
      </c>
      <c r="S469">
        <f>'[1]2026 Orders'!Q470</f>
        <v>0</v>
      </c>
      <c r="T469">
        <f>'[1]2026 Orders'!R470</f>
        <v>0</v>
      </c>
      <c r="U469">
        <f>'[1]2026 Orders'!S470</f>
        <v>0</v>
      </c>
      <c r="V469">
        <f>'[1]2026 Orders'!T470</f>
        <v>0</v>
      </c>
      <c r="W469">
        <f>'[1]2026 Orders'!U470</f>
        <v>0</v>
      </c>
      <c r="X469">
        <f>'[1]2026 Orders'!V470</f>
        <v>0</v>
      </c>
      <c r="Y469">
        <f>'[1]2026 Orders'!W470</f>
        <v>0</v>
      </c>
      <c r="Z469">
        <f>'[1]2026 Orders'!X470</f>
        <v>0</v>
      </c>
      <c r="AC469" t="str">
        <f t="shared" si="14"/>
        <v>48/</v>
      </c>
      <c r="AD469" t="e">
        <f t="shared" si="15"/>
        <v>#VALUE!</v>
      </c>
    </row>
    <row r="470" spans="1:30" ht="33" hidden="1" customHeight="1" x14ac:dyDescent="0.3">
      <c r="A470">
        <f>'[1]2026 Orders'!A471</f>
        <v>0</v>
      </c>
      <c r="B470" s="14">
        <f>'[1]2026 Orders'!B471</f>
        <v>0</v>
      </c>
      <c r="C470" s="14">
        <f>'[1]2026 Orders'!C471</f>
        <v>0</v>
      </c>
      <c r="D470" s="14">
        <f>'[1]2026 Orders'!D471</f>
        <v>0</v>
      </c>
      <c r="E470" s="17" t="str" cm="1">
        <f t="array" ref="E470">IF(C470=0,"",
HYPERLINK(
"#'2026 Orders'!C"&amp;
MATCH(1,
('2026 Orders'!C:C=C470)*
('2026 Orders'!G:G=G470)*
('2026 Orders'!N:N=N470),
0),
"Open "&amp;C470
))</f>
        <v/>
      </c>
      <c r="F470" s="14">
        <f>'[1]2026 Orders'!F471</f>
        <v>0</v>
      </c>
      <c r="G470" s="14">
        <f>'[1]2026 Orders'!G471</f>
        <v>0</v>
      </c>
      <c r="H470" s="14" t="str" cm="1">
        <f t="array" ref="H470">IFERROR(_xlfn.TEXTJOIN("-",,INDEX(_xlfn.TEXTSPLIT(TableTake[[#This Row],[SKU]],"-"),{1,2})),"")</f>
        <v/>
      </c>
      <c r="I470" s="15" t="str">
        <f>IFERROR(_xlfn.TEXTAFTER(TableTake[[#This Row],[SKU]],"-",-1),"")</f>
        <v/>
      </c>
      <c r="J470" s="14">
        <f>'[1]2026 Orders'!H471</f>
        <v>0</v>
      </c>
      <c r="K470">
        <f>'[1]2026 Orders'!I471</f>
        <v>0</v>
      </c>
      <c r="L470">
        <f>'[1]2026 Orders'!J471</f>
        <v>0</v>
      </c>
      <c r="N470" s="10">
        <f>'[1]2026 Orders'!L471</f>
        <v>0</v>
      </c>
      <c r="O470">
        <f>'[1]2026 Orders'!M471</f>
        <v>0</v>
      </c>
      <c r="P470">
        <f>'[1]2026 Orders'!N471</f>
        <v>0</v>
      </c>
      <c r="Q470">
        <f>'[1]2026 Orders'!O471</f>
        <v>0</v>
      </c>
      <c r="R470">
        <f>'[1]2026 Orders'!P471</f>
        <v>0</v>
      </c>
      <c r="S470">
        <f>'[1]2026 Orders'!Q471</f>
        <v>0</v>
      </c>
      <c r="T470">
        <f>'[1]2026 Orders'!R471</f>
        <v>0</v>
      </c>
      <c r="U470">
        <f>'[1]2026 Orders'!S471</f>
        <v>0</v>
      </c>
      <c r="V470">
        <f>'[1]2026 Orders'!T471</f>
        <v>0</v>
      </c>
      <c r="W470">
        <f>'[1]2026 Orders'!U471</f>
        <v>0</v>
      </c>
      <c r="X470">
        <f>'[1]2026 Orders'!V471</f>
        <v>0</v>
      </c>
      <c r="Y470">
        <f>'[1]2026 Orders'!W471</f>
        <v>0</v>
      </c>
      <c r="Z470">
        <f>'[1]2026 Orders'!X471</f>
        <v>0</v>
      </c>
      <c r="AC470" t="str">
        <f t="shared" si="14"/>
        <v/>
      </c>
      <c r="AD470" t="str">
        <f t="shared" si="15"/>
        <v/>
      </c>
    </row>
    <row r="471" spans="1:30" ht="33" hidden="1" customHeight="1" x14ac:dyDescent="0.3">
      <c r="A471">
        <f>'[1]2026 Orders'!A472</f>
        <v>46085</v>
      </c>
      <c r="B471" s="14" t="str">
        <f>'[1]2026 Orders'!B472</f>
        <v>Amazon AWD</v>
      </c>
      <c r="C471" s="14" t="str">
        <f>'[1]2026 Orders'!C472</f>
        <v>AWD Backorder</v>
      </c>
      <c r="D471" s="14" t="str">
        <f>'[1]2026 Orders'!D472</f>
        <v>L-Arginine 1,000mg 100ct</v>
      </c>
      <c r="E471" s="17" t="str" cm="1">
        <f t="array" ref="E471">IF(C471=0,"",
HYPERLINK(
"#'2026 Orders'!C"&amp;
MATCH(1,
('2026 Orders'!C:C=C471)*
('2026 Orders'!G:G=G471)*
('2026 Orders'!N:N=N471),
0),
"Open "&amp;C471
))</f>
        <v>Open AWD Backorder</v>
      </c>
      <c r="F471" s="14" t="str">
        <f>'[1]2026 Orders'!F472</f>
        <v>1PK</v>
      </c>
      <c r="G471" s="14" t="str">
        <f>'[1]2026 Orders'!G472</f>
        <v>LARGIN-100-FD</v>
      </c>
      <c r="H471" s="14" t="str" cm="1">
        <f t="array" ref="H471">IFERROR(_xlfn.TEXTJOIN("-",,INDEX(_xlfn.TEXTSPLIT(TableTake[[#This Row],[SKU]],"-"),{1,2})),"")</f>
        <v>LARGIN-100</v>
      </c>
      <c r="I471" s="15" t="str">
        <f>IFERROR(_xlfn.TEXTAFTER(TableTake[[#This Row],[SKU]],"-",-1),"")</f>
        <v>FD</v>
      </c>
      <c r="J471" s="14">
        <f>'[1]2026 Orders'!H472</f>
        <v>120</v>
      </c>
      <c r="K471">
        <f>'[1]2026 Orders'!I472</f>
        <v>0</v>
      </c>
      <c r="L471">
        <f>'[1]2026 Orders'!J472</f>
        <v>0</v>
      </c>
      <c r="N471" s="10" t="str">
        <f>'[1]2026 Orders'!L472</f>
        <v>In Production</v>
      </c>
      <c r="O471">
        <f>'[1]2026 Orders'!M472</f>
        <v>0</v>
      </c>
      <c r="P471" t="str">
        <f>'[1]2026 Orders'!N472</f>
        <v>NA</v>
      </c>
      <c r="Q471">
        <f>'[1]2026 Orders'!O472</f>
        <v>609788968559</v>
      </c>
      <c r="R471">
        <f>'[1]2026 Orders'!P472</f>
        <v>2000</v>
      </c>
      <c r="S471">
        <f>'[1]2026 Orders'!Q472</f>
        <v>4998</v>
      </c>
      <c r="T471">
        <f>'[1]2026 Orders'!R472</f>
        <v>46198</v>
      </c>
      <c r="U471">
        <f>'[1]2026 Orders'!S472</f>
        <v>0</v>
      </c>
      <c r="V471">
        <f>'[1]2026 Orders'!T472</f>
        <v>0</v>
      </c>
      <c r="W471">
        <f>'[1]2026 Orders'!U472</f>
        <v>0</v>
      </c>
      <c r="X471">
        <f>'[1]2026 Orders'!V472</f>
        <v>0</v>
      </c>
      <c r="Y471">
        <f>'[1]2026 Orders'!W472</f>
        <v>0</v>
      </c>
      <c r="Z471">
        <f>'[1]2026 Orders'!X472</f>
        <v>0</v>
      </c>
      <c r="AC471" t="str">
        <f t="shared" si="14"/>
        <v>120/</v>
      </c>
      <c r="AD471" t="e">
        <f t="shared" si="15"/>
        <v>#VALUE!</v>
      </c>
    </row>
    <row r="472" spans="1:30" ht="33" hidden="1" customHeight="1" x14ac:dyDescent="0.3">
      <c r="A472">
        <f>'[1]2026 Orders'!A473</f>
        <v>46085</v>
      </c>
      <c r="B472" s="14" t="str">
        <f>'[1]2026 Orders'!B473</f>
        <v>Amazon AWD</v>
      </c>
      <c r="C472" s="14" t="str">
        <f>'[1]2026 Orders'!C473</f>
        <v>AWD Backorder</v>
      </c>
      <c r="D472" s="14" t="str">
        <f>'[1]2026 Orders'!D473</f>
        <v>PediaWell D-400 50mL</v>
      </c>
      <c r="E472" s="17" t="str" cm="1">
        <f t="array" ref="E472">IF(C472=0,"",
HYPERLINK(
"#'2026 Orders'!C"&amp;
MATCH(1,
('2026 Orders'!C:C=C472)*
('2026 Orders'!G:G=G472)*
('2026 Orders'!N:N=N472),
0),
"Open "&amp;C472
))</f>
        <v>Open AWD Backorder</v>
      </c>
      <c r="F472" s="14" t="str">
        <f>'[1]2026 Orders'!F473</f>
        <v>1PK</v>
      </c>
      <c r="G472" s="14" t="str">
        <f>'[1]2026 Orders'!G473</f>
        <v>PEDIAD4-50-FD</v>
      </c>
      <c r="H472" s="14" t="str" cm="1">
        <f t="array" ref="H472">IFERROR(_xlfn.TEXTJOIN("-",,INDEX(_xlfn.TEXTSPLIT(TableTake[[#This Row],[SKU]],"-"),{1,2})),"")</f>
        <v>PEDIAD4-50</v>
      </c>
      <c r="I472" s="15" t="str">
        <f>IFERROR(_xlfn.TEXTAFTER(TableTake[[#This Row],[SKU]],"-",-1),"")</f>
        <v>FD</v>
      </c>
      <c r="J472" s="14">
        <f>'[1]2026 Orders'!H473</f>
        <v>120</v>
      </c>
      <c r="K472">
        <f>'[1]2026 Orders'!I473</f>
        <v>0</v>
      </c>
      <c r="L472">
        <f>'[1]2026 Orders'!J473</f>
        <v>0</v>
      </c>
      <c r="N472" s="10" t="str">
        <f>'[1]2026 Orders'!L473</f>
        <v>PO submitted</v>
      </c>
      <c r="O472">
        <f>'[1]2026 Orders'!M473</f>
        <v>0</v>
      </c>
      <c r="P472" t="str">
        <f>'[1]2026 Orders'!N473</f>
        <v>NA</v>
      </c>
      <c r="Q472">
        <f>'[1]2026 Orders'!O473</f>
        <v>0</v>
      </c>
      <c r="R472">
        <f>'[1]2026 Orders'!P473</f>
        <v>5000</v>
      </c>
      <c r="S472">
        <f>'[1]2026 Orders'!Q473</f>
        <v>4979</v>
      </c>
      <c r="T472" t="str">
        <f>'[1]2026 Orders'!R473</f>
        <v>TBD</v>
      </c>
      <c r="U472" t="str">
        <f>'[1]2026 Orders'!S473</f>
        <v>Waiting for IFC to start production.</v>
      </c>
      <c r="V472">
        <f>'[1]2026 Orders'!T473</f>
        <v>0</v>
      </c>
      <c r="W472">
        <f>'[1]2026 Orders'!U473</f>
        <v>0</v>
      </c>
      <c r="X472">
        <f>'[1]2026 Orders'!V473</f>
        <v>0</v>
      </c>
      <c r="Y472">
        <f>'[1]2026 Orders'!W473</f>
        <v>0</v>
      </c>
      <c r="Z472">
        <f>'[1]2026 Orders'!X473</f>
        <v>0</v>
      </c>
      <c r="AC472" t="str">
        <f t="shared" si="14"/>
        <v>120/</v>
      </c>
      <c r="AD472" t="e">
        <f t="shared" si="15"/>
        <v>#VALUE!</v>
      </c>
    </row>
    <row r="473" spans="1:30" ht="33" hidden="1" customHeight="1" x14ac:dyDescent="0.3">
      <c r="A473">
        <f>'[1]2026 Orders'!A474</f>
        <v>46085</v>
      </c>
      <c r="B473" s="14" t="str">
        <f>'[1]2026 Orders'!B474</f>
        <v>Amazon AWD</v>
      </c>
      <c r="C473" s="14" t="str">
        <f>'[1]2026 Orders'!C474</f>
        <v>AWD Backorder</v>
      </c>
      <c r="D473" s="14" t="str">
        <f>'[1]2026 Orders'!D474</f>
        <v>PediaWell D-800 50mL</v>
      </c>
      <c r="E473" s="17" t="str" cm="1">
        <f t="array" ref="E473">IF(C473=0,"",
HYPERLINK(
"#'2026 Orders'!C"&amp;
MATCH(1,
('2026 Orders'!C:C=C473)*
('2026 Orders'!G:G=G473)*
('2026 Orders'!N:N=N473),
0),
"Open "&amp;C473
))</f>
        <v>Open AWD Backorder</v>
      </c>
      <c r="F473" s="14" t="str">
        <f>'[1]2026 Orders'!F474</f>
        <v>1PK</v>
      </c>
      <c r="G473" s="14" t="str">
        <f>'[1]2026 Orders'!G474</f>
        <v>PEDIAD8-50-FD</v>
      </c>
      <c r="H473" s="14" t="str" cm="1">
        <f t="array" ref="H473">IFERROR(_xlfn.TEXTJOIN("-",,INDEX(_xlfn.TEXTSPLIT(TableTake[[#This Row],[SKU]],"-"),{1,2})),"")</f>
        <v>PEDIAD8-50</v>
      </c>
      <c r="I473" s="15" t="str">
        <f>IFERROR(_xlfn.TEXTAFTER(TableTake[[#This Row],[SKU]],"-",-1),"")</f>
        <v>FD</v>
      </c>
      <c r="J473" s="14">
        <f>'[1]2026 Orders'!H474</f>
        <v>120</v>
      </c>
      <c r="K473">
        <f>'[1]2026 Orders'!I474</f>
        <v>0</v>
      </c>
      <c r="L473">
        <f>'[1]2026 Orders'!J474</f>
        <v>0</v>
      </c>
      <c r="N473" s="10" t="str">
        <f>'[1]2026 Orders'!L474</f>
        <v>Not Meet MOQ</v>
      </c>
      <c r="O473">
        <f>'[1]2026 Orders'!M474</f>
        <v>0</v>
      </c>
      <c r="P473" t="str">
        <f>'[1]2026 Orders'!N474</f>
        <v>NA</v>
      </c>
      <c r="Q473">
        <f>'[1]2026 Orders'!O474</f>
        <v>0</v>
      </c>
      <c r="R473">
        <f>'[1]2026 Orders'!P474</f>
        <v>0</v>
      </c>
      <c r="S473">
        <f>'[1]2026 Orders'!Q474</f>
        <v>0</v>
      </c>
      <c r="T473">
        <f>'[1]2026 Orders'!R474</f>
        <v>0</v>
      </c>
      <c r="U473">
        <f>'[1]2026 Orders'!S474</f>
        <v>0</v>
      </c>
      <c r="V473">
        <f>'[1]2026 Orders'!T474</f>
        <v>0</v>
      </c>
      <c r="W473">
        <f>'[1]2026 Orders'!U474</f>
        <v>0</v>
      </c>
      <c r="X473">
        <f>'[1]2026 Orders'!V474</f>
        <v>0</v>
      </c>
      <c r="Y473">
        <f>'[1]2026 Orders'!W474</f>
        <v>0</v>
      </c>
      <c r="Z473">
        <f>'[1]2026 Orders'!X474</f>
        <v>0</v>
      </c>
      <c r="AC473" t="str">
        <f t="shared" si="14"/>
        <v>120/</v>
      </c>
      <c r="AD473" t="e">
        <f t="shared" si="15"/>
        <v>#VALUE!</v>
      </c>
    </row>
    <row r="474" spans="1:30" ht="33" hidden="1" customHeight="1" x14ac:dyDescent="0.3">
      <c r="A474">
        <f>'[1]2026 Orders'!A475</f>
        <v>46118</v>
      </c>
      <c r="B474" s="14" t="str">
        <f>'[1]2026 Orders'!B475</f>
        <v>Amazon AWD</v>
      </c>
      <c r="C474" s="14" t="str">
        <f>'[1]2026 Orders'!C475</f>
        <v>AWD Backorder</v>
      </c>
      <c r="D474" s="14" t="str">
        <f>'[1]2026 Orders'!D475</f>
        <v>Fertilimax 90ct (from AWD 11)</v>
      </c>
      <c r="E474" s="17" t="str" cm="1">
        <f t="array" ref="E474">IF(C474=0,"",
HYPERLINK(
"#'2026 Orders'!C"&amp;
MATCH(1,
('2026 Orders'!C:C=C474)*
('2026 Orders'!G:G=G474)*
('2026 Orders'!N:N=N474),
0),
"Open "&amp;C474
))</f>
        <v>Open AWD Backorder</v>
      </c>
      <c r="F474" s="14" t="str">
        <f>'[1]2026 Orders'!F475</f>
        <v>1PK</v>
      </c>
      <c r="G474" s="14" t="str">
        <f>'[1]2026 Orders'!G475</f>
        <v>FERTMX-90-FD</v>
      </c>
      <c r="H474" s="14" t="str" cm="1">
        <f t="array" ref="H474">IFERROR(_xlfn.TEXTJOIN("-",,INDEX(_xlfn.TEXTSPLIT(TableTake[[#This Row],[SKU]],"-"),{1,2})),"")</f>
        <v>FERTMX-90</v>
      </c>
      <c r="I474" s="15" t="str">
        <f>IFERROR(_xlfn.TEXTAFTER(TableTake[[#This Row],[SKU]],"-",-1),"")</f>
        <v>FD</v>
      </c>
      <c r="J474" s="14">
        <f>'[1]2026 Orders'!H475</f>
        <v>120</v>
      </c>
      <c r="K474">
        <f>'[1]2026 Orders'!I475</f>
        <v>0</v>
      </c>
      <c r="L474">
        <f>'[1]2026 Orders'!J475</f>
        <v>0</v>
      </c>
      <c r="N474" s="10" t="str">
        <f>'[1]2026 Orders'!L475</f>
        <v>PO submitted</v>
      </c>
      <c r="O474">
        <f>'[1]2026 Orders'!M475</f>
        <v>0</v>
      </c>
      <c r="P474" t="str">
        <f>'[1]2026 Orders'!N475</f>
        <v>NA</v>
      </c>
      <c r="Q474">
        <f>'[1]2026 Orders'!O475</f>
        <v>0</v>
      </c>
      <c r="R474">
        <f>'[1]2026 Orders'!P475</f>
        <v>5000</v>
      </c>
      <c r="S474">
        <f>'[1]2026 Orders'!Q475</f>
        <v>5041</v>
      </c>
      <c r="T474" t="str">
        <f>'[1]2026 Orders'!R475</f>
        <v>TBD</v>
      </c>
      <c r="U474" t="str">
        <f>'[1]2026 Orders'!S475</f>
        <v>Waiting for vendor confirmation.</v>
      </c>
      <c r="V474">
        <f>'[1]2026 Orders'!T475</f>
        <v>0</v>
      </c>
      <c r="W474">
        <f>'[1]2026 Orders'!U475</f>
        <v>0</v>
      </c>
      <c r="X474">
        <f>'[1]2026 Orders'!V475</f>
        <v>0</v>
      </c>
      <c r="Y474">
        <f>'[1]2026 Orders'!W475</f>
        <v>0</v>
      </c>
      <c r="Z474">
        <f>'[1]2026 Orders'!X475</f>
        <v>0</v>
      </c>
      <c r="AC474" t="str">
        <f t="shared" si="14"/>
        <v>120/</v>
      </c>
      <c r="AD474" t="e">
        <f t="shared" si="15"/>
        <v>#VALUE!</v>
      </c>
    </row>
    <row r="475" spans="1:30" ht="33" hidden="1" customHeight="1" x14ac:dyDescent="0.3">
      <c r="A475">
        <f>'[1]2026 Orders'!A476</f>
        <v>46118</v>
      </c>
      <c r="B475" s="14" t="str">
        <f>'[1]2026 Orders'!B476</f>
        <v>Amazon AWD</v>
      </c>
      <c r="C475" s="14" t="str">
        <f>'[1]2026 Orders'!C476</f>
        <v>AWD Backorder</v>
      </c>
      <c r="D475" s="14" t="str">
        <f>'[1]2026 Orders'!D476</f>
        <v>Fertilimax 90ct (from AWD 11)</v>
      </c>
      <c r="E475" s="17" t="str" cm="1">
        <f t="array" ref="E475">IF(C475=0,"",
HYPERLINK(
"#'2026 Orders'!C"&amp;
MATCH(1,
('2026 Orders'!C:C=C475)*
('2026 Orders'!G:G=G475)*
('2026 Orders'!N:N=N475),
0),
"Open "&amp;C475
))</f>
        <v>Open AWD Backorder</v>
      </c>
      <c r="F475" s="14" t="str">
        <f>'[1]2026 Orders'!F476</f>
        <v>1PK</v>
      </c>
      <c r="G475" s="14" t="str">
        <f>'[1]2026 Orders'!G476</f>
        <v>FERTMX-90-FD</v>
      </c>
      <c r="H475" s="14" t="str" cm="1">
        <f t="array" ref="H475">IFERROR(_xlfn.TEXTJOIN("-",,INDEX(_xlfn.TEXTSPLIT(TableTake[[#This Row],[SKU]],"-"),{1,2})),"")</f>
        <v>FERTMX-90</v>
      </c>
      <c r="I475" s="15" t="str">
        <f>IFERROR(_xlfn.TEXTAFTER(TableTake[[#This Row],[SKU]],"-",-1),"")</f>
        <v>FD</v>
      </c>
      <c r="J475" s="14">
        <f>'[1]2026 Orders'!H476</f>
        <v>72</v>
      </c>
      <c r="K475">
        <f>'[1]2026 Orders'!I476</f>
        <v>0</v>
      </c>
      <c r="L475">
        <f>'[1]2026 Orders'!J476</f>
        <v>0</v>
      </c>
      <c r="N475" s="10" t="str">
        <f>'[1]2026 Orders'!L476</f>
        <v>PO submitted</v>
      </c>
      <c r="O475">
        <f>'[1]2026 Orders'!M476</f>
        <v>0</v>
      </c>
      <c r="P475">
        <f>'[1]2026 Orders'!N476</f>
        <v>0</v>
      </c>
      <c r="Q475">
        <f>'[1]2026 Orders'!O476</f>
        <v>0</v>
      </c>
      <c r="R475">
        <f>'[1]2026 Orders'!P476</f>
        <v>5000</v>
      </c>
      <c r="S475">
        <f>'[1]2026 Orders'!Q476</f>
        <v>5041</v>
      </c>
      <c r="T475" t="str">
        <f>'[1]2026 Orders'!R476</f>
        <v>TBD</v>
      </c>
      <c r="U475" t="str">
        <f>'[1]2026 Orders'!S476</f>
        <v>Waiting for vendor confirmation.</v>
      </c>
      <c r="V475">
        <f>'[1]2026 Orders'!T476</f>
        <v>0</v>
      </c>
      <c r="W475">
        <f>'[1]2026 Orders'!U476</f>
        <v>0</v>
      </c>
      <c r="X475">
        <f>'[1]2026 Orders'!V476</f>
        <v>0</v>
      </c>
      <c r="Y475">
        <f>'[1]2026 Orders'!W476</f>
        <v>0</v>
      </c>
      <c r="Z475">
        <f>'[1]2026 Orders'!X476</f>
        <v>0</v>
      </c>
      <c r="AC475" t="str">
        <f t="shared" si="14"/>
        <v>72/</v>
      </c>
      <c r="AD475" t="e">
        <f t="shared" si="15"/>
        <v>#VALUE!</v>
      </c>
    </row>
    <row r="476" spans="1:30" ht="33" hidden="1" customHeight="1" x14ac:dyDescent="0.3">
      <c r="A476">
        <f>'[1]2026 Orders'!A477</f>
        <v>46118</v>
      </c>
      <c r="B476" s="14" t="str">
        <f>'[1]2026 Orders'!B477</f>
        <v>Amazon AWD</v>
      </c>
      <c r="C476" s="14" t="str">
        <f>'[1]2026 Orders'!C477</f>
        <v>AWD Backorder</v>
      </c>
      <c r="D476" s="14" t="str">
        <f>'[1]2026 Orders'!D477</f>
        <v>Advanced Thyroid 60ct (from AWD 11)</v>
      </c>
      <c r="E476" s="17" t="str" cm="1">
        <f t="array" ref="E476">IF(C476=0,"",
HYPERLINK(
"#'2026 Orders'!C"&amp;
MATCH(1,
('2026 Orders'!C:C=C476)*
('2026 Orders'!G:G=G476)*
('2026 Orders'!N:N=N476),
0),
"Open "&amp;C476
))</f>
        <v>Open AWD Backorder</v>
      </c>
      <c r="F476" s="14" t="str">
        <f>'[1]2026 Orders'!F477</f>
        <v>1PK</v>
      </c>
      <c r="G476" s="14" t="str">
        <f>'[1]2026 Orders'!G477</f>
        <v>ADVTH-60-FD</v>
      </c>
      <c r="H476" s="14" t="str" cm="1">
        <f t="array" ref="H476">IFERROR(_xlfn.TEXTJOIN("-",,INDEX(_xlfn.TEXTSPLIT(TableTake[[#This Row],[SKU]],"-"),{1,2})),"")</f>
        <v>ADVTH-60</v>
      </c>
      <c r="I476" s="15" t="str">
        <f>IFERROR(_xlfn.TEXTAFTER(TableTake[[#This Row],[SKU]],"-",-1),"")</f>
        <v>FD</v>
      </c>
      <c r="J476" s="14">
        <f>'[1]2026 Orders'!H477</f>
        <v>24</v>
      </c>
      <c r="K476">
        <f>'[1]2026 Orders'!I477</f>
        <v>0</v>
      </c>
      <c r="L476">
        <f>'[1]2026 Orders'!J477</f>
        <v>0</v>
      </c>
      <c r="N476" s="10" t="str">
        <f>'[1]2026 Orders'!L477</f>
        <v>Not Meet MOQ</v>
      </c>
      <c r="O476">
        <f>'[1]2026 Orders'!M477</f>
        <v>0</v>
      </c>
      <c r="P476">
        <f>'[1]2026 Orders'!N477</f>
        <v>0</v>
      </c>
      <c r="Q476">
        <f>'[1]2026 Orders'!O477</f>
        <v>0</v>
      </c>
      <c r="R476">
        <f>'[1]2026 Orders'!P477</f>
        <v>0</v>
      </c>
      <c r="S476">
        <f>'[1]2026 Orders'!Q477</f>
        <v>0</v>
      </c>
      <c r="T476">
        <f>'[1]2026 Orders'!R477</f>
        <v>0</v>
      </c>
      <c r="U476">
        <f>'[1]2026 Orders'!S477</f>
        <v>0</v>
      </c>
      <c r="V476">
        <f>'[1]2026 Orders'!T477</f>
        <v>0</v>
      </c>
      <c r="W476">
        <f>'[1]2026 Orders'!U477</f>
        <v>0</v>
      </c>
      <c r="X476">
        <f>'[1]2026 Orders'!V477</f>
        <v>0</v>
      </c>
      <c r="Y476">
        <f>'[1]2026 Orders'!W477</f>
        <v>0</v>
      </c>
      <c r="Z476">
        <f>'[1]2026 Orders'!X477</f>
        <v>0</v>
      </c>
      <c r="AC476" t="str">
        <f t="shared" si="14"/>
        <v>24/</v>
      </c>
      <c r="AD476" t="e">
        <f t="shared" si="15"/>
        <v>#VALUE!</v>
      </c>
    </row>
    <row r="477" spans="1:30" ht="33" hidden="1" customHeight="1" x14ac:dyDescent="0.3">
      <c r="A477">
        <f>'[1]2026 Orders'!A478</f>
        <v>0</v>
      </c>
      <c r="B477" s="14">
        <f>'[1]2026 Orders'!B478</f>
        <v>0</v>
      </c>
      <c r="C477" s="14">
        <f>'[1]2026 Orders'!C478</f>
        <v>0</v>
      </c>
      <c r="D477" s="14">
        <f>'[1]2026 Orders'!D478</f>
        <v>0</v>
      </c>
      <c r="E477" s="17" t="str" cm="1">
        <f t="array" ref="E477">IF(C477=0,"",
HYPERLINK(
"#'2026 Orders'!C"&amp;
MATCH(1,
('2026 Orders'!C:C=C477)*
('2026 Orders'!G:G=G477)*
('2026 Orders'!N:N=N477),
0),
"Open "&amp;C477
))</f>
        <v/>
      </c>
      <c r="F477" s="14">
        <f>'[1]2026 Orders'!F478</f>
        <v>0</v>
      </c>
      <c r="G477" s="14">
        <f>'[1]2026 Orders'!G478</f>
        <v>0</v>
      </c>
      <c r="H477" s="14" t="str" cm="1">
        <f t="array" ref="H477">IFERROR(_xlfn.TEXTJOIN("-",,INDEX(_xlfn.TEXTSPLIT(TableTake[[#This Row],[SKU]],"-"),{1,2})),"")</f>
        <v/>
      </c>
      <c r="I477" s="15" t="str">
        <f>IFERROR(_xlfn.TEXTAFTER(TableTake[[#This Row],[SKU]],"-",-1),"")</f>
        <v/>
      </c>
      <c r="J477" s="14">
        <f>'[1]2026 Orders'!H478</f>
        <v>0</v>
      </c>
      <c r="K477">
        <f>'[1]2026 Orders'!I478</f>
        <v>0</v>
      </c>
      <c r="L477">
        <f>'[1]2026 Orders'!J478</f>
        <v>0</v>
      </c>
      <c r="N477" s="10">
        <f>'[1]2026 Orders'!L478</f>
        <v>0</v>
      </c>
      <c r="O477">
        <f>'[1]2026 Orders'!M478</f>
        <v>0</v>
      </c>
      <c r="P477">
        <f>'[1]2026 Orders'!N478</f>
        <v>0</v>
      </c>
      <c r="Q477">
        <f>'[1]2026 Orders'!O478</f>
        <v>0</v>
      </c>
      <c r="R477">
        <f>'[1]2026 Orders'!P478</f>
        <v>0</v>
      </c>
      <c r="S477">
        <f>'[1]2026 Orders'!Q478</f>
        <v>0</v>
      </c>
      <c r="T477">
        <f>'[1]2026 Orders'!R478</f>
        <v>0</v>
      </c>
      <c r="U477">
        <f>'[1]2026 Orders'!S478</f>
        <v>0</v>
      </c>
      <c r="V477">
        <f>'[1]2026 Orders'!T478</f>
        <v>0</v>
      </c>
      <c r="W477">
        <f>'[1]2026 Orders'!U478</f>
        <v>0</v>
      </c>
      <c r="X477">
        <f>'[1]2026 Orders'!V478</f>
        <v>0</v>
      </c>
      <c r="Y477">
        <f>'[1]2026 Orders'!W478</f>
        <v>0</v>
      </c>
      <c r="Z477">
        <f>'[1]2026 Orders'!X478</f>
        <v>0</v>
      </c>
      <c r="AC477" t="str">
        <f t="shared" si="14"/>
        <v/>
      </c>
      <c r="AD477" t="str">
        <f t="shared" si="15"/>
        <v/>
      </c>
    </row>
    <row r="478" spans="1:30" ht="33" hidden="1" customHeight="1" x14ac:dyDescent="0.3">
      <c r="A478">
        <f>'[1]2026 Orders'!A479</f>
        <v>0</v>
      </c>
      <c r="B478" s="14">
        <f>'[1]2026 Orders'!B479</f>
        <v>0</v>
      </c>
      <c r="C478" s="14">
        <f>'[1]2026 Orders'!C479</f>
        <v>0</v>
      </c>
      <c r="D478" s="14">
        <f>'[1]2026 Orders'!D479</f>
        <v>0</v>
      </c>
      <c r="E478" s="17" t="str" cm="1">
        <f t="array" ref="E478">IF(C478=0,"",
HYPERLINK(
"#'2026 Orders'!C"&amp;
MATCH(1,
('2026 Orders'!C:C=C478)*
('2026 Orders'!G:G=G478)*
('2026 Orders'!N:N=N478),
0),
"Open "&amp;C478
))</f>
        <v/>
      </c>
      <c r="F478" s="14">
        <f>'[1]2026 Orders'!F479</f>
        <v>0</v>
      </c>
      <c r="G478" s="14">
        <f>'[1]2026 Orders'!G479</f>
        <v>0</v>
      </c>
      <c r="H478" s="14" t="str" cm="1">
        <f t="array" ref="H478">IFERROR(_xlfn.TEXTJOIN("-",,INDEX(_xlfn.TEXTSPLIT(TableTake[[#This Row],[SKU]],"-"),{1,2})),"")</f>
        <v/>
      </c>
      <c r="I478" s="15" t="str">
        <f>IFERROR(_xlfn.TEXTAFTER(TableTake[[#This Row],[SKU]],"-",-1),"")</f>
        <v/>
      </c>
      <c r="J478" s="14">
        <f>'[1]2026 Orders'!H479</f>
        <v>0</v>
      </c>
      <c r="K478">
        <f>'[1]2026 Orders'!I479</f>
        <v>0</v>
      </c>
      <c r="L478">
        <f>'[1]2026 Orders'!J479</f>
        <v>0</v>
      </c>
      <c r="N478" s="10">
        <f>'[1]2026 Orders'!L479</f>
        <v>0</v>
      </c>
      <c r="O478">
        <f>'[1]2026 Orders'!M479</f>
        <v>0</v>
      </c>
      <c r="P478">
        <f>'[1]2026 Orders'!N479</f>
        <v>0</v>
      </c>
      <c r="Q478">
        <f>'[1]2026 Orders'!O479</f>
        <v>0</v>
      </c>
      <c r="R478">
        <f>'[1]2026 Orders'!P479</f>
        <v>0</v>
      </c>
      <c r="S478">
        <f>'[1]2026 Orders'!Q479</f>
        <v>0</v>
      </c>
      <c r="T478">
        <f>'[1]2026 Orders'!R479</f>
        <v>0</v>
      </c>
      <c r="U478">
        <f>'[1]2026 Orders'!S479</f>
        <v>0</v>
      </c>
      <c r="V478">
        <f>'[1]2026 Orders'!T479</f>
        <v>0</v>
      </c>
      <c r="W478">
        <f>'[1]2026 Orders'!U479</f>
        <v>0</v>
      </c>
      <c r="X478">
        <f>'[1]2026 Orders'!V479</f>
        <v>0</v>
      </c>
      <c r="Y478">
        <f>'[1]2026 Orders'!W479</f>
        <v>0</v>
      </c>
      <c r="Z478">
        <f>'[1]2026 Orders'!X479</f>
        <v>0</v>
      </c>
      <c r="AC478" t="str">
        <f t="shared" si="14"/>
        <v/>
      </c>
      <c r="AD478" t="str">
        <f t="shared" si="15"/>
        <v/>
      </c>
    </row>
    <row r="479" spans="1:30" ht="33" hidden="1" customHeight="1" x14ac:dyDescent="0.3">
      <c r="A479">
        <f>'[1]2026 Orders'!A480</f>
        <v>0</v>
      </c>
      <c r="B479" s="14">
        <f>'[1]2026 Orders'!B480</f>
        <v>0</v>
      </c>
      <c r="C479" s="14">
        <f>'[1]2026 Orders'!C480</f>
        <v>0</v>
      </c>
      <c r="D479" s="14">
        <f>'[1]2026 Orders'!D480</f>
        <v>0</v>
      </c>
      <c r="E479" s="17" t="str" cm="1">
        <f t="array" ref="E479">IF(C479=0,"",
HYPERLINK(
"#'2026 Orders'!C"&amp;
MATCH(1,
('2026 Orders'!C:C=C479)*
('2026 Orders'!G:G=G479)*
('2026 Orders'!N:N=N479),
0),
"Open "&amp;C479
))</f>
        <v/>
      </c>
      <c r="F479" s="14">
        <f>'[1]2026 Orders'!F480</f>
        <v>0</v>
      </c>
      <c r="G479" s="14">
        <f>'[1]2026 Orders'!G480</f>
        <v>0</v>
      </c>
      <c r="H479" s="14" t="str" cm="1">
        <f t="array" ref="H479">IFERROR(_xlfn.TEXTJOIN("-",,INDEX(_xlfn.TEXTSPLIT(TableTake[[#This Row],[SKU]],"-"),{1,2})),"")</f>
        <v/>
      </c>
      <c r="I479" s="15" t="str">
        <f>IFERROR(_xlfn.TEXTAFTER(TableTake[[#This Row],[SKU]],"-",-1),"")</f>
        <v/>
      </c>
      <c r="J479" s="14">
        <f>'[1]2026 Orders'!H480</f>
        <v>0</v>
      </c>
      <c r="K479">
        <f>'[1]2026 Orders'!I480</f>
        <v>0</v>
      </c>
      <c r="L479">
        <f>'[1]2026 Orders'!J480</f>
        <v>0</v>
      </c>
      <c r="N479" s="10">
        <f>'[1]2026 Orders'!L480</f>
        <v>0</v>
      </c>
      <c r="O479">
        <f>'[1]2026 Orders'!M480</f>
        <v>0</v>
      </c>
      <c r="P479">
        <f>'[1]2026 Orders'!N480</f>
        <v>0</v>
      </c>
      <c r="Q479">
        <f>'[1]2026 Orders'!O480</f>
        <v>0</v>
      </c>
      <c r="R479">
        <f>'[1]2026 Orders'!P480</f>
        <v>0</v>
      </c>
      <c r="S479">
        <f>'[1]2026 Orders'!Q480</f>
        <v>0</v>
      </c>
      <c r="T479">
        <f>'[1]2026 Orders'!R480</f>
        <v>0</v>
      </c>
      <c r="U479">
        <f>'[1]2026 Orders'!S480</f>
        <v>0</v>
      </c>
      <c r="V479">
        <f>'[1]2026 Orders'!T480</f>
        <v>0</v>
      </c>
      <c r="W479">
        <f>'[1]2026 Orders'!U480</f>
        <v>0</v>
      </c>
      <c r="X479">
        <f>'[1]2026 Orders'!V480</f>
        <v>0</v>
      </c>
      <c r="Y479">
        <f>'[1]2026 Orders'!W480</f>
        <v>0</v>
      </c>
      <c r="Z479">
        <f>'[1]2026 Orders'!X480</f>
        <v>0</v>
      </c>
      <c r="AC479" t="str">
        <f t="shared" si="14"/>
        <v/>
      </c>
      <c r="AD479" t="str">
        <f t="shared" si="15"/>
        <v/>
      </c>
    </row>
    <row r="480" spans="1:30" ht="33" hidden="1" customHeight="1" x14ac:dyDescent="0.3">
      <c r="A480">
        <f>'[1]2026 Orders'!A481</f>
        <v>0</v>
      </c>
      <c r="B480" s="14">
        <f>'[1]2026 Orders'!B481</f>
        <v>0</v>
      </c>
      <c r="C480" s="14">
        <f>'[1]2026 Orders'!C481</f>
        <v>0</v>
      </c>
      <c r="D480" s="14">
        <f>'[1]2026 Orders'!D481</f>
        <v>0</v>
      </c>
      <c r="E480" s="17" t="str" cm="1">
        <f t="array" ref="E480">IF(C480=0,"",
HYPERLINK(
"#'2026 Orders'!C"&amp;
MATCH(1,
('2026 Orders'!C:C=C480)*
('2026 Orders'!G:G=G480)*
('2026 Orders'!N:N=N480),
0),
"Open "&amp;C480
))</f>
        <v/>
      </c>
      <c r="F480" s="14">
        <f>'[1]2026 Orders'!F481</f>
        <v>0</v>
      </c>
      <c r="G480" s="14">
        <f>'[1]2026 Orders'!G481</f>
        <v>0</v>
      </c>
      <c r="H480" s="14" t="str" cm="1">
        <f t="array" ref="H480">IFERROR(_xlfn.TEXTJOIN("-",,INDEX(_xlfn.TEXTSPLIT(TableTake[[#This Row],[SKU]],"-"),{1,2})),"")</f>
        <v/>
      </c>
      <c r="I480" s="15" t="str">
        <f>IFERROR(_xlfn.TEXTAFTER(TableTake[[#This Row],[SKU]],"-",-1),"")</f>
        <v/>
      </c>
      <c r="J480" s="14">
        <f>'[1]2026 Orders'!H481</f>
        <v>0</v>
      </c>
      <c r="K480">
        <f>'[1]2026 Orders'!I481</f>
        <v>0</v>
      </c>
      <c r="L480">
        <f>'[1]2026 Orders'!J481</f>
        <v>0</v>
      </c>
      <c r="N480" s="10">
        <f>'[1]2026 Orders'!L481</f>
        <v>0</v>
      </c>
      <c r="O480">
        <f>'[1]2026 Orders'!M481</f>
        <v>0</v>
      </c>
      <c r="P480">
        <f>'[1]2026 Orders'!N481</f>
        <v>0</v>
      </c>
      <c r="Q480">
        <f>'[1]2026 Orders'!O481</f>
        <v>0</v>
      </c>
      <c r="R480">
        <f>'[1]2026 Orders'!P481</f>
        <v>0</v>
      </c>
      <c r="S480">
        <f>'[1]2026 Orders'!Q481</f>
        <v>0</v>
      </c>
      <c r="T480">
        <f>'[1]2026 Orders'!R481</f>
        <v>0</v>
      </c>
      <c r="U480">
        <f>'[1]2026 Orders'!S481</f>
        <v>0</v>
      </c>
      <c r="V480">
        <f>'[1]2026 Orders'!T481</f>
        <v>0</v>
      </c>
      <c r="W480">
        <f>'[1]2026 Orders'!U481</f>
        <v>0</v>
      </c>
      <c r="X480">
        <f>'[1]2026 Orders'!V481</f>
        <v>0</v>
      </c>
      <c r="Y480">
        <f>'[1]2026 Orders'!W481</f>
        <v>0</v>
      </c>
      <c r="Z480">
        <f>'[1]2026 Orders'!X481</f>
        <v>0</v>
      </c>
      <c r="AC480" t="str">
        <f t="shared" si="14"/>
        <v/>
      </c>
      <c r="AD480" t="str">
        <f t="shared" si="15"/>
        <v/>
      </c>
    </row>
    <row r="481" spans="1:30" ht="33" hidden="1" customHeight="1" x14ac:dyDescent="0.3">
      <c r="A481">
        <f>'[1]2026 Orders'!A482</f>
        <v>0</v>
      </c>
      <c r="B481" s="14">
        <f>'[1]2026 Orders'!B482</f>
        <v>0</v>
      </c>
      <c r="C481" s="14">
        <f>'[1]2026 Orders'!C482</f>
        <v>0</v>
      </c>
      <c r="D481" s="14">
        <f>'[1]2026 Orders'!D482</f>
        <v>0</v>
      </c>
      <c r="E481" s="17" t="str" cm="1">
        <f t="array" ref="E481">IF(C481=0,"",
HYPERLINK(
"#'2026 Orders'!C"&amp;
MATCH(1,
('2026 Orders'!C:C=C481)*
('2026 Orders'!G:G=G481)*
('2026 Orders'!N:N=N481),
0),
"Open "&amp;C481
))</f>
        <v/>
      </c>
      <c r="F481" s="14">
        <f>'[1]2026 Orders'!F482</f>
        <v>0</v>
      </c>
      <c r="G481" s="14">
        <f>'[1]2026 Orders'!G482</f>
        <v>0</v>
      </c>
      <c r="H481" s="14" t="str" cm="1">
        <f t="array" ref="H481">IFERROR(_xlfn.TEXTJOIN("-",,INDEX(_xlfn.TEXTSPLIT(TableTake[[#This Row],[SKU]],"-"),{1,2})),"")</f>
        <v/>
      </c>
      <c r="I481" s="15" t="str">
        <f>IFERROR(_xlfn.TEXTAFTER(TableTake[[#This Row],[SKU]],"-",-1),"")</f>
        <v/>
      </c>
      <c r="J481" s="14">
        <f>'[1]2026 Orders'!H482</f>
        <v>0</v>
      </c>
      <c r="K481">
        <f>'[1]2026 Orders'!I482</f>
        <v>0</v>
      </c>
      <c r="L481">
        <f>'[1]2026 Orders'!J482</f>
        <v>0</v>
      </c>
      <c r="N481" s="10">
        <f>'[1]2026 Orders'!L482</f>
        <v>0</v>
      </c>
      <c r="O481">
        <f>'[1]2026 Orders'!M482</f>
        <v>0</v>
      </c>
      <c r="P481">
        <f>'[1]2026 Orders'!N482</f>
        <v>0</v>
      </c>
      <c r="Q481">
        <f>'[1]2026 Orders'!O482</f>
        <v>0</v>
      </c>
      <c r="R481">
        <f>'[1]2026 Orders'!P482</f>
        <v>0</v>
      </c>
      <c r="S481">
        <f>'[1]2026 Orders'!Q482</f>
        <v>0</v>
      </c>
      <c r="T481">
        <f>'[1]2026 Orders'!R482</f>
        <v>0</v>
      </c>
      <c r="U481">
        <f>'[1]2026 Orders'!S482</f>
        <v>0</v>
      </c>
      <c r="V481">
        <f>'[1]2026 Orders'!T482</f>
        <v>0</v>
      </c>
      <c r="W481">
        <f>'[1]2026 Orders'!U482</f>
        <v>0</v>
      </c>
      <c r="X481">
        <f>'[1]2026 Orders'!V482</f>
        <v>0</v>
      </c>
      <c r="Y481">
        <f>'[1]2026 Orders'!W482</f>
        <v>0</v>
      </c>
      <c r="Z481">
        <f>'[1]2026 Orders'!X482</f>
        <v>0</v>
      </c>
      <c r="AC481" t="str">
        <f t="shared" si="14"/>
        <v/>
      </c>
      <c r="AD481" t="str">
        <f t="shared" si="15"/>
        <v/>
      </c>
    </row>
    <row r="482" spans="1:30" ht="33" hidden="1" customHeight="1" x14ac:dyDescent="0.3">
      <c r="A482">
        <f>'[1]2026 Orders'!A483</f>
        <v>0</v>
      </c>
      <c r="B482" s="14">
        <f>'[1]2026 Orders'!B483</f>
        <v>0</v>
      </c>
      <c r="C482" s="14">
        <f>'[1]2026 Orders'!C483</f>
        <v>0</v>
      </c>
      <c r="D482" s="14">
        <f>'[1]2026 Orders'!D483</f>
        <v>0</v>
      </c>
      <c r="E482" s="17" t="str" cm="1">
        <f t="array" ref="E482">IF(C482=0,"",
HYPERLINK(
"#'2026 Orders'!C"&amp;
MATCH(1,
('2026 Orders'!C:C=C482)*
('2026 Orders'!G:G=G482)*
('2026 Orders'!N:N=N482),
0),
"Open "&amp;C482
))</f>
        <v/>
      </c>
      <c r="F482" s="14">
        <f>'[1]2026 Orders'!F483</f>
        <v>0</v>
      </c>
      <c r="G482" s="14">
        <f>'[1]2026 Orders'!G483</f>
        <v>0</v>
      </c>
      <c r="H482" s="14" t="str" cm="1">
        <f t="array" ref="H482">IFERROR(_xlfn.TEXTJOIN("-",,INDEX(_xlfn.TEXTSPLIT(TableTake[[#This Row],[SKU]],"-"),{1,2})),"")</f>
        <v/>
      </c>
      <c r="I482" s="15" t="str">
        <f>IFERROR(_xlfn.TEXTAFTER(TableTake[[#This Row],[SKU]],"-",-1),"")</f>
        <v/>
      </c>
      <c r="J482" s="14">
        <f>'[1]2026 Orders'!H483</f>
        <v>0</v>
      </c>
      <c r="K482">
        <f>'[1]2026 Orders'!I483</f>
        <v>0</v>
      </c>
      <c r="L482">
        <f>'[1]2026 Orders'!J483</f>
        <v>0</v>
      </c>
      <c r="N482" s="10">
        <f>'[1]2026 Orders'!L483</f>
        <v>0</v>
      </c>
      <c r="O482">
        <f>'[1]2026 Orders'!M483</f>
        <v>0</v>
      </c>
      <c r="P482">
        <f>'[1]2026 Orders'!N483</f>
        <v>0</v>
      </c>
      <c r="Q482">
        <f>'[1]2026 Orders'!O483</f>
        <v>0</v>
      </c>
      <c r="R482">
        <f>'[1]2026 Orders'!P483</f>
        <v>0</v>
      </c>
      <c r="S482">
        <f>'[1]2026 Orders'!Q483</f>
        <v>0</v>
      </c>
      <c r="T482">
        <f>'[1]2026 Orders'!R483</f>
        <v>0</v>
      </c>
      <c r="U482">
        <f>'[1]2026 Orders'!S483</f>
        <v>0</v>
      </c>
      <c r="V482">
        <f>'[1]2026 Orders'!T483</f>
        <v>0</v>
      </c>
      <c r="W482">
        <f>'[1]2026 Orders'!U483</f>
        <v>0</v>
      </c>
      <c r="X482">
        <f>'[1]2026 Orders'!V483</f>
        <v>0</v>
      </c>
      <c r="Y482">
        <f>'[1]2026 Orders'!W483</f>
        <v>0</v>
      </c>
      <c r="Z482">
        <f>'[1]2026 Orders'!X483</f>
        <v>0</v>
      </c>
      <c r="AC482" t="str">
        <f t="shared" si="14"/>
        <v/>
      </c>
      <c r="AD482" t="str">
        <f t="shared" si="15"/>
        <v/>
      </c>
    </row>
    <row r="483" spans="1:30" ht="33" hidden="1" customHeight="1" x14ac:dyDescent="0.3">
      <c r="A483">
        <f>'[1]2026 Orders'!A484</f>
        <v>0</v>
      </c>
      <c r="B483" s="14">
        <f>'[1]2026 Orders'!B484</f>
        <v>0</v>
      </c>
      <c r="C483" s="14">
        <f>'[1]2026 Orders'!C484</f>
        <v>0</v>
      </c>
      <c r="D483" s="14">
        <f>'[1]2026 Orders'!D484</f>
        <v>0</v>
      </c>
      <c r="E483" s="17" t="str" cm="1">
        <f t="array" ref="E483">IF(C483=0,"",
HYPERLINK(
"#'2026 Orders'!C"&amp;
MATCH(1,
('2026 Orders'!C:C=C483)*
('2026 Orders'!G:G=G483)*
('2026 Orders'!N:N=N483),
0),
"Open "&amp;C483
))</f>
        <v/>
      </c>
      <c r="F483" s="14">
        <f>'[1]2026 Orders'!F484</f>
        <v>0</v>
      </c>
      <c r="G483" s="14">
        <f>'[1]2026 Orders'!G484</f>
        <v>0</v>
      </c>
      <c r="H483" s="14" t="str" cm="1">
        <f t="array" ref="H483">IFERROR(_xlfn.TEXTJOIN("-",,INDEX(_xlfn.TEXTSPLIT(TableTake[[#This Row],[SKU]],"-"),{1,2})),"")</f>
        <v/>
      </c>
      <c r="I483" s="15" t="str">
        <f>IFERROR(_xlfn.TEXTAFTER(TableTake[[#This Row],[SKU]],"-",-1),"")</f>
        <v/>
      </c>
      <c r="J483" s="14">
        <f>'[1]2026 Orders'!H484</f>
        <v>0</v>
      </c>
      <c r="K483">
        <f>'[1]2026 Orders'!I484</f>
        <v>0</v>
      </c>
      <c r="L483">
        <f>'[1]2026 Orders'!J484</f>
        <v>0</v>
      </c>
      <c r="N483" s="10">
        <f>'[1]2026 Orders'!L484</f>
        <v>0</v>
      </c>
      <c r="O483">
        <f>'[1]2026 Orders'!M484</f>
        <v>0</v>
      </c>
      <c r="P483">
        <f>'[1]2026 Orders'!N484</f>
        <v>0</v>
      </c>
      <c r="Q483">
        <f>'[1]2026 Orders'!O484</f>
        <v>0</v>
      </c>
      <c r="R483">
        <f>'[1]2026 Orders'!P484</f>
        <v>0</v>
      </c>
      <c r="S483">
        <f>'[1]2026 Orders'!Q484</f>
        <v>0</v>
      </c>
      <c r="T483">
        <f>'[1]2026 Orders'!R484</f>
        <v>0</v>
      </c>
      <c r="U483">
        <f>'[1]2026 Orders'!S484</f>
        <v>0</v>
      </c>
      <c r="V483">
        <f>'[1]2026 Orders'!T484</f>
        <v>0</v>
      </c>
      <c r="W483">
        <f>'[1]2026 Orders'!U484</f>
        <v>0</v>
      </c>
      <c r="X483">
        <f>'[1]2026 Orders'!V484</f>
        <v>0</v>
      </c>
      <c r="Y483">
        <f>'[1]2026 Orders'!W484</f>
        <v>0</v>
      </c>
      <c r="Z483">
        <f>'[1]2026 Orders'!X484</f>
        <v>0</v>
      </c>
      <c r="AC483" t="str">
        <f t="shared" si="14"/>
        <v/>
      </c>
      <c r="AD483" t="str">
        <f t="shared" si="15"/>
        <v/>
      </c>
    </row>
    <row r="484" spans="1:30" ht="33" hidden="1" customHeight="1" x14ac:dyDescent="0.3">
      <c r="A484">
        <f>'[1]2026 Orders'!A485</f>
        <v>0</v>
      </c>
      <c r="B484" s="14">
        <f>'[1]2026 Orders'!B485</f>
        <v>0</v>
      </c>
      <c r="C484" s="14">
        <f>'[1]2026 Orders'!C485</f>
        <v>0</v>
      </c>
      <c r="D484" s="14">
        <f>'[1]2026 Orders'!D485</f>
        <v>0</v>
      </c>
      <c r="E484" s="17" t="str" cm="1">
        <f t="array" ref="E484">IF(C484=0,"",
HYPERLINK(
"#'2026 Orders'!C"&amp;
MATCH(1,
('2026 Orders'!C:C=C484)*
('2026 Orders'!G:G=G484)*
('2026 Orders'!N:N=N484),
0),
"Open "&amp;C484
))</f>
        <v/>
      </c>
      <c r="F484" s="14">
        <f>'[1]2026 Orders'!F485</f>
        <v>0</v>
      </c>
      <c r="G484" s="14">
        <f>'[1]2026 Orders'!G485</f>
        <v>0</v>
      </c>
      <c r="H484" s="14" t="str" cm="1">
        <f t="array" ref="H484">IFERROR(_xlfn.TEXTJOIN("-",,INDEX(_xlfn.TEXTSPLIT(TableTake[[#This Row],[SKU]],"-"),{1,2})),"")</f>
        <v/>
      </c>
      <c r="I484" s="15" t="str">
        <f>IFERROR(_xlfn.TEXTAFTER(TableTake[[#This Row],[SKU]],"-",-1),"")</f>
        <v/>
      </c>
      <c r="J484" s="14">
        <f>'[1]2026 Orders'!H485</f>
        <v>0</v>
      </c>
      <c r="K484">
        <f>'[1]2026 Orders'!I485</f>
        <v>0</v>
      </c>
      <c r="L484">
        <f>'[1]2026 Orders'!J485</f>
        <v>0</v>
      </c>
      <c r="N484" s="10">
        <f>'[1]2026 Orders'!L485</f>
        <v>0</v>
      </c>
      <c r="O484">
        <f>'[1]2026 Orders'!M485</f>
        <v>0</v>
      </c>
      <c r="P484">
        <f>'[1]2026 Orders'!N485</f>
        <v>0</v>
      </c>
      <c r="Q484">
        <f>'[1]2026 Orders'!O485</f>
        <v>0</v>
      </c>
      <c r="R484">
        <f>'[1]2026 Orders'!P485</f>
        <v>0</v>
      </c>
      <c r="S484">
        <f>'[1]2026 Orders'!Q485</f>
        <v>0</v>
      </c>
      <c r="T484">
        <f>'[1]2026 Orders'!R485</f>
        <v>0</v>
      </c>
      <c r="U484">
        <f>'[1]2026 Orders'!S485</f>
        <v>0</v>
      </c>
      <c r="V484">
        <f>'[1]2026 Orders'!T485</f>
        <v>0</v>
      </c>
      <c r="W484">
        <f>'[1]2026 Orders'!U485</f>
        <v>0</v>
      </c>
      <c r="X484">
        <f>'[1]2026 Orders'!V485</f>
        <v>0</v>
      </c>
      <c r="Y484">
        <f>'[1]2026 Orders'!W485</f>
        <v>0</v>
      </c>
      <c r="Z484">
        <f>'[1]2026 Orders'!X485</f>
        <v>0</v>
      </c>
      <c r="AC484" t="str">
        <f t="shared" si="14"/>
        <v/>
      </c>
      <c r="AD484" t="str">
        <f t="shared" si="15"/>
        <v/>
      </c>
    </row>
    <row r="485" spans="1:30" ht="33" hidden="1" customHeight="1" x14ac:dyDescent="0.3">
      <c r="A485">
        <f>'[1]2026 Orders'!A486</f>
        <v>0</v>
      </c>
      <c r="B485" s="14">
        <f>'[1]2026 Orders'!B486</f>
        <v>0</v>
      </c>
      <c r="C485" s="14">
        <f>'[1]2026 Orders'!C486</f>
        <v>0</v>
      </c>
      <c r="D485" s="14">
        <f>'[1]2026 Orders'!D486</f>
        <v>0</v>
      </c>
      <c r="E485" s="17" t="str" cm="1">
        <f t="array" ref="E485">IF(C485=0,"",
HYPERLINK(
"#'2026 Orders'!C"&amp;
MATCH(1,
('2026 Orders'!C:C=C485)*
('2026 Orders'!G:G=G485)*
('2026 Orders'!N:N=N485),
0),
"Open "&amp;C485
))</f>
        <v/>
      </c>
      <c r="F485" s="14">
        <f>'[1]2026 Orders'!F486</f>
        <v>0</v>
      </c>
      <c r="G485" s="14">
        <f>'[1]2026 Orders'!G486</f>
        <v>0</v>
      </c>
      <c r="H485" s="14" t="str" cm="1">
        <f t="array" ref="H485">IFERROR(_xlfn.TEXTJOIN("-",,INDEX(_xlfn.TEXTSPLIT(TableTake[[#This Row],[SKU]],"-"),{1,2})),"")</f>
        <v/>
      </c>
      <c r="I485" s="15" t="str">
        <f>IFERROR(_xlfn.TEXTAFTER(TableTake[[#This Row],[SKU]],"-",-1),"")</f>
        <v/>
      </c>
      <c r="J485" s="14">
        <f>'[1]2026 Orders'!H486</f>
        <v>0</v>
      </c>
      <c r="K485">
        <f>'[1]2026 Orders'!I486</f>
        <v>0</v>
      </c>
      <c r="L485">
        <f>'[1]2026 Orders'!J486</f>
        <v>0</v>
      </c>
      <c r="N485" s="10">
        <f>'[1]2026 Orders'!L486</f>
        <v>0</v>
      </c>
      <c r="O485">
        <f>'[1]2026 Orders'!M486</f>
        <v>0</v>
      </c>
      <c r="P485">
        <f>'[1]2026 Orders'!N486</f>
        <v>0</v>
      </c>
      <c r="Q485">
        <f>'[1]2026 Orders'!O486</f>
        <v>0</v>
      </c>
      <c r="R485">
        <f>'[1]2026 Orders'!P486</f>
        <v>0</v>
      </c>
      <c r="S485">
        <f>'[1]2026 Orders'!Q486</f>
        <v>0</v>
      </c>
      <c r="T485">
        <f>'[1]2026 Orders'!R486</f>
        <v>0</v>
      </c>
      <c r="U485">
        <f>'[1]2026 Orders'!S486</f>
        <v>0</v>
      </c>
      <c r="V485">
        <f>'[1]2026 Orders'!T486</f>
        <v>0</v>
      </c>
      <c r="W485">
        <f>'[1]2026 Orders'!U486</f>
        <v>0</v>
      </c>
      <c r="X485">
        <f>'[1]2026 Orders'!V486</f>
        <v>0</v>
      </c>
      <c r="Y485">
        <f>'[1]2026 Orders'!W486</f>
        <v>0</v>
      </c>
      <c r="Z485">
        <f>'[1]2026 Orders'!X486</f>
        <v>0</v>
      </c>
      <c r="AC485" t="str">
        <f t="shared" si="14"/>
        <v/>
      </c>
      <c r="AD485" t="str">
        <f t="shared" si="15"/>
        <v/>
      </c>
    </row>
    <row r="486" spans="1:30" ht="33" hidden="1" customHeight="1" x14ac:dyDescent="0.3">
      <c r="A486">
        <f>'[1]2026 Orders'!A487</f>
        <v>0</v>
      </c>
      <c r="B486" s="14">
        <f>'[1]2026 Orders'!B487</f>
        <v>0</v>
      </c>
      <c r="C486" s="14">
        <f>'[1]2026 Orders'!C487</f>
        <v>0</v>
      </c>
      <c r="D486" s="14">
        <f>'[1]2026 Orders'!D487</f>
        <v>0</v>
      </c>
      <c r="E486" s="17" t="str" cm="1">
        <f t="array" ref="E486">IF(C486=0,"",
HYPERLINK(
"#'2026 Orders'!C"&amp;
MATCH(1,
('2026 Orders'!C:C=C486)*
('2026 Orders'!G:G=G486)*
('2026 Orders'!N:N=N486),
0),
"Open "&amp;C486
))</f>
        <v/>
      </c>
      <c r="F486" s="14">
        <f>'[1]2026 Orders'!F487</f>
        <v>0</v>
      </c>
      <c r="G486" s="14">
        <f>'[1]2026 Orders'!G487</f>
        <v>0</v>
      </c>
      <c r="H486" s="14" t="str" cm="1">
        <f t="array" ref="H486">IFERROR(_xlfn.TEXTJOIN("-",,INDEX(_xlfn.TEXTSPLIT(TableTake[[#This Row],[SKU]],"-"),{1,2})),"")</f>
        <v/>
      </c>
      <c r="I486" s="15" t="str">
        <f>IFERROR(_xlfn.TEXTAFTER(TableTake[[#This Row],[SKU]],"-",-1),"")</f>
        <v/>
      </c>
      <c r="J486" s="14">
        <f>'[1]2026 Orders'!H487</f>
        <v>0</v>
      </c>
      <c r="K486">
        <f>'[1]2026 Orders'!I487</f>
        <v>0</v>
      </c>
      <c r="L486">
        <f>'[1]2026 Orders'!J487</f>
        <v>0</v>
      </c>
      <c r="N486" s="10">
        <f>'[1]2026 Orders'!L487</f>
        <v>0</v>
      </c>
      <c r="O486">
        <f>'[1]2026 Orders'!M487</f>
        <v>0</v>
      </c>
      <c r="P486">
        <f>'[1]2026 Orders'!N487</f>
        <v>0</v>
      </c>
      <c r="Q486">
        <f>'[1]2026 Orders'!O487</f>
        <v>0</v>
      </c>
      <c r="R486">
        <f>'[1]2026 Orders'!P487</f>
        <v>0</v>
      </c>
      <c r="S486">
        <f>'[1]2026 Orders'!Q487</f>
        <v>0</v>
      </c>
      <c r="T486">
        <f>'[1]2026 Orders'!R487</f>
        <v>0</v>
      </c>
      <c r="U486">
        <f>'[1]2026 Orders'!S487</f>
        <v>0</v>
      </c>
      <c r="V486">
        <f>'[1]2026 Orders'!T487</f>
        <v>0</v>
      </c>
      <c r="W486">
        <f>'[1]2026 Orders'!U487</f>
        <v>0</v>
      </c>
      <c r="X486">
        <f>'[1]2026 Orders'!V487</f>
        <v>0</v>
      </c>
      <c r="Y486">
        <f>'[1]2026 Orders'!W487</f>
        <v>0</v>
      </c>
      <c r="Z486">
        <f>'[1]2026 Orders'!X487</f>
        <v>0</v>
      </c>
      <c r="AC486" t="str">
        <f t="shared" si="14"/>
        <v/>
      </c>
      <c r="AD486" t="str">
        <f t="shared" si="15"/>
        <v/>
      </c>
    </row>
    <row r="487" spans="1:30" ht="33" hidden="1" customHeight="1" x14ac:dyDescent="0.3">
      <c r="A487">
        <f>'[1]2026 Orders'!A488</f>
        <v>0</v>
      </c>
      <c r="B487" s="14">
        <f>'[1]2026 Orders'!B488</f>
        <v>0</v>
      </c>
      <c r="C487" s="14">
        <f>'[1]2026 Orders'!C488</f>
        <v>0</v>
      </c>
      <c r="D487" s="14">
        <f>'[1]2026 Orders'!D488</f>
        <v>0</v>
      </c>
      <c r="E487" s="17" t="str" cm="1">
        <f t="array" ref="E487">IF(C487=0,"",
HYPERLINK(
"#'2026 Orders'!C"&amp;
MATCH(1,
('2026 Orders'!C:C=C487)*
('2026 Orders'!G:G=G487)*
('2026 Orders'!N:N=N487),
0),
"Open "&amp;C487
))</f>
        <v/>
      </c>
      <c r="F487" s="14">
        <f>'[1]2026 Orders'!F488</f>
        <v>0</v>
      </c>
      <c r="G487" s="14">
        <f>'[1]2026 Orders'!G488</f>
        <v>0</v>
      </c>
      <c r="H487" s="14" t="str" cm="1">
        <f t="array" ref="H487">IFERROR(_xlfn.TEXTJOIN("-",,INDEX(_xlfn.TEXTSPLIT(TableTake[[#This Row],[SKU]],"-"),{1,2})),"")</f>
        <v/>
      </c>
      <c r="I487" s="15" t="str">
        <f>IFERROR(_xlfn.TEXTAFTER(TableTake[[#This Row],[SKU]],"-",-1),"")</f>
        <v/>
      </c>
      <c r="J487" s="14">
        <f>'[1]2026 Orders'!H488</f>
        <v>0</v>
      </c>
      <c r="K487">
        <f>'[1]2026 Orders'!I488</f>
        <v>0</v>
      </c>
      <c r="L487">
        <f>'[1]2026 Orders'!J488</f>
        <v>0</v>
      </c>
      <c r="N487" s="10">
        <f>'[1]2026 Orders'!L488</f>
        <v>0</v>
      </c>
      <c r="O487">
        <f>'[1]2026 Orders'!M488</f>
        <v>0</v>
      </c>
      <c r="P487">
        <f>'[1]2026 Orders'!N488</f>
        <v>0</v>
      </c>
      <c r="Q487">
        <f>'[1]2026 Orders'!O488</f>
        <v>0</v>
      </c>
      <c r="R487">
        <f>'[1]2026 Orders'!P488</f>
        <v>0</v>
      </c>
      <c r="S487">
        <f>'[1]2026 Orders'!Q488</f>
        <v>0</v>
      </c>
      <c r="T487">
        <f>'[1]2026 Orders'!R488</f>
        <v>0</v>
      </c>
      <c r="U487">
        <f>'[1]2026 Orders'!S488</f>
        <v>0</v>
      </c>
      <c r="V487">
        <f>'[1]2026 Orders'!T488</f>
        <v>0</v>
      </c>
      <c r="W487">
        <f>'[1]2026 Orders'!U488</f>
        <v>0</v>
      </c>
      <c r="X487">
        <f>'[1]2026 Orders'!V488</f>
        <v>0</v>
      </c>
      <c r="Y487">
        <f>'[1]2026 Orders'!W488</f>
        <v>0</v>
      </c>
      <c r="Z487">
        <f>'[1]2026 Orders'!X488</f>
        <v>0</v>
      </c>
      <c r="AC487" t="str">
        <f t="shared" si="14"/>
        <v/>
      </c>
      <c r="AD487" t="str">
        <f t="shared" si="15"/>
        <v/>
      </c>
    </row>
    <row r="488" spans="1:30" ht="33" hidden="1" customHeight="1" x14ac:dyDescent="0.3">
      <c r="A488">
        <f>'[1]2026 Orders'!A489</f>
        <v>0</v>
      </c>
      <c r="B488" s="14">
        <f>'[1]2026 Orders'!B489</f>
        <v>0</v>
      </c>
      <c r="C488" s="14">
        <f>'[1]2026 Orders'!C489</f>
        <v>0</v>
      </c>
      <c r="D488" s="14">
        <f>'[1]2026 Orders'!D489</f>
        <v>0</v>
      </c>
      <c r="E488" s="17" t="str" cm="1">
        <f t="array" ref="E488">IF(C488=0,"",
HYPERLINK(
"#'2026 Orders'!C"&amp;
MATCH(1,
('2026 Orders'!C:C=C488)*
('2026 Orders'!G:G=G488)*
('2026 Orders'!N:N=N488),
0),
"Open "&amp;C488
))</f>
        <v/>
      </c>
      <c r="F488" s="14">
        <f>'[1]2026 Orders'!F489</f>
        <v>0</v>
      </c>
      <c r="G488" s="14">
        <f>'[1]2026 Orders'!G489</f>
        <v>0</v>
      </c>
      <c r="H488" s="14" t="str" cm="1">
        <f t="array" ref="H488">IFERROR(_xlfn.TEXTJOIN("-",,INDEX(_xlfn.TEXTSPLIT(TableTake[[#This Row],[SKU]],"-"),{1,2})),"")</f>
        <v/>
      </c>
      <c r="I488" s="15" t="str">
        <f>IFERROR(_xlfn.TEXTAFTER(TableTake[[#This Row],[SKU]],"-",-1),"")</f>
        <v/>
      </c>
      <c r="J488" s="14">
        <f>'[1]2026 Orders'!H489</f>
        <v>0</v>
      </c>
      <c r="K488">
        <f>'[1]2026 Orders'!I489</f>
        <v>0</v>
      </c>
      <c r="L488">
        <f>'[1]2026 Orders'!J489</f>
        <v>0</v>
      </c>
      <c r="N488" s="10">
        <f>'[1]2026 Orders'!L489</f>
        <v>0</v>
      </c>
      <c r="O488">
        <f>'[1]2026 Orders'!M489</f>
        <v>0</v>
      </c>
      <c r="P488">
        <f>'[1]2026 Orders'!N489</f>
        <v>0</v>
      </c>
      <c r="Q488">
        <f>'[1]2026 Orders'!O489</f>
        <v>0</v>
      </c>
      <c r="R488">
        <f>'[1]2026 Orders'!P489</f>
        <v>0</v>
      </c>
      <c r="S488">
        <f>'[1]2026 Orders'!Q489</f>
        <v>0</v>
      </c>
      <c r="T488">
        <f>'[1]2026 Orders'!R489</f>
        <v>0</v>
      </c>
      <c r="U488">
        <f>'[1]2026 Orders'!S489</f>
        <v>0</v>
      </c>
      <c r="V488">
        <f>'[1]2026 Orders'!T489</f>
        <v>0</v>
      </c>
      <c r="W488">
        <f>'[1]2026 Orders'!U489</f>
        <v>0</v>
      </c>
      <c r="X488">
        <f>'[1]2026 Orders'!V489</f>
        <v>0</v>
      </c>
      <c r="Y488">
        <f>'[1]2026 Orders'!W489</f>
        <v>0</v>
      </c>
      <c r="Z488">
        <f>'[1]2026 Orders'!X489</f>
        <v>0</v>
      </c>
      <c r="AC488" t="str">
        <f t="shared" si="14"/>
        <v/>
      </c>
      <c r="AD488" t="str">
        <f t="shared" si="15"/>
        <v/>
      </c>
    </row>
    <row r="489" spans="1:30" ht="33" hidden="1" customHeight="1" x14ac:dyDescent="0.3">
      <c r="A489">
        <f>'[1]2026 Orders'!A490</f>
        <v>0</v>
      </c>
      <c r="B489" s="14">
        <f>'[1]2026 Orders'!B490</f>
        <v>0</v>
      </c>
      <c r="C489" s="14">
        <f>'[1]2026 Orders'!C490</f>
        <v>0</v>
      </c>
      <c r="D489" s="14">
        <f>'[1]2026 Orders'!D490</f>
        <v>0</v>
      </c>
      <c r="E489" s="17" t="str" cm="1">
        <f t="array" ref="E489">IF(C489=0,"",
HYPERLINK(
"#'2026 Orders'!C"&amp;
MATCH(1,
('2026 Orders'!C:C=C489)*
('2026 Orders'!G:G=G489)*
('2026 Orders'!N:N=N489),
0),
"Open "&amp;C489
))</f>
        <v/>
      </c>
      <c r="F489" s="14">
        <f>'[1]2026 Orders'!F490</f>
        <v>0</v>
      </c>
      <c r="G489" s="14">
        <f>'[1]2026 Orders'!G490</f>
        <v>0</v>
      </c>
      <c r="H489" s="14" t="str" cm="1">
        <f t="array" ref="H489">IFERROR(_xlfn.TEXTJOIN("-",,INDEX(_xlfn.TEXTSPLIT(TableTake[[#This Row],[SKU]],"-"),{1,2})),"")</f>
        <v/>
      </c>
      <c r="I489" s="15" t="str">
        <f>IFERROR(_xlfn.TEXTAFTER(TableTake[[#This Row],[SKU]],"-",-1),"")</f>
        <v/>
      </c>
      <c r="J489" s="14">
        <f>'[1]2026 Orders'!H490</f>
        <v>0</v>
      </c>
      <c r="K489">
        <f>'[1]2026 Orders'!I490</f>
        <v>0</v>
      </c>
      <c r="L489">
        <f>'[1]2026 Orders'!J490</f>
        <v>0</v>
      </c>
      <c r="N489" s="10">
        <f>'[1]2026 Orders'!L490</f>
        <v>0</v>
      </c>
      <c r="O489">
        <f>'[1]2026 Orders'!M490</f>
        <v>0</v>
      </c>
      <c r="P489">
        <f>'[1]2026 Orders'!N490</f>
        <v>0</v>
      </c>
      <c r="Q489">
        <f>'[1]2026 Orders'!O490</f>
        <v>0</v>
      </c>
      <c r="R489">
        <f>'[1]2026 Orders'!P490</f>
        <v>0</v>
      </c>
      <c r="S489">
        <f>'[1]2026 Orders'!Q490</f>
        <v>0</v>
      </c>
      <c r="T489">
        <f>'[1]2026 Orders'!R490</f>
        <v>0</v>
      </c>
      <c r="U489">
        <f>'[1]2026 Orders'!S490</f>
        <v>0</v>
      </c>
      <c r="V489">
        <f>'[1]2026 Orders'!T490</f>
        <v>0</v>
      </c>
      <c r="W489">
        <f>'[1]2026 Orders'!U490</f>
        <v>0</v>
      </c>
      <c r="X489">
        <f>'[1]2026 Orders'!V490</f>
        <v>0</v>
      </c>
      <c r="Y489">
        <f>'[1]2026 Orders'!W490</f>
        <v>0</v>
      </c>
      <c r="Z489">
        <f>'[1]2026 Orders'!X490</f>
        <v>0</v>
      </c>
      <c r="AC489" t="str">
        <f t="shared" si="14"/>
        <v/>
      </c>
      <c r="AD489" t="str">
        <f t="shared" si="15"/>
        <v/>
      </c>
    </row>
    <row r="490" spans="1:30" ht="33" hidden="1" customHeight="1" x14ac:dyDescent="0.3">
      <c r="A490">
        <f>'[1]2026 Orders'!A491</f>
        <v>0</v>
      </c>
      <c r="B490" s="14">
        <f>'[1]2026 Orders'!B491</f>
        <v>0</v>
      </c>
      <c r="C490" s="14">
        <f>'[1]2026 Orders'!C491</f>
        <v>0</v>
      </c>
      <c r="D490" s="14">
        <f>'[1]2026 Orders'!D491</f>
        <v>0</v>
      </c>
      <c r="E490" s="17" t="str" cm="1">
        <f t="array" ref="E490">IF(C490=0,"",
HYPERLINK(
"#'2026 Orders'!C"&amp;
MATCH(1,
('2026 Orders'!C:C=C490)*
('2026 Orders'!G:G=G490)*
('2026 Orders'!N:N=N490),
0),
"Open "&amp;C490
))</f>
        <v/>
      </c>
      <c r="F490" s="14">
        <f>'[1]2026 Orders'!F491</f>
        <v>0</v>
      </c>
      <c r="G490" s="14">
        <f>'[1]2026 Orders'!G491</f>
        <v>0</v>
      </c>
      <c r="H490" s="14" t="str" cm="1">
        <f t="array" ref="H490">IFERROR(_xlfn.TEXTJOIN("-",,INDEX(_xlfn.TEXTSPLIT(TableTake[[#This Row],[SKU]],"-"),{1,2})),"")</f>
        <v/>
      </c>
      <c r="I490" s="15" t="str">
        <f>IFERROR(_xlfn.TEXTAFTER(TableTake[[#This Row],[SKU]],"-",-1),"")</f>
        <v/>
      </c>
      <c r="J490" s="14">
        <f>'[1]2026 Orders'!H491</f>
        <v>0</v>
      </c>
      <c r="K490">
        <f>'[1]2026 Orders'!I491</f>
        <v>0</v>
      </c>
      <c r="L490">
        <f>'[1]2026 Orders'!J491</f>
        <v>0</v>
      </c>
      <c r="N490" s="10">
        <f>'[1]2026 Orders'!L491</f>
        <v>0</v>
      </c>
      <c r="O490">
        <f>'[1]2026 Orders'!M491</f>
        <v>0</v>
      </c>
      <c r="P490">
        <f>'[1]2026 Orders'!N491</f>
        <v>0</v>
      </c>
      <c r="Q490">
        <f>'[1]2026 Orders'!O491</f>
        <v>0</v>
      </c>
      <c r="R490">
        <f>'[1]2026 Orders'!P491</f>
        <v>0</v>
      </c>
      <c r="S490">
        <f>'[1]2026 Orders'!Q491</f>
        <v>0</v>
      </c>
      <c r="T490">
        <f>'[1]2026 Orders'!R491</f>
        <v>0</v>
      </c>
      <c r="U490">
        <f>'[1]2026 Orders'!S491</f>
        <v>0</v>
      </c>
      <c r="V490">
        <f>'[1]2026 Orders'!T491</f>
        <v>0</v>
      </c>
      <c r="W490">
        <f>'[1]2026 Orders'!U491</f>
        <v>0</v>
      </c>
      <c r="X490">
        <f>'[1]2026 Orders'!V491</f>
        <v>0</v>
      </c>
      <c r="Y490">
        <f>'[1]2026 Orders'!W491</f>
        <v>0</v>
      </c>
      <c r="Z490">
        <f>'[1]2026 Orders'!X491</f>
        <v>0</v>
      </c>
      <c r="AC490" t="str">
        <f t="shared" si="14"/>
        <v/>
      </c>
      <c r="AD490" t="str">
        <f t="shared" si="15"/>
        <v/>
      </c>
    </row>
    <row r="491" spans="1:30" ht="33" hidden="1" customHeight="1" x14ac:dyDescent="0.3">
      <c r="A491">
        <f>'[1]2026 Orders'!A492</f>
        <v>0</v>
      </c>
      <c r="B491" s="14">
        <f>'[1]2026 Orders'!B492</f>
        <v>0</v>
      </c>
      <c r="C491" s="14">
        <f>'[1]2026 Orders'!C492</f>
        <v>0</v>
      </c>
      <c r="D491" s="14">
        <f>'[1]2026 Orders'!D492</f>
        <v>0</v>
      </c>
      <c r="E491" s="17" t="str" cm="1">
        <f t="array" ref="E491">IF(C491=0,"",
HYPERLINK(
"#'2026 Orders'!C"&amp;
MATCH(1,
('2026 Orders'!C:C=C491)*
('2026 Orders'!G:G=G491)*
('2026 Orders'!N:N=N491),
0),
"Open "&amp;C491
))</f>
        <v/>
      </c>
      <c r="F491" s="14">
        <f>'[1]2026 Orders'!F492</f>
        <v>0</v>
      </c>
      <c r="G491" s="14">
        <f>'[1]2026 Orders'!G492</f>
        <v>0</v>
      </c>
      <c r="H491" s="14" t="str" cm="1">
        <f t="array" ref="H491">IFERROR(_xlfn.TEXTJOIN("-",,INDEX(_xlfn.TEXTSPLIT(TableTake[[#This Row],[SKU]],"-"),{1,2})),"")</f>
        <v/>
      </c>
      <c r="I491" s="15" t="str">
        <f>IFERROR(_xlfn.TEXTAFTER(TableTake[[#This Row],[SKU]],"-",-1),"")</f>
        <v/>
      </c>
      <c r="J491" s="14">
        <f>'[1]2026 Orders'!H492</f>
        <v>0</v>
      </c>
      <c r="K491">
        <f>'[1]2026 Orders'!I492</f>
        <v>0</v>
      </c>
      <c r="L491">
        <f>'[1]2026 Orders'!J492</f>
        <v>0</v>
      </c>
      <c r="N491" s="10">
        <f>'[1]2026 Orders'!L492</f>
        <v>0</v>
      </c>
      <c r="O491">
        <f>'[1]2026 Orders'!M492</f>
        <v>0</v>
      </c>
      <c r="P491">
        <f>'[1]2026 Orders'!N492</f>
        <v>0</v>
      </c>
      <c r="Q491">
        <f>'[1]2026 Orders'!O492</f>
        <v>0</v>
      </c>
      <c r="R491">
        <f>'[1]2026 Orders'!P492</f>
        <v>0</v>
      </c>
      <c r="S491">
        <f>'[1]2026 Orders'!Q492</f>
        <v>0</v>
      </c>
      <c r="T491">
        <f>'[1]2026 Orders'!R492</f>
        <v>0</v>
      </c>
      <c r="U491">
        <f>'[1]2026 Orders'!S492</f>
        <v>0</v>
      </c>
      <c r="V491">
        <f>'[1]2026 Orders'!T492</f>
        <v>0</v>
      </c>
      <c r="W491">
        <f>'[1]2026 Orders'!U492</f>
        <v>0</v>
      </c>
      <c r="X491">
        <f>'[1]2026 Orders'!V492</f>
        <v>0</v>
      </c>
      <c r="Y491">
        <f>'[1]2026 Orders'!W492</f>
        <v>0</v>
      </c>
      <c r="Z491">
        <f>'[1]2026 Orders'!X492</f>
        <v>0</v>
      </c>
      <c r="AC491" t="str">
        <f t="shared" si="14"/>
        <v/>
      </c>
      <c r="AD491" t="str">
        <f t="shared" si="15"/>
        <v/>
      </c>
    </row>
    <row r="492" spans="1:30" ht="33" hidden="1" customHeight="1" x14ac:dyDescent="0.3">
      <c r="A492">
        <f>'[1]2026 Orders'!A493</f>
        <v>0</v>
      </c>
      <c r="B492" s="14">
        <f>'[1]2026 Orders'!B493</f>
        <v>0</v>
      </c>
      <c r="C492" s="14">
        <f>'[1]2026 Orders'!C493</f>
        <v>0</v>
      </c>
      <c r="D492" s="14">
        <f>'[1]2026 Orders'!D493</f>
        <v>0</v>
      </c>
      <c r="E492" s="17" t="str" cm="1">
        <f t="array" ref="E492">IF(C492=0,"",
HYPERLINK(
"#'2026 Orders'!C"&amp;
MATCH(1,
('2026 Orders'!C:C=C492)*
('2026 Orders'!G:G=G492)*
('2026 Orders'!N:N=N492),
0),
"Open "&amp;C492
))</f>
        <v/>
      </c>
      <c r="F492" s="14">
        <f>'[1]2026 Orders'!F493</f>
        <v>0</v>
      </c>
      <c r="G492" s="14">
        <f>'[1]2026 Orders'!G493</f>
        <v>0</v>
      </c>
      <c r="H492" s="14" t="str" cm="1">
        <f t="array" ref="H492">IFERROR(_xlfn.TEXTJOIN("-",,INDEX(_xlfn.TEXTSPLIT(TableTake[[#This Row],[SKU]],"-"),{1,2})),"")</f>
        <v/>
      </c>
      <c r="I492" s="15" t="str">
        <f>IFERROR(_xlfn.TEXTAFTER(TableTake[[#This Row],[SKU]],"-",-1),"")</f>
        <v/>
      </c>
      <c r="J492" s="14">
        <f>'[1]2026 Orders'!H493</f>
        <v>0</v>
      </c>
      <c r="K492">
        <f>'[1]2026 Orders'!I493</f>
        <v>0</v>
      </c>
      <c r="L492">
        <f>'[1]2026 Orders'!J493</f>
        <v>0</v>
      </c>
      <c r="N492" s="10">
        <f>'[1]2026 Orders'!L493</f>
        <v>0</v>
      </c>
      <c r="O492">
        <f>'[1]2026 Orders'!M493</f>
        <v>0</v>
      </c>
      <c r="P492">
        <f>'[1]2026 Orders'!N493</f>
        <v>0</v>
      </c>
      <c r="Q492">
        <f>'[1]2026 Orders'!O493</f>
        <v>0</v>
      </c>
      <c r="R492">
        <f>'[1]2026 Orders'!P493</f>
        <v>0</v>
      </c>
      <c r="S492">
        <f>'[1]2026 Orders'!Q493</f>
        <v>0</v>
      </c>
      <c r="T492">
        <f>'[1]2026 Orders'!R493</f>
        <v>0</v>
      </c>
      <c r="U492">
        <f>'[1]2026 Orders'!S493</f>
        <v>0</v>
      </c>
      <c r="V492">
        <f>'[1]2026 Orders'!T493</f>
        <v>0</v>
      </c>
      <c r="W492">
        <f>'[1]2026 Orders'!U493</f>
        <v>0</v>
      </c>
      <c r="X492">
        <f>'[1]2026 Orders'!V493</f>
        <v>0</v>
      </c>
      <c r="Y492">
        <f>'[1]2026 Orders'!W493</f>
        <v>0</v>
      </c>
      <c r="Z492">
        <f>'[1]2026 Orders'!X493</f>
        <v>0</v>
      </c>
      <c r="AC492" t="str">
        <f t="shared" si="14"/>
        <v/>
      </c>
      <c r="AD492" t="str">
        <f t="shared" si="15"/>
        <v/>
      </c>
    </row>
    <row r="493" spans="1:30" ht="33" hidden="1" customHeight="1" x14ac:dyDescent="0.3">
      <c r="A493">
        <f>'[1]2026 Orders'!A494</f>
        <v>0</v>
      </c>
      <c r="B493" s="14">
        <f>'[1]2026 Orders'!B494</f>
        <v>0</v>
      </c>
      <c r="C493" s="14">
        <f>'[1]2026 Orders'!C494</f>
        <v>0</v>
      </c>
      <c r="D493" s="14">
        <f>'[1]2026 Orders'!D494</f>
        <v>0</v>
      </c>
      <c r="E493" s="17" t="str" cm="1">
        <f t="array" ref="E493">IF(C493=0,"",
HYPERLINK(
"#'2026 Orders'!C"&amp;
MATCH(1,
('2026 Orders'!C:C=C493)*
('2026 Orders'!G:G=G493)*
('2026 Orders'!N:N=N493),
0),
"Open "&amp;C493
))</f>
        <v/>
      </c>
      <c r="F493" s="14">
        <f>'[1]2026 Orders'!F494</f>
        <v>0</v>
      </c>
      <c r="G493" s="14">
        <f>'[1]2026 Orders'!G494</f>
        <v>0</v>
      </c>
      <c r="H493" s="14" t="str" cm="1">
        <f t="array" ref="H493">IFERROR(_xlfn.TEXTJOIN("-",,INDEX(_xlfn.TEXTSPLIT(TableTake[[#This Row],[SKU]],"-"),{1,2})),"")</f>
        <v/>
      </c>
      <c r="I493" s="15" t="str">
        <f>IFERROR(_xlfn.TEXTAFTER(TableTake[[#This Row],[SKU]],"-",-1),"")</f>
        <v/>
      </c>
      <c r="J493" s="14">
        <f>'[1]2026 Orders'!H494</f>
        <v>0</v>
      </c>
      <c r="K493">
        <f>'[1]2026 Orders'!I494</f>
        <v>0</v>
      </c>
      <c r="L493">
        <f>'[1]2026 Orders'!J494</f>
        <v>0</v>
      </c>
      <c r="N493" s="10">
        <f>'[1]2026 Orders'!L494</f>
        <v>0</v>
      </c>
      <c r="O493">
        <f>'[1]2026 Orders'!M494</f>
        <v>0</v>
      </c>
      <c r="P493">
        <f>'[1]2026 Orders'!N494</f>
        <v>0</v>
      </c>
      <c r="Q493">
        <f>'[1]2026 Orders'!O494</f>
        <v>0</v>
      </c>
      <c r="R493">
        <f>'[1]2026 Orders'!P494</f>
        <v>0</v>
      </c>
      <c r="S493">
        <f>'[1]2026 Orders'!Q494</f>
        <v>0</v>
      </c>
      <c r="T493">
        <f>'[1]2026 Orders'!R494</f>
        <v>0</v>
      </c>
      <c r="U493">
        <f>'[1]2026 Orders'!S494</f>
        <v>0</v>
      </c>
      <c r="V493">
        <f>'[1]2026 Orders'!T494</f>
        <v>0</v>
      </c>
      <c r="W493">
        <f>'[1]2026 Orders'!U494</f>
        <v>0</v>
      </c>
      <c r="X493">
        <f>'[1]2026 Orders'!V494</f>
        <v>0</v>
      </c>
      <c r="Y493">
        <f>'[1]2026 Orders'!W494</f>
        <v>0</v>
      </c>
      <c r="Z493">
        <f>'[1]2026 Orders'!X494</f>
        <v>0</v>
      </c>
      <c r="AC493" t="str">
        <f t="shared" si="14"/>
        <v/>
      </c>
      <c r="AD493" t="str">
        <f t="shared" si="15"/>
        <v/>
      </c>
    </row>
    <row r="494" spans="1:30" ht="33" hidden="1" customHeight="1" x14ac:dyDescent="0.3">
      <c r="A494">
        <f>'[1]2026 Orders'!A495</f>
        <v>0</v>
      </c>
      <c r="B494" s="14">
        <f>'[1]2026 Orders'!B495</f>
        <v>0</v>
      </c>
      <c r="C494" s="14">
        <f>'[1]2026 Orders'!C495</f>
        <v>0</v>
      </c>
      <c r="D494" s="14">
        <f>'[1]2026 Orders'!D495</f>
        <v>0</v>
      </c>
      <c r="E494" s="17" t="str" cm="1">
        <f t="array" ref="E494">IF(C494=0,"",
HYPERLINK(
"#'2026 Orders'!C"&amp;
MATCH(1,
('2026 Orders'!C:C=C494)*
('2026 Orders'!G:G=G494)*
('2026 Orders'!N:N=N494),
0),
"Open "&amp;C494
))</f>
        <v/>
      </c>
      <c r="F494" s="14">
        <f>'[1]2026 Orders'!F495</f>
        <v>0</v>
      </c>
      <c r="G494" s="14">
        <f>'[1]2026 Orders'!G495</f>
        <v>0</v>
      </c>
      <c r="H494" s="14" t="str" cm="1">
        <f t="array" ref="H494">IFERROR(_xlfn.TEXTJOIN("-",,INDEX(_xlfn.TEXTSPLIT(TableTake[[#This Row],[SKU]],"-"),{1,2})),"")</f>
        <v/>
      </c>
      <c r="I494" s="15" t="str">
        <f>IFERROR(_xlfn.TEXTAFTER(TableTake[[#This Row],[SKU]],"-",-1),"")</f>
        <v/>
      </c>
      <c r="J494" s="14">
        <f>'[1]2026 Orders'!H495</f>
        <v>0</v>
      </c>
      <c r="K494">
        <f>'[1]2026 Orders'!I495</f>
        <v>0</v>
      </c>
      <c r="L494">
        <f>'[1]2026 Orders'!J495</f>
        <v>0</v>
      </c>
      <c r="N494" s="10">
        <f>'[1]2026 Orders'!L495</f>
        <v>0</v>
      </c>
      <c r="O494">
        <f>'[1]2026 Orders'!M495</f>
        <v>0</v>
      </c>
      <c r="P494">
        <f>'[1]2026 Orders'!N495</f>
        <v>0</v>
      </c>
      <c r="Q494">
        <f>'[1]2026 Orders'!O495</f>
        <v>0</v>
      </c>
      <c r="R494">
        <f>'[1]2026 Orders'!P495</f>
        <v>0</v>
      </c>
      <c r="S494">
        <f>'[1]2026 Orders'!Q495</f>
        <v>0</v>
      </c>
      <c r="T494">
        <f>'[1]2026 Orders'!R495</f>
        <v>0</v>
      </c>
      <c r="U494">
        <f>'[1]2026 Orders'!S495</f>
        <v>0</v>
      </c>
      <c r="V494">
        <f>'[1]2026 Orders'!T495</f>
        <v>0</v>
      </c>
      <c r="W494">
        <f>'[1]2026 Orders'!U495</f>
        <v>0</v>
      </c>
      <c r="X494">
        <f>'[1]2026 Orders'!V495</f>
        <v>0</v>
      </c>
      <c r="Y494">
        <f>'[1]2026 Orders'!W495</f>
        <v>0</v>
      </c>
      <c r="Z494">
        <f>'[1]2026 Orders'!X495</f>
        <v>0</v>
      </c>
      <c r="AC494" t="str">
        <f t="shared" si="14"/>
        <v/>
      </c>
      <c r="AD494" t="str">
        <f t="shared" si="15"/>
        <v/>
      </c>
    </row>
    <row r="495" spans="1:30" ht="33" hidden="1" customHeight="1" x14ac:dyDescent="0.3">
      <c r="A495">
        <f>'[1]2026 Orders'!A496</f>
        <v>0</v>
      </c>
      <c r="B495" s="14">
        <f>'[1]2026 Orders'!B496</f>
        <v>0</v>
      </c>
      <c r="C495" s="14">
        <f>'[1]2026 Orders'!C496</f>
        <v>0</v>
      </c>
      <c r="D495" s="14">
        <f>'[1]2026 Orders'!D496</f>
        <v>0</v>
      </c>
      <c r="E495" s="17" t="str" cm="1">
        <f t="array" ref="E495">IF(C495=0,"",
HYPERLINK(
"#'2026 Orders'!C"&amp;
MATCH(1,
('2026 Orders'!C:C=C495)*
('2026 Orders'!G:G=G495)*
('2026 Orders'!N:N=N495),
0),
"Open "&amp;C495
))</f>
        <v/>
      </c>
      <c r="F495" s="14">
        <f>'[1]2026 Orders'!F496</f>
        <v>0</v>
      </c>
      <c r="G495" s="14">
        <f>'[1]2026 Orders'!G496</f>
        <v>0</v>
      </c>
      <c r="H495" s="14" t="str" cm="1">
        <f t="array" ref="H495">IFERROR(_xlfn.TEXTJOIN("-",,INDEX(_xlfn.TEXTSPLIT(TableTake[[#This Row],[SKU]],"-"),{1,2})),"")</f>
        <v/>
      </c>
      <c r="I495" s="15" t="str">
        <f>IFERROR(_xlfn.TEXTAFTER(TableTake[[#This Row],[SKU]],"-",-1),"")</f>
        <v/>
      </c>
      <c r="J495" s="14">
        <f>'[1]2026 Orders'!H496</f>
        <v>0</v>
      </c>
      <c r="K495">
        <f>'[1]2026 Orders'!I496</f>
        <v>0</v>
      </c>
      <c r="L495">
        <f>'[1]2026 Orders'!J496</f>
        <v>0</v>
      </c>
      <c r="N495" s="10">
        <f>'[1]2026 Orders'!L496</f>
        <v>0</v>
      </c>
      <c r="O495">
        <f>'[1]2026 Orders'!M496</f>
        <v>0</v>
      </c>
      <c r="P495">
        <f>'[1]2026 Orders'!N496</f>
        <v>0</v>
      </c>
      <c r="Q495">
        <f>'[1]2026 Orders'!O496</f>
        <v>0</v>
      </c>
      <c r="R495">
        <f>'[1]2026 Orders'!P496</f>
        <v>0</v>
      </c>
      <c r="S495">
        <f>'[1]2026 Orders'!Q496</f>
        <v>0</v>
      </c>
      <c r="T495">
        <f>'[1]2026 Orders'!R496</f>
        <v>0</v>
      </c>
      <c r="U495">
        <f>'[1]2026 Orders'!S496</f>
        <v>0</v>
      </c>
      <c r="V495">
        <f>'[1]2026 Orders'!T496</f>
        <v>0</v>
      </c>
      <c r="W495">
        <f>'[1]2026 Orders'!U496</f>
        <v>0</v>
      </c>
      <c r="X495">
        <f>'[1]2026 Orders'!V496</f>
        <v>0</v>
      </c>
      <c r="Y495">
        <f>'[1]2026 Orders'!W496</f>
        <v>0</v>
      </c>
      <c r="Z495">
        <f>'[1]2026 Orders'!X496</f>
        <v>0</v>
      </c>
      <c r="AC495" t="str">
        <f t="shared" si="14"/>
        <v/>
      </c>
      <c r="AD495" t="str">
        <f t="shared" si="15"/>
        <v/>
      </c>
    </row>
    <row r="496" spans="1:30" ht="33" hidden="1" customHeight="1" x14ac:dyDescent="0.3">
      <c r="A496">
        <f>'[1]2026 Orders'!A497</f>
        <v>0</v>
      </c>
      <c r="B496" s="14">
        <f>'[1]2026 Orders'!B497</f>
        <v>0</v>
      </c>
      <c r="C496" s="14">
        <f>'[1]2026 Orders'!C497</f>
        <v>0</v>
      </c>
      <c r="D496" s="14">
        <f>'[1]2026 Orders'!D497</f>
        <v>0</v>
      </c>
      <c r="E496" s="17" t="str" cm="1">
        <f t="array" ref="E496">IF(C496=0,"",
HYPERLINK(
"#'2026 Orders'!C"&amp;
MATCH(1,
('2026 Orders'!C:C=C496)*
('2026 Orders'!G:G=G496)*
('2026 Orders'!N:N=N496),
0),
"Open "&amp;C496
))</f>
        <v/>
      </c>
      <c r="F496" s="14">
        <f>'[1]2026 Orders'!F497</f>
        <v>0</v>
      </c>
      <c r="G496" s="14">
        <f>'[1]2026 Orders'!G497</f>
        <v>0</v>
      </c>
      <c r="H496" s="14" t="str" cm="1">
        <f t="array" ref="H496">IFERROR(_xlfn.TEXTJOIN("-",,INDEX(_xlfn.TEXTSPLIT(TableTake[[#This Row],[SKU]],"-"),{1,2})),"")</f>
        <v/>
      </c>
      <c r="I496" s="15" t="str">
        <f>IFERROR(_xlfn.TEXTAFTER(TableTake[[#This Row],[SKU]],"-",-1),"")</f>
        <v/>
      </c>
      <c r="J496" s="14">
        <f>'[1]2026 Orders'!H497</f>
        <v>0</v>
      </c>
      <c r="K496">
        <f>'[1]2026 Orders'!I497</f>
        <v>0</v>
      </c>
      <c r="L496">
        <f>'[1]2026 Orders'!J497</f>
        <v>0</v>
      </c>
      <c r="N496" s="10">
        <f>'[1]2026 Orders'!L497</f>
        <v>0</v>
      </c>
      <c r="O496">
        <f>'[1]2026 Orders'!M497</f>
        <v>0</v>
      </c>
      <c r="P496">
        <f>'[1]2026 Orders'!N497</f>
        <v>0</v>
      </c>
      <c r="Q496">
        <f>'[1]2026 Orders'!O497</f>
        <v>0</v>
      </c>
      <c r="R496">
        <f>'[1]2026 Orders'!P497</f>
        <v>0</v>
      </c>
      <c r="S496">
        <f>'[1]2026 Orders'!Q497</f>
        <v>0</v>
      </c>
      <c r="T496">
        <f>'[1]2026 Orders'!R497</f>
        <v>0</v>
      </c>
      <c r="U496">
        <f>'[1]2026 Orders'!S497</f>
        <v>0</v>
      </c>
      <c r="V496">
        <f>'[1]2026 Orders'!T497</f>
        <v>0</v>
      </c>
      <c r="W496">
        <f>'[1]2026 Orders'!U497</f>
        <v>0</v>
      </c>
      <c r="X496">
        <f>'[1]2026 Orders'!V497</f>
        <v>0</v>
      </c>
      <c r="Y496">
        <f>'[1]2026 Orders'!W497</f>
        <v>0</v>
      </c>
      <c r="Z496">
        <f>'[1]2026 Orders'!X497</f>
        <v>0</v>
      </c>
      <c r="AC496" t="str">
        <f t="shared" si="14"/>
        <v/>
      </c>
      <c r="AD496" t="str">
        <f t="shared" si="15"/>
        <v/>
      </c>
    </row>
    <row r="497" spans="1:30" ht="33" hidden="1" customHeight="1" x14ac:dyDescent="0.3">
      <c r="A497">
        <f>'[1]2026 Orders'!A498</f>
        <v>0</v>
      </c>
      <c r="B497" s="14">
        <f>'[1]2026 Orders'!B498</f>
        <v>0</v>
      </c>
      <c r="C497" s="14">
        <f>'[1]2026 Orders'!C498</f>
        <v>0</v>
      </c>
      <c r="D497" s="14">
        <f>'[1]2026 Orders'!D498</f>
        <v>0</v>
      </c>
      <c r="E497" s="17" t="str" cm="1">
        <f t="array" ref="E497">IF(C497=0,"",
HYPERLINK(
"#'2026 Orders'!C"&amp;
MATCH(1,
('2026 Orders'!C:C=C497)*
('2026 Orders'!G:G=G497)*
('2026 Orders'!N:N=N497),
0),
"Open "&amp;C497
))</f>
        <v/>
      </c>
      <c r="F497" s="14">
        <f>'[1]2026 Orders'!F498</f>
        <v>0</v>
      </c>
      <c r="G497" s="14">
        <f>'[1]2026 Orders'!G498</f>
        <v>0</v>
      </c>
      <c r="H497" s="14" t="str" cm="1">
        <f t="array" ref="H497">IFERROR(_xlfn.TEXTJOIN("-",,INDEX(_xlfn.TEXTSPLIT(TableTake[[#This Row],[SKU]],"-"),{1,2})),"")</f>
        <v/>
      </c>
      <c r="I497" s="15" t="str">
        <f>IFERROR(_xlfn.TEXTAFTER(TableTake[[#This Row],[SKU]],"-",-1),"")</f>
        <v/>
      </c>
      <c r="J497" s="14">
        <f>'[1]2026 Orders'!H498</f>
        <v>0</v>
      </c>
      <c r="K497">
        <f>'[1]2026 Orders'!I498</f>
        <v>0</v>
      </c>
      <c r="L497">
        <f>'[1]2026 Orders'!J498</f>
        <v>0</v>
      </c>
      <c r="N497" s="10">
        <f>'[1]2026 Orders'!L498</f>
        <v>0</v>
      </c>
      <c r="O497">
        <f>'[1]2026 Orders'!M498</f>
        <v>0</v>
      </c>
      <c r="P497">
        <f>'[1]2026 Orders'!N498</f>
        <v>0</v>
      </c>
      <c r="Q497">
        <f>'[1]2026 Orders'!O498</f>
        <v>0</v>
      </c>
      <c r="R497">
        <f>'[1]2026 Orders'!P498</f>
        <v>0</v>
      </c>
      <c r="S497">
        <f>'[1]2026 Orders'!Q498</f>
        <v>0</v>
      </c>
      <c r="T497">
        <f>'[1]2026 Orders'!R498</f>
        <v>0</v>
      </c>
      <c r="U497">
        <f>'[1]2026 Orders'!S498</f>
        <v>0</v>
      </c>
      <c r="V497">
        <f>'[1]2026 Orders'!T498</f>
        <v>0</v>
      </c>
      <c r="W497">
        <f>'[1]2026 Orders'!U498</f>
        <v>0</v>
      </c>
      <c r="X497">
        <f>'[1]2026 Orders'!V498</f>
        <v>0</v>
      </c>
      <c r="Y497">
        <f>'[1]2026 Orders'!W498</f>
        <v>0</v>
      </c>
      <c r="Z497">
        <f>'[1]2026 Orders'!X498</f>
        <v>0</v>
      </c>
      <c r="AC497" t="str">
        <f t="shared" si="14"/>
        <v/>
      </c>
      <c r="AD497" t="str">
        <f t="shared" si="15"/>
        <v/>
      </c>
    </row>
    <row r="498" spans="1:30" ht="33" hidden="1" customHeight="1" x14ac:dyDescent="0.3">
      <c r="A498">
        <f>'[1]2026 Orders'!A499</f>
        <v>0</v>
      </c>
      <c r="B498" s="14">
        <f>'[1]2026 Orders'!B499</f>
        <v>0</v>
      </c>
      <c r="C498" s="14">
        <f>'[1]2026 Orders'!C499</f>
        <v>0</v>
      </c>
      <c r="D498" s="14">
        <f>'[1]2026 Orders'!D499</f>
        <v>0</v>
      </c>
      <c r="E498" s="17" t="str" cm="1">
        <f t="array" ref="E498">IF(C498=0,"",
HYPERLINK(
"#'2026 Orders'!C"&amp;
MATCH(1,
('2026 Orders'!C:C=C498)*
('2026 Orders'!G:G=G498)*
('2026 Orders'!N:N=N498),
0),
"Open "&amp;C498
))</f>
        <v/>
      </c>
      <c r="F498" s="14">
        <f>'[1]2026 Orders'!F499</f>
        <v>0</v>
      </c>
      <c r="G498" s="14">
        <f>'[1]2026 Orders'!G499</f>
        <v>0</v>
      </c>
      <c r="H498" s="14" t="str" cm="1">
        <f t="array" ref="H498">IFERROR(_xlfn.TEXTJOIN("-",,INDEX(_xlfn.TEXTSPLIT(TableTake[[#This Row],[SKU]],"-"),{1,2})),"")</f>
        <v/>
      </c>
      <c r="I498" s="15" t="str">
        <f>IFERROR(_xlfn.TEXTAFTER(TableTake[[#This Row],[SKU]],"-",-1),"")</f>
        <v/>
      </c>
      <c r="J498" s="14">
        <f>'[1]2026 Orders'!H499</f>
        <v>0</v>
      </c>
      <c r="K498">
        <f>'[1]2026 Orders'!I499</f>
        <v>0</v>
      </c>
      <c r="L498">
        <f>'[1]2026 Orders'!J499</f>
        <v>0</v>
      </c>
      <c r="N498" s="10">
        <f>'[1]2026 Orders'!L499</f>
        <v>0</v>
      </c>
      <c r="O498">
        <f>'[1]2026 Orders'!M499</f>
        <v>0</v>
      </c>
      <c r="P498">
        <f>'[1]2026 Orders'!N499</f>
        <v>0</v>
      </c>
      <c r="Q498">
        <f>'[1]2026 Orders'!O499</f>
        <v>0</v>
      </c>
      <c r="R498">
        <f>'[1]2026 Orders'!P499</f>
        <v>0</v>
      </c>
      <c r="S498">
        <f>'[1]2026 Orders'!Q499</f>
        <v>0</v>
      </c>
      <c r="T498">
        <f>'[1]2026 Orders'!R499</f>
        <v>0</v>
      </c>
      <c r="U498">
        <f>'[1]2026 Orders'!S499</f>
        <v>0</v>
      </c>
      <c r="V498">
        <f>'[1]2026 Orders'!T499</f>
        <v>0</v>
      </c>
      <c r="W498">
        <f>'[1]2026 Orders'!U499</f>
        <v>0</v>
      </c>
      <c r="X498">
        <f>'[1]2026 Orders'!V499</f>
        <v>0</v>
      </c>
      <c r="Y498">
        <f>'[1]2026 Orders'!W499</f>
        <v>0</v>
      </c>
      <c r="Z498">
        <f>'[1]2026 Orders'!X499</f>
        <v>0</v>
      </c>
      <c r="AC498" t="str">
        <f t="shared" si="14"/>
        <v/>
      </c>
      <c r="AD498" t="str">
        <f t="shared" si="15"/>
        <v/>
      </c>
    </row>
    <row r="499" spans="1:30" ht="33" hidden="1" customHeight="1" x14ac:dyDescent="0.3">
      <c r="A499">
        <f>'[1]2026 Orders'!A500</f>
        <v>0</v>
      </c>
      <c r="B499" s="14">
        <f>'[1]2026 Orders'!B500</f>
        <v>0</v>
      </c>
      <c r="C499" s="14">
        <f>'[1]2026 Orders'!C500</f>
        <v>0</v>
      </c>
      <c r="D499" s="14">
        <f>'[1]2026 Orders'!D500</f>
        <v>0</v>
      </c>
      <c r="E499" s="17" t="str" cm="1">
        <f t="array" ref="E499">IF(C499=0,"",
HYPERLINK(
"#'2026 Orders'!C"&amp;
MATCH(1,
('2026 Orders'!C:C=C499)*
('2026 Orders'!G:G=G499)*
('2026 Orders'!N:N=N499),
0),
"Open "&amp;C499
))</f>
        <v/>
      </c>
      <c r="F499" s="14">
        <f>'[1]2026 Orders'!F500</f>
        <v>0</v>
      </c>
      <c r="G499" s="14">
        <f>'[1]2026 Orders'!G500</f>
        <v>0</v>
      </c>
      <c r="H499" s="14" t="str" cm="1">
        <f t="array" ref="H499">IFERROR(_xlfn.TEXTJOIN("-",,INDEX(_xlfn.TEXTSPLIT(TableTake[[#This Row],[SKU]],"-"),{1,2})),"")</f>
        <v/>
      </c>
      <c r="I499" s="15" t="str">
        <f>IFERROR(_xlfn.TEXTAFTER(TableTake[[#This Row],[SKU]],"-",-1),"")</f>
        <v/>
      </c>
      <c r="J499" s="14">
        <f>'[1]2026 Orders'!H500</f>
        <v>0</v>
      </c>
      <c r="K499">
        <f>'[1]2026 Orders'!I500</f>
        <v>0</v>
      </c>
      <c r="L499">
        <f>'[1]2026 Orders'!J500</f>
        <v>0</v>
      </c>
      <c r="N499" s="10">
        <f>'[1]2026 Orders'!L500</f>
        <v>0</v>
      </c>
      <c r="O499">
        <f>'[1]2026 Orders'!M500</f>
        <v>0</v>
      </c>
      <c r="P499">
        <f>'[1]2026 Orders'!N500</f>
        <v>0</v>
      </c>
      <c r="Q499">
        <f>'[1]2026 Orders'!O500</f>
        <v>0</v>
      </c>
      <c r="R499">
        <f>'[1]2026 Orders'!P500</f>
        <v>0</v>
      </c>
      <c r="S499">
        <f>'[1]2026 Orders'!Q500</f>
        <v>0</v>
      </c>
      <c r="T499">
        <f>'[1]2026 Orders'!R500</f>
        <v>0</v>
      </c>
      <c r="U499">
        <f>'[1]2026 Orders'!S500</f>
        <v>0</v>
      </c>
      <c r="V499">
        <f>'[1]2026 Orders'!T500</f>
        <v>0</v>
      </c>
      <c r="W499">
        <f>'[1]2026 Orders'!U500</f>
        <v>0</v>
      </c>
      <c r="X499">
        <f>'[1]2026 Orders'!V500</f>
        <v>0</v>
      </c>
      <c r="Y499">
        <f>'[1]2026 Orders'!W500</f>
        <v>0</v>
      </c>
      <c r="Z499">
        <f>'[1]2026 Orders'!X500</f>
        <v>0</v>
      </c>
      <c r="AC499" t="str">
        <f t="shared" si="14"/>
        <v/>
      </c>
      <c r="AD499" t="str">
        <f t="shared" si="15"/>
        <v/>
      </c>
    </row>
    <row r="500" spans="1:30" ht="33" hidden="1" customHeight="1" x14ac:dyDescent="0.3">
      <c r="A500">
        <f>'[1]2026 Orders'!A501</f>
        <v>0</v>
      </c>
      <c r="B500" s="14">
        <f>'[1]2026 Orders'!B501</f>
        <v>0</v>
      </c>
      <c r="C500" s="14">
        <f>'[1]2026 Orders'!C501</f>
        <v>0</v>
      </c>
      <c r="D500" s="14">
        <f>'[1]2026 Orders'!D501</f>
        <v>0</v>
      </c>
      <c r="E500" s="17" t="str" cm="1">
        <f t="array" ref="E500">IF(C500=0,"",
HYPERLINK(
"#'2026 Orders'!C"&amp;
MATCH(1,
('2026 Orders'!C:C=C500)*
('2026 Orders'!G:G=G500)*
('2026 Orders'!N:N=N500),
0),
"Open "&amp;C500
))</f>
        <v/>
      </c>
      <c r="F500" s="14">
        <f>'[1]2026 Orders'!F501</f>
        <v>0</v>
      </c>
      <c r="G500" s="14">
        <f>'[1]2026 Orders'!G501</f>
        <v>0</v>
      </c>
      <c r="H500" s="14" t="str" cm="1">
        <f t="array" ref="H500">IFERROR(_xlfn.TEXTJOIN("-",,INDEX(_xlfn.TEXTSPLIT(TableTake[[#This Row],[SKU]],"-"),{1,2})),"")</f>
        <v/>
      </c>
      <c r="I500" s="15" t="str">
        <f>IFERROR(_xlfn.TEXTAFTER(TableTake[[#This Row],[SKU]],"-",-1),"")</f>
        <v/>
      </c>
      <c r="J500" s="14">
        <f>'[1]2026 Orders'!H501</f>
        <v>0</v>
      </c>
      <c r="K500">
        <f>'[1]2026 Orders'!I501</f>
        <v>0</v>
      </c>
      <c r="L500">
        <f>'[1]2026 Orders'!J501</f>
        <v>0</v>
      </c>
      <c r="N500" s="10">
        <f>'[1]2026 Orders'!L501</f>
        <v>0</v>
      </c>
      <c r="O500">
        <f>'[1]2026 Orders'!M501</f>
        <v>0</v>
      </c>
      <c r="P500">
        <f>'[1]2026 Orders'!N501</f>
        <v>0</v>
      </c>
      <c r="Q500">
        <f>'[1]2026 Orders'!O501</f>
        <v>0</v>
      </c>
      <c r="R500">
        <f>'[1]2026 Orders'!P501</f>
        <v>0</v>
      </c>
      <c r="S500">
        <f>'[1]2026 Orders'!Q501</f>
        <v>0</v>
      </c>
      <c r="T500">
        <f>'[1]2026 Orders'!R501</f>
        <v>0</v>
      </c>
      <c r="U500">
        <f>'[1]2026 Orders'!S501</f>
        <v>0</v>
      </c>
      <c r="V500">
        <f>'[1]2026 Orders'!T501</f>
        <v>0</v>
      </c>
      <c r="W500">
        <f>'[1]2026 Orders'!U501</f>
        <v>0</v>
      </c>
      <c r="X500">
        <f>'[1]2026 Orders'!V501</f>
        <v>0</v>
      </c>
      <c r="Y500">
        <f>'[1]2026 Orders'!W501</f>
        <v>0</v>
      </c>
      <c r="Z500">
        <f>'[1]2026 Orders'!X501</f>
        <v>0</v>
      </c>
      <c r="AC500" t="str">
        <f t="shared" si="14"/>
        <v/>
      </c>
      <c r="AD500" t="str">
        <f t="shared" si="15"/>
        <v/>
      </c>
    </row>
    <row r="501" spans="1:30" ht="33" hidden="1" customHeight="1" x14ac:dyDescent="0.3">
      <c r="A501">
        <f>'[1]2026 Orders'!A502</f>
        <v>0</v>
      </c>
      <c r="B501" s="14">
        <f>'[1]2026 Orders'!B502</f>
        <v>0</v>
      </c>
      <c r="C501" s="14">
        <f>'[1]2026 Orders'!C502</f>
        <v>0</v>
      </c>
      <c r="D501" s="14">
        <f>'[1]2026 Orders'!D502</f>
        <v>0</v>
      </c>
      <c r="E501" s="17" t="str" cm="1">
        <f t="array" ref="E501">IF(C501=0,"",
HYPERLINK(
"#'2026 Orders'!C"&amp;
MATCH(1,
('2026 Orders'!C:C=C501)*
('2026 Orders'!G:G=G501)*
('2026 Orders'!N:N=N501),
0),
"Open "&amp;C501
))</f>
        <v/>
      </c>
      <c r="F501" s="14">
        <f>'[1]2026 Orders'!F502</f>
        <v>0</v>
      </c>
      <c r="G501" s="14">
        <f>'[1]2026 Orders'!G502</f>
        <v>0</v>
      </c>
      <c r="H501" s="14" t="str" cm="1">
        <f t="array" ref="H501">IFERROR(_xlfn.TEXTJOIN("-",,INDEX(_xlfn.TEXTSPLIT(TableTake[[#This Row],[SKU]],"-"),{1,2})),"")</f>
        <v/>
      </c>
      <c r="I501" s="15" t="str">
        <f>IFERROR(_xlfn.TEXTAFTER(TableTake[[#This Row],[SKU]],"-",-1),"")</f>
        <v/>
      </c>
      <c r="J501" s="14">
        <f>'[1]2026 Orders'!H502</f>
        <v>0</v>
      </c>
      <c r="K501">
        <f>'[1]2026 Orders'!I502</f>
        <v>0</v>
      </c>
      <c r="L501">
        <f>'[1]2026 Orders'!J502</f>
        <v>0</v>
      </c>
      <c r="N501" s="10">
        <f>'[1]2026 Orders'!L502</f>
        <v>0</v>
      </c>
      <c r="O501">
        <f>'[1]2026 Orders'!M502</f>
        <v>0</v>
      </c>
      <c r="P501">
        <f>'[1]2026 Orders'!N502</f>
        <v>0</v>
      </c>
      <c r="Q501">
        <f>'[1]2026 Orders'!O502</f>
        <v>0</v>
      </c>
      <c r="R501">
        <f>'[1]2026 Orders'!P502</f>
        <v>0</v>
      </c>
      <c r="S501">
        <f>'[1]2026 Orders'!Q502</f>
        <v>0</v>
      </c>
      <c r="T501">
        <f>'[1]2026 Orders'!R502</f>
        <v>0</v>
      </c>
      <c r="U501">
        <f>'[1]2026 Orders'!S502</f>
        <v>0</v>
      </c>
      <c r="V501">
        <f>'[1]2026 Orders'!T502</f>
        <v>0</v>
      </c>
      <c r="W501">
        <f>'[1]2026 Orders'!U502</f>
        <v>0</v>
      </c>
      <c r="X501">
        <f>'[1]2026 Orders'!V502</f>
        <v>0</v>
      </c>
      <c r="Y501">
        <f>'[1]2026 Orders'!W502</f>
        <v>0</v>
      </c>
      <c r="Z501">
        <f>'[1]2026 Orders'!X502</f>
        <v>0</v>
      </c>
      <c r="AC501" t="str">
        <f t="shared" si="14"/>
        <v/>
      </c>
      <c r="AD501" t="str">
        <f t="shared" si="15"/>
        <v/>
      </c>
    </row>
    <row r="502" spans="1:30" ht="33" hidden="1" customHeight="1" x14ac:dyDescent="0.3">
      <c r="A502">
        <f>'[1]2026 Orders'!A503</f>
        <v>0</v>
      </c>
      <c r="B502" s="14">
        <f>'[1]2026 Orders'!B503</f>
        <v>0</v>
      </c>
      <c r="C502" s="14">
        <f>'[1]2026 Orders'!C503</f>
        <v>0</v>
      </c>
      <c r="D502" s="14">
        <f>'[1]2026 Orders'!D503</f>
        <v>0</v>
      </c>
      <c r="E502" s="17" t="str" cm="1">
        <f t="array" ref="E502">IF(C502=0,"",
HYPERLINK(
"#'2026 Orders'!C"&amp;
MATCH(1,
('2026 Orders'!C:C=C502)*
('2026 Orders'!G:G=G502)*
('2026 Orders'!N:N=N502),
0),
"Open "&amp;C502
))</f>
        <v/>
      </c>
      <c r="F502" s="14">
        <f>'[1]2026 Orders'!F503</f>
        <v>0</v>
      </c>
      <c r="G502" s="14">
        <f>'[1]2026 Orders'!G503</f>
        <v>0</v>
      </c>
      <c r="H502" s="14" t="str" cm="1">
        <f t="array" ref="H502">IFERROR(_xlfn.TEXTJOIN("-",,INDEX(_xlfn.TEXTSPLIT(TableTake[[#This Row],[SKU]],"-"),{1,2})),"")</f>
        <v/>
      </c>
      <c r="I502" s="15" t="str">
        <f>IFERROR(_xlfn.TEXTAFTER(TableTake[[#This Row],[SKU]],"-",-1),"")</f>
        <v/>
      </c>
      <c r="J502" s="14">
        <f>'[1]2026 Orders'!H503</f>
        <v>0</v>
      </c>
      <c r="K502">
        <f>'[1]2026 Orders'!I503</f>
        <v>0</v>
      </c>
      <c r="L502">
        <f>'[1]2026 Orders'!J503</f>
        <v>0</v>
      </c>
      <c r="N502" s="10">
        <f>'[1]2026 Orders'!L503</f>
        <v>0</v>
      </c>
      <c r="O502">
        <f>'[1]2026 Orders'!M503</f>
        <v>0</v>
      </c>
      <c r="P502">
        <f>'[1]2026 Orders'!N503</f>
        <v>0</v>
      </c>
      <c r="Q502">
        <f>'[1]2026 Orders'!O503</f>
        <v>0</v>
      </c>
      <c r="R502">
        <f>'[1]2026 Orders'!P503</f>
        <v>0</v>
      </c>
      <c r="S502">
        <f>'[1]2026 Orders'!Q503</f>
        <v>0</v>
      </c>
      <c r="T502">
        <f>'[1]2026 Orders'!R503</f>
        <v>0</v>
      </c>
      <c r="U502">
        <f>'[1]2026 Orders'!S503</f>
        <v>0</v>
      </c>
      <c r="V502">
        <f>'[1]2026 Orders'!T503</f>
        <v>0</v>
      </c>
      <c r="W502">
        <f>'[1]2026 Orders'!U503</f>
        <v>0</v>
      </c>
      <c r="X502">
        <f>'[1]2026 Orders'!V503</f>
        <v>0</v>
      </c>
      <c r="Y502">
        <f>'[1]2026 Orders'!W503</f>
        <v>0</v>
      </c>
      <c r="Z502">
        <f>'[1]2026 Orders'!X503</f>
        <v>0</v>
      </c>
      <c r="AC502" t="str">
        <f t="shared" si="14"/>
        <v/>
      </c>
      <c r="AD502" t="str">
        <f t="shared" si="15"/>
        <v/>
      </c>
    </row>
    <row r="503" spans="1:30" ht="33" hidden="1" customHeight="1" x14ac:dyDescent="0.3">
      <c r="A503">
        <f>'[1]2026 Orders'!A504</f>
        <v>0</v>
      </c>
      <c r="B503" s="14">
        <f>'[1]2026 Orders'!B504</f>
        <v>0</v>
      </c>
      <c r="C503" s="14">
        <f>'[1]2026 Orders'!C504</f>
        <v>0</v>
      </c>
      <c r="D503" s="14">
        <f>'[1]2026 Orders'!D504</f>
        <v>0</v>
      </c>
      <c r="E503" s="17" t="str" cm="1">
        <f t="array" ref="E503">IF(C503=0,"",
HYPERLINK(
"#'2026 Orders'!C"&amp;
MATCH(1,
('2026 Orders'!C:C=C503)*
('2026 Orders'!G:G=G503)*
('2026 Orders'!N:N=N503),
0),
"Open "&amp;C503
))</f>
        <v/>
      </c>
      <c r="F503" s="14">
        <f>'[1]2026 Orders'!F504</f>
        <v>0</v>
      </c>
      <c r="G503" s="14">
        <f>'[1]2026 Orders'!G504</f>
        <v>0</v>
      </c>
      <c r="H503" s="14" t="str" cm="1">
        <f t="array" ref="H503">IFERROR(_xlfn.TEXTJOIN("-",,INDEX(_xlfn.TEXTSPLIT(TableTake[[#This Row],[SKU]],"-"),{1,2})),"")</f>
        <v/>
      </c>
      <c r="I503" s="15" t="str">
        <f>IFERROR(_xlfn.TEXTAFTER(TableTake[[#This Row],[SKU]],"-",-1),"")</f>
        <v/>
      </c>
      <c r="J503" s="14">
        <f>'[1]2026 Orders'!H504</f>
        <v>0</v>
      </c>
      <c r="K503">
        <f>'[1]2026 Orders'!I504</f>
        <v>0</v>
      </c>
      <c r="L503">
        <f>'[1]2026 Orders'!J504</f>
        <v>0</v>
      </c>
      <c r="N503" s="10">
        <f>'[1]2026 Orders'!L504</f>
        <v>0</v>
      </c>
      <c r="O503">
        <f>'[1]2026 Orders'!M504</f>
        <v>0</v>
      </c>
      <c r="P503">
        <f>'[1]2026 Orders'!N504</f>
        <v>0</v>
      </c>
      <c r="Q503">
        <f>'[1]2026 Orders'!O504</f>
        <v>0</v>
      </c>
      <c r="R503">
        <f>'[1]2026 Orders'!P504</f>
        <v>0</v>
      </c>
      <c r="S503">
        <f>'[1]2026 Orders'!Q504</f>
        <v>0</v>
      </c>
      <c r="T503">
        <f>'[1]2026 Orders'!R504</f>
        <v>0</v>
      </c>
      <c r="U503">
        <f>'[1]2026 Orders'!S504</f>
        <v>0</v>
      </c>
      <c r="V503">
        <f>'[1]2026 Orders'!T504</f>
        <v>0</v>
      </c>
      <c r="W503">
        <f>'[1]2026 Orders'!U504</f>
        <v>0</v>
      </c>
      <c r="X503">
        <f>'[1]2026 Orders'!V504</f>
        <v>0</v>
      </c>
      <c r="Y503">
        <f>'[1]2026 Orders'!W504</f>
        <v>0</v>
      </c>
      <c r="Z503">
        <f>'[1]2026 Orders'!X504</f>
        <v>0</v>
      </c>
      <c r="AC503" t="str">
        <f t="shared" si="14"/>
        <v/>
      </c>
      <c r="AD503" t="str">
        <f t="shared" si="15"/>
        <v/>
      </c>
    </row>
    <row r="504" spans="1:30" ht="33" hidden="1" customHeight="1" x14ac:dyDescent="0.3">
      <c r="A504">
        <f>'[1]2026 Orders'!A505</f>
        <v>0</v>
      </c>
      <c r="B504" s="14">
        <f>'[1]2026 Orders'!B505</f>
        <v>0</v>
      </c>
      <c r="C504" s="14">
        <f>'[1]2026 Orders'!C505</f>
        <v>0</v>
      </c>
      <c r="D504" s="14">
        <f>'[1]2026 Orders'!D505</f>
        <v>0</v>
      </c>
      <c r="E504" s="17" t="str" cm="1">
        <f t="array" ref="E504">IF(C504=0,"",
HYPERLINK(
"#'2026 Orders'!C"&amp;
MATCH(1,
('2026 Orders'!C:C=C504)*
('2026 Orders'!G:G=G504)*
('2026 Orders'!N:N=N504),
0),
"Open "&amp;C504
))</f>
        <v/>
      </c>
      <c r="F504" s="14">
        <f>'[1]2026 Orders'!F505</f>
        <v>0</v>
      </c>
      <c r="G504" s="14">
        <f>'[1]2026 Orders'!G505</f>
        <v>0</v>
      </c>
      <c r="H504" s="14" t="str" cm="1">
        <f t="array" ref="H504">IFERROR(_xlfn.TEXTJOIN("-",,INDEX(_xlfn.TEXTSPLIT(TableTake[[#This Row],[SKU]],"-"),{1,2})),"")</f>
        <v/>
      </c>
      <c r="I504" s="15" t="str">
        <f>IFERROR(_xlfn.TEXTAFTER(TableTake[[#This Row],[SKU]],"-",-1),"")</f>
        <v/>
      </c>
      <c r="J504" s="14">
        <f>'[1]2026 Orders'!H505</f>
        <v>0</v>
      </c>
      <c r="K504">
        <f>'[1]2026 Orders'!I505</f>
        <v>0</v>
      </c>
      <c r="L504">
        <f>'[1]2026 Orders'!J505</f>
        <v>0</v>
      </c>
      <c r="N504" s="10">
        <f>'[1]2026 Orders'!L505</f>
        <v>0</v>
      </c>
      <c r="O504">
        <f>'[1]2026 Orders'!M505</f>
        <v>0</v>
      </c>
      <c r="P504">
        <f>'[1]2026 Orders'!N505</f>
        <v>0</v>
      </c>
      <c r="Q504">
        <f>'[1]2026 Orders'!O505</f>
        <v>0</v>
      </c>
      <c r="R504">
        <f>'[1]2026 Orders'!P505</f>
        <v>0</v>
      </c>
      <c r="S504">
        <f>'[1]2026 Orders'!Q505</f>
        <v>0</v>
      </c>
      <c r="T504">
        <f>'[1]2026 Orders'!R505</f>
        <v>0</v>
      </c>
      <c r="U504">
        <f>'[1]2026 Orders'!S505</f>
        <v>0</v>
      </c>
      <c r="V504">
        <f>'[1]2026 Orders'!T505</f>
        <v>0</v>
      </c>
      <c r="W504">
        <f>'[1]2026 Orders'!U505</f>
        <v>0</v>
      </c>
      <c r="X504">
        <f>'[1]2026 Orders'!V505</f>
        <v>0</v>
      </c>
      <c r="Y504">
        <f>'[1]2026 Orders'!W505</f>
        <v>0</v>
      </c>
      <c r="Z504">
        <f>'[1]2026 Orders'!X505</f>
        <v>0</v>
      </c>
      <c r="AC504" t="str">
        <f t="shared" si="14"/>
        <v/>
      </c>
      <c r="AD504" t="str">
        <f t="shared" si="15"/>
        <v/>
      </c>
    </row>
    <row r="505" spans="1:30" ht="33" hidden="1" customHeight="1" x14ac:dyDescent="0.3">
      <c r="A505">
        <f>'[1]2026 Orders'!A506</f>
        <v>0</v>
      </c>
      <c r="B505" s="14">
        <f>'[1]2026 Orders'!B506</f>
        <v>0</v>
      </c>
      <c r="C505" s="14">
        <f>'[1]2026 Orders'!C506</f>
        <v>0</v>
      </c>
      <c r="D505" s="14">
        <f>'[1]2026 Orders'!D506</f>
        <v>0</v>
      </c>
      <c r="E505" s="17" t="str" cm="1">
        <f t="array" ref="E505">IF(C505=0,"",
HYPERLINK(
"#'2026 Orders'!C"&amp;
MATCH(1,
('2026 Orders'!C:C=C505)*
('2026 Orders'!G:G=G505)*
('2026 Orders'!N:N=N505),
0),
"Open "&amp;C505
))</f>
        <v/>
      </c>
      <c r="F505" s="14">
        <f>'[1]2026 Orders'!F506</f>
        <v>0</v>
      </c>
      <c r="G505" s="14">
        <f>'[1]2026 Orders'!G506</f>
        <v>0</v>
      </c>
      <c r="H505" s="14" t="str" cm="1">
        <f t="array" ref="H505">IFERROR(_xlfn.TEXTJOIN("-",,INDEX(_xlfn.TEXTSPLIT(TableTake[[#This Row],[SKU]],"-"),{1,2})),"")</f>
        <v/>
      </c>
      <c r="I505" s="15" t="str">
        <f>IFERROR(_xlfn.TEXTAFTER(TableTake[[#This Row],[SKU]],"-",-1),"")</f>
        <v/>
      </c>
      <c r="J505" s="14">
        <f>'[1]2026 Orders'!H506</f>
        <v>0</v>
      </c>
      <c r="K505">
        <f>'[1]2026 Orders'!I506</f>
        <v>0</v>
      </c>
      <c r="L505">
        <f>'[1]2026 Orders'!J506</f>
        <v>0</v>
      </c>
      <c r="N505" s="10">
        <f>'[1]2026 Orders'!L506</f>
        <v>0</v>
      </c>
      <c r="O505">
        <f>'[1]2026 Orders'!M506</f>
        <v>0</v>
      </c>
      <c r="P505">
        <f>'[1]2026 Orders'!N506</f>
        <v>0</v>
      </c>
      <c r="Q505">
        <f>'[1]2026 Orders'!O506</f>
        <v>0</v>
      </c>
      <c r="R505">
        <f>'[1]2026 Orders'!P506</f>
        <v>0</v>
      </c>
      <c r="S505">
        <f>'[1]2026 Orders'!Q506</f>
        <v>0</v>
      </c>
      <c r="T505">
        <f>'[1]2026 Orders'!R506</f>
        <v>0</v>
      </c>
      <c r="U505">
        <f>'[1]2026 Orders'!S506</f>
        <v>0</v>
      </c>
      <c r="V505">
        <f>'[1]2026 Orders'!T506</f>
        <v>0</v>
      </c>
      <c r="W505">
        <f>'[1]2026 Orders'!U506</f>
        <v>0</v>
      </c>
      <c r="X505">
        <f>'[1]2026 Orders'!V506</f>
        <v>0</v>
      </c>
      <c r="Y505">
        <f>'[1]2026 Orders'!W506</f>
        <v>0</v>
      </c>
      <c r="Z505">
        <f>'[1]2026 Orders'!X506</f>
        <v>0</v>
      </c>
      <c r="AC505" t="str">
        <f t="shared" si="14"/>
        <v/>
      </c>
      <c r="AD505" t="str">
        <f t="shared" si="15"/>
        <v/>
      </c>
    </row>
    <row r="506" spans="1:30" ht="33" hidden="1" customHeight="1" x14ac:dyDescent="0.3">
      <c r="A506">
        <f>'[1]2026 Orders'!A507</f>
        <v>0</v>
      </c>
      <c r="B506" s="14">
        <f>'[1]2026 Orders'!B507</f>
        <v>0</v>
      </c>
      <c r="C506" s="14">
        <f>'[1]2026 Orders'!C507</f>
        <v>0</v>
      </c>
      <c r="D506" s="14">
        <f>'[1]2026 Orders'!D507</f>
        <v>0</v>
      </c>
      <c r="E506" s="17" t="str" cm="1">
        <f t="array" ref="E506">IF(C506=0,"",
HYPERLINK(
"#'2026 Orders'!C"&amp;
MATCH(1,
('2026 Orders'!C:C=C506)*
('2026 Orders'!G:G=G506)*
('2026 Orders'!N:N=N506),
0),
"Open "&amp;C506
))</f>
        <v/>
      </c>
      <c r="F506" s="14">
        <f>'[1]2026 Orders'!F507</f>
        <v>0</v>
      </c>
      <c r="G506" s="14">
        <f>'[1]2026 Orders'!G507</f>
        <v>0</v>
      </c>
      <c r="H506" s="14" t="str" cm="1">
        <f t="array" ref="H506">IFERROR(_xlfn.TEXTJOIN("-",,INDEX(_xlfn.TEXTSPLIT(TableTake[[#This Row],[SKU]],"-"),{1,2})),"")</f>
        <v/>
      </c>
      <c r="I506" s="15" t="str">
        <f>IFERROR(_xlfn.TEXTAFTER(TableTake[[#This Row],[SKU]],"-",-1),"")</f>
        <v/>
      </c>
      <c r="J506" s="14">
        <f>'[1]2026 Orders'!H507</f>
        <v>0</v>
      </c>
      <c r="K506">
        <f>'[1]2026 Orders'!I507</f>
        <v>0</v>
      </c>
      <c r="L506">
        <f>'[1]2026 Orders'!J507</f>
        <v>0</v>
      </c>
      <c r="N506" s="10">
        <f>'[1]2026 Orders'!L507</f>
        <v>0</v>
      </c>
      <c r="O506">
        <f>'[1]2026 Orders'!M507</f>
        <v>0</v>
      </c>
      <c r="P506">
        <f>'[1]2026 Orders'!N507</f>
        <v>0</v>
      </c>
      <c r="Q506">
        <f>'[1]2026 Orders'!O507</f>
        <v>0</v>
      </c>
      <c r="R506">
        <f>'[1]2026 Orders'!P507</f>
        <v>0</v>
      </c>
      <c r="S506">
        <f>'[1]2026 Orders'!Q507</f>
        <v>0</v>
      </c>
      <c r="T506">
        <f>'[1]2026 Orders'!R507</f>
        <v>0</v>
      </c>
      <c r="U506">
        <f>'[1]2026 Orders'!S507</f>
        <v>0</v>
      </c>
      <c r="V506">
        <f>'[1]2026 Orders'!T507</f>
        <v>0</v>
      </c>
      <c r="W506">
        <f>'[1]2026 Orders'!U507</f>
        <v>0</v>
      </c>
      <c r="X506">
        <f>'[1]2026 Orders'!V507</f>
        <v>0</v>
      </c>
      <c r="Y506">
        <f>'[1]2026 Orders'!W507</f>
        <v>0</v>
      </c>
      <c r="Z506">
        <f>'[1]2026 Orders'!X507</f>
        <v>0</v>
      </c>
      <c r="AC506" t="str">
        <f t="shared" si="14"/>
        <v/>
      </c>
      <c r="AD506" t="str">
        <f t="shared" si="15"/>
        <v/>
      </c>
    </row>
    <row r="507" spans="1:30" ht="33" hidden="1" customHeight="1" x14ac:dyDescent="0.3">
      <c r="A507">
        <f>'[1]2026 Orders'!A508</f>
        <v>0</v>
      </c>
      <c r="B507" s="14">
        <f>'[1]2026 Orders'!B508</f>
        <v>0</v>
      </c>
      <c r="C507" s="14">
        <f>'[1]2026 Orders'!C508</f>
        <v>0</v>
      </c>
      <c r="D507" s="14">
        <f>'[1]2026 Orders'!D508</f>
        <v>0</v>
      </c>
      <c r="E507" s="17" t="str" cm="1">
        <f t="array" ref="E507">IF(C507=0,"",
HYPERLINK(
"#'2026 Orders'!C"&amp;
MATCH(1,
('2026 Orders'!C:C=C507)*
('2026 Orders'!G:G=G507)*
('2026 Orders'!N:N=N507),
0),
"Open "&amp;C507
))</f>
        <v/>
      </c>
      <c r="F507" s="14">
        <f>'[1]2026 Orders'!F508</f>
        <v>0</v>
      </c>
      <c r="G507" s="14">
        <f>'[1]2026 Orders'!G508</f>
        <v>0</v>
      </c>
      <c r="H507" s="14" t="str" cm="1">
        <f t="array" ref="H507">IFERROR(_xlfn.TEXTJOIN("-",,INDEX(_xlfn.TEXTSPLIT(TableTake[[#This Row],[SKU]],"-"),{1,2})),"")</f>
        <v/>
      </c>
      <c r="I507" s="15" t="str">
        <f>IFERROR(_xlfn.TEXTAFTER(TableTake[[#This Row],[SKU]],"-",-1),"")</f>
        <v/>
      </c>
      <c r="J507" s="14">
        <f>'[1]2026 Orders'!H508</f>
        <v>0</v>
      </c>
      <c r="K507">
        <f>'[1]2026 Orders'!I508</f>
        <v>0</v>
      </c>
      <c r="L507">
        <f>'[1]2026 Orders'!J508</f>
        <v>0</v>
      </c>
      <c r="N507" s="10">
        <f>'[1]2026 Orders'!L508</f>
        <v>0</v>
      </c>
      <c r="O507">
        <f>'[1]2026 Orders'!M508</f>
        <v>0</v>
      </c>
      <c r="P507">
        <f>'[1]2026 Orders'!N508</f>
        <v>0</v>
      </c>
      <c r="Q507">
        <f>'[1]2026 Orders'!O508</f>
        <v>0</v>
      </c>
      <c r="R507">
        <f>'[1]2026 Orders'!P508</f>
        <v>0</v>
      </c>
      <c r="S507">
        <f>'[1]2026 Orders'!Q508</f>
        <v>0</v>
      </c>
      <c r="T507">
        <f>'[1]2026 Orders'!R508</f>
        <v>0</v>
      </c>
      <c r="U507">
        <f>'[1]2026 Orders'!S508</f>
        <v>0</v>
      </c>
      <c r="V507">
        <f>'[1]2026 Orders'!T508</f>
        <v>0</v>
      </c>
      <c r="W507">
        <f>'[1]2026 Orders'!U508</f>
        <v>0</v>
      </c>
      <c r="X507">
        <f>'[1]2026 Orders'!V508</f>
        <v>0</v>
      </c>
      <c r="Y507">
        <f>'[1]2026 Orders'!W508</f>
        <v>0</v>
      </c>
      <c r="Z507">
        <f>'[1]2026 Orders'!X508</f>
        <v>0</v>
      </c>
      <c r="AC507" t="str">
        <f t="shared" si="14"/>
        <v/>
      </c>
      <c r="AD507" t="str">
        <f t="shared" si="15"/>
        <v/>
      </c>
    </row>
    <row r="508" spans="1:30" ht="33" hidden="1" customHeight="1" x14ac:dyDescent="0.3">
      <c r="A508">
        <f>'[1]2026 Orders'!A509</f>
        <v>0</v>
      </c>
      <c r="B508" s="14">
        <f>'[1]2026 Orders'!B509</f>
        <v>0</v>
      </c>
      <c r="C508" s="14">
        <f>'[1]2026 Orders'!C509</f>
        <v>0</v>
      </c>
      <c r="D508" s="14">
        <f>'[1]2026 Orders'!D509</f>
        <v>0</v>
      </c>
      <c r="E508" s="17" t="str" cm="1">
        <f t="array" ref="E508">IF(C508=0,"",
HYPERLINK(
"#'2026 Orders'!C"&amp;
MATCH(1,
('2026 Orders'!C:C=C508)*
('2026 Orders'!G:G=G508)*
('2026 Orders'!N:N=N508),
0),
"Open "&amp;C508
))</f>
        <v/>
      </c>
      <c r="F508" s="14">
        <f>'[1]2026 Orders'!F509</f>
        <v>0</v>
      </c>
      <c r="G508" s="14">
        <f>'[1]2026 Orders'!G509</f>
        <v>0</v>
      </c>
      <c r="H508" s="14" t="str" cm="1">
        <f t="array" ref="H508">IFERROR(_xlfn.TEXTJOIN("-",,INDEX(_xlfn.TEXTSPLIT(TableTake[[#This Row],[SKU]],"-"),{1,2})),"")</f>
        <v/>
      </c>
      <c r="I508" s="15" t="str">
        <f>IFERROR(_xlfn.TEXTAFTER(TableTake[[#This Row],[SKU]],"-",-1),"")</f>
        <v/>
      </c>
      <c r="J508" s="14">
        <f>'[1]2026 Orders'!H509</f>
        <v>0</v>
      </c>
      <c r="K508">
        <f>'[1]2026 Orders'!I509</f>
        <v>0</v>
      </c>
      <c r="L508">
        <f>'[1]2026 Orders'!J509</f>
        <v>0</v>
      </c>
      <c r="N508" s="10">
        <f>'[1]2026 Orders'!L509</f>
        <v>0</v>
      </c>
      <c r="O508">
        <f>'[1]2026 Orders'!M509</f>
        <v>0</v>
      </c>
      <c r="P508">
        <f>'[1]2026 Orders'!N509</f>
        <v>0</v>
      </c>
      <c r="Q508">
        <f>'[1]2026 Orders'!O509</f>
        <v>0</v>
      </c>
      <c r="R508">
        <f>'[1]2026 Orders'!P509</f>
        <v>0</v>
      </c>
      <c r="S508">
        <f>'[1]2026 Orders'!Q509</f>
        <v>0</v>
      </c>
      <c r="T508">
        <f>'[1]2026 Orders'!R509</f>
        <v>0</v>
      </c>
      <c r="U508">
        <f>'[1]2026 Orders'!S509</f>
        <v>0</v>
      </c>
      <c r="V508">
        <f>'[1]2026 Orders'!T509</f>
        <v>0</v>
      </c>
      <c r="W508">
        <f>'[1]2026 Orders'!U509</f>
        <v>0</v>
      </c>
      <c r="X508">
        <f>'[1]2026 Orders'!V509</f>
        <v>0</v>
      </c>
      <c r="Y508">
        <f>'[1]2026 Orders'!W509</f>
        <v>0</v>
      </c>
      <c r="Z508">
        <f>'[1]2026 Orders'!X509</f>
        <v>0</v>
      </c>
      <c r="AC508" t="str">
        <f t="shared" si="14"/>
        <v/>
      </c>
      <c r="AD508" t="str">
        <f t="shared" si="15"/>
        <v/>
      </c>
    </row>
    <row r="509" spans="1:30" ht="33" hidden="1" customHeight="1" x14ac:dyDescent="0.3">
      <c r="A509">
        <f>'[1]2026 Orders'!A510</f>
        <v>0</v>
      </c>
      <c r="B509" s="14">
        <f>'[1]2026 Orders'!B510</f>
        <v>0</v>
      </c>
      <c r="C509" s="14">
        <f>'[1]2026 Orders'!C510</f>
        <v>0</v>
      </c>
      <c r="D509" s="14">
        <f>'[1]2026 Orders'!D510</f>
        <v>0</v>
      </c>
      <c r="E509" s="17" t="str" cm="1">
        <f t="array" ref="E509">IF(C509=0,"",
HYPERLINK(
"#'2026 Orders'!C"&amp;
MATCH(1,
('2026 Orders'!C:C=C509)*
('2026 Orders'!G:G=G509)*
('2026 Orders'!N:N=N509),
0),
"Open "&amp;C509
))</f>
        <v/>
      </c>
      <c r="F509" s="14">
        <f>'[1]2026 Orders'!F510</f>
        <v>0</v>
      </c>
      <c r="G509" s="14">
        <f>'[1]2026 Orders'!G510</f>
        <v>0</v>
      </c>
      <c r="H509" s="14" t="str" cm="1">
        <f t="array" ref="H509">IFERROR(_xlfn.TEXTJOIN("-",,INDEX(_xlfn.TEXTSPLIT(TableTake[[#This Row],[SKU]],"-"),{1,2})),"")</f>
        <v/>
      </c>
      <c r="I509" s="15" t="str">
        <f>IFERROR(_xlfn.TEXTAFTER(TableTake[[#This Row],[SKU]],"-",-1),"")</f>
        <v/>
      </c>
      <c r="J509" s="14">
        <f>'[1]2026 Orders'!H510</f>
        <v>0</v>
      </c>
      <c r="K509">
        <f>'[1]2026 Orders'!I510</f>
        <v>0</v>
      </c>
      <c r="L509">
        <f>'[1]2026 Orders'!J510</f>
        <v>0</v>
      </c>
      <c r="N509" s="10">
        <f>'[1]2026 Orders'!L510</f>
        <v>0</v>
      </c>
      <c r="O509">
        <f>'[1]2026 Orders'!M510</f>
        <v>0</v>
      </c>
      <c r="P509">
        <f>'[1]2026 Orders'!N510</f>
        <v>0</v>
      </c>
      <c r="Q509">
        <f>'[1]2026 Orders'!O510</f>
        <v>0</v>
      </c>
      <c r="R509">
        <f>'[1]2026 Orders'!P510</f>
        <v>0</v>
      </c>
      <c r="S509">
        <f>'[1]2026 Orders'!Q510</f>
        <v>0</v>
      </c>
      <c r="T509">
        <f>'[1]2026 Orders'!R510</f>
        <v>0</v>
      </c>
      <c r="U509">
        <f>'[1]2026 Orders'!S510</f>
        <v>0</v>
      </c>
      <c r="V509">
        <f>'[1]2026 Orders'!T510</f>
        <v>0</v>
      </c>
      <c r="W509">
        <f>'[1]2026 Orders'!U510</f>
        <v>0</v>
      </c>
      <c r="X509">
        <f>'[1]2026 Orders'!V510</f>
        <v>0</v>
      </c>
      <c r="Y509">
        <f>'[1]2026 Orders'!W510</f>
        <v>0</v>
      </c>
      <c r="Z509">
        <f>'[1]2026 Orders'!X510</f>
        <v>0</v>
      </c>
      <c r="AC509" t="str">
        <f t="shared" si="14"/>
        <v/>
      </c>
      <c r="AD509" t="str">
        <f t="shared" si="15"/>
        <v/>
      </c>
    </row>
    <row r="510" spans="1:30" ht="33" hidden="1" customHeight="1" x14ac:dyDescent="0.3">
      <c r="A510">
        <f>'[1]2026 Orders'!A511</f>
        <v>0</v>
      </c>
      <c r="B510" s="14">
        <f>'[1]2026 Orders'!B511</f>
        <v>0</v>
      </c>
      <c r="C510" s="14">
        <f>'[1]2026 Orders'!C511</f>
        <v>0</v>
      </c>
      <c r="D510" s="14">
        <f>'[1]2026 Orders'!D511</f>
        <v>0</v>
      </c>
      <c r="E510" s="17" t="str" cm="1">
        <f t="array" ref="E510">IF(C510=0,"",
HYPERLINK(
"#'2026 Orders'!C"&amp;
MATCH(1,
('2026 Orders'!C:C=C510)*
('2026 Orders'!G:G=G510)*
('2026 Orders'!N:N=N510),
0),
"Open "&amp;C510
))</f>
        <v/>
      </c>
      <c r="F510" s="14">
        <f>'[1]2026 Orders'!F511</f>
        <v>0</v>
      </c>
      <c r="G510" s="14">
        <f>'[1]2026 Orders'!G511</f>
        <v>0</v>
      </c>
      <c r="H510" s="14" t="str" cm="1">
        <f t="array" ref="H510">IFERROR(_xlfn.TEXTJOIN("-",,INDEX(_xlfn.TEXTSPLIT(TableTake[[#This Row],[SKU]],"-"),{1,2})),"")</f>
        <v/>
      </c>
      <c r="I510" s="15" t="str">
        <f>IFERROR(_xlfn.TEXTAFTER(TableTake[[#This Row],[SKU]],"-",-1),"")</f>
        <v/>
      </c>
      <c r="J510" s="14">
        <f>'[1]2026 Orders'!H511</f>
        <v>0</v>
      </c>
      <c r="K510">
        <f>'[1]2026 Orders'!I511</f>
        <v>0</v>
      </c>
      <c r="L510">
        <f>'[1]2026 Orders'!J511</f>
        <v>0</v>
      </c>
      <c r="N510" s="10">
        <f>'[1]2026 Orders'!L511</f>
        <v>0</v>
      </c>
      <c r="O510">
        <f>'[1]2026 Orders'!M511</f>
        <v>0</v>
      </c>
      <c r="P510">
        <f>'[1]2026 Orders'!N511</f>
        <v>0</v>
      </c>
      <c r="Q510">
        <f>'[1]2026 Orders'!O511</f>
        <v>0</v>
      </c>
      <c r="R510">
        <f>'[1]2026 Orders'!P511</f>
        <v>0</v>
      </c>
      <c r="S510">
        <f>'[1]2026 Orders'!Q511</f>
        <v>0</v>
      </c>
      <c r="T510">
        <f>'[1]2026 Orders'!R511</f>
        <v>0</v>
      </c>
      <c r="U510">
        <f>'[1]2026 Orders'!S511</f>
        <v>0</v>
      </c>
      <c r="V510">
        <f>'[1]2026 Orders'!T511</f>
        <v>0</v>
      </c>
      <c r="W510">
        <f>'[1]2026 Orders'!U511</f>
        <v>0</v>
      </c>
      <c r="X510">
        <f>'[1]2026 Orders'!V511</f>
        <v>0</v>
      </c>
      <c r="Y510">
        <f>'[1]2026 Orders'!W511</f>
        <v>0</v>
      </c>
      <c r="Z510">
        <f>'[1]2026 Orders'!X511</f>
        <v>0</v>
      </c>
      <c r="AC510" t="str">
        <f t="shared" si="14"/>
        <v/>
      </c>
      <c r="AD510" t="str">
        <f t="shared" si="15"/>
        <v/>
      </c>
    </row>
    <row r="511" spans="1:30" ht="33" hidden="1" customHeight="1" x14ac:dyDescent="0.3">
      <c r="A511">
        <f>'[1]2026 Orders'!A512</f>
        <v>0</v>
      </c>
      <c r="B511" s="14">
        <f>'[1]2026 Orders'!B512</f>
        <v>0</v>
      </c>
      <c r="C511" s="14">
        <f>'[1]2026 Orders'!C512</f>
        <v>0</v>
      </c>
      <c r="D511" s="14">
        <f>'[1]2026 Orders'!D512</f>
        <v>0</v>
      </c>
      <c r="E511" s="17" t="str" cm="1">
        <f t="array" ref="E511">IF(C511=0,"",
HYPERLINK(
"#'2026 Orders'!C"&amp;
MATCH(1,
('2026 Orders'!C:C=C511)*
('2026 Orders'!G:G=G511)*
('2026 Orders'!N:N=N511),
0),
"Open "&amp;C511
))</f>
        <v/>
      </c>
      <c r="F511" s="14">
        <f>'[1]2026 Orders'!F512</f>
        <v>0</v>
      </c>
      <c r="G511" s="14">
        <f>'[1]2026 Orders'!G512</f>
        <v>0</v>
      </c>
      <c r="H511" s="14" t="str" cm="1">
        <f t="array" ref="H511">IFERROR(_xlfn.TEXTJOIN("-",,INDEX(_xlfn.TEXTSPLIT(TableTake[[#This Row],[SKU]],"-"),{1,2})),"")</f>
        <v/>
      </c>
      <c r="I511" s="15" t="str">
        <f>IFERROR(_xlfn.TEXTAFTER(TableTake[[#This Row],[SKU]],"-",-1),"")</f>
        <v/>
      </c>
      <c r="J511" s="14">
        <f>'[1]2026 Orders'!H512</f>
        <v>0</v>
      </c>
      <c r="K511">
        <f>'[1]2026 Orders'!I512</f>
        <v>0</v>
      </c>
      <c r="L511">
        <f>'[1]2026 Orders'!J512</f>
        <v>0</v>
      </c>
      <c r="N511" s="10">
        <f>'[1]2026 Orders'!L512</f>
        <v>0</v>
      </c>
      <c r="O511">
        <f>'[1]2026 Orders'!M512</f>
        <v>0</v>
      </c>
      <c r="P511">
        <f>'[1]2026 Orders'!N512</f>
        <v>0</v>
      </c>
      <c r="Q511">
        <f>'[1]2026 Orders'!O512</f>
        <v>0</v>
      </c>
      <c r="R511">
        <f>'[1]2026 Orders'!P512</f>
        <v>0</v>
      </c>
      <c r="S511">
        <f>'[1]2026 Orders'!Q512</f>
        <v>0</v>
      </c>
      <c r="T511">
        <f>'[1]2026 Orders'!R512</f>
        <v>0</v>
      </c>
      <c r="U511">
        <f>'[1]2026 Orders'!S512</f>
        <v>0</v>
      </c>
      <c r="V511">
        <f>'[1]2026 Orders'!T512</f>
        <v>0</v>
      </c>
      <c r="W511">
        <f>'[1]2026 Orders'!U512</f>
        <v>0</v>
      </c>
      <c r="X511">
        <f>'[1]2026 Orders'!V512</f>
        <v>0</v>
      </c>
      <c r="Y511">
        <f>'[1]2026 Orders'!W512</f>
        <v>0</v>
      </c>
      <c r="Z511">
        <f>'[1]2026 Orders'!X512</f>
        <v>0</v>
      </c>
      <c r="AC511" t="str">
        <f t="shared" si="14"/>
        <v/>
      </c>
      <c r="AD511" t="str">
        <f t="shared" si="15"/>
        <v/>
      </c>
    </row>
    <row r="512" spans="1:30" ht="33" hidden="1" customHeight="1" x14ac:dyDescent="0.3">
      <c r="A512">
        <f>'[1]2026 Orders'!A513</f>
        <v>0</v>
      </c>
      <c r="B512" s="14">
        <f>'[1]2026 Orders'!B513</f>
        <v>0</v>
      </c>
      <c r="C512" s="14">
        <f>'[1]2026 Orders'!C513</f>
        <v>0</v>
      </c>
      <c r="D512" s="14">
        <f>'[1]2026 Orders'!D513</f>
        <v>0</v>
      </c>
      <c r="E512" s="17" t="str" cm="1">
        <f t="array" ref="E512">IF(C512=0,"",
HYPERLINK(
"#'2026 Orders'!C"&amp;
MATCH(1,
('2026 Orders'!C:C=C512)*
('2026 Orders'!G:G=G512)*
('2026 Orders'!N:N=N512),
0),
"Open "&amp;C512
))</f>
        <v/>
      </c>
      <c r="F512" s="14">
        <f>'[1]2026 Orders'!F513</f>
        <v>0</v>
      </c>
      <c r="G512" s="14">
        <f>'[1]2026 Orders'!G513</f>
        <v>0</v>
      </c>
      <c r="H512" s="14" t="str" cm="1">
        <f t="array" ref="H512">IFERROR(_xlfn.TEXTJOIN("-",,INDEX(_xlfn.TEXTSPLIT(TableTake[[#This Row],[SKU]],"-"),{1,2})),"")</f>
        <v/>
      </c>
      <c r="I512" s="15" t="str">
        <f>IFERROR(_xlfn.TEXTAFTER(TableTake[[#This Row],[SKU]],"-",-1),"")</f>
        <v/>
      </c>
      <c r="J512" s="14">
        <f>'[1]2026 Orders'!H513</f>
        <v>0</v>
      </c>
      <c r="K512">
        <f>'[1]2026 Orders'!I513</f>
        <v>0</v>
      </c>
      <c r="L512">
        <f>'[1]2026 Orders'!J513</f>
        <v>0</v>
      </c>
      <c r="N512" s="10">
        <f>'[1]2026 Orders'!L513</f>
        <v>0</v>
      </c>
      <c r="O512">
        <f>'[1]2026 Orders'!M513</f>
        <v>0</v>
      </c>
      <c r="P512">
        <f>'[1]2026 Orders'!N513</f>
        <v>0</v>
      </c>
      <c r="Q512">
        <f>'[1]2026 Orders'!O513</f>
        <v>0</v>
      </c>
      <c r="R512">
        <f>'[1]2026 Orders'!P513</f>
        <v>0</v>
      </c>
      <c r="S512">
        <f>'[1]2026 Orders'!Q513</f>
        <v>0</v>
      </c>
      <c r="T512">
        <f>'[1]2026 Orders'!R513</f>
        <v>0</v>
      </c>
      <c r="U512">
        <f>'[1]2026 Orders'!S513</f>
        <v>0</v>
      </c>
      <c r="V512">
        <f>'[1]2026 Orders'!T513</f>
        <v>0</v>
      </c>
      <c r="W512">
        <f>'[1]2026 Orders'!U513</f>
        <v>0</v>
      </c>
      <c r="X512">
        <f>'[1]2026 Orders'!V513</f>
        <v>0</v>
      </c>
      <c r="Y512">
        <f>'[1]2026 Orders'!W513</f>
        <v>0</v>
      </c>
      <c r="Z512">
        <f>'[1]2026 Orders'!X513</f>
        <v>0</v>
      </c>
      <c r="AC512" t="str">
        <f t="shared" si="14"/>
        <v/>
      </c>
      <c r="AD512" t="str">
        <f t="shared" si="15"/>
        <v/>
      </c>
    </row>
    <row r="513" spans="1:30" ht="33" hidden="1" customHeight="1" x14ac:dyDescent="0.3">
      <c r="A513">
        <f>'[1]2026 Orders'!A514</f>
        <v>0</v>
      </c>
      <c r="B513" s="14">
        <f>'[1]2026 Orders'!B514</f>
        <v>0</v>
      </c>
      <c r="C513" s="14">
        <f>'[1]2026 Orders'!C514</f>
        <v>0</v>
      </c>
      <c r="D513" s="14">
        <f>'[1]2026 Orders'!D514</f>
        <v>0</v>
      </c>
      <c r="E513" s="17" t="str" cm="1">
        <f t="array" ref="E513">IF(C513=0,"",
HYPERLINK(
"#'2026 Orders'!C"&amp;
MATCH(1,
('2026 Orders'!C:C=C513)*
('2026 Orders'!G:G=G513)*
('2026 Orders'!N:N=N513),
0),
"Open "&amp;C513
))</f>
        <v/>
      </c>
      <c r="F513" s="14">
        <f>'[1]2026 Orders'!F514</f>
        <v>0</v>
      </c>
      <c r="G513" s="14">
        <f>'[1]2026 Orders'!G514</f>
        <v>0</v>
      </c>
      <c r="H513" s="14" t="str" cm="1">
        <f t="array" ref="H513">IFERROR(_xlfn.TEXTJOIN("-",,INDEX(_xlfn.TEXTSPLIT(TableTake[[#This Row],[SKU]],"-"),{1,2})),"")</f>
        <v/>
      </c>
      <c r="I513" s="15" t="str">
        <f>IFERROR(_xlfn.TEXTAFTER(TableTake[[#This Row],[SKU]],"-",-1),"")</f>
        <v/>
      </c>
      <c r="J513" s="14">
        <f>'[1]2026 Orders'!H514</f>
        <v>0</v>
      </c>
      <c r="K513">
        <f>'[1]2026 Orders'!I514</f>
        <v>0</v>
      </c>
      <c r="L513">
        <f>'[1]2026 Orders'!J514</f>
        <v>0</v>
      </c>
      <c r="N513" s="10">
        <f>'[1]2026 Orders'!L514</f>
        <v>0</v>
      </c>
      <c r="O513">
        <f>'[1]2026 Orders'!M514</f>
        <v>0</v>
      </c>
      <c r="P513">
        <f>'[1]2026 Orders'!N514</f>
        <v>0</v>
      </c>
      <c r="Q513">
        <f>'[1]2026 Orders'!O514</f>
        <v>0</v>
      </c>
      <c r="R513">
        <f>'[1]2026 Orders'!P514</f>
        <v>0</v>
      </c>
      <c r="S513">
        <f>'[1]2026 Orders'!Q514</f>
        <v>0</v>
      </c>
      <c r="T513">
        <f>'[1]2026 Orders'!R514</f>
        <v>0</v>
      </c>
      <c r="U513">
        <f>'[1]2026 Orders'!S514</f>
        <v>0</v>
      </c>
      <c r="V513">
        <f>'[1]2026 Orders'!T514</f>
        <v>0</v>
      </c>
      <c r="W513">
        <f>'[1]2026 Orders'!U514</f>
        <v>0</v>
      </c>
      <c r="X513">
        <f>'[1]2026 Orders'!V514</f>
        <v>0</v>
      </c>
      <c r="Y513">
        <f>'[1]2026 Orders'!W514</f>
        <v>0</v>
      </c>
      <c r="Z513">
        <f>'[1]2026 Orders'!X514</f>
        <v>0</v>
      </c>
      <c r="AC513" t="str">
        <f t="shared" si="14"/>
        <v/>
      </c>
      <c r="AD513" t="str">
        <f t="shared" si="15"/>
        <v/>
      </c>
    </row>
    <row r="514" spans="1:30" ht="33" hidden="1" customHeight="1" x14ac:dyDescent="0.3">
      <c r="A514">
        <f>'[1]2026 Orders'!A515</f>
        <v>0</v>
      </c>
      <c r="B514" s="14">
        <f>'[1]2026 Orders'!B515</f>
        <v>0</v>
      </c>
      <c r="C514" s="14">
        <f>'[1]2026 Orders'!C515</f>
        <v>0</v>
      </c>
      <c r="D514" s="14">
        <f>'[1]2026 Orders'!D515</f>
        <v>0</v>
      </c>
      <c r="E514" s="17" t="str" cm="1">
        <f t="array" ref="E514">IF(C514=0,"",
HYPERLINK(
"#'2026 Orders'!C"&amp;
MATCH(1,
('2026 Orders'!C:C=C514)*
('2026 Orders'!G:G=G514)*
('2026 Orders'!N:N=N514),
0),
"Open "&amp;C514
))</f>
        <v/>
      </c>
      <c r="F514" s="14">
        <f>'[1]2026 Orders'!F515</f>
        <v>0</v>
      </c>
      <c r="G514" s="14">
        <f>'[1]2026 Orders'!G515</f>
        <v>0</v>
      </c>
      <c r="H514" s="14" t="str" cm="1">
        <f t="array" ref="H514">IFERROR(_xlfn.TEXTJOIN("-",,INDEX(_xlfn.TEXTSPLIT(TableTake[[#This Row],[SKU]],"-"),{1,2})),"")</f>
        <v/>
      </c>
      <c r="I514" s="15" t="str">
        <f>IFERROR(_xlfn.TEXTAFTER(TableTake[[#This Row],[SKU]],"-",-1),"")</f>
        <v/>
      </c>
      <c r="J514" s="14">
        <f>'[1]2026 Orders'!H515</f>
        <v>0</v>
      </c>
      <c r="K514">
        <f>'[1]2026 Orders'!I515</f>
        <v>0</v>
      </c>
      <c r="L514">
        <f>'[1]2026 Orders'!J515</f>
        <v>0</v>
      </c>
      <c r="N514" s="10">
        <f>'[1]2026 Orders'!L515</f>
        <v>0</v>
      </c>
      <c r="O514">
        <f>'[1]2026 Orders'!M515</f>
        <v>0</v>
      </c>
      <c r="P514">
        <f>'[1]2026 Orders'!N515</f>
        <v>0</v>
      </c>
      <c r="Q514">
        <f>'[1]2026 Orders'!O515</f>
        <v>0</v>
      </c>
      <c r="R514">
        <f>'[1]2026 Orders'!P515</f>
        <v>0</v>
      </c>
      <c r="S514">
        <f>'[1]2026 Orders'!Q515</f>
        <v>0</v>
      </c>
      <c r="T514">
        <f>'[1]2026 Orders'!R515</f>
        <v>0</v>
      </c>
      <c r="U514">
        <f>'[1]2026 Orders'!S515</f>
        <v>0</v>
      </c>
      <c r="V514">
        <f>'[1]2026 Orders'!T515</f>
        <v>0</v>
      </c>
      <c r="W514">
        <f>'[1]2026 Orders'!U515</f>
        <v>0</v>
      </c>
      <c r="X514">
        <f>'[1]2026 Orders'!V515</f>
        <v>0</v>
      </c>
      <c r="Y514">
        <f>'[1]2026 Orders'!W515</f>
        <v>0</v>
      </c>
      <c r="Z514">
        <f>'[1]2026 Orders'!X515</f>
        <v>0</v>
      </c>
      <c r="AC514" t="str">
        <f t="shared" si="14"/>
        <v/>
      </c>
      <c r="AD514" t="str">
        <f t="shared" si="15"/>
        <v/>
      </c>
    </row>
    <row r="515" spans="1:30" ht="33" hidden="1" customHeight="1" x14ac:dyDescent="0.3">
      <c r="A515">
        <f>'[1]2026 Orders'!A516</f>
        <v>0</v>
      </c>
      <c r="B515" s="14">
        <f>'[1]2026 Orders'!B516</f>
        <v>0</v>
      </c>
      <c r="C515" s="14">
        <f>'[1]2026 Orders'!C516</f>
        <v>0</v>
      </c>
      <c r="D515" s="14">
        <f>'[1]2026 Orders'!D516</f>
        <v>0</v>
      </c>
      <c r="E515" s="17" t="str" cm="1">
        <f t="array" ref="E515">IF(C515=0,"",
HYPERLINK(
"#'2026 Orders'!C"&amp;
MATCH(1,
('2026 Orders'!C:C=C515)*
('2026 Orders'!G:G=G515)*
('2026 Orders'!N:N=N515),
0),
"Open "&amp;C515
))</f>
        <v/>
      </c>
      <c r="F515" s="14">
        <f>'[1]2026 Orders'!F516</f>
        <v>0</v>
      </c>
      <c r="G515" s="14">
        <f>'[1]2026 Orders'!G516</f>
        <v>0</v>
      </c>
      <c r="H515" s="14" t="str" cm="1">
        <f t="array" ref="H515">IFERROR(_xlfn.TEXTJOIN("-",,INDEX(_xlfn.TEXTSPLIT(TableTake[[#This Row],[SKU]],"-"),{1,2})),"")</f>
        <v/>
      </c>
      <c r="I515" s="15" t="str">
        <f>IFERROR(_xlfn.TEXTAFTER(TableTake[[#This Row],[SKU]],"-",-1),"")</f>
        <v/>
      </c>
      <c r="J515" s="14">
        <f>'[1]2026 Orders'!H516</f>
        <v>0</v>
      </c>
      <c r="K515">
        <f>'[1]2026 Orders'!I516</f>
        <v>0</v>
      </c>
      <c r="L515">
        <f>'[1]2026 Orders'!J516</f>
        <v>0</v>
      </c>
      <c r="N515" s="10">
        <f>'[1]2026 Orders'!L516</f>
        <v>0</v>
      </c>
      <c r="O515">
        <f>'[1]2026 Orders'!M516</f>
        <v>0</v>
      </c>
      <c r="P515">
        <f>'[1]2026 Orders'!N516</f>
        <v>0</v>
      </c>
      <c r="Q515">
        <f>'[1]2026 Orders'!O516</f>
        <v>0</v>
      </c>
      <c r="R515">
        <f>'[1]2026 Orders'!P516</f>
        <v>0</v>
      </c>
      <c r="S515">
        <f>'[1]2026 Orders'!Q516</f>
        <v>0</v>
      </c>
      <c r="T515">
        <f>'[1]2026 Orders'!R516</f>
        <v>0</v>
      </c>
      <c r="U515">
        <f>'[1]2026 Orders'!S516</f>
        <v>0</v>
      </c>
      <c r="V515">
        <f>'[1]2026 Orders'!T516</f>
        <v>0</v>
      </c>
      <c r="W515">
        <f>'[1]2026 Orders'!U516</f>
        <v>0</v>
      </c>
      <c r="X515">
        <f>'[1]2026 Orders'!V516</f>
        <v>0</v>
      </c>
      <c r="Y515">
        <f>'[1]2026 Orders'!W516</f>
        <v>0</v>
      </c>
      <c r="Z515">
        <f>'[1]2026 Orders'!X516</f>
        <v>0</v>
      </c>
      <c r="AC515" t="str">
        <f t="shared" ref="AC515:AC578" si="16">IF(OR(B515="",B515=0),"",J515&amp;"/"&amp;$AJ$2)</f>
        <v/>
      </c>
      <c r="AD515" t="str">
        <f t="shared" ref="AD515:AD578" si="17">IF(OR(J515="",J515=0),"",I515&amp;" -&gt; "&amp;$AK$2)</f>
        <v/>
      </c>
    </row>
    <row r="516" spans="1:30" ht="33" hidden="1" customHeight="1" x14ac:dyDescent="0.3">
      <c r="A516">
        <f>'[1]2026 Orders'!A517</f>
        <v>0</v>
      </c>
      <c r="B516" s="14">
        <f>'[1]2026 Orders'!B517</f>
        <v>0</v>
      </c>
      <c r="C516" s="14">
        <f>'[1]2026 Orders'!C517</f>
        <v>0</v>
      </c>
      <c r="D516" s="14">
        <f>'[1]2026 Orders'!D517</f>
        <v>0</v>
      </c>
      <c r="E516" s="17" t="str" cm="1">
        <f t="array" ref="E516">IF(C516=0,"",
HYPERLINK(
"#'2026 Orders'!C"&amp;
MATCH(1,
('2026 Orders'!C:C=C516)*
('2026 Orders'!G:G=G516)*
('2026 Orders'!N:N=N516),
0),
"Open "&amp;C516
))</f>
        <v/>
      </c>
      <c r="F516" s="14">
        <f>'[1]2026 Orders'!F517</f>
        <v>0</v>
      </c>
      <c r="G516" s="14">
        <f>'[1]2026 Orders'!G517</f>
        <v>0</v>
      </c>
      <c r="H516" s="14" t="str" cm="1">
        <f t="array" ref="H516">IFERROR(_xlfn.TEXTJOIN("-",,INDEX(_xlfn.TEXTSPLIT(TableTake[[#This Row],[SKU]],"-"),{1,2})),"")</f>
        <v/>
      </c>
      <c r="I516" s="15" t="str">
        <f>IFERROR(_xlfn.TEXTAFTER(TableTake[[#This Row],[SKU]],"-",-1),"")</f>
        <v/>
      </c>
      <c r="J516" s="14">
        <f>'[1]2026 Orders'!H517</f>
        <v>0</v>
      </c>
      <c r="K516">
        <f>'[1]2026 Orders'!I517</f>
        <v>0</v>
      </c>
      <c r="L516">
        <f>'[1]2026 Orders'!J517</f>
        <v>0</v>
      </c>
      <c r="N516" s="10">
        <f>'[1]2026 Orders'!L517</f>
        <v>0</v>
      </c>
      <c r="O516">
        <f>'[1]2026 Orders'!M517</f>
        <v>0</v>
      </c>
      <c r="P516">
        <f>'[1]2026 Orders'!N517</f>
        <v>0</v>
      </c>
      <c r="Q516">
        <f>'[1]2026 Orders'!O517</f>
        <v>0</v>
      </c>
      <c r="R516">
        <f>'[1]2026 Orders'!P517</f>
        <v>0</v>
      </c>
      <c r="S516">
        <f>'[1]2026 Orders'!Q517</f>
        <v>0</v>
      </c>
      <c r="T516">
        <f>'[1]2026 Orders'!R517</f>
        <v>0</v>
      </c>
      <c r="U516">
        <f>'[1]2026 Orders'!S517</f>
        <v>0</v>
      </c>
      <c r="V516">
        <f>'[1]2026 Orders'!T517</f>
        <v>0</v>
      </c>
      <c r="W516">
        <f>'[1]2026 Orders'!U517</f>
        <v>0</v>
      </c>
      <c r="X516">
        <f>'[1]2026 Orders'!V517</f>
        <v>0</v>
      </c>
      <c r="Y516">
        <f>'[1]2026 Orders'!W517</f>
        <v>0</v>
      </c>
      <c r="Z516">
        <f>'[1]2026 Orders'!X517</f>
        <v>0</v>
      </c>
      <c r="AC516" t="str">
        <f t="shared" si="16"/>
        <v/>
      </c>
      <c r="AD516" t="str">
        <f t="shared" si="17"/>
        <v/>
      </c>
    </row>
    <row r="517" spans="1:30" ht="33" hidden="1" customHeight="1" x14ac:dyDescent="0.3">
      <c r="A517">
        <f>'[1]2026 Orders'!A518</f>
        <v>0</v>
      </c>
      <c r="B517" s="14">
        <f>'[1]2026 Orders'!B518</f>
        <v>0</v>
      </c>
      <c r="C517" s="14">
        <f>'[1]2026 Orders'!C518</f>
        <v>0</v>
      </c>
      <c r="D517" s="14">
        <f>'[1]2026 Orders'!D518</f>
        <v>0</v>
      </c>
      <c r="E517" s="17" t="str" cm="1">
        <f t="array" ref="E517">IF(C517=0,"",
HYPERLINK(
"#'2026 Orders'!C"&amp;
MATCH(1,
('2026 Orders'!C:C=C517)*
('2026 Orders'!G:G=G517)*
('2026 Orders'!N:N=N517),
0),
"Open "&amp;C517
))</f>
        <v/>
      </c>
      <c r="F517" s="14">
        <f>'[1]2026 Orders'!F518</f>
        <v>0</v>
      </c>
      <c r="G517" s="14">
        <f>'[1]2026 Orders'!G518</f>
        <v>0</v>
      </c>
      <c r="H517" s="14" t="str" cm="1">
        <f t="array" ref="H517">IFERROR(_xlfn.TEXTJOIN("-",,INDEX(_xlfn.TEXTSPLIT(TableTake[[#This Row],[SKU]],"-"),{1,2})),"")</f>
        <v/>
      </c>
      <c r="I517" s="15" t="str">
        <f>IFERROR(_xlfn.TEXTAFTER(TableTake[[#This Row],[SKU]],"-",-1),"")</f>
        <v/>
      </c>
      <c r="J517" s="14">
        <f>'[1]2026 Orders'!H518</f>
        <v>0</v>
      </c>
      <c r="K517">
        <f>'[1]2026 Orders'!I518</f>
        <v>0</v>
      </c>
      <c r="L517">
        <f>'[1]2026 Orders'!J518</f>
        <v>0</v>
      </c>
      <c r="N517" s="10">
        <f>'[1]2026 Orders'!L518</f>
        <v>0</v>
      </c>
      <c r="O517">
        <f>'[1]2026 Orders'!M518</f>
        <v>0</v>
      </c>
      <c r="P517">
        <f>'[1]2026 Orders'!N518</f>
        <v>0</v>
      </c>
      <c r="Q517">
        <f>'[1]2026 Orders'!O518</f>
        <v>0</v>
      </c>
      <c r="R517">
        <f>'[1]2026 Orders'!P518</f>
        <v>0</v>
      </c>
      <c r="S517">
        <f>'[1]2026 Orders'!Q518</f>
        <v>0</v>
      </c>
      <c r="T517">
        <f>'[1]2026 Orders'!R518</f>
        <v>0</v>
      </c>
      <c r="U517">
        <f>'[1]2026 Orders'!S518</f>
        <v>0</v>
      </c>
      <c r="V517">
        <f>'[1]2026 Orders'!T518</f>
        <v>0</v>
      </c>
      <c r="W517">
        <f>'[1]2026 Orders'!U518</f>
        <v>0</v>
      </c>
      <c r="X517">
        <f>'[1]2026 Orders'!V518</f>
        <v>0</v>
      </c>
      <c r="Y517">
        <f>'[1]2026 Orders'!W518</f>
        <v>0</v>
      </c>
      <c r="Z517">
        <f>'[1]2026 Orders'!X518</f>
        <v>0</v>
      </c>
      <c r="AC517" t="str">
        <f t="shared" si="16"/>
        <v/>
      </c>
      <c r="AD517" t="str">
        <f t="shared" si="17"/>
        <v/>
      </c>
    </row>
    <row r="518" spans="1:30" ht="33" hidden="1" customHeight="1" x14ac:dyDescent="0.3">
      <c r="A518">
        <f>'[1]2026 Orders'!A519</f>
        <v>0</v>
      </c>
      <c r="B518" s="14">
        <f>'[1]2026 Orders'!B519</f>
        <v>0</v>
      </c>
      <c r="C518" s="14">
        <f>'[1]2026 Orders'!C519</f>
        <v>0</v>
      </c>
      <c r="D518" s="14">
        <f>'[1]2026 Orders'!D519</f>
        <v>0</v>
      </c>
      <c r="E518" s="17" t="str" cm="1">
        <f t="array" ref="E518">IF(C518=0,"",
HYPERLINK(
"#'2026 Orders'!C"&amp;
MATCH(1,
('2026 Orders'!C:C=C518)*
('2026 Orders'!G:G=G518)*
('2026 Orders'!N:N=N518),
0),
"Open "&amp;C518
))</f>
        <v/>
      </c>
      <c r="F518" s="14">
        <f>'[1]2026 Orders'!F519</f>
        <v>0</v>
      </c>
      <c r="G518" s="14">
        <f>'[1]2026 Orders'!G519</f>
        <v>0</v>
      </c>
      <c r="H518" s="14" t="str" cm="1">
        <f t="array" ref="H518">IFERROR(_xlfn.TEXTJOIN("-",,INDEX(_xlfn.TEXTSPLIT(TableTake[[#This Row],[SKU]],"-"),{1,2})),"")</f>
        <v/>
      </c>
      <c r="I518" s="15" t="str">
        <f>IFERROR(_xlfn.TEXTAFTER(TableTake[[#This Row],[SKU]],"-",-1),"")</f>
        <v/>
      </c>
      <c r="J518" s="14">
        <f>'[1]2026 Orders'!H519</f>
        <v>0</v>
      </c>
      <c r="K518">
        <f>'[1]2026 Orders'!I519</f>
        <v>0</v>
      </c>
      <c r="L518">
        <f>'[1]2026 Orders'!J519</f>
        <v>0</v>
      </c>
      <c r="N518" s="10">
        <f>'[1]2026 Orders'!L519</f>
        <v>0</v>
      </c>
      <c r="O518">
        <f>'[1]2026 Orders'!M519</f>
        <v>0</v>
      </c>
      <c r="P518">
        <f>'[1]2026 Orders'!N519</f>
        <v>0</v>
      </c>
      <c r="Q518">
        <f>'[1]2026 Orders'!O519</f>
        <v>0</v>
      </c>
      <c r="R518">
        <f>'[1]2026 Orders'!P519</f>
        <v>0</v>
      </c>
      <c r="S518">
        <f>'[1]2026 Orders'!Q519</f>
        <v>0</v>
      </c>
      <c r="T518">
        <f>'[1]2026 Orders'!R519</f>
        <v>0</v>
      </c>
      <c r="U518">
        <f>'[1]2026 Orders'!S519</f>
        <v>0</v>
      </c>
      <c r="V518">
        <f>'[1]2026 Orders'!T519</f>
        <v>0</v>
      </c>
      <c r="W518">
        <f>'[1]2026 Orders'!U519</f>
        <v>0</v>
      </c>
      <c r="X518">
        <f>'[1]2026 Orders'!V519</f>
        <v>0</v>
      </c>
      <c r="Y518">
        <f>'[1]2026 Orders'!W519</f>
        <v>0</v>
      </c>
      <c r="Z518">
        <f>'[1]2026 Orders'!X519</f>
        <v>0</v>
      </c>
      <c r="AC518" t="str">
        <f t="shared" si="16"/>
        <v/>
      </c>
      <c r="AD518" t="str">
        <f t="shared" si="17"/>
        <v/>
      </c>
    </row>
    <row r="519" spans="1:30" ht="33" hidden="1" customHeight="1" x14ac:dyDescent="0.3">
      <c r="A519">
        <f>'[1]2026 Orders'!A520</f>
        <v>0</v>
      </c>
      <c r="B519" s="14">
        <f>'[1]2026 Orders'!B520</f>
        <v>0</v>
      </c>
      <c r="C519" s="14">
        <f>'[1]2026 Orders'!C520</f>
        <v>0</v>
      </c>
      <c r="D519" s="14">
        <f>'[1]2026 Orders'!D520</f>
        <v>0</v>
      </c>
      <c r="E519" s="17" t="str" cm="1">
        <f t="array" ref="E519">IF(C519=0,"",
HYPERLINK(
"#'2026 Orders'!C"&amp;
MATCH(1,
('2026 Orders'!C:C=C519)*
('2026 Orders'!G:G=G519)*
('2026 Orders'!N:N=N519),
0),
"Open "&amp;C519
))</f>
        <v/>
      </c>
      <c r="F519" s="14">
        <f>'[1]2026 Orders'!F520</f>
        <v>0</v>
      </c>
      <c r="G519" s="14">
        <f>'[1]2026 Orders'!G520</f>
        <v>0</v>
      </c>
      <c r="H519" s="14" t="str" cm="1">
        <f t="array" ref="H519">IFERROR(_xlfn.TEXTJOIN("-",,INDEX(_xlfn.TEXTSPLIT(TableTake[[#This Row],[SKU]],"-"),{1,2})),"")</f>
        <v/>
      </c>
      <c r="I519" s="15" t="str">
        <f>IFERROR(_xlfn.TEXTAFTER(TableTake[[#This Row],[SKU]],"-",-1),"")</f>
        <v/>
      </c>
      <c r="J519" s="14">
        <f>'[1]2026 Orders'!H520</f>
        <v>0</v>
      </c>
      <c r="K519">
        <f>'[1]2026 Orders'!I520</f>
        <v>0</v>
      </c>
      <c r="L519">
        <f>'[1]2026 Orders'!J520</f>
        <v>0</v>
      </c>
      <c r="N519" s="10">
        <f>'[1]2026 Orders'!L520</f>
        <v>0</v>
      </c>
      <c r="O519">
        <f>'[1]2026 Orders'!M520</f>
        <v>0</v>
      </c>
      <c r="P519">
        <f>'[1]2026 Orders'!N520</f>
        <v>0</v>
      </c>
      <c r="Q519">
        <f>'[1]2026 Orders'!O520</f>
        <v>0</v>
      </c>
      <c r="R519">
        <f>'[1]2026 Orders'!P520</f>
        <v>0</v>
      </c>
      <c r="S519">
        <f>'[1]2026 Orders'!Q520</f>
        <v>0</v>
      </c>
      <c r="T519">
        <f>'[1]2026 Orders'!R520</f>
        <v>0</v>
      </c>
      <c r="U519">
        <f>'[1]2026 Orders'!S520</f>
        <v>0</v>
      </c>
      <c r="V519">
        <f>'[1]2026 Orders'!T520</f>
        <v>0</v>
      </c>
      <c r="W519">
        <f>'[1]2026 Orders'!U520</f>
        <v>0</v>
      </c>
      <c r="X519">
        <f>'[1]2026 Orders'!V520</f>
        <v>0</v>
      </c>
      <c r="Y519">
        <f>'[1]2026 Orders'!W520</f>
        <v>0</v>
      </c>
      <c r="Z519">
        <f>'[1]2026 Orders'!X520</f>
        <v>0</v>
      </c>
      <c r="AC519" t="str">
        <f t="shared" si="16"/>
        <v/>
      </c>
      <c r="AD519" t="str">
        <f t="shared" si="17"/>
        <v/>
      </c>
    </row>
    <row r="520" spans="1:30" ht="33" hidden="1" customHeight="1" x14ac:dyDescent="0.3">
      <c r="A520">
        <f>'[1]2026 Orders'!A521</f>
        <v>0</v>
      </c>
      <c r="B520" s="14">
        <f>'[1]2026 Orders'!B521</f>
        <v>0</v>
      </c>
      <c r="C520" s="14">
        <f>'[1]2026 Orders'!C521</f>
        <v>0</v>
      </c>
      <c r="D520" s="14">
        <f>'[1]2026 Orders'!D521</f>
        <v>0</v>
      </c>
      <c r="E520" s="17" t="str" cm="1">
        <f t="array" ref="E520">IF(C520=0,"",
HYPERLINK(
"#'2026 Orders'!C"&amp;
MATCH(1,
('2026 Orders'!C:C=C520)*
('2026 Orders'!G:G=G520)*
('2026 Orders'!N:N=N520),
0),
"Open "&amp;C520
))</f>
        <v/>
      </c>
      <c r="F520" s="14">
        <f>'[1]2026 Orders'!F521</f>
        <v>0</v>
      </c>
      <c r="G520" s="14">
        <f>'[1]2026 Orders'!G521</f>
        <v>0</v>
      </c>
      <c r="H520" s="14" t="str" cm="1">
        <f t="array" ref="H520">IFERROR(_xlfn.TEXTJOIN("-",,INDEX(_xlfn.TEXTSPLIT(TableTake[[#This Row],[SKU]],"-"),{1,2})),"")</f>
        <v/>
      </c>
      <c r="I520" s="15" t="str">
        <f>IFERROR(_xlfn.TEXTAFTER(TableTake[[#This Row],[SKU]],"-",-1),"")</f>
        <v/>
      </c>
      <c r="J520" s="14">
        <f>'[1]2026 Orders'!H521</f>
        <v>0</v>
      </c>
      <c r="K520">
        <f>'[1]2026 Orders'!I521</f>
        <v>0</v>
      </c>
      <c r="L520">
        <f>'[1]2026 Orders'!J521</f>
        <v>0</v>
      </c>
      <c r="N520" s="10">
        <f>'[1]2026 Orders'!L521</f>
        <v>0</v>
      </c>
      <c r="O520">
        <f>'[1]2026 Orders'!M521</f>
        <v>0</v>
      </c>
      <c r="P520">
        <f>'[1]2026 Orders'!N521</f>
        <v>0</v>
      </c>
      <c r="Q520">
        <f>'[1]2026 Orders'!O521</f>
        <v>0</v>
      </c>
      <c r="R520">
        <f>'[1]2026 Orders'!P521</f>
        <v>0</v>
      </c>
      <c r="S520">
        <f>'[1]2026 Orders'!Q521</f>
        <v>0</v>
      </c>
      <c r="T520">
        <f>'[1]2026 Orders'!R521</f>
        <v>0</v>
      </c>
      <c r="U520">
        <f>'[1]2026 Orders'!S521</f>
        <v>0</v>
      </c>
      <c r="V520">
        <f>'[1]2026 Orders'!T521</f>
        <v>0</v>
      </c>
      <c r="W520">
        <f>'[1]2026 Orders'!U521</f>
        <v>0</v>
      </c>
      <c r="X520">
        <f>'[1]2026 Orders'!V521</f>
        <v>0</v>
      </c>
      <c r="Y520">
        <f>'[1]2026 Orders'!W521</f>
        <v>0</v>
      </c>
      <c r="Z520">
        <f>'[1]2026 Orders'!X521</f>
        <v>0</v>
      </c>
      <c r="AC520" t="str">
        <f t="shared" si="16"/>
        <v/>
      </c>
      <c r="AD520" t="str">
        <f t="shared" si="17"/>
        <v/>
      </c>
    </row>
    <row r="521" spans="1:30" ht="33" hidden="1" customHeight="1" x14ac:dyDescent="0.3">
      <c r="A521">
        <f>'[1]2026 Orders'!A522</f>
        <v>0</v>
      </c>
      <c r="B521" s="14">
        <f>'[1]2026 Orders'!B522</f>
        <v>0</v>
      </c>
      <c r="C521" s="14">
        <f>'[1]2026 Orders'!C522</f>
        <v>0</v>
      </c>
      <c r="D521" s="14">
        <f>'[1]2026 Orders'!D522</f>
        <v>0</v>
      </c>
      <c r="E521" s="17" t="str" cm="1">
        <f t="array" ref="E521">IF(C521=0,"",
HYPERLINK(
"#'2026 Orders'!C"&amp;
MATCH(1,
('2026 Orders'!C:C=C521)*
('2026 Orders'!G:G=G521)*
('2026 Orders'!N:N=N521),
0),
"Open "&amp;C521
))</f>
        <v/>
      </c>
      <c r="F521" s="14">
        <f>'[1]2026 Orders'!F522</f>
        <v>0</v>
      </c>
      <c r="G521" s="14">
        <f>'[1]2026 Orders'!G522</f>
        <v>0</v>
      </c>
      <c r="H521" s="14" t="str" cm="1">
        <f t="array" ref="H521">IFERROR(_xlfn.TEXTJOIN("-",,INDEX(_xlfn.TEXTSPLIT(TableTake[[#This Row],[SKU]],"-"),{1,2})),"")</f>
        <v/>
      </c>
      <c r="I521" s="15" t="str">
        <f>IFERROR(_xlfn.TEXTAFTER(TableTake[[#This Row],[SKU]],"-",-1),"")</f>
        <v/>
      </c>
      <c r="J521" s="14">
        <f>'[1]2026 Orders'!H522</f>
        <v>0</v>
      </c>
      <c r="K521">
        <f>'[1]2026 Orders'!I522</f>
        <v>0</v>
      </c>
      <c r="L521">
        <f>'[1]2026 Orders'!J522</f>
        <v>0</v>
      </c>
      <c r="N521" s="10">
        <f>'[1]2026 Orders'!L522</f>
        <v>0</v>
      </c>
      <c r="O521">
        <f>'[1]2026 Orders'!M522</f>
        <v>0</v>
      </c>
      <c r="P521">
        <f>'[1]2026 Orders'!N522</f>
        <v>0</v>
      </c>
      <c r="Q521">
        <f>'[1]2026 Orders'!O522</f>
        <v>0</v>
      </c>
      <c r="R521">
        <f>'[1]2026 Orders'!P522</f>
        <v>0</v>
      </c>
      <c r="S521">
        <f>'[1]2026 Orders'!Q522</f>
        <v>0</v>
      </c>
      <c r="T521">
        <f>'[1]2026 Orders'!R522</f>
        <v>0</v>
      </c>
      <c r="U521">
        <f>'[1]2026 Orders'!S522</f>
        <v>0</v>
      </c>
      <c r="V521">
        <f>'[1]2026 Orders'!T522</f>
        <v>0</v>
      </c>
      <c r="W521">
        <f>'[1]2026 Orders'!U522</f>
        <v>0</v>
      </c>
      <c r="X521">
        <f>'[1]2026 Orders'!V522</f>
        <v>0</v>
      </c>
      <c r="Y521">
        <f>'[1]2026 Orders'!W522</f>
        <v>0</v>
      </c>
      <c r="Z521">
        <f>'[1]2026 Orders'!X522</f>
        <v>0</v>
      </c>
      <c r="AC521" t="str">
        <f t="shared" si="16"/>
        <v/>
      </c>
      <c r="AD521" t="str">
        <f t="shared" si="17"/>
        <v/>
      </c>
    </row>
    <row r="522" spans="1:30" ht="33" hidden="1" customHeight="1" x14ac:dyDescent="0.3">
      <c r="A522">
        <f>'[1]2026 Orders'!A523</f>
        <v>0</v>
      </c>
      <c r="B522" s="14">
        <f>'[1]2026 Orders'!B523</f>
        <v>0</v>
      </c>
      <c r="C522" s="14">
        <f>'[1]2026 Orders'!C523</f>
        <v>0</v>
      </c>
      <c r="D522" s="14">
        <f>'[1]2026 Orders'!D523</f>
        <v>0</v>
      </c>
      <c r="E522" s="17" t="str" cm="1">
        <f t="array" ref="E522">IF(C522=0,"",
HYPERLINK(
"#'2026 Orders'!C"&amp;
MATCH(1,
('2026 Orders'!C:C=C522)*
('2026 Orders'!G:G=G522)*
('2026 Orders'!N:N=N522),
0),
"Open "&amp;C522
))</f>
        <v/>
      </c>
      <c r="F522" s="14">
        <f>'[1]2026 Orders'!F523</f>
        <v>0</v>
      </c>
      <c r="G522" s="14">
        <f>'[1]2026 Orders'!G523</f>
        <v>0</v>
      </c>
      <c r="H522" s="14" t="str" cm="1">
        <f t="array" ref="H522">IFERROR(_xlfn.TEXTJOIN("-",,INDEX(_xlfn.TEXTSPLIT(TableTake[[#This Row],[SKU]],"-"),{1,2})),"")</f>
        <v/>
      </c>
      <c r="I522" s="15" t="str">
        <f>IFERROR(_xlfn.TEXTAFTER(TableTake[[#This Row],[SKU]],"-",-1),"")</f>
        <v/>
      </c>
      <c r="J522" s="14">
        <f>'[1]2026 Orders'!H523</f>
        <v>0</v>
      </c>
      <c r="K522">
        <f>'[1]2026 Orders'!I523</f>
        <v>0</v>
      </c>
      <c r="L522">
        <f>'[1]2026 Orders'!J523</f>
        <v>0</v>
      </c>
      <c r="N522" s="10">
        <f>'[1]2026 Orders'!L523</f>
        <v>0</v>
      </c>
      <c r="O522">
        <f>'[1]2026 Orders'!M523</f>
        <v>0</v>
      </c>
      <c r="P522">
        <f>'[1]2026 Orders'!N523</f>
        <v>0</v>
      </c>
      <c r="Q522">
        <f>'[1]2026 Orders'!O523</f>
        <v>0</v>
      </c>
      <c r="R522">
        <f>'[1]2026 Orders'!P523</f>
        <v>0</v>
      </c>
      <c r="S522">
        <f>'[1]2026 Orders'!Q523</f>
        <v>0</v>
      </c>
      <c r="T522">
        <f>'[1]2026 Orders'!R523</f>
        <v>0</v>
      </c>
      <c r="U522">
        <f>'[1]2026 Orders'!S523</f>
        <v>0</v>
      </c>
      <c r="V522">
        <f>'[1]2026 Orders'!T523</f>
        <v>0</v>
      </c>
      <c r="W522">
        <f>'[1]2026 Orders'!U523</f>
        <v>0</v>
      </c>
      <c r="X522">
        <f>'[1]2026 Orders'!V523</f>
        <v>0</v>
      </c>
      <c r="Y522">
        <f>'[1]2026 Orders'!W523</f>
        <v>0</v>
      </c>
      <c r="Z522">
        <f>'[1]2026 Orders'!X523</f>
        <v>0</v>
      </c>
      <c r="AC522" t="str">
        <f t="shared" si="16"/>
        <v/>
      </c>
      <c r="AD522" t="str">
        <f t="shared" si="17"/>
        <v/>
      </c>
    </row>
    <row r="523" spans="1:30" ht="33" hidden="1" customHeight="1" x14ac:dyDescent="0.3">
      <c r="A523">
        <f>'[1]2026 Orders'!A524</f>
        <v>0</v>
      </c>
      <c r="B523" s="14">
        <f>'[1]2026 Orders'!B524</f>
        <v>0</v>
      </c>
      <c r="C523" s="14">
        <f>'[1]2026 Orders'!C524</f>
        <v>0</v>
      </c>
      <c r="D523" s="14">
        <f>'[1]2026 Orders'!D524</f>
        <v>0</v>
      </c>
      <c r="E523" s="17" t="str" cm="1">
        <f t="array" ref="E523">IF(C523=0,"",
HYPERLINK(
"#'2026 Orders'!C"&amp;
MATCH(1,
('2026 Orders'!C:C=C523)*
('2026 Orders'!G:G=G523)*
('2026 Orders'!N:N=N523),
0),
"Open "&amp;C523
))</f>
        <v/>
      </c>
      <c r="F523" s="14">
        <f>'[1]2026 Orders'!F524</f>
        <v>0</v>
      </c>
      <c r="G523" s="14">
        <f>'[1]2026 Orders'!G524</f>
        <v>0</v>
      </c>
      <c r="H523" s="14" t="str" cm="1">
        <f t="array" ref="H523">IFERROR(_xlfn.TEXTJOIN("-",,INDEX(_xlfn.TEXTSPLIT(TableTake[[#This Row],[SKU]],"-"),{1,2})),"")</f>
        <v/>
      </c>
      <c r="I523" s="15" t="str">
        <f>IFERROR(_xlfn.TEXTAFTER(TableTake[[#This Row],[SKU]],"-",-1),"")</f>
        <v/>
      </c>
      <c r="J523" s="14">
        <f>'[1]2026 Orders'!H524</f>
        <v>0</v>
      </c>
      <c r="K523">
        <f>'[1]2026 Orders'!I524</f>
        <v>0</v>
      </c>
      <c r="L523">
        <f>'[1]2026 Orders'!J524</f>
        <v>0</v>
      </c>
      <c r="N523" s="10">
        <f>'[1]2026 Orders'!L524</f>
        <v>0</v>
      </c>
      <c r="O523">
        <f>'[1]2026 Orders'!M524</f>
        <v>0</v>
      </c>
      <c r="P523">
        <f>'[1]2026 Orders'!N524</f>
        <v>0</v>
      </c>
      <c r="Q523">
        <f>'[1]2026 Orders'!O524</f>
        <v>0</v>
      </c>
      <c r="R523">
        <f>'[1]2026 Orders'!P524</f>
        <v>0</v>
      </c>
      <c r="S523">
        <f>'[1]2026 Orders'!Q524</f>
        <v>0</v>
      </c>
      <c r="T523">
        <f>'[1]2026 Orders'!R524</f>
        <v>0</v>
      </c>
      <c r="U523">
        <f>'[1]2026 Orders'!S524</f>
        <v>0</v>
      </c>
      <c r="V523">
        <f>'[1]2026 Orders'!T524</f>
        <v>0</v>
      </c>
      <c r="W523">
        <f>'[1]2026 Orders'!U524</f>
        <v>0</v>
      </c>
      <c r="X523">
        <f>'[1]2026 Orders'!V524</f>
        <v>0</v>
      </c>
      <c r="Y523">
        <f>'[1]2026 Orders'!W524</f>
        <v>0</v>
      </c>
      <c r="Z523">
        <f>'[1]2026 Orders'!X524</f>
        <v>0</v>
      </c>
      <c r="AC523" t="str">
        <f t="shared" si="16"/>
        <v/>
      </c>
      <c r="AD523" t="str">
        <f t="shared" si="17"/>
        <v/>
      </c>
    </row>
    <row r="524" spans="1:30" ht="33" hidden="1" customHeight="1" x14ac:dyDescent="0.3">
      <c r="A524">
        <f>'[1]2026 Orders'!A525</f>
        <v>0</v>
      </c>
      <c r="B524" s="14">
        <f>'[1]2026 Orders'!B525</f>
        <v>0</v>
      </c>
      <c r="C524" s="14">
        <f>'[1]2026 Orders'!C525</f>
        <v>0</v>
      </c>
      <c r="D524" s="14">
        <f>'[1]2026 Orders'!D525</f>
        <v>0</v>
      </c>
      <c r="E524" s="17" t="str" cm="1">
        <f t="array" ref="E524">IF(C524=0,"",
HYPERLINK(
"#'2026 Orders'!C"&amp;
MATCH(1,
('2026 Orders'!C:C=C524)*
('2026 Orders'!G:G=G524)*
('2026 Orders'!N:N=N524),
0),
"Open "&amp;C524
))</f>
        <v/>
      </c>
      <c r="F524" s="14">
        <f>'[1]2026 Orders'!F525</f>
        <v>0</v>
      </c>
      <c r="G524" s="14">
        <f>'[1]2026 Orders'!G525</f>
        <v>0</v>
      </c>
      <c r="H524" s="14" t="str" cm="1">
        <f t="array" ref="H524">IFERROR(_xlfn.TEXTJOIN("-",,INDEX(_xlfn.TEXTSPLIT(TableTake[[#This Row],[SKU]],"-"),{1,2})),"")</f>
        <v/>
      </c>
      <c r="I524" s="15" t="str">
        <f>IFERROR(_xlfn.TEXTAFTER(TableTake[[#This Row],[SKU]],"-",-1),"")</f>
        <v/>
      </c>
      <c r="J524" s="14">
        <f>'[1]2026 Orders'!H525</f>
        <v>0</v>
      </c>
      <c r="K524">
        <f>'[1]2026 Orders'!I525</f>
        <v>0</v>
      </c>
      <c r="L524">
        <f>'[1]2026 Orders'!J525</f>
        <v>0</v>
      </c>
      <c r="N524" s="10">
        <f>'[1]2026 Orders'!L525</f>
        <v>0</v>
      </c>
      <c r="O524">
        <f>'[1]2026 Orders'!M525</f>
        <v>0</v>
      </c>
      <c r="P524">
        <f>'[1]2026 Orders'!N525</f>
        <v>0</v>
      </c>
      <c r="Q524">
        <f>'[1]2026 Orders'!O525</f>
        <v>0</v>
      </c>
      <c r="R524">
        <f>'[1]2026 Orders'!P525</f>
        <v>0</v>
      </c>
      <c r="S524">
        <f>'[1]2026 Orders'!Q525</f>
        <v>0</v>
      </c>
      <c r="T524">
        <f>'[1]2026 Orders'!R525</f>
        <v>0</v>
      </c>
      <c r="U524">
        <f>'[1]2026 Orders'!S525</f>
        <v>0</v>
      </c>
      <c r="V524">
        <f>'[1]2026 Orders'!T525</f>
        <v>0</v>
      </c>
      <c r="W524">
        <f>'[1]2026 Orders'!U525</f>
        <v>0</v>
      </c>
      <c r="X524">
        <f>'[1]2026 Orders'!V525</f>
        <v>0</v>
      </c>
      <c r="Y524">
        <f>'[1]2026 Orders'!W525</f>
        <v>0</v>
      </c>
      <c r="Z524">
        <f>'[1]2026 Orders'!X525</f>
        <v>0</v>
      </c>
      <c r="AC524" t="str">
        <f t="shared" si="16"/>
        <v/>
      </c>
      <c r="AD524" t="str">
        <f t="shared" si="17"/>
        <v/>
      </c>
    </row>
    <row r="525" spans="1:30" ht="33" hidden="1" customHeight="1" x14ac:dyDescent="0.3">
      <c r="A525">
        <f>'[1]2026 Orders'!A526</f>
        <v>0</v>
      </c>
      <c r="B525" s="14">
        <f>'[1]2026 Orders'!B526</f>
        <v>0</v>
      </c>
      <c r="C525" s="14">
        <f>'[1]2026 Orders'!C526</f>
        <v>0</v>
      </c>
      <c r="D525" s="14">
        <f>'[1]2026 Orders'!D526</f>
        <v>0</v>
      </c>
      <c r="E525" s="17" t="str" cm="1">
        <f t="array" ref="E525">IF(C525=0,"",
HYPERLINK(
"#'2026 Orders'!C"&amp;
MATCH(1,
('2026 Orders'!C:C=C525)*
('2026 Orders'!G:G=G525)*
('2026 Orders'!N:N=N525),
0),
"Open "&amp;C525
))</f>
        <v/>
      </c>
      <c r="F525" s="14">
        <f>'[1]2026 Orders'!F526</f>
        <v>0</v>
      </c>
      <c r="G525" s="14">
        <f>'[1]2026 Orders'!G526</f>
        <v>0</v>
      </c>
      <c r="H525" s="14" t="str" cm="1">
        <f t="array" ref="H525">IFERROR(_xlfn.TEXTJOIN("-",,INDEX(_xlfn.TEXTSPLIT(TableTake[[#This Row],[SKU]],"-"),{1,2})),"")</f>
        <v/>
      </c>
      <c r="I525" s="15" t="str">
        <f>IFERROR(_xlfn.TEXTAFTER(TableTake[[#This Row],[SKU]],"-",-1),"")</f>
        <v/>
      </c>
      <c r="J525" s="14">
        <f>'[1]2026 Orders'!H526</f>
        <v>0</v>
      </c>
      <c r="K525">
        <f>'[1]2026 Orders'!I526</f>
        <v>0</v>
      </c>
      <c r="L525">
        <f>'[1]2026 Orders'!J526</f>
        <v>0</v>
      </c>
      <c r="N525" s="10">
        <f>'[1]2026 Orders'!L526</f>
        <v>0</v>
      </c>
      <c r="O525">
        <f>'[1]2026 Orders'!M526</f>
        <v>0</v>
      </c>
      <c r="P525">
        <f>'[1]2026 Orders'!N526</f>
        <v>0</v>
      </c>
      <c r="Q525">
        <f>'[1]2026 Orders'!O526</f>
        <v>0</v>
      </c>
      <c r="R525">
        <f>'[1]2026 Orders'!P526</f>
        <v>0</v>
      </c>
      <c r="S525">
        <f>'[1]2026 Orders'!Q526</f>
        <v>0</v>
      </c>
      <c r="T525">
        <f>'[1]2026 Orders'!R526</f>
        <v>0</v>
      </c>
      <c r="U525">
        <f>'[1]2026 Orders'!S526</f>
        <v>0</v>
      </c>
      <c r="V525">
        <f>'[1]2026 Orders'!T526</f>
        <v>0</v>
      </c>
      <c r="W525">
        <f>'[1]2026 Orders'!U526</f>
        <v>0</v>
      </c>
      <c r="X525">
        <f>'[1]2026 Orders'!V526</f>
        <v>0</v>
      </c>
      <c r="Y525">
        <f>'[1]2026 Orders'!W526</f>
        <v>0</v>
      </c>
      <c r="Z525">
        <f>'[1]2026 Orders'!X526</f>
        <v>0</v>
      </c>
      <c r="AC525" t="str">
        <f t="shared" si="16"/>
        <v/>
      </c>
      <c r="AD525" t="str">
        <f t="shared" si="17"/>
        <v/>
      </c>
    </row>
    <row r="526" spans="1:30" ht="33" hidden="1" customHeight="1" x14ac:dyDescent="0.3">
      <c r="A526">
        <f>'[1]2026 Orders'!A527</f>
        <v>0</v>
      </c>
      <c r="B526" s="14">
        <f>'[1]2026 Orders'!B527</f>
        <v>0</v>
      </c>
      <c r="C526" s="14">
        <f>'[1]2026 Orders'!C527</f>
        <v>0</v>
      </c>
      <c r="D526" s="14">
        <f>'[1]2026 Orders'!D527</f>
        <v>0</v>
      </c>
      <c r="E526" s="17" t="str" cm="1">
        <f t="array" ref="E526">IF(C526=0,"",
HYPERLINK(
"#'2026 Orders'!C"&amp;
MATCH(1,
('2026 Orders'!C:C=C526)*
('2026 Orders'!G:G=G526)*
('2026 Orders'!N:N=N526),
0),
"Open "&amp;C526
))</f>
        <v/>
      </c>
      <c r="F526" s="14">
        <f>'[1]2026 Orders'!F527</f>
        <v>0</v>
      </c>
      <c r="G526" s="14">
        <f>'[1]2026 Orders'!G527</f>
        <v>0</v>
      </c>
      <c r="H526" s="14" t="str" cm="1">
        <f t="array" ref="H526">IFERROR(_xlfn.TEXTJOIN("-",,INDEX(_xlfn.TEXTSPLIT(TableTake[[#This Row],[SKU]],"-"),{1,2})),"")</f>
        <v/>
      </c>
      <c r="I526" s="15" t="str">
        <f>IFERROR(_xlfn.TEXTAFTER(TableTake[[#This Row],[SKU]],"-",-1),"")</f>
        <v/>
      </c>
      <c r="J526" s="14">
        <f>'[1]2026 Orders'!H527</f>
        <v>0</v>
      </c>
      <c r="K526">
        <f>'[1]2026 Orders'!I527</f>
        <v>0</v>
      </c>
      <c r="L526">
        <f>'[1]2026 Orders'!J527</f>
        <v>0</v>
      </c>
      <c r="N526" s="10">
        <f>'[1]2026 Orders'!L527</f>
        <v>0</v>
      </c>
      <c r="O526">
        <f>'[1]2026 Orders'!M527</f>
        <v>0</v>
      </c>
      <c r="P526">
        <f>'[1]2026 Orders'!N527</f>
        <v>0</v>
      </c>
      <c r="Q526">
        <f>'[1]2026 Orders'!O527</f>
        <v>0</v>
      </c>
      <c r="R526">
        <f>'[1]2026 Orders'!P527</f>
        <v>0</v>
      </c>
      <c r="S526">
        <f>'[1]2026 Orders'!Q527</f>
        <v>0</v>
      </c>
      <c r="T526">
        <f>'[1]2026 Orders'!R527</f>
        <v>0</v>
      </c>
      <c r="U526">
        <f>'[1]2026 Orders'!S527</f>
        <v>0</v>
      </c>
      <c r="V526">
        <f>'[1]2026 Orders'!T527</f>
        <v>0</v>
      </c>
      <c r="W526">
        <f>'[1]2026 Orders'!U527</f>
        <v>0</v>
      </c>
      <c r="X526">
        <f>'[1]2026 Orders'!V527</f>
        <v>0</v>
      </c>
      <c r="Y526">
        <f>'[1]2026 Orders'!W527</f>
        <v>0</v>
      </c>
      <c r="Z526">
        <f>'[1]2026 Orders'!X527</f>
        <v>0</v>
      </c>
      <c r="AC526" t="str">
        <f t="shared" si="16"/>
        <v/>
      </c>
      <c r="AD526" t="str">
        <f t="shared" si="17"/>
        <v/>
      </c>
    </row>
    <row r="527" spans="1:30" ht="33" hidden="1" customHeight="1" x14ac:dyDescent="0.3">
      <c r="A527">
        <f>'[1]2026 Orders'!A528</f>
        <v>0</v>
      </c>
      <c r="B527" s="14">
        <f>'[1]2026 Orders'!B528</f>
        <v>0</v>
      </c>
      <c r="C527" s="14">
        <f>'[1]2026 Orders'!C528</f>
        <v>0</v>
      </c>
      <c r="D527" s="14">
        <f>'[1]2026 Orders'!D528</f>
        <v>0</v>
      </c>
      <c r="E527" s="17" t="str" cm="1">
        <f t="array" ref="E527">IF(C527=0,"",
HYPERLINK(
"#'2026 Orders'!C"&amp;
MATCH(1,
('2026 Orders'!C:C=C527)*
('2026 Orders'!G:G=G527)*
('2026 Orders'!N:N=N527),
0),
"Open "&amp;C527
))</f>
        <v/>
      </c>
      <c r="F527" s="14">
        <f>'[1]2026 Orders'!F528</f>
        <v>0</v>
      </c>
      <c r="G527" s="14">
        <f>'[1]2026 Orders'!G528</f>
        <v>0</v>
      </c>
      <c r="H527" s="14" t="str" cm="1">
        <f t="array" ref="H527">IFERROR(_xlfn.TEXTJOIN("-",,INDEX(_xlfn.TEXTSPLIT(TableTake[[#This Row],[SKU]],"-"),{1,2})),"")</f>
        <v/>
      </c>
      <c r="I527" s="15" t="str">
        <f>IFERROR(_xlfn.TEXTAFTER(TableTake[[#This Row],[SKU]],"-",-1),"")</f>
        <v/>
      </c>
      <c r="J527" s="14">
        <f>'[1]2026 Orders'!H528</f>
        <v>0</v>
      </c>
      <c r="K527">
        <f>'[1]2026 Orders'!I528</f>
        <v>0</v>
      </c>
      <c r="L527">
        <f>'[1]2026 Orders'!J528</f>
        <v>0</v>
      </c>
      <c r="N527" s="10">
        <f>'[1]2026 Orders'!L528</f>
        <v>0</v>
      </c>
      <c r="O527">
        <f>'[1]2026 Orders'!M528</f>
        <v>0</v>
      </c>
      <c r="P527">
        <f>'[1]2026 Orders'!N528</f>
        <v>0</v>
      </c>
      <c r="Q527">
        <f>'[1]2026 Orders'!O528</f>
        <v>0</v>
      </c>
      <c r="R527">
        <f>'[1]2026 Orders'!P528</f>
        <v>0</v>
      </c>
      <c r="S527">
        <f>'[1]2026 Orders'!Q528</f>
        <v>0</v>
      </c>
      <c r="T527">
        <f>'[1]2026 Orders'!R528</f>
        <v>0</v>
      </c>
      <c r="U527">
        <f>'[1]2026 Orders'!S528</f>
        <v>0</v>
      </c>
      <c r="V527">
        <f>'[1]2026 Orders'!T528</f>
        <v>0</v>
      </c>
      <c r="W527">
        <f>'[1]2026 Orders'!U528</f>
        <v>0</v>
      </c>
      <c r="X527">
        <f>'[1]2026 Orders'!V528</f>
        <v>0</v>
      </c>
      <c r="Y527">
        <f>'[1]2026 Orders'!W528</f>
        <v>0</v>
      </c>
      <c r="Z527">
        <f>'[1]2026 Orders'!X528</f>
        <v>0</v>
      </c>
      <c r="AC527" t="str">
        <f t="shared" si="16"/>
        <v/>
      </c>
      <c r="AD527" t="str">
        <f t="shared" si="17"/>
        <v/>
      </c>
    </row>
    <row r="528" spans="1:30" ht="33" hidden="1" customHeight="1" x14ac:dyDescent="0.3">
      <c r="A528">
        <f>'[1]2026 Orders'!A529</f>
        <v>0</v>
      </c>
      <c r="B528" s="14">
        <f>'[1]2026 Orders'!B529</f>
        <v>0</v>
      </c>
      <c r="C528" s="14">
        <f>'[1]2026 Orders'!C529</f>
        <v>0</v>
      </c>
      <c r="D528" s="14">
        <f>'[1]2026 Orders'!D529</f>
        <v>0</v>
      </c>
      <c r="E528" s="17" t="str" cm="1">
        <f t="array" ref="E528">IF(C528=0,"",
HYPERLINK(
"#'2026 Orders'!C"&amp;
MATCH(1,
('2026 Orders'!C:C=C528)*
('2026 Orders'!G:G=G528)*
('2026 Orders'!N:N=N528),
0),
"Open "&amp;C528
))</f>
        <v/>
      </c>
      <c r="F528" s="14">
        <f>'[1]2026 Orders'!F529</f>
        <v>0</v>
      </c>
      <c r="G528" s="14">
        <f>'[1]2026 Orders'!G529</f>
        <v>0</v>
      </c>
      <c r="H528" s="14" t="str" cm="1">
        <f t="array" ref="H528">IFERROR(_xlfn.TEXTJOIN("-",,INDEX(_xlfn.TEXTSPLIT(TableTake[[#This Row],[SKU]],"-"),{1,2})),"")</f>
        <v/>
      </c>
      <c r="I528" s="15" t="str">
        <f>IFERROR(_xlfn.TEXTAFTER(TableTake[[#This Row],[SKU]],"-",-1),"")</f>
        <v/>
      </c>
      <c r="J528" s="14">
        <f>'[1]2026 Orders'!H529</f>
        <v>0</v>
      </c>
      <c r="K528">
        <f>'[1]2026 Orders'!I529</f>
        <v>0</v>
      </c>
      <c r="L528">
        <f>'[1]2026 Orders'!J529</f>
        <v>0</v>
      </c>
      <c r="N528" s="10">
        <f>'[1]2026 Orders'!L529</f>
        <v>0</v>
      </c>
      <c r="O528">
        <f>'[1]2026 Orders'!M529</f>
        <v>0</v>
      </c>
      <c r="P528">
        <f>'[1]2026 Orders'!N529</f>
        <v>0</v>
      </c>
      <c r="Q528">
        <f>'[1]2026 Orders'!O529</f>
        <v>0</v>
      </c>
      <c r="R528">
        <f>'[1]2026 Orders'!P529</f>
        <v>0</v>
      </c>
      <c r="S528">
        <f>'[1]2026 Orders'!Q529</f>
        <v>0</v>
      </c>
      <c r="T528">
        <f>'[1]2026 Orders'!R529</f>
        <v>0</v>
      </c>
      <c r="U528">
        <f>'[1]2026 Orders'!S529</f>
        <v>0</v>
      </c>
      <c r="V528">
        <f>'[1]2026 Orders'!T529</f>
        <v>0</v>
      </c>
      <c r="W528">
        <f>'[1]2026 Orders'!U529</f>
        <v>0</v>
      </c>
      <c r="X528">
        <f>'[1]2026 Orders'!V529</f>
        <v>0</v>
      </c>
      <c r="Y528">
        <f>'[1]2026 Orders'!W529</f>
        <v>0</v>
      </c>
      <c r="Z528">
        <f>'[1]2026 Orders'!X529</f>
        <v>0</v>
      </c>
      <c r="AC528" t="str">
        <f t="shared" si="16"/>
        <v/>
      </c>
      <c r="AD528" t="str">
        <f t="shared" si="17"/>
        <v/>
      </c>
    </row>
    <row r="529" spans="1:30" ht="33" hidden="1" customHeight="1" x14ac:dyDescent="0.3">
      <c r="A529">
        <f>'[1]2026 Orders'!A530</f>
        <v>0</v>
      </c>
      <c r="B529" s="14">
        <f>'[1]2026 Orders'!B530</f>
        <v>0</v>
      </c>
      <c r="C529" s="14">
        <f>'[1]2026 Orders'!C530</f>
        <v>0</v>
      </c>
      <c r="D529" s="14">
        <f>'[1]2026 Orders'!D530</f>
        <v>0</v>
      </c>
      <c r="E529" s="17" t="str" cm="1">
        <f t="array" ref="E529">IF(C529=0,"",
HYPERLINK(
"#'2026 Orders'!C"&amp;
MATCH(1,
('2026 Orders'!C:C=C529)*
('2026 Orders'!G:G=G529)*
('2026 Orders'!N:N=N529),
0),
"Open "&amp;C529
))</f>
        <v/>
      </c>
      <c r="F529" s="14">
        <f>'[1]2026 Orders'!F530</f>
        <v>0</v>
      </c>
      <c r="G529" s="14">
        <f>'[1]2026 Orders'!G530</f>
        <v>0</v>
      </c>
      <c r="H529" s="14" t="str" cm="1">
        <f t="array" ref="H529">IFERROR(_xlfn.TEXTJOIN("-",,INDEX(_xlfn.TEXTSPLIT(TableTake[[#This Row],[SKU]],"-"),{1,2})),"")</f>
        <v/>
      </c>
      <c r="I529" s="15" t="str">
        <f>IFERROR(_xlfn.TEXTAFTER(TableTake[[#This Row],[SKU]],"-",-1),"")</f>
        <v/>
      </c>
      <c r="J529" s="14">
        <f>'[1]2026 Orders'!H530</f>
        <v>0</v>
      </c>
      <c r="K529">
        <f>'[1]2026 Orders'!I530</f>
        <v>0</v>
      </c>
      <c r="L529">
        <f>'[1]2026 Orders'!J530</f>
        <v>0</v>
      </c>
      <c r="N529" s="10">
        <f>'[1]2026 Orders'!L530</f>
        <v>0</v>
      </c>
      <c r="O529">
        <f>'[1]2026 Orders'!M530</f>
        <v>0</v>
      </c>
      <c r="P529">
        <f>'[1]2026 Orders'!N530</f>
        <v>0</v>
      </c>
      <c r="Q529">
        <f>'[1]2026 Orders'!O530</f>
        <v>0</v>
      </c>
      <c r="R529">
        <f>'[1]2026 Orders'!P530</f>
        <v>0</v>
      </c>
      <c r="S529">
        <f>'[1]2026 Orders'!Q530</f>
        <v>0</v>
      </c>
      <c r="T529">
        <f>'[1]2026 Orders'!R530</f>
        <v>0</v>
      </c>
      <c r="U529">
        <f>'[1]2026 Orders'!S530</f>
        <v>0</v>
      </c>
      <c r="V529">
        <f>'[1]2026 Orders'!T530</f>
        <v>0</v>
      </c>
      <c r="W529">
        <f>'[1]2026 Orders'!U530</f>
        <v>0</v>
      </c>
      <c r="X529">
        <f>'[1]2026 Orders'!V530</f>
        <v>0</v>
      </c>
      <c r="Y529">
        <f>'[1]2026 Orders'!W530</f>
        <v>0</v>
      </c>
      <c r="Z529">
        <f>'[1]2026 Orders'!X530</f>
        <v>0</v>
      </c>
      <c r="AC529" t="str">
        <f t="shared" si="16"/>
        <v/>
      </c>
      <c r="AD529" t="str">
        <f t="shared" si="17"/>
        <v/>
      </c>
    </row>
    <row r="530" spans="1:30" ht="33" hidden="1" customHeight="1" x14ac:dyDescent="0.3">
      <c r="A530">
        <f>'[1]2026 Orders'!A531</f>
        <v>0</v>
      </c>
      <c r="B530" s="14">
        <f>'[1]2026 Orders'!B531</f>
        <v>0</v>
      </c>
      <c r="C530" s="14">
        <f>'[1]2026 Orders'!C531</f>
        <v>0</v>
      </c>
      <c r="D530" s="14">
        <f>'[1]2026 Orders'!D531</f>
        <v>0</v>
      </c>
      <c r="E530" s="17" t="str" cm="1">
        <f t="array" ref="E530">IF(C530=0,"",
HYPERLINK(
"#'2026 Orders'!C"&amp;
MATCH(1,
('2026 Orders'!C:C=C530)*
('2026 Orders'!G:G=G530)*
('2026 Orders'!N:N=N530),
0),
"Open "&amp;C530
))</f>
        <v/>
      </c>
      <c r="F530" s="14">
        <f>'[1]2026 Orders'!F531</f>
        <v>0</v>
      </c>
      <c r="G530" s="14">
        <f>'[1]2026 Orders'!G531</f>
        <v>0</v>
      </c>
      <c r="H530" s="14" t="str" cm="1">
        <f t="array" ref="H530">IFERROR(_xlfn.TEXTJOIN("-",,INDEX(_xlfn.TEXTSPLIT(TableTake[[#This Row],[SKU]],"-"),{1,2})),"")</f>
        <v/>
      </c>
      <c r="I530" s="15" t="str">
        <f>IFERROR(_xlfn.TEXTAFTER(TableTake[[#This Row],[SKU]],"-",-1),"")</f>
        <v/>
      </c>
      <c r="J530" s="14">
        <f>'[1]2026 Orders'!H531</f>
        <v>0</v>
      </c>
      <c r="K530">
        <f>'[1]2026 Orders'!I531</f>
        <v>0</v>
      </c>
      <c r="L530">
        <f>'[1]2026 Orders'!J531</f>
        <v>0</v>
      </c>
      <c r="N530" s="10">
        <f>'[1]2026 Orders'!L531</f>
        <v>0</v>
      </c>
      <c r="O530">
        <f>'[1]2026 Orders'!M531</f>
        <v>0</v>
      </c>
      <c r="P530">
        <f>'[1]2026 Orders'!N531</f>
        <v>0</v>
      </c>
      <c r="Q530">
        <f>'[1]2026 Orders'!O531</f>
        <v>0</v>
      </c>
      <c r="R530">
        <f>'[1]2026 Orders'!P531</f>
        <v>0</v>
      </c>
      <c r="S530">
        <f>'[1]2026 Orders'!Q531</f>
        <v>0</v>
      </c>
      <c r="T530">
        <f>'[1]2026 Orders'!R531</f>
        <v>0</v>
      </c>
      <c r="U530">
        <f>'[1]2026 Orders'!S531</f>
        <v>0</v>
      </c>
      <c r="V530">
        <f>'[1]2026 Orders'!T531</f>
        <v>0</v>
      </c>
      <c r="W530">
        <f>'[1]2026 Orders'!U531</f>
        <v>0</v>
      </c>
      <c r="X530">
        <f>'[1]2026 Orders'!V531</f>
        <v>0</v>
      </c>
      <c r="Y530">
        <f>'[1]2026 Orders'!W531</f>
        <v>0</v>
      </c>
      <c r="Z530">
        <f>'[1]2026 Orders'!X531</f>
        <v>0</v>
      </c>
      <c r="AC530" t="str">
        <f t="shared" si="16"/>
        <v/>
      </c>
      <c r="AD530" t="str">
        <f t="shared" si="17"/>
        <v/>
      </c>
    </row>
    <row r="531" spans="1:30" ht="33" hidden="1" customHeight="1" x14ac:dyDescent="0.3">
      <c r="A531">
        <f>'[1]2026 Orders'!A532</f>
        <v>0</v>
      </c>
      <c r="B531" s="14">
        <f>'[1]2026 Orders'!B532</f>
        <v>0</v>
      </c>
      <c r="C531" s="14">
        <f>'[1]2026 Orders'!C532</f>
        <v>0</v>
      </c>
      <c r="D531" s="14">
        <f>'[1]2026 Orders'!D532</f>
        <v>0</v>
      </c>
      <c r="E531" s="17" t="str" cm="1">
        <f t="array" ref="E531">IF(C531=0,"",
HYPERLINK(
"#'2026 Orders'!C"&amp;
MATCH(1,
('2026 Orders'!C:C=C531)*
('2026 Orders'!G:G=G531)*
('2026 Orders'!N:N=N531),
0),
"Open "&amp;C531
))</f>
        <v/>
      </c>
      <c r="F531" s="14">
        <f>'[1]2026 Orders'!F532</f>
        <v>0</v>
      </c>
      <c r="G531" s="14">
        <f>'[1]2026 Orders'!G532</f>
        <v>0</v>
      </c>
      <c r="H531" s="14" t="str" cm="1">
        <f t="array" ref="H531">IFERROR(_xlfn.TEXTJOIN("-",,INDEX(_xlfn.TEXTSPLIT(TableTake[[#This Row],[SKU]],"-"),{1,2})),"")</f>
        <v/>
      </c>
      <c r="I531" s="15" t="str">
        <f>IFERROR(_xlfn.TEXTAFTER(TableTake[[#This Row],[SKU]],"-",-1),"")</f>
        <v/>
      </c>
      <c r="J531" s="14">
        <f>'[1]2026 Orders'!H532</f>
        <v>0</v>
      </c>
      <c r="K531">
        <f>'[1]2026 Orders'!I532</f>
        <v>0</v>
      </c>
      <c r="L531">
        <f>'[1]2026 Orders'!J532</f>
        <v>0</v>
      </c>
      <c r="N531" s="10">
        <f>'[1]2026 Orders'!L532</f>
        <v>0</v>
      </c>
      <c r="O531">
        <f>'[1]2026 Orders'!M532</f>
        <v>0</v>
      </c>
      <c r="P531">
        <f>'[1]2026 Orders'!N532</f>
        <v>0</v>
      </c>
      <c r="Q531">
        <f>'[1]2026 Orders'!O532</f>
        <v>0</v>
      </c>
      <c r="R531">
        <f>'[1]2026 Orders'!P532</f>
        <v>0</v>
      </c>
      <c r="S531">
        <f>'[1]2026 Orders'!Q532</f>
        <v>0</v>
      </c>
      <c r="T531">
        <f>'[1]2026 Orders'!R532</f>
        <v>0</v>
      </c>
      <c r="U531">
        <f>'[1]2026 Orders'!S532</f>
        <v>0</v>
      </c>
      <c r="V531">
        <f>'[1]2026 Orders'!T532</f>
        <v>0</v>
      </c>
      <c r="W531">
        <f>'[1]2026 Orders'!U532</f>
        <v>0</v>
      </c>
      <c r="X531">
        <f>'[1]2026 Orders'!V532</f>
        <v>0</v>
      </c>
      <c r="Y531">
        <f>'[1]2026 Orders'!W532</f>
        <v>0</v>
      </c>
      <c r="Z531">
        <f>'[1]2026 Orders'!X532</f>
        <v>0</v>
      </c>
      <c r="AC531" t="str">
        <f t="shared" si="16"/>
        <v/>
      </c>
      <c r="AD531" t="str">
        <f t="shared" si="17"/>
        <v/>
      </c>
    </row>
    <row r="532" spans="1:30" ht="33" hidden="1" customHeight="1" x14ac:dyDescent="0.3">
      <c r="A532">
        <f>'[1]2026 Orders'!A533</f>
        <v>0</v>
      </c>
      <c r="B532" s="14">
        <f>'[1]2026 Orders'!B533</f>
        <v>0</v>
      </c>
      <c r="C532" s="14">
        <f>'[1]2026 Orders'!C533</f>
        <v>0</v>
      </c>
      <c r="D532" s="14">
        <f>'[1]2026 Orders'!D533</f>
        <v>0</v>
      </c>
      <c r="E532" s="17" t="str" cm="1">
        <f t="array" ref="E532">IF(C532=0,"",
HYPERLINK(
"#'2026 Orders'!C"&amp;
MATCH(1,
('2026 Orders'!C:C=C532)*
('2026 Orders'!G:G=G532)*
('2026 Orders'!N:N=N532),
0),
"Open "&amp;C532
))</f>
        <v/>
      </c>
      <c r="F532" s="14">
        <f>'[1]2026 Orders'!F533</f>
        <v>0</v>
      </c>
      <c r="G532" s="14">
        <f>'[1]2026 Orders'!G533</f>
        <v>0</v>
      </c>
      <c r="H532" s="14" t="str" cm="1">
        <f t="array" ref="H532">IFERROR(_xlfn.TEXTJOIN("-",,INDEX(_xlfn.TEXTSPLIT(TableTake[[#This Row],[SKU]],"-"),{1,2})),"")</f>
        <v/>
      </c>
      <c r="I532" s="15" t="str">
        <f>IFERROR(_xlfn.TEXTAFTER(TableTake[[#This Row],[SKU]],"-",-1),"")</f>
        <v/>
      </c>
      <c r="J532" s="14">
        <f>'[1]2026 Orders'!H533</f>
        <v>0</v>
      </c>
      <c r="K532">
        <f>'[1]2026 Orders'!I533</f>
        <v>0</v>
      </c>
      <c r="L532">
        <f>'[1]2026 Orders'!J533</f>
        <v>0</v>
      </c>
      <c r="N532" s="10">
        <f>'[1]2026 Orders'!L533</f>
        <v>0</v>
      </c>
      <c r="O532">
        <f>'[1]2026 Orders'!M533</f>
        <v>0</v>
      </c>
      <c r="P532">
        <f>'[1]2026 Orders'!N533</f>
        <v>0</v>
      </c>
      <c r="Q532">
        <f>'[1]2026 Orders'!O533</f>
        <v>0</v>
      </c>
      <c r="R532">
        <f>'[1]2026 Orders'!P533</f>
        <v>0</v>
      </c>
      <c r="S532">
        <f>'[1]2026 Orders'!Q533</f>
        <v>0</v>
      </c>
      <c r="T532">
        <f>'[1]2026 Orders'!R533</f>
        <v>0</v>
      </c>
      <c r="U532">
        <f>'[1]2026 Orders'!S533</f>
        <v>0</v>
      </c>
      <c r="V532">
        <f>'[1]2026 Orders'!T533</f>
        <v>0</v>
      </c>
      <c r="W532">
        <f>'[1]2026 Orders'!U533</f>
        <v>0</v>
      </c>
      <c r="X532">
        <f>'[1]2026 Orders'!V533</f>
        <v>0</v>
      </c>
      <c r="Y532">
        <f>'[1]2026 Orders'!W533</f>
        <v>0</v>
      </c>
      <c r="Z532">
        <f>'[1]2026 Orders'!X533</f>
        <v>0</v>
      </c>
      <c r="AC532" t="str">
        <f t="shared" si="16"/>
        <v/>
      </c>
      <c r="AD532" t="str">
        <f t="shared" si="17"/>
        <v/>
      </c>
    </row>
    <row r="533" spans="1:30" ht="33" hidden="1" customHeight="1" x14ac:dyDescent="0.3">
      <c r="A533">
        <f>'[1]2026 Orders'!A534</f>
        <v>0</v>
      </c>
      <c r="B533" s="14">
        <f>'[1]2026 Orders'!B534</f>
        <v>0</v>
      </c>
      <c r="C533" s="14">
        <f>'[1]2026 Orders'!C534</f>
        <v>0</v>
      </c>
      <c r="D533" s="14">
        <f>'[1]2026 Orders'!D534</f>
        <v>0</v>
      </c>
      <c r="E533" s="17" t="str" cm="1">
        <f t="array" ref="E533">IF(C533=0,"",
HYPERLINK(
"#'2026 Orders'!C"&amp;
MATCH(1,
('2026 Orders'!C:C=C533)*
('2026 Orders'!G:G=G533)*
('2026 Orders'!N:N=N533),
0),
"Open "&amp;C533
))</f>
        <v/>
      </c>
      <c r="F533" s="14">
        <f>'[1]2026 Orders'!F534</f>
        <v>0</v>
      </c>
      <c r="G533" s="14">
        <f>'[1]2026 Orders'!G534</f>
        <v>0</v>
      </c>
      <c r="H533" s="14" t="str" cm="1">
        <f t="array" ref="H533">IFERROR(_xlfn.TEXTJOIN("-",,INDEX(_xlfn.TEXTSPLIT(TableTake[[#This Row],[SKU]],"-"),{1,2})),"")</f>
        <v/>
      </c>
      <c r="I533" s="15" t="str">
        <f>IFERROR(_xlfn.TEXTAFTER(TableTake[[#This Row],[SKU]],"-",-1),"")</f>
        <v/>
      </c>
      <c r="J533" s="14">
        <f>'[1]2026 Orders'!H534</f>
        <v>0</v>
      </c>
      <c r="K533">
        <f>'[1]2026 Orders'!I534</f>
        <v>0</v>
      </c>
      <c r="L533">
        <f>'[1]2026 Orders'!J534</f>
        <v>0</v>
      </c>
      <c r="N533" s="10">
        <f>'[1]2026 Orders'!L534</f>
        <v>0</v>
      </c>
      <c r="O533">
        <f>'[1]2026 Orders'!M534</f>
        <v>0</v>
      </c>
      <c r="P533">
        <f>'[1]2026 Orders'!N534</f>
        <v>0</v>
      </c>
      <c r="Q533">
        <f>'[1]2026 Orders'!O534</f>
        <v>0</v>
      </c>
      <c r="R533">
        <f>'[1]2026 Orders'!P534</f>
        <v>0</v>
      </c>
      <c r="S533">
        <f>'[1]2026 Orders'!Q534</f>
        <v>0</v>
      </c>
      <c r="T533">
        <f>'[1]2026 Orders'!R534</f>
        <v>0</v>
      </c>
      <c r="U533">
        <f>'[1]2026 Orders'!S534</f>
        <v>0</v>
      </c>
      <c r="V533">
        <f>'[1]2026 Orders'!T534</f>
        <v>0</v>
      </c>
      <c r="W533">
        <f>'[1]2026 Orders'!U534</f>
        <v>0</v>
      </c>
      <c r="X533">
        <f>'[1]2026 Orders'!V534</f>
        <v>0</v>
      </c>
      <c r="Y533">
        <f>'[1]2026 Orders'!W534</f>
        <v>0</v>
      </c>
      <c r="Z533">
        <f>'[1]2026 Orders'!X534</f>
        <v>0</v>
      </c>
      <c r="AC533" t="str">
        <f t="shared" si="16"/>
        <v/>
      </c>
      <c r="AD533" t="str">
        <f t="shared" si="17"/>
        <v/>
      </c>
    </row>
    <row r="534" spans="1:30" ht="33" hidden="1" customHeight="1" x14ac:dyDescent="0.3">
      <c r="A534">
        <f>'[1]2026 Orders'!A535</f>
        <v>0</v>
      </c>
      <c r="B534" s="14">
        <f>'[1]2026 Orders'!B535</f>
        <v>0</v>
      </c>
      <c r="C534" s="14">
        <f>'[1]2026 Orders'!C535</f>
        <v>0</v>
      </c>
      <c r="D534" s="14">
        <f>'[1]2026 Orders'!D535</f>
        <v>0</v>
      </c>
      <c r="E534" s="17" t="str" cm="1">
        <f t="array" ref="E534">IF(C534=0,"",
HYPERLINK(
"#'2026 Orders'!C"&amp;
MATCH(1,
('2026 Orders'!C:C=C534)*
('2026 Orders'!G:G=G534)*
('2026 Orders'!N:N=N534),
0),
"Open "&amp;C534
))</f>
        <v/>
      </c>
      <c r="F534" s="14">
        <f>'[1]2026 Orders'!F535</f>
        <v>0</v>
      </c>
      <c r="G534" s="14">
        <f>'[1]2026 Orders'!G535</f>
        <v>0</v>
      </c>
      <c r="H534" s="14" t="str" cm="1">
        <f t="array" ref="H534">IFERROR(_xlfn.TEXTJOIN("-",,INDEX(_xlfn.TEXTSPLIT(TableTake[[#This Row],[SKU]],"-"),{1,2})),"")</f>
        <v/>
      </c>
      <c r="I534" s="15" t="str">
        <f>IFERROR(_xlfn.TEXTAFTER(TableTake[[#This Row],[SKU]],"-",-1),"")</f>
        <v/>
      </c>
      <c r="J534" s="14">
        <f>'[1]2026 Orders'!H535</f>
        <v>0</v>
      </c>
      <c r="K534">
        <f>'[1]2026 Orders'!I535</f>
        <v>0</v>
      </c>
      <c r="L534">
        <f>'[1]2026 Orders'!J535</f>
        <v>0</v>
      </c>
      <c r="N534" s="10">
        <f>'[1]2026 Orders'!L535</f>
        <v>0</v>
      </c>
      <c r="O534">
        <f>'[1]2026 Orders'!M535</f>
        <v>0</v>
      </c>
      <c r="P534">
        <f>'[1]2026 Orders'!N535</f>
        <v>0</v>
      </c>
      <c r="Q534">
        <f>'[1]2026 Orders'!O535</f>
        <v>0</v>
      </c>
      <c r="R534">
        <f>'[1]2026 Orders'!P535</f>
        <v>0</v>
      </c>
      <c r="S534">
        <f>'[1]2026 Orders'!Q535</f>
        <v>0</v>
      </c>
      <c r="T534">
        <f>'[1]2026 Orders'!R535</f>
        <v>0</v>
      </c>
      <c r="U534">
        <f>'[1]2026 Orders'!S535</f>
        <v>0</v>
      </c>
      <c r="V534">
        <f>'[1]2026 Orders'!T535</f>
        <v>0</v>
      </c>
      <c r="W534">
        <f>'[1]2026 Orders'!U535</f>
        <v>0</v>
      </c>
      <c r="X534">
        <f>'[1]2026 Orders'!V535</f>
        <v>0</v>
      </c>
      <c r="Y534">
        <f>'[1]2026 Orders'!W535</f>
        <v>0</v>
      </c>
      <c r="Z534">
        <f>'[1]2026 Orders'!X535</f>
        <v>0</v>
      </c>
      <c r="AC534" t="str">
        <f t="shared" si="16"/>
        <v/>
      </c>
      <c r="AD534" t="str">
        <f t="shared" si="17"/>
        <v/>
      </c>
    </row>
    <row r="535" spans="1:30" ht="33" hidden="1" customHeight="1" x14ac:dyDescent="0.3">
      <c r="A535">
        <f>'[1]2026 Orders'!A536</f>
        <v>0</v>
      </c>
      <c r="B535" s="14">
        <f>'[1]2026 Orders'!B536</f>
        <v>0</v>
      </c>
      <c r="C535" s="14">
        <f>'[1]2026 Orders'!C536</f>
        <v>0</v>
      </c>
      <c r="D535" s="14">
        <f>'[1]2026 Orders'!D536</f>
        <v>0</v>
      </c>
      <c r="E535" s="17" t="str" cm="1">
        <f t="array" ref="E535">IF(C535=0,"",
HYPERLINK(
"#'2026 Orders'!C"&amp;
MATCH(1,
('2026 Orders'!C:C=C535)*
('2026 Orders'!G:G=G535)*
('2026 Orders'!N:N=N535),
0),
"Open "&amp;C535
))</f>
        <v/>
      </c>
      <c r="F535" s="14">
        <f>'[1]2026 Orders'!F536</f>
        <v>0</v>
      </c>
      <c r="G535" s="14">
        <f>'[1]2026 Orders'!G536</f>
        <v>0</v>
      </c>
      <c r="H535" s="14" t="str" cm="1">
        <f t="array" ref="H535">IFERROR(_xlfn.TEXTJOIN("-",,INDEX(_xlfn.TEXTSPLIT(TableTake[[#This Row],[SKU]],"-"),{1,2})),"")</f>
        <v/>
      </c>
      <c r="I535" s="15" t="str">
        <f>IFERROR(_xlfn.TEXTAFTER(TableTake[[#This Row],[SKU]],"-",-1),"")</f>
        <v/>
      </c>
      <c r="J535" s="14">
        <f>'[1]2026 Orders'!H536</f>
        <v>0</v>
      </c>
      <c r="K535">
        <f>'[1]2026 Orders'!I536</f>
        <v>0</v>
      </c>
      <c r="L535">
        <f>'[1]2026 Orders'!J536</f>
        <v>0</v>
      </c>
      <c r="N535" s="10">
        <f>'[1]2026 Orders'!L536</f>
        <v>0</v>
      </c>
      <c r="O535">
        <f>'[1]2026 Orders'!M536</f>
        <v>0</v>
      </c>
      <c r="P535">
        <f>'[1]2026 Orders'!N536</f>
        <v>0</v>
      </c>
      <c r="Q535">
        <f>'[1]2026 Orders'!O536</f>
        <v>0</v>
      </c>
      <c r="R535">
        <f>'[1]2026 Orders'!P536</f>
        <v>0</v>
      </c>
      <c r="S535">
        <f>'[1]2026 Orders'!Q536</f>
        <v>0</v>
      </c>
      <c r="T535">
        <f>'[1]2026 Orders'!R536</f>
        <v>0</v>
      </c>
      <c r="U535">
        <f>'[1]2026 Orders'!S536</f>
        <v>0</v>
      </c>
      <c r="V535">
        <f>'[1]2026 Orders'!T536</f>
        <v>0</v>
      </c>
      <c r="W535">
        <f>'[1]2026 Orders'!U536</f>
        <v>0</v>
      </c>
      <c r="X535">
        <f>'[1]2026 Orders'!V536</f>
        <v>0</v>
      </c>
      <c r="Y535">
        <f>'[1]2026 Orders'!W536</f>
        <v>0</v>
      </c>
      <c r="Z535">
        <f>'[1]2026 Orders'!X536</f>
        <v>0</v>
      </c>
      <c r="AC535" t="str">
        <f t="shared" si="16"/>
        <v/>
      </c>
      <c r="AD535" t="str">
        <f t="shared" si="17"/>
        <v/>
      </c>
    </row>
    <row r="536" spans="1:30" ht="33" hidden="1" customHeight="1" x14ac:dyDescent="0.3">
      <c r="A536">
        <f>'[1]2026 Orders'!A537</f>
        <v>0</v>
      </c>
      <c r="B536" s="14">
        <f>'[1]2026 Orders'!B537</f>
        <v>0</v>
      </c>
      <c r="C536" s="14">
        <f>'[1]2026 Orders'!C537</f>
        <v>0</v>
      </c>
      <c r="D536" s="14">
        <f>'[1]2026 Orders'!D537</f>
        <v>0</v>
      </c>
      <c r="E536" s="17" t="str" cm="1">
        <f t="array" ref="E536">IF(C536=0,"",
HYPERLINK(
"#'2026 Orders'!C"&amp;
MATCH(1,
('2026 Orders'!C:C=C536)*
('2026 Orders'!G:G=G536)*
('2026 Orders'!N:N=N536),
0),
"Open "&amp;C536
))</f>
        <v/>
      </c>
      <c r="F536" s="14">
        <f>'[1]2026 Orders'!F537</f>
        <v>0</v>
      </c>
      <c r="G536" s="14">
        <f>'[1]2026 Orders'!G537</f>
        <v>0</v>
      </c>
      <c r="H536" s="14" t="str" cm="1">
        <f t="array" ref="H536">IFERROR(_xlfn.TEXTJOIN("-",,INDEX(_xlfn.TEXTSPLIT(TableTake[[#This Row],[SKU]],"-"),{1,2})),"")</f>
        <v/>
      </c>
      <c r="I536" s="15" t="str">
        <f>IFERROR(_xlfn.TEXTAFTER(TableTake[[#This Row],[SKU]],"-",-1),"")</f>
        <v/>
      </c>
      <c r="J536" s="14">
        <f>'[1]2026 Orders'!H537</f>
        <v>0</v>
      </c>
      <c r="K536">
        <f>'[1]2026 Orders'!I537</f>
        <v>0</v>
      </c>
      <c r="L536">
        <f>'[1]2026 Orders'!J537</f>
        <v>0</v>
      </c>
      <c r="N536" s="10">
        <f>'[1]2026 Orders'!L537</f>
        <v>0</v>
      </c>
      <c r="O536">
        <f>'[1]2026 Orders'!M537</f>
        <v>0</v>
      </c>
      <c r="P536">
        <f>'[1]2026 Orders'!N537</f>
        <v>0</v>
      </c>
      <c r="Q536">
        <f>'[1]2026 Orders'!O537</f>
        <v>0</v>
      </c>
      <c r="R536">
        <f>'[1]2026 Orders'!P537</f>
        <v>0</v>
      </c>
      <c r="S536">
        <f>'[1]2026 Orders'!Q537</f>
        <v>0</v>
      </c>
      <c r="T536">
        <f>'[1]2026 Orders'!R537</f>
        <v>0</v>
      </c>
      <c r="U536">
        <f>'[1]2026 Orders'!S537</f>
        <v>0</v>
      </c>
      <c r="V536">
        <f>'[1]2026 Orders'!T537</f>
        <v>0</v>
      </c>
      <c r="W536">
        <f>'[1]2026 Orders'!U537</f>
        <v>0</v>
      </c>
      <c r="X536">
        <f>'[1]2026 Orders'!V537</f>
        <v>0</v>
      </c>
      <c r="Y536">
        <f>'[1]2026 Orders'!W537</f>
        <v>0</v>
      </c>
      <c r="Z536">
        <f>'[1]2026 Orders'!X537</f>
        <v>0</v>
      </c>
      <c r="AC536" t="str">
        <f t="shared" si="16"/>
        <v/>
      </c>
      <c r="AD536" t="str">
        <f t="shared" si="17"/>
        <v/>
      </c>
    </row>
    <row r="537" spans="1:30" ht="33" hidden="1" customHeight="1" x14ac:dyDescent="0.3">
      <c r="A537">
        <f>'[1]2026 Orders'!A538</f>
        <v>0</v>
      </c>
      <c r="B537" s="14">
        <f>'[1]2026 Orders'!B538</f>
        <v>0</v>
      </c>
      <c r="C537" s="14">
        <f>'[1]2026 Orders'!C538</f>
        <v>0</v>
      </c>
      <c r="D537" s="14">
        <f>'[1]2026 Orders'!D538</f>
        <v>0</v>
      </c>
      <c r="E537" s="17" t="str" cm="1">
        <f t="array" ref="E537">IF(C537=0,"",
HYPERLINK(
"#'2026 Orders'!C"&amp;
MATCH(1,
('2026 Orders'!C:C=C537)*
('2026 Orders'!G:G=G537)*
('2026 Orders'!N:N=N537),
0),
"Open "&amp;C537
))</f>
        <v/>
      </c>
      <c r="F537" s="14">
        <f>'[1]2026 Orders'!F538</f>
        <v>0</v>
      </c>
      <c r="G537" s="14">
        <f>'[1]2026 Orders'!G538</f>
        <v>0</v>
      </c>
      <c r="H537" s="14" t="str" cm="1">
        <f t="array" ref="H537">IFERROR(_xlfn.TEXTJOIN("-",,INDEX(_xlfn.TEXTSPLIT(TableTake[[#This Row],[SKU]],"-"),{1,2})),"")</f>
        <v/>
      </c>
      <c r="I537" s="15" t="str">
        <f>IFERROR(_xlfn.TEXTAFTER(TableTake[[#This Row],[SKU]],"-",-1),"")</f>
        <v/>
      </c>
      <c r="J537" s="14">
        <f>'[1]2026 Orders'!H538</f>
        <v>0</v>
      </c>
      <c r="K537">
        <f>'[1]2026 Orders'!I538</f>
        <v>0</v>
      </c>
      <c r="L537">
        <f>'[1]2026 Orders'!J538</f>
        <v>0</v>
      </c>
      <c r="N537" s="10">
        <f>'[1]2026 Orders'!L538</f>
        <v>0</v>
      </c>
      <c r="O537">
        <f>'[1]2026 Orders'!M538</f>
        <v>0</v>
      </c>
      <c r="P537">
        <f>'[1]2026 Orders'!N538</f>
        <v>0</v>
      </c>
      <c r="Q537">
        <f>'[1]2026 Orders'!O538</f>
        <v>0</v>
      </c>
      <c r="R537">
        <f>'[1]2026 Orders'!P538</f>
        <v>0</v>
      </c>
      <c r="S537">
        <f>'[1]2026 Orders'!Q538</f>
        <v>0</v>
      </c>
      <c r="T537">
        <f>'[1]2026 Orders'!R538</f>
        <v>0</v>
      </c>
      <c r="U537">
        <f>'[1]2026 Orders'!S538</f>
        <v>0</v>
      </c>
      <c r="V537">
        <f>'[1]2026 Orders'!T538</f>
        <v>0</v>
      </c>
      <c r="W537">
        <f>'[1]2026 Orders'!U538</f>
        <v>0</v>
      </c>
      <c r="X537">
        <f>'[1]2026 Orders'!V538</f>
        <v>0</v>
      </c>
      <c r="Y537">
        <f>'[1]2026 Orders'!W538</f>
        <v>0</v>
      </c>
      <c r="Z537">
        <f>'[1]2026 Orders'!X538</f>
        <v>0</v>
      </c>
      <c r="AC537" t="str">
        <f t="shared" si="16"/>
        <v/>
      </c>
      <c r="AD537" t="str">
        <f t="shared" si="17"/>
        <v/>
      </c>
    </row>
    <row r="538" spans="1:30" ht="33" hidden="1" customHeight="1" x14ac:dyDescent="0.3">
      <c r="A538">
        <f>'[1]2026 Orders'!A539</f>
        <v>0</v>
      </c>
      <c r="B538" s="14">
        <f>'[1]2026 Orders'!B539</f>
        <v>0</v>
      </c>
      <c r="C538" s="14">
        <f>'[1]2026 Orders'!C539</f>
        <v>0</v>
      </c>
      <c r="D538" s="14">
        <f>'[1]2026 Orders'!D539</f>
        <v>0</v>
      </c>
      <c r="E538" s="17" t="str" cm="1">
        <f t="array" ref="E538">IF(C538=0,"",
HYPERLINK(
"#'2026 Orders'!C"&amp;
MATCH(1,
('2026 Orders'!C:C=C538)*
('2026 Orders'!G:G=G538)*
('2026 Orders'!N:N=N538),
0),
"Open "&amp;C538
))</f>
        <v/>
      </c>
      <c r="F538" s="14">
        <f>'[1]2026 Orders'!F539</f>
        <v>0</v>
      </c>
      <c r="G538" s="14">
        <f>'[1]2026 Orders'!G539</f>
        <v>0</v>
      </c>
      <c r="H538" s="14" t="str" cm="1">
        <f t="array" ref="H538">IFERROR(_xlfn.TEXTJOIN("-",,INDEX(_xlfn.TEXTSPLIT(TableTake[[#This Row],[SKU]],"-"),{1,2})),"")</f>
        <v/>
      </c>
      <c r="I538" s="15" t="str">
        <f>IFERROR(_xlfn.TEXTAFTER(TableTake[[#This Row],[SKU]],"-",-1),"")</f>
        <v/>
      </c>
      <c r="J538" s="14">
        <f>'[1]2026 Orders'!H539</f>
        <v>0</v>
      </c>
      <c r="K538">
        <f>'[1]2026 Orders'!I539</f>
        <v>0</v>
      </c>
      <c r="L538">
        <f>'[1]2026 Orders'!J539</f>
        <v>0</v>
      </c>
      <c r="N538" s="10">
        <f>'[1]2026 Orders'!L539</f>
        <v>0</v>
      </c>
      <c r="O538">
        <f>'[1]2026 Orders'!M539</f>
        <v>0</v>
      </c>
      <c r="P538">
        <f>'[1]2026 Orders'!N539</f>
        <v>0</v>
      </c>
      <c r="Q538">
        <f>'[1]2026 Orders'!O539</f>
        <v>0</v>
      </c>
      <c r="R538">
        <f>'[1]2026 Orders'!P539</f>
        <v>0</v>
      </c>
      <c r="S538">
        <f>'[1]2026 Orders'!Q539</f>
        <v>0</v>
      </c>
      <c r="T538">
        <f>'[1]2026 Orders'!R539</f>
        <v>0</v>
      </c>
      <c r="U538">
        <f>'[1]2026 Orders'!S539</f>
        <v>0</v>
      </c>
      <c r="V538">
        <f>'[1]2026 Orders'!T539</f>
        <v>0</v>
      </c>
      <c r="W538">
        <f>'[1]2026 Orders'!U539</f>
        <v>0</v>
      </c>
      <c r="X538">
        <f>'[1]2026 Orders'!V539</f>
        <v>0</v>
      </c>
      <c r="Y538">
        <f>'[1]2026 Orders'!W539</f>
        <v>0</v>
      </c>
      <c r="Z538">
        <f>'[1]2026 Orders'!X539</f>
        <v>0</v>
      </c>
      <c r="AC538" t="str">
        <f t="shared" si="16"/>
        <v/>
      </c>
      <c r="AD538" t="str">
        <f t="shared" si="17"/>
        <v/>
      </c>
    </row>
    <row r="539" spans="1:30" ht="33" hidden="1" customHeight="1" x14ac:dyDescent="0.3">
      <c r="A539">
        <f>'[1]2026 Orders'!A540</f>
        <v>0</v>
      </c>
      <c r="B539" s="14">
        <f>'[1]2026 Orders'!B540</f>
        <v>0</v>
      </c>
      <c r="C539" s="14">
        <f>'[1]2026 Orders'!C540</f>
        <v>0</v>
      </c>
      <c r="D539" s="14">
        <f>'[1]2026 Orders'!D540</f>
        <v>0</v>
      </c>
      <c r="E539" s="17" t="str" cm="1">
        <f t="array" ref="E539">IF(C539=0,"",
HYPERLINK(
"#'2026 Orders'!C"&amp;
MATCH(1,
('2026 Orders'!C:C=C539)*
('2026 Orders'!G:G=G539)*
('2026 Orders'!N:N=N539),
0),
"Open "&amp;C539
))</f>
        <v/>
      </c>
      <c r="F539" s="14">
        <f>'[1]2026 Orders'!F540</f>
        <v>0</v>
      </c>
      <c r="G539" s="14">
        <f>'[1]2026 Orders'!G540</f>
        <v>0</v>
      </c>
      <c r="H539" s="14" t="str" cm="1">
        <f t="array" ref="H539">IFERROR(_xlfn.TEXTJOIN("-",,INDEX(_xlfn.TEXTSPLIT(TableTake[[#This Row],[SKU]],"-"),{1,2})),"")</f>
        <v/>
      </c>
      <c r="I539" s="15" t="str">
        <f>IFERROR(_xlfn.TEXTAFTER(TableTake[[#This Row],[SKU]],"-",-1),"")</f>
        <v/>
      </c>
      <c r="J539" s="14">
        <f>'[1]2026 Orders'!H540</f>
        <v>0</v>
      </c>
      <c r="K539">
        <f>'[1]2026 Orders'!I540</f>
        <v>0</v>
      </c>
      <c r="L539">
        <f>'[1]2026 Orders'!J540</f>
        <v>0</v>
      </c>
      <c r="N539" s="10">
        <f>'[1]2026 Orders'!L540</f>
        <v>0</v>
      </c>
      <c r="O539">
        <f>'[1]2026 Orders'!M540</f>
        <v>0</v>
      </c>
      <c r="P539">
        <f>'[1]2026 Orders'!N540</f>
        <v>0</v>
      </c>
      <c r="Q539">
        <f>'[1]2026 Orders'!O540</f>
        <v>0</v>
      </c>
      <c r="R539">
        <f>'[1]2026 Orders'!P540</f>
        <v>0</v>
      </c>
      <c r="S539">
        <f>'[1]2026 Orders'!Q540</f>
        <v>0</v>
      </c>
      <c r="T539">
        <f>'[1]2026 Orders'!R540</f>
        <v>0</v>
      </c>
      <c r="U539">
        <f>'[1]2026 Orders'!S540</f>
        <v>0</v>
      </c>
      <c r="V539">
        <f>'[1]2026 Orders'!T540</f>
        <v>0</v>
      </c>
      <c r="W539">
        <f>'[1]2026 Orders'!U540</f>
        <v>0</v>
      </c>
      <c r="X539">
        <f>'[1]2026 Orders'!V540</f>
        <v>0</v>
      </c>
      <c r="Y539">
        <f>'[1]2026 Orders'!W540</f>
        <v>0</v>
      </c>
      <c r="Z539">
        <f>'[1]2026 Orders'!X540</f>
        <v>0</v>
      </c>
      <c r="AC539" t="str">
        <f t="shared" si="16"/>
        <v/>
      </c>
      <c r="AD539" t="str">
        <f t="shared" si="17"/>
        <v/>
      </c>
    </row>
    <row r="540" spans="1:30" ht="33" hidden="1" customHeight="1" x14ac:dyDescent="0.3">
      <c r="A540">
        <f>'[1]2026 Orders'!A541</f>
        <v>0</v>
      </c>
      <c r="B540" s="14">
        <f>'[1]2026 Orders'!B541</f>
        <v>0</v>
      </c>
      <c r="C540" s="14">
        <f>'[1]2026 Orders'!C541</f>
        <v>0</v>
      </c>
      <c r="D540" s="14">
        <f>'[1]2026 Orders'!D541</f>
        <v>0</v>
      </c>
      <c r="E540" s="17" t="str" cm="1">
        <f t="array" ref="E540">IF(C540=0,"",
HYPERLINK(
"#'2026 Orders'!C"&amp;
MATCH(1,
('2026 Orders'!C:C=C540)*
('2026 Orders'!G:G=G540)*
('2026 Orders'!N:N=N540),
0),
"Open "&amp;C540
))</f>
        <v/>
      </c>
      <c r="F540" s="14">
        <f>'[1]2026 Orders'!F541</f>
        <v>0</v>
      </c>
      <c r="G540" s="14">
        <f>'[1]2026 Orders'!G541</f>
        <v>0</v>
      </c>
      <c r="H540" s="14" t="str" cm="1">
        <f t="array" ref="H540">IFERROR(_xlfn.TEXTJOIN("-",,INDEX(_xlfn.TEXTSPLIT(TableTake[[#This Row],[SKU]],"-"),{1,2})),"")</f>
        <v/>
      </c>
      <c r="I540" s="15" t="str">
        <f>IFERROR(_xlfn.TEXTAFTER(TableTake[[#This Row],[SKU]],"-",-1),"")</f>
        <v/>
      </c>
      <c r="J540" s="14">
        <f>'[1]2026 Orders'!H541</f>
        <v>0</v>
      </c>
      <c r="K540">
        <f>'[1]2026 Orders'!I541</f>
        <v>0</v>
      </c>
      <c r="L540">
        <f>'[1]2026 Orders'!J541</f>
        <v>0</v>
      </c>
      <c r="N540" s="10">
        <f>'[1]2026 Orders'!L541</f>
        <v>0</v>
      </c>
      <c r="O540">
        <f>'[1]2026 Orders'!M541</f>
        <v>0</v>
      </c>
      <c r="P540">
        <f>'[1]2026 Orders'!N541</f>
        <v>0</v>
      </c>
      <c r="Q540">
        <f>'[1]2026 Orders'!O541</f>
        <v>0</v>
      </c>
      <c r="R540">
        <f>'[1]2026 Orders'!P541</f>
        <v>0</v>
      </c>
      <c r="S540">
        <f>'[1]2026 Orders'!Q541</f>
        <v>0</v>
      </c>
      <c r="T540">
        <f>'[1]2026 Orders'!R541</f>
        <v>0</v>
      </c>
      <c r="U540">
        <f>'[1]2026 Orders'!S541</f>
        <v>0</v>
      </c>
      <c r="V540">
        <f>'[1]2026 Orders'!T541</f>
        <v>0</v>
      </c>
      <c r="W540">
        <f>'[1]2026 Orders'!U541</f>
        <v>0</v>
      </c>
      <c r="X540">
        <f>'[1]2026 Orders'!V541</f>
        <v>0</v>
      </c>
      <c r="Y540">
        <f>'[1]2026 Orders'!W541</f>
        <v>0</v>
      </c>
      <c r="Z540">
        <f>'[1]2026 Orders'!X541</f>
        <v>0</v>
      </c>
      <c r="AC540" t="str">
        <f t="shared" si="16"/>
        <v/>
      </c>
      <c r="AD540" t="str">
        <f t="shared" si="17"/>
        <v/>
      </c>
    </row>
    <row r="541" spans="1:30" ht="33" hidden="1" customHeight="1" x14ac:dyDescent="0.3">
      <c r="A541">
        <f>'[1]2026 Orders'!A542</f>
        <v>0</v>
      </c>
      <c r="B541" s="14">
        <f>'[1]2026 Orders'!B542</f>
        <v>0</v>
      </c>
      <c r="C541" s="14">
        <f>'[1]2026 Orders'!C542</f>
        <v>0</v>
      </c>
      <c r="D541" s="14">
        <f>'[1]2026 Orders'!D542</f>
        <v>0</v>
      </c>
      <c r="E541" s="17" t="str" cm="1">
        <f t="array" ref="E541">IF(C541=0,"",
HYPERLINK(
"#'2026 Orders'!C"&amp;
MATCH(1,
('2026 Orders'!C:C=C541)*
('2026 Orders'!G:G=G541)*
('2026 Orders'!N:N=N541),
0),
"Open "&amp;C541
))</f>
        <v/>
      </c>
      <c r="F541" s="14">
        <f>'[1]2026 Orders'!F542</f>
        <v>0</v>
      </c>
      <c r="G541" s="14">
        <f>'[1]2026 Orders'!G542</f>
        <v>0</v>
      </c>
      <c r="H541" s="14" t="str" cm="1">
        <f t="array" ref="H541">IFERROR(_xlfn.TEXTJOIN("-",,INDEX(_xlfn.TEXTSPLIT(TableTake[[#This Row],[SKU]],"-"),{1,2})),"")</f>
        <v/>
      </c>
      <c r="I541" s="15" t="str">
        <f>IFERROR(_xlfn.TEXTAFTER(TableTake[[#This Row],[SKU]],"-",-1),"")</f>
        <v/>
      </c>
      <c r="J541" s="14">
        <f>'[1]2026 Orders'!H542</f>
        <v>0</v>
      </c>
      <c r="K541">
        <f>'[1]2026 Orders'!I542</f>
        <v>0</v>
      </c>
      <c r="L541">
        <f>'[1]2026 Orders'!J542</f>
        <v>0</v>
      </c>
      <c r="N541" s="10">
        <f>'[1]2026 Orders'!L542</f>
        <v>0</v>
      </c>
      <c r="O541">
        <f>'[1]2026 Orders'!M542</f>
        <v>0</v>
      </c>
      <c r="P541">
        <f>'[1]2026 Orders'!N542</f>
        <v>0</v>
      </c>
      <c r="Q541">
        <f>'[1]2026 Orders'!O542</f>
        <v>0</v>
      </c>
      <c r="R541">
        <f>'[1]2026 Orders'!P542</f>
        <v>0</v>
      </c>
      <c r="S541">
        <f>'[1]2026 Orders'!Q542</f>
        <v>0</v>
      </c>
      <c r="T541">
        <f>'[1]2026 Orders'!R542</f>
        <v>0</v>
      </c>
      <c r="U541">
        <f>'[1]2026 Orders'!S542</f>
        <v>0</v>
      </c>
      <c r="V541">
        <f>'[1]2026 Orders'!T542</f>
        <v>0</v>
      </c>
      <c r="W541">
        <f>'[1]2026 Orders'!U542</f>
        <v>0</v>
      </c>
      <c r="X541">
        <f>'[1]2026 Orders'!V542</f>
        <v>0</v>
      </c>
      <c r="Y541">
        <f>'[1]2026 Orders'!W542</f>
        <v>0</v>
      </c>
      <c r="Z541">
        <f>'[1]2026 Orders'!X542</f>
        <v>0</v>
      </c>
      <c r="AC541" t="str">
        <f t="shared" si="16"/>
        <v/>
      </c>
      <c r="AD541" t="str">
        <f t="shared" si="17"/>
        <v/>
      </c>
    </row>
    <row r="542" spans="1:30" ht="33" hidden="1" customHeight="1" x14ac:dyDescent="0.3">
      <c r="A542">
        <f>'[1]2026 Orders'!A543</f>
        <v>0</v>
      </c>
      <c r="B542" s="14">
        <f>'[1]2026 Orders'!B543</f>
        <v>0</v>
      </c>
      <c r="C542" s="14">
        <f>'[1]2026 Orders'!C543</f>
        <v>0</v>
      </c>
      <c r="D542" s="14">
        <f>'[1]2026 Orders'!D543</f>
        <v>0</v>
      </c>
      <c r="E542" s="17" t="str" cm="1">
        <f t="array" ref="E542">IF(C542=0,"",
HYPERLINK(
"#'2026 Orders'!C"&amp;
MATCH(1,
('2026 Orders'!C:C=C542)*
('2026 Orders'!G:G=G542)*
('2026 Orders'!N:N=N542),
0),
"Open "&amp;C542
))</f>
        <v/>
      </c>
      <c r="F542" s="14">
        <f>'[1]2026 Orders'!F543</f>
        <v>0</v>
      </c>
      <c r="G542" s="14">
        <f>'[1]2026 Orders'!G543</f>
        <v>0</v>
      </c>
      <c r="H542" s="14" t="str" cm="1">
        <f t="array" ref="H542">IFERROR(_xlfn.TEXTJOIN("-",,INDEX(_xlfn.TEXTSPLIT(TableTake[[#This Row],[SKU]],"-"),{1,2})),"")</f>
        <v/>
      </c>
      <c r="I542" s="15" t="str">
        <f>IFERROR(_xlfn.TEXTAFTER(TableTake[[#This Row],[SKU]],"-",-1),"")</f>
        <v/>
      </c>
      <c r="J542" s="14">
        <f>'[1]2026 Orders'!H543</f>
        <v>0</v>
      </c>
      <c r="K542">
        <f>'[1]2026 Orders'!I543</f>
        <v>0</v>
      </c>
      <c r="L542">
        <f>'[1]2026 Orders'!J543</f>
        <v>0</v>
      </c>
      <c r="N542" s="10">
        <f>'[1]2026 Orders'!L543</f>
        <v>0</v>
      </c>
      <c r="O542">
        <f>'[1]2026 Orders'!M543</f>
        <v>0</v>
      </c>
      <c r="P542">
        <f>'[1]2026 Orders'!N543</f>
        <v>0</v>
      </c>
      <c r="Q542">
        <f>'[1]2026 Orders'!O543</f>
        <v>0</v>
      </c>
      <c r="R542">
        <f>'[1]2026 Orders'!P543</f>
        <v>0</v>
      </c>
      <c r="S542">
        <f>'[1]2026 Orders'!Q543</f>
        <v>0</v>
      </c>
      <c r="T542">
        <f>'[1]2026 Orders'!R543</f>
        <v>0</v>
      </c>
      <c r="U542">
        <f>'[1]2026 Orders'!S543</f>
        <v>0</v>
      </c>
      <c r="V542">
        <f>'[1]2026 Orders'!T543</f>
        <v>0</v>
      </c>
      <c r="W542">
        <f>'[1]2026 Orders'!U543</f>
        <v>0</v>
      </c>
      <c r="X542">
        <f>'[1]2026 Orders'!V543</f>
        <v>0</v>
      </c>
      <c r="Y542">
        <f>'[1]2026 Orders'!W543</f>
        <v>0</v>
      </c>
      <c r="Z542">
        <f>'[1]2026 Orders'!X543</f>
        <v>0</v>
      </c>
      <c r="AC542" t="str">
        <f t="shared" si="16"/>
        <v/>
      </c>
      <c r="AD542" t="str">
        <f t="shared" si="17"/>
        <v/>
      </c>
    </row>
    <row r="543" spans="1:30" ht="33" hidden="1" customHeight="1" x14ac:dyDescent="0.3">
      <c r="A543">
        <f>'[1]2026 Orders'!A544</f>
        <v>0</v>
      </c>
      <c r="B543" s="14">
        <f>'[1]2026 Orders'!B544</f>
        <v>0</v>
      </c>
      <c r="C543" s="14">
        <f>'[1]2026 Orders'!C544</f>
        <v>0</v>
      </c>
      <c r="D543" s="14">
        <f>'[1]2026 Orders'!D544</f>
        <v>0</v>
      </c>
      <c r="E543" s="17" t="str" cm="1">
        <f t="array" ref="E543">IF(C543=0,"",
HYPERLINK(
"#'2026 Orders'!C"&amp;
MATCH(1,
('2026 Orders'!C:C=C543)*
('2026 Orders'!G:G=G543)*
('2026 Orders'!N:N=N543),
0),
"Open "&amp;C543
))</f>
        <v/>
      </c>
      <c r="F543" s="14">
        <f>'[1]2026 Orders'!F544</f>
        <v>0</v>
      </c>
      <c r="G543" s="14">
        <f>'[1]2026 Orders'!G544</f>
        <v>0</v>
      </c>
      <c r="H543" s="14" t="str" cm="1">
        <f t="array" ref="H543">IFERROR(_xlfn.TEXTJOIN("-",,INDEX(_xlfn.TEXTSPLIT(TableTake[[#This Row],[SKU]],"-"),{1,2})),"")</f>
        <v/>
      </c>
      <c r="I543" s="15" t="str">
        <f>IFERROR(_xlfn.TEXTAFTER(TableTake[[#This Row],[SKU]],"-",-1),"")</f>
        <v/>
      </c>
      <c r="J543" s="14">
        <f>'[1]2026 Orders'!H544</f>
        <v>0</v>
      </c>
      <c r="K543">
        <f>'[1]2026 Orders'!I544</f>
        <v>0</v>
      </c>
      <c r="L543">
        <f>'[1]2026 Orders'!J544</f>
        <v>0</v>
      </c>
      <c r="N543" s="10">
        <f>'[1]2026 Orders'!L544</f>
        <v>0</v>
      </c>
      <c r="O543">
        <f>'[1]2026 Orders'!M544</f>
        <v>0</v>
      </c>
      <c r="P543">
        <f>'[1]2026 Orders'!N544</f>
        <v>0</v>
      </c>
      <c r="Q543">
        <f>'[1]2026 Orders'!O544</f>
        <v>0</v>
      </c>
      <c r="R543">
        <f>'[1]2026 Orders'!P544</f>
        <v>0</v>
      </c>
      <c r="S543">
        <f>'[1]2026 Orders'!Q544</f>
        <v>0</v>
      </c>
      <c r="T543">
        <f>'[1]2026 Orders'!R544</f>
        <v>0</v>
      </c>
      <c r="U543">
        <f>'[1]2026 Orders'!S544</f>
        <v>0</v>
      </c>
      <c r="V543">
        <f>'[1]2026 Orders'!T544</f>
        <v>0</v>
      </c>
      <c r="W543">
        <f>'[1]2026 Orders'!U544</f>
        <v>0</v>
      </c>
      <c r="X543">
        <f>'[1]2026 Orders'!V544</f>
        <v>0</v>
      </c>
      <c r="Y543">
        <f>'[1]2026 Orders'!W544</f>
        <v>0</v>
      </c>
      <c r="Z543">
        <f>'[1]2026 Orders'!X544</f>
        <v>0</v>
      </c>
      <c r="AC543" t="str">
        <f t="shared" si="16"/>
        <v/>
      </c>
      <c r="AD543" t="str">
        <f t="shared" si="17"/>
        <v/>
      </c>
    </row>
    <row r="544" spans="1:30" ht="33" hidden="1" customHeight="1" x14ac:dyDescent="0.3">
      <c r="A544">
        <f>'[1]2026 Orders'!A545</f>
        <v>0</v>
      </c>
      <c r="B544" s="14">
        <f>'[1]2026 Orders'!B545</f>
        <v>0</v>
      </c>
      <c r="C544" s="14">
        <f>'[1]2026 Orders'!C545</f>
        <v>0</v>
      </c>
      <c r="D544" s="14">
        <f>'[1]2026 Orders'!D545</f>
        <v>0</v>
      </c>
      <c r="E544" s="17" t="str" cm="1">
        <f t="array" ref="E544">IF(C544=0,"",
HYPERLINK(
"#'2026 Orders'!C"&amp;
MATCH(1,
('2026 Orders'!C:C=C544)*
('2026 Orders'!G:G=G544)*
('2026 Orders'!N:N=N544),
0),
"Open "&amp;C544
))</f>
        <v/>
      </c>
      <c r="F544" s="14">
        <f>'[1]2026 Orders'!F545</f>
        <v>0</v>
      </c>
      <c r="G544" s="14">
        <f>'[1]2026 Orders'!G545</f>
        <v>0</v>
      </c>
      <c r="H544" s="14" t="str" cm="1">
        <f t="array" ref="H544">IFERROR(_xlfn.TEXTJOIN("-",,INDEX(_xlfn.TEXTSPLIT(TableTake[[#This Row],[SKU]],"-"),{1,2})),"")</f>
        <v/>
      </c>
      <c r="I544" s="15" t="str">
        <f>IFERROR(_xlfn.TEXTAFTER(TableTake[[#This Row],[SKU]],"-",-1),"")</f>
        <v/>
      </c>
      <c r="J544" s="14">
        <f>'[1]2026 Orders'!H545</f>
        <v>0</v>
      </c>
      <c r="K544">
        <f>'[1]2026 Orders'!I545</f>
        <v>0</v>
      </c>
      <c r="L544">
        <f>'[1]2026 Orders'!J545</f>
        <v>0</v>
      </c>
      <c r="N544" s="10">
        <f>'[1]2026 Orders'!L545</f>
        <v>0</v>
      </c>
      <c r="O544">
        <f>'[1]2026 Orders'!M545</f>
        <v>0</v>
      </c>
      <c r="P544">
        <f>'[1]2026 Orders'!N545</f>
        <v>0</v>
      </c>
      <c r="Q544">
        <f>'[1]2026 Orders'!O545</f>
        <v>0</v>
      </c>
      <c r="R544">
        <f>'[1]2026 Orders'!P545</f>
        <v>0</v>
      </c>
      <c r="S544">
        <f>'[1]2026 Orders'!Q545</f>
        <v>0</v>
      </c>
      <c r="T544">
        <f>'[1]2026 Orders'!R545</f>
        <v>0</v>
      </c>
      <c r="U544">
        <f>'[1]2026 Orders'!S545</f>
        <v>0</v>
      </c>
      <c r="V544">
        <f>'[1]2026 Orders'!T545</f>
        <v>0</v>
      </c>
      <c r="W544">
        <f>'[1]2026 Orders'!U545</f>
        <v>0</v>
      </c>
      <c r="X544">
        <f>'[1]2026 Orders'!V545</f>
        <v>0</v>
      </c>
      <c r="Y544">
        <f>'[1]2026 Orders'!W545</f>
        <v>0</v>
      </c>
      <c r="Z544">
        <f>'[1]2026 Orders'!X545</f>
        <v>0</v>
      </c>
      <c r="AC544" t="str">
        <f t="shared" si="16"/>
        <v/>
      </c>
      <c r="AD544" t="str">
        <f t="shared" si="17"/>
        <v/>
      </c>
    </row>
    <row r="545" spans="1:30" ht="33" hidden="1" customHeight="1" x14ac:dyDescent="0.3">
      <c r="A545">
        <f>'[1]2026 Orders'!A546</f>
        <v>0</v>
      </c>
      <c r="B545" s="14">
        <f>'[1]2026 Orders'!B546</f>
        <v>0</v>
      </c>
      <c r="C545" s="14">
        <f>'[1]2026 Orders'!C546</f>
        <v>0</v>
      </c>
      <c r="D545" s="14">
        <f>'[1]2026 Orders'!D546</f>
        <v>0</v>
      </c>
      <c r="E545" s="17" t="str" cm="1">
        <f t="array" ref="E545">IF(C545=0,"",
HYPERLINK(
"#'2026 Orders'!C"&amp;
MATCH(1,
('2026 Orders'!C:C=C545)*
('2026 Orders'!G:G=G545)*
('2026 Orders'!N:N=N545),
0),
"Open "&amp;C545
))</f>
        <v/>
      </c>
      <c r="F545" s="14">
        <f>'[1]2026 Orders'!F546</f>
        <v>0</v>
      </c>
      <c r="G545" s="14">
        <f>'[1]2026 Orders'!G546</f>
        <v>0</v>
      </c>
      <c r="H545" s="14" t="str" cm="1">
        <f t="array" ref="H545">IFERROR(_xlfn.TEXTJOIN("-",,INDEX(_xlfn.TEXTSPLIT(TableTake[[#This Row],[SKU]],"-"),{1,2})),"")</f>
        <v/>
      </c>
      <c r="I545" s="15" t="str">
        <f>IFERROR(_xlfn.TEXTAFTER(TableTake[[#This Row],[SKU]],"-",-1),"")</f>
        <v/>
      </c>
      <c r="J545" s="14">
        <f>'[1]2026 Orders'!H546</f>
        <v>0</v>
      </c>
      <c r="K545">
        <f>'[1]2026 Orders'!I546</f>
        <v>0</v>
      </c>
      <c r="L545">
        <f>'[1]2026 Orders'!J546</f>
        <v>0</v>
      </c>
      <c r="N545" s="10">
        <f>'[1]2026 Orders'!L546</f>
        <v>0</v>
      </c>
      <c r="O545">
        <f>'[1]2026 Orders'!M546</f>
        <v>0</v>
      </c>
      <c r="P545">
        <f>'[1]2026 Orders'!N546</f>
        <v>0</v>
      </c>
      <c r="Q545">
        <f>'[1]2026 Orders'!O546</f>
        <v>0</v>
      </c>
      <c r="R545">
        <f>'[1]2026 Orders'!P546</f>
        <v>0</v>
      </c>
      <c r="S545">
        <f>'[1]2026 Orders'!Q546</f>
        <v>0</v>
      </c>
      <c r="T545">
        <f>'[1]2026 Orders'!R546</f>
        <v>0</v>
      </c>
      <c r="U545">
        <f>'[1]2026 Orders'!S546</f>
        <v>0</v>
      </c>
      <c r="V545">
        <f>'[1]2026 Orders'!T546</f>
        <v>0</v>
      </c>
      <c r="W545">
        <f>'[1]2026 Orders'!U546</f>
        <v>0</v>
      </c>
      <c r="X545">
        <f>'[1]2026 Orders'!V546</f>
        <v>0</v>
      </c>
      <c r="Y545">
        <f>'[1]2026 Orders'!W546</f>
        <v>0</v>
      </c>
      <c r="Z545">
        <f>'[1]2026 Orders'!X546</f>
        <v>0</v>
      </c>
      <c r="AC545" t="str">
        <f t="shared" si="16"/>
        <v/>
      </c>
      <c r="AD545" t="str">
        <f t="shared" si="17"/>
        <v/>
      </c>
    </row>
    <row r="546" spans="1:30" ht="33" hidden="1" customHeight="1" x14ac:dyDescent="0.3">
      <c r="A546">
        <f>'[1]2026 Orders'!A547</f>
        <v>0</v>
      </c>
      <c r="B546" s="14">
        <f>'[1]2026 Orders'!B547</f>
        <v>0</v>
      </c>
      <c r="C546" s="14">
        <f>'[1]2026 Orders'!C547</f>
        <v>0</v>
      </c>
      <c r="D546" s="14">
        <f>'[1]2026 Orders'!D547</f>
        <v>0</v>
      </c>
      <c r="E546" s="17" t="str" cm="1">
        <f t="array" ref="E546">IF(C546=0,"",
HYPERLINK(
"#'2026 Orders'!C"&amp;
MATCH(1,
('2026 Orders'!C:C=C546)*
('2026 Orders'!G:G=G546)*
('2026 Orders'!N:N=N546),
0),
"Open "&amp;C546
))</f>
        <v/>
      </c>
      <c r="F546" s="14">
        <f>'[1]2026 Orders'!F547</f>
        <v>0</v>
      </c>
      <c r="G546" s="14">
        <f>'[1]2026 Orders'!G547</f>
        <v>0</v>
      </c>
      <c r="H546" s="14" t="str" cm="1">
        <f t="array" ref="H546">IFERROR(_xlfn.TEXTJOIN("-",,INDEX(_xlfn.TEXTSPLIT(TableTake[[#This Row],[SKU]],"-"),{1,2})),"")</f>
        <v/>
      </c>
      <c r="I546" s="15" t="str">
        <f>IFERROR(_xlfn.TEXTAFTER(TableTake[[#This Row],[SKU]],"-",-1),"")</f>
        <v/>
      </c>
      <c r="J546" s="14">
        <f>'[1]2026 Orders'!H547</f>
        <v>0</v>
      </c>
      <c r="K546">
        <f>'[1]2026 Orders'!I547</f>
        <v>0</v>
      </c>
      <c r="L546">
        <f>'[1]2026 Orders'!J547</f>
        <v>0</v>
      </c>
      <c r="N546" s="10">
        <f>'[1]2026 Orders'!L547</f>
        <v>0</v>
      </c>
      <c r="O546">
        <f>'[1]2026 Orders'!M547</f>
        <v>0</v>
      </c>
      <c r="P546">
        <f>'[1]2026 Orders'!N547</f>
        <v>0</v>
      </c>
      <c r="Q546">
        <f>'[1]2026 Orders'!O547</f>
        <v>0</v>
      </c>
      <c r="R546">
        <f>'[1]2026 Orders'!P547</f>
        <v>0</v>
      </c>
      <c r="S546">
        <f>'[1]2026 Orders'!Q547</f>
        <v>0</v>
      </c>
      <c r="T546">
        <f>'[1]2026 Orders'!R547</f>
        <v>0</v>
      </c>
      <c r="U546">
        <f>'[1]2026 Orders'!S547</f>
        <v>0</v>
      </c>
      <c r="V546">
        <f>'[1]2026 Orders'!T547</f>
        <v>0</v>
      </c>
      <c r="W546">
        <f>'[1]2026 Orders'!U547</f>
        <v>0</v>
      </c>
      <c r="X546">
        <f>'[1]2026 Orders'!V547</f>
        <v>0</v>
      </c>
      <c r="Y546">
        <f>'[1]2026 Orders'!W547</f>
        <v>0</v>
      </c>
      <c r="Z546">
        <f>'[1]2026 Orders'!X547</f>
        <v>0</v>
      </c>
      <c r="AC546" t="str">
        <f t="shared" si="16"/>
        <v/>
      </c>
      <c r="AD546" t="str">
        <f t="shared" si="17"/>
        <v/>
      </c>
    </row>
    <row r="547" spans="1:30" ht="33" hidden="1" customHeight="1" x14ac:dyDescent="0.3">
      <c r="A547">
        <f>'[1]2026 Orders'!A548</f>
        <v>0</v>
      </c>
      <c r="B547" s="14">
        <f>'[1]2026 Orders'!B548</f>
        <v>0</v>
      </c>
      <c r="C547" s="14">
        <f>'[1]2026 Orders'!C548</f>
        <v>0</v>
      </c>
      <c r="D547" s="14">
        <f>'[1]2026 Orders'!D548</f>
        <v>0</v>
      </c>
      <c r="E547" s="17" t="str" cm="1">
        <f t="array" ref="E547">IF(C547=0,"",
HYPERLINK(
"#'2026 Orders'!C"&amp;
MATCH(1,
('2026 Orders'!C:C=C547)*
('2026 Orders'!G:G=G547)*
('2026 Orders'!N:N=N547),
0),
"Open "&amp;C547
))</f>
        <v/>
      </c>
      <c r="F547" s="14">
        <f>'[1]2026 Orders'!F548</f>
        <v>0</v>
      </c>
      <c r="G547" s="14">
        <f>'[1]2026 Orders'!G548</f>
        <v>0</v>
      </c>
      <c r="H547" s="14" t="str" cm="1">
        <f t="array" ref="H547">IFERROR(_xlfn.TEXTJOIN("-",,INDEX(_xlfn.TEXTSPLIT(TableTake[[#This Row],[SKU]],"-"),{1,2})),"")</f>
        <v/>
      </c>
      <c r="I547" s="15" t="str">
        <f>IFERROR(_xlfn.TEXTAFTER(TableTake[[#This Row],[SKU]],"-",-1),"")</f>
        <v/>
      </c>
      <c r="J547" s="14">
        <f>'[1]2026 Orders'!H548</f>
        <v>0</v>
      </c>
      <c r="K547">
        <f>'[1]2026 Orders'!I548</f>
        <v>0</v>
      </c>
      <c r="L547">
        <f>'[1]2026 Orders'!J548</f>
        <v>0</v>
      </c>
      <c r="N547" s="10">
        <f>'[1]2026 Orders'!L548</f>
        <v>0</v>
      </c>
      <c r="O547">
        <f>'[1]2026 Orders'!M548</f>
        <v>0</v>
      </c>
      <c r="P547">
        <f>'[1]2026 Orders'!N548</f>
        <v>0</v>
      </c>
      <c r="Q547">
        <f>'[1]2026 Orders'!O548</f>
        <v>0</v>
      </c>
      <c r="R547">
        <f>'[1]2026 Orders'!P548</f>
        <v>0</v>
      </c>
      <c r="S547">
        <f>'[1]2026 Orders'!Q548</f>
        <v>0</v>
      </c>
      <c r="T547">
        <f>'[1]2026 Orders'!R548</f>
        <v>0</v>
      </c>
      <c r="U547">
        <f>'[1]2026 Orders'!S548</f>
        <v>0</v>
      </c>
      <c r="V547">
        <f>'[1]2026 Orders'!T548</f>
        <v>0</v>
      </c>
      <c r="W547">
        <f>'[1]2026 Orders'!U548</f>
        <v>0</v>
      </c>
      <c r="X547">
        <f>'[1]2026 Orders'!V548</f>
        <v>0</v>
      </c>
      <c r="Y547">
        <f>'[1]2026 Orders'!W548</f>
        <v>0</v>
      </c>
      <c r="Z547">
        <f>'[1]2026 Orders'!X548</f>
        <v>0</v>
      </c>
      <c r="AC547" t="str">
        <f t="shared" si="16"/>
        <v/>
      </c>
      <c r="AD547" t="str">
        <f t="shared" si="17"/>
        <v/>
      </c>
    </row>
    <row r="548" spans="1:30" ht="33" hidden="1" customHeight="1" x14ac:dyDescent="0.3">
      <c r="A548">
        <f>'[1]2026 Orders'!A549</f>
        <v>0</v>
      </c>
      <c r="B548" s="14">
        <f>'[1]2026 Orders'!B549</f>
        <v>0</v>
      </c>
      <c r="C548" s="14">
        <f>'[1]2026 Orders'!C549</f>
        <v>0</v>
      </c>
      <c r="D548" s="14">
        <f>'[1]2026 Orders'!D549</f>
        <v>0</v>
      </c>
      <c r="E548" s="17" t="str" cm="1">
        <f t="array" ref="E548">IF(C548=0,"",
HYPERLINK(
"#'2026 Orders'!C"&amp;
MATCH(1,
('2026 Orders'!C:C=C548)*
('2026 Orders'!G:G=G548)*
('2026 Orders'!N:N=N548),
0),
"Open "&amp;C548
))</f>
        <v/>
      </c>
      <c r="F548" s="14">
        <f>'[1]2026 Orders'!F549</f>
        <v>0</v>
      </c>
      <c r="G548" s="14">
        <f>'[1]2026 Orders'!G549</f>
        <v>0</v>
      </c>
      <c r="H548" s="14" t="str" cm="1">
        <f t="array" ref="H548">IFERROR(_xlfn.TEXTJOIN("-",,INDEX(_xlfn.TEXTSPLIT(TableTake[[#This Row],[SKU]],"-"),{1,2})),"")</f>
        <v/>
      </c>
      <c r="I548" s="15" t="str">
        <f>IFERROR(_xlfn.TEXTAFTER(TableTake[[#This Row],[SKU]],"-",-1),"")</f>
        <v/>
      </c>
      <c r="J548" s="14">
        <f>'[1]2026 Orders'!H549</f>
        <v>0</v>
      </c>
      <c r="K548">
        <f>'[1]2026 Orders'!I549</f>
        <v>0</v>
      </c>
      <c r="L548">
        <f>'[1]2026 Orders'!J549</f>
        <v>0</v>
      </c>
      <c r="N548" s="10">
        <f>'[1]2026 Orders'!L549</f>
        <v>0</v>
      </c>
      <c r="O548">
        <f>'[1]2026 Orders'!M549</f>
        <v>0</v>
      </c>
      <c r="P548">
        <f>'[1]2026 Orders'!N549</f>
        <v>0</v>
      </c>
      <c r="Q548">
        <f>'[1]2026 Orders'!O549</f>
        <v>0</v>
      </c>
      <c r="R548">
        <f>'[1]2026 Orders'!P549</f>
        <v>0</v>
      </c>
      <c r="S548">
        <f>'[1]2026 Orders'!Q549</f>
        <v>0</v>
      </c>
      <c r="T548">
        <f>'[1]2026 Orders'!R549</f>
        <v>0</v>
      </c>
      <c r="U548">
        <f>'[1]2026 Orders'!S549</f>
        <v>0</v>
      </c>
      <c r="V548">
        <f>'[1]2026 Orders'!T549</f>
        <v>0</v>
      </c>
      <c r="W548">
        <f>'[1]2026 Orders'!U549</f>
        <v>0</v>
      </c>
      <c r="X548">
        <f>'[1]2026 Orders'!V549</f>
        <v>0</v>
      </c>
      <c r="Y548">
        <f>'[1]2026 Orders'!W549</f>
        <v>0</v>
      </c>
      <c r="Z548">
        <f>'[1]2026 Orders'!X549</f>
        <v>0</v>
      </c>
      <c r="AC548" t="str">
        <f t="shared" si="16"/>
        <v/>
      </c>
      <c r="AD548" t="str">
        <f t="shared" si="17"/>
        <v/>
      </c>
    </row>
    <row r="549" spans="1:30" ht="33" hidden="1" customHeight="1" x14ac:dyDescent="0.3">
      <c r="A549">
        <f>'[1]2026 Orders'!A550</f>
        <v>0</v>
      </c>
      <c r="B549" s="14">
        <f>'[1]2026 Orders'!B550</f>
        <v>0</v>
      </c>
      <c r="C549" s="14">
        <f>'[1]2026 Orders'!C550</f>
        <v>0</v>
      </c>
      <c r="D549" s="14">
        <f>'[1]2026 Orders'!D550</f>
        <v>0</v>
      </c>
      <c r="E549" s="17" t="str" cm="1">
        <f t="array" ref="E549">IF(C549=0,"",
HYPERLINK(
"#'2026 Orders'!C"&amp;
MATCH(1,
('2026 Orders'!C:C=C549)*
('2026 Orders'!G:G=G549)*
('2026 Orders'!N:N=N549),
0),
"Open "&amp;C549
))</f>
        <v/>
      </c>
      <c r="F549" s="14">
        <f>'[1]2026 Orders'!F550</f>
        <v>0</v>
      </c>
      <c r="G549" s="14">
        <f>'[1]2026 Orders'!G550</f>
        <v>0</v>
      </c>
      <c r="H549" s="14" t="str" cm="1">
        <f t="array" ref="H549">IFERROR(_xlfn.TEXTJOIN("-",,INDEX(_xlfn.TEXTSPLIT(TableTake[[#This Row],[SKU]],"-"),{1,2})),"")</f>
        <v/>
      </c>
      <c r="I549" s="15" t="str">
        <f>IFERROR(_xlfn.TEXTAFTER(TableTake[[#This Row],[SKU]],"-",-1),"")</f>
        <v/>
      </c>
      <c r="J549" s="14">
        <f>'[1]2026 Orders'!H550</f>
        <v>0</v>
      </c>
      <c r="K549">
        <f>'[1]2026 Orders'!I550</f>
        <v>0</v>
      </c>
      <c r="L549">
        <f>'[1]2026 Orders'!J550</f>
        <v>0</v>
      </c>
      <c r="N549" s="10">
        <f>'[1]2026 Orders'!L550</f>
        <v>0</v>
      </c>
      <c r="O549">
        <f>'[1]2026 Orders'!M550</f>
        <v>0</v>
      </c>
      <c r="P549">
        <f>'[1]2026 Orders'!N550</f>
        <v>0</v>
      </c>
      <c r="Q549">
        <f>'[1]2026 Orders'!O550</f>
        <v>0</v>
      </c>
      <c r="R549">
        <f>'[1]2026 Orders'!P550</f>
        <v>0</v>
      </c>
      <c r="S549">
        <f>'[1]2026 Orders'!Q550</f>
        <v>0</v>
      </c>
      <c r="T549">
        <f>'[1]2026 Orders'!R550</f>
        <v>0</v>
      </c>
      <c r="U549">
        <f>'[1]2026 Orders'!S550</f>
        <v>0</v>
      </c>
      <c r="V549">
        <f>'[1]2026 Orders'!T550</f>
        <v>0</v>
      </c>
      <c r="W549">
        <f>'[1]2026 Orders'!U550</f>
        <v>0</v>
      </c>
      <c r="X549">
        <f>'[1]2026 Orders'!V550</f>
        <v>0</v>
      </c>
      <c r="Y549">
        <f>'[1]2026 Orders'!W550</f>
        <v>0</v>
      </c>
      <c r="Z549">
        <f>'[1]2026 Orders'!X550</f>
        <v>0</v>
      </c>
      <c r="AC549" t="str">
        <f t="shared" si="16"/>
        <v/>
      </c>
      <c r="AD549" t="str">
        <f t="shared" si="17"/>
        <v/>
      </c>
    </row>
    <row r="550" spans="1:30" ht="33" hidden="1" customHeight="1" x14ac:dyDescent="0.3">
      <c r="A550">
        <f>'[1]2026 Orders'!A551</f>
        <v>0</v>
      </c>
      <c r="B550" s="14">
        <f>'[1]2026 Orders'!B551</f>
        <v>0</v>
      </c>
      <c r="C550" s="14">
        <f>'[1]2026 Orders'!C551</f>
        <v>0</v>
      </c>
      <c r="D550" s="14">
        <f>'[1]2026 Orders'!D551</f>
        <v>0</v>
      </c>
      <c r="E550" s="17" t="str" cm="1">
        <f t="array" ref="E550">IF(C550=0,"",
HYPERLINK(
"#'2026 Orders'!C"&amp;
MATCH(1,
('2026 Orders'!C:C=C550)*
('2026 Orders'!G:G=G550)*
('2026 Orders'!N:N=N550),
0),
"Open "&amp;C550
))</f>
        <v/>
      </c>
      <c r="F550" s="14">
        <f>'[1]2026 Orders'!F551</f>
        <v>0</v>
      </c>
      <c r="G550" s="14">
        <f>'[1]2026 Orders'!G551</f>
        <v>0</v>
      </c>
      <c r="H550" s="14" t="str" cm="1">
        <f t="array" ref="H550">IFERROR(_xlfn.TEXTJOIN("-",,INDEX(_xlfn.TEXTSPLIT(TableTake[[#This Row],[SKU]],"-"),{1,2})),"")</f>
        <v/>
      </c>
      <c r="I550" s="15" t="str">
        <f>IFERROR(_xlfn.TEXTAFTER(TableTake[[#This Row],[SKU]],"-",-1),"")</f>
        <v/>
      </c>
      <c r="J550" s="14">
        <f>'[1]2026 Orders'!H551</f>
        <v>0</v>
      </c>
      <c r="K550">
        <f>'[1]2026 Orders'!I551</f>
        <v>0</v>
      </c>
      <c r="L550">
        <f>'[1]2026 Orders'!J551</f>
        <v>0</v>
      </c>
      <c r="N550" s="10">
        <f>'[1]2026 Orders'!L551</f>
        <v>0</v>
      </c>
      <c r="O550">
        <f>'[1]2026 Orders'!M551</f>
        <v>0</v>
      </c>
      <c r="P550">
        <f>'[1]2026 Orders'!N551</f>
        <v>0</v>
      </c>
      <c r="Q550">
        <f>'[1]2026 Orders'!O551</f>
        <v>0</v>
      </c>
      <c r="R550">
        <f>'[1]2026 Orders'!P551</f>
        <v>0</v>
      </c>
      <c r="S550">
        <f>'[1]2026 Orders'!Q551</f>
        <v>0</v>
      </c>
      <c r="T550">
        <f>'[1]2026 Orders'!R551</f>
        <v>0</v>
      </c>
      <c r="U550">
        <f>'[1]2026 Orders'!S551</f>
        <v>0</v>
      </c>
      <c r="V550">
        <f>'[1]2026 Orders'!T551</f>
        <v>0</v>
      </c>
      <c r="W550">
        <f>'[1]2026 Orders'!U551</f>
        <v>0</v>
      </c>
      <c r="X550">
        <f>'[1]2026 Orders'!V551</f>
        <v>0</v>
      </c>
      <c r="Y550">
        <f>'[1]2026 Orders'!W551</f>
        <v>0</v>
      </c>
      <c r="Z550">
        <f>'[1]2026 Orders'!X551</f>
        <v>0</v>
      </c>
      <c r="AC550" t="str">
        <f t="shared" si="16"/>
        <v/>
      </c>
      <c r="AD550" t="str">
        <f t="shared" si="17"/>
        <v/>
      </c>
    </row>
    <row r="551" spans="1:30" ht="33" hidden="1" customHeight="1" x14ac:dyDescent="0.3">
      <c r="A551">
        <f>'[1]2026 Orders'!A552</f>
        <v>0</v>
      </c>
      <c r="B551" s="14">
        <f>'[1]2026 Orders'!B552</f>
        <v>0</v>
      </c>
      <c r="C551" s="14">
        <f>'[1]2026 Orders'!C552</f>
        <v>0</v>
      </c>
      <c r="D551" s="14">
        <f>'[1]2026 Orders'!D552</f>
        <v>0</v>
      </c>
      <c r="E551" s="17" t="str" cm="1">
        <f t="array" ref="E551">IF(C551=0,"",
HYPERLINK(
"#'2026 Orders'!C"&amp;
MATCH(1,
('2026 Orders'!C:C=C551)*
('2026 Orders'!G:G=G551)*
('2026 Orders'!N:N=N551),
0),
"Open "&amp;C551
))</f>
        <v/>
      </c>
      <c r="F551" s="14">
        <f>'[1]2026 Orders'!F552</f>
        <v>0</v>
      </c>
      <c r="G551" s="14">
        <f>'[1]2026 Orders'!G552</f>
        <v>0</v>
      </c>
      <c r="H551" s="14" t="str" cm="1">
        <f t="array" ref="H551">IFERROR(_xlfn.TEXTJOIN("-",,INDEX(_xlfn.TEXTSPLIT(TableTake[[#This Row],[SKU]],"-"),{1,2})),"")</f>
        <v/>
      </c>
      <c r="I551" s="15" t="str">
        <f>IFERROR(_xlfn.TEXTAFTER(TableTake[[#This Row],[SKU]],"-",-1),"")</f>
        <v/>
      </c>
      <c r="J551" s="14">
        <f>'[1]2026 Orders'!H552</f>
        <v>0</v>
      </c>
      <c r="K551">
        <f>'[1]2026 Orders'!I552</f>
        <v>0</v>
      </c>
      <c r="L551">
        <f>'[1]2026 Orders'!J552</f>
        <v>0</v>
      </c>
      <c r="N551" s="10">
        <f>'[1]2026 Orders'!L552</f>
        <v>0</v>
      </c>
      <c r="O551">
        <f>'[1]2026 Orders'!M552</f>
        <v>0</v>
      </c>
      <c r="P551">
        <f>'[1]2026 Orders'!N552</f>
        <v>0</v>
      </c>
      <c r="Q551">
        <f>'[1]2026 Orders'!O552</f>
        <v>0</v>
      </c>
      <c r="R551">
        <f>'[1]2026 Orders'!P552</f>
        <v>0</v>
      </c>
      <c r="S551">
        <f>'[1]2026 Orders'!Q552</f>
        <v>0</v>
      </c>
      <c r="T551">
        <f>'[1]2026 Orders'!R552</f>
        <v>0</v>
      </c>
      <c r="U551">
        <f>'[1]2026 Orders'!S552</f>
        <v>0</v>
      </c>
      <c r="V551">
        <f>'[1]2026 Orders'!T552</f>
        <v>0</v>
      </c>
      <c r="W551">
        <f>'[1]2026 Orders'!U552</f>
        <v>0</v>
      </c>
      <c r="X551">
        <f>'[1]2026 Orders'!V552</f>
        <v>0</v>
      </c>
      <c r="Y551">
        <f>'[1]2026 Orders'!W552</f>
        <v>0</v>
      </c>
      <c r="Z551">
        <f>'[1]2026 Orders'!X552</f>
        <v>0</v>
      </c>
      <c r="AC551" t="str">
        <f t="shared" si="16"/>
        <v/>
      </c>
      <c r="AD551" t="str">
        <f t="shared" si="17"/>
        <v/>
      </c>
    </row>
    <row r="552" spans="1:30" ht="33" hidden="1" customHeight="1" x14ac:dyDescent="0.3">
      <c r="A552">
        <f>'[1]2026 Orders'!A553</f>
        <v>0</v>
      </c>
      <c r="B552" s="14">
        <f>'[1]2026 Orders'!B553</f>
        <v>0</v>
      </c>
      <c r="C552" s="14">
        <f>'[1]2026 Orders'!C553</f>
        <v>0</v>
      </c>
      <c r="D552" s="14">
        <f>'[1]2026 Orders'!D553</f>
        <v>0</v>
      </c>
      <c r="E552" s="17" t="str" cm="1">
        <f t="array" ref="E552">IF(C552=0,"",
HYPERLINK(
"#'2026 Orders'!C"&amp;
MATCH(1,
('2026 Orders'!C:C=C552)*
('2026 Orders'!G:G=G552)*
('2026 Orders'!N:N=N552),
0),
"Open "&amp;C552
))</f>
        <v/>
      </c>
      <c r="F552" s="14">
        <f>'[1]2026 Orders'!F553</f>
        <v>0</v>
      </c>
      <c r="G552" s="14">
        <f>'[1]2026 Orders'!G553</f>
        <v>0</v>
      </c>
      <c r="H552" s="14" t="str" cm="1">
        <f t="array" ref="H552">IFERROR(_xlfn.TEXTJOIN("-",,INDEX(_xlfn.TEXTSPLIT(TableTake[[#This Row],[SKU]],"-"),{1,2})),"")</f>
        <v/>
      </c>
      <c r="I552" s="15" t="str">
        <f>IFERROR(_xlfn.TEXTAFTER(TableTake[[#This Row],[SKU]],"-",-1),"")</f>
        <v/>
      </c>
      <c r="J552" s="14">
        <f>'[1]2026 Orders'!H553</f>
        <v>0</v>
      </c>
      <c r="K552">
        <f>'[1]2026 Orders'!I553</f>
        <v>0</v>
      </c>
      <c r="L552">
        <f>'[1]2026 Orders'!J553</f>
        <v>0</v>
      </c>
      <c r="N552" s="10">
        <f>'[1]2026 Orders'!L553</f>
        <v>0</v>
      </c>
      <c r="O552">
        <f>'[1]2026 Orders'!M553</f>
        <v>0</v>
      </c>
      <c r="P552">
        <f>'[1]2026 Orders'!N553</f>
        <v>0</v>
      </c>
      <c r="Q552">
        <f>'[1]2026 Orders'!O553</f>
        <v>0</v>
      </c>
      <c r="R552">
        <f>'[1]2026 Orders'!P553</f>
        <v>0</v>
      </c>
      <c r="S552">
        <f>'[1]2026 Orders'!Q553</f>
        <v>0</v>
      </c>
      <c r="T552">
        <f>'[1]2026 Orders'!R553</f>
        <v>0</v>
      </c>
      <c r="U552">
        <f>'[1]2026 Orders'!S553</f>
        <v>0</v>
      </c>
      <c r="V552">
        <f>'[1]2026 Orders'!T553</f>
        <v>0</v>
      </c>
      <c r="W552">
        <f>'[1]2026 Orders'!U553</f>
        <v>0</v>
      </c>
      <c r="X552">
        <f>'[1]2026 Orders'!V553</f>
        <v>0</v>
      </c>
      <c r="Y552">
        <f>'[1]2026 Orders'!W553</f>
        <v>0</v>
      </c>
      <c r="Z552">
        <f>'[1]2026 Orders'!X553</f>
        <v>0</v>
      </c>
      <c r="AC552" t="str">
        <f t="shared" si="16"/>
        <v/>
      </c>
      <c r="AD552" t="str">
        <f t="shared" si="17"/>
        <v/>
      </c>
    </row>
    <row r="553" spans="1:30" ht="33" hidden="1" customHeight="1" x14ac:dyDescent="0.3">
      <c r="A553">
        <f>'[1]2026 Orders'!A554</f>
        <v>0</v>
      </c>
      <c r="B553" s="14">
        <f>'[1]2026 Orders'!B554</f>
        <v>0</v>
      </c>
      <c r="C553" s="14">
        <f>'[1]2026 Orders'!C554</f>
        <v>0</v>
      </c>
      <c r="D553" s="14">
        <f>'[1]2026 Orders'!D554</f>
        <v>0</v>
      </c>
      <c r="E553" s="17" t="str" cm="1">
        <f t="array" ref="E553">IF(C553=0,"",
HYPERLINK(
"#'2026 Orders'!C"&amp;
MATCH(1,
('2026 Orders'!C:C=C553)*
('2026 Orders'!G:G=G553)*
('2026 Orders'!N:N=N553),
0),
"Open "&amp;C553
))</f>
        <v/>
      </c>
      <c r="F553" s="14">
        <f>'[1]2026 Orders'!F554</f>
        <v>0</v>
      </c>
      <c r="G553" s="14">
        <f>'[1]2026 Orders'!G554</f>
        <v>0</v>
      </c>
      <c r="H553" s="14" t="str" cm="1">
        <f t="array" ref="H553">IFERROR(_xlfn.TEXTJOIN("-",,INDEX(_xlfn.TEXTSPLIT(TableTake[[#This Row],[SKU]],"-"),{1,2})),"")</f>
        <v/>
      </c>
      <c r="I553" s="15" t="str">
        <f>IFERROR(_xlfn.TEXTAFTER(TableTake[[#This Row],[SKU]],"-",-1),"")</f>
        <v/>
      </c>
      <c r="J553" s="14">
        <f>'[1]2026 Orders'!H554</f>
        <v>0</v>
      </c>
      <c r="K553">
        <f>'[1]2026 Orders'!I554</f>
        <v>0</v>
      </c>
      <c r="L553">
        <f>'[1]2026 Orders'!J554</f>
        <v>0</v>
      </c>
      <c r="N553" s="10">
        <f>'[1]2026 Orders'!L554</f>
        <v>0</v>
      </c>
      <c r="O553">
        <f>'[1]2026 Orders'!M554</f>
        <v>0</v>
      </c>
      <c r="P553">
        <f>'[1]2026 Orders'!N554</f>
        <v>0</v>
      </c>
      <c r="Q553">
        <f>'[1]2026 Orders'!O554</f>
        <v>0</v>
      </c>
      <c r="R553">
        <f>'[1]2026 Orders'!P554</f>
        <v>0</v>
      </c>
      <c r="S553">
        <f>'[1]2026 Orders'!Q554</f>
        <v>0</v>
      </c>
      <c r="T553">
        <f>'[1]2026 Orders'!R554</f>
        <v>0</v>
      </c>
      <c r="U553">
        <f>'[1]2026 Orders'!S554</f>
        <v>0</v>
      </c>
      <c r="V553">
        <f>'[1]2026 Orders'!T554</f>
        <v>0</v>
      </c>
      <c r="W553">
        <f>'[1]2026 Orders'!U554</f>
        <v>0</v>
      </c>
      <c r="X553">
        <f>'[1]2026 Orders'!V554</f>
        <v>0</v>
      </c>
      <c r="Y553">
        <f>'[1]2026 Orders'!W554</f>
        <v>0</v>
      </c>
      <c r="Z553">
        <f>'[1]2026 Orders'!X554</f>
        <v>0</v>
      </c>
      <c r="AC553" t="str">
        <f t="shared" si="16"/>
        <v/>
      </c>
      <c r="AD553" t="str">
        <f t="shared" si="17"/>
        <v/>
      </c>
    </row>
    <row r="554" spans="1:30" ht="33" hidden="1" customHeight="1" x14ac:dyDescent="0.3">
      <c r="A554">
        <f>'[1]2026 Orders'!A555</f>
        <v>0</v>
      </c>
      <c r="B554" s="14">
        <f>'[1]2026 Orders'!B555</f>
        <v>0</v>
      </c>
      <c r="C554" s="14">
        <f>'[1]2026 Orders'!C555</f>
        <v>0</v>
      </c>
      <c r="D554" s="14">
        <f>'[1]2026 Orders'!D555</f>
        <v>0</v>
      </c>
      <c r="E554" s="17" t="str" cm="1">
        <f t="array" ref="E554">IF(C554=0,"",
HYPERLINK(
"#'2026 Orders'!C"&amp;
MATCH(1,
('2026 Orders'!C:C=C554)*
('2026 Orders'!G:G=G554)*
('2026 Orders'!N:N=N554),
0),
"Open "&amp;C554
))</f>
        <v/>
      </c>
      <c r="F554" s="14">
        <f>'[1]2026 Orders'!F555</f>
        <v>0</v>
      </c>
      <c r="G554" s="14">
        <f>'[1]2026 Orders'!G555</f>
        <v>0</v>
      </c>
      <c r="H554" s="14" t="str" cm="1">
        <f t="array" ref="H554">IFERROR(_xlfn.TEXTJOIN("-",,INDEX(_xlfn.TEXTSPLIT(TableTake[[#This Row],[SKU]],"-"),{1,2})),"")</f>
        <v/>
      </c>
      <c r="I554" s="15" t="str">
        <f>IFERROR(_xlfn.TEXTAFTER(TableTake[[#This Row],[SKU]],"-",-1),"")</f>
        <v/>
      </c>
      <c r="J554" s="14">
        <f>'[1]2026 Orders'!H555</f>
        <v>0</v>
      </c>
      <c r="K554">
        <f>'[1]2026 Orders'!I555</f>
        <v>0</v>
      </c>
      <c r="L554">
        <f>'[1]2026 Orders'!J555</f>
        <v>0</v>
      </c>
      <c r="N554" s="10">
        <f>'[1]2026 Orders'!L555</f>
        <v>0</v>
      </c>
      <c r="O554">
        <f>'[1]2026 Orders'!M555</f>
        <v>0</v>
      </c>
      <c r="P554">
        <f>'[1]2026 Orders'!N555</f>
        <v>0</v>
      </c>
      <c r="Q554">
        <f>'[1]2026 Orders'!O555</f>
        <v>0</v>
      </c>
      <c r="R554">
        <f>'[1]2026 Orders'!P555</f>
        <v>0</v>
      </c>
      <c r="S554">
        <f>'[1]2026 Orders'!Q555</f>
        <v>0</v>
      </c>
      <c r="T554">
        <f>'[1]2026 Orders'!R555</f>
        <v>0</v>
      </c>
      <c r="U554">
        <f>'[1]2026 Orders'!S555</f>
        <v>0</v>
      </c>
      <c r="V554">
        <f>'[1]2026 Orders'!T555</f>
        <v>0</v>
      </c>
      <c r="W554">
        <f>'[1]2026 Orders'!U555</f>
        <v>0</v>
      </c>
      <c r="X554">
        <f>'[1]2026 Orders'!V555</f>
        <v>0</v>
      </c>
      <c r="Y554">
        <f>'[1]2026 Orders'!W555</f>
        <v>0</v>
      </c>
      <c r="Z554">
        <f>'[1]2026 Orders'!X555</f>
        <v>0</v>
      </c>
      <c r="AC554" t="str">
        <f t="shared" si="16"/>
        <v/>
      </c>
      <c r="AD554" t="str">
        <f t="shared" si="17"/>
        <v/>
      </c>
    </row>
    <row r="555" spans="1:30" ht="33" hidden="1" customHeight="1" x14ac:dyDescent="0.3">
      <c r="A555">
        <f>'[1]2026 Orders'!A556</f>
        <v>0</v>
      </c>
      <c r="B555" s="14">
        <f>'[1]2026 Orders'!B556</f>
        <v>0</v>
      </c>
      <c r="C555" s="14">
        <f>'[1]2026 Orders'!C556</f>
        <v>0</v>
      </c>
      <c r="D555" s="14">
        <f>'[1]2026 Orders'!D556</f>
        <v>0</v>
      </c>
      <c r="E555" s="17" t="str" cm="1">
        <f t="array" ref="E555">IF(C555=0,"",
HYPERLINK(
"#'2026 Orders'!C"&amp;
MATCH(1,
('2026 Orders'!C:C=C555)*
('2026 Orders'!G:G=G555)*
('2026 Orders'!N:N=N555),
0),
"Open "&amp;C555
))</f>
        <v/>
      </c>
      <c r="F555" s="14">
        <f>'[1]2026 Orders'!F556</f>
        <v>0</v>
      </c>
      <c r="G555" s="14">
        <f>'[1]2026 Orders'!G556</f>
        <v>0</v>
      </c>
      <c r="H555" s="14" t="str" cm="1">
        <f t="array" ref="H555">IFERROR(_xlfn.TEXTJOIN("-",,INDEX(_xlfn.TEXTSPLIT(TableTake[[#This Row],[SKU]],"-"),{1,2})),"")</f>
        <v/>
      </c>
      <c r="I555" s="15" t="str">
        <f>IFERROR(_xlfn.TEXTAFTER(TableTake[[#This Row],[SKU]],"-",-1),"")</f>
        <v/>
      </c>
      <c r="J555" s="14">
        <f>'[1]2026 Orders'!H556</f>
        <v>0</v>
      </c>
      <c r="K555">
        <f>'[1]2026 Orders'!I556</f>
        <v>0</v>
      </c>
      <c r="L555">
        <f>'[1]2026 Orders'!J556</f>
        <v>0</v>
      </c>
      <c r="N555" s="10">
        <f>'[1]2026 Orders'!L556</f>
        <v>0</v>
      </c>
      <c r="O555">
        <f>'[1]2026 Orders'!M556</f>
        <v>0</v>
      </c>
      <c r="P555">
        <f>'[1]2026 Orders'!N556</f>
        <v>0</v>
      </c>
      <c r="Q555">
        <f>'[1]2026 Orders'!O556</f>
        <v>0</v>
      </c>
      <c r="R555">
        <f>'[1]2026 Orders'!P556</f>
        <v>0</v>
      </c>
      <c r="S555">
        <f>'[1]2026 Orders'!Q556</f>
        <v>0</v>
      </c>
      <c r="T555">
        <f>'[1]2026 Orders'!R556</f>
        <v>0</v>
      </c>
      <c r="U555">
        <f>'[1]2026 Orders'!S556</f>
        <v>0</v>
      </c>
      <c r="V555">
        <f>'[1]2026 Orders'!T556</f>
        <v>0</v>
      </c>
      <c r="W555">
        <f>'[1]2026 Orders'!U556</f>
        <v>0</v>
      </c>
      <c r="X555">
        <f>'[1]2026 Orders'!V556</f>
        <v>0</v>
      </c>
      <c r="Y555">
        <f>'[1]2026 Orders'!W556</f>
        <v>0</v>
      </c>
      <c r="Z555">
        <f>'[1]2026 Orders'!X556</f>
        <v>0</v>
      </c>
      <c r="AC555" t="str">
        <f t="shared" si="16"/>
        <v/>
      </c>
      <c r="AD555" t="str">
        <f t="shared" si="17"/>
        <v/>
      </c>
    </row>
    <row r="556" spans="1:30" ht="33" hidden="1" customHeight="1" x14ac:dyDescent="0.3">
      <c r="A556">
        <f>'[1]2026 Orders'!A557</f>
        <v>0</v>
      </c>
      <c r="B556" s="14">
        <f>'[1]2026 Orders'!B557</f>
        <v>0</v>
      </c>
      <c r="C556" s="14">
        <f>'[1]2026 Orders'!C557</f>
        <v>0</v>
      </c>
      <c r="D556" s="14">
        <f>'[1]2026 Orders'!D557</f>
        <v>0</v>
      </c>
      <c r="E556" s="17" t="str" cm="1">
        <f t="array" ref="E556">IF(C556=0,"",
HYPERLINK(
"#'2026 Orders'!C"&amp;
MATCH(1,
('2026 Orders'!C:C=C556)*
('2026 Orders'!G:G=G556)*
('2026 Orders'!N:N=N556),
0),
"Open "&amp;C556
))</f>
        <v/>
      </c>
      <c r="F556" s="14">
        <f>'[1]2026 Orders'!F557</f>
        <v>0</v>
      </c>
      <c r="G556" s="14">
        <f>'[1]2026 Orders'!G557</f>
        <v>0</v>
      </c>
      <c r="H556" s="14" t="str" cm="1">
        <f t="array" ref="H556">IFERROR(_xlfn.TEXTJOIN("-",,INDEX(_xlfn.TEXTSPLIT(TableTake[[#This Row],[SKU]],"-"),{1,2})),"")</f>
        <v/>
      </c>
      <c r="I556" s="15" t="str">
        <f>IFERROR(_xlfn.TEXTAFTER(TableTake[[#This Row],[SKU]],"-",-1),"")</f>
        <v/>
      </c>
      <c r="J556" s="14">
        <f>'[1]2026 Orders'!H557</f>
        <v>0</v>
      </c>
      <c r="K556">
        <f>'[1]2026 Orders'!I557</f>
        <v>0</v>
      </c>
      <c r="L556">
        <f>'[1]2026 Orders'!J557</f>
        <v>0</v>
      </c>
      <c r="N556" s="10">
        <f>'[1]2026 Orders'!L557</f>
        <v>0</v>
      </c>
      <c r="O556">
        <f>'[1]2026 Orders'!M557</f>
        <v>0</v>
      </c>
      <c r="P556">
        <f>'[1]2026 Orders'!N557</f>
        <v>0</v>
      </c>
      <c r="Q556">
        <f>'[1]2026 Orders'!O557</f>
        <v>0</v>
      </c>
      <c r="R556">
        <f>'[1]2026 Orders'!P557</f>
        <v>0</v>
      </c>
      <c r="S556">
        <f>'[1]2026 Orders'!Q557</f>
        <v>0</v>
      </c>
      <c r="T556">
        <f>'[1]2026 Orders'!R557</f>
        <v>0</v>
      </c>
      <c r="U556">
        <f>'[1]2026 Orders'!S557</f>
        <v>0</v>
      </c>
      <c r="V556">
        <f>'[1]2026 Orders'!T557</f>
        <v>0</v>
      </c>
      <c r="W556">
        <f>'[1]2026 Orders'!U557</f>
        <v>0</v>
      </c>
      <c r="X556">
        <f>'[1]2026 Orders'!V557</f>
        <v>0</v>
      </c>
      <c r="Y556">
        <f>'[1]2026 Orders'!W557</f>
        <v>0</v>
      </c>
      <c r="Z556">
        <f>'[1]2026 Orders'!X557</f>
        <v>0</v>
      </c>
      <c r="AC556" t="str">
        <f t="shared" si="16"/>
        <v/>
      </c>
      <c r="AD556" t="str">
        <f t="shared" si="17"/>
        <v/>
      </c>
    </row>
    <row r="557" spans="1:30" ht="33" hidden="1" customHeight="1" x14ac:dyDescent="0.3">
      <c r="A557">
        <f>'[1]2026 Orders'!A558</f>
        <v>0</v>
      </c>
      <c r="B557" s="14">
        <f>'[1]2026 Orders'!B558</f>
        <v>0</v>
      </c>
      <c r="C557" s="14">
        <f>'[1]2026 Orders'!C558</f>
        <v>0</v>
      </c>
      <c r="D557" s="14">
        <f>'[1]2026 Orders'!D558</f>
        <v>0</v>
      </c>
      <c r="E557" s="17" t="str" cm="1">
        <f t="array" ref="E557">IF(C557=0,"",
HYPERLINK(
"#'2026 Orders'!C"&amp;
MATCH(1,
('2026 Orders'!C:C=C557)*
('2026 Orders'!G:G=G557)*
('2026 Orders'!N:N=N557),
0),
"Open "&amp;C557
))</f>
        <v/>
      </c>
      <c r="F557" s="14">
        <f>'[1]2026 Orders'!F558</f>
        <v>0</v>
      </c>
      <c r="G557" s="14">
        <f>'[1]2026 Orders'!G558</f>
        <v>0</v>
      </c>
      <c r="H557" s="14" t="str" cm="1">
        <f t="array" ref="H557">IFERROR(_xlfn.TEXTJOIN("-",,INDEX(_xlfn.TEXTSPLIT(TableTake[[#This Row],[SKU]],"-"),{1,2})),"")</f>
        <v/>
      </c>
      <c r="I557" s="15" t="str">
        <f>IFERROR(_xlfn.TEXTAFTER(TableTake[[#This Row],[SKU]],"-",-1),"")</f>
        <v/>
      </c>
      <c r="J557" s="14">
        <f>'[1]2026 Orders'!H558</f>
        <v>0</v>
      </c>
      <c r="K557">
        <f>'[1]2026 Orders'!I558</f>
        <v>0</v>
      </c>
      <c r="L557">
        <f>'[1]2026 Orders'!J558</f>
        <v>0</v>
      </c>
      <c r="N557" s="10">
        <f>'[1]2026 Orders'!L558</f>
        <v>0</v>
      </c>
      <c r="O557">
        <f>'[1]2026 Orders'!M558</f>
        <v>0</v>
      </c>
      <c r="P557">
        <f>'[1]2026 Orders'!N558</f>
        <v>0</v>
      </c>
      <c r="Q557">
        <f>'[1]2026 Orders'!O558</f>
        <v>0</v>
      </c>
      <c r="R557">
        <f>'[1]2026 Orders'!P558</f>
        <v>0</v>
      </c>
      <c r="S557">
        <f>'[1]2026 Orders'!Q558</f>
        <v>0</v>
      </c>
      <c r="T557">
        <f>'[1]2026 Orders'!R558</f>
        <v>0</v>
      </c>
      <c r="U557">
        <f>'[1]2026 Orders'!S558</f>
        <v>0</v>
      </c>
      <c r="V557">
        <f>'[1]2026 Orders'!T558</f>
        <v>0</v>
      </c>
      <c r="W557">
        <f>'[1]2026 Orders'!U558</f>
        <v>0</v>
      </c>
      <c r="X557">
        <f>'[1]2026 Orders'!V558</f>
        <v>0</v>
      </c>
      <c r="Y557">
        <f>'[1]2026 Orders'!W558</f>
        <v>0</v>
      </c>
      <c r="Z557">
        <f>'[1]2026 Orders'!X558</f>
        <v>0</v>
      </c>
      <c r="AC557" t="str">
        <f t="shared" si="16"/>
        <v/>
      </c>
      <c r="AD557" t="str">
        <f t="shared" si="17"/>
        <v/>
      </c>
    </row>
    <row r="558" spans="1:30" ht="33" hidden="1" customHeight="1" x14ac:dyDescent="0.3">
      <c r="A558">
        <f>'[1]2026 Orders'!A559</f>
        <v>0</v>
      </c>
      <c r="B558" s="14">
        <f>'[1]2026 Orders'!B559</f>
        <v>0</v>
      </c>
      <c r="C558" s="14">
        <f>'[1]2026 Orders'!C559</f>
        <v>0</v>
      </c>
      <c r="D558" s="14">
        <f>'[1]2026 Orders'!D559</f>
        <v>0</v>
      </c>
      <c r="E558" s="17" t="str" cm="1">
        <f t="array" ref="E558">IF(C558=0,"",
HYPERLINK(
"#'2026 Orders'!C"&amp;
MATCH(1,
('2026 Orders'!C:C=C558)*
('2026 Orders'!G:G=G558)*
('2026 Orders'!N:N=N558),
0),
"Open "&amp;C558
))</f>
        <v/>
      </c>
      <c r="F558" s="14">
        <f>'[1]2026 Orders'!F559</f>
        <v>0</v>
      </c>
      <c r="G558" s="14">
        <f>'[1]2026 Orders'!G559</f>
        <v>0</v>
      </c>
      <c r="H558" s="14" t="str" cm="1">
        <f t="array" ref="H558">IFERROR(_xlfn.TEXTJOIN("-",,INDEX(_xlfn.TEXTSPLIT(TableTake[[#This Row],[SKU]],"-"),{1,2})),"")</f>
        <v/>
      </c>
      <c r="I558" s="15" t="str">
        <f>IFERROR(_xlfn.TEXTAFTER(TableTake[[#This Row],[SKU]],"-",-1),"")</f>
        <v/>
      </c>
      <c r="J558" s="14">
        <f>'[1]2026 Orders'!H559</f>
        <v>0</v>
      </c>
      <c r="K558">
        <f>'[1]2026 Orders'!I559</f>
        <v>0</v>
      </c>
      <c r="L558">
        <f>'[1]2026 Orders'!J559</f>
        <v>0</v>
      </c>
      <c r="N558" s="10">
        <f>'[1]2026 Orders'!L559</f>
        <v>0</v>
      </c>
      <c r="O558">
        <f>'[1]2026 Orders'!M559</f>
        <v>0</v>
      </c>
      <c r="P558">
        <f>'[1]2026 Orders'!N559</f>
        <v>0</v>
      </c>
      <c r="Q558">
        <f>'[1]2026 Orders'!O559</f>
        <v>0</v>
      </c>
      <c r="R558">
        <f>'[1]2026 Orders'!P559</f>
        <v>0</v>
      </c>
      <c r="S558">
        <f>'[1]2026 Orders'!Q559</f>
        <v>0</v>
      </c>
      <c r="T558">
        <f>'[1]2026 Orders'!R559</f>
        <v>0</v>
      </c>
      <c r="U558">
        <f>'[1]2026 Orders'!S559</f>
        <v>0</v>
      </c>
      <c r="V558">
        <f>'[1]2026 Orders'!T559</f>
        <v>0</v>
      </c>
      <c r="W558">
        <f>'[1]2026 Orders'!U559</f>
        <v>0</v>
      </c>
      <c r="X558">
        <f>'[1]2026 Orders'!V559</f>
        <v>0</v>
      </c>
      <c r="Y558">
        <f>'[1]2026 Orders'!W559</f>
        <v>0</v>
      </c>
      <c r="Z558">
        <f>'[1]2026 Orders'!X559</f>
        <v>0</v>
      </c>
      <c r="AC558" t="str">
        <f t="shared" si="16"/>
        <v/>
      </c>
      <c r="AD558" t="str">
        <f t="shared" si="17"/>
        <v/>
      </c>
    </row>
    <row r="559" spans="1:30" ht="33" hidden="1" customHeight="1" x14ac:dyDescent="0.3">
      <c r="A559">
        <f>'[1]2026 Orders'!A560</f>
        <v>0</v>
      </c>
      <c r="B559" s="14">
        <f>'[1]2026 Orders'!B560</f>
        <v>0</v>
      </c>
      <c r="C559" s="14">
        <f>'[1]2026 Orders'!C560</f>
        <v>0</v>
      </c>
      <c r="D559" s="14">
        <f>'[1]2026 Orders'!D560</f>
        <v>0</v>
      </c>
      <c r="E559" s="17" t="str" cm="1">
        <f t="array" ref="E559">IF(C559=0,"",
HYPERLINK(
"#'2026 Orders'!C"&amp;
MATCH(1,
('2026 Orders'!C:C=C559)*
('2026 Orders'!G:G=G559)*
('2026 Orders'!N:N=N559),
0),
"Open "&amp;C559
))</f>
        <v/>
      </c>
      <c r="F559" s="14">
        <f>'[1]2026 Orders'!F560</f>
        <v>0</v>
      </c>
      <c r="G559" s="14">
        <f>'[1]2026 Orders'!G560</f>
        <v>0</v>
      </c>
      <c r="H559" s="14" t="str" cm="1">
        <f t="array" ref="H559">IFERROR(_xlfn.TEXTJOIN("-",,INDEX(_xlfn.TEXTSPLIT(TableTake[[#This Row],[SKU]],"-"),{1,2})),"")</f>
        <v/>
      </c>
      <c r="I559" s="15" t="str">
        <f>IFERROR(_xlfn.TEXTAFTER(TableTake[[#This Row],[SKU]],"-",-1),"")</f>
        <v/>
      </c>
      <c r="J559" s="14">
        <f>'[1]2026 Orders'!H560</f>
        <v>0</v>
      </c>
      <c r="K559">
        <f>'[1]2026 Orders'!I560</f>
        <v>0</v>
      </c>
      <c r="L559">
        <f>'[1]2026 Orders'!J560</f>
        <v>0</v>
      </c>
      <c r="N559" s="10">
        <f>'[1]2026 Orders'!L560</f>
        <v>0</v>
      </c>
      <c r="O559">
        <f>'[1]2026 Orders'!M560</f>
        <v>0</v>
      </c>
      <c r="P559">
        <f>'[1]2026 Orders'!N560</f>
        <v>0</v>
      </c>
      <c r="Q559">
        <f>'[1]2026 Orders'!O560</f>
        <v>0</v>
      </c>
      <c r="R559">
        <f>'[1]2026 Orders'!P560</f>
        <v>0</v>
      </c>
      <c r="S559">
        <f>'[1]2026 Orders'!Q560</f>
        <v>0</v>
      </c>
      <c r="T559">
        <f>'[1]2026 Orders'!R560</f>
        <v>0</v>
      </c>
      <c r="U559">
        <f>'[1]2026 Orders'!S560</f>
        <v>0</v>
      </c>
      <c r="V559">
        <f>'[1]2026 Orders'!T560</f>
        <v>0</v>
      </c>
      <c r="W559">
        <f>'[1]2026 Orders'!U560</f>
        <v>0</v>
      </c>
      <c r="X559">
        <f>'[1]2026 Orders'!V560</f>
        <v>0</v>
      </c>
      <c r="Y559">
        <f>'[1]2026 Orders'!W560</f>
        <v>0</v>
      </c>
      <c r="Z559">
        <f>'[1]2026 Orders'!X560</f>
        <v>0</v>
      </c>
      <c r="AC559" t="str">
        <f t="shared" si="16"/>
        <v/>
      </c>
      <c r="AD559" t="str">
        <f t="shared" si="17"/>
        <v/>
      </c>
    </row>
    <row r="560" spans="1:30" ht="33" hidden="1" customHeight="1" x14ac:dyDescent="0.3">
      <c r="A560">
        <f>'[1]2026 Orders'!A561</f>
        <v>0</v>
      </c>
      <c r="B560" s="14">
        <f>'[1]2026 Orders'!B561</f>
        <v>0</v>
      </c>
      <c r="C560" s="14">
        <f>'[1]2026 Orders'!C561</f>
        <v>0</v>
      </c>
      <c r="D560" s="14">
        <f>'[1]2026 Orders'!D561</f>
        <v>0</v>
      </c>
      <c r="E560" s="17" t="str" cm="1">
        <f t="array" ref="E560">IF(C560=0,"",
HYPERLINK(
"#'2026 Orders'!C"&amp;
MATCH(1,
('2026 Orders'!C:C=C560)*
('2026 Orders'!G:G=G560)*
('2026 Orders'!N:N=N560),
0),
"Open "&amp;C560
))</f>
        <v/>
      </c>
      <c r="F560" s="14">
        <f>'[1]2026 Orders'!F561</f>
        <v>0</v>
      </c>
      <c r="G560" s="14">
        <f>'[1]2026 Orders'!G561</f>
        <v>0</v>
      </c>
      <c r="H560" s="14" t="str" cm="1">
        <f t="array" ref="H560">IFERROR(_xlfn.TEXTJOIN("-",,INDEX(_xlfn.TEXTSPLIT(TableTake[[#This Row],[SKU]],"-"),{1,2})),"")</f>
        <v/>
      </c>
      <c r="I560" s="15" t="str">
        <f>IFERROR(_xlfn.TEXTAFTER(TableTake[[#This Row],[SKU]],"-",-1),"")</f>
        <v/>
      </c>
      <c r="J560" s="14">
        <f>'[1]2026 Orders'!H561</f>
        <v>0</v>
      </c>
      <c r="K560">
        <f>'[1]2026 Orders'!I561</f>
        <v>0</v>
      </c>
      <c r="L560">
        <f>'[1]2026 Orders'!J561</f>
        <v>0</v>
      </c>
      <c r="N560" s="10">
        <f>'[1]2026 Orders'!L561</f>
        <v>0</v>
      </c>
      <c r="O560">
        <f>'[1]2026 Orders'!M561</f>
        <v>0</v>
      </c>
      <c r="P560">
        <f>'[1]2026 Orders'!N561</f>
        <v>0</v>
      </c>
      <c r="Q560">
        <f>'[1]2026 Orders'!O561</f>
        <v>0</v>
      </c>
      <c r="R560">
        <f>'[1]2026 Orders'!P561</f>
        <v>0</v>
      </c>
      <c r="S560">
        <f>'[1]2026 Orders'!Q561</f>
        <v>0</v>
      </c>
      <c r="T560">
        <f>'[1]2026 Orders'!R561</f>
        <v>0</v>
      </c>
      <c r="U560">
        <f>'[1]2026 Orders'!S561</f>
        <v>0</v>
      </c>
      <c r="V560">
        <f>'[1]2026 Orders'!T561</f>
        <v>0</v>
      </c>
      <c r="W560">
        <f>'[1]2026 Orders'!U561</f>
        <v>0</v>
      </c>
      <c r="X560">
        <f>'[1]2026 Orders'!V561</f>
        <v>0</v>
      </c>
      <c r="Y560">
        <f>'[1]2026 Orders'!W561</f>
        <v>0</v>
      </c>
      <c r="Z560">
        <f>'[1]2026 Orders'!X561</f>
        <v>0</v>
      </c>
      <c r="AC560" t="str">
        <f t="shared" si="16"/>
        <v/>
      </c>
      <c r="AD560" t="str">
        <f t="shared" si="17"/>
        <v/>
      </c>
    </row>
    <row r="561" spans="1:30" ht="33" hidden="1" customHeight="1" x14ac:dyDescent="0.3">
      <c r="A561">
        <f>'[1]2026 Orders'!A562</f>
        <v>0</v>
      </c>
      <c r="B561" s="14">
        <f>'[1]2026 Orders'!B562</f>
        <v>0</v>
      </c>
      <c r="C561" s="14">
        <f>'[1]2026 Orders'!C562</f>
        <v>0</v>
      </c>
      <c r="D561" s="14">
        <f>'[1]2026 Orders'!D562</f>
        <v>0</v>
      </c>
      <c r="E561" s="17" t="str" cm="1">
        <f t="array" ref="E561">IF(C561=0,"",
HYPERLINK(
"#'2026 Orders'!C"&amp;
MATCH(1,
('2026 Orders'!C:C=C561)*
('2026 Orders'!G:G=G561)*
('2026 Orders'!N:N=N561),
0),
"Open "&amp;C561
))</f>
        <v/>
      </c>
      <c r="F561" s="14">
        <f>'[1]2026 Orders'!F562</f>
        <v>0</v>
      </c>
      <c r="G561" s="14">
        <f>'[1]2026 Orders'!G562</f>
        <v>0</v>
      </c>
      <c r="H561" s="14" t="str" cm="1">
        <f t="array" ref="H561">IFERROR(_xlfn.TEXTJOIN("-",,INDEX(_xlfn.TEXTSPLIT(TableTake[[#This Row],[SKU]],"-"),{1,2})),"")</f>
        <v/>
      </c>
      <c r="I561" s="15" t="str">
        <f>IFERROR(_xlfn.TEXTAFTER(TableTake[[#This Row],[SKU]],"-",-1),"")</f>
        <v/>
      </c>
      <c r="J561" s="14">
        <f>'[1]2026 Orders'!H562</f>
        <v>0</v>
      </c>
      <c r="K561">
        <f>'[1]2026 Orders'!I562</f>
        <v>0</v>
      </c>
      <c r="L561">
        <f>'[1]2026 Orders'!J562</f>
        <v>0</v>
      </c>
      <c r="N561" s="10">
        <f>'[1]2026 Orders'!L562</f>
        <v>0</v>
      </c>
      <c r="O561">
        <f>'[1]2026 Orders'!M562</f>
        <v>0</v>
      </c>
      <c r="P561">
        <f>'[1]2026 Orders'!N562</f>
        <v>0</v>
      </c>
      <c r="Q561">
        <f>'[1]2026 Orders'!O562</f>
        <v>0</v>
      </c>
      <c r="R561">
        <f>'[1]2026 Orders'!P562</f>
        <v>0</v>
      </c>
      <c r="S561">
        <f>'[1]2026 Orders'!Q562</f>
        <v>0</v>
      </c>
      <c r="T561">
        <f>'[1]2026 Orders'!R562</f>
        <v>0</v>
      </c>
      <c r="U561">
        <f>'[1]2026 Orders'!S562</f>
        <v>0</v>
      </c>
      <c r="V561">
        <f>'[1]2026 Orders'!T562</f>
        <v>0</v>
      </c>
      <c r="W561">
        <f>'[1]2026 Orders'!U562</f>
        <v>0</v>
      </c>
      <c r="X561">
        <f>'[1]2026 Orders'!V562</f>
        <v>0</v>
      </c>
      <c r="Y561">
        <f>'[1]2026 Orders'!W562</f>
        <v>0</v>
      </c>
      <c r="Z561">
        <f>'[1]2026 Orders'!X562</f>
        <v>0</v>
      </c>
      <c r="AC561" t="str">
        <f t="shared" si="16"/>
        <v/>
      </c>
      <c r="AD561" t="str">
        <f t="shared" si="17"/>
        <v/>
      </c>
    </row>
    <row r="562" spans="1:30" ht="33" hidden="1" customHeight="1" x14ac:dyDescent="0.3">
      <c r="A562">
        <f>'[1]2026 Orders'!A563</f>
        <v>0</v>
      </c>
      <c r="B562" s="14">
        <f>'[1]2026 Orders'!B563</f>
        <v>0</v>
      </c>
      <c r="C562" s="14">
        <f>'[1]2026 Orders'!C563</f>
        <v>0</v>
      </c>
      <c r="D562" s="14">
        <f>'[1]2026 Orders'!D563</f>
        <v>0</v>
      </c>
      <c r="E562" s="17" t="str" cm="1">
        <f t="array" ref="E562">IF(C562=0,"",
HYPERLINK(
"#'2026 Orders'!C"&amp;
MATCH(1,
('2026 Orders'!C:C=C562)*
('2026 Orders'!G:G=G562)*
('2026 Orders'!N:N=N562),
0),
"Open "&amp;C562
))</f>
        <v/>
      </c>
      <c r="F562" s="14">
        <f>'[1]2026 Orders'!F563</f>
        <v>0</v>
      </c>
      <c r="G562" s="14">
        <f>'[1]2026 Orders'!G563</f>
        <v>0</v>
      </c>
      <c r="H562" s="14" t="str" cm="1">
        <f t="array" ref="H562">IFERROR(_xlfn.TEXTJOIN("-",,INDEX(_xlfn.TEXTSPLIT(TableTake[[#This Row],[SKU]],"-"),{1,2})),"")</f>
        <v/>
      </c>
      <c r="I562" s="15" t="str">
        <f>IFERROR(_xlfn.TEXTAFTER(TableTake[[#This Row],[SKU]],"-",-1),"")</f>
        <v/>
      </c>
      <c r="J562" s="14">
        <f>'[1]2026 Orders'!H563</f>
        <v>0</v>
      </c>
      <c r="K562">
        <f>'[1]2026 Orders'!I563</f>
        <v>0</v>
      </c>
      <c r="L562">
        <f>'[1]2026 Orders'!J563</f>
        <v>0</v>
      </c>
      <c r="N562" s="10">
        <f>'[1]2026 Orders'!L563</f>
        <v>0</v>
      </c>
      <c r="O562">
        <f>'[1]2026 Orders'!M563</f>
        <v>0</v>
      </c>
      <c r="P562">
        <f>'[1]2026 Orders'!N563</f>
        <v>0</v>
      </c>
      <c r="Q562">
        <f>'[1]2026 Orders'!O563</f>
        <v>0</v>
      </c>
      <c r="R562">
        <f>'[1]2026 Orders'!P563</f>
        <v>0</v>
      </c>
      <c r="S562">
        <f>'[1]2026 Orders'!Q563</f>
        <v>0</v>
      </c>
      <c r="T562">
        <f>'[1]2026 Orders'!R563</f>
        <v>0</v>
      </c>
      <c r="U562">
        <f>'[1]2026 Orders'!S563</f>
        <v>0</v>
      </c>
      <c r="V562">
        <f>'[1]2026 Orders'!T563</f>
        <v>0</v>
      </c>
      <c r="W562">
        <f>'[1]2026 Orders'!U563</f>
        <v>0</v>
      </c>
      <c r="X562">
        <f>'[1]2026 Orders'!V563</f>
        <v>0</v>
      </c>
      <c r="Y562">
        <f>'[1]2026 Orders'!W563</f>
        <v>0</v>
      </c>
      <c r="Z562">
        <f>'[1]2026 Orders'!X563</f>
        <v>0</v>
      </c>
      <c r="AC562" t="str">
        <f t="shared" si="16"/>
        <v/>
      </c>
      <c r="AD562" t="str">
        <f t="shared" si="17"/>
        <v/>
      </c>
    </row>
    <row r="563" spans="1:30" ht="33" hidden="1" customHeight="1" x14ac:dyDescent="0.3">
      <c r="A563">
        <f>'[1]2026 Orders'!A564</f>
        <v>0</v>
      </c>
      <c r="B563" s="14">
        <f>'[1]2026 Orders'!B564</f>
        <v>0</v>
      </c>
      <c r="C563" s="14">
        <f>'[1]2026 Orders'!C564</f>
        <v>0</v>
      </c>
      <c r="D563" s="14">
        <f>'[1]2026 Orders'!D564</f>
        <v>0</v>
      </c>
      <c r="E563" s="17" t="str" cm="1">
        <f t="array" ref="E563">IF(C563=0,"",
HYPERLINK(
"#'2026 Orders'!C"&amp;
MATCH(1,
('2026 Orders'!C:C=C563)*
('2026 Orders'!G:G=G563)*
('2026 Orders'!N:N=N563),
0),
"Open "&amp;C563
))</f>
        <v/>
      </c>
      <c r="F563" s="14">
        <f>'[1]2026 Orders'!F564</f>
        <v>0</v>
      </c>
      <c r="G563" s="14">
        <f>'[1]2026 Orders'!G564</f>
        <v>0</v>
      </c>
      <c r="H563" s="14" t="str" cm="1">
        <f t="array" ref="H563">IFERROR(_xlfn.TEXTJOIN("-",,INDEX(_xlfn.TEXTSPLIT(TableTake[[#This Row],[SKU]],"-"),{1,2})),"")</f>
        <v/>
      </c>
      <c r="I563" s="15" t="str">
        <f>IFERROR(_xlfn.TEXTAFTER(TableTake[[#This Row],[SKU]],"-",-1),"")</f>
        <v/>
      </c>
      <c r="J563" s="14">
        <f>'[1]2026 Orders'!H564</f>
        <v>0</v>
      </c>
      <c r="K563">
        <f>'[1]2026 Orders'!I564</f>
        <v>0</v>
      </c>
      <c r="L563">
        <f>'[1]2026 Orders'!J564</f>
        <v>0</v>
      </c>
      <c r="N563" s="10">
        <f>'[1]2026 Orders'!L564</f>
        <v>0</v>
      </c>
      <c r="O563">
        <f>'[1]2026 Orders'!M564</f>
        <v>0</v>
      </c>
      <c r="P563">
        <f>'[1]2026 Orders'!N564</f>
        <v>0</v>
      </c>
      <c r="Q563">
        <f>'[1]2026 Orders'!O564</f>
        <v>0</v>
      </c>
      <c r="R563">
        <f>'[1]2026 Orders'!P564</f>
        <v>0</v>
      </c>
      <c r="S563">
        <f>'[1]2026 Orders'!Q564</f>
        <v>0</v>
      </c>
      <c r="T563">
        <f>'[1]2026 Orders'!R564</f>
        <v>0</v>
      </c>
      <c r="U563">
        <f>'[1]2026 Orders'!S564</f>
        <v>0</v>
      </c>
      <c r="V563">
        <f>'[1]2026 Orders'!T564</f>
        <v>0</v>
      </c>
      <c r="W563">
        <f>'[1]2026 Orders'!U564</f>
        <v>0</v>
      </c>
      <c r="X563">
        <f>'[1]2026 Orders'!V564</f>
        <v>0</v>
      </c>
      <c r="Y563">
        <f>'[1]2026 Orders'!W564</f>
        <v>0</v>
      </c>
      <c r="Z563">
        <f>'[1]2026 Orders'!X564</f>
        <v>0</v>
      </c>
      <c r="AC563" t="str">
        <f t="shared" si="16"/>
        <v/>
      </c>
      <c r="AD563" t="str">
        <f t="shared" si="17"/>
        <v/>
      </c>
    </row>
    <row r="564" spans="1:30" ht="33" hidden="1" customHeight="1" x14ac:dyDescent="0.3">
      <c r="A564">
        <f>'[1]2026 Orders'!A565</f>
        <v>0</v>
      </c>
      <c r="B564" s="14">
        <f>'[1]2026 Orders'!B565</f>
        <v>0</v>
      </c>
      <c r="C564" s="14">
        <f>'[1]2026 Orders'!C565</f>
        <v>0</v>
      </c>
      <c r="D564" s="14">
        <f>'[1]2026 Orders'!D565</f>
        <v>0</v>
      </c>
      <c r="E564" s="17" t="str" cm="1">
        <f t="array" ref="E564">IF(C564=0,"",
HYPERLINK(
"#'2026 Orders'!C"&amp;
MATCH(1,
('2026 Orders'!C:C=C564)*
('2026 Orders'!G:G=G564)*
('2026 Orders'!N:N=N564),
0),
"Open "&amp;C564
))</f>
        <v/>
      </c>
      <c r="F564" s="14">
        <f>'[1]2026 Orders'!F565</f>
        <v>0</v>
      </c>
      <c r="G564" s="14">
        <f>'[1]2026 Orders'!G565</f>
        <v>0</v>
      </c>
      <c r="H564" s="14" t="str" cm="1">
        <f t="array" ref="H564">IFERROR(_xlfn.TEXTJOIN("-",,INDEX(_xlfn.TEXTSPLIT(TableTake[[#This Row],[SKU]],"-"),{1,2})),"")</f>
        <v/>
      </c>
      <c r="I564" s="15" t="str">
        <f>IFERROR(_xlfn.TEXTAFTER(TableTake[[#This Row],[SKU]],"-",-1),"")</f>
        <v/>
      </c>
      <c r="J564" s="14">
        <f>'[1]2026 Orders'!H565</f>
        <v>0</v>
      </c>
      <c r="K564">
        <f>'[1]2026 Orders'!I565</f>
        <v>0</v>
      </c>
      <c r="L564">
        <f>'[1]2026 Orders'!J565</f>
        <v>0</v>
      </c>
      <c r="N564" s="10">
        <f>'[1]2026 Orders'!L565</f>
        <v>0</v>
      </c>
      <c r="O564">
        <f>'[1]2026 Orders'!M565</f>
        <v>0</v>
      </c>
      <c r="P564">
        <f>'[1]2026 Orders'!N565</f>
        <v>0</v>
      </c>
      <c r="Q564">
        <f>'[1]2026 Orders'!O565</f>
        <v>0</v>
      </c>
      <c r="R564">
        <f>'[1]2026 Orders'!P565</f>
        <v>0</v>
      </c>
      <c r="S564">
        <f>'[1]2026 Orders'!Q565</f>
        <v>0</v>
      </c>
      <c r="T564">
        <f>'[1]2026 Orders'!R565</f>
        <v>0</v>
      </c>
      <c r="U564">
        <f>'[1]2026 Orders'!S565</f>
        <v>0</v>
      </c>
      <c r="V564">
        <f>'[1]2026 Orders'!T565</f>
        <v>0</v>
      </c>
      <c r="W564">
        <f>'[1]2026 Orders'!U565</f>
        <v>0</v>
      </c>
      <c r="X564">
        <f>'[1]2026 Orders'!V565</f>
        <v>0</v>
      </c>
      <c r="Y564">
        <f>'[1]2026 Orders'!W565</f>
        <v>0</v>
      </c>
      <c r="Z564">
        <f>'[1]2026 Orders'!X565</f>
        <v>0</v>
      </c>
      <c r="AC564" t="str">
        <f t="shared" si="16"/>
        <v/>
      </c>
      <c r="AD564" t="str">
        <f t="shared" si="17"/>
        <v/>
      </c>
    </row>
    <row r="565" spans="1:30" ht="33" hidden="1" customHeight="1" x14ac:dyDescent="0.3">
      <c r="A565">
        <f>'[1]2026 Orders'!A566</f>
        <v>0</v>
      </c>
      <c r="B565" s="14">
        <f>'[1]2026 Orders'!B566</f>
        <v>0</v>
      </c>
      <c r="C565" s="14">
        <f>'[1]2026 Orders'!C566</f>
        <v>0</v>
      </c>
      <c r="D565" s="14">
        <f>'[1]2026 Orders'!D566</f>
        <v>0</v>
      </c>
      <c r="E565" s="17" t="str" cm="1">
        <f t="array" ref="E565">IF(C565=0,"",
HYPERLINK(
"#'2026 Orders'!C"&amp;
MATCH(1,
('2026 Orders'!C:C=C565)*
('2026 Orders'!G:G=G565)*
('2026 Orders'!N:N=N565),
0),
"Open "&amp;C565
))</f>
        <v/>
      </c>
      <c r="F565" s="14">
        <f>'[1]2026 Orders'!F566</f>
        <v>0</v>
      </c>
      <c r="G565" s="14">
        <f>'[1]2026 Orders'!G566</f>
        <v>0</v>
      </c>
      <c r="H565" s="14" t="str" cm="1">
        <f t="array" ref="H565">IFERROR(_xlfn.TEXTJOIN("-",,INDEX(_xlfn.TEXTSPLIT(TableTake[[#This Row],[SKU]],"-"),{1,2})),"")</f>
        <v/>
      </c>
      <c r="I565" s="15" t="str">
        <f>IFERROR(_xlfn.TEXTAFTER(TableTake[[#This Row],[SKU]],"-",-1),"")</f>
        <v/>
      </c>
      <c r="J565" s="14">
        <f>'[1]2026 Orders'!H566</f>
        <v>0</v>
      </c>
      <c r="K565">
        <f>'[1]2026 Orders'!I566</f>
        <v>0</v>
      </c>
      <c r="L565">
        <f>'[1]2026 Orders'!J566</f>
        <v>0</v>
      </c>
      <c r="N565" s="10">
        <f>'[1]2026 Orders'!L566</f>
        <v>0</v>
      </c>
      <c r="O565">
        <f>'[1]2026 Orders'!M566</f>
        <v>0</v>
      </c>
      <c r="P565">
        <f>'[1]2026 Orders'!N566</f>
        <v>0</v>
      </c>
      <c r="Q565">
        <f>'[1]2026 Orders'!O566</f>
        <v>0</v>
      </c>
      <c r="R565">
        <f>'[1]2026 Orders'!P566</f>
        <v>0</v>
      </c>
      <c r="S565">
        <f>'[1]2026 Orders'!Q566</f>
        <v>0</v>
      </c>
      <c r="T565">
        <f>'[1]2026 Orders'!R566</f>
        <v>0</v>
      </c>
      <c r="U565">
        <f>'[1]2026 Orders'!S566</f>
        <v>0</v>
      </c>
      <c r="V565">
        <f>'[1]2026 Orders'!T566</f>
        <v>0</v>
      </c>
      <c r="W565">
        <f>'[1]2026 Orders'!U566</f>
        <v>0</v>
      </c>
      <c r="X565">
        <f>'[1]2026 Orders'!V566</f>
        <v>0</v>
      </c>
      <c r="Y565">
        <f>'[1]2026 Orders'!W566</f>
        <v>0</v>
      </c>
      <c r="Z565">
        <f>'[1]2026 Orders'!X566</f>
        <v>0</v>
      </c>
      <c r="AC565" t="str">
        <f t="shared" si="16"/>
        <v/>
      </c>
      <c r="AD565" t="str">
        <f t="shared" si="17"/>
        <v/>
      </c>
    </row>
    <row r="566" spans="1:30" ht="33" hidden="1" customHeight="1" x14ac:dyDescent="0.3">
      <c r="A566">
        <f>'[1]2026 Orders'!A567</f>
        <v>0</v>
      </c>
      <c r="B566" s="14">
        <f>'[1]2026 Orders'!B567</f>
        <v>0</v>
      </c>
      <c r="C566" s="14">
        <f>'[1]2026 Orders'!C567</f>
        <v>0</v>
      </c>
      <c r="D566" s="14">
        <f>'[1]2026 Orders'!D567</f>
        <v>0</v>
      </c>
      <c r="E566" s="17" t="str" cm="1">
        <f t="array" ref="E566">IF(C566=0,"",
HYPERLINK(
"#'2026 Orders'!C"&amp;
MATCH(1,
('2026 Orders'!C:C=C566)*
('2026 Orders'!G:G=G566)*
('2026 Orders'!N:N=N566),
0),
"Open "&amp;C566
))</f>
        <v/>
      </c>
      <c r="F566" s="14">
        <f>'[1]2026 Orders'!F567</f>
        <v>0</v>
      </c>
      <c r="G566" s="14">
        <f>'[1]2026 Orders'!G567</f>
        <v>0</v>
      </c>
      <c r="H566" s="14" t="str" cm="1">
        <f t="array" ref="H566">IFERROR(_xlfn.TEXTJOIN("-",,INDEX(_xlfn.TEXTSPLIT(TableTake[[#This Row],[SKU]],"-"),{1,2})),"")</f>
        <v/>
      </c>
      <c r="I566" s="15" t="str">
        <f>IFERROR(_xlfn.TEXTAFTER(TableTake[[#This Row],[SKU]],"-",-1),"")</f>
        <v/>
      </c>
      <c r="J566" s="14">
        <f>'[1]2026 Orders'!H567</f>
        <v>0</v>
      </c>
      <c r="K566">
        <f>'[1]2026 Orders'!I567</f>
        <v>0</v>
      </c>
      <c r="L566">
        <f>'[1]2026 Orders'!J567</f>
        <v>0</v>
      </c>
      <c r="N566" s="10">
        <f>'[1]2026 Orders'!L567</f>
        <v>0</v>
      </c>
      <c r="O566">
        <f>'[1]2026 Orders'!M567</f>
        <v>0</v>
      </c>
      <c r="P566">
        <f>'[1]2026 Orders'!N567</f>
        <v>0</v>
      </c>
      <c r="Q566">
        <f>'[1]2026 Orders'!O567</f>
        <v>0</v>
      </c>
      <c r="R566">
        <f>'[1]2026 Orders'!P567</f>
        <v>0</v>
      </c>
      <c r="S566">
        <f>'[1]2026 Orders'!Q567</f>
        <v>0</v>
      </c>
      <c r="T566">
        <f>'[1]2026 Orders'!R567</f>
        <v>0</v>
      </c>
      <c r="U566">
        <f>'[1]2026 Orders'!S567</f>
        <v>0</v>
      </c>
      <c r="V566">
        <f>'[1]2026 Orders'!T567</f>
        <v>0</v>
      </c>
      <c r="W566">
        <f>'[1]2026 Orders'!U567</f>
        <v>0</v>
      </c>
      <c r="X566">
        <f>'[1]2026 Orders'!V567</f>
        <v>0</v>
      </c>
      <c r="Y566">
        <f>'[1]2026 Orders'!W567</f>
        <v>0</v>
      </c>
      <c r="Z566">
        <f>'[1]2026 Orders'!X567</f>
        <v>0</v>
      </c>
      <c r="AC566" t="str">
        <f t="shared" si="16"/>
        <v/>
      </c>
      <c r="AD566" t="str">
        <f t="shared" si="17"/>
        <v/>
      </c>
    </row>
    <row r="567" spans="1:30" ht="33" hidden="1" customHeight="1" x14ac:dyDescent="0.3">
      <c r="A567">
        <f>'[1]2026 Orders'!A568</f>
        <v>0</v>
      </c>
      <c r="B567" s="14">
        <f>'[1]2026 Orders'!B568</f>
        <v>0</v>
      </c>
      <c r="C567" s="14">
        <f>'[1]2026 Orders'!C568</f>
        <v>0</v>
      </c>
      <c r="D567" s="14">
        <f>'[1]2026 Orders'!D568</f>
        <v>0</v>
      </c>
      <c r="E567" s="17" t="str" cm="1">
        <f t="array" ref="E567">IF(C567=0,"",
HYPERLINK(
"#'2026 Orders'!C"&amp;
MATCH(1,
('2026 Orders'!C:C=C567)*
('2026 Orders'!G:G=G567)*
('2026 Orders'!N:N=N567),
0),
"Open "&amp;C567
))</f>
        <v/>
      </c>
      <c r="F567" s="14">
        <f>'[1]2026 Orders'!F568</f>
        <v>0</v>
      </c>
      <c r="G567" s="14">
        <f>'[1]2026 Orders'!G568</f>
        <v>0</v>
      </c>
      <c r="H567" s="14" t="str" cm="1">
        <f t="array" ref="H567">IFERROR(_xlfn.TEXTJOIN("-",,INDEX(_xlfn.TEXTSPLIT(TableTake[[#This Row],[SKU]],"-"),{1,2})),"")</f>
        <v/>
      </c>
      <c r="I567" s="15" t="str">
        <f>IFERROR(_xlfn.TEXTAFTER(TableTake[[#This Row],[SKU]],"-",-1),"")</f>
        <v/>
      </c>
      <c r="J567" s="14">
        <f>'[1]2026 Orders'!H568</f>
        <v>0</v>
      </c>
      <c r="K567">
        <f>'[1]2026 Orders'!I568</f>
        <v>0</v>
      </c>
      <c r="L567">
        <f>'[1]2026 Orders'!J568</f>
        <v>0</v>
      </c>
      <c r="N567" s="10">
        <f>'[1]2026 Orders'!L568</f>
        <v>0</v>
      </c>
      <c r="O567">
        <f>'[1]2026 Orders'!M568</f>
        <v>0</v>
      </c>
      <c r="P567">
        <f>'[1]2026 Orders'!N568</f>
        <v>0</v>
      </c>
      <c r="Q567">
        <f>'[1]2026 Orders'!O568</f>
        <v>0</v>
      </c>
      <c r="R567">
        <f>'[1]2026 Orders'!P568</f>
        <v>0</v>
      </c>
      <c r="S567">
        <f>'[1]2026 Orders'!Q568</f>
        <v>0</v>
      </c>
      <c r="T567">
        <f>'[1]2026 Orders'!R568</f>
        <v>0</v>
      </c>
      <c r="U567">
        <f>'[1]2026 Orders'!S568</f>
        <v>0</v>
      </c>
      <c r="V567">
        <f>'[1]2026 Orders'!T568</f>
        <v>0</v>
      </c>
      <c r="W567">
        <f>'[1]2026 Orders'!U568</f>
        <v>0</v>
      </c>
      <c r="X567">
        <f>'[1]2026 Orders'!V568</f>
        <v>0</v>
      </c>
      <c r="Y567">
        <f>'[1]2026 Orders'!W568</f>
        <v>0</v>
      </c>
      <c r="Z567">
        <f>'[1]2026 Orders'!X568</f>
        <v>0</v>
      </c>
      <c r="AC567" t="str">
        <f t="shared" si="16"/>
        <v/>
      </c>
      <c r="AD567" t="str">
        <f t="shared" si="17"/>
        <v/>
      </c>
    </row>
    <row r="568" spans="1:30" ht="33" hidden="1" customHeight="1" x14ac:dyDescent="0.3">
      <c r="A568">
        <f>'[1]2026 Orders'!A569</f>
        <v>0</v>
      </c>
      <c r="B568" s="14">
        <f>'[1]2026 Orders'!B569</f>
        <v>0</v>
      </c>
      <c r="C568" s="14">
        <f>'[1]2026 Orders'!C569</f>
        <v>0</v>
      </c>
      <c r="D568" s="14">
        <f>'[1]2026 Orders'!D569</f>
        <v>0</v>
      </c>
      <c r="E568" s="17" t="str" cm="1">
        <f t="array" ref="E568">IF(C568=0,"",
HYPERLINK(
"#'2026 Orders'!C"&amp;
MATCH(1,
('2026 Orders'!C:C=C568)*
('2026 Orders'!G:G=G568)*
('2026 Orders'!N:N=N568),
0),
"Open "&amp;C568
))</f>
        <v/>
      </c>
      <c r="F568" s="14">
        <f>'[1]2026 Orders'!F569</f>
        <v>0</v>
      </c>
      <c r="G568" s="14">
        <f>'[1]2026 Orders'!G569</f>
        <v>0</v>
      </c>
      <c r="H568" s="14" t="str" cm="1">
        <f t="array" ref="H568">IFERROR(_xlfn.TEXTJOIN("-",,INDEX(_xlfn.TEXTSPLIT(TableTake[[#This Row],[SKU]],"-"),{1,2})),"")</f>
        <v/>
      </c>
      <c r="I568" s="15" t="str">
        <f>IFERROR(_xlfn.TEXTAFTER(TableTake[[#This Row],[SKU]],"-",-1),"")</f>
        <v/>
      </c>
      <c r="J568" s="14">
        <f>'[1]2026 Orders'!H569</f>
        <v>0</v>
      </c>
      <c r="K568">
        <f>'[1]2026 Orders'!I569</f>
        <v>0</v>
      </c>
      <c r="L568">
        <f>'[1]2026 Orders'!J569</f>
        <v>0</v>
      </c>
      <c r="N568" s="10">
        <f>'[1]2026 Orders'!L569</f>
        <v>0</v>
      </c>
      <c r="O568">
        <f>'[1]2026 Orders'!M569</f>
        <v>0</v>
      </c>
      <c r="P568">
        <f>'[1]2026 Orders'!N569</f>
        <v>0</v>
      </c>
      <c r="Q568">
        <f>'[1]2026 Orders'!O569</f>
        <v>0</v>
      </c>
      <c r="R568">
        <f>'[1]2026 Orders'!P569</f>
        <v>0</v>
      </c>
      <c r="S568">
        <f>'[1]2026 Orders'!Q569</f>
        <v>0</v>
      </c>
      <c r="T568">
        <f>'[1]2026 Orders'!R569</f>
        <v>0</v>
      </c>
      <c r="U568">
        <f>'[1]2026 Orders'!S569</f>
        <v>0</v>
      </c>
      <c r="V568">
        <f>'[1]2026 Orders'!T569</f>
        <v>0</v>
      </c>
      <c r="W568">
        <f>'[1]2026 Orders'!U569</f>
        <v>0</v>
      </c>
      <c r="X568">
        <f>'[1]2026 Orders'!V569</f>
        <v>0</v>
      </c>
      <c r="Y568">
        <f>'[1]2026 Orders'!W569</f>
        <v>0</v>
      </c>
      <c r="Z568">
        <f>'[1]2026 Orders'!X569</f>
        <v>0</v>
      </c>
      <c r="AC568" t="str">
        <f t="shared" si="16"/>
        <v/>
      </c>
      <c r="AD568" t="str">
        <f t="shared" si="17"/>
        <v/>
      </c>
    </row>
    <row r="569" spans="1:30" ht="33" hidden="1" customHeight="1" x14ac:dyDescent="0.3">
      <c r="A569">
        <f>'[1]2026 Orders'!A570</f>
        <v>0</v>
      </c>
      <c r="B569" s="14">
        <f>'[1]2026 Orders'!B570</f>
        <v>0</v>
      </c>
      <c r="C569" s="14">
        <f>'[1]2026 Orders'!C570</f>
        <v>0</v>
      </c>
      <c r="D569" s="14">
        <f>'[1]2026 Orders'!D570</f>
        <v>0</v>
      </c>
      <c r="E569" s="17" t="str" cm="1">
        <f t="array" ref="E569">IF(C569=0,"",
HYPERLINK(
"#'2026 Orders'!C"&amp;
MATCH(1,
('2026 Orders'!C:C=C569)*
('2026 Orders'!G:G=G569)*
('2026 Orders'!N:N=N569),
0),
"Open "&amp;C569
))</f>
        <v/>
      </c>
      <c r="F569" s="14">
        <f>'[1]2026 Orders'!F570</f>
        <v>0</v>
      </c>
      <c r="G569" s="14">
        <f>'[1]2026 Orders'!G570</f>
        <v>0</v>
      </c>
      <c r="H569" s="14" t="str" cm="1">
        <f t="array" ref="H569">IFERROR(_xlfn.TEXTJOIN("-",,INDEX(_xlfn.TEXTSPLIT(TableTake[[#This Row],[SKU]],"-"),{1,2})),"")</f>
        <v/>
      </c>
      <c r="I569" s="15" t="str">
        <f>IFERROR(_xlfn.TEXTAFTER(TableTake[[#This Row],[SKU]],"-",-1),"")</f>
        <v/>
      </c>
      <c r="J569" s="14">
        <f>'[1]2026 Orders'!H570</f>
        <v>0</v>
      </c>
      <c r="K569">
        <f>'[1]2026 Orders'!I570</f>
        <v>0</v>
      </c>
      <c r="L569">
        <f>'[1]2026 Orders'!J570</f>
        <v>0</v>
      </c>
      <c r="N569" s="10">
        <f>'[1]2026 Orders'!L570</f>
        <v>0</v>
      </c>
      <c r="O569">
        <f>'[1]2026 Orders'!M570</f>
        <v>0</v>
      </c>
      <c r="P569">
        <f>'[1]2026 Orders'!N570</f>
        <v>0</v>
      </c>
      <c r="Q569">
        <f>'[1]2026 Orders'!O570</f>
        <v>0</v>
      </c>
      <c r="R569">
        <f>'[1]2026 Orders'!P570</f>
        <v>0</v>
      </c>
      <c r="S569">
        <f>'[1]2026 Orders'!Q570</f>
        <v>0</v>
      </c>
      <c r="T569">
        <f>'[1]2026 Orders'!R570</f>
        <v>0</v>
      </c>
      <c r="U569">
        <f>'[1]2026 Orders'!S570</f>
        <v>0</v>
      </c>
      <c r="V569">
        <f>'[1]2026 Orders'!T570</f>
        <v>0</v>
      </c>
      <c r="W569">
        <f>'[1]2026 Orders'!U570</f>
        <v>0</v>
      </c>
      <c r="X569">
        <f>'[1]2026 Orders'!V570</f>
        <v>0</v>
      </c>
      <c r="Y569">
        <f>'[1]2026 Orders'!W570</f>
        <v>0</v>
      </c>
      <c r="Z569">
        <f>'[1]2026 Orders'!X570</f>
        <v>0</v>
      </c>
      <c r="AC569" t="str">
        <f t="shared" si="16"/>
        <v/>
      </c>
      <c r="AD569" t="str">
        <f t="shared" si="17"/>
        <v/>
      </c>
    </row>
    <row r="570" spans="1:30" ht="33" hidden="1" customHeight="1" x14ac:dyDescent="0.3">
      <c r="A570">
        <f>'[1]2026 Orders'!A571</f>
        <v>0</v>
      </c>
      <c r="B570" s="14">
        <f>'[1]2026 Orders'!B571</f>
        <v>0</v>
      </c>
      <c r="C570" s="14">
        <f>'[1]2026 Orders'!C571</f>
        <v>0</v>
      </c>
      <c r="D570" s="14">
        <f>'[1]2026 Orders'!D571</f>
        <v>0</v>
      </c>
      <c r="E570" s="17" t="str" cm="1">
        <f t="array" ref="E570">IF(C570=0,"",
HYPERLINK(
"#'2026 Orders'!C"&amp;
MATCH(1,
('2026 Orders'!C:C=C570)*
('2026 Orders'!G:G=G570)*
('2026 Orders'!N:N=N570),
0),
"Open "&amp;C570
))</f>
        <v/>
      </c>
      <c r="F570" s="14">
        <f>'[1]2026 Orders'!F571</f>
        <v>0</v>
      </c>
      <c r="G570" s="14">
        <f>'[1]2026 Orders'!G571</f>
        <v>0</v>
      </c>
      <c r="H570" s="14" t="str" cm="1">
        <f t="array" ref="H570">IFERROR(_xlfn.TEXTJOIN("-",,INDEX(_xlfn.TEXTSPLIT(TableTake[[#This Row],[SKU]],"-"),{1,2})),"")</f>
        <v/>
      </c>
      <c r="I570" s="15" t="str">
        <f>IFERROR(_xlfn.TEXTAFTER(TableTake[[#This Row],[SKU]],"-",-1),"")</f>
        <v/>
      </c>
      <c r="J570" s="14">
        <f>'[1]2026 Orders'!H571</f>
        <v>0</v>
      </c>
      <c r="K570">
        <f>'[1]2026 Orders'!I571</f>
        <v>0</v>
      </c>
      <c r="L570">
        <f>'[1]2026 Orders'!J571</f>
        <v>0</v>
      </c>
      <c r="N570" s="10">
        <f>'[1]2026 Orders'!L571</f>
        <v>0</v>
      </c>
      <c r="O570">
        <f>'[1]2026 Orders'!M571</f>
        <v>0</v>
      </c>
      <c r="P570">
        <f>'[1]2026 Orders'!N571</f>
        <v>0</v>
      </c>
      <c r="Q570">
        <f>'[1]2026 Orders'!O571</f>
        <v>0</v>
      </c>
      <c r="R570">
        <f>'[1]2026 Orders'!P571</f>
        <v>0</v>
      </c>
      <c r="S570">
        <f>'[1]2026 Orders'!Q571</f>
        <v>0</v>
      </c>
      <c r="T570">
        <f>'[1]2026 Orders'!R571</f>
        <v>0</v>
      </c>
      <c r="U570">
        <f>'[1]2026 Orders'!S571</f>
        <v>0</v>
      </c>
      <c r="V570">
        <f>'[1]2026 Orders'!T571</f>
        <v>0</v>
      </c>
      <c r="W570">
        <f>'[1]2026 Orders'!U571</f>
        <v>0</v>
      </c>
      <c r="X570">
        <f>'[1]2026 Orders'!V571</f>
        <v>0</v>
      </c>
      <c r="Y570">
        <f>'[1]2026 Orders'!W571</f>
        <v>0</v>
      </c>
      <c r="Z570">
        <f>'[1]2026 Orders'!X571</f>
        <v>0</v>
      </c>
      <c r="AC570" t="str">
        <f t="shared" si="16"/>
        <v/>
      </c>
      <c r="AD570" t="str">
        <f t="shared" si="17"/>
        <v/>
      </c>
    </row>
    <row r="571" spans="1:30" ht="33" hidden="1" customHeight="1" x14ac:dyDescent="0.3">
      <c r="A571">
        <f>'[1]2026 Orders'!A572</f>
        <v>0</v>
      </c>
      <c r="B571" s="14">
        <f>'[1]2026 Orders'!B572</f>
        <v>0</v>
      </c>
      <c r="C571" s="14">
        <f>'[1]2026 Orders'!C572</f>
        <v>0</v>
      </c>
      <c r="D571" s="14">
        <f>'[1]2026 Orders'!D572</f>
        <v>0</v>
      </c>
      <c r="E571" s="17" t="str" cm="1">
        <f t="array" ref="E571">IF(C571=0,"",
HYPERLINK(
"#'2026 Orders'!C"&amp;
MATCH(1,
('2026 Orders'!C:C=C571)*
('2026 Orders'!G:G=G571)*
('2026 Orders'!N:N=N571),
0),
"Open "&amp;C571
))</f>
        <v/>
      </c>
      <c r="F571" s="14">
        <f>'[1]2026 Orders'!F572</f>
        <v>0</v>
      </c>
      <c r="G571" s="14">
        <f>'[1]2026 Orders'!G572</f>
        <v>0</v>
      </c>
      <c r="H571" s="14" t="str" cm="1">
        <f t="array" ref="H571">IFERROR(_xlfn.TEXTJOIN("-",,INDEX(_xlfn.TEXTSPLIT(TableTake[[#This Row],[SKU]],"-"),{1,2})),"")</f>
        <v/>
      </c>
      <c r="I571" s="15" t="str">
        <f>IFERROR(_xlfn.TEXTAFTER(TableTake[[#This Row],[SKU]],"-",-1),"")</f>
        <v/>
      </c>
      <c r="J571" s="14">
        <f>'[1]2026 Orders'!H572</f>
        <v>0</v>
      </c>
      <c r="K571">
        <f>'[1]2026 Orders'!I572</f>
        <v>0</v>
      </c>
      <c r="L571">
        <f>'[1]2026 Orders'!J572</f>
        <v>0</v>
      </c>
      <c r="N571" s="10">
        <f>'[1]2026 Orders'!L572</f>
        <v>0</v>
      </c>
      <c r="O571">
        <f>'[1]2026 Orders'!M572</f>
        <v>0</v>
      </c>
      <c r="P571">
        <f>'[1]2026 Orders'!N572</f>
        <v>0</v>
      </c>
      <c r="Q571">
        <f>'[1]2026 Orders'!O572</f>
        <v>0</v>
      </c>
      <c r="R571">
        <f>'[1]2026 Orders'!P572</f>
        <v>0</v>
      </c>
      <c r="S571">
        <f>'[1]2026 Orders'!Q572</f>
        <v>0</v>
      </c>
      <c r="T571">
        <f>'[1]2026 Orders'!R572</f>
        <v>0</v>
      </c>
      <c r="U571">
        <f>'[1]2026 Orders'!S572</f>
        <v>0</v>
      </c>
      <c r="V571">
        <f>'[1]2026 Orders'!T572</f>
        <v>0</v>
      </c>
      <c r="W571">
        <f>'[1]2026 Orders'!U572</f>
        <v>0</v>
      </c>
      <c r="X571">
        <f>'[1]2026 Orders'!V572</f>
        <v>0</v>
      </c>
      <c r="Y571">
        <f>'[1]2026 Orders'!W572</f>
        <v>0</v>
      </c>
      <c r="Z571">
        <f>'[1]2026 Orders'!X572</f>
        <v>0</v>
      </c>
      <c r="AC571" t="str">
        <f t="shared" si="16"/>
        <v/>
      </c>
      <c r="AD571" t="str">
        <f t="shared" si="17"/>
        <v/>
      </c>
    </row>
    <row r="572" spans="1:30" ht="33" hidden="1" customHeight="1" x14ac:dyDescent="0.3">
      <c r="A572">
        <f>'[1]2026 Orders'!A573</f>
        <v>0</v>
      </c>
      <c r="B572" s="14">
        <f>'[1]2026 Orders'!B573</f>
        <v>0</v>
      </c>
      <c r="C572" s="14">
        <f>'[1]2026 Orders'!C573</f>
        <v>0</v>
      </c>
      <c r="D572" s="14">
        <f>'[1]2026 Orders'!D573</f>
        <v>0</v>
      </c>
      <c r="E572" s="17" t="str" cm="1">
        <f t="array" ref="E572">IF(C572=0,"",
HYPERLINK(
"#'2026 Orders'!C"&amp;
MATCH(1,
('2026 Orders'!C:C=C572)*
('2026 Orders'!G:G=G572)*
('2026 Orders'!N:N=N572),
0),
"Open "&amp;C572
))</f>
        <v/>
      </c>
      <c r="F572" s="14">
        <f>'[1]2026 Orders'!F573</f>
        <v>0</v>
      </c>
      <c r="G572" s="14">
        <f>'[1]2026 Orders'!G573</f>
        <v>0</v>
      </c>
      <c r="H572" s="14" t="str" cm="1">
        <f t="array" ref="H572">IFERROR(_xlfn.TEXTJOIN("-",,INDEX(_xlfn.TEXTSPLIT(TableTake[[#This Row],[SKU]],"-"),{1,2})),"")</f>
        <v/>
      </c>
      <c r="I572" s="15" t="str">
        <f>IFERROR(_xlfn.TEXTAFTER(TableTake[[#This Row],[SKU]],"-",-1),"")</f>
        <v/>
      </c>
      <c r="J572" s="14">
        <f>'[1]2026 Orders'!H573</f>
        <v>0</v>
      </c>
      <c r="K572">
        <f>'[1]2026 Orders'!I573</f>
        <v>0</v>
      </c>
      <c r="L572">
        <f>'[1]2026 Orders'!J573</f>
        <v>0</v>
      </c>
      <c r="N572" s="10">
        <f>'[1]2026 Orders'!L573</f>
        <v>0</v>
      </c>
      <c r="O572">
        <f>'[1]2026 Orders'!M573</f>
        <v>0</v>
      </c>
      <c r="P572">
        <f>'[1]2026 Orders'!N573</f>
        <v>0</v>
      </c>
      <c r="Q572">
        <f>'[1]2026 Orders'!O573</f>
        <v>0</v>
      </c>
      <c r="R572">
        <f>'[1]2026 Orders'!P573</f>
        <v>0</v>
      </c>
      <c r="S572">
        <f>'[1]2026 Orders'!Q573</f>
        <v>0</v>
      </c>
      <c r="T572">
        <f>'[1]2026 Orders'!R573</f>
        <v>0</v>
      </c>
      <c r="U572">
        <f>'[1]2026 Orders'!S573</f>
        <v>0</v>
      </c>
      <c r="V572">
        <f>'[1]2026 Orders'!T573</f>
        <v>0</v>
      </c>
      <c r="W572">
        <f>'[1]2026 Orders'!U573</f>
        <v>0</v>
      </c>
      <c r="X572">
        <f>'[1]2026 Orders'!V573</f>
        <v>0</v>
      </c>
      <c r="Y572">
        <f>'[1]2026 Orders'!W573</f>
        <v>0</v>
      </c>
      <c r="Z572">
        <f>'[1]2026 Orders'!X573</f>
        <v>0</v>
      </c>
      <c r="AC572" t="str">
        <f t="shared" si="16"/>
        <v/>
      </c>
      <c r="AD572" t="str">
        <f t="shared" si="17"/>
        <v/>
      </c>
    </row>
    <row r="573" spans="1:30" ht="33" hidden="1" customHeight="1" x14ac:dyDescent="0.3">
      <c r="A573">
        <f>'[1]2026 Orders'!A574</f>
        <v>0</v>
      </c>
      <c r="B573" s="14">
        <f>'[1]2026 Orders'!B574</f>
        <v>0</v>
      </c>
      <c r="C573" s="14">
        <f>'[1]2026 Orders'!C574</f>
        <v>0</v>
      </c>
      <c r="D573" s="14">
        <f>'[1]2026 Orders'!D574</f>
        <v>0</v>
      </c>
      <c r="E573" s="17" t="str" cm="1">
        <f t="array" ref="E573">IF(C573=0,"",
HYPERLINK(
"#'2026 Orders'!C"&amp;
MATCH(1,
('2026 Orders'!C:C=C573)*
('2026 Orders'!G:G=G573)*
('2026 Orders'!N:N=N573),
0),
"Open "&amp;C573
))</f>
        <v/>
      </c>
      <c r="F573" s="14">
        <f>'[1]2026 Orders'!F574</f>
        <v>0</v>
      </c>
      <c r="G573" s="14">
        <f>'[1]2026 Orders'!G574</f>
        <v>0</v>
      </c>
      <c r="H573" s="14" t="str" cm="1">
        <f t="array" ref="H573">IFERROR(_xlfn.TEXTJOIN("-",,INDEX(_xlfn.TEXTSPLIT(TableTake[[#This Row],[SKU]],"-"),{1,2})),"")</f>
        <v/>
      </c>
      <c r="I573" s="15" t="str">
        <f>IFERROR(_xlfn.TEXTAFTER(TableTake[[#This Row],[SKU]],"-",-1),"")</f>
        <v/>
      </c>
      <c r="J573" s="14">
        <f>'[1]2026 Orders'!H574</f>
        <v>0</v>
      </c>
      <c r="K573">
        <f>'[1]2026 Orders'!I574</f>
        <v>0</v>
      </c>
      <c r="L573">
        <f>'[1]2026 Orders'!J574</f>
        <v>0</v>
      </c>
      <c r="N573" s="10">
        <f>'[1]2026 Orders'!L574</f>
        <v>0</v>
      </c>
      <c r="O573">
        <f>'[1]2026 Orders'!M574</f>
        <v>0</v>
      </c>
      <c r="P573">
        <f>'[1]2026 Orders'!N574</f>
        <v>0</v>
      </c>
      <c r="Q573">
        <f>'[1]2026 Orders'!O574</f>
        <v>0</v>
      </c>
      <c r="R573">
        <f>'[1]2026 Orders'!P574</f>
        <v>0</v>
      </c>
      <c r="S573">
        <f>'[1]2026 Orders'!Q574</f>
        <v>0</v>
      </c>
      <c r="T573">
        <f>'[1]2026 Orders'!R574</f>
        <v>0</v>
      </c>
      <c r="U573">
        <f>'[1]2026 Orders'!S574</f>
        <v>0</v>
      </c>
      <c r="V573">
        <f>'[1]2026 Orders'!T574</f>
        <v>0</v>
      </c>
      <c r="W573">
        <f>'[1]2026 Orders'!U574</f>
        <v>0</v>
      </c>
      <c r="X573">
        <f>'[1]2026 Orders'!V574</f>
        <v>0</v>
      </c>
      <c r="Y573">
        <f>'[1]2026 Orders'!W574</f>
        <v>0</v>
      </c>
      <c r="Z573">
        <f>'[1]2026 Orders'!X574</f>
        <v>0</v>
      </c>
      <c r="AC573" t="str">
        <f t="shared" si="16"/>
        <v/>
      </c>
      <c r="AD573" t="str">
        <f t="shared" si="17"/>
        <v/>
      </c>
    </row>
    <row r="574" spans="1:30" ht="33" hidden="1" customHeight="1" x14ac:dyDescent="0.3">
      <c r="A574">
        <f>'[1]2026 Orders'!A575</f>
        <v>0</v>
      </c>
      <c r="B574" s="14">
        <f>'[1]2026 Orders'!B575</f>
        <v>0</v>
      </c>
      <c r="C574" s="14">
        <f>'[1]2026 Orders'!C575</f>
        <v>0</v>
      </c>
      <c r="D574" s="14">
        <f>'[1]2026 Orders'!D575</f>
        <v>0</v>
      </c>
      <c r="E574" s="17" t="str" cm="1">
        <f t="array" ref="E574">IF(C574=0,"",
HYPERLINK(
"#'2026 Orders'!C"&amp;
MATCH(1,
('2026 Orders'!C:C=C574)*
('2026 Orders'!G:G=G574)*
('2026 Orders'!N:N=N574),
0),
"Open "&amp;C574
))</f>
        <v/>
      </c>
      <c r="F574" s="14">
        <f>'[1]2026 Orders'!F575</f>
        <v>0</v>
      </c>
      <c r="G574" s="14">
        <f>'[1]2026 Orders'!G575</f>
        <v>0</v>
      </c>
      <c r="H574" s="14" t="str" cm="1">
        <f t="array" ref="H574">IFERROR(_xlfn.TEXTJOIN("-",,INDEX(_xlfn.TEXTSPLIT(TableTake[[#This Row],[SKU]],"-"),{1,2})),"")</f>
        <v/>
      </c>
      <c r="I574" s="15" t="str">
        <f>IFERROR(_xlfn.TEXTAFTER(TableTake[[#This Row],[SKU]],"-",-1),"")</f>
        <v/>
      </c>
      <c r="J574" s="14">
        <f>'[1]2026 Orders'!H575</f>
        <v>0</v>
      </c>
      <c r="K574">
        <f>'[1]2026 Orders'!I575</f>
        <v>0</v>
      </c>
      <c r="L574">
        <f>'[1]2026 Orders'!J575</f>
        <v>0</v>
      </c>
      <c r="N574" s="10">
        <f>'[1]2026 Orders'!L575</f>
        <v>0</v>
      </c>
      <c r="O574">
        <f>'[1]2026 Orders'!M575</f>
        <v>0</v>
      </c>
      <c r="P574">
        <f>'[1]2026 Orders'!N575</f>
        <v>0</v>
      </c>
      <c r="Q574">
        <f>'[1]2026 Orders'!O575</f>
        <v>0</v>
      </c>
      <c r="R574">
        <f>'[1]2026 Orders'!P575</f>
        <v>0</v>
      </c>
      <c r="S574">
        <f>'[1]2026 Orders'!Q575</f>
        <v>0</v>
      </c>
      <c r="T574">
        <f>'[1]2026 Orders'!R575</f>
        <v>0</v>
      </c>
      <c r="U574">
        <f>'[1]2026 Orders'!S575</f>
        <v>0</v>
      </c>
      <c r="V574">
        <f>'[1]2026 Orders'!T575</f>
        <v>0</v>
      </c>
      <c r="W574">
        <f>'[1]2026 Orders'!U575</f>
        <v>0</v>
      </c>
      <c r="X574">
        <f>'[1]2026 Orders'!V575</f>
        <v>0</v>
      </c>
      <c r="Y574">
        <f>'[1]2026 Orders'!W575</f>
        <v>0</v>
      </c>
      <c r="Z574">
        <f>'[1]2026 Orders'!X575</f>
        <v>0</v>
      </c>
      <c r="AC574" t="str">
        <f t="shared" si="16"/>
        <v/>
      </c>
      <c r="AD574" t="str">
        <f t="shared" si="17"/>
        <v/>
      </c>
    </row>
    <row r="575" spans="1:30" ht="33" hidden="1" customHeight="1" x14ac:dyDescent="0.3">
      <c r="A575">
        <f>'[1]2026 Orders'!A576</f>
        <v>0</v>
      </c>
      <c r="B575" s="14">
        <f>'[1]2026 Orders'!B576</f>
        <v>0</v>
      </c>
      <c r="C575" s="14">
        <f>'[1]2026 Orders'!C576</f>
        <v>0</v>
      </c>
      <c r="D575" s="14">
        <f>'[1]2026 Orders'!D576</f>
        <v>0</v>
      </c>
      <c r="E575" s="17" t="str" cm="1">
        <f t="array" ref="E575">IF(C575=0,"",
HYPERLINK(
"#'2026 Orders'!C"&amp;
MATCH(1,
('2026 Orders'!C:C=C575)*
('2026 Orders'!G:G=G575)*
('2026 Orders'!N:N=N575),
0),
"Open "&amp;C575
))</f>
        <v/>
      </c>
      <c r="F575" s="14">
        <f>'[1]2026 Orders'!F576</f>
        <v>0</v>
      </c>
      <c r="G575" s="14">
        <f>'[1]2026 Orders'!G576</f>
        <v>0</v>
      </c>
      <c r="H575" s="14" t="str" cm="1">
        <f t="array" ref="H575">IFERROR(_xlfn.TEXTJOIN("-",,INDEX(_xlfn.TEXTSPLIT(TableTake[[#This Row],[SKU]],"-"),{1,2})),"")</f>
        <v/>
      </c>
      <c r="I575" s="15" t="str">
        <f>IFERROR(_xlfn.TEXTAFTER(TableTake[[#This Row],[SKU]],"-",-1),"")</f>
        <v/>
      </c>
      <c r="J575" s="14">
        <f>'[1]2026 Orders'!H576</f>
        <v>0</v>
      </c>
      <c r="K575">
        <f>'[1]2026 Orders'!I576</f>
        <v>0</v>
      </c>
      <c r="L575">
        <f>'[1]2026 Orders'!J576</f>
        <v>0</v>
      </c>
      <c r="N575" s="10">
        <f>'[1]2026 Orders'!L576</f>
        <v>0</v>
      </c>
      <c r="O575">
        <f>'[1]2026 Orders'!M576</f>
        <v>0</v>
      </c>
      <c r="P575">
        <f>'[1]2026 Orders'!N576</f>
        <v>0</v>
      </c>
      <c r="Q575">
        <f>'[1]2026 Orders'!O576</f>
        <v>0</v>
      </c>
      <c r="R575">
        <f>'[1]2026 Orders'!P576</f>
        <v>0</v>
      </c>
      <c r="S575">
        <f>'[1]2026 Orders'!Q576</f>
        <v>0</v>
      </c>
      <c r="T575">
        <f>'[1]2026 Orders'!R576</f>
        <v>0</v>
      </c>
      <c r="U575">
        <f>'[1]2026 Orders'!S576</f>
        <v>0</v>
      </c>
      <c r="V575">
        <f>'[1]2026 Orders'!T576</f>
        <v>0</v>
      </c>
      <c r="W575">
        <f>'[1]2026 Orders'!U576</f>
        <v>0</v>
      </c>
      <c r="X575">
        <f>'[1]2026 Orders'!V576</f>
        <v>0</v>
      </c>
      <c r="Y575">
        <f>'[1]2026 Orders'!W576</f>
        <v>0</v>
      </c>
      <c r="Z575">
        <f>'[1]2026 Orders'!X576</f>
        <v>0</v>
      </c>
      <c r="AC575" t="str">
        <f t="shared" si="16"/>
        <v/>
      </c>
      <c r="AD575" t="str">
        <f t="shared" si="17"/>
        <v/>
      </c>
    </row>
    <row r="576" spans="1:30" ht="33" hidden="1" customHeight="1" x14ac:dyDescent="0.3">
      <c r="A576">
        <f>'[1]2026 Orders'!A577</f>
        <v>0</v>
      </c>
      <c r="B576" s="14">
        <f>'[1]2026 Orders'!B577</f>
        <v>0</v>
      </c>
      <c r="C576" s="14">
        <f>'[1]2026 Orders'!C577</f>
        <v>0</v>
      </c>
      <c r="D576" s="14">
        <f>'[1]2026 Orders'!D577</f>
        <v>0</v>
      </c>
      <c r="E576" s="17" t="str" cm="1">
        <f t="array" ref="E576">IF(C576=0,"",
HYPERLINK(
"#'2026 Orders'!C"&amp;
MATCH(1,
('2026 Orders'!C:C=C576)*
('2026 Orders'!G:G=G576)*
('2026 Orders'!N:N=N576),
0),
"Open "&amp;C576
))</f>
        <v/>
      </c>
      <c r="F576" s="14">
        <f>'[1]2026 Orders'!F577</f>
        <v>0</v>
      </c>
      <c r="G576" s="14">
        <f>'[1]2026 Orders'!G577</f>
        <v>0</v>
      </c>
      <c r="H576" s="14" t="str" cm="1">
        <f t="array" ref="H576">IFERROR(_xlfn.TEXTJOIN("-",,INDEX(_xlfn.TEXTSPLIT(TableTake[[#This Row],[SKU]],"-"),{1,2})),"")</f>
        <v/>
      </c>
      <c r="I576" s="15" t="str">
        <f>IFERROR(_xlfn.TEXTAFTER(TableTake[[#This Row],[SKU]],"-",-1),"")</f>
        <v/>
      </c>
      <c r="J576" s="14">
        <f>'[1]2026 Orders'!H577</f>
        <v>0</v>
      </c>
      <c r="K576">
        <f>'[1]2026 Orders'!I577</f>
        <v>0</v>
      </c>
      <c r="L576">
        <f>'[1]2026 Orders'!J577</f>
        <v>0</v>
      </c>
      <c r="N576" s="10">
        <f>'[1]2026 Orders'!L577</f>
        <v>0</v>
      </c>
      <c r="O576">
        <f>'[1]2026 Orders'!M577</f>
        <v>0</v>
      </c>
      <c r="P576">
        <f>'[1]2026 Orders'!N577</f>
        <v>0</v>
      </c>
      <c r="Q576">
        <f>'[1]2026 Orders'!O577</f>
        <v>0</v>
      </c>
      <c r="R576">
        <f>'[1]2026 Orders'!P577</f>
        <v>0</v>
      </c>
      <c r="S576">
        <f>'[1]2026 Orders'!Q577</f>
        <v>0</v>
      </c>
      <c r="T576">
        <f>'[1]2026 Orders'!R577</f>
        <v>0</v>
      </c>
      <c r="U576">
        <f>'[1]2026 Orders'!S577</f>
        <v>0</v>
      </c>
      <c r="V576">
        <f>'[1]2026 Orders'!T577</f>
        <v>0</v>
      </c>
      <c r="W576">
        <f>'[1]2026 Orders'!U577</f>
        <v>0</v>
      </c>
      <c r="X576">
        <f>'[1]2026 Orders'!V577</f>
        <v>0</v>
      </c>
      <c r="Y576">
        <f>'[1]2026 Orders'!W577</f>
        <v>0</v>
      </c>
      <c r="Z576">
        <f>'[1]2026 Orders'!X577</f>
        <v>0</v>
      </c>
      <c r="AC576" t="str">
        <f t="shared" si="16"/>
        <v/>
      </c>
      <c r="AD576" t="str">
        <f t="shared" si="17"/>
        <v/>
      </c>
    </row>
    <row r="577" spans="1:30" ht="33" hidden="1" customHeight="1" x14ac:dyDescent="0.3">
      <c r="A577">
        <f>'[1]2026 Orders'!A578</f>
        <v>0</v>
      </c>
      <c r="B577" s="14">
        <f>'[1]2026 Orders'!B578</f>
        <v>0</v>
      </c>
      <c r="C577" s="14">
        <f>'[1]2026 Orders'!C578</f>
        <v>0</v>
      </c>
      <c r="D577" s="14">
        <f>'[1]2026 Orders'!D578</f>
        <v>0</v>
      </c>
      <c r="E577" s="17" t="str" cm="1">
        <f t="array" ref="E577">IF(C577=0,"",
HYPERLINK(
"#'2026 Orders'!C"&amp;
MATCH(1,
('2026 Orders'!C:C=C577)*
('2026 Orders'!G:G=G577)*
('2026 Orders'!N:N=N577),
0),
"Open "&amp;C577
))</f>
        <v/>
      </c>
      <c r="F577" s="14">
        <f>'[1]2026 Orders'!F578</f>
        <v>0</v>
      </c>
      <c r="G577" s="14">
        <f>'[1]2026 Orders'!G578</f>
        <v>0</v>
      </c>
      <c r="H577" s="14" t="str" cm="1">
        <f t="array" ref="H577">IFERROR(_xlfn.TEXTJOIN("-",,INDEX(_xlfn.TEXTSPLIT(TableTake[[#This Row],[SKU]],"-"),{1,2})),"")</f>
        <v/>
      </c>
      <c r="I577" s="15" t="str">
        <f>IFERROR(_xlfn.TEXTAFTER(TableTake[[#This Row],[SKU]],"-",-1),"")</f>
        <v/>
      </c>
      <c r="J577" s="14">
        <f>'[1]2026 Orders'!H578</f>
        <v>0</v>
      </c>
      <c r="K577">
        <f>'[1]2026 Orders'!I578</f>
        <v>0</v>
      </c>
      <c r="L577">
        <f>'[1]2026 Orders'!J578</f>
        <v>0</v>
      </c>
      <c r="N577" s="10">
        <f>'[1]2026 Orders'!L578</f>
        <v>0</v>
      </c>
      <c r="O577">
        <f>'[1]2026 Orders'!M578</f>
        <v>0</v>
      </c>
      <c r="P577">
        <f>'[1]2026 Orders'!N578</f>
        <v>0</v>
      </c>
      <c r="Q577">
        <f>'[1]2026 Orders'!O578</f>
        <v>0</v>
      </c>
      <c r="R577">
        <f>'[1]2026 Orders'!P578</f>
        <v>0</v>
      </c>
      <c r="S577">
        <f>'[1]2026 Orders'!Q578</f>
        <v>0</v>
      </c>
      <c r="T577">
        <f>'[1]2026 Orders'!R578</f>
        <v>0</v>
      </c>
      <c r="U577">
        <f>'[1]2026 Orders'!S578</f>
        <v>0</v>
      </c>
      <c r="V577">
        <f>'[1]2026 Orders'!T578</f>
        <v>0</v>
      </c>
      <c r="W577">
        <f>'[1]2026 Orders'!U578</f>
        <v>0</v>
      </c>
      <c r="X577">
        <f>'[1]2026 Orders'!V578</f>
        <v>0</v>
      </c>
      <c r="Y577">
        <f>'[1]2026 Orders'!W578</f>
        <v>0</v>
      </c>
      <c r="Z577">
        <f>'[1]2026 Orders'!X578</f>
        <v>0</v>
      </c>
      <c r="AC577" t="str">
        <f t="shared" si="16"/>
        <v/>
      </c>
      <c r="AD577" t="str">
        <f t="shared" si="17"/>
        <v/>
      </c>
    </row>
    <row r="578" spans="1:30" ht="33" hidden="1" customHeight="1" x14ac:dyDescent="0.3">
      <c r="A578">
        <f>'[1]2026 Orders'!A579</f>
        <v>0</v>
      </c>
      <c r="B578" s="14">
        <f>'[1]2026 Orders'!B579</f>
        <v>0</v>
      </c>
      <c r="C578" s="14">
        <f>'[1]2026 Orders'!C579</f>
        <v>0</v>
      </c>
      <c r="D578" s="14">
        <f>'[1]2026 Orders'!D579</f>
        <v>0</v>
      </c>
      <c r="E578" s="17" t="str" cm="1">
        <f t="array" ref="E578">IF(C578=0,"",
HYPERLINK(
"#'2026 Orders'!C"&amp;
MATCH(1,
('2026 Orders'!C:C=C578)*
('2026 Orders'!G:G=G578)*
('2026 Orders'!N:N=N578),
0),
"Open "&amp;C578
))</f>
        <v/>
      </c>
      <c r="F578" s="14">
        <f>'[1]2026 Orders'!F579</f>
        <v>0</v>
      </c>
      <c r="G578" s="14">
        <f>'[1]2026 Orders'!G579</f>
        <v>0</v>
      </c>
      <c r="H578" s="14" t="str" cm="1">
        <f t="array" ref="H578">IFERROR(_xlfn.TEXTJOIN("-",,INDEX(_xlfn.TEXTSPLIT(TableTake[[#This Row],[SKU]],"-"),{1,2})),"")</f>
        <v/>
      </c>
      <c r="I578" s="15" t="str">
        <f>IFERROR(_xlfn.TEXTAFTER(TableTake[[#This Row],[SKU]],"-",-1),"")</f>
        <v/>
      </c>
      <c r="J578" s="14">
        <f>'[1]2026 Orders'!H579</f>
        <v>0</v>
      </c>
      <c r="K578">
        <f>'[1]2026 Orders'!I579</f>
        <v>0</v>
      </c>
      <c r="L578">
        <f>'[1]2026 Orders'!J579</f>
        <v>0</v>
      </c>
      <c r="N578" s="10">
        <f>'[1]2026 Orders'!L579</f>
        <v>0</v>
      </c>
      <c r="O578">
        <f>'[1]2026 Orders'!M579</f>
        <v>0</v>
      </c>
      <c r="P578">
        <f>'[1]2026 Orders'!N579</f>
        <v>0</v>
      </c>
      <c r="Q578">
        <f>'[1]2026 Orders'!O579</f>
        <v>0</v>
      </c>
      <c r="R578">
        <f>'[1]2026 Orders'!P579</f>
        <v>0</v>
      </c>
      <c r="S578">
        <f>'[1]2026 Orders'!Q579</f>
        <v>0</v>
      </c>
      <c r="T578">
        <f>'[1]2026 Orders'!R579</f>
        <v>0</v>
      </c>
      <c r="U578">
        <f>'[1]2026 Orders'!S579</f>
        <v>0</v>
      </c>
      <c r="V578">
        <f>'[1]2026 Orders'!T579</f>
        <v>0</v>
      </c>
      <c r="W578">
        <f>'[1]2026 Orders'!U579</f>
        <v>0</v>
      </c>
      <c r="X578">
        <f>'[1]2026 Orders'!V579</f>
        <v>0</v>
      </c>
      <c r="Y578">
        <f>'[1]2026 Orders'!W579</f>
        <v>0</v>
      </c>
      <c r="Z578">
        <f>'[1]2026 Orders'!X579</f>
        <v>0</v>
      </c>
      <c r="AC578" t="str">
        <f t="shared" si="16"/>
        <v/>
      </c>
      <c r="AD578" t="str">
        <f t="shared" si="17"/>
        <v/>
      </c>
    </row>
    <row r="579" spans="1:30" ht="33" hidden="1" customHeight="1" x14ac:dyDescent="0.3">
      <c r="A579">
        <f>'[1]2026 Orders'!A580</f>
        <v>0</v>
      </c>
      <c r="B579" s="14">
        <f>'[1]2026 Orders'!B580</f>
        <v>0</v>
      </c>
      <c r="C579" s="14">
        <f>'[1]2026 Orders'!C580</f>
        <v>0</v>
      </c>
      <c r="D579" s="14">
        <f>'[1]2026 Orders'!D580</f>
        <v>0</v>
      </c>
      <c r="E579" s="17" t="str" cm="1">
        <f t="array" ref="E579">IF(C579=0,"",
HYPERLINK(
"#'2026 Orders'!C"&amp;
MATCH(1,
('2026 Orders'!C:C=C579)*
('2026 Orders'!G:G=G579)*
('2026 Orders'!N:N=N579),
0),
"Open "&amp;C579
))</f>
        <v/>
      </c>
      <c r="F579" s="14">
        <f>'[1]2026 Orders'!F580</f>
        <v>0</v>
      </c>
      <c r="G579" s="14">
        <f>'[1]2026 Orders'!G580</f>
        <v>0</v>
      </c>
      <c r="H579" s="14" t="str" cm="1">
        <f t="array" ref="H579">IFERROR(_xlfn.TEXTJOIN("-",,INDEX(_xlfn.TEXTSPLIT(TableTake[[#This Row],[SKU]],"-"),{1,2})),"")</f>
        <v/>
      </c>
      <c r="I579" s="15" t="str">
        <f>IFERROR(_xlfn.TEXTAFTER(TableTake[[#This Row],[SKU]],"-",-1),"")</f>
        <v/>
      </c>
      <c r="J579" s="14">
        <f>'[1]2026 Orders'!H580</f>
        <v>0</v>
      </c>
      <c r="K579">
        <f>'[1]2026 Orders'!I580</f>
        <v>0</v>
      </c>
      <c r="L579">
        <f>'[1]2026 Orders'!J580</f>
        <v>0</v>
      </c>
      <c r="N579" s="10">
        <f>'[1]2026 Orders'!L580</f>
        <v>0</v>
      </c>
      <c r="O579">
        <f>'[1]2026 Orders'!M580</f>
        <v>0</v>
      </c>
      <c r="P579">
        <f>'[1]2026 Orders'!N580</f>
        <v>0</v>
      </c>
      <c r="Q579">
        <f>'[1]2026 Orders'!O580</f>
        <v>0</v>
      </c>
      <c r="R579">
        <f>'[1]2026 Orders'!P580</f>
        <v>0</v>
      </c>
      <c r="S579">
        <f>'[1]2026 Orders'!Q580</f>
        <v>0</v>
      </c>
      <c r="T579">
        <f>'[1]2026 Orders'!R580</f>
        <v>0</v>
      </c>
      <c r="U579">
        <f>'[1]2026 Orders'!S580</f>
        <v>0</v>
      </c>
      <c r="V579">
        <f>'[1]2026 Orders'!T580</f>
        <v>0</v>
      </c>
      <c r="W579">
        <f>'[1]2026 Orders'!U580</f>
        <v>0</v>
      </c>
      <c r="X579">
        <f>'[1]2026 Orders'!V580</f>
        <v>0</v>
      </c>
      <c r="Y579">
        <f>'[1]2026 Orders'!W580</f>
        <v>0</v>
      </c>
      <c r="Z579">
        <f>'[1]2026 Orders'!X580</f>
        <v>0</v>
      </c>
      <c r="AC579" t="str">
        <f t="shared" ref="AC579:AC642" si="18">IF(OR(B579="",B579=0),"",J579&amp;"/"&amp;$AJ$2)</f>
        <v/>
      </c>
      <c r="AD579" t="str">
        <f t="shared" ref="AD579:AD642" si="19">IF(OR(J579="",J579=0),"",I579&amp;" -&gt; "&amp;$AK$2)</f>
        <v/>
      </c>
    </row>
    <row r="580" spans="1:30" ht="33" hidden="1" customHeight="1" x14ac:dyDescent="0.3">
      <c r="A580">
        <f>'[1]2026 Orders'!A581</f>
        <v>0</v>
      </c>
      <c r="B580" s="14">
        <f>'[1]2026 Orders'!B581</f>
        <v>0</v>
      </c>
      <c r="C580" s="14">
        <f>'[1]2026 Orders'!C581</f>
        <v>0</v>
      </c>
      <c r="D580" s="14">
        <f>'[1]2026 Orders'!D581</f>
        <v>0</v>
      </c>
      <c r="E580" s="17" t="str" cm="1">
        <f t="array" ref="E580">IF(C580=0,"",
HYPERLINK(
"#'2026 Orders'!C"&amp;
MATCH(1,
('2026 Orders'!C:C=C580)*
('2026 Orders'!G:G=G580)*
('2026 Orders'!N:N=N580),
0),
"Open "&amp;C580
))</f>
        <v/>
      </c>
      <c r="F580" s="14">
        <f>'[1]2026 Orders'!F581</f>
        <v>0</v>
      </c>
      <c r="G580" s="14">
        <f>'[1]2026 Orders'!G581</f>
        <v>0</v>
      </c>
      <c r="H580" s="14" t="str" cm="1">
        <f t="array" ref="H580">IFERROR(_xlfn.TEXTJOIN("-",,INDEX(_xlfn.TEXTSPLIT(TableTake[[#This Row],[SKU]],"-"),{1,2})),"")</f>
        <v/>
      </c>
      <c r="I580" s="15" t="str">
        <f>IFERROR(_xlfn.TEXTAFTER(TableTake[[#This Row],[SKU]],"-",-1),"")</f>
        <v/>
      </c>
      <c r="J580" s="14">
        <f>'[1]2026 Orders'!H581</f>
        <v>0</v>
      </c>
      <c r="K580">
        <f>'[1]2026 Orders'!I581</f>
        <v>0</v>
      </c>
      <c r="L580">
        <f>'[1]2026 Orders'!J581</f>
        <v>0</v>
      </c>
      <c r="N580" s="10">
        <f>'[1]2026 Orders'!L581</f>
        <v>0</v>
      </c>
      <c r="O580">
        <f>'[1]2026 Orders'!M581</f>
        <v>0</v>
      </c>
      <c r="P580">
        <f>'[1]2026 Orders'!N581</f>
        <v>0</v>
      </c>
      <c r="Q580">
        <f>'[1]2026 Orders'!O581</f>
        <v>0</v>
      </c>
      <c r="R580">
        <f>'[1]2026 Orders'!P581</f>
        <v>0</v>
      </c>
      <c r="S580">
        <f>'[1]2026 Orders'!Q581</f>
        <v>0</v>
      </c>
      <c r="T580">
        <f>'[1]2026 Orders'!R581</f>
        <v>0</v>
      </c>
      <c r="U580">
        <f>'[1]2026 Orders'!S581</f>
        <v>0</v>
      </c>
      <c r="V580">
        <f>'[1]2026 Orders'!T581</f>
        <v>0</v>
      </c>
      <c r="W580">
        <f>'[1]2026 Orders'!U581</f>
        <v>0</v>
      </c>
      <c r="X580">
        <f>'[1]2026 Orders'!V581</f>
        <v>0</v>
      </c>
      <c r="Y580">
        <f>'[1]2026 Orders'!W581</f>
        <v>0</v>
      </c>
      <c r="Z580">
        <f>'[1]2026 Orders'!X581</f>
        <v>0</v>
      </c>
      <c r="AC580" t="str">
        <f t="shared" si="18"/>
        <v/>
      </c>
      <c r="AD580" t="str">
        <f t="shared" si="19"/>
        <v/>
      </c>
    </row>
    <row r="581" spans="1:30" ht="33" hidden="1" customHeight="1" x14ac:dyDescent="0.3">
      <c r="A581">
        <f>'[1]2026 Orders'!A582</f>
        <v>0</v>
      </c>
      <c r="B581" s="14">
        <f>'[1]2026 Orders'!B582</f>
        <v>0</v>
      </c>
      <c r="C581" s="14">
        <f>'[1]2026 Orders'!C582</f>
        <v>0</v>
      </c>
      <c r="D581" s="14">
        <f>'[1]2026 Orders'!D582</f>
        <v>0</v>
      </c>
      <c r="E581" s="17" t="str" cm="1">
        <f t="array" ref="E581">IF(C581=0,"",
HYPERLINK(
"#'2026 Orders'!C"&amp;
MATCH(1,
('2026 Orders'!C:C=C581)*
('2026 Orders'!G:G=G581)*
('2026 Orders'!N:N=N581),
0),
"Open "&amp;C581
))</f>
        <v/>
      </c>
      <c r="F581" s="14">
        <f>'[1]2026 Orders'!F582</f>
        <v>0</v>
      </c>
      <c r="G581" s="14">
        <f>'[1]2026 Orders'!G582</f>
        <v>0</v>
      </c>
      <c r="H581" s="14" t="str" cm="1">
        <f t="array" ref="H581">IFERROR(_xlfn.TEXTJOIN("-",,INDEX(_xlfn.TEXTSPLIT(TableTake[[#This Row],[SKU]],"-"),{1,2})),"")</f>
        <v/>
      </c>
      <c r="I581" s="15" t="str">
        <f>IFERROR(_xlfn.TEXTAFTER(TableTake[[#This Row],[SKU]],"-",-1),"")</f>
        <v/>
      </c>
      <c r="J581" s="14">
        <f>'[1]2026 Orders'!H582</f>
        <v>0</v>
      </c>
      <c r="K581">
        <f>'[1]2026 Orders'!I582</f>
        <v>0</v>
      </c>
      <c r="L581">
        <f>'[1]2026 Orders'!J582</f>
        <v>0</v>
      </c>
      <c r="N581" s="10">
        <f>'[1]2026 Orders'!L582</f>
        <v>0</v>
      </c>
      <c r="O581">
        <f>'[1]2026 Orders'!M582</f>
        <v>0</v>
      </c>
      <c r="P581">
        <f>'[1]2026 Orders'!N582</f>
        <v>0</v>
      </c>
      <c r="Q581">
        <f>'[1]2026 Orders'!O582</f>
        <v>0</v>
      </c>
      <c r="R581">
        <f>'[1]2026 Orders'!P582</f>
        <v>0</v>
      </c>
      <c r="S581">
        <f>'[1]2026 Orders'!Q582</f>
        <v>0</v>
      </c>
      <c r="T581">
        <f>'[1]2026 Orders'!R582</f>
        <v>0</v>
      </c>
      <c r="U581">
        <f>'[1]2026 Orders'!S582</f>
        <v>0</v>
      </c>
      <c r="V581">
        <f>'[1]2026 Orders'!T582</f>
        <v>0</v>
      </c>
      <c r="W581">
        <f>'[1]2026 Orders'!U582</f>
        <v>0</v>
      </c>
      <c r="X581">
        <f>'[1]2026 Orders'!V582</f>
        <v>0</v>
      </c>
      <c r="Y581">
        <f>'[1]2026 Orders'!W582</f>
        <v>0</v>
      </c>
      <c r="Z581">
        <f>'[1]2026 Orders'!X582</f>
        <v>0</v>
      </c>
      <c r="AC581" t="str">
        <f t="shared" si="18"/>
        <v/>
      </c>
      <c r="AD581" t="str">
        <f t="shared" si="19"/>
        <v/>
      </c>
    </row>
    <row r="582" spans="1:30" ht="33" hidden="1" customHeight="1" x14ac:dyDescent="0.3">
      <c r="A582">
        <f>'[1]2026 Orders'!A583</f>
        <v>0</v>
      </c>
      <c r="B582" s="14">
        <f>'[1]2026 Orders'!B583</f>
        <v>0</v>
      </c>
      <c r="C582" s="14">
        <f>'[1]2026 Orders'!C583</f>
        <v>0</v>
      </c>
      <c r="D582" s="14">
        <f>'[1]2026 Orders'!D583</f>
        <v>0</v>
      </c>
      <c r="E582" s="17" t="str" cm="1">
        <f t="array" ref="E582">IF(C582=0,"",
HYPERLINK(
"#'2026 Orders'!C"&amp;
MATCH(1,
('2026 Orders'!C:C=C582)*
('2026 Orders'!G:G=G582)*
('2026 Orders'!N:N=N582),
0),
"Open "&amp;C582
))</f>
        <v/>
      </c>
      <c r="F582" s="14">
        <f>'[1]2026 Orders'!F583</f>
        <v>0</v>
      </c>
      <c r="G582" s="14">
        <f>'[1]2026 Orders'!G583</f>
        <v>0</v>
      </c>
      <c r="H582" s="14" t="str" cm="1">
        <f t="array" ref="H582">IFERROR(_xlfn.TEXTJOIN("-",,INDEX(_xlfn.TEXTSPLIT(TableTake[[#This Row],[SKU]],"-"),{1,2})),"")</f>
        <v/>
      </c>
      <c r="I582" s="15" t="str">
        <f>IFERROR(_xlfn.TEXTAFTER(TableTake[[#This Row],[SKU]],"-",-1),"")</f>
        <v/>
      </c>
      <c r="J582" s="14">
        <f>'[1]2026 Orders'!H583</f>
        <v>0</v>
      </c>
      <c r="K582">
        <f>'[1]2026 Orders'!I583</f>
        <v>0</v>
      </c>
      <c r="L582">
        <f>'[1]2026 Orders'!J583</f>
        <v>0</v>
      </c>
      <c r="N582" s="10">
        <f>'[1]2026 Orders'!L583</f>
        <v>0</v>
      </c>
      <c r="O582">
        <f>'[1]2026 Orders'!M583</f>
        <v>0</v>
      </c>
      <c r="P582">
        <f>'[1]2026 Orders'!N583</f>
        <v>0</v>
      </c>
      <c r="Q582">
        <f>'[1]2026 Orders'!O583</f>
        <v>0</v>
      </c>
      <c r="R582">
        <f>'[1]2026 Orders'!P583</f>
        <v>0</v>
      </c>
      <c r="S582">
        <f>'[1]2026 Orders'!Q583</f>
        <v>0</v>
      </c>
      <c r="T582">
        <f>'[1]2026 Orders'!R583</f>
        <v>0</v>
      </c>
      <c r="U582">
        <f>'[1]2026 Orders'!S583</f>
        <v>0</v>
      </c>
      <c r="V582">
        <f>'[1]2026 Orders'!T583</f>
        <v>0</v>
      </c>
      <c r="W582">
        <f>'[1]2026 Orders'!U583</f>
        <v>0</v>
      </c>
      <c r="X582">
        <f>'[1]2026 Orders'!V583</f>
        <v>0</v>
      </c>
      <c r="Y582">
        <f>'[1]2026 Orders'!W583</f>
        <v>0</v>
      </c>
      <c r="Z582">
        <f>'[1]2026 Orders'!X583</f>
        <v>0</v>
      </c>
      <c r="AC582" t="str">
        <f t="shared" si="18"/>
        <v/>
      </c>
      <c r="AD582" t="str">
        <f t="shared" si="19"/>
        <v/>
      </c>
    </row>
    <row r="583" spans="1:30" ht="33" hidden="1" customHeight="1" x14ac:dyDescent="0.3">
      <c r="A583">
        <f>'[1]2026 Orders'!A584</f>
        <v>0</v>
      </c>
      <c r="B583" s="14">
        <f>'[1]2026 Orders'!B584</f>
        <v>0</v>
      </c>
      <c r="C583" s="14">
        <f>'[1]2026 Orders'!C584</f>
        <v>0</v>
      </c>
      <c r="D583" s="14">
        <f>'[1]2026 Orders'!D584</f>
        <v>0</v>
      </c>
      <c r="E583" s="17" t="str" cm="1">
        <f t="array" ref="E583">IF(C583=0,"",
HYPERLINK(
"#'2026 Orders'!C"&amp;
MATCH(1,
('2026 Orders'!C:C=C583)*
('2026 Orders'!G:G=G583)*
('2026 Orders'!N:N=N583),
0),
"Open "&amp;C583
))</f>
        <v/>
      </c>
      <c r="F583" s="14">
        <f>'[1]2026 Orders'!F584</f>
        <v>0</v>
      </c>
      <c r="G583" s="14">
        <f>'[1]2026 Orders'!G584</f>
        <v>0</v>
      </c>
      <c r="H583" s="14" t="str" cm="1">
        <f t="array" ref="H583">IFERROR(_xlfn.TEXTJOIN("-",,INDEX(_xlfn.TEXTSPLIT(TableTake[[#This Row],[SKU]],"-"),{1,2})),"")</f>
        <v/>
      </c>
      <c r="I583" s="15" t="str">
        <f>IFERROR(_xlfn.TEXTAFTER(TableTake[[#This Row],[SKU]],"-",-1),"")</f>
        <v/>
      </c>
      <c r="J583" s="14">
        <f>'[1]2026 Orders'!H584</f>
        <v>0</v>
      </c>
      <c r="K583">
        <f>'[1]2026 Orders'!I584</f>
        <v>0</v>
      </c>
      <c r="L583">
        <f>'[1]2026 Orders'!J584</f>
        <v>0</v>
      </c>
      <c r="N583" s="10">
        <f>'[1]2026 Orders'!L584</f>
        <v>0</v>
      </c>
      <c r="O583">
        <f>'[1]2026 Orders'!M584</f>
        <v>0</v>
      </c>
      <c r="P583">
        <f>'[1]2026 Orders'!N584</f>
        <v>0</v>
      </c>
      <c r="Q583">
        <f>'[1]2026 Orders'!O584</f>
        <v>0</v>
      </c>
      <c r="R583">
        <f>'[1]2026 Orders'!P584</f>
        <v>0</v>
      </c>
      <c r="S583">
        <f>'[1]2026 Orders'!Q584</f>
        <v>0</v>
      </c>
      <c r="T583">
        <f>'[1]2026 Orders'!R584</f>
        <v>0</v>
      </c>
      <c r="U583">
        <f>'[1]2026 Orders'!S584</f>
        <v>0</v>
      </c>
      <c r="V583">
        <f>'[1]2026 Orders'!T584</f>
        <v>0</v>
      </c>
      <c r="W583">
        <f>'[1]2026 Orders'!U584</f>
        <v>0</v>
      </c>
      <c r="X583">
        <f>'[1]2026 Orders'!V584</f>
        <v>0</v>
      </c>
      <c r="Y583">
        <f>'[1]2026 Orders'!W584</f>
        <v>0</v>
      </c>
      <c r="Z583">
        <f>'[1]2026 Orders'!X584</f>
        <v>0</v>
      </c>
      <c r="AC583" t="str">
        <f t="shared" si="18"/>
        <v/>
      </c>
      <c r="AD583" t="str">
        <f t="shared" si="19"/>
        <v/>
      </c>
    </row>
    <row r="584" spans="1:30" ht="33" hidden="1" customHeight="1" x14ac:dyDescent="0.3">
      <c r="A584">
        <f>'[1]2026 Orders'!A585</f>
        <v>0</v>
      </c>
      <c r="B584" s="14">
        <f>'[1]2026 Orders'!B585</f>
        <v>0</v>
      </c>
      <c r="C584" s="14">
        <f>'[1]2026 Orders'!C585</f>
        <v>0</v>
      </c>
      <c r="D584" s="14">
        <f>'[1]2026 Orders'!D585</f>
        <v>0</v>
      </c>
      <c r="E584" s="17" t="str" cm="1">
        <f t="array" ref="E584">IF(C584=0,"",
HYPERLINK(
"#'2026 Orders'!C"&amp;
MATCH(1,
('2026 Orders'!C:C=C584)*
('2026 Orders'!G:G=G584)*
('2026 Orders'!N:N=N584),
0),
"Open "&amp;C584
))</f>
        <v/>
      </c>
      <c r="F584" s="14">
        <f>'[1]2026 Orders'!F585</f>
        <v>0</v>
      </c>
      <c r="G584" s="14">
        <f>'[1]2026 Orders'!G585</f>
        <v>0</v>
      </c>
      <c r="H584" s="14" t="str" cm="1">
        <f t="array" ref="H584">IFERROR(_xlfn.TEXTJOIN("-",,INDEX(_xlfn.TEXTSPLIT(TableTake[[#This Row],[SKU]],"-"),{1,2})),"")</f>
        <v/>
      </c>
      <c r="I584" s="15" t="str">
        <f>IFERROR(_xlfn.TEXTAFTER(TableTake[[#This Row],[SKU]],"-",-1),"")</f>
        <v/>
      </c>
      <c r="J584" s="14">
        <f>'[1]2026 Orders'!H585</f>
        <v>0</v>
      </c>
      <c r="K584">
        <f>'[1]2026 Orders'!I585</f>
        <v>0</v>
      </c>
      <c r="L584">
        <f>'[1]2026 Orders'!J585</f>
        <v>0</v>
      </c>
      <c r="N584" s="10">
        <f>'[1]2026 Orders'!L585</f>
        <v>0</v>
      </c>
      <c r="O584">
        <f>'[1]2026 Orders'!M585</f>
        <v>0</v>
      </c>
      <c r="P584">
        <f>'[1]2026 Orders'!N585</f>
        <v>0</v>
      </c>
      <c r="Q584">
        <f>'[1]2026 Orders'!O585</f>
        <v>0</v>
      </c>
      <c r="R584">
        <f>'[1]2026 Orders'!P585</f>
        <v>0</v>
      </c>
      <c r="S584">
        <f>'[1]2026 Orders'!Q585</f>
        <v>0</v>
      </c>
      <c r="T584">
        <f>'[1]2026 Orders'!R585</f>
        <v>0</v>
      </c>
      <c r="U584">
        <f>'[1]2026 Orders'!S585</f>
        <v>0</v>
      </c>
      <c r="V584">
        <f>'[1]2026 Orders'!T585</f>
        <v>0</v>
      </c>
      <c r="W584">
        <f>'[1]2026 Orders'!U585</f>
        <v>0</v>
      </c>
      <c r="X584">
        <f>'[1]2026 Orders'!V585</f>
        <v>0</v>
      </c>
      <c r="Y584">
        <f>'[1]2026 Orders'!W585</f>
        <v>0</v>
      </c>
      <c r="Z584">
        <f>'[1]2026 Orders'!X585</f>
        <v>0</v>
      </c>
      <c r="AC584" t="str">
        <f t="shared" si="18"/>
        <v/>
      </c>
      <c r="AD584" t="str">
        <f t="shared" si="19"/>
        <v/>
      </c>
    </row>
    <row r="585" spans="1:30" ht="33" hidden="1" customHeight="1" x14ac:dyDescent="0.3">
      <c r="A585">
        <f>'[1]2026 Orders'!A586</f>
        <v>0</v>
      </c>
      <c r="B585" s="14">
        <f>'[1]2026 Orders'!B586</f>
        <v>0</v>
      </c>
      <c r="C585" s="14">
        <f>'[1]2026 Orders'!C586</f>
        <v>0</v>
      </c>
      <c r="D585" s="14">
        <f>'[1]2026 Orders'!D586</f>
        <v>0</v>
      </c>
      <c r="E585" s="17" t="str" cm="1">
        <f t="array" ref="E585">IF(C585=0,"",
HYPERLINK(
"#'2026 Orders'!C"&amp;
MATCH(1,
('2026 Orders'!C:C=C585)*
('2026 Orders'!G:G=G585)*
('2026 Orders'!N:N=N585),
0),
"Open "&amp;C585
))</f>
        <v/>
      </c>
      <c r="F585" s="14">
        <f>'[1]2026 Orders'!F586</f>
        <v>0</v>
      </c>
      <c r="G585" s="14">
        <f>'[1]2026 Orders'!G586</f>
        <v>0</v>
      </c>
      <c r="H585" s="14" t="str" cm="1">
        <f t="array" ref="H585">IFERROR(_xlfn.TEXTJOIN("-",,INDEX(_xlfn.TEXTSPLIT(TableTake[[#This Row],[SKU]],"-"),{1,2})),"")</f>
        <v/>
      </c>
      <c r="I585" s="15" t="str">
        <f>IFERROR(_xlfn.TEXTAFTER(TableTake[[#This Row],[SKU]],"-",-1),"")</f>
        <v/>
      </c>
      <c r="J585" s="14">
        <f>'[1]2026 Orders'!H586</f>
        <v>0</v>
      </c>
      <c r="K585">
        <f>'[1]2026 Orders'!I586</f>
        <v>0</v>
      </c>
      <c r="L585">
        <f>'[1]2026 Orders'!J586</f>
        <v>0</v>
      </c>
      <c r="N585" s="10">
        <f>'[1]2026 Orders'!L586</f>
        <v>0</v>
      </c>
      <c r="O585">
        <f>'[1]2026 Orders'!M586</f>
        <v>0</v>
      </c>
      <c r="P585">
        <f>'[1]2026 Orders'!N586</f>
        <v>0</v>
      </c>
      <c r="Q585">
        <f>'[1]2026 Orders'!O586</f>
        <v>0</v>
      </c>
      <c r="R585">
        <f>'[1]2026 Orders'!P586</f>
        <v>0</v>
      </c>
      <c r="S585">
        <f>'[1]2026 Orders'!Q586</f>
        <v>0</v>
      </c>
      <c r="T585">
        <f>'[1]2026 Orders'!R586</f>
        <v>0</v>
      </c>
      <c r="U585">
        <f>'[1]2026 Orders'!S586</f>
        <v>0</v>
      </c>
      <c r="V585">
        <f>'[1]2026 Orders'!T586</f>
        <v>0</v>
      </c>
      <c r="W585">
        <f>'[1]2026 Orders'!U586</f>
        <v>0</v>
      </c>
      <c r="X585">
        <f>'[1]2026 Orders'!V586</f>
        <v>0</v>
      </c>
      <c r="Y585">
        <f>'[1]2026 Orders'!W586</f>
        <v>0</v>
      </c>
      <c r="Z585">
        <f>'[1]2026 Orders'!X586</f>
        <v>0</v>
      </c>
      <c r="AC585" t="str">
        <f t="shared" si="18"/>
        <v/>
      </c>
      <c r="AD585" t="str">
        <f t="shared" si="19"/>
        <v/>
      </c>
    </row>
    <row r="586" spans="1:30" ht="33" hidden="1" customHeight="1" x14ac:dyDescent="0.3">
      <c r="A586">
        <f>'[1]2026 Orders'!A587</f>
        <v>0</v>
      </c>
      <c r="B586" s="14">
        <f>'[1]2026 Orders'!B587</f>
        <v>0</v>
      </c>
      <c r="C586" s="14">
        <f>'[1]2026 Orders'!C587</f>
        <v>0</v>
      </c>
      <c r="D586" s="14">
        <f>'[1]2026 Orders'!D587</f>
        <v>0</v>
      </c>
      <c r="E586" s="17" t="str" cm="1">
        <f t="array" ref="E586">IF(C586=0,"",
HYPERLINK(
"#'2026 Orders'!C"&amp;
MATCH(1,
('2026 Orders'!C:C=C586)*
('2026 Orders'!G:G=G586)*
('2026 Orders'!N:N=N586),
0),
"Open "&amp;C586
))</f>
        <v/>
      </c>
      <c r="F586" s="14">
        <f>'[1]2026 Orders'!F587</f>
        <v>0</v>
      </c>
      <c r="G586" s="14">
        <f>'[1]2026 Orders'!G587</f>
        <v>0</v>
      </c>
      <c r="H586" s="14" t="str" cm="1">
        <f t="array" ref="H586">IFERROR(_xlfn.TEXTJOIN("-",,INDEX(_xlfn.TEXTSPLIT(TableTake[[#This Row],[SKU]],"-"),{1,2})),"")</f>
        <v/>
      </c>
      <c r="I586" s="15" t="str">
        <f>IFERROR(_xlfn.TEXTAFTER(TableTake[[#This Row],[SKU]],"-",-1),"")</f>
        <v/>
      </c>
      <c r="J586" s="14">
        <f>'[1]2026 Orders'!H587</f>
        <v>0</v>
      </c>
      <c r="K586">
        <f>'[1]2026 Orders'!I587</f>
        <v>0</v>
      </c>
      <c r="L586">
        <f>'[1]2026 Orders'!J587</f>
        <v>0</v>
      </c>
      <c r="N586" s="10">
        <f>'[1]2026 Orders'!L587</f>
        <v>0</v>
      </c>
      <c r="O586">
        <f>'[1]2026 Orders'!M587</f>
        <v>0</v>
      </c>
      <c r="P586">
        <f>'[1]2026 Orders'!N587</f>
        <v>0</v>
      </c>
      <c r="Q586">
        <f>'[1]2026 Orders'!O587</f>
        <v>0</v>
      </c>
      <c r="R586">
        <f>'[1]2026 Orders'!P587</f>
        <v>0</v>
      </c>
      <c r="S586">
        <f>'[1]2026 Orders'!Q587</f>
        <v>0</v>
      </c>
      <c r="T586">
        <f>'[1]2026 Orders'!R587</f>
        <v>0</v>
      </c>
      <c r="U586">
        <f>'[1]2026 Orders'!S587</f>
        <v>0</v>
      </c>
      <c r="V586">
        <f>'[1]2026 Orders'!T587</f>
        <v>0</v>
      </c>
      <c r="W586">
        <f>'[1]2026 Orders'!U587</f>
        <v>0</v>
      </c>
      <c r="X586">
        <f>'[1]2026 Orders'!V587</f>
        <v>0</v>
      </c>
      <c r="Y586">
        <f>'[1]2026 Orders'!W587</f>
        <v>0</v>
      </c>
      <c r="Z586">
        <f>'[1]2026 Orders'!X587</f>
        <v>0</v>
      </c>
      <c r="AC586" t="str">
        <f t="shared" si="18"/>
        <v/>
      </c>
      <c r="AD586" t="str">
        <f t="shared" si="19"/>
        <v/>
      </c>
    </row>
    <row r="587" spans="1:30" ht="33" hidden="1" customHeight="1" x14ac:dyDescent="0.3">
      <c r="A587">
        <f>'[1]2026 Orders'!A588</f>
        <v>0</v>
      </c>
      <c r="B587" s="14">
        <f>'[1]2026 Orders'!B588</f>
        <v>0</v>
      </c>
      <c r="C587" s="14">
        <f>'[1]2026 Orders'!C588</f>
        <v>0</v>
      </c>
      <c r="D587" s="14">
        <f>'[1]2026 Orders'!D588</f>
        <v>0</v>
      </c>
      <c r="E587" s="17" t="str" cm="1">
        <f t="array" ref="E587">IF(C587=0,"",
HYPERLINK(
"#'2026 Orders'!C"&amp;
MATCH(1,
('2026 Orders'!C:C=C587)*
('2026 Orders'!G:G=G587)*
('2026 Orders'!N:N=N587),
0),
"Open "&amp;C587
))</f>
        <v/>
      </c>
      <c r="F587" s="14">
        <f>'[1]2026 Orders'!F588</f>
        <v>0</v>
      </c>
      <c r="G587" s="14">
        <f>'[1]2026 Orders'!G588</f>
        <v>0</v>
      </c>
      <c r="H587" s="14" t="str" cm="1">
        <f t="array" ref="H587">IFERROR(_xlfn.TEXTJOIN("-",,INDEX(_xlfn.TEXTSPLIT(TableTake[[#This Row],[SKU]],"-"),{1,2})),"")</f>
        <v/>
      </c>
      <c r="I587" s="15" t="str">
        <f>IFERROR(_xlfn.TEXTAFTER(TableTake[[#This Row],[SKU]],"-",-1),"")</f>
        <v/>
      </c>
      <c r="J587" s="14">
        <f>'[1]2026 Orders'!H588</f>
        <v>0</v>
      </c>
      <c r="K587">
        <f>'[1]2026 Orders'!I588</f>
        <v>0</v>
      </c>
      <c r="L587">
        <f>'[1]2026 Orders'!J588</f>
        <v>0</v>
      </c>
      <c r="N587" s="10">
        <f>'[1]2026 Orders'!L588</f>
        <v>0</v>
      </c>
      <c r="O587">
        <f>'[1]2026 Orders'!M588</f>
        <v>0</v>
      </c>
      <c r="P587">
        <f>'[1]2026 Orders'!N588</f>
        <v>0</v>
      </c>
      <c r="Q587">
        <f>'[1]2026 Orders'!O588</f>
        <v>0</v>
      </c>
      <c r="R587">
        <f>'[1]2026 Orders'!P588</f>
        <v>0</v>
      </c>
      <c r="S587">
        <f>'[1]2026 Orders'!Q588</f>
        <v>0</v>
      </c>
      <c r="T587">
        <f>'[1]2026 Orders'!R588</f>
        <v>0</v>
      </c>
      <c r="U587">
        <f>'[1]2026 Orders'!S588</f>
        <v>0</v>
      </c>
      <c r="V587">
        <f>'[1]2026 Orders'!T588</f>
        <v>0</v>
      </c>
      <c r="W587">
        <f>'[1]2026 Orders'!U588</f>
        <v>0</v>
      </c>
      <c r="X587">
        <f>'[1]2026 Orders'!V588</f>
        <v>0</v>
      </c>
      <c r="Y587">
        <f>'[1]2026 Orders'!W588</f>
        <v>0</v>
      </c>
      <c r="Z587">
        <f>'[1]2026 Orders'!X588</f>
        <v>0</v>
      </c>
      <c r="AC587" t="str">
        <f t="shared" si="18"/>
        <v/>
      </c>
      <c r="AD587" t="str">
        <f t="shared" si="19"/>
        <v/>
      </c>
    </row>
    <row r="588" spans="1:30" ht="33" hidden="1" customHeight="1" x14ac:dyDescent="0.3">
      <c r="A588">
        <f>'[1]2026 Orders'!A589</f>
        <v>0</v>
      </c>
      <c r="B588" s="14">
        <f>'[1]2026 Orders'!B589</f>
        <v>0</v>
      </c>
      <c r="C588" s="14">
        <f>'[1]2026 Orders'!C589</f>
        <v>0</v>
      </c>
      <c r="D588" s="14">
        <f>'[1]2026 Orders'!D589</f>
        <v>0</v>
      </c>
      <c r="E588" s="17" t="str" cm="1">
        <f t="array" ref="E588">IF(C588=0,"",
HYPERLINK(
"#'2026 Orders'!C"&amp;
MATCH(1,
('2026 Orders'!C:C=C588)*
('2026 Orders'!G:G=G588)*
('2026 Orders'!N:N=N588),
0),
"Open "&amp;C588
))</f>
        <v/>
      </c>
      <c r="F588" s="14">
        <f>'[1]2026 Orders'!F589</f>
        <v>0</v>
      </c>
      <c r="G588" s="14">
        <f>'[1]2026 Orders'!G589</f>
        <v>0</v>
      </c>
      <c r="H588" s="14" t="str" cm="1">
        <f t="array" ref="H588">IFERROR(_xlfn.TEXTJOIN("-",,INDEX(_xlfn.TEXTSPLIT(TableTake[[#This Row],[SKU]],"-"),{1,2})),"")</f>
        <v/>
      </c>
      <c r="I588" s="15" t="str">
        <f>IFERROR(_xlfn.TEXTAFTER(TableTake[[#This Row],[SKU]],"-",-1),"")</f>
        <v/>
      </c>
      <c r="J588" s="14">
        <f>'[1]2026 Orders'!H589</f>
        <v>0</v>
      </c>
      <c r="K588">
        <f>'[1]2026 Orders'!I589</f>
        <v>0</v>
      </c>
      <c r="L588">
        <f>'[1]2026 Orders'!J589</f>
        <v>0</v>
      </c>
      <c r="N588" s="10">
        <f>'[1]2026 Orders'!L589</f>
        <v>0</v>
      </c>
      <c r="O588">
        <f>'[1]2026 Orders'!M589</f>
        <v>0</v>
      </c>
      <c r="P588">
        <f>'[1]2026 Orders'!N589</f>
        <v>0</v>
      </c>
      <c r="Q588">
        <f>'[1]2026 Orders'!O589</f>
        <v>0</v>
      </c>
      <c r="R588">
        <f>'[1]2026 Orders'!P589</f>
        <v>0</v>
      </c>
      <c r="S588">
        <f>'[1]2026 Orders'!Q589</f>
        <v>0</v>
      </c>
      <c r="T588">
        <f>'[1]2026 Orders'!R589</f>
        <v>0</v>
      </c>
      <c r="U588">
        <f>'[1]2026 Orders'!S589</f>
        <v>0</v>
      </c>
      <c r="V588">
        <f>'[1]2026 Orders'!T589</f>
        <v>0</v>
      </c>
      <c r="W588">
        <f>'[1]2026 Orders'!U589</f>
        <v>0</v>
      </c>
      <c r="X588">
        <f>'[1]2026 Orders'!V589</f>
        <v>0</v>
      </c>
      <c r="Y588">
        <f>'[1]2026 Orders'!W589</f>
        <v>0</v>
      </c>
      <c r="Z588">
        <f>'[1]2026 Orders'!X589</f>
        <v>0</v>
      </c>
      <c r="AC588" t="str">
        <f t="shared" si="18"/>
        <v/>
      </c>
      <c r="AD588" t="str">
        <f t="shared" si="19"/>
        <v/>
      </c>
    </row>
    <row r="589" spans="1:30" ht="33" hidden="1" customHeight="1" x14ac:dyDescent="0.3">
      <c r="A589">
        <f>'[1]2026 Orders'!A590</f>
        <v>0</v>
      </c>
      <c r="B589" s="14">
        <f>'[1]2026 Orders'!B590</f>
        <v>0</v>
      </c>
      <c r="C589" s="14">
        <f>'[1]2026 Orders'!C590</f>
        <v>0</v>
      </c>
      <c r="D589" s="14">
        <f>'[1]2026 Orders'!D590</f>
        <v>0</v>
      </c>
      <c r="E589" s="17" t="str" cm="1">
        <f t="array" ref="E589">IF(C589=0,"",
HYPERLINK(
"#'2026 Orders'!C"&amp;
MATCH(1,
('2026 Orders'!C:C=C589)*
('2026 Orders'!G:G=G589)*
('2026 Orders'!N:N=N589),
0),
"Open "&amp;C589
))</f>
        <v/>
      </c>
      <c r="F589" s="14">
        <f>'[1]2026 Orders'!F590</f>
        <v>0</v>
      </c>
      <c r="G589" s="14">
        <f>'[1]2026 Orders'!G590</f>
        <v>0</v>
      </c>
      <c r="H589" s="14" t="str" cm="1">
        <f t="array" ref="H589">IFERROR(_xlfn.TEXTJOIN("-",,INDEX(_xlfn.TEXTSPLIT(TableTake[[#This Row],[SKU]],"-"),{1,2})),"")</f>
        <v/>
      </c>
      <c r="I589" s="15" t="str">
        <f>IFERROR(_xlfn.TEXTAFTER(TableTake[[#This Row],[SKU]],"-",-1),"")</f>
        <v/>
      </c>
      <c r="J589" s="14">
        <f>'[1]2026 Orders'!H590</f>
        <v>0</v>
      </c>
      <c r="K589">
        <f>'[1]2026 Orders'!I590</f>
        <v>0</v>
      </c>
      <c r="L589">
        <f>'[1]2026 Orders'!J590</f>
        <v>0</v>
      </c>
      <c r="N589" s="10">
        <f>'[1]2026 Orders'!L590</f>
        <v>0</v>
      </c>
      <c r="O589">
        <f>'[1]2026 Orders'!M590</f>
        <v>0</v>
      </c>
      <c r="P589">
        <f>'[1]2026 Orders'!N590</f>
        <v>0</v>
      </c>
      <c r="Q589">
        <f>'[1]2026 Orders'!O590</f>
        <v>0</v>
      </c>
      <c r="R589">
        <f>'[1]2026 Orders'!P590</f>
        <v>0</v>
      </c>
      <c r="S589">
        <f>'[1]2026 Orders'!Q590</f>
        <v>0</v>
      </c>
      <c r="T589">
        <f>'[1]2026 Orders'!R590</f>
        <v>0</v>
      </c>
      <c r="U589">
        <f>'[1]2026 Orders'!S590</f>
        <v>0</v>
      </c>
      <c r="V589">
        <f>'[1]2026 Orders'!T590</f>
        <v>0</v>
      </c>
      <c r="W589">
        <f>'[1]2026 Orders'!U590</f>
        <v>0</v>
      </c>
      <c r="X589">
        <f>'[1]2026 Orders'!V590</f>
        <v>0</v>
      </c>
      <c r="Y589">
        <f>'[1]2026 Orders'!W590</f>
        <v>0</v>
      </c>
      <c r="Z589">
        <f>'[1]2026 Orders'!X590</f>
        <v>0</v>
      </c>
      <c r="AC589" t="str">
        <f t="shared" si="18"/>
        <v/>
      </c>
      <c r="AD589" t="str">
        <f t="shared" si="19"/>
        <v/>
      </c>
    </row>
    <row r="590" spans="1:30" ht="33" hidden="1" customHeight="1" x14ac:dyDescent="0.3">
      <c r="A590">
        <f>'[1]2026 Orders'!A591</f>
        <v>0</v>
      </c>
      <c r="B590" s="14">
        <f>'[1]2026 Orders'!B591</f>
        <v>0</v>
      </c>
      <c r="C590" s="14">
        <f>'[1]2026 Orders'!C591</f>
        <v>0</v>
      </c>
      <c r="D590" s="14">
        <f>'[1]2026 Orders'!D591</f>
        <v>0</v>
      </c>
      <c r="E590" s="17" t="str" cm="1">
        <f t="array" ref="E590">IF(C590=0,"",
HYPERLINK(
"#'2026 Orders'!C"&amp;
MATCH(1,
('2026 Orders'!C:C=C590)*
('2026 Orders'!G:G=G590)*
('2026 Orders'!N:N=N590),
0),
"Open "&amp;C590
))</f>
        <v/>
      </c>
      <c r="F590" s="14">
        <f>'[1]2026 Orders'!F591</f>
        <v>0</v>
      </c>
      <c r="G590" s="14">
        <f>'[1]2026 Orders'!G591</f>
        <v>0</v>
      </c>
      <c r="H590" s="14" t="str" cm="1">
        <f t="array" ref="H590">IFERROR(_xlfn.TEXTJOIN("-",,INDEX(_xlfn.TEXTSPLIT(TableTake[[#This Row],[SKU]],"-"),{1,2})),"")</f>
        <v/>
      </c>
      <c r="I590" s="15" t="str">
        <f>IFERROR(_xlfn.TEXTAFTER(TableTake[[#This Row],[SKU]],"-",-1),"")</f>
        <v/>
      </c>
      <c r="J590" s="14">
        <f>'[1]2026 Orders'!H591</f>
        <v>0</v>
      </c>
      <c r="K590">
        <f>'[1]2026 Orders'!I591</f>
        <v>0</v>
      </c>
      <c r="L590">
        <f>'[1]2026 Orders'!J591</f>
        <v>0</v>
      </c>
      <c r="N590" s="10">
        <f>'[1]2026 Orders'!L591</f>
        <v>0</v>
      </c>
      <c r="O590">
        <f>'[1]2026 Orders'!M591</f>
        <v>0</v>
      </c>
      <c r="P590">
        <f>'[1]2026 Orders'!N591</f>
        <v>0</v>
      </c>
      <c r="Q590">
        <f>'[1]2026 Orders'!O591</f>
        <v>0</v>
      </c>
      <c r="R590">
        <f>'[1]2026 Orders'!P591</f>
        <v>0</v>
      </c>
      <c r="S590">
        <f>'[1]2026 Orders'!Q591</f>
        <v>0</v>
      </c>
      <c r="T590">
        <f>'[1]2026 Orders'!R591</f>
        <v>0</v>
      </c>
      <c r="U590">
        <f>'[1]2026 Orders'!S591</f>
        <v>0</v>
      </c>
      <c r="V590">
        <f>'[1]2026 Orders'!T591</f>
        <v>0</v>
      </c>
      <c r="W590">
        <f>'[1]2026 Orders'!U591</f>
        <v>0</v>
      </c>
      <c r="X590">
        <f>'[1]2026 Orders'!V591</f>
        <v>0</v>
      </c>
      <c r="Y590">
        <f>'[1]2026 Orders'!W591</f>
        <v>0</v>
      </c>
      <c r="Z590">
        <f>'[1]2026 Orders'!X591</f>
        <v>0</v>
      </c>
      <c r="AC590" t="str">
        <f t="shared" si="18"/>
        <v/>
      </c>
      <c r="AD590" t="str">
        <f t="shared" si="19"/>
        <v/>
      </c>
    </row>
    <row r="591" spans="1:30" ht="33" hidden="1" customHeight="1" x14ac:dyDescent="0.3">
      <c r="A591">
        <f>'[1]2026 Orders'!A592</f>
        <v>0</v>
      </c>
      <c r="B591" s="14">
        <f>'[1]2026 Orders'!B592</f>
        <v>0</v>
      </c>
      <c r="C591" s="14">
        <f>'[1]2026 Orders'!C592</f>
        <v>0</v>
      </c>
      <c r="D591" s="14">
        <f>'[1]2026 Orders'!D592</f>
        <v>0</v>
      </c>
      <c r="E591" s="17" t="str" cm="1">
        <f t="array" ref="E591">IF(C591=0,"",
HYPERLINK(
"#'2026 Orders'!C"&amp;
MATCH(1,
('2026 Orders'!C:C=C591)*
('2026 Orders'!G:G=G591)*
('2026 Orders'!N:N=N591),
0),
"Open "&amp;C591
))</f>
        <v/>
      </c>
      <c r="F591" s="14">
        <f>'[1]2026 Orders'!F592</f>
        <v>0</v>
      </c>
      <c r="G591" s="14">
        <f>'[1]2026 Orders'!G592</f>
        <v>0</v>
      </c>
      <c r="H591" s="14" t="str" cm="1">
        <f t="array" ref="H591">IFERROR(_xlfn.TEXTJOIN("-",,INDEX(_xlfn.TEXTSPLIT(TableTake[[#This Row],[SKU]],"-"),{1,2})),"")</f>
        <v/>
      </c>
      <c r="I591" s="15" t="str">
        <f>IFERROR(_xlfn.TEXTAFTER(TableTake[[#This Row],[SKU]],"-",-1),"")</f>
        <v/>
      </c>
      <c r="J591" s="14">
        <f>'[1]2026 Orders'!H592</f>
        <v>0</v>
      </c>
      <c r="K591">
        <f>'[1]2026 Orders'!I592</f>
        <v>0</v>
      </c>
      <c r="L591">
        <f>'[1]2026 Orders'!J592</f>
        <v>0</v>
      </c>
      <c r="N591" s="10">
        <f>'[1]2026 Orders'!L592</f>
        <v>0</v>
      </c>
      <c r="O591">
        <f>'[1]2026 Orders'!M592</f>
        <v>0</v>
      </c>
      <c r="P591">
        <f>'[1]2026 Orders'!N592</f>
        <v>0</v>
      </c>
      <c r="Q591">
        <f>'[1]2026 Orders'!O592</f>
        <v>0</v>
      </c>
      <c r="R591">
        <f>'[1]2026 Orders'!P592</f>
        <v>0</v>
      </c>
      <c r="S591">
        <f>'[1]2026 Orders'!Q592</f>
        <v>0</v>
      </c>
      <c r="T591">
        <f>'[1]2026 Orders'!R592</f>
        <v>0</v>
      </c>
      <c r="U591">
        <f>'[1]2026 Orders'!S592</f>
        <v>0</v>
      </c>
      <c r="V591">
        <f>'[1]2026 Orders'!T592</f>
        <v>0</v>
      </c>
      <c r="W591">
        <f>'[1]2026 Orders'!U592</f>
        <v>0</v>
      </c>
      <c r="X591">
        <f>'[1]2026 Orders'!V592</f>
        <v>0</v>
      </c>
      <c r="Y591">
        <f>'[1]2026 Orders'!W592</f>
        <v>0</v>
      </c>
      <c r="Z591">
        <f>'[1]2026 Orders'!X592</f>
        <v>0</v>
      </c>
      <c r="AC591" t="str">
        <f t="shared" si="18"/>
        <v/>
      </c>
      <c r="AD591" t="str">
        <f t="shared" si="19"/>
        <v/>
      </c>
    </row>
    <row r="592" spans="1:30" ht="33" hidden="1" customHeight="1" x14ac:dyDescent="0.3">
      <c r="A592">
        <f>'[1]2026 Orders'!A593</f>
        <v>0</v>
      </c>
      <c r="B592" s="14">
        <f>'[1]2026 Orders'!B593</f>
        <v>0</v>
      </c>
      <c r="C592" s="14">
        <f>'[1]2026 Orders'!C593</f>
        <v>0</v>
      </c>
      <c r="D592" s="14">
        <f>'[1]2026 Orders'!D593</f>
        <v>0</v>
      </c>
      <c r="E592" s="17" t="str" cm="1">
        <f t="array" ref="E592">IF(C592=0,"",
HYPERLINK(
"#'2026 Orders'!C"&amp;
MATCH(1,
('2026 Orders'!C:C=C592)*
('2026 Orders'!G:G=G592)*
('2026 Orders'!N:N=N592),
0),
"Open "&amp;C592
))</f>
        <v/>
      </c>
      <c r="F592" s="14">
        <f>'[1]2026 Orders'!F593</f>
        <v>0</v>
      </c>
      <c r="G592" s="14">
        <f>'[1]2026 Orders'!G593</f>
        <v>0</v>
      </c>
      <c r="H592" s="14" t="str" cm="1">
        <f t="array" ref="H592">IFERROR(_xlfn.TEXTJOIN("-",,INDEX(_xlfn.TEXTSPLIT(TableTake[[#This Row],[SKU]],"-"),{1,2})),"")</f>
        <v/>
      </c>
      <c r="I592" s="15" t="str">
        <f>IFERROR(_xlfn.TEXTAFTER(TableTake[[#This Row],[SKU]],"-",-1),"")</f>
        <v/>
      </c>
      <c r="J592" s="14">
        <f>'[1]2026 Orders'!H593</f>
        <v>0</v>
      </c>
      <c r="K592">
        <f>'[1]2026 Orders'!I593</f>
        <v>0</v>
      </c>
      <c r="L592">
        <f>'[1]2026 Orders'!J593</f>
        <v>0</v>
      </c>
      <c r="N592" s="10">
        <f>'[1]2026 Orders'!L593</f>
        <v>0</v>
      </c>
      <c r="O592">
        <f>'[1]2026 Orders'!M593</f>
        <v>0</v>
      </c>
      <c r="P592">
        <f>'[1]2026 Orders'!N593</f>
        <v>0</v>
      </c>
      <c r="Q592">
        <f>'[1]2026 Orders'!O593</f>
        <v>0</v>
      </c>
      <c r="R592">
        <f>'[1]2026 Orders'!P593</f>
        <v>0</v>
      </c>
      <c r="S592">
        <f>'[1]2026 Orders'!Q593</f>
        <v>0</v>
      </c>
      <c r="T592">
        <f>'[1]2026 Orders'!R593</f>
        <v>0</v>
      </c>
      <c r="U592">
        <f>'[1]2026 Orders'!S593</f>
        <v>0</v>
      </c>
      <c r="V592">
        <f>'[1]2026 Orders'!T593</f>
        <v>0</v>
      </c>
      <c r="W592">
        <f>'[1]2026 Orders'!U593</f>
        <v>0</v>
      </c>
      <c r="X592">
        <f>'[1]2026 Orders'!V593</f>
        <v>0</v>
      </c>
      <c r="Y592">
        <f>'[1]2026 Orders'!W593</f>
        <v>0</v>
      </c>
      <c r="Z592">
        <f>'[1]2026 Orders'!X593</f>
        <v>0</v>
      </c>
      <c r="AC592" t="str">
        <f t="shared" si="18"/>
        <v/>
      </c>
      <c r="AD592" t="str">
        <f t="shared" si="19"/>
        <v/>
      </c>
    </row>
    <row r="593" spans="1:30" ht="33" hidden="1" customHeight="1" x14ac:dyDescent="0.3">
      <c r="A593">
        <f>'[1]2026 Orders'!A594</f>
        <v>0</v>
      </c>
      <c r="B593" s="14">
        <f>'[1]2026 Orders'!B594</f>
        <v>0</v>
      </c>
      <c r="C593" s="14">
        <f>'[1]2026 Orders'!C594</f>
        <v>0</v>
      </c>
      <c r="D593" s="14">
        <f>'[1]2026 Orders'!D594</f>
        <v>0</v>
      </c>
      <c r="E593" s="17" t="str" cm="1">
        <f t="array" ref="E593">IF(C593=0,"",
HYPERLINK(
"#'2026 Orders'!C"&amp;
MATCH(1,
('2026 Orders'!C:C=C593)*
('2026 Orders'!G:G=G593)*
('2026 Orders'!N:N=N593),
0),
"Open "&amp;C593
))</f>
        <v/>
      </c>
      <c r="F593" s="14">
        <f>'[1]2026 Orders'!F594</f>
        <v>0</v>
      </c>
      <c r="G593" s="14">
        <f>'[1]2026 Orders'!G594</f>
        <v>0</v>
      </c>
      <c r="H593" s="14" t="str" cm="1">
        <f t="array" ref="H593">IFERROR(_xlfn.TEXTJOIN("-",,INDEX(_xlfn.TEXTSPLIT(TableTake[[#This Row],[SKU]],"-"),{1,2})),"")</f>
        <v/>
      </c>
      <c r="I593" s="15" t="str">
        <f>IFERROR(_xlfn.TEXTAFTER(TableTake[[#This Row],[SKU]],"-",-1),"")</f>
        <v/>
      </c>
      <c r="J593" s="14">
        <f>'[1]2026 Orders'!H594</f>
        <v>0</v>
      </c>
      <c r="K593">
        <f>'[1]2026 Orders'!I594</f>
        <v>0</v>
      </c>
      <c r="L593">
        <f>'[1]2026 Orders'!J594</f>
        <v>0</v>
      </c>
      <c r="N593" s="10">
        <f>'[1]2026 Orders'!L594</f>
        <v>0</v>
      </c>
      <c r="O593">
        <f>'[1]2026 Orders'!M594</f>
        <v>0</v>
      </c>
      <c r="P593">
        <f>'[1]2026 Orders'!N594</f>
        <v>0</v>
      </c>
      <c r="Q593">
        <f>'[1]2026 Orders'!O594</f>
        <v>0</v>
      </c>
      <c r="R593">
        <f>'[1]2026 Orders'!P594</f>
        <v>0</v>
      </c>
      <c r="S593">
        <f>'[1]2026 Orders'!Q594</f>
        <v>0</v>
      </c>
      <c r="T593">
        <f>'[1]2026 Orders'!R594</f>
        <v>0</v>
      </c>
      <c r="U593">
        <f>'[1]2026 Orders'!S594</f>
        <v>0</v>
      </c>
      <c r="V593">
        <f>'[1]2026 Orders'!T594</f>
        <v>0</v>
      </c>
      <c r="W593">
        <f>'[1]2026 Orders'!U594</f>
        <v>0</v>
      </c>
      <c r="X593">
        <f>'[1]2026 Orders'!V594</f>
        <v>0</v>
      </c>
      <c r="Y593">
        <f>'[1]2026 Orders'!W594</f>
        <v>0</v>
      </c>
      <c r="Z593">
        <f>'[1]2026 Orders'!X594</f>
        <v>0</v>
      </c>
      <c r="AC593" t="str">
        <f t="shared" si="18"/>
        <v/>
      </c>
      <c r="AD593" t="str">
        <f t="shared" si="19"/>
        <v/>
      </c>
    </row>
    <row r="594" spans="1:30" ht="33" hidden="1" customHeight="1" x14ac:dyDescent="0.3">
      <c r="A594">
        <f>'[1]2026 Orders'!A595</f>
        <v>0</v>
      </c>
      <c r="B594" s="14">
        <f>'[1]2026 Orders'!B595</f>
        <v>0</v>
      </c>
      <c r="C594" s="14">
        <f>'[1]2026 Orders'!C595</f>
        <v>0</v>
      </c>
      <c r="D594" s="14">
        <f>'[1]2026 Orders'!D595</f>
        <v>0</v>
      </c>
      <c r="E594" s="17" t="str" cm="1">
        <f t="array" ref="E594">IF(C594=0,"",
HYPERLINK(
"#'2026 Orders'!C"&amp;
MATCH(1,
('2026 Orders'!C:C=C594)*
('2026 Orders'!G:G=G594)*
('2026 Orders'!N:N=N594),
0),
"Open "&amp;C594
))</f>
        <v/>
      </c>
      <c r="F594" s="14">
        <f>'[1]2026 Orders'!F595</f>
        <v>0</v>
      </c>
      <c r="G594" s="14">
        <f>'[1]2026 Orders'!G595</f>
        <v>0</v>
      </c>
      <c r="H594" s="14" t="str" cm="1">
        <f t="array" ref="H594">IFERROR(_xlfn.TEXTJOIN("-",,INDEX(_xlfn.TEXTSPLIT(TableTake[[#This Row],[SKU]],"-"),{1,2})),"")</f>
        <v/>
      </c>
      <c r="I594" s="15" t="str">
        <f>IFERROR(_xlfn.TEXTAFTER(TableTake[[#This Row],[SKU]],"-",-1),"")</f>
        <v/>
      </c>
      <c r="J594" s="14">
        <f>'[1]2026 Orders'!H595</f>
        <v>0</v>
      </c>
      <c r="K594">
        <f>'[1]2026 Orders'!I595</f>
        <v>0</v>
      </c>
      <c r="L594">
        <f>'[1]2026 Orders'!J595</f>
        <v>0</v>
      </c>
      <c r="N594" s="10">
        <f>'[1]2026 Orders'!L595</f>
        <v>0</v>
      </c>
      <c r="O594">
        <f>'[1]2026 Orders'!M595</f>
        <v>0</v>
      </c>
      <c r="P594">
        <f>'[1]2026 Orders'!N595</f>
        <v>0</v>
      </c>
      <c r="Q594">
        <f>'[1]2026 Orders'!O595</f>
        <v>0</v>
      </c>
      <c r="R594">
        <f>'[1]2026 Orders'!P595</f>
        <v>0</v>
      </c>
      <c r="S594">
        <f>'[1]2026 Orders'!Q595</f>
        <v>0</v>
      </c>
      <c r="T594">
        <f>'[1]2026 Orders'!R595</f>
        <v>0</v>
      </c>
      <c r="U594">
        <f>'[1]2026 Orders'!S595</f>
        <v>0</v>
      </c>
      <c r="V594">
        <f>'[1]2026 Orders'!T595</f>
        <v>0</v>
      </c>
      <c r="W594">
        <f>'[1]2026 Orders'!U595</f>
        <v>0</v>
      </c>
      <c r="X594">
        <f>'[1]2026 Orders'!V595</f>
        <v>0</v>
      </c>
      <c r="Y594">
        <f>'[1]2026 Orders'!W595</f>
        <v>0</v>
      </c>
      <c r="Z594">
        <f>'[1]2026 Orders'!X595</f>
        <v>0</v>
      </c>
      <c r="AC594" t="str">
        <f t="shared" si="18"/>
        <v/>
      </c>
      <c r="AD594" t="str">
        <f t="shared" si="19"/>
        <v/>
      </c>
    </row>
    <row r="595" spans="1:30" ht="33" hidden="1" customHeight="1" x14ac:dyDescent="0.3">
      <c r="A595">
        <f>'[1]2026 Orders'!A596</f>
        <v>0</v>
      </c>
      <c r="B595" s="14">
        <f>'[1]2026 Orders'!B596</f>
        <v>0</v>
      </c>
      <c r="C595" s="14">
        <f>'[1]2026 Orders'!C596</f>
        <v>0</v>
      </c>
      <c r="D595" s="14">
        <f>'[1]2026 Orders'!D596</f>
        <v>0</v>
      </c>
      <c r="E595" s="17" t="str" cm="1">
        <f t="array" ref="E595">IF(C595=0,"",
HYPERLINK(
"#'2026 Orders'!C"&amp;
MATCH(1,
('2026 Orders'!C:C=C595)*
('2026 Orders'!G:G=G595)*
('2026 Orders'!N:N=N595),
0),
"Open "&amp;C595
))</f>
        <v/>
      </c>
      <c r="F595" s="14">
        <f>'[1]2026 Orders'!F596</f>
        <v>0</v>
      </c>
      <c r="G595" s="14">
        <f>'[1]2026 Orders'!G596</f>
        <v>0</v>
      </c>
      <c r="H595" s="14" t="str" cm="1">
        <f t="array" ref="H595">IFERROR(_xlfn.TEXTJOIN("-",,INDEX(_xlfn.TEXTSPLIT(TableTake[[#This Row],[SKU]],"-"),{1,2})),"")</f>
        <v/>
      </c>
      <c r="I595" s="15" t="str">
        <f>IFERROR(_xlfn.TEXTAFTER(TableTake[[#This Row],[SKU]],"-",-1),"")</f>
        <v/>
      </c>
      <c r="J595" s="14">
        <f>'[1]2026 Orders'!H596</f>
        <v>0</v>
      </c>
      <c r="K595">
        <f>'[1]2026 Orders'!I596</f>
        <v>0</v>
      </c>
      <c r="L595">
        <f>'[1]2026 Orders'!J596</f>
        <v>0</v>
      </c>
      <c r="N595" s="10">
        <f>'[1]2026 Orders'!L596</f>
        <v>0</v>
      </c>
      <c r="O595">
        <f>'[1]2026 Orders'!M596</f>
        <v>0</v>
      </c>
      <c r="P595">
        <f>'[1]2026 Orders'!N596</f>
        <v>0</v>
      </c>
      <c r="Q595">
        <f>'[1]2026 Orders'!O596</f>
        <v>0</v>
      </c>
      <c r="R595">
        <f>'[1]2026 Orders'!P596</f>
        <v>0</v>
      </c>
      <c r="S595">
        <f>'[1]2026 Orders'!Q596</f>
        <v>0</v>
      </c>
      <c r="T595">
        <f>'[1]2026 Orders'!R596</f>
        <v>0</v>
      </c>
      <c r="U595">
        <f>'[1]2026 Orders'!S596</f>
        <v>0</v>
      </c>
      <c r="V595">
        <f>'[1]2026 Orders'!T596</f>
        <v>0</v>
      </c>
      <c r="W595">
        <f>'[1]2026 Orders'!U596</f>
        <v>0</v>
      </c>
      <c r="X595">
        <f>'[1]2026 Orders'!V596</f>
        <v>0</v>
      </c>
      <c r="Y595">
        <f>'[1]2026 Orders'!W596</f>
        <v>0</v>
      </c>
      <c r="Z595">
        <f>'[1]2026 Orders'!X596</f>
        <v>0</v>
      </c>
      <c r="AC595" t="str">
        <f t="shared" si="18"/>
        <v/>
      </c>
      <c r="AD595" t="str">
        <f t="shared" si="19"/>
        <v/>
      </c>
    </row>
    <row r="596" spans="1:30" ht="33" hidden="1" customHeight="1" x14ac:dyDescent="0.3">
      <c r="A596">
        <f>'[1]2026 Orders'!A597</f>
        <v>0</v>
      </c>
      <c r="B596" s="14">
        <f>'[1]2026 Orders'!B597</f>
        <v>0</v>
      </c>
      <c r="C596" s="14">
        <f>'[1]2026 Orders'!C597</f>
        <v>0</v>
      </c>
      <c r="D596" s="14">
        <f>'[1]2026 Orders'!D597</f>
        <v>0</v>
      </c>
      <c r="E596" s="17" t="str" cm="1">
        <f t="array" ref="E596">IF(C596=0,"",
HYPERLINK(
"#'2026 Orders'!C"&amp;
MATCH(1,
('2026 Orders'!C:C=C596)*
('2026 Orders'!G:G=G596)*
('2026 Orders'!N:N=N596),
0),
"Open "&amp;C596
))</f>
        <v/>
      </c>
      <c r="F596" s="14">
        <f>'[1]2026 Orders'!F597</f>
        <v>0</v>
      </c>
      <c r="G596" s="14">
        <f>'[1]2026 Orders'!G597</f>
        <v>0</v>
      </c>
      <c r="H596" s="14" t="str" cm="1">
        <f t="array" ref="H596">IFERROR(_xlfn.TEXTJOIN("-",,INDEX(_xlfn.TEXTSPLIT(TableTake[[#This Row],[SKU]],"-"),{1,2})),"")</f>
        <v/>
      </c>
      <c r="I596" s="15" t="str">
        <f>IFERROR(_xlfn.TEXTAFTER(TableTake[[#This Row],[SKU]],"-",-1),"")</f>
        <v/>
      </c>
      <c r="J596" s="14">
        <f>'[1]2026 Orders'!H597</f>
        <v>0</v>
      </c>
      <c r="K596">
        <f>'[1]2026 Orders'!I597</f>
        <v>0</v>
      </c>
      <c r="L596">
        <f>'[1]2026 Orders'!J597</f>
        <v>0</v>
      </c>
      <c r="N596" s="10">
        <f>'[1]2026 Orders'!L597</f>
        <v>0</v>
      </c>
      <c r="O596">
        <f>'[1]2026 Orders'!M597</f>
        <v>0</v>
      </c>
      <c r="P596">
        <f>'[1]2026 Orders'!N597</f>
        <v>0</v>
      </c>
      <c r="Q596">
        <f>'[1]2026 Orders'!O597</f>
        <v>0</v>
      </c>
      <c r="R596">
        <f>'[1]2026 Orders'!P597</f>
        <v>0</v>
      </c>
      <c r="S596">
        <f>'[1]2026 Orders'!Q597</f>
        <v>0</v>
      </c>
      <c r="T596">
        <f>'[1]2026 Orders'!R597</f>
        <v>0</v>
      </c>
      <c r="U596">
        <f>'[1]2026 Orders'!S597</f>
        <v>0</v>
      </c>
      <c r="V596">
        <f>'[1]2026 Orders'!T597</f>
        <v>0</v>
      </c>
      <c r="W596">
        <f>'[1]2026 Orders'!U597</f>
        <v>0</v>
      </c>
      <c r="X596">
        <f>'[1]2026 Orders'!V597</f>
        <v>0</v>
      </c>
      <c r="Y596">
        <f>'[1]2026 Orders'!W597</f>
        <v>0</v>
      </c>
      <c r="Z596">
        <f>'[1]2026 Orders'!X597</f>
        <v>0</v>
      </c>
      <c r="AC596" t="str">
        <f t="shared" si="18"/>
        <v/>
      </c>
      <c r="AD596" t="str">
        <f t="shared" si="19"/>
        <v/>
      </c>
    </row>
    <row r="597" spans="1:30" ht="33" hidden="1" customHeight="1" x14ac:dyDescent="0.3">
      <c r="A597">
        <f>'[1]2026 Orders'!A598</f>
        <v>0</v>
      </c>
      <c r="B597" s="14">
        <f>'[1]2026 Orders'!B598</f>
        <v>0</v>
      </c>
      <c r="C597" s="14">
        <f>'[1]2026 Orders'!C598</f>
        <v>0</v>
      </c>
      <c r="D597" s="14">
        <f>'[1]2026 Orders'!D598</f>
        <v>0</v>
      </c>
      <c r="E597" s="17" t="str" cm="1">
        <f t="array" ref="E597">IF(C597=0,"",
HYPERLINK(
"#'2026 Orders'!C"&amp;
MATCH(1,
('2026 Orders'!C:C=C597)*
('2026 Orders'!G:G=G597)*
('2026 Orders'!N:N=N597),
0),
"Open "&amp;C597
))</f>
        <v/>
      </c>
      <c r="F597" s="14">
        <f>'[1]2026 Orders'!F598</f>
        <v>0</v>
      </c>
      <c r="G597" s="14">
        <f>'[1]2026 Orders'!G598</f>
        <v>0</v>
      </c>
      <c r="H597" s="14" t="str" cm="1">
        <f t="array" ref="H597">IFERROR(_xlfn.TEXTJOIN("-",,INDEX(_xlfn.TEXTSPLIT(TableTake[[#This Row],[SKU]],"-"),{1,2})),"")</f>
        <v/>
      </c>
      <c r="I597" s="15" t="str">
        <f>IFERROR(_xlfn.TEXTAFTER(TableTake[[#This Row],[SKU]],"-",-1),"")</f>
        <v/>
      </c>
      <c r="J597" s="14">
        <f>'[1]2026 Orders'!H598</f>
        <v>0</v>
      </c>
      <c r="K597">
        <f>'[1]2026 Orders'!I598</f>
        <v>0</v>
      </c>
      <c r="L597">
        <f>'[1]2026 Orders'!J598</f>
        <v>0</v>
      </c>
      <c r="N597" s="10">
        <f>'[1]2026 Orders'!L598</f>
        <v>0</v>
      </c>
      <c r="O597">
        <f>'[1]2026 Orders'!M598</f>
        <v>0</v>
      </c>
      <c r="P597">
        <f>'[1]2026 Orders'!N598</f>
        <v>0</v>
      </c>
      <c r="Q597">
        <f>'[1]2026 Orders'!O598</f>
        <v>0</v>
      </c>
      <c r="R597">
        <f>'[1]2026 Orders'!P598</f>
        <v>0</v>
      </c>
      <c r="S597">
        <f>'[1]2026 Orders'!Q598</f>
        <v>0</v>
      </c>
      <c r="T597">
        <f>'[1]2026 Orders'!R598</f>
        <v>0</v>
      </c>
      <c r="U597">
        <f>'[1]2026 Orders'!S598</f>
        <v>0</v>
      </c>
      <c r="V597">
        <f>'[1]2026 Orders'!T598</f>
        <v>0</v>
      </c>
      <c r="W597">
        <f>'[1]2026 Orders'!U598</f>
        <v>0</v>
      </c>
      <c r="X597">
        <f>'[1]2026 Orders'!V598</f>
        <v>0</v>
      </c>
      <c r="Y597">
        <f>'[1]2026 Orders'!W598</f>
        <v>0</v>
      </c>
      <c r="Z597">
        <f>'[1]2026 Orders'!X598</f>
        <v>0</v>
      </c>
      <c r="AC597" t="str">
        <f t="shared" si="18"/>
        <v/>
      </c>
      <c r="AD597" t="str">
        <f t="shared" si="19"/>
        <v/>
      </c>
    </row>
    <row r="598" spans="1:30" ht="33" hidden="1" customHeight="1" x14ac:dyDescent="0.3">
      <c r="A598">
        <f>'[1]2026 Orders'!A599</f>
        <v>0</v>
      </c>
      <c r="B598" s="14">
        <f>'[1]2026 Orders'!B599</f>
        <v>0</v>
      </c>
      <c r="C598" s="14">
        <f>'[1]2026 Orders'!C599</f>
        <v>0</v>
      </c>
      <c r="D598" s="14">
        <f>'[1]2026 Orders'!D599</f>
        <v>0</v>
      </c>
      <c r="E598" s="17" t="str" cm="1">
        <f t="array" ref="E598">IF(C598=0,"",
HYPERLINK(
"#'2026 Orders'!C"&amp;
MATCH(1,
('2026 Orders'!C:C=C598)*
('2026 Orders'!G:G=G598)*
('2026 Orders'!N:N=N598),
0),
"Open "&amp;C598
))</f>
        <v/>
      </c>
      <c r="F598" s="14">
        <f>'[1]2026 Orders'!F599</f>
        <v>0</v>
      </c>
      <c r="G598" s="14">
        <f>'[1]2026 Orders'!G599</f>
        <v>0</v>
      </c>
      <c r="H598" s="14" t="str" cm="1">
        <f t="array" ref="H598">IFERROR(_xlfn.TEXTJOIN("-",,INDEX(_xlfn.TEXTSPLIT(TableTake[[#This Row],[SKU]],"-"),{1,2})),"")</f>
        <v/>
      </c>
      <c r="I598" s="15" t="str">
        <f>IFERROR(_xlfn.TEXTAFTER(TableTake[[#This Row],[SKU]],"-",-1),"")</f>
        <v/>
      </c>
      <c r="J598" s="14">
        <f>'[1]2026 Orders'!H599</f>
        <v>0</v>
      </c>
      <c r="K598">
        <f>'[1]2026 Orders'!I599</f>
        <v>0</v>
      </c>
      <c r="L598">
        <f>'[1]2026 Orders'!J599</f>
        <v>0</v>
      </c>
      <c r="N598" s="10">
        <f>'[1]2026 Orders'!L599</f>
        <v>0</v>
      </c>
      <c r="O598">
        <f>'[1]2026 Orders'!M599</f>
        <v>0</v>
      </c>
      <c r="P598">
        <f>'[1]2026 Orders'!N599</f>
        <v>0</v>
      </c>
      <c r="Q598">
        <f>'[1]2026 Orders'!O599</f>
        <v>0</v>
      </c>
      <c r="R598">
        <f>'[1]2026 Orders'!P599</f>
        <v>0</v>
      </c>
      <c r="S598">
        <f>'[1]2026 Orders'!Q599</f>
        <v>0</v>
      </c>
      <c r="T598">
        <f>'[1]2026 Orders'!R599</f>
        <v>0</v>
      </c>
      <c r="U598">
        <f>'[1]2026 Orders'!S599</f>
        <v>0</v>
      </c>
      <c r="V598">
        <f>'[1]2026 Orders'!T599</f>
        <v>0</v>
      </c>
      <c r="W598">
        <f>'[1]2026 Orders'!U599</f>
        <v>0</v>
      </c>
      <c r="X598">
        <f>'[1]2026 Orders'!V599</f>
        <v>0</v>
      </c>
      <c r="Y598">
        <f>'[1]2026 Orders'!W599</f>
        <v>0</v>
      </c>
      <c r="Z598">
        <f>'[1]2026 Orders'!X599</f>
        <v>0</v>
      </c>
      <c r="AC598" t="str">
        <f t="shared" si="18"/>
        <v/>
      </c>
      <c r="AD598" t="str">
        <f t="shared" si="19"/>
        <v/>
      </c>
    </row>
    <row r="599" spans="1:30" ht="33" hidden="1" customHeight="1" x14ac:dyDescent="0.3">
      <c r="A599">
        <f>'[1]2026 Orders'!A600</f>
        <v>0</v>
      </c>
      <c r="B599" s="14">
        <f>'[1]2026 Orders'!B600</f>
        <v>0</v>
      </c>
      <c r="C599" s="14">
        <f>'[1]2026 Orders'!C600</f>
        <v>0</v>
      </c>
      <c r="D599" s="14">
        <f>'[1]2026 Orders'!D600</f>
        <v>0</v>
      </c>
      <c r="E599" s="17" t="str" cm="1">
        <f t="array" ref="E599">IF(C599=0,"",
HYPERLINK(
"#'2026 Orders'!C"&amp;
MATCH(1,
('2026 Orders'!C:C=C599)*
('2026 Orders'!G:G=G599)*
('2026 Orders'!N:N=N599),
0),
"Open "&amp;C599
))</f>
        <v/>
      </c>
      <c r="F599" s="14">
        <f>'[1]2026 Orders'!F600</f>
        <v>0</v>
      </c>
      <c r="G599" s="14">
        <f>'[1]2026 Orders'!G600</f>
        <v>0</v>
      </c>
      <c r="H599" s="14" t="str" cm="1">
        <f t="array" ref="H599">IFERROR(_xlfn.TEXTJOIN("-",,INDEX(_xlfn.TEXTSPLIT(TableTake[[#This Row],[SKU]],"-"),{1,2})),"")</f>
        <v/>
      </c>
      <c r="I599" s="15" t="str">
        <f>IFERROR(_xlfn.TEXTAFTER(TableTake[[#This Row],[SKU]],"-",-1),"")</f>
        <v/>
      </c>
      <c r="J599" s="14">
        <f>'[1]2026 Orders'!H600</f>
        <v>0</v>
      </c>
      <c r="K599">
        <f>'[1]2026 Orders'!I600</f>
        <v>0</v>
      </c>
      <c r="L599">
        <f>'[1]2026 Orders'!J600</f>
        <v>0</v>
      </c>
      <c r="N599" s="10">
        <f>'[1]2026 Orders'!L600</f>
        <v>0</v>
      </c>
      <c r="O599">
        <f>'[1]2026 Orders'!M600</f>
        <v>0</v>
      </c>
      <c r="P599">
        <f>'[1]2026 Orders'!N600</f>
        <v>0</v>
      </c>
      <c r="Q599">
        <f>'[1]2026 Orders'!O600</f>
        <v>0</v>
      </c>
      <c r="R599">
        <f>'[1]2026 Orders'!P600</f>
        <v>0</v>
      </c>
      <c r="S599">
        <f>'[1]2026 Orders'!Q600</f>
        <v>0</v>
      </c>
      <c r="T599">
        <f>'[1]2026 Orders'!R600</f>
        <v>0</v>
      </c>
      <c r="U599">
        <f>'[1]2026 Orders'!S600</f>
        <v>0</v>
      </c>
      <c r="V599">
        <f>'[1]2026 Orders'!T600</f>
        <v>0</v>
      </c>
      <c r="W599">
        <f>'[1]2026 Orders'!U600</f>
        <v>0</v>
      </c>
      <c r="X599">
        <f>'[1]2026 Orders'!V600</f>
        <v>0</v>
      </c>
      <c r="Y599">
        <f>'[1]2026 Orders'!W600</f>
        <v>0</v>
      </c>
      <c r="Z599">
        <f>'[1]2026 Orders'!X600</f>
        <v>0</v>
      </c>
      <c r="AC599" t="str">
        <f t="shared" si="18"/>
        <v/>
      </c>
      <c r="AD599" t="str">
        <f t="shared" si="19"/>
        <v/>
      </c>
    </row>
    <row r="600" spans="1:30" ht="33" hidden="1" customHeight="1" x14ac:dyDescent="0.3">
      <c r="A600">
        <f>'[1]2026 Orders'!A601</f>
        <v>0</v>
      </c>
      <c r="B600" s="14">
        <f>'[1]2026 Orders'!B601</f>
        <v>0</v>
      </c>
      <c r="C600" s="14">
        <f>'[1]2026 Orders'!C601</f>
        <v>0</v>
      </c>
      <c r="D600" s="14">
        <f>'[1]2026 Orders'!D601</f>
        <v>0</v>
      </c>
      <c r="E600" s="17" t="str" cm="1">
        <f t="array" ref="E600">IF(C600=0,"",
HYPERLINK(
"#'2026 Orders'!C"&amp;
MATCH(1,
('2026 Orders'!C:C=C600)*
('2026 Orders'!G:G=G600)*
('2026 Orders'!N:N=N600),
0),
"Open "&amp;C600
))</f>
        <v/>
      </c>
      <c r="F600" s="14">
        <f>'[1]2026 Orders'!F601</f>
        <v>0</v>
      </c>
      <c r="G600" s="14">
        <f>'[1]2026 Orders'!G601</f>
        <v>0</v>
      </c>
      <c r="H600" s="14" t="str" cm="1">
        <f t="array" ref="H600">IFERROR(_xlfn.TEXTJOIN("-",,INDEX(_xlfn.TEXTSPLIT(TableTake[[#This Row],[SKU]],"-"),{1,2})),"")</f>
        <v/>
      </c>
      <c r="I600" s="15" t="str">
        <f>IFERROR(_xlfn.TEXTAFTER(TableTake[[#This Row],[SKU]],"-",-1),"")</f>
        <v/>
      </c>
      <c r="J600" s="14">
        <f>'[1]2026 Orders'!H601</f>
        <v>0</v>
      </c>
      <c r="K600">
        <f>'[1]2026 Orders'!I601</f>
        <v>0</v>
      </c>
      <c r="L600">
        <f>'[1]2026 Orders'!J601</f>
        <v>0</v>
      </c>
      <c r="N600" s="10">
        <f>'[1]2026 Orders'!L601</f>
        <v>0</v>
      </c>
      <c r="O600">
        <f>'[1]2026 Orders'!M601</f>
        <v>0</v>
      </c>
      <c r="P600">
        <f>'[1]2026 Orders'!N601</f>
        <v>0</v>
      </c>
      <c r="Q600">
        <f>'[1]2026 Orders'!O601</f>
        <v>0</v>
      </c>
      <c r="R600">
        <f>'[1]2026 Orders'!P601</f>
        <v>0</v>
      </c>
      <c r="S600">
        <f>'[1]2026 Orders'!Q601</f>
        <v>0</v>
      </c>
      <c r="T600">
        <f>'[1]2026 Orders'!R601</f>
        <v>0</v>
      </c>
      <c r="U600">
        <f>'[1]2026 Orders'!S601</f>
        <v>0</v>
      </c>
      <c r="V600">
        <f>'[1]2026 Orders'!T601</f>
        <v>0</v>
      </c>
      <c r="W600">
        <f>'[1]2026 Orders'!U601</f>
        <v>0</v>
      </c>
      <c r="X600">
        <f>'[1]2026 Orders'!V601</f>
        <v>0</v>
      </c>
      <c r="Y600">
        <f>'[1]2026 Orders'!W601</f>
        <v>0</v>
      </c>
      <c r="Z600">
        <f>'[1]2026 Orders'!X601</f>
        <v>0</v>
      </c>
      <c r="AC600" t="str">
        <f t="shared" si="18"/>
        <v/>
      </c>
      <c r="AD600" t="str">
        <f t="shared" si="19"/>
        <v/>
      </c>
    </row>
    <row r="601" spans="1:30" ht="33" hidden="1" customHeight="1" x14ac:dyDescent="0.3">
      <c r="A601">
        <f>'[1]2026 Orders'!A602</f>
        <v>0</v>
      </c>
      <c r="B601" s="14">
        <f>'[1]2026 Orders'!B602</f>
        <v>0</v>
      </c>
      <c r="C601" s="14">
        <f>'[1]2026 Orders'!C602</f>
        <v>0</v>
      </c>
      <c r="D601" s="14">
        <f>'[1]2026 Orders'!D602</f>
        <v>0</v>
      </c>
      <c r="E601" s="17" t="str" cm="1">
        <f t="array" ref="E601">IF(C601=0,"",
HYPERLINK(
"#'2026 Orders'!C"&amp;
MATCH(1,
('2026 Orders'!C:C=C601)*
('2026 Orders'!G:G=G601)*
('2026 Orders'!N:N=N601),
0),
"Open "&amp;C601
))</f>
        <v/>
      </c>
      <c r="F601" s="14">
        <f>'[1]2026 Orders'!F602</f>
        <v>0</v>
      </c>
      <c r="G601" s="14">
        <f>'[1]2026 Orders'!G602</f>
        <v>0</v>
      </c>
      <c r="H601" s="14" t="str" cm="1">
        <f t="array" ref="H601">IFERROR(_xlfn.TEXTJOIN("-",,INDEX(_xlfn.TEXTSPLIT(TableTake[[#This Row],[SKU]],"-"),{1,2})),"")</f>
        <v/>
      </c>
      <c r="I601" s="15" t="str">
        <f>IFERROR(_xlfn.TEXTAFTER(TableTake[[#This Row],[SKU]],"-",-1),"")</f>
        <v/>
      </c>
      <c r="J601" s="14">
        <f>'[1]2026 Orders'!H602</f>
        <v>0</v>
      </c>
      <c r="K601">
        <f>'[1]2026 Orders'!I602</f>
        <v>0</v>
      </c>
      <c r="L601">
        <f>'[1]2026 Orders'!J602</f>
        <v>0</v>
      </c>
      <c r="N601" s="10">
        <f>'[1]2026 Orders'!L602</f>
        <v>0</v>
      </c>
      <c r="O601">
        <f>'[1]2026 Orders'!M602</f>
        <v>0</v>
      </c>
      <c r="P601">
        <f>'[1]2026 Orders'!N602</f>
        <v>0</v>
      </c>
      <c r="Q601">
        <f>'[1]2026 Orders'!O602</f>
        <v>0</v>
      </c>
      <c r="R601">
        <f>'[1]2026 Orders'!P602</f>
        <v>0</v>
      </c>
      <c r="S601">
        <f>'[1]2026 Orders'!Q602</f>
        <v>0</v>
      </c>
      <c r="T601">
        <f>'[1]2026 Orders'!R602</f>
        <v>0</v>
      </c>
      <c r="U601">
        <f>'[1]2026 Orders'!S602</f>
        <v>0</v>
      </c>
      <c r="V601">
        <f>'[1]2026 Orders'!T602</f>
        <v>0</v>
      </c>
      <c r="W601">
        <f>'[1]2026 Orders'!U602</f>
        <v>0</v>
      </c>
      <c r="X601">
        <f>'[1]2026 Orders'!V602</f>
        <v>0</v>
      </c>
      <c r="Y601">
        <f>'[1]2026 Orders'!W602</f>
        <v>0</v>
      </c>
      <c r="Z601">
        <f>'[1]2026 Orders'!X602</f>
        <v>0</v>
      </c>
      <c r="AC601" t="str">
        <f t="shared" si="18"/>
        <v/>
      </c>
      <c r="AD601" t="str">
        <f t="shared" si="19"/>
        <v/>
      </c>
    </row>
    <row r="602" spans="1:30" ht="33" hidden="1" customHeight="1" x14ac:dyDescent="0.3">
      <c r="A602">
        <f>'[1]2026 Orders'!A603</f>
        <v>0</v>
      </c>
      <c r="B602" s="14">
        <f>'[1]2026 Orders'!B603</f>
        <v>0</v>
      </c>
      <c r="C602" s="14">
        <f>'[1]2026 Orders'!C603</f>
        <v>0</v>
      </c>
      <c r="D602" s="14">
        <f>'[1]2026 Orders'!D603</f>
        <v>0</v>
      </c>
      <c r="E602" s="17" t="str" cm="1">
        <f t="array" ref="E602">IF(C602=0,"",
HYPERLINK(
"#'2026 Orders'!C"&amp;
MATCH(1,
('2026 Orders'!C:C=C602)*
('2026 Orders'!G:G=G602)*
('2026 Orders'!N:N=N602),
0),
"Open "&amp;C602
))</f>
        <v/>
      </c>
      <c r="F602" s="14">
        <f>'[1]2026 Orders'!F603</f>
        <v>0</v>
      </c>
      <c r="G602" s="14">
        <f>'[1]2026 Orders'!G603</f>
        <v>0</v>
      </c>
      <c r="H602" s="14" t="str" cm="1">
        <f t="array" ref="H602">IFERROR(_xlfn.TEXTJOIN("-",,INDEX(_xlfn.TEXTSPLIT(TableTake[[#This Row],[SKU]],"-"),{1,2})),"")</f>
        <v/>
      </c>
      <c r="I602" s="15" t="str">
        <f>IFERROR(_xlfn.TEXTAFTER(TableTake[[#This Row],[SKU]],"-",-1),"")</f>
        <v/>
      </c>
      <c r="J602" s="14">
        <f>'[1]2026 Orders'!H603</f>
        <v>0</v>
      </c>
      <c r="K602">
        <f>'[1]2026 Orders'!I603</f>
        <v>0</v>
      </c>
      <c r="L602">
        <f>'[1]2026 Orders'!J603</f>
        <v>0</v>
      </c>
      <c r="N602" s="10">
        <f>'[1]2026 Orders'!L603</f>
        <v>0</v>
      </c>
      <c r="O602">
        <f>'[1]2026 Orders'!M603</f>
        <v>0</v>
      </c>
      <c r="P602">
        <f>'[1]2026 Orders'!N603</f>
        <v>0</v>
      </c>
      <c r="Q602">
        <f>'[1]2026 Orders'!O603</f>
        <v>0</v>
      </c>
      <c r="R602">
        <f>'[1]2026 Orders'!P603</f>
        <v>0</v>
      </c>
      <c r="S602">
        <f>'[1]2026 Orders'!Q603</f>
        <v>0</v>
      </c>
      <c r="T602">
        <f>'[1]2026 Orders'!R603</f>
        <v>0</v>
      </c>
      <c r="U602">
        <f>'[1]2026 Orders'!S603</f>
        <v>0</v>
      </c>
      <c r="V602">
        <f>'[1]2026 Orders'!T603</f>
        <v>0</v>
      </c>
      <c r="W602">
        <f>'[1]2026 Orders'!U603</f>
        <v>0</v>
      </c>
      <c r="X602">
        <f>'[1]2026 Orders'!V603</f>
        <v>0</v>
      </c>
      <c r="Y602">
        <f>'[1]2026 Orders'!W603</f>
        <v>0</v>
      </c>
      <c r="Z602">
        <f>'[1]2026 Orders'!X603</f>
        <v>0</v>
      </c>
      <c r="AC602" t="str">
        <f t="shared" si="18"/>
        <v/>
      </c>
      <c r="AD602" t="str">
        <f t="shared" si="19"/>
        <v/>
      </c>
    </row>
    <row r="603" spans="1:30" ht="33" hidden="1" customHeight="1" x14ac:dyDescent="0.3">
      <c r="A603">
        <f>'[1]2026 Orders'!A604</f>
        <v>0</v>
      </c>
      <c r="B603" s="14">
        <f>'[1]2026 Orders'!B604</f>
        <v>0</v>
      </c>
      <c r="C603" s="14">
        <f>'[1]2026 Orders'!C604</f>
        <v>0</v>
      </c>
      <c r="D603" s="14">
        <f>'[1]2026 Orders'!D604</f>
        <v>0</v>
      </c>
      <c r="E603" s="17" t="str" cm="1">
        <f t="array" ref="E603">IF(C603=0,"",
HYPERLINK(
"#'2026 Orders'!C"&amp;
MATCH(1,
('2026 Orders'!C:C=C603)*
('2026 Orders'!G:G=G603)*
('2026 Orders'!N:N=N603),
0),
"Open "&amp;C603
))</f>
        <v/>
      </c>
      <c r="F603" s="14">
        <f>'[1]2026 Orders'!F604</f>
        <v>0</v>
      </c>
      <c r="G603" s="14">
        <f>'[1]2026 Orders'!G604</f>
        <v>0</v>
      </c>
      <c r="H603" s="14" t="str" cm="1">
        <f t="array" ref="H603">IFERROR(_xlfn.TEXTJOIN("-",,INDEX(_xlfn.TEXTSPLIT(TableTake[[#This Row],[SKU]],"-"),{1,2})),"")</f>
        <v/>
      </c>
      <c r="I603" s="15" t="str">
        <f>IFERROR(_xlfn.TEXTAFTER(TableTake[[#This Row],[SKU]],"-",-1),"")</f>
        <v/>
      </c>
      <c r="J603" s="14">
        <f>'[1]2026 Orders'!H604</f>
        <v>0</v>
      </c>
      <c r="K603">
        <f>'[1]2026 Orders'!I604</f>
        <v>0</v>
      </c>
      <c r="L603">
        <f>'[1]2026 Orders'!J604</f>
        <v>0</v>
      </c>
      <c r="N603" s="10">
        <f>'[1]2026 Orders'!L604</f>
        <v>0</v>
      </c>
      <c r="O603">
        <f>'[1]2026 Orders'!M604</f>
        <v>0</v>
      </c>
      <c r="P603">
        <f>'[1]2026 Orders'!N604</f>
        <v>0</v>
      </c>
      <c r="Q603">
        <f>'[1]2026 Orders'!O604</f>
        <v>0</v>
      </c>
      <c r="R603">
        <f>'[1]2026 Orders'!P604</f>
        <v>0</v>
      </c>
      <c r="S603">
        <f>'[1]2026 Orders'!Q604</f>
        <v>0</v>
      </c>
      <c r="T603">
        <f>'[1]2026 Orders'!R604</f>
        <v>0</v>
      </c>
      <c r="U603">
        <f>'[1]2026 Orders'!S604</f>
        <v>0</v>
      </c>
      <c r="V603">
        <f>'[1]2026 Orders'!T604</f>
        <v>0</v>
      </c>
      <c r="W603">
        <f>'[1]2026 Orders'!U604</f>
        <v>0</v>
      </c>
      <c r="X603">
        <f>'[1]2026 Orders'!V604</f>
        <v>0</v>
      </c>
      <c r="Y603">
        <f>'[1]2026 Orders'!W604</f>
        <v>0</v>
      </c>
      <c r="Z603">
        <f>'[1]2026 Orders'!X604</f>
        <v>0</v>
      </c>
      <c r="AC603" t="str">
        <f t="shared" si="18"/>
        <v/>
      </c>
      <c r="AD603" t="str">
        <f t="shared" si="19"/>
        <v/>
      </c>
    </row>
    <row r="604" spans="1:30" ht="33" hidden="1" customHeight="1" x14ac:dyDescent="0.3">
      <c r="A604">
        <f>'[1]2026 Orders'!A605</f>
        <v>0</v>
      </c>
      <c r="B604" s="14">
        <f>'[1]2026 Orders'!B605</f>
        <v>0</v>
      </c>
      <c r="C604" s="14">
        <f>'[1]2026 Orders'!C605</f>
        <v>0</v>
      </c>
      <c r="D604" s="14">
        <f>'[1]2026 Orders'!D605</f>
        <v>0</v>
      </c>
      <c r="E604" s="17" t="str" cm="1">
        <f t="array" ref="E604">IF(C604=0,"",
HYPERLINK(
"#'2026 Orders'!C"&amp;
MATCH(1,
('2026 Orders'!C:C=C604)*
('2026 Orders'!G:G=G604)*
('2026 Orders'!N:N=N604),
0),
"Open "&amp;C604
))</f>
        <v/>
      </c>
      <c r="F604" s="14">
        <f>'[1]2026 Orders'!F605</f>
        <v>0</v>
      </c>
      <c r="G604" s="14">
        <f>'[1]2026 Orders'!G605</f>
        <v>0</v>
      </c>
      <c r="H604" s="14" t="str" cm="1">
        <f t="array" ref="H604">IFERROR(_xlfn.TEXTJOIN("-",,INDEX(_xlfn.TEXTSPLIT(TableTake[[#This Row],[SKU]],"-"),{1,2})),"")</f>
        <v/>
      </c>
      <c r="I604" s="15" t="str">
        <f>IFERROR(_xlfn.TEXTAFTER(TableTake[[#This Row],[SKU]],"-",-1),"")</f>
        <v/>
      </c>
      <c r="J604" s="14">
        <f>'[1]2026 Orders'!H605</f>
        <v>0</v>
      </c>
      <c r="K604">
        <f>'[1]2026 Orders'!I605</f>
        <v>0</v>
      </c>
      <c r="L604">
        <f>'[1]2026 Orders'!J605</f>
        <v>0</v>
      </c>
      <c r="N604" s="10">
        <f>'[1]2026 Orders'!L605</f>
        <v>0</v>
      </c>
      <c r="O604">
        <f>'[1]2026 Orders'!M605</f>
        <v>0</v>
      </c>
      <c r="P604">
        <f>'[1]2026 Orders'!N605</f>
        <v>0</v>
      </c>
      <c r="Q604">
        <f>'[1]2026 Orders'!O605</f>
        <v>0</v>
      </c>
      <c r="R604">
        <f>'[1]2026 Orders'!P605</f>
        <v>0</v>
      </c>
      <c r="S604">
        <f>'[1]2026 Orders'!Q605</f>
        <v>0</v>
      </c>
      <c r="T604">
        <f>'[1]2026 Orders'!R605</f>
        <v>0</v>
      </c>
      <c r="U604">
        <f>'[1]2026 Orders'!S605</f>
        <v>0</v>
      </c>
      <c r="V604">
        <f>'[1]2026 Orders'!T605</f>
        <v>0</v>
      </c>
      <c r="W604">
        <f>'[1]2026 Orders'!U605</f>
        <v>0</v>
      </c>
      <c r="X604">
        <f>'[1]2026 Orders'!V605</f>
        <v>0</v>
      </c>
      <c r="Y604">
        <f>'[1]2026 Orders'!W605</f>
        <v>0</v>
      </c>
      <c r="Z604">
        <f>'[1]2026 Orders'!X605</f>
        <v>0</v>
      </c>
      <c r="AC604" t="str">
        <f t="shared" si="18"/>
        <v/>
      </c>
      <c r="AD604" t="str">
        <f t="shared" si="19"/>
        <v/>
      </c>
    </row>
    <row r="605" spans="1:30" ht="33" hidden="1" customHeight="1" x14ac:dyDescent="0.3">
      <c r="A605">
        <f>'[1]2026 Orders'!A606</f>
        <v>0</v>
      </c>
      <c r="B605" s="14">
        <f>'[1]2026 Orders'!B606</f>
        <v>0</v>
      </c>
      <c r="C605" s="14">
        <f>'[1]2026 Orders'!C606</f>
        <v>0</v>
      </c>
      <c r="D605" s="14">
        <f>'[1]2026 Orders'!D606</f>
        <v>0</v>
      </c>
      <c r="E605" s="17" t="str" cm="1">
        <f t="array" ref="E605">IF(C605=0,"",
HYPERLINK(
"#'2026 Orders'!C"&amp;
MATCH(1,
('2026 Orders'!C:C=C605)*
('2026 Orders'!G:G=G605)*
('2026 Orders'!N:N=N605),
0),
"Open "&amp;C605
))</f>
        <v/>
      </c>
      <c r="F605" s="14">
        <f>'[1]2026 Orders'!F606</f>
        <v>0</v>
      </c>
      <c r="G605" s="14">
        <f>'[1]2026 Orders'!G606</f>
        <v>0</v>
      </c>
      <c r="H605" s="14" t="str" cm="1">
        <f t="array" ref="H605">IFERROR(_xlfn.TEXTJOIN("-",,INDEX(_xlfn.TEXTSPLIT(TableTake[[#This Row],[SKU]],"-"),{1,2})),"")</f>
        <v/>
      </c>
      <c r="I605" s="15" t="str">
        <f>IFERROR(_xlfn.TEXTAFTER(TableTake[[#This Row],[SKU]],"-",-1),"")</f>
        <v/>
      </c>
      <c r="J605" s="14">
        <f>'[1]2026 Orders'!H606</f>
        <v>0</v>
      </c>
      <c r="K605">
        <f>'[1]2026 Orders'!I606</f>
        <v>0</v>
      </c>
      <c r="L605">
        <f>'[1]2026 Orders'!J606</f>
        <v>0</v>
      </c>
      <c r="N605" s="10">
        <f>'[1]2026 Orders'!L606</f>
        <v>0</v>
      </c>
      <c r="O605">
        <f>'[1]2026 Orders'!M606</f>
        <v>0</v>
      </c>
      <c r="P605">
        <f>'[1]2026 Orders'!N606</f>
        <v>0</v>
      </c>
      <c r="Q605">
        <f>'[1]2026 Orders'!O606</f>
        <v>0</v>
      </c>
      <c r="R605">
        <f>'[1]2026 Orders'!P606</f>
        <v>0</v>
      </c>
      <c r="S605">
        <f>'[1]2026 Orders'!Q606</f>
        <v>0</v>
      </c>
      <c r="T605">
        <f>'[1]2026 Orders'!R606</f>
        <v>0</v>
      </c>
      <c r="U605">
        <f>'[1]2026 Orders'!S606</f>
        <v>0</v>
      </c>
      <c r="V605">
        <f>'[1]2026 Orders'!T606</f>
        <v>0</v>
      </c>
      <c r="W605">
        <f>'[1]2026 Orders'!U606</f>
        <v>0</v>
      </c>
      <c r="X605">
        <f>'[1]2026 Orders'!V606</f>
        <v>0</v>
      </c>
      <c r="Y605">
        <f>'[1]2026 Orders'!W606</f>
        <v>0</v>
      </c>
      <c r="Z605">
        <f>'[1]2026 Orders'!X606</f>
        <v>0</v>
      </c>
      <c r="AC605" t="str">
        <f t="shared" si="18"/>
        <v/>
      </c>
      <c r="AD605" t="str">
        <f t="shared" si="19"/>
        <v/>
      </c>
    </row>
    <row r="606" spans="1:30" ht="33" hidden="1" customHeight="1" x14ac:dyDescent="0.3">
      <c r="A606">
        <f>'[1]2026 Orders'!A607</f>
        <v>0</v>
      </c>
      <c r="B606" s="14">
        <f>'[1]2026 Orders'!B607</f>
        <v>0</v>
      </c>
      <c r="C606" s="14">
        <f>'[1]2026 Orders'!C607</f>
        <v>0</v>
      </c>
      <c r="D606" s="14">
        <f>'[1]2026 Orders'!D607</f>
        <v>0</v>
      </c>
      <c r="E606" s="17" t="str" cm="1">
        <f t="array" ref="E606">IF(C606=0,"",
HYPERLINK(
"#'2026 Orders'!C"&amp;
MATCH(1,
('2026 Orders'!C:C=C606)*
('2026 Orders'!G:G=G606)*
('2026 Orders'!N:N=N606),
0),
"Open "&amp;C606
))</f>
        <v/>
      </c>
      <c r="F606" s="14">
        <f>'[1]2026 Orders'!F607</f>
        <v>0</v>
      </c>
      <c r="G606" s="14">
        <f>'[1]2026 Orders'!G607</f>
        <v>0</v>
      </c>
      <c r="H606" s="14" t="str" cm="1">
        <f t="array" ref="H606">IFERROR(_xlfn.TEXTJOIN("-",,INDEX(_xlfn.TEXTSPLIT(TableTake[[#This Row],[SKU]],"-"),{1,2})),"")</f>
        <v/>
      </c>
      <c r="I606" s="15" t="str">
        <f>IFERROR(_xlfn.TEXTAFTER(TableTake[[#This Row],[SKU]],"-",-1),"")</f>
        <v/>
      </c>
      <c r="J606" s="14">
        <f>'[1]2026 Orders'!H607</f>
        <v>0</v>
      </c>
      <c r="K606">
        <f>'[1]2026 Orders'!I607</f>
        <v>0</v>
      </c>
      <c r="L606">
        <f>'[1]2026 Orders'!J607</f>
        <v>0</v>
      </c>
      <c r="N606" s="10">
        <f>'[1]2026 Orders'!L607</f>
        <v>0</v>
      </c>
      <c r="O606">
        <f>'[1]2026 Orders'!M607</f>
        <v>0</v>
      </c>
      <c r="P606">
        <f>'[1]2026 Orders'!N607</f>
        <v>0</v>
      </c>
      <c r="Q606">
        <f>'[1]2026 Orders'!O607</f>
        <v>0</v>
      </c>
      <c r="R606">
        <f>'[1]2026 Orders'!P607</f>
        <v>0</v>
      </c>
      <c r="S606">
        <f>'[1]2026 Orders'!Q607</f>
        <v>0</v>
      </c>
      <c r="T606">
        <f>'[1]2026 Orders'!R607</f>
        <v>0</v>
      </c>
      <c r="U606">
        <f>'[1]2026 Orders'!S607</f>
        <v>0</v>
      </c>
      <c r="V606">
        <f>'[1]2026 Orders'!T607</f>
        <v>0</v>
      </c>
      <c r="W606">
        <f>'[1]2026 Orders'!U607</f>
        <v>0</v>
      </c>
      <c r="X606">
        <f>'[1]2026 Orders'!V607</f>
        <v>0</v>
      </c>
      <c r="Y606">
        <f>'[1]2026 Orders'!W607</f>
        <v>0</v>
      </c>
      <c r="Z606">
        <f>'[1]2026 Orders'!X607</f>
        <v>0</v>
      </c>
      <c r="AC606" t="str">
        <f t="shared" si="18"/>
        <v/>
      </c>
      <c r="AD606" t="str">
        <f t="shared" si="19"/>
        <v/>
      </c>
    </row>
    <row r="607" spans="1:30" ht="33" hidden="1" customHeight="1" x14ac:dyDescent="0.3">
      <c r="A607">
        <f>'[1]2026 Orders'!A608</f>
        <v>0</v>
      </c>
      <c r="B607" s="14">
        <f>'[1]2026 Orders'!B608</f>
        <v>0</v>
      </c>
      <c r="C607" s="14">
        <f>'[1]2026 Orders'!C608</f>
        <v>0</v>
      </c>
      <c r="D607" s="14">
        <f>'[1]2026 Orders'!D608</f>
        <v>0</v>
      </c>
      <c r="E607" s="17" t="str" cm="1">
        <f t="array" ref="E607">IF(C607=0,"",
HYPERLINK(
"#'2026 Orders'!C"&amp;
MATCH(1,
('2026 Orders'!C:C=C607)*
('2026 Orders'!G:G=G607)*
('2026 Orders'!N:N=N607),
0),
"Open "&amp;C607
))</f>
        <v/>
      </c>
      <c r="F607" s="14">
        <f>'[1]2026 Orders'!F608</f>
        <v>0</v>
      </c>
      <c r="G607" s="14">
        <f>'[1]2026 Orders'!G608</f>
        <v>0</v>
      </c>
      <c r="H607" s="14" t="str" cm="1">
        <f t="array" ref="H607">IFERROR(_xlfn.TEXTJOIN("-",,INDEX(_xlfn.TEXTSPLIT(TableTake[[#This Row],[SKU]],"-"),{1,2})),"")</f>
        <v/>
      </c>
      <c r="I607" s="15" t="str">
        <f>IFERROR(_xlfn.TEXTAFTER(TableTake[[#This Row],[SKU]],"-",-1),"")</f>
        <v/>
      </c>
      <c r="J607" s="14">
        <f>'[1]2026 Orders'!H608</f>
        <v>0</v>
      </c>
      <c r="K607">
        <f>'[1]2026 Orders'!I608</f>
        <v>0</v>
      </c>
      <c r="L607">
        <f>'[1]2026 Orders'!J608</f>
        <v>0</v>
      </c>
      <c r="N607" s="10">
        <f>'[1]2026 Orders'!L608</f>
        <v>0</v>
      </c>
      <c r="O607">
        <f>'[1]2026 Orders'!M608</f>
        <v>0</v>
      </c>
      <c r="P607">
        <f>'[1]2026 Orders'!N608</f>
        <v>0</v>
      </c>
      <c r="Q607">
        <f>'[1]2026 Orders'!O608</f>
        <v>0</v>
      </c>
      <c r="R607">
        <f>'[1]2026 Orders'!P608</f>
        <v>0</v>
      </c>
      <c r="S607">
        <f>'[1]2026 Orders'!Q608</f>
        <v>0</v>
      </c>
      <c r="T607">
        <f>'[1]2026 Orders'!R608</f>
        <v>0</v>
      </c>
      <c r="U607">
        <f>'[1]2026 Orders'!S608</f>
        <v>0</v>
      </c>
      <c r="V607">
        <f>'[1]2026 Orders'!T608</f>
        <v>0</v>
      </c>
      <c r="W607">
        <f>'[1]2026 Orders'!U608</f>
        <v>0</v>
      </c>
      <c r="X607">
        <f>'[1]2026 Orders'!V608</f>
        <v>0</v>
      </c>
      <c r="Y607">
        <f>'[1]2026 Orders'!W608</f>
        <v>0</v>
      </c>
      <c r="Z607">
        <f>'[1]2026 Orders'!X608</f>
        <v>0</v>
      </c>
      <c r="AC607" t="str">
        <f t="shared" si="18"/>
        <v/>
      </c>
      <c r="AD607" t="str">
        <f t="shared" si="19"/>
        <v/>
      </c>
    </row>
    <row r="608" spans="1:30" ht="33" hidden="1" customHeight="1" x14ac:dyDescent="0.3">
      <c r="A608">
        <f>'[1]2026 Orders'!A609</f>
        <v>0</v>
      </c>
      <c r="B608" s="14">
        <f>'[1]2026 Orders'!B609</f>
        <v>0</v>
      </c>
      <c r="C608" s="14">
        <f>'[1]2026 Orders'!C609</f>
        <v>0</v>
      </c>
      <c r="D608" s="14">
        <f>'[1]2026 Orders'!D609</f>
        <v>0</v>
      </c>
      <c r="E608" s="17" t="str" cm="1">
        <f t="array" ref="E608">IF(C608=0,"",
HYPERLINK(
"#'2026 Orders'!C"&amp;
MATCH(1,
('2026 Orders'!C:C=C608)*
('2026 Orders'!G:G=G608)*
('2026 Orders'!N:N=N608),
0),
"Open "&amp;C608
))</f>
        <v/>
      </c>
      <c r="F608" s="14">
        <f>'[1]2026 Orders'!F609</f>
        <v>0</v>
      </c>
      <c r="G608" s="14">
        <f>'[1]2026 Orders'!G609</f>
        <v>0</v>
      </c>
      <c r="H608" s="14" t="str" cm="1">
        <f t="array" ref="H608">IFERROR(_xlfn.TEXTJOIN("-",,INDEX(_xlfn.TEXTSPLIT(TableTake[[#This Row],[SKU]],"-"),{1,2})),"")</f>
        <v/>
      </c>
      <c r="I608" s="15" t="str">
        <f>IFERROR(_xlfn.TEXTAFTER(TableTake[[#This Row],[SKU]],"-",-1),"")</f>
        <v/>
      </c>
      <c r="J608" s="14">
        <f>'[1]2026 Orders'!H609</f>
        <v>0</v>
      </c>
      <c r="K608">
        <f>'[1]2026 Orders'!I609</f>
        <v>0</v>
      </c>
      <c r="L608">
        <f>'[1]2026 Orders'!J609</f>
        <v>0</v>
      </c>
      <c r="N608" s="10">
        <f>'[1]2026 Orders'!L609</f>
        <v>0</v>
      </c>
      <c r="O608">
        <f>'[1]2026 Orders'!M609</f>
        <v>0</v>
      </c>
      <c r="P608">
        <f>'[1]2026 Orders'!N609</f>
        <v>0</v>
      </c>
      <c r="Q608">
        <f>'[1]2026 Orders'!O609</f>
        <v>0</v>
      </c>
      <c r="R608">
        <f>'[1]2026 Orders'!P609</f>
        <v>0</v>
      </c>
      <c r="S608">
        <f>'[1]2026 Orders'!Q609</f>
        <v>0</v>
      </c>
      <c r="T608">
        <f>'[1]2026 Orders'!R609</f>
        <v>0</v>
      </c>
      <c r="U608">
        <f>'[1]2026 Orders'!S609</f>
        <v>0</v>
      </c>
      <c r="V608">
        <f>'[1]2026 Orders'!T609</f>
        <v>0</v>
      </c>
      <c r="W608">
        <f>'[1]2026 Orders'!U609</f>
        <v>0</v>
      </c>
      <c r="X608">
        <f>'[1]2026 Orders'!V609</f>
        <v>0</v>
      </c>
      <c r="Y608">
        <f>'[1]2026 Orders'!W609</f>
        <v>0</v>
      </c>
      <c r="Z608">
        <f>'[1]2026 Orders'!X609</f>
        <v>0</v>
      </c>
      <c r="AC608" t="str">
        <f t="shared" si="18"/>
        <v/>
      </c>
      <c r="AD608" t="str">
        <f t="shared" si="19"/>
        <v/>
      </c>
    </row>
    <row r="609" spans="1:30" ht="33" hidden="1" customHeight="1" x14ac:dyDescent="0.3">
      <c r="A609">
        <f>'[1]2026 Orders'!A610</f>
        <v>0</v>
      </c>
      <c r="B609" s="14">
        <f>'[1]2026 Orders'!B610</f>
        <v>0</v>
      </c>
      <c r="C609" s="14">
        <f>'[1]2026 Orders'!C610</f>
        <v>0</v>
      </c>
      <c r="D609" s="14">
        <f>'[1]2026 Orders'!D610</f>
        <v>0</v>
      </c>
      <c r="E609" s="17" t="str" cm="1">
        <f t="array" ref="E609">IF(C609=0,"",
HYPERLINK(
"#'2026 Orders'!C"&amp;
MATCH(1,
('2026 Orders'!C:C=C609)*
('2026 Orders'!G:G=G609)*
('2026 Orders'!N:N=N609),
0),
"Open "&amp;C609
))</f>
        <v/>
      </c>
      <c r="F609" s="14">
        <f>'[1]2026 Orders'!F610</f>
        <v>0</v>
      </c>
      <c r="G609" s="14">
        <f>'[1]2026 Orders'!G610</f>
        <v>0</v>
      </c>
      <c r="H609" s="14" t="str" cm="1">
        <f t="array" ref="H609">IFERROR(_xlfn.TEXTJOIN("-",,INDEX(_xlfn.TEXTSPLIT(TableTake[[#This Row],[SKU]],"-"),{1,2})),"")</f>
        <v/>
      </c>
      <c r="I609" s="15" t="str">
        <f>IFERROR(_xlfn.TEXTAFTER(TableTake[[#This Row],[SKU]],"-",-1),"")</f>
        <v/>
      </c>
      <c r="J609" s="14">
        <f>'[1]2026 Orders'!H610</f>
        <v>0</v>
      </c>
      <c r="K609">
        <f>'[1]2026 Orders'!I610</f>
        <v>0</v>
      </c>
      <c r="L609">
        <f>'[1]2026 Orders'!J610</f>
        <v>0</v>
      </c>
      <c r="N609" s="10">
        <f>'[1]2026 Orders'!L610</f>
        <v>0</v>
      </c>
      <c r="O609">
        <f>'[1]2026 Orders'!M610</f>
        <v>0</v>
      </c>
      <c r="P609">
        <f>'[1]2026 Orders'!N610</f>
        <v>0</v>
      </c>
      <c r="Q609">
        <f>'[1]2026 Orders'!O610</f>
        <v>0</v>
      </c>
      <c r="R609">
        <f>'[1]2026 Orders'!P610</f>
        <v>0</v>
      </c>
      <c r="S609">
        <f>'[1]2026 Orders'!Q610</f>
        <v>0</v>
      </c>
      <c r="T609">
        <f>'[1]2026 Orders'!R610</f>
        <v>0</v>
      </c>
      <c r="U609">
        <f>'[1]2026 Orders'!S610</f>
        <v>0</v>
      </c>
      <c r="V609">
        <f>'[1]2026 Orders'!T610</f>
        <v>0</v>
      </c>
      <c r="W609">
        <f>'[1]2026 Orders'!U610</f>
        <v>0</v>
      </c>
      <c r="X609">
        <f>'[1]2026 Orders'!V610</f>
        <v>0</v>
      </c>
      <c r="Y609">
        <f>'[1]2026 Orders'!W610</f>
        <v>0</v>
      </c>
      <c r="Z609">
        <f>'[1]2026 Orders'!X610</f>
        <v>0</v>
      </c>
      <c r="AC609" t="str">
        <f t="shared" si="18"/>
        <v/>
      </c>
      <c r="AD609" t="str">
        <f t="shared" si="19"/>
        <v/>
      </c>
    </row>
    <row r="610" spans="1:30" ht="33" hidden="1" customHeight="1" x14ac:dyDescent="0.3">
      <c r="A610">
        <f>'[1]2026 Orders'!A611</f>
        <v>0</v>
      </c>
      <c r="B610" s="14">
        <f>'[1]2026 Orders'!B611</f>
        <v>0</v>
      </c>
      <c r="C610" s="14">
        <f>'[1]2026 Orders'!C611</f>
        <v>0</v>
      </c>
      <c r="D610" s="14">
        <f>'[1]2026 Orders'!D611</f>
        <v>0</v>
      </c>
      <c r="E610" s="17" t="str" cm="1">
        <f t="array" ref="E610">IF(C610=0,"",
HYPERLINK(
"#'2026 Orders'!C"&amp;
MATCH(1,
('2026 Orders'!C:C=C610)*
('2026 Orders'!G:G=G610)*
('2026 Orders'!N:N=N610),
0),
"Open "&amp;C610
))</f>
        <v/>
      </c>
      <c r="F610" s="14">
        <f>'[1]2026 Orders'!F611</f>
        <v>0</v>
      </c>
      <c r="G610" s="14">
        <f>'[1]2026 Orders'!G611</f>
        <v>0</v>
      </c>
      <c r="H610" s="14" t="str" cm="1">
        <f t="array" ref="H610">IFERROR(_xlfn.TEXTJOIN("-",,INDEX(_xlfn.TEXTSPLIT(TableTake[[#This Row],[SKU]],"-"),{1,2})),"")</f>
        <v/>
      </c>
      <c r="I610" s="15" t="str">
        <f>IFERROR(_xlfn.TEXTAFTER(TableTake[[#This Row],[SKU]],"-",-1),"")</f>
        <v/>
      </c>
      <c r="J610" s="14">
        <f>'[1]2026 Orders'!H611</f>
        <v>0</v>
      </c>
      <c r="K610">
        <f>'[1]2026 Orders'!I611</f>
        <v>0</v>
      </c>
      <c r="L610">
        <f>'[1]2026 Orders'!J611</f>
        <v>0</v>
      </c>
      <c r="N610" s="10">
        <f>'[1]2026 Orders'!L611</f>
        <v>0</v>
      </c>
      <c r="O610">
        <f>'[1]2026 Orders'!M611</f>
        <v>0</v>
      </c>
      <c r="P610">
        <f>'[1]2026 Orders'!N611</f>
        <v>0</v>
      </c>
      <c r="Q610">
        <f>'[1]2026 Orders'!O611</f>
        <v>0</v>
      </c>
      <c r="R610">
        <f>'[1]2026 Orders'!P611</f>
        <v>0</v>
      </c>
      <c r="S610">
        <f>'[1]2026 Orders'!Q611</f>
        <v>0</v>
      </c>
      <c r="T610">
        <f>'[1]2026 Orders'!R611</f>
        <v>0</v>
      </c>
      <c r="U610">
        <f>'[1]2026 Orders'!S611</f>
        <v>0</v>
      </c>
      <c r="V610">
        <f>'[1]2026 Orders'!T611</f>
        <v>0</v>
      </c>
      <c r="W610">
        <f>'[1]2026 Orders'!U611</f>
        <v>0</v>
      </c>
      <c r="X610">
        <f>'[1]2026 Orders'!V611</f>
        <v>0</v>
      </c>
      <c r="Y610">
        <f>'[1]2026 Orders'!W611</f>
        <v>0</v>
      </c>
      <c r="Z610">
        <f>'[1]2026 Orders'!X611</f>
        <v>0</v>
      </c>
      <c r="AC610" t="str">
        <f t="shared" si="18"/>
        <v/>
      </c>
      <c r="AD610" t="str">
        <f t="shared" si="19"/>
        <v/>
      </c>
    </row>
    <row r="611" spans="1:30" ht="33" hidden="1" customHeight="1" x14ac:dyDescent="0.3">
      <c r="A611">
        <f>'[1]2026 Orders'!A612</f>
        <v>0</v>
      </c>
      <c r="B611" s="14">
        <f>'[1]2026 Orders'!B612</f>
        <v>0</v>
      </c>
      <c r="C611" s="14">
        <f>'[1]2026 Orders'!C612</f>
        <v>0</v>
      </c>
      <c r="D611" s="14">
        <f>'[1]2026 Orders'!D612</f>
        <v>0</v>
      </c>
      <c r="E611" s="17" t="str" cm="1">
        <f t="array" ref="E611">IF(C611=0,"",
HYPERLINK(
"#'2026 Orders'!C"&amp;
MATCH(1,
('2026 Orders'!C:C=C611)*
('2026 Orders'!G:G=G611)*
('2026 Orders'!N:N=N611),
0),
"Open "&amp;C611
))</f>
        <v/>
      </c>
      <c r="F611" s="14">
        <f>'[1]2026 Orders'!F612</f>
        <v>0</v>
      </c>
      <c r="G611" s="14">
        <f>'[1]2026 Orders'!G612</f>
        <v>0</v>
      </c>
      <c r="H611" s="14" t="str" cm="1">
        <f t="array" ref="H611">IFERROR(_xlfn.TEXTJOIN("-",,INDEX(_xlfn.TEXTSPLIT(TableTake[[#This Row],[SKU]],"-"),{1,2})),"")</f>
        <v/>
      </c>
      <c r="I611" s="15" t="str">
        <f>IFERROR(_xlfn.TEXTAFTER(TableTake[[#This Row],[SKU]],"-",-1),"")</f>
        <v/>
      </c>
      <c r="J611" s="14">
        <f>'[1]2026 Orders'!H612</f>
        <v>0</v>
      </c>
      <c r="K611">
        <f>'[1]2026 Orders'!I612</f>
        <v>0</v>
      </c>
      <c r="L611">
        <f>'[1]2026 Orders'!J612</f>
        <v>0</v>
      </c>
      <c r="N611" s="10">
        <f>'[1]2026 Orders'!L612</f>
        <v>0</v>
      </c>
      <c r="O611">
        <f>'[1]2026 Orders'!M612</f>
        <v>0</v>
      </c>
      <c r="P611">
        <f>'[1]2026 Orders'!N612</f>
        <v>0</v>
      </c>
      <c r="Q611">
        <f>'[1]2026 Orders'!O612</f>
        <v>0</v>
      </c>
      <c r="R611">
        <f>'[1]2026 Orders'!P612</f>
        <v>0</v>
      </c>
      <c r="S611">
        <f>'[1]2026 Orders'!Q612</f>
        <v>0</v>
      </c>
      <c r="T611">
        <f>'[1]2026 Orders'!R612</f>
        <v>0</v>
      </c>
      <c r="U611">
        <f>'[1]2026 Orders'!S612</f>
        <v>0</v>
      </c>
      <c r="V611">
        <f>'[1]2026 Orders'!T612</f>
        <v>0</v>
      </c>
      <c r="W611">
        <f>'[1]2026 Orders'!U612</f>
        <v>0</v>
      </c>
      <c r="X611">
        <f>'[1]2026 Orders'!V612</f>
        <v>0</v>
      </c>
      <c r="Y611">
        <f>'[1]2026 Orders'!W612</f>
        <v>0</v>
      </c>
      <c r="Z611">
        <f>'[1]2026 Orders'!X612</f>
        <v>0</v>
      </c>
      <c r="AC611" t="str">
        <f t="shared" si="18"/>
        <v/>
      </c>
      <c r="AD611" t="str">
        <f t="shared" si="19"/>
        <v/>
      </c>
    </row>
    <row r="612" spans="1:30" ht="33" hidden="1" customHeight="1" x14ac:dyDescent="0.3">
      <c r="A612">
        <f>'[1]2026 Orders'!A613</f>
        <v>0</v>
      </c>
      <c r="B612" s="14">
        <f>'[1]2026 Orders'!B613</f>
        <v>0</v>
      </c>
      <c r="C612" s="14">
        <f>'[1]2026 Orders'!C613</f>
        <v>0</v>
      </c>
      <c r="D612" s="14">
        <f>'[1]2026 Orders'!D613</f>
        <v>0</v>
      </c>
      <c r="E612" s="17" t="str" cm="1">
        <f t="array" ref="E612">IF(C612=0,"",
HYPERLINK(
"#'2026 Orders'!C"&amp;
MATCH(1,
('2026 Orders'!C:C=C612)*
('2026 Orders'!G:G=G612)*
('2026 Orders'!N:N=N612),
0),
"Open "&amp;C612
))</f>
        <v/>
      </c>
      <c r="F612" s="14">
        <f>'[1]2026 Orders'!F613</f>
        <v>0</v>
      </c>
      <c r="G612" s="14">
        <f>'[1]2026 Orders'!G613</f>
        <v>0</v>
      </c>
      <c r="H612" s="14" t="str" cm="1">
        <f t="array" ref="H612">IFERROR(_xlfn.TEXTJOIN("-",,INDEX(_xlfn.TEXTSPLIT(TableTake[[#This Row],[SKU]],"-"),{1,2})),"")</f>
        <v/>
      </c>
      <c r="I612" s="15" t="str">
        <f>IFERROR(_xlfn.TEXTAFTER(TableTake[[#This Row],[SKU]],"-",-1),"")</f>
        <v/>
      </c>
      <c r="J612" s="14">
        <f>'[1]2026 Orders'!H613</f>
        <v>0</v>
      </c>
      <c r="K612">
        <f>'[1]2026 Orders'!I613</f>
        <v>0</v>
      </c>
      <c r="L612">
        <f>'[1]2026 Orders'!J613</f>
        <v>0</v>
      </c>
      <c r="N612" s="10">
        <f>'[1]2026 Orders'!L613</f>
        <v>0</v>
      </c>
      <c r="O612">
        <f>'[1]2026 Orders'!M613</f>
        <v>0</v>
      </c>
      <c r="P612">
        <f>'[1]2026 Orders'!N613</f>
        <v>0</v>
      </c>
      <c r="Q612">
        <f>'[1]2026 Orders'!O613</f>
        <v>0</v>
      </c>
      <c r="R612">
        <f>'[1]2026 Orders'!P613</f>
        <v>0</v>
      </c>
      <c r="S612">
        <f>'[1]2026 Orders'!Q613</f>
        <v>0</v>
      </c>
      <c r="T612">
        <f>'[1]2026 Orders'!R613</f>
        <v>0</v>
      </c>
      <c r="U612">
        <f>'[1]2026 Orders'!S613</f>
        <v>0</v>
      </c>
      <c r="V612">
        <f>'[1]2026 Orders'!T613</f>
        <v>0</v>
      </c>
      <c r="W612">
        <f>'[1]2026 Orders'!U613</f>
        <v>0</v>
      </c>
      <c r="X612">
        <f>'[1]2026 Orders'!V613</f>
        <v>0</v>
      </c>
      <c r="Y612">
        <f>'[1]2026 Orders'!W613</f>
        <v>0</v>
      </c>
      <c r="Z612">
        <f>'[1]2026 Orders'!X613</f>
        <v>0</v>
      </c>
      <c r="AC612" t="str">
        <f t="shared" si="18"/>
        <v/>
      </c>
      <c r="AD612" t="str">
        <f t="shared" si="19"/>
        <v/>
      </c>
    </row>
    <row r="613" spans="1:30" ht="33" hidden="1" customHeight="1" x14ac:dyDescent="0.3">
      <c r="A613">
        <f>'[1]2026 Orders'!A614</f>
        <v>0</v>
      </c>
      <c r="B613" s="14">
        <f>'[1]2026 Orders'!B614</f>
        <v>0</v>
      </c>
      <c r="C613" s="14">
        <f>'[1]2026 Orders'!C614</f>
        <v>0</v>
      </c>
      <c r="D613" s="14">
        <f>'[1]2026 Orders'!D614</f>
        <v>0</v>
      </c>
      <c r="E613" s="17" t="str" cm="1">
        <f t="array" ref="E613">IF(C613=0,"",
HYPERLINK(
"#'2026 Orders'!C"&amp;
MATCH(1,
('2026 Orders'!C:C=C613)*
('2026 Orders'!G:G=G613)*
('2026 Orders'!N:N=N613),
0),
"Open "&amp;C613
))</f>
        <v/>
      </c>
      <c r="F613" s="14">
        <f>'[1]2026 Orders'!F614</f>
        <v>0</v>
      </c>
      <c r="G613" s="14">
        <f>'[1]2026 Orders'!G614</f>
        <v>0</v>
      </c>
      <c r="H613" s="14" t="str" cm="1">
        <f t="array" ref="H613">IFERROR(_xlfn.TEXTJOIN("-",,INDEX(_xlfn.TEXTSPLIT(TableTake[[#This Row],[SKU]],"-"),{1,2})),"")</f>
        <v/>
      </c>
      <c r="I613" s="15" t="str">
        <f>IFERROR(_xlfn.TEXTAFTER(TableTake[[#This Row],[SKU]],"-",-1),"")</f>
        <v/>
      </c>
      <c r="J613" s="14">
        <f>'[1]2026 Orders'!H614</f>
        <v>0</v>
      </c>
      <c r="K613">
        <f>'[1]2026 Orders'!I614</f>
        <v>0</v>
      </c>
      <c r="L613">
        <f>'[1]2026 Orders'!J614</f>
        <v>0</v>
      </c>
      <c r="N613" s="10">
        <f>'[1]2026 Orders'!L614</f>
        <v>0</v>
      </c>
      <c r="O613">
        <f>'[1]2026 Orders'!M614</f>
        <v>0</v>
      </c>
      <c r="P613">
        <f>'[1]2026 Orders'!N614</f>
        <v>0</v>
      </c>
      <c r="Q613">
        <f>'[1]2026 Orders'!O614</f>
        <v>0</v>
      </c>
      <c r="R613">
        <f>'[1]2026 Orders'!P614</f>
        <v>0</v>
      </c>
      <c r="S613">
        <f>'[1]2026 Orders'!Q614</f>
        <v>0</v>
      </c>
      <c r="T613">
        <f>'[1]2026 Orders'!R614</f>
        <v>0</v>
      </c>
      <c r="U613">
        <f>'[1]2026 Orders'!S614</f>
        <v>0</v>
      </c>
      <c r="V613">
        <f>'[1]2026 Orders'!T614</f>
        <v>0</v>
      </c>
      <c r="W613">
        <f>'[1]2026 Orders'!U614</f>
        <v>0</v>
      </c>
      <c r="X613">
        <f>'[1]2026 Orders'!V614</f>
        <v>0</v>
      </c>
      <c r="Y613">
        <f>'[1]2026 Orders'!W614</f>
        <v>0</v>
      </c>
      <c r="Z613">
        <f>'[1]2026 Orders'!X614</f>
        <v>0</v>
      </c>
      <c r="AC613" t="str">
        <f t="shared" si="18"/>
        <v/>
      </c>
      <c r="AD613" t="str">
        <f t="shared" si="19"/>
        <v/>
      </c>
    </row>
    <row r="614" spans="1:30" ht="33" hidden="1" customHeight="1" x14ac:dyDescent="0.3">
      <c r="A614">
        <f>'[1]2026 Orders'!A615</f>
        <v>0</v>
      </c>
      <c r="B614" s="14">
        <f>'[1]2026 Orders'!B615</f>
        <v>0</v>
      </c>
      <c r="C614" s="14">
        <f>'[1]2026 Orders'!C615</f>
        <v>0</v>
      </c>
      <c r="D614" s="14">
        <f>'[1]2026 Orders'!D615</f>
        <v>0</v>
      </c>
      <c r="E614" s="17" t="str" cm="1">
        <f t="array" ref="E614">IF(C614=0,"",
HYPERLINK(
"#'2026 Orders'!C"&amp;
MATCH(1,
('2026 Orders'!C:C=C614)*
('2026 Orders'!G:G=G614)*
('2026 Orders'!N:N=N614),
0),
"Open "&amp;C614
))</f>
        <v/>
      </c>
      <c r="F614" s="14">
        <f>'[1]2026 Orders'!F615</f>
        <v>0</v>
      </c>
      <c r="G614" s="14">
        <f>'[1]2026 Orders'!G615</f>
        <v>0</v>
      </c>
      <c r="H614" s="14" t="str" cm="1">
        <f t="array" ref="H614">IFERROR(_xlfn.TEXTJOIN("-",,INDEX(_xlfn.TEXTSPLIT(TableTake[[#This Row],[SKU]],"-"),{1,2})),"")</f>
        <v/>
      </c>
      <c r="I614" s="15" t="str">
        <f>IFERROR(_xlfn.TEXTAFTER(TableTake[[#This Row],[SKU]],"-",-1),"")</f>
        <v/>
      </c>
      <c r="J614" s="14">
        <f>'[1]2026 Orders'!H615</f>
        <v>0</v>
      </c>
      <c r="K614">
        <f>'[1]2026 Orders'!I615</f>
        <v>0</v>
      </c>
      <c r="L614">
        <f>'[1]2026 Orders'!J615</f>
        <v>0</v>
      </c>
      <c r="N614" s="10">
        <f>'[1]2026 Orders'!L615</f>
        <v>0</v>
      </c>
      <c r="O614">
        <f>'[1]2026 Orders'!M615</f>
        <v>0</v>
      </c>
      <c r="P614">
        <f>'[1]2026 Orders'!N615</f>
        <v>0</v>
      </c>
      <c r="Q614">
        <f>'[1]2026 Orders'!O615</f>
        <v>0</v>
      </c>
      <c r="R614">
        <f>'[1]2026 Orders'!P615</f>
        <v>0</v>
      </c>
      <c r="S614">
        <f>'[1]2026 Orders'!Q615</f>
        <v>0</v>
      </c>
      <c r="T614">
        <f>'[1]2026 Orders'!R615</f>
        <v>0</v>
      </c>
      <c r="U614">
        <f>'[1]2026 Orders'!S615</f>
        <v>0</v>
      </c>
      <c r="V614">
        <f>'[1]2026 Orders'!T615</f>
        <v>0</v>
      </c>
      <c r="W614">
        <f>'[1]2026 Orders'!U615</f>
        <v>0</v>
      </c>
      <c r="X614">
        <f>'[1]2026 Orders'!V615</f>
        <v>0</v>
      </c>
      <c r="Y614">
        <f>'[1]2026 Orders'!W615</f>
        <v>0</v>
      </c>
      <c r="Z614">
        <f>'[1]2026 Orders'!X615</f>
        <v>0</v>
      </c>
      <c r="AC614" t="str">
        <f t="shared" si="18"/>
        <v/>
      </c>
      <c r="AD614" t="str">
        <f t="shared" si="19"/>
        <v/>
      </c>
    </row>
    <row r="615" spans="1:30" ht="33" hidden="1" customHeight="1" x14ac:dyDescent="0.3">
      <c r="A615">
        <f>'[1]2026 Orders'!A616</f>
        <v>0</v>
      </c>
      <c r="B615" s="14">
        <f>'[1]2026 Orders'!B616</f>
        <v>0</v>
      </c>
      <c r="C615" s="14">
        <f>'[1]2026 Orders'!C616</f>
        <v>0</v>
      </c>
      <c r="D615" s="14">
        <f>'[1]2026 Orders'!D616</f>
        <v>0</v>
      </c>
      <c r="E615" s="17" t="str" cm="1">
        <f t="array" ref="E615">IF(C615=0,"",
HYPERLINK(
"#'2026 Orders'!C"&amp;
MATCH(1,
('2026 Orders'!C:C=C615)*
('2026 Orders'!G:G=G615)*
('2026 Orders'!N:N=N615),
0),
"Open "&amp;C615
))</f>
        <v/>
      </c>
      <c r="F615" s="14">
        <f>'[1]2026 Orders'!F616</f>
        <v>0</v>
      </c>
      <c r="G615" s="14">
        <f>'[1]2026 Orders'!G616</f>
        <v>0</v>
      </c>
      <c r="H615" s="14" t="str" cm="1">
        <f t="array" ref="H615">IFERROR(_xlfn.TEXTJOIN("-",,INDEX(_xlfn.TEXTSPLIT(TableTake[[#This Row],[SKU]],"-"),{1,2})),"")</f>
        <v/>
      </c>
      <c r="I615" s="15" t="str">
        <f>IFERROR(_xlfn.TEXTAFTER(TableTake[[#This Row],[SKU]],"-",-1),"")</f>
        <v/>
      </c>
      <c r="J615" s="14">
        <f>'[1]2026 Orders'!H616</f>
        <v>0</v>
      </c>
      <c r="K615">
        <f>'[1]2026 Orders'!I616</f>
        <v>0</v>
      </c>
      <c r="L615">
        <f>'[1]2026 Orders'!J616</f>
        <v>0</v>
      </c>
      <c r="N615" s="10">
        <f>'[1]2026 Orders'!L616</f>
        <v>0</v>
      </c>
      <c r="O615">
        <f>'[1]2026 Orders'!M616</f>
        <v>0</v>
      </c>
      <c r="P615">
        <f>'[1]2026 Orders'!N616</f>
        <v>0</v>
      </c>
      <c r="Q615">
        <f>'[1]2026 Orders'!O616</f>
        <v>0</v>
      </c>
      <c r="R615">
        <f>'[1]2026 Orders'!P616</f>
        <v>0</v>
      </c>
      <c r="S615">
        <f>'[1]2026 Orders'!Q616</f>
        <v>0</v>
      </c>
      <c r="T615">
        <f>'[1]2026 Orders'!R616</f>
        <v>0</v>
      </c>
      <c r="U615">
        <f>'[1]2026 Orders'!S616</f>
        <v>0</v>
      </c>
      <c r="V615">
        <f>'[1]2026 Orders'!T616</f>
        <v>0</v>
      </c>
      <c r="W615">
        <f>'[1]2026 Orders'!U616</f>
        <v>0</v>
      </c>
      <c r="X615">
        <f>'[1]2026 Orders'!V616</f>
        <v>0</v>
      </c>
      <c r="Y615">
        <f>'[1]2026 Orders'!W616</f>
        <v>0</v>
      </c>
      <c r="Z615">
        <f>'[1]2026 Orders'!X616</f>
        <v>0</v>
      </c>
      <c r="AC615" t="str">
        <f t="shared" si="18"/>
        <v/>
      </c>
      <c r="AD615" t="str">
        <f t="shared" si="19"/>
        <v/>
      </c>
    </row>
    <row r="616" spans="1:30" ht="33" hidden="1" customHeight="1" x14ac:dyDescent="0.3">
      <c r="A616">
        <f>'[1]2026 Orders'!A617</f>
        <v>0</v>
      </c>
      <c r="B616" s="14">
        <f>'[1]2026 Orders'!B617</f>
        <v>0</v>
      </c>
      <c r="C616" s="14">
        <f>'[1]2026 Orders'!C617</f>
        <v>0</v>
      </c>
      <c r="D616" s="14">
        <f>'[1]2026 Orders'!D617</f>
        <v>0</v>
      </c>
      <c r="E616" s="17" t="str" cm="1">
        <f t="array" ref="E616">IF(C616=0,"",
HYPERLINK(
"#'2026 Orders'!C"&amp;
MATCH(1,
('2026 Orders'!C:C=C616)*
('2026 Orders'!G:G=G616)*
('2026 Orders'!N:N=N616),
0),
"Open "&amp;C616
))</f>
        <v/>
      </c>
      <c r="F616" s="14">
        <f>'[1]2026 Orders'!F617</f>
        <v>0</v>
      </c>
      <c r="G616" s="14">
        <f>'[1]2026 Orders'!G617</f>
        <v>0</v>
      </c>
      <c r="H616" s="14" t="str" cm="1">
        <f t="array" ref="H616">IFERROR(_xlfn.TEXTJOIN("-",,INDEX(_xlfn.TEXTSPLIT(TableTake[[#This Row],[SKU]],"-"),{1,2})),"")</f>
        <v/>
      </c>
      <c r="I616" s="15" t="str">
        <f>IFERROR(_xlfn.TEXTAFTER(TableTake[[#This Row],[SKU]],"-",-1),"")</f>
        <v/>
      </c>
      <c r="J616" s="14">
        <f>'[1]2026 Orders'!H617</f>
        <v>0</v>
      </c>
      <c r="K616">
        <f>'[1]2026 Orders'!I617</f>
        <v>0</v>
      </c>
      <c r="L616">
        <f>'[1]2026 Orders'!J617</f>
        <v>0</v>
      </c>
      <c r="N616" s="10">
        <f>'[1]2026 Orders'!L617</f>
        <v>0</v>
      </c>
      <c r="O616">
        <f>'[1]2026 Orders'!M617</f>
        <v>0</v>
      </c>
      <c r="P616">
        <f>'[1]2026 Orders'!N617</f>
        <v>0</v>
      </c>
      <c r="Q616">
        <f>'[1]2026 Orders'!O617</f>
        <v>0</v>
      </c>
      <c r="R616">
        <f>'[1]2026 Orders'!P617</f>
        <v>0</v>
      </c>
      <c r="S616">
        <f>'[1]2026 Orders'!Q617</f>
        <v>0</v>
      </c>
      <c r="T616">
        <f>'[1]2026 Orders'!R617</f>
        <v>0</v>
      </c>
      <c r="U616">
        <f>'[1]2026 Orders'!S617</f>
        <v>0</v>
      </c>
      <c r="V616">
        <f>'[1]2026 Orders'!T617</f>
        <v>0</v>
      </c>
      <c r="W616">
        <f>'[1]2026 Orders'!U617</f>
        <v>0</v>
      </c>
      <c r="X616">
        <f>'[1]2026 Orders'!V617</f>
        <v>0</v>
      </c>
      <c r="Y616">
        <f>'[1]2026 Orders'!W617</f>
        <v>0</v>
      </c>
      <c r="Z616">
        <f>'[1]2026 Orders'!X617</f>
        <v>0</v>
      </c>
      <c r="AC616" t="str">
        <f t="shared" si="18"/>
        <v/>
      </c>
      <c r="AD616" t="str">
        <f t="shared" si="19"/>
        <v/>
      </c>
    </row>
    <row r="617" spans="1:30" ht="33" hidden="1" customHeight="1" x14ac:dyDescent="0.3">
      <c r="A617">
        <f>'[1]2026 Orders'!A618</f>
        <v>0</v>
      </c>
      <c r="B617" s="14">
        <f>'[1]2026 Orders'!B618</f>
        <v>0</v>
      </c>
      <c r="C617" s="14">
        <f>'[1]2026 Orders'!C618</f>
        <v>0</v>
      </c>
      <c r="D617" s="14">
        <f>'[1]2026 Orders'!D618</f>
        <v>0</v>
      </c>
      <c r="E617" s="17" t="str" cm="1">
        <f t="array" ref="E617">IF(C617=0,"",
HYPERLINK(
"#'2026 Orders'!C"&amp;
MATCH(1,
('2026 Orders'!C:C=C617)*
('2026 Orders'!G:G=G617)*
('2026 Orders'!N:N=N617),
0),
"Open "&amp;C617
))</f>
        <v/>
      </c>
      <c r="F617" s="14">
        <f>'[1]2026 Orders'!F618</f>
        <v>0</v>
      </c>
      <c r="G617" s="14">
        <f>'[1]2026 Orders'!G618</f>
        <v>0</v>
      </c>
      <c r="H617" s="14" t="str" cm="1">
        <f t="array" ref="H617">IFERROR(_xlfn.TEXTJOIN("-",,INDEX(_xlfn.TEXTSPLIT(TableTake[[#This Row],[SKU]],"-"),{1,2})),"")</f>
        <v/>
      </c>
      <c r="I617" s="15" t="str">
        <f>IFERROR(_xlfn.TEXTAFTER(TableTake[[#This Row],[SKU]],"-",-1),"")</f>
        <v/>
      </c>
      <c r="J617" s="14">
        <f>'[1]2026 Orders'!H618</f>
        <v>0</v>
      </c>
      <c r="K617">
        <f>'[1]2026 Orders'!I618</f>
        <v>0</v>
      </c>
      <c r="L617">
        <f>'[1]2026 Orders'!J618</f>
        <v>0</v>
      </c>
      <c r="N617" s="10">
        <f>'[1]2026 Orders'!L618</f>
        <v>0</v>
      </c>
      <c r="O617">
        <f>'[1]2026 Orders'!M618</f>
        <v>0</v>
      </c>
      <c r="P617">
        <f>'[1]2026 Orders'!N618</f>
        <v>0</v>
      </c>
      <c r="Q617">
        <f>'[1]2026 Orders'!O618</f>
        <v>0</v>
      </c>
      <c r="R617">
        <f>'[1]2026 Orders'!P618</f>
        <v>0</v>
      </c>
      <c r="S617">
        <f>'[1]2026 Orders'!Q618</f>
        <v>0</v>
      </c>
      <c r="T617">
        <f>'[1]2026 Orders'!R618</f>
        <v>0</v>
      </c>
      <c r="U617">
        <f>'[1]2026 Orders'!S618</f>
        <v>0</v>
      </c>
      <c r="V617">
        <f>'[1]2026 Orders'!T618</f>
        <v>0</v>
      </c>
      <c r="W617">
        <f>'[1]2026 Orders'!U618</f>
        <v>0</v>
      </c>
      <c r="X617">
        <f>'[1]2026 Orders'!V618</f>
        <v>0</v>
      </c>
      <c r="Y617">
        <f>'[1]2026 Orders'!W618</f>
        <v>0</v>
      </c>
      <c r="Z617">
        <f>'[1]2026 Orders'!X618</f>
        <v>0</v>
      </c>
      <c r="AC617" t="str">
        <f t="shared" si="18"/>
        <v/>
      </c>
      <c r="AD617" t="str">
        <f t="shared" si="19"/>
        <v/>
      </c>
    </row>
    <row r="618" spans="1:30" ht="33" hidden="1" customHeight="1" x14ac:dyDescent="0.3">
      <c r="A618">
        <f>'[1]2026 Orders'!A619</f>
        <v>0</v>
      </c>
      <c r="B618" s="14">
        <f>'[1]2026 Orders'!B619</f>
        <v>0</v>
      </c>
      <c r="C618" s="14">
        <f>'[1]2026 Orders'!C619</f>
        <v>0</v>
      </c>
      <c r="D618" s="14">
        <f>'[1]2026 Orders'!D619</f>
        <v>0</v>
      </c>
      <c r="E618" s="17" t="str" cm="1">
        <f t="array" ref="E618">IF(C618=0,"",
HYPERLINK(
"#'2026 Orders'!C"&amp;
MATCH(1,
('2026 Orders'!C:C=C618)*
('2026 Orders'!G:G=G618)*
('2026 Orders'!N:N=N618),
0),
"Open "&amp;C618
))</f>
        <v/>
      </c>
      <c r="F618" s="14">
        <f>'[1]2026 Orders'!F619</f>
        <v>0</v>
      </c>
      <c r="G618" s="14">
        <f>'[1]2026 Orders'!G619</f>
        <v>0</v>
      </c>
      <c r="H618" s="14" t="str" cm="1">
        <f t="array" ref="H618">IFERROR(_xlfn.TEXTJOIN("-",,INDEX(_xlfn.TEXTSPLIT(TableTake[[#This Row],[SKU]],"-"),{1,2})),"")</f>
        <v/>
      </c>
      <c r="I618" s="15" t="str">
        <f>IFERROR(_xlfn.TEXTAFTER(TableTake[[#This Row],[SKU]],"-",-1),"")</f>
        <v/>
      </c>
      <c r="J618" s="14">
        <f>'[1]2026 Orders'!H619</f>
        <v>0</v>
      </c>
      <c r="K618">
        <f>'[1]2026 Orders'!I619</f>
        <v>0</v>
      </c>
      <c r="L618">
        <f>'[1]2026 Orders'!J619</f>
        <v>0</v>
      </c>
      <c r="N618" s="10">
        <f>'[1]2026 Orders'!L619</f>
        <v>0</v>
      </c>
      <c r="O618">
        <f>'[1]2026 Orders'!M619</f>
        <v>0</v>
      </c>
      <c r="P618">
        <f>'[1]2026 Orders'!N619</f>
        <v>0</v>
      </c>
      <c r="Q618">
        <f>'[1]2026 Orders'!O619</f>
        <v>0</v>
      </c>
      <c r="R618">
        <f>'[1]2026 Orders'!P619</f>
        <v>0</v>
      </c>
      <c r="S618">
        <f>'[1]2026 Orders'!Q619</f>
        <v>0</v>
      </c>
      <c r="T618">
        <f>'[1]2026 Orders'!R619</f>
        <v>0</v>
      </c>
      <c r="U618">
        <f>'[1]2026 Orders'!S619</f>
        <v>0</v>
      </c>
      <c r="V618">
        <f>'[1]2026 Orders'!T619</f>
        <v>0</v>
      </c>
      <c r="W618">
        <f>'[1]2026 Orders'!U619</f>
        <v>0</v>
      </c>
      <c r="X618">
        <f>'[1]2026 Orders'!V619</f>
        <v>0</v>
      </c>
      <c r="Y618">
        <f>'[1]2026 Orders'!W619</f>
        <v>0</v>
      </c>
      <c r="Z618">
        <f>'[1]2026 Orders'!X619</f>
        <v>0</v>
      </c>
      <c r="AC618" t="str">
        <f t="shared" si="18"/>
        <v/>
      </c>
      <c r="AD618" t="str">
        <f t="shared" si="19"/>
        <v/>
      </c>
    </row>
    <row r="619" spans="1:30" ht="33" hidden="1" customHeight="1" x14ac:dyDescent="0.3">
      <c r="A619">
        <f>'[1]2026 Orders'!A620</f>
        <v>0</v>
      </c>
      <c r="B619" s="14">
        <f>'[1]2026 Orders'!B620</f>
        <v>0</v>
      </c>
      <c r="C619" s="14">
        <f>'[1]2026 Orders'!C620</f>
        <v>0</v>
      </c>
      <c r="D619" s="14">
        <f>'[1]2026 Orders'!D620</f>
        <v>0</v>
      </c>
      <c r="E619" s="17" t="str" cm="1">
        <f t="array" ref="E619">IF(C619=0,"",
HYPERLINK(
"#'2026 Orders'!C"&amp;
MATCH(1,
('2026 Orders'!C:C=C619)*
('2026 Orders'!G:G=G619)*
('2026 Orders'!N:N=N619),
0),
"Open "&amp;C619
))</f>
        <v/>
      </c>
      <c r="F619" s="14">
        <f>'[1]2026 Orders'!F620</f>
        <v>0</v>
      </c>
      <c r="G619" s="14">
        <f>'[1]2026 Orders'!G620</f>
        <v>0</v>
      </c>
      <c r="H619" s="14" t="str" cm="1">
        <f t="array" ref="H619">IFERROR(_xlfn.TEXTJOIN("-",,INDEX(_xlfn.TEXTSPLIT(TableTake[[#This Row],[SKU]],"-"),{1,2})),"")</f>
        <v/>
      </c>
      <c r="I619" s="15" t="str">
        <f>IFERROR(_xlfn.TEXTAFTER(TableTake[[#This Row],[SKU]],"-",-1),"")</f>
        <v/>
      </c>
      <c r="J619" s="14">
        <f>'[1]2026 Orders'!H620</f>
        <v>0</v>
      </c>
      <c r="K619">
        <f>'[1]2026 Orders'!I620</f>
        <v>0</v>
      </c>
      <c r="L619">
        <f>'[1]2026 Orders'!J620</f>
        <v>0</v>
      </c>
      <c r="N619" s="10">
        <f>'[1]2026 Orders'!L620</f>
        <v>0</v>
      </c>
      <c r="O619">
        <f>'[1]2026 Orders'!M620</f>
        <v>0</v>
      </c>
      <c r="P619">
        <f>'[1]2026 Orders'!N620</f>
        <v>0</v>
      </c>
      <c r="Q619">
        <f>'[1]2026 Orders'!O620</f>
        <v>0</v>
      </c>
      <c r="R619">
        <f>'[1]2026 Orders'!P620</f>
        <v>0</v>
      </c>
      <c r="S619">
        <f>'[1]2026 Orders'!Q620</f>
        <v>0</v>
      </c>
      <c r="T619">
        <f>'[1]2026 Orders'!R620</f>
        <v>0</v>
      </c>
      <c r="U619">
        <f>'[1]2026 Orders'!S620</f>
        <v>0</v>
      </c>
      <c r="V619">
        <f>'[1]2026 Orders'!T620</f>
        <v>0</v>
      </c>
      <c r="W619">
        <f>'[1]2026 Orders'!U620</f>
        <v>0</v>
      </c>
      <c r="X619">
        <f>'[1]2026 Orders'!V620</f>
        <v>0</v>
      </c>
      <c r="Y619">
        <f>'[1]2026 Orders'!W620</f>
        <v>0</v>
      </c>
      <c r="Z619">
        <f>'[1]2026 Orders'!X620</f>
        <v>0</v>
      </c>
      <c r="AC619" t="str">
        <f t="shared" si="18"/>
        <v/>
      </c>
      <c r="AD619" t="str">
        <f t="shared" si="19"/>
        <v/>
      </c>
    </row>
    <row r="620" spans="1:30" ht="33" hidden="1" customHeight="1" x14ac:dyDescent="0.3">
      <c r="A620">
        <f>'[1]2026 Orders'!A621</f>
        <v>0</v>
      </c>
      <c r="B620" s="14">
        <f>'[1]2026 Orders'!B621</f>
        <v>0</v>
      </c>
      <c r="C620" s="14">
        <f>'[1]2026 Orders'!C621</f>
        <v>0</v>
      </c>
      <c r="D620" s="14">
        <f>'[1]2026 Orders'!D621</f>
        <v>0</v>
      </c>
      <c r="E620" s="17" t="str" cm="1">
        <f t="array" ref="E620">IF(C620=0,"",
HYPERLINK(
"#'2026 Orders'!C"&amp;
MATCH(1,
('2026 Orders'!C:C=C620)*
('2026 Orders'!G:G=G620)*
('2026 Orders'!N:N=N620),
0),
"Open "&amp;C620
))</f>
        <v/>
      </c>
      <c r="F620" s="14">
        <f>'[1]2026 Orders'!F621</f>
        <v>0</v>
      </c>
      <c r="G620" s="14">
        <f>'[1]2026 Orders'!G621</f>
        <v>0</v>
      </c>
      <c r="H620" s="14" t="str" cm="1">
        <f t="array" ref="H620">IFERROR(_xlfn.TEXTJOIN("-",,INDEX(_xlfn.TEXTSPLIT(TableTake[[#This Row],[SKU]],"-"),{1,2})),"")</f>
        <v/>
      </c>
      <c r="I620" s="15" t="str">
        <f>IFERROR(_xlfn.TEXTAFTER(TableTake[[#This Row],[SKU]],"-",-1),"")</f>
        <v/>
      </c>
      <c r="J620" s="14">
        <f>'[1]2026 Orders'!H621</f>
        <v>0</v>
      </c>
      <c r="K620">
        <f>'[1]2026 Orders'!I621</f>
        <v>0</v>
      </c>
      <c r="L620">
        <f>'[1]2026 Orders'!J621</f>
        <v>0</v>
      </c>
      <c r="N620" s="10">
        <f>'[1]2026 Orders'!L621</f>
        <v>0</v>
      </c>
      <c r="O620">
        <f>'[1]2026 Orders'!M621</f>
        <v>0</v>
      </c>
      <c r="P620">
        <f>'[1]2026 Orders'!N621</f>
        <v>0</v>
      </c>
      <c r="Q620">
        <f>'[1]2026 Orders'!O621</f>
        <v>0</v>
      </c>
      <c r="R620">
        <f>'[1]2026 Orders'!P621</f>
        <v>0</v>
      </c>
      <c r="S620">
        <f>'[1]2026 Orders'!Q621</f>
        <v>0</v>
      </c>
      <c r="T620">
        <f>'[1]2026 Orders'!R621</f>
        <v>0</v>
      </c>
      <c r="U620">
        <f>'[1]2026 Orders'!S621</f>
        <v>0</v>
      </c>
      <c r="V620">
        <f>'[1]2026 Orders'!T621</f>
        <v>0</v>
      </c>
      <c r="W620">
        <f>'[1]2026 Orders'!U621</f>
        <v>0</v>
      </c>
      <c r="X620">
        <f>'[1]2026 Orders'!V621</f>
        <v>0</v>
      </c>
      <c r="Y620">
        <f>'[1]2026 Orders'!W621</f>
        <v>0</v>
      </c>
      <c r="Z620">
        <f>'[1]2026 Orders'!X621</f>
        <v>0</v>
      </c>
      <c r="AC620" t="str">
        <f t="shared" si="18"/>
        <v/>
      </c>
      <c r="AD620" t="str">
        <f t="shared" si="19"/>
        <v/>
      </c>
    </row>
    <row r="621" spans="1:30" ht="33" hidden="1" customHeight="1" x14ac:dyDescent="0.3">
      <c r="A621">
        <f>'[1]2026 Orders'!A622</f>
        <v>0</v>
      </c>
      <c r="B621" s="14">
        <f>'[1]2026 Orders'!B622</f>
        <v>0</v>
      </c>
      <c r="C621" s="14">
        <f>'[1]2026 Orders'!C622</f>
        <v>0</v>
      </c>
      <c r="D621" s="14">
        <f>'[1]2026 Orders'!D622</f>
        <v>0</v>
      </c>
      <c r="E621" s="17" t="str" cm="1">
        <f t="array" ref="E621">IF(C621=0,"",
HYPERLINK(
"#'2026 Orders'!C"&amp;
MATCH(1,
('2026 Orders'!C:C=C621)*
('2026 Orders'!G:G=G621)*
('2026 Orders'!N:N=N621),
0),
"Open "&amp;C621
))</f>
        <v/>
      </c>
      <c r="F621" s="14">
        <f>'[1]2026 Orders'!F622</f>
        <v>0</v>
      </c>
      <c r="G621" s="14">
        <f>'[1]2026 Orders'!G622</f>
        <v>0</v>
      </c>
      <c r="H621" s="14" t="str" cm="1">
        <f t="array" ref="H621">IFERROR(_xlfn.TEXTJOIN("-",,INDEX(_xlfn.TEXTSPLIT(TableTake[[#This Row],[SKU]],"-"),{1,2})),"")</f>
        <v/>
      </c>
      <c r="I621" s="15" t="str">
        <f>IFERROR(_xlfn.TEXTAFTER(TableTake[[#This Row],[SKU]],"-",-1),"")</f>
        <v/>
      </c>
      <c r="J621" s="14">
        <f>'[1]2026 Orders'!H622</f>
        <v>0</v>
      </c>
      <c r="K621">
        <f>'[1]2026 Orders'!I622</f>
        <v>0</v>
      </c>
      <c r="L621">
        <f>'[1]2026 Orders'!J622</f>
        <v>0</v>
      </c>
      <c r="N621" s="10">
        <f>'[1]2026 Orders'!L622</f>
        <v>0</v>
      </c>
      <c r="O621">
        <f>'[1]2026 Orders'!M622</f>
        <v>0</v>
      </c>
      <c r="P621">
        <f>'[1]2026 Orders'!N622</f>
        <v>0</v>
      </c>
      <c r="Q621">
        <f>'[1]2026 Orders'!O622</f>
        <v>0</v>
      </c>
      <c r="R621">
        <f>'[1]2026 Orders'!P622</f>
        <v>0</v>
      </c>
      <c r="S621">
        <f>'[1]2026 Orders'!Q622</f>
        <v>0</v>
      </c>
      <c r="T621">
        <f>'[1]2026 Orders'!R622</f>
        <v>0</v>
      </c>
      <c r="U621">
        <f>'[1]2026 Orders'!S622</f>
        <v>0</v>
      </c>
      <c r="V621">
        <f>'[1]2026 Orders'!T622</f>
        <v>0</v>
      </c>
      <c r="W621">
        <f>'[1]2026 Orders'!U622</f>
        <v>0</v>
      </c>
      <c r="X621">
        <f>'[1]2026 Orders'!V622</f>
        <v>0</v>
      </c>
      <c r="Y621">
        <f>'[1]2026 Orders'!W622</f>
        <v>0</v>
      </c>
      <c r="Z621">
        <f>'[1]2026 Orders'!X622</f>
        <v>0</v>
      </c>
      <c r="AC621" t="str">
        <f t="shared" si="18"/>
        <v/>
      </c>
      <c r="AD621" t="str">
        <f t="shared" si="19"/>
        <v/>
      </c>
    </row>
    <row r="622" spans="1:30" ht="33" hidden="1" customHeight="1" x14ac:dyDescent="0.3">
      <c r="A622">
        <f>'[1]2026 Orders'!A623</f>
        <v>0</v>
      </c>
      <c r="B622" s="14">
        <f>'[1]2026 Orders'!B623</f>
        <v>0</v>
      </c>
      <c r="C622" s="14">
        <f>'[1]2026 Orders'!C623</f>
        <v>0</v>
      </c>
      <c r="D622" s="14">
        <f>'[1]2026 Orders'!D623</f>
        <v>0</v>
      </c>
      <c r="E622" s="17" t="str" cm="1">
        <f t="array" ref="E622">IF(C622=0,"",
HYPERLINK(
"#'2026 Orders'!C"&amp;
MATCH(1,
('2026 Orders'!C:C=C622)*
('2026 Orders'!G:G=G622)*
('2026 Orders'!N:N=N622),
0),
"Open "&amp;C622
))</f>
        <v/>
      </c>
      <c r="F622" s="14">
        <f>'[1]2026 Orders'!F623</f>
        <v>0</v>
      </c>
      <c r="G622" s="14">
        <f>'[1]2026 Orders'!G623</f>
        <v>0</v>
      </c>
      <c r="H622" s="14" t="str" cm="1">
        <f t="array" ref="H622">IFERROR(_xlfn.TEXTJOIN("-",,INDEX(_xlfn.TEXTSPLIT(TableTake[[#This Row],[SKU]],"-"),{1,2})),"")</f>
        <v/>
      </c>
      <c r="I622" s="15" t="str">
        <f>IFERROR(_xlfn.TEXTAFTER(TableTake[[#This Row],[SKU]],"-",-1),"")</f>
        <v/>
      </c>
      <c r="J622" s="14">
        <f>'[1]2026 Orders'!H623</f>
        <v>0</v>
      </c>
      <c r="K622">
        <f>'[1]2026 Orders'!I623</f>
        <v>0</v>
      </c>
      <c r="L622">
        <f>'[1]2026 Orders'!J623</f>
        <v>0</v>
      </c>
      <c r="N622" s="10">
        <f>'[1]2026 Orders'!L623</f>
        <v>0</v>
      </c>
      <c r="O622">
        <f>'[1]2026 Orders'!M623</f>
        <v>0</v>
      </c>
      <c r="P622">
        <f>'[1]2026 Orders'!N623</f>
        <v>0</v>
      </c>
      <c r="Q622">
        <f>'[1]2026 Orders'!O623</f>
        <v>0</v>
      </c>
      <c r="R622">
        <f>'[1]2026 Orders'!P623</f>
        <v>0</v>
      </c>
      <c r="S622">
        <f>'[1]2026 Orders'!Q623</f>
        <v>0</v>
      </c>
      <c r="T622">
        <f>'[1]2026 Orders'!R623</f>
        <v>0</v>
      </c>
      <c r="U622">
        <f>'[1]2026 Orders'!S623</f>
        <v>0</v>
      </c>
      <c r="V622">
        <f>'[1]2026 Orders'!T623</f>
        <v>0</v>
      </c>
      <c r="W622">
        <f>'[1]2026 Orders'!U623</f>
        <v>0</v>
      </c>
      <c r="X622">
        <f>'[1]2026 Orders'!V623</f>
        <v>0</v>
      </c>
      <c r="Y622">
        <f>'[1]2026 Orders'!W623</f>
        <v>0</v>
      </c>
      <c r="Z622">
        <f>'[1]2026 Orders'!X623</f>
        <v>0</v>
      </c>
      <c r="AC622" t="str">
        <f t="shared" si="18"/>
        <v/>
      </c>
      <c r="AD622" t="str">
        <f t="shared" si="19"/>
        <v/>
      </c>
    </row>
    <row r="623" spans="1:30" ht="33" hidden="1" customHeight="1" x14ac:dyDescent="0.3">
      <c r="A623">
        <f>'[1]2026 Orders'!A624</f>
        <v>0</v>
      </c>
      <c r="B623" s="14">
        <f>'[1]2026 Orders'!B624</f>
        <v>0</v>
      </c>
      <c r="C623" s="14">
        <f>'[1]2026 Orders'!C624</f>
        <v>0</v>
      </c>
      <c r="D623" s="14">
        <f>'[1]2026 Orders'!D624</f>
        <v>0</v>
      </c>
      <c r="E623" s="17" t="str" cm="1">
        <f t="array" ref="E623">IF(C623=0,"",
HYPERLINK(
"#'2026 Orders'!C"&amp;
MATCH(1,
('2026 Orders'!C:C=C623)*
('2026 Orders'!G:G=G623)*
('2026 Orders'!N:N=N623),
0),
"Open "&amp;C623
))</f>
        <v/>
      </c>
      <c r="F623" s="14">
        <f>'[1]2026 Orders'!F624</f>
        <v>0</v>
      </c>
      <c r="G623" s="14">
        <f>'[1]2026 Orders'!G624</f>
        <v>0</v>
      </c>
      <c r="H623" s="14" t="str" cm="1">
        <f t="array" ref="H623">IFERROR(_xlfn.TEXTJOIN("-",,INDEX(_xlfn.TEXTSPLIT(TableTake[[#This Row],[SKU]],"-"),{1,2})),"")</f>
        <v/>
      </c>
      <c r="I623" s="15" t="str">
        <f>IFERROR(_xlfn.TEXTAFTER(TableTake[[#This Row],[SKU]],"-",-1),"")</f>
        <v/>
      </c>
      <c r="J623" s="14">
        <f>'[1]2026 Orders'!H624</f>
        <v>0</v>
      </c>
      <c r="K623">
        <f>'[1]2026 Orders'!I624</f>
        <v>0</v>
      </c>
      <c r="L623">
        <f>'[1]2026 Orders'!J624</f>
        <v>0</v>
      </c>
      <c r="N623" s="10">
        <f>'[1]2026 Orders'!L624</f>
        <v>0</v>
      </c>
      <c r="O623">
        <f>'[1]2026 Orders'!M624</f>
        <v>0</v>
      </c>
      <c r="P623">
        <f>'[1]2026 Orders'!N624</f>
        <v>0</v>
      </c>
      <c r="Q623">
        <f>'[1]2026 Orders'!O624</f>
        <v>0</v>
      </c>
      <c r="R623">
        <f>'[1]2026 Orders'!P624</f>
        <v>0</v>
      </c>
      <c r="S623">
        <f>'[1]2026 Orders'!Q624</f>
        <v>0</v>
      </c>
      <c r="T623">
        <f>'[1]2026 Orders'!R624</f>
        <v>0</v>
      </c>
      <c r="U623">
        <f>'[1]2026 Orders'!S624</f>
        <v>0</v>
      </c>
      <c r="V623">
        <f>'[1]2026 Orders'!T624</f>
        <v>0</v>
      </c>
      <c r="W623">
        <f>'[1]2026 Orders'!U624</f>
        <v>0</v>
      </c>
      <c r="X623">
        <f>'[1]2026 Orders'!V624</f>
        <v>0</v>
      </c>
      <c r="Y623">
        <f>'[1]2026 Orders'!W624</f>
        <v>0</v>
      </c>
      <c r="Z623">
        <f>'[1]2026 Orders'!X624</f>
        <v>0</v>
      </c>
      <c r="AC623" t="str">
        <f t="shared" si="18"/>
        <v/>
      </c>
      <c r="AD623" t="str">
        <f t="shared" si="19"/>
        <v/>
      </c>
    </row>
    <row r="624" spans="1:30" ht="33" hidden="1" customHeight="1" x14ac:dyDescent="0.3">
      <c r="A624">
        <f>'[1]2026 Orders'!A625</f>
        <v>0</v>
      </c>
      <c r="B624" s="14">
        <f>'[1]2026 Orders'!B625</f>
        <v>0</v>
      </c>
      <c r="C624" s="14">
        <f>'[1]2026 Orders'!C625</f>
        <v>0</v>
      </c>
      <c r="D624" s="14">
        <f>'[1]2026 Orders'!D625</f>
        <v>0</v>
      </c>
      <c r="E624" s="17" t="str" cm="1">
        <f t="array" ref="E624">IF(C624=0,"",
HYPERLINK(
"#'2026 Orders'!C"&amp;
MATCH(1,
('2026 Orders'!C:C=C624)*
('2026 Orders'!G:G=G624)*
('2026 Orders'!N:N=N624),
0),
"Open "&amp;C624
))</f>
        <v/>
      </c>
      <c r="F624" s="14">
        <f>'[1]2026 Orders'!F625</f>
        <v>0</v>
      </c>
      <c r="G624" s="14">
        <f>'[1]2026 Orders'!G625</f>
        <v>0</v>
      </c>
      <c r="H624" s="14" t="str" cm="1">
        <f t="array" ref="H624">IFERROR(_xlfn.TEXTJOIN("-",,INDEX(_xlfn.TEXTSPLIT(TableTake[[#This Row],[SKU]],"-"),{1,2})),"")</f>
        <v/>
      </c>
      <c r="I624" s="15" t="str">
        <f>IFERROR(_xlfn.TEXTAFTER(TableTake[[#This Row],[SKU]],"-",-1),"")</f>
        <v/>
      </c>
      <c r="J624" s="14">
        <f>'[1]2026 Orders'!H625</f>
        <v>0</v>
      </c>
      <c r="K624">
        <f>'[1]2026 Orders'!I625</f>
        <v>0</v>
      </c>
      <c r="L624">
        <f>'[1]2026 Orders'!J625</f>
        <v>0</v>
      </c>
      <c r="N624" s="10">
        <f>'[1]2026 Orders'!L625</f>
        <v>0</v>
      </c>
      <c r="O624">
        <f>'[1]2026 Orders'!M625</f>
        <v>0</v>
      </c>
      <c r="P624">
        <f>'[1]2026 Orders'!N625</f>
        <v>0</v>
      </c>
      <c r="Q624">
        <f>'[1]2026 Orders'!O625</f>
        <v>0</v>
      </c>
      <c r="R624">
        <f>'[1]2026 Orders'!P625</f>
        <v>0</v>
      </c>
      <c r="S624">
        <f>'[1]2026 Orders'!Q625</f>
        <v>0</v>
      </c>
      <c r="T624">
        <f>'[1]2026 Orders'!R625</f>
        <v>0</v>
      </c>
      <c r="U624">
        <f>'[1]2026 Orders'!S625</f>
        <v>0</v>
      </c>
      <c r="V624">
        <f>'[1]2026 Orders'!T625</f>
        <v>0</v>
      </c>
      <c r="W624">
        <f>'[1]2026 Orders'!U625</f>
        <v>0</v>
      </c>
      <c r="X624">
        <f>'[1]2026 Orders'!V625</f>
        <v>0</v>
      </c>
      <c r="Y624">
        <f>'[1]2026 Orders'!W625</f>
        <v>0</v>
      </c>
      <c r="Z624">
        <f>'[1]2026 Orders'!X625</f>
        <v>0</v>
      </c>
      <c r="AC624" t="str">
        <f t="shared" si="18"/>
        <v/>
      </c>
      <c r="AD624" t="str">
        <f t="shared" si="19"/>
        <v/>
      </c>
    </row>
    <row r="625" spans="1:30" ht="33" hidden="1" customHeight="1" x14ac:dyDescent="0.3">
      <c r="A625">
        <f>'[1]2026 Orders'!A626</f>
        <v>0</v>
      </c>
      <c r="B625" s="14">
        <f>'[1]2026 Orders'!B626</f>
        <v>0</v>
      </c>
      <c r="C625" s="14">
        <f>'[1]2026 Orders'!C626</f>
        <v>0</v>
      </c>
      <c r="D625" s="14">
        <f>'[1]2026 Orders'!D626</f>
        <v>0</v>
      </c>
      <c r="E625" s="17" t="str" cm="1">
        <f t="array" ref="E625">IF(C625=0,"",
HYPERLINK(
"#'2026 Orders'!C"&amp;
MATCH(1,
('2026 Orders'!C:C=C625)*
('2026 Orders'!G:G=G625)*
('2026 Orders'!N:N=N625),
0),
"Open "&amp;C625
))</f>
        <v/>
      </c>
      <c r="F625" s="14">
        <f>'[1]2026 Orders'!F626</f>
        <v>0</v>
      </c>
      <c r="G625" s="14">
        <f>'[1]2026 Orders'!G626</f>
        <v>0</v>
      </c>
      <c r="H625" s="14" t="str" cm="1">
        <f t="array" ref="H625">IFERROR(_xlfn.TEXTJOIN("-",,INDEX(_xlfn.TEXTSPLIT(TableTake[[#This Row],[SKU]],"-"),{1,2})),"")</f>
        <v/>
      </c>
      <c r="I625" s="15" t="str">
        <f>IFERROR(_xlfn.TEXTAFTER(TableTake[[#This Row],[SKU]],"-",-1),"")</f>
        <v/>
      </c>
      <c r="J625" s="14">
        <f>'[1]2026 Orders'!H626</f>
        <v>0</v>
      </c>
      <c r="K625">
        <f>'[1]2026 Orders'!I626</f>
        <v>0</v>
      </c>
      <c r="L625">
        <f>'[1]2026 Orders'!J626</f>
        <v>0</v>
      </c>
      <c r="N625" s="10">
        <f>'[1]2026 Orders'!L626</f>
        <v>0</v>
      </c>
      <c r="O625">
        <f>'[1]2026 Orders'!M626</f>
        <v>0</v>
      </c>
      <c r="P625">
        <f>'[1]2026 Orders'!N626</f>
        <v>0</v>
      </c>
      <c r="Q625">
        <f>'[1]2026 Orders'!O626</f>
        <v>0</v>
      </c>
      <c r="R625">
        <f>'[1]2026 Orders'!P626</f>
        <v>0</v>
      </c>
      <c r="S625">
        <f>'[1]2026 Orders'!Q626</f>
        <v>0</v>
      </c>
      <c r="T625">
        <f>'[1]2026 Orders'!R626</f>
        <v>0</v>
      </c>
      <c r="U625">
        <f>'[1]2026 Orders'!S626</f>
        <v>0</v>
      </c>
      <c r="V625">
        <f>'[1]2026 Orders'!T626</f>
        <v>0</v>
      </c>
      <c r="W625">
        <f>'[1]2026 Orders'!U626</f>
        <v>0</v>
      </c>
      <c r="X625">
        <f>'[1]2026 Orders'!V626</f>
        <v>0</v>
      </c>
      <c r="Y625">
        <f>'[1]2026 Orders'!W626</f>
        <v>0</v>
      </c>
      <c r="Z625">
        <f>'[1]2026 Orders'!X626</f>
        <v>0</v>
      </c>
      <c r="AC625" t="str">
        <f t="shared" si="18"/>
        <v/>
      </c>
      <c r="AD625" t="str">
        <f t="shared" si="19"/>
        <v/>
      </c>
    </row>
    <row r="626" spans="1:30" ht="33" hidden="1" customHeight="1" x14ac:dyDescent="0.3">
      <c r="A626">
        <f>'[1]2026 Orders'!A627</f>
        <v>0</v>
      </c>
      <c r="B626" s="14">
        <f>'[1]2026 Orders'!B627</f>
        <v>0</v>
      </c>
      <c r="C626" s="14">
        <f>'[1]2026 Orders'!C627</f>
        <v>0</v>
      </c>
      <c r="D626" s="14">
        <f>'[1]2026 Orders'!D627</f>
        <v>0</v>
      </c>
      <c r="E626" s="17" t="str" cm="1">
        <f t="array" ref="E626">IF(C626=0,"",
HYPERLINK(
"#'2026 Orders'!C"&amp;
MATCH(1,
('2026 Orders'!C:C=C626)*
('2026 Orders'!G:G=G626)*
('2026 Orders'!N:N=N626),
0),
"Open "&amp;C626
))</f>
        <v/>
      </c>
      <c r="F626" s="14">
        <f>'[1]2026 Orders'!F627</f>
        <v>0</v>
      </c>
      <c r="G626" s="14">
        <f>'[1]2026 Orders'!G627</f>
        <v>0</v>
      </c>
      <c r="H626" s="14" t="str" cm="1">
        <f t="array" ref="H626">IFERROR(_xlfn.TEXTJOIN("-",,INDEX(_xlfn.TEXTSPLIT(TableTake[[#This Row],[SKU]],"-"),{1,2})),"")</f>
        <v/>
      </c>
      <c r="I626" s="15" t="str">
        <f>IFERROR(_xlfn.TEXTAFTER(TableTake[[#This Row],[SKU]],"-",-1),"")</f>
        <v/>
      </c>
      <c r="J626" s="14">
        <f>'[1]2026 Orders'!H627</f>
        <v>0</v>
      </c>
      <c r="K626">
        <f>'[1]2026 Orders'!I627</f>
        <v>0</v>
      </c>
      <c r="L626">
        <f>'[1]2026 Orders'!J627</f>
        <v>0</v>
      </c>
      <c r="N626" s="10">
        <f>'[1]2026 Orders'!L627</f>
        <v>0</v>
      </c>
      <c r="O626">
        <f>'[1]2026 Orders'!M627</f>
        <v>0</v>
      </c>
      <c r="P626">
        <f>'[1]2026 Orders'!N627</f>
        <v>0</v>
      </c>
      <c r="Q626">
        <f>'[1]2026 Orders'!O627</f>
        <v>0</v>
      </c>
      <c r="R626">
        <f>'[1]2026 Orders'!P627</f>
        <v>0</v>
      </c>
      <c r="S626">
        <f>'[1]2026 Orders'!Q627</f>
        <v>0</v>
      </c>
      <c r="T626">
        <f>'[1]2026 Orders'!R627</f>
        <v>0</v>
      </c>
      <c r="U626">
        <f>'[1]2026 Orders'!S627</f>
        <v>0</v>
      </c>
      <c r="V626">
        <f>'[1]2026 Orders'!T627</f>
        <v>0</v>
      </c>
      <c r="W626">
        <f>'[1]2026 Orders'!U627</f>
        <v>0</v>
      </c>
      <c r="X626">
        <f>'[1]2026 Orders'!V627</f>
        <v>0</v>
      </c>
      <c r="Y626">
        <f>'[1]2026 Orders'!W627</f>
        <v>0</v>
      </c>
      <c r="Z626">
        <f>'[1]2026 Orders'!X627</f>
        <v>0</v>
      </c>
      <c r="AC626" t="str">
        <f t="shared" si="18"/>
        <v/>
      </c>
      <c r="AD626" t="str">
        <f t="shared" si="19"/>
        <v/>
      </c>
    </row>
    <row r="627" spans="1:30" ht="33" hidden="1" customHeight="1" x14ac:dyDescent="0.3">
      <c r="A627">
        <f>'[1]2026 Orders'!A628</f>
        <v>0</v>
      </c>
      <c r="B627" s="14">
        <f>'[1]2026 Orders'!B628</f>
        <v>0</v>
      </c>
      <c r="C627" s="14">
        <f>'[1]2026 Orders'!C628</f>
        <v>0</v>
      </c>
      <c r="D627" s="14">
        <f>'[1]2026 Orders'!D628</f>
        <v>0</v>
      </c>
      <c r="E627" s="17" t="str" cm="1">
        <f t="array" ref="E627">IF(C627=0,"",
HYPERLINK(
"#'2026 Orders'!C"&amp;
MATCH(1,
('2026 Orders'!C:C=C627)*
('2026 Orders'!G:G=G627)*
('2026 Orders'!N:N=N627),
0),
"Open "&amp;C627
))</f>
        <v/>
      </c>
      <c r="F627" s="14">
        <f>'[1]2026 Orders'!F628</f>
        <v>0</v>
      </c>
      <c r="G627" s="14">
        <f>'[1]2026 Orders'!G628</f>
        <v>0</v>
      </c>
      <c r="H627" s="14" t="str" cm="1">
        <f t="array" ref="H627">IFERROR(_xlfn.TEXTJOIN("-",,INDEX(_xlfn.TEXTSPLIT(TableTake[[#This Row],[SKU]],"-"),{1,2})),"")</f>
        <v/>
      </c>
      <c r="I627" s="15" t="str">
        <f>IFERROR(_xlfn.TEXTAFTER(TableTake[[#This Row],[SKU]],"-",-1),"")</f>
        <v/>
      </c>
      <c r="J627" s="14">
        <f>'[1]2026 Orders'!H628</f>
        <v>0</v>
      </c>
      <c r="K627">
        <f>'[1]2026 Orders'!I628</f>
        <v>0</v>
      </c>
      <c r="L627">
        <f>'[1]2026 Orders'!J628</f>
        <v>0</v>
      </c>
      <c r="N627" s="10">
        <f>'[1]2026 Orders'!L628</f>
        <v>0</v>
      </c>
      <c r="O627">
        <f>'[1]2026 Orders'!M628</f>
        <v>0</v>
      </c>
      <c r="P627">
        <f>'[1]2026 Orders'!N628</f>
        <v>0</v>
      </c>
      <c r="Q627">
        <f>'[1]2026 Orders'!O628</f>
        <v>0</v>
      </c>
      <c r="R627">
        <f>'[1]2026 Orders'!P628</f>
        <v>0</v>
      </c>
      <c r="S627">
        <f>'[1]2026 Orders'!Q628</f>
        <v>0</v>
      </c>
      <c r="T627">
        <f>'[1]2026 Orders'!R628</f>
        <v>0</v>
      </c>
      <c r="U627">
        <f>'[1]2026 Orders'!S628</f>
        <v>0</v>
      </c>
      <c r="V627">
        <f>'[1]2026 Orders'!T628</f>
        <v>0</v>
      </c>
      <c r="W627">
        <f>'[1]2026 Orders'!U628</f>
        <v>0</v>
      </c>
      <c r="X627">
        <f>'[1]2026 Orders'!V628</f>
        <v>0</v>
      </c>
      <c r="Y627">
        <f>'[1]2026 Orders'!W628</f>
        <v>0</v>
      </c>
      <c r="Z627">
        <f>'[1]2026 Orders'!X628</f>
        <v>0</v>
      </c>
      <c r="AC627" t="str">
        <f t="shared" si="18"/>
        <v/>
      </c>
      <c r="AD627" t="str">
        <f t="shared" si="19"/>
        <v/>
      </c>
    </row>
    <row r="628" spans="1:30" ht="33" hidden="1" customHeight="1" x14ac:dyDescent="0.3">
      <c r="A628">
        <f>'[1]2026 Orders'!A629</f>
        <v>0</v>
      </c>
      <c r="B628" s="14">
        <f>'[1]2026 Orders'!B629</f>
        <v>0</v>
      </c>
      <c r="C628" s="14">
        <f>'[1]2026 Orders'!C629</f>
        <v>0</v>
      </c>
      <c r="D628" s="14">
        <f>'[1]2026 Orders'!D629</f>
        <v>0</v>
      </c>
      <c r="E628" s="17" t="str" cm="1">
        <f t="array" ref="E628">IF(C628=0,"",
HYPERLINK(
"#'2026 Orders'!C"&amp;
MATCH(1,
('2026 Orders'!C:C=C628)*
('2026 Orders'!G:G=G628)*
('2026 Orders'!N:N=N628),
0),
"Open "&amp;C628
))</f>
        <v/>
      </c>
      <c r="F628" s="14">
        <f>'[1]2026 Orders'!F629</f>
        <v>0</v>
      </c>
      <c r="G628" s="14">
        <f>'[1]2026 Orders'!G629</f>
        <v>0</v>
      </c>
      <c r="H628" s="14" t="str" cm="1">
        <f t="array" ref="H628">IFERROR(_xlfn.TEXTJOIN("-",,INDEX(_xlfn.TEXTSPLIT(TableTake[[#This Row],[SKU]],"-"),{1,2})),"")</f>
        <v/>
      </c>
      <c r="I628" s="15" t="str">
        <f>IFERROR(_xlfn.TEXTAFTER(TableTake[[#This Row],[SKU]],"-",-1),"")</f>
        <v/>
      </c>
      <c r="J628" s="14">
        <f>'[1]2026 Orders'!H629</f>
        <v>0</v>
      </c>
      <c r="K628">
        <f>'[1]2026 Orders'!I629</f>
        <v>0</v>
      </c>
      <c r="L628">
        <f>'[1]2026 Orders'!J629</f>
        <v>0</v>
      </c>
      <c r="N628" s="10">
        <f>'[1]2026 Orders'!L629</f>
        <v>0</v>
      </c>
      <c r="O628">
        <f>'[1]2026 Orders'!M629</f>
        <v>0</v>
      </c>
      <c r="P628">
        <f>'[1]2026 Orders'!N629</f>
        <v>0</v>
      </c>
      <c r="Q628">
        <f>'[1]2026 Orders'!O629</f>
        <v>0</v>
      </c>
      <c r="R628">
        <f>'[1]2026 Orders'!P629</f>
        <v>0</v>
      </c>
      <c r="S628">
        <f>'[1]2026 Orders'!Q629</f>
        <v>0</v>
      </c>
      <c r="T628">
        <f>'[1]2026 Orders'!R629</f>
        <v>0</v>
      </c>
      <c r="U628">
        <f>'[1]2026 Orders'!S629</f>
        <v>0</v>
      </c>
      <c r="V628">
        <f>'[1]2026 Orders'!T629</f>
        <v>0</v>
      </c>
      <c r="W628">
        <f>'[1]2026 Orders'!U629</f>
        <v>0</v>
      </c>
      <c r="X628">
        <f>'[1]2026 Orders'!V629</f>
        <v>0</v>
      </c>
      <c r="Y628">
        <f>'[1]2026 Orders'!W629</f>
        <v>0</v>
      </c>
      <c r="Z628">
        <f>'[1]2026 Orders'!X629</f>
        <v>0</v>
      </c>
      <c r="AC628" t="str">
        <f t="shared" si="18"/>
        <v/>
      </c>
      <c r="AD628" t="str">
        <f t="shared" si="19"/>
        <v/>
      </c>
    </row>
    <row r="629" spans="1:30" ht="33" hidden="1" customHeight="1" x14ac:dyDescent="0.3">
      <c r="A629">
        <f>'[1]2026 Orders'!A630</f>
        <v>0</v>
      </c>
      <c r="B629" s="14">
        <f>'[1]2026 Orders'!B630</f>
        <v>0</v>
      </c>
      <c r="C629" s="14">
        <f>'[1]2026 Orders'!C630</f>
        <v>0</v>
      </c>
      <c r="D629" s="14">
        <f>'[1]2026 Orders'!D630</f>
        <v>0</v>
      </c>
      <c r="E629" s="17" t="str" cm="1">
        <f t="array" ref="E629">IF(C629=0,"",
HYPERLINK(
"#'2026 Orders'!C"&amp;
MATCH(1,
('2026 Orders'!C:C=C629)*
('2026 Orders'!G:G=G629)*
('2026 Orders'!N:N=N629),
0),
"Open "&amp;C629
))</f>
        <v/>
      </c>
      <c r="F629" s="14">
        <f>'[1]2026 Orders'!F630</f>
        <v>0</v>
      </c>
      <c r="G629" s="14">
        <f>'[1]2026 Orders'!G630</f>
        <v>0</v>
      </c>
      <c r="H629" s="14" t="str" cm="1">
        <f t="array" ref="H629">IFERROR(_xlfn.TEXTJOIN("-",,INDEX(_xlfn.TEXTSPLIT(TableTake[[#This Row],[SKU]],"-"),{1,2})),"")</f>
        <v/>
      </c>
      <c r="I629" s="15" t="str">
        <f>IFERROR(_xlfn.TEXTAFTER(TableTake[[#This Row],[SKU]],"-",-1),"")</f>
        <v/>
      </c>
      <c r="J629" s="14">
        <f>'[1]2026 Orders'!H630</f>
        <v>0</v>
      </c>
      <c r="K629">
        <f>'[1]2026 Orders'!I630</f>
        <v>0</v>
      </c>
      <c r="L629">
        <f>'[1]2026 Orders'!J630</f>
        <v>0</v>
      </c>
      <c r="N629" s="10">
        <f>'[1]2026 Orders'!L630</f>
        <v>0</v>
      </c>
      <c r="O629">
        <f>'[1]2026 Orders'!M630</f>
        <v>0</v>
      </c>
      <c r="P629">
        <f>'[1]2026 Orders'!N630</f>
        <v>0</v>
      </c>
      <c r="Q629">
        <f>'[1]2026 Orders'!O630</f>
        <v>0</v>
      </c>
      <c r="R629">
        <f>'[1]2026 Orders'!P630</f>
        <v>0</v>
      </c>
      <c r="S629">
        <f>'[1]2026 Orders'!Q630</f>
        <v>0</v>
      </c>
      <c r="T629">
        <f>'[1]2026 Orders'!R630</f>
        <v>0</v>
      </c>
      <c r="U629">
        <f>'[1]2026 Orders'!S630</f>
        <v>0</v>
      </c>
      <c r="V629">
        <f>'[1]2026 Orders'!T630</f>
        <v>0</v>
      </c>
      <c r="W629">
        <f>'[1]2026 Orders'!U630</f>
        <v>0</v>
      </c>
      <c r="X629">
        <f>'[1]2026 Orders'!V630</f>
        <v>0</v>
      </c>
      <c r="Y629">
        <f>'[1]2026 Orders'!W630</f>
        <v>0</v>
      </c>
      <c r="Z629">
        <f>'[1]2026 Orders'!X630</f>
        <v>0</v>
      </c>
      <c r="AC629" t="str">
        <f t="shared" si="18"/>
        <v/>
      </c>
      <c r="AD629" t="str">
        <f t="shared" si="19"/>
        <v/>
      </c>
    </row>
    <row r="630" spans="1:30" ht="33" hidden="1" customHeight="1" x14ac:dyDescent="0.3">
      <c r="A630">
        <f>'[1]2026 Orders'!A631</f>
        <v>0</v>
      </c>
      <c r="B630" s="14">
        <f>'[1]2026 Orders'!B631</f>
        <v>0</v>
      </c>
      <c r="C630" s="14">
        <f>'[1]2026 Orders'!C631</f>
        <v>0</v>
      </c>
      <c r="D630" s="14">
        <f>'[1]2026 Orders'!D631</f>
        <v>0</v>
      </c>
      <c r="E630" s="17" t="str" cm="1">
        <f t="array" ref="E630">IF(C630=0,"",
HYPERLINK(
"#'2026 Orders'!C"&amp;
MATCH(1,
('2026 Orders'!C:C=C630)*
('2026 Orders'!G:G=G630)*
('2026 Orders'!N:N=N630),
0),
"Open "&amp;C630
))</f>
        <v/>
      </c>
      <c r="F630" s="14">
        <f>'[1]2026 Orders'!F631</f>
        <v>0</v>
      </c>
      <c r="G630" s="14">
        <f>'[1]2026 Orders'!G631</f>
        <v>0</v>
      </c>
      <c r="H630" s="14" t="str" cm="1">
        <f t="array" ref="H630">IFERROR(_xlfn.TEXTJOIN("-",,INDEX(_xlfn.TEXTSPLIT(TableTake[[#This Row],[SKU]],"-"),{1,2})),"")</f>
        <v/>
      </c>
      <c r="I630" s="15" t="str">
        <f>IFERROR(_xlfn.TEXTAFTER(TableTake[[#This Row],[SKU]],"-",-1),"")</f>
        <v/>
      </c>
      <c r="J630" s="14">
        <f>'[1]2026 Orders'!H631</f>
        <v>0</v>
      </c>
      <c r="K630">
        <f>'[1]2026 Orders'!I631</f>
        <v>0</v>
      </c>
      <c r="L630">
        <f>'[1]2026 Orders'!J631</f>
        <v>0</v>
      </c>
      <c r="N630" s="10">
        <f>'[1]2026 Orders'!L631</f>
        <v>0</v>
      </c>
      <c r="O630">
        <f>'[1]2026 Orders'!M631</f>
        <v>0</v>
      </c>
      <c r="P630">
        <f>'[1]2026 Orders'!N631</f>
        <v>0</v>
      </c>
      <c r="Q630">
        <f>'[1]2026 Orders'!O631</f>
        <v>0</v>
      </c>
      <c r="R630">
        <f>'[1]2026 Orders'!P631</f>
        <v>0</v>
      </c>
      <c r="S630">
        <f>'[1]2026 Orders'!Q631</f>
        <v>0</v>
      </c>
      <c r="T630">
        <f>'[1]2026 Orders'!R631</f>
        <v>0</v>
      </c>
      <c r="U630">
        <f>'[1]2026 Orders'!S631</f>
        <v>0</v>
      </c>
      <c r="V630">
        <f>'[1]2026 Orders'!T631</f>
        <v>0</v>
      </c>
      <c r="W630">
        <f>'[1]2026 Orders'!U631</f>
        <v>0</v>
      </c>
      <c r="X630">
        <f>'[1]2026 Orders'!V631</f>
        <v>0</v>
      </c>
      <c r="Y630">
        <f>'[1]2026 Orders'!W631</f>
        <v>0</v>
      </c>
      <c r="Z630">
        <f>'[1]2026 Orders'!X631</f>
        <v>0</v>
      </c>
      <c r="AC630" t="str">
        <f t="shared" si="18"/>
        <v/>
      </c>
      <c r="AD630" t="str">
        <f t="shared" si="19"/>
        <v/>
      </c>
    </row>
    <row r="631" spans="1:30" ht="33" hidden="1" customHeight="1" x14ac:dyDescent="0.3">
      <c r="A631">
        <f>'[1]2026 Orders'!A632</f>
        <v>0</v>
      </c>
      <c r="B631" s="14">
        <f>'[1]2026 Orders'!B632</f>
        <v>0</v>
      </c>
      <c r="C631" s="14">
        <f>'[1]2026 Orders'!C632</f>
        <v>0</v>
      </c>
      <c r="D631" s="14">
        <f>'[1]2026 Orders'!D632</f>
        <v>0</v>
      </c>
      <c r="E631" s="17" t="str" cm="1">
        <f t="array" ref="E631">IF(C631=0,"",
HYPERLINK(
"#'2026 Orders'!C"&amp;
MATCH(1,
('2026 Orders'!C:C=C631)*
('2026 Orders'!G:G=G631)*
('2026 Orders'!N:N=N631),
0),
"Open "&amp;C631
))</f>
        <v/>
      </c>
      <c r="F631" s="14">
        <f>'[1]2026 Orders'!F632</f>
        <v>0</v>
      </c>
      <c r="G631" s="14">
        <f>'[1]2026 Orders'!G632</f>
        <v>0</v>
      </c>
      <c r="H631" s="14" t="str" cm="1">
        <f t="array" ref="H631">IFERROR(_xlfn.TEXTJOIN("-",,INDEX(_xlfn.TEXTSPLIT(TableTake[[#This Row],[SKU]],"-"),{1,2})),"")</f>
        <v/>
      </c>
      <c r="I631" s="15" t="str">
        <f>IFERROR(_xlfn.TEXTAFTER(TableTake[[#This Row],[SKU]],"-",-1),"")</f>
        <v/>
      </c>
      <c r="J631" s="14">
        <f>'[1]2026 Orders'!H632</f>
        <v>0</v>
      </c>
      <c r="K631">
        <f>'[1]2026 Orders'!I632</f>
        <v>0</v>
      </c>
      <c r="L631">
        <f>'[1]2026 Orders'!J632</f>
        <v>0</v>
      </c>
      <c r="N631" s="10">
        <f>'[1]2026 Orders'!L632</f>
        <v>0</v>
      </c>
      <c r="O631">
        <f>'[1]2026 Orders'!M632</f>
        <v>0</v>
      </c>
      <c r="P631">
        <f>'[1]2026 Orders'!N632</f>
        <v>0</v>
      </c>
      <c r="Q631">
        <f>'[1]2026 Orders'!O632</f>
        <v>0</v>
      </c>
      <c r="R631">
        <f>'[1]2026 Orders'!P632</f>
        <v>0</v>
      </c>
      <c r="S631">
        <f>'[1]2026 Orders'!Q632</f>
        <v>0</v>
      </c>
      <c r="T631">
        <f>'[1]2026 Orders'!R632</f>
        <v>0</v>
      </c>
      <c r="U631">
        <f>'[1]2026 Orders'!S632</f>
        <v>0</v>
      </c>
      <c r="V631">
        <f>'[1]2026 Orders'!T632</f>
        <v>0</v>
      </c>
      <c r="W631">
        <f>'[1]2026 Orders'!U632</f>
        <v>0</v>
      </c>
      <c r="X631">
        <f>'[1]2026 Orders'!V632</f>
        <v>0</v>
      </c>
      <c r="Y631">
        <f>'[1]2026 Orders'!W632</f>
        <v>0</v>
      </c>
      <c r="Z631">
        <f>'[1]2026 Orders'!X632</f>
        <v>0</v>
      </c>
      <c r="AC631" t="str">
        <f t="shared" si="18"/>
        <v/>
      </c>
      <c r="AD631" t="str">
        <f t="shared" si="19"/>
        <v/>
      </c>
    </row>
    <row r="632" spans="1:30" ht="33" hidden="1" customHeight="1" x14ac:dyDescent="0.3">
      <c r="A632">
        <f>'[1]2026 Orders'!A633</f>
        <v>0</v>
      </c>
      <c r="B632" s="14">
        <f>'[1]2026 Orders'!B633</f>
        <v>0</v>
      </c>
      <c r="C632" s="14">
        <f>'[1]2026 Orders'!C633</f>
        <v>0</v>
      </c>
      <c r="D632" s="14">
        <f>'[1]2026 Orders'!D633</f>
        <v>0</v>
      </c>
      <c r="E632" s="17" t="str" cm="1">
        <f t="array" ref="E632">IF(C632=0,"",
HYPERLINK(
"#'2026 Orders'!C"&amp;
MATCH(1,
('2026 Orders'!C:C=C632)*
('2026 Orders'!G:G=G632)*
('2026 Orders'!N:N=N632),
0),
"Open "&amp;C632
))</f>
        <v/>
      </c>
      <c r="F632" s="14">
        <f>'[1]2026 Orders'!F633</f>
        <v>0</v>
      </c>
      <c r="G632" s="14">
        <f>'[1]2026 Orders'!G633</f>
        <v>0</v>
      </c>
      <c r="H632" s="14" t="str" cm="1">
        <f t="array" ref="H632">IFERROR(_xlfn.TEXTJOIN("-",,INDEX(_xlfn.TEXTSPLIT(TableTake[[#This Row],[SKU]],"-"),{1,2})),"")</f>
        <v/>
      </c>
      <c r="I632" s="15" t="str">
        <f>IFERROR(_xlfn.TEXTAFTER(TableTake[[#This Row],[SKU]],"-",-1),"")</f>
        <v/>
      </c>
      <c r="J632" s="14">
        <f>'[1]2026 Orders'!H633</f>
        <v>0</v>
      </c>
      <c r="K632">
        <f>'[1]2026 Orders'!I633</f>
        <v>0</v>
      </c>
      <c r="L632">
        <f>'[1]2026 Orders'!J633</f>
        <v>0</v>
      </c>
      <c r="N632" s="10">
        <f>'[1]2026 Orders'!L633</f>
        <v>0</v>
      </c>
      <c r="O632">
        <f>'[1]2026 Orders'!M633</f>
        <v>0</v>
      </c>
      <c r="P632">
        <f>'[1]2026 Orders'!N633</f>
        <v>0</v>
      </c>
      <c r="Q632">
        <f>'[1]2026 Orders'!O633</f>
        <v>0</v>
      </c>
      <c r="R632">
        <f>'[1]2026 Orders'!P633</f>
        <v>0</v>
      </c>
      <c r="S632">
        <f>'[1]2026 Orders'!Q633</f>
        <v>0</v>
      </c>
      <c r="T632">
        <f>'[1]2026 Orders'!R633</f>
        <v>0</v>
      </c>
      <c r="U632">
        <f>'[1]2026 Orders'!S633</f>
        <v>0</v>
      </c>
      <c r="V632">
        <f>'[1]2026 Orders'!T633</f>
        <v>0</v>
      </c>
      <c r="W632">
        <f>'[1]2026 Orders'!U633</f>
        <v>0</v>
      </c>
      <c r="X632">
        <f>'[1]2026 Orders'!V633</f>
        <v>0</v>
      </c>
      <c r="Y632">
        <f>'[1]2026 Orders'!W633</f>
        <v>0</v>
      </c>
      <c r="Z632">
        <f>'[1]2026 Orders'!X633</f>
        <v>0</v>
      </c>
      <c r="AC632" t="str">
        <f t="shared" si="18"/>
        <v/>
      </c>
      <c r="AD632" t="str">
        <f t="shared" si="19"/>
        <v/>
      </c>
    </row>
    <row r="633" spans="1:30" ht="33" hidden="1" customHeight="1" x14ac:dyDescent="0.3">
      <c r="A633">
        <f>'[1]2026 Orders'!A634</f>
        <v>0</v>
      </c>
      <c r="B633" s="14">
        <f>'[1]2026 Orders'!B634</f>
        <v>0</v>
      </c>
      <c r="C633" s="14">
        <f>'[1]2026 Orders'!C634</f>
        <v>0</v>
      </c>
      <c r="D633" s="14">
        <f>'[1]2026 Orders'!D634</f>
        <v>0</v>
      </c>
      <c r="E633" s="17" t="str" cm="1">
        <f t="array" ref="E633">IF(C633=0,"",
HYPERLINK(
"#'2026 Orders'!C"&amp;
MATCH(1,
('2026 Orders'!C:C=C633)*
('2026 Orders'!G:G=G633)*
('2026 Orders'!N:N=N633),
0),
"Open "&amp;C633
))</f>
        <v/>
      </c>
      <c r="F633" s="14">
        <f>'[1]2026 Orders'!F634</f>
        <v>0</v>
      </c>
      <c r="G633" s="14">
        <f>'[1]2026 Orders'!G634</f>
        <v>0</v>
      </c>
      <c r="H633" s="14" t="str" cm="1">
        <f t="array" ref="H633">IFERROR(_xlfn.TEXTJOIN("-",,INDEX(_xlfn.TEXTSPLIT(TableTake[[#This Row],[SKU]],"-"),{1,2})),"")</f>
        <v/>
      </c>
      <c r="I633" s="15" t="str">
        <f>IFERROR(_xlfn.TEXTAFTER(TableTake[[#This Row],[SKU]],"-",-1),"")</f>
        <v/>
      </c>
      <c r="J633" s="14">
        <f>'[1]2026 Orders'!H634</f>
        <v>0</v>
      </c>
      <c r="K633">
        <f>'[1]2026 Orders'!I634</f>
        <v>0</v>
      </c>
      <c r="L633">
        <f>'[1]2026 Orders'!J634</f>
        <v>0</v>
      </c>
      <c r="N633" s="10">
        <f>'[1]2026 Orders'!L634</f>
        <v>0</v>
      </c>
      <c r="O633">
        <f>'[1]2026 Orders'!M634</f>
        <v>0</v>
      </c>
      <c r="P633">
        <f>'[1]2026 Orders'!N634</f>
        <v>0</v>
      </c>
      <c r="Q633">
        <f>'[1]2026 Orders'!O634</f>
        <v>0</v>
      </c>
      <c r="R633">
        <f>'[1]2026 Orders'!P634</f>
        <v>0</v>
      </c>
      <c r="S633">
        <f>'[1]2026 Orders'!Q634</f>
        <v>0</v>
      </c>
      <c r="T633">
        <f>'[1]2026 Orders'!R634</f>
        <v>0</v>
      </c>
      <c r="U633">
        <f>'[1]2026 Orders'!S634</f>
        <v>0</v>
      </c>
      <c r="V633">
        <f>'[1]2026 Orders'!T634</f>
        <v>0</v>
      </c>
      <c r="W633">
        <f>'[1]2026 Orders'!U634</f>
        <v>0</v>
      </c>
      <c r="X633">
        <f>'[1]2026 Orders'!V634</f>
        <v>0</v>
      </c>
      <c r="Y633">
        <f>'[1]2026 Orders'!W634</f>
        <v>0</v>
      </c>
      <c r="Z633">
        <f>'[1]2026 Orders'!X634</f>
        <v>0</v>
      </c>
      <c r="AC633" t="str">
        <f t="shared" si="18"/>
        <v/>
      </c>
      <c r="AD633" t="str">
        <f t="shared" si="19"/>
        <v/>
      </c>
    </row>
    <row r="634" spans="1:30" ht="33" hidden="1" customHeight="1" x14ac:dyDescent="0.3">
      <c r="A634">
        <f>'[1]2026 Orders'!A635</f>
        <v>0</v>
      </c>
      <c r="B634" s="14">
        <f>'[1]2026 Orders'!B635</f>
        <v>0</v>
      </c>
      <c r="C634" s="14">
        <f>'[1]2026 Orders'!C635</f>
        <v>0</v>
      </c>
      <c r="D634" s="14">
        <f>'[1]2026 Orders'!D635</f>
        <v>0</v>
      </c>
      <c r="E634" s="17" t="str" cm="1">
        <f t="array" ref="E634">IF(C634=0,"",
HYPERLINK(
"#'2026 Orders'!C"&amp;
MATCH(1,
('2026 Orders'!C:C=C634)*
('2026 Orders'!G:G=G634)*
('2026 Orders'!N:N=N634),
0),
"Open "&amp;C634
))</f>
        <v/>
      </c>
      <c r="F634" s="14">
        <f>'[1]2026 Orders'!F635</f>
        <v>0</v>
      </c>
      <c r="G634" s="14">
        <f>'[1]2026 Orders'!G635</f>
        <v>0</v>
      </c>
      <c r="H634" s="14" t="str" cm="1">
        <f t="array" ref="H634">IFERROR(_xlfn.TEXTJOIN("-",,INDEX(_xlfn.TEXTSPLIT(TableTake[[#This Row],[SKU]],"-"),{1,2})),"")</f>
        <v/>
      </c>
      <c r="I634" s="15" t="str">
        <f>IFERROR(_xlfn.TEXTAFTER(TableTake[[#This Row],[SKU]],"-",-1),"")</f>
        <v/>
      </c>
      <c r="J634" s="14">
        <f>'[1]2026 Orders'!H635</f>
        <v>0</v>
      </c>
      <c r="K634">
        <f>'[1]2026 Orders'!I635</f>
        <v>0</v>
      </c>
      <c r="L634">
        <f>'[1]2026 Orders'!J635</f>
        <v>0</v>
      </c>
      <c r="N634" s="10">
        <f>'[1]2026 Orders'!L635</f>
        <v>0</v>
      </c>
      <c r="O634">
        <f>'[1]2026 Orders'!M635</f>
        <v>0</v>
      </c>
      <c r="P634">
        <f>'[1]2026 Orders'!N635</f>
        <v>0</v>
      </c>
      <c r="Q634">
        <f>'[1]2026 Orders'!O635</f>
        <v>0</v>
      </c>
      <c r="R634">
        <f>'[1]2026 Orders'!P635</f>
        <v>0</v>
      </c>
      <c r="S634">
        <f>'[1]2026 Orders'!Q635</f>
        <v>0</v>
      </c>
      <c r="T634">
        <f>'[1]2026 Orders'!R635</f>
        <v>0</v>
      </c>
      <c r="U634">
        <f>'[1]2026 Orders'!S635</f>
        <v>0</v>
      </c>
      <c r="V634">
        <f>'[1]2026 Orders'!T635</f>
        <v>0</v>
      </c>
      <c r="W634">
        <f>'[1]2026 Orders'!U635</f>
        <v>0</v>
      </c>
      <c r="X634">
        <f>'[1]2026 Orders'!V635</f>
        <v>0</v>
      </c>
      <c r="Y634">
        <f>'[1]2026 Orders'!W635</f>
        <v>0</v>
      </c>
      <c r="Z634">
        <f>'[1]2026 Orders'!X635</f>
        <v>0</v>
      </c>
      <c r="AC634" t="str">
        <f t="shared" si="18"/>
        <v/>
      </c>
      <c r="AD634" t="str">
        <f t="shared" si="19"/>
        <v/>
      </c>
    </row>
    <row r="635" spans="1:30" ht="33" hidden="1" customHeight="1" x14ac:dyDescent="0.3">
      <c r="A635">
        <f>'[1]2026 Orders'!A636</f>
        <v>0</v>
      </c>
      <c r="B635" s="14">
        <f>'[1]2026 Orders'!B636</f>
        <v>0</v>
      </c>
      <c r="C635" s="14">
        <f>'[1]2026 Orders'!C636</f>
        <v>0</v>
      </c>
      <c r="D635" s="14">
        <f>'[1]2026 Orders'!D636</f>
        <v>0</v>
      </c>
      <c r="E635" s="17" t="str" cm="1">
        <f t="array" ref="E635">IF(C635=0,"",
HYPERLINK(
"#'2026 Orders'!C"&amp;
MATCH(1,
('2026 Orders'!C:C=C635)*
('2026 Orders'!G:G=G635)*
('2026 Orders'!N:N=N635),
0),
"Open "&amp;C635
))</f>
        <v/>
      </c>
      <c r="F635" s="14">
        <f>'[1]2026 Orders'!F636</f>
        <v>0</v>
      </c>
      <c r="G635" s="14">
        <f>'[1]2026 Orders'!G636</f>
        <v>0</v>
      </c>
      <c r="H635" s="14" t="str" cm="1">
        <f t="array" ref="H635">IFERROR(_xlfn.TEXTJOIN("-",,INDEX(_xlfn.TEXTSPLIT(TableTake[[#This Row],[SKU]],"-"),{1,2})),"")</f>
        <v/>
      </c>
      <c r="I635" s="15" t="str">
        <f>IFERROR(_xlfn.TEXTAFTER(TableTake[[#This Row],[SKU]],"-",-1),"")</f>
        <v/>
      </c>
      <c r="J635" s="14">
        <f>'[1]2026 Orders'!H636</f>
        <v>0</v>
      </c>
      <c r="K635">
        <f>'[1]2026 Orders'!I636</f>
        <v>0</v>
      </c>
      <c r="L635">
        <f>'[1]2026 Orders'!J636</f>
        <v>0</v>
      </c>
      <c r="N635" s="10">
        <f>'[1]2026 Orders'!L636</f>
        <v>0</v>
      </c>
      <c r="O635">
        <f>'[1]2026 Orders'!M636</f>
        <v>0</v>
      </c>
      <c r="P635">
        <f>'[1]2026 Orders'!N636</f>
        <v>0</v>
      </c>
      <c r="Q635">
        <f>'[1]2026 Orders'!O636</f>
        <v>0</v>
      </c>
      <c r="R635">
        <f>'[1]2026 Orders'!P636</f>
        <v>0</v>
      </c>
      <c r="S635">
        <f>'[1]2026 Orders'!Q636</f>
        <v>0</v>
      </c>
      <c r="T635">
        <f>'[1]2026 Orders'!R636</f>
        <v>0</v>
      </c>
      <c r="U635">
        <f>'[1]2026 Orders'!S636</f>
        <v>0</v>
      </c>
      <c r="V635">
        <f>'[1]2026 Orders'!T636</f>
        <v>0</v>
      </c>
      <c r="W635">
        <f>'[1]2026 Orders'!U636</f>
        <v>0</v>
      </c>
      <c r="X635">
        <f>'[1]2026 Orders'!V636</f>
        <v>0</v>
      </c>
      <c r="Y635">
        <f>'[1]2026 Orders'!W636</f>
        <v>0</v>
      </c>
      <c r="Z635">
        <f>'[1]2026 Orders'!X636</f>
        <v>0</v>
      </c>
      <c r="AC635" t="str">
        <f t="shared" si="18"/>
        <v/>
      </c>
      <c r="AD635" t="str">
        <f t="shared" si="19"/>
        <v/>
      </c>
    </row>
    <row r="636" spans="1:30" ht="33" hidden="1" customHeight="1" x14ac:dyDescent="0.3">
      <c r="A636">
        <f>'[1]2026 Orders'!A637</f>
        <v>0</v>
      </c>
      <c r="B636" s="14">
        <f>'[1]2026 Orders'!B637</f>
        <v>0</v>
      </c>
      <c r="C636" s="14">
        <f>'[1]2026 Orders'!C637</f>
        <v>0</v>
      </c>
      <c r="D636" s="14">
        <f>'[1]2026 Orders'!D637</f>
        <v>0</v>
      </c>
      <c r="E636" s="17" t="str" cm="1">
        <f t="array" ref="E636">IF(C636=0,"",
HYPERLINK(
"#'2026 Orders'!C"&amp;
MATCH(1,
('2026 Orders'!C:C=C636)*
('2026 Orders'!G:G=G636)*
('2026 Orders'!N:N=N636),
0),
"Open "&amp;C636
))</f>
        <v/>
      </c>
      <c r="F636" s="14">
        <f>'[1]2026 Orders'!F637</f>
        <v>0</v>
      </c>
      <c r="G636" s="14">
        <f>'[1]2026 Orders'!G637</f>
        <v>0</v>
      </c>
      <c r="H636" s="14" t="str" cm="1">
        <f t="array" ref="H636">IFERROR(_xlfn.TEXTJOIN("-",,INDEX(_xlfn.TEXTSPLIT(TableTake[[#This Row],[SKU]],"-"),{1,2})),"")</f>
        <v/>
      </c>
      <c r="I636" s="15" t="str">
        <f>IFERROR(_xlfn.TEXTAFTER(TableTake[[#This Row],[SKU]],"-",-1),"")</f>
        <v/>
      </c>
      <c r="J636" s="14">
        <f>'[1]2026 Orders'!H637</f>
        <v>0</v>
      </c>
      <c r="K636">
        <f>'[1]2026 Orders'!I637</f>
        <v>0</v>
      </c>
      <c r="L636">
        <f>'[1]2026 Orders'!J637</f>
        <v>0</v>
      </c>
      <c r="N636" s="10">
        <f>'[1]2026 Orders'!L637</f>
        <v>0</v>
      </c>
      <c r="O636">
        <f>'[1]2026 Orders'!M637</f>
        <v>0</v>
      </c>
      <c r="P636">
        <f>'[1]2026 Orders'!N637</f>
        <v>0</v>
      </c>
      <c r="Q636">
        <f>'[1]2026 Orders'!O637</f>
        <v>0</v>
      </c>
      <c r="R636">
        <f>'[1]2026 Orders'!P637</f>
        <v>0</v>
      </c>
      <c r="S636">
        <f>'[1]2026 Orders'!Q637</f>
        <v>0</v>
      </c>
      <c r="T636">
        <f>'[1]2026 Orders'!R637</f>
        <v>0</v>
      </c>
      <c r="U636">
        <f>'[1]2026 Orders'!S637</f>
        <v>0</v>
      </c>
      <c r="V636">
        <f>'[1]2026 Orders'!T637</f>
        <v>0</v>
      </c>
      <c r="W636">
        <f>'[1]2026 Orders'!U637</f>
        <v>0</v>
      </c>
      <c r="X636">
        <f>'[1]2026 Orders'!V637</f>
        <v>0</v>
      </c>
      <c r="Y636">
        <f>'[1]2026 Orders'!W637</f>
        <v>0</v>
      </c>
      <c r="Z636">
        <f>'[1]2026 Orders'!X637</f>
        <v>0</v>
      </c>
      <c r="AC636" t="str">
        <f t="shared" si="18"/>
        <v/>
      </c>
      <c r="AD636" t="str">
        <f t="shared" si="19"/>
        <v/>
      </c>
    </row>
    <row r="637" spans="1:30" ht="33" hidden="1" customHeight="1" x14ac:dyDescent="0.3">
      <c r="A637">
        <f>'[1]2026 Orders'!A638</f>
        <v>0</v>
      </c>
      <c r="B637" s="14">
        <f>'[1]2026 Orders'!B638</f>
        <v>0</v>
      </c>
      <c r="C637" s="14">
        <f>'[1]2026 Orders'!C638</f>
        <v>0</v>
      </c>
      <c r="D637" s="14">
        <f>'[1]2026 Orders'!D638</f>
        <v>0</v>
      </c>
      <c r="E637" s="17" t="str" cm="1">
        <f t="array" ref="E637">IF(C637=0,"",
HYPERLINK(
"#'2026 Orders'!C"&amp;
MATCH(1,
('2026 Orders'!C:C=C637)*
('2026 Orders'!G:G=G637)*
('2026 Orders'!N:N=N637),
0),
"Open "&amp;C637
))</f>
        <v/>
      </c>
      <c r="F637" s="14">
        <f>'[1]2026 Orders'!F638</f>
        <v>0</v>
      </c>
      <c r="G637" s="14">
        <f>'[1]2026 Orders'!G638</f>
        <v>0</v>
      </c>
      <c r="H637" s="14" t="str" cm="1">
        <f t="array" ref="H637">IFERROR(_xlfn.TEXTJOIN("-",,INDEX(_xlfn.TEXTSPLIT(TableTake[[#This Row],[SKU]],"-"),{1,2})),"")</f>
        <v/>
      </c>
      <c r="I637" s="15" t="str">
        <f>IFERROR(_xlfn.TEXTAFTER(TableTake[[#This Row],[SKU]],"-",-1),"")</f>
        <v/>
      </c>
      <c r="J637" s="14">
        <f>'[1]2026 Orders'!H638</f>
        <v>0</v>
      </c>
      <c r="K637">
        <f>'[1]2026 Orders'!I638</f>
        <v>0</v>
      </c>
      <c r="L637">
        <f>'[1]2026 Orders'!J638</f>
        <v>0</v>
      </c>
      <c r="N637" s="10">
        <f>'[1]2026 Orders'!L638</f>
        <v>0</v>
      </c>
      <c r="O637">
        <f>'[1]2026 Orders'!M638</f>
        <v>0</v>
      </c>
      <c r="P637">
        <f>'[1]2026 Orders'!N638</f>
        <v>0</v>
      </c>
      <c r="Q637">
        <f>'[1]2026 Orders'!O638</f>
        <v>0</v>
      </c>
      <c r="R637">
        <f>'[1]2026 Orders'!P638</f>
        <v>0</v>
      </c>
      <c r="S637">
        <f>'[1]2026 Orders'!Q638</f>
        <v>0</v>
      </c>
      <c r="T637">
        <f>'[1]2026 Orders'!R638</f>
        <v>0</v>
      </c>
      <c r="U637">
        <f>'[1]2026 Orders'!S638</f>
        <v>0</v>
      </c>
      <c r="V637">
        <f>'[1]2026 Orders'!T638</f>
        <v>0</v>
      </c>
      <c r="W637">
        <f>'[1]2026 Orders'!U638</f>
        <v>0</v>
      </c>
      <c r="X637">
        <f>'[1]2026 Orders'!V638</f>
        <v>0</v>
      </c>
      <c r="Y637">
        <f>'[1]2026 Orders'!W638</f>
        <v>0</v>
      </c>
      <c r="Z637">
        <f>'[1]2026 Orders'!X638</f>
        <v>0</v>
      </c>
      <c r="AC637" t="str">
        <f t="shared" si="18"/>
        <v/>
      </c>
      <c r="AD637" t="str">
        <f t="shared" si="19"/>
        <v/>
      </c>
    </row>
    <row r="638" spans="1:30" ht="33" hidden="1" customHeight="1" x14ac:dyDescent="0.3">
      <c r="A638">
        <f>'[1]2026 Orders'!A639</f>
        <v>0</v>
      </c>
      <c r="B638" s="14">
        <f>'[1]2026 Orders'!B639</f>
        <v>0</v>
      </c>
      <c r="C638" s="14">
        <f>'[1]2026 Orders'!C639</f>
        <v>0</v>
      </c>
      <c r="D638" s="14">
        <f>'[1]2026 Orders'!D639</f>
        <v>0</v>
      </c>
      <c r="E638" s="17" t="str" cm="1">
        <f t="array" ref="E638">IF(C638=0,"",
HYPERLINK(
"#'2026 Orders'!C"&amp;
MATCH(1,
('2026 Orders'!C:C=C638)*
('2026 Orders'!G:G=G638)*
('2026 Orders'!N:N=N638),
0),
"Open "&amp;C638
))</f>
        <v/>
      </c>
      <c r="F638" s="14">
        <f>'[1]2026 Orders'!F639</f>
        <v>0</v>
      </c>
      <c r="G638" s="14">
        <f>'[1]2026 Orders'!G639</f>
        <v>0</v>
      </c>
      <c r="H638" s="14" t="str" cm="1">
        <f t="array" ref="H638">IFERROR(_xlfn.TEXTJOIN("-",,INDEX(_xlfn.TEXTSPLIT(TableTake[[#This Row],[SKU]],"-"),{1,2})),"")</f>
        <v/>
      </c>
      <c r="I638" s="15" t="str">
        <f>IFERROR(_xlfn.TEXTAFTER(TableTake[[#This Row],[SKU]],"-",-1),"")</f>
        <v/>
      </c>
      <c r="J638" s="14">
        <f>'[1]2026 Orders'!H639</f>
        <v>0</v>
      </c>
      <c r="K638">
        <f>'[1]2026 Orders'!I639</f>
        <v>0</v>
      </c>
      <c r="L638">
        <f>'[1]2026 Orders'!J639</f>
        <v>0</v>
      </c>
      <c r="N638" s="10">
        <f>'[1]2026 Orders'!L639</f>
        <v>0</v>
      </c>
      <c r="O638">
        <f>'[1]2026 Orders'!M639</f>
        <v>0</v>
      </c>
      <c r="P638">
        <f>'[1]2026 Orders'!N639</f>
        <v>0</v>
      </c>
      <c r="Q638">
        <f>'[1]2026 Orders'!O639</f>
        <v>0</v>
      </c>
      <c r="R638">
        <f>'[1]2026 Orders'!P639</f>
        <v>0</v>
      </c>
      <c r="S638">
        <f>'[1]2026 Orders'!Q639</f>
        <v>0</v>
      </c>
      <c r="T638">
        <f>'[1]2026 Orders'!R639</f>
        <v>0</v>
      </c>
      <c r="U638">
        <f>'[1]2026 Orders'!S639</f>
        <v>0</v>
      </c>
      <c r="V638">
        <f>'[1]2026 Orders'!T639</f>
        <v>0</v>
      </c>
      <c r="W638">
        <f>'[1]2026 Orders'!U639</f>
        <v>0</v>
      </c>
      <c r="X638">
        <f>'[1]2026 Orders'!V639</f>
        <v>0</v>
      </c>
      <c r="Y638">
        <f>'[1]2026 Orders'!W639</f>
        <v>0</v>
      </c>
      <c r="Z638">
        <f>'[1]2026 Orders'!X639</f>
        <v>0</v>
      </c>
      <c r="AC638" t="str">
        <f t="shared" si="18"/>
        <v/>
      </c>
      <c r="AD638" t="str">
        <f t="shared" si="19"/>
        <v/>
      </c>
    </row>
    <row r="639" spans="1:30" ht="33" hidden="1" customHeight="1" x14ac:dyDescent="0.3">
      <c r="A639">
        <f>'[1]2026 Orders'!A640</f>
        <v>0</v>
      </c>
      <c r="B639" s="14">
        <f>'[1]2026 Orders'!B640</f>
        <v>0</v>
      </c>
      <c r="C639" s="14">
        <f>'[1]2026 Orders'!C640</f>
        <v>0</v>
      </c>
      <c r="D639" s="14">
        <f>'[1]2026 Orders'!D640</f>
        <v>0</v>
      </c>
      <c r="E639" s="17" t="str" cm="1">
        <f t="array" ref="E639">IF(C639=0,"",
HYPERLINK(
"#'2026 Orders'!C"&amp;
MATCH(1,
('2026 Orders'!C:C=C639)*
('2026 Orders'!G:G=G639)*
('2026 Orders'!N:N=N639),
0),
"Open "&amp;C639
))</f>
        <v/>
      </c>
      <c r="F639" s="14">
        <f>'[1]2026 Orders'!F640</f>
        <v>0</v>
      </c>
      <c r="G639" s="14">
        <f>'[1]2026 Orders'!G640</f>
        <v>0</v>
      </c>
      <c r="H639" s="14" t="str" cm="1">
        <f t="array" ref="H639">IFERROR(_xlfn.TEXTJOIN("-",,INDEX(_xlfn.TEXTSPLIT(TableTake[[#This Row],[SKU]],"-"),{1,2})),"")</f>
        <v/>
      </c>
      <c r="I639" s="15" t="str">
        <f>IFERROR(_xlfn.TEXTAFTER(TableTake[[#This Row],[SKU]],"-",-1),"")</f>
        <v/>
      </c>
      <c r="J639" s="14">
        <f>'[1]2026 Orders'!H640</f>
        <v>0</v>
      </c>
      <c r="K639">
        <f>'[1]2026 Orders'!I640</f>
        <v>0</v>
      </c>
      <c r="L639">
        <f>'[1]2026 Orders'!J640</f>
        <v>0</v>
      </c>
      <c r="N639" s="10">
        <f>'[1]2026 Orders'!L640</f>
        <v>0</v>
      </c>
      <c r="O639">
        <f>'[1]2026 Orders'!M640</f>
        <v>0</v>
      </c>
      <c r="P639">
        <f>'[1]2026 Orders'!N640</f>
        <v>0</v>
      </c>
      <c r="Q639">
        <f>'[1]2026 Orders'!O640</f>
        <v>0</v>
      </c>
      <c r="R639">
        <f>'[1]2026 Orders'!P640</f>
        <v>0</v>
      </c>
      <c r="S639">
        <f>'[1]2026 Orders'!Q640</f>
        <v>0</v>
      </c>
      <c r="T639">
        <f>'[1]2026 Orders'!R640</f>
        <v>0</v>
      </c>
      <c r="U639">
        <f>'[1]2026 Orders'!S640</f>
        <v>0</v>
      </c>
      <c r="V639">
        <f>'[1]2026 Orders'!T640</f>
        <v>0</v>
      </c>
      <c r="W639">
        <f>'[1]2026 Orders'!U640</f>
        <v>0</v>
      </c>
      <c r="X639">
        <f>'[1]2026 Orders'!V640</f>
        <v>0</v>
      </c>
      <c r="Y639">
        <f>'[1]2026 Orders'!W640</f>
        <v>0</v>
      </c>
      <c r="Z639">
        <f>'[1]2026 Orders'!X640</f>
        <v>0</v>
      </c>
      <c r="AC639" t="str">
        <f t="shared" si="18"/>
        <v/>
      </c>
      <c r="AD639" t="str">
        <f t="shared" si="19"/>
        <v/>
      </c>
    </row>
    <row r="640" spans="1:30" ht="33" hidden="1" customHeight="1" x14ac:dyDescent="0.3">
      <c r="A640">
        <f>'[1]2026 Orders'!A641</f>
        <v>0</v>
      </c>
      <c r="B640" s="14">
        <f>'[1]2026 Orders'!B641</f>
        <v>0</v>
      </c>
      <c r="C640" s="14">
        <f>'[1]2026 Orders'!C641</f>
        <v>0</v>
      </c>
      <c r="D640" s="14">
        <f>'[1]2026 Orders'!D641</f>
        <v>0</v>
      </c>
      <c r="E640" s="17" t="str" cm="1">
        <f t="array" ref="E640">IF(C640=0,"",
HYPERLINK(
"#'2026 Orders'!C"&amp;
MATCH(1,
('2026 Orders'!C:C=C640)*
('2026 Orders'!G:G=G640)*
('2026 Orders'!N:N=N640),
0),
"Open "&amp;C640
))</f>
        <v/>
      </c>
      <c r="F640" s="14">
        <f>'[1]2026 Orders'!F641</f>
        <v>0</v>
      </c>
      <c r="G640" s="14">
        <f>'[1]2026 Orders'!G641</f>
        <v>0</v>
      </c>
      <c r="H640" s="14" t="str" cm="1">
        <f t="array" ref="H640">IFERROR(_xlfn.TEXTJOIN("-",,INDEX(_xlfn.TEXTSPLIT(TableTake[[#This Row],[SKU]],"-"),{1,2})),"")</f>
        <v/>
      </c>
      <c r="I640" s="15" t="str">
        <f>IFERROR(_xlfn.TEXTAFTER(TableTake[[#This Row],[SKU]],"-",-1),"")</f>
        <v/>
      </c>
      <c r="J640" s="14">
        <f>'[1]2026 Orders'!H641</f>
        <v>0</v>
      </c>
      <c r="K640">
        <f>'[1]2026 Orders'!I641</f>
        <v>0</v>
      </c>
      <c r="L640">
        <f>'[1]2026 Orders'!J641</f>
        <v>0</v>
      </c>
      <c r="N640" s="10">
        <f>'[1]2026 Orders'!L641</f>
        <v>0</v>
      </c>
      <c r="O640">
        <f>'[1]2026 Orders'!M641</f>
        <v>0</v>
      </c>
      <c r="P640">
        <f>'[1]2026 Orders'!N641</f>
        <v>0</v>
      </c>
      <c r="Q640">
        <f>'[1]2026 Orders'!O641</f>
        <v>0</v>
      </c>
      <c r="R640">
        <f>'[1]2026 Orders'!P641</f>
        <v>0</v>
      </c>
      <c r="S640">
        <f>'[1]2026 Orders'!Q641</f>
        <v>0</v>
      </c>
      <c r="T640">
        <f>'[1]2026 Orders'!R641</f>
        <v>0</v>
      </c>
      <c r="U640">
        <f>'[1]2026 Orders'!S641</f>
        <v>0</v>
      </c>
      <c r="V640">
        <f>'[1]2026 Orders'!T641</f>
        <v>0</v>
      </c>
      <c r="W640">
        <f>'[1]2026 Orders'!U641</f>
        <v>0</v>
      </c>
      <c r="X640">
        <f>'[1]2026 Orders'!V641</f>
        <v>0</v>
      </c>
      <c r="Y640">
        <f>'[1]2026 Orders'!W641</f>
        <v>0</v>
      </c>
      <c r="Z640">
        <f>'[1]2026 Orders'!X641</f>
        <v>0</v>
      </c>
      <c r="AC640" t="str">
        <f t="shared" si="18"/>
        <v/>
      </c>
      <c r="AD640" t="str">
        <f t="shared" si="19"/>
        <v/>
      </c>
    </row>
    <row r="641" spans="1:30" ht="33" hidden="1" customHeight="1" x14ac:dyDescent="0.3">
      <c r="A641">
        <f>'[1]2026 Orders'!A642</f>
        <v>0</v>
      </c>
      <c r="B641" s="14">
        <f>'[1]2026 Orders'!B642</f>
        <v>0</v>
      </c>
      <c r="C641" s="14">
        <f>'[1]2026 Orders'!C642</f>
        <v>0</v>
      </c>
      <c r="D641" s="14">
        <f>'[1]2026 Orders'!D642</f>
        <v>0</v>
      </c>
      <c r="E641" s="17" t="str" cm="1">
        <f t="array" ref="E641">IF(C641=0,"",
HYPERLINK(
"#'2026 Orders'!C"&amp;
MATCH(1,
('2026 Orders'!C:C=C641)*
('2026 Orders'!G:G=G641)*
('2026 Orders'!N:N=N641),
0),
"Open "&amp;C641
))</f>
        <v/>
      </c>
      <c r="F641" s="14">
        <f>'[1]2026 Orders'!F642</f>
        <v>0</v>
      </c>
      <c r="G641" s="14">
        <f>'[1]2026 Orders'!G642</f>
        <v>0</v>
      </c>
      <c r="H641" s="14" t="str" cm="1">
        <f t="array" ref="H641">IFERROR(_xlfn.TEXTJOIN("-",,INDEX(_xlfn.TEXTSPLIT(TableTake[[#This Row],[SKU]],"-"),{1,2})),"")</f>
        <v/>
      </c>
      <c r="I641" s="15" t="str">
        <f>IFERROR(_xlfn.TEXTAFTER(TableTake[[#This Row],[SKU]],"-",-1),"")</f>
        <v/>
      </c>
      <c r="J641" s="14">
        <f>'[1]2026 Orders'!H642</f>
        <v>0</v>
      </c>
      <c r="K641">
        <f>'[1]2026 Orders'!I642</f>
        <v>0</v>
      </c>
      <c r="L641">
        <f>'[1]2026 Orders'!J642</f>
        <v>0</v>
      </c>
      <c r="N641" s="10">
        <f>'[1]2026 Orders'!L642</f>
        <v>0</v>
      </c>
      <c r="O641">
        <f>'[1]2026 Orders'!M642</f>
        <v>0</v>
      </c>
      <c r="P641">
        <f>'[1]2026 Orders'!N642</f>
        <v>0</v>
      </c>
      <c r="Q641">
        <f>'[1]2026 Orders'!O642</f>
        <v>0</v>
      </c>
      <c r="R641">
        <f>'[1]2026 Orders'!P642</f>
        <v>0</v>
      </c>
      <c r="S641">
        <f>'[1]2026 Orders'!Q642</f>
        <v>0</v>
      </c>
      <c r="T641">
        <f>'[1]2026 Orders'!R642</f>
        <v>0</v>
      </c>
      <c r="U641">
        <f>'[1]2026 Orders'!S642</f>
        <v>0</v>
      </c>
      <c r="V641">
        <f>'[1]2026 Orders'!T642</f>
        <v>0</v>
      </c>
      <c r="W641">
        <f>'[1]2026 Orders'!U642</f>
        <v>0</v>
      </c>
      <c r="X641">
        <f>'[1]2026 Orders'!V642</f>
        <v>0</v>
      </c>
      <c r="Y641">
        <f>'[1]2026 Orders'!W642</f>
        <v>0</v>
      </c>
      <c r="Z641">
        <f>'[1]2026 Orders'!X642</f>
        <v>0</v>
      </c>
      <c r="AC641" t="str">
        <f t="shared" si="18"/>
        <v/>
      </c>
      <c r="AD641" t="str">
        <f t="shared" si="19"/>
        <v/>
      </c>
    </row>
    <row r="642" spans="1:30" ht="33" hidden="1" customHeight="1" x14ac:dyDescent="0.3">
      <c r="A642">
        <f>'[1]2026 Orders'!A643</f>
        <v>0</v>
      </c>
      <c r="B642" s="14">
        <f>'[1]2026 Orders'!B643</f>
        <v>0</v>
      </c>
      <c r="C642" s="14">
        <f>'[1]2026 Orders'!C643</f>
        <v>0</v>
      </c>
      <c r="D642" s="14">
        <f>'[1]2026 Orders'!D643</f>
        <v>0</v>
      </c>
      <c r="E642" s="17" t="str" cm="1">
        <f t="array" ref="E642">IF(C642=0,"",
HYPERLINK(
"#'2026 Orders'!C"&amp;
MATCH(1,
('2026 Orders'!C:C=C642)*
('2026 Orders'!G:G=G642)*
('2026 Orders'!N:N=N642),
0),
"Open "&amp;C642
))</f>
        <v/>
      </c>
      <c r="F642" s="14">
        <f>'[1]2026 Orders'!F643</f>
        <v>0</v>
      </c>
      <c r="G642" s="14">
        <f>'[1]2026 Orders'!G643</f>
        <v>0</v>
      </c>
      <c r="H642" s="14" t="str" cm="1">
        <f t="array" ref="H642">IFERROR(_xlfn.TEXTJOIN("-",,INDEX(_xlfn.TEXTSPLIT(TableTake[[#This Row],[SKU]],"-"),{1,2})),"")</f>
        <v/>
      </c>
      <c r="I642" s="15" t="str">
        <f>IFERROR(_xlfn.TEXTAFTER(TableTake[[#This Row],[SKU]],"-",-1),"")</f>
        <v/>
      </c>
      <c r="J642" s="14">
        <f>'[1]2026 Orders'!H643</f>
        <v>0</v>
      </c>
      <c r="K642">
        <f>'[1]2026 Orders'!I643</f>
        <v>0</v>
      </c>
      <c r="L642">
        <f>'[1]2026 Orders'!J643</f>
        <v>0</v>
      </c>
      <c r="N642" s="10">
        <f>'[1]2026 Orders'!L643</f>
        <v>0</v>
      </c>
      <c r="O642">
        <f>'[1]2026 Orders'!M643</f>
        <v>0</v>
      </c>
      <c r="P642">
        <f>'[1]2026 Orders'!N643</f>
        <v>0</v>
      </c>
      <c r="Q642">
        <f>'[1]2026 Orders'!O643</f>
        <v>0</v>
      </c>
      <c r="R642">
        <f>'[1]2026 Orders'!P643</f>
        <v>0</v>
      </c>
      <c r="S642">
        <f>'[1]2026 Orders'!Q643</f>
        <v>0</v>
      </c>
      <c r="T642">
        <f>'[1]2026 Orders'!R643</f>
        <v>0</v>
      </c>
      <c r="U642">
        <f>'[1]2026 Orders'!S643</f>
        <v>0</v>
      </c>
      <c r="V642">
        <f>'[1]2026 Orders'!T643</f>
        <v>0</v>
      </c>
      <c r="W642">
        <f>'[1]2026 Orders'!U643</f>
        <v>0</v>
      </c>
      <c r="X642">
        <f>'[1]2026 Orders'!V643</f>
        <v>0</v>
      </c>
      <c r="Y642">
        <f>'[1]2026 Orders'!W643</f>
        <v>0</v>
      </c>
      <c r="Z642">
        <f>'[1]2026 Orders'!X643</f>
        <v>0</v>
      </c>
      <c r="AC642" t="str">
        <f t="shared" si="18"/>
        <v/>
      </c>
      <c r="AD642" t="str">
        <f t="shared" si="19"/>
        <v/>
      </c>
    </row>
    <row r="643" spans="1:30" ht="33" hidden="1" customHeight="1" x14ac:dyDescent="0.3">
      <c r="A643">
        <f>'[1]2026 Orders'!A644</f>
        <v>0</v>
      </c>
      <c r="B643" s="14">
        <f>'[1]2026 Orders'!B644</f>
        <v>0</v>
      </c>
      <c r="C643" s="14">
        <f>'[1]2026 Orders'!C644</f>
        <v>0</v>
      </c>
      <c r="D643" s="14">
        <f>'[1]2026 Orders'!D644</f>
        <v>0</v>
      </c>
      <c r="E643" s="17" t="str" cm="1">
        <f t="array" ref="E643">IF(C643=0,"",
HYPERLINK(
"#'2026 Orders'!C"&amp;
MATCH(1,
('2026 Orders'!C:C=C643)*
('2026 Orders'!G:G=G643)*
('2026 Orders'!N:N=N643),
0),
"Open "&amp;C643
))</f>
        <v/>
      </c>
      <c r="F643" s="14">
        <f>'[1]2026 Orders'!F644</f>
        <v>0</v>
      </c>
      <c r="G643" s="14">
        <f>'[1]2026 Orders'!G644</f>
        <v>0</v>
      </c>
      <c r="H643" s="14" t="str" cm="1">
        <f t="array" ref="H643">IFERROR(_xlfn.TEXTJOIN("-",,INDEX(_xlfn.TEXTSPLIT(TableTake[[#This Row],[SKU]],"-"),{1,2})),"")</f>
        <v/>
      </c>
      <c r="I643" s="15" t="str">
        <f>IFERROR(_xlfn.TEXTAFTER(TableTake[[#This Row],[SKU]],"-",-1),"")</f>
        <v/>
      </c>
      <c r="J643" s="14">
        <f>'[1]2026 Orders'!H644</f>
        <v>0</v>
      </c>
      <c r="K643">
        <f>'[1]2026 Orders'!I644</f>
        <v>0</v>
      </c>
      <c r="L643">
        <f>'[1]2026 Orders'!J644</f>
        <v>0</v>
      </c>
      <c r="N643" s="10">
        <f>'[1]2026 Orders'!L644</f>
        <v>0</v>
      </c>
      <c r="O643">
        <f>'[1]2026 Orders'!M644</f>
        <v>0</v>
      </c>
      <c r="P643">
        <f>'[1]2026 Orders'!N644</f>
        <v>0</v>
      </c>
      <c r="Q643">
        <f>'[1]2026 Orders'!O644</f>
        <v>0</v>
      </c>
      <c r="R643">
        <f>'[1]2026 Orders'!P644</f>
        <v>0</v>
      </c>
      <c r="S643">
        <f>'[1]2026 Orders'!Q644</f>
        <v>0</v>
      </c>
      <c r="T643">
        <f>'[1]2026 Orders'!R644</f>
        <v>0</v>
      </c>
      <c r="U643">
        <f>'[1]2026 Orders'!S644</f>
        <v>0</v>
      </c>
      <c r="V643">
        <f>'[1]2026 Orders'!T644</f>
        <v>0</v>
      </c>
      <c r="W643">
        <f>'[1]2026 Orders'!U644</f>
        <v>0</v>
      </c>
      <c r="X643">
        <f>'[1]2026 Orders'!V644</f>
        <v>0</v>
      </c>
      <c r="Y643">
        <f>'[1]2026 Orders'!W644</f>
        <v>0</v>
      </c>
      <c r="Z643">
        <f>'[1]2026 Orders'!X644</f>
        <v>0</v>
      </c>
      <c r="AC643" t="str">
        <f t="shared" ref="AC643:AC652" si="20">IF(OR(B643="",B643=0),"",J643&amp;"/"&amp;$AJ$2)</f>
        <v/>
      </c>
      <c r="AD643" t="str">
        <f t="shared" ref="AD643:AD652" si="21">IF(OR(J643="",J643=0),"",I643&amp;" -&gt; "&amp;$AK$2)</f>
        <v/>
      </c>
    </row>
    <row r="644" spans="1:30" ht="33" hidden="1" customHeight="1" x14ac:dyDescent="0.3">
      <c r="A644">
        <f>'[1]2026 Orders'!A645</f>
        <v>0</v>
      </c>
      <c r="B644" s="14">
        <f>'[1]2026 Orders'!B645</f>
        <v>0</v>
      </c>
      <c r="C644" s="14">
        <f>'[1]2026 Orders'!C645</f>
        <v>0</v>
      </c>
      <c r="D644" s="14">
        <f>'[1]2026 Orders'!D645</f>
        <v>0</v>
      </c>
      <c r="E644" s="17" t="str" cm="1">
        <f t="array" ref="E644">IF(C644=0,"",
HYPERLINK(
"#'2026 Orders'!C"&amp;
MATCH(1,
('2026 Orders'!C:C=C644)*
('2026 Orders'!G:G=G644)*
('2026 Orders'!N:N=N644),
0),
"Open "&amp;C644
))</f>
        <v/>
      </c>
      <c r="F644" s="14">
        <f>'[1]2026 Orders'!F645</f>
        <v>0</v>
      </c>
      <c r="G644" s="14">
        <f>'[1]2026 Orders'!G645</f>
        <v>0</v>
      </c>
      <c r="H644" s="14" t="str" cm="1">
        <f t="array" ref="H644">IFERROR(_xlfn.TEXTJOIN("-",,INDEX(_xlfn.TEXTSPLIT(TableTake[[#This Row],[SKU]],"-"),{1,2})),"")</f>
        <v/>
      </c>
      <c r="I644" s="15" t="str">
        <f>IFERROR(_xlfn.TEXTAFTER(TableTake[[#This Row],[SKU]],"-",-1),"")</f>
        <v/>
      </c>
      <c r="J644" s="14">
        <f>'[1]2026 Orders'!H645</f>
        <v>0</v>
      </c>
      <c r="K644">
        <f>'[1]2026 Orders'!I645</f>
        <v>0</v>
      </c>
      <c r="L644">
        <f>'[1]2026 Orders'!J645</f>
        <v>0</v>
      </c>
      <c r="N644" s="10">
        <f>'[1]2026 Orders'!L645</f>
        <v>0</v>
      </c>
      <c r="O644">
        <f>'[1]2026 Orders'!M645</f>
        <v>0</v>
      </c>
      <c r="P644">
        <f>'[1]2026 Orders'!N645</f>
        <v>0</v>
      </c>
      <c r="Q644">
        <f>'[1]2026 Orders'!O645</f>
        <v>0</v>
      </c>
      <c r="R644">
        <f>'[1]2026 Orders'!P645</f>
        <v>0</v>
      </c>
      <c r="S644">
        <f>'[1]2026 Orders'!Q645</f>
        <v>0</v>
      </c>
      <c r="T644">
        <f>'[1]2026 Orders'!R645</f>
        <v>0</v>
      </c>
      <c r="U644">
        <f>'[1]2026 Orders'!S645</f>
        <v>0</v>
      </c>
      <c r="V644">
        <f>'[1]2026 Orders'!T645</f>
        <v>0</v>
      </c>
      <c r="W644">
        <f>'[1]2026 Orders'!U645</f>
        <v>0</v>
      </c>
      <c r="X644">
        <f>'[1]2026 Orders'!V645</f>
        <v>0</v>
      </c>
      <c r="Y644">
        <f>'[1]2026 Orders'!W645</f>
        <v>0</v>
      </c>
      <c r="Z644">
        <f>'[1]2026 Orders'!X645</f>
        <v>0</v>
      </c>
      <c r="AC644" t="str">
        <f t="shared" si="20"/>
        <v/>
      </c>
      <c r="AD644" t="str">
        <f t="shared" si="21"/>
        <v/>
      </c>
    </row>
    <row r="645" spans="1:30" ht="33" hidden="1" customHeight="1" x14ac:dyDescent="0.3">
      <c r="A645">
        <f>'[1]2026 Orders'!A646</f>
        <v>0</v>
      </c>
      <c r="B645" s="14">
        <f>'[1]2026 Orders'!B646</f>
        <v>0</v>
      </c>
      <c r="C645" s="14">
        <f>'[1]2026 Orders'!C646</f>
        <v>0</v>
      </c>
      <c r="D645" s="14">
        <f>'[1]2026 Orders'!D646</f>
        <v>0</v>
      </c>
      <c r="E645" s="17" t="str" cm="1">
        <f t="array" ref="E645">IF(C645=0,"",
HYPERLINK(
"#'2026 Orders'!C"&amp;
MATCH(1,
('2026 Orders'!C:C=C645)*
('2026 Orders'!G:G=G645)*
('2026 Orders'!N:N=N645),
0),
"Open "&amp;C645
))</f>
        <v/>
      </c>
      <c r="F645" s="14">
        <f>'[1]2026 Orders'!F646</f>
        <v>0</v>
      </c>
      <c r="G645" s="14">
        <f>'[1]2026 Orders'!G646</f>
        <v>0</v>
      </c>
      <c r="H645" s="14" t="str" cm="1">
        <f t="array" ref="H645">IFERROR(_xlfn.TEXTJOIN("-",,INDEX(_xlfn.TEXTSPLIT(TableTake[[#This Row],[SKU]],"-"),{1,2})),"")</f>
        <v/>
      </c>
      <c r="I645" s="15" t="str">
        <f>IFERROR(_xlfn.TEXTAFTER(TableTake[[#This Row],[SKU]],"-",-1),"")</f>
        <v/>
      </c>
      <c r="J645" s="14">
        <f>'[1]2026 Orders'!H646</f>
        <v>0</v>
      </c>
      <c r="K645">
        <f>'[1]2026 Orders'!I646</f>
        <v>0</v>
      </c>
      <c r="L645">
        <f>'[1]2026 Orders'!J646</f>
        <v>0</v>
      </c>
      <c r="N645" s="10">
        <f>'[1]2026 Orders'!L646</f>
        <v>0</v>
      </c>
      <c r="O645">
        <f>'[1]2026 Orders'!M646</f>
        <v>0</v>
      </c>
      <c r="P645">
        <f>'[1]2026 Orders'!N646</f>
        <v>0</v>
      </c>
      <c r="Q645">
        <f>'[1]2026 Orders'!O646</f>
        <v>0</v>
      </c>
      <c r="R645">
        <f>'[1]2026 Orders'!P646</f>
        <v>0</v>
      </c>
      <c r="S645">
        <f>'[1]2026 Orders'!Q646</f>
        <v>0</v>
      </c>
      <c r="T645">
        <f>'[1]2026 Orders'!R646</f>
        <v>0</v>
      </c>
      <c r="U645">
        <f>'[1]2026 Orders'!S646</f>
        <v>0</v>
      </c>
      <c r="V645">
        <f>'[1]2026 Orders'!T646</f>
        <v>0</v>
      </c>
      <c r="W645">
        <f>'[1]2026 Orders'!U646</f>
        <v>0</v>
      </c>
      <c r="X645">
        <f>'[1]2026 Orders'!V646</f>
        <v>0</v>
      </c>
      <c r="Y645">
        <f>'[1]2026 Orders'!W646</f>
        <v>0</v>
      </c>
      <c r="Z645">
        <f>'[1]2026 Orders'!X646</f>
        <v>0</v>
      </c>
      <c r="AC645" t="str">
        <f t="shared" si="20"/>
        <v/>
      </c>
      <c r="AD645" t="str">
        <f t="shared" si="21"/>
        <v/>
      </c>
    </row>
    <row r="646" spans="1:30" ht="33" hidden="1" customHeight="1" x14ac:dyDescent="0.3">
      <c r="A646">
        <f>'[1]2026 Orders'!A647</f>
        <v>0</v>
      </c>
      <c r="B646" s="14">
        <f>'[1]2026 Orders'!B647</f>
        <v>0</v>
      </c>
      <c r="C646" s="14">
        <f>'[1]2026 Orders'!C647</f>
        <v>0</v>
      </c>
      <c r="D646" s="14">
        <f>'[1]2026 Orders'!D647</f>
        <v>0</v>
      </c>
      <c r="E646" s="17" t="str" cm="1">
        <f t="array" ref="E646">IF(C646=0,"",
HYPERLINK(
"#'2026 Orders'!C"&amp;
MATCH(1,
('2026 Orders'!C:C=C646)*
('2026 Orders'!G:G=G646)*
('2026 Orders'!N:N=N646),
0),
"Open "&amp;C646
))</f>
        <v/>
      </c>
      <c r="F646" s="14">
        <f>'[1]2026 Orders'!F647</f>
        <v>0</v>
      </c>
      <c r="G646" s="14">
        <f>'[1]2026 Orders'!G647</f>
        <v>0</v>
      </c>
      <c r="H646" s="14" t="str" cm="1">
        <f t="array" ref="H646">IFERROR(_xlfn.TEXTJOIN("-",,INDEX(_xlfn.TEXTSPLIT(TableTake[[#This Row],[SKU]],"-"),{1,2})),"")</f>
        <v/>
      </c>
      <c r="I646" s="15" t="str">
        <f>IFERROR(_xlfn.TEXTAFTER(TableTake[[#This Row],[SKU]],"-",-1),"")</f>
        <v/>
      </c>
      <c r="J646" s="14">
        <f>'[1]2026 Orders'!H647</f>
        <v>0</v>
      </c>
      <c r="K646">
        <f>'[1]2026 Orders'!I647</f>
        <v>0</v>
      </c>
      <c r="L646">
        <f>'[1]2026 Orders'!J647</f>
        <v>0</v>
      </c>
      <c r="N646" s="10">
        <f>'[1]2026 Orders'!L647</f>
        <v>0</v>
      </c>
      <c r="O646">
        <f>'[1]2026 Orders'!M647</f>
        <v>0</v>
      </c>
      <c r="P646">
        <f>'[1]2026 Orders'!N647</f>
        <v>0</v>
      </c>
      <c r="Q646">
        <f>'[1]2026 Orders'!O647</f>
        <v>0</v>
      </c>
      <c r="R646">
        <f>'[1]2026 Orders'!P647</f>
        <v>0</v>
      </c>
      <c r="S646">
        <f>'[1]2026 Orders'!Q647</f>
        <v>0</v>
      </c>
      <c r="T646">
        <f>'[1]2026 Orders'!R647</f>
        <v>0</v>
      </c>
      <c r="U646">
        <f>'[1]2026 Orders'!S647</f>
        <v>0</v>
      </c>
      <c r="V646">
        <f>'[1]2026 Orders'!T647</f>
        <v>0</v>
      </c>
      <c r="W646">
        <f>'[1]2026 Orders'!U647</f>
        <v>0</v>
      </c>
      <c r="X646">
        <f>'[1]2026 Orders'!V647</f>
        <v>0</v>
      </c>
      <c r="Y646">
        <f>'[1]2026 Orders'!W647</f>
        <v>0</v>
      </c>
      <c r="Z646">
        <f>'[1]2026 Orders'!X647</f>
        <v>0</v>
      </c>
      <c r="AC646" t="str">
        <f t="shared" si="20"/>
        <v/>
      </c>
      <c r="AD646" t="str">
        <f t="shared" si="21"/>
        <v/>
      </c>
    </row>
    <row r="647" spans="1:30" ht="33" hidden="1" customHeight="1" x14ac:dyDescent="0.3">
      <c r="A647">
        <f>'[1]2026 Orders'!A648</f>
        <v>0</v>
      </c>
      <c r="B647" s="14">
        <f>'[1]2026 Orders'!B648</f>
        <v>0</v>
      </c>
      <c r="C647" s="14">
        <f>'[1]2026 Orders'!C648</f>
        <v>0</v>
      </c>
      <c r="D647" s="14">
        <f>'[1]2026 Orders'!D648</f>
        <v>0</v>
      </c>
      <c r="E647" s="17" t="str" cm="1">
        <f t="array" ref="E647">IF(C647=0,"",
HYPERLINK(
"#'2026 Orders'!C"&amp;
MATCH(1,
('2026 Orders'!C:C=C647)*
('2026 Orders'!G:G=G647)*
('2026 Orders'!N:N=N647),
0),
"Open "&amp;C647
))</f>
        <v/>
      </c>
      <c r="F647" s="14">
        <f>'[1]2026 Orders'!F648</f>
        <v>0</v>
      </c>
      <c r="G647" s="14">
        <f>'[1]2026 Orders'!G648</f>
        <v>0</v>
      </c>
      <c r="H647" s="14" t="str" cm="1">
        <f t="array" ref="H647">IFERROR(_xlfn.TEXTJOIN("-",,INDEX(_xlfn.TEXTSPLIT(TableTake[[#This Row],[SKU]],"-"),{1,2})),"")</f>
        <v/>
      </c>
      <c r="I647" s="15" t="str">
        <f>IFERROR(_xlfn.TEXTAFTER(TableTake[[#This Row],[SKU]],"-",-1),"")</f>
        <v/>
      </c>
      <c r="J647" s="14">
        <f>'[1]2026 Orders'!H648</f>
        <v>0</v>
      </c>
      <c r="K647">
        <f>'[1]2026 Orders'!I648</f>
        <v>0</v>
      </c>
      <c r="L647">
        <f>'[1]2026 Orders'!J648</f>
        <v>0</v>
      </c>
      <c r="N647" s="10">
        <f>'[1]2026 Orders'!L648</f>
        <v>0</v>
      </c>
      <c r="O647">
        <f>'[1]2026 Orders'!M648</f>
        <v>0</v>
      </c>
      <c r="P647">
        <f>'[1]2026 Orders'!N648</f>
        <v>0</v>
      </c>
      <c r="Q647">
        <f>'[1]2026 Orders'!O648</f>
        <v>0</v>
      </c>
      <c r="R647">
        <f>'[1]2026 Orders'!P648</f>
        <v>0</v>
      </c>
      <c r="S647">
        <f>'[1]2026 Orders'!Q648</f>
        <v>0</v>
      </c>
      <c r="T647">
        <f>'[1]2026 Orders'!R648</f>
        <v>0</v>
      </c>
      <c r="U647">
        <f>'[1]2026 Orders'!S648</f>
        <v>0</v>
      </c>
      <c r="V647">
        <f>'[1]2026 Orders'!T648</f>
        <v>0</v>
      </c>
      <c r="W647">
        <f>'[1]2026 Orders'!U648</f>
        <v>0</v>
      </c>
      <c r="X647">
        <f>'[1]2026 Orders'!V648</f>
        <v>0</v>
      </c>
      <c r="Y647">
        <f>'[1]2026 Orders'!W648</f>
        <v>0</v>
      </c>
      <c r="Z647">
        <f>'[1]2026 Orders'!X648</f>
        <v>0</v>
      </c>
      <c r="AC647" t="str">
        <f t="shared" si="20"/>
        <v/>
      </c>
      <c r="AD647" t="str">
        <f t="shared" si="21"/>
        <v/>
      </c>
    </row>
    <row r="648" spans="1:30" ht="33" hidden="1" customHeight="1" x14ac:dyDescent="0.3">
      <c r="A648">
        <f>'[1]2026 Orders'!A649</f>
        <v>0</v>
      </c>
      <c r="B648" s="14">
        <f>'[1]2026 Orders'!B649</f>
        <v>0</v>
      </c>
      <c r="C648" s="14">
        <f>'[1]2026 Orders'!C649</f>
        <v>0</v>
      </c>
      <c r="D648" s="14">
        <f>'[1]2026 Orders'!D649</f>
        <v>0</v>
      </c>
      <c r="E648" s="17" t="str" cm="1">
        <f t="array" ref="E648">IF(C648=0,"",
HYPERLINK(
"#'2026 Orders'!C"&amp;
MATCH(1,
('2026 Orders'!C:C=C648)*
('2026 Orders'!G:G=G648)*
('2026 Orders'!N:N=N648),
0),
"Open "&amp;C648
))</f>
        <v/>
      </c>
      <c r="F648" s="14">
        <f>'[1]2026 Orders'!F649</f>
        <v>0</v>
      </c>
      <c r="G648" s="14">
        <f>'[1]2026 Orders'!G649</f>
        <v>0</v>
      </c>
      <c r="H648" s="14" t="str" cm="1">
        <f t="array" ref="H648">IFERROR(_xlfn.TEXTJOIN("-",,INDEX(_xlfn.TEXTSPLIT(TableTake[[#This Row],[SKU]],"-"),{1,2})),"")</f>
        <v/>
      </c>
      <c r="I648" s="15" t="str">
        <f>IFERROR(_xlfn.TEXTAFTER(TableTake[[#This Row],[SKU]],"-",-1),"")</f>
        <v/>
      </c>
      <c r="J648" s="14">
        <f>'[1]2026 Orders'!H649</f>
        <v>0</v>
      </c>
      <c r="K648">
        <f>'[1]2026 Orders'!I649</f>
        <v>0</v>
      </c>
      <c r="L648">
        <f>'[1]2026 Orders'!J649</f>
        <v>0</v>
      </c>
      <c r="N648" s="10">
        <f>'[1]2026 Orders'!L649</f>
        <v>0</v>
      </c>
      <c r="O648">
        <f>'[1]2026 Orders'!M649</f>
        <v>0</v>
      </c>
      <c r="P648">
        <f>'[1]2026 Orders'!N649</f>
        <v>0</v>
      </c>
      <c r="Q648">
        <f>'[1]2026 Orders'!O649</f>
        <v>0</v>
      </c>
      <c r="R648">
        <f>'[1]2026 Orders'!P649</f>
        <v>0</v>
      </c>
      <c r="S648">
        <f>'[1]2026 Orders'!Q649</f>
        <v>0</v>
      </c>
      <c r="T648">
        <f>'[1]2026 Orders'!R649</f>
        <v>0</v>
      </c>
      <c r="U648">
        <f>'[1]2026 Orders'!S649</f>
        <v>0</v>
      </c>
      <c r="V648">
        <f>'[1]2026 Orders'!T649</f>
        <v>0</v>
      </c>
      <c r="W648">
        <f>'[1]2026 Orders'!U649</f>
        <v>0</v>
      </c>
      <c r="X648">
        <f>'[1]2026 Orders'!V649</f>
        <v>0</v>
      </c>
      <c r="Y648">
        <f>'[1]2026 Orders'!W649</f>
        <v>0</v>
      </c>
      <c r="Z648">
        <f>'[1]2026 Orders'!X649</f>
        <v>0</v>
      </c>
      <c r="AC648" t="str">
        <f t="shared" si="20"/>
        <v/>
      </c>
      <c r="AD648" t="str">
        <f t="shared" si="21"/>
        <v/>
      </c>
    </row>
    <row r="649" spans="1:30" ht="33" hidden="1" customHeight="1" x14ac:dyDescent="0.3">
      <c r="A649">
        <f>'[1]2026 Orders'!A650</f>
        <v>0</v>
      </c>
      <c r="B649" s="14">
        <f>'[1]2026 Orders'!B650</f>
        <v>0</v>
      </c>
      <c r="C649" s="14">
        <f>'[1]2026 Orders'!C650</f>
        <v>0</v>
      </c>
      <c r="D649" s="14">
        <f>'[1]2026 Orders'!D650</f>
        <v>0</v>
      </c>
      <c r="E649" s="17" t="str" cm="1">
        <f t="array" ref="E649">IF(C649=0,"",
HYPERLINK(
"#'2026 Orders'!C"&amp;
MATCH(1,
('2026 Orders'!C:C=C649)*
('2026 Orders'!G:G=G649)*
('2026 Orders'!N:N=N649),
0),
"Open "&amp;C649
))</f>
        <v/>
      </c>
      <c r="F649" s="14">
        <f>'[1]2026 Orders'!F650</f>
        <v>0</v>
      </c>
      <c r="G649" s="14">
        <f>'[1]2026 Orders'!G650</f>
        <v>0</v>
      </c>
      <c r="H649" s="14" t="str" cm="1">
        <f t="array" ref="H649">IFERROR(_xlfn.TEXTJOIN("-",,INDEX(_xlfn.TEXTSPLIT(TableTake[[#This Row],[SKU]],"-"),{1,2})),"")</f>
        <v/>
      </c>
      <c r="I649" s="15" t="str">
        <f>IFERROR(_xlfn.TEXTAFTER(TableTake[[#This Row],[SKU]],"-",-1),"")</f>
        <v/>
      </c>
      <c r="J649" s="14">
        <f>'[1]2026 Orders'!H650</f>
        <v>0</v>
      </c>
      <c r="K649">
        <f>'[1]2026 Orders'!I650</f>
        <v>0</v>
      </c>
      <c r="L649">
        <f>'[1]2026 Orders'!J650</f>
        <v>0</v>
      </c>
      <c r="N649" s="10">
        <f>'[1]2026 Orders'!L650</f>
        <v>0</v>
      </c>
      <c r="O649">
        <f>'[1]2026 Orders'!M650</f>
        <v>0</v>
      </c>
      <c r="P649">
        <f>'[1]2026 Orders'!N650</f>
        <v>0</v>
      </c>
      <c r="Q649">
        <f>'[1]2026 Orders'!O650</f>
        <v>0</v>
      </c>
      <c r="R649">
        <f>'[1]2026 Orders'!P650</f>
        <v>0</v>
      </c>
      <c r="S649">
        <f>'[1]2026 Orders'!Q650</f>
        <v>0</v>
      </c>
      <c r="T649">
        <f>'[1]2026 Orders'!R650</f>
        <v>0</v>
      </c>
      <c r="U649">
        <f>'[1]2026 Orders'!S650</f>
        <v>0</v>
      </c>
      <c r="V649">
        <f>'[1]2026 Orders'!T650</f>
        <v>0</v>
      </c>
      <c r="W649">
        <f>'[1]2026 Orders'!U650</f>
        <v>0</v>
      </c>
      <c r="X649">
        <f>'[1]2026 Orders'!V650</f>
        <v>0</v>
      </c>
      <c r="Y649">
        <f>'[1]2026 Orders'!W650</f>
        <v>0</v>
      </c>
      <c r="Z649">
        <f>'[1]2026 Orders'!X650</f>
        <v>0</v>
      </c>
      <c r="AC649" t="str">
        <f t="shared" si="20"/>
        <v/>
      </c>
      <c r="AD649" t="str">
        <f t="shared" si="21"/>
        <v/>
      </c>
    </row>
    <row r="650" spans="1:30" ht="33" hidden="1" customHeight="1" x14ac:dyDescent="0.3">
      <c r="A650">
        <f>'[1]2026 Orders'!A651</f>
        <v>0</v>
      </c>
      <c r="B650" s="14">
        <f>'[1]2026 Orders'!B651</f>
        <v>0</v>
      </c>
      <c r="C650" s="14">
        <f>'[1]2026 Orders'!C651</f>
        <v>0</v>
      </c>
      <c r="D650" s="14">
        <f>'[1]2026 Orders'!D651</f>
        <v>0</v>
      </c>
      <c r="E650" s="17" t="str" cm="1">
        <f t="array" ref="E650">IF(C650=0,"",
HYPERLINK(
"#'2026 Orders'!C"&amp;
MATCH(1,
('2026 Orders'!C:C=C650)*
('2026 Orders'!G:G=G650)*
('2026 Orders'!N:N=N650),
0),
"Open "&amp;C650
))</f>
        <v/>
      </c>
      <c r="F650" s="14">
        <f>'[1]2026 Orders'!F651</f>
        <v>0</v>
      </c>
      <c r="G650" s="14">
        <f>'[1]2026 Orders'!G651</f>
        <v>0</v>
      </c>
      <c r="H650" s="14" t="str" cm="1">
        <f t="array" ref="H650">IFERROR(_xlfn.TEXTJOIN("-",,INDEX(_xlfn.TEXTSPLIT(TableTake[[#This Row],[SKU]],"-"),{1,2})),"")</f>
        <v/>
      </c>
      <c r="I650" s="15" t="str">
        <f>IFERROR(_xlfn.TEXTAFTER(TableTake[[#This Row],[SKU]],"-",-1),"")</f>
        <v/>
      </c>
      <c r="J650" s="14">
        <f>'[1]2026 Orders'!H651</f>
        <v>0</v>
      </c>
      <c r="K650">
        <f>'[1]2026 Orders'!I651</f>
        <v>0</v>
      </c>
      <c r="L650">
        <f>'[1]2026 Orders'!J651</f>
        <v>0</v>
      </c>
      <c r="N650" s="10">
        <f>'[1]2026 Orders'!L651</f>
        <v>0</v>
      </c>
      <c r="O650">
        <f>'[1]2026 Orders'!M651</f>
        <v>0</v>
      </c>
      <c r="P650">
        <f>'[1]2026 Orders'!N651</f>
        <v>0</v>
      </c>
      <c r="Q650">
        <f>'[1]2026 Orders'!O651</f>
        <v>0</v>
      </c>
      <c r="R650">
        <f>'[1]2026 Orders'!P651</f>
        <v>0</v>
      </c>
      <c r="S650">
        <f>'[1]2026 Orders'!Q651</f>
        <v>0</v>
      </c>
      <c r="T650">
        <f>'[1]2026 Orders'!R651</f>
        <v>0</v>
      </c>
      <c r="U650">
        <f>'[1]2026 Orders'!S651</f>
        <v>0</v>
      </c>
      <c r="V650">
        <f>'[1]2026 Orders'!T651</f>
        <v>0</v>
      </c>
      <c r="W650">
        <f>'[1]2026 Orders'!U651</f>
        <v>0</v>
      </c>
      <c r="X650">
        <f>'[1]2026 Orders'!V651</f>
        <v>0</v>
      </c>
      <c r="Y650">
        <f>'[1]2026 Orders'!W651</f>
        <v>0</v>
      </c>
      <c r="Z650">
        <f>'[1]2026 Orders'!X651</f>
        <v>0</v>
      </c>
      <c r="AC650" t="str">
        <f t="shared" si="20"/>
        <v/>
      </c>
      <c r="AD650" t="str">
        <f t="shared" si="21"/>
        <v/>
      </c>
    </row>
    <row r="651" spans="1:30" ht="33" hidden="1" customHeight="1" x14ac:dyDescent="0.3">
      <c r="A651">
        <f>'[1]2026 Orders'!A652</f>
        <v>0</v>
      </c>
      <c r="B651" s="14">
        <f>'[1]2026 Orders'!B652</f>
        <v>0</v>
      </c>
      <c r="C651" s="14">
        <f>'[1]2026 Orders'!C652</f>
        <v>0</v>
      </c>
      <c r="D651" s="14">
        <f>'[1]2026 Orders'!D652</f>
        <v>0</v>
      </c>
      <c r="E651" s="17" t="str" cm="1">
        <f t="array" ref="E651">IF(C651=0,"",
HYPERLINK(
"#'2026 Orders'!C"&amp;
MATCH(1,
('2026 Orders'!C:C=C651)*
('2026 Orders'!G:G=G651)*
('2026 Orders'!N:N=N651),
0),
"Open "&amp;C651
))</f>
        <v/>
      </c>
      <c r="F651" s="14">
        <f>'[1]2026 Orders'!F652</f>
        <v>0</v>
      </c>
      <c r="G651" s="14">
        <f>'[1]2026 Orders'!G652</f>
        <v>0</v>
      </c>
      <c r="H651" s="14" t="str" cm="1">
        <f t="array" ref="H651">IFERROR(_xlfn.TEXTJOIN("-",,INDEX(_xlfn.TEXTSPLIT(TableTake[[#This Row],[SKU]],"-"),{1,2})),"")</f>
        <v/>
      </c>
      <c r="I651" s="15" t="str">
        <f>IFERROR(_xlfn.TEXTAFTER(TableTake[[#This Row],[SKU]],"-",-1),"")</f>
        <v/>
      </c>
      <c r="J651" s="14">
        <f>'[1]2026 Orders'!H652</f>
        <v>0</v>
      </c>
      <c r="K651">
        <f>'[1]2026 Orders'!I652</f>
        <v>0</v>
      </c>
      <c r="L651">
        <f>'[1]2026 Orders'!J652</f>
        <v>0</v>
      </c>
      <c r="N651" s="10">
        <f>'[1]2026 Orders'!L652</f>
        <v>0</v>
      </c>
      <c r="O651">
        <f>'[1]2026 Orders'!M652</f>
        <v>0</v>
      </c>
      <c r="P651">
        <f>'[1]2026 Orders'!N652</f>
        <v>0</v>
      </c>
      <c r="Q651">
        <f>'[1]2026 Orders'!O652</f>
        <v>0</v>
      </c>
      <c r="R651">
        <f>'[1]2026 Orders'!P652</f>
        <v>0</v>
      </c>
      <c r="S651">
        <f>'[1]2026 Orders'!Q652</f>
        <v>0</v>
      </c>
      <c r="T651">
        <f>'[1]2026 Orders'!R652</f>
        <v>0</v>
      </c>
      <c r="U651">
        <f>'[1]2026 Orders'!S652</f>
        <v>0</v>
      </c>
      <c r="V651">
        <f>'[1]2026 Orders'!T652</f>
        <v>0</v>
      </c>
      <c r="W651">
        <f>'[1]2026 Orders'!U652</f>
        <v>0</v>
      </c>
      <c r="X651">
        <f>'[1]2026 Orders'!V652</f>
        <v>0</v>
      </c>
      <c r="Y651">
        <f>'[1]2026 Orders'!W652</f>
        <v>0</v>
      </c>
      <c r="Z651">
        <f>'[1]2026 Orders'!X652</f>
        <v>0</v>
      </c>
      <c r="AC651" t="str">
        <f t="shared" si="20"/>
        <v/>
      </c>
      <c r="AD651" t="str">
        <f t="shared" si="21"/>
        <v/>
      </c>
    </row>
    <row r="652" spans="1:30" ht="33" hidden="1" customHeight="1" x14ac:dyDescent="0.3">
      <c r="A652">
        <f>'[1]2026 Orders'!A653</f>
        <v>0</v>
      </c>
      <c r="B652" s="14">
        <f>'[1]2026 Orders'!B653</f>
        <v>0</v>
      </c>
      <c r="C652" s="14">
        <f>'[1]2026 Orders'!C653</f>
        <v>0</v>
      </c>
      <c r="D652" s="14">
        <f>'[1]2026 Orders'!D653</f>
        <v>0</v>
      </c>
      <c r="E652" s="17" t="str" cm="1">
        <f t="array" ref="E652">IF(C652=0,"",
HYPERLINK(
"#'2026 Orders'!C"&amp;
MATCH(1,
('2026 Orders'!C:C=C652)*
('2026 Orders'!G:G=G652)*
('2026 Orders'!N:N=N652),
0),
"Open "&amp;C652
))</f>
        <v/>
      </c>
      <c r="F652" s="14">
        <f>'[1]2026 Orders'!F653</f>
        <v>0</v>
      </c>
      <c r="G652" s="14">
        <f>'[1]2026 Orders'!G653</f>
        <v>0</v>
      </c>
      <c r="H652" s="14" t="str" cm="1">
        <f t="array" ref="H652">IFERROR(_xlfn.TEXTJOIN("-",,INDEX(_xlfn.TEXTSPLIT(TableTake[[#This Row],[SKU]],"-"),{1,2})),"")</f>
        <v/>
      </c>
      <c r="I652" s="15" t="str">
        <f>IFERROR(_xlfn.TEXTAFTER(TableTake[[#This Row],[SKU]],"-",-1),"")</f>
        <v/>
      </c>
      <c r="J652" s="14">
        <f>'[1]2026 Orders'!H653</f>
        <v>0</v>
      </c>
      <c r="K652">
        <f>'[1]2026 Orders'!I653</f>
        <v>0</v>
      </c>
      <c r="L652">
        <f>'[1]2026 Orders'!J653</f>
        <v>0</v>
      </c>
      <c r="N652" s="10">
        <f>'[1]2026 Orders'!L653</f>
        <v>0</v>
      </c>
      <c r="O652">
        <f>'[1]2026 Orders'!M653</f>
        <v>0</v>
      </c>
      <c r="P652">
        <f>'[1]2026 Orders'!N653</f>
        <v>0</v>
      </c>
      <c r="Q652">
        <f>'[1]2026 Orders'!O653</f>
        <v>0</v>
      </c>
      <c r="R652">
        <f>'[1]2026 Orders'!P653</f>
        <v>0</v>
      </c>
      <c r="S652">
        <f>'[1]2026 Orders'!Q653</f>
        <v>0</v>
      </c>
      <c r="T652">
        <f>'[1]2026 Orders'!R653</f>
        <v>0</v>
      </c>
      <c r="U652">
        <f>'[1]2026 Orders'!S653</f>
        <v>0</v>
      </c>
      <c r="V652">
        <f>'[1]2026 Orders'!T653</f>
        <v>0</v>
      </c>
      <c r="W652">
        <f>'[1]2026 Orders'!U653</f>
        <v>0</v>
      </c>
      <c r="X652">
        <f>'[1]2026 Orders'!V653</f>
        <v>0</v>
      </c>
      <c r="Y652">
        <f>'[1]2026 Orders'!W653</f>
        <v>0</v>
      </c>
      <c r="Z652">
        <f>'[1]2026 Orders'!X653</f>
        <v>0</v>
      </c>
      <c r="AC652" t="str">
        <f t="shared" si="20"/>
        <v/>
      </c>
      <c r="AD652" t="str">
        <f t="shared" si="21"/>
        <v/>
      </c>
    </row>
    <row r="653" spans="1:30" ht="33" customHeight="1" thickTop="1" x14ac:dyDescent="0.3">
      <c r="B653" s="10"/>
      <c r="C653" s="10"/>
      <c r="D653" s="10"/>
      <c r="E653" s="10"/>
      <c r="F653" s="10"/>
      <c r="G653" s="10"/>
      <c r="H653" s="10"/>
      <c r="I653" s="10"/>
      <c r="J653" s="10"/>
    </row>
    <row r="654" spans="1:30" ht="33" customHeight="1" x14ac:dyDescent="0.3">
      <c r="B654" s="10"/>
      <c r="C654" s="10"/>
      <c r="D654" s="10"/>
      <c r="E654" s="10"/>
      <c r="F654" s="10"/>
      <c r="G654" s="10"/>
      <c r="H654" s="10"/>
      <c r="I654" s="10"/>
      <c r="J654" s="10"/>
    </row>
    <row r="655" spans="1:30" ht="33" customHeight="1" x14ac:dyDescent="0.3">
      <c r="B655" s="10"/>
      <c r="C655" s="10"/>
      <c r="D655" s="10"/>
      <c r="E655" s="10"/>
      <c r="F655" s="10"/>
      <c r="G655" s="10"/>
      <c r="H655" s="10"/>
      <c r="I655" s="10"/>
      <c r="J655" s="10"/>
    </row>
    <row r="656" spans="1:30" ht="33" customHeight="1" x14ac:dyDescent="0.3">
      <c r="B656" s="10"/>
      <c r="C656" s="10"/>
      <c r="D656" s="10"/>
      <c r="E656" s="10"/>
      <c r="F656" s="10"/>
      <c r="G656" s="10"/>
      <c r="H656" s="10"/>
      <c r="I656" s="10"/>
      <c r="J656" s="10"/>
    </row>
    <row r="657" spans="2:10" ht="33" customHeight="1" x14ac:dyDescent="0.3">
      <c r="B657" s="10"/>
      <c r="C657" s="10"/>
      <c r="D657" s="10"/>
      <c r="E657" s="10"/>
      <c r="F657" s="10"/>
      <c r="G657" s="10"/>
      <c r="H657" s="10"/>
      <c r="I657" s="10"/>
      <c r="J657" s="10"/>
    </row>
    <row r="658" spans="2:10" ht="33" customHeight="1" x14ac:dyDescent="0.3">
      <c r="B658" s="10"/>
      <c r="C658" s="10"/>
      <c r="D658" s="10"/>
      <c r="E658" s="10"/>
      <c r="F658" s="10"/>
      <c r="G658" s="10"/>
      <c r="H658" s="10"/>
      <c r="I658" s="10"/>
      <c r="J658" s="10"/>
    </row>
    <row r="659" spans="2:10" ht="33" customHeight="1" x14ac:dyDescent="0.3">
      <c r="B659" s="10"/>
      <c r="C659" s="10"/>
      <c r="D659" s="10"/>
      <c r="E659" s="10"/>
      <c r="F659" s="10"/>
      <c r="G659" s="10"/>
      <c r="H659" s="10"/>
      <c r="I659" s="10"/>
      <c r="J659" s="10"/>
    </row>
    <row r="660" spans="2:10" ht="33" customHeight="1" x14ac:dyDescent="0.3">
      <c r="B660" s="10"/>
      <c r="C660" s="10"/>
      <c r="D660" s="10"/>
      <c r="E660" s="10"/>
      <c r="F660" s="10"/>
      <c r="G660" s="10"/>
      <c r="H660" s="10"/>
      <c r="I660" s="10"/>
      <c r="J660" s="10"/>
    </row>
    <row r="661" spans="2:10" ht="33" customHeight="1" x14ac:dyDescent="0.3">
      <c r="B661" s="10"/>
      <c r="C661" s="10"/>
      <c r="D661" s="10"/>
      <c r="E661" s="10"/>
      <c r="F661" s="10"/>
      <c r="G661" s="10"/>
      <c r="H661" s="10"/>
      <c r="I661" s="10"/>
      <c r="J661" s="10"/>
    </row>
    <row r="662" spans="2:10" ht="33" customHeight="1" x14ac:dyDescent="0.3">
      <c r="B662" s="10"/>
      <c r="C662" s="10"/>
      <c r="D662" s="10"/>
      <c r="E662" s="10"/>
      <c r="F662" s="10"/>
      <c r="G662" s="10"/>
      <c r="H662" s="10"/>
      <c r="I662" s="10"/>
      <c r="J662" s="10"/>
    </row>
    <row r="663" spans="2:10" ht="33" customHeight="1" x14ac:dyDescent="0.3">
      <c r="B663" s="10"/>
      <c r="C663" s="10"/>
      <c r="D663" s="10"/>
      <c r="E663" s="10"/>
      <c r="F663" s="10"/>
      <c r="G663" s="10"/>
      <c r="H663" s="10"/>
      <c r="I663" s="10"/>
      <c r="J663" s="10"/>
    </row>
    <row r="664" spans="2:10" ht="33" customHeight="1" x14ac:dyDescent="0.3">
      <c r="B664" s="10"/>
      <c r="C664" s="10"/>
      <c r="D664" s="10"/>
      <c r="E664" s="10"/>
      <c r="F664" s="10"/>
      <c r="G664" s="10"/>
      <c r="H664" s="10"/>
      <c r="I664" s="10"/>
      <c r="J664" s="10"/>
    </row>
    <row r="665" spans="2:10" ht="33" customHeight="1" x14ac:dyDescent="0.3">
      <c r="B665" s="10"/>
      <c r="C665" s="10"/>
      <c r="D665" s="10"/>
      <c r="E665" s="10"/>
      <c r="F665" s="10"/>
      <c r="G665" s="10"/>
      <c r="H665" s="10"/>
      <c r="I665" s="10"/>
      <c r="J665" s="10"/>
    </row>
    <row r="666" spans="2:10" ht="33" customHeight="1" x14ac:dyDescent="0.3">
      <c r="B666" s="10"/>
      <c r="C666" s="10"/>
      <c r="D666" s="10"/>
      <c r="E666" s="10"/>
      <c r="F666" s="10"/>
      <c r="G666" s="10"/>
      <c r="H666" s="10"/>
      <c r="I666" s="10"/>
      <c r="J666" s="10"/>
    </row>
    <row r="667" spans="2:10" ht="33" customHeight="1" x14ac:dyDescent="0.3">
      <c r="B667" s="10"/>
      <c r="C667" s="10"/>
      <c r="D667" s="10"/>
      <c r="E667" s="10"/>
      <c r="F667" s="10"/>
      <c r="G667" s="10"/>
      <c r="H667" s="10"/>
      <c r="I667" s="10"/>
      <c r="J667" s="10"/>
    </row>
    <row r="668" spans="2:10" ht="33" customHeight="1" x14ac:dyDescent="0.3">
      <c r="B668" s="10"/>
      <c r="C668" s="10"/>
      <c r="D668" s="10"/>
      <c r="E668" s="10"/>
      <c r="F668" s="10"/>
      <c r="G668" s="10"/>
      <c r="H668" s="10"/>
      <c r="I668" s="10"/>
      <c r="J668" s="10"/>
    </row>
    <row r="669" spans="2:10" ht="33" customHeight="1" x14ac:dyDescent="0.3"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2:10" ht="33" customHeight="1" x14ac:dyDescent="0.3">
      <c r="B670" s="10"/>
      <c r="C670" s="10"/>
      <c r="D670" s="10"/>
      <c r="E670" s="10"/>
      <c r="F670" s="10"/>
      <c r="G670" s="10"/>
      <c r="H670" s="10"/>
      <c r="I670" s="10"/>
      <c r="J670" s="10"/>
    </row>
    <row r="671" spans="2:10" ht="33" customHeight="1" x14ac:dyDescent="0.3">
      <c r="B671" s="10"/>
      <c r="C671" s="10"/>
      <c r="D671" s="10"/>
      <c r="E671" s="10"/>
      <c r="F671" s="10"/>
      <c r="G671" s="10"/>
      <c r="H671" s="10"/>
      <c r="I671" s="10"/>
      <c r="J671" s="10"/>
    </row>
    <row r="672" spans="2:10" ht="33" customHeight="1" x14ac:dyDescent="0.3">
      <c r="B672" s="10"/>
      <c r="C672" s="10"/>
      <c r="D672" s="10"/>
      <c r="E672" s="10"/>
      <c r="F672" s="10"/>
      <c r="G672" s="10"/>
      <c r="H672" s="10"/>
      <c r="I672" s="10"/>
      <c r="J672" s="10"/>
    </row>
    <row r="673" spans="2:10" ht="33" customHeight="1" x14ac:dyDescent="0.3">
      <c r="B673" s="10"/>
      <c r="C673" s="10"/>
      <c r="D673" s="10"/>
      <c r="E673" s="10"/>
      <c r="F673" s="10"/>
      <c r="G673" s="10"/>
      <c r="H673" s="10"/>
      <c r="I673" s="10"/>
      <c r="J673" s="10"/>
    </row>
    <row r="674" spans="2:10" ht="33" customHeight="1" x14ac:dyDescent="0.3">
      <c r="B674" s="10"/>
      <c r="C674" s="10"/>
      <c r="D674" s="10"/>
      <c r="E674" s="10"/>
      <c r="F674" s="10"/>
      <c r="G674" s="10"/>
      <c r="H674" s="10"/>
      <c r="I674" s="10"/>
      <c r="J674" s="10"/>
    </row>
    <row r="675" spans="2:10" ht="33" customHeight="1" x14ac:dyDescent="0.3">
      <c r="B675" s="10"/>
      <c r="C675" s="10"/>
      <c r="D675" s="10"/>
      <c r="E675" s="10"/>
      <c r="F675" s="10"/>
      <c r="G675" s="10"/>
      <c r="H675" s="10"/>
      <c r="I675" s="10"/>
      <c r="J675" s="10"/>
    </row>
    <row r="676" spans="2:10" ht="33" customHeight="1" x14ac:dyDescent="0.3">
      <c r="B676" s="10"/>
      <c r="C676" s="10"/>
      <c r="D676" s="10"/>
      <c r="E676" s="10"/>
      <c r="F676" s="10"/>
      <c r="G676" s="10"/>
      <c r="H676" s="10"/>
      <c r="I676" s="10"/>
      <c r="J676" s="10"/>
    </row>
    <row r="677" spans="2:10" ht="33" customHeight="1" x14ac:dyDescent="0.3">
      <c r="B677" s="10"/>
      <c r="C677" s="10"/>
      <c r="D677" s="10"/>
      <c r="E677" s="10"/>
      <c r="F677" s="10"/>
      <c r="G677" s="10"/>
      <c r="H677" s="10"/>
      <c r="I677" s="10"/>
      <c r="J677" s="10"/>
    </row>
    <row r="678" spans="2:10" ht="33" customHeight="1" x14ac:dyDescent="0.3">
      <c r="B678" s="10"/>
      <c r="C678" s="10"/>
      <c r="D678" s="10"/>
      <c r="E678" s="10"/>
      <c r="F678" s="10"/>
      <c r="G678" s="10"/>
      <c r="H678" s="10"/>
      <c r="I678" s="10"/>
      <c r="J678" s="10"/>
    </row>
    <row r="679" spans="2:10" ht="33" customHeight="1" x14ac:dyDescent="0.3">
      <c r="B679" s="10"/>
      <c r="C679" s="10"/>
      <c r="D679" s="10"/>
      <c r="E679" s="10"/>
      <c r="F679" s="10"/>
      <c r="G679" s="10"/>
      <c r="H679" s="10"/>
      <c r="I679" s="10"/>
      <c r="J679" s="10"/>
    </row>
    <row r="680" spans="2:10" ht="33" customHeight="1" x14ac:dyDescent="0.3">
      <c r="B680" s="10"/>
      <c r="C680" s="10"/>
      <c r="D680" s="10"/>
      <c r="E680" s="10"/>
      <c r="F680" s="10"/>
      <c r="G680" s="10"/>
      <c r="H680" s="10"/>
      <c r="I680" s="10"/>
      <c r="J680" s="10"/>
    </row>
    <row r="681" spans="2:10" ht="33" customHeight="1" x14ac:dyDescent="0.3">
      <c r="B681" s="10"/>
      <c r="C681" s="10"/>
      <c r="D681" s="10"/>
      <c r="E681" s="10"/>
      <c r="F681" s="10"/>
      <c r="G681" s="10"/>
      <c r="H681" s="10"/>
      <c r="I681" s="10"/>
      <c r="J681" s="10"/>
    </row>
    <row r="682" spans="2:10" ht="33" customHeight="1" x14ac:dyDescent="0.3">
      <c r="B682" s="10"/>
      <c r="C682" s="10"/>
      <c r="D682" s="10"/>
      <c r="E682" s="10"/>
      <c r="F682" s="10"/>
      <c r="G682" s="10"/>
      <c r="H682" s="10"/>
      <c r="I682" s="10"/>
      <c r="J682" s="10"/>
    </row>
    <row r="683" spans="2:10" ht="33" customHeight="1" x14ac:dyDescent="0.3">
      <c r="B683" s="10"/>
      <c r="C683" s="10"/>
      <c r="D683" s="10"/>
      <c r="E683" s="10"/>
      <c r="F683" s="10"/>
      <c r="G683" s="10"/>
      <c r="H683" s="10"/>
      <c r="I683" s="10"/>
      <c r="J683" s="10"/>
    </row>
    <row r="684" spans="2:10" ht="33" customHeight="1" x14ac:dyDescent="0.3"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2:10" ht="33" customHeight="1" x14ac:dyDescent="0.3">
      <c r="B685" s="10"/>
      <c r="C685" s="10"/>
      <c r="D685" s="10"/>
      <c r="E685" s="10"/>
      <c r="F685" s="10"/>
      <c r="G685" s="10"/>
      <c r="H685" s="10"/>
      <c r="I685" s="10"/>
      <c r="J685" s="10"/>
    </row>
    <row r="686" spans="2:10" ht="33" customHeight="1" x14ac:dyDescent="0.3">
      <c r="B686" s="10"/>
      <c r="C686" s="10"/>
      <c r="D686" s="10"/>
      <c r="E686" s="10"/>
      <c r="F686" s="10"/>
      <c r="G686" s="10"/>
      <c r="H686" s="10"/>
      <c r="I686" s="10"/>
      <c r="J686" s="10"/>
    </row>
    <row r="687" spans="2:10" ht="33" customHeight="1" x14ac:dyDescent="0.3">
      <c r="B687" s="10"/>
      <c r="C687" s="10"/>
      <c r="D687" s="10"/>
      <c r="E687" s="10"/>
      <c r="F687" s="10"/>
      <c r="G687" s="10"/>
      <c r="H687" s="10"/>
      <c r="I687" s="10"/>
      <c r="J687" s="10"/>
    </row>
    <row r="688" spans="2:10" ht="33" customHeight="1" x14ac:dyDescent="0.3">
      <c r="B688" s="10"/>
      <c r="C688" s="10"/>
      <c r="D688" s="10"/>
      <c r="E688" s="10"/>
      <c r="F688" s="10"/>
      <c r="G688" s="10"/>
      <c r="H688" s="10"/>
      <c r="I688" s="10"/>
      <c r="J688" s="10"/>
    </row>
    <row r="689" spans="2:10" ht="33" customHeight="1" x14ac:dyDescent="0.3">
      <c r="B689" s="10"/>
      <c r="C689" s="10"/>
      <c r="D689" s="10"/>
      <c r="E689" s="10"/>
      <c r="F689" s="10"/>
      <c r="G689" s="10"/>
      <c r="H689" s="10"/>
      <c r="I689" s="10"/>
      <c r="J689" s="10"/>
    </row>
    <row r="690" spans="2:10" ht="33" customHeight="1" x14ac:dyDescent="0.3">
      <c r="B690" s="10"/>
      <c r="C690" s="10"/>
      <c r="D690" s="10"/>
      <c r="E690" s="10"/>
      <c r="F690" s="10"/>
      <c r="G690" s="10"/>
      <c r="H690" s="10"/>
      <c r="I690" s="10"/>
      <c r="J690" s="10"/>
    </row>
    <row r="691" spans="2:10" ht="33" customHeight="1" x14ac:dyDescent="0.3">
      <c r="B691" s="10"/>
      <c r="C691" s="10"/>
      <c r="D691" s="10"/>
      <c r="E691" s="10"/>
      <c r="F691" s="10"/>
      <c r="G691" s="10"/>
      <c r="H691" s="10"/>
      <c r="I691" s="10"/>
      <c r="J691" s="10"/>
    </row>
    <row r="692" spans="2:10" ht="33" customHeight="1" x14ac:dyDescent="0.3">
      <c r="B692" s="10"/>
      <c r="C692" s="10"/>
      <c r="D692" s="10"/>
      <c r="E692" s="10"/>
      <c r="F692" s="10"/>
      <c r="G692" s="10"/>
      <c r="H692" s="10"/>
      <c r="I692" s="10"/>
      <c r="J692" s="10"/>
    </row>
    <row r="693" spans="2:10" ht="33" customHeight="1" x14ac:dyDescent="0.3">
      <c r="B693" s="10"/>
      <c r="C693" s="10"/>
      <c r="D693" s="10"/>
      <c r="E693" s="10"/>
      <c r="F693" s="10"/>
      <c r="G693" s="10"/>
      <c r="H693" s="10"/>
      <c r="I693" s="10"/>
      <c r="J693" s="10"/>
    </row>
    <row r="694" spans="2:10" ht="33" customHeight="1" x14ac:dyDescent="0.3">
      <c r="B694" s="10"/>
      <c r="C694" s="10"/>
      <c r="D694" s="10"/>
      <c r="E694" s="10"/>
      <c r="F694" s="10"/>
      <c r="G694" s="10"/>
      <c r="H694" s="10"/>
      <c r="I694" s="10"/>
      <c r="J694" s="10"/>
    </row>
    <row r="695" spans="2:10" ht="33" customHeight="1" x14ac:dyDescent="0.3">
      <c r="B695" s="10"/>
      <c r="C695" s="10"/>
      <c r="D695" s="10"/>
      <c r="E695" s="10"/>
      <c r="F695" s="10"/>
      <c r="G695" s="10"/>
      <c r="H695" s="10"/>
      <c r="I695" s="10"/>
      <c r="J695" s="10"/>
    </row>
    <row r="696" spans="2:10" ht="33" customHeight="1" x14ac:dyDescent="0.3">
      <c r="B696" s="10"/>
      <c r="C696" s="10"/>
      <c r="D696" s="10"/>
      <c r="E696" s="10"/>
      <c r="F696" s="10"/>
      <c r="G696" s="10"/>
      <c r="H696" s="10"/>
      <c r="I696" s="10"/>
      <c r="J696" s="10"/>
    </row>
    <row r="697" spans="2:10" ht="33" customHeight="1" x14ac:dyDescent="0.3">
      <c r="B697" s="10"/>
      <c r="C697" s="10"/>
      <c r="D697" s="10"/>
      <c r="E697" s="10"/>
      <c r="F697" s="10"/>
      <c r="G697" s="10"/>
      <c r="H697" s="10"/>
      <c r="I697" s="10"/>
      <c r="J697" s="10"/>
    </row>
    <row r="698" spans="2:10" ht="33" customHeight="1" x14ac:dyDescent="0.3">
      <c r="B698" s="10"/>
      <c r="C698" s="10"/>
      <c r="D698" s="10"/>
      <c r="E698" s="10"/>
      <c r="F698" s="10"/>
      <c r="G698" s="10"/>
      <c r="H698" s="10"/>
      <c r="I698" s="10"/>
      <c r="J698" s="10"/>
    </row>
    <row r="699" spans="2:10" ht="33" customHeight="1" x14ac:dyDescent="0.3">
      <c r="B699" s="10"/>
      <c r="C699" s="10"/>
      <c r="D699" s="10"/>
      <c r="E699" s="10"/>
      <c r="F699" s="10"/>
      <c r="G699" s="10"/>
      <c r="H699" s="10"/>
      <c r="I699" s="10"/>
      <c r="J699" s="10"/>
    </row>
    <row r="700" spans="2:10" ht="33" customHeight="1" x14ac:dyDescent="0.3">
      <c r="B700" s="10"/>
      <c r="C700" s="10"/>
      <c r="D700" s="10"/>
      <c r="E700" s="10"/>
      <c r="F700" s="10"/>
      <c r="G700" s="10"/>
      <c r="H700" s="10"/>
      <c r="I700" s="10"/>
      <c r="J700" s="10"/>
    </row>
    <row r="701" spans="2:10" ht="33" customHeight="1" x14ac:dyDescent="0.3">
      <c r="B701" s="10"/>
      <c r="C701" s="10"/>
      <c r="D701" s="10"/>
      <c r="E701" s="10"/>
      <c r="F701" s="10"/>
      <c r="G701" s="10"/>
      <c r="H701" s="10"/>
      <c r="I701" s="10"/>
      <c r="J701" s="10"/>
    </row>
    <row r="702" spans="2:10" ht="33" customHeight="1" x14ac:dyDescent="0.3">
      <c r="B702" s="10"/>
      <c r="C702" s="10"/>
      <c r="D702" s="10"/>
      <c r="E702" s="10"/>
      <c r="F702" s="10"/>
      <c r="G702" s="10"/>
      <c r="H702" s="10"/>
      <c r="I702" s="10"/>
      <c r="J702" s="10"/>
    </row>
    <row r="703" spans="2:10" ht="33" customHeight="1" x14ac:dyDescent="0.3">
      <c r="B703" s="10"/>
      <c r="C703" s="10"/>
      <c r="D703" s="10"/>
      <c r="E703" s="10"/>
      <c r="F703" s="10"/>
      <c r="G703" s="10"/>
      <c r="H703" s="10"/>
      <c r="I703" s="10"/>
      <c r="J703" s="10"/>
    </row>
    <row r="704" spans="2:10" ht="33" customHeight="1" x14ac:dyDescent="0.3">
      <c r="B704" s="10"/>
      <c r="C704" s="10"/>
      <c r="D704" s="10"/>
      <c r="E704" s="10"/>
      <c r="F704" s="10"/>
      <c r="G704" s="10"/>
      <c r="H704" s="10"/>
      <c r="I704" s="10"/>
      <c r="J704" s="10"/>
    </row>
    <row r="705" spans="2:10" ht="33" customHeight="1" x14ac:dyDescent="0.3">
      <c r="B705" s="10"/>
      <c r="C705" s="10"/>
      <c r="D705" s="10"/>
      <c r="E705" s="10"/>
      <c r="F705" s="10"/>
      <c r="G705" s="10"/>
      <c r="H705" s="10"/>
      <c r="I705" s="10"/>
      <c r="J705" s="10"/>
    </row>
    <row r="706" spans="2:10" ht="33" customHeight="1" x14ac:dyDescent="0.3">
      <c r="B706" s="10"/>
      <c r="C706" s="10"/>
      <c r="D706" s="10"/>
      <c r="E706" s="10"/>
      <c r="F706" s="10"/>
      <c r="G706" s="10"/>
      <c r="H706" s="10"/>
      <c r="I706" s="10"/>
      <c r="J706" s="10"/>
    </row>
    <row r="707" spans="2:10" ht="33" customHeight="1" x14ac:dyDescent="0.3">
      <c r="B707" s="10"/>
      <c r="C707" s="10"/>
      <c r="D707" s="10"/>
      <c r="E707" s="10"/>
      <c r="F707" s="10"/>
      <c r="G707" s="10"/>
      <c r="H707" s="10"/>
      <c r="I707" s="10"/>
      <c r="J707" s="10"/>
    </row>
    <row r="708" spans="2:10" ht="33" customHeight="1" x14ac:dyDescent="0.3">
      <c r="B708" s="10"/>
      <c r="C708" s="10"/>
      <c r="D708" s="10"/>
      <c r="E708" s="10"/>
      <c r="F708" s="10"/>
      <c r="G708" s="10"/>
      <c r="H708" s="10"/>
      <c r="I708" s="10"/>
      <c r="J708" s="10"/>
    </row>
    <row r="709" spans="2:10" ht="33" customHeight="1" x14ac:dyDescent="0.3">
      <c r="B709" s="10"/>
      <c r="C709" s="10"/>
      <c r="D709" s="10"/>
      <c r="E709" s="10"/>
      <c r="F709" s="10"/>
      <c r="G709" s="10"/>
      <c r="H709" s="10"/>
      <c r="I709" s="10"/>
      <c r="J709" s="10"/>
    </row>
    <row r="710" spans="2:10" ht="33" customHeight="1" x14ac:dyDescent="0.3">
      <c r="B710" s="10"/>
      <c r="C710" s="10"/>
      <c r="D710" s="10"/>
      <c r="E710" s="10"/>
      <c r="F710" s="10"/>
      <c r="G710" s="10"/>
      <c r="H710" s="10"/>
      <c r="I710" s="10"/>
      <c r="J710" s="10"/>
    </row>
    <row r="711" spans="2:10" ht="33" customHeight="1" x14ac:dyDescent="0.3">
      <c r="B711" s="10"/>
      <c r="C711" s="10"/>
      <c r="D711" s="10"/>
      <c r="E711" s="10"/>
      <c r="F711" s="10"/>
      <c r="G711" s="10"/>
      <c r="H711" s="10"/>
      <c r="I711" s="10"/>
      <c r="J711" s="10"/>
    </row>
    <row r="712" spans="2:10" ht="33" customHeight="1" x14ac:dyDescent="0.3">
      <c r="B712" s="10"/>
      <c r="C712" s="10"/>
      <c r="D712" s="10"/>
      <c r="E712" s="10"/>
      <c r="F712" s="10"/>
      <c r="G712" s="10"/>
      <c r="H712" s="10"/>
      <c r="I712" s="10"/>
      <c r="J712" s="10"/>
    </row>
    <row r="713" spans="2:10" ht="33" customHeight="1" x14ac:dyDescent="0.3">
      <c r="B713" s="10"/>
      <c r="C713" s="10"/>
      <c r="D713" s="10"/>
      <c r="E713" s="10"/>
      <c r="F713" s="10"/>
      <c r="G713" s="10"/>
      <c r="H713" s="10"/>
      <c r="I713" s="10"/>
      <c r="J713" s="10"/>
    </row>
    <row r="714" spans="2:10" ht="33" customHeight="1" x14ac:dyDescent="0.3">
      <c r="B714" s="10"/>
      <c r="C714" s="10"/>
      <c r="D714" s="10"/>
      <c r="E714" s="10"/>
      <c r="F714" s="10"/>
      <c r="G714" s="10"/>
      <c r="H714" s="10"/>
      <c r="I714" s="10"/>
      <c r="J714" s="10"/>
    </row>
    <row r="715" spans="2:10" ht="33" customHeight="1" x14ac:dyDescent="0.3">
      <c r="B715" s="10"/>
      <c r="C715" s="10"/>
      <c r="D715" s="10"/>
      <c r="E715" s="10"/>
      <c r="F715" s="10"/>
      <c r="G715" s="10"/>
      <c r="H715" s="10"/>
      <c r="I715" s="10"/>
      <c r="J715" s="10"/>
    </row>
    <row r="716" spans="2:10" ht="33" customHeight="1" x14ac:dyDescent="0.3">
      <c r="B716" s="10"/>
      <c r="C716" s="10"/>
      <c r="D716" s="10"/>
      <c r="E716" s="10"/>
      <c r="F716" s="10"/>
      <c r="G716" s="10"/>
      <c r="H716" s="10"/>
      <c r="I716" s="10"/>
      <c r="J716" s="10"/>
    </row>
    <row r="717" spans="2:10" ht="33" customHeight="1" x14ac:dyDescent="0.3">
      <c r="B717" s="10"/>
      <c r="C717" s="10"/>
      <c r="D717" s="10"/>
      <c r="E717" s="10"/>
      <c r="F717" s="10"/>
      <c r="G717" s="10"/>
      <c r="H717" s="10"/>
      <c r="I717" s="10"/>
      <c r="J717" s="10"/>
    </row>
    <row r="718" spans="2:10" ht="33" customHeight="1" x14ac:dyDescent="0.3">
      <c r="B718" s="10"/>
      <c r="C718" s="10"/>
      <c r="D718" s="10"/>
      <c r="E718" s="10"/>
      <c r="F718" s="10"/>
      <c r="G718" s="10"/>
      <c r="H718" s="10"/>
      <c r="I718" s="10"/>
      <c r="J718" s="10"/>
    </row>
    <row r="719" spans="2:10" ht="33" customHeight="1" x14ac:dyDescent="0.3">
      <c r="B719" s="10"/>
      <c r="C719" s="10"/>
      <c r="D719" s="10"/>
      <c r="E719" s="10"/>
      <c r="F719" s="10"/>
      <c r="G719" s="10"/>
      <c r="H719" s="10"/>
      <c r="I719" s="10"/>
      <c r="J719" s="10"/>
    </row>
    <row r="720" spans="2:10" ht="33" customHeight="1" x14ac:dyDescent="0.3">
      <c r="B720" s="10"/>
      <c r="C720" s="10"/>
      <c r="D720" s="10"/>
      <c r="E720" s="10"/>
      <c r="F720" s="10"/>
      <c r="G720" s="10"/>
      <c r="H720" s="10"/>
      <c r="I720" s="10"/>
      <c r="J720" s="10"/>
    </row>
    <row r="721" spans="2:10" ht="33" customHeight="1" x14ac:dyDescent="0.3">
      <c r="B721" s="10"/>
      <c r="C721" s="10"/>
      <c r="D721" s="10"/>
      <c r="E721" s="10"/>
      <c r="F721" s="10"/>
      <c r="G721" s="10"/>
      <c r="H721" s="10"/>
      <c r="I721" s="10"/>
      <c r="J721" s="10"/>
    </row>
    <row r="722" spans="2:10" ht="33" customHeight="1" x14ac:dyDescent="0.3">
      <c r="B722" s="10"/>
      <c r="C722" s="10"/>
      <c r="D722" s="10"/>
      <c r="E722" s="10"/>
      <c r="F722" s="10"/>
      <c r="G722" s="10"/>
      <c r="H722" s="10"/>
      <c r="I722" s="10"/>
      <c r="J722" s="10"/>
    </row>
    <row r="723" spans="2:10" ht="33" customHeight="1" x14ac:dyDescent="0.3">
      <c r="B723" s="10"/>
      <c r="C723" s="10"/>
      <c r="D723" s="10"/>
      <c r="E723" s="10"/>
      <c r="F723" s="10"/>
      <c r="G723" s="10"/>
      <c r="H723" s="10"/>
      <c r="I723" s="10"/>
      <c r="J723" s="10"/>
    </row>
    <row r="724" spans="2:10" ht="33" customHeight="1" x14ac:dyDescent="0.3">
      <c r="B724" s="10"/>
      <c r="C724" s="10"/>
      <c r="D724" s="10"/>
      <c r="E724" s="10"/>
      <c r="F724" s="10"/>
      <c r="G724" s="10"/>
      <c r="H724" s="10"/>
      <c r="I724" s="10"/>
      <c r="J724" s="10"/>
    </row>
    <row r="725" spans="2:10" ht="33" customHeight="1" x14ac:dyDescent="0.3">
      <c r="B725" s="10"/>
      <c r="C725" s="10"/>
      <c r="D725" s="10"/>
      <c r="E725" s="10"/>
      <c r="F725" s="10"/>
      <c r="G725" s="10"/>
      <c r="H725" s="10"/>
      <c r="I725" s="10"/>
      <c r="J725" s="10"/>
    </row>
    <row r="726" spans="2:10" ht="33" customHeight="1" x14ac:dyDescent="0.3">
      <c r="B726" s="10"/>
      <c r="C726" s="10"/>
      <c r="D726" s="10"/>
      <c r="E726" s="10"/>
      <c r="F726" s="10"/>
      <c r="G726" s="10"/>
      <c r="H726" s="10"/>
      <c r="I726" s="10"/>
      <c r="J726" s="10"/>
    </row>
    <row r="727" spans="2:10" ht="33" customHeight="1" x14ac:dyDescent="0.3">
      <c r="B727" s="10"/>
      <c r="C727" s="10"/>
      <c r="D727" s="10"/>
      <c r="E727" s="10"/>
      <c r="F727" s="10"/>
      <c r="G727" s="10"/>
      <c r="H727" s="10"/>
      <c r="I727" s="10"/>
      <c r="J727" s="10"/>
    </row>
    <row r="728" spans="2:10" ht="33" customHeight="1" x14ac:dyDescent="0.3">
      <c r="B728" s="10"/>
      <c r="C728" s="10"/>
      <c r="D728" s="10"/>
      <c r="E728" s="10"/>
      <c r="F728" s="10"/>
      <c r="G728" s="10"/>
      <c r="H728" s="10"/>
      <c r="I728" s="10"/>
      <c r="J728" s="10"/>
    </row>
    <row r="729" spans="2:10" ht="33" customHeight="1" x14ac:dyDescent="0.3">
      <c r="B729" s="10"/>
      <c r="C729" s="10"/>
      <c r="D729" s="10"/>
      <c r="E729" s="10"/>
      <c r="F729" s="10"/>
      <c r="G729" s="10"/>
      <c r="H729" s="10"/>
      <c r="I729" s="10"/>
      <c r="J729" s="10"/>
    </row>
    <row r="730" spans="2:10" ht="33" customHeight="1" x14ac:dyDescent="0.3">
      <c r="B730" s="10"/>
      <c r="C730" s="10"/>
      <c r="D730" s="10"/>
      <c r="E730" s="10"/>
      <c r="F730" s="10"/>
      <c r="G730" s="10"/>
      <c r="H730" s="10"/>
      <c r="I730" s="10"/>
      <c r="J730" s="10"/>
    </row>
    <row r="731" spans="2:10" ht="33" customHeight="1" x14ac:dyDescent="0.3">
      <c r="B731" s="10"/>
      <c r="C731" s="10"/>
      <c r="D731" s="10"/>
      <c r="E731" s="10"/>
      <c r="F731" s="10"/>
      <c r="G731" s="10"/>
      <c r="H731" s="10"/>
      <c r="I731" s="10"/>
      <c r="J731" s="10"/>
    </row>
    <row r="732" spans="2:10" ht="33" customHeight="1" x14ac:dyDescent="0.3">
      <c r="B732" s="10"/>
      <c r="C732" s="10"/>
      <c r="D732" s="10"/>
      <c r="E732" s="10"/>
      <c r="F732" s="10"/>
      <c r="G732" s="10"/>
      <c r="H732" s="10"/>
      <c r="I732" s="10"/>
      <c r="J732" s="10"/>
    </row>
    <row r="733" spans="2:10" ht="33" customHeight="1" x14ac:dyDescent="0.3">
      <c r="B733" s="10"/>
      <c r="C733" s="10"/>
      <c r="D733" s="10"/>
      <c r="E733" s="10"/>
      <c r="F733" s="10"/>
      <c r="G733" s="10"/>
      <c r="H733" s="10"/>
      <c r="I733" s="10"/>
      <c r="J733" s="10"/>
    </row>
    <row r="734" spans="2:10" ht="33" customHeight="1" x14ac:dyDescent="0.3">
      <c r="B734" s="10"/>
      <c r="C734" s="10"/>
      <c r="D734" s="10"/>
      <c r="E734" s="10"/>
      <c r="F734" s="10"/>
      <c r="G734" s="10"/>
      <c r="H734" s="10"/>
      <c r="I734" s="10"/>
      <c r="J734" s="10"/>
    </row>
    <row r="735" spans="2:10" ht="33" customHeight="1" x14ac:dyDescent="0.3">
      <c r="B735" s="10"/>
      <c r="C735" s="10"/>
      <c r="D735" s="10"/>
      <c r="E735" s="10"/>
      <c r="F735" s="10"/>
      <c r="G735" s="10"/>
      <c r="H735" s="10"/>
      <c r="I735" s="10"/>
      <c r="J735" s="10"/>
    </row>
    <row r="736" spans="2:10" ht="33" customHeight="1" x14ac:dyDescent="0.3">
      <c r="B736" s="10"/>
      <c r="C736" s="10"/>
      <c r="D736" s="10"/>
      <c r="E736" s="10"/>
      <c r="F736" s="10"/>
      <c r="G736" s="10"/>
      <c r="H736" s="10"/>
      <c r="I736" s="10"/>
      <c r="J736" s="10"/>
    </row>
    <row r="737" spans="2:10" ht="33" customHeight="1" x14ac:dyDescent="0.3">
      <c r="B737" s="10"/>
      <c r="C737" s="10"/>
      <c r="D737" s="10"/>
      <c r="E737" s="10"/>
      <c r="F737" s="10"/>
      <c r="G737" s="10"/>
      <c r="H737" s="10"/>
      <c r="I737" s="10"/>
      <c r="J737" s="10"/>
    </row>
    <row r="738" spans="2:10" ht="33" customHeight="1" x14ac:dyDescent="0.3">
      <c r="B738" s="10"/>
      <c r="C738" s="10"/>
      <c r="D738" s="10"/>
      <c r="E738" s="10"/>
      <c r="F738" s="10"/>
      <c r="G738" s="10"/>
      <c r="H738" s="10"/>
      <c r="I738" s="10"/>
      <c r="J738" s="10"/>
    </row>
    <row r="739" spans="2:10" ht="33" customHeight="1" x14ac:dyDescent="0.3">
      <c r="B739" s="10"/>
      <c r="C739" s="10"/>
      <c r="D739" s="10"/>
      <c r="E739" s="10"/>
      <c r="F739" s="10"/>
      <c r="G739" s="10"/>
      <c r="H739" s="10"/>
      <c r="I739" s="10"/>
      <c r="J739" s="10"/>
    </row>
    <row r="740" spans="2:10" ht="33" customHeight="1" x14ac:dyDescent="0.3">
      <c r="B740" s="10"/>
      <c r="C740" s="10"/>
      <c r="D740" s="10"/>
      <c r="E740" s="10"/>
      <c r="F740" s="10"/>
      <c r="G740" s="10"/>
      <c r="H740" s="10"/>
      <c r="I740" s="10"/>
      <c r="J740" s="10"/>
    </row>
    <row r="741" spans="2:10" ht="33" customHeight="1" x14ac:dyDescent="0.3"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2:10" ht="33" customHeight="1" x14ac:dyDescent="0.3">
      <c r="B742" s="10"/>
      <c r="C742" s="10"/>
      <c r="D742" s="10"/>
      <c r="E742" s="10"/>
      <c r="F742" s="10"/>
      <c r="G742" s="10"/>
      <c r="H742" s="10"/>
      <c r="I742" s="10"/>
      <c r="J742" s="10"/>
    </row>
    <row r="743" spans="2:10" ht="33" customHeight="1" x14ac:dyDescent="0.3">
      <c r="B743" s="10"/>
      <c r="C743" s="10"/>
      <c r="D743" s="10"/>
      <c r="E743" s="10"/>
      <c r="F743" s="10"/>
      <c r="G743" s="10"/>
      <c r="H743" s="10"/>
      <c r="I743" s="10"/>
      <c r="J743" s="10"/>
    </row>
    <row r="744" spans="2:10" ht="33" customHeight="1" x14ac:dyDescent="0.3">
      <c r="B744" s="10"/>
      <c r="C744" s="10"/>
      <c r="D744" s="10"/>
      <c r="E744" s="10"/>
      <c r="F744" s="10"/>
      <c r="G744" s="10"/>
      <c r="H744" s="10"/>
      <c r="I744" s="10"/>
      <c r="J744" s="10"/>
    </row>
    <row r="745" spans="2:10" ht="33" customHeight="1" x14ac:dyDescent="0.3">
      <c r="B745" s="10"/>
      <c r="C745" s="10"/>
      <c r="D745" s="10"/>
      <c r="E745" s="10"/>
      <c r="F745" s="10"/>
      <c r="G745" s="10"/>
      <c r="H745" s="10"/>
      <c r="I745" s="10"/>
      <c r="J745" s="10"/>
    </row>
    <row r="746" spans="2:10" ht="33" customHeight="1" x14ac:dyDescent="0.3">
      <c r="B746" s="10"/>
      <c r="C746" s="10"/>
      <c r="D746" s="10"/>
      <c r="E746" s="10"/>
      <c r="F746" s="10"/>
      <c r="G746" s="10"/>
      <c r="H746" s="10"/>
      <c r="I746" s="10"/>
      <c r="J746" s="10"/>
    </row>
    <row r="747" spans="2:10" ht="33" customHeight="1" x14ac:dyDescent="0.3">
      <c r="B747" s="10"/>
      <c r="C747" s="10"/>
      <c r="D747" s="10"/>
      <c r="E747" s="10"/>
      <c r="F747" s="10"/>
      <c r="G747" s="10"/>
      <c r="H747" s="10"/>
      <c r="I747" s="10"/>
      <c r="J747" s="10"/>
    </row>
    <row r="748" spans="2:10" ht="33" customHeight="1" x14ac:dyDescent="0.3">
      <c r="B748" s="10"/>
      <c r="C748" s="10"/>
      <c r="D748" s="10"/>
      <c r="F748" s="10"/>
      <c r="G748" s="10"/>
      <c r="H748" s="10"/>
      <c r="I748" s="10"/>
      <c r="J748" s="10"/>
    </row>
    <row r="749" spans="2:10" ht="33" customHeight="1" x14ac:dyDescent="0.3">
      <c r="B749" s="10"/>
      <c r="C749" s="10"/>
      <c r="D749" s="10"/>
      <c r="F749" s="10"/>
      <c r="G749" s="10"/>
      <c r="H749" s="10"/>
      <c r="I749" s="10"/>
      <c r="J749" s="10"/>
    </row>
    <row r="750" spans="2:10" ht="33" customHeight="1" x14ac:dyDescent="0.3">
      <c r="B750" s="10"/>
      <c r="C750" s="10"/>
      <c r="D750" s="10"/>
      <c r="F750" s="10"/>
      <c r="G750" s="10"/>
      <c r="H750" s="10"/>
      <c r="I750" s="10"/>
      <c r="J750" s="10"/>
    </row>
    <row r="751" spans="2:10" ht="33" customHeight="1" x14ac:dyDescent="0.3">
      <c r="B751" s="10"/>
      <c r="C751" s="10"/>
      <c r="D751" s="10"/>
      <c r="F751" s="10"/>
      <c r="G751" s="10"/>
      <c r="H751" s="10"/>
      <c r="I751" s="10"/>
      <c r="J751" s="10"/>
    </row>
    <row r="752" spans="2:10" ht="33" customHeight="1" x14ac:dyDescent="0.3">
      <c r="B752" s="10"/>
      <c r="C752" s="10"/>
      <c r="D752" s="10"/>
      <c r="F752" s="10"/>
      <c r="G752" s="10"/>
      <c r="H752" s="10"/>
      <c r="I752" s="10"/>
      <c r="J752" s="10"/>
    </row>
    <row r="753" spans="2:10" ht="33" customHeight="1" x14ac:dyDescent="0.3">
      <c r="B753" s="10"/>
      <c r="C753" s="10"/>
      <c r="D753" s="10"/>
      <c r="F753" s="10"/>
      <c r="G753" s="10"/>
      <c r="H753" s="10"/>
      <c r="I753" s="10"/>
      <c r="J753" s="10"/>
    </row>
    <row r="754" spans="2:10" ht="33" customHeight="1" x14ac:dyDescent="0.3">
      <c r="B754" s="10"/>
      <c r="C754" s="10"/>
      <c r="D754" s="10"/>
      <c r="F754" s="10"/>
      <c r="G754" s="10"/>
      <c r="H754" s="10"/>
      <c r="I754" s="10"/>
      <c r="J754" s="10"/>
    </row>
    <row r="755" spans="2:10" ht="33" customHeight="1" x14ac:dyDescent="0.3">
      <c r="B755" s="10"/>
      <c r="C755" s="10"/>
      <c r="D755" s="10"/>
      <c r="F755" s="10"/>
      <c r="G755" s="10"/>
      <c r="H755" s="10"/>
      <c r="I755" s="10"/>
      <c r="J755" s="10"/>
    </row>
    <row r="756" spans="2:10" ht="33" customHeight="1" x14ac:dyDescent="0.3">
      <c r="B756" s="10"/>
      <c r="C756" s="10"/>
      <c r="D756" s="10"/>
      <c r="F756" s="10"/>
      <c r="G756" s="10"/>
      <c r="H756" s="10"/>
      <c r="I756" s="10"/>
      <c r="J756" s="10"/>
    </row>
    <row r="757" spans="2:10" ht="33" customHeight="1" x14ac:dyDescent="0.3">
      <c r="B757" s="10"/>
      <c r="C757" s="10"/>
      <c r="D757" s="10"/>
      <c r="F757" s="10"/>
      <c r="G757" s="10"/>
      <c r="H757" s="10"/>
      <c r="I757" s="10"/>
      <c r="J757" s="10"/>
    </row>
    <row r="758" spans="2:10" ht="33" customHeight="1" x14ac:dyDescent="0.3">
      <c r="B758" s="10"/>
      <c r="C758" s="10"/>
      <c r="D758" s="10"/>
      <c r="F758" s="10"/>
      <c r="G758" s="10"/>
      <c r="H758" s="10"/>
      <c r="I758" s="10"/>
      <c r="J758" s="10"/>
    </row>
    <row r="759" spans="2:10" ht="33" customHeight="1" x14ac:dyDescent="0.3">
      <c r="B759" s="10"/>
      <c r="C759" s="10"/>
      <c r="D759" s="10"/>
      <c r="F759" s="10"/>
      <c r="G759" s="10"/>
      <c r="H759" s="10"/>
      <c r="I759" s="10"/>
      <c r="J759" s="10"/>
    </row>
    <row r="760" spans="2:10" ht="33" customHeight="1" x14ac:dyDescent="0.3">
      <c r="B760" s="10"/>
      <c r="C760" s="10"/>
      <c r="D760" s="10"/>
      <c r="F760" s="10"/>
      <c r="G760" s="10"/>
      <c r="H760" s="10"/>
      <c r="I760" s="10"/>
      <c r="J760" s="10"/>
    </row>
    <row r="761" spans="2:10" ht="33" customHeight="1" x14ac:dyDescent="0.3">
      <c r="B761" s="10"/>
      <c r="C761" s="10"/>
      <c r="D761" s="10"/>
      <c r="F761" s="10"/>
      <c r="G761" s="10"/>
      <c r="H761" s="10"/>
      <c r="I761" s="10"/>
      <c r="J761" s="10"/>
    </row>
    <row r="762" spans="2:10" ht="33" customHeight="1" x14ac:dyDescent="0.3">
      <c r="B762" s="10"/>
      <c r="C762" s="10"/>
      <c r="D762" s="10"/>
      <c r="F762" s="10"/>
      <c r="G762" s="10"/>
      <c r="H762" s="10"/>
      <c r="I762" s="10"/>
      <c r="J762" s="10"/>
    </row>
    <row r="763" spans="2:10" ht="33" customHeight="1" x14ac:dyDescent="0.3">
      <c r="B763" s="10"/>
      <c r="C763" s="10"/>
      <c r="D763" s="10"/>
      <c r="F763" s="10"/>
      <c r="G763" s="10"/>
      <c r="H763" s="10"/>
      <c r="I763" s="10"/>
      <c r="J763" s="10"/>
    </row>
    <row r="764" spans="2:10" ht="33" customHeight="1" x14ac:dyDescent="0.3">
      <c r="B764" s="10"/>
      <c r="C764" s="10"/>
      <c r="D764" s="10"/>
      <c r="F764" s="10"/>
      <c r="G764" s="10"/>
      <c r="H764" s="10"/>
      <c r="I764" s="10"/>
      <c r="J764" s="10"/>
    </row>
    <row r="765" spans="2:10" ht="33" customHeight="1" x14ac:dyDescent="0.3">
      <c r="B765" s="10"/>
      <c r="C765" s="10"/>
      <c r="D765" s="10"/>
      <c r="F765" s="10"/>
      <c r="G765" s="10"/>
      <c r="H765" s="10"/>
      <c r="I765" s="10"/>
      <c r="J765" s="10"/>
    </row>
    <row r="766" spans="2:10" ht="33" customHeight="1" x14ac:dyDescent="0.3">
      <c r="B766" s="10"/>
      <c r="C766" s="10"/>
      <c r="D766" s="10"/>
      <c r="F766" s="10"/>
      <c r="G766" s="10"/>
      <c r="H766" s="10"/>
      <c r="I766" s="10"/>
      <c r="J766" s="10"/>
    </row>
    <row r="767" spans="2:10" ht="33" customHeight="1" x14ac:dyDescent="0.3">
      <c r="B767" s="10"/>
      <c r="C767" s="10"/>
      <c r="D767" s="10"/>
      <c r="F767" s="10"/>
      <c r="G767" s="10"/>
      <c r="H767" s="10"/>
      <c r="I767" s="10"/>
      <c r="J767" s="10"/>
    </row>
    <row r="768" spans="2:10" ht="33" customHeight="1" x14ac:dyDescent="0.3">
      <c r="B768" s="10"/>
      <c r="C768" s="10"/>
      <c r="D768" s="10"/>
      <c r="F768" s="10"/>
      <c r="G768" s="10"/>
      <c r="H768" s="10"/>
      <c r="I768" s="10"/>
      <c r="J768" s="10"/>
    </row>
    <row r="769" spans="2:10" ht="33" customHeight="1" x14ac:dyDescent="0.3">
      <c r="B769" s="10"/>
      <c r="C769" s="10"/>
      <c r="D769" s="10"/>
      <c r="F769" s="10"/>
      <c r="G769" s="10"/>
      <c r="H769" s="10"/>
      <c r="I769" s="10"/>
      <c r="J769" s="10"/>
    </row>
    <row r="770" spans="2:10" ht="33" customHeight="1" x14ac:dyDescent="0.3">
      <c r="B770" s="10"/>
      <c r="C770" s="10"/>
      <c r="D770" s="10"/>
      <c r="F770" s="10"/>
      <c r="G770" s="10"/>
      <c r="H770" s="10"/>
      <c r="I770" s="10"/>
      <c r="J770" s="10"/>
    </row>
    <row r="771" spans="2:10" ht="33" customHeight="1" x14ac:dyDescent="0.3">
      <c r="B771" s="10"/>
      <c r="C771" s="10"/>
      <c r="D771" s="10"/>
      <c r="F771" s="10"/>
      <c r="G771" s="10"/>
      <c r="H771" s="10"/>
      <c r="I771" s="10"/>
      <c r="J771" s="10"/>
    </row>
    <row r="772" spans="2:10" ht="33" customHeight="1" x14ac:dyDescent="0.3">
      <c r="B772" s="10"/>
      <c r="C772" s="10"/>
      <c r="D772" s="10"/>
      <c r="F772" s="10"/>
      <c r="G772" s="10"/>
      <c r="H772" s="10"/>
      <c r="I772" s="10"/>
      <c r="J772" s="10"/>
    </row>
    <row r="773" spans="2:10" ht="33" customHeight="1" x14ac:dyDescent="0.3">
      <c r="B773" s="10"/>
      <c r="C773" s="10"/>
      <c r="D773" s="10"/>
      <c r="F773" s="10"/>
      <c r="G773" s="10"/>
      <c r="H773" s="10"/>
      <c r="I773" s="10"/>
      <c r="J773" s="10"/>
    </row>
    <row r="774" spans="2:10" ht="33" customHeight="1" x14ac:dyDescent="0.3">
      <c r="B774" s="10"/>
      <c r="C774" s="10"/>
      <c r="D774" s="10"/>
      <c r="F774" s="10"/>
      <c r="G774" s="10"/>
      <c r="H774" s="10"/>
      <c r="I774" s="10"/>
      <c r="J774" s="10"/>
    </row>
    <row r="775" spans="2:10" ht="33" customHeight="1" x14ac:dyDescent="0.3">
      <c r="B775" s="10"/>
      <c r="C775" s="10"/>
      <c r="D775" s="10"/>
      <c r="F775" s="10"/>
      <c r="G775" s="10"/>
      <c r="H775" s="10"/>
      <c r="I775" s="10"/>
      <c r="J775" s="10"/>
    </row>
    <row r="776" spans="2:10" ht="33" customHeight="1" x14ac:dyDescent="0.3">
      <c r="B776" s="10"/>
      <c r="C776" s="10"/>
      <c r="D776" s="10"/>
      <c r="F776" s="10"/>
      <c r="G776" s="10"/>
      <c r="H776" s="10"/>
      <c r="I776" s="10"/>
      <c r="J776" s="10"/>
    </row>
    <row r="777" spans="2:10" ht="33" customHeight="1" x14ac:dyDescent="0.3">
      <c r="B777" s="10"/>
      <c r="C777" s="10"/>
      <c r="D777" s="10"/>
      <c r="F777" s="10"/>
      <c r="G777" s="10"/>
      <c r="H777" s="10"/>
      <c r="I777" s="10"/>
      <c r="J777" s="10"/>
    </row>
    <row r="778" spans="2:10" ht="33" customHeight="1" x14ac:dyDescent="0.3">
      <c r="B778" s="10"/>
      <c r="C778" s="10"/>
      <c r="D778" s="10"/>
      <c r="F778" s="10"/>
      <c r="G778" s="10"/>
      <c r="H778" s="10"/>
      <c r="I778" s="10"/>
      <c r="J778" s="10"/>
    </row>
    <row r="779" spans="2:10" ht="33" customHeight="1" x14ac:dyDescent="0.3">
      <c r="B779" s="10"/>
      <c r="C779" s="10"/>
      <c r="D779" s="10"/>
      <c r="F779" s="10"/>
      <c r="G779" s="10"/>
      <c r="H779" s="10"/>
      <c r="I779" s="10"/>
      <c r="J779" s="10"/>
    </row>
    <row r="780" spans="2:10" ht="33" customHeight="1" x14ac:dyDescent="0.3">
      <c r="B780" s="10"/>
      <c r="C780" s="10"/>
      <c r="D780" s="10"/>
      <c r="F780" s="10"/>
      <c r="G780" s="10"/>
      <c r="H780" s="10"/>
      <c r="I780" s="10"/>
      <c r="J780" s="10"/>
    </row>
    <row r="781" spans="2:10" ht="33" customHeight="1" x14ac:dyDescent="0.3">
      <c r="B781" s="10"/>
      <c r="C781" s="10"/>
      <c r="D781" s="10"/>
      <c r="F781" s="10"/>
      <c r="G781" s="10"/>
      <c r="H781" s="10"/>
      <c r="I781" s="10"/>
      <c r="J781" s="10"/>
    </row>
    <row r="782" spans="2:10" ht="33" customHeight="1" x14ac:dyDescent="0.3">
      <c r="B782" s="10"/>
      <c r="C782" s="10"/>
      <c r="D782" s="10"/>
      <c r="F782" s="10"/>
      <c r="G782" s="10"/>
      <c r="H782" s="10"/>
      <c r="I782" s="10"/>
      <c r="J782" s="10"/>
    </row>
    <row r="783" spans="2:10" ht="33" customHeight="1" x14ac:dyDescent="0.3">
      <c r="B783" s="10"/>
      <c r="C783" s="10"/>
      <c r="D783" s="10"/>
      <c r="F783" s="10"/>
      <c r="G783" s="10"/>
      <c r="H783" s="10"/>
      <c r="I783" s="10"/>
      <c r="J783" s="10"/>
    </row>
    <row r="784" spans="2:10" ht="33" customHeight="1" x14ac:dyDescent="0.3">
      <c r="B784" s="10"/>
      <c r="C784" s="10"/>
      <c r="D784" s="10"/>
      <c r="F784" s="10"/>
      <c r="G784" s="10"/>
      <c r="H784" s="10"/>
      <c r="I784" s="10"/>
      <c r="J784" s="10"/>
    </row>
    <row r="785" spans="2:10" ht="33" customHeight="1" x14ac:dyDescent="0.3">
      <c r="B785" s="10"/>
      <c r="C785" s="10"/>
      <c r="D785" s="10"/>
      <c r="F785" s="10"/>
      <c r="G785" s="10"/>
      <c r="H785" s="10"/>
      <c r="I785" s="10"/>
      <c r="J785" s="10"/>
    </row>
    <row r="786" spans="2:10" ht="33" customHeight="1" x14ac:dyDescent="0.3">
      <c r="B786" s="10"/>
      <c r="C786" s="10"/>
      <c r="D786" s="10"/>
      <c r="F786" s="10"/>
      <c r="G786" s="10"/>
      <c r="H786" s="10"/>
      <c r="I786" s="10"/>
      <c r="J786" s="10"/>
    </row>
    <row r="787" spans="2:10" ht="33" customHeight="1" x14ac:dyDescent="0.3">
      <c r="B787" s="10"/>
      <c r="C787" s="10"/>
      <c r="D787" s="10"/>
      <c r="F787" s="10"/>
      <c r="G787" s="10"/>
      <c r="H787" s="10"/>
      <c r="I787" s="10"/>
      <c r="J787" s="10"/>
    </row>
    <row r="788" spans="2:10" ht="33" customHeight="1" x14ac:dyDescent="0.3">
      <c r="B788" s="10"/>
      <c r="C788" s="10"/>
      <c r="D788" s="10"/>
      <c r="F788" s="10"/>
      <c r="G788" s="10"/>
      <c r="H788" s="10"/>
      <c r="I788" s="10"/>
      <c r="J788" s="10"/>
    </row>
    <row r="789" spans="2:10" ht="33" customHeight="1" x14ac:dyDescent="0.3">
      <c r="B789" s="10"/>
      <c r="C789" s="10"/>
      <c r="D789" s="10"/>
      <c r="F789" s="10"/>
      <c r="G789" s="10"/>
      <c r="H789" s="10"/>
      <c r="I789" s="10"/>
      <c r="J789" s="10"/>
    </row>
    <row r="790" spans="2:10" ht="33" customHeight="1" x14ac:dyDescent="0.3">
      <c r="B790" s="10"/>
      <c r="C790" s="10"/>
      <c r="D790" s="10"/>
      <c r="F790" s="10"/>
      <c r="G790" s="10"/>
      <c r="H790" s="10"/>
      <c r="I790" s="10"/>
      <c r="J790" s="10"/>
    </row>
    <row r="791" spans="2:10" ht="33" customHeight="1" x14ac:dyDescent="0.3">
      <c r="B791" s="10"/>
      <c r="C791" s="10"/>
      <c r="D791" s="10"/>
      <c r="F791" s="10"/>
      <c r="G791" s="10"/>
      <c r="H791" s="10"/>
      <c r="I791" s="10"/>
      <c r="J791" s="10"/>
    </row>
    <row r="792" spans="2:10" ht="33" customHeight="1" x14ac:dyDescent="0.3">
      <c r="B792" s="10"/>
      <c r="C792" s="10"/>
      <c r="D792" s="10"/>
      <c r="F792" s="10"/>
      <c r="G792" s="10"/>
      <c r="H792" s="10"/>
      <c r="I792" s="10"/>
      <c r="J792" s="10"/>
    </row>
    <row r="793" spans="2:10" ht="33" customHeight="1" x14ac:dyDescent="0.3">
      <c r="B793" s="10"/>
      <c r="C793" s="10"/>
      <c r="D793" s="10"/>
      <c r="F793" s="10"/>
      <c r="G793" s="10"/>
      <c r="H793" s="10"/>
      <c r="I793" s="10"/>
      <c r="J793" s="10"/>
    </row>
    <row r="794" spans="2:10" ht="33" customHeight="1" x14ac:dyDescent="0.3">
      <c r="B794" s="10"/>
      <c r="C794" s="10"/>
      <c r="D794" s="10"/>
      <c r="F794" s="10"/>
      <c r="G794" s="10"/>
      <c r="H794" s="10"/>
      <c r="I794" s="10"/>
      <c r="J794" s="10"/>
    </row>
    <row r="795" spans="2:10" ht="33" customHeight="1" x14ac:dyDescent="0.3">
      <c r="B795" s="10"/>
      <c r="C795" s="10"/>
      <c r="D795" s="10"/>
      <c r="F795" s="10"/>
      <c r="G795" s="10"/>
      <c r="H795" s="10"/>
      <c r="I795" s="10"/>
      <c r="J795" s="10"/>
    </row>
    <row r="796" spans="2:10" ht="33" customHeight="1" x14ac:dyDescent="0.3">
      <c r="B796" s="10"/>
      <c r="C796" s="10"/>
      <c r="D796" s="10"/>
      <c r="F796" s="10"/>
      <c r="G796" s="10"/>
      <c r="H796" s="10"/>
      <c r="I796" s="10"/>
      <c r="J796" s="10"/>
    </row>
    <row r="797" spans="2:10" ht="33" customHeight="1" x14ac:dyDescent="0.3">
      <c r="B797" s="10"/>
      <c r="C797" s="10"/>
      <c r="D797" s="10"/>
      <c r="F797" s="10"/>
      <c r="G797" s="10"/>
      <c r="H797" s="10"/>
      <c r="I797" s="10"/>
      <c r="J797" s="10"/>
    </row>
    <row r="798" spans="2:10" ht="33" customHeight="1" x14ac:dyDescent="0.3">
      <c r="B798" s="10"/>
      <c r="C798" s="10"/>
      <c r="D798" s="10"/>
      <c r="F798" s="10"/>
      <c r="G798" s="10"/>
      <c r="H798" s="10"/>
      <c r="I798" s="10"/>
      <c r="J798" s="10"/>
    </row>
    <row r="799" spans="2:10" ht="33" customHeight="1" x14ac:dyDescent="0.3">
      <c r="B799" s="10"/>
      <c r="C799" s="10"/>
      <c r="D799" s="10"/>
      <c r="F799" s="10"/>
      <c r="G799" s="10"/>
      <c r="H799" s="10"/>
      <c r="I799" s="10"/>
      <c r="J799" s="10"/>
    </row>
    <row r="800" spans="2:10" ht="33" customHeight="1" x14ac:dyDescent="0.3">
      <c r="B800" s="10"/>
      <c r="C800" s="10"/>
      <c r="D800" s="10"/>
      <c r="F800" s="10"/>
      <c r="G800" s="10"/>
      <c r="H800" s="10"/>
      <c r="I800" s="10"/>
      <c r="J800" s="10"/>
    </row>
    <row r="801" spans="2:10" ht="33" customHeight="1" x14ac:dyDescent="0.3">
      <c r="B801" s="10"/>
      <c r="C801" s="10"/>
      <c r="D801" s="10"/>
      <c r="F801" s="10"/>
      <c r="G801" s="10"/>
      <c r="H801" s="10"/>
      <c r="I801" s="10"/>
      <c r="J801" s="10"/>
    </row>
    <row r="802" spans="2:10" ht="33" customHeight="1" x14ac:dyDescent="0.3">
      <c r="B802" s="10"/>
      <c r="C802" s="10"/>
      <c r="D802" s="10"/>
      <c r="F802" s="10"/>
      <c r="G802" s="10"/>
      <c r="H802" s="10"/>
      <c r="I802" s="10"/>
      <c r="J802" s="10"/>
    </row>
    <row r="803" spans="2:10" ht="33" customHeight="1" x14ac:dyDescent="0.3">
      <c r="B803" s="10"/>
      <c r="C803" s="10"/>
      <c r="D803" s="10"/>
      <c r="F803" s="10"/>
      <c r="G803" s="10"/>
      <c r="H803" s="10"/>
      <c r="I803" s="10"/>
      <c r="J803" s="10"/>
    </row>
    <row r="804" spans="2:10" ht="33" customHeight="1" x14ac:dyDescent="0.3">
      <c r="B804" s="10"/>
      <c r="C804" s="10"/>
      <c r="D804" s="10"/>
      <c r="F804" s="10"/>
      <c r="G804" s="10"/>
      <c r="H804" s="10"/>
      <c r="I804" s="10"/>
      <c r="J804" s="10"/>
    </row>
    <row r="805" spans="2:10" ht="33" customHeight="1" x14ac:dyDescent="0.3">
      <c r="B805" s="10"/>
      <c r="C805" s="10"/>
      <c r="D805" s="10"/>
      <c r="F805" s="10"/>
      <c r="G805" s="10"/>
      <c r="H805" s="10"/>
      <c r="I805" s="10"/>
      <c r="J805" s="10"/>
    </row>
    <row r="806" spans="2:10" ht="33" customHeight="1" x14ac:dyDescent="0.3">
      <c r="B806" s="10"/>
      <c r="C806" s="10"/>
      <c r="D806" s="10"/>
      <c r="F806" s="10"/>
      <c r="G806" s="10"/>
      <c r="H806" s="10"/>
      <c r="I806" s="10"/>
      <c r="J806" s="10"/>
    </row>
    <row r="807" spans="2:10" ht="33" customHeight="1" x14ac:dyDescent="0.3">
      <c r="B807" s="10"/>
      <c r="C807" s="10"/>
      <c r="D807" s="10"/>
      <c r="F807" s="10"/>
      <c r="G807" s="10"/>
      <c r="H807" s="10"/>
      <c r="I807" s="10"/>
      <c r="J807" s="10"/>
    </row>
    <row r="808" spans="2:10" ht="33" customHeight="1" x14ac:dyDescent="0.3">
      <c r="B808" s="10"/>
      <c r="C808" s="10"/>
      <c r="D808" s="10"/>
      <c r="F808" s="10"/>
      <c r="G808" s="10"/>
      <c r="H808" s="10"/>
      <c r="I808" s="10"/>
      <c r="J808" s="10"/>
    </row>
    <row r="809" spans="2:10" ht="33" customHeight="1" x14ac:dyDescent="0.3">
      <c r="B809" s="10"/>
      <c r="C809" s="10"/>
      <c r="D809" s="10"/>
      <c r="F809" s="10"/>
      <c r="G809" s="10"/>
      <c r="H809" s="10"/>
      <c r="I809" s="10"/>
      <c r="J809" s="10"/>
    </row>
    <row r="810" spans="2:10" ht="33" customHeight="1" x14ac:dyDescent="0.3">
      <c r="B810" s="10"/>
      <c r="C810" s="10"/>
      <c r="D810" s="10"/>
      <c r="F810" s="10"/>
      <c r="G810" s="10"/>
      <c r="H810" s="10"/>
      <c r="I810" s="10"/>
      <c r="J810" s="10"/>
    </row>
    <row r="811" spans="2:10" ht="33" customHeight="1" x14ac:dyDescent="0.3">
      <c r="B811" s="10"/>
      <c r="C811" s="10"/>
      <c r="D811" s="10"/>
      <c r="F811" s="10"/>
      <c r="G811" s="10"/>
      <c r="H811" s="10"/>
      <c r="I811" s="10"/>
      <c r="J811" s="10"/>
    </row>
    <row r="812" spans="2:10" ht="33" customHeight="1" x14ac:dyDescent="0.3">
      <c r="B812" s="10"/>
      <c r="C812" s="10"/>
      <c r="D812" s="10"/>
      <c r="F812" s="10"/>
      <c r="G812" s="10"/>
      <c r="H812" s="10"/>
      <c r="I812" s="10"/>
      <c r="J812" s="10"/>
    </row>
    <row r="813" spans="2:10" ht="33" customHeight="1" x14ac:dyDescent="0.3">
      <c r="B813" s="10"/>
      <c r="C813" s="10"/>
      <c r="D813" s="10"/>
      <c r="F813" s="10"/>
      <c r="G813" s="10"/>
      <c r="H813" s="10"/>
      <c r="I813" s="10"/>
      <c r="J813" s="10"/>
    </row>
    <row r="814" spans="2:10" ht="33" customHeight="1" x14ac:dyDescent="0.3">
      <c r="B814" s="10"/>
      <c r="C814" s="10"/>
      <c r="D814" s="10"/>
      <c r="F814" s="10"/>
      <c r="G814" s="10"/>
      <c r="H814" s="10"/>
      <c r="I814" s="10"/>
      <c r="J814" s="10"/>
    </row>
    <row r="815" spans="2:10" ht="33" customHeight="1" x14ac:dyDescent="0.3">
      <c r="B815" s="10"/>
      <c r="C815" s="10"/>
      <c r="D815" s="10"/>
      <c r="F815" s="10"/>
      <c r="G815" s="10"/>
      <c r="H815" s="10"/>
      <c r="I815" s="10"/>
      <c r="J815" s="10"/>
    </row>
    <row r="816" spans="2:10" ht="33" customHeight="1" x14ac:dyDescent="0.3">
      <c r="B816" s="10"/>
      <c r="C816" s="10"/>
      <c r="D816" s="10"/>
      <c r="F816" s="10"/>
      <c r="G816" s="10"/>
      <c r="H816" s="10"/>
      <c r="I816" s="10"/>
      <c r="J816" s="10"/>
    </row>
    <row r="817" spans="2:10" ht="33" customHeight="1" x14ac:dyDescent="0.3">
      <c r="B817" s="10"/>
      <c r="C817" s="10"/>
      <c r="D817" s="10"/>
      <c r="F817" s="10"/>
      <c r="G817" s="10"/>
      <c r="H817" s="10"/>
      <c r="I817" s="10"/>
      <c r="J817" s="10"/>
    </row>
    <row r="818" spans="2:10" ht="33" customHeight="1" x14ac:dyDescent="0.3">
      <c r="B818" s="10"/>
      <c r="C818" s="10"/>
      <c r="D818" s="10"/>
      <c r="F818" s="10"/>
      <c r="G818" s="10"/>
      <c r="H818" s="10"/>
      <c r="I818" s="10"/>
      <c r="J818" s="10"/>
    </row>
    <row r="819" spans="2:10" ht="33" customHeight="1" x14ac:dyDescent="0.3">
      <c r="B819" s="10"/>
      <c r="C819" s="10"/>
      <c r="D819" s="10"/>
      <c r="F819" s="10"/>
      <c r="G819" s="10"/>
      <c r="H819" s="10"/>
      <c r="I819" s="10"/>
      <c r="J819" s="10"/>
    </row>
    <row r="820" spans="2:10" ht="33" customHeight="1" x14ac:dyDescent="0.3">
      <c r="B820" s="10"/>
      <c r="C820" s="10"/>
      <c r="D820" s="10"/>
      <c r="F820" s="10"/>
      <c r="G820" s="10"/>
      <c r="H820" s="10"/>
      <c r="I820" s="10"/>
      <c r="J820" s="10"/>
    </row>
    <row r="821" spans="2:10" ht="33" customHeight="1" x14ac:dyDescent="0.3">
      <c r="B821" s="10"/>
      <c r="C821" s="10"/>
      <c r="D821" s="10"/>
      <c r="F821" s="10"/>
      <c r="G821" s="10"/>
      <c r="H821" s="10"/>
      <c r="I821" s="10"/>
      <c r="J821" s="10"/>
    </row>
    <row r="822" spans="2:10" ht="33" customHeight="1" x14ac:dyDescent="0.3">
      <c r="B822" s="10"/>
      <c r="C822" s="10"/>
      <c r="D822" s="10"/>
      <c r="F822" s="10"/>
      <c r="G822" s="10"/>
      <c r="H822" s="10"/>
      <c r="I822" s="10"/>
      <c r="J822" s="10"/>
    </row>
    <row r="823" spans="2:10" ht="33" customHeight="1" x14ac:dyDescent="0.3">
      <c r="B823" s="10"/>
      <c r="C823" s="10"/>
      <c r="D823" s="10"/>
      <c r="F823" s="10"/>
      <c r="G823" s="10"/>
      <c r="H823" s="10"/>
      <c r="I823" s="10"/>
      <c r="J823" s="10"/>
    </row>
    <row r="824" spans="2:10" ht="33" customHeight="1" x14ac:dyDescent="0.3">
      <c r="B824" s="10"/>
      <c r="C824" s="10"/>
      <c r="D824" s="10"/>
      <c r="F824" s="10"/>
      <c r="G824" s="10"/>
      <c r="H824" s="10"/>
      <c r="I824" s="10"/>
      <c r="J824" s="10"/>
    </row>
    <row r="825" spans="2:10" ht="33" customHeight="1" x14ac:dyDescent="0.3">
      <c r="B825" s="10"/>
      <c r="C825" s="10"/>
      <c r="D825" s="10"/>
      <c r="F825" s="10"/>
      <c r="G825" s="10"/>
      <c r="H825" s="10"/>
      <c r="I825" s="10"/>
      <c r="J825" s="10"/>
    </row>
    <row r="826" spans="2:10" ht="33" customHeight="1" x14ac:dyDescent="0.3">
      <c r="B826" s="10"/>
      <c r="C826" s="10"/>
      <c r="D826" s="10"/>
      <c r="F826" s="10"/>
      <c r="G826" s="10"/>
      <c r="H826" s="10"/>
      <c r="I826" s="10"/>
      <c r="J826" s="10"/>
    </row>
    <row r="827" spans="2:10" ht="33" customHeight="1" x14ac:dyDescent="0.3">
      <c r="B827" s="10"/>
      <c r="C827" s="10"/>
      <c r="D827" s="10"/>
      <c r="F827" s="10"/>
      <c r="G827" s="10"/>
      <c r="H827" s="10"/>
      <c r="I827" s="10"/>
      <c r="J827" s="10"/>
    </row>
    <row r="828" spans="2:10" ht="33" customHeight="1" x14ac:dyDescent="0.3">
      <c r="B828" s="10"/>
      <c r="C828" s="10"/>
      <c r="D828" s="10"/>
      <c r="F828" s="10"/>
      <c r="G828" s="10"/>
      <c r="H828" s="10"/>
      <c r="I828" s="10"/>
      <c r="J828" s="10"/>
    </row>
    <row r="829" spans="2:10" ht="33" customHeight="1" x14ac:dyDescent="0.3">
      <c r="B829" s="10"/>
      <c r="C829" s="10"/>
      <c r="D829" s="10"/>
      <c r="F829" s="10"/>
      <c r="G829" s="10"/>
      <c r="H829" s="10"/>
      <c r="I829" s="10"/>
      <c r="J829" s="10"/>
    </row>
    <row r="830" spans="2:10" ht="33" customHeight="1" x14ac:dyDescent="0.3">
      <c r="B830" s="10"/>
      <c r="C830" s="10"/>
      <c r="D830" s="10"/>
      <c r="F830" s="10"/>
      <c r="G830" s="10"/>
      <c r="H830" s="10"/>
      <c r="I830" s="10"/>
      <c r="J830" s="10"/>
    </row>
    <row r="831" spans="2:10" ht="33" customHeight="1" x14ac:dyDescent="0.3">
      <c r="B831" s="10"/>
      <c r="C831" s="10"/>
      <c r="D831" s="10"/>
      <c r="F831" s="10"/>
      <c r="G831" s="10"/>
      <c r="H831" s="10"/>
      <c r="I831" s="10"/>
      <c r="J831" s="10"/>
    </row>
    <row r="832" spans="2:10" ht="33" customHeight="1" x14ac:dyDescent="0.3">
      <c r="B832" s="10"/>
      <c r="C832" s="10"/>
      <c r="D832" s="10"/>
      <c r="F832" s="10"/>
      <c r="G832" s="10"/>
      <c r="H832" s="10"/>
      <c r="I832" s="10"/>
      <c r="J832" s="10"/>
    </row>
    <row r="833" spans="2:10" ht="33" customHeight="1" x14ac:dyDescent="0.3">
      <c r="B833" s="10"/>
      <c r="C833" s="10"/>
      <c r="D833" s="10"/>
      <c r="F833" s="10"/>
      <c r="G833" s="10"/>
      <c r="H833" s="10"/>
      <c r="I833" s="10"/>
      <c r="J833" s="10"/>
    </row>
    <row r="834" spans="2:10" ht="33" customHeight="1" x14ac:dyDescent="0.3">
      <c r="B834" s="10"/>
      <c r="C834" s="10"/>
      <c r="D834" s="10"/>
      <c r="F834" s="10"/>
      <c r="G834" s="10"/>
      <c r="H834" s="10"/>
      <c r="I834" s="10"/>
      <c r="J834" s="10"/>
    </row>
    <row r="835" spans="2:10" ht="33" customHeight="1" x14ac:dyDescent="0.3">
      <c r="B835" s="10"/>
      <c r="C835" s="10"/>
      <c r="D835" s="10"/>
      <c r="F835" s="10"/>
      <c r="G835" s="10"/>
      <c r="H835" s="10"/>
      <c r="I835" s="10"/>
      <c r="J835" s="10"/>
    </row>
    <row r="836" spans="2:10" ht="33" customHeight="1" x14ac:dyDescent="0.3">
      <c r="B836" s="10"/>
      <c r="C836" s="10"/>
      <c r="D836" s="10"/>
      <c r="F836" s="10"/>
      <c r="G836" s="10"/>
      <c r="H836" s="10"/>
      <c r="I836" s="10"/>
      <c r="J836" s="10"/>
    </row>
    <row r="837" spans="2:10" ht="33" customHeight="1" x14ac:dyDescent="0.3">
      <c r="B837" s="10"/>
      <c r="C837" s="10"/>
      <c r="D837" s="10"/>
      <c r="F837" s="10"/>
      <c r="G837" s="10"/>
      <c r="H837" s="10"/>
      <c r="I837" s="10"/>
      <c r="J837" s="10"/>
    </row>
    <row r="838" spans="2:10" ht="33" customHeight="1" x14ac:dyDescent="0.3">
      <c r="B838" s="10"/>
      <c r="C838" s="10"/>
      <c r="D838" s="10"/>
      <c r="F838" s="10"/>
      <c r="G838" s="10"/>
      <c r="H838" s="10"/>
      <c r="I838" s="10"/>
      <c r="J838" s="10"/>
    </row>
    <row r="839" spans="2:10" ht="33" customHeight="1" x14ac:dyDescent="0.3">
      <c r="B839" s="10"/>
      <c r="C839" s="10"/>
      <c r="D839" s="10"/>
      <c r="F839" s="10"/>
      <c r="G839" s="10"/>
      <c r="H839" s="10"/>
      <c r="I839" s="10"/>
      <c r="J839" s="10"/>
    </row>
    <row r="840" spans="2:10" ht="33" customHeight="1" x14ac:dyDescent="0.3">
      <c r="B840" s="10"/>
      <c r="C840" s="10"/>
      <c r="D840" s="10"/>
      <c r="F840" s="10"/>
      <c r="G840" s="10"/>
      <c r="H840" s="10"/>
      <c r="I840" s="10"/>
      <c r="J840" s="10"/>
    </row>
    <row r="841" spans="2:10" ht="33" customHeight="1" x14ac:dyDescent="0.3">
      <c r="B841" s="10"/>
      <c r="C841" s="10"/>
      <c r="D841" s="10"/>
      <c r="F841" s="10"/>
      <c r="G841" s="10"/>
      <c r="H841" s="10"/>
      <c r="I841" s="10"/>
      <c r="J841" s="10"/>
    </row>
    <row r="842" spans="2:10" ht="33" customHeight="1" x14ac:dyDescent="0.3">
      <c r="B842" s="10"/>
      <c r="C842" s="10"/>
      <c r="D842" s="10"/>
      <c r="F842" s="10"/>
      <c r="G842" s="10"/>
      <c r="H842" s="10"/>
      <c r="I842" s="10"/>
      <c r="J842" s="10"/>
    </row>
    <row r="843" spans="2:10" ht="33" customHeight="1" x14ac:dyDescent="0.3">
      <c r="B843" s="10"/>
      <c r="C843" s="10"/>
      <c r="D843" s="10"/>
      <c r="F843" s="10"/>
      <c r="G843" s="10"/>
      <c r="H843" s="10"/>
      <c r="I843" s="10"/>
      <c r="J843" s="10"/>
    </row>
    <row r="844" spans="2:10" ht="33" customHeight="1" x14ac:dyDescent="0.3">
      <c r="B844" s="10"/>
      <c r="C844" s="10"/>
      <c r="D844" s="10"/>
      <c r="F844" s="10"/>
      <c r="G844" s="10"/>
      <c r="H844" s="10"/>
      <c r="I844" s="10"/>
      <c r="J844" s="10"/>
    </row>
    <row r="845" spans="2:10" ht="33" customHeight="1" x14ac:dyDescent="0.3">
      <c r="B845" s="10"/>
      <c r="C845" s="10"/>
      <c r="D845" s="10"/>
      <c r="F845" s="10"/>
      <c r="G845" s="10"/>
      <c r="H845" s="10"/>
      <c r="I845" s="10"/>
      <c r="J845" s="10"/>
    </row>
    <row r="846" spans="2:10" ht="33" customHeight="1" x14ac:dyDescent="0.3">
      <c r="B846" s="10"/>
      <c r="C846" s="10"/>
      <c r="D846" s="10"/>
      <c r="F846" s="10"/>
      <c r="G846" s="10"/>
      <c r="H846" s="10"/>
      <c r="I846" s="10"/>
      <c r="J846" s="10"/>
    </row>
    <row r="847" spans="2:10" ht="33" customHeight="1" x14ac:dyDescent="0.3">
      <c r="B847" s="10"/>
      <c r="C847" s="10"/>
      <c r="D847" s="10"/>
      <c r="F847" s="10"/>
      <c r="G847" s="10"/>
      <c r="H847" s="10"/>
      <c r="I847" s="10"/>
      <c r="J847" s="10"/>
    </row>
    <row r="848" spans="2:10" ht="33" customHeight="1" x14ac:dyDescent="0.3">
      <c r="B848" s="10"/>
      <c r="C848" s="10"/>
      <c r="D848" s="10"/>
      <c r="F848" s="10"/>
      <c r="G848" s="10"/>
      <c r="H848" s="10"/>
      <c r="I848" s="10"/>
      <c r="J848" s="10"/>
    </row>
    <row r="849" spans="2:10" ht="33" customHeight="1" x14ac:dyDescent="0.3">
      <c r="B849" s="10"/>
      <c r="C849" s="10"/>
      <c r="D849" s="10"/>
      <c r="F849" s="10"/>
      <c r="G849" s="10"/>
      <c r="H849" s="10"/>
      <c r="I849" s="10"/>
      <c r="J849" s="10"/>
    </row>
    <row r="850" spans="2:10" ht="33" customHeight="1" x14ac:dyDescent="0.3">
      <c r="B850" s="10"/>
      <c r="C850" s="10"/>
      <c r="D850" s="10"/>
      <c r="F850" s="10"/>
      <c r="G850" s="10"/>
      <c r="H850" s="10"/>
      <c r="I850" s="10"/>
      <c r="J850" s="10"/>
    </row>
    <row r="851" spans="2:10" ht="33" customHeight="1" x14ac:dyDescent="0.3">
      <c r="B851" s="10"/>
      <c r="C851" s="10"/>
      <c r="D851" s="10"/>
      <c r="F851" s="10"/>
      <c r="G851" s="10"/>
      <c r="H851" s="10"/>
      <c r="I851" s="10"/>
      <c r="J851" s="10"/>
    </row>
    <row r="852" spans="2:10" ht="33" customHeight="1" x14ac:dyDescent="0.3">
      <c r="B852" s="10"/>
      <c r="C852" s="10"/>
      <c r="D852" s="10"/>
      <c r="F852" s="10"/>
      <c r="G852" s="10"/>
      <c r="H852" s="10"/>
      <c r="I852" s="10"/>
      <c r="J852" s="10"/>
    </row>
    <row r="853" spans="2:10" ht="33" customHeight="1" x14ac:dyDescent="0.3">
      <c r="B853" s="10"/>
      <c r="C853" s="10"/>
      <c r="D853" s="10"/>
      <c r="F853" s="10"/>
      <c r="G853" s="10"/>
      <c r="H853" s="10"/>
      <c r="I853" s="10"/>
      <c r="J853" s="10"/>
    </row>
    <row r="854" spans="2:10" ht="33" customHeight="1" x14ac:dyDescent="0.3">
      <c r="B854" s="10"/>
      <c r="C854" s="10"/>
      <c r="D854" s="10"/>
      <c r="F854" s="10"/>
      <c r="G854" s="10"/>
      <c r="H854" s="10"/>
      <c r="I854" s="10"/>
      <c r="J854" s="10"/>
    </row>
    <row r="855" spans="2:10" ht="33" customHeight="1" x14ac:dyDescent="0.3">
      <c r="B855" s="10"/>
      <c r="C855" s="10"/>
      <c r="D855" s="10"/>
      <c r="F855" s="10"/>
      <c r="G855" s="10"/>
      <c r="H855" s="10"/>
      <c r="I855" s="10"/>
      <c r="J855" s="10"/>
    </row>
    <row r="856" spans="2:10" ht="33" customHeight="1" x14ac:dyDescent="0.3">
      <c r="B856" s="10"/>
      <c r="C856" s="10"/>
      <c r="D856" s="10"/>
      <c r="F856" s="10"/>
      <c r="G856" s="10"/>
      <c r="H856" s="10"/>
      <c r="I856" s="10"/>
      <c r="J856" s="10"/>
    </row>
    <row r="857" spans="2:10" ht="33" customHeight="1" x14ac:dyDescent="0.3">
      <c r="B857" s="10"/>
      <c r="C857" s="10"/>
      <c r="D857" s="10"/>
      <c r="F857" s="10"/>
      <c r="G857" s="10"/>
      <c r="H857" s="10"/>
      <c r="I857" s="10"/>
      <c r="J857" s="10"/>
    </row>
    <row r="858" spans="2:10" ht="33" customHeight="1" x14ac:dyDescent="0.3">
      <c r="B858" s="10"/>
      <c r="C858" s="10"/>
      <c r="D858" s="10"/>
      <c r="F858" s="10"/>
      <c r="G858" s="10"/>
      <c r="H858" s="10"/>
      <c r="I858" s="10"/>
      <c r="J858" s="10"/>
    </row>
    <row r="859" spans="2:10" ht="33" customHeight="1" x14ac:dyDescent="0.3">
      <c r="B859" s="10"/>
      <c r="C859" s="10"/>
      <c r="D859" s="10"/>
      <c r="F859" s="10"/>
      <c r="G859" s="10"/>
      <c r="H859" s="10"/>
      <c r="I859" s="10"/>
      <c r="J859" s="10"/>
    </row>
    <row r="860" spans="2:10" ht="33" customHeight="1" x14ac:dyDescent="0.3">
      <c r="B860" s="10"/>
      <c r="C860" s="10"/>
      <c r="D860" s="10"/>
      <c r="F860" s="10"/>
      <c r="G860" s="10"/>
      <c r="H860" s="10"/>
      <c r="I860" s="10"/>
      <c r="J860" s="10"/>
    </row>
    <row r="861" spans="2:10" ht="33" customHeight="1" x14ac:dyDescent="0.3">
      <c r="B861" s="10"/>
      <c r="C861" s="10"/>
      <c r="D861" s="10"/>
      <c r="F861" s="10"/>
      <c r="G861" s="10"/>
      <c r="H861" s="10"/>
      <c r="I861" s="10"/>
      <c r="J861" s="10"/>
    </row>
    <row r="862" spans="2:10" ht="33" customHeight="1" x14ac:dyDescent="0.3">
      <c r="B862" s="10"/>
      <c r="C862" s="10"/>
      <c r="D862" s="10"/>
      <c r="F862" s="10"/>
      <c r="G862" s="10"/>
      <c r="H862" s="10"/>
      <c r="I862" s="10"/>
      <c r="J862" s="10"/>
    </row>
    <row r="863" spans="2:10" ht="33" customHeight="1" x14ac:dyDescent="0.3">
      <c r="B863" s="10"/>
      <c r="C863" s="10"/>
      <c r="D863" s="10"/>
      <c r="F863" s="10"/>
      <c r="G863" s="10"/>
      <c r="H863" s="10"/>
      <c r="I863" s="10"/>
      <c r="J863" s="10"/>
    </row>
    <row r="864" spans="2:10" ht="33" customHeight="1" x14ac:dyDescent="0.3">
      <c r="B864" s="10"/>
      <c r="C864" s="10"/>
      <c r="D864" s="10"/>
      <c r="F864" s="10"/>
      <c r="G864" s="10"/>
      <c r="H864" s="10"/>
      <c r="I864" s="10"/>
      <c r="J864" s="10"/>
    </row>
    <row r="865" spans="2:10" ht="33" customHeight="1" x14ac:dyDescent="0.3">
      <c r="B865" s="10"/>
      <c r="C865" s="10"/>
      <c r="D865" s="10"/>
      <c r="F865" s="10"/>
      <c r="G865" s="10"/>
      <c r="H865" s="10"/>
      <c r="I865" s="10"/>
      <c r="J865" s="10"/>
    </row>
    <row r="866" spans="2:10" ht="33" customHeight="1" x14ac:dyDescent="0.3">
      <c r="B866" s="10"/>
      <c r="C866" s="10"/>
      <c r="D866" s="10"/>
      <c r="F866" s="10"/>
      <c r="G866" s="10"/>
      <c r="H866" s="10"/>
      <c r="I866" s="10"/>
      <c r="J866" s="10"/>
    </row>
    <row r="867" spans="2:10" ht="33" customHeight="1" x14ac:dyDescent="0.3">
      <c r="B867" s="10"/>
      <c r="C867" s="10"/>
      <c r="D867" s="10"/>
      <c r="F867" s="10"/>
      <c r="G867" s="10"/>
      <c r="H867" s="10"/>
      <c r="I867" s="10"/>
      <c r="J867" s="10"/>
    </row>
    <row r="868" spans="2:10" ht="33" customHeight="1" x14ac:dyDescent="0.3">
      <c r="B868" s="10"/>
      <c r="C868" s="10"/>
      <c r="D868" s="10"/>
      <c r="F868" s="10"/>
      <c r="G868" s="10"/>
      <c r="H868" s="10"/>
      <c r="I868" s="10"/>
      <c r="J868" s="10"/>
    </row>
    <row r="869" spans="2:10" ht="33" customHeight="1" x14ac:dyDescent="0.3">
      <c r="B869" s="10"/>
      <c r="C869" s="10"/>
      <c r="D869" s="10"/>
      <c r="F869" s="10"/>
      <c r="G869" s="10"/>
      <c r="H869" s="10"/>
      <c r="I869" s="10"/>
      <c r="J869" s="10"/>
    </row>
    <row r="870" spans="2:10" ht="33" customHeight="1" x14ac:dyDescent="0.3">
      <c r="B870" s="10"/>
      <c r="C870" s="10"/>
      <c r="D870" s="10"/>
      <c r="F870" s="10"/>
      <c r="G870" s="10"/>
      <c r="H870" s="10"/>
      <c r="I870" s="10"/>
      <c r="J870" s="10"/>
    </row>
    <row r="871" spans="2:10" ht="33" customHeight="1" x14ac:dyDescent="0.3">
      <c r="B871" s="10"/>
      <c r="C871" s="10"/>
      <c r="D871" s="10"/>
      <c r="F871" s="10"/>
      <c r="G871" s="10"/>
      <c r="H871" s="10"/>
      <c r="I871" s="10"/>
      <c r="J871" s="10"/>
    </row>
    <row r="872" spans="2:10" ht="33" customHeight="1" x14ac:dyDescent="0.3">
      <c r="B872" s="10"/>
      <c r="C872" s="10"/>
      <c r="D872" s="10"/>
      <c r="F872" s="10"/>
      <c r="G872" s="10"/>
      <c r="H872" s="10"/>
      <c r="I872" s="10"/>
      <c r="J872" s="10"/>
    </row>
    <row r="873" spans="2:10" ht="33" customHeight="1" x14ac:dyDescent="0.3">
      <c r="B873" s="10"/>
      <c r="C873" s="10"/>
      <c r="D873" s="10"/>
      <c r="F873" s="10"/>
      <c r="G873" s="10"/>
      <c r="H873" s="10"/>
      <c r="I873" s="10"/>
      <c r="J873" s="10"/>
    </row>
    <row r="874" spans="2:10" ht="33" customHeight="1" x14ac:dyDescent="0.3">
      <c r="B874" s="10"/>
      <c r="C874" s="10"/>
      <c r="D874" s="10"/>
      <c r="F874" s="10"/>
      <c r="G874" s="10"/>
      <c r="H874" s="10"/>
      <c r="I874" s="10"/>
      <c r="J874" s="10"/>
    </row>
    <row r="875" spans="2:10" ht="33" customHeight="1" x14ac:dyDescent="0.3">
      <c r="B875" s="10"/>
      <c r="C875" s="10"/>
      <c r="D875" s="10"/>
      <c r="F875" s="10"/>
      <c r="G875" s="10"/>
      <c r="H875" s="10"/>
      <c r="I875" s="10"/>
      <c r="J875" s="10"/>
    </row>
    <row r="876" spans="2:10" ht="33" customHeight="1" x14ac:dyDescent="0.3">
      <c r="B876" s="10"/>
      <c r="C876" s="10"/>
      <c r="D876" s="10"/>
      <c r="F876" s="10"/>
      <c r="G876" s="10"/>
      <c r="H876" s="10"/>
      <c r="I876" s="10"/>
      <c r="J876" s="10"/>
    </row>
    <row r="877" spans="2:10" ht="33" customHeight="1" x14ac:dyDescent="0.3">
      <c r="B877" s="10"/>
      <c r="C877" s="10"/>
      <c r="D877" s="10"/>
      <c r="F877" s="10"/>
      <c r="G877" s="10"/>
      <c r="H877" s="10"/>
      <c r="I877" s="10"/>
      <c r="J877" s="10"/>
    </row>
    <row r="878" spans="2:10" ht="33" customHeight="1" x14ac:dyDescent="0.3">
      <c r="B878" s="10"/>
      <c r="C878" s="10"/>
      <c r="D878" s="10"/>
      <c r="F878" s="10"/>
      <c r="G878" s="10"/>
      <c r="H878" s="10"/>
      <c r="I878" s="10"/>
      <c r="J878" s="10"/>
    </row>
    <row r="879" spans="2:10" ht="33" customHeight="1" x14ac:dyDescent="0.3">
      <c r="B879" s="10"/>
      <c r="C879" s="10"/>
      <c r="D879" s="10"/>
      <c r="F879" s="10"/>
      <c r="G879" s="10"/>
      <c r="H879" s="10"/>
      <c r="I879" s="10"/>
      <c r="J879" s="10"/>
    </row>
    <row r="880" spans="2:10" ht="33" customHeight="1" x14ac:dyDescent="0.3">
      <c r="B880" s="10"/>
      <c r="C880" s="10"/>
      <c r="D880" s="10"/>
      <c r="F880" s="10"/>
      <c r="G880" s="10"/>
      <c r="H880" s="10"/>
      <c r="I880" s="10"/>
      <c r="J880" s="10"/>
    </row>
    <row r="881" spans="2:10" ht="33" customHeight="1" x14ac:dyDescent="0.3">
      <c r="B881" s="10"/>
      <c r="C881" s="10"/>
      <c r="D881" s="10"/>
      <c r="F881" s="10"/>
      <c r="G881" s="10"/>
      <c r="H881" s="10"/>
      <c r="I881" s="10"/>
      <c r="J881" s="10"/>
    </row>
    <row r="882" spans="2:10" ht="33" customHeight="1" x14ac:dyDescent="0.3">
      <c r="B882" s="10"/>
      <c r="C882" s="10"/>
      <c r="D882" s="10"/>
      <c r="F882" s="10"/>
      <c r="G882" s="10"/>
      <c r="H882" s="10"/>
      <c r="I882" s="10"/>
      <c r="J882" s="10"/>
    </row>
    <row r="883" spans="2:10" ht="33" customHeight="1" x14ac:dyDescent="0.3">
      <c r="B883" s="10"/>
      <c r="C883" s="10"/>
      <c r="D883" s="10"/>
      <c r="F883" s="10"/>
      <c r="G883" s="10"/>
      <c r="H883" s="10"/>
      <c r="I883" s="10"/>
      <c r="J883" s="10"/>
    </row>
    <row r="884" spans="2:10" ht="33" customHeight="1" x14ac:dyDescent="0.3">
      <c r="B884" s="10"/>
      <c r="C884" s="10"/>
      <c r="D884" s="10"/>
      <c r="F884" s="10"/>
      <c r="G884" s="10"/>
      <c r="H884" s="10"/>
      <c r="I884" s="10"/>
      <c r="J884" s="10"/>
    </row>
    <row r="885" spans="2:10" ht="33" customHeight="1" x14ac:dyDescent="0.3">
      <c r="B885" s="10"/>
      <c r="C885" s="10"/>
      <c r="D885" s="10"/>
      <c r="F885" s="10"/>
      <c r="G885" s="10"/>
      <c r="H885" s="10"/>
      <c r="I885" s="10"/>
      <c r="J885" s="10"/>
    </row>
    <row r="886" spans="2:10" ht="33" customHeight="1" x14ac:dyDescent="0.3">
      <c r="B886" s="10"/>
      <c r="C886" s="10"/>
      <c r="D886" s="10"/>
      <c r="F886" s="10"/>
      <c r="G886" s="10"/>
      <c r="H886" s="10"/>
      <c r="I886" s="10"/>
      <c r="J886" s="10"/>
    </row>
    <row r="887" spans="2:10" ht="33" customHeight="1" x14ac:dyDescent="0.3">
      <c r="B887" s="10"/>
      <c r="C887" s="10"/>
      <c r="D887" s="10"/>
      <c r="F887" s="10"/>
      <c r="G887" s="10"/>
      <c r="H887" s="10"/>
      <c r="I887" s="10"/>
      <c r="J887" s="10"/>
    </row>
    <row r="888" spans="2:10" ht="33" customHeight="1" x14ac:dyDescent="0.3">
      <c r="B888" s="10"/>
      <c r="C888" s="10"/>
      <c r="D888" s="10"/>
      <c r="F888" s="10"/>
      <c r="G888" s="10"/>
      <c r="H888" s="10"/>
      <c r="I888" s="10"/>
      <c r="J888" s="10"/>
    </row>
    <row r="889" spans="2:10" ht="33" customHeight="1" x14ac:dyDescent="0.3">
      <c r="B889" s="10"/>
      <c r="C889" s="10"/>
      <c r="D889" s="10"/>
      <c r="F889" s="10"/>
      <c r="G889" s="10"/>
      <c r="H889" s="10"/>
      <c r="I889" s="10"/>
      <c r="J889" s="10"/>
    </row>
    <row r="890" spans="2:10" ht="33" customHeight="1" x14ac:dyDescent="0.3">
      <c r="B890" s="10"/>
      <c r="C890" s="10"/>
      <c r="D890" s="10"/>
      <c r="F890" s="10"/>
      <c r="G890" s="10"/>
      <c r="H890" s="10"/>
      <c r="I890" s="10"/>
      <c r="J890" s="10"/>
    </row>
    <row r="891" spans="2:10" ht="33" customHeight="1" x14ac:dyDescent="0.3">
      <c r="B891" s="10"/>
      <c r="C891" s="10"/>
      <c r="D891" s="10"/>
      <c r="F891" s="10"/>
      <c r="G891" s="10"/>
      <c r="H891" s="10"/>
      <c r="I891" s="10"/>
      <c r="J891" s="10"/>
    </row>
    <row r="892" spans="2:10" ht="33" customHeight="1" x14ac:dyDescent="0.3">
      <c r="B892" s="10"/>
      <c r="C892" s="10"/>
      <c r="D892" s="10"/>
      <c r="F892" s="10"/>
      <c r="G892" s="10"/>
      <c r="H892" s="10"/>
      <c r="I892" s="10"/>
      <c r="J892" s="10"/>
    </row>
    <row r="893" spans="2:10" ht="33" customHeight="1" x14ac:dyDescent="0.3">
      <c r="B893" s="10"/>
      <c r="C893" s="10"/>
      <c r="D893" s="10"/>
      <c r="F893" s="10"/>
      <c r="G893" s="10"/>
      <c r="H893" s="10"/>
      <c r="I893" s="10"/>
      <c r="J893" s="10"/>
    </row>
    <row r="894" spans="2:10" ht="33" customHeight="1" x14ac:dyDescent="0.3">
      <c r="B894" s="10"/>
      <c r="C894" s="10"/>
      <c r="D894" s="10"/>
      <c r="F894" s="10"/>
      <c r="G894" s="10"/>
      <c r="H894" s="10"/>
      <c r="I894" s="10"/>
      <c r="J894" s="10"/>
    </row>
    <row r="895" spans="2:10" ht="33" customHeight="1" x14ac:dyDescent="0.3">
      <c r="B895" s="10"/>
      <c r="C895" s="10"/>
      <c r="D895" s="10"/>
      <c r="F895" s="10"/>
      <c r="G895" s="10"/>
      <c r="H895" s="10"/>
      <c r="I895" s="10"/>
      <c r="J895" s="10"/>
    </row>
    <row r="896" spans="2:10" ht="33" customHeight="1" x14ac:dyDescent="0.3">
      <c r="B896" s="10"/>
      <c r="C896" s="10"/>
      <c r="D896" s="10"/>
      <c r="F896" s="10"/>
      <c r="G896" s="10"/>
      <c r="H896" s="10"/>
      <c r="I896" s="10"/>
      <c r="J896" s="10"/>
    </row>
    <row r="897" spans="2:10" ht="33" customHeight="1" x14ac:dyDescent="0.3">
      <c r="B897" s="10"/>
      <c r="C897" s="10"/>
      <c r="D897" s="10"/>
      <c r="F897" s="10"/>
      <c r="G897" s="10"/>
      <c r="H897" s="10"/>
      <c r="I897" s="10"/>
      <c r="J897" s="10"/>
    </row>
    <row r="898" spans="2:10" ht="33" customHeight="1" x14ac:dyDescent="0.3">
      <c r="B898" s="10"/>
      <c r="C898" s="10"/>
      <c r="D898" s="10"/>
      <c r="F898" s="10"/>
      <c r="G898" s="10"/>
      <c r="H898" s="10"/>
      <c r="I898" s="10"/>
      <c r="J898" s="10"/>
    </row>
    <row r="899" spans="2:10" ht="33" customHeight="1" x14ac:dyDescent="0.3">
      <c r="B899" s="10"/>
      <c r="C899" s="10"/>
      <c r="D899" s="10"/>
      <c r="F899" s="10"/>
      <c r="G899" s="10"/>
      <c r="H899" s="10"/>
      <c r="I899" s="10"/>
      <c r="J899" s="10"/>
    </row>
    <row r="900" spans="2:10" ht="33" customHeight="1" x14ac:dyDescent="0.3">
      <c r="B900" s="10"/>
      <c r="C900" s="10"/>
      <c r="D900" s="10"/>
      <c r="F900" s="10"/>
      <c r="G900" s="10"/>
      <c r="H900" s="10"/>
      <c r="I900" s="10"/>
      <c r="J900" s="10"/>
    </row>
    <row r="901" spans="2:10" ht="33" customHeight="1" x14ac:dyDescent="0.3">
      <c r="B901" s="10"/>
      <c r="C901" s="10"/>
      <c r="D901" s="10"/>
      <c r="F901" s="10"/>
      <c r="G901" s="10"/>
      <c r="H901" s="10"/>
      <c r="I901" s="10"/>
      <c r="J901" s="10"/>
    </row>
    <row r="902" spans="2:10" ht="33" customHeight="1" x14ac:dyDescent="0.3">
      <c r="B902" s="10"/>
      <c r="C902" s="10"/>
      <c r="D902" s="10"/>
      <c r="F902" s="10"/>
      <c r="G902" s="10"/>
      <c r="H902" s="10"/>
      <c r="I902" s="10"/>
      <c r="J902" s="10"/>
    </row>
    <row r="903" spans="2:10" ht="33" customHeight="1" x14ac:dyDescent="0.3">
      <c r="B903" s="10"/>
      <c r="C903" s="10"/>
      <c r="D903" s="10"/>
      <c r="F903" s="10"/>
      <c r="G903" s="10"/>
      <c r="H903" s="10"/>
      <c r="I903" s="10"/>
      <c r="J903" s="10"/>
    </row>
    <row r="904" spans="2:10" ht="33" customHeight="1" x14ac:dyDescent="0.3">
      <c r="B904" s="10"/>
      <c r="C904" s="10"/>
      <c r="D904" s="10"/>
      <c r="F904" s="10"/>
      <c r="G904" s="10"/>
      <c r="H904" s="10"/>
      <c r="I904" s="10"/>
      <c r="J904" s="10"/>
    </row>
    <row r="905" spans="2:10" ht="33" customHeight="1" x14ac:dyDescent="0.3">
      <c r="B905" s="10"/>
      <c r="C905" s="10"/>
      <c r="D905" s="10"/>
      <c r="F905" s="10"/>
      <c r="G905" s="10"/>
      <c r="H905" s="10"/>
      <c r="I905" s="10"/>
      <c r="J905" s="10"/>
    </row>
    <row r="906" spans="2:10" ht="33" customHeight="1" x14ac:dyDescent="0.3">
      <c r="B906" s="10"/>
      <c r="C906" s="10"/>
      <c r="D906" s="10"/>
      <c r="F906" s="10"/>
      <c r="G906" s="10"/>
      <c r="H906" s="10"/>
      <c r="I906" s="10"/>
      <c r="J906" s="10"/>
    </row>
    <row r="907" spans="2:10" ht="33" customHeight="1" x14ac:dyDescent="0.3">
      <c r="B907" s="10"/>
      <c r="C907" s="10"/>
      <c r="D907" s="10"/>
      <c r="F907" s="10"/>
      <c r="G907" s="10"/>
      <c r="H907" s="10"/>
      <c r="I907" s="10"/>
      <c r="J907" s="10"/>
    </row>
    <row r="908" spans="2:10" ht="33" customHeight="1" x14ac:dyDescent="0.3">
      <c r="B908" s="10"/>
      <c r="C908" s="10"/>
      <c r="D908" s="10"/>
      <c r="F908" s="10"/>
      <c r="G908" s="10"/>
      <c r="H908" s="10"/>
      <c r="I908" s="10"/>
      <c r="J908" s="10"/>
    </row>
    <row r="909" spans="2:10" ht="33" customHeight="1" x14ac:dyDescent="0.3">
      <c r="B909" s="10"/>
      <c r="C909" s="10"/>
      <c r="D909" s="10"/>
      <c r="F909" s="10"/>
      <c r="G909" s="10"/>
      <c r="H909" s="10"/>
      <c r="I909" s="10"/>
      <c r="J909" s="10"/>
    </row>
    <row r="910" spans="2:10" ht="33" customHeight="1" x14ac:dyDescent="0.3">
      <c r="B910" s="10"/>
      <c r="C910" s="10"/>
      <c r="D910" s="10"/>
      <c r="F910" s="10"/>
      <c r="G910" s="10"/>
      <c r="H910" s="10"/>
      <c r="I910" s="10"/>
      <c r="J910" s="10"/>
    </row>
    <row r="911" spans="2:10" ht="33" customHeight="1" x14ac:dyDescent="0.3">
      <c r="B911" s="10"/>
      <c r="C911" s="10"/>
      <c r="D911" s="10"/>
      <c r="F911" s="10"/>
      <c r="G911" s="10"/>
      <c r="H911" s="10"/>
      <c r="I911" s="10"/>
      <c r="J911" s="10"/>
    </row>
    <row r="912" spans="2:10" ht="33" customHeight="1" x14ac:dyDescent="0.3">
      <c r="B912" s="10"/>
      <c r="C912" s="10"/>
      <c r="D912" s="10"/>
      <c r="F912" s="10"/>
      <c r="G912" s="10"/>
      <c r="H912" s="10"/>
      <c r="I912" s="10"/>
      <c r="J912" s="10"/>
    </row>
    <row r="913" spans="2:10" ht="33" customHeight="1" x14ac:dyDescent="0.3">
      <c r="B913" s="10"/>
      <c r="C913" s="10"/>
      <c r="D913" s="10"/>
      <c r="F913" s="10"/>
      <c r="G913" s="10"/>
      <c r="H913" s="10"/>
      <c r="I913" s="10"/>
      <c r="J913" s="10"/>
    </row>
    <row r="914" spans="2:10" ht="33" customHeight="1" x14ac:dyDescent="0.3">
      <c r="B914" s="10"/>
      <c r="C914" s="10"/>
      <c r="D914" s="10"/>
      <c r="F914" s="10"/>
      <c r="G914" s="10"/>
      <c r="H914" s="10"/>
      <c r="I914" s="10"/>
      <c r="J914" s="10"/>
    </row>
    <row r="915" spans="2:10" ht="33" customHeight="1" x14ac:dyDescent="0.3">
      <c r="B915" s="10"/>
      <c r="C915" s="10"/>
      <c r="D915" s="10"/>
      <c r="F915" s="10"/>
      <c r="G915" s="10"/>
      <c r="H915" s="10"/>
      <c r="I915" s="10"/>
      <c r="J915" s="10"/>
    </row>
    <row r="916" spans="2:10" ht="33" customHeight="1" x14ac:dyDescent="0.3">
      <c r="B916" s="10"/>
      <c r="C916" s="10"/>
      <c r="D916" s="10"/>
      <c r="F916" s="10"/>
      <c r="G916" s="10"/>
      <c r="H916" s="10"/>
      <c r="I916" s="10"/>
      <c r="J916" s="10"/>
    </row>
    <row r="917" spans="2:10" ht="33" customHeight="1" x14ac:dyDescent="0.3">
      <c r="B917" s="10"/>
      <c r="C917" s="10"/>
      <c r="D917" s="10"/>
      <c r="F917" s="10"/>
      <c r="G917" s="10"/>
      <c r="H917" s="10"/>
      <c r="I917" s="10"/>
      <c r="J917" s="10"/>
    </row>
    <row r="918" spans="2:10" ht="33" customHeight="1" x14ac:dyDescent="0.3">
      <c r="B918" s="10"/>
      <c r="C918" s="10"/>
      <c r="D918" s="10"/>
      <c r="F918" s="10"/>
      <c r="G918" s="10"/>
      <c r="H918" s="10"/>
      <c r="I918" s="10"/>
      <c r="J918" s="10"/>
    </row>
    <row r="919" spans="2:10" ht="33" customHeight="1" x14ac:dyDescent="0.3">
      <c r="B919" s="10"/>
      <c r="C919" s="10"/>
      <c r="D919" s="10"/>
      <c r="F919" s="10"/>
      <c r="G919" s="10"/>
      <c r="H919" s="10"/>
      <c r="I919" s="10"/>
      <c r="J919" s="10"/>
    </row>
    <row r="920" spans="2:10" ht="33" customHeight="1" x14ac:dyDescent="0.3">
      <c r="B920" s="10"/>
      <c r="C920" s="10"/>
      <c r="D920" s="10"/>
      <c r="F920" s="10"/>
      <c r="G920" s="10"/>
      <c r="H920" s="10"/>
      <c r="I920" s="10"/>
      <c r="J920" s="10"/>
    </row>
    <row r="921" spans="2:10" ht="33" customHeight="1" x14ac:dyDescent="0.3">
      <c r="B921" s="10"/>
      <c r="C921" s="10"/>
      <c r="D921" s="10"/>
      <c r="F921" s="10"/>
      <c r="G921" s="10"/>
      <c r="H921" s="10"/>
      <c r="I921" s="10"/>
      <c r="J921" s="10"/>
    </row>
    <row r="922" spans="2:10" ht="33" customHeight="1" x14ac:dyDescent="0.3">
      <c r="B922" s="10"/>
      <c r="C922" s="10"/>
      <c r="D922" s="10"/>
      <c r="F922" s="10"/>
      <c r="G922" s="10"/>
      <c r="H922" s="10"/>
      <c r="I922" s="10"/>
      <c r="J922" s="10"/>
    </row>
    <row r="923" spans="2:10" ht="33" customHeight="1" x14ac:dyDescent="0.3">
      <c r="B923" s="10"/>
      <c r="C923" s="10"/>
      <c r="D923" s="10"/>
      <c r="F923" s="10"/>
      <c r="G923" s="10"/>
      <c r="H923" s="10"/>
      <c r="I923" s="10"/>
      <c r="J923" s="10"/>
    </row>
    <row r="924" spans="2:10" ht="33" customHeight="1" x14ac:dyDescent="0.3">
      <c r="B924" s="10"/>
      <c r="C924" s="10"/>
      <c r="D924" s="10"/>
      <c r="F924" s="10"/>
      <c r="G924" s="10"/>
      <c r="H924" s="10"/>
      <c r="I924" s="10"/>
      <c r="J924" s="10"/>
    </row>
    <row r="925" spans="2:10" ht="33" customHeight="1" x14ac:dyDescent="0.3">
      <c r="B925" s="10"/>
      <c r="C925" s="10"/>
      <c r="D925" s="10"/>
      <c r="F925" s="10"/>
      <c r="G925" s="10"/>
      <c r="H925" s="10"/>
      <c r="I925" s="10"/>
      <c r="J925" s="10"/>
    </row>
    <row r="926" spans="2:10" ht="33" customHeight="1" x14ac:dyDescent="0.3">
      <c r="B926" s="10"/>
      <c r="C926" s="10"/>
      <c r="D926" s="10"/>
      <c r="F926" s="10"/>
      <c r="G926" s="10"/>
      <c r="H926" s="10"/>
      <c r="I926" s="10"/>
      <c r="J926" s="10"/>
    </row>
    <row r="927" spans="2:10" ht="33" customHeight="1" x14ac:dyDescent="0.3">
      <c r="B927" s="10"/>
      <c r="C927" s="10"/>
      <c r="D927" s="10"/>
      <c r="F927" s="10"/>
      <c r="G927" s="10"/>
      <c r="H927" s="10"/>
      <c r="I927" s="10"/>
      <c r="J927" s="10"/>
    </row>
    <row r="928" spans="2:10" ht="33" customHeight="1" x14ac:dyDescent="0.3">
      <c r="B928" s="10"/>
      <c r="C928" s="10"/>
      <c r="D928" s="10"/>
      <c r="F928" s="10"/>
      <c r="G928" s="10"/>
      <c r="H928" s="10"/>
      <c r="I928" s="10"/>
      <c r="J928" s="10"/>
    </row>
    <row r="929" spans="2:10" ht="33" customHeight="1" x14ac:dyDescent="0.3">
      <c r="B929" s="10"/>
      <c r="C929" s="10"/>
      <c r="D929" s="10"/>
      <c r="F929" s="10"/>
      <c r="G929" s="10"/>
      <c r="H929" s="10"/>
      <c r="I929" s="10"/>
      <c r="J929" s="10"/>
    </row>
    <row r="930" spans="2:10" ht="33" customHeight="1" x14ac:dyDescent="0.3">
      <c r="B930" s="10"/>
      <c r="C930" s="10"/>
      <c r="D930" s="10"/>
      <c r="F930" s="10"/>
      <c r="G930" s="10"/>
      <c r="H930" s="10"/>
      <c r="I930" s="10"/>
      <c r="J930" s="10"/>
    </row>
    <row r="931" spans="2:10" ht="33" customHeight="1" x14ac:dyDescent="0.3">
      <c r="B931" s="10"/>
      <c r="C931" s="10"/>
      <c r="D931" s="10"/>
      <c r="F931" s="10"/>
      <c r="G931" s="10"/>
      <c r="H931" s="10"/>
      <c r="I931" s="10"/>
      <c r="J931" s="10"/>
    </row>
    <row r="932" spans="2:10" ht="33" customHeight="1" x14ac:dyDescent="0.3">
      <c r="B932" s="10"/>
      <c r="C932" s="10"/>
      <c r="D932" s="10"/>
      <c r="F932" s="10"/>
      <c r="G932" s="10"/>
      <c r="H932" s="10"/>
      <c r="I932" s="10"/>
      <c r="J932" s="10"/>
    </row>
    <row r="933" spans="2:10" ht="33" customHeight="1" x14ac:dyDescent="0.3">
      <c r="B933" s="10"/>
      <c r="C933" s="10"/>
      <c r="D933" s="10"/>
      <c r="F933" s="10"/>
      <c r="G933" s="10"/>
      <c r="H933" s="10"/>
      <c r="I933" s="10"/>
      <c r="J933" s="10"/>
    </row>
    <row r="934" spans="2:10" ht="33" customHeight="1" x14ac:dyDescent="0.3">
      <c r="B934" s="10"/>
      <c r="C934" s="10"/>
      <c r="D934" s="10"/>
      <c r="F934" s="10"/>
      <c r="G934" s="10"/>
      <c r="H934" s="10"/>
      <c r="I934" s="10"/>
      <c r="J934" s="10"/>
    </row>
    <row r="935" spans="2:10" ht="33" customHeight="1" x14ac:dyDescent="0.3">
      <c r="B935" s="10"/>
      <c r="C935" s="10"/>
      <c r="D935" s="10"/>
      <c r="F935" s="10"/>
      <c r="G935" s="10"/>
      <c r="H935" s="10"/>
      <c r="I935" s="10"/>
      <c r="J935" s="10"/>
    </row>
    <row r="936" spans="2:10" ht="33" customHeight="1" x14ac:dyDescent="0.3">
      <c r="B936" s="10"/>
      <c r="C936" s="10"/>
      <c r="D936" s="10"/>
      <c r="F936" s="10"/>
      <c r="G936" s="10"/>
      <c r="H936" s="10"/>
      <c r="I936" s="10"/>
      <c r="J936" s="10"/>
    </row>
    <row r="937" spans="2:10" ht="33" customHeight="1" x14ac:dyDescent="0.3">
      <c r="B937" s="10"/>
      <c r="C937" s="10"/>
      <c r="D937" s="10"/>
      <c r="F937" s="10"/>
      <c r="G937" s="10"/>
      <c r="H937" s="10"/>
      <c r="I937" s="10"/>
      <c r="J937" s="10"/>
    </row>
    <row r="938" spans="2:10" ht="33" customHeight="1" x14ac:dyDescent="0.3">
      <c r="B938" s="10"/>
      <c r="C938" s="10"/>
      <c r="D938" s="10"/>
      <c r="F938" s="10"/>
      <c r="G938" s="10"/>
      <c r="H938" s="10"/>
      <c r="I938" s="10"/>
      <c r="J938" s="10"/>
    </row>
    <row r="939" spans="2:10" ht="33" customHeight="1" x14ac:dyDescent="0.3">
      <c r="B939" s="10"/>
      <c r="C939" s="10"/>
      <c r="D939" s="10"/>
      <c r="F939" s="10"/>
      <c r="G939" s="10"/>
      <c r="H939" s="10"/>
      <c r="I939" s="10"/>
      <c r="J939" s="10"/>
    </row>
    <row r="940" spans="2:10" ht="33" customHeight="1" x14ac:dyDescent="0.3">
      <c r="B940" s="10"/>
      <c r="C940" s="10"/>
      <c r="D940" s="10"/>
      <c r="F940" s="10"/>
      <c r="G940" s="10"/>
      <c r="H940" s="10"/>
      <c r="I940" s="10"/>
      <c r="J940" s="10"/>
    </row>
    <row r="941" spans="2:10" ht="33" customHeight="1" x14ac:dyDescent="0.3">
      <c r="B941" s="10"/>
      <c r="C941" s="10"/>
      <c r="D941" s="10"/>
      <c r="F941" s="10"/>
      <c r="G941" s="10"/>
      <c r="H941" s="10"/>
      <c r="I941" s="10"/>
      <c r="J941" s="10"/>
    </row>
    <row r="942" spans="2:10" ht="33" customHeight="1" x14ac:dyDescent="0.3">
      <c r="B942" s="10"/>
      <c r="C942" s="10"/>
      <c r="D942" s="10"/>
      <c r="F942" s="10"/>
      <c r="G942" s="10"/>
      <c r="H942" s="10"/>
      <c r="I942" s="10"/>
      <c r="J942" s="10"/>
    </row>
    <row r="943" spans="2:10" ht="33" customHeight="1" x14ac:dyDescent="0.3">
      <c r="B943" s="10"/>
      <c r="C943" s="10"/>
      <c r="D943" s="10"/>
      <c r="F943" s="10"/>
      <c r="G943" s="10"/>
      <c r="H943" s="10"/>
      <c r="I943" s="10"/>
      <c r="J943" s="10"/>
    </row>
    <row r="944" spans="2:10" ht="33" customHeight="1" x14ac:dyDescent="0.3">
      <c r="B944" s="10"/>
      <c r="C944" s="10"/>
      <c r="D944" s="10"/>
      <c r="F944" s="10"/>
      <c r="G944" s="10"/>
      <c r="H944" s="10"/>
      <c r="I944" s="10"/>
      <c r="J944" s="10"/>
    </row>
    <row r="945" spans="2:10" ht="33" customHeight="1" x14ac:dyDescent="0.3">
      <c r="B945" s="10"/>
      <c r="C945" s="10"/>
      <c r="D945" s="10"/>
      <c r="F945" s="10"/>
      <c r="G945" s="10"/>
      <c r="H945" s="10"/>
      <c r="I945" s="10"/>
      <c r="J945" s="10"/>
    </row>
    <row r="946" spans="2:10" ht="33" customHeight="1" x14ac:dyDescent="0.3">
      <c r="B946" s="10"/>
      <c r="C946" s="10"/>
      <c r="D946" s="10"/>
      <c r="F946" s="10"/>
      <c r="G946" s="10"/>
      <c r="H946" s="10"/>
      <c r="I946" s="10"/>
      <c r="J946" s="10"/>
    </row>
    <row r="947" spans="2:10" ht="33" customHeight="1" x14ac:dyDescent="0.3">
      <c r="B947" s="10"/>
      <c r="C947" s="10"/>
      <c r="D947" s="10"/>
      <c r="F947" s="10"/>
      <c r="G947" s="10"/>
      <c r="H947" s="10"/>
      <c r="I947" s="10"/>
      <c r="J947" s="10"/>
    </row>
    <row r="948" spans="2:10" ht="33" customHeight="1" x14ac:dyDescent="0.3">
      <c r="B948" s="10"/>
      <c r="C948" s="10"/>
      <c r="D948" s="10"/>
      <c r="F948" s="10"/>
      <c r="G948" s="10"/>
      <c r="H948" s="10"/>
      <c r="I948" s="10"/>
      <c r="J948" s="10"/>
    </row>
    <row r="949" spans="2:10" ht="33" customHeight="1" x14ac:dyDescent="0.3">
      <c r="B949" s="10"/>
      <c r="C949" s="10"/>
      <c r="D949" s="10"/>
      <c r="F949" s="10"/>
      <c r="G949" s="10"/>
      <c r="H949" s="10"/>
      <c r="I949" s="10"/>
      <c r="J949" s="10"/>
    </row>
    <row r="950" spans="2:10" ht="33" customHeight="1" x14ac:dyDescent="0.3">
      <c r="B950" s="10"/>
      <c r="C950" s="10"/>
      <c r="D950" s="10"/>
      <c r="F950" s="10"/>
      <c r="G950" s="10"/>
      <c r="H950" s="10"/>
      <c r="I950" s="10"/>
      <c r="J950" s="10"/>
    </row>
    <row r="951" spans="2:10" ht="33" customHeight="1" x14ac:dyDescent="0.3">
      <c r="B951" s="10"/>
      <c r="C951" s="10"/>
      <c r="D951" s="10"/>
      <c r="F951" s="10"/>
      <c r="G951" s="10"/>
      <c r="H951" s="10"/>
      <c r="I951" s="10"/>
      <c r="J951" s="10"/>
    </row>
    <row r="952" spans="2:10" ht="33" customHeight="1" x14ac:dyDescent="0.3">
      <c r="B952" s="10"/>
      <c r="C952" s="10"/>
      <c r="D952" s="10"/>
      <c r="F952" s="10"/>
      <c r="G952" s="10"/>
      <c r="H952" s="10"/>
      <c r="I952" s="10"/>
      <c r="J952" s="10"/>
    </row>
    <row r="953" spans="2:10" ht="33" customHeight="1" x14ac:dyDescent="0.3">
      <c r="B953" s="10"/>
      <c r="C953" s="10"/>
      <c r="D953" s="10"/>
      <c r="F953" s="10"/>
      <c r="G953" s="10"/>
      <c r="H953" s="10"/>
      <c r="I953" s="10"/>
      <c r="J953" s="10"/>
    </row>
    <row r="954" spans="2:10" ht="33" customHeight="1" x14ac:dyDescent="0.3">
      <c r="B954" s="10"/>
      <c r="C954" s="10"/>
      <c r="D954" s="10"/>
      <c r="F954" s="10"/>
      <c r="G954" s="10"/>
      <c r="H954" s="10"/>
      <c r="I954" s="10"/>
      <c r="J954" s="10"/>
    </row>
    <row r="955" spans="2:10" ht="33" customHeight="1" x14ac:dyDescent="0.3">
      <c r="B955" s="10"/>
      <c r="C955" s="10"/>
      <c r="D955" s="10"/>
      <c r="F955" s="10"/>
      <c r="G955" s="10"/>
      <c r="H955" s="10"/>
      <c r="I955" s="10"/>
      <c r="J955" s="10"/>
    </row>
    <row r="956" spans="2:10" ht="33" customHeight="1" x14ac:dyDescent="0.3">
      <c r="B956" s="10"/>
      <c r="C956" s="10"/>
      <c r="D956" s="10"/>
      <c r="F956" s="10"/>
      <c r="G956" s="10"/>
      <c r="H956" s="10"/>
      <c r="I956" s="10"/>
      <c r="J956" s="10"/>
    </row>
    <row r="957" spans="2:10" ht="33" customHeight="1" x14ac:dyDescent="0.3">
      <c r="B957" s="10"/>
      <c r="C957" s="10"/>
      <c r="D957" s="10"/>
      <c r="F957" s="10"/>
      <c r="G957" s="10"/>
      <c r="H957" s="10"/>
      <c r="I957" s="10"/>
      <c r="J957" s="10"/>
    </row>
    <row r="958" spans="2:10" ht="33" customHeight="1" x14ac:dyDescent="0.3">
      <c r="B958" s="10"/>
      <c r="C958" s="10"/>
      <c r="D958" s="10"/>
      <c r="F958" s="10"/>
      <c r="G958" s="10"/>
      <c r="H958" s="10"/>
      <c r="I958" s="10"/>
      <c r="J958" s="10"/>
    </row>
    <row r="959" spans="2:10" ht="33" customHeight="1" x14ac:dyDescent="0.3">
      <c r="B959" s="10"/>
      <c r="C959" s="10"/>
      <c r="D959" s="10"/>
      <c r="F959" s="10"/>
      <c r="G959" s="10"/>
      <c r="H959" s="10"/>
      <c r="I959" s="10"/>
      <c r="J959" s="10"/>
    </row>
    <row r="960" spans="2:10" ht="33" customHeight="1" x14ac:dyDescent="0.3">
      <c r="B960" s="10"/>
      <c r="C960" s="10"/>
      <c r="D960" s="10"/>
      <c r="F960" s="10"/>
      <c r="G960" s="10"/>
      <c r="H960" s="10"/>
      <c r="I960" s="10"/>
      <c r="J960" s="10"/>
    </row>
    <row r="961" spans="2:10" ht="33" customHeight="1" x14ac:dyDescent="0.3">
      <c r="B961" s="10"/>
      <c r="C961" s="10"/>
      <c r="D961" s="10"/>
      <c r="F961" s="10"/>
      <c r="G961" s="10"/>
      <c r="H961" s="10"/>
      <c r="I961" s="10"/>
      <c r="J961" s="10"/>
    </row>
    <row r="962" spans="2:10" ht="33" customHeight="1" x14ac:dyDescent="0.3">
      <c r="B962" s="10"/>
      <c r="C962" s="10"/>
      <c r="D962" s="10"/>
      <c r="F962" s="10"/>
      <c r="G962" s="10"/>
      <c r="H962" s="10"/>
      <c r="I962" s="10"/>
      <c r="J962" s="10"/>
    </row>
    <row r="963" spans="2:10" ht="33" customHeight="1" x14ac:dyDescent="0.3">
      <c r="B963" s="10"/>
      <c r="C963" s="10"/>
      <c r="D963" s="10"/>
      <c r="F963" s="10"/>
      <c r="G963" s="10"/>
      <c r="H963" s="10"/>
      <c r="I963" s="10"/>
      <c r="J963" s="10"/>
    </row>
    <row r="964" spans="2:10" ht="33" customHeight="1" x14ac:dyDescent="0.3">
      <c r="B964" s="10"/>
      <c r="C964" s="10"/>
      <c r="D964" s="10"/>
      <c r="F964" s="10"/>
      <c r="G964" s="10"/>
      <c r="H964" s="10"/>
      <c r="I964" s="10"/>
      <c r="J964" s="10"/>
    </row>
    <row r="965" spans="2:10" ht="33" customHeight="1" x14ac:dyDescent="0.3">
      <c r="B965" s="10"/>
      <c r="C965" s="10"/>
      <c r="D965" s="10"/>
      <c r="F965" s="10"/>
      <c r="G965" s="10"/>
      <c r="H965" s="10"/>
      <c r="I965" s="10"/>
      <c r="J965" s="10"/>
    </row>
    <row r="966" spans="2:10" ht="33" customHeight="1" x14ac:dyDescent="0.3">
      <c r="B966" s="10"/>
      <c r="C966" s="10"/>
      <c r="D966" s="10"/>
      <c r="F966" s="10"/>
      <c r="G966" s="10"/>
      <c r="H966" s="10"/>
      <c r="I966" s="10"/>
      <c r="J966" s="10"/>
    </row>
    <row r="967" spans="2:10" ht="33" customHeight="1" x14ac:dyDescent="0.3">
      <c r="B967" s="10"/>
      <c r="C967" s="10"/>
      <c r="D967" s="10"/>
      <c r="F967" s="10"/>
      <c r="G967" s="10"/>
      <c r="H967" s="10"/>
      <c r="I967" s="10"/>
      <c r="J967" s="10"/>
    </row>
    <row r="968" spans="2:10" ht="33" customHeight="1" x14ac:dyDescent="0.3">
      <c r="B968" s="10"/>
      <c r="C968" s="10"/>
      <c r="D968" s="10"/>
      <c r="F968" s="10"/>
      <c r="G968" s="10"/>
      <c r="H968" s="10"/>
      <c r="I968" s="10"/>
      <c r="J968" s="10"/>
    </row>
    <row r="969" spans="2:10" ht="33" customHeight="1" x14ac:dyDescent="0.3">
      <c r="B969" s="10"/>
      <c r="C969" s="10"/>
      <c r="D969" s="10"/>
      <c r="F969" s="10"/>
      <c r="G969" s="10"/>
      <c r="H969" s="10"/>
      <c r="I969" s="10"/>
      <c r="J969" s="10"/>
    </row>
    <row r="970" spans="2:10" ht="33" customHeight="1" x14ac:dyDescent="0.3">
      <c r="B970" s="10"/>
      <c r="C970" s="10"/>
      <c r="D970" s="10"/>
      <c r="F970" s="10"/>
      <c r="G970" s="10"/>
      <c r="H970" s="10"/>
      <c r="I970" s="10"/>
      <c r="J970" s="10"/>
    </row>
    <row r="971" spans="2:10" ht="33" customHeight="1" x14ac:dyDescent="0.3">
      <c r="B971" s="10"/>
      <c r="C971" s="10"/>
      <c r="D971" s="10"/>
      <c r="F971" s="10"/>
      <c r="G971" s="10"/>
      <c r="H971" s="10"/>
      <c r="I971" s="10"/>
      <c r="J971" s="10"/>
    </row>
    <row r="972" spans="2:10" ht="33" customHeight="1" x14ac:dyDescent="0.3">
      <c r="B972" s="10"/>
      <c r="C972" s="10"/>
      <c r="D972" s="10"/>
      <c r="F972" s="10"/>
      <c r="G972" s="10"/>
      <c r="H972" s="10"/>
      <c r="I972" s="10"/>
      <c r="J972" s="10"/>
    </row>
    <row r="973" spans="2:10" ht="33" customHeight="1" x14ac:dyDescent="0.3">
      <c r="B973" s="10"/>
      <c r="C973" s="10"/>
      <c r="D973" s="10"/>
      <c r="F973" s="10"/>
      <c r="G973" s="10"/>
      <c r="H973" s="10"/>
      <c r="I973" s="10"/>
      <c r="J973" s="10"/>
    </row>
    <row r="974" spans="2:10" ht="33" customHeight="1" x14ac:dyDescent="0.3">
      <c r="B974" s="10"/>
      <c r="C974" s="10"/>
      <c r="D974" s="10"/>
      <c r="F974" s="10"/>
      <c r="G974" s="10"/>
      <c r="H974" s="10"/>
      <c r="I974" s="10"/>
      <c r="J974" s="10"/>
    </row>
    <row r="975" spans="2:10" ht="33" customHeight="1" x14ac:dyDescent="0.3">
      <c r="B975" s="10"/>
      <c r="C975" s="10"/>
      <c r="D975" s="10"/>
      <c r="F975" s="10"/>
      <c r="G975" s="10"/>
      <c r="H975" s="10"/>
      <c r="I975" s="10"/>
      <c r="J975" s="10"/>
    </row>
    <row r="976" spans="2:10" ht="33" customHeight="1" x14ac:dyDescent="0.3">
      <c r="B976" s="10"/>
      <c r="C976" s="10"/>
      <c r="D976" s="10"/>
      <c r="F976" s="10"/>
      <c r="G976" s="10"/>
      <c r="H976" s="10"/>
      <c r="I976" s="10"/>
      <c r="J976" s="10"/>
    </row>
    <row r="977" spans="2:10" ht="33" customHeight="1" x14ac:dyDescent="0.3">
      <c r="B977" s="10"/>
      <c r="C977" s="10"/>
      <c r="D977" s="10"/>
      <c r="F977" s="10"/>
      <c r="G977" s="10"/>
      <c r="H977" s="10"/>
      <c r="I977" s="10"/>
      <c r="J977" s="10"/>
    </row>
    <row r="978" spans="2:10" ht="33" customHeight="1" x14ac:dyDescent="0.3">
      <c r="B978" s="10"/>
      <c r="C978" s="10"/>
      <c r="D978" s="10"/>
      <c r="F978" s="10"/>
      <c r="G978" s="10"/>
      <c r="H978" s="10"/>
      <c r="I978" s="10"/>
      <c r="J978" s="10"/>
    </row>
    <row r="979" spans="2:10" ht="33" customHeight="1" x14ac:dyDescent="0.3">
      <c r="B979" s="10"/>
      <c r="C979" s="10"/>
      <c r="D979" s="10"/>
      <c r="F979" s="10"/>
      <c r="G979" s="10"/>
      <c r="H979" s="10"/>
      <c r="I979" s="10"/>
      <c r="J979" s="10"/>
    </row>
    <row r="980" spans="2:10" ht="33" customHeight="1" x14ac:dyDescent="0.3">
      <c r="B980" s="10"/>
      <c r="C980" s="10"/>
      <c r="D980" s="10"/>
      <c r="F980" s="10"/>
      <c r="G980" s="10"/>
      <c r="H980" s="10"/>
      <c r="I980" s="10"/>
      <c r="J980" s="10"/>
    </row>
    <row r="981" spans="2:10" ht="33" customHeight="1" x14ac:dyDescent="0.3">
      <c r="B981" s="10"/>
      <c r="C981" s="10"/>
      <c r="D981" s="10"/>
      <c r="F981" s="10"/>
      <c r="G981" s="10"/>
      <c r="H981" s="10"/>
      <c r="I981" s="10"/>
      <c r="J981" s="10"/>
    </row>
    <row r="982" spans="2:10" ht="33" customHeight="1" x14ac:dyDescent="0.3">
      <c r="B982" s="10"/>
      <c r="C982" s="10"/>
      <c r="D982" s="10"/>
      <c r="F982" s="10"/>
      <c r="G982" s="10"/>
      <c r="H982" s="10"/>
      <c r="I982" s="10"/>
      <c r="J982" s="10"/>
    </row>
    <row r="983" spans="2:10" ht="33" customHeight="1" x14ac:dyDescent="0.3">
      <c r="B983" s="10"/>
      <c r="C983" s="10"/>
      <c r="D983" s="10"/>
      <c r="F983" s="10"/>
      <c r="G983" s="10"/>
      <c r="H983" s="10"/>
      <c r="I983" s="10"/>
      <c r="J983" s="10"/>
    </row>
    <row r="984" spans="2:10" ht="33" customHeight="1" x14ac:dyDescent="0.3">
      <c r="B984" s="10"/>
      <c r="C984" s="10"/>
      <c r="D984" s="10"/>
      <c r="F984" s="10"/>
      <c r="G984" s="10"/>
      <c r="H984" s="10"/>
      <c r="I984" s="10"/>
      <c r="J984" s="10"/>
    </row>
    <row r="985" spans="2:10" ht="33" customHeight="1" x14ac:dyDescent="0.3">
      <c r="B985" s="10"/>
      <c r="C985" s="10"/>
      <c r="D985" s="10"/>
      <c r="F985" s="10"/>
      <c r="G985" s="10"/>
      <c r="H985" s="10"/>
      <c r="I985" s="10"/>
      <c r="J985" s="10"/>
    </row>
    <row r="986" spans="2:10" ht="33" customHeight="1" x14ac:dyDescent="0.3">
      <c r="B986" s="10"/>
      <c r="C986" s="10"/>
      <c r="D986" s="10"/>
      <c r="F986" s="10"/>
      <c r="G986" s="10"/>
      <c r="H986" s="10"/>
      <c r="I986" s="10"/>
      <c r="J986" s="10"/>
    </row>
    <row r="987" spans="2:10" ht="33" customHeight="1" x14ac:dyDescent="0.3">
      <c r="B987" s="10"/>
      <c r="C987" s="10"/>
      <c r="D987" s="10"/>
      <c r="F987" s="10"/>
      <c r="G987" s="10"/>
      <c r="H987" s="10"/>
      <c r="I987" s="10"/>
      <c r="J987" s="10"/>
    </row>
    <row r="988" spans="2:10" ht="33" customHeight="1" x14ac:dyDescent="0.3">
      <c r="B988" s="10"/>
      <c r="C988" s="10"/>
      <c r="D988" s="10"/>
      <c r="F988" s="10"/>
      <c r="G988" s="10"/>
      <c r="H988" s="10"/>
      <c r="I988" s="10"/>
      <c r="J988" s="10"/>
    </row>
    <row r="989" spans="2:10" ht="33" customHeight="1" x14ac:dyDescent="0.3">
      <c r="B989" s="10"/>
      <c r="C989" s="10"/>
      <c r="D989" s="10"/>
      <c r="F989" s="10"/>
      <c r="G989" s="10"/>
      <c r="H989" s="10"/>
      <c r="I989" s="10"/>
      <c r="J989" s="10"/>
    </row>
    <row r="990" spans="2:10" ht="33" customHeight="1" x14ac:dyDescent="0.3">
      <c r="B990" s="10"/>
      <c r="C990" s="10"/>
      <c r="D990" s="10"/>
      <c r="F990" s="10"/>
      <c r="G990" s="10"/>
      <c r="H990" s="10"/>
      <c r="I990" s="10"/>
      <c r="J990" s="10"/>
    </row>
    <row r="991" spans="2:10" ht="33" customHeight="1" x14ac:dyDescent="0.3">
      <c r="B991" s="10"/>
      <c r="C991" s="10"/>
      <c r="D991" s="10"/>
      <c r="F991" s="10"/>
      <c r="G991" s="10"/>
      <c r="H991" s="10"/>
      <c r="I991" s="10"/>
      <c r="J991" s="10"/>
    </row>
    <row r="992" spans="2:10" ht="33" customHeight="1" x14ac:dyDescent="0.3">
      <c r="B992" s="10"/>
      <c r="C992" s="10"/>
      <c r="D992" s="10"/>
      <c r="F992" s="10"/>
      <c r="G992" s="10"/>
      <c r="H992" s="10"/>
      <c r="I992" s="10"/>
      <c r="J992" s="10"/>
    </row>
    <row r="993" spans="2:10" ht="33" customHeight="1" x14ac:dyDescent="0.3">
      <c r="B993" s="10"/>
      <c r="C993" s="10"/>
      <c r="D993" s="10"/>
      <c r="F993" s="10"/>
      <c r="G993" s="10"/>
      <c r="H993" s="10"/>
      <c r="I993" s="10"/>
      <c r="J993" s="10"/>
    </row>
    <row r="994" spans="2:10" ht="33" customHeight="1" x14ac:dyDescent="0.3">
      <c r="B994" s="10"/>
      <c r="C994" s="10"/>
      <c r="D994" s="10"/>
      <c r="F994" s="10"/>
      <c r="G994" s="10"/>
      <c r="H994" s="10"/>
      <c r="I994" s="10"/>
      <c r="J994" s="10"/>
    </row>
    <row r="995" spans="2:10" ht="33" customHeight="1" x14ac:dyDescent="0.3">
      <c r="B995" s="10"/>
      <c r="C995" s="10"/>
      <c r="D995" s="10"/>
      <c r="F995" s="10"/>
      <c r="G995" s="10"/>
      <c r="H995" s="10"/>
      <c r="I995" s="10"/>
      <c r="J995" s="10"/>
    </row>
    <row r="996" spans="2:10" ht="33" customHeight="1" x14ac:dyDescent="0.3">
      <c r="B996" s="10"/>
      <c r="C996" s="10"/>
      <c r="D996" s="10"/>
      <c r="F996" s="10"/>
      <c r="G996" s="10"/>
      <c r="H996" s="10"/>
      <c r="I996" s="10"/>
      <c r="J996" s="10"/>
    </row>
    <row r="997" spans="2:10" ht="33" customHeight="1" x14ac:dyDescent="0.3">
      <c r="B997" s="10"/>
      <c r="C997" s="10"/>
      <c r="D997" s="10"/>
      <c r="F997" s="10"/>
      <c r="G997" s="10"/>
      <c r="H997" s="10"/>
      <c r="I997" s="10"/>
      <c r="J997" s="10"/>
    </row>
    <row r="998" spans="2:10" ht="33" customHeight="1" x14ac:dyDescent="0.3">
      <c r="B998" s="10"/>
      <c r="C998" s="10"/>
      <c r="D998" s="10"/>
      <c r="F998" s="10"/>
      <c r="G998" s="10"/>
      <c r="H998" s="10"/>
      <c r="I998" s="10"/>
      <c r="J998" s="10"/>
    </row>
    <row r="999" spans="2:10" ht="33" customHeight="1" x14ac:dyDescent="0.3">
      <c r="B999" s="10"/>
      <c r="C999" s="10"/>
      <c r="D999" s="10"/>
      <c r="F999" s="10"/>
      <c r="G999" s="10"/>
      <c r="H999" s="10"/>
      <c r="I999" s="10"/>
      <c r="J999" s="10"/>
    </row>
    <row r="1000" spans="2:10" ht="33" customHeight="1" x14ac:dyDescent="0.3">
      <c r="B1000" s="10"/>
      <c r="C1000" s="10"/>
      <c r="D1000" s="10"/>
      <c r="F1000" s="10"/>
      <c r="G1000" s="10"/>
      <c r="H1000" s="10"/>
      <c r="I1000" s="10"/>
      <c r="J1000" s="10"/>
    </row>
    <row r="1001" spans="2:10" ht="33" customHeight="1" x14ac:dyDescent="0.3">
      <c r="B1001" s="10"/>
      <c r="C1001" s="10"/>
      <c r="D1001" s="10"/>
      <c r="F1001" s="10"/>
      <c r="G1001" s="10"/>
      <c r="H1001" s="10"/>
      <c r="I1001" s="10"/>
      <c r="J1001" s="10"/>
    </row>
    <row r="1002" spans="2:10" ht="33" customHeight="1" x14ac:dyDescent="0.3">
      <c r="B1002" s="10"/>
      <c r="C1002" s="10"/>
      <c r="D1002" s="10"/>
      <c r="F1002" s="10"/>
      <c r="G1002" s="10"/>
      <c r="H1002" s="10"/>
      <c r="I1002" s="10"/>
      <c r="J1002" s="10"/>
    </row>
    <row r="1003" spans="2:10" ht="33" customHeight="1" x14ac:dyDescent="0.3">
      <c r="B1003" s="10"/>
      <c r="C1003" s="10"/>
      <c r="D1003" s="10"/>
      <c r="F1003" s="10"/>
      <c r="G1003" s="10"/>
      <c r="H1003" s="10"/>
      <c r="I1003" s="10"/>
      <c r="J1003" s="10"/>
    </row>
    <row r="1004" spans="2:10" ht="33" customHeight="1" x14ac:dyDescent="0.3">
      <c r="B1004" s="10"/>
      <c r="C1004" s="10"/>
      <c r="D1004" s="10"/>
      <c r="F1004" s="10"/>
      <c r="G1004" s="10"/>
      <c r="H1004" s="10"/>
      <c r="I1004" s="10"/>
      <c r="J1004" s="10"/>
    </row>
    <row r="1005" spans="2:10" ht="33" customHeight="1" x14ac:dyDescent="0.3">
      <c r="B1005" s="10"/>
      <c r="C1005" s="10"/>
      <c r="D1005" s="10"/>
      <c r="F1005" s="10"/>
      <c r="G1005" s="10"/>
      <c r="H1005" s="10"/>
      <c r="I1005" s="10"/>
      <c r="J1005" s="10"/>
    </row>
    <row r="1006" spans="2:10" ht="33" customHeight="1" x14ac:dyDescent="0.3">
      <c r="B1006" s="10"/>
      <c r="C1006" s="10"/>
      <c r="D1006" s="10"/>
      <c r="F1006" s="10"/>
      <c r="G1006" s="10"/>
      <c r="H1006" s="10"/>
      <c r="I1006" s="10"/>
      <c r="J1006" s="10"/>
    </row>
    <row r="1007" spans="2:10" ht="33" customHeight="1" x14ac:dyDescent="0.3">
      <c r="B1007" s="10"/>
      <c r="C1007" s="10"/>
      <c r="D1007" s="10"/>
      <c r="F1007" s="10"/>
      <c r="G1007" s="10"/>
      <c r="H1007" s="10"/>
      <c r="I1007" s="10"/>
      <c r="J1007" s="10"/>
    </row>
    <row r="1008" spans="2:10" ht="33" customHeight="1" x14ac:dyDescent="0.3">
      <c r="B1008" s="10"/>
      <c r="C1008" s="10"/>
      <c r="D1008" s="10"/>
      <c r="F1008" s="10"/>
      <c r="G1008" s="10"/>
      <c r="H1008" s="10"/>
      <c r="I1008" s="10"/>
      <c r="J1008" s="10"/>
    </row>
    <row r="1009" spans="2:10" ht="33" customHeight="1" x14ac:dyDescent="0.3">
      <c r="B1009" s="10"/>
      <c r="C1009" s="10"/>
      <c r="D1009" s="10"/>
      <c r="F1009" s="10"/>
      <c r="G1009" s="10"/>
      <c r="H1009" s="10"/>
      <c r="I1009" s="10"/>
      <c r="J1009" s="10"/>
    </row>
    <row r="1010" spans="2:10" ht="33" customHeight="1" x14ac:dyDescent="0.3">
      <c r="B1010" s="10"/>
      <c r="C1010" s="10"/>
      <c r="D1010" s="10"/>
      <c r="F1010" s="10"/>
      <c r="G1010" s="10"/>
      <c r="H1010" s="10"/>
      <c r="I1010" s="10"/>
      <c r="J1010" s="10"/>
    </row>
    <row r="1011" spans="2:10" ht="33" customHeight="1" x14ac:dyDescent="0.3">
      <c r="B1011" s="10"/>
      <c r="C1011" s="10"/>
      <c r="D1011" s="10"/>
      <c r="F1011" s="10"/>
      <c r="G1011" s="10"/>
      <c r="H1011" s="10"/>
      <c r="I1011" s="10"/>
      <c r="J1011" s="10"/>
    </row>
    <row r="1012" spans="2:10" ht="33" customHeight="1" x14ac:dyDescent="0.3">
      <c r="B1012" s="10"/>
      <c r="C1012" s="10"/>
      <c r="D1012" s="10"/>
      <c r="F1012" s="10"/>
      <c r="G1012" s="10"/>
      <c r="H1012" s="10"/>
      <c r="I1012" s="10"/>
      <c r="J1012" s="10"/>
    </row>
    <row r="1013" spans="2:10" ht="33" customHeight="1" x14ac:dyDescent="0.3">
      <c r="B1013" s="10"/>
      <c r="C1013" s="10"/>
      <c r="D1013" s="10"/>
      <c r="F1013" s="10"/>
      <c r="G1013" s="10"/>
      <c r="H1013" s="10"/>
      <c r="I1013" s="10"/>
      <c r="J1013" s="10"/>
    </row>
    <row r="1014" spans="2:10" ht="33" customHeight="1" x14ac:dyDescent="0.3">
      <c r="B1014" s="10"/>
      <c r="C1014" s="10"/>
      <c r="D1014" s="10"/>
      <c r="F1014" s="10"/>
      <c r="G1014" s="10"/>
      <c r="H1014" s="10"/>
      <c r="I1014" s="10"/>
      <c r="J1014" s="10"/>
    </row>
    <row r="1015" spans="2:10" ht="33" customHeight="1" x14ac:dyDescent="0.3">
      <c r="B1015" s="10"/>
      <c r="C1015" s="10"/>
      <c r="D1015" s="10"/>
      <c r="F1015" s="10"/>
      <c r="G1015" s="10"/>
      <c r="H1015" s="10"/>
      <c r="I1015" s="10"/>
      <c r="J1015" s="10"/>
    </row>
    <row r="1016" spans="2:10" ht="33" customHeight="1" x14ac:dyDescent="0.3">
      <c r="B1016" s="10"/>
      <c r="C1016" s="10"/>
      <c r="D1016" s="10"/>
      <c r="F1016" s="10"/>
      <c r="G1016" s="10"/>
      <c r="H1016" s="10"/>
      <c r="I1016" s="10"/>
      <c r="J1016" s="10"/>
    </row>
    <row r="1017" spans="2:10" ht="33" customHeight="1" x14ac:dyDescent="0.3">
      <c r="B1017" s="10"/>
      <c r="C1017" s="10"/>
      <c r="D1017" s="10"/>
      <c r="F1017" s="10"/>
      <c r="G1017" s="10"/>
      <c r="H1017" s="10"/>
      <c r="I1017" s="10"/>
      <c r="J1017" s="10"/>
    </row>
    <row r="1018" spans="2:10" ht="33" customHeight="1" x14ac:dyDescent="0.3">
      <c r="B1018" s="10"/>
      <c r="C1018" s="10"/>
      <c r="D1018" s="10"/>
      <c r="F1018" s="10"/>
      <c r="G1018" s="10"/>
      <c r="H1018" s="10"/>
      <c r="I1018" s="10"/>
      <c r="J1018" s="10"/>
    </row>
    <row r="1019" spans="2:10" ht="33" customHeight="1" x14ac:dyDescent="0.3">
      <c r="B1019" s="10"/>
      <c r="C1019" s="10"/>
      <c r="D1019" s="10"/>
      <c r="F1019" s="10"/>
      <c r="G1019" s="10"/>
      <c r="H1019" s="10"/>
      <c r="I1019" s="10"/>
      <c r="J1019" s="10"/>
    </row>
    <row r="1020" spans="2:10" ht="33" customHeight="1" x14ac:dyDescent="0.3">
      <c r="B1020" s="10"/>
      <c r="C1020" s="10"/>
      <c r="D1020" s="10"/>
      <c r="F1020" s="10"/>
      <c r="G1020" s="10"/>
      <c r="H1020" s="10"/>
      <c r="I1020" s="10"/>
      <c r="J1020" s="10"/>
    </row>
    <row r="1021" spans="2:10" ht="33" customHeight="1" x14ac:dyDescent="0.3">
      <c r="B1021" s="10"/>
      <c r="C1021" s="10"/>
      <c r="D1021" s="10"/>
      <c r="F1021" s="10"/>
      <c r="G1021" s="10"/>
      <c r="H1021" s="10"/>
      <c r="I1021" s="10"/>
      <c r="J1021" s="10"/>
    </row>
    <row r="1022" spans="2:10" ht="33" customHeight="1" x14ac:dyDescent="0.3">
      <c r="B1022" s="10"/>
      <c r="C1022" s="10"/>
      <c r="D1022" s="10"/>
      <c r="F1022" s="10"/>
      <c r="G1022" s="10"/>
      <c r="H1022" s="10"/>
      <c r="I1022" s="10"/>
      <c r="J1022" s="10"/>
    </row>
    <row r="1023" spans="2:10" ht="33" customHeight="1" x14ac:dyDescent="0.3">
      <c r="B1023" s="10"/>
      <c r="C1023" s="10"/>
      <c r="D1023" s="10"/>
      <c r="F1023" s="10"/>
      <c r="G1023" s="10"/>
      <c r="H1023" s="10"/>
      <c r="I1023" s="10"/>
      <c r="J1023" s="10"/>
    </row>
    <row r="1024" spans="2:10" ht="33" customHeight="1" x14ac:dyDescent="0.3">
      <c r="B1024" s="10"/>
      <c r="C1024" s="10"/>
      <c r="D1024" s="10"/>
      <c r="F1024" s="10"/>
      <c r="G1024" s="10"/>
      <c r="H1024" s="10"/>
      <c r="I1024" s="10"/>
      <c r="J1024" s="10"/>
    </row>
    <row r="1025" spans="2:10" ht="33" customHeight="1" x14ac:dyDescent="0.3">
      <c r="B1025" s="10"/>
      <c r="C1025" s="10"/>
      <c r="D1025" s="10"/>
      <c r="F1025" s="10"/>
      <c r="G1025" s="10"/>
      <c r="H1025" s="10"/>
      <c r="I1025" s="10"/>
      <c r="J1025" s="10"/>
    </row>
    <row r="1026" spans="2:10" ht="33" customHeight="1" x14ac:dyDescent="0.3">
      <c r="B1026" s="10"/>
      <c r="C1026" s="10"/>
      <c r="D1026" s="10"/>
      <c r="F1026" s="10"/>
      <c r="G1026" s="10"/>
      <c r="H1026" s="10"/>
      <c r="I1026" s="10"/>
      <c r="J1026" s="10"/>
    </row>
    <row r="1027" spans="2:10" ht="33" customHeight="1" x14ac:dyDescent="0.3">
      <c r="B1027" s="10"/>
      <c r="C1027" s="10"/>
      <c r="D1027" s="10"/>
      <c r="F1027" s="10"/>
      <c r="G1027" s="10"/>
      <c r="H1027" s="10"/>
      <c r="I1027" s="10"/>
      <c r="J1027" s="10"/>
    </row>
    <row r="1028" spans="2:10" ht="33" customHeight="1" x14ac:dyDescent="0.3">
      <c r="B1028" s="10"/>
      <c r="C1028" s="10"/>
      <c r="D1028" s="10"/>
      <c r="F1028" s="10"/>
      <c r="G1028" s="10"/>
      <c r="H1028" s="10"/>
      <c r="I1028" s="10"/>
      <c r="J1028" s="10"/>
    </row>
    <row r="1029" spans="2:10" ht="33" customHeight="1" x14ac:dyDescent="0.3">
      <c r="B1029" s="10"/>
      <c r="C1029" s="10"/>
      <c r="D1029" s="10"/>
      <c r="F1029" s="10"/>
      <c r="G1029" s="10"/>
      <c r="H1029" s="10"/>
      <c r="I1029" s="10"/>
      <c r="J1029" s="10"/>
    </row>
    <row r="1030" spans="2:10" ht="33" customHeight="1" x14ac:dyDescent="0.3">
      <c r="B1030" s="10"/>
      <c r="C1030" s="10"/>
      <c r="D1030" s="10"/>
      <c r="F1030" s="10"/>
      <c r="G1030" s="10"/>
      <c r="H1030" s="10"/>
      <c r="I1030" s="10"/>
      <c r="J1030" s="10"/>
    </row>
    <row r="1031" spans="2:10" ht="33" customHeight="1" x14ac:dyDescent="0.3">
      <c r="B1031" s="10"/>
      <c r="C1031" s="10"/>
      <c r="D1031" s="10"/>
      <c r="F1031" s="10"/>
      <c r="G1031" s="10"/>
      <c r="H1031" s="10"/>
      <c r="I1031" s="10"/>
      <c r="J1031" s="10"/>
    </row>
    <row r="1032" spans="2:10" ht="33" customHeight="1" x14ac:dyDescent="0.3">
      <c r="B1032" s="10"/>
      <c r="C1032" s="10"/>
      <c r="D1032" s="10"/>
      <c r="F1032" s="10"/>
      <c r="G1032" s="10"/>
      <c r="H1032" s="10"/>
      <c r="I1032" s="10"/>
      <c r="J1032" s="10"/>
    </row>
    <row r="1033" spans="2:10" ht="33" customHeight="1" x14ac:dyDescent="0.3">
      <c r="B1033" s="10"/>
      <c r="C1033" s="10"/>
      <c r="D1033" s="10"/>
      <c r="F1033" s="10"/>
      <c r="G1033" s="10"/>
      <c r="H1033" s="10"/>
      <c r="I1033" s="10"/>
      <c r="J1033" s="10"/>
    </row>
    <row r="1034" spans="2:10" ht="33" customHeight="1" x14ac:dyDescent="0.3">
      <c r="B1034" s="10"/>
      <c r="C1034" s="10"/>
      <c r="D1034" s="10"/>
      <c r="F1034" s="10"/>
      <c r="G1034" s="10"/>
      <c r="H1034" s="10"/>
      <c r="I1034" s="10"/>
      <c r="J1034" s="10"/>
    </row>
    <row r="1035" spans="2:10" ht="33" customHeight="1" x14ac:dyDescent="0.3">
      <c r="B1035" s="10"/>
      <c r="C1035" s="10"/>
      <c r="D1035" s="10"/>
      <c r="F1035" s="10"/>
      <c r="G1035" s="10"/>
      <c r="H1035" s="10"/>
      <c r="I1035" s="10"/>
      <c r="J1035" s="10"/>
    </row>
    <row r="1036" spans="2:10" ht="33" customHeight="1" x14ac:dyDescent="0.3">
      <c r="B1036" s="10"/>
      <c r="C1036" s="10"/>
      <c r="D1036" s="10"/>
      <c r="F1036" s="10"/>
      <c r="G1036" s="10"/>
      <c r="H1036" s="10"/>
      <c r="I1036" s="10"/>
      <c r="J1036" s="10"/>
    </row>
    <row r="1037" spans="2:10" ht="33" customHeight="1" x14ac:dyDescent="0.3">
      <c r="B1037" s="10"/>
      <c r="C1037" s="10"/>
      <c r="D1037" s="10"/>
      <c r="F1037" s="10"/>
      <c r="G1037" s="10"/>
      <c r="H1037" s="10"/>
      <c r="I1037" s="10"/>
      <c r="J1037" s="10"/>
    </row>
    <row r="1038" spans="2:10" ht="33" customHeight="1" x14ac:dyDescent="0.3">
      <c r="B1038" s="10"/>
      <c r="C1038" s="10"/>
      <c r="D1038" s="10"/>
      <c r="F1038" s="10"/>
      <c r="G1038" s="10"/>
      <c r="H1038" s="10"/>
      <c r="I1038" s="10"/>
      <c r="J1038" s="10"/>
    </row>
    <row r="1039" spans="2:10" ht="33" customHeight="1" x14ac:dyDescent="0.3">
      <c r="B1039" s="10"/>
      <c r="C1039" s="10"/>
      <c r="D1039" s="10"/>
      <c r="F1039" s="10"/>
      <c r="G1039" s="10"/>
      <c r="H1039" s="10"/>
      <c r="I1039" s="10"/>
      <c r="J1039" s="10"/>
    </row>
    <row r="1040" spans="2:10" ht="33" customHeight="1" x14ac:dyDescent="0.3">
      <c r="B1040" s="10"/>
      <c r="C1040" s="10"/>
      <c r="D1040" s="10"/>
      <c r="F1040" s="10"/>
      <c r="G1040" s="10"/>
      <c r="H1040" s="10"/>
      <c r="I1040" s="10"/>
      <c r="J1040" s="10"/>
    </row>
    <row r="1041" spans="2:10" ht="33" customHeight="1" x14ac:dyDescent="0.3">
      <c r="B1041" s="10"/>
      <c r="C1041" s="10"/>
      <c r="D1041" s="10"/>
      <c r="F1041" s="10"/>
      <c r="G1041" s="10"/>
      <c r="H1041" s="10"/>
      <c r="I1041" s="10"/>
      <c r="J1041" s="10"/>
    </row>
    <row r="1042" spans="2:10" ht="33" customHeight="1" x14ac:dyDescent="0.3">
      <c r="B1042" s="10"/>
      <c r="C1042" s="10"/>
      <c r="D1042" s="10"/>
      <c r="F1042" s="10"/>
      <c r="G1042" s="10"/>
      <c r="H1042" s="10"/>
      <c r="I1042" s="10"/>
      <c r="J1042" s="10"/>
    </row>
    <row r="1043" spans="2:10" ht="33" customHeight="1" x14ac:dyDescent="0.3">
      <c r="B1043" s="10"/>
      <c r="C1043" s="10"/>
      <c r="D1043" s="10"/>
      <c r="F1043" s="10"/>
      <c r="G1043" s="10"/>
      <c r="H1043" s="10"/>
      <c r="I1043" s="10"/>
      <c r="J1043" s="10"/>
    </row>
    <row r="1044" spans="2:10" ht="33" customHeight="1" x14ac:dyDescent="0.3">
      <c r="B1044" s="10"/>
      <c r="C1044" s="10"/>
      <c r="D1044" s="10"/>
      <c r="F1044" s="10"/>
      <c r="G1044" s="10"/>
      <c r="H1044" s="10"/>
      <c r="I1044" s="10"/>
      <c r="J1044" s="10"/>
    </row>
    <row r="1045" spans="2:10" ht="33" customHeight="1" x14ac:dyDescent="0.3">
      <c r="B1045" s="10"/>
      <c r="C1045" s="10"/>
      <c r="D1045" s="10"/>
      <c r="F1045" s="10"/>
      <c r="G1045" s="10"/>
      <c r="H1045" s="10"/>
      <c r="I1045" s="10"/>
      <c r="J1045" s="10"/>
    </row>
    <row r="1046" spans="2:10" ht="33" customHeight="1" x14ac:dyDescent="0.3">
      <c r="B1046" s="10"/>
      <c r="C1046" s="10"/>
      <c r="D1046" s="10"/>
      <c r="F1046" s="10"/>
      <c r="G1046" s="10"/>
      <c r="H1046" s="10"/>
      <c r="I1046" s="10"/>
      <c r="J1046" s="10"/>
    </row>
    <row r="1047" spans="2:10" ht="33" customHeight="1" x14ac:dyDescent="0.3">
      <c r="B1047" s="10"/>
      <c r="C1047" s="10"/>
      <c r="D1047" s="10"/>
      <c r="F1047" s="10"/>
      <c r="G1047" s="10"/>
      <c r="H1047" s="10"/>
      <c r="I1047" s="10"/>
      <c r="J1047" s="10"/>
    </row>
    <row r="1048" spans="2:10" ht="33" customHeight="1" x14ac:dyDescent="0.3">
      <c r="B1048" s="10"/>
      <c r="C1048" s="10"/>
      <c r="D1048" s="10"/>
      <c r="F1048" s="10"/>
      <c r="G1048" s="10"/>
      <c r="H1048" s="10"/>
      <c r="I1048" s="10"/>
      <c r="J1048" s="10"/>
    </row>
    <row r="1049" spans="2:10" ht="33" customHeight="1" x14ac:dyDescent="0.3">
      <c r="B1049" s="10"/>
      <c r="C1049" s="10"/>
      <c r="D1049" s="10"/>
      <c r="F1049" s="10"/>
      <c r="G1049" s="10"/>
      <c r="H1049" s="10"/>
      <c r="I1049" s="10"/>
      <c r="J1049" s="10"/>
    </row>
    <row r="1050" spans="2:10" ht="33" customHeight="1" x14ac:dyDescent="0.3">
      <c r="B1050" s="10"/>
      <c r="C1050" s="10"/>
      <c r="D1050" s="10"/>
      <c r="F1050" s="10"/>
      <c r="G1050" s="10"/>
      <c r="H1050" s="10"/>
      <c r="I1050" s="10"/>
      <c r="J1050" s="10"/>
    </row>
    <row r="1051" spans="2:10" ht="33" customHeight="1" x14ac:dyDescent="0.3">
      <c r="B1051" s="10"/>
      <c r="C1051" s="10"/>
      <c r="D1051" s="10"/>
      <c r="F1051" s="10"/>
      <c r="G1051" s="10"/>
      <c r="H1051" s="10"/>
      <c r="I1051" s="10"/>
      <c r="J1051" s="10"/>
    </row>
    <row r="1052" spans="2:10" ht="33" customHeight="1" x14ac:dyDescent="0.3">
      <c r="B1052" s="10"/>
      <c r="C1052" s="10"/>
      <c r="D1052" s="10"/>
      <c r="F1052" s="10"/>
      <c r="G1052" s="10"/>
      <c r="H1052" s="10"/>
      <c r="I1052" s="10"/>
      <c r="J1052" s="10"/>
    </row>
    <row r="1053" spans="2:10" ht="33" customHeight="1" x14ac:dyDescent="0.3">
      <c r="B1053" s="10"/>
      <c r="C1053" s="10"/>
      <c r="D1053" s="10"/>
      <c r="F1053" s="10"/>
      <c r="G1053" s="10"/>
      <c r="H1053" s="10"/>
      <c r="I1053" s="10"/>
      <c r="J1053" s="10"/>
    </row>
    <row r="1054" spans="2:10" ht="33" customHeight="1" x14ac:dyDescent="0.3">
      <c r="B1054" s="10"/>
      <c r="C1054" s="10"/>
      <c r="D1054" s="10"/>
      <c r="F1054" s="10"/>
      <c r="G1054" s="10"/>
      <c r="H1054" s="10"/>
      <c r="I1054" s="10"/>
      <c r="J1054" s="10"/>
    </row>
    <row r="1055" spans="2:10" ht="33" customHeight="1" x14ac:dyDescent="0.3">
      <c r="B1055" s="10"/>
      <c r="C1055" s="10"/>
      <c r="D1055" s="10"/>
      <c r="F1055" s="10"/>
      <c r="G1055" s="10"/>
      <c r="H1055" s="10"/>
      <c r="I1055" s="10"/>
      <c r="J1055" s="10"/>
    </row>
    <row r="1056" spans="2:10" ht="33" customHeight="1" x14ac:dyDescent="0.3">
      <c r="B1056" s="10"/>
      <c r="C1056" s="10"/>
      <c r="D1056" s="10"/>
      <c r="F1056" s="10"/>
      <c r="G1056" s="10"/>
      <c r="H1056" s="10"/>
      <c r="I1056" s="10"/>
      <c r="J1056" s="10"/>
    </row>
    <row r="1057" spans="2:10" ht="33" customHeight="1" x14ac:dyDescent="0.3">
      <c r="B1057" s="10"/>
      <c r="C1057" s="10"/>
      <c r="D1057" s="10"/>
      <c r="F1057" s="10"/>
      <c r="G1057" s="10"/>
      <c r="H1057" s="10"/>
      <c r="I1057" s="10"/>
      <c r="J1057" s="10"/>
    </row>
    <row r="1058" spans="2:10" ht="33" customHeight="1" x14ac:dyDescent="0.3">
      <c r="B1058" s="10"/>
      <c r="C1058" s="10"/>
      <c r="D1058" s="10"/>
      <c r="F1058" s="10"/>
      <c r="G1058" s="10"/>
      <c r="H1058" s="10"/>
      <c r="I1058" s="10"/>
      <c r="J1058" s="10"/>
    </row>
    <row r="1059" spans="2:10" ht="33" customHeight="1" x14ac:dyDescent="0.3">
      <c r="B1059" s="10"/>
      <c r="C1059" s="10"/>
      <c r="D1059" s="10"/>
      <c r="F1059" s="10"/>
      <c r="G1059" s="10"/>
      <c r="H1059" s="10"/>
      <c r="I1059" s="10"/>
      <c r="J1059" s="10"/>
    </row>
    <row r="1060" spans="2:10" ht="33" customHeight="1" x14ac:dyDescent="0.3">
      <c r="B1060" s="10"/>
      <c r="C1060" s="10"/>
      <c r="D1060" s="10"/>
      <c r="F1060" s="10"/>
      <c r="G1060" s="10"/>
      <c r="H1060" s="10"/>
      <c r="I1060" s="10"/>
      <c r="J1060" s="10"/>
    </row>
    <row r="1061" spans="2:10" ht="33" customHeight="1" x14ac:dyDescent="0.3">
      <c r="B1061" s="10"/>
      <c r="C1061" s="10"/>
      <c r="D1061" s="10"/>
      <c r="F1061" s="10"/>
      <c r="G1061" s="10"/>
      <c r="H1061" s="10"/>
      <c r="I1061" s="10"/>
      <c r="J1061" s="10"/>
    </row>
    <row r="1062" spans="2:10" ht="33" customHeight="1" x14ac:dyDescent="0.3">
      <c r="B1062" s="10"/>
      <c r="C1062" s="10"/>
      <c r="D1062" s="10"/>
      <c r="F1062" s="10"/>
      <c r="G1062" s="10"/>
      <c r="H1062" s="10"/>
      <c r="I1062" s="10"/>
      <c r="J1062" s="10"/>
    </row>
    <row r="1063" spans="2:10" ht="33" customHeight="1" x14ac:dyDescent="0.3">
      <c r="B1063" s="10"/>
      <c r="C1063" s="10"/>
      <c r="D1063" s="10"/>
      <c r="F1063" s="10"/>
      <c r="G1063" s="10"/>
      <c r="H1063" s="10"/>
      <c r="I1063" s="10"/>
      <c r="J1063" s="10"/>
    </row>
    <row r="1064" spans="2:10" ht="33" customHeight="1" x14ac:dyDescent="0.3">
      <c r="B1064" s="10"/>
      <c r="C1064" s="10"/>
      <c r="D1064" s="10"/>
      <c r="F1064" s="10"/>
      <c r="G1064" s="10"/>
      <c r="H1064" s="10"/>
      <c r="I1064" s="10"/>
      <c r="J1064" s="10"/>
    </row>
    <row r="1065" spans="2:10" ht="33" customHeight="1" x14ac:dyDescent="0.3">
      <c r="B1065" s="10"/>
      <c r="C1065" s="10"/>
      <c r="D1065" s="10"/>
      <c r="F1065" s="10"/>
      <c r="G1065" s="10"/>
      <c r="H1065" s="10"/>
      <c r="I1065" s="10"/>
      <c r="J1065" s="10"/>
    </row>
    <row r="1066" spans="2:10" ht="33" customHeight="1" x14ac:dyDescent="0.3">
      <c r="B1066" s="10"/>
      <c r="C1066" s="10"/>
      <c r="D1066" s="10"/>
      <c r="F1066" s="10"/>
      <c r="G1066" s="10"/>
      <c r="H1066" s="10"/>
      <c r="I1066" s="10"/>
      <c r="J1066" s="10"/>
    </row>
    <row r="1067" spans="2:10" ht="33" customHeight="1" x14ac:dyDescent="0.3">
      <c r="B1067" s="10"/>
      <c r="C1067" s="10"/>
      <c r="D1067" s="10"/>
      <c r="F1067" s="10"/>
      <c r="G1067" s="10"/>
      <c r="H1067" s="10"/>
      <c r="I1067" s="10"/>
      <c r="J1067" s="10"/>
    </row>
    <row r="1068" spans="2:10" ht="33" customHeight="1" x14ac:dyDescent="0.3">
      <c r="B1068" s="10"/>
      <c r="C1068" s="10"/>
      <c r="D1068" s="10"/>
      <c r="F1068" s="10"/>
      <c r="G1068" s="10"/>
      <c r="H1068" s="10"/>
      <c r="I1068" s="10"/>
      <c r="J1068" s="10"/>
    </row>
    <row r="1069" spans="2:10" ht="33" customHeight="1" x14ac:dyDescent="0.3">
      <c r="B1069" s="10"/>
      <c r="C1069" s="10"/>
      <c r="D1069" s="10"/>
      <c r="F1069" s="10"/>
      <c r="G1069" s="10"/>
      <c r="H1069" s="10"/>
      <c r="I1069" s="10"/>
      <c r="J1069" s="10"/>
    </row>
    <row r="1070" spans="2:10" ht="33" customHeight="1" x14ac:dyDescent="0.3">
      <c r="B1070" s="10"/>
      <c r="C1070" s="10"/>
      <c r="D1070" s="10"/>
      <c r="F1070" s="10"/>
      <c r="G1070" s="10"/>
      <c r="H1070" s="10"/>
      <c r="I1070" s="10"/>
      <c r="J1070" s="10"/>
    </row>
    <row r="1071" spans="2:10" ht="33" customHeight="1" x14ac:dyDescent="0.3">
      <c r="B1071" s="10"/>
      <c r="C1071" s="10"/>
      <c r="D1071" s="10"/>
      <c r="F1071" s="10"/>
      <c r="G1071" s="10"/>
      <c r="H1071" s="10"/>
      <c r="I1071" s="10"/>
      <c r="J1071" s="10"/>
    </row>
    <row r="1072" spans="2:10" ht="33" customHeight="1" x14ac:dyDescent="0.3">
      <c r="B1072" s="10"/>
      <c r="C1072" s="10"/>
      <c r="D1072" s="10"/>
      <c r="F1072" s="10"/>
      <c r="G1072" s="10"/>
      <c r="H1072" s="10"/>
      <c r="I1072" s="10"/>
      <c r="J1072" s="10"/>
    </row>
    <row r="1073" spans="2:10" ht="33" customHeight="1" x14ac:dyDescent="0.3">
      <c r="B1073" s="10"/>
      <c r="C1073" s="10"/>
      <c r="D1073" s="10"/>
      <c r="F1073" s="10"/>
      <c r="G1073" s="10"/>
      <c r="H1073" s="10"/>
      <c r="I1073" s="10"/>
      <c r="J1073" s="10"/>
    </row>
    <row r="1074" spans="2:10" ht="33" customHeight="1" x14ac:dyDescent="0.3">
      <c r="B1074" s="10"/>
      <c r="C1074" s="10"/>
      <c r="D1074" s="10"/>
      <c r="F1074" s="10"/>
      <c r="G1074" s="10"/>
      <c r="H1074" s="10"/>
      <c r="I1074" s="10"/>
      <c r="J1074" s="10"/>
    </row>
    <row r="1075" spans="2:10" ht="33" customHeight="1" x14ac:dyDescent="0.3">
      <c r="B1075" s="10"/>
      <c r="C1075" s="10"/>
      <c r="D1075" s="10"/>
      <c r="F1075" s="10"/>
      <c r="G1075" s="10"/>
      <c r="H1075" s="10"/>
      <c r="I1075" s="10"/>
      <c r="J1075" s="10"/>
    </row>
    <row r="1076" spans="2:10" ht="33" customHeight="1" x14ac:dyDescent="0.3">
      <c r="B1076" s="10"/>
      <c r="C1076" s="10"/>
      <c r="D1076" s="10"/>
      <c r="F1076" s="10"/>
      <c r="G1076" s="10"/>
      <c r="H1076" s="10"/>
      <c r="I1076" s="10"/>
      <c r="J1076" s="10"/>
    </row>
    <row r="1077" spans="2:10" ht="33" customHeight="1" x14ac:dyDescent="0.3">
      <c r="B1077" s="10"/>
      <c r="C1077" s="10"/>
      <c r="D1077" s="10"/>
      <c r="F1077" s="10"/>
      <c r="G1077" s="10"/>
      <c r="H1077" s="10"/>
      <c r="I1077" s="10"/>
      <c r="J1077" s="10"/>
    </row>
    <row r="1078" spans="2:10" ht="33" customHeight="1" x14ac:dyDescent="0.3">
      <c r="B1078" s="10"/>
      <c r="C1078" s="10"/>
      <c r="D1078" s="10"/>
      <c r="F1078" s="10"/>
      <c r="G1078" s="10"/>
      <c r="H1078" s="10"/>
      <c r="I1078" s="10"/>
      <c r="J1078" s="10"/>
    </row>
    <row r="1079" spans="2:10" ht="33" customHeight="1" x14ac:dyDescent="0.3">
      <c r="B1079" s="10"/>
      <c r="C1079" s="10"/>
      <c r="D1079" s="10"/>
      <c r="F1079" s="10"/>
      <c r="G1079" s="10"/>
      <c r="H1079" s="10"/>
      <c r="I1079" s="10"/>
      <c r="J1079" s="10"/>
    </row>
    <row r="1080" spans="2:10" ht="33" customHeight="1" x14ac:dyDescent="0.3">
      <c r="B1080" s="10"/>
      <c r="C1080" s="10"/>
      <c r="D1080" s="10"/>
      <c r="F1080" s="10"/>
      <c r="G1080" s="10"/>
      <c r="H1080" s="10"/>
      <c r="I1080" s="10"/>
      <c r="J1080" s="10"/>
    </row>
    <row r="1081" spans="2:10" ht="33" customHeight="1" x14ac:dyDescent="0.3">
      <c r="B1081" s="10"/>
      <c r="C1081" s="10"/>
      <c r="D1081" s="10"/>
      <c r="F1081" s="10"/>
      <c r="G1081" s="10"/>
      <c r="H1081" s="10"/>
      <c r="I1081" s="10"/>
      <c r="J1081" s="10"/>
    </row>
    <row r="1082" spans="2:10" ht="33" customHeight="1" x14ac:dyDescent="0.3">
      <c r="B1082" s="10"/>
      <c r="C1082" s="10"/>
      <c r="D1082" s="10"/>
      <c r="F1082" s="10"/>
      <c r="G1082" s="10"/>
      <c r="H1082" s="10"/>
      <c r="I1082" s="10"/>
      <c r="J1082" s="10"/>
    </row>
    <row r="1083" spans="2:10" ht="33" customHeight="1" x14ac:dyDescent="0.3">
      <c r="B1083" s="10"/>
      <c r="C1083" s="10"/>
      <c r="D1083" s="10"/>
      <c r="F1083" s="10"/>
      <c r="G1083" s="10"/>
      <c r="H1083" s="10"/>
      <c r="I1083" s="10"/>
      <c r="J1083" s="10"/>
    </row>
    <row r="1084" spans="2:10" ht="33" customHeight="1" x14ac:dyDescent="0.3">
      <c r="B1084" s="10"/>
      <c r="C1084" s="10"/>
      <c r="D1084" s="10"/>
      <c r="F1084" s="10"/>
      <c r="G1084" s="10"/>
      <c r="H1084" s="10"/>
      <c r="I1084" s="10"/>
      <c r="J1084" s="10"/>
    </row>
    <row r="1085" spans="2:10" ht="33" customHeight="1" x14ac:dyDescent="0.3">
      <c r="B1085" s="10"/>
      <c r="C1085" s="10"/>
      <c r="D1085" s="10"/>
      <c r="F1085" s="10"/>
      <c r="G1085" s="10"/>
      <c r="H1085" s="10"/>
      <c r="I1085" s="10"/>
      <c r="J1085" s="10"/>
    </row>
    <row r="1086" spans="2:10" ht="33" customHeight="1" x14ac:dyDescent="0.3">
      <c r="B1086" s="10"/>
      <c r="C1086" s="10"/>
      <c r="D1086" s="10"/>
      <c r="F1086" s="10"/>
      <c r="G1086" s="10"/>
      <c r="H1086" s="10"/>
      <c r="I1086" s="10"/>
      <c r="J1086" s="10"/>
    </row>
    <row r="1087" spans="2:10" ht="33" customHeight="1" x14ac:dyDescent="0.3">
      <c r="B1087" s="10"/>
      <c r="C1087" s="10"/>
      <c r="D1087" s="10"/>
      <c r="F1087" s="10"/>
      <c r="G1087" s="10"/>
      <c r="H1087" s="10"/>
      <c r="I1087" s="10"/>
      <c r="J1087" s="10"/>
    </row>
    <row r="1088" spans="2:10" ht="33" customHeight="1" x14ac:dyDescent="0.3">
      <c r="B1088" s="10"/>
      <c r="C1088" s="10"/>
      <c r="D1088" s="10"/>
      <c r="F1088" s="10"/>
      <c r="G1088" s="10"/>
      <c r="H1088" s="10"/>
      <c r="I1088" s="10"/>
      <c r="J1088" s="10"/>
    </row>
    <row r="1089" spans="2:10" ht="33" customHeight="1" x14ac:dyDescent="0.3">
      <c r="B1089" s="10"/>
      <c r="C1089" s="10"/>
      <c r="D1089" s="10"/>
      <c r="F1089" s="10"/>
      <c r="G1089" s="10"/>
      <c r="H1089" s="10"/>
      <c r="I1089" s="10"/>
      <c r="J1089" s="10"/>
    </row>
    <row r="1090" spans="2:10" ht="33" customHeight="1" x14ac:dyDescent="0.3">
      <c r="B1090" s="10"/>
      <c r="C1090" s="10"/>
      <c r="D1090" s="10"/>
      <c r="F1090" s="10"/>
      <c r="G1090" s="10"/>
      <c r="H1090" s="10"/>
      <c r="I1090" s="10"/>
      <c r="J1090" s="10"/>
    </row>
    <row r="1091" spans="2:10" ht="33" customHeight="1" x14ac:dyDescent="0.3">
      <c r="B1091" s="10"/>
      <c r="C1091" s="10"/>
      <c r="D1091" s="10"/>
      <c r="F1091" s="10"/>
      <c r="G1091" s="10"/>
      <c r="H1091" s="10"/>
      <c r="I1091" s="10"/>
      <c r="J1091" s="10"/>
    </row>
    <row r="1092" spans="2:10" ht="33" customHeight="1" x14ac:dyDescent="0.3">
      <c r="B1092" s="10"/>
      <c r="C1092" s="10"/>
      <c r="D1092" s="10"/>
      <c r="F1092" s="10"/>
      <c r="G1092" s="10"/>
      <c r="H1092" s="10"/>
      <c r="I1092" s="10"/>
      <c r="J1092" s="10"/>
    </row>
    <row r="1093" spans="2:10" ht="33" customHeight="1" x14ac:dyDescent="0.3">
      <c r="B1093" s="10"/>
      <c r="C1093" s="10"/>
      <c r="D1093" s="10"/>
      <c r="F1093" s="10"/>
      <c r="G1093" s="10"/>
      <c r="H1093" s="10"/>
      <c r="I1093" s="10"/>
      <c r="J1093" s="10"/>
    </row>
    <row r="1094" spans="2:10" ht="33" customHeight="1" x14ac:dyDescent="0.3">
      <c r="B1094" s="10"/>
      <c r="C1094" s="10"/>
      <c r="D1094" s="10"/>
      <c r="F1094" s="10"/>
      <c r="G1094" s="10"/>
      <c r="H1094" s="10"/>
      <c r="I1094" s="10"/>
      <c r="J1094" s="10"/>
    </row>
    <row r="1095" spans="2:10" ht="33" customHeight="1" x14ac:dyDescent="0.3">
      <c r="B1095" s="10"/>
      <c r="C1095" s="10"/>
      <c r="D1095" s="10"/>
      <c r="F1095" s="10"/>
      <c r="G1095" s="10"/>
      <c r="H1095" s="10"/>
      <c r="I1095" s="10"/>
      <c r="J1095" s="10"/>
    </row>
    <row r="1096" spans="2:10" ht="33" customHeight="1" x14ac:dyDescent="0.3">
      <c r="B1096" s="10"/>
      <c r="C1096" s="10"/>
      <c r="D1096" s="10"/>
      <c r="F1096" s="10"/>
      <c r="G1096" s="10"/>
      <c r="H1096" s="10"/>
      <c r="I1096" s="10"/>
      <c r="J1096" s="10"/>
    </row>
    <row r="1097" spans="2:10" ht="33" customHeight="1" x14ac:dyDescent="0.3">
      <c r="B1097" s="10"/>
      <c r="C1097" s="10"/>
      <c r="D1097" s="10"/>
      <c r="F1097" s="10"/>
      <c r="G1097" s="10"/>
      <c r="H1097" s="10"/>
      <c r="I1097" s="10"/>
      <c r="J1097" s="10"/>
    </row>
    <row r="1098" spans="2:10" ht="33" customHeight="1" x14ac:dyDescent="0.3">
      <c r="B1098" s="10"/>
      <c r="C1098" s="10"/>
      <c r="D1098" s="10"/>
      <c r="F1098" s="10"/>
      <c r="G1098" s="10"/>
      <c r="H1098" s="10"/>
      <c r="I1098" s="10"/>
      <c r="J1098" s="10"/>
    </row>
    <row r="1099" spans="2:10" ht="33" customHeight="1" x14ac:dyDescent="0.3">
      <c r="B1099" s="10"/>
      <c r="C1099" s="10"/>
      <c r="D1099" s="10"/>
      <c r="F1099" s="10"/>
      <c r="G1099" s="10"/>
      <c r="H1099" s="10"/>
      <c r="I1099" s="10"/>
      <c r="J1099" s="10"/>
    </row>
    <row r="1100" spans="2:10" ht="33" customHeight="1" x14ac:dyDescent="0.3">
      <c r="B1100" s="10"/>
      <c r="C1100" s="10"/>
      <c r="D1100" s="10"/>
      <c r="F1100" s="10"/>
      <c r="G1100" s="10"/>
      <c r="H1100" s="10"/>
      <c r="I1100" s="10"/>
      <c r="J1100" s="10"/>
    </row>
    <row r="1101" spans="2:10" ht="33" customHeight="1" x14ac:dyDescent="0.3">
      <c r="B1101" s="10"/>
      <c r="C1101" s="10"/>
      <c r="D1101" s="10"/>
      <c r="F1101" s="10"/>
      <c r="G1101" s="10"/>
      <c r="H1101" s="10"/>
      <c r="I1101" s="10"/>
      <c r="J1101" s="10"/>
    </row>
    <row r="1102" spans="2:10" ht="33" customHeight="1" x14ac:dyDescent="0.3">
      <c r="B1102" s="10"/>
      <c r="C1102" s="10"/>
      <c r="D1102" s="10"/>
      <c r="F1102" s="10"/>
      <c r="G1102" s="10"/>
      <c r="H1102" s="10"/>
      <c r="I1102" s="10"/>
      <c r="J1102" s="10"/>
    </row>
    <row r="1103" spans="2:10" ht="33" customHeight="1" x14ac:dyDescent="0.3">
      <c r="B1103" s="10"/>
      <c r="C1103" s="10"/>
      <c r="D1103" s="10"/>
      <c r="F1103" s="10"/>
      <c r="G1103" s="10"/>
      <c r="H1103" s="10"/>
      <c r="I1103" s="10"/>
      <c r="J1103" s="10"/>
    </row>
    <row r="1104" spans="2:10" ht="33" customHeight="1" x14ac:dyDescent="0.3">
      <c r="B1104" s="10"/>
      <c r="C1104" s="10"/>
      <c r="D1104" s="10"/>
      <c r="F1104" s="10"/>
      <c r="G1104" s="10"/>
      <c r="H1104" s="10"/>
      <c r="I1104" s="10"/>
      <c r="J1104" s="10"/>
    </row>
    <row r="1105" spans="2:10" ht="33" customHeight="1" x14ac:dyDescent="0.3">
      <c r="B1105" s="10"/>
      <c r="C1105" s="10"/>
      <c r="D1105" s="10"/>
      <c r="F1105" s="10"/>
      <c r="G1105" s="10"/>
      <c r="H1105" s="10"/>
      <c r="I1105" s="10"/>
      <c r="J1105" s="10"/>
    </row>
    <row r="1106" spans="2:10" ht="33" customHeight="1" x14ac:dyDescent="0.3">
      <c r="B1106" s="10"/>
      <c r="C1106" s="10"/>
      <c r="D1106" s="10"/>
      <c r="F1106" s="10"/>
      <c r="G1106" s="10"/>
      <c r="H1106" s="10"/>
      <c r="I1106" s="10"/>
      <c r="J1106" s="10"/>
    </row>
    <row r="1107" spans="2:10" ht="33" customHeight="1" x14ac:dyDescent="0.3">
      <c r="B1107" s="10"/>
      <c r="C1107" s="10"/>
      <c r="D1107" s="10"/>
      <c r="F1107" s="10"/>
      <c r="G1107" s="10"/>
      <c r="H1107" s="10"/>
      <c r="I1107" s="10"/>
      <c r="J1107" s="10"/>
    </row>
    <row r="1108" spans="2:10" ht="33" customHeight="1" x14ac:dyDescent="0.3">
      <c r="B1108" s="10"/>
      <c r="C1108" s="10"/>
      <c r="D1108" s="10"/>
      <c r="F1108" s="10"/>
      <c r="G1108" s="10"/>
      <c r="H1108" s="10"/>
      <c r="I1108" s="10"/>
      <c r="J1108" s="10"/>
    </row>
    <row r="1109" spans="2:10" ht="33" customHeight="1" x14ac:dyDescent="0.3">
      <c r="B1109" s="10"/>
      <c r="C1109" s="10"/>
      <c r="D1109" s="10"/>
      <c r="F1109" s="10"/>
      <c r="G1109" s="10"/>
      <c r="H1109" s="10"/>
      <c r="I1109" s="10"/>
      <c r="J1109" s="10"/>
    </row>
    <row r="1110" spans="2:10" ht="33" customHeight="1" x14ac:dyDescent="0.3">
      <c r="B1110" s="10"/>
      <c r="C1110" s="10"/>
      <c r="D1110" s="10"/>
      <c r="F1110" s="10"/>
      <c r="G1110" s="10"/>
      <c r="H1110" s="10"/>
      <c r="I1110" s="10"/>
      <c r="J1110" s="10"/>
    </row>
    <row r="1111" spans="2:10" ht="33" customHeight="1" x14ac:dyDescent="0.3">
      <c r="B1111" s="10"/>
      <c r="C1111" s="10"/>
      <c r="D1111" s="10"/>
      <c r="F1111" s="10"/>
      <c r="G1111" s="10"/>
      <c r="H1111" s="10"/>
      <c r="I1111" s="10"/>
      <c r="J1111" s="10"/>
    </row>
    <row r="1112" spans="2:10" ht="33" customHeight="1" x14ac:dyDescent="0.3">
      <c r="B1112" s="10"/>
      <c r="C1112" s="10"/>
      <c r="D1112" s="10"/>
      <c r="F1112" s="10"/>
      <c r="G1112" s="10"/>
      <c r="H1112" s="10"/>
      <c r="I1112" s="10"/>
      <c r="J1112" s="10"/>
    </row>
    <row r="1113" spans="2:10" ht="33" customHeight="1" x14ac:dyDescent="0.3">
      <c r="B1113" s="10"/>
      <c r="C1113" s="10"/>
      <c r="D1113" s="10"/>
      <c r="F1113" s="10"/>
      <c r="G1113" s="10"/>
      <c r="H1113" s="10"/>
      <c r="I1113" s="10"/>
      <c r="J1113" s="10"/>
    </row>
    <row r="1114" spans="2:10" ht="33" customHeight="1" x14ac:dyDescent="0.3">
      <c r="B1114" s="10"/>
      <c r="C1114" s="10"/>
      <c r="D1114" s="10"/>
      <c r="F1114" s="10"/>
      <c r="G1114" s="10"/>
      <c r="H1114" s="10"/>
      <c r="I1114" s="10"/>
      <c r="J1114" s="10"/>
    </row>
    <row r="1115" spans="2:10" ht="33" customHeight="1" x14ac:dyDescent="0.3">
      <c r="B1115" s="10"/>
      <c r="C1115" s="10"/>
      <c r="D1115" s="10"/>
      <c r="F1115" s="10"/>
      <c r="G1115" s="10"/>
      <c r="H1115" s="10"/>
      <c r="I1115" s="10"/>
      <c r="J1115" s="10"/>
    </row>
    <row r="1116" spans="2:10" ht="33" customHeight="1" x14ac:dyDescent="0.3">
      <c r="B1116" s="10"/>
      <c r="C1116" s="10"/>
      <c r="D1116" s="10"/>
      <c r="F1116" s="10"/>
      <c r="G1116" s="10"/>
      <c r="H1116" s="10"/>
      <c r="I1116" s="10"/>
      <c r="J1116" s="10"/>
    </row>
    <row r="1117" spans="2:10" ht="33" customHeight="1" x14ac:dyDescent="0.3">
      <c r="B1117" s="10"/>
      <c r="C1117" s="10"/>
      <c r="D1117" s="10"/>
      <c r="F1117" s="10"/>
      <c r="G1117" s="10"/>
      <c r="H1117" s="10"/>
      <c r="I1117" s="10"/>
      <c r="J1117" s="10"/>
    </row>
    <row r="1118" spans="2:10" ht="33" customHeight="1" x14ac:dyDescent="0.3">
      <c r="B1118" s="10"/>
      <c r="C1118" s="10"/>
      <c r="D1118" s="10"/>
      <c r="F1118" s="10"/>
      <c r="G1118" s="10"/>
      <c r="H1118" s="10"/>
      <c r="I1118" s="10"/>
      <c r="J1118" s="10"/>
    </row>
    <row r="1119" spans="2:10" ht="33" customHeight="1" x14ac:dyDescent="0.3">
      <c r="B1119" s="10"/>
      <c r="C1119" s="10"/>
      <c r="D1119" s="10"/>
      <c r="F1119" s="10"/>
      <c r="G1119" s="10"/>
      <c r="H1119" s="10"/>
      <c r="I1119" s="10"/>
      <c r="J1119" s="10"/>
    </row>
    <row r="1120" spans="2:10" ht="33" customHeight="1" x14ac:dyDescent="0.3">
      <c r="B1120" s="10"/>
      <c r="C1120" s="10"/>
      <c r="D1120" s="10"/>
      <c r="F1120" s="10"/>
      <c r="G1120" s="10"/>
      <c r="H1120" s="10"/>
      <c r="I1120" s="10"/>
      <c r="J1120" s="10"/>
    </row>
    <row r="1121" spans="2:10" ht="33" customHeight="1" x14ac:dyDescent="0.3">
      <c r="B1121" s="10"/>
      <c r="C1121" s="10"/>
      <c r="D1121" s="10"/>
      <c r="F1121" s="10"/>
      <c r="G1121" s="10"/>
      <c r="H1121" s="10"/>
      <c r="I1121" s="10"/>
      <c r="J1121" s="10"/>
    </row>
    <row r="1122" spans="2:10" ht="33" customHeight="1" x14ac:dyDescent="0.3">
      <c r="B1122" s="10"/>
      <c r="C1122" s="10"/>
      <c r="D1122" s="10"/>
      <c r="F1122" s="10"/>
      <c r="G1122" s="10"/>
      <c r="H1122" s="10"/>
      <c r="I1122" s="10"/>
      <c r="J1122" s="10"/>
    </row>
    <row r="1123" spans="2:10" ht="33" customHeight="1" x14ac:dyDescent="0.3">
      <c r="B1123" s="10"/>
      <c r="C1123" s="10"/>
      <c r="D1123" s="10"/>
      <c r="F1123" s="10"/>
      <c r="G1123" s="10"/>
      <c r="H1123" s="10"/>
      <c r="I1123" s="10"/>
      <c r="J1123" s="10"/>
    </row>
    <row r="1124" spans="2:10" ht="33" customHeight="1" x14ac:dyDescent="0.3">
      <c r="B1124" s="10"/>
      <c r="C1124" s="10"/>
      <c r="D1124" s="10"/>
      <c r="F1124" s="10"/>
      <c r="G1124" s="10"/>
      <c r="H1124" s="10"/>
      <c r="I1124" s="10"/>
      <c r="J1124" s="10"/>
    </row>
    <row r="1125" spans="2:10" ht="33" customHeight="1" x14ac:dyDescent="0.3">
      <c r="B1125" s="10"/>
      <c r="C1125" s="10"/>
      <c r="D1125" s="10"/>
      <c r="F1125" s="10"/>
      <c r="G1125" s="10"/>
      <c r="H1125" s="10"/>
      <c r="I1125" s="10"/>
      <c r="J1125" s="10"/>
    </row>
    <row r="1126" spans="2:10" ht="33" customHeight="1" x14ac:dyDescent="0.3">
      <c r="B1126" s="10"/>
      <c r="C1126" s="10"/>
      <c r="D1126" s="10"/>
      <c r="F1126" s="10"/>
      <c r="G1126" s="10"/>
      <c r="H1126" s="10"/>
      <c r="I1126" s="10"/>
      <c r="J1126" s="10"/>
    </row>
    <row r="1127" spans="2:10" ht="33" customHeight="1" x14ac:dyDescent="0.3">
      <c r="B1127" s="10"/>
      <c r="C1127" s="10"/>
      <c r="D1127" s="10"/>
      <c r="F1127" s="10"/>
      <c r="G1127" s="10"/>
      <c r="H1127" s="10"/>
      <c r="I1127" s="10"/>
      <c r="J1127" s="10"/>
    </row>
    <row r="1128" spans="2:10" ht="33" customHeight="1" x14ac:dyDescent="0.3">
      <c r="B1128" s="10"/>
      <c r="C1128" s="10"/>
      <c r="D1128" s="10"/>
      <c r="F1128" s="10"/>
      <c r="G1128" s="10"/>
      <c r="H1128" s="10"/>
      <c r="I1128" s="10"/>
      <c r="J1128" s="10"/>
    </row>
    <row r="1129" spans="2:10" ht="33" customHeight="1" x14ac:dyDescent="0.3">
      <c r="B1129" s="10"/>
      <c r="C1129" s="10"/>
      <c r="D1129" s="10"/>
      <c r="F1129" s="10"/>
      <c r="G1129" s="10"/>
      <c r="H1129" s="10"/>
      <c r="I1129" s="10"/>
      <c r="J1129" s="10"/>
    </row>
    <row r="1130" spans="2:10" ht="33" customHeight="1" x14ac:dyDescent="0.3">
      <c r="B1130" s="10"/>
      <c r="C1130" s="10"/>
      <c r="D1130" s="10"/>
      <c r="F1130" s="10"/>
      <c r="G1130" s="10"/>
      <c r="H1130" s="10"/>
      <c r="I1130" s="10"/>
      <c r="J1130" s="10"/>
    </row>
    <row r="1131" spans="2:10" ht="33" customHeight="1" x14ac:dyDescent="0.3">
      <c r="B1131" s="10"/>
      <c r="C1131" s="10"/>
      <c r="D1131" s="10"/>
      <c r="F1131" s="10"/>
      <c r="G1131" s="10"/>
      <c r="H1131" s="10"/>
      <c r="I1131" s="10"/>
      <c r="J1131" s="10"/>
    </row>
    <row r="1132" spans="2:10" ht="33" customHeight="1" x14ac:dyDescent="0.3">
      <c r="B1132" s="10"/>
      <c r="C1132" s="10"/>
      <c r="D1132" s="10"/>
      <c r="F1132" s="10"/>
      <c r="G1132" s="10"/>
      <c r="H1132" s="10"/>
      <c r="I1132" s="10"/>
      <c r="J1132" s="10"/>
    </row>
    <row r="1133" spans="2:10" ht="33" customHeight="1" x14ac:dyDescent="0.3">
      <c r="B1133" s="10"/>
      <c r="C1133" s="10"/>
      <c r="D1133" s="10"/>
      <c r="F1133" s="10"/>
      <c r="G1133" s="10"/>
      <c r="H1133" s="10"/>
      <c r="I1133" s="10"/>
      <c r="J1133" s="10"/>
    </row>
    <row r="1134" spans="2:10" ht="33" customHeight="1" x14ac:dyDescent="0.3">
      <c r="B1134" s="10"/>
      <c r="C1134" s="10"/>
      <c r="D1134" s="10"/>
      <c r="F1134" s="10"/>
      <c r="G1134" s="10"/>
      <c r="H1134" s="10"/>
      <c r="I1134" s="10"/>
      <c r="J1134" s="10"/>
    </row>
    <row r="1135" spans="2:10" ht="33" customHeight="1" x14ac:dyDescent="0.3">
      <c r="B1135" s="10"/>
      <c r="C1135" s="10"/>
      <c r="D1135" s="10"/>
      <c r="F1135" s="10"/>
      <c r="G1135" s="10"/>
      <c r="H1135" s="10"/>
      <c r="I1135" s="10"/>
      <c r="J1135" s="10"/>
    </row>
    <row r="1136" spans="2:10" ht="33" customHeight="1" x14ac:dyDescent="0.3">
      <c r="B1136" s="10"/>
      <c r="C1136" s="10"/>
      <c r="D1136" s="10"/>
      <c r="F1136" s="10"/>
      <c r="G1136" s="10"/>
      <c r="H1136" s="10"/>
      <c r="I1136" s="10"/>
      <c r="J1136" s="10"/>
    </row>
    <row r="1137" spans="2:10" ht="33" customHeight="1" x14ac:dyDescent="0.3">
      <c r="B1137" s="10"/>
      <c r="C1137" s="10"/>
      <c r="D1137" s="10"/>
      <c r="F1137" s="10"/>
      <c r="G1137" s="10"/>
      <c r="H1137" s="10"/>
      <c r="I1137" s="10"/>
      <c r="J1137" s="10"/>
    </row>
    <row r="1138" spans="2:10" ht="33" customHeight="1" x14ac:dyDescent="0.3">
      <c r="B1138" s="10"/>
      <c r="C1138" s="10"/>
      <c r="D1138" s="10"/>
      <c r="F1138" s="10"/>
      <c r="G1138" s="10"/>
      <c r="H1138" s="10"/>
      <c r="I1138" s="10"/>
      <c r="J1138" s="10"/>
    </row>
    <row r="1139" spans="2:10" ht="33" customHeight="1" x14ac:dyDescent="0.3">
      <c r="B1139" s="10"/>
      <c r="C1139" s="10"/>
      <c r="D1139" s="10"/>
      <c r="F1139" s="10"/>
      <c r="G1139" s="10"/>
      <c r="H1139" s="10"/>
      <c r="I1139" s="10"/>
      <c r="J1139" s="10"/>
    </row>
    <row r="1140" spans="2:10" ht="33" customHeight="1" x14ac:dyDescent="0.3">
      <c r="B1140" s="10"/>
      <c r="C1140" s="10"/>
      <c r="D1140" s="10"/>
      <c r="F1140" s="10"/>
      <c r="G1140" s="10"/>
      <c r="H1140" s="10"/>
      <c r="I1140" s="10"/>
      <c r="J1140" s="10"/>
    </row>
    <row r="1141" spans="2:10" ht="33" customHeight="1" x14ac:dyDescent="0.3">
      <c r="B1141" s="10"/>
      <c r="C1141" s="10"/>
      <c r="D1141" s="10"/>
      <c r="F1141" s="10"/>
      <c r="G1141" s="10"/>
      <c r="H1141" s="10"/>
      <c r="I1141" s="10"/>
      <c r="J1141" s="10"/>
    </row>
    <row r="1142" spans="2:10" ht="33" customHeight="1" x14ac:dyDescent="0.3">
      <c r="B1142" s="10"/>
      <c r="C1142" s="10"/>
      <c r="D1142" s="10"/>
      <c r="F1142" s="10"/>
      <c r="G1142" s="10"/>
      <c r="H1142" s="10"/>
      <c r="I1142" s="10"/>
      <c r="J1142" s="10"/>
    </row>
    <row r="1143" spans="2:10" ht="33" customHeight="1" x14ac:dyDescent="0.3">
      <c r="B1143" s="10"/>
      <c r="C1143" s="10"/>
      <c r="D1143" s="10"/>
      <c r="F1143" s="10"/>
      <c r="G1143" s="10"/>
      <c r="H1143" s="10"/>
      <c r="I1143" s="10"/>
      <c r="J1143" s="10"/>
    </row>
    <row r="1144" spans="2:10" ht="33" customHeight="1" x14ac:dyDescent="0.3">
      <c r="B1144" s="10"/>
      <c r="C1144" s="10"/>
      <c r="D1144" s="10"/>
      <c r="F1144" s="10"/>
      <c r="G1144" s="10"/>
      <c r="H1144" s="10"/>
      <c r="I1144" s="10"/>
      <c r="J1144" s="10"/>
    </row>
    <row r="1145" spans="2:10" ht="33" customHeight="1" x14ac:dyDescent="0.3">
      <c r="B1145" s="10"/>
      <c r="C1145" s="10"/>
      <c r="D1145" s="10"/>
      <c r="F1145" s="10"/>
      <c r="G1145" s="10"/>
      <c r="H1145" s="10"/>
      <c r="I1145" s="10"/>
      <c r="J1145" s="10"/>
    </row>
    <row r="1146" spans="2:10" ht="33" customHeight="1" x14ac:dyDescent="0.3">
      <c r="B1146" s="10"/>
      <c r="C1146" s="10"/>
      <c r="D1146" s="10"/>
      <c r="F1146" s="10"/>
      <c r="G1146" s="10"/>
      <c r="H1146" s="10"/>
      <c r="I1146" s="10"/>
      <c r="J1146" s="10"/>
    </row>
    <row r="1147" spans="2:10" ht="33" customHeight="1" x14ac:dyDescent="0.3">
      <c r="B1147" s="10"/>
      <c r="C1147" s="10"/>
      <c r="D1147" s="10"/>
      <c r="F1147" s="10"/>
      <c r="G1147" s="10"/>
      <c r="H1147" s="10"/>
      <c r="I1147" s="10"/>
      <c r="J1147" s="10"/>
    </row>
    <row r="1148" spans="2:10" ht="33" customHeight="1" x14ac:dyDescent="0.3">
      <c r="B1148" s="10"/>
      <c r="C1148" s="10"/>
      <c r="D1148" s="10"/>
      <c r="F1148" s="10"/>
      <c r="G1148" s="10"/>
      <c r="H1148" s="10"/>
      <c r="I1148" s="10"/>
      <c r="J1148" s="10"/>
    </row>
    <row r="1149" spans="2:10" ht="33" customHeight="1" x14ac:dyDescent="0.3">
      <c r="B1149" s="10"/>
      <c r="C1149" s="10"/>
      <c r="D1149" s="10"/>
      <c r="F1149" s="10"/>
      <c r="G1149" s="10"/>
      <c r="H1149" s="10"/>
      <c r="I1149" s="10"/>
      <c r="J1149" s="10"/>
    </row>
    <row r="1150" spans="2:10" ht="33" customHeight="1" x14ac:dyDescent="0.3">
      <c r="B1150" s="10"/>
      <c r="C1150" s="10"/>
      <c r="D1150" s="10"/>
      <c r="F1150" s="10"/>
      <c r="G1150" s="10"/>
      <c r="H1150" s="10"/>
      <c r="I1150" s="10"/>
      <c r="J1150" s="10"/>
    </row>
    <row r="1151" spans="2:10" ht="33" customHeight="1" x14ac:dyDescent="0.3">
      <c r="B1151" s="10"/>
      <c r="C1151" s="10"/>
      <c r="D1151" s="10"/>
      <c r="F1151" s="10"/>
      <c r="G1151" s="10"/>
      <c r="H1151" s="10"/>
      <c r="I1151" s="10"/>
      <c r="J1151" s="10"/>
    </row>
    <row r="1152" spans="2:10" ht="33" customHeight="1" x14ac:dyDescent="0.3">
      <c r="B1152" s="10"/>
      <c r="C1152" s="10"/>
      <c r="D1152" s="10"/>
      <c r="F1152" s="10"/>
      <c r="G1152" s="10"/>
      <c r="H1152" s="10"/>
      <c r="I1152" s="10"/>
      <c r="J1152" s="10"/>
    </row>
    <row r="1153" spans="2:10" ht="33" customHeight="1" x14ac:dyDescent="0.3">
      <c r="B1153" s="10"/>
      <c r="C1153" s="10"/>
      <c r="D1153" s="10"/>
      <c r="F1153" s="10"/>
      <c r="G1153" s="10"/>
      <c r="H1153" s="10"/>
      <c r="I1153" s="10"/>
      <c r="J1153" s="10"/>
    </row>
    <row r="1154" spans="2:10" ht="33" customHeight="1" x14ac:dyDescent="0.3">
      <c r="B1154" s="10"/>
      <c r="C1154" s="10"/>
      <c r="D1154" s="10"/>
      <c r="F1154" s="10"/>
      <c r="G1154" s="10"/>
      <c r="H1154" s="10"/>
      <c r="I1154" s="10"/>
      <c r="J1154" s="10"/>
    </row>
    <row r="1155" spans="2:10" ht="33" customHeight="1" x14ac:dyDescent="0.3">
      <c r="B1155" s="10"/>
      <c r="C1155" s="10"/>
      <c r="D1155" s="10"/>
      <c r="F1155" s="10"/>
      <c r="G1155" s="10"/>
      <c r="H1155" s="10"/>
      <c r="I1155" s="10"/>
      <c r="J1155" s="10"/>
    </row>
    <row r="1156" spans="2:10" ht="33" customHeight="1" x14ac:dyDescent="0.3">
      <c r="B1156" s="10"/>
      <c r="C1156" s="10"/>
      <c r="D1156" s="10"/>
      <c r="F1156" s="10"/>
      <c r="G1156" s="10"/>
      <c r="H1156" s="10"/>
      <c r="I1156" s="10"/>
      <c r="J1156" s="10"/>
    </row>
    <row r="1157" spans="2:10" ht="33" customHeight="1" x14ac:dyDescent="0.3">
      <c r="B1157" s="10"/>
      <c r="C1157" s="10"/>
      <c r="D1157" s="10"/>
      <c r="F1157" s="10"/>
      <c r="G1157" s="10"/>
      <c r="H1157" s="10"/>
      <c r="I1157" s="10"/>
      <c r="J1157" s="10"/>
    </row>
    <row r="1158" spans="2:10" ht="33" customHeight="1" x14ac:dyDescent="0.3">
      <c r="B1158" s="10"/>
      <c r="C1158" s="10"/>
      <c r="D1158" s="10"/>
      <c r="F1158" s="10"/>
      <c r="G1158" s="10"/>
      <c r="H1158" s="10"/>
      <c r="I1158" s="10"/>
      <c r="J1158" s="10"/>
    </row>
    <row r="1159" spans="2:10" ht="33" customHeight="1" x14ac:dyDescent="0.3">
      <c r="B1159" s="10"/>
      <c r="C1159" s="10"/>
      <c r="D1159" s="10"/>
      <c r="F1159" s="10"/>
      <c r="G1159" s="10"/>
      <c r="H1159" s="10"/>
      <c r="I1159" s="10"/>
      <c r="J1159" s="10"/>
    </row>
    <row r="1160" spans="2:10" ht="33" customHeight="1" x14ac:dyDescent="0.3">
      <c r="B1160" s="10"/>
      <c r="C1160" s="10"/>
      <c r="D1160" s="10"/>
      <c r="F1160" s="10"/>
      <c r="G1160" s="10"/>
      <c r="H1160" s="10"/>
      <c r="I1160" s="10"/>
      <c r="J1160" s="10"/>
    </row>
    <row r="1161" spans="2:10" ht="33" customHeight="1" x14ac:dyDescent="0.3">
      <c r="B1161" s="10"/>
      <c r="C1161" s="10"/>
      <c r="D1161" s="10"/>
      <c r="F1161" s="10"/>
      <c r="G1161" s="10"/>
      <c r="H1161" s="10"/>
      <c r="I1161" s="10"/>
      <c r="J1161" s="10"/>
    </row>
    <row r="1162" spans="2:10" ht="33" customHeight="1" x14ac:dyDescent="0.3">
      <c r="B1162" s="10"/>
      <c r="C1162" s="10"/>
      <c r="D1162" s="10"/>
      <c r="F1162" s="10"/>
      <c r="G1162" s="10"/>
      <c r="H1162" s="10"/>
      <c r="I1162" s="10"/>
      <c r="J1162" s="10"/>
    </row>
    <row r="1163" spans="2:10" ht="33" customHeight="1" x14ac:dyDescent="0.3">
      <c r="B1163" s="10"/>
      <c r="C1163" s="10"/>
      <c r="D1163" s="10"/>
      <c r="F1163" s="10"/>
      <c r="G1163" s="10"/>
      <c r="H1163" s="10"/>
      <c r="I1163" s="10"/>
      <c r="J1163" s="10"/>
    </row>
    <row r="1164" spans="2:10" ht="33" customHeight="1" x14ac:dyDescent="0.3">
      <c r="B1164" s="10"/>
      <c r="C1164" s="10"/>
      <c r="D1164" s="10"/>
      <c r="F1164" s="10"/>
      <c r="G1164" s="10"/>
      <c r="H1164" s="10"/>
      <c r="I1164" s="10"/>
      <c r="J1164" s="10"/>
    </row>
  </sheetData>
  <mergeCells count="3">
    <mergeCell ref="B1:AD1"/>
    <mergeCell ref="AG1:AJ1"/>
    <mergeCell ref="AL1:AM2"/>
  </mergeCells>
  <conditionalFormatting sqref="N2:N652">
    <cfRule type="containsText" dxfId="85" priority="3" operator="containsText" text="PO Drafted">
      <formula>NOT(ISERROR(SEARCH("PO Drafted",N2)))</formula>
    </cfRule>
    <cfRule type="containsText" dxfId="84" priority="4" operator="containsText" text="Production Complete">
      <formula>NOT(ISERROR(SEARCH("Production Complete",N2)))</formula>
    </cfRule>
    <cfRule type="containsText" dxfId="83" priority="5" operator="containsText" text="ON HOLD">
      <formula>NOT(ISERROR(SEARCH("ON HOLD",N2)))</formula>
    </cfRule>
    <cfRule type="containsText" dxfId="82" priority="10" operator="containsText" text="D/W Sent">
      <formula>NOT(ISERROR(SEARCH("D/W Sent",N2)))</formula>
    </cfRule>
    <cfRule type="containsText" dxfId="81" priority="13" operator="containsText" text="Picked">
      <formula>NOT(ISERROR(SEARCH("Picked",N2)))</formula>
    </cfRule>
    <cfRule type="containsText" dxfId="80" priority="14" operator="containsText" text="Rework">
      <formula>NOT(ISERROR(SEARCH("Rework",N2)))</formula>
    </cfRule>
    <cfRule type="containsText" dxfId="79" priority="15" operator="containsText" text="In Production">
      <formula>NOT(ISERROR(SEARCH("In Production",N2)))</formula>
    </cfRule>
    <cfRule type="containsText" dxfId="78" priority="16" operator="containsText" text="Out of stock">
      <formula>NOT(ISERROR(SEARCH("Out of stock",N2)))</formula>
    </cfRule>
    <cfRule type="containsText" dxfId="77" priority="17" operator="containsText" text="Not Meet MOQ">
      <formula>NOT(ISERROR(SEARCH("Not Meet MOQ",N2)))</formula>
    </cfRule>
    <cfRule type="containsText" dxfId="76" priority="18" operator="containsText" text="Available">
      <formula>NOT(ISERROR(SEARCH("Available",N2)))</formula>
    </cfRule>
    <cfRule type="containsText" dxfId="75" priority="19" operator="containsText" text="Pending Picking">
      <formula>NOT(ISERROR(SEARCH("Pending Picking",N2)))</formula>
    </cfRule>
    <cfRule type="containsText" dxfId="74" priority="20" operator="containsText" text="PO Submitted">
      <formula>NOT(ISERROR(SEARCH("PO Submitted",N2)))</formula>
    </cfRule>
    <cfRule type="containsText" dxfId="73" priority="21" operator="containsText" text="Transit to Warehouse">
      <formula>NOT(ISERROR(SEARCH("Transit to Warehouse",N2)))</formula>
    </cfRule>
  </conditionalFormatting>
  <conditionalFormatting sqref="N2:AD652 B2:L652">
    <cfRule type="expression" dxfId="72" priority="9">
      <formula>AND(LEN(B2)&gt;0,NOT(ISERROR(B2)),B2&lt;&gt;0)</formula>
    </cfRule>
    <cfRule type="cellIs" dxfId="71" priority="12" operator="equal">
      <formula>0</formula>
    </cfRule>
  </conditionalFormatting>
  <conditionalFormatting sqref="N2:AD652 E2:E652 H2:L652">
    <cfRule type="containsBlanks" dxfId="70" priority="11">
      <formula>LEN(TRIM(E2))=0</formula>
    </cfRule>
  </conditionalFormatting>
  <conditionalFormatting sqref="AC3:AC652">
    <cfRule type="expression" dxfId="69" priority="6" stopIfTrue="1">
      <formula>AND( AC3&lt;&gt;"", VALUE(LEFT(AC3,FIND("/",AC3)-1)) &gt;= VALUE(MID(AC3,FIND("/",AC3)+1,999)) )</formula>
    </cfRule>
    <cfRule type="expression" dxfId="68" priority="7" stopIfTrue="1">
      <formula>AND(   AC3&lt;&gt;"",   --_xlfn.TEXTBEFORE(AC3,"/") &lt; 0.4 * --_xlfn.TEXTAFTER(AC3,"/") )</formula>
    </cfRule>
    <cfRule type="expression" dxfId="67" priority="8" stopIfTrue="1">
      <formula>IF(AC3&lt;&gt;"","TRUE","FALSE")</formula>
    </cfRule>
  </conditionalFormatting>
  <conditionalFormatting sqref="AD3:AD652">
    <cfRule type="expression" dxfId="66" priority="1" stopIfTrue="1">
      <formula>$AK$2 =I3</formula>
    </cfRule>
    <cfRule type="expression" dxfId="65" priority="2" stopIfTrue="1">
      <formula>AND(I3&lt;&gt;"",$AK$2&lt;&gt;I3)</formula>
    </cfRule>
  </conditionalFormatting>
  <dataValidations count="1">
    <dataValidation allowBlank="1" showInputMessage="1" showErrorMessage="1" sqref="O2:Z2 A1:A2 B2:L2" xr:uid="{E667240B-32EB-4379-B97B-5C7600EED9E4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D44A6698-45AB-41F1-B8CA-DCBE336FA273}">
          <x14:formula1>
            <xm:f>'SKU''S'!$A$1:$A$369</xm:f>
          </x14:formula1>
          <xm:sqref>AH2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05DA-EFEC-4555-AF7E-D51FD6E15C73}">
  <dimension ref="A1:ADA1164"/>
  <sheetViews>
    <sheetView topLeftCell="B1" workbookViewId="0">
      <pane ySplit="2" topLeftCell="A13" activePane="bottomLeft" state="frozen"/>
      <selection activeCell="B1" sqref="B1"/>
      <selection pane="bottomLeft" activeCell="AJ656" sqref="AJ656"/>
    </sheetView>
  </sheetViews>
  <sheetFormatPr defaultColWidth="9.109375" defaultRowHeight="33" customHeight="1" x14ac:dyDescent="0.3"/>
  <cols>
    <col min="1" max="1" width="11.44140625" hidden="1" customWidth="1"/>
    <col min="2" max="2" width="13.33203125" style="12" bestFit="1" customWidth="1"/>
    <col min="3" max="3" width="15.109375" style="12" bestFit="1" customWidth="1"/>
    <col min="4" max="4" width="30.6640625" style="12" hidden="1" customWidth="1"/>
    <col min="5" max="5" width="12" style="18" customWidth="1"/>
    <col min="6" max="6" width="1.33203125" style="12" hidden="1" customWidth="1"/>
    <col min="7" max="7" width="34.5546875" style="12" customWidth="1"/>
    <col min="8" max="8" width="16.33203125" style="12" hidden="1" customWidth="1"/>
    <col min="9" max="9" width="13" style="13" hidden="1" customWidth="1"/>
    <col min="10" max="10" width="13.33203125" style="12" customWidth="1"/>
    <col min="11" max="11" width="11.44140625" hidden="1" customWidth="1"/>
    <col min="12" max="12" width="12.44140625" hidden="1" customWidth="1"/>
    <col min="13" max="13" width="0" hidden="1" customWidth="1"/>
    <col min="14" max="14" width="25.33203125" style="10" customWidth="1"/>
    <col min="15" max="15" width="30.6640625" hidden="1" customWidth="1"/>
    <col min="16" max="16" width="12.44140625" hidden="1" customWidth="1"/>
    <col min="17" max="17" width="14.88671875" hidden="1" customWidth="1"/>
    <col min="18" max="20" width="12.44140625" hidden="1" customWidth="1"/>
    <col min="21" max="21" width="30.6640625" hidden="1" customWidth="1"/>
    <col min="22" max="25" width="12.44140625" hidden="1" customWidth="1"/>
    <col min="26" max="26" width="18.5546875" hidden="1" customWidth="1"/>
    <col min="27" max="28" width="20.6640625" hidden="1" customWidth="1"/>
    <col min="29" max="30" width="12.88671875" customWidth="1"/>
    <col min="31" max="31" width="0" hidden="1" customWidth="1"/>
    <col min="32" max="32" width="3.6640625" customWidth="1"/>
    <col min="33" max="33" width="8.6640625" customWidth="1"/>
    <col min="34" max="34" width="17" customWidth="1"/>
    <col min="35" max="35" width="8.6640625" customWidth="1"/>
    <col min="36" max="36" width="8.44140625" customWidth="1"/>
    <col min="37" max="37" width="8.6640625" hidden="1" customWidth="1"/>
    <col min="38" max="38" width="8.6640625" customWidth="1"/>
    <col min="39" max="39" width="6.109375" customWidth="1"/>
    <col min="40" max="51" width="8.5546875" customWidth="1"/>
  </cols>
  <sheetData>
    <row r="1" spans="1:781" s="6" customFormat="1" ht="24.75" customHeight="1" thickTop="1" thickBot="1" x14ac:dyDescent="0.4">
      <c r="A1" s="16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F1"/>
      <c r="AG1" s="58" t="s">
        <v>1</v>
      </c>
      <c r="AH1" s="54"/>
      <c r="AI1" s="54"/>
      <c r="AJ1" s="55"/>
      <c r="AK1" t="e" cm="1">
        <f t="array" ref="AK1">_xlfn.TEXTJOIN("-",,INDEX(_xlfn.TEXTSPLIT(AH2,"-"),{1,2}))</f>
        <v>#VALUE!</v>
      </c>
      <c r="AL1" s="56"/>
      <c r="AM1" s="5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</row>
    <row r="2" spans="1:781" s="6" customFormat="1" ht="40.5" customHeight="1" thickTop="1" thickBot="1" x14ac:dyDescent="0.4">
      <c r="A2" s="8" t="s">
        <v>2</v>
      </c>
      <c r="B2" s="9" t="s">
        <v>3</v>
      </c>
      <c r="C2" s="9" t="s">
        <v>4</v>
      </c>
      <c r="D2" s="9" t="s">
        <v>5</v>
      </c>
      <c r="E2" s="9" t="s">
        <v>32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6" t="s">
        <v>38</v>
      </c>
      <c r="N2" s="9" t="s">
        <v>15</v>
      </c>
      <c r="O2" s="5" t="s">
        <v>16</v>
      </c>
      <c r="P2" s="1" t="s">
        <v>17</v>
      </c>
      <c r="Q2" s="3" t="s">
        <v>18</v>
      </c>
      <c r="R2" s="2" t="s">
        <v>19</v>
      </c>
      <c r="S2" s="2" t="s">
        <v>20</v>
      </c>
      <c r="T2" s="4" t="s">
        <v>21</v>
      </c>
      <c r="U2" s="1" t="s">
        <v>22</v>
      </c>
      <c r="V2" s="5" t="s">
        <v>23</v>
      </c>
      <c r="W2" s="5" t="s">
        <v>24</v>
      </c>
      <c r="X2" s="4" t="s">
        <v>25</v>
      </c>
      <c r="Y2" s="4" t="s">
        <v>26</v>
      </c>
      <c r="Z2" s="11" t="s">
        <v>27</v>
      </c>
      <c r="AA2" t="s">
        <v>28</v>
      </c>
      <c r="AB2" t="s">
        <v>29</v>
      </c>
      <c r="AC2" s="9" t="s">
        <v>30</v>
      </c>
      <c r="AD2" s="9" t="s">
        <v>31</v>
      </c>
      <c r="AE2" s="6" t="s">
        <v>37</v>
      </c>
      <c r="AF2"/>
      <c r="AG2" s="19" t="s">
        <v>33</v>
      </c>
      <c r="AH2" s="44"/>
      <c r="AI2" s="20" t="s">
        <v>35</v>
      </c>
      <c r="AJ2" s="45"/>
      <c r="AK2" t="e">
        <f>_xlfn.TEXTAFTER(AH2,"-", -1)</f>
        <v>#VALUE!</v>
      </c>
      <c r="AL2" s="56"/>
      <c r="AM2" s="5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</row>
    <row r="3" spans="1:781" ht="33" hidden="1" customHeight="1" x14ac:dyDescent="0.3">
      <c r="A3">
        <f>'[1]2026 Orders'!A4</f>
        <v>45726</v>
      </c>
      <c r="B3" s="14" t="str">
        <f>'[1]2026 Orders'!B4</f>
        <v>China</v>
      </c>
      <c r="C3" s="14" t="str">
        <f>'[1]2026 Orders'!C4</f>
        <v>A4458</v>
      </c>
      <c r="D3" s="14">
        <f>'[1]2026 Orders'!D4</f>
        <v>0</v>
      </c>
      <c r="E3" s="17" t="str" cm="1">
        <f t="array" ref="E3">IF(C3=0,"",
HYPERLINK(
"#'2026 Orders'!C"&amp;
MATCH(1,
('2026 Orders'!C:C=C3)*
('2026 Orders'!G:G=G3)*
('2026 Orders'!N:N=N3),
0),
"Open "&amp;C3
))</f>
        <v>Open A4458</v>
      </c>
      <c r="F3" s="14">
        <f>'[1]2026 Orders'!F4</f>
        <v>0</v>
      </c>
      <c r="G3" s="14" t="str">
        <f>'[1]2026 Orders'!G4</f>
        <v>SELENIU-60-FD</v>
      </c>
      <c r="H3" s="14" t="str" cm="1">
        <f t="array" ref="H3">IFERROR(_xlfn.TEXTJOIN("-",,INDEX(_xlfn.TEXTSPLIT(TableGive[[#This Row],[SKU]],"-"),{1,2})),"")</f>
        <v>SELENIU-60</v>
      </c>
      <c r="I3" s="15" t="str">
        <f>IFERROR(_xlfn.TEXTAFTER(TableGive[[#This Row],[SKU]],"-",-1),"")</f>
        <v>FD</v>
      </c>
      <c r="J3" s="14">
        <f>'[1]2026 Orders'!H4</f>
        <v>200</v>
      </c>
      <c r="K3" t="str">
        <f>'[1]2026 Orders'!I4</f>
        <v>F63-25.1</v>
      </c>
      <c r="L3">
        <f>'[1]2026 Orders'!J4</f>
        <v>0</v>
      </c>
      <c r="N3" s="10" t="str">
        <f>'[1]2026 Orders'!L4</f>
        <v>D/W Sent</v>
      </c>
      <c r="O3" t="str">
        <f>'[1]2026 Orders'!M4</f>
        <v>12/15 D/W Sent</v>
      </c>
      <c r="P3" t="str">
        <f>'[1]2026 Orders'!N4</f>
        <v>NA</v>
      </c>
      <c r="Q3" t="str">
        <f>'[1]2026 Orders'!O4</f>
        <v>604776735762</v>
      </c>
      <c r="R3">
        <f>'[1]2026 Orders'!P4</f>
        <v>3000</v>
      </c>
      <c r="S3">
        <f>'[1]2026 Orders'!Q4</f>
        <v>4833</v>
      </c>
      <c r="T3" t="str">
        <f>'[1]2026 Orders'!R4</f>
        <v>complete</v>
      </c>
      <c r="U3">
        <f>'[1]2026 Orders'!S4</f>
        <v>0</v>
      </c>
      <c r="V3">
        <f>'[1]2026 Orders'!T4</f>
        <v>0</v>
      </c>
      <c r="W3">
        <f>'[1]2026 Orders'!U4</f>
        <v>0</v>
      </c>
      <c r="X3">
        <f>'[1]2026 Orders'!V4</f>
        <v>0</v>
      </c>
      <c r="Y3">
        <f>'[1]2026 Orders'!W4</f>
        <v>0</v>
      </c>
      <c r="Z3" t="str">
        <f>'[1]2026 Orders'!X4</f>
        <v>Approved 01/16/26</v>
      </c>
      <c r="AC3" t="str">
        <f t="shared" ref="AC3:AC66" si="0">IF(OR(B3="",B3=0),"",$AJ$2&amp;"/"&amp;J3)</f>
        <v>/200</v>
      </c>
      <c r="AD3" t="e">
        <f t="shared" ref="AD3:AD66" si="1">IF(OR(J3="",J3=0),"",$AK$2&amp;" -&gt; "&amp;I3)</f>
        <v>#VALUE!</v>
      </c>
    </row>
    <row r="4" spans="1:781" ht="33" hidden="1" customHeight="1" x14ac:dyDescent="0.3">
      <c r="A4">
        <f>'[1]2026 Orders'!A5</f>
        <v>0</v>
      </c>
      <c r="B4" s="14">
        <f>'[1]2026 Orders'!B5</f>
        <v>0</v>
      </c>
      <c r="C4" s="14">
        <f>'[1]2026 Orders'!C5</f>
        <v>0</v>
      </c>
      <c r="D4" s="14">
        <f>'[1]2026 Orders'!D5</f>
        <v>0</v>
      </c>
      <c r="E4" s="17" t="str" cm="1">
        <f t="array" ref="E4">IF(C4=0,"",
HYPERLINK(
"#'2026 Orders'!C"&amp;
MATCH(1,
('2026 Orders'!C:C=C4)*
('2026 Orders'!G:G=G4)*
('2026 Orders'!N:N=N4),
0),
"Open "&amp;C4
))</f>
        <v/>
      </c>
      <c r="F4" s="14">
        <f>'[1]2026 Orders'!F5</f>
        <v>0</v>
      </c>
      <c r="G4" s="14">
        <f>'[1]2026 Orders'!G5</f>
        <v>0</v>
      </c>
      <c r="H4" s="14" t="str" cm="1">
        <f t="array" ref="H4">IFERROR(_xlfn.TEXTJOIN("-",,INDEX(_xlfn.TEXTSPLIT(TableGive[[#This Row],[SKU]],"-"),{1,2})),"")</f>
        <v/>
      </c>
      <c r="I4" s="15" t="str">
        <f>IFERROR(_xlfn.TEXTAFTER(TableGive[[#This Row],[SKU]],"-",-1),"")</f>
        <v/>
      </c>
      <c r="J4" s="14">
        <f>'[1]2026 Orders'!H5</f>
        <v>0</v>
      </c>
      <c r="K4">
        <f>'[1]2026 Orders'!I5</f>
        <v>0</v>
      </c>
      <c r="L4">
        <f>'[1]2026 Orders'!J5</f>
        <v>0</v>
      </c>
      <c r="N4" s="10">
        <f>'[1]2026 Orders'!L5</f>
        <v>0</v>
      </c>
      <c r="O4">
        <f>'[1]2026 Orders'!M5</f>
        <v>0</v>
      </c>
      <c r="P4">
        <f>'[1]2026 Orders'!N5</f>
        <v>0</v>
      </c>
      <c r="Q4">
        <f>'[1]2026 Orders'!O5</f>
        <v>0</v>
      </c>
      <c r="R4">
        <f>'[1]2026 Orders'!P5</f>
        <v>0</v>
      </c>
      <c r="S4">
        <f>'[1]2026 Orders'!Q5</f>
        <v>0</v>
      </c>
      <c r="T4">
        <f>'[1]2026 Orders'!R5</f>
        <v>0</v>
      </c>
      <c r="U4">
        <f>'[1]2026 Orders'!S5</f>
        <v>0</v>
      </c>
      <c r="V4">
        <f>'[1]2026 Orders'!T5</f>
        <v>0</v>
      </c>
      <c r="W4">
        <f>'[1]2026 Orders'!U5</f>
        <v>0</v>
      </c>
      <c r="X4">
        <f>'[1]2026 Orders'!V5</f>
        <v>0</v>
      </c>
      <c r="Y4">
        <f>'[1]2026 Orders'!W5</f>
        <v>0</v>
      </c>
      <c r="Z4">
        <f>'[1]2026 Orders'!X5</f>
        <v>0</v>
      </c>
      <c r="AC4" t="str">
        <f t="shared" si="0"/>
        <v/>
      </c>
      <c r="AD4" t="str">
        <f t="shared" si="1"/>
        <v/>
      </c>
    </row>
    <row r="5" spans="1:781" ht="33" hidden="1" customHeight="1" x14ac:dyDescent="0.3">
      <c r="A5">
        <f>'[1]2026 Orders'!A6</f>
        <v>45443</v>
      </c>
      <c r="B5" s="14" t="str">
        <f>'[1]2026 Orders'!B6</f>
        <v>China</v>
      </c>
      <c r="C5" s="14" t="str">
        <f>'[1]2026 Orders'!C6</f>
        <v>A4425</v>
      </c>
      <c r="D5" s="14">
        <f>'[1]2026 Orders'!D6</f>
        <v>0</v>
      </c>
      <c r="E5" s="17" t="str" cm="1">
        <f t="array" ref="E5">IF(C5=0,"",
HYPERLINK(
"#'2026 Orders'!C"&amp;
MATCH(1,
('2026 Orders'!C:C=C5)*
('2026 Orders'!G:G=G5)*
('2026 Orders'!N:N=N5),
0),
"Open "&amp;C5
))</f>
        <v>Open A4425</v>
      </c>
      <c r="F5" s="14">
        <f>'[1]2026 Orders'!F6</f>
        <v>0</v>
      </c>
      <c r="G5" s="14" t="str">
        <f>'[1]2026 Orders'!G6</f>
        <v>VIACAL-60-FD</v>
      </c>
      <c r="H5" s="14" t="str" cm="1">
        <f t="array" ref="H5">IFERROR(_xlfn.TEXTJOIN("-",,INDEX(_xlfn.TEXTSPLIT(TableGive[[#This Row],[SKU]],"-"),{1,2})),"")</f>
        <v>VIACAL-60</v>
      </c>
      <c r="I5" s="15" t="str">
        <f>IFERROR(_xlfn.TEXTAFTER(TableGive[[#This Row],[SKU]],"-",-1),"")</f>
        <v>FD</v>
      </c>
      <c r="J5" s="14">
        <f>'[1]2026 Orders'!H6</f>
        <v>200</v>
      </c>
      <c r="K5" t="str">
        <f>'[1]2026 Orders'!I6</f>
        <v>F66-22.1</v>
      </c>
      <c r="L5">
        <f>'[1]2026 Orders'!J6</f>
        <v>200</v>
      </c>
      <c r="N5" s="10" t="str">
        <f>'[1]2026 Orders'!L6</f>
        <v>D/W Sent</v>
      </c>
      <c r="O5" t="str">
        <f>'[1]2026 Orders'!M6</f>
        <v>01/13 D/W Sent</v>
      </c>
      <c r="P5" t="str">
        <f>'[1]2026 Orders'!N6</f>
        <v>NA</v>
      </c>
      <c r="Q5" t="str">
        <f>'[1]2026 Orders'!O6</f>
        <v>609788968160</v>
      </c>
      <c r="R5">
        <f>'[1]2026 Orders'!P6</f>
        <v>2000</v>
      </c>
      <c r="S5">
        <f>'[1]2026 Orders'!Q6</f>
        <v>4661</v>
      </c>
      <c r="T5" t="str">
        <f>'[1]2026 Orders'!R6</f>
        <v>complete</v>
      </c>
      <c r="U5">
        <f>'[1]2026 Orders'!S6</f>
        <v>0</v>
      </c>
      <c r="V5">
        <f>'[1]2026 Orders'!T6</f>
        <v>0</v>
      </c>
      <c r="W5">
        <f>'[1]2026 Orders'!U6</f>
        <v>0</v>
      </c>
      <c r="X5">
        <f>'[1]2026 Orders'!V6</f>
        <v>0</v>
      </c>
      <c r="Y5">
        <f>'[1]2026 Orders'!W6</f>
        <v>0</v>
      </c>
      <c r="Z5" t="str">
        <f>'[1]2026 Orders'!X6</f>
        <v>Approved</v>
      </c>
      <c r="AC5" t="str">
        <f t="shared" si="0"/>
        <v>/200</v>
      </c>
      <c r="AD5" t="e">
        <f t="shared" si="1"/>
        <v>#VALUE!</v>
      </c>
    </row>
    <row r="6" spans="1:781" ht="33" hidden="1" customHeight="1" x14ac:dyDescent="0.3">
      <c r="A6">
        <f>'[1]2026 Orders'!A7</f>
        <v>0</v>
      </c>
      <c r="B6" s="14">
        <f>'[1]2026 Orders'!B7</f>
        <v>0</v>
      </c>
      <c r="C6" s="14">
        <f>'[1]2026 Orders'!C7</f>
        <v>0</v>
      </c>
      <c r="D6" s="14">
        <f>'[1]2026 Orders'!D7</f>
        <v>0</v>
      </c>
      <c r="E6" s="17" t="str" cm="1">
        <f t="array" ref="E6">IF(C6=0,"",
HYPERLINK(
"#'2026 Orders'!C"&amp;
MATCH(1,
('2026 Orders'!C:C=C6)*
('2026 Orders'!G:G=G6)*
('2026 Orders'!N:N=N6),
0),
"Open "&amp;C6
))</f>
        <v/>
      </c>
      <c r="F6" s="14">
        <f>'[1]2026 Orders'!F7</f>
        <v>0</v>
      </c>
      <c r="G6" s="14">
        <f>'[1]2026 Orders'!G7</f>
        <v>0</v>
      </c>
      <c r="H6" s="14" t="str" cm="1">
        <f t="array" ref="H6">IFERROR(_xlfn.TEXTJOIN("-",,INDEX(_xlfn.TEXTSPLIT(TableGive[[#This Row],[SKU]],"-"),{1,2})),"")</f>
        <v/>
      </c>
      <c r="I6" s="15" t="str">
        <f>IFERROR(_xlfn.TEXTAFTER(TableGive[[#This Row],[SKU]],"-",-1),"")</f>
        <v/>
      </c>
      <c r="J6" s="14">
        <f>'[1]2026 Orders'!H7</f>
        <v>0</v>
      </c>
      <c r="K6">
        <f>'[1]2026 Orders'!I7</f>
        <v>0</v>
      </c>
      <c r="L6">
        <f>'[1]2026 Orders'!J7</f>
        <v>0</v>
      </c>
      <c r="N6" s="10">
        <f>'[1]2026 Orders'!L7</f>
        <v>0</v>
      </c>
      <c r="O6">
        <f>'[1]2026 Orders'!M7</f>
        <v>0</v>
      </c>
      <c r="P6">
        <f>'[1]2026 Orders'!N7</f>
        <v>0</v>
      </c>
      <c r="Q6">
        <f>'[1]2026 Orders'!O7</f>
        <v>0</v>
      </c>
      <c r="R6">
        <f>'[1]2026 Orders'!P7</f>
        <v>0</v>
      </c>
      <c r="S6">
        <f>'[1]2026 Orders'!Q7</f>
        <v>0</v>
      </c>
      <c r="T6">
        <f>'[1]2026 Orders'!R7</f>
        <v>0</v>
      </c>
      <c r="U6">
        <f>'[1]2026 Orders'!S7</f>
        <v>0</v>
      </c>
      <c r="V6">
        <f>'[1]2026 Orders'!T7</f>
        <v>0</v>
      </c>
      <c r="W6">
        <f>'[1]2026 Orders'!U7</f>
        <v>0</v>
      </c>
      <c r="X6">
        <f>'[1]2026 Orders'!V7</f>
        <v>0</v>
      </c>
      <c r="Y6">
        <f>'[1]2026 Orders'!W7</f>
        <v>0</v>
      </c>
      <c r="Z6">
        <f>'[1]2026 Orders'!X7</f>
        <v>0</v>
      </c>
      <c r="AC6" t="str">
        <f t="shared" si="0"/>
        <v/>
      </c>
      <c r="AD6" t="str">
        <f t="shared" si="1"/>
        <v/>
      </c>
    </row>
    <row r="7" spans="1:781" ht="33" hidden="1" customHeight="1" x14ac:dyDescent="0.3">
      <c r="A7">
        <f>'[1]2026 Orders'!A8</f>
        <v>45589</v>
      </c>
      <c r="B7" s="14" t="str">
        <f>'[1]2026 Orders'!B8</f>
        <v>UAE</v>
      </c>
      <c r="C7" s="14" t="str">
        <f>'[1]2026 Orders'!C8</f>
        <v>A4624</v>
      </c>
      <c r="D7" s="14" t="str">
        <f>'[1]2026 Orders'!D8</f>
        <v>Under going registration in UAE                5/13/2026: UAE unable to take, exploring if other clients can take product.</v>
      </c>
      <c r="E7" s="17" t="e" cm="1">
        <f t="array" ref="E7">IF(C7=0,"",
HYPERLINK(
"#'2026 Orders'!C"&amp;
MATCH(1,
('2026 Orders'!C:C=C7)*
('2026 Orders'!G:G=G7)*
('2026 Orders'!N:N=N7),
0),
"Open "&amp;C7
))</f>
        <v>#N/A</v>
      </c>
      <c r="F7" s="14" t="str">
        <f>'[1]2026 Orders'!F8</f>
        <v> 6/13/2025: products added from UAE A4393 
9/5/2025: 96 packs allocated to Amazon  
9/18/2025: Moved from A4445</v>
      </c>
      <c r="G7" s="14" t="str">
        <f>'[1]2026 Orders'!G8</f>
        <v>NERUFLX-60-FD</v>
      </c>
      <c r="H7" s="14" t="str" cm="1">
        <f t="array" ref="H7">IFERROR(_xlfn.TEXTJOIN("-",,INDEX(_xlfn.TEXTSPLIT(TableGive[[#This Row],[SKU]],"-"),{1,2})),"")</f>
        <v>NERUFLX-60</v>
      </c>
      <c r="I7" s="15" t="str">
        <f>IFERROR(_xlfn.TEXTAFTER(TableGive[[#This Row],[SKU]],"-",-1),"")</f>
        <v>FD</v>
      </c>
      <c r="J7" s="14">
        <f>'[1]2026 Orders'!H8</f>
        <v>1054</v>
      </c>
      <c r="K7" t="str">
        <f>'[1]2026 Orders'!I8</f>
        <v>F115-25.0</v>
      </c>
      <c r="L7">
        <f>'[1]2026 Orders'!J8</f>
        <v>1054</v>
      </c>
      <c r="N7" s="10" t="str">
        <f>'[1]2026 Orders'!L8</f>
        <v>Sales Action Needed</v>
      </c>
      <c r="O7" t="str">
        <f>'[1]2026 Orders'!M8</f>
        <v>01/20 D/W Sent</v>
      </c>
      <c r="P7" t="str">
        <f>'[1]2026 Orders'!N8</f>
        <v>Y</v>
      </c>
      <c r="Q7">
        <f>'[1]2026 Orders'!O8</f>
        <v>810131193164</v>
      </c>
      <c r="R7">
        <f>'[1]2026 Orders'!P8</f>
        <v>2500</v>
      </c>
      <c r="S7">
        <f>'[1]2026 Orders'!Q8</f>
        <v>4524</v>
      </c>
      <c r="T7" t="str">
        <f>'[1]2026 Orders'!R8</f>
        <v>complete</v>
      </c>
      <c r="U7">
        <f>'[1]2026 Orders'!S8</f>
        <v>0</v>
      </c>
      <c r="V7">
        <f>'[1]2026 Orders'!T8</f>
        <v>0</v>
      </c>
      <c r="W7" t="str">
        <f>'[1]2026 Orders'!U8</f>
        <v> </v>
      </c>
      <c r="X7">
        <f>'[1]2026 Orders'!V8</f>
        <v>0</v>
      </c>
      <c r="Y7" t="str">
        <f>'[1]2026 Orders'!W8</f>
        <v> </v>
      </c>
      <c r="Z7" t="str">
        <f>'[1]2026 Orders'!X8</f>
        <v>HOLD</v>
      </c>
      <c r="AC7" t="str">
        <f t="shared" si="0"/>
        <v>/1054</v>
      </c>
      <c r="AD7" t="e">
        <f t="shared" si="1"/>
        <v>#VALUE!</v>
      </c>
    </row>
    <row r="8" spans="1:781" ht="33" hidden="1" customHeight="1" x14ac:dyDescent="0.3">
      <c r="A8">
        <f>'[1]2026 Orders'!A9</f>
        <v>46058</v>
      </c>
      <c r="B8" s="14">
        <f>'[1]2026 Orders'!B9</f>
        <v>0</v>
      </c>
      <c r="C8" s="14" t="str">
        <f>'[1]2026 Orders'!C9</f>
        <v>A4553</v>
      </c>
      <c r="D8" s="14" t="str">
        <f>'[1]2026 Orders'!D9</f>
        <v>5/13/2026:
*DO NOT PREPARE ORDER FOR SHIPMENT YET: ADDITIONAL PRODUCTS TO BE ADDED*</v>
      </c>
      <c r="E8" s="17" t="e" cm="1">
        <f t="array" ref="E8">IF(C8=0,"",
HYPERLINK(
"#'2026 Orders'!C"&amp;
MATCH(1,
('2026 Orders'!C:C=C8)*
('2026 Orders'!G:G=G8)*
('2026 Orders'!N:N=N8),
0),
"Open "&amp;C8
))</f>
        <v>#N/A</v>
      </c>
      <c r="F8" s="14" t="str">
        <f>'[1]2026 Orders'!F9</f>
        <v>3/30/2026:
Moved from UAE A4644</v>
      </c>
      <c r="G8" s="14" t="str">
        <f>'[1]2026 Orders'!G9</f>
        <v>MFSPLS-120-RE</v>
      </c>
      <c r="H8" s="14" t="str" cm="1">
        <f t="array" ref="H8">IFERROR(_xlfn.TEXTJOIN("-",,INDEX(_xlfn.TEXTSPLIT(TableGive[[#This Row],[SKU]],"-"),{1,2})),"")</f>
        <v>MFSPLS-120</v>
      </c>
      <c r="I8" s="15" t="str">
        <f>IFERROR(_xlfn.TEXTAFTER(TableGive[[#This Row],[SKU]],"-",-1),"")</f>
        <v>RE</v>
      </c>
      <c r="J8" s="14">
        <f>'[1]2026 Orders'!H9</f>
        <v>1050</v>
      </c>
      <c r="K8">
        <f>'[1]2026 Orders'!I9</f>
        <v>0</v>
      </c>
      <c r="L8">
        <f>'[1]2026 Orders'!J9</f>
        <v>1050</v>
      </c>
      <c r="N8" s="10" t="str">
        <f>'[1]2026 Orders'!L9</f>
        <v>Picked</v>
      </c>
      <c r="O8">
        <f>'[1]2026 Orders'!M9</f>
        <v>0</v>
      </c>
      <c r="P8" t="str">
        <f>'[1]2026 Orders'!N9</f>
        <v>NA</v>
      </c>
      <c r="Q8">
        <f>'[1]2026 Orders'!O9</f>
        <v>609788968344</v>
      </c>
      <c r="R8">
        <f>'[1]2026 Orders'!P9</f>
        <v>7000</v>
      </c>
      <c r="S8">
        <f>'[1]2026 Orders'!Q9</f>
        <v>4935</v>
      </c>
      <c r="T8" t="str">
        <f>'[1]2026 Orders'!R9</f>
        <v>complete</v>
      </c>
      <c r="U8">
        <f>'[1]2026 Orders'!S9</f>
        <v>0</v>
      </c>
      <c r="V8">
        <f>'[1]2026 Orders'!T9</f>
        <v>0</v>
      </c>
      <c r="W8">
        <f>'[1]2026 Orders'!U9</f>
        <v>0</v>
      </c>
      <c r="X8">
        <f>'[1]2026 Orders'!V9</f>
        <v>0</v>
      </c>
      <c r="Y8">
        <f>'[1]2026 Orders'!W9</f>
        <v>0</v>
      </c>
      <c r="Z8">
        <f>'[1]2026 Orders'!X9</f>
        <v>0</v>
      </c>
      <c r="AC8" t="str">
        <f t="shared" si="0"/>
        <v/>
      </c>
      <c r="AD8" t="e">
        <f t="shared" si="1"/>
        <v>#VALUE!</v>
      </c>
    </row>
    <row r="9" spans="1:781" ht="33" hidden="1" customHeight="1" x14ac:dyDescent="0.3">
      <c r="A9">
        <f>'[1]2026 Orders'!A10</f>
        <v>45880</v>
      </c>
      <c r="B9" s="14" t="str">
        <f>'[1]2026 Orders'!B10</f>
        <v>Kuwait</v>
      </c>
      <c r="C9" s="14" t="str">
        <f>'[1]2026 Orders'!C10</f>
        <v>A4562</v>
      </c>
      <c r="D9" s="14" t="str">
        <f>'[1]2026 Orders'!D10</f>
        <v>5/11/2026: Order on hold</v>
      </c>
      <c r="E9" s="17" t="str" cm="1">
        <f t="array" ref="E9">IF(C9=0,"",
HYPERLINK(
"#'2026 Orders'!C"&amp;
MATCH(1,
('2026 Orders'!C:C=C9)*
('2026 Orders'!G:G=G9)*
('2026 Orders'!N:N=N9),
0),
"Open "&amp;C9
))</f>
        <v>Open A4562</v>
      </c>
      <c r="F9" s="14" t="str">
        <f>'[1]2026 Orders'!F10</f>
        <v>11/3/2025: Waiting for registration   11/5/2025: Allocated 500 packs to UAE A4521</v>
      </c>
      <c r="G9" s="14" t="str">
        <f>'[1]2026 Orders'!G10</f>
        <v>EYECAP-30-FD</v>
      </c>
      <c r="H9" s="14" t="str" cm="1">
        <f t="array" ref="H9">IFERROR(_xlfn.TEXTJOIN("-",,INDEX(_xlfn.TEXTSPLIT(TableGive[[#This Row],[SKU]],"-"),{1,2})),"")</f>
        <v>EYECAP-30</v>
      </c>
      <c r="I9" s="15" t="str">
        <f>IFERROR(_xlfn.TEXTAFTER(TableGive[[#This Row],[SKU]],"-",-1),"")</f>
        <v>FD</v>
      </c>
      <c r="J9" s="14">
        <f>'[1]2026 Orders'!H10</f>
        <v>500</v>
      </c>
      <c r="K9" t="str">
        <f>'[1]2026 Orders'!I10</f>
        <v>F15-26.0</v>
      </c>
      <c r="L9">
        <f>'[1]2026 Orders'!J10</f>
        <v>0</v>
      </c>
      <c r="N9" s="10" t="str">
        <f>'[1]2026 Orders'!L10</f>
        <v>ON HOLD</v>
      </c>
      <c r="O9">
        <f>'[1]2026 Orders'!M10</f>
        <v>0</v>
      </c>
      <c r="P9" t="str">
        <f>'[1]2026 Orders'!N10</f>
        <v>Y</v>
      </c>
      <c r="Q9">
        <f>'[1]2026 Orders'!O10</f>
        <v>609788968443</v>
      </c>
      <c r="R9">
        <f>'[1]2026 Orders'!P10</f>
        <v>0</v>
      </c>
      <c r="S9">
        <f>'[1]2026 Orders'!Q10</f>
        <v>0</v>
      </c>
      <c r="T9">
        <f>'[1]2026 Orders'!R10</f>
        <v>0</v>
      </c>
      <c r="U9" t="str">
        <f>'[1]2026 Orders'!S10</f>
        <v>MOQ 5000</v>
      </c>
      <c r="V9">
        <f>'[1]2026 Orders'!T10</f>
        <v>0</v>
      </c>
      <c r="W9">
        <f>'[1]2026 Orders'!U10</f>
        <v>0</v>
      </c>
      <c r="X9">
        <f>'[1]2026 Orders'!V10</f>
        <v>0</v>
      </c>
      <c r="Y9">
        <f>'[1]2026 Orders'!W10</f>
        <v>0</v>
      </c>
      <c r="Z9" t="str">
        <f>'[1]2026 Orders'!X10</f>
        <v>HOLD</v>
      </c>
      <c r="AC9" t="str">
        <f t="shared" si="0"/>
        <v>/500</v>
      </c>
      <c r="AD9" t="e">
        <f t="shared" si="1"/>
        <v>#VALUE!</v>
      </c>
    </row>
    <row r="10" spans="1:781" ht="33" hidden="1" customHeight="1" x14ac:dyDescent="0.3">
      <c r="A10">
        <f>'[1]2026 Orders'!A11</f>
        <v>46141</v>
      </c>
      <c r="B10" s="14" t="str">
        <f>'[1]2026 Orders'!B11</f>
        <v>UAE</v>
      </c>
      <c r="C10" s="14" t="str">
        <f>'[1]2026 Orders'!C11</f>
        <v>A4553</v>
      </c>
      <c r="D10" s="14">
        <f>'[1]2026 Orders'!D11</f>
        <v>0</v>
      </c>
      <c r="E10" s="17" t="e" cm="1">
        <f t="array" ref="E10">IF(C10=0,"",
HYPERLINK(
"#'2026 Orders'!C"&amp;
MATCH(1,
('2026 Orders'!C:C=C10)*
('2026 Orders'!G:G=G10)*
('2026 Orders'!N:N=N10),
0),
"Open "&amp;C10
))</f>
        <v>#N/A</v>
      </c>
      <c r="F10" s="14" t="str">
        <f>'[1]2026 Orders'!F11</f>
        <v>4/29/2026: Product added 
5/4/2026: Qty changed 183 -&gt; 182</v>
      </c>
      <c r="G10" s="14" t="str">
        <f>'[1]2026 Orders'!G11</f>
        <v>POLYSIT-90-RE</v>
      </c>
      <c r="H10" s="14" t="str" cm="1">
        <f t="array" ref="H10">IFERROR(_xlfn.TEXTJOIN("-",,INDEX(_xlfn.TEXTSPLIT(TableGive[[#This Row],[SKU]],"-"),{1,2})),"")</f>
        <v>POLYSIT-90</v>
      </c>
      <c r="I10" s="15" t="str">
        <f>IFERROR(_xlfn.TEXTAFTER(TableGive[[#This Row],[SKU]],"-",-1),"")</f>
        <v>RE</v>
      </c>
      <c r="J10" s="14">
        <f>'[1]2026 Orders'!H11</f>
        <v>182</v>
      </c>
      <c r="K10">
        <f>'[1]2026 Orders'!I11</f>
        <v>0</v>
      </c>
      <c r="L10">
        <f>'[1]2026 Orders'!J11</f>
        <v>182</v>
      </c>
      <c r="N10" s="10">
        <f>'[1]2026 Orders'!L11</f>
        <v>0</v>
      </c>
      <c r="O10" t="str">
        <f>'[1]2026 Orders'!M11</f>
        <v>182 available Lot: 49311125</v>
      </c>
      <c r="P10" t="str">
        <f>'[1]2026 Orders'!N11</f>
        <v>Y</v>
      </c>
      <c r="Q10">
        <f>'[1]2026 Orders'!O11</f>
        <v>609788969006</v>
      </c>
      <c r="R10">
        <f>'[1]2026 Orders'!P11</f>
        <v>0</v>
      </c>
      <c r="S10">
        <f>'[1]2026 Orders'!Q11</f>
        <v>0</v>
      </c>
      <c r="T10">
        <f>'[1]2026 Orders'!R11</f>
        <v>0</v>
      </c>
      <c r="U10">
        <f>'[1]2026 Orders'!S11</f>
        <v>0</v>
      </c>
      <c r="V10">
        <f>'[1]2026 Orders'!T11</f>
        <v>0</v>
      </c>
      <c r="W10">
        <f>'[1]2026 Orders'!U11</f>
        <v>0</v>
      </c>
      <c r="X10">
        <f>'[1]2026 Orders'!V11</f>
        <v>0</v>
      </c>
      <c r="Y10">
        <f>'[1]2026 Orders'!W11</f>
        <v>0</v>
      </c>
      <c r="Z10">
        <f>'[1]2026 Orders'!X11</f>
        <v>0</v>
      </c>
      <c r="AC10" t="str">
        <f t="shared" si="0"/>
        <v>/182</v>
      </c>
      <c r="AD10" t="e">
        <f t="shared" si="1"/>
        <v>#VALUE!</v>
      </c>
    </row>
    <row r="11" spans="1:781" ht="33" hidden="1" customHeight="1" x14ac:dyDescent="0.3">
      <c r="A11">
        <f>'[1]2026 Orders'!A12</f>
        <v>45890</v>
      </c>
      <c r="B11" s="14" t="str">
        <f>'[1]2026 Orders'!B12</f>
        <v>Uganda</v>
      </c>
      <c r="C11" s="14" t="str">
        <f>'[1]2026 Orders'!C12</f>
        <v>A4522</v>
      </c>
      <c r="D11" s="14">
        <f>'[1]2026 Orders'!D12</f>
        <v>0</v>
      </c>
      <c r="E11" s="17" t="str" cm="1">
        <f t="array" ref="E11">IF(C11=0,"",
HYPERLINK(
"#'2026 Orders'!C"&amp;
MATCH(1,
('2026 Orders'!C:C=C11)*
('2026 Orders'!G:G=G11)*
('2026 Orders'!N:N=N11),
0),
"Open "&amp;C11
))</f>
        <v>Open A4522</v>
      </c>
      <c r="F11" s="14">
        <f>'[1]2026 Orders'!F12</f>
        <v>0</v>
      </c>
      <c r="G11" s="14" t="str">
        <f>'[1]2026 Orders'!G12</f>
        <v>SPERMCT-60-FD</v>
      </c>
      <c r="H11" s="14" t="str" cm="1">
        <f t="array" ref="H11">IFERROR(_xlfn.TEXTJOIN("-",,INDEX(_xlfn.TEXTSPLIT(TableGive[[#This Row],[SKU]],"-"),{1,2})),"")</f>
        <v>SPERMCT-60</v>
      </c>
      <c r="I11" s="15" t="str">
        <f>IFERROR(_xlfn.TEXTAFTER(TableGive[[#This Row],[SKU]],"-",-1),"")</f>
        <v>FD</v>
      </c>
      <c r="J11" s="14">
        <f>'[1]2026 Orders'!H12</f>
        <v>96</v>
      </c>
      <c r="K11" t="str">
        <f>'[1]2026 Orders'!I12</f>
        <v>F64-25.0</v>
      </c>
      <c r="L11">
        <f>'[1]2026 Orders'!J12</f>
        <v>96</v>
      </c>
      <c r="N11" s="10" t="str">
        <f>'[1]2026 Orders'!L12</f>
        <v>Picked</v>
      </c>
      <c r="O11">
        <f>'[1]2026 Orders'!M12</f>
        <v>0</v>
      </c>
      <c r="P11" t="str">
        <f>'[1]2026 Orders'!N12</f>
        <v>NA</v>
      </c>
      <c r="Q11">
        <f>'[1]2026 Orders'!O12</f>
        <v>609788968405</v>
      </c>
      <c r="R11">
        <f>'[1]2026 Orders'!P12</f>
        <v>5500</v>
      </c>
      <c r="S11">
        <f>'[1]2026 Orders'!Q12</f>
        <v>4850</v>
      </c>
      <c r="T11" t="str">
        <f>'[1]2026 Orders'!R12</f>
        <v>complete</v>
      </c>
      <c r="U11">
        <f>'[1]2026 Orders'!S12</f>
        <v>0</v>
      </c>
      <c r="V11">
        <f>'[1]2026 Orders'!T12</f>
        <v>0</v>
      </c>
      <c r="W11">
        <f>'[1]2026 Orders'!U12</f>
        <v>0</v>
      </c>
      <c r="X11">
        <f>'[1]2026 Orders'!V12</f>
        <v>0</v>
      </c>
      <c r="Y11">
        <f>'[1]2026 Orders'!W12</f>
        <v>0</v>
      </c>
      <c r="Z11" t="str">
        <f>'[1]2026 Orders'!X12</f>
        <v>HOLD</v>
      </c>
      <c r="AC11" t="str">
        <f t="shared" si="0"/>
        <v>/96</v>
      </c>
      <c r="AD11" t="e">
        <f t="shared" si="1"/>
        <v>#VALUE!</v>
      </c>
    </row>
    <row r="12" spans="1:781" ht="33" hidden="1" customHeight="1" thickTop="1" x14ac:dyDescent="0.3">
      <c r="A12">
        <f>'[1]2026 Orders'!A13</f>
        <v>45890</v>
      </c>
      <c r="B12" s="14" t="str">
        <f>'[1]2026 Orders'!B13</f>
        <v>Uganda</v>
      </c>
      <c r="C12" s="14" t="str">
        <f>'[1]2026 Orders'!C13</f>
        <v>A4522</v>
      </c>
      <c r="D12" s="14">
        <f>'[1]2026 Orders'!D13</f>
        <v>0</v>
      </c>
      <c r="E12" s="17" t="str" cm="1">
        <f t="array" ref="E12">IF(C12=0,"",
HYPERLINK(
"#'2026 Orders'!C"&amp;
MATCH(1,
('2026 Orders'!C:C=C12)*
('2026 Orders'!G:G=G12)*
('2026 Orders'!N:N=N12),
0),
"Open "&amp;C12
))</f>
        <v>Open A4522</v>
      </c>
      <c r="F12" s="14" t="str">
        <f>'[1]2026 Orders'!F13</f>
        <v>5/12/2026: Allocating to Lebanon A4690.</v>
      </c>
      <c r="G12" s="14" t="str">
        <f>'[1]2026 Orders'!G13</f>
        <v>WFSPLS-180-FD</v>
      </c>
      <c r="H12" s="14" t="str" cm="1">
        <f t="array" ref="H12">IFERROR(_xlfn.TEXTJOIN("-",,INDEX(_xlfn.TEXTSPLIT(TableGive[[#This Row],[SKU]],"-"),{1,2})),"")</f>
        <v>WFSPLS-180</v>
      </c>
      <c r="I12" s="15" t="str">
        <f>IFERROR(_xlfn.TEXTAFTER(TableGive[[#This Row],[SKU]],"-",-1),"")</f>
        <v>FD</v>
      </c>
      <c r="J12" s="14">
        <f>'[1]2026 Orders'!H13</f>
        <v>120</v>
      </c>
      <c r="K12" t="str">
        <f>'[1]2026 Orders'!I13</f>
        <v>F73-23.0</v>
      </c>
      <c r="L12">
        <f>'[1]2026 Orders'!J13</f>
        <v>120</v>
      </c>
      <c r="N12" s="10" t="str">
        <f>'[1]2026 Orders'!L13</f>
        <v>PO Drafted</v>
      </c>
      <c r="O12">
        <f>'[1]2026 Orders'!M13</f>
        <v>46012</v>
      </c>
      <c r="P12" t="str">
        <f>'[1]2026 Orders'!N13</f>
        <v>NA</v>
      </c>
      <c r="Q12">
        <f>'[1]2026 Orders'!O13</f>
        <v>609788968351</v>
      </c>
      <c r="R12">
        <f>'[1]2026 Orders'!P13</f>
        <v>5000</v>
      </c>
      <c r="S12">
        <f>'[1]2026 Orders'!Q13</f>
        <v>5043</v>
      </c>
      <c r="T12" t="str">
        <f>'[1]2026 Orders'!R13</f>
        <v>TBD</v>
      </c>
      <c r="U12" t="str">
        <f>'[1]2026 Orders'!S13</f>
        <v>Pending approval to send to vendor</v>
      </c>
      <c r="V12">
        <f>'[1]2026 Orders'!T13</f>
        <v>0</v>
      </c>
      <c r="W12">
        <f>'[1]2026 Orders'!U13</f>
        <v>0</v>
      </c>
      <c r="X12">
        <f>'[1]2026 Orders'!V13</f>
        <v>0</v>
      </c>
      <c r="Y12">
        <f>'[1]2026 Orders'!W13</f>
        <v>0</v>
      </c>
      <c r="Z12">
        <f>'[1]2026 Orders'!X13</f>
        <v>0</v>
      </c>
      <c r="AC12" t="str">
        <f t="shared" si="0"/>
        <v>/120</v>
      </c>
      <c r="AD12" t="e">
        <f t="shared" si="1"/>
        <v>#VALUE!</v>
      </c>
    </row>
    <row r="13" spans="1:781" ht="33" hidden="1" customHeight="1" x14ac:dyDescent="0.3">
      <c r="A13">
        <f>'[1]2026 Orders'!A14</f>
        <v>45890</v>
      </c>
      <c r="B13" s="14" t="str">
        <f>'[1]2026 Orders'!B14</f>
        <v>Uganda</v>
      </c>
      <c r="C13" s="14" t="str">
        <f>'[1]2026 Orders'!C14</f>
        <v>A4522</v>
      </c>
      <c r="D13" s="14">
        <f>'[1]2026 Orders'!D14</f>
        <v>0</v>
      </c>
      <c r="E13" s="17" t="str" cm="1">
        <f t="array" ref="E13">IF(C13=0,"",
HYPERLINK(
"#'2026 Orders'!C"&amp;
MATCH(1,
('2026 Orders'!C:C=C13)*
('2026 Orders'!G:G=G13)*
('2026 Orders'!N:N=N13),
0),
"Open "&amp;C13
))</f>
        <v>Open A4522</v>
      </c>
      <c r="F13" s="14" t="str">
        <f>'[1]2026 Orders'!F14</f>
        <v>9/11/2025: product changed to RE 
5/14/2026: Allocate to Cyprus A4675.</v>
      </c>
      <c r="G13" s="14" t="str">
        <f>'[1]2026 Orders'!G14</f>
        <v>FERTMX-90-RE</v>
      </c>
      <c r="H13" s="14" t="str" cm="1">
        <f t="array" ref="H13">IFERROR(_xlfn.TEXTJOIN("-",,INDEX(_xlfn.TEXTSPLIT(TableGive[[#This Row],[SKU]],"-"),{1,2})),"")</f>
        <v>FERTMX-90</v>
      </c>
      <c r="I13" s="15" t="str">
        <f>IFERROR(_xlfn.TEXTAFTER(TableGive[[#This Row],[SKU]],"-",-1),"")</f>
        <v>RE</v>
      </c>
      <c r="J13" s="14">
        <f>'[1]2026 Orders'!H14</f>
        <v>288</v>
      </c>
      <c r="K13" t="str">
        <f>'[1]2026 Orders'!I14</f>
        <v>R16-22.0</v>
      </c>
      <c r="L13">
        <f>'[1]2026 Orders'!J14</f>
        <v>0</v>
      </c>
      <c r="N13" s="10" t="str">
        <f>'[1]2026 Orders'!L14</f>
        <v>PO submitted</v>
      </c>
      <c r="O13">
        <f>'[1]2026 Orders'!M14</f>
        <v>0</v>
      </c>
      <c r="P13" t="str">
        <f>'[1]2026 Orders'!N14</f>
        <v>Y</v>
      </c>
      <c r="Q13">
        <f>'[1]2026 Orders'!O14</f>
        <v>609788968726</v>
      </c>
      <c r="R13">
        <f>'[1]2026 Orders'!P14</f>
        <v>5000</v>
      </c>
      <c r="S13">
        <f>'[1]2026 Orders'!Q14</f>
        <v>5041</v>
      </c>
      <c r="T13" t="str">
        <f>'[1]2026 Orders'!R14</f>
        <v>TBD</v>
      </c>
      <c r="U13" t="str">
        <f>'[1]2026 Orders'!S14</f>
        <v>Waiting for vendor confirmation.</v>
      </c>
      <c r="V13">
        <f>'[1]2026 Orders'!T14</f>
        <v>0</v>
      </c>
      <c r="W13">
        <f>'[1]2026 Orders'!U14</f>
        <v>0</v>
      </c>
      <c r="X13">
        <f>'[1]2026 Orders'!V14</f>
        <v>0</v>
      </c>
      <c r="Y13">
        <f>'[1]2026 Orders'!W14</f>
        <v>0</v>
      </c>
      <c r="Z13">
        <f>'[1]2026 Orders'!X14</f>
        <v>0</v>
      </c>
      <c r="AC13" t="str">
        <f t="shared" si="0"/>
        <v>/288</v>
      </c>
      <c r="AD13" t="e">
        <f t="shared" si="1"/>
        <v>#VALUE!</v>
      </c>
    </row>
    <row r="14" spans="1:781" ht="33" hidden="1" customHeight="1" x14ac:dyDescent="0.3">
      <c r="A14">
        <f>'[1]2026 Orders'!A15</f>
        <v>45890</v>
      </c>
      <c r="B14" s="14" t="str">
        <f>'[1]2026 Orders'!B15</f>
        <v>Uganda</v>
      </c>
      <c r="C14" s="14" t="str">
        <f>'[1]2026 Orders'!C15</f>
        <v>A4522</v>
      </c>
      <c r="D14" s="14">
        <f>'[1]2026 Orders'!D15</f>
        <v>0</v>
      </c>
      <c r="E14" s="17" t="str" cm="1">
        <f t="array" ref="E14">IF(C14=0,"",
HYPERLINK(
"#'2026 Orders'!C"&amp;
MATCH(1,
('2026 Orders'!C:C=C14)*
('2026 Orders'!G:G=G14)*
('2026 Orders'!N:N=N14),
0),
"Open "&amp;C14
))</f>
        <v>Open A4522</v>
      </c>
      <c r="F14" s="14">
        <f>'[1]2026 Orders'!F15</f>
        <v>0</v>
      </c>
      <c r="G14" s="14" t="str">
        <f>'[1]2026 Orders'!G15</f>
        <v>PRECON-90-FD</v>
      </c>
      <c r="H14" s="14" t="str" cm="1">
        <f t="array" ref="H14">IFERROR(_xlfn.TEXTJOIN("-",,INDEX(_xlfn.TEXTSPLIT(TableGive[[#This Row],[SKU]],"-"),{1,2})),"")</f>
        <v>PRECON-90</v>
      </c>
      <c r="I14" s="15" t="str">
        <f>IFERROR(_xlfn.TEXTAFTER(TableGive[[#This Row],[SKU]],"-",-1),"")</f>
        <v>FD</v>
      </c>
      <c r="J14" s="14">
        <f>'[1]2026 Orders'!H15</f>
        <v>120</v>
      </c>
      <c r="K14" t="str">
        <f>'[1]2026 Orders'!I15</f>
        <v>F54-23.0</v>
      </c>
      <c r="L14">
        <f>'[1]2026 Orders'!J15</f>
        <v>120</v>
      </c>
      <c r="N14" s="10" t="str">
        <f>'[1]2026 Orders'!L15</f>
        <v>Picked</v>
      </c>
      <c r="O14">
        <f>'[1]2026 Orders'!M15</f>
        <v>0</v>
      </c>
      <c r="P14" t="str">
        <f>'[1]2026 Orders'!N15</f>
        <v>NA</v>
      </c>
      <c r="Q14">
        <f>'[1]2026 Orders'!O15</f>
        <v>609788968368</v>
      </c>
      <c r="R14">
        <f>'[1]2026 Orders'!P15</f>
        <v>7500</v>
      </c>
      <c r="S14">
        <f>'[1]2026 Orders'!Q15</f>
        <v>4714</v>
      </c>
      <c r="T14" t="str">
        <f>'[1]2026 Orders'!R15</f>
        <v>complete</v>
      </c>
      <c r="U14">
        <f>'[1]2026 Orders'!S15</f>
        <v>0</v>
      </c>
      <c r="V14">
        <f>'[1]2026 Orders'!T15</f>
        <v>0</v>
      </c>
      <c r="W14">
        <f>'[1]2026 Orders'!U15</f>
        <v>0</v>
      </c>
      <c r="X14">
        <f>'[1]2026 Orders'!V15</f>
        <v>0</v>
      </c>
      <c r="Y14">
        <f>'[1]2026 Orders'!W15</f>
        <v>0</v>
      </c>
      <c r="Z14">
        <f>'[1]2026 Orders'!X15</f>
        <v>0</v>
      </c>
      <c r="AC14" t="str">
        <f t="shared" si="0"/>
        <v>/120</v>
      </c>
      <c r="AD14" t="e">
        <f t="shared" si="1"/>
        <v>#VALUE!</v>
      </c>
    </row>
    <row r="15" spans="1:781" ht="33" hidden="1" customHeight="1" x14ac:dyDescent="0.3">
      <c r="A15">
        <f>'[1]2026 Orders'!A16</f>
        <v>45890</v>
      </c>
      <c r="B15" s="14" t="str">
        <f>'[1]2026 Orders'!B16</f>
        <v>Uganda</v>
      </c>
      <c r="C15" s="14" t="str">
        <f>'[1]2026 Orders'!C16</f>
        <v>A4522</v>
      </c>
      <c r="D15" s="14">
        <f>'[1]2026 Orders'!D16</f>
        <v>0</v>
      </c>
      <c r="E15" s="17" t="str" cm="1">
        <f t="array" ref="E15">IF(C15=0,"",
HYPERLINK(
"#'2026 Orders'!C"&amp;
MATCH(1,
('2026 Orders'!C:C=C15)*
('2026 Orders'!G:G=G15)*
('2026 Orders'!N:N=N15),
0),
"Open "&amp;C15
))</f>
        <v>Open A4522</v>
      </c>
      <c r="F15" s="14">
        <f>'[1]2026 Orders'!F16</f>
        <v>0</v>
      </c>
      <c r="G15" s="14" t="str">
        <f>'[1]2026 Orders'!G16</f>
        <v>QWELL4-30-SG-FD</v>
      </c>
      <c r="H15" s="14" t="str" cm="1">
        <f t="array" ref="H15">IFERROR(_xlfn.TEXTJOIN("-",,INDEX(_xlfn.TEXTSPLIT(TableGive[[#This Row],[SKU]],"-"),{1,2})),"")</f>
        <v>QWELL4-30</v>
      </c>
      <c r="I15" s="15" t="str">
        <f>IFERROR(_xlfn.TEXTAFTER(TableGive[[#This Row],[SKU]],"-",-1),"")</f>
        <v>FD</v>
      </c>
      <c r="J15" s="14">
        <f>'[1]2026 Orders'!H16</f>
        <v>96</v>
      </c>
      <c r="K15" t="str">
        <f>'[1]2026 Orders'!I16</f>
        <v>F58-25.3</v>
      </c>
      <c r="L15">
        <f>'[1]2026 Orders'!J16</f>
        <v>96</v>
      </c>
      <c r="N15" s="10" t="str">
        <f>'[1]2026 Orders'!L16</f>
        <v>Picked</v>
      </c>
      <c r="O15">
        <f>'[1]2026 Orders'!M16</f>
        <v>0</v>
      </c>
      <c r="P15" t="str">
        <f>'[1]2026 Orders'!N16</f>
        <v>NA</v>
      </c>
      <c r="Q15">
        <f>'[1]2026 Orders'!O16</f>
        <v>609788968214</v>
      </c>
      <c r="R15">
        <f>'[1]2026 Orders'!P16</f>
        <v>17633</v>
      </c>
      <c r="S15">
        <f>'[1]2026 Orders'!Q16</f>
        <v>4858</v>
      </c>
      <c r="T15" t="str">
        <f>'[1]2026 Orders'!R16</f>
        <v>complete</v>
      </c>
      <c r="U15">
        <f>'[1]2026 Orders'!S16</f>
        <v>0</v>
      </c>
      <c r="V15">
        <f>'[1]2026 Orders'!T16</f>
        <v>0</v>
      </c>
      <c r="W15">
        <f>'[1]2026 Orders'!U16</f>
        <v>0</v>
      </c>
      <c r="X15">
        <f>'[1]2026 Orders'!V16</f>
        <v>0</v>
      </c>
      <c r="Y15">
        <f>'[1]2026 Orders'!W16</f>
        <v>0</v>
      </c>
      <c r="Z15">
        <f>'[1]2026 Orders'!X16</f>
        <v>0</v>
      </c>
      <c r="AC15" t="str">
        <f t="shared" si="0"/>
        <v>/96</v>
      </c>
      <c r="AD15" t="e">
        <f t="shared" si="1"/>
        <v>#VALUE!</v>
      </c>
    </row>
    <row r="16" spans="1:781" ht="33" hidden="1" customHeight="1" x14ac:dyDescent="0.3">
      <c r="A16">
        <f>'[1]2026 Orders'!A17</f>
        <v>45890</v>
      </c>
      <c r="B16" s="14" t="str">
        <f>'[1]2026 Orders'!B17</f>
        <v>Uganda</v>
      </c>
      <c r="C16" s="14" t="str">
        <f>'[1]2026 Orders'!C17</f>
        <v>A4522</v>
      </c>
      <c r="D16" s="14">
        <f>'[1]2026 Orders'!D17</f>
        <v>0</v>
      </c>
      <c r="E16" s="17" t="str" cm="1">
        <f t="array" ref="E16">IF(C16=0,"",
HYPERLINK(
"#'2026 Orders'!C"&amp;
MATCH(1,
('2026 Orders'!C:C=C16)*
('2026 Orders'!G:G=G16)*
('2026 Orders'!N:N=N16),
0),
"Open "&amp;C16
))</f>
        <v>Open A4522</v>
      </c>
      <c r="F16" s="14">
        <f>'[1]2026 Orders'!F17</f>
        <v>0</v>
      </c>
      <c r="G16" s="14" t="str">
        <f>'[1]2026 Orders'!G17</f>
        <v>PROSTA-90-FD</v>
      </c>
      <c r="H16" s="14" t="str" cm="1">
        <f t="array" ref="H16">IFERROR(_xlfn.TEXTJOIN("-",,INDEX(_xlfn.TEXTSPLIT(TableGive[[#This Row],[SKU]],"-"),{1,2})),"")</f>
        <v>PROSTA-90</v>
      </c>
      <c r="I16" s="15" t="str">
        <f>IFERROR(_xlfn.TEXTAFTER(TableGive[[#This Row],[SKU]],"-",-1),"")</f>
        <v>FD</v>
      </c>
      <c r="J16" s="14">
        <f>'[1]2026 Orders'!H17</f>
        <v>24</v>
      </c>
      <c r="K16" t="str">
        <f>'[1]2026 Orders'!I17</f>
        <v>F56-23.0</v>
      </c>
      <c r="L16">
        <f>'[1]2026 Orders'!J17</f>
        <v>24</v>
      </c>
      <c r="N16" s="10" t="str">
        <f>'[1]2026 Orders'!L17</f>
        <v>Picked</v>
      </c>
      <c r="O16">
        <f>'[1]2026 Orders'!M17</f>
        <v>0</v>
      </c>
      <c r="P16" t="str">
        <f>'[1]2026 Orders'!N17</f>
        <v>NA</v>
      </c>
      <c r="Q16">
        <f>'[1]2026 Orders'!O17</f>
        <v>609788968504</v>
      </c>
      <c r="R16">
        <f>'[1]2026 Orders'!P17</f>
        <v>4000</v>
      </c>
      <c r="S16">
        <f>'[1]2026 Orders'!Q17</f>
        <v>4802</v>
      </c>
      <c r="T16" t="str">
        <f>'[1]2026 Orders'!R17</f>
        <v>complete</v>
      </c>
      <c r="U16">
        <f>'[1]2026 Orders'!S17</f>
        <v>0</v>
      </c>
      <c r="V16">
        <f>'[1]2026 Orders'!T17</f>
        <v>0</v>
      </c>
      <c r="W16">
        <f>'[1]2026 Orders'!U17</f>
        <v>0</v>
      </c>
      <c r="X16">
        <f>'[1]2026 Orders'!V17</f>
        <v>0</v>
      </c>
      <c r="Y16">
        <f>'[1]2026 Orders'!W17</f>
        <v>0</v>
      </c>
      <c r="Z16">
        <f>'[1]2026 Orders'!X17</f>
        <v>0</v>
      </c>
      <c r="AC16" t="str">
        <f t="shared" si="0"/>
        <v>/24</v>
      </c>
      <c r="AD16" t="e">
        <f t="shared" si="1"/>
        <v>#VALUE!</v>
      </c>
    </row>
    <row r="17" spans="1:30" ht="33" hidden="1" customHeight="1" x14ac:dyDescent="0.3">
      <c r="A17">
        <f>'[1]2026 Orders'!A18</f>
        <v>45923</v>
      </c>
      <c r="B17" s="14" t="str">
        <f>'[1]2026 Orders'!B18</f>
        <v>Uganda</v>
      </c>
      <c r="C17" s="14" t="str">
        <f>'[1]2026 Orders'!C18</f>
        <v>A4522</v>
      </c>
      <c r="D17" s="14">
        <f>'[1]2026 Orders'!D18</f>
        <v>0</v>
      </c>
      <c r="E17" s="17" t="str" cm="1">
        <f t="array" ref="E17">IF(C17=0,"",
HYPERLINK(
"#'2026 Orders'!C"&amp;
MATCH(1,
('2026 Orders'!C:C=C17)*
('2026 Orders'!G:G=G17)*
('2026 Orders'!N:N=N17),
0),
"Open "&amp;C17
))</f>
        <v>Open A4522</v>
      </c>
      <c r="F17" s="14" t="str">
        <f>'[1]2026 Orders'!F18</f>
        <v>12/4/2025: Moved From UgandaA4534
4/9/2026: 192 packs of Ovamax allocated to Bahrain A4685</v>
      </c>
      <c r="G17" s="14" t="str">
        <f>'[1]2026 Orders'!G18</f>
        <v>OVAMAX-120-FD</v>
      </c>
      <c r="H17" s="14" t="str" cm="1">
        <f t="array" ref="H17">IFERROR(_xlfn.TEXTJOIN("-",,INDEX(_xlfn.TEXTSPLIT(TableGive[[#This Row],[SKU]],"-"),{1,2})),"")</f>
        <v>OVAMAX-120</v>
      </c>
      <c r="I17" s="15" t="str">
        <f>IFERROR(_xlfn.TEXTAFTER(TableGive[[#This Row],[SKU]],"-",-1),"")</f>
        <v>FD</v>
      </c>
      <c r="J17" s="14">
        <f>'[1]2026 Orders'!H18</f>
        <v>192</v>
      </c>
      <c r="K17" t="str">
        <f>'[1]2026 Orders'!I18</f>
        <v>F41-25.0</v>
      </c>
      <c r="L17">
        <f>'[1]2026 Orders'!J18</f>
        <v>0</v>
      </c>
      <c r="N17" s="10" t="str">
        <f>'[1]2026 Orders'!L18</f>
        <v>In Production</v>
      </c>
      <c r="O17">
        <f>'[1]2026 Orders'!M18</f>
        <v>0</v>
      </c>
      <c r="P17" t="str">
        <f>'[1]2026 Orders'!N18</f>
        <v>NA</v>
      </c>
      <c r="Q17">
        <f>'[1]2026 Orders'!O18</f>
        <v>810131199586</v>
      </c>
      <c r="R17">
        <f>'[1]2026 Orders'!P18</f>
        <v>10775</v>
      </c>
      <c r="S17">
        <f>'[1]2026 Orders'!Q18</f>
        <v>5055</v>
      </c>
      <c r="T17">
        <f>'[1]2026 Orders'!R18</f>
        <v>46213</v>
      </c>
      <c r="U17">
        <f>'[1]2026 Orders'!S18</f>
        <v>0</v>
      </c>
      <c r="V17">
        <f>'[1]2026 Orders'!T18</f>
        <v>0</v>
      </c>
      <c r="W17">
        <f>'[1]2026 Orders'!U18</f>
        <v>0</v>
      </c>
      <c r="X17">
        <f>'[1]2026 Orders'!V18</f>
        <v>0</v>
      </c>
      <c r="Y17">
        <f>'[1]2026 Orders'!W18</f>
        <v>0</v>
      </c>
      <c r="Z17">
        <f>'[1]2026 Orders'!X18</f>
        <v>0</v>
      </c>
      <c r="AC17" t="str">
        <f t="shared" si="0"/>
        <v>/192</v>
      </c>
      <c r="AD17" t="e">
        <f t="shared" si="1"/>
        <v>#VALUE!</v>
      </c>
    </row>
    <row r="18" spans="1:30" ht="33" hidden="1" customHeight="1" x14ac:dyDescent="0.3">
      <c r="A18">
        <f>'[1]2026 Orders'!A19</f>
        <v>45923</v>
      </c>
      <c r="B18" s="14" t="str">
        <f>'[1]2026 Orders'!B19</f>
        <v>Uganda</v>
      </c>
      <c r="C18" s="14" t="str">
        <f>'[1]2026 Orders'!C19</f>
        <v>A4522</v>
      </c>
      <c r="D18" s="14">
        <f>'[1]2026 Orders'!D19</f>
        <v>0</v>
      </c>
      <c r="E18" s="17" t="str" cm="1">
        <f t="array" ref="E18">IF(C18=0,"",
HYPERLINK(
"#'2026 Orders'!C"&amp;
MATCH(1,
('2026 Orders'!C:C=C18)*
('2026 Orders'!G:G=G18)*
('2026 Orders'!N:N=N18),
0),
"Open "&amp;C18
))</f>
        <v>Open A4522</v>
      </c>
      <c r="F18" s="14">
        <f>'[1]2026 Orders'!F19</f>
        <v>0</v>
      </c>
      <c r="G18" s="14" t="str">
        <f>'[1]2026 Orders'!G19</f>
        <v>WFSPLS-180-FD</v>
      </c>
      <c r="H18" s="14" t="str" cm="1">
        <f t="array" ref="H18">IFERROR(_xlfn.TEXTJOIN("-",,INDEX(_xlfn.TEXTSPLIT(TableGive[[#This Row],[SKU]],"-"),{1,2})),"")</f>
        <v>WFSPLS-180</v>
      </c>
      <c r="I18" s="15" t="str">
        <f>IFERROR(_xlfn.TEXTAFTER(TableGive[[#This Row],[SKU]],"-",-1),"")</f>
        <v>FD</v>
      </c>
      <c r="J18" s="14">
        <f>'[1]2026 Orders'!H19</f>
        <v>48</v>
      </c>
      <c r="K18" t="str">
        <f>'[1]2026 Orders'!I19</f>
        <v>F73-23.0</v>
      </c>
      <c r="L18">
        <f>'[1]2026 Orders'!J19</f>
        <v>0</v>
      </c>
      <c r="N18" s="10" t="str">
        <f>'[1]2026 Orders'!L19</f>
        <v>Picked</v>
      </c>
      <c r="O18">
        <f>'[1]2026 Orders'!M19</f>
        <v>0</v>
      </c>
      <c r="P18" t="str">
        <f>'[1]2026 Orders'!N19</f>
        <v>NA</v>
      </c>
      <c r="Q18">
        <f>'[1]2026 Orders'!O19</f>
        <v>609788968351</v>
      </c>
      <c r="R18">
        <f>'[1]2026 Orders'!P19</f>
        <v>9000</v>
      </c>
      <c r="S18">
        <f>'[1]2026 Orders'!Q19</f>
        <v>4845</v>
      </c>
      <c r="T18" t="str">
        <f>'[1]2026 Orders'!R19</f>
        <v>complete</v>
      </c>
      <c r="U18">
        <f>'[1]2026 Orders'!S19</f>
        <v>0</v>
      </c>
      <c r="V18">
        <f>'[1]2026 Orders'!T19</f>
        <v>0</v>
      </c>
      <c r="W18">
        <f>'[1]2026 Orders'!U19</f>
        <v>0</v>
      </c>
      <c r="X18">
        <f>'[1]2026 Orders'!V19</f>
        <v>0</v>
      </c>
      <c r="Y18">
        <f>'[1]2026 Orders'!W19</f>
        <v>0</v>
      </c>
      <c r="Z18">
        <f>'[1]2026 Orders'!X19</f>
        <v>0</v>
      </c>
      <c r="AC18" t="str">
        <f t="shared" si="0"/>
        <v>/48</v>
      </c>
      <c r="AD18" t="e">
        <f t="shared" si="1"/>
        <v>#VALUE!</v>
      </c>
    </row>
    <row r="19" spans="1:30" ht="33" hidden="1" customHeight="1" x14ac:dyDescent="0.3">
      <c r="A19">
        <f>'[1]2026 Orders'!A20</f>
        <v>45923</v>
      </c>
      <c r="B19" s="14" t="str">
        <f>'[1]2026 Orders'!B20</f>
        <v>Uganda</v>
      </c>
      <c r="C19" s="14" t="str">
        <f>'[1]2026 Orders'!C20</f>
        <v>A4522</v>
      </c>
      <c r="D19" s="14">
        <f>'[1]2026 Orders'!D20</f>
        <v>0</v>
      </c>
      <c r="E19" s="17" t="str" cm="1">
        <f t="array" ref="E19">IF(C19=0,"",
HYPERLINK(
"#'2026 Orders'!C"&amp;
MATCH(1,
('2026 Orders'!C:C=C19)*
('2026 Orders'!G:G=G19)*
('2026 Orders'!N:N=N19),
0),
"Open "&amp;C19
))</f>
        <v>Open A4522</v>
      </c>
      <c r="F19" s="14">
        <f>'[1]2026 Orders'!F20</f>
        <v>0</v>
      </c>
      <c r="G19" s="14" t="str">
        <f>'[1]2026 Orders'!G20</f>
        <v>FERTMX-90-RE</v>
      </c>
      <c r="H19" s="14" t="str" cm="1">
        <f t="array" ref="H19">IFERROR(_xlfn.TEXTJOIN("-",,INDEX(_xlfn.TEXTSPLIT(TableGive[[#This Row],[SKU]],"-"),{1,2})),"")</f>
        <v>FERTMX-90</v>
      </c>
      <c r="I19" s="15" t="str">
        <f>IFERROR(_xlfn.TEXTAFTER(TableGive[[#This Row],[SKU]],"-",-1),"")</f>
        <v>RE</v>
      </c>
      <c r="J19" s="14">
        <f>'[1]2026 Orders'!H20</f>
        <v>40</v>
      </c>
      <c r="K19" t="str">
        <f>'[1]2026 Orders'!I20</f>
        <v>R16-22.0</v>
      </c>
      <c r="L19">
        <f>'[1]2026 Orders'!J20</f>
        <v>40</v>
      </c>
      <c r="N19" s="10" t="str">
        <f>'[1]2026 Orders'!L20</f>
        <v>Picked</v>
      </c>
      <c r="O19">
        <f>'[1]2026 Orders'!M20</f>
        <v>0</v>
      </c>
      <c r="P19" t="str">
        <f>'[1]2026 Orders'!N20</f>
        <v>Y</v>
      </c>
      <c r="Q19">
        <f>'[1]2026 Orders'!O20</f>
        <v>609788968726</v>
      </c>
      <c r="R19">
        <f>'[1]2026 Orders'!P20</f>
        <v>5000</v>
      </c>
      <c r="S19">
        <f>'[1]2026 Orders'!Q20</f>
        <v>4834</v>
      </c>
      <c r="T19" t="str">
        <f>'[1]2026 Orders'!R20</f>
        <v>complete</v>
      </c>
      <c r="U19">
        <f>'[1]2026 Orders'!S20</f>
        <v>0</v>
      </c>
      <c r="V19">
        <f>'[1]2026 Orders'!T20</f>
        <v>0</v>
      </c>
      <c r="W19">
        <f>'[1]2026 Orders'!U20</f>
        <v>0</v>
      </c>
      <c r="X19">
        <f>'[1]2026 Orders'!V20</f>
        <v>0</v>
      </c>
      <c r="Y19">
        <f>'[1]2026 Orders'!W20</f>
        <v>0</v>
      </c>
      <c r="Z19">
        <f>'[1]2026 Orders'!X20</f>
        <v>0</v>
      </c>
      <c r="AC19" t="str">
        <f t="shared" si="0"/>
        <v>/40</v>
      </c>
      <c r="AD19" t="e">
        <f t="shared" si="1"/>
        <v>#VALUE!</v>
      </c>
    </row>
    <row r="20" spans="1:30" ht="33" hidden="1" customHeight="1" x14ac:dyDescent="0.3">
      <c r="A20">
        <f>'[1]2026 Orders'!A21</f>
        <v>46114</v>
      </c>
      <c r="B20" s="14" t="str">
        <f>'[1]2026 Orders'!B21</f>
        <v>Uganda</v>
      </c>
      <c r="C20" s="14" t="str">
        <f>'[1]2026 Orders'!C21</f>
        <v>A4522</v>
      </c>
      <c r="D20" s="14">
        <f>'[1]2026 Orders'!D21</f>
        <v>0</v>
      </c>
      <c r="E20" s="17" t="str" cm="1">
        <f t="array" ref="E20">IF(C20=0,"",
HYPERLINK(
"#'2026 Orders'!C"&amp;
MATCH(1,
('2026 Orders'!C:C=C20)*
('2026 Orders'!G:G=G20)*
('2026 Orders'!N:N=N20),
0),
"Open "&amp;C20
))</f>
        <v>Open A4522</v>
      </c>
      <c r="F20" s="14" t="str">
        <f>'[1]2026 Orders'!F21</f>
        <v>4/2/2026: FERTMX-90-RE 200 packs allocated to Doreen A4678</v>
      </c>
      <c r="G20" s="14" t="str">
        <f>'[1]2026 Orders'!G21</f>
        <v>FERTMX-90-RE</v>
      </c>
      <c r="H20" s="14" t="str" cm="1">
        <f t="array" ref="H20">IFERROR(_xlfn.TEXTJOIN("-",,INDEX(_xlfn.TEXTSPLIT(TableGive[[#This Row],[SKU]],"-"),{1,2})),"")</f>
        <v>FERTMX-90</v>
      </c>
      <c r="I20" s="15" t="str">
        <f>IFERROR(_xlfn.TEXTAFTER(TableGive[[#This Row],[SKU]],"-",-1),"")</f>
        <v>RE</v>
      </c>
      <c r="J20" s="14">
        <f>'[1]2026 Orders'!H21</f>
        <v>200</v>
      </c>
      <c r="K20" t="str">
        <f>'[1]2026 Orders'!I21</f>
        <v>R16-22.0</v>
      </c>
      <c r="L20">
        <f>'[1]2026 Orders'!J21</f>
        <v>0</v>
      </c>
      <c r="N20" s="10" t="str">
        <f>'[1]2026 Orders'!L21</f>
        <v>PO submitted</v>
      </c>
      <c r="O20">
        <f>'[1]2026 Orders'!M21</f>
        <v>0</v>
      </c>
      <c r="P20" t="str">
        <f>'[1]2026 Orders'!N21</f>
        <v>Y</v>
      </c>
      <c r="Q20">
        <f>'[1]2026 Orders'!O21</f>
        <v>609788968726</v>
      </c>
      <c r="R20">
        <f>'[1]2026 Orders'!P21</f>
        <v>5000</v>
      </c>
      <c r="S20">
        <f>'[1]2026 Orders'!Q21</f>
        <v>5041</v>
      </c>
      <c r="T20" t="str">
        <f>'[1]2026 Orders'!R21</f>
        <v>TBD</v>
      </c>
      <c r="U20" t="str">
        <f>'[1]2026 Orders'!S21</f>
        <v>Waiting for vendor confirmation.</v>
      </c>
      <c r="V20">
        <f>'[1]2026 Orders'!T21</f>
        <v>0</v>
      </c>
      <c r="W20">
        <f>'[1]2026 Orders'!U21</f>
        <v>0</v>
      </c>
      <c r="X20">
        <f>'[1]2026 Orders'!V21</f>
        <v>0</v>
      </c>
      <c r="Y20">
        <f>'[1]2026 Orders'!W21</f>
        <v>0</v>
      </c>
      <c r="Z20">
        <f>'[1]2026 Orders'!X21</f>
        <v>0</v>
      </c>
      <c r="AC20" t="str">
        <f t="shared" si="0"/>
        <v>/200</v>
      </c>
      <c r="AD20" t="e">
        <f t="shared" si="1"/>
        <v>#VALUE!</v>
      </c>
    </row>
    <row r="21" spans="1:30" ht="33" hidden="1" customHeight="1" x14ac:dyDescent="0.3">
      <c r="A21">
        <f>'[1]2026 Orders'!A22</f>
        <v>45923</v>
      </c>
      <c r="B21" s="14" t="str">
        <f>'[1]2026 Orders'!B22</f>
        <v>Uganda</v>
      </c>
      <c r="C21" s="14" t="str">
        <f>'[1]2026 Orders'!C22</f>
        <v>A4522</v>
      </c>
      <c r="D21" s="14" t="str">
        <f>'[1]2026 Orders'!D22</f>
        <v>2/11/2026: Updated IFC to Y after IFC scrub.</v>
      </c>
      <c r="E21" s="17" t="str" cm="1">
        <f t="array" ref="E21">IF(C21=0,"",
HYPERLINK(
"#'2026 Orders'!C"&amp;
MATCH(1,
('2026 Orders'!C:C=C21)*
('2026 Orders'!G:G=G21)*
('2026 Orders'!N:N=N21),
0),
"Open "&amp;C21
))</f>
        <v>Open A4522</v>
      </c>
      <c r="F21" s="14">
        <f>'[1]2026 Orders'!F22</f>
        <v>0</v>
      </c>
      <c r="G21" s="14" t="str">
        <f>'[1]2026 Orders'!G22</f>
        <v>PENAMAX-60-GE-FD</v>
      </c>
      <c r="H21" s="14" t="str" cm="1">
        <f t="array" ref="H21">IFERROR(_xlfn.TEXTJOIN("-",,INDEX(_xlfn.TEXTSPLIT(TableGive[[#This Row],[SKU]],"-"),{1,2})),"")</f>
        <v>PENAMAX-60</v>
      </c>
      <c r="I21" s="15" t="str">
        <f>IFERROR(_xlfn.TEXTAFTER(TableGive[[#This Row],[SKU]],"-",-1),"")</f>
        <v>FD</v>
      </c>
      <c r="J21" s="14">
        <f>'[1]2026 Orders'!H22</f>
        <v>96</v>
      </c>
      <c r="K21" t="str">
        <f>'[1]2026 Orders'!I22</f>
        <v>F88-25.1</v>
      </c>
      <c r="L21">
        <f>'[1]2026 Orders'!J22</f>
        <v>96</v>
      </c>
      <c r="N21" s="10" t="str">
        <f>'[1]2026 Orders'!L22</f>
        <v>Picked</v>
      </c>
      <c r="O21">
        <f>'[1]2026 Orders'!M22</f>
        <v>0</v>
      </c>
      <c r="P21" t="str">
        <f>'[1]2026 Orders'!N22</f>
        <v>Y</v>
      </c>
      <c r="Q21">
        <f>'[1]2026 Orders'!O22</f>
        <v>609788968702</v>
      </c>
      <c r="R21">
        <f>'[1]2026 Orders'!P22</f>
        <v>0</v>
      </c>
      <c r="S21">
        <f>'[1]2026 Orders'!Q22</f>
        <v>0</v>
      </c>
      <c r="T21">
        <f>'[1]2026 Orders'!R22</f>
        <v>0</v>
      </c>
      <c r="U21">
        <f>'[1]2026 Orders'!S22</f>
        <v>0</v>
      </c>
      <c r="V21">
        <f>'[1]2026 Orders'!T22</f>
        <v>0</v>
      </c>
      <c r="W21">
        <f>'[1]2026 Orders'!U22</f>
        <v>0</v>
      </c>
      <c r="X21">
        <f>'[1]2026 Orders'!V22</f>
        <v>0</v>
      </c>
      <c r="Y21">
        <f>'[1]2026 Orders'!W22</f>
        <v>0</v>
      </c>
      <c r="Z21">
        <f>'[1]2026 Orders'!X22</f>
        <v>0</v>
      </c>
      <c r="AC21" t="str">
        <f t="shared" si="0"/>
        <v>/96</v>
      </c>
      <c r="AD21" t="e">
        <f t="shared" si="1"/>
        <v>#VALUE!</v>
      </c>
    </row>
    <row r="22" spans="1:30" ht="33" hidden="1" customHeight="1" x14ac:dyDescent="0.3">
      <c r="A22">
        <f>'[1]2026 Orders'!A23</f>
        <v>45923</v>
      </c>
      <c r="B22" s="14" t="str">
        <f>'[1]2026 Orders'!B23</f>
        <v>Uganda</v>
      </c>
      <c r="C22" s="14" t="str">
        <f>'[1]2026 Orders'!C23</f>
        <v>A4522</v>
      </c>
      <c r="D22" s="14">
        <f>'[1]2026 Orders'!D23</f>
        <v>0</v>
      </c>
      <c r="E22" s="17" t="str" cm="1">
        <f t="array" ref="E22">IF(C22=0,"",
HYPERLINK(
"#'2026 Orders'!C"&amp;
MATCH(1,
('2026 Orders'!C:C=C22)*
('2026 Orders'!G:G=G22)*
('2026 Orders'!N:N=N22),
0),
"Open "&amp;C22
))</f>
        <v>Open A4522</v>
      </c>
      <c r="F22" s="14" t="str">
        <f>'[1]2026 Orders'!F23</f>
        <v>03/10/26 Product allocated to Somalia A4655</v>
      </c>
      <c r="G22" s="14" t="str">
        <f>'[1]2026 Orders'!G23</f>
        <v>DHEA50-60-FD</v>
      </c>
      <c r="H22" s="14" t="str" cm="1">
        <f t="array" ref="H22">IFERROR(_xlfn.TEXTJOIN("-",,INDEX(_xlfn.TEXTSPLIT(TableGive[[#This Row],[SKU]],"-"),{1,2})),"")</f>
        <v>DHEA50-60</v>
      </c>
      <c r="I22" s="15" t="str">
        <f>IFERROR(_xlfn.TEXTAFTER(TableGive[[#This Row],[SKU]],"-",-1),"")</f>
        <v>FD</v>
      </c>
      <c r="J22" s="14">
        <f>'[1]2026 Orders'!H23</f>
        <v>72</v>
      </c>
      <c r="K22" t="str">
        <f>'[1]2026 Orders'!I23</f>
        <v>F13-25.2</v>
      </c>
      <c r="L22">
        <f>'[1]2026 Orders'!J23</f>
        <v>0</v>
      </c>
      <c r="N22" s="10" t="str">
        <f>'[1]2026 Orders'!L23</f>
        <v>In Production</v>
      </c>
      <c r="O22">
        <f>'[1]2026 Orders'!M23</f>
        <v>0</v>
      </c>
      <c r="P22" t="str">
        <f>'[1]2026 Orders'!N23</f>
        <v>NA</v>
      </c>
      <c r="Q22">
        <f>'[1]2026 Orders'!O23</f>
        <v>609788968221</v>
      </c>
      <c r="R22">
        <f>'[1]2026 Orders'!P23</f>
        <v>7000</v>
      </c>
      <c r="S22">
        <f>'[1]2026 Orders'!Q23</f>
        <v>5027</v>
      </c>
      <c r="T22">
        <f>'[1]2026 Orders'!R23</f>
        <v>46201</v>
      </c>
      <c r="U22" t="str">
        <f>'[1]2026 Orders'!S23</f>
        <v>Vendor confirming PO ETA</v>
      </c>
      <c r="V22">
        <f>'[1]2026 Orders'!T23</f>
        <v>0</v>
      </c>
      <c r="W22">
        <f>'[1]2026 Orders'!U23</f>
        <v>0</v>
      </c>
      <c r="X22">
        <f>'[1]2026 Orders'!V23</f>
        <v>0</v>
      </c>
      <c r="Y22">
        <f>'[1]2026 Orders'!W23</f>
        <v>0</v>
      </c>
      <c r="Z22">
        <f>'[1]2026 Orders'!X23</f>
        <v>0</v>
      </c>
      <c r="AC22" t="str">
        <f t="shared" si="0"/>
        <v>/72</v>
      </c>
      <c r="AD22" t="e">
        <f t="shared" si="1"/>
        <v>#VALUE!</v>
      </c>
    </row>
    <row r="23" spans="1:30" ht="33" hidden="1" customHeight="1" x14ac:dyDescent="0.3">
      <c r="A23">
        <f>'[1]2026 Orders'!A24</f>
        <v>45923</v>
      </c>
      <c r="B23" s="14" t="str">
        <f>'[1]2026 Orders'!B24</f>
        <v>Uganda</v>
      </c>
      <c r="C23" s="14" t="str">
        <f>'[1]2026 Orders'!C24</f>
        <v>A4522</v>
      </c>
      <c r="D23" s="14">
        <f>'[1]2026 Orders'!D24</f>
        <v>0</v>
      </c>
      <c r="E23" s="17" t="str" cm="1">
        <f t="array" ref="E23">IF(C23=0,"",
HYPERLINK(
"#'2026 Orders'!C"&amp;
MATCH(1,
('2026 Orders'!C:C=C23)*
('2026 Orders'!G:G=G23)*
('2026 Orders'!N:N=N23),
0),
"Open "&amp;C23
))</f>
        <v>Open A4522</v>
      </c>
      <c r="F23" s="14" t="str">
        <f>'[1]2026 Orders'!F24</f>
        <v>12/4/2025: Moved From UgandaA4534</v>
      </c>
      <c r="G23" s="14" t="str">
        <f>'[1]2026 Orders'!G24</f>
        <v>QWELL4-30-SG-FD</v>
      </c>
      <c r="H23" s="14" t="str" cm="1">
        <f t="array" ref="H23">IFERROR(_xlfn.TEXTJOIN("-",,INDEX(_xlfn.TEXTSPLIT(TableGive[[#This Row],[SKU]],"-"),{1,2})),"")</f>
        <v>QWELL4-30</v>
      </c>
      <c r="I23" s="15" t="str">
        <f>IFERROR(_xlfn.TEXTAFTER(TableGive[[#This Row],[SKU]],"-",-1),"")</f>
        <v>FD</v>
      </c>
      <c r="J23" s="14">
        <f>'[1]2026 Orders'!H24</f>
        <v>48</v>
      </c>
      <c r="K23" t="str">
        <f>'[1]2026 Orders'!I24</f>
        <v>F58-25.3</v>
      </c>
      <c r="L23">
        <f>'[1]2026 Orders'!J24</f>
        <v>48</v>
      </c>
      <c r="N23" s="10" t="str">
        <f>'[1]2026 Orders'!L24</f>
        <v>Picked</v>
      </c>
      <c r="O23">
        <f>'[1]2026 Orders'!M24</f>
        <v>0</v>
      </c>
      <c r="P23" t="str">
        <f>'[1]2026 Orders'!N24</f>
        <v>NA</v>
      </c>
      <c r="Q23" t="str">
        <f>'[1]2026 Orders'!O24</f>
        <v>609788968214</v>
      </c>
      <c r="R23">
        <f>'[1]2026 Orders'!P24</f>
        <v>17633</v>
      </c>
      <c r="S23">
        <f>'[1]2026 Orders'!Q24</f>
        <v>4858</v>
      </c>
      <c r="T23" t="str">
        <f>'[1]2026 Orders'!R24</f>
        <v>complete</v>
      </c>
      <c r="U23">
        <f>'[1]2026 Orders'!S24</f>
        <v>0</v>
      </c>
      <c r="V23">
        <f>'[1]2026 Orders'!T24</f>
        <v>0</v>
      </c>
      <c r="W23">
        <f>'[1]2026 Orders'!U24</f>
        <v>0</v>
      </c>
      <c r="X23">
        <f>'[1]2026 Orders'!V24</f>
        <v>0</v>
      </c>
      <c r="Y23">
        <f>'[1]2026 Orders'!W24</f>
        <v>0</v>
      </c>
      <c r="Z23">
        <f>'[1]2026 Orders'!X24</f>
        <v>0</v>
      </c>
      <c r="AC23" t="str">
        <f t="shared" si="0"/>
        <v>/48</v>
      </c>
      <c r="AD23" t="e">
        <f t="shared" si="1"/>
        <v>#VALUE!</v>
      </c>
    </row>
    <row r="24" spans="1:30" ht="33" hidden="1" customHeight="1" x14ac:dyDescent="0.3">
      <c r="A24">
        <f>'[1]2026 Orders'!A25</f>
        <v>45975</v>
      </c>
      <c r="B24" s="14" t="str">
        <f>'[1]2026 Orders'!B25</f>
        <v>Uganda</v>
      </c>
      <c r="C24" s="14" t="str">
        <f>'[1]2026 Orders'!C25</f>
        <v>A4522</v>
      </c>
      <c r="D24" s="14">
        <f>'[1]2026 Orders'!D25</f>
        <v>0</v>
      </c>
      <c r="E24" s="17" t="str" cm="1">
        <f t="array" ref="E24">IF(C24=0,"",
HYPERLINK(
"#'2026 Orders'!C"&amp;
MATCH(1,
('2026 Orders'!C:C=C24)*
('2026 Orders'!G:G=G24)*
('2026 Orders'!N:N=N24),
0),
"Open "&amp;C24
))</f>
        <v>Open A4522</v>
      </c>
      <c r="F24" s="14">
        <f>'[1]2026 Orders'!F25</f>
        <v>0</v>
      </c>
      <c r="G24" s="14" t="str">
        <f>'[1]2026 Orders'!G25</f>
        <v>PRECON-180-FD</v>
      </c>
      <c r="H24" s="14" t="str" cm="1">
        <f t="array" ref="H24">IFERROR(_xlfn.TEXTJOIN("-",,INDEX(_xlfn.TEXTSPLIT(TableGive[[#This Row],[SKU]],"-"),{1,2})),"")</f>
        <v>PRECON-180</v>
      </c>
      <c r="I24" s="15" t="str">
        <f>IFERROR(_xlfn.TEXTAFTER(TableGive[[#This Row],[SKU]],"-",-1),"")</f>
        <v>FD</v>
      </c>
      <c r="J24" s="14">
        <f>'[1]2026 Orders'!H25</f>
        <v>50</v>
      </c>
      <c r="K24" t="str">
        <f>'[1]2026 Orders'!I25</f>
        <v>F55-22.2</v>
      </c>
      <c r="L24">
        <f>'[1]2026 Orders'!J25</f>
        <v>0</v>
      </c>
      <c r="N24" s="10" t="str">
        <f>'[1]2026 Orders'!L25</f>
        <v>In Production</v>
      </c>
      <c r="O24">
        <f>'[1]2026 Orders'!M25</f>
        <v>0</v>
      </c>
      <c r="P24" t="str">
        <f>'[1]2026 Orders'!N25</f>
        <v>NA</v>
      </c>
      <c r="Q24">
        <f>'[1]2026 Orders'!O25</f>
        <v>609788968375</v>
      </c>
      <c r="R24">
        <f>'[1]2026 Orders'!P25</f>
        <v>5000</v>
      </c>
      <c r="S24">
        <f>'[1]2026 Orders'!Q25</f>
        <v>5060</v>
      </c>
      <c r="T24">
        <f>'[1]2026 Orders'!R25</f>
        <v>46205</v>
      </c>
      <c r="U24">
        <f>'[1]2026 Orders'!S25</f>
        <v>0</v>
      </c>
      <c r="V24">
        <f>'[1]2026 Orders'!T25</f>
        <v>0</v>
      </c>
      <c r="W24">
        <f>'[1]2026 Orders'!U25</f>
        <v>0</v>
      </c>
      <c r="X24">
        <f>'[1]2026 Orders'!V25</f>
        <v>0</v>
      </c>
      <c r="Y24">
        <f>'[1]2026 Orders'!W25</f>
        <v>0</v>
      </c>
      <c r="Z24">
        <f>'[1]2026 Orders'!X25</f>
        <v>0</v>
      </c>
      <c r="AC24" t="str">
        <f t="shared" si="0"/>
        <v>/50</v>
      </c>
      <c r="AD24" t="e">
        <f t="shared" si="1"/>
        <v>#VALUE!</v>
      </c>
    </row>
    <row r="25" spans="1:30" ht="33" hidden="1" customHeight="1" x14ac:dyDescent="0.3">
      <c r="A25">
        <f>'[1]2026 Orders'!A26</f>
        <v>45923</v>
      </c>
      <c r="B25" s="14" t="str">
        <f>'[1]2026 Orders'!B26</f>
        <v>Uganda</v>
      </c>
      <c r="C25" s="14" t="str">
        <f>'[1]2026 Orders'!C26</f>
        <v>A4522</v>
      </c>
      <c r="D25" s="14">
        <f>'[1]2026 Orders'!D26</f>
        <v>0</v>
      </c>
      <c r="E25" s="17" t="e" cm="1">
        <f t="array" ref="E25">IF(C25=0,"",
HYPERLINK(
"#'2026 Orders'!C"&amp;
MATCH(1,
('2026 Orders'!C:C=C25)*
('2026 Orders'!G:G=G25)*
('2026 Orders'!N:N=N25),
0),
"Open "&amp;C25
))</f>
        <v>#N/A</v>
      </c>
      <c r="F25" s="14" t="str">
        <f>'[1]2026 Orders'!F26</f>
        <v>12/4/2025: Moved From UgandaA4534
4/9/2026: 192 packs of Ovamax allocated to Bahrain A4685</v>
      </c>
      <c r="G25" s="14" t="str">
        <f>'[1]2026 Orders'!G26</f>
        <v>OVAMAX-120-FD</v>
      </c>
      <c r="H25" s="14" t="str" cm="1">
        <f t="array" ref="H25">IFERROR(_xlfn.TEXTJOIN("-",,INDEX(_xlfn.TEXTSPLIT(TableGive[[#This Row],[SKU]],"-"),{1,2})),"")</f>
        <v>OVAMAX-120</v>
      </c>
      <c r="I25" s="15" t="str">
        <f>IFERROR(_xlfn.TEXTAFTER(TableGive[[#This Row],[SKU]],"-",-1),"")</f>
        <v>FD</v>
      </c>
      <c r="J25" s="14">
        <f>'[1]2026 Orders'!H26</f>
        <v>192</v>
      </c>
      <c r="K25" t="str">
        <f>'[1]2026 Orders'!I26</f>
        <v>F41-25.0</v>
      </c>
      <c r="L25">
        <f>'[1]2026 Orders'!J26</f>
        <v>192</v>
      </c>
      <c r="N25" s="10">
        <f>'[1]2026 Orders'!L26</f>
        <v>0</v>
      </c>
      <c r="O25">
        <f>'[1]2026 Orders'!M26</f>
        <v>0</v>
      </c>
      <c r="P25" t="str">
        <f>'[1]2026 Orders'!N26</f>
        <v>NA</v>
      </c>
      <c r="Q25">
        <f>'[1]2026 Orders'!O26</f>
        <v>810131199586</v>
      </c>
      <c r="R25">
        <f>'[1]2026 Orders'!P26</f>
        <v>4100</v>
      </c>
      <c r="S25">
        <f>'[1]2026 Orders'!Q26</f>
        <v>4949</v>
      </c>
      <c r="T25" t="str">
        <f>'[1]2026 Orders'!R26</f>
        <v>Complete</v>
      </c>
      <c r="U25">
        <f>'[1]2026 Orders'!S26</f>
        <v>0</v>
      </c>
      <c r="V25">
        <f>'[1]2026 Orders'!T26</f>
        <v>0</v>
      </c>
      <c r="W25">
        <f>'[1]2026 Orders'!U26</f>
        <v>0</v>
      </c>
      <c r="X25">
        <f>'[1]2026 Orders'!V26</f>
        <v>0</v>
      </c>
      <c r="Y25">
        <f>'[1]2026 Orders'!W26</f>
        <v>0</v>
      </c>
      <c r="Z25">
        <f>'[1]2026 Orders'!X26</f>
        <v>0</v>
      </c>
      <c r="AC25" t="str">
        <f t="shared" si="0"/>
        <v>/192</v>
      </c>
      <c r="AD25" t="e">
        <f t="shared" si="1"/>
        <v>#VALUE!</v>
      </c>
    </row>
    <row r="26" spans="1:30" ht="33" hidden="1" customHeight="1" x14ac:dyDescent="0.3">
      <c r="A26">
        <f>'[1]2026 Orders'!A27</f>
        <v>45897</v>
      </c>
      <c r="B26" s="14" t="str">
        <f>'[1]2026 Orders'!B27</f>
        <v>Morocco</v>
      </c>
      <c r="C26" s="14" t="str">
        <f>'[1]2026 Orders'!C27</f>
        <v>A4518</v>
      </c>
      <c r="D26" s="14" t="str">
        <f>'[1]2026 Orders'!D27</f>
        <v xml:space="preserve">Awaiting customer update </v>
      </c>
      <c r="E26" s="17" t="str" cm="1">
        <f t="array" ref="E26">IF(C26=0,"",
HYPERLINK(
"#'2026 Orders'!C"&amp;
MATCH(1,
('2026 Orders'!C:C=C26)*
('2026 Orders'!G:G=G26)*
('2026 Orders'!N:N=N26),
0),
"Open "&amp;C26
))</f>
        <v>Open A4518</v>
      </c>
      <c r="F26" s="14">
        <f>'[1]2026 Orders'!F27</f>
        <v>0</v>
      </c>
      <c r="G26" s="14" t="str">
        <f>'[1]2026 Orders'!G27</f>
        <v>MOTILMX-60-FD</v>
      </c>
      <c r="H26" s="14" t="str" cm="1">
        <f t="array" ref="H26">IFERROR(_xlfn.TEXTJOIN("-",,INDEX(_xlfn.TEXTSPLIT(TableGive[[#This Row],[SKU]],"-"),{1,2})),"")</f>
        <v>MOTILMX-60</v>
      </c>
      <c r="I26" s="15" t="str">
        <f>IFERROR(_xlfn.TEXTAFTER(TableGive[[#This Row],[SKU]],"-",-1),"")</f>
        <v>FD</v>
      </c>
      <c r="J26" s="14">
        <f>'[1]2026 Orders'!H27</f>
        <v>1</v>
      </c>
      <c r="K26" t="str">
        <f>'[1]2026 Orders'!I27</f>
        <v>F31-23.0</v>
      </c>
      <c r="L26">
        <f>'[1]2026 Orders'!J27</f>
        <v>1</v>
      </c>
      <c r="N26" s="10" t="str">
        <f>'[1]2026 Orders'!L27</f>
        <v>D/W Sent</v>
      </c>
      <c r="O26" t="str">
        <f>'[1]2026 Orders'!M27</f>
        <v>D/W sent on 9/12/25</v>
      </c>
      <c r="P26" t="str">
        <f>'[1]2026 Orders'!N27</f>
        <v>NA</v>
      </c>
      <c r="Q26">
        <f>'[1]2026 Orders'!O27</f>
        <v>609788968191</v>
      </c>
      <c r="R26">
        <f>'[1]2026 Orders'!P27</f>
        <v>0</v>
      </c>
      <c r="S26">
        <f>'[1]2026 Orders'!Q27</f>
        <v>0</v>
      </c>
      <c r="T26">
        <f>'[1]2026 Orders'!R27</f>
        <v>0</v>
      </c>
      <c r="U26">
        <f>'[1]2026 Orders'!S27</f>
        <v>0</v>
      </c>
      <c r="V26">
        <f>'[1]2026 Orders'!T27</f>
        <v>0</v>
      </c>
      <c r="W26">
        <f>'[1]2026 Orders'!U27</f>
        <v>0</v>
      </c>
      <c r="X26">
        <f>'[1]2026 Orders'!V27</f>
        <v>0</v>
      </c>
      <c r="Y26">
        <f>'[1]2026 Orders'!W27</f>
        <v>0</v>
      </c>
      <c r="Z26" t="str">
        <f>'[1]2026 Orders'!X27</f>
        <v>Approved</v>
      </c>
      <c r="AC26" t="str">
        <f t="shared" si="0"/>
        <v>/1</v>
      </c>
      <c r="AD26" t="e">
        <f t="shared" si="1"/>
        <v>#VALUE!</v>
      </c>
    </row>
    <row r="27" spans="1:30" ht="33" hidden="1" customHeight="1" x14ac:dyDescent="0.3">
      <c r="A27">
        <f>'[1]2026 Orders'!A28</f>
        <v>45897</v>
      </c>
      <c r="B27" s="14" t="str">
        <f>'[1]2026 Orders'!B28</f>
        <v>Morocco</v>
      </c>
      <c r="C27" s="14" t="str">
        <f>'[1]2026 Orders'!C28</f>
        <v>A4518</v>
      </c>
      <c r="D27" s="14">
        <f>'[1]2026 Orders'!D28</f>
        <v>0</v>
      </c>
      <c r="E27" s="17" t="str" cm="1">
        <f t="array" ref="E27">IF(C27=0,"",
HYPERLINK(
"#'2026 Orders'!C"&amp;
MATCH(1,
('2026 Orders'!C:C=C27)*
('2026 Orders'!G:G=G27)*
('2026 Orders'!N:N=N27),
0),
"Open "&amp;C27
))</f>
        <v>Open A4518</v>
      </c>
      <c r="F27" s="14">
        <f>'[1]2026 Orders'!F28</f>
        <v>0</v>
      </c>
      <c r="G27" s="14" t="str">
        <f>'[1]2026 Orders'!G28</f>
        <v>MFSPLS-60-FD</v>
      </c>
      <c r="H27" s="14" t="str" cm="1">
        <f t="array" ref="H27">IFERROR(_xlfn.TEXTJOIN("-",,INDEX(_xlfn.TEXTSPLIT(TableGive[[#This Row],[SKU]],"-"),{1,2})),"")</f>
        <v>MFSPLS-60</v>
      </c>
      <c r="I27" s="15" t="str">
        <f>IFERROR(_xlfn.TEXTAFTER(TableGive[[#This Row],[SKU]],"-",-1),"")</f>
        <v>FD</v>
      </c>
      <c r="J27" s="14">
        <f>'[1]2026 Orders'!H28</f>
        <v>1</v>
      </c>
      <c r="K27" t="str">
        <f>'[1]2026 Orders'!I28</f>
        <v>F29-25.0</v>
      </c>
      <c r="L27">
        <f>'[1]2026 Orders'!J28</f>
        <v>1</v>
      </c>
      <c r="N27" s="10" t="str">
        <f>'[1]2026 Orders'!L28</f>
        <v>D/W Sent</v>
      </c>
      <c r="O27" t="str">
        <f>'[1]2026 Orders'!M28</f>
        <v>NEW D/W sent on 10/20/25</v>
      </c>
      <c r="P27" t="str">
        <f>'[1]2026 Orders'!N28</f>
        <v>NA</v>
      </c>
      <c r="Q27">
        <f>'[1]2026 Orders'!O28</f>
        <v>609788968092</v>
      </c>
      <c r="R27">
        <f>'[1]2026 Orders'!P28</f>
        <v>0</v>
      </c>
      <c r="S27">
        <f>'[1]2026 Orders'!Q28</f>
        <v>0</v>
      </c>
      <c r="T27">
        <f>'[1]2026 Orders'!R28</f>
        <v>0</v>
      </c>
      <c r="U27">
        <f>'[1]2026 Orders'!S28</f>
        <v>0</v>
      </c>
      <c r="V27">
        <f>'[1]2026 Orders'!T28</f>
        <v>0</v>
      </c>
      <c r="W27">
        <f>'[1]2026 Orders'!U28</f>
        <v>0</v>
      </c>
      <c r="X27">
        <f>'[1]2026 Orders'!V28</f>
        <v>0</v>
      </c>
      <c r="Y27">
        <f>'[1]2026 Orders'!W28</f>
        <v>0</v>
      </c>
      <c r="Z27">
        <f>'[1]2026 Orders'!X28</f>
        <v>0</v>
      </c>
      <c r="AC27" t="str">
        <f t="shared" si="0"/>
        <v>/1</v>
      </c>
      <c r="AD27" t="e">
        <f t="shared" si="1"/>
        <v>#VALUE!</v>
      </c>
    </row>
    <row r="28" spans="1:30" ht="33" hidden="1" customHeight="1" x14ac:dyDescent="0.3">
      <c r="A28">
        <f>'[1]2026 Orders'!A29</f>
        <v>45897</v>
      </c>
      <c r="B28" s="14" t="str">
        <f>'[1]2026 Orders'!B29</f>
        <v>Morocco</v>
      </c>
      <c r="C28" s="14" t="str">
        <f>'[1]2026 Orders'!C29</f>
        <v>A4518</v>
      </c>
      <c r="D28" s="14">
        <f>'[1]2026 Orders'!D29</f>
        <v>0</v>
      </c>
      <c r="E28" s="17" t="str" cm="1">
        <f t="array" ref="E28">IF(C28=0,"",
HYPERLINK(
"#'2026 Orders'!C"&amp;
MATCH(1,
('2026 Orders'!C:C=C28)*
('2026 Orders'!G:G=G28)*
('2026 Orders'!N:N=N28),
0),
"Open "&amp;C28
))</f>
        <v>Open A4518</v>
      </c>
      <c r="F28" s="14">
        <f>'[1]2026 Orders'!F29</f>
        <v>0</v>
      </c>
      <c r="G28" s="14" t="str">
        <f>'[1]2026 Orders'!G29</f>
        <v>MFSPLS-120-FD</v>
      </c>
      <c r="H28" s="14" t="str" cm="1">
        <f t="array" ref="H28">IFERROR(_xlfn.TEXTJOIN("-",,INDEX(_xlfn.TEXTSPLIT(TableGive[[#This Row],[SKU]],"-"),{1,2})),"")</f>
        <v>MFSPLS-120</v>
      </c>
      <c r="I28" s="15" t="str">
        <f>IFERROR(_xlfn.TEXTAFTER(TableGive[[#This Row],[SKU]],"-",-1),"")</f>
        <v>FD</v>
      </c>
      <c r="J28" s="14">
        <f>'[1]2026 Orders'!H29</f>
        <v>1</v>
      </c>
      <c r="K28" t="str">
        <f>'[1]2026 Orders'!I29</f>
        <v>F30-25.1</v>
      </c>
      <c r="L28">
        <f>'[1]2026 Orders'!J29</f>
        <v>1</v>
      </c>
      <c r="N28" s="10" t="str">
        <f>'[1]2026 Orders'!L29</f>
        <v>D/W Sent</v>
      </c>
      <c r="O28">
        <f>'[1]2026 Orders'!M29</f>
        <v>0</v>
      </c>
      <c r="P28" t="str">
        <f>'[1]2026 Orders'!N29</f>
        <v>NA</v>
      </c>
      <c r="Q28">
        <f>'[1]2026 Orders'!O29</f>
        <v>609788968344</v>
      </c>
      <c r="R28">
        <f>'[1]2026 Orders'!P29</f>
        <v>0</v>
      </c>
      <c r="S28">
        <f>'[1]2026 Orders'!Q29</f>
        <v>0</v>
      </c>
      <c r="T28">
        <f>'[1]2026 Orders'!R29</f>
        <v>0</v>
      </c>
      <c r="U28">
        <f>'[1]2026 Orders'!S29</f>
        <v>0</v>
      </c>
      <c r="V28">
        <f>'[1]2026 Orders'!T29</f>
        <v>0</v>
      </c>
      <c r="W28">
        <f>'[1]2026 Orders'!U29</f>
        <v>0</v>
      </c>
      <c r="X28">
        <f>'[1]2026 Orders'!V29</f>
        <v>0</v>
      </c>
      <c r="Y28">
        <f>'[1]2026 Orders'!W29</f>
        <v>0</v>
      </c>
      <c r="Z28">
        <f>'[1]2026 Orders'!X29</f>
        <v>0</v>
      </c>
      <c r="AC28" t="str">
        <f t="shared" si="0"/>
        <v>/1</v>
      </c>
      <c r="AD28" t="e">
        <f t="shared" si="1"/>
        <v>#VALUE!</v>
      </c>
    </row>
    <row r="29" spans="1:30" ht="33" hidden="1" customHeight="1" x14ac:dyDescent="0.3">
      <c r="A29">
        <f>'[1]2026 Orders'!A30</f>
        <v>45897</v>
      </c>
      <c r="B29" s="14" t="str">
        <f>'[1]2026 Orders'!B30</f>
        <v>Morocco</v>
      </c>
      <c r="C29" s="14" t="str">
        <f>'[1]2026 Orders'!C30</f>
        <v>A4518</v>
      </c>
      <c r="D29" s="14">
        <f>'[1]2026 Orders'!D30</f>
        <v>0</v>
      </c>
      <c r="E29" s="17" t="str" cm="1">
        <f t="array" ref="E29">IF(C29=0,"",
HYPERLINK(
"#'2026 Orders'!C"&amp;
MATCH(1,
('2026 Orders'!C:C=C29)*
('2026 Orders'!G:G=G29)*
('2026 Orders'!N:N=N29),
0),
"Open "&amp;C29
))</f>
        <v>Open A4518</v>
      </c>
      <c r="F29" s="14">
        <f>'[1]2026 Orders'!F30</f>
        <v>0</v>
      </c>
      <c r="G29" s="14" t="str">
        <f>'[1]2026 Orders'!G30</f>
        <v>POLYSIT-90-FD</v>
      </c>
      <c r="H29" s="14" t="str" cm="1">
        <f t="array" ref="H29">IFERROR(_xlfn.TEXTJOIN("-",,INDEX(_xlfn.TEXTSPLIT(TableGive[[#This Row],[SKU]],"-"),{1,2})),"")</f>
        <v>POLYSIT-90</v>
      </c>
      <c r="I29" s="15" t="str">
        <f>IFERROR(_xlfn.TEXTAFTER(TableGive[[#This Row],[SKU]],"-",-1),"")</f>
        <v>FD</v>
      </c>
      <c r="J29" s="14">
        <f>'[1]2026 Orders'!H30</f>
        <v>1</v>
      </c>
      <c r="K29" t="str">
        <f>'[1]2026 Orders'!I30</f>
        <v>F53-14.0</v>
      </c>
      <c r="L29">
        <f>'[1]2026 Orders'!J30</f>
        <v>1</v>
      </c>
      <c r="N29" s="10" t="str">
        <f>'[1]2026 Orders'!L30</f>
        <v>D/W Sent</v>
      </c>
      <c r="O29">
        <f>'[1]2026 Orders'!M30</f>
        <v>0</v>
      </c>
      <c r="P29" t="str">
        <f>'[1]2026 Orders'!N30</f>
        <v>Y</v>
      </c>
      <c r="Q29">
        <f>'[1]2026 Orders'!O30</f>
        <v>609788969006</v>
      </c>
      <c r="R29">
        <f>'[1]2026 Orders'!P30</f>
        <v>0</v>
      </c>
      <c r="S29">
        <f>'[1]2026 Orders'!Q30</f>
        <v>0</v>
      </c>
      <c r="T29">
        <f>'[1]2026 Orders'!R30</f>
        <v>0</v>
      </c>
      <c r="U29">
        <f>'[1]2026 Orders'!S30</f>
        <v>0</v>
      </c>
      <c r="V29">
        <f>'[1]2026 Orders'!T30</f>
        <v>0</v>
      </c>
      <c r="W29">
        <f>'[1]2026 Orders'!U30</f>
        <v>0</v>
      </c>
      <c r="X29">
        <f>'[1]2026 Orders'!V30</f>
        <v>0</v>
      </c>
      <c r="Y29">
        <f>'[1]2026 Orders'!W30</f>
        <v>0</v>
      </c>
      <c r="Z29">
        <f>'[1]2026 Orders'!X30</f>
        <v>0</v>
      </c>
      <c r="AC29" t="str">
        <f t="shared" si="0"/>
        <v>/1</v>
      </c>
      <c r="AD29" t="e">
        <f t="shared" si="1"/>
        <v>#VALUE!</v>
      </c>
    </row>
    <row r="30" spans="1:30" ht="33" hidden="1" customHeight="1" x14ac:dyDescent="0.3">
      <c r="A30">
        <f>'[1]2026 Orders'!A31</f>
        <v>45897</v>
      </c>
      <c r="B30" s="14" t="str">
        <f>'[1]2026 Orders'!B31</f>
        <v>Morocco</v>
      </c>
      <c r="C30" s="14" t="str">
        <f>'[1]2026 Orders'!C31</f>
        <v>A4518</v>
      </c>
      <c r="D30" s="14">
        <f>'[1]2026 Orders'!D31</f>
        <v>0</v>
      </c>
      <c r="E30" s="17" t="str" cm="1">
        <f t="array" ref="E30">IF(C30=0,"",
HYPERLINK(
"#'2026 Orders'!C"&amp;
MATCH(1,
('2026 Orders'!C:C=C30)*
('2026 Orders'!G:G=G30)*
('2026 Orders'!N:N=N30),
0),
"Open "&amp;C30
))</f>
        <v>Open A4518</v>
      </c>
      <c r="F30" s="14">
        <f>'[1]2026 Orders'!F31</f>
        <v>0</v>
      </c>
      <c r="G30" s="14" t="str">
        <f>'[1]2026 Orders'!G31</f>
        <v>PENAMAX-60-GE-FD</v>
      </c>
      <c r="H30" s="14" t="str" cm="1">
        <f t="array" ref="H30">IFERROR(_xlfn.TEXTJOIN("-",,INDEX(_xlfn.TEXTSPLIT(TableGive[[#This Row],[SKU]],"-"),{1,2})),"")</f>
        <v>PENAMAX-60</v>
      </c>
      <c r="I30" s="15" t="str">
        <f>IFERROR(_xlfn.TEXTAFTER(TableGive[[#This Row],[SKU]],"-",-1),"")</f>
        <v>FD</v>
      </c>
      <c r="J30" s="14">
        <f>'[1]2026 Orders'!H31</f>
        <v>1</v>
      </c>
      <c r="K30" t="str">
        <f>'[1]2026 Orders'!I31</f>
        <v>F88-25.1</v>
      </c>
      <c r="L30">
        <f>'[1]2026 Orders'!J31</f>
        <v>1</v>
      </c>
      <c r="N30" s="10" t="str">
        <f>'[1]2026 Orders'!L31</f>
        <v>D/W Sent</v>
      </c>
      <c r="O30">
        <f>'[1]2026 Orders'!M31</f>
        <v>0</v>
      </c>
      <c r="P30" t="str">
        <f>'[1]2026 Orders'!N31</f>
        <v>Y</v>
      </c>
      <c r="Q30">
        <f>'[1]2026 Orders'!O31</f>
        <v>609788968702</v>
      </c>
      <c r="R30">
        <f>'[1]2026 Orders'!P31</f>
        <v>0</v>
      </c>
      <c r="S30">
        <f>'[1]2026 Orders'!Q31</f>
        <v>0</v>
      </c>
      <c r="T30">
        <f>'[1]2026 Orders'!R31</f>
        <v>0</v>
      </c>
      <c r="U30">
        <f>'[1]2026 Orders'!S31</f>
        <v>0</v>
      </c>
      <c r="V30">
        <f>'[1]2026 Orders'!T31</f>
        <v>0</v>
      </c>
      <c r="W30">
        <f>'[1]2026 Orders'!U31</f>
        <v>0</v>
      </c>
      <c r="X30">
        <f>'[1]2026 Orders'!V31</f>
        <v>0</v>
      </c>
      <c r="Y30">
        <f>'[1]2026 Orders'!W31</f>
        <v>0</v>
      </c>
      <c r="Z30">
        <f>'[1]2026 Orders'!X31</f>
        <v>0</v>
      </c>
      <c r="AC30" t="str">
        <f t="shared" si="0"/>
        <v>/1</v>
      </c>
      <c r="AD30" t="e">
        <f t="shared" si="1"/>
        <v>#VALUE!</v>
      </c>
    </row>
    <row r="31" spans="1:30" ht="33" hidden="1" customHeight="1" x14ac:dyDescent="0.3">
      <c r="A31">
        <f>'[1]2026 Orders'!A32</f>
        <v>45897</v>
      </c>
      <c r="B31" s="14" t="str">
        <f>'[1]2026 Orders'!B32</f>
        <v>Morocco</v>
      </c>
      <c r="C31" s="14" t="str">
        <f>'[1]2026 Orders'!C32</f>
        <v>A4518</v>
      </c>
      <c r="D31" s="14">
        <f>'[1]2026 Orders'!D32</f>
        <v>0</v>
      </c>
      <c r="E31" s="17" t="str" cm="1">
        <f t="array" ref="E31">IF(C31=0,"",
HYPERLINK(
"#'2026 Orders'!C"&amp;
MATCH(1,
('2026 Orders'!C:C=C31)*
('2026 Orders'!G:G=G31)*
('2026 Orders'!N:N=N31),
0),
"Open "&amp;C31
))</f>
        <v>Open A4518</v>
      </c>
      <c r="F31" s="14">
        <f>'[1]2026 Orders'!F32</f>
        <v>0</v>
      </c>
      <c r="G31" s="14" t="str">
        <f>'[1]2026 Orders'!G32</f>
        <v>FERTMX-90-RE</v>
      </c>
      <c r="H31" s="14" t="str" cm="1">
        <f t="array" ref="H31">IFERROR(_xlfn.TEXTJOIN("-",,INDEX(_xlfn.TEXTSPLIT(TableGive[[#This Row],[SKU]],"-"),{1,2})),"")</f>
        <v>FERTMX-90</v>
      </c>
      <c r="I31" s="15" t="str">
        <f>IFERROR(_xlfn.TEXTAFTER(TableGive[[#This Row],[SKU]],"-",-1),"")</f>
        <v>RE</v>
      </c>
      <c r="J31" s="14">
        <f>'[1]2026 Orders'!H32</f>
        <v>1</v>
      </c>
      <c r="K31" t="str">
        <f>'[1]2026 Orders'!I32</f>
        <v>R16-22.0</v>
      </c>
      <c r="L31">
        <f>'[1]2026 Orders'!J32</f>
        <v>1</v>
      </c>
      <c r="N31" s="10" t="str">
        <f>'[1]2026 Orders'!L32</f>
        <v>D/W Sent</v>
      </c>
      <c r="O31">
        <f>'[1]2026 Orders'!M32</f>
        <v>0</v>
      </c>
      <c r="P31" t="str">
        <f>'[1]2026 Orders'!N32</f>
        <v>Y</v>
      </c>
      <c r="Q31">
        <f>'[1]2026 Orders'!O32</f>
        <v>609788968726</v>
      </c>
      <c r="R31">
        <f>'[1]2026 Orders'!P32</f>
        <v>0</v>
      </c>
      <c r="S31">
        <f>'[1]2026 Orders'!Q32</f>
        <v>0</v>
      </c>
      <c r="T31">
        <f>'[1]2026 Orders'!R32</f>
        <v>0</v>
      </c>
      <c r="U31">
        <f>'[1]2026 Orders'!S32</f>
        <v>0</v>
      </c>
      <c r="V31">
        <f>'[1]2026 Orders'!T32</f>
        <v>0</v>
      </c>
      <c r="W31">
        <f>'[1]2026 Orders'!U32</f>
        <v>0</v>
      </c>
      <c r="X31">
        <f>'[1]2026 Orders'!V32</f>
        <v>0</v>
      </c>
      <c r="Y31">
        <f>'[1]2026 Orders'!W32</f>
        <v>0</v>
      </c>
      <c r="Z31">
        <f>'[1]2026 Orders'!X32</f>
        <v>0</v>
      </c>
      <c r="AC31" t="str">
        <f t="shared" si="0"/>
        <v>/1</v>
      </c>
      <c r="AD31" t="e">
        <f t="shared" si="1"/>
        <v>#VALUE!</v>
      </c>
    </row>
    <row r="32" spans="1:30" ht="33" hidden="1" customHeight="1" x14ac:dyDescent="0.3">
      <c r="A32">
        <f>'[1]2026 Orders'!A33</f>
        <v>45897</v>
      </c>
      <c r="B32" s="14" t="str">
        <f>'[1]2026 Orders'!B33</f>
        <v>Morocco</v>
      </c>
      <c r="C32" s="14" t="str">
        <f>'[1]2026 Orders'!C33</f>
        <v>A4518</v>
      </c>
      <c r="D32" s="14">
        <f>'[1]2026 Orders'!D33</f>
        <v>0</v>
      </c>
      <c r="E32" s="17" t="str" cm="1">
        <f t="array" ref="E32">IF(C32=0,"",
HYPERLINK(
"#'2026 Orders'!C"&amp;
MATCH(1,
('2026 Orders'!C:C=C32)*
('2026 Orders'!G:G=G32)*
('2026 Orders'!N:N=N32),
0),
"Open "&amp;C32
))</f>
        <v>Open A4518</v>
      </c>
      <c r="F32" s="14">
        <f>'[1]2026 Orders'!F33</f>
        <v>0</v>
      </c>
      <c r="G32" s="14" t="str">
        <f>'[1]2026 Orders'!G33</f>
        <v>OVAMAX-120-FD</v>
      </c>
      <c r="H32" s="14" t="str" cm="1">
        <f t="array" ref="H32">IFERROR(_xlfn.TEXTJOIN("-",,INDEX(_xlfn.TEXTSPLIT(TableGive[[#This Row],[SKU]],"-"),{1,2})),"")</f>
        <v>OVAMAX-120</v>
      </c>
      <c r="I32" s="15" t="str">
        <f>IFERROR(_xlfn.TEXTAFTER(TableGive[[#This Row],[SKU]],"-",-1),"")</f>
        <v>FD</v>
      </c>
      <c r="J32" s="14">
        <f>'[1]2026 Orders'!H33</f>
        <v>1</v>
      </c>
      <c r="K32" t="str">
        <f>'[1]2026 Orders'!I33</f>
        <v>F41-25.0</v>
      </c>
      <c r="L32">
        <f>'[1]2026 Orders'!J33</f>
        <v>1</v>
      </c>
      <c r="N32" s="10" t="str">
        <f>'[1]2026 Orders'!L33</f>
        <v>D/W Sent</v>
      </c>
      <c r="O32">
        <f>'[1]2026 Orders'!M33</f>
        <v>0</v>
      </c>
      <c r="P32" t="str">
        <f>'[1]2026 Orders'!N33</f>
        <v>NA</v>
      </c>
      <c r="Q32">
        <f>'[1]2026 Orders'!O33</f>
        <v>609788968399</v>
      </c>
      <c r="R32">
        <f>'[1]2026 Orders'!P33</f>
        <v>0</v>
      </c>
      <c r="S32">
        <f>'[1]2026 Orders'!Q33</f>
        <v>0</v>
      </c>
      <c r="T32">
        <f>'[1]2026 Orders'!R33</f>
        <v>0</v>
      </c>
      <c r="U32">
        <f>'[1]2026 Orders'!S33</f>
        <v>0</v>
      </c>
      <c r="V32">
        <f>'[1]2026 Orders'!T33</f>
        <v>0</v>
      </c>
      <c r="W32">
        <f>'[1]2026 Orders'!U33</f>
        <v>0</v>
      </c>
      <c r="X32">
        <f>'[1]2026 Orders'!V33</f>
        <v>0</v>
      </c>
      <c r="Y32">
        <f>'[1]2026 Orders'!W33</f>
        <v>0</v>
      </c>
      <c r="Z32">
        <f>'[1]2026 Orders'!X33</f>
        <v>0</v>
      </c>
      <c r="AC32" t="str">
        <f t="shared" si="0"/>
        <v>/1</v>
      </c>
      <c r="AD32" t="e">
        <f t="shared" si="1"/>
        <v>#VALUE!</v>
      </c>
    </row>
    <row r="33" spans="1:30" ht="33" hidden="1" customHeight="1" x14ac:dyDescent="0.3">
      <c r="A33">
        <f>'[1]2026 Orders'!A34</f>
        <v>45947</v>
      </c>
      <c r="B33" s="14" t="str">
        <f>'[1]2026 Orders'!B34</f>
        <v>Morocco</v>
      </c>
      <c r="C33" s="14" t="str">
        <f>'[1]2026 Orders'!C34</f>
        <v>A4518</v>
      </c>
      <c r="D33" s="14">
        <f>'[1]2026 Orders'!D34</f>
        <v>0</v>
      </c>
      <c r="E33" s="17" t="str" cm="1">
        <f t="array" ref="E33">IF(C33=0,"",
HYPERLINK(
"#'2026 Orders'!C"&amp;
MATCH(1,
('2026 Orders'!C:C=C33)*
('2026 Orders'!G:G=G33)*
('2026 Orders'!N:N=N33),
0),
"Open "&amp;C33
))</f>
        <v>Open A4518</v>
      </c>
      <c r="F33" s="14" t="str">
        <f>'[1]2026 Orders'!F34</f>
        <v>10/17/2025: Added to order</v>
      </c>
      <c r="G33" s="14" t="str">
        <f>'[1]2026 Orders'!G34</f>
        <v>NMNH-60-FD</v>
      </c>
      <c r="H33" s="14" t="str" cm="1">
        <f t="array" ref="H33">IFERROR(_xlfn.TEXTJOIN("-",,INDEX(_xlfn.TEXTSPLIT(TableGive[[#This Row],[SKU]],"-"),{1,2})),"")</f>
        <v>NMNH-60</v>
      </c>
      <c r="I33" s="15" t="str">
        <f>IFERROR(_xlfn.TEXTAFTER(TableGive[[#This Row],[SKU]],"-",-1),"")</f>
        <v>FD</v>
      </c>
      <c r="J33" s="14">
        <f>'[1]2026 Orders'!H34</f>
        <v>3</v>
      </c>
      <c r="K33" t="str">
        <f>'[1]2026 Orders'!I34</f>
        <v>F114-25.0</v>
      </c>
      <c r="L33">
        <f>'[1]2026 Orders'!J34</f>
        <v>3</v>
      </c>
      <c r="N33" s="10" t="str">
        <f>'[1]2026 Orders'!L34</f>
        <v>D/W Sent</v>
      </c>
      <c r="O33">
        <f>'[1]2026 Orders'!M34</f>
        <v>0</v>
      </c>
      <c r="P33" t="str">
        <f>'[1]2026 Orders'!N34</f>
        <v>Y</v>
      </c>
      <c r="Q33" t="str">
        <f>'[1]2026 Orders'!O34</f>
        <v>810131192990</v>
      </c>
      <c r="R33">
        <f>'[1]2026 Orders'!P34</f>
        <v>0</v>
      </c>
      <c r="S33">
        <f>'[1]2026 Orders'!Q34</f>
        <v>0</v>
      </c>
      <c r="T33">
        <f>'[1]2026 Orders'!R34</f>
        <v>0</v>
      </c>
      <c r="U33">
        <f>'[1]2026 Orders'!S34</f>
        <v>0</v>
      </c>
      <c r="V33">
        <f>'[1]2026 Orders'!T34</f>
        <v>0</v>
      </c>
      <c r="W33">
        <f>'[1]2026 Orders'!U34</f>
        <v>0</v>
      </c>
      <c r="X33">
        <f>'[1]2026 Orders'!V34</f>
        <v>0</v>
      </c>
      <c r="Y33">
        <f>'[1]2026 Orders'!W34</f>
        <v>0</v>
      </c>
      <c r="Z33">
        <f>'[1]2026 Orders'!X34</f>
        <v>0</v>
      </c>
      <c r="AC33" t="str">
        <f t="shared" si="0"/>
        <v>/3</v>
      </c>
      <c r="AD33" t="e">
        <f t="shared" si="1"/>
        <v>#VALUE!</v>
      </c>
    </row>
    <row r="34" spans="1:30" ht="33" hidden="1" customHeight="1" x14ac:dyDescent="0.3">
      <c r="A34">
        <f>'[1]2026 Orders'!A35</f>
        <v>45897</v>
      </c>
      <c r="B34" s="14" t="str">
        <f>'[1]2026 Orders'!B35</f>
        <v>Morocco</v>
      </c>
      <c r="C34" s="14" t="str">
        <f>'[1]2026 Orders'!C35</f>
        <v>A4518</v>
      </c>
      <c r="D34" s="14" t="str">
        <f>'[1]2026 Orders'!D35</f>
        <v xml:space="preserve">Awaiting customer update </v>
      </c>
      <c r="E34" s="17" t="e" cm="1">
        <f t="array" ref="E34">IF(C34=0,"",
HYPERLINK(
"#'2026 Orders'!C"&amp;
MATCH(1,
('2026 Orders'!C:C=C34)*
('2026 Orders'!G:G=G34)*
('2026 Orders'!N:N=N34),
0),
"Open "&amp;C34
))</f>
        <v>#N/A</v>
      </c>
      <c r="F34" s="14">
        <f>'[1]2026 Orders'!F35</f>
        <v>0</v>
      </c>
      <c r="G34" s="14" t="str">
        <f>'[1]2026 Orders'!G35</f>
        <v>MOTILMX-60-FD</v>
      </c>
      <c r="H34" s="14" t="str" cm="1">
        <f t="array" ref="H34">IFERROR(_xlfn.TEXTJOIN("-",,INDEX(_xlfn.TEXTSPLIT(TableGive[[#This Row],[SKU]],"-"),{1,2})),"")</f>
        <v>MOTILMX-60</v>
      </c>
      <c r="I34" s="15" t="str">
        <f>IFERROR(_xlfn.TEXTAFTER(TableGive[[#This Row],[SKU]],"-",-1),"")</f>
        <v>FD</v>
      </c>
      <c r="J34" s="14">
        <f>'[1]2026 Orders'!H35</f>
        <v>1</v>
      </c>
      <c r="K34" t="str">
        <f>'[1]2026 Orders'!I35</f>
        <v>F31-23.0</v>
      </c>
      <c r="L34">
        <f>'[1]2026 Orders'!J35</f>
        <v>1</v>
      </c>
      <c r="N34" s="10">
        <f>'[1]2026 Orders'!L35</f>
        <v>0</v>
      </c>
      <c r="O34" t="str">
        <f>'[1]2026 Orders'!M35</f>
        <v>D/W sent on 9/12/25</v>
      </c>
      <c r="P34" t="str">
        <f>'[1]2026 Orders'!N35</f>
        <v>NA</v>
      </c>
      <c r="Q34">
        <f>'[1]2026 Orders'!O35</f>
        <v>609788968191</v>
      </c>
      <c r="R34">
        <f>'[1]2026 Orders'!P35</f>
        <v>0</v>
      </c>
      <c r="S34">
        <f>'[1]2026 Orders'!Q35</f>
        <v>0</v>
      </c>
      <c r="T34">
        <f>'[1]2026 Orders'!R35</f>
        <v>0</v>
      </c>
      <c r="U34">
        <f>'[1]2026 Orders'!S35</f>
        <v>0</v>
      </c>
      <c r="V34">
        <f>'[1]2026 Orders'!T35</f>
        <v>0</v>
      </c>
      <c r="W34">
        <f>'[1]2026 Orders'!U35</f>
        <v>0</v>
      </c>
      <c r="X34">
        <f>'[1]2026 Orders'!V35</f>
        <v>0</v>
      </c>
      <c r="Y34">
        <f>'[1]2026 Orders'!W35</f>
        <v>0</v>
      </c>
      <c r="Z34" t="str">
        <f>'[1]2026 Orders'!X35</f>
        <v>Approved</v>
      </c>
      <c r="AC34" t="str">
        <f t="shared" si="0"/>
        <v>/1</v>
      </c>
      <c r="AD34" t="e">
        <f t="shared" si="1"/>
        <v>#VALUE!</v>
      </c>
    </row>
    <row r="35" spans="1:30" ht="33" hidden="1" customHeight="1" x14ac:dyDescent="0.3">
      <c r="A35">
        <f>'[1]2026 Orders'!A36</f>
        <v>45908</v>
      </c>
      <c r="B35" s="14" t="str">
        <f>'[1]2026 Orders'!B36</f>
        <v>China</v>
      </c>
      <c r="C35" s="14" t="str">
        <f>'[1]2026 Orders'!C36</f>
        <v>A4637</v>
      </c>
      <c r="D35" s="14">
        <f>'[1]2026 Orders'!D36</f>
        <v>0</v>
      </c>
      <c r="E35" s="17" t="str" cm="1">
        <f t="array" ref="E35">IF(C35=0,"",
HYPERLINK(
"#'2026 Orders'!C"&amp;
MATCH(1,
('2026 Orders'!C:C=C35)*
('2026 Orders'!G:G=G35)*
('2026 Orders'!N:N=N35),
0),
"Open "&amp;C35
))</f>
        <v>Open A4637</v>
      </c>
      <c r="F35" s="14" t="str">
        <f>'[1]2026 Orders'!F36</f>
        <v xml:space="preserve">9/29/2025: Sku updated </v>
      </c>
      <c r="G35" s="14" t="str">
        <f>'[1]2026 Orders'!G36</f>
        <v>OVAMAXPLUS-120-CS-CN</v>
      </c>
      <c r="H35" s="14" t="str" cm="1">
        <f t="array" ref="H35">IFERROR(_xlfn.TEXTJOIN("-",,INDEX(_xlfn.TEXTSPLIT(TableGive[[#This Row],[SKU]],"-"),{1,2})),"")</f>
        <v>OVAMAXPLUS-120</v>
      </c>
      <c r="I35" s="15" t="str">
        <f>IFERROR(_xlfn.TEXTAFTER(TableGive[[#This Row],[SKU]],"-",-1),"")</f>
        <v>CN</v>
      </c>
      <c r="J35" s="14">
        <f>'[1]2026 Orders'!H36</f>
        <v>1100</v>
      </c>
      <c r="K35" t="str">
        <f>'[1]2026 Orders'!I36</f>
        <v>CN41-25.0</v>
      </c>
      <c r="L35">
        <f>'[1]2026 Orders'!J36</f>
        <v>1100</v>
      </c>
      <c r="N35" s="10" t="str">
        <f>'[1]2026 Orders'!L36</f>
        <v>D/W Sent</v>
      </c>
      <c r="O35" t="str">
        <f>'[1]2026 Orders'!M36</f>
        <v>01/14 D/W Sent</v>
      </c>
      <c r="P35" t="str">
        <f>'[1]2026 Orders'!N36</f>
        <v>NA</v>
      </c>
      <c r="Q35" t="str">
        <f>'[1]2026 Orders'!O36</f>
        <v>604776740056</v>
      </c>
      <c r="R35">
        <f>'[1]2026 Orders'!P36</f>
        <v>16000</v>
      </c>
      <c r="S35">
        <f>'[1]2026 Orders'!Q36</f>
        <v>4823</v>
      </c>
      <c r="T35" t="str">
        <f>'[1]2026 Orders'!R36</f>
        <v>complete</v>
      </c>
      <c r="U35">
        <f>'[1]2026 Orders'!S36</f>
        <v>0</v>
      </c>
      <c r="V35">
        <f>'[1]2026 Orders'!T36</f>
        <v>0</v>
      </c>
      <c r="W35">
        <f>'[1]2026 Orders'!U36</f>
        <v>0</v>
      </c>
      <c r="X35">
        <f>'[1]2026 Orders'!V36</f>
        <v>0</v>
      </c>
      <c r="Y35">
        <f>'[1]2026 Orders'!W36</f>
        <v>0</v>
      </c>
      <c r="Z35" t="str">
        <f>'[1]2026 Orders'!X36</f>
        <v>Approved</v>
      </c>
      <c r="AC35" t="str">
        <f t="shared" si="0"/>
        <v>/1100</v>
      </c>
      <c r="AD35" t="e">
        <f t="shared" si="1"/>
        <v>#VALUE!</v>
      </c>
    </row>
    <row r="36" spans="1:30" ht="33" hidden="1" customHeight="1" x14ac:dyDescent="0.3">
      <c r="A36">
        <f>'[1]2026 Orders'!A37</f>
        <v>45897</v>
      </c>
      <c r="B36" s="14" t="str">
        <f>'[1]2026 Orders'!B37</f>
        <v>Morocco</v>
      </c>
      <c r="C36" s="14" t="str">
        <f>'[1]2026 Orders'!C37</f>
        <v>A4518</v>
      </c>
      <c r="D36" s="14">
        <f>'[1]2026 Orders'!D37</f>
        <v>0</v>
      </c>
      <c r="E36" s="17" t="str" cm="1">
        <f t="array" ref="E36">IF(C36=0,"",
HYPERLINK(
"#'2026 Orders'!C"&amp;
MATCH(1,
('2026 Orders'!C:C=C36)*
('2026 Orders'!G:G=G36)*
('2026 Orders'!N:N=N36),
0),
"Open "&amp;C36
))</f>
        <v>Open A4518</v>
      </c>
      <c r="F36" s="14">
        <f>'[1]2026 Orders'!F37</f>
        <v>0</v>
      </c>
      <c r="G36" s="14" t="str">
        <f>'[1]2026 Orders'!G37</f>
        <v>MFSPLS-120-FD</v>
      </c>
      <c r="H36" s="14" t="str" cm="1">
        <f t="array" ref="H36">IFERROR(_xlfn.TEXTJOIN("-",,INDEX(_xlfn.TEXTSPLIT(TableGive[[#This Row],[SKU]],"-"),{1,2})),"")</f>
        <v>MFSPLS-120</v>
      </c>
      <c r="I36" s="15" t="str">
        <f>IFERROR(_xlfn.TEXTAFTER(TableGive[[#This Row],[SKU]],"-",-1),"")</f>
        <v>FD</v>
      </c>
      <c r="J36" s="14">
        <f>'[1]2026 Orders'!H37</f>
        <v>1</v>
      </c>
      <c r="K36" t="str">
        <f>'[1]2026 Orders'!I37</f>
        <v>F30-25.1</v>
      </c>
      <c r="L36">
        <f>'[1]2026 Orders'!J37</f>
        <v>1</v>
      </c>
      <c r="N36" s="10" t="str">
        <f>'[1]2026 Orders'!L37</f>
        <v>D/W Sent</v>
      </c>
      <c r="O36">
        <f>'[1]2026 Orders'!M37</f>
        <v>0</v>
      </c>
      <c r="P36" t="str">
        <f>'[1]2026 Orders'!N37</f>
        <v>NA</v>
      </c>
      <c r="Q36">
        <f>'[1]2026 Orders'!O37</f>
        <v>609788968344</v>
      </c>
      <c r="R36">
        <f>'[1]2026 Orders'!P37</f>
        <v>0</v>
      </c>
      <c r="S36">
        <f>'[1]2026 Orders'!Q37</f>
        <v>0</v>
      </c>
      <c r="T36">
        <f>'[1]2026 Orders'!R37</f>
        <v>0</v>
      </c>
      <c r="U36">
        <f>'[1]2026 Orders'!S37</f>
        <v>0</v>
      </c>
      <c r="V36">
        <f>'[1]2026 Orders'!T37</f>
        <v>0</v>
      </c>
      <c r="W36">
        <f>'[1]2026 Orders'!U37</f>
        <v>0</v>
      </c>
      <c r="X36">
        <f>'[1]2026 Orders'!V37</f>
        <v>0</v>
      </c>
      <c r="Y36">
        <f>'[1]2026 Orders'!W37</f>
        <v>0</v>
      </c>
      <c r="Z36">
        <f>'[1]2026 Orders'!X37</f>
        <v>0</v>
      </c>
      <c r="AC36" t="str">
        <f t="shared" si="0"/>
        <v>/1</v>
      </c>
      <c r="AD36" t="e">
        <f t="shared" si="1"/>
        <v>#VALUE!</v>
      </c>
    </row>
    <row r="37" spans="1:30" ht="33" hidden="1" customHeight="1" x14ac:dyDescent="0.3">
      <c r="A37">
        <f>'[1]2026 Orders'!A38</f>
        <v>46063</v>
      </c>
      <c r="B37" s="14" t="str">
        <f>'[1]2026 Orders'!B38</f>
        <v>Jordan</v>
      </c>
      <c r="C37" s="14" t="str">
        <f>'[1]2026 Orders'!C38</f>
        <v>A4646</v>
      </c>
      <c r="D37" s="14" t="str">
        <f>'[1]2026 Orders'!D38</f>
        <v>6/1/2026: Products arriving to AMS warehouse on 6/4/2026.</v>
      </c>
      <c r="E37" s="17" t="str" cm="1">
        <f t="array" ref="E37">IF(C37=0,"",
HYPERLINK(
"#'2026 Orders'!C"&amp;
MATCH(1,
('2026 Orders'!C:C=C37)*
('2026 Orders'!G:G=G37)*
('2026 Orders'!N:N=N37),
0),
"Open "&amp;C37
))</f>
        <v>Open A4646</v>
      </c>
      <c r="F37" s="14">
        <f>'[1]2026 Orders'!F38</f>
        <v>0</v>
      </c>
      <c r="G37" s="14" t="str">
        <f>'[1]2026 Orders'!G38</f>
        <v xml:space="preserve">FIBRO-10-CS-JO  </v>
      </c>
      <c r="H37" s="14" t="str" cm="1">
        <f t="array" ref="H37">IFERROR(_xlfn.TEXTJOIN("-",,INDEX(_xlfn.TEXTSPLIT(TableGive[[#This Row],[SKU]],"-"),{1,2})),"")</f>
        <v>FIBRO-10</v>
      </c>
      <c r="I37" s="15" t="str">
        <f>IFERROR(_xlfn.TEXTAFTER(TableGive[[#This Row],[SKU]],"-",-1),"")</f>
        <v xml:space="preserve">JO  </v>
      </c>
      <c r="J37" s="14">
        <f>'[1]2026 Orders'!H38</f>
        <v>420</v>
      </c>
      <c r="K37" t="str">
        <f>'[1]2026 Orders'!I38</f>
        <v>JO130-25.0</v>
      </c>
      <c r="L37">
        <f>'[1]2026 Orders'!J38</f>
        <v>0</v>
      </c>
      <c r="N37" s="10" t="str">
        <f>'[1]2026 Orders'!L38</f>
        <v>Available</v>
      </c>
      <c r="O37" t="str">
        <f>'[1]2026 Orders'!M38</f>
        <v>Receiving process</v>
      </c>
      <c r="P37" t="str">
        <f>'[1]2026 Orders'!N38</f>
        <v>NA</v>
      </c>
      <c r="Q37" t="str">
        <f>'[1]2026 Orders'!O38</f>
        <v>SAMPLE</v>
      </c>
      <c r="R37">
        <f>'[1]2026 Orders'!P38</f>
        <v>432</v>
      </c>
      <c r="S37">
        <f>'[1]2026 Orders'!Q38</f>
        <v>5012</v>
      </c>
      <c r="T37" t="str">
        <f>'[1]2026 Orders'!R38</f>
        <v>complete</v>
      </c>
      <c r="U37" t="str">
        <f>'[1]2026 Orders'!S38</f>
        <v>Pending D/W from vendor</v>
      </c>
      <c r="V37">
        <f>'[1]2026 Orders'!T38</f>
        <v>0</v>
      </c>
      <c r="W37">
        <f>'[1]2026 Orders'!U38</f>
        <v>0</v>
      </c>
      <c r="X37">
        <f>'[1]2026 Orders'!V38</f>
        <v>0</v>
      </c>
      <c r="Y37">
        <f>'[1]2026 Orders'!W38</f>
        <v>0</v>
      </c>
      <c r="Z37" t="str">
        <f>'[1]2026 Orders'!X38</f>
        <v>HOLD</v>
      </c>
      <c r="AC37" t="str">
        <f t="shared" si="0"/>
        <v>/420</v>
      </c>
      <c r="AD37" t="e">
        <f t="shared" si="1"/>
        <v>#VALUE!</v>
      </c>
    </row>
    <row r="38" spans="1:30" ht="33" hidden="1" customHeight="1" x14ac:dyDescent="0.3">
      <c r="A38">
        <f>'[1]2026 Orders'!A39</f>
        <v>46063</v>
      </c>
      <c r="B38" s="14" t="str">
        <f>'[1]2026 Orders'!B39</f>
        <v>Jordan</v>
      </c>
      <c r="C38" s="14" t="str">
        <f>'[1]2026 Orders'!C39</f>
        <v>A4646</v>
      </c>
      <c r="D38" s="14">
        <f>'[1]2026 Orders'!D39</f>
        <v>0</v>
      </c>
      <c r="E38" s="17" t="str" cm="1">
        <f t="array" ref="E38">IF(C38=0,"",
HYPERLINK(
"#'2026 Orders'!C"&amp;
MATCH(1,
('2026 Orders'!C:C=C38)*
('2026 Orders'!G:G=G38)*
('2026 Orders'!N:N=N38),
0),
"Open "&amp;C38
))</f>
        <v>Open A4646</v>
      </c>
      <c r="F38" s="14">
        <f>'[1]2026 Orders'!F39</f>
        <v>0</v>
      </c>
      <c r="G38" s="14" t="str">
        <f>'[1]2026 Orders'!G39</f>
        <v>WFSPLS-30-CS-JO</v>
      </c>
      <c r="H38" s="14" t="str" cm="1">
        <f t="array" ref="H38">IFERROR(_xlfn.TEXTJOIN("-",,INDEX(_xlfn.TEXTSPLIT(TableGive[[#This Row],[SKU]],"-"),{1,2})),"")</f>
        <v>WFSPLS-30</v>
      </c>
      <c r="I38" s="15" t="str">
        <f>IFERROR(_xlfn.TEXTAFTER(TableGive[[#This Row],[SKU]],"-",-1),"")</f>
        <v>JO</v>
      </c>
      <c r="J38" s="14">
        <f>'[1]2026 Orders'!H39</f>
        <v>345</v>
      </c>
      <c r="K38" t="str">
        <f>'[1]2026 Orders'!I39</f>
        <v>JO132-25.1</v>
      </c>
      <c r="L38">
        <f>'[1]2026 Orders'!J39</f>
        <v>0</v>
      </c>
      <c r="N38" s="10" t="str">
        <f>'[1]2026 Orders'!L39</f>
        <v>Available</v>
      </c>
      <c r="O38" t="str">
        <f>'[1]2026 Orders'!M39</f>
        <v>Receiving process</v>
      </c>
      <c r="P38" t="str">
        <f>'[1]2026 Orders'!N39</f>
        <v>NA</v>
      </c>
      <c r="Q38" t="str">
        <f>'[1]2026 Orders'!O39</f>
        <v>SAMPLE</v>
      </c>
      <c r="R38">
        <f>'[1]2026 Orders'!P39</f>
        <v>352</v>
      </c>
      <c r="S38">
        <f>'[1]2026 Orders'!Q39</f>
        <v>5016</v>
      </c>
      <c r="T38" t="str">
        <f>'[1]2026 Orders'!R39</f>
        <v>Complete</v>
      </c>
      <c r="U38">
        <f>'[1]2026 Orders'!S39</f>
        <v>0</v>
      </c>
      <c r="V38">
        <f>'[1]2026 Orders'!T39</f>
        <v>0</v>
      </c>
      <c r="W38">
        <f>'[1]2026 Orders'!U39</f>
        <v>0</v>
      </c>
      <c r="X38">
        <f>'[1]2026 Orders'!V39</f>
        <v>0</v>
      </c>
      <c r="Y38">
        <f>'[1]2026 Orders'!W39</f>
        <v>0</v>
      </c>
      <c r="Z38">
        <f>'[1]2026 Orders'!X39</f>
        <v>0</v>
      </c>
      <c r="AC38" t="str">
        <f t="shared" si="0"/>
        <v>/345</v>
      </c>
      <c r="AD38" t="e">
        <f t="shared" si="1"/>
        <v>#VALUE!</v>
      </c>
    </row>
    <row r="39" spans="1:30" ht="33" hidden="1" customHeight="1" x14ac:dyDescent="0.3">
      <c r="A39">
        <f>'[1]2026 Orders'!A40</f>
        <v>46063</v>
      </c>
      <c r="B39" s="14" t="str">
        <f>'[1]2026 Orders'!B40</f>
        <v>Jordan</v>
      </c>
      <c r="C39" s="14" t="str">
        <f>'[1]2026 Orders'!C40</f>
        <v>A4646</v>
      </c>
      <c r="D39" s="14">
        <f>'[1]2026 Orders'!D40</f>
        <v>0</v>
      </c>
      <c r="E39" s="17" t="str" cm="1">
        <f t="array" ref="E39">IF(C39=0,"",
HYPERLINK(
"#'2026 Orders'!C"&amp;
MATCH(1,
('2026 Orders'!C:C=C39)*
('2026 Orders'!G:G=G39)*
('2026 Orders'!N:N=N39),
0),
"Open "&amp;C39
))</f>
        <v>Open A4646</v>
      </c>
      <c r="F39" s="14">
        <f>'[1]2026 Orders'!F40</f>
        <v>0</v>
      </c>
      <c r="G39" s="14" t="str">
        <f>'[1]2026 Orders'!G40</f>
        <v>OVAMAX-20-CS-JO</v>
      </c>
      <c r="H39" s="14" t="str" cm="1">
        <f t="array" ref="H39">IFERROR(_xlfn.TEXTJOIN("-",,INDEX(_xlfn.TEXTSPLIT(TableGive[[#This Row],[SKU]],"-"),{1,2})),"")</f>
        <v>OVAMAX-20</v>
      </c>
      <c r="I39" s="15" t="str">
        <f>IFERROR(_xlfn.TEXTAFTER(TableGive[[#This Row],[SKU]],"-",-1),"")</f>
        <v>JO</v>
      </c>
      <c r="J39" s="14">
        <f>'[1]2026 Orders'!H40</f>
        <v>300</v>
      </c>
      <c r="K39" t="str">
        <f>'[1]2026 Orders'!I40</f>
        <v>JO131-25.0</v>
      </c>
      <c r="L39">
        <f>'[1]2026 Orders'!J40</f>
        <v>0</v>
      </c>
      <c r="N39" s="10" t="str">
        <f>'[1]2026 Orders'!L40</f>
        <v>Available</v>
      </c>
      <c r="O39" t="str">
        <f>'[1]2026 Orders'!M40</f>
        <v>Receiving process</v>
      </c>
      <c r="P39" t="str">
        <f>'[1]2026 Orders'!N40</f>
        <v>NA</v>
      </c>
      <c r="Q39" t="str">
        <f>'[1]2026 Orders'!O40</f>
        <v>SAMPLE</v>
      </c>
      <c r="R39">
        <f>'[1]2026 Orders'!P40</f>
        <v>300</v>
      </c>
      <c r="S39">
        <f>'[1]2026 Orders'!Q40</f>
        <v>5017</v>
      </c>
      <c r="T39" t="str">
        <f>'[1]2026 Orders'!R40</f>
        <v>complete</v>
      </c>
      <c r="U39">
        <f>'[1]2026 Orders'!S40</f>
        <v>0</v>
      </c>
      <c r="V39">
        <f>'[1]2026 Orders'!T40</f>
        <v>0</v>
      </c>
      <c r="W39">
        <f>'[1]2026 Orders'!U40</f>
        <v>0</v>
      </c>
      <c r="X39">
        <f>'[1]2026 Orders'!V40</f>
        <v>0</v>
      </c>
      <c r="Y39">
        <f>'[1]2026 Orders'!W40</f>
        <v>0</v>
      </c>
      <c r="Z39">
        <f>'[1]2026 Orders'!X40</f>
        <v>0</v>
      </c>
      <c r="AC39" t="str">
        <f t="shared" si="0"/>
        <v>/300</v>
      </c>
      <c r="AD39" t="e">
        <f t="shared" si="1"/>
        <v>#VALUE!</v>
      </c>
    </row>
    <row r="40" spans="1:30" ht="33" hidden="1" customHeight="1" x14ac:dyDescent="0.3">
      <c r="A40">
        <f>'[1]2026 Orders'!A41</f>
        <v>46063</v>
      </c>
      <c r="B40" s="14" t="str">
        <f>'[1]2026 Orders'!B41</f>
        <v>Jordan</v>
      </c>
      <c r="C40" s="14" t="str">
        <f>'[1]2026 Orders'!C41</f>
        <v>A4646</v>
      </c>
      <c r="D40" s="14">
        <f>'[1]2026 Orders'!D41</f>
        <v>0</v>
      </c>
      <c r="E40" s="17" t="str" cm="1">
        <f t="array" ref="E40">IF(C40=0,"",
HYPERLINK(
"#'2026 Orders'!C"&amp;
MATCH(1,
('2026 Orders'!C:C=C40)*
('2026 Orders'!G:G=G40)*
('2026 Orders'!N:N=N40),
0),
"Open "&amp;C40
))</f>
        <v>Open A4646</v>
      </c>
      <c r="F40" s="14">
        <f>'[1]2026 Orders'!F41</f>
        <v>0</v>
      </c>
      <c r="G40" s="14" t="str">
        <f>'[1]2026 Orders'!G41</f>
        <v>DHEA50-5-CS-JO</v>
      </c>
      <c r="H40" s="14" t="str" cm="1">
        <f t="array" ref="H40">IFERROR(_xlfn.TEXTJOIN("-",,INDEX(_xlfn.TEXTSPLIT(TableGive[[#This Row],[SKU]],"-"),{1,2})),"")</f>
        <v>DHEA50-5</v>
      </c>
      <c r="I40" s="15" t="str">
        <f>IFERROR(_xlfn.TEXTAFTER(TableGive[[#This Row],[SKU]],"-",-1),"")</f>
        <v>JO</v>
      </c>
      <c r="J40" s="14">
        <f>'[1]2026 Orders'!H41</f>
        <v>300</v>
      </c>
      <c r="K40" t="str">
        <f>'[1]2026 Orders'!I41</f>
        <v>JO133-25.0</v>
      </c>
      <c r="L40">
        <f>'[1]2026 Orders'!J41</f>
        <v>0</v>
      </c>
      <c r="N40" s="10" t="str">
        <f>'[1]2026 Orders'!L41</f>
        <v>Available</v>
      </c>
      <c r="O40" t="str">
        <f>'[1]2026 Orders'!M41</f>
        <v>Receiving process</v>
      </c>
      <c r="P40" t="str">
        <f>'[1]2026 Orders'!N41</f>
        <v>NA</v>
      </c>
      <c r="Q40" t="str">
        <f>'[1]2026 Orders'!O41</f>
        <v>SAMPLE</v>
      </c>
      <c r="R40">
        <f>'[1]2026 Orders'!P41</f>
        <v>300</v>
      </c>
      <c r="S40">
        <f>'[1]2026 Orders'!Q41</f>
        <v>5018</v>
      </c>
      <c r="T40" t="str">
        <f>'[1]2026 Orders'!R41</f>
        <v>complete</v>
      </c>
      <c r="U40">
        <f>'[1]2026 Orders'!S41</f>
        <v>0</v>
      </c>
      <c r="V40">
        <f>'[1]2026 Orders'!T41</f>
        <v>0</v>
      </c>
      <c r="W40">
        <f>'[1]2026 Orders'!U41</f>
        <v>0</v>
      </c>
      <c r="X40">
        <f>'[1]2026 Orders'!V41</f>
        <v>0</v>
      </c>
      <c r="Y40">
        <f>'[1]2026 Orders'!W41</f>
        <v>0</v>
      </c>
      <c r="Z40">
        <f>'[1]2026 Orders'!X41</f>
        <v>0</v>
      </c>
      <c r="AC40" t="str">
        <f t="shared" si="0"/>
        <v>/300</v>
      </c>
      <c r="AD40" t="e">
        <f t="shared" si="1"/>
        <v>#VALUE!</v>
      </c>
    </row>
    <row r="41" spans="1:30" ht="33" hidden="1" customHeight="1" x14ac:dyDescent="0.3">
      <c r="A41">
        <f>'[1]2026 Orders'!A42</f>
        <v>45947</v>
      </c>
      <c r="B41" s="14" t="str">
        <f>'[1]2026 Orders'!B42</f>
        <v>Morocco</v>
      </c>
      <c r="C41" s="14" t="str">
        <f>'[1]2026 Orders'!C42</f>
        <v>A4518</v>
      </c>
      <c r="D41" s="14">
        <f>'[1]2026 Orders'!D42</f>
        <v>0</v>
      </c>
      <c r="E41" s="17" t="e" cm="1">
        <f t="array" ref="E41">IF(C41=0,"",
HYPERLINK(
"#'2026 Orders'!C"&amp;
MATCH(1,
('2026 Orders'!C:C=C41)*
('2026 Orders'!G:G=G41)*
('2026 Orders'!N:N=N41),
0),
"Open "&amp;C41
))</f>
        <v>#N/A</v>
      </c>
      <c r="F41" s="14" t="str">
        <f>'[1]2026 Orders'!F42</f>
        <v>10/17/2025: Added to order</v>
      </c>
      <c r="G41" s="14" t="str">
        <f>'[1]2026 Orders'!G42</f>
        <v>NMNH-60-FD</v>
      </c>
      <c r="H41" s="14" t="str" cm="1">
        <f t="array" ref="H41">IFERROR(_xlfn.TEXTJOIN("-",,INDEX(_xlfn.TEXTSPLIT(TableGive[[#This Row],[SKU]],"-"),{1,2})),"")</f>
        <v>NMNH-60</v>
      </c>
      <c r="I41" s="15" t="str">
        <f>IFERROR(_xlfn.TEXTAFTER(TableGive[[#This Row],[SKU]],"-",-1),"")</f>
        <v>FD</v>
      </c>
      <c r="J41" s="14">
        <f>'[1]2026 Orders'!H42</f>
        <v>3</v>
      </c>
      <c r="K41" t="str">
        <f>'[1]2026 Orders'!I42</f>
        <v>F114-25.0</v>
      </c>
      <c r="L41">
        <f>'[1]2026 Orders'!J42</f>
        <v>3</v>
      </c>
      <c r="N41" s="10">
        <f>'[1]2026 Orders'!L42</f>
        <v>0</v>
      </c>
      <c r="O41">
        <f>'[1]2026 Orders'!M42</f>
        <v>0</v>
      </c>
      <c r="P41" t="str">
        <f>'[1]2026 Orders'!N42</f>
        <v>Y</v>
      </c>
      <c r="Q41" t="str">
        <f>'[1]2026 Orders'!O42</f>
        <v>810131192990</v>
      </c>
      <c r="R41">
        <f>'[1]2026 Orders'!P42</f>
        <v>0</v>
      </c>
      <c r="S41">
        <f>'[1]2026 Orders'!Q42</f>
        <v>0</v>
      </c>
      <c r="T41">
        <f>'[1]2026 Orders'!R42</f>
        <v>0</v>
      </c>
      <c r="U41">
        <f>'[1]2026 Orders'!S42</f>
        <v>0</v>
      </c>
      <c r="V41">
        <f>'[1]2026 Orders'!T42</f>
        <v>0</v>
      </c>
      <c r="W41">
        <f>'[1]2026 Orders'!U42</f>
        <v>0</v>
      </c>
      <c r="X41">
        <f>'[1]2026 Orders'!V42</f>
        <v>0</v>
      </c>
      <c r="Y41">
        <f>'[1]2026 Orders'!W42</f>
        <v>0</v>
      </c>
      <c r="Z41">
        <f>'[1]2026 Orders'!X42</f>
        <v>0</v>
      </c>
      <c r="AC41" t="str">
        <f t="shared" si="0"/>
        <v>/3</v>
      </c>
      <c r="AD41" t="e">
        <f t="shared" si="1"/>
        <v>#VALUE!</v>
      </c>
    </row>
    <row r="42" spans="1:30" ht="33" hidden="1" customHeight="1" x14ac:dyDescent="0.3">
      <c r="A42">
        <f>'[1]2026 Orders'!A43</f>
        <v>45919</v>
      </c>
      <c r="B42" s="14" t="str">
        <f>'[1]2026 Orders'!B43</f>
        <v>Ethiopia</v>
      </c>
      <c r="C42" s="14" t="str">
        <f>'[1]2026 Orders'!C43</f>
        <v>A4591</v>
      </c>
      <c r="D42" s="14" t="str">
        <f>'[1]2026 Orders'!D43</f>
        <v> 12/23/2025</v>
      </c>
      <c r="E42" s="17" t="str" cm="1">
        <f t="array" ref="E42">IF(C42=0,"",
HYPERLINK(
"#'2026 Orders'!C"&amp;
MATCH(1,
('2026 Orders'!C:C=C42)*
('2026 Orders'!G:G=G42)*
('2026 Orders'!N:N=N42),
0),
"Open "&amp;C42
))</f>
        <v>Open A4591</v>
      </c>
      <c r="F42" s="14" t="str">
        <f>'[1]2026 Orders'!F43</f>
        <v>11/26/2025: Moved 817 bottles from A4532
5/21/2026: Allocating 817 pcs to Egypt A4683.</v>
      </c>
      <c r="G42" s="14" t="str">
        <f>'[1]2026 Orders'!G43</f>
        <v>MFSPLS-120-FD</v>
      </c>
      <c r="H42" s="14" t="str" cm="1">
        <f t="array" ref="H42">IFERROR(_xlfn.TEXTJOIN("-",,INDEX(_xlfn.TEXTSPLIT(TableGive[[#This Row],[SKU]],"-"),{1,2})),"")</f>
        <v>MFSPLS-120</v>
      </c>
      <c r="I42" s="15" t="str">
        <f>IFERROR(_xlfn.TEXTAFTER(TableGive[[#This Row],[SKU]],"-",-1),"")</f>
        <v>FD</v>
      </c>
      <c r="J42" s="14">
        <f>'[1]2026 Orders'!H43</f>
        <v>817</v>
      </c>
      <c r="K42" t="str">
        <f>'[1]2026 Orders'!I43</f>
        <v>F30-25.1</v>
      </c>
      <c r="L42">
        <f>'[1]2026 Orders'!J43</f>
        <v>817</v>
      </c>
      <c r="N42" s="10" t="str">
        <f>'[1]2026 Orders'!L43</f>
        <v>In Production</v>
      </c>
      <c r="O42">
        <f>'[1]2026 Orders'!M43</f>
        <v>0</v>
      </c>
      <c r="P42" t="str">
        <f>'[1]2026 Orders'!N43</f>
        <v>NA</v>
      </c>
      <c r="Q42">
        <f>'[1]2026 Orders'!O43</f>
        <v>609788968344</v>
      </c>
      <c r="R42">
        <f>'[1]2026 Orders'!P43</f>
        <v>9195</v>
      </c>
      <c r="S42">
        <f>'[1]2026 Orders'!Q43</f>
        <v>5032</v>
      </c>
      <c r="T42">
        <f>'[1]2026 Orders'!R43</f>
        <v>46211</v>
      </c>
      <c r="U42">
        <f>'[1]2026 Orders'!S43</f>
        <v>0</v>
      </c>
      <c r="V42" t="str">
        <f>'[1]2026 Orders'!T43</f>
        <v> </v>
      </c>
      <c r="W42" t="str">
        <f>'[1]2026 Orders'!U43</f>
        <v> </v>
      </c>
      <c r="X42">
        <f>'[1]2026 Orders'!V43</f>
        <v>0</v>
      </c>
      <c r="Y42" t="str">
        <f>'[1]2026 Orders'!W43</f>
        <v> </v>
      </c>
      <c r="Z42" t="str">
        <f>'[1]2026 Orders'!X43</f>
        <v>HOLD</v>
      </c>
      <c r="AC42" t="str">
        <f t="shared" si="0"/>
        <v>/817</v>
      </c>
      <c r="AD42" t="e">
        <f t="shared" si="1"/>
        <v>#VALUE!</v>
      </c>
    </row>
    <row r="43" spans="1:30" ht="33" hidden="1" customHeight="1" x14ac:dyDescent="0.3">
      <c r="A43">
        <f>'[1]2026 Orders'!A44</f>
        <v>45919</v>
      </c>
      <c r="B43" s="14" t="str">
        <f>'[1]2026 Orders'!B44</f>
        <v>Ethiopia</v>
      </c>
      <c r="C43" s="14" t="str">
        <f>'[1]2026 Orders'!C44</f>
        <v>A4591</v>
      </c>
      <c r="D43" s="14" t="str">
        <f>'[1]2026 Orders'!D44</f>
        <v> </v>
      </c>
      <c r="E43" s="17" t="str" cm="1">
        <f t="array" ref="E43">IF(C43=0,"",
HYPERLINK(
"#'2026 Orders'!C"&amp;
MATCH(1,
('2026 Orders'!C:C=C43)*
('2026 Orders'!G:G=G43)*
('2026 Orders'!N:N=N43),
0),
"Open "&amp;C43
))</f>
        <v>Open A4591</v>
      </c>
      <c r="F43" s="14" t="str">
        <f>'[1]2026 Orders'!F44</f>
        <v>11/26/2025: Moved 77 bottles from A4532</v>
      </c>
      <c r="G43" s="14" t="str">
        <f>'[1]2026 Orders'!G44</f>
        <v>WFSPLS-180-FD</v>
      </c>
      <c r="H43" s="14" t="str" cm="1">
        <f t="array" ref="H43">IFERROR(_xlfn.TEXTJOIN("-",,INDEX(_xlfn.TEXTSPLIT(TableGive[[#This Row],[SKU]],"-"),{1,2})),"")</f>
        <v>WFSPLS-180</v>
      </c>
      <c r="I43" s="15" t="str">
        <f>IFERROR(_xlfn.TEXTAFTER(TableGive[[#This Row],[SKU]],"-",-1),"")</f>
        <v>FD</v>
      </c>
      <c r="J43" s="14">
        <f>'[1]2026 Orders'!H44</f>
        <v>77</v>
      </c>
      <c r="K43" t="str">
        <f>'[1]2026 Orders'!I44</f>
        <v>F73-23.0</v>
      </c>
      <c r="L43">
        <f>'[1]2026 Orders'!J44</f>
        <v>77</v>
      </c>
      <c r="N43" s="10" t="str">
        <f>'[1]2026 Orders'!L44</f>
        <v>Picked</v>
      </c>
      <c r="O43" t="str">
        <f>'[1]2026 Orders'!M44</f>
        <v>D/W sent on 12/22/25</v>
      </c>
      <c r="P43" t="str">
        <f>'[1]2026 Orders'!N44</f>
        <v>NA</v>
      </c>
      <c r="Q43">
        <f>'[1]2026 Orders'!O44</f>
        <v>609788968351</v>
      </c>
      <c r="R43">
        <f>'[1]2026 Orders'!P44</f>
        <v>9000</v>
      </c>
      <c r="S43">
        <f>'[1]2026 Orders'!Q44</f>
        <v>4845</v>
      </c>
      <c r="T43" t="str">
        <f>'[1]2026 Orders'!R44</f>
        <v>complete</v>
      </c>
      <c r="U43">
        <f>'[1]2026 Orders'!S44</f>
        <v>0</v>
      </c>
      <c r="V43" t="str">
        <f>'[1]2026 Orders'!T44</f>
        <v> </v>
      </c>
      <c r="W43" t="str">
        <f>'[1]2026 Orders'!U44</f>
        <v> </v>
      </c>
      <c r="X43">
        <f>'[1]2026 Orders'!V44</f>
        <v>0</v>
      </c>
      <c r="Y43" t="str">
        <f>'[1]2026 Orders'!W44</f>
        <v> </v>
      </c>
      <c r="Z43">
        <f>'[1]2026 Orders'!X44</f>
        <v>0</v>
      </c>
      <c r="AC43" t="str">
        <f t="shared" si="0"/>
        <v>/77</v>
      </c>
      <c r="AD43" t="e">
        <f t="shared" si="1"/>
        <v>#VALUE!</v>
      </c>
    </row>
    <row r="44" spans="1:30" ht="33" hidden="1" customHeight="1" x14ac:dyDescent="0.3">
      <c r="A44">
        <f>'[1]2026 Orders'!A45</f>
        <v>45919</v>
      </c>
      <c r="B44" s="14" t="str">
        <f>'[1]2026 Orders'!B45</f>
        <v>Ethiopia</v>
      </c>
      <c r="C44" s="14" t="str">
        <f>'[1]2026 Orders'!C45</f>
        <v>A4591</v>
      </c>
      <c r="D44" s="14" t="str">
        <f>'[1]2026 Orders'!D45</f>
        <v> </v>
      </c>
      <c r="E44" s="17" t="str" cm="1">
        <f t="array" ref="E44">IF(C44=0,"",
HYPERLINK(
"#'2026 Orders'!C"&amp;
MATCH(1,
('2026 Orders'!C:C=C44)*
('2026 Orders'!G:G=G44)*
('2026 Orders'!N:N=N44),
0),
"Open "&amp;C44
))</f>
        <v>Open A4591</v>
      </c>
      <c r="F44" s="14" t="str">
        <f>'[1]2026 Orders'!F45</f>
        <v>11/26/2025: Moved 480 bottles from A4532</v>
      </c>
      <c r="G44" s="14" t="str">
        <f>'[1]2026 Orders'!G45</f>
        <v>OVAMAX-120-FD</v>
      </c>
      <c r="H44" s="14" t="str" cm="1">
        <f t="array" ref="H44">IFERROR(_xlfn.TEXTJOIN("-",,INDEX(_xlfn.TEXTSPLIT(TableGive[[#This Row],[SKU]],"-"),{1,2})),"")</f>
        <v>OVAMAX-120</v>
      </c>
      <c r="I44" s="15" t="str">
        <f>IFERROR(_xlfn.TEXTAFTER(TableGive[[#This Row],[SKU]],"-",-1),"")</f>
        <v>FD</v>
      </c>
      <c r="J44" s="14">
        <f>'[1]2026 Orders'!H45</f>
        <v>480</v>
      </c>
      <c r="K44" t="str">
        <f>'[1]2026 Orders'!I45</f>
        <v>F41-25.0</v>
      </c>
      <c r="L44">
        <f>'[1]2026 Orders'!J45</f>
        <v>0</v>
      </c>
      <c r="N44" s="10" t="str">
        <f>'[1]2026 Orders'!L45</f>
        <v>Picked</v>
      </c>
      <c r="O44">
        <f>'[1]2026 Orders'!M45</f>
        <v>0</v>
      </c>
      <c r="P44" t="str">
        <f>'[1]2026 Orders'!N45</f>
        <v>NA</v>
      </c>
      <c r="Q44">
        <f>'[1]2026 Orders'!O45</f>
        <v>609788968399</v>
      </c>
      <c r="R44">
        <f>'[1]2026 Orders'!P45</f>
        <v>0</v>
      </c>
      <c r="S44">
        <f>'[1]2026 Orders'!Q45</f>
        <v>0</v>
      </c>
      <c r="T44">
        <f>'[1]2026 Orders'!R45</f>
        <v>0</v>
      </c>
      <c r="U44">
        <f>'[1]2026 Orders'!S45</f>
        <v>0</v>
      </c>
      <c r="V44">
        <f>'[1]2026 Orders'!T45</f>
        <v>0</v>
      </c>
      <c r="W44" t="str">
        <f>'[1]2026 Orders'!U45</f>
        <v> </v>
      </c>
      <c r="X44">
        <f>'[1]2026 Orders'!V45</f>
        <v>0</v>
      </c>
      <c r="Y44" t="str">
        <f>'[1]2026 Orders'!W45</f>
        <v> </v>
      </c>
      <c r="Z44">
        <f>'[1]2026 Orders'!X45</f>
        <v>0</v>
      </c>
      <c r="AC44" t="str">
        <f t="shared" si="0"/>
        <v>/480</v>
      </c>
      <c r="AD44" t="e">
        <f t="shared" si="1"/>
        <v>#VALUE!</v>
      </c>
    </row>
    <row r="45" spans="1:30" ht="33" hidden="1" customHeight="1" x14ac:dyDescent="0.3">
      <c r="A45">
        <f>'[1]2026 Orders'!A46</f>
        <v>45919</v>
      </c>
      <c r="B45" s="14" t="str">
        <f>'[1]2026 Orders'!B46</f>
        <v>Ethiopia</v>
      </c>
      <c r="C45" s="14" t="str">
        <f>'[1]2026 Orders'!C46</f>
        <v>A4591</v>
      </c>
      <c r="D45" s="14" t="str">
        <f>'[1]2026 Orders'!D46</f>
        <v> </v>
      </c>
      <c r="E45" s="17" t="str" cm="1">
        <f t="array" ref="E45">IF(C45=0,"",
HYPERLINK(
"#'2026 Orders'!C"&amp;
MATCH(1,
('2026 Orders'!C:C=C45)*
('2026 Orders'!G:G=G45)*
('2026 Orders'!N:N=N45),
0),
"Open "&amp;C45
))</f>
        <v>Open A4591</v>
      </c>
      <c r="F45" s="14" t="str">
        <f>'[1]2026 Orders'!F46</f>
        <v>11/26/2025: Moved 720 bottles from A4532
6/1/2026: Allocating 528 bottles to Cyprus A4676.</v>
      </c>
      <c r="G45" s="14" t="str">
        <f>'[1]2026 Orders'!G46</f>
        <v>FERTMX-90-RE</v>
      </c>
      <c r="H45" s="14" t="str" cm="1">
        <f t="array" ref="H45">IFERROR(_xlfn.TEXTJOIN("-",,INDEX(_xlfn.TEXTSPLIT(TableGive[[#This Row],[SKU]],"-"),{1,2})),"")</f>
        <v>FERTMX-90</v>
      </c>
      <c r="I45" s="15" t="str">
        <f>IFERROR(_xlfn.TEXTAFTER(TableGive[[#This Row],[SKU]],"-",-1),"")</f>
        <v>RE</v>
      </c>
      <c r="J45" s="14">
        <f>'[1]2026 Orders'!H46</f>
        <v>528</v>
      </c>
      <c r="K45" t="str">
        <f>'[1]2026 Orders'!I46</f>
        <v>R16-22.0</v>
      </c>
      <c r="L45">
        <f>'[1]2026 Orders'!J46</f>
        <v>528</v>
      </c>
      <c r="N45" s="10" t="str">
        <f>'[1]2026 Orders'!L46</f>
        <v>PO submitted</v>
      </c>
      <c r="O45">
        <f>'[1]2026 Orders'!M46</f>
        <v>0</v>
      </c>
      <c r="P45" t="str">
        <f>'[1]2026 Orders'!N46</f>
        <v>Y</v>
      </c>
      <c r="Q45">
        <f>'[1]2026 Orders'!O46</f>
        <v>609788968726</v>
      </c>
      <c r="R45">
        <f>'[1]2026 Orders'!P46</f>
        <v>5000</v>
      </c>
      <c r="S45">
        <f>'[1]2026 Orders'!Q46</f>
        <v>5041</v>
      </c>
      <c r="T45" t="str">
        <f>'[1]2026 Orders'!R46</f>
        <v>TBD</v>
      </c>
      <c r="U45" t="str">
        <f>'[1]2026 Orders'!S46</f>
        <v>Waiting for vendor confirmation.</v>
      </c>
      <c r="V45" t="str">
        <f>'[1]2026 Orders'!T46</f>
        <v> </v>
      </c>
      <c r="W45" t="str">
        <f>'[1]2026 Orders'!U46</f>
        <v> </v>
      </c>
      <c r="X45">
        <f>'[1]2026 Orders'!V46</f>
        <v>0</v>
      </c>
      <c r="Y45" t="str">
        <f>'[1]2026 Orders'!W46</f>
        <v> </v>
      </c>
      <c r="Z45">
        <f>'[1]2026 Orders'!X46</f>
        <v>0</v>
      </c>
      <c r="AC45" t="str">
        <f t="shared" si="0"/>
        <v>/528</v>
      </c>
      <c r="AD45" t="e">
        <f t="shared" si="1"/>
        <v>#VALUE!</v>
      </c>
    </row>
    <row r="46" spans="1:30" ht="33" hidden="1" customHeight="1" x14ac:dyDescent="0.3">
      <c r="A46">
        <f>'[1]2026 Orders'!A47</f>
        <v>45919</v>
      </c>
      <c r="B46" s="14" t="str">
        <f>'[1]2026 Orders'!B47</f>
        <v>Ethiopia</v>
      </c>
      <c r="C46" s="14" t="str">
        <f>'[1]2026 Orders'!C47</f>
        <v>A4591</v>
      </c>
      <c r="D46" s="14">
        <f>'[1]2026 Orders'!D47</f>
        <v>0</v>
      </c>
      <c r="E46" s="17" t="str" cm="1">
        <f t="array" ref="E46">IF(C46=0,"",
HYPERLINK(
"#'2026 Orders'!C"&amp;
MATCH(1,
('2026 Orders'!C:C=C46)*
('2026 Orders'!G:G=G46)*
('2026 Orders'!N:N=N46),
0),
"Open "&amp;C46
))</f>
        <v>Open A4591</v>
      </c>
      <c r="F46" s="14">
        <f>'[1]2026 Orders'!F47</f>
        <v>0</v>
      </c>
      <c r="G46" s="14" t="str">
        <f>'[1]2026 Orders'!G47</f>
        <v>FERTMX-90-RE</v>
      </c>
      <c r="H46" s="14" t="str" cm="1">
        <f t="array" ref="H46">IFERROR(_xlfn.TEXTJOIN("-",,INDEX(_xlfn.TEXTSPLIT(TableGive[[#This Row],[SKU]],"-"),{1,2})),"")</f>
        <v>FERTMX-90</v>
      </c>
      <c r="I46" s="15" t="str">
        <f>IFERROR(_xlfn.TEXTAFTER(TableGive[[#This Row],[SKU]],"-",-1),"")</f>
        <v>RE</v>
      </c>
      <c r="J46" s="14">
        <f>'[1]2026 Orders'!H47</f>
        <v>192</v>
      </c>
      <c r="K46" t="str">
        <f>'[1]2026 Orders'!I47</f>
        <v>R16-22.0</v>
      </c>
      <c r="L46">
        <f>'[1]2026 Orders'!J47</f>
        <v>192</v>
      </c>
      <c r="N46" s="10" t="str">
        <f>'[1]2026 Orders'!L47</f>
        <v>Picked</v>
      </c>
      <c r="O46">
        <f>'[1]2026 Orders'!M47</f>
        <v>0</v>
      </c>
      <c r="P46" t="str">
        <f>'[1]2026 Orders'!N47</f>
        <v>Y</v>
      </c>
      <c r="Q46">
        <f>'[1]2026 Orders'!O47</f>
        <v>609788968726</v>
      </c>
      <c r="R46">
        <f>'[1]2026 Orders'!P47</f>
        <v>0</v>
      </c>
      <c r="S46">
        <f>'[1]2026 Orders'!Q47</f>
        <v>0</v>
      </c>
      <c r="T46">
        <f>'[1]2026 Orders'!R47</f>
        <v>0</v>
      </c>
      <c r="U46">
        <f>'[1]2026 Orders'!S47</f>
        <v>0</v>
      </c>
      <c r="V46">
        <f>'[1]2026 Orders'!T47</f>
        <v>0</v>
      </c>
      <c r="W46">
        <f>'[1]2026 Orders'!U47</f>
        <v>0</v>
      </c>
      <c r="X46">
        <f>'[1]2026 Orders'!V47</f>
        <v>0</v>
      </c>
      <c r="Y46">
        <f>'[1]2026 Orders'!W47</f>
        <v>0</v>
      </c>
      <c r="Z46">
        <f>'[1]2026 Orders'!X47</f>
        <v>0</v>
      </c>
      <c r="AC46" t="str">
        <f t="shared" si="0"/>
        <v>/192</v>
      </c>
      <c r="AD46" t="e">
        <f t="shared" si="1"/>
        <v>#VALUE!</v>
      </c>
    </row>
    <row r="47" spans="1:30" ht="33" hidden="1" customHeight="1" x14ac:dyDescent="0.3">
      <c r="A47">
        <f>'[1]2026 Orders'!A48</f>
        <v>45919</v>
      </c>
      <c r="B47" s="14" t="str">
        <f>'[1]2026 Orders'!B48</f>
        <v>Ethiopia</v>
      </c>
      <c r="C47" s="14" t="str">
        <f>'[1]2026 Orders'!C48</f>
        <v>A4591</v>
      </c>
      <c r="D47" s="14">
        <f>'[1]2026 Orders'!D48</f>
        <v>0</v>
      </c>
      <c r="E47" s="17" t="str" cm="1">
        <f t="array" ref="E47">IF(C47=0,"",
HYPERLINK(
"#'2026 Orders'!C"&amp;
MATCH(1,
('2026 Orders'!C:C=C47)*
('2026 Orders'!G:G=G47)*
('2026 Orders'!N:N=N47),
0),
"Open "&amp;C47
))</f>
        <v>Open A4591</v>
      </c>
      <c r="F47" s="14" t="str">
        <f>'[1]2026 Orders'!F48</f>
        <v>11/26/2025: Moved 120 bottles from A4532
5/21/2026: Allocating 120 packs to Somalia A4686</v>
      </c>
      <c r="G47" s="14" t="str">
        <f>'[1]2026 Orders'!G48</f>
        <v>DHEA50-60-FD</v>
      </c>
      <c r="H47" s="14" t="str" cm="1">
        <f t="array" ref="H47">IFERROR(_xlfn.TEXTJOIN("-",,INDEX(_xlfn.TEXTSPLIT(TableGive[[#This Row],[SKU]],"-"),{1,2})),"")</f>
        <v>DHEA50-60</v>
      </c>
      <c r="I47" s="15" t="str">
        <f>IFERROR(_xlfn.TEXTAFTER(TableGive[[#This Row],[SKU]],"-",-1),"")</f>
        <v>FD</v>
      </c>
      <c r="J47" s="14">
        <f>'[1]2026 Orders'!H48</f>
        <v>120</v>
      </c>
      <c r="K47" t="str">
        <f>'[1]2026 Orders'!I48</f>
        <v>F14-25.2</v>
      </c>
      <c r="L47">
        <f>'[1]2026 Orders'!J48</f>
        <v>120</v>
      </c>
      <c r="N47" s="10" t="str">
        <f>'[1]2026 Orders'!L48</f>
        <v>In Production</v>
      </c>
      <c r="O47">
        <f>'[1]2026 Orders'!M48</f>
        <v>0</v>
      </c>
      <c r="P47" t="str">
        <f>'[1]2026 Orders'!N48</f>
        <v>NA</v>
      </c>
      <c r="Q47">
        <f>'[1]2026 Orders'!O48</f>
        <v>609788968221</v>
      </c>
      <c r="R47">
        <f>'[1]2026 Orders'!P48</f>
        <v>7000</v>
      </c>
      <c r="S47">
        <f>'[1]2026 Orders'!Q48</f>
        <v>5027</v>
      </c>
      <c r="T47">
        <f>'[1]2026 Orders'!R48</f>
        <v>46201</v>
      </c>
      <c r="U47">
        <f>'[1]2026 Orders'!S48</f>
        <v>0</v>
      </c>
      <c r="V47" t="str">
        <f>'[1]2026 Orders'!T48</f>
        <v> </v>
      </c>
      <c r="W47" t="str">
        <f>'[1]2026 Orders'!U48</f>
        <v> </v>
      </c>
      <c r="X47">
        <f>'[1]2026 Orders'!V48</f>
        <v>0</v>
      </c>
      <c r="Y47" t="str">
        <f>'[1]2026 Orders'!W48</f>
        <v> </v>
      </c>
      <c r="Z47">
        <f>'[1]2026 Orders'!X48</f>
        <v>0</v>
      </c>
      <c r="AC47" t="str">
        <f t="shared" si="0"/>
        <v>/120</v>
      </c>
      <c r="AD47" t="e">
        <f t="shared" si="1"/>
        <v>#VALUE!</v>
      </c>
    </row>
    <row r="48" spans="1:30" ht="33" hidden="1" customHeight="1" x14ac:dyDescent="0.3">
      <c r="A48">
        <f>'[1]2026 Orders'!A49</f>
        <v>45919</v>
      </c>
      <c r="B48" s="14" t="str">
        <f>'[1]2026 Orders'!B49</f>
        <v>Ethiopia</v>
      </c>
      <c r="C48" s="14" t="str">
        <f>'[1]2026 Orders'!C49</f>
        <v>A4591</v>
      </c>
      <c r="D48" s="14" t="str">
        <f>'[1]2026 Orders'!D49</f>
        <v> </v>
      </c>
      <c r="E48" s="17" t="str" cm="1">
        <f t="array" ref="E48">IF(C48=0,"",
HYPERLINK(
"#'2026 Orders'!C"&amp;
MATCH(1,
('2026 Orders'!C:C=C48)*
('2026 Orders'!G:G=G48)*
('2026 Orders'!N:N=N48),
0),
"Open "&amp;C48
))</f>
        <v>Open A4591</v>
      </c>
      <c r="F48" s="14" t="str">
        <f>'[1]2026 Orders'!F49</f>
        <v>11/26/2025: Moved 205 bottles from A4532</v>
      </c>
      <c r="G48" s="14" t="str">
        <f>'[1]2026 Orders'!G49</f>
        <v>PENAMAX-60-GE-FD</v>
      </c>
      <c r="H48" s="14" t="str" cm="1">
        <f t="array" ref="H48">IFERROR(_xlfn.TEXTJOIN("-",,INDEX(_xlfn.TEXTSPLIT(TableGive[[#This Row],[SKU]],"-"),{1,2})),"")</f>
        <v>PENAMAX-60</v>
      </c>
      <c r="I48" s="15" t="str">
        <f>IFERROR(_xlfn.TEXTAFTER(TableGive[[#This Row],[SKU]],"-",-1),"")</f>
        <v>FD</v>
      </c>
      <c r="J48" s="14">
        <f>'[1]2026 Orders'!H49</f>
        <v>205</v>
      </c>
      <c r="K48" t="str">
        <f>'[1]2026 Orders'!I49</f>
        <v>F88-25.1</v>
      </c>
      <c r="L48">
        <f>'[1]2026 Orders'!J49</f>
        <v>205</v>
      </c>
      <c r="N48" s="10" t="str">
        <f>'[1]2026 Orders'!L49</f>
        <v>Picked</v>
      </c>
      <c r="O48">
        <f>'[1]2026 Orders'!M49</f>
        <v>0</v>
      </c>
      <c r="P48" t="str">
        <f>'[1]2026 Orders'!N49</f>
        <v>Y</v>
      </c>
      <c r="Q48">
        <f>'[1]2026 Orders'!O49</f>
        <v>609788968702</v>
      </c>
      <c r="R48" t="str">
        <f>'[1]2026 Orders'!P49</f>
        <v> </v>
      </c>
      <c r="S48" t="str">
        <f>'[1]2026 Orders'!Q49</f>
        <v> </v>
      </c>
      <c r="T48" t="str">
        <f>'[1]2026 Orders'!R49</f>
        <v> </v>
      </c>
      <c r="U48" t="str">
        <f>'[1]2026 Orders'!S49</f>
        <v> </v>
      </c>
      <c r="V48" t="str">
        <f>'[1]2026 Orders'!T49</f>
        <v> </v>
      </c>
      <c r="W48" t="str">
        <f>'[1]2026 Orders'!U49</f>
        <v> </v>
      </c>
      <c r="X48">
        <f>'[1]2026 Orders'!V49</f>
        <v>0</v>
      </c>
      <c r="Y48" t="str">
        <f>'[1]2026 Orders'!W49</f>
        <v> </v>
      </c>
      <c r="Z48">
        <f>'[1]2026 Orders'!X49</f>
        <v>0</v>
      </c>
      <c r="AC48" t="str">
        <f t="shared" si="0"/>
        <v>/205</v>
      </c>
      <c r="AD48" t="e">
        <f t="shared" si="1"/>
        <v>#VALUE!</v>
      </c>
    </row>
    <row r="49" spans="1:30" ht="33" hidden="1" customHeight="1" x14ac:dyDescent="0.3">
      <c r="A49">
        <f>'[1]2026 Orders'!A50</f>
        <v>45919</v>
      </c>
      <c r="B49" s="14" t="str">
        <f>'[1]2026 Orders'!B50</f>
        <v>Ethiopia</v>
      </c>
      <c r="C49" s="14" t="str">
        <f>'[1]2026 Orders'!C50</f>
        <v>A4591</v>
      </c>
      <c r="D49" s="14" t="str">
        <f>'[1]2026 Orders'!D50</f>
        <v> </v>
      </c>
      <c r="E49" s="17" t="str" cm="1">
        <f t="array" ref="E49">IF(C49=0,"",
HYPERLINK(
"#'2026 Orders'!C"&amp;
MATCH(1,
('2026 Orders'!C:C=C49)*
('2026 Orders'!G:G=G49)*
('2026 Orders'!N:N=N49),
0),
"Open "&amp;C49
))</f>
        <v>Open A4591</v>
      </c>
      <c r="F49" s="14" t="str">
        <f>'[1]2026 Orders'!F50</f>
        <v>11/26/2025: Moved 245 bottles from A4532
5/14/2026: allocating 245 packs to Egypt A4683</v>
      </c>
      <c r="G49" s="14" t="str">
        <f>'[1]2026 Orders'!G50</f>
        <v>PRECON-180-FD</v>
      </c>
      <c r="H49" s="14" t="str" cm="1">
        <f t="array" ref="H49">IFERROR(_xlfn.TEXTJOIN("-",,INDEX(_xlfn.TEXTSPLIT(TableGive[[#This Row],[SKU]],"-"),{1,2})),"")</f>
        <v>PRECON-180</v>
      </c>
      <c r="I49" s="15" t="str">
        <f>IFERROR(_xlfn.TEXTAFTER(TableGive[[#This Row],[SKU]],"-",-1),"")</f>
        <v>FD</v>
      </c>
      <c r="J49" s="14">
        <f>'[1]2026 Orders'!H50</f>
        <v>245</v>
      </c>
      <c r="K49" t="str">
        <f>'[1]2026 Orders'!I50</f>
        <v>F55-22.2</v>
      </c>
      <c r="L49">
        <f>'[1]2026 Orders'!J50</f>
        <v>245</v>
      </c>
      <c r="N49" s="10" t="str">
        <f>'[1]2026 Orders'!L50</f>
        <v>In Production</v>
      </c>
      <c r="O49">
        <f>'[1]2026 Orders'!M50</f>
        <v>0</v>
      </c>
      <c r="P49" t="str">
        <f>'[1]2026 Orders'!N50</f>
        <v>NA</v>
      </c>
      <c r="Q49">
        <f>'[1]2026 Orders'!O50</f>
        <v>609788968375</v>
      </c>
      <c r="R49">
        <f>'[1]2026 Orders'!P50</f>
        <v>5000</v>
      </c>
      <c r="S49">
        <f>'[1]2026 Orders'!Q50</f>
        <v>5060</v>
      </c>
      <c r="T49">
        <f>'[1]2026 Orders'!R50</f>
        <v>46205</v>
      </c>
      <c r="U49">
        <f>'[1]2026 Orders'!S50</f>
        <v>0</v>
      </c>
      <c r="V49" t="str">
        <f>'[1]2026 Orders'!T50</f>
        <v> </v>
      </c>
      <c r="W49" t="str">
        <f>'[1]2026 Orders'!U50</f>
        <v> </v>
      </c>
      <c r="X49">
        <f>'[1]2026 Orders'!V50</f>
        <v>0</v>
      </c>
      <c r="Y49" t="str">
        <f>'[1]2026 Orders'!W50</f>
        <v> </v>
      </c>
      <c r="Z49">
        <f>'[1]2026 Orders'!X50</f>
        <v>0</v>
      </c>
      <c r="AC49" t="str">
        <f t="shared" si="0"/>
        <v>/245</v>
      </c>
      <c r="AD49" t="e">
        <f t="shared" si="1"/>
        <v>#VALUE!</v>
      </c>
    </row>
    <row r="50" spans="1:30" ht="33" hidden="1" customHeight="1" x14ac:dyDescent="0.3">
      <c r="A50">
        <f>'[1]2026 Orders'!A51</f>
        <v>45919</v>
      </c>
      <c r="B50" s="14" t="str">
        <f>'[1]2026 Orders'!B51</f>
        <v>Ethiopia</v>
      </c>
      <c r="C50" s="14" t="str">
        <f>'[1]2026 Orders'!C51</f>
        <v>A4591</v>
      </c>
      <c r="D50" s="14">
        <f>'[1]2026 Orders'!D51</f>
        <v>0</v>
      </c>
      <c r="E50" s="17" t="str" cm="1">
        <f t="array" ref="E50">IF(C50=0,"",
HYPERLINK(
"#'2026 Orders'!C"&amp;
MATCH(1,
('2026 Orders'!C:C=C50)*
('2026 Orders'!G:G=G50)*
('2026 Orders'!N:N=N50),
0),
"Open "&amp;C50
))</f>
        <v>Open A4591</v>
      </c>
      <c r="F50" s="14" t="str">
        <f>'[1]2026 Orders'!F51</f>
        <v>11/26/2025: Moved 484 bottles from A4532</v>
      </c>
      <c r="G50" s="14" t="str">
        <f>'[1]2026 Orders'!G51</f>
        <v>QWELL4-30-SG-FD</v>
      </c>
      <c r="H50" s="14" t="str" cm="1">
        <f t="array" ref="H50">IFERROR(_xlfn.TEXTJOIN("-",,INDEX(_xlfn.TEXTSPLIT(TableGive[[#This Row],[SKU]],"-"),{1,2})),"")</f>
        <v>QWELL4-30</v>
      </c>
      <c r="I50" s="15" t="str">
        <f>IFERROR(_xlfn.TEXTAFTER(TableGive[[#This Row],[SKU]],"-",-1),"")</f>
        <v>FD</v>
      </c>
      <c r="J50" s="14">
        <f>'[1]2026 Orders'!H51</f>
        <v>484</v>
      </c>
      <c r="K50" t="str">
        <f>'[1]2026 Orders'!I51</f>
        <v>F58-25.3</v>
      </c>
      <c r="L50">
        <f>'[1]2026 Orders'!J51</f>
        <v>484</v>
      </c>
      <c r="N50" s="10" t="str">
        <f>'[1]2026 Orders'!L51</f>
        <v>Picked</v>
      </c>
      <c r="O50">
        <f>'[1]2026 Orders'!M51</f>
        <v>0</v>
      </c>
      <c r="P50" t="str">
        <f>'[1]2026 Orders'!N51</f>
        <v>NA</v>
      </c>
      <c r="Q50" t="str">
        <f>'[1]2026 Orders'!O51</f>
        <v>609788968214</v>
      </c>
      <c r="R50">
        <f>'[1]2026 Orders'!P51</f>
        <v>17633</v>
      </c>
      <c r="S50">
        <f>'[1]2026 Orders'!Q51</f>
        <v>4858</v>
      </c>
      <c r="T50" t="str">
        <f>'[1]2026 Orders'!R51</f>
        <v>complete</v>
      </c>
      <c r="U50">
        <f>'[1]2026 Orders'!S51</f>
        <v>0</v>
      </c>
      <c r="V50" t="str">
        <f>'[1]2026 Orders'!T51</f>
        <v> </v>
      </c>
      <c r="W50" t="str">
        <f>'[1]2026 Orders'!U51</f>
        <v> </v>
      </c>
      <c r="X50">
        <f>'[1]2026 Orders'!V51</f>
        <v>0</v>
      </c>
      <c r="Y50" t="str">
        <f>'[1]2026 Orders'!W51</f>
        <v> </v>
      </c>
      <c r="Z50">
        <f>'[1]2026 Orders'!X51</f>
        <v>0</v>
      </c>
      <c r="AC50" t="str">
        <f t="shared" si="0"/>
        <v>/484</v>
      </c>
      <c r="AD50" t="e">
        <f t="shared" si="1"/>
        <v>#VALUE!</v>
      </c>
    </row>
    <row r="51" spans="1:30" ht="33" hidden="1" customHeight="1" x14ac:dyDescent="0.3">
      <c r="A51">
        <f>'[1]2026 Orders'!A52</f>
        <v>45958</v>
      </c>
      <c r="B51" s="14" t="str">
        <f>'[1]2026 Orders'!B52</f>
        <v>Ethiopia</v>
      </c>
      <c r="C51" s="14" t="str">
        <f>'[1]2026 Orders'!C52</f>
        <v>A4591</v>
      </c>
      <c r="D51" s="14">
        <f>'[1]2026 Orders'!D52</f>
        <v>0</v>
      </c>
      <c r="E51" s="17" t="str" cm="1">
        <f t="array" ref="E51">IF(C51=0,"",
HYPERLINK(
"#'2026 Orders'!C"&amp;
MATCH(1,
('2026 Orders'!C:C=C51)*
('2026 Orders'!G:G=G51)*
('2026 Orders'!N:N=N51),
0),
"Open "&amp;C51
))</f>
        <v>Open A4591</v>
      </c>
      <c r="F51" s="14" t="str">
        <f>'[1]2026 Orders'!F52</f>
        <v>11/26/2025: Moved 34 bottles from A4519</v>
      </c>
      <c r="G51" s="14" t="str">
        <f>'[1]2026 Orders'!G52</f>
        <v>MOTILMX-60-FD</v>
      </c>
      <c r="H51" s="14" t="str" cm="1">
        <f t="array" ref="H51">IFERROR(_xlfn.TEXTJOIN("-",,INDEX(_xlfn.TEXTSPLIT(TableGive[[#This Row],[SKU]],"-"),{1,2})),"")</f>
        <v>MOTILMX-60</v>
      </c>
      <c r="I51" s="15" t="str">
        <f>IFERROR(_xlfn.TEXTAFTER(TableGive[[#This Row],[SKU]],"-",-1),"")</f>
        <v>FD</v>
      </c>
      <c r="J51" s="14">
        <f>'[1]2026 Orders'!H52</f>
        <v>34</v>
      </c>
      <c r="K51" t="str">
        <f>'[1]2026 Orders'!I52</f>
        <v>F31-23.0</v>
      </c>
      <c r="L51">
        <f>'[1]2026 Orders'!J52</f>
        <v>34</v>
      </c>
      <c r="N51" s="10" t="str">
        <f>'[1]2026 Orders'!L52</f>
        <v>Picked</v>
      </c>
      <c r="O51">
        <f>'[1]2026 Orders'!M52</f>
        <v>0</v>
      </c>
      <c r="P51" t="str">
        <f>'[1]2026 Orders'!N52</f>
        <v>NA</v>
      </c>
      <c r="Q51">
        <f>'[1]2026 Orders'!O52</f>
        <v>609788968191</v>
      </c>
      <c r="R51">
        <f>'[1]2026 Orders'!P52</f>
        <v>0</v>
      </c>
      <c r="S51">
        <f>'[1]2026 Orders'!Q52</f>
        <v>0</v>
      </c>
      <c r="T51">
        <f>'[1]2026 Orders'!R52</f>
        <v>0</v>
      </c>
      <c r="U51">
        <f>'[1]2026 Orders'!S52</f>
        <v>0</v>
      </c>
      <c r="V51">
        <f>'[1]2026 Orders'!T52</f>
        <v>0</v>
      </c>
      <c r="W51">
        <f>'[1]2026 Orders'!U52</f>
        <v>0</v>
      </c>
      <c r="X51">
        <f>'[1]2026 Orders'!V52</f>
        <v>0</v>
      </c>
      <c r="Y51">
        <f>'[1]2026 Orders'!W52</f>
        <v>0</v>
      </c>
      <c r="Z51">
        <f>'[1]2026 Orders'!X52</f>
        <v>0</v>
      </c>
      <c r="AC51" t="str">
        <f t="shared" si="0"/>
        <v>/34</v>
      </c>
      <c r="AD51" t="e">
        <f t="shared" si="1"/>
        <v>#VALUE!</v>
      </c>
    </row>
    <row r="52" spans="1:30" ht="33" hidden="1" customHeight="1" x14ac:dyDescent="0.3">
      <c r="A52">
        <f>'[1]2026 Orders'!A53</f>
        <v>45919</v>
      </c>
      <c r="B52" s="14">
        <f>'[1]2026 Orders'!B53</f>
        <v>0</v>
      </c>
      <c r="C52" s="14" t="str">
        <f>'[1]2026 Orders'!C53</f>
        <v>A4591</v>
      </c>
      <c r="D52" s="14" t="str">
        <f>'[1]2026 Orders'!D53</f>
        <v> </v>
      </c>
      <c r="E52" s="17" t="e" cm="1">
        <f t="array" ref="E52">IF(C52=0,"",
HYPERLINK(
"#'2026 Orders'!C"&amp;
MATCH(1,
('2026 Orders'!C:C=C52)*
('2026 Orders'!G:G=G52)*
('2026 Orders'!N:N=N52),
0),
"Open "&amp;C52
))</f>
        <v>#N/A</v>
      </c>
      <c r="F52" s="14" t="str">
        <f>'[1]2026 Orders'!F53</f>
        <v>11/26/2025: Moved 480 bottles from A4532</v>
      </c>
      <c r="G52" s="14" t="str">
        <f>'[1]2026 Orders'!G53</f>
        <v>OVAMAX-120-FD</v>
      </c>
      <c r="H52" s="14" t="str" cm="1">
        <f t="array" ref="H52">IFERROR(_xlfn.TEXTJOIN("-",,INDEX(_xlfn.TEXTSPLIT(TableGive[[#This Row],[SKU]],"-"),{1,2})),"")</f>
        <v>OVAMAX-120</v>
      </c>
      <c r="I52" s="15" t="str">
        <f>IFERROR(_xlfn.TEXTAFTER(TableGive[[#This Row],[SKU]],"-",-1),"")</f>
        <v>FD</v>
      </c>
      <c r="J52" s="14">
        <f>'[1]2026 Orders'!H53</f>
        <v>480</v>
      </c>
      <c r="K52">
        <f>'[1]2026 Orders'!I53</f>
        <v>0</v>
      </c>
      <c r="L52">
        <f>'[1]2026 Orders'!J53</f>
        <v>480</v>
      </c>
      <c r="N52" s="10" t="str">
        <f>'[1]2026 Orders'!L53</f>
        <v>D/W Sent</v>
      </c>
      <c r="O52">
        <f>'[1]2026 Orders'!M53</f>
        <v>0</v>
      </c>
      <c r="P52" t="str">
        <f>'[1]2026 Orders'!N53</f>
        <v>NA</v>
      </c>
      <c r="Q52">
        <f>'[1]2026 Orders'!O53</f>
        <v>609788968399</v>
      </c>
      <c r="R52">
        <f>'[1]2026 Orders'!P53</f>
        <v>16000</v>
      </c>
      <c r="S52">
        <f>'[1]2026 Orders'!Q53</f>
        <v>4823</v>
      </c>
      <c r="T52" t="str">
        <f>'[1]2026 Orders'!R53</f>
        <v>complete</v>
      </c>
      <c r="U52" t="str">
        <f>'[1]2026 Orders'!S53</f>
        <v> </v>
      </c>
      <c r="V52" t="str">
        <f>'[1]2026 Orders'!T53</f>
        <v> </v>
      </c>
      <c r="W52" t="str">
        <f>'[1]2026 Orders'!U53</f>
        <v> </v>
      </c>
      <c r="X52">
        <f>'[1]2026 Orders'!V53</f>
        <v>0</v>
      </c>
      <c r="Y52" t="str">
        <f>'[1]2026 Orders'!W53</f>
        <v> </v>
      </c>
      <c r="Z52">
        <f>'[1]2026 Orders'!X53</f>
        <v>0</v>
      </c>
      <c r="AC52" t="str">
        <f t="shared" si="0"/>
        <v/>
      </c>
      <c r="AD52" t="e">
        <f t="shared" si="1"/>
        <v>#VALUE!</v>
      </c>
    </row>
    <row r="53" spans="1:30" ht="33" hidden="1" customHeight="1" x14ac:dyDescent="0.3">
      <c r="A53">
        <f>'[1]2026 Orders'!A54</f>
        <v>45923</v>
      </c>
      <c r="B53" s="14" t="str">
        <f>'[1]2026 Orders'!B54</f>
        <v>Uganda</v>
      </c>
      <c r="C53" s="14" t="str">
        <f>'[1]2026 Orders'!C54</f>
        <v>A4534</v>
      </c>
      <c r="D53" s="14">
        <f>'[1]2026 Orders'!D54</f>
        <v>0</v>
      </c>
      <c r="E53" s="17" t="str" cm="1">
        <f t="array" ref="E53">IF(C53=0,"",
HYPERLINK(
"#'2026 Orders'!C"&amp;
MATCH(1,
('2026 Orders'!C:C=C53)*
('2026 Orders'!G:G=G53)*
('2026 Orders'!N:N=N53),
0),
"Open "&amp;C53
))</f>
        <v>Open A4534</v>
      </c>
      <c r="F53" s="14" t="str">
        <f>'[1]2026 Orders'!F54</f>
        <v>03/10/26 Product allocated to Somalia A4655</v>
      </c>
      <c r="G53" s="14" t="str">
        <f>'[1]2026 Orders'!G54</f>
        <v>MFSPLS-120-FD</v>
      </c>
      <c r="H53" s="14" t="str" cm="1">
        <f t="array" ref="H53">IFERROR(_xlfn.TEXTJOIN("-",,INDEX(_xlfn.TEXTSPLIT(TableGive[[#This Row],[SKU]],"-"),{1,2})),"")</f>
        <v>MFSPLS-120</v>
      </c>
      <c r="I53" s="15" t="str">
        <f>IFERROR(_xlfn.TEXTAFTER(TableGive[[#This Row],[SKU]],"-",-1),"")</f>
        <v>FD</v>
      </c>
      <c r="J53" s="14">
        <f>'[1]2026 Orders'!H54</f>
        <v>240</v>
      </c>
      <c r="K53" t="str">
        <f>'[1]2026 Orders'!I54</f>
        <v>F30-25.1</v>
      </c>
      <c r="L53">
        <f>'[1]2026 Orders'!J54</f>
        <v>0</v>
      </c>
      <c r="N53" s="10" t="str">
        <f>'[1]2026 Orders'!L54</f>
        <v>PO submitted</v>
      </c>
      <c r="O53">
        <f>'[1]2026 Orders'!M54</f>
        <v>0</v>
      </c>
      <c r="P53" t="str">
        <f>'[1]2026 Orders'!N54</f>
        <v>NA</v>
      </c>
      <c r="Q53">
        <f>'[1]2026 Orders'!O54</f>
        <v>609788968344</v>
      </c>
      <c r="R53" t="str">
        <f>'[1]2026 Orders'!P54</f>
        <v>300000bulk</v>
      </c>
      <c r="S53">
        <f>'[1]2026 Orders'!Q54</f>
        <v>5064</v>
      </c>
      <c r="T53" t="str">
        <f>'[1]2026 Orders'!R54</f>
        <v>TBD</v>
      </c>
      <c r="U53" t="str">
        <f>'[1]2026 Orders'!S54</f>
        <v>Bulk PO submitted, pending ETA from vendor</v>
      </c>
      <c r="V53">
        <f>'[1]2026 Orders'!T54</f>
        <v>0</v>
      </c>
      <c r="W53">
        <f>'[1]2026 Orders'!U54</f>
        <v>0</v>
      </c>
      <c r="X53">
        <f>'[1]2026 Orders'!V54</f>
        <v>0</v>
      </c>
      <c r="Y53">
        <f>'[1]2026 Orders'!W54</f>
        <v>0</v>
      </c>
      <c r="Z53" t="str">
        <f>'[1]2026 Orders'!X54</f>
        <v>HOLD</v>
      </c>
      <c r="AC53" t="str">
        <f t="shared" si="0"/>
        <v>/240</v>
      </c>
      <c r="AD53" t="e">
        <f t="shared" si="1"/>
        <v>#VALUE!</v>
      </c>
    </row>
    <row r="54" spans="1:30" ht="33" hidden="1" customHeight="1" x14ac:dyDescent="0.3">
      <c r="A54">
        <f>'[1]2026 Orders'!A55</f>
        <v>45923</v>
      </c>
      <c r="B54" s="14" t="str">
        <f>'[1]2026 Orders'!B55</f>
        <v>Uganda</v>
      </c>
      <c r="C54" s="14" t="str">
        <f>'[1]2026 Orders'!C55</f>
        <v>A4534</v>
      </c>
      <c r="D54" s="14">
        <f>'[1]2026 Orders'!D55</f>
        <v>0</v>
      </c>
      <c r="E54" s="17" t="str" cm="1">
        <f t="array" ref="E54">IF(C54=0,"",
HYPERLINK(
"#'2026 Orders'!C"&amp;
MATCH(1,
('2026 Orders'!C:C=C54)*
('2026 Orders'!G:G=G54)*
('2026 Orders'!N:N=N54),
0),
"Open "&amp;C54
))</f>
        <v>Open A4534</v>
      </c>
      <c r="F54" s="14">
        <f>'[1]2026 Orders'!F55</f>
        <v>0</v>
      </c>
      <c r="G54" s="14" t="str">
        <f>'[1]2026 Orders'!G55</f>
        <v>PRECON-90-FD</v>
      </c>
      <c r="H54" s="14" t="str" cm="1">
        <f t="array" ref="H54">IFERROR(_xlfn.TEXTJOIN("-",,INDEX(_xlfn.TEXTSPLIT(TableGive[[#This Row],[SKU]],"-"),{1,2})),"")</f>
        <v>PRECON-90</v>
      </c>
      <c r="I54" s="15" t="str">
        <f>IFERROR(_xlfn.TEXTAFTER(TableGive[[#This Row],[SKU]],"-",-1),"")</f>
        <v>FD</v>
      </c>
      <c r="J54" s="14">
        <f>'[1]2026 Orders'!H55</f>
        <v>72</v>
      </c>
      <c r="K54" t="str">
        <f>'[1]2026 Orders'!I55</f>
        <v>F54-23.0</v>
      </c>
      <c r="L54">
        <f>'[1]2026 Orders'!J55</f>
        <v>72</v>
      </c>
      <c r="N54" s="10" t="str">
        <f>'[1]2026 Orders'!L55</f>
        <v>Picked</v>
      </c>
      <c r="O54">
        <f>'[1]2026 Orders'!M55</f>
        <v>0</v>
      </c>
      <c r="P54" t="str">
        <f>'[1]2026 Orders'!N55</f>
        <v>NA</v>
      </c>
      <c r="Q54">
        <f>'[1]2026 Orders'!O55</f>
        <v>609788968368</v>
      </c>
      <c r="R54">
        <f>'[1]2026 Orders'!P55</f>
        <v>5000</v>
      </c>
      <c r="S54">
        <f>'[1]2026 Orders'!Q55</f>
        <v>4851</v>
      </c>
      <c r="T54" t="str">
        <f>'[1]2026 Orders'!R55</f>
        <v>complete</v>
      </c>
      <c r="U54">
        <f>'[1]2026 Orders'!S55</f>
        <v>0</v>
      </c>
      <c r="V54">
        <f>'[1]2026 Orders'!T55</f>
        <v>0</v>
      </c>
      <c r="W54">
        <f>'[1]2026 Orders'!U55</f>
        <v>0</v>
      </c>
      <c r="X54">
        <f>'[1]2026 Orders'!V55</f>
        <v>0</v>
      </c>
      <c r="Y54">
        <f>'[1]2026 Orders'!W55</f>
        <v>0</v>
      </c>
      <c r="Z54">
        <f>'[1]2026 Orders'!X55</f>
        <v>0</v>
      </c>
      <c r="AC54" t="str">
        <f t="shared" si="0"/>
        <v>/72</v>
      </c>
      <c r="AD54" t="e">
        <f t="shared" si="1"/>
        <v>#VALUE!</v>
      </c>
    </row>
    <row r="55" spans="1:30" ht="33" hidden="1" customHeight="1" x14ac:dyDescent="0.3">
      <c r="A55">
        <f>'[1]2026 Orders'!A56</f>
        <v>45919</v>
      </c>
      <c r="B55" s="14" t="str">
        <f>'[1]2026 Orders'!B56</f>
        <v>Ethiopia</v>
      </c>
      <c r="C55" s="14" t="str">
        <f>'[1]2026 Orders'!C56</f>
        <v>A4591</v>
      </c>
      <c r="D55" s="14" t="str">
        <f>'[1]2026 Orders'!D56</f>
        <v> </v>
      </c>
      <c r="E55" s="17" t="e" cm="1">
        <f t="array" ref="E55">IF(C55=0,"",
HYPERLINK(
"#'2026 Orders'!C"&amp;
MATCH(1,
('2026 Orders'!C:C=C55)*
('2026 Orders'!G:G=G55)*
('2026 Orders'!N:N=N55),
0),
"Open "&amp;C55
))</f>
        <v>#N/A</v>
      </c>
      <c r="F55" s="14" t="str">
        <f>'[1]2026 Orders'!F56</f>
        <v>11/26/2025: Moved 205 bottles from A4532</v>
      </c>
      <c r="G55" s="14" t="str">
        <f>'[1]2026 Orders'!G56</f>
        <v>PENAMAX-60-GE-FD</v>
      </c>
      <c r="H55" s="14" t="str" cm="1">
        <f t="array" ref="H55">IFERROR(_xlfn.TEXTJOIN("-",,INDEX(_xlfn.TEXTSPLIT(TableGive[[#This Row],[SKU]],"-"),{1,2})),"")</f>
        <v>PENAMAX-60</v>
      </c>
      <c r="I55" s="15" t="str">
        <f>IFERROR(_xlfn.TEXTAFTER(TableGive[[#This Row],[SKU]],"-",-1),"")</f>
        <v>FD</v>
      </c>
      <c r="J55" s="14">
        <f>'[1]2026 Orders'!H56</f>
        <v>205</v>
      </c>
      <c r="K55" t="str">
        <f>'[1]2026 Orders'!I56</f>
        <v>F88-25.1</v>
      </c>
      <c r="L55">
        <f>'[1]2026 Orders'!J56</f>
        <v>205</v>
      </c>
      <c r="N55" s="10" t="str">
        <f>'[1]2026 Orders'!L56</f>
        <v>D/W Sent</v>
      </c>
      <c r="O55">
        <f>'[1]2026 Orders'!M56</f>
        <v>0</v>
      </c>
      <c r="P55" t="str">
        <f>'[1]2026 Orders'!N56</f>
        <v>Y</v>
      </c>
      <c r="Q55">
        <f>'[1]2026 Orders'!O56</f>
        <v>609788968702</v>
      </c>
      <c r="R55" t="str">
        <f>'[1]2026 Orders'!P56</f>
        <v> </v>
      </c>
      <c r="S55" t="str">
        <f>'[1]2026 Orders'!Q56</f>
        <v> </v>
      </c>
      <c r="T55" t="str">
        <f>'[1]2026 Orders'!R56</f>
        <v> </v>
      </c>
      <c r="U55" t="str">
        <f>'[1]2026 Orders'!S56</f>
        <v> </v>
      </c>
      <c r="V55" t="str">
        <f>'[1]2026 Orders'!T56</f>
        <v> </v>
      </c>
      <c r="W55" t="str">
        <f>'[1]2026 Orders'!U56</f>
        <v> </v>
      </c>
      <c r="X55">
        <f>'[1]2026 Orders'!V56</f>
        <v>0</v>
      </c>
      <c r="Y55" t="str">
        <f>'[1]2026 Orders'!W56</f>
        <v> </v>
      </c>
      <c r="Z55">
        <f>'[1]2026 Orders'!X56</f>
        <v>0</v>
      </c>
      <c r="AC55" t="str">
        <f t="shared" si="0"/>
        <v>/205</v>
      </c>
      <c r="AD55" t="e">
        <f t="shared" si="1"/>
        <v>#VALUE!</v>
      </c>
    </row>
    <row r="56" spans="1:30" ht="33" hidden="1" customHeight="1" x14ac:dyDescent="0.3">
      <c r="A56">
        <f>'[1]2026 Orders'!A57</f>
        <v>45943</v>
      </c>
      <c r="B56" s="14" t="str">
        <f>'[1]2026 Orders'!B57</f>
        <v>Greece</v>
      </c>
      <c r="C56" s="14" t="str">
        <f>'[1]2026 Orders'!C57</f>
        <v>A4547</v>
      </c>
      <c r="D56" s="14" t="str">
        <f>'[1]2026 Orders'!D57</f>
        <v xml:space="preserve">docs approved </v>
      </c>
      <c r="E56" s="17" t="str" cm="1">
        <f t="array" ref="E56">IF(C56=0,"",
HYPERLINK(
"#'2026 Orders'!C"&amp;
MATCH(1,
('2026 Orders'!C:C=C56)*
('2026 Orders'!G:G=G56)*
('2026 Orders'!N:N=N56),
0),
"Open "&amp;C56
))</f>
        <v>Open A4547</v>
      </c>
      <c r="F56" s="14" t="str">
        <f>'[1]2026 Orders'!F57</f>
        <v>5/26/2026: Allocating 576 packs to Cyprus A4676. Remainder (424) to be kept on order to ship Q3.</v>
      </c>
      <c r="G56" s="14" t="str">
        <f>'[1]2026 Orders'!G57</f>
        <v>MFSADV-120-CS-GR</v>
      </c>
      <c r="H56" s="14" t="str" cm="1">
        <f t="array" ref="H56">IFERROR(_xlfn.TEXTJOIN("-",,INDEX(_xlfn.TEXTSPLIT(TableGive[[#This Row],[SKU]],"-"),{1,2})),"")</f>
        <v>MFSADV-120</v>
      </c>
      <c r="I56" s="15" t="str">
        <f>IFERROR(_xlfn.TEXTAFTER(TableGive[[#This Row],[SKU]],"-",-1),"")</f>
        <v>GR</v>
      </c>
      <c r="J56" s="14">
        <f>'[1]2026 Orders'!H57</f>
        <v>424</v>
      </c>
      <c r="K56" t="str">
        <f>'[1]2026 Orders'!I57</f>
        <v>GR87-25.0</v>
      </c>
      <c r="L56">
        <f>'[1]2026 Orders'!J57</f>
        <v>424</v>
      </c>
      <c r="N56" s="10" t="str">
        <f>'[1]2026 Orders'!L57</f>
        <v>D/W Sent</v>
      </c>
      <c r="O56" t="str">
        <f>'[1]2026 Orders'!M57</f>
        <v xml:space="preserve">5/26/2026: Revised D/W </v>
      </c>
      <c r="P56" t="str">
        <f>'[1]2026 Orders'!N57</f>
        <v>Y</v>
      </c>
      <c r="Q56">
        <f>'[1]2026 Orders'!O57</f>
        <v>604776739272</v>
      </c>
      <c r="R56">
        <f>'[1]2026 Orders'!P57</f>
        <v>2110</v>
      </c>
      <c r="S56">
        <f>'[1]2026 Orders'!Q57</f>
        <v>5053</v>
      </c>
      <c r="T56" t="str">
        <f>'[1]2026 Orders'!R57</f>
        <v>complete</v>
      </c>
      <c r="U56">
        <f>'[1]2026 Orders'!S57</f>
        <v>0</v>
      </c>
      <c r="V56">
        <f>'[1]2026 Orders'!T57</f>
        <v>0</v>
      </c>
      <c r="W56">
        <f>'[1]2026 Orders'!U57</f>
        <v>0</v>
      </c>
      <c r="X56">
        <f>'[1]2026 Orders'!V57</f>
        <v>0</v>
      </c>
      <c r="Y56">
        <f>'[1]2026 Orders'!W57</f>
        <v>0</v>
      </c>
      <c r="Z56" t="str">
        <f>'[1]2026 Orders'!X57</f>
        <v>HOLD</v>
      </c>
      <c r="AC56" t="str">
        <f t="shared" si="0"/>
        <v>/424</v>
      </c>
      <c r="AD56" t="e">
        <f t="shared" si="1"/>
        <v>#VALUE!</v>
      </c>
    </row>
    <row r="57" spans="1:30" ht="33" hidden="1" customHeight="1" x14ac:dyDescent="0.3">
      <c r="A57">
        <f>'[1]2026 Orders'!A58</f>
        <v>45919</v>
      </c>
      <c r="B57" s="14" t="str">
        <f>'[1]2026 Orders'!B58</f>
        <v>Ethiopia</v>
      </c>
      <c r="C57" s="14" t="str">
        <f>'[1]2026 Orders'!C58</f>
        <v>A4591</v>
      </c>
      <c r="D57" s="14">
        <f>'[1]2026 Orders'!D58</f>
        <v>0</v>
      </c>
      <c r="E57" s="17" t="e" cm="1">
        <f t="array" ref="E57">IF(C57=0,"",
HYPERLINK(
"#'2026 Orders'!C"&amp;
MATCH(1,
('2026 Orders'!C:C=C57)*
('2026 Orders'!G:G=G57)*
('2026 Orders'!N:N=N57),
0),
"Open "&amp;C57
))</f>
        <v>#N/A</v>
      </c>
      <c r="F57" s="14" t="str">
        <f>'[1]2026 Orders'!F58</f>
        <v>11/26/2025: Moved 484 bottles from A4532</v>
      </c>
      <c r="G57" s="14" t="str">
        <f>'[1]2026 Orders'!G58</f>
        <v>QWELL4-30-SG-FD</v>
      </c>
      <c r="H57" s="14" t="str" cm="1">
        <f t="array" ref="H57">IFERROR(_xlfn.TEXTJOIN("-",,INDEX(_xlfn.TEXTSPLIT(TableGive[[#This Row],[SKU]],"-"),{1,2})),"")</f>
        <v>QWELL4-30</v>
      </c>
      <c r="I57" s="15" t="str">
        <f>IFERROR(_xlfn.TEXTAFTER(TableGive[[#This Row],[SKU]],"-",-1),"")</f>
        <v>FD</v>
      </c>
      <c r="J57" s="14">
        <f>'[1]2026 Orders'!H58</f>
        <v>484</v>
      </c>
      <c r="K57" t="str">
        <f>'[1]2026 Orders'!I58</f>
        <v>F58-25.3</v>
      </c>
      <c r="L57">
        <f>'[1]2026 Orders'!J58</f>
        <v>484</v>
      </c>
      <c r="N57" s="10">
        <f>'[1]2026 Orders'!L58</f>
        <v>0</v>
      </c>
      <c r="O57">
        <f>'[1]2026 Orders'!M58</f>
        <v>0</v>
      </c>
      <c r="P57" t="str">
        <f>'[1]2026 Orders'!N58</f>
        <v>NA</v>
      </c>
      <c r="Q57" t="str">
        <f>'[1]2026 Orders'!O58</f>
        <v>609788968214</v>
      </c>
      <c r="R57">
        <f>'[1]2026 Orders'!P58</f>
        <v>17633</v>
      </c>
      <c r="S57">
        <f>'[1]2026 Orders'!Q58</f>
        <v>4858</v>
      </c>
      <c r="T57" t="str">
        <f>'[1]2026 Orders'!R58</f>
        <v>complete</v>
      </c>
      <c r="U57">
        <f>'[1]2026 Orders'!S58</f>
        <v>0</v>
      </c>
      <c r="V57" t="str">
        <f>'[1]2026 Orders'!T58</f>
        <v> </v>
      </c>
      <c r="W57" t="str">
        <f>'[1]2026 Orders'!U58</f>
        <v> </v>
      </c>
      <c r="X57">
        <f>'[1]2026 Orders'!V58</f>
        <v>0</v>
      </c>
      <c r="Y57" t="str">
        <f>'[1]2026 Orders'!W58</f>
        <v> </v>
      </c>
      <c r="Z57">
        <f>'[1]2026 Orders'!X58</f>
        <v>0</v>
      </c>
      <c r="AC57" t="str">
        <f t="shared" si="0"/>
        <v>/484</v>
      </c>
      <c r="AD57" t="e">
        <f t="shared" si="1"/>
        <v>#VALUE!</v>
      </c>
    </row>
    <row r="58" spans="1:30" ht="33" hidden="1" customHeight="1" x14ac:dyDescent="0.3">
      <c r="A58">
        <f>'[1]2026 Orders'!A59</f>
        <v>45946</v>
      </c>
      <c r="B58" s="14" t="str">
        <f>'[1]2026 Orders'!B59</f>
        <v>Sudan</v>
      </c>
      <c r="C58" s="14" t="str">
        <f>'[1]2026 Orders'!C59</f>
        <v>A4549</v>
      </c>
      <c r="D58" s="14" t="str">
        <f>'[1]2026 Orders'!D59</f>
        <v>4/8/2026: Client applying for permit
5/21/2026: Awaiting feedback if client can take available 1300 packs</v>
      </c>
      <c r="E58" s="17" t="str" cm="1">
        <f t="array" ref="E58">IF(C58=0,"",
HYPERLINK(
"#'2026 Orders'!C"&amp;
MATCH(1,
('2026 Orders'!C:C=C58)*
('2026 Orders'!G:G=G58)*
('2026 Orders'!N:N=N58),
0),
"Open "&amp;C58
))</f>
        <v>Open A4549</v>
      </c>
      <c r="F58" s="14" t="str">
        <f>'[1]2026 Orders'!F59</f>
        <v>11/10/2025: Can only Fulfill 1620 from PO A4808 
2/4/2026: Quantity decreased from 4076 to 1476. Fulfilling out of PO A4808.
5/22/2026: QTY decreased 1476 -&gt; 1300 (176 packs moved to Sudan A4697)
1300 packs to be fufilled by available QTY (runoff from 4940)
6/1/2026: QTY increased to original amount: 176 packs added from Sudan A4711 (1300 -&gt; 1476)
to be fufilled by PO 4808</v>
      </c>
      <c r="G58" s="14" t="str">
        <f>'[1]2026 Orders'!G59</f>
        <v>COQ400-30-VE-CS-SU</v>
      </c>
      <c r="H58" s="14" t="str" cm="1">
        <f t="array" ref="H58">IFERROR(_xlfn.TEXTJOIN("-",,INDEX(_xlfn.TEXTSPLIT(TableGive[[#This Row],[SKU]],"-"),{1,2})),"")</f>
        <v>COQ400-30</v>
      </c>
      <c r="I58" s="15" t="str">
        <f>IFERROR(_xlfn.TEXTAFTER(TableGive[[#This Row],[SKU]],"-",-1),"")</f>
        <v>SU</v>
      </c>
      <c r="J58" s="14">
        <f>'[1]2026 Orders'!H59</f>
        <v>1476</v>
      </c>
      <c r="K58" t="str">
        <f>'[1]2026 Orders'!I59</f>
        <v>SU58-23.0</v>
      </c>
      <c r="L58">
        <f>'[1]2026 Orders'!J59</f>
        <v>1476</v>
      </c>
      <c r="N58" s="10" t="str">
        <f>'[1]2026 Orders'!L59</f>
        <v>Transit to Warehouse</v>
      </c>
      <c r="O58" t="str">
        <f>'[1]2026 Orders'!M59</f>
        <v>ETA 06/12/26</v>
      </c>
      <c r="P58" t="str">
        <f>'[1]2026 Orders'!N59</f>
        <v>NA</v>
      </c>
      <c r="Q58">
        <f>'[1]2026 Orders'!O59</f>
        <v>609788968467</v>
      </c>
      <c r="R58">
        <f>'[1]2026 Orders'!P59</f>
        <v>4000</v>
      </c>
      <c r="S58">
        <f>'[1]2026 Orders'!Q59</f>
        <v>4808</v>
      </c>
      <c r="T58" t="str">
        <f>'[1]2026 Orders'!R59</f>
        <v>Complete</v>
      </c>
      <c r="U58" t="str">
        <f>'[1]2026 Orders'!S59</f>
        <v>Awaiting for vendor packing list.</v>
      </c>
      <c r="V58">
        <f>'[1]2026 Orders'!T59</f>
        <v>0</v>
      </c>
      <c r="W58">
        <f>'[1]2026 Orders'!U59</f>
        <v>0</v>
      </c>
      <c r="X58">
        <f>'[1]2026 Orders'!V59</f>
        <v>0</v>
      </c>
      <c r="Y58">
        <f>'[1]2026 Orders'!W59</f>
        <v>0</v>
      </c>
      <c r="Z58" t="str">
        <f>'[1]2026 Orders'!X59</f>
        <v>Approved</v>
      </c>
      <c r="AC58" t="str">
        <f t="shared" si="0"/>
        <v>/1476</v>
      </c>
      <c r="AD58" t="e">
        <f t="shared" si="1"/>
        <v>#VALUE!</v>
      </c>
    </row>
    <row r="59" spans="1:30" ht="33" hidden="1" customHeight="1" x14ac:dyDescent="0.3">
      <c r="A59">
        <f>'[1]2026 Orders'!A60</f>
        <v>0</v>
      </c>
      <c r="B59" s="14">
        <f>'[1]2026 Orders'!B60</f>
        <v>0</v>
      </c>
      <c r="C59" s="14">
        <f>'[1]2026 Orders'!C60</f>
        <v>0</v>
      </c>
      <c r="D59" s="14">
        <f>'[1]2026 Orders'!D60</f>
        <v>0</v>
      </c>
      <c r="E59" s="17" t="str" cm="1">
        <f t="array" ref="E59">IF(C59=0,"",
HYPERLINK(
"#'2026 Orders'!C"&amp;
MATCH(1,
('2026 Orders'!C:C=C59)*
('2026 Orders'!G:G=G59)*
('2026 Orders'!N:N=N59),
0),
"Open "&amp;C59
))</f>
        <v/>
      </c>
      <c r="F59" s="14">
        <f>'[1]2026 Orders'!F60</f>
        <v>0</v>
      </c>
      <c r="G59" s="14">
        <f>'[1]2026 Orders'!G60</f>
        <v>0</v>
      </c>
      <c r="H59" s="14" t="str" cm="1">
        <f t="array" ref="H59">IFERROR(_xlfn.TEXTJOIN("-",,INDEX(_xlfn.TEXTSPLIT(TableGive[[#This Row],[SKU]],"-"),{1,2})),"")</f>
        <v/>
      </c>
      <c r="I59" s="15" t="str">
        <f>IFERROR(_xlfn.TEXTAFTER(TableGive[[#This Row],[SKU]],"-",-1),"")</f>
        <v/>
      </c>
      <c r="J59" s="14">
        <f>'[1]2026 Orders'!H60</f>
        <v>0</v>
      </c>
      <c r="K59">
        <f>'[1]2026 Orders'!I60</f>
        <v>0</v>
      </c>
      <c r="L59">
        <f>'[1]2026 Orders'!J60</f>
        <v>0</v>
      </c>
      <c r="N59" s="10">
        <f>'[1]2026 Orders'!L60</f>
        <v>0</v>
      </c>
      <c r="O59">
        <f>'[1]2026 Orders'!M60</f>
        <v>0</v>
      </c>
      <c r="P59">
        <f>'[1]2026 Orders'!N60</f>
        <v>0</v>
      </c>
      <c r="Q59">
        <f>'[1]2026 Orders'!O60</f>
        <v>0</v>
      </c>
      <c r="R59">
        <f>'[1]2026 Orders'!P60</f>
        <v>0</v>
      </c>
      <c r="S59">
        <f>'[1]2026 Orders'!Q60</f>
        <v>0</v>
      </c>
      <c r="T59">
        <f>'[1]2026 Orders'!R60</f>
        <v>0</v>
      </c>
      <c r="U59">
        <f>'[1]2026 Orders'!S60</f>
        <v>0</v>
      </c>
      <c r="V59">
        <f>'[1]2026 Orders'!T60</f>
        <v>0</v>
      </c>
      <c r="W59">
        <f>'[1]2026 Orders'!U60</f>
        <v>0</v>
      </c>
      <c r="X59">
        <f>'[1]2026 Orders'!V60</f>
        <v>0</v>
      </c>
      <c r="Y59">
        <f>'[1]2026 Orders'!W60</f>
        <v>0</v>
      </c>
      <c r="Z59">
        <f>'[1]2026 Orders'!X60</f>
        <v>0</v>
      </c>
      <c r="AC59" t="str">
        <f t="shared" si="0"/>
        <v/>
      </c>
      <c r="AD59" t="str">
        <f t="shared" si="1"/>
        <v/>
      </c>
    </row>
    <row r="60" spans="1:30" ht="33" hidden="1" customHeight="1" x14ac:dyDescent="0.3">
      <c r="A60">
        <f>'[1]2026 Orders'!A61</f>
        <v>45961</v>
      </c>
      <c r="B60" s="14" t="str">
        <f>'[1]2026 Orders'!B61</f>
        <v>China</v>
      </c>
      <c r="C60" s="14" t="str">
        <f>'[1]2026 Orders'!C61</f>
        <v>A4561</v>
      </c>
      <c r="D60" s="14">
        <f>'[1]2026 Orders'!D61</f>
        <v>0</v>
      </c>
      <c r="E60" s="17" t="str" cm="1">
        <f t="array" ref="E60">IF(C60=0,"",
HYPERLINK(
"#'2026 Orders'!C"&amp;
MATCH(1,
('2026 Orders'!C:C=C60)*
('2026 Orders'!G:G=G60)*
('2026 Orders'!N:N=N60),
0),
"Open "&amp;C60
))</f>
        <v>Open A4561</v>
      </c>
      <c r="F60" s="14" t="str">
        <f>'[1]2026 Orders'!F61</f>
        <v xml:space="preserve">11/5/2025: Sku confirmed </v>
      </c>
      <c r="G60" s="14" t="str">
        <f>'[1]2026 Orders'!G61</f>
        <v>ZINC25-60-FD</v>
      </c>
      <c r="H60" s="14" t="str" cm="1">
        <f t="array" ref="H60">IFERROR(_xlfn.TEXTJOIN("-",,INDEX(_xlfn.TEXTSPLIT(TableGive[[#This Row],[SKU]],"-"),{1,2})),"")</f>
        <v>ZINC25-60</v>
      </c>
      <c r="I60" s="15" t="str">
        <f>IFERROR(_xlfn.TEXTAFTER(TableGive[[#This Row],[SKU]],"-",-1),"")</f>
        <v>FD</v>
      </c>
      <c r="J60" s="14">
        <f>'[1]2026 Orders'!H61</f>
        <v>240</v>
      </c>
      <c r="K60" t="str">
        <f>'[1]2026 Orders'!I61</f>
        <v>F78-22.0</v>
      </c>
      <c r="L60">
        <f>'[1]2026 Orders'!J61</f>
        <v>240</v>
      </c>
      <c r="N60" s="10" t="str">
        <f>'[1]2026 Orders'!L61</f>
        <v>D/W Sent</v>
      </c>
      <c r="O60" t="str">
        <f>'[1]2026 Orders'!M61</f>
        <v>12//25/25</v>
      </c>
      <c r="P60" t="str">
        <f>'[1]2026 Orders'!N61</f>
        <v>NA</v>
      </c>
      <c r="Q60" t="str">
        <f>'[1]2026 Orders'!O61</f>
        <v>609788968245</v>
      </c>
      <c r="R60">
        <f>'[1]2026 Orders'!P61</f>
        <v>0</v>
      </c>
      <c r="S60">
        <f>'[1]2026 Orders'!Q61</f>
        <v>0</v>
      </c>
      <c r="T60">
        <f>'[1]2026 Orders'!R61</f>
        <v>0</v>
      </c>
      <c r="U60">
        <f>'[1]2026 Orders'!S61</f>
        <v>0</v>
      </c>
      <c r="V60">
        <f>'[1]2026 Orders'!T61</f>
        <v>0</v>
      </c>
      <c r="W60">
        <f>'[1]2026 Orders'!U61</f>
        <v>0</v>
      </c>
      <c r="X60">
        <f>'[1]2026 Orders'!V61</f>
        <v>0</v>
      </c>
      <c r="Y60">
        <f>'[1]2026 Orders'!W61</f>
        <v>0</v>
      </c>
      <c r="Z60" t="str">
        <f>'[1]2026 Orders'!X61</f>
        <v>Approved</v>
      </c>
      <c r="AC60" t="str">
        <f t="shared" si="0"/>
        <v>/240</v>
      </c>
      <c r="AD60" t="e">
        <f t="shared" si="1"/>
        <v>#VALUE!</v>
      </c>
    </row>
    <row r="61" spans="1:30" ht="33" hidden="1" customHeight="1" x14ac:dyDescent="0.3">
      <c r="A61">
        <f>'[1]2026 Orders'!A62</f>
        <v>45923</v>
      </c>
      <c r="B61" s="14" t="str">
        <f>'[1]2026 Orders'!B62</f>
        <v>Uganda</v>
      </c>
      <c r="C61" s="14" t="str">
        <f>'[1]2026 Orders'!C62</f>
        <v>A4534</v>
      </c>
      <c r="D61" s="14">
        <f>'[1]2026 Orders'!D62</f>
        <v>0</v>
      </c>
      <c r="E61" s="17" t="e" cm="1">
        <f t="array" ref="E61">IF(C61=0,"",
HYPERLINK(
"#'2026 Orders'!C"&amp;
MATCH(1,
('2026 Orders'!C:C=C61)*
('2026 Orders'!G:G=G61)*
('2026 Orders'!N:N=N61),
0),
"Open "&amp;C61
))</f>
        <v>#N/A</v>
      </c>
      <c r="F61" s="14">
        <f>'[1]2026 Orders'!F62</f>
        <v>0</v>
      </c>
      <c r="G61" s="14" t="str">
        <f>'[1]2026 Orders'!G62</f>
        <v>PRECON-90-FD</v>
      </c>
      <c r="H61" s="14" t="str" cm="1">
        <f t="array" ref="H61">IFERROR(_xlfn.TEXTJOIN("-",,INDEX(_xlfn.TEXTSPLIT(TableGive[[#This Row],[SKU]],"-"),{1,2})),"")</f>
        <v>PRECON-90</v>
      </c>
      <c r="I61" s="15" t="str">
        <f>IFERROR(_xlfn.TEXTAFTER(TableGive[[#This Row],[SKU]],"-",-1),"")</f>
        <v>FD</v>
      </c>
      <c r="J61" s="14">
        <f>'[1]2026 Orders'!H62</f>
        <v>72</v>
      </c>
      <c r="K61" t="str">
        <f>'[1]2026 Orders'!I62</f>
        <v>F54-23.0</v>
      </c>
      <c r="L61">
        <f>'[1]2026 Orders'!J62</f>
        <v>72</v>
      </c>
      <c r="N61" s="10">
        <f>'[1]2026 Orders'!L62</f>
        <v>0</v>
      </c>
      <c r="O61">
        <f>'[1]2026 Orders'!M62</f>
        <v>0</v>
      </c>
      <c r="P61" t="str">
        <f>'[1]2026 Orders'!N62</f>
        <v>NA</v>
      </c>
      <c r="Q61">
        <f>'[1]2026 Orders'!O62</f>
        <v>609788968368</v>
      </c>
      <c r="R61">
        <f>'[1]2026 Orders'!P62</f>
        <v>5000</v>
      </c>
      <c r="S61">
        <f>'[1]2026 Orders'!Q62</f>
        <v>4851</v>
      </c>
      <c r="T61" t="str">
        <f>'[1]2026 Orders'!R62</f>
        <v>complete</v>
      </c>
      <c r="U61">
        <f>'[1]2026 Orders'!S62</f>
        <v>0</v>
      </c>
      <c r="V61">
        <f>'[1]2026 Orders'!T62</f>
        <v>0</v>
      </c>
      <c r="W61">
        <f>'[1]2026 Orders'!U62</f>
        <v>0</v>
      </c>
      <c r="X61">
        <f>'[1]2026 Orders'!V62</f>
        <v>0</v>
      </c>
      <c r="Y61">
        <f>'[1]2026 Orders'!W62</f>
        <v>0</v>
      </c>
      <c r="Z61">
        <f>'[1]2026 Orders'!X62</f>
        <v>0</v>
      </c>
      <c r="AC61" t="str">
        <f t="shared" si="0"/>
        <v>/72</v>
      </c>
      <c r="AD61" t="e">
        <f t="shared" si="1"/>
        <v>#VALUE!</v>
      </c>
    </row>
    <row r="62" spans="1:30" ht="33" hidden="1" customHeight="1" x14ac:dyDescent="0.3">
      <c r="A62">
        <f>'[1]2026 Orders'!A63</f>
        <v>45967</v>
      </c>
      <c r="B62" s="14" t="str">
        <f>'[1]2026 Orders'!B63</f>
        <v>Iraq</v>
      </c>
      <c r="C62" s="14" t="str">
        <f>'[1]2026 Orders'!C63</f>
        <v>A4567</v>
      </c>
      <c r="D62" s="14" t="str">
        <f>'[1]2026 Orders'!D63</f>
        <v>49021225
Mfg:12/2025
Exp:12/2028                                         4/28/2026: 3360 moved to Iraq A4698.</v>
      </c>
      <c r="E62" s="17" t="str" cm="1">
        <f t="array" ref="E62">IF(C62=0,"",
HYPERLINK(
"#'2026 Orders'!C"&amp;
MATCH(1,
('2026 Orders'!C:C=C62)*
('2026 Orders'!G:G=G62)*
('2026 Orders'!N:N=N62),
0),
"Open "&amp;C62
))</f>
        <v>Open A4567</v>
      </c>
      <c r="F62" s="14" t="str">
        <f>'[1]2026 Orders'!F63</f>
        <v>NutraStar</v>
      </c>
      <c r="G62" s="14" t="str">
        <f>'[1]2026 Orders'!G63</f>
        <v>ADVTH-60-FD</v>
      </c>
      <c r="H62" s="14" t="str" cm="1">
        <f t="array" ref="H62">IFERROR(_xlfn.TEXTJOIN("-",,INDEX(_xlfn.TEXTSPLIT(TableGive[[#This Row],[SKU]],"-"),{1,2})),"")</f>
        <v>ADVTH-60</v>
      </c>
      <c r="I62" s="15" t="str">
        <f>IFERROR(_xlfn.TEXTAFTER(TableGive[[#This Row],[SKU]],"-",-1),"")</f>
        <v>FD</v>
      </c>
      <c r="J62" s="14">
        <f>'[1]2026 Orders'!H63</f>
        <v>3240</v>
      </c>
      <c r="K62" t="str">
        <f>'[1]2026 Orders'!I63</f>
        <v>F01-22.2</v>
      </c>
      <c r="L62">
        <f>'[1]2026 Orders'!J63</f>
        <v>3240</v>
      </c>
      <c r="N62" s="10" t="str">
        <f>'[1]2026 Orders'!L63</f>
        <v>ON HOLD</v>
      </c>
      <c r="O62">
        <f>'[1]2026 Orders'!M63</f>
        <v>0</v>
      </c>
      <c r="P62" t="str">
        <f>'[1]2026 Orders'!N63</f>
        <v>NA</v>
      </c>
      <c r="Q62" t="str">
        <f>'[1]2026 Orders'!O63</f>
        <v>609788968894</v>
      </c>
      <c r="R62">
        <f>'[1]2026 Orders'!P63</f>
        <v>8600</v>
      </c>
      <c r="S62">
        <f>'[1]2026 Orders'!Q63</f>
        <v>4902</v>
      </c>
      <c r="T62" t="str">
        <f>'[1]2026 Orders'!R63</f>
        <v>complete</v>
      </c>
      <c r="U62">
        <f>'[1]2026 Orders'!S63</f>
        <v>0</v>
      </c>
      <c r="V62">
        <f>'[1]2026 Orders'!T63</f>
        <v>0</v>
      </c>
      <c r="W62">
        <f>'[1]2026 Orders'!U63</f>
        <v>0</v>
      </c>
      <c r="X62">
        <f>'[1]2026 Orders'!V63</f>
        <v>0</v>
      </c>
      <c r="Y62">
        <f>'[1]2026 Orders'!W63</f>
        <v>0</v>
      </c>
      <c r="Z62" t="str">
        <f>'[1]2026 Orders'!X63</f>
        <v>Approved</v>
      </c>
      <c r="AC62" t="str">
        <f t="shared" si="0"/>
        <v>/3240</v>
      </c>
      <c r="AD62" t="e">
        <f t="shared" si="1"/>
        <v>#VALUE!</v>
      </c>
    </row>
    <row r="63" spans="1:30" ht="33" hidden="1" customHeight="1" x14ac:dyDescent="0.3">
      <c r="A63">
        <f>'[1]2026 Orders'!A64</f>
        <v>45967</v>
      </c>
      <c r="B63" s="14" t="str">
        <f>'[1]2026 Orders'!B64</f>
        <v>Iraq</v>
      </c>
      <c r="C63" s="14" t="str">
        <f>'[1]2026 Orders'!C64</f>
        <v>A4567</v>
      </c>
      <c r="D63" s="14" t="str">
        <f>'[1]2026 Orders'!D64</f>
        <v>49031225
Mfg:12/2025
Exp:12/2028                                                2/16/2026: Qty increased 11750 -&gt; 11760                                      5/15/2026: 4800 moved to Iraq A4704</v>
      </c>
      <c r="E63" s="17" t="str" cm="1">
        <f t="array" ref="E63">IF(C63=0,"",
HYPERLINK(
"#'2026 Orders'!C"&amp;
MATCH(1,
('2026 Orders'!C:C=C63)*
('2026 Orders'!G:G=G63)*
('2026 Orders'!N:N=N63),
0),
"Open "&amp;C63
))</f>
        <v>Open A4567</v>
      </c>
      <c r="F63" s="14" t="str">
        <f>'[1]2026 Orders'!F64</f>
        <v>NutraStar</v>
      </c>
      <c r="G63" s="14" t="str">
        <f>'[1]2026 Orders'!G64</f>
        <v>COLLA-60-FD</v>
      </c>
      <c r="H63" s="14" t="str" cm="1">
        <f t="array" ref="H63">IFERROR(_xlfn.TEXTJOIN("-",,INDEX(_xlfn.TEXTSPLIT(TableGive[[#This Row],[SKU]],"-"),{1,2})),"")</f>
        <v>COLLA-60</v>
      </c>
      <c r="I63" s="15" t="str">
        <f>IFERROR(_xlfn.TEXTAFTER(TableGive[[#This Row],[SKU]],"-",-1),"")</f>
        <v>FD</v>
      </c>
      <c r="J63" s="14">
        <f>'[1]2026 Orders'!H64</f>
        <v>6960</v>
      </c>
      <c r="K63" t="str">
        <f>'[1]2026 Orders'!I64</f>
        <v>F11-22.1</v>
      </c>
      <c r="L63">
        <f>'[1]2026 Orders'!J64</f>
        <v>6960</v>
      </c>
      <c r="N63" s="10" t="str">
        <f>'[1]2026 Orders'!L64</f>
        <v>ON HOLD</v>
      </c>
      <c r="O63">
        <f>'[1]2026 Orders'!M64</f>
        <v>0</v>
      </c>
      <c r="P63" t="str">
        <f>'[1]2026 Orders'!N64</f>
        <v>Y</v>
      </c>
      <c r="Q63" t="str">
        <f>'[1]2026 Orders'!O64</f>
        <v>609788968825</v>
      </c>
      <c r="R63">
        <f>'[1]2026 Orders'!P64</f>
        <v>15300</v>
      </c>
      <c r="S63">
        <f>'[1]2026 Orders'!Q64</f>
        <v>4903</v>
      </c>
      <c r="T63" t="str">
        <f>'[1]2026 Orders'!R64</f>
        <v>complete</v>
      </c>
      <c r="U63">
        <f>'[1]2026 Orders'!S64</f>
        <v>0</v>
      </c>
      <c r="V63">
        <f>'[1]2026 Orders'!T64</f>
        <v>0</v>
      </c>
      <c r="W63">
        <f>'[1]2026 Orders'!U64</f>
        <v>0</v>
      </c>
      <c r="X63">
        <f>'[1]2026 Orders'!V64</f>
        <v>0</v>
      </c>
      <c r="Y63">
        <f>'[1]2026 Orders'!W64</f>
        <v>0</v>
      </c>
      <c r="Z63">
        <f>'[1]2026 Orders'!X64</f>
        <v>0</v>
      </c>
      <c r="AC63" t="str">
        <f t="shared" si="0"/>
        <v>/6960</v>
      </c>
      <c r="AD63" t="e">
        <f t="shared" si="1"/>
        <v>#VALUE!</v>
      </c>
    </row>
    <row r="64" spans="1:30" ht="33" hidden="1" customHeight="1" x14ac:dyDescent="0.3">
      <c r="A64">
        <f>'[1]2026 Orders'!A65</f>
        <v>45967</v>
      </c>
      <c r="B64" s="14" t="str">
        <f>'[1]2026 Orders'!B65</f>
        <v>Iraq</v>
      </c>
      <c r="C64" s="14" t="str">
        <f>'[1]2026 Orders'!C65</f>
        <v>A4567</v>
      </c>
      <c r="D64" s="14" t="str">
        <f>'[1]2026 Orders'!D65</f>
        <v>49061225
Mfg:12/2025
Exp:12/2028</v>
      </c>
      <c r="E64" s="17" t="str" cm="1">
        <f t="array" ref="E64">IF(C64=0,"",
HYPERLINK(
"#'2026 Orders'!C"&amp;
MATCH(1,
('2026 Orders'!C:C=C64)*
('2026 Orders'!G:G=G64)*
('2026 Orders'!N:N=N64),
0),
"Open "&amp;C64
))</f>
        <v>Open A4567</v>
      </c>
      <c r="F64" s="14" t="str">
        <f>'[1]2026 Orders'!F65</f>
        <v>Nutrastar</v>
      </c>
      <c r="G64" s="14" t="str">
        <f>'[1]2026 Orders'!G65</f>
        <v>METRIO-60-CS-IQ</v>
      </c>
      <c r="H64" s="14" t="str" cm="1">
        <f t="array" ref="H64">IFERROR(_xlfn.TEXTJOIN("-",,INDEX(_xlfn.TEXTSPLIT(TableGive[[#This Row],[SKU]],"-"),{1,2})),"")</f>
        <v>METRIO-60</v>
      </c>
      <c r="I64" s="15" t="str">
        <f>IFERROR(_xlfn.TEXTAFTER(TableGive[[#This Row],[SKU]],"-",-1),"")</f>
        <v>IQ</v>
      </c>
      <c r="J64" s="14">
        <f>'[1]2026 Orders'!H65</f>
        <v>3000</v>
      </c>
      <c r="K64" t="str">
        <f>'[1]2026 Orders'!I65</f>
        <v>IQ28-23.0</v>
      </c>
      <c r="L64">
        <f>'[1]2026 Orders'!J65</f>
        <v>3000</v>
      </c>
      <c r="N64" s="10" t="str">
        <f>'[1]2026 Orders'!L65</f>
        <v>ON HOLD</v>
      </c>
      <c r="O64">
        <f>'[1]2026 Orders'!M65</f>
        <v>0</v>
      </c>
      <c r="P64" t="str">
        <f>'[1]2026 Orders'!N65</f>
        <v>NA</v>
      </c>
      <c r="Q64">
        <f>'[1]2026 Orders'!O65</f>
        <v>604776737797</v>
      </c>
      <c r="R64">
        <f>'[1]2026 Orders'!P65</f>
        <v>4000</v>
      </c>
      <c r="S64">
        <f>'[1]2026 Orders'!Q65</f>
        <v>4906</v>
      </c>
      <c r="T64" t="str">
        <f>'[1]2026 Orders'!R65</f>
        <v>complete</v>
      </c>
      <c r="U64">
        <f>'[1]2026 Orders'!S65</f>
        <v>0</v>
      </c>
      <c r="V64">
        <f>'[1]2026 Orders'!T65</f>
        <v>0</v>
      </c>
      <c r="W64">
        <f>'[1]2026 Orders'!U65</f>
        <v>0</v>
      </c>
      <c r="X64">
        <f>'[1]2026 Orders'!V65</f>
        <v>0</v>
      </c>
      <c r="Y64">
        <f>'[1]2026 Orders'!W65</f>
        <v>0</v>
      </c>
      <c r="Z64">
        <f>'[1]2026 Orders'!X65</f>
        <v>0</v>
      </c>
      <c r="AC64" t="str">
        <f t="shared" si="0"/>
        <v>/3000</v>
      </c>
      <c r="AD64" t="e">
        <f t="shared" si="1"/>
        <v>#VALUE!</v>
      </c>
    </row>
    <row r="65" spans="1:30" ht="33" hidden="1" customHeight="1" x14ac:dyDescent="0.3">
      <c r="A65">
        <f>'[1]2026 Orders'!A66</f>
        <v>45967</v>
      </c>
      <c r="B65" s="14" t="str">
        <f>'[1]2026 Orders'!B66</f>
        <v>Iraq</v>
      </c>
      <c r="C65" s="14" t="str">
        <f>'[1]2026 Orders'!C66</f>
        <v>A4567</v>
      </c>
      <c r="D65" s="14" t="str">
        <f>'[1]2026 Orders'!D66</f>
        <v>49121225
Mfg:12/2025
Exp:12/2028                                         2/16/2026: Qty increased 8500 -&gt; 8520</v>
      </c>
      <c r="E65" s="17" t="str" cm="1">
        <f t="array" ref="E65">IF(C65=0,"",
HYPERLINK(
"#'2026 Orders'!C"&amp;
MATCH(1,
('2026 Orders'!C:C=C65)*
('2026 Orders'!G:G=G65)*
('2026 Orders'!N:N=N65),
0),
"Open "&amp;C65
))</f>
        <v>Open A4567</v>
      </c>
      <c r="F65" s="14" t="str">
        <f>'[1]2026 Orders'!F66</f>
        <v>Nutrastar</v>
      </c>
      <c r="G65" s="14" t="str">
        <f>'[1]2026 Orders'!G66</f>
        <v>PROSTA-45-RE</v>
      </c>
      <c r="H65" s="14" t="str" cm="1">
        <f t="array" ref="H65">IFERROR(_xlfn.TEXTJOIN("-",,INDEX(_xlfn.TEXTSPLIT(TableGive[[#This Row],[SKU]],"-"),{1,2})),"")</f>
        <v>PROSTA-45</v>
      </c>
      <c r="I65" s="15" t="str">
        <f>IFERROR(_xlfn.TEXTAFTER(TableGive[[#This Row],[SKU]],"-",-1),"")</f>
        <v>RE</v>
      </c>
      <c r="J65" s="14">
        <f>'[1]2026 Orders'!H66</f>
        <v>8520</v>
      </c>
      <c r="K65" t="str">
        <f>'[1]2026 Orders'!I66</f>
        <v>R94-23.0</v>
      </c>
      <c r="L65">
        <f>'[1]2026 Orders'!J66</f>
        <v>8520</v>
      </c>
      <c r="N65" s="10" t="str">
        <f>'[1]2026 Orders'!L66</f>
        <v>ON HOLD</v>
      </c>
      <c r="O65">
        <f>'[1]2026 Orders'!M66</f>
        <v>0</v>
      </c>
      <c r="P65" t="str">
        <f>'[1]2026 Orders'!N66</f>
        <v>NA</v>
      </c>
      <c r="Q65">
        <f>'[1]2026 Orders'!O66</f>
        <v>604776738831</v>
      </c>
      <c r="R65">
        <f>'[1]2026 Orders'!P66</f>
        <v>11000</v>
      </c>
      <c r="S65">
        <f>'[1]2026 Orders'!Q66</f>
        <v>4912</v>
      </c>
      <c r="T65" t="str">
        <f>'[1]2026 Orders'!R66</f>
        <v>complete</v>
      </c>
      <c r="U65">
        <f>'[1]2026 Orders'!S66</f>
        <v>0</v>
      </c>
      <c r="V65">
        <f>'[1]2026 Orders'!T66</f>
        <v>0</v>
      </c>
      <c r="W65">
        <f>'[1]2026 Orders'!U66</f>
        <v>0</v>
      </c>
      <c r="X65">
        <f>'[1]2026 Orders'!V66</f>
        <v>0</v>
      </c>
      <c r="Y65">
        <f>'[1]2026 Orders'!W66</f>
        <v>0</v>
      </c>
      <c r="Z65">
        <f>'[1]2026 Orders'!X66</f>
        <v>0</v>
      </c>
      <c r="AC65" t="str">
        <f t="shared" si="0"/>
        <v>/8520</v>
      </c>
      <c r="AD65" t="e">
        <f t="shared" si="1"/>
        <v>#VALUE!</v>
      </c>
    </row>
    <row r="66" spans="1:30" ht="33" hidden="1" customHeight="1" x14ac:dyDescent="0.3">
      <c r="A66">
        <f>'[1]2026 Orders'!A67</f>
        <v>45967</v>
      </c>
      <c r="B66" s="14" t="str">
        <f>'[1]2026 Orders'!B67</f>
        <v>Iraq</v>
      </c>
      <c r="C66" s="14" t="str">
        <f>'[1]2026 Orders'!C67</f>
        <v>A4567</v>
      </c>
      <c r="D66" s="14" t="str">
        <f>'[1]2026 Orders'!D67</f>
        <v>49131225
Mfg:12/2025
Exp:12/2028                                           2/16/2026: Qty increased 8000 -&gt; 8016                                       4/28/2026: 6816 moved to Iraq A4698</v>
      </c>
      <c r="E66" s="17" t="str" cm="1">
        <f t="array" ref="E66">IF(C66=0,"",
HYPERLINK(
"#'2026 Orders'!C"&amp;
MATCH(1,
('2026 Orders'!C:C=C66)*
('2026 Orders'!G:G=G66)*
('2026 Orders'!N:N=N66),
0),
"Open "&amp;C66
))</f>
        <v>Open A4567</v>
      </c>
      <c r="F66" s="14" t="str">
        <f>'[1]2026 Orders'!F67</f>
        <v>Nutrastar</v>
      </c>
      <c r="G66" s="14" t="str">
        <f>'[1]2026 Orders'!G67</f>
        <v>SPERMCT-60-RE</v>
      </c>
      <c r="H66" s="14" t="str" cm="1">
        <f t="array" ref="H66">IFERROR(_xlfn.TEXTJOIN("-",,INDEX(_xlfn.TEXTSPLIT(TableGive[[#This Row],[SKU]],"-"),{1,2})),"")</f>
        <v>SPERMCT-60</v>
      </c>
      <c r="I66" s="15" t="str">
        <f>IFERROR(_xlfn.TEXTAFTER(TableGive[[#This Row],[SKU]],"-",-1),"")</f>
        <v>RE</v>
      </c>
      <c r="J66" s="14">
        <f>'[1]2026 Orders'!H67</f>
        <v>1200</v>
      </c>
      <c r="K66" t="str">
        <f>'[1]2026 Orders'!I67</f>
        <v>R64-23.0</v>
      </c>
      <c r="L66">
        <f>'[1]2026 Orders'!J67</f>
        <v>1200</v>
      </c>
      <c r="N66" s="10" t="str">
        <f>'[1]2026 Orders'!L67</f>
        <v>ON HOLD</v>
      </c>
      <c r="O66">
        <f>'[1]2026 Orders'!M67</f>
        <v>0</v>
      </c>
      <c r="P66" t="str">
        <f>'[1]2026 Orders'!N67</f>
        <v>NA</v>
      </c>
      <c r="Q66">
        <f>'[1]2026 Orders'!O67</f>
        <v>609788968405</v>
      </c>
      <c r="R66">
        <f>'[1]2026 Orders'!P67</f>
        <v>10500</v>
      </c>
      <c r="S66">
        <f>'[1]2026 Orders'!Q67</f>
        <v>4913</v>
      </c>
      <c r="T66" t="str">
        <f>'[1]2026 Orders'!R67</f>
        <v>complete</v>
      </c>
      <c r="U66">
        <f>'[1]2026 Orders'!S67</f>
        <v>0</v>
      </c>
      <c r="V66">
        <f>'[1]2026 Orders'!T67</f>
        <v>0</v>
      </c>
      <c r="W66">
        <f>'[1]2026 Orders'!U67</f>
        <v>0</v>
      </c>
      <c r="X66">
        <f>'[1]2026 Orders'!V67</f>
        <v>0</v>
      </c>
      <c r="Y66">
        <f>'[1]2026 Orders'!W67</f>
        <v>0</v>
      </c>
      <c r="Z66">
        <f>'[1]2026 Orders'!X67</f>
        <v>0</v>
      </c>
      <c r="AC66" t="str">
        <f t="shared" si="0"/>
        <v>/1200</v>
      </c>
      <c r="AD66" t="e">
        <f t="shared" si="1"/>
        <v>#VALUE!</v>
      </c>
    </row>
    <row r="67" spans="1:30" ht="33" hidden="1" customHeight="1" x14ac:dyDescent="0.3">
      <c r="A67">
        <f>'[1]2026 Orders'!A68</f>
        <v>45944</v>
      </c>
      <c r="B67" s="14" t="str">
        <f>'[1]2026 Orders'!B68</f>
        <v>Jordan</v>
      </c>
      <c r="C67" s="14" t="str">
        <f>'[1]2026 Orders'!C68</f>
        <v>A4548</v>
      </c>
      <c r="D67" s="14">
        <f>'[1]2026 Orders'!D68</f>
        <v>0</v>
      </c>
      <c r="E67" s="17" t="e" cm="1">
        <f t="array" ref="E67">IF(C67=0,"",
HYPERLINK(
"#'2026 Orders'!C"&amp;
MATCH(1,
('2026 Orders'!C:C=C67)*
('2026 Orders'!G:G=G67)*
('2026 Orders'!N:N=N67),
0),
"Open "&amp;C67
))</f>
        <v>#N/A</v>
      </c>
      <c r="F67" s="14" t="str">
        <f>'[1]2026 Orders'!F68</f>
        <v>Needs to be green capsule</v>
      </c>
      <c r="G67" s="14" t="str">
        <f>'[1]2026 Orders'!G68</f>
        <v>MFSPLS-120-CS-JO</v>
      </c>
      <c r="H67" s="14" t="str" cm="1">
        <f t="array" ref="H67">IFERROR(_xlfn.TEXTJOIN("-",,INDEX(_xlfn.TEXTSPLIT(TableGive[[#This Row],[SKU]],"-"),{1,2})),"")</f>
        <v>MFSPLS-120</v>
      </c>
      <c r="I67" s="15" t="str">
        <f>IFERROR(_xlfn.TEXTAFTER(TableGive[[#This Row],[SKU]],"-",-1),"")</f>
        <v>JO</v>
      </c>
      <c r="J67" s="14">
        <f>'[1]2026 Orders'!H68</f>
        <v>3</v>
      </c>
      <c r="K67" t="str">
        <f>'[1]2026 Orders'!I68</f>
        <v>JO30-26.0</v>
      </c>
      <c r="L67">
        <f>'[1]2026 Orders'!J68</f>
        <v>3</v>
      </c>
      <c r="N67" s="10" t="str">
        <f>'[1]2026 Orders'!L68</f>
        <v>D/W Sent</v>
      </c>
      <c r="O67">
        <f>'[1]2026 Orders'!M68</f>
        <v>0</v>
      </c>
      <c r="P67" t="str">
        <f>'[1]2026 Orders'!N68</f>
        <v>NA</v>
      </c>
      <c r="Q67">
        <f>'[1]2026 Orders'!O68</f>
        <v>604776740094</v>
      </c>
      <c r="R67">
        <f>'[1]2026 Orders'!P68</f>
        <v>0</v>
      </c>
      <c r="S67">
        <f>'[1]2026 Orders'!Q68</f>
        <v>0</v>
      </c>
      <c r="T67">
        <f>'[1]2026 Orders'!R68</f>
        <v>0</v>
      </c>
      <c r="U67">
        <f>'[1]2026 Orders'!S68</f>
        <v>0</v>
      </c>
      <c r="V67">
        <f>'[1]2026 Orders'!T68</f>
        <v>0</v>
      </c>
      <c r="W67">
        <f>'[1]2026 Orders'!U68</f>
        <v>0</v>
      </c>
      <c r="X67">
        <f>'[1]2026 Orders'!V68</f>
        <v>0</v>
      </c>
      <c r="Y67">
        <f>'[1]2026 Orders'!W68</f>
        <v>0</v>
      </c>
      <c r="Z67">
        <f>'[1]2026 Orders'!X68</f>
        <v>0</v>
      </c>
      <c r="AC67" t="str">
        <f t="shared" ref="AC67:AC130" si="2">IF(OR(B67="",B67=0),"",$AJ$2&amp;"/"&amp;J67)</f>
        <v>/3</v>
      </c>
      <c r="AD67" t="e">
        <f t="shared" ref="AD67:AD130" si="3">IF(OR(J67="",J67=0),"",$AK$2&amp;" -&gt; "&amp;I67)</f>
        <v>#VALUE!</v>
      </c>
    </row>
    <row r="68" spans="1:30" ht="33" hidden="1" customHeight="1" x14ac:dyDescent="0.3">
      <c r="A68">
        <f>'[1]2026 Orders'!A69</f>
        <v>45967</v>
      </c>
      <c r="B68" s="14" t="str">
        <f>'[1]2026 Orders'!B69</f>
        <v>Iraq</v>
      </c>
      <c r="C68" s="14" t="str">
        <f>'[1]2026 Orders'!C69</f>
        <v>A4632</v>
      </c>
      <c r="D68" s="14" t="str">
        <f>'[1]2026 Orders'!D69</f>
        <v>49081225
Mfg:12/2025
Exp:12/2028                                      2/16/2026: Qty increased 28297 -&gt; 28320                                  4/28/2026: 9360 moved to Iraq A4698</v>
      </c>
      <c r="E68" s="17" t="str" cm="1">
        <f t="array" ref="E68">IF(C68=0,"",
HYPERLINK(
"#'2026 Orders'!C"&amp;
MATCH(1,
('2026 Orders'!C:C=C68)*
('2026 Orders'!G:G=G68)*
('2026 Orders'!N:N=N68),
0),
"Open "&amp;C68
))</f>
        <v>Open A4632</v>
      </c>
      <c r="F68" s="14" t="str">
        <f>'[1]2026 Orders'!F69</f>
        <v xml:space="preserve">Nutrastar  </v>
      </c>
      <c r="G68" s="14" t="str">
        <f>'[1]2026 Orders'!G69</f>
        <v>OVAMAX-60-CS-IQ</v>
      </c>
      <c r="H68" s="14" t="str" cm="1">
        <f t="array" ref="H68">IFERROR(_xlfn.TEXTJOIN("-",,INDEX(_xlfn.TEXTSPLIT(TableGive[[#This Row],[SKU]],"-"),{1,2})),"")</f>
        <v>OVAMAX-60</v>
      </c>
      <c r="I68" s="15" t="str">
        <f>IFERROR(_xlfn.TEXTAFTER(TableGive[[#This Row],[SKU]],"-",-1),"")</f>
        <v>IQ</v>
      </c>
      <c r="J68" s="14">
        <f>'[1]2026 Orders'!H69</f>
        <v>18960</v>
      </c>
      <c r="K68" t="str">
        <f>'[1]2026 Orders'!I69</f>
        <v>IQ97-25.0</v>
      </c>
      <c r="L68">
        <f>'[1]2026 Orders'!J69</f>
        <v>18960</v>
      </c>
      <c r="N68" s="10" t="str">
        <f>'[1]2026 Orders'!L69</f>
        <v>ON HOLD</v>
      </c>
      <c r="O68">
        <f>'[1]2026 Orders'!M69</f>
        <v>0</v>
      </c>
      <c r="P68" t="str">
        <f>'[1]2026 Orders'!N69</f>
        <v>NA</v>
      </c>
      <c r="Q68">
        <f>'[1]2026 Orders'!O69</f>
        <v>604776738060</v>
      </c>
      <c r="R68">
        <f>'[1]2026 Orders'!P69</f>
        <v>37000</v>
      </c>
      <c r="S68">
        <f>'[1]2026 Orders'!Q69</f>
        <v>4908</v>
      </c>
      <c r="T68" t="str">
        <f>'[1]2026 Orders'!R69</f>
        <v>Complete</v>
      </c>
      <c r="U68">
        <f>'[1]2026 Orders'!S69</f>
        <v>0</v>
      </c>
      <c r="V68">
        <f>'[1]2026 Orders'!T69</f>
        <v>0</v>
      </c>
      <c r="W68">
        <f>'[1]2026 Orders'!U69</f>
        <v>0</v>
      </c>
      <c r="X68">
        <f>'[1]2026 Orders'!V69</f>
        <v>0</v>
      </c>
      <c r="Y68">
        <f>'[1]2026 Orders'!W69</f>
        <v>0</v>
      </c>
      <c r="Z68" t="str">
        <f>'[1]2026 Orders'!X69</f>
        <v>HOLD</v>
      </c>
      <c r="AC68" t="str">
        <f t="shared" si="2"/>
        <v>/18960</v>
      </c>
      <c r="AD68" t="e">
        <f t="shared" si="3"/>
        <v>#VALUE!</v>
      </c>
    </row>
    <row r="69" spans="1:30" ht="33" hidden="1" customHeight="1" x14ac:dyDescent="0.3">
      <c r="A69">
        <f>'[1]2026 Orders'!A70</f>
        <v>45967</v>
      </c>
      <c r="B69" s="14" t="str">
        <f>'[1]2026 Orders'!B70</f>
        <v>Iraq</v>
      </c>
      <c r="C69" s="14" t="str">
        <f>'[1]2026 Orders'!C70</f>
        <v>A4632</v>
      </c>
      <c r="D69" s="14" t="str">
        <f>'[1]2026 Orders'!D70</f>
        <v>49091225
Mfg:12/2025
Exp:12/2028                                    4/28/2026: 15120 moved to Iraq A4698                                     5/15/2026: 5208 moved to Iraq A4704</v>
      </c>
      <c r="E69" s="17" t="str" cm="1">
        <f t="array" ref="E69">IF(C69=0,"",
HYPERLINK(
"#'2026 Orders'!C"&amp;
MATCH(1,
('2026 Orders'!C:C=C69)*
('2026 Orders'!G:G=G69)*
('2026 Orders'!N:N=N69),
0),
"Open "&amp;C69
))</f>
        <v>Open A4632</v>
      </c>
      <c r="F69" s="14" t="str">
        <f>'[1]2026 Orders'!F70</f>
        <v>Nutrastar</v>
      </c>
      <c r="G69" s="14" t="str">
        <f>'[1]2026 Orders'!G70</f>
        <v>PEARLY-60-CS-IQ</v>
      </c>
      <c r="H69" s="14" t="str" cm="1">
        <f t="array" ref="H69">IFERROR(_xlfn.TEXTJOIN("-",,INDEX(_xlfn.TEXTSPLIT(TableGive[[#This Row],[SKU]],"-"),{1,2})),"")</f>
        <v>PEARLY-60</v>
      </c>
      <c r="I69" s="15" t="str">
        <f>IFERROR(_xlfn.TEXTAFTER(TableGive[[#This Row],[SKU]],"-",-1),"")</f>
        <v>IQ</v>
      </c>
      <c r="J69" s="14">
        <f>'[1]2026 Orders'!H70</f>
        <v>24672</v>
      </c>
      <c r="K69" t="str">
        <f>'[1]2026 Orders'!I70</f>
        <v>IQ42-23.0</v>
      </c>
      <c r="L69">
        <f>'[1]2026 Orders'!J70</f>
        <v>24672</v>
      </c>
      <c r="N69" s="10" t="str">
        <f>'[1]2026 Orders'!L70</f>
        <v>ON HOLD</v>
      </c>
      <c r="O69">
        <f>'[1]2026 Orders'!M70</f>
        <v>0</v>
      </c>
      <c r="P69" t="str">
        <f>'[1]2026 Orders'!N70</f>
        <v>Y</v>
      </c>
      <c r="Q69">
        <f>'[1]2026 Orders'!O70</f>
        <v>604776737803</v>
      </c>
      <c r="R69">
        <f>'[1]2026 Orders'!P70</f>
        <v>58500</v>
      </c>
      <c r="S69">
        <f>'[1]2026 Orders'!Q70</f>
        <v>4909</v>
      </c>
      <c r="T69" t="str">
        <f>'[1]2026 Orders'!R70</f>
        <v>Complete</v>
      </c>
      <c r="U69">
        <f>'[1]2026 Orders'!S70</f>
        <v>0</v>
      </c>
      <c r="V69">
        <f>'[1]2026 Orders'!T70</f>
        <v>0</v>
      </c>
      <c r="W69">
        <f>'[1]2026 Orders'!U70</f>
        <v>0</v>
      </c>
      <c r="X69">
        <f>'[1]2026 Orders'!V70</f>
        <v>0</v>
      </c>
      <c r="Y69">
        <f>'[1]2026 Orders'!W70</f>
        <v>0</v>
      </c>
      <c r="Z69">
        <f>'[1]2026 Orders'!X70</f>
        <v>0</v>
      </c>
      <c r="AC69" t="str">
        <f t="shared" si="2"/>
        <v>/24672</v>
      </c>
      <c r="AD69" t="e">
        <f t="shared" si="3"/>
        <v>#VALUE!</v>
      </c>
    </row>
    <row r="70" spans="1:30" ht="33" hidden="1" customHeight="1" x14ac:dyDescent="0.3">
      <c r="A70">
        <f>'[1]2026 Orders'!A71</f>
        <v>45944</v>
      </c>
      <c r="B70" s="14" t="str">
        <f>'[1]2026 Orders'!B71</f>
        <v>Jordan</v>
      </c>
      <c r="C70" s="14" t="str">
        <f>'[1]2026 Orders'!C71</f>
        <v>A4548</v>
      </c>
      <c r="D70" s="14">
        <f>'[1]2026 Orders'!D71</f>
        <v>0</v>
      </c>
      <c r="E70" s="17" t="e" cm="1">
        <f t="array" ref="E70">IF(C70=0,"",
HYPERLINK(
"#'2026 Orders'!C"&amp;
MATCH(1,
('2026 Orders'!C:C=C70)*
('2026 Orders'!G:G=G70)*
('2026 Orders'!N:N=N70),
0),
"Open "&amp;C70
))</f>
        <v>#N/A</v>
      </c>
      <c r="F70" s="14" t="str">
        <f>'[1]2026 Orders'!F71</f>
        <v xml:space="preserve">Needs to be green capsule </v>
      </c>
      <c r="G70" s="14" t="str">
        <f>'[1]2026 Orders'!G71</f>
        <v>PRECON-180-CS-JO</v>
      </c>
      <c r="H70" s="14" t="str" cm="1">
        <f t="array" ref="H70">IFERROR(_xlfn.TEXTJOIN("-",,INDEX(_xlfn.TEXTSPLIT(TableGive[[#This Row],[SKU]],"-"),{1,2})),"")</f>
        <v>PRECON-180</v>
      </c>
      <c r="I70" s="15" t="str">
        <f>IFERROR(_xlfn.TEXTAFTER(TableGive[[#This Row],[SKU]],"-",-1),"")</f>
        <v>JO</v>
      </c>
      <c r="J70" s="14">
        <f>'[1]2026 Orders'!H71</f>
        <v>3</v>
      </c>
      <c r="K70" t="str">
        <f>'[1]2026 Orders'!I71</f>
        <v>JO55-26.0</v>
      </c>
      <c r="L70">
        <f>'[1]2026 Orders'!J71</f>
        <v>3</v>
      </c>
      <c r="N70" s="10" t="str">
        <f>'[1]2026 Orders'!L71</f>
        <v>D/W Sent</v>
      </c>
      <c r="O70">
        <f>'[1]2026 Orders'!M71</f>
        <v>0</v>
      </c>
      <c r="P70" t="str">
        <f>'[1]2026 Orders'!N71</f>
        <v>NA</v>
      </c>
      <c r="Q70">
        <f>'[1]2026 Orders'!O71</f>
        <v>604776740124</v>
      </c>
      <c r="R70">
        <f>'[1]2026 Orders'!P71</f>
        <v>0</v>
      </c>
      <c r="S70">
        <f>'[1]2026 Orders'!Q71</f>
        <v>0</v>
      </c>
      <c r="T70">
        <f>'[1]2026 Orders'!R71</f>
        <v>0</v>
      </c>
      <c r="U70">
        <f>'[1]2026 Orders'!S71</f>
        <v>0</v>
      </c>
      <c r="V70">
        <f>'[1]2026 Orders'!T71</f>
        <v>0</v>
      </c>
      <c r="W70">
        <f>'[1]2026 Orders'!U71</f>
        <v>0</v>
      </c>
      <c r="X70">
        <f>'[1]2026 Orders'!V71</f>
        <v>0</v>
      </c>
      <c r="Y70">
        <f>'[1]2026 Orders'!W71</f>
        <v>0</v>
      </c>
      <c r="Z70">
        <f>'[1]2026 Orders'!X71</f>
        <v>0</v>
      </c>
      <c r="AC70" t="str">
        <f t="shared" si="2"/>
        <v>/3</v>
      </c>
      <c r="AD70" t="e">
        <f t="shared" si="3"/>
        <v>#VALUE!</v>
      </c>
    </row>
    <row r="71" spans="1:30" ht="33" hidden="1" customHeight="1" x14ac:dyDescent="0.3">
      <c r="A71">
        <f>'[1]2026 Orders'!A72</f>
        <v>45967</v>
      </c>
      <c r="B71" s="14" t="str">
        <f>'[1]2026 Orders'!B72</f>
        <v>Iraq</v>
      </c>
      <c r="C71" s="14" t="str">
        <f>'[1]2026 Orders'!C72</f>
        <v>A4633</v>
      </c>
      <c r="D71" s="14" t="str">
        <f>'[1]2026 Orders'!D72</f>
        <v>49071225
Mfg:12/2025
Exp:12/2028                                       4/28/2026: 15360 moved to Iraq A4698                                         5/15/2026: 5280 moved to Iraq A4704</v>
      </c>
      <c r="E71" s="17" t="str" cm="1">
        <f t="array" ref="E71">IF(C71=0,"",
HYPERLINK(
"#'2026 Orders'!C"&amp;
MATCH(1,
('2026 Orders'!C:C=C71)*
('2026 Orders'!G:G=G71)*
('2026 Orders'!N:N=N71),
0),
"Open "&amp;C71
))</f>
        <v>Open A4633</v>
      </c>
      <c r="F71" s="14" t="str">
        <f>'[1]2026 Orders'!F72</f>
        <v>Nutrastar                                   6/4/2026: Qty adjusted to 8880 after reviewing Pallets.</v>
      </c>
      <c r="G71" s="14" t="str">
        <f>'[1]2026 Orders'!G72</f>
        <v>MFSPLS-60-RE</v>
      </c>
      <c r="H71" s="14" t="str" cm="1">
        <f t="array" ref="H71">IFERROR(_xlfn.TEXTJOIN("-",,INDEX(_xlfn.TEXTSPLIT(TableGive[[#This Row],[SKU]],"-"),{1,2})),"")</f>
        <v>MFSPLS-60</v>
      </c>
      <c r="I71" s="15" t="str">
        <f>IFERROR(_xlfn.TEXTAFTER(TableGive[[#This Row],[SKU]],"-",-1),"")</f>
        <v>RE</v>
      </c>
      <c r="J71" s="14">
        <f>'[1]2026 Orders'!H72</f>
        <v>8880</v>
      </c>
      <c r="K71" t="str">
        <f>'[1]2026 Orders'!I72</f>
        <v>R29-24.0</v>
      </c>
      <c r="L71">
        <f>'[1]2026 Orders'!J72</f>
        <v>8880</v>
      </c>
      <c r="N71" s="10" t="str">
        <f>'[1]2026 Orders'!L72</f>
        <v>ON HOLD</v>
      </c>
      <c r="O71">
        <f>'[1]2026 Orders'!M72</f>
        <v>0</v>
      </c>
      <c r="P71" t="str">
        <f>'[1]2026 Orders'!N72</f>
        <v>NA</v>
      </c>
      <c r="Q71">
        <f>'[1]2026 Orders'!O72</f>
        <v>609788968092</v>
      </c>
      <c r="R71">
        <f>'[1]2026 Orders'!P72</f>
        <v>39000</v>
      </c>
      <c r="S71">
        <f>'[1]2026 Orders'!Q72</f>
        <v>4907</v>
      </c>
      <c r="T71" t="str">
        <f>'[1]2026 Orders'!R72</f>
        <v>Complete</v>
      </c>
      <c r="U71">
        <f>'[1]2026 Orders'!S72</f>
        <v>0</v>
      </c>
      <c r="V71">
        <f>'[1]2026 Orders'!T72</f>
        <v>0</v>
      </c>
      <c r="W71">
        <f>'[1]2026 Orders'!U72</f>
        <v>0</v>
      </c>
      <c r="X71">
        <f>'[1]2026 Orders'!V72</f>
        <v>0</v>
      </c>
      <c r="Y71">
        <f>'[1]2026 Orders'!W72</f>
        <v>0</v>
      </c>
      <c r="Z71" t="str">
        <f>'[1]2026 Orders'!X72</f>
        <v>HOLD</v>
      </c>
      <c r="AC71" t="str">
        <f t="shared" si="2"/>
        <v>/8880</v>
      </c>
      <c r="AD71" t="e">
        <f t="shared" si="3"/>
        <v>#VALUE!</v>
      </c>
    </row>
    <row r="72" spans="1:30" ht="33" hidden="1" customHeight="1" x14ac:dyDescent="0.3">
      <c r="A72">
        <f>'[1]2026 Orders'!A73</f>
        <v>45763</v>
      </c>
      <c r="B72" s="14" t="str">
        <f>'[1]2026 Orders'!B73</f>
        <v>Iraq</v>
      </c>
      <c r="C72" s="14" t="str">
        <f>'[1]2026 Orders'!C73</f>
        <v>A4633</v>
      </c>
      <c r="D72" s="14">
        <f>'[1]2026 Orders'!D73</f>
        <v>0</v>
      </c>
      <c r="E72" s="17" t="str" cm="1">
        <f t="array" ref="E72">IF(C72=0,"",
HYPERLINK(
"#'2026 Orders'!C"&amp;
MATCH(1,
('2026 Orders'!C:C=C72)*
('2026 Orders'!G:G=G72)*
('2026 Orders'!N:N=N72),
0),
"Open "&amp;C72
))</f>
        <v>Open A4633</v>
      </c>
      <c r="F72" s="14" t="str">
        <f>'[1]2026 Orders'!F73</f>
        <v xml:space="preserve">  8/18/2025: 30,000 packs moved from A4475 
9/30/2025: Moved from Iraq A4442 
1/22/2026: Moved from Iraq A4541</v>
      </c>
      <c r="G72" s="14" t="str">
        <f>'[1]2026 Orders'!G73</f>
        <v>MOTILMX-60-CS-IQ</v>
      </c>
      <c r="H72" s="14" t="str" cm="1">
        <f t="array" ref="H72">IFERROR(_xlfn.TEXTJOIN("-",,INDEX(_xlfn.TEXTSPLIT(TableGive[[#This Row],[SKU]],"-"),{1,2})),"")</f>
        <v>MOTILMX-60</v>
      </c>
      <c r="I72" s="15" t="str">
        <f>IFERROR(_xlfn.TEXTAFTER(TableGive[[#This Row],[SKU]],"-",-1),"")</f>
        <v>IQ</v>
      </c>
      <c r="J72" s="14">
        <f>'[1]2026 Orders'!H73</f>
        <v>30000</v>
      </c>
      <c r="K72" t="str">
        <f>'[1]2026 Orders'!I73</f>
        <v>IQ31-23.0</v>
      </c>
      <c r="L72">
        <f>'[1]2026 Orders'!J73</f>
        <v>30000</v>
      </c>
      <c r="N72" s="10" t="str">
        <f>'[1]2026 Orders'!L73</f>
        <v>ON HOLD</v>
      </c>
      <c r="O72">
        <f>'[1]2026 Orders'!M73</f>
        <v>0</v>
      </c>
      <c r="P72" t="str">
        <f>'[1]2026 Orders'!N73</f>
        <v>NA</v>
      </c>
      <c r="Q72">
        <f>'[1]2026 Orders'!O73</f>
        <v>604776737681</v>
      </c>
      <c r="R72">
        <f>'[1]2026 Orders'!P73</f>
        <v>30000</v>
      </c>
      <c r="S72">
        <f>'[1]2026 Orders'!Q73</f>
        <v>4711</v>
      </c>
      <c r="T72" t="str">
        <f>'[1]2026 Orders'!R73</f>
        <v>Complete</v>
      </c>
      <c r="U72">
        <f>'[1]2026 Orders'!S73</f>
        <v>0</v>
      </c>
      <c r="V72">
        <f>'[1]2026 Orders'!T73</f>
        <v>0</v>
      </c>
      <c r="W72">
        <f>'[1]2026 Orders'!U73</f>
        <v>0</v>
      </c>
      <c r="X72">
        <f>'[1]2026 Orders'!V73</f>
        <v>0</v>
      </c>
      <c r="Y72">
        <f>'[1]2026 Orders'!W73</f>
        <v>0</v>
      </c>
      <c r="Z72">
        <f>'[1]2026 Orders'!X73</f>
        <v>0</v>
      </c>
      <c r="AC72" t="str">
        <f t="shared" si="2"/>
        <v>/30000</v>
      </c>
      <c r="AD72" t="e">
        <f t="shared" si="3"/>
        <v>#VALUE!</v>
      </c>
    </row>
    <row r="73" spans="1:30" ht="33" hidden="1" customHeight="1" x14ac:dyDescent="0.3">
      <c r="A73">
        <f>'[1]2026 Orders'!A74</f>
        <v>0</v>
      </c>
      <c r="B73" s="14">
        <f>'[1]2026 Orders'!B74</f>
        <v>0</v>
      </c>
      <c r="C73" s="14">
        <f>'[1]2026 Orders'!C74</f>
        <v>0</v>
      </c>
      <c r="D73" s="14">
        <f>'[1]2026 Orders'!D74</f>
        <v>0</v>
      </c>
      <c r="E73" s="17" t="str" cm="1">
        <f t="array" ref="E73">IF(C73=0,"",
HYPERLINK(
"#'2026 Orders'!C"&amp;
MATCH(1,
('2026 Orders'!C:C=C73)*
('2026 Orders'!G:G=G73)*
('2026 Orders'!N:N=N73),
0),
"Open "&amp;C73
))</f>
        <v/>
      </c>
      <c r="F73" s="14">
        <f>'[1]2026 Orders'!F74</f>
        <v>0</v>
      </c>
      <c r="G73" s="14">
        <f>'[1]2026 Orders'!G74</f>
        <v>0</v>
      </c>
      <c r="H73" s="14" t="str" cm="1">
        <f t="array" ref="H73">IFERROR(_xlfn.TEXTJOIN("-",,INDEX(_xlfn.TEXTSPLIT(TableGive[[#This Row],[SKU]],"-"),{1,2})),"")</f>
        <v/>
      </c>
      <c r="I73" s="15" t="str">
        <f>IFERROR(_xlfn.TEXTAFTER(TableGive[[#This Row],[SKU]],"-",-1),"")</f>
        <v/>
      </c>
      <c r="J73" s="14">
        <f>'[1]2026 Orders'!H74</f>
        <v>0</v>
      </c>
      <c r="K73">
        <f>'[1]2026 Orders'!I74</f>
        <v>0</v>
      </c>
      <c r="L73">
        <f>'[1]2026 Orders'!J74</f>
        <v>0</v>
      </c>
      <c r="N73" s="10">
        <f>'[1]2026 Orders'!L74</f>
        <v>0</v>
      </c>
      <c r="O73">
        <f>'[1]2026 Orders'!M74</f>
        <v>0</v>
      </c>
      <c r="P73">
        <f>'[1]2026 Orders'!N74</f>
        <v>0</v>
      </c>
      <c r="Q73">
        <f>'[1]2026 Orders'!O74</f>
        <v>0</v>
      </c>
      <c r="R73">
        <f>'[1]2026 Orders'!P74</f>
        <v>0</v>
      </c>
      <c r="S73">
        <f>'[1]2026 Orders'!Q74</f>
        <v>0</v>
      </c>
      <c r="T73">
        <f>'[1]2026 Orders'!R74</f>
        <v>0</v>
      </c>
      <c r="U73">
        <f>'[1]2026 Orders'!S74</f>
        <v>0</v>
      </c>
      <c r="V73">
        <f>'[1]2026 Orders'!T74</f>
        <v>0</v>
      </c>
      <c r="W73">
        <f>'[1]2026 Orders'!U74</f>
        <v>0</v>
      </c>
      <c r="X73">
        <f>'[1]2026 Orders'!V74</f>
        <v>0</v>
      </c>
      <c r="Y73">
        <f>'[1]2026 Orders'!W74</f>
        <v>0</v>
      </c>
      <c r="Z73">
        <f>'[1]2026 Orders'!X74</f>
        <v>0</v>
      </c>
      <c r="AC73" t="str">
        <f t="shared" si="2"/>
        <v/>
      </c>
      <c r="AD73" t="str">
        <f t="shared" si="3"/>
        <v/>
      </c>
    </row>
    <row r="74" spans="1:30" ht="33" hidden="1" customHeight="1" x14ac:dyDescent="0.3">
      <c r="A74">
        <f>'[1]2026 Orders'!A75</f>
        <v>45967</v>
      </c>
      <c r="B74" s="14" t="str">
        <f>'[1]2026 Orders'!B75</f>
        <v>Iraq</v>
      </c>
      <c r="C74" s="14" t="str">
        <f>'[1]2026 Orders'!C75</f>
        <v>A4704</v>
      </c>
      <c r="D74" s="14" t="str">
        <f>'[1]2026 Orders'!D75</f>
        <v>49041225
Mfg:12/2025
Exp:12/2028</v>
      </c>
      <c r="E74" s="17" t="str" cm="1">
        <f t="array" ref="E74">IF(C74=0,"",
HYPERLINK(
"#'2026 Orders'!C"&amp;
MATCH(1,
('2026 Orders'!C:C=C74)*
('2026 Orders'!G:G=G74)*
('2026 Orders'!N:N=N74),
0),
"Open "&amp;C74
))</f>
        <v>Open A4704</v>
      </c>
      <c r="F74" s="14" t="str">
        <f>'[1]2026 Orders'!F75</f>
        <v>NutraStar                                5/15/2026: From Iraq A4567.</v>
      </c>
      <c r="G74" s="14" t="str">
        <f>'[1]2026 Orders'!G75</f>
        <v>FIBRO-60-CS-IQ</v>
      </c>
      <c r="H74" s="14" t="str" cm="1">
        <f t="array" ref="H74">IFERROR(_xlfn.TEXTJOIN("-",,INDEX(_xlfn.TEXTSPLIT(TableGive[[#This Row],[SKU]],"-"),{1,2})),"")</f>
        <v>FIBRO-60</v>
      </c>
      <c r="I74" s="15" t="str">
        <f>IFERROR(_xlfn.TEXTAFTER(TableGive[[#This Row],[SKU]],"-",-1),"")</f>
        <v>IQ</v>
      </c>
      <c r="J74" s="14">
        <f>'[1]2026 Orders'!H75</f>
        <v>2808</v>
      </c>
      <c r="K74" t="str">
        <f>'[1]2026 Orders'!I75</f>
        <v>IQ17-23.0</v>
      </c>
      <c r="L74">
        <f>'[1]2026 Orders'!J75</f>
        <v>2208</v>
      </c>
      <c r="N74" s="10" t="str">
        <f>'[1]2026 Orders'!L75</f>
        <v>ON HOLD</v>
      </c>
      <c r="O74">
        <f>'[1]2026 Orders'!M75</f>
        <v>0</v>
      </c>
      <c r="P74" t="str">
        <f>'[1]2026 Orders'!N75</f>
        <v>NA</v>
      </c>
      <c r="Q74">
        <f>'[1]2026 Orders'!O75</f>
        <v>604776737650</v>
      </c>
      <c r="R74">
        <f>'[1]2026 Orders'!P75</f>
        <v>13000</v>
      </c>
      <c r="S74">
        <f>'[1]2026 Orders'!Q75</f>
        <v>4904</v>
      </c>
      <c r="T74" t="str">
        <f>'[1]2026 Orders'!R75</f>
        <v>complete</v>
      </c>
      <c r="U74">
        <f>'[1]2026 Orders'!S75</f>
        <v>0</v>
      </c>
      <c r="V74">
        <f>'[1]2026 Orders'!T75</f>
        <v>0</v>
      </c>
      <c r="W74">
        <f>'[1]2026 Orders'!U75</f>
        <v>0</v>
      </c>
      <c r="X74">
        <f>'[1]2026 Orders'!V75</f>
        <v>0</v>
      </c>
      <c r="Y74">
        <f>'[1]2026 Orders'!W75</f>
        <v>0</v>
      </c>
      <c r="Z74">
        <f>'[1]2026 Orders'!X75</f>
        <v>0</v>
      </c>
      <c r="AC74" t="str">
        <f t="shared" si="2"/>
        <v>/2808</v>
      </c>
      <c r="AD74" t="e">
        <f t="shared" si="3"/>
        <v>#VALUE!</v>
      </c>
    </row>
    <row r="75" spans="1:30" ht="33" hidden="1" customHeight="1" x14ac:dyDescent="0.3">
      <c r="A75">
        <f>'[1]2026 Orders'!A76</f>
        <v>45967</v>
      </c>
      <c r="B75" s="14" t="str">
        <f>'[1]2026 Orders'!B76</f>
        <v>Iraq</v>
      </c>
      <c r="C75" s="14" t="str">
        <f>'[1]2026 Orders'!C76</f>
        <v>A4704</v>
      </c>
      <c r="D75" s="14" t="str">
        <f>'[1]2026 Orders'!D76</f>
        <v>49031225
Mfg:12/2025
Exp:12/2028</v>
      </c>
      <c r="E75" s="17" t="str" cm="1">
        <f t="array" ref="E75">IF(C75=0,"",
HYPERLINK(
"#'2026 Orders'!C"&amp;
MATCH(1,
('2026 Orders'!C:C=C75)*
('2026 Orders'!G:G=G75)*
('2026 Orders'!N:N=N75),
0),
"Open "&amp;C75
))</f>
        <v>Open A4704</v>
      </c>
      <c r="F75" s="14" t="str">
        <f>'[1]2026 Orders'!F76</f>
        <v>NutraStar                             5/15/2026: From Iraq A4567.</v>
      </c>
      <c r="G75" s="14" t="str">
        <f>'[1]2026 Orders'!G76</f>
        <v>COLLA-60-FD</v>
      </c>
      <c r="H75" s="14" t="str" cm="1">
        <f t="array" ref="H75">IFERROR(_xlfn.TEXTJOIN("-",,INDEX(_xlfn.TEXTSPLIT(TableGive[[#This Row],[SKU]],"-"),{1,2})),"")</f>
        <v>COLLA-60</v>
      </c>
      <c r="I75" s="15" t="str">
        <f>IFERROR(_xlfn.TEXTAFTER(TableGive[[#This Row],[SKU]],"-",-1),"")</f>
        <v>FD</v>
      </c>
      <c r="J75" s="14">
        <f>'[1]2026 Orders'!H76</f>
        <v>4800</v>
      </c>
      <c r="K75" t="str">
        <f>'[1]2026 Orders'!I76</f>
        <v>F11-22.1</v>
      </c>
      <c r="L75">
        <f>'[1]2026 Orders'!J76</f>
        <v>4800</v>
      </c>
      <c r="N75" s="10" t="str">
        <f>'[1]2026 Orders'!L76</f>
        <v>ON HOLD</v>
      </c>
      <c r="O75">
        <f>'[1]2026 Orders'!M76</f>
        <v>0</v>
      </c>
      <c r="P75" t="str">
        <f>'[1]2026 Orders'!N76</f>
        <v>Y</v>
      </c>
      <c r="Q75" t="str">
        <f>'[1]2026 Orders'!O76</f>
        <v>609788968825</v>
      </c>
      <c r="R75">
        <f>'[1]2026 Orders'!P76</f>
        <v>15300</v>
      </c>
      <c r="S75">
        <f>'[1]2026 Orders'!Q76</f>
        <v>4903</v>
      </c>
      <c r="T75" t="str">
        <f>'[1]2026 Orders'!R76</f>
        <v>complete</v>
      </c>
      <c r="U75">
        <f>'[1]2026 Orders'!S76</f>
        <v>0</v>
      </c>
      <c r="V75">
        <f>'[1]2026 Orders'!T76</f>
        <v>0</v>
      </c>
      <c r="W75">
        <f>'[1]2026 Orders'!U76</f>
        <v>0</v>
      </c>
      <c r="X75">
        <f>'[1]2026 Orders'!V76</f>
        <v>0</v>
      </c>
      <c r="Y75">
        <f>'[1]2026 Orders'!W76</f>
        <v>0</v>
      </c>
      <c r="Z75">
        <f>'[1]2026 Orders'!X76</f>
        <v>0</v>
      </c>
      <c r="AC75" t="str">
        <f t="shared" si="2"/>
        <v>/4800</v>
      </c>
      <c r="AD75" t="e">
        <f t="shared" si="3"/>
        <v>#VALUE!</v>
      </c>
    </row>
    <row r="76" spans="1:30" ht="33" hidden="1" customHeight="1" x14ac:dyDescent="0.3">
      <c r="A76">
        <f>'[1]2026 Orders'!A77</f>
        <v>45967</v>
      </c>
      <c r="B76" s="14" t="str">
        <f>'[1]2026 Orders'!B77</f>
        <v>Iraq</v>
      </c>
      <c r="C76" s="14" t="str">
        <f>'[1]2026 Orders'!C77</f>
        <v>A4704</v>
      </c>
      <c r="D76" s="14" t="str">
        <f>'[1]2026 Orders'!D77</f>
        <v>49071225
Mfg:12/2025
Exp:12/2028</v>
      </c>
      <c r="E76" s="17" t="str" cm="1">
        <f t="array" ref="E76">IF(C76=0,"",
HYPERLINK(
"#'2026 Orders'!C"&amp;
MATCH(1,
('2026 Orders'!C:C=C76)*
('2026 Orders'!G:G=G76)*
('2026 Orders'!N:N=N76),
0),
"Open "&amp;C76
))</f>
        <v>Open A4704</v>
      </c>
      <c r="F76" s="14" t="str">
        <f>'[1]2026 Orders'!F77</f>
        <v>Nutrastar                                     5/16/2026: From Iraq A4633.</v>
      </c>
      <c r="G76" s="14" t="str">
        <f>'[1]2026 Orders'!G77</f>
        <v>MFSPLS-60-RE</v>
      </c>
      <c r="H76" s="14" t="str" cm="1">
        <f t="array" ref="H76">IFERROR(_xlfn.TEXTJOIN("-",,INDEX(_xlfn.TEXTSPLIT(TableGive[[#This Row],[SKU]],"-"),{1,2})),"")</f>
        <v>MFSPLS-60</v>
      </c>
      <c r="I76" s="15" t="str">
        <f>IFERROR(_xlfn.TEXTAFTER(TableGive[[#This Row],[SKU]],"-",-1),"")</f>
        <v>RE</v>
      </c>
      <c r="J76" s="14">
        <f>'[1]2026 Orders'!H77</f>
        <v>5280</v>
      </c>
      <c r="K76" t="str">
        <f>'[1]2026 Orders'!I77</f>
        <v>R29-24.0</v>
      </c>
      <c r="L76">
        <f>'[1]2026 Orders'!J77</f>
        <v>5280</v>
      </c>
      <c r="N76" s="10" t="str">
        <f>'[1]2026 Orders'!L77</f>
        <v>ON HOLD</v>
      </c>
      <c r="O76">
        <f>'[1]2026 Orders'!M77</f>
        <v>0</v>
      </c>
      <c r="P76" t="str">
        <f>'[1]2026 Orders'!N77</f>
        <v>NA</v>
      </c>
      <c r="Q76">
        <f>'[1]2026 Orders'!O77</f>
        <v>609788968092</v>
      </c>
      <c r="R76">
        <f>'[1]2026 Orders'!P77</f>
        <v>39000</v>
      </c>
      <c r="S76">
        <f>'[1]2026 Orders'!Q77</f>
        <v>4907</v>
      </c>
      <c r="T76" t="str">
        <f>'[1]2026 Orders'!R77</f>
        <v>Complete</v>
      </c>
      <c r="U76">
        <f>'[1]2026 Orders'!S77</f>
        <v>0</v>
      </c>
      <c r="V76">
        <f>'[1]2026 Orders'!T77</f>
        <v>0</v>
      </c>
      <c r="W76">
        <f>'[1]2026 Orders'!U77</f>
        <v>0</v>
      </c>
      <c r="X76">
        <f>'[1]2026 Orders'!V77</f>
        <v>0</v>
      </c>
      <c r="Y76">
        <f>'[1]2026 Orders'!W77</f>
        <v>0</v>
      </c>
      <c r="Z76">
        <f>'[1]2026 Orders'!X77</f>
        <v>0</v>
      </c>
      <c r="AC76" t="str">
        <f t="shared" si="2"/>
        <v>/5280</v>
      </c>
      <c r="AD76" t="e">
        <f t="shared" si="3"/>
        <v>#VALUE!</v>
      </c>
    </row>
    <row r="77" spans="1:30" ht="33" hidden="1" customHeight="1" x14ac:dyDescent="0.3">
      <c r="A77">
        <f>'[1]2026 Orders'!A78</f>
        <v>45967</v>
      </c>
      <c r="B77" s="14" t="str">
        <f>'[1]2026 Orders'!B78</f>
        <v>Iraq</v>
      </c>
      <c r="C77" s="14" t="str">
        <f>'[1]2026 Orders'!C78</f>
        <v>A4704</v>
      </c>
      <c r="D77" s="14" t="str">
        <f>'[1]2026 Orders'!D78</f>
        <v>49091225
Mfg:12/2025
Exp:12/2028</v>
      </c>
      <c r="E77" s="17" t="str" cm="1">
        <f t="array" ref="E77">IF(C77=0,"",
HYPERLINK(
"#'2026 Orders'!C"&amp;
MATCH(1,
('2026 Orders'!C:C=C77)*
('2026 Orders'!G:G=G77)*
('2026 Orders'!N:N=N77),
0),
"Open "&amp;C77
))</f>
        <v>Open A4704</v>
      </c>
      <c r="F77" s="14" t="str">
        <f>'[1]2026 Orders'!F78</f>
        <v>Nutrastar                              5/16/2026: From Iraq A4632.</v>
      </c>
      <c r="G77" s="14" t="str">
        <f>'[1]2026 Orders'!G78</f>
        <v>PEARLY-60-CS-IQ</v>
      </c>
      <c r="H77" s="14" t="str" cm="1">
        <f t="array" ref="H77">IFERROR(_xlfn.TEXTJOIN("-",,INDEX(_xlfn.TEXTSPLIT(TableGive[[#This Row],[SKU]],"-"),{1,2})),"")</f>
        <v>PEARLY-60</v>
      </c>
      <c r="I77" s="15" t="str">
        <f>IFERROR(_xlfn.TEXTAFTER(TableGive[[#This Row],[SKU]],"-",-1),"")</f>
        <v>IQ</v>
      </c>
      <c r="J77" s="14">
        <f>'[1]2026 Orders'!H78</f>
        <v>5208</v>
      </c>
      <c r="K77" t="str">
        <f>'[1]2026 Orders'!I78</f>
        <v>IQ42-23.0</v>
      </c>
      <c r="L77">
        <f>'[1]2026 Orders'!J78</f>
        <v>5208</v>
      </c>
      <c r="N77" s="10" t="str">
        <f>'[1]2026 Orders'!L78</f>
        <v>ON HOLD</v>
      </c>
      <c r="O77">
        <f>'[1]2026 Orders'!M78</f>
        <v>0</v>
      </c>
      <c r="P77" t="str">
        <f>'[1]2026 Orders'!N78</f>
        <v>Y</v>
      </c>
      <c r="Q77">
        <f>'[1]2026 Orders'!O78</f>
        <v>604776737803</v>
      </c>
      <c r="R77">
        <f>'[1]2026 Orders'!P78</f>
        <v>58500</v>
      </c>
      <c r="S77">
        <f>'[1]2026 Orders'!Q78</f>
        <v>4909</v>
      </c>
      <c r="T77" t="str">
        <f>'[1]2026 Orders'!R78</f>
        <v>Complete</v>
      </c>
      <c r="U77">
        <f>'[1]2026 Orders'!S78</f>
        <v>0</v>
      </c>
      <c r="V77">
        <f>'[1]2026 Orders'!T78</f>
        <v>0</v>
      </c>
      <c r="W77">
        <f>'[1]2026 Orders'!U78</f>
        <v>0</v>
      </c>
      <c r="X77">
        <f>'[1]2026 Orders'!V78</f>
        <v>0</v>
      </c>
      <c r="Y77">
        <f>'[1]2026 Orders'!W78</f>
        <v>0</v>
      </c>
      <c r="Z77">
        <f>'[1]2026 Orders'!X78</f>
        <v>0</v>
      </c>
      <c r="AC77" t="str">
        <f t="shared" si="2"/>
        <v>/5208</v>
      </c>
      <c r="AD77" t="e">
        <f t="shared" si="3"/>
        <v>#VALUE!</v>
      </c>
    </row>
    <row r="78" spans="1:30" ht="33" hidden="1" customHeight="1" x14ac:dyDescent="0.3">
      <c r="A78">
        <f>'[1]2026 Orders'!A79</f>
        <v>45967</v>
      </c>
      <c r="B78" s="14" t="str">
        <f>'[1]2026 Orders'!B79</f>
        <v>Iraq</v>
      </c>
      <c r="C78" s="14" t="str">
        <f>'[1]2026 Orders'!C79</f>
        <v>A4567</v>
      </c>
      <c r="D78" s="14" t="str">
        <f>'[1]2026 Orders'!D79</f>
        <v>49041225
Mfg:12/2025
Exp:12/2028                                        2/16/2026: Qty increased 10000 -&gt; 10008                      4/28/2026: 7200 moved to Iraq A4698</v>
      </c>
      <c r="E78" s="17" t="e" cm="1">
        <f t="array" ref="E78">IF(C78=0,"",
HYPERLINK(
"#'2026 Orders'!C"&amp;
MATCH(1,
('2026 Orders'!C:C=C78)*
('2026 Orders'!G:G=G78)*
('2026 Orders'!N:N=N78),
0),
"Open "&amp;C78
))</f>
        <v>#N/A</v>
      </c>
      <c r="F78" s="14" t="str">
        <f>'[1]2026 Orders'!F79</f>
        <v>NutraStar</v>
      </c>
      <c r="G78" s="14" t="str">
        <f>'[1]2026 Orders'!G79</f>
        <v>FIBRO-60-CS-IQ</v>
      </c>
      <c r="H78" s="14" t="str" cm="1">
        <f t="array" ref="H78">IFERROR(_xlfn.TEXTJOIN("-",,INDEX(_xlfn.TEXTSPLIT(TableGive[[#This Row],[SKU]],"-"),{1,2})),"")</f>
        <v>FIBRO-60</v>
      </c>
      <c r="I78" s="15" t="str">
        <f>IFERROR(_xlfn.TEXTAFTER(TableGive[[#This Row],[SKU]],"-",-1),"")</f>
        <v>IQ</v>
      </c>
      <c r="J78" s="14">
        <f>'[1]2026 Orders'!H79</f>
        <v>2808</v>
      </c>
      <c r="K78" t="str">
        <f>'[1]2026 Orders'!I79</f>
        <v>IQ17-23.0</v>
      </c>
      <c r="L78">
        <f>'[1]2026 Orders'!J79</f>
        <v>2808</v>
      </c>
      <c r="N78" s="10" t="str">
        <f>'[1]2026 Orders'!L79</f>
        <v>ON HOLD</v>
      </c>
      <c r="O78">
        <f>'[1]2026 Orders'!M79</f>
        <v>0</v>
      </c>
      <c r="P78" t="str">
        <f>'[1]2026 Orders'!N79</f>
        <v>NA</v>
      </c>
      <c r="Q78">
        <f>'[1]2026 Orders'!O79</f>
        <v>604776737650</v>
      </c>
      <c r="R78">
        <f>'[1]2026 Orders'!P79</f>
        <v>13000</v>
      </c>
      <c r="S78">
        <f>'[1]2026 Orders'!Q79</f>
        <v>4904</v>
      </c>
      <c r="T78" t="str">
        <f>'[1]2026 Orders'!R79</f>
        <v>complete</v>
      </c>
      <c r="U78">
        <f>'[1]2026 Orders'!S79</f>
        <v>0</v>
      </c>
      <c r="V78">
        <f>'[1]2026 Orders'!T79</f>
        <v>0</v>
      </c>
      <c r="W78">
        <f>'[1]2026 Orders'!U79</f>
        <v>0</v>
      </c>
      <c r="X78">
        <f>'[1]2026 Orders'!V79</f>
        <v>0</v>
      </c>
      <c r="Y78">
        <f>'[1]2026 Orders'!W79</f>
        <v>0</v>
      </c>
      <c r="Z78">
        <f>'[1]2026 Orders'!X79</f>
        <v>0</v>
      </c>
      <c r="AC78" t="str">
        <f t="shared" si="2"/>
        <v>/2808</v>
      </c>
      <c r="AD78" t="e">
        <f t="shared" si="3"/>
        <v>#VALUE!</v>
      </c>
    </row>
    <row r="79" spans="1:30" ht="33" hidden="1" customHeight="1" x14ac:dyDescent="0.3">
      <c r="A79">
        <f>'[1]2026 Orders'!A80</f>
        <v>45967</v>
      </c>
      <c r="B79" s="14" t="str">
        <f>'[1]2026 Orders'!B80</f>
        <v>Iraq</v>
      </c>
      <c r="C79" s="14" t="str">
        <f>'[1]2026 Orders'!C80</f>
        <v>A4631</v>
      </c>
      <c r="D79" s="14" t="str">
        <f>'[1]2026 Orders'!D80</f>
        <v>49160126
Mfg: 01/2026
Exp:01/2028</v>
      </c>
      <c r="E79" s="17" t="str" cm="1">
        <f t="array" ref="E79">IF(C79=0,"",
HYPERLINK(
"#'2026 Orders'!C"&amp;
MATCH(1,
('2026 Orders'!C:C=C79)*
('2026 Orders'!G:G=G79)*
('2026 Orders'!N:N=N79),
0),
"Open "&amp;C79
))</f>
        <v>Open A4631</v>
      </c>
      <c r="F79" s="14" t="str">
        <f>'[1]2026 Orders'!F80</f>
        <v>Vitane                                    6/8/2026: Product is at Warehouse.</v>
      </c>
      <c r="G79" s="14" t="str">
        <f>'[1]2026 Orders'!G80</f>
        <v>COQ100-125-FD</v>
      </c>
      <c r="H79" s="14" t="str" cm="1">
        <f t="array" ref="H79">IFERROR(_xlfn.TEXTJOIN("-",,INDEX(_xlfn.TEXTSPLIT(TableGive[[#This Row],[SKU]],"-"),{1,2})),"")</f>
        <v>COQ100-125</v>
      </c>
      <c r="I79" s="15" t="str">
        <f>IFERROR(_xlfn.TEXTAFTER(TableGive[[#This Row],[SKU]],"-",-1),"")</f>
        <v>FD</v>
      </c>
      <c r="J79" s="14">
        <f>'[1]2026 Orders'!H80</f>
        <v>7968</v>
      </c>
      <c r="K79" t="str">
        <f>'[1]2026 Orders'!I80</f>
        <v>F12-24.0</v>
      </c>
      <c r="L79">
        <f>'[1]2026 Orders'!J80</f>
        <v>7968</v>
      </c>
      <c r="N79" s="10" t="str">
        <f>'[1]2026 Orders'!L80</f>
        <v>ON HOLD</v>
      </c>
      <c r="O79" t="str">
        <f>'[1]2026 Orders'!M80</f>
        <v>Available</v>
      </c>
      <c r="P79" t="str">
        <f>'[1]2026 Orders'!N80</f>
        <v>Y</v>
      </c>
      <c r="Q79" t="str">
        <f>'[1]2026 Orders'!O80</f>
        <v xml:space="preserve">810131199258
</v>
      </c>
      <c r="R79">
        <f>'[1]2026 Orders'!P80</f>
        <v>8000</v>
      </c>
      <c r="S79">
        <f>'[1]2026 Orders'!Q80</f>
        <v>4916</v>
      </c>
      <c r="T79" t="str">
        <f>'[1]2026 Orders'!R80</f>
        <v>Complete</v>
      </c>
      <c r="U79">
        <f>'[1]2026 Orders'!S80</f>
        <v>0</v>
      </c>
      <c r="V79">
        <f>'[1]2026 Orders'!T80</f>
        <v>0</v>
      </c>
      <c r="W79">
        <f>'[1]2026 Orders'!U80</f>
        <v>0</v>
      </c>
      <c r="X79">
        <f>'[1]2026 Orders'!V80</f>
        <v>0</v>
      </c>
      <c r="Y79">
        <f>'[1]2026 Orders'!W80</f>
        <v>0</v>
      </c>
      <c r="Z79" t="str">
        <f>'[1]2026 Orders'!X80</f>
        <v>HOLD</v>
      </c>
      <c r="AC79" t="str">
        <f t="shared" si="2"/>
        <v>/7968</v>
      </c>
      <c r="AD79" t="e">
        <f t="shared" si="3"/>
        <v>#VALUE!</v>
      </c>
    </row>
    <row r="80" spans="1:30" ht="33" hidden="1" customHeight="1" x14ac:dyDescent="0.3">
      <c r="A80">
        <f>'[1]2026 Orders'!A81</f>
        <v>45967</v>
      </c>
      <c r="B80" s="14" t="str">
        <f>'[1]2026 Orders'!B81</f>
        <v>Iraq</v>
      </c>
      <c r="C80" s="14" t="str">
        <f>'[1]2026 Orders'!C81</f>
        <v>A4631</v>
      </c>
      <c r="D80" s="14" t="str">
        <f>'[1]2026 Orders'!D81</f>
        <v>47201025
Mfg: 10/2025
Exp:10/2027</v>
      </c>
      <c r="E80" s="17" t="str" cm="1">
        <f t="array" ref="E80">IF(C80=0,"",
HYPERLINK(
"#'2026 Orders'!C"&amp;
MATCH(1,
('2026 Orders'!C:C=C80)*
('2026 Orders'!G:G=G80)*
('2026 Orders'!N:N=N80),
0),
"Open "&amp;C80
))</f>
        <v>Open A4631</v>
      </c>
      <c r="F80" s="14" t="str">
        <f>'[1]2026 Orders'!F81</f>
        <v>Vitane  1/29/2026: Total CoQ qty increased 8000 -&gt; 9297                     6/8/2026: Product is at Warehouse.</v>
      </c>
      <c r="G80" s="14" t="str">
        <f>'[1]2026 Orders'!G81</f>
        <v>COQ100-125-FD</v>
      </c>
      <c r="H80" s="14" t="str" cm="1">
        <f t="array" ref="H80">IFERROR(_xlfn.TEXTJOIN("-",,INDEX(_xlfn.TEXTSPLIT(TableGive[[#This Row],[SKU]],"-"),{1,2})),"")</f>
        <v>COQ100-125</v>
      </c>
      <c r="I80" s="15" t="str">
        <f>IFERROR(_xlfn.TEXTAFTER(TableGive[[#This Row],[SKU]],"-",-1),"")</f>
        <v>FD</v>
      </c>
      <c r="J80" s="14">
        <f>'[1]2026 Orders'!H81</f>
        <v>1329</v>
      </c>
      <c r="K80">
        <f>'[1]2026 Orders'!I81</f>
        <v>0</v>
      </c>
      <c r="L80">
        <f>'[1]2026 Orders'!J81</f>
        <v>1329</v>
      </c>
      <c r="N80" s="10" t="str">
        <f>'[1]2026 Orders'!L81</f>
        <v>ON HOLD</v>
      </c>
      <c r="O80" t="str">
        <f>'[1]2026 Orders'!M81</f>
        <v>Available</v>
      </c>
      <c r="P80" t="str">
        <f>'[1]2026 Orders'!N81</f>
        <v>Y</v>
      </c>
      <c r="Q80" t="str">
        <f>'[1]2026 Orders'!O81</f>
        <v xml:space="preserve">810131199258
</v>
      </c>
      <c r="R80">
        <f>'[1]2026 Orders'!P81</f>
        <v>1329</v>
      </c>
      <c r="S80">
        <f>'[1]2026 Orders'!Q81</f>
        <v>4720</v>
      </c>
      <c r="T80" t="str">
        <f>'[1]2026 Orders'!R81</f>
        <v>Complete</v>
      </c>
      <c r="U80">
        <f>'[1]2026 Orders'!S81</f>
        <v>0</v>
      </c>
      <c r="V80">
        <f>'[1]2026 Orders'!T81</f>
        <v>0</v>
      </c>
      <c r="W80">
        <f>'[1]2026 Orders'!U81</f>
        <v>0</v>
      </c>
      <c r="X80">
        <f>'[1]2026 Orders'!V81</f>
        <v>0</v>
      </c>
      <c r="Y80">
        <f>'[1]2026 Orders'!W81</f>
        <v>0</v>
      </c>
      <c r="Z80">
        <f>'[1]2026 Orders'!X81</f>
        <v>0</v>
      </c>
      <c r="AC80" t="str">
        <f t="shared" si="2"/>
        <v>/1329</v>
      </c>
      <c r="AD80" t="e">
        <f t="shared" si="3"/>
        <v>#VALUE!</v>
      </c>
    </row>
    <row r="81" spans="1:30" ht="33" hidden="1" customHeight="1" x14ac:dyDescent="0.3">
      <c r="A81">
        <f>'[1]2026 Orders'!A82</f>
        <v>45967</v>
      </c>
      <c r="B81" s="14" t="str">
        <f>'[1]2026 Orders'!B82</f>
        <v>Iraq</v>
      </c>
      <c r="C81" s="14" t="str">
        <f>'[1]2026 Orders'!C82</f>
        <v>A4631</v>
      </c>
      <c r="D81" s="14" t="str">
        <f>'[1]2026 Orders'!D82</f>
        <v>49280126
Mfg:01/2026
Exp:01/2028</v>
      </c>
      <c r="E81" s="17" t="str" cm="1">
        <f t="array" ref="E81">IF(C81=0,"",
HYPERLINK(
"#'2026 Orders'!C"&amp;
MATCH(1,
('2026 Orders'!C:C=C81)*
('2026 Orders'!G:G=G81)*
('2026 Orders'!N:N=N81),
0),
"Open "&amp;C81
))</f>
        <v>Open A4631</v>
      </c>
      <c r="F81" s="14" t="str">
        <f>'[1]2026 Orders'!F82</f>
        <v>Vitane  
11/17/2025: Quantity increased to meet MOQ 
1/29/2026: Total Memo Up Qty increased 5250 -&gt; 5649                          6/8/2026: Product is at Warehouse.</v>
      </c>
      <c r="G81" s="14" t="str">
        <f>'[1]2026 Orders'!G82</f>
        <v>MEMOUP-60-FD</v>
      </c>
      <c r="H81" s="14" t="str" cm="1">
        <f t="array" ref="H81">IFERROR(_xlfn.TEXTJOIN("-",,INDEX(_xlfn.TEXTSPLIT(TableGive[[#This Row],[SKU]],"-"),{1,2})),"")</f>
        <v>MEMOUP-60</v>
      </c>
      <c r="I81" s="15" t="str">
        <f>IFERROR(_xlfn.TEXTAFTER(TableGive[[#This Row],[SKU]],"-",-1),"")</f>
        <v>FD</v>
      </c>
      <c r="J81" s="14">
        <f>'[1]2026 Orders'!H82</f>
        <v>4507</v>
      </c>
      <c r="K81" t="str">
        <f>'[1]2026 Orders'!I82</f>
        <v>F27-24.0</v>
      </c>
      <c r="L81">
        <f>'[1]2026 Orders'!J82</f>
        <v>4507</v>
      </c>
      <c r="N81" s="10" t="str">
        <f>'[1]2026 Orders'!L82</f>
        <v>ON HOLD</v>
      </c>
      <c r="O81" t="str">
        <f>'[1]2026 Orders'!M82</f>
        <v>Available</v>
      </c>
      <c r="P81" t="str">
        <f>'[1]2026 Orders'!N82</f>
        <v>Y</v>
      </c>
      <c r="Q81" t="str">
        <f>'[1]2026 Orders'!O82</f>
        <v>810131199449</v>
      </c>
      <c r="R81">
        <f>'[1]2026 Orders'!P82</f>
        <v>5250</v>
      </c>
      <c r="S81">
        <f>'[1]2026 Orders'!Q82</f>
        <v>4928</v>
      </c>
      <c r="T81" t="str">
        <f>'[1]2026 Orders'!R82</f>
        <v>Complete</v>
      </c>
      <c r="U81">
        <f>'[1]2026 Orders'!S82</f>
        <v>0</v>
      </c>
      <c r="V81">
        <f>'[1]2026 Orders'!T82</f>
        <v>0</v>
      </c>
      <c r="W81">
        <f>'[1]2026 Orders'!U82</f>
        <v>0</v>
      </c>
      <c r="X81">
        <f>'[1]2026 Orders'!V82</f>
        <v>0</v>
      </c>
      <c r="Y81">
        <f>'[1]2026 Orders'!W82</f>
        <v>0</v>
      </c>
      <c r="Z81">
        <f>'[1]2026 Orders'!X82</f>
        <v>0</v>
      </c>
      <c r="AC81" t="str">
        <f t="shared" si="2"/>
        <v>/4507</v>
      </c>
      <c r="AD81" t="e">
        <f t="shared" si="3"/>
        <v>#VALUE!</v>
      </c>
    </row>
    <row r="82" spans="1:30" ht="33" hidden="1" customHeight="1" x14ac:dyDescent="0.3">
      <c r="A82">
        <f>'[1]2026 Orders'!A83</f>
        <v>45967</v>
      </c>
      <c r="B82" s="14" t="str">
        <f>'[1]2026 Orders'!B83</f>
        <v>Iraq</v>
      </c>
      <c r="C82" s="14" t="str">
        <f>'[1]2026 Orders'!C83</f>
        <v>A4631</v>
      </c>
      <c r="D82" s="14" t="str">
        <f>'[1]2026 Orders'!D83</f>
        <v>47211025
Mfg:10/2025
Exp:10/2027</v>
      </c>
      <c r="E82" s="17" t="str" cm="1">
        <f t="array" ref="E82">IF(C82=0,"",
HYPERLINK(
"#'2026 Orders'!C"&amp;
MATCH(1,
('2026 Orders'!C:C=C82)*
('2026 Orders'!G:G=G82)*
('2026 Orders'!N:N=N82),
0),
"Open "&amp;C82
))</f>
        <v>Open A4631</v>
      </c>
      <c r="F82" s="14" t="str">
        <f>'[1]2026 Orders'!F83</f>
        <v>Vitane                                      6/8/2026: Product is at Warehouse.</v>
      </c>
      <c r="G82" s="14" t="str">
        <f>'[1]2026 Orders'!G83</f>
        <v>MEMOUP-60-FD</v>
      </c>
      <c r="H82" s="14" t="str" cm="1">
        <f t="array" ref="H82">IFERROR(_xlfn.TEXTJOIN("-",,INDEX(_xlfn.TEXTSPLIT(TableGive[[#This Row],[SKU]],"-"),{1,2})),"")</f>
        <v>MEMOUP-60</v>
      </c>
      <c r="I82" s="15" t="str">
        <f>IFERROR(_xlfn.TEXTAFTER(TableGive[[#This Row],[SKU]],"-",-1),"")</f>
        <v>FD</v>
      </c>
      <c r="J82" s="14">
        <f>'[1]2026 Orders'!H83</f>
        <v>1142</v>
      </c>
      <c r="K82" t="str">
        <f>'[1]2026 Orders'!I83</f>
        <v>F27-24.0</v>
      </c>
      <c r="L82">
        <f>'[1]2026 Orders'!J83</f>
        <v>1142</v>
      </c>
      <c r="N82" s="10" t="str">
        <f>'[1]2026 Orders'!L83</f>
        <v>ON HOLD</v>
      </c>
      <c r="O82" t="str">
        <f>'[1]2026 Orders'!M83</f>
        <v>Available</v>
      </c>
      <c r="P82" t="str">
        <f>'[1]2026 Orders'!N83</f>
        <v>Y</v>
      </c>
      <c r="Q82" t="str">
        <f>'[1]2026 Orders'!O83</f>
        <v>810131199449</v>
      </c>
      <c r="R82">
        <f>'[1]2026 Orders'!P83</f>
        <v>0</v>
      </c>
      <c r="S82">
        <f>'[1]2026 Orders'!Q83</f>
        <v>4721</v>
      </c>
      <c r="T82" t="str">
        <f>'[1]2026 Orders'!R83</f>
        <v>Complete</v>
      </c>
      <c r="U82">
        <f>'[1]2026 Orders'!S83</f>
        <v>0</v>
      </c>
      <c r="V82">
        <f>'[1]2026 Orders'!T83</f>
        <v>0</v>
      </c>
      <c r="W82">
        <f>'[1]2026 Orders'!U83</f>
        <v>0</v>
      </c>
      <c r="X82">
        <f>'[1]2026 Orders'!V83</f>
        <v>0</v>
      </c>
      <c r="Y82">
        <f>'[1]2026 Orders'!W83</f>
        <v>0</v>
      </c>
      <c r="Z82">
        <f>'[1]2026 Orders'!X83</f>
        <v>0</v>
      </c>
      <c r="AC82" t="str">
        <f t="shared" si="2"/>
        <v>/1142</v>
      </c>
      <c r="AD82" t="e">
        <f t="shared" si="3"/>
        <v>#VALUE!</v>
      </c>
    </row>
    <row r="83" spans="1:30" ht="33" hidden="1" customHeight="1" x14ac:dyDescent="0.3">
      <c r="A83">
        <f>'[1]2026 Orders'!A84</f>
        <v>45967</v>
      </c>
      <c r="B83" s="14" t="str">
        <f>'[1]2026 Orders'!B84</f>
        <v>Iraq</v>
      </c>
      <c r="C83" s="14" t="str">
        <f>'[1]2026 Orders'!C84</f>
        <v>A4631</v>
      </c>
      <c r="D83" s="14" t="str">
        <f>'[1]2026 Orders'!D84</f>
        <v>49440126
Mfg:01/2026
Exp:01/2027</v>
      </c>
      <c r="E83" s="17" t="str" cm="1">
        <f t="array" ref="E83">IF(C83=0,"",
HYPERLINK(
"#'2026 Orders'!C"&amp;
MATCH(1,
('2026 Orders'!C:C=C83)*
('2026 Orders'!G:G=G83)*
('2026 Orders'!N:N=N83),
0),
"Open "&amp;C83
))</f>
        <v>Open A4631</v>
      </c>
      <c r="F83" s="14" t="str">
        <f>'[1]2026 Orders'!F84</f>
        <v>Iceland                                           6/8/2026: Product complete but pending accounting action.</v>
      </c>
      <c r="G83" s="14" t="str">
        <f>'[1]2026 Orders'!G84</f>
        <v>QWELL2-60-SG-CS-IQ</v>
      </c>
      <c r="H83" s="14" t="str" cm="1">
        <f t="array" ref="H83">IFERROR(_xlfn.TEXTJOIN("-",,INDEX(_xlfn.TEXTSPLIT(TableGive[[#This Row],[SKU]],"-"),{1,2})),"")</f>
        <v>QWELL2-60</v>
      </c>
      <c r="I83" s="15" t="str">
        <f>IFERROR(_xlfn.TEXTAFTER(TableGive[[#This Row],[SKU]],"-",-1),"")</f>
        <v>IQ</v>
      </c>
      <c r="J83" s="14">
        <f>'[1]2026 Orders'!H84</f>
        <v>6250</v>
      </c>
      <c r="K83" t="str">
        <f>'[1]2026 Orders'!I84</f>
        <v>IQ57-25.2</v>
      </c>
      <c r="L83">
        <f>'[1]2026 Orders'!J84</f>
        <v>0</v>
      </c>
      <c r="N83" s="10" t="str">
        <f>'[1]2026 Orders'!L84</f>
        <v>ON HOLD</v>
      </c>
      <c r="O83">
        <f>'[1]2026 Orders'!M84</f>
        <v>0</v>
      </c>
      <c r="P83" t="str">
        <f>'[1]2026 Orders'!N84</f>
        <v>NA</v>
      </c>
      <c r="Q83" t="str">
        <f>'[1]2026 Orders'!O84</f>
        <v>604776737971</v>
      </c>
      <c r="R83">
        <f>'[1]2026 Orders'!P84</f>
        <v>7000</v>
      </c>
      <c r="S83">
        <f>'[1]2026 Orders'!Q84</f>
        <v>4944</v>
      </c>
      <c r="T83" t="str">
        <f>'[1]2026 Orders'!R84</f>
        <v>Complete</v>
      </c>
      <c r="U83" t="str">
        <f>'[1]2026 Orders'!S84</f>
        <v>BULk PO A4922, Sample receIved, Waiting for PL, waiting for product release</v>
      </c>
      <c r="V83">
        <f>'[1]2026 Orders'!T84</f>
        <v>0</v>
      </c>
      <c r="W83">
        <f>'[1]2026 Orders'!U84</f>
        <v>0</v>
      </c>
      <c r="X83">
        <f>'[1]2026 Orders'!V84</f>
        <v>0</v>
      </c>
      <c r="Y83">
        <f>'[1]2026 Orders'!W84</f>
        <v>0</v>
      </c>
      <c r="Z83">
        <f>'[1]2026 Orders'!X84</f>
        <v>0</v>
      </c>
      <c r="AC83" t="str">
        <f t="shared" si="2"/>
        <v>/6250</v>
      </c>
      <c r="AD83" t="e">
        <f t="shared" si="3"/>
        <v>#VALUE!</v>
      </c>
    </row>
    <row r="84" spans="1:30" ht="33" hidden="1" customHeight="1" x14ac:dyDescent="0.3">
      <c r="A84">
        <f>'[1]2026 Orders'!A85</f>
        <v>45967</v>
      </c>
      <c r="B84" s="14" t="str">
        <f>'[1]2026 Orders'!B85</f>
        <v>Iraq</v>
      </c>
      <c r="C84" s="14" t="str">
        <f>'[1]2026 Orders'!C85</f>
        <v>A4631</v>
      </c>
      <c r="D84" s="14" t="str">
        <f>'[1]2026 Orders'!D85</f>
        <v>49450126
Mfg:01/2026
Exp:01/2029</v>
      </c>
      <c r="E84" s="17" t="str" cm="1">
        <f t="array" ref="E84">IF(C84=0,"",
HYPERLINK(
"#'2026 Orders'!C"&amp;
MATCH(1,
('2026 Orders'!C:C=C84)*
('2026 Orders'!G:G=G84)*
('2026 Orders'!N:N=N84),
0),
"Open "&amp;C84
))</f>
        <v>Open A4631</v>
      </c>
      <c r="F84" s="14" t="str">
        <f>'[1]2026 Orders'!F85</f>
        <v>Iceland                                           6/8/2026: Product complete but pending accounting action.</v>
      </c>
      <c r="G84" s="14" t="str">
        <f>'[1]2026 Orders'!G85</f>
        <v>QWELL4-30-SG-CS-IQ</v>
      </c>
      <c r="H84" s="14" t="str" cm="1">
        <f t="array" ref="H84">IFERROR(_xlfn.TEXTJOIN("-",,INDEX(_xlfn.TEXTSPLIT(TableGive[[#This Row],[SKU]],"-"),{1,2})),"")</f>
        <v>QWELL4-30</v>
      </c>
      <c r="I84" s="15" t="str">
        <f>IFERROR(_xlfn.TEXTAFTER(TableGive[[#This Row],[SKU]],"-",-1),"")</f>
        <v>IQ</v>
      </c>
      <c r="J84" s="14">
        <f>'[1]2026 Orders'!H85</f>
        <v>12250</v>
      </c>
      <c r="K84" t="str">
        <f>'[1]2026 Orders'!I85</f>
        <v>IQ58-24.0</v>
      </c>
      <c r="L84">
        <f>'[1]2026 Orders'!J85</f>
        <v>0</v>
      </c>
      <c r="N84" s="10" t="str">
        <f>'[1]2026 Orders'!L85</f>
        <v>ON HOLD</v>
      </c>
      <c r="O84">
        <f>'[1]2026 Orders'!M85</f>
        <v>0</v>
      </c>
      <c r="P84" t="str">
        <f>'[1]2026 Orders'!N85</f>
        <v>NA</v>
      </c>
      <c r="Q84">
        <f>'[1]2026 Orders'!O85</f>
        <v>604776737988</v>
      </c>
      <c r="R84">
        <f>'[1]2026 Orders'!P85</f>
        <v>15000</v>
      </c>
      <c r="S84">
        <f>'[1]2026 Orders'!Q85</f>
        <v>4945</v>
      </c>
      <c r="T84" t="str">
        <f>'[1]2026 Orders'!R85</f>
        <v>Complete</v>
      </c>
      <c r="U84" t="str">
        <f>'[1]2026 Orders'!S85</f>
        <v>Waiting for Sample, waiting for product release</v>
      </c>
      <c r="V84">
        <f>'[1]2026 Orders'!T85</f>
        <v>0</v>
      </c>
      <c r="W84">
        <f>'[1]2026 Orders'!U85</f>
        <v>0</v>
      </c>
      <c r="X84">
        <f>'[1]2026 Orders'!V85</f>
        <v>0</v>
      </c>
      <c r="Y84">
        <f>'[1]2026 Orders'!W85</f>
        <v>0</v>
      </c>
      <c r="Z84">
        <f>'[1]2026 Orders'!X85</f>
        <v>0</v>
      </c>
      <c r="AC84" t="str">
        <f t="shared" si="2"/>
        <v>/12250</v>
      </c>
      <c r="AD84" t="e">
        <f t="shared" si="3"/>
        <v>#VALUE!</v>
      </c>
    </row>
    <row r="85" spans="1:30" ht="33" hidden="1" customHeight="1" x14ac:dyDescent="0.3">
      <c r="A85">
        <f>'[1]2026 Orders'!A86</f>
        <v>45967</v>
      </c>
      <c r="B85" s="14" t="str">
        <f>'[1]2026 Orders'!B86</f>
        <v>Iraq</v>
      </c>
      <c r="C85" s="14" t="str">
        <f>'[1]2026 Orders'!C86</f>
        <v>A4631</v>
      </c>
      <c r="D85" s="14" t="str">
        <f>'[1]2026 Orders'!D86</f>
        <v>49620925
Mfg:09/2025
Exp:09/2028                                  2/19/2026: Qty decreased to 4872 per packing slip</v>
      </c>
      <c r="E85" s="17" t="str" cm="1">
        <f t="array" ref="E85">IF(C85=0,"",
HYPERLINK(
"#'2026 Orders'!C"&amp;
MATCH(1,
('2026 Orders'!C:C=C85)*
('2026 Orders'!G:G=G85)*
('2026 Orders'!N:N=N85),
0),
"Open "&amp;C85
))</f>
        <v>Open A4631</v>
      </c>
      <c r="F85" s="14" t="str">
        <f>'[1]2026 Orders'!F86</f>
        <v>Genova                                  6/8/2026: Product complete.</v>
      </c>
      <c r="G85" s="14" t="str">
        <f>'[1]2026 Orders'!G86</f>
        <v>XTRAD50-12-SG-FD</v>
      </c>
      <c r="H85" s="14" t="str" cm="1">
        <f t="array" ref="H85">IFERROR(_xlfn.TEXTJOIN("-",,INDEX(_xlfn.TEXTSPLIT(TableGive[[#This Row],[SKU]],"-"),{1,2})),"")</f>
        <v>XTRAD50-12</v>
      </c>
      <c r="I85" s="15" t="str">
        <f>IFERROR(_xlfn.TEXTAFTER(TableGive[[#This Row],[SKU]],"-",-1),"")</f>
        <v>FD</v>
      </c>
      <c r="J85" s="14">
        <f>'[1]2026 Orders'!H86</f>
        <v>4872</v>
      </c>
      <c r="K85" t="str">
        <f>'[1]2026 Orders'!I86</f>
        <v>F95-25.0</v>
      </c>
      <c r="L85">
        <f>'[1]2026 Orders'!J86</f>
        <v>4872</v>
      </c>
      <c r="N85" s="10" t="str">
        <f>'[1]2026 Orders'!L86</f>
        <v>ON HOLD</v>
      </c>
      <c r="O85">
        <f>'[1]2026 Orders'!M86</f>
        <v>0</v>
      </c>
      <c r="P85" t="str">
        <f>'[1]2026 Orders'!N86</f>
        <v>NA</v>
      </c>
      <c r="Q85" t="str">
        <f>'[1]2026 Orders'!O86</f>
        <v>801131193058</v>
      </c>
      <c r="R85">
        <f>'[1]2026 Orders'!P86</f>
        <v>5000</v>
      </c>
      <c r="S85">
        <f>'[1]2026 Orders'!Q86</f>
        <v>4976</v>
      </c>
      <c r="T85" t="str">
        <f>'[1]2026 Orders'!R86</f>
        <v>Complete</v>
      </c>
      <c r="U85">
        <f>'[1]2026 Orders'!S86</f>
        <v>0</v>
      </c>
      <c r="V85">
        <f>'[1]2026 Orders'!T86</f>
        <v>0</v>
      </c>
      <c r="W85">
        <f>'[1]2026 Orders'!U86</f>
        <v>0</v>
      </c>
      <c r="X85">
        <f>'[1]2026 Orders'!V86</f>
        <v>0</v>
      </c>
      <c r="Y85">
        <f>'[1]2026 Orders'!W86</f>
        <v>0</v>
      </c>
      <c r="Z85">
        <f>'[1]2026 Orders'!X86</f>
        <v>0</v>
      </c>
      <c r="AC85" t="str">
        <f t="shared" si="2"/>
        <v>/4872</v>
      </c>
      <c r="AD85" t="e">
        <f t="shared" si="3"/>
        <v>#VALUE!</v>
      </c>
    </row>
    <row r="86" spans="1:30" ht="33" hidden="1" customHeight="1" x14ac:dyDescent="0.3">
      <c r="A86">
        <f>'[1]2026 Orders'!A87</f>
        <v>45967</v>
      </c>
      <c r="B86" s="14" t="str">
        <f>'[1]2026 Orders'!B87</f>
        <v>Iraq</v>
      </c>
      <c r="C86" s="14" t="str">
        <f>'[1]2026 Orders'!C87</f>
        <v>A4631</v>
      </c>
      <c r="D86" s="14" t="str">
        <f>'[1]2026 Orders'!D87</f>
        <v>49460126
Mfg:01/2026
Exp:01/2029                                      2/19/2026: Qty decreased to 4500 per packing slip</v>
      </c>
      <c r="E86" s="17" t="str" cm="1">
        <f t="array" ref="E86">IF(C86=0,"",
HYPERLINK(
"#'2026 Orders'!C"&amp;
MATCH(1,
('2026 Orders'!C:C=C86)*
('2026 Orders'!G:G=G86)*
('2026 Orders'!N:N=N86),
0),
"Open "&amp;C86
))</f>
        <v>Open A4631</v>
      </c>
      <c r="F86" s="14" t="str">
        <f>'[1]2026 Orders'!F87</f>
        <v>Iceland                                           6/8/2026: Product complete but pending accounting action.</v>
      </c>
      <c r="G86" s="14" t="str">
        <f>'[1]2026 Orders'!G87</f>
        <v>XTRAD5-60-FD</v>
      </c>
      <c r="H86" s="14" t="str" cm="1">
        <f t="array" ref="H86">IFERROR(_xlfn.TEXTJOIN("-",,INDEX(_xlfn.TEXTSPLIT(TableGive[[#This Row],[SKU]],"-"),{1,2})),"")</f>
        <v>XTRAD5-60</v>
      </c>
      <c r="I86" s="15" t="str">
        <f>IFERROR(_xlfn.TEXTAFTER(TableGive[[#This Row],[SKU]],"-",-1),"")</f>
        <v>FD</v>
      </c>
      <c r="J86" s="14">
        <f>'[1]2026 Orders'!H87</f>
        <v>4500</v>
      </c>
      <c r="K86" t="str">
        <f>'[1]2026 Orders'!I87</f>
        <v>F80-25.0</v>
      </c>
      <c r="L86">
        <f>'[1]2026 Orders'!J87</f>
        <v>0</v>
      </c>
      <c r="N86" s="10" t="str">
        <f>'[1]2026 Orders'!L87</f>
        <v>ON HOLD</v>
      </c>
      <c r="O86">
        <f>'[1]2026 Orders'!M87</f>
        <v>0</v>
      </c>
      <c r="P86" t="str">
        <f>'[1]2026 Orders'!N87</f>
        <v>NA</v>
      </c>
      <c r="Q86" t="str">
        <f>'[1]2026 Orders'!O87</f>
        <v>609788968030</v>
      </c>
      <c r="R86">
        <f>'[1]2026 Orders'!P87</f>
        <v>5000</v>
      </c>
      <c r="S86">
        <f>'[1]2026 Orders'!Q87</f>
        <v>4946</v>
      </c>
      <c r="T86" t="str">
        <f>'[1]2026 Orders'!R87</f>
        <v>Complete</v>
      </c>
      <c r="U86" t="str">
        <f>'[1]2026 Orders'!S87</f>
        <v>Waiting for product release</v>
      </c>
      <c r="V86">
        <f>'[1]2026 Orders'!T87</f>
        <v>0</v>
      </c>
      <c r="W86">
        <f>'[1]2026 Orders'!U87</f>
        <v>0</v>
      </c>
      <c r="X86">
        <f>'[1]2026 Orders'!V87</f>
        <v>0</v>
      </c>
      <c r="Y86">
        <f>'[1]2026 Orders'!W87</f>
        <v>0</v>
      </c>
      <c r="Z86">
        <f>'[1]2026 Orders'!X87</f>
        <v>0</v>
      </c>
      <c r="AC86" t="str">
        <f t="shared" si="2"/>
        <v>/4500</v>
      </c>
      <c r="AD86" t="e">
        <f t="shared" si="3"/>
        <v>#VALUE!</v>
      </c>
    </row>
    <row r="87" spans="1:30" ht="33" hidden="1" customHeight="1" x14ac:dyDescent="0.3">
      <c r="A87">
        <f>'[1]2026 Orders'!A88</f>
        <v>45763</v>
      </c>
      <c r="B87" s="14" t="str">
        <f>'[1]2026 Orders'!B88</f>
        <v>Iraq</v>
      </c>
      <c r="C87" s="14" t="str">
        <f>'[1]2026 Orders'!C88</f>
        <v>A4633</v>
      </c>
      <c r="D87" s="14">
        <f>'[1]2026 Orders'!D88</f>
        <v>0</v>
      </c>
      <c r="E87" s="17" t="e" cm="1">
        <f t="array" ref="E87">IF(C87=0,"",
HYPERLINK(
"#'2026 Orders'!C"&amp;
MATCH(1,
('2026 Orders'!C:C=C87)*
('2026 Orders'!G:G=G87)*
('2026 Orders'!N:N=N87),
0),
"Open "&amp;C87
))</f>
        <v>#N/A</v>
      </c>
      <c r="F87" s="14" t="str">
        <f>'[1]2026 Orders'!F88</f>
        <v xml:space="preserve">  8/18/2025: 30,000 packs moved from A4475  9/30/2025: Moved from IraqA4442 1/22/2026: Moved from IraqA4541</v>
      </c>
      <c r="G87" s="14" t="str">
        <f>'[1]2026 Orders'!G88</f>
        <v>MOTILMX-60-CS-IQ</v>
      </c>
      <c r="H87" s="14" t="str" cm="1">
        <f t="array" ref="H87">IFERROR(_xlfn.TEXTJOIN("-",,INDEX(_xlfn.TEXTSPLIT(TableGive[[#This Row],[SKU]],"-"),{1,2})),"")</f>
        <v>MOTILMX-60</v>
      </c>
      <c r="I87" s="15" t="str">
        <f>IFERROR(_xlfn.TEXTAFTER(TableGive[[#This Row],[SKU]],"-",-1),"")</f>
        <v>IQ</v>
      </c>
      <c r="J87" s="14">
        <f>'[1]2026 Orders'!H88</f>
        <v>30000</v>
      </c>
      <c r="K87" t="str">
        <f>'[1]2026 Orders'!I88</f>
        <v>IQ31-23.0</v>
      </c>
      <c r="L87">
        <f>'[1]2026 Orders'!J88</f>
        <v>30000</v>
      </c>
      <c r="N87" s="10">
        <f>'[1]2026 Orders'!L88</f>
        <v>0</v>
      </c>
      <c r="O87">
        <f>'[1]2026 Orders'!M88</f>
        <v>0</v>
      </c>
      <c r="P87" t="str">
        <f>'[1]2026 Orders'!N88</f>
        <v>NA</v>
      </c>
      <c r="Q87">
        <f>'[1]2026 Orders'!O88</f>
        <v>604776737681</v>
      </c>
      <c r="R87">
        <f>'[1]2026 Orders'!P88</f>
        <v>30000</v>
      </c>
      <c r="S87">
        <f>'[1]2026 Orders'!Q88</f>
        <v>4711</v>
      </c>
      <c r="T87" t="str">
        <f>'[1]2026 Orders'!R88</f>
        <v>Complete</v>
      </c>
      <c r="U87">
        <f>'[1]2026 Orders'!S88</f>
        <v>0</v>
      </c>
      <c r="V87">
        <f>'[1]2026 Orders'!T88</f>
        <v>0</v>
      </c>
      <c r="W87">
        <f>'[1]2026 Orders'!U88</f>
        <v>0</v>
      </c>
      <c r="X87">
        <f>'[1]2026 Orders'!V88</f>
        <v>0</v>
      </c>
      <c r="Y87">
        <f>'[1]2026 Orders'!W88</f>
        <v>0</v>
      </c>
      <c r="Z87">
        <f>'[1]2026 Orders'!X88</f>
        <v>0</v>
      </c>
      <c r="AC87" t="str">
        <f t="shared" si="2"/>
        <v>/30000</v>
      </c>
      <c r="AD87" t="e">
        <f t="shared" si="3"/>
        <v>#VALUE!</v>
      </c>
    </row>
    <row r="88" spans="1:30" ht="33" hidden="1" customHeight="1" x14ac:dyDescent="0.3">
      <c r="A88">
        <f>'[1]2026 Orders'!A89</f>
        <v>45995</v>
      </c>
      <c r="B88" s="14" t="str">
        <f>'[1]2026 Orders'!B89</f>
        <v>Iraq</v>
      </c>
      <c r="C88" s="14" t="str">
        <f>'[1]2026 Orders'!C89</f>
        <v>A4596</v>
      </c>
      <c r="D88" s="14" t="str">
        <f>'[1]2026 Orders'!D89</f>
        <v>45230325
Mfg: 03/2025
Exp: 03/2028</v>
      </c>
      <c r="E88" s="17" t="str" cm="1">
        <f t="array" ref="E88">IF(C88=0,"",
HYPERLINK(
"#'2026 Orders'!C"&amp;
MATCH(1,
('2026 Orders'!C:C=C88)*
('2026 Orders'!G:G=G88)*
('2026 Orders'!N:N=N88),
0),
"Open "&amp;C88
))</f>
        <v>Open A4596</v>
      </c>
      <c r="F88" s="14">
        <f>'[1]2026 Orders'!F89</f>
        <v>0</v>
      </c>
      <c r="G88" s="14" t="str">
        <f>'[1]2026 Orders'!G89</f>
        <v>UTIC-60-FD</v>
      </c>
      <c r="H88" s="14" t="str" cm="1">
        <f t="array" ref="H88">IFERROR(_xlfn.TEXTJOIN("-",,INDEX(_xlfn.TEXTSPLIT(TableGive[[#This Row],[SKU]],"-"),{1,2})),"")</f>
        <v>UTIC-60</v>
      </c>
      <c r="I88" s="15" t="str">
        <f>IFERROR(_xlfn.TEXTAFTER(TableGive[[#This Row],[SKU]],"-",-1),"")</f>
        <v>FD</v>
      </c>
      <c r="J88" s="14">
        <f>'[1]2026 Orders'!H89</f>
        <v>720</v>
      </c>
      <c r="K88" t="str">
        <f>'[1]2026 Orders'!I89</f>
        <v>F110-25.0</v>
      </c>
      <c r="L88">
        <f>'[1]2026 Orders'!J89</f>
        <v>720</v>
      </c>
      <c r="N88" s="10" t="str">
        <f>'[1]2026 Orders'!L89</f>
        <v>ON HOLD</v>
      </c>
      <c r="O88">
        <f>'[1]2026 Orders'!M89</f>
        <v>46092</v>
      </c>
      <c r="P88" t="str">
        <f>'[1]2026 Orders'!N89</f>
        <v>NA</v>
      </c>
      <c r="Q88" t="str">
        <f>'[1]2026 Orders'!O89</f>
        <v>810131192983</v>
      </c>
      <c r="R88">
        <f>'[1]2026 Orders'!P89</f>
        <v>0</v>
      </c>
      <c r="S88">
        <f>'[1]2026 Orders'!Q89</f>
        <v>4523</v>
      </c>
      <c r="T88">
        <f>'[1]2026 Orders'!R89</f>
        <v>0</v>
      </c>
      <c r="U88">
        <f>'[1]2026 Orders'!S89</f>
        <v>0</v>
      </c>
      <c r="V88">
        <f>'[1]2026 Orders'!T89</f>
        <v>0</v>
      </c>
      <c r="W88">
        <f>'[1]2026 Orders'!U89</f>
        <v>0</v>
      </c>
      <c r="X88">
        <f>'[1]2026 Orders'!V89</f>
        <v>0</v>
      </c>
      <c r="Y88">
        <f>'[1]2026 Orders'!W89</f>
        <v>0</v>
      </c>
      <c r="Z88" t="str">
        <f>'[1]2026 Orders'!X89</f>
        <v>HOLD</v>
      </c>
      <c r="AC88" t="str">
        <f t="shared" si="2"/>
        <v>/720</v>
      </c>
      <c r="AD88" t="e">
        <f t="shared" si="3"/>
        <v>#VALUE!</v>
      </c>
    </row>
    <row r="89" spans="1:30" ht="33" hidden="1" customHeight="1" x14ac:dyDescent="0.3">
      <c r="A89">
        <f>'[1]2026 Orders'!A90</f>
        <v>45995</v>
      </c>
      <c r="B89" s="14" t="str">
        <f>'[1]2026 Orders'!B90</f>
        <v>Iraq</v>
      </c>
      <c r="C89" s="14" t="str">
        <f>'[1]2026 Orders'!C90</f>
        <v>A4596</v>
      </c>
      <c r="D89" s="14" t="str">
        <f>'[1]2026 Orders'!D90</f>
        <v>48611125
Mfg:11/2025
Exp:11/2028</v>
      </c>
      <c r="E89" s="17" t="str" cm="1">
        <f t="array" ref="E89">IF(C89=0,"",
HYPERLINK(
"#'2026 Orders'!C"&amp;
MATCH(1,
('2026 Orders'!C:C=C89)*
('2026 Orders'!G:G=G89)*
('2026 Orders'!N:N=N89),
0),
"Open "&amp;C89
))</f>
        <v>Open A4596</v>
      </c>
      <c r="F89" s="14">
        <f>'[1]2026 Orders'!F90</f>
        <v>0</v>
      </c>
      <c r="G89" s="14" t="str">
        <f>'[1]2026 Orders'!G90</f>
        <v>TESTRON-60-FD</v>
      </c>
      <c r="H89" s="14" t="str" cm="1">
        <f t="array" ref="H89">IFERROR(_xlfn.TEXTJOIN("-",,INDEX(_xlfn.TEXTSPLIT(TableGive[[#This Row],[SKU]],"-"),{1,2})),"")</f>
        <v>TESTRON-60</v>
      </c>
      <c r="I89" s="15" t="str">
        <f>IFERROR(_xlfn.TEXTAFTER(TableGive[[#This Row],[SKU]],"-",-1),"")</f>
        <v>FD</v>
      </c>
      <c r="J89" s="14">
        <f>'[1]2026 Orders'!H90</f>
        <v>2200</v>
      </c>
      <c r="K89" t="str">
        <f>'[1]2026 Orders'!I90</f>
        <v>F103-25.0</v>
      </c>
      <c r="L89">
        <f>'[1]2026 Orders'!J90</f>
        <v>2200</v>
      </c>
      <c r="N89" s="10" t="str">
        <f>'[1]2026 Orders'!L90</f>
        <v>ON HOLD</v>
      </c>
      <c r="O89">
        <f>'[1]2026 Orders'!M90</f>
        <v>0</v>
      </c>
      <c r="P89" t="str">
        <f>'[1]2026 Orders'!N90</f>
        <v>NA</v>
      </c>
      <c r="Q89" t="str">
        <f>'[1]2026 Orders'!O90</f>
        <v>810131192907</v>
      </c>
      <c r="R89">
        <f>'[1]2026 Orders'!P90</f>
        <v>5000</v>
      </c>
      <c r="S89">
        <f>'[1]2026 Orders'!Q90</f>
        <v>4861</v>
      </c>
      <c r="T89" t="str">
        <f>'[1]2026 Orders'!R90</f>
        <v>complete</v>
      </c>
      <c r="U89">
        <f>'[1]2026 Orders'!S90</f>
        <v>0</v>
      </c>
      <c r="V89">
        <f>'[1]2026 Orders'!T90</f>
        <v>0</v>
      </c>
      <c r="W89">
        <f>'[1]2026 Orders'!U90</f>
        <v>0</v>
      </c>
      <c r="X89">
        <f>'[1]2026 Orders'!V90</f>
        <v>0</v>
      </c>
      <c r="Y89">
        <f>'[1]2026 Orders'!W90</f>
        <v>0</v>
      </c>
      <c r="Z89">
        <f>'[1]2026 Orders'!X90</f>
        <v>0</v>
      </c>
      <c r="AC89" t="str">
        <f t="shared" si="2"/>
        <v>/2200</v>
      </c>
      <c r="AD89" t="e">
        <f t="shared" si="3"/>
        <v>#VALUE!</v>
      </c>
    </row>
    <row r="90" spans="1:30" ht="33" hidden="1" customHeight="1" x14ac:dyDescent="0.3">
      <c r="A90">
        <f>'[1]2026 Orders'!A91</f>
        <v>45995</v>
      </c>
      <c r="B90" s="14" t="str">
        <f>'[1]2026 Orders'!B91</f>
        <v>Iraq</v>
      </c>
      <c r="C90" s="14" t="str">
        <f>'[1]2026 Orders'!C91</f>
        <v>A4596</v>
      </c>
      <c r="D90" s="14" t="str">
        <f>'[1]2026 Orders'!D91</f>
        <v>45320225
Mfg: 02/2025
Exp: 02/2028</v>
      </c>
      <c r="E90" s="17" t="str" cm="1">
        <f t="array" ref="E90">IF(C90=0,"",
HYPERLINK(
"#'2026 Orders'!C"&amp;
MATCH(1,
('2026 Orders'!C:C=C90)*
('2026 Orders'!G:G=G90)*
('2026 Orders'!N:N=N90),
0),
"Open "&amp;C90
))</f>
        <v>Open A4596</v>
      </c>
      <c r="F90" s="14">
        <f>'[1]2026 Orders'!F91</f>
        <v>0</v>
      </c>
      <c r="G90" s="14" t="str">
        <f>'[1]2026 Orders'!G91</f>
        <v>BRSTW-60-FD</v>
      </c>
      <c r="H90" s="14" t="str" cm="1">
        <f t="array" ref="H90">IFERROR(_xlfn.TEXTJOIN("-",,INDEX(_xlfn.TEXTSPLIT(TableGive[[#This Row],[SKU]],"-"),{1,2})),"")</f>
        <v>BRSTW-60</v>
      </c>
      <c r="I90" s="15" t="str">
        <f>IFERROR(_xlfn.TEXTAFTER(TableGive[[#This Row],[SKU]],"-",-1),"")</f>
        <v>FD</v>
      </c>
      <c r="J90" s="14">
        <f>'[1]2026 Orders'!H91</f>
        <v>550</v>
      </c>
      <c r="K90" t="str">
        <f>'[1]2026 Orders'!I91</f>
        <v>F112-25.1</v>
      </c>
      <c r="L90">
        <f>'[1]2026 Orders'!J91</f>
        <v>550</v>
      </c>
      <c r="N90" s="10" t="str">
        <f>'[1]2026 Orders'!L91</f>
        <v>ON HOLD</v>
      </c>
      <c r="O90">
        <f>'[1]2026 Orders'!M91</f>
        <v>0</v>
      </c>
      <c r="P90" t="str">
        <f>'[1]2026 Orders'!N91</f>
        <v>NA</v>
      </c>
      <c r="Q90">
        <f>'[1]2026 Orders'!O91</f>
        <v>810131190040</v>
      </c>
      <c r="R90">
        <f>'[1]2026 Orders'!P91</f>
        <v>0</v>
      </c>
      <c r="S90">
        <f>'[1]2026 Orders'!Q91</f>
        <v>4532</v>
      </c>
      <c r="T90">
        <f>'[1]2026 Orders'!R91</f>
        <v>0</v>
      </c>
      <c r="U90">
        <f>'[1]2026 Orders'!S91</f>
        <v>0</v>
      </c>
      <c r="V90">
        <f>'[1]2026 Orders'!T91</f>
        <v>0</v>
      </c>
      <c r="W90">
        <f>'[1]2026 Orders'!U91</f>
        <v>0</v>
      </c>
      <c r="X90">
        <f>'[1]2026 Orders'!V91</f>
        <v>0</v>
      </c>
      <c r="Y90">
        <f>'[1]2026 Orders'!W91</f>
        <v>0</v>
      </c>
      <c r="Z90">
        <f>'[1]2026 Orders'!X91</f>
        <v>0</v>
      </c>
      <c r="AC90" t="str">
        <f t="shared" si="2"/>
        <v>/550</v>
      </c>
      <c r="AD90" t="e">
        <f t="shared" si="3"/>
        <v>#VALUE!</v>
      </c>
    </row>
    <row r="91" spans="1:30" ht="33" hidden="1" customHeight="1" x14ac:dyDescent="0.3">
      <c r="A91">
        <f>'[1]2026 Orders'!A92</f>
        <v>45763</v>
      </c>
      <c r="B91" s="14" t="str">
        <f>'[1]2026 Orders'!B92</f>
        <v>Iraq</v>
      </c>
      <c r="C91" s="14" t="str">
        <f>'[1]2026 Orders'!C92</f>
        <v>A4596</v>
      </c>
      <c r="D91" s="14">
        <f>'[1]2026 Orders'!D92</f>
        <v>0</v>
      </c>
      <c r="E91" s="17" t="str" cm="1">
        <f t="array" ref="E91">IF(C91=0,"",
HYPERLINK(
"#'2026 Orders'!C"&amp;
MATCH(1,
('2026 Orders'!C:C=C91)*
('2026 Orders'!G:G=G91)*
('2026 Orders'!N:N=N91),
0),
"Open "&amp;C91
))</f>
        <v>Open A4596</v>
      </c>
      <c r="F91" s="14" t="str">
        <f>'[1]2026 Orders'!F92</f>
        <v>9/30/2025: Moved from IraqA4442 2/17/2026: Moved from IraqA4541 to consolidate for shipment.</v>
      </c>
      <c r="G91" s="14" t="str">
        <f>'[1]2026 Orders'!G92</f>
        <v>GINKGO-60-FD</v>
      </c>
      <c r="H91" s="14" t="str" cm="1">
        <f t="array" ref="H91">IFERROR(_xlfn.TEXTJOIN("-",,INDEX(_xlfn.TEXTSPLIT(TableGive[[#This Row],[SKU]],"-"),{1,2})),"")</f>
        <v>GINKGO-60</v>
      </c>
      <c r="I91" s="15" t="str">
        <f>IFERROR(_xlfn.TEXTAFTER(TableGive[[#This Row],[SKU]],"-",-1),"")</f>
        <v>FD</v>
      </c>
      <c r="J91" s="14">
        <f>'[1]2026 Orders'!H92</f>
        <v>6000</v>
      </c>
      <c r="K91" t="str">
        <f>'[1]2026 Orders'!I92</f>
        <v>F21-23.0</v>
      </c>
      <c r="L91">
        <f>'[1]2026 Orders'!J92</f>
        <v>6000</v>
      </c>
      <c r="N91" s="10" t="str">
        <f>'[1]2026 Orders'!L92</f>
        <v>ON HOLD</v>
      </c>
      <c r="O91">
        <f>'[1]2026 Orders'!M92</f>
        <v>0</v>
      </c>
      <c r="P91" t="str">
        <f>'[1]2026 Orders'!N92</f>
        <v>NA</v>
      </c>
      <c r="Q91">
        <f>'[1]2026 Orders'!O92</f>
        <v>609788968146</v>
      </c>
      <c r="R91">
        <f>'[1]2026 Orders'!P92</f>
        <v>6000</v>
      </c>
      <c r="S91">
        <f>'[1]2026 Orders'!Q92</f>
        <v>4964</v>
      </c>
      <c r="T91">
        <f>'[1]2026 Orders'!R92</f>
        <v>46052</v>
      </c>
      <c r="U91">
        <f>'[1]2026 Orders'!S92</f>
        <v>0</v>
      </c>
      <c r="V91">
        <f>'[1]2026 Orders'!T92</f>
        <v>0</v>
      </c>
      <c r="W91">
        <f>'[1]2026 Orders'!U92</f>
        <v>0</v>
      </c>
      <c r="X91">
        <f>'[1]2026 Orders'!V92</f>
        <v>0</v>
      </c>
      <c r="Y91">
        <f>'[1]2026 Orders'!W92</f>
        <v>0</v>
      </c>
      <c r="Z91">
        <f>'[1]2026 Orders'!X92</f>
        <v>0</v>
      </c>
      <c r="AC91" t="str">
        <f t="shared" si="2"/>
        <v>/6000</v>
      </c>
      <c r="AD91" t="e">
        <f t="shared" si="3"/>
        <v>#VALUE!</v>
      </c>
    </row>
    <row r="92" spans="1:30" ht="33" hidden="1" customHeight="1" x14ac:dyDescent="0.3">
      <c r="A92">
        <f>'[1]2026 Orders'!A93</f>
        <v>45617</v>
      </c>
      <c r="B92" s="14" t="str">
        <f>'[1]2026 Orders'!B93</f>
        <v>Iraq</v>
      </c>
      <c r="C92" s="14" t="str">
        <f>'[1]2026 Orders'!C93</f>
        <v>A4596</v>
      </c>
      <c r="D92" s="14" t="str">
        <f>'[1]2026 Orders'!D93</f>
        <v>48760725
Mfg:07/2025
Exp:07/2028</v>
      </c>
      <c r="E92" s="17" t="str" cm="1">
        <f t="array" ref="E92">IF(C92=0,"",
HYPERLINK(
"#'2026 Orders'!C"&amp;
MATCH(1,
('2026 Orders'!C:C=C92)*
('2026 Orders'!G:G=G92)*
('2026 Orders'!N:N=N92),
0),
"Open "&amp;C92
))</f>
        <v>Open A4596</v>
      </c>
      <c r="F92" s="14" t="str">
        <f>'[1]2026 Orders'!F93</f>
        <v>5/22/2025: Products moved from IraqA4434 
9/30/2025: Moved from A4384
1/15/2025: Moved 1421 from Iraq A4541 
1/20/2025: 92 bottles allocated to georgia A4615
3/30/2026: qty decreased 1329 -&gt; 529 after allocating to UAE A4644</v>
      </c>
      <c r="G92" s="14" t="str">
        <f>'[1]2026 Orders'!G93</f>
        <v>QWELL2-60-SG-CS-IQ</v>
      </c>
      <c r="H92" s="14" t="str" cm="1">
        <f t="array" ref="H92">IFERROR(_xlfn.TEXTJOIN("-",,INDEX(_xlfn.TEXTSPLIT(TableGive[[#This Row],[SKU]],"-"),{1,2})),"")</f>
        <v>QWELL2-60</v>
      </c>
      <c r="I92" s="15" t="str">
        <f>IFERROR(_xlfn.TEXTAFTER(TableGive[[#This Row],[SKU]],"-",-1),"")</f>
        <v>IQ</v>
      </c>
      <c r="J92" s="14">
        <f>'[1]2026 Orders'!H93</f>
        <v>529</v>
      </c>
      <c r="K92" t="str">
        <f>'[1]2026 Orders'!I93</f>
        <v>IQ57-25.2</v>
      </c>
      <c r="L92">
        <f>'[1]2026 Orders'!J93</f>
        <v>529</v>
      </c>
      <c r="N92" s="10" t="str">
        <f>'[1]2026 Orders'!L93</f>
        <v>ON HOLD</v>
      </c>
      <c r="O92">
        <f>'[1]2026 Orders'!M93</f>
        <v>0</v>
      </c>
      <c r="P92" t="str">
        <f>'[1]2026 Orders'!N93</f>
        <v>NA</v>
      </c>
      <c r="Q92">
        <f>'[1]2026 Orders'!O93</f>
        <v>609788968528</v>
      </c>
      <c r="R92">
        <f>'[1]2026 Orders'!P93</f>
        <v>5000</v>
      </c>
      <c r="S92">
        <f>'[1]2026 Orders'!Q93</f>
        <v>4876</v>
      </c>
      <c r="T92" t="str">
        <f>'[1]2026 Orders'!R93</f>
        <v>complete</v>
      </c>
      <c r="U92" t="str">
        <f>'[1]2026 Orders'!S93</f>
        <v>BULK PO A4758</v>
      </c>
      <c r="V92">
        <f>'[1]2026 Orders'!T93</f>
        <v>0</v>
      </c>
      <c r="W92">
        <f>'[1]2026 Orders'!U93</f>
        <v>0</v>
      </c>
      <c r="X92">
        <f>'[1]2026 Orders'!V93</f>
        <v>0</v>
      </c>
      <c r="Y92">
        <f>'[1]2026 Orders'!W93</f>
        <v>0</v>
      </c>
      <c r="Z92">
        <f>'[1]2026 Orders'!X93</f>
        <v>0</v>
      </c>
      <c r="AC92" t="str">
        <f t="shared" si="2"/>
        <v>/529</v>
      </c>
      <c r="AD92" t="e">
        <f t="shared" si="3"/>
        <v>#VALUE!</v>
      </c>
    </row>
    <row r="93" spans="1:30" ht="33" hidden="1" customHeight="1" x14ac:dyDescent="0.3">
      <c r="A93">
        <f>'[1]2026 Orders'!A94</f>
        <v>45763</v>
      </c>
      <c r="B93" s="14" t="str">
        <f>'[1]2026 Orders'!B94</f>
        <v>Iraq</v>
      </c>
      <c r="C93" s="14" t="str">
        <f>'[1]2026 Orders'!C94</f>
        <v>A4596</v>
      </c>
      <c r="D93" s="14">
        <f>'[1]2026 Orders'!D94</f>
        <v>0</v>
      </c>
      <c r="E93" s="17" t="str" cm="1">
        <f t="array" ref="E93">IF(C93=0,"",
HYPERLINK(
"#'2026 Orders'!C"&amp;
MATCH(1,
('2026 Orders'!C:C=C93)*
('2026 Orders'!G:G=G93)*
('2026 Orders'!N:N=N93),
0),
"Open "&amp;C93
))</f>
        <v>Open A4596</v>
      </c>
      <c r="F93" s="14" t="str">
        <f>'[1]2026 Orders'!F94</f>
        <v>10/29/2025: moved from IraqA4442 2/10/26: Qty increased from 5000 -&gt; 5208                                   2/17/2026: Moved from IraqA4541 to consolidate for shipment.              5/22/2026: Reduced from 5208 pcs to 4158 pcs. Allocated 1050 pcs to Egypt A4683.</v>
      </c>
      <c r="G93" s="14" t="str">
        <f>'[1]2026 Orders'!G94</f>
        <v>QWELL2-60-SG-CS-IQ</v>
      </c>
      <c r="H93" s="14" t="str" cm="1">
        <f t="array" ref="H93">IFERROR(_xlfn.TEXTJOIN("-",,INDEX(_xlfn.TEXTSPLIT(TableGive[[#This Row],[SKU]],"-"),{1,2})),"")</f>
        <v>QWELL2-60</v>
      </c>
      <c r="I93" s="15" t="str">
        <f>IFERROR(_xlfn.TEXTAFTER(TableGive[[#This Row],[SKU]],"-",-1),"")</f>
        <v>IQ</v>
      </c>
      <c r="J93" s="14">
        <f>'[1]2026 Orders'!H94</f>
        <v>4158</v>
      </c>
      <c r="K93" t="str">
        <f>'[1]2026 Orders'!I94</f>
        <v>IQ57-25.2</v>
      </c>
      <c r="L93">
        <f>'[1]2026 Orders'!J94</f>
        <v>4158</v>
      </c>
      <c r="N93" s="10" t="str">
        <f>'[1]2026 Orders'!L94</f>
        <v>ON HOLD</v>
      </c>
      <c r="O93">
        <f>'[1]2026 Orders'!M94</f>
        <v>0</v>
      </c>
      <c r="P93" t="str">
        <f>'[1]2026 Orders'!N94</f>
        <v>NA</v>
      </c>
      <c r="Q93">
        <f>'[1]2026 Orders'!O94</f>
        <v>609788968528</v>
      </c>
      <c r="R93">
        <f>'[1]2026 Orders'!P94</f>
        <v>5000</v>
      </c>
      <c r="S93">
        <f>'[1]2026 Orders'!Q94</f>
        <v>4966</v>
      </c>
      <c r="T93">
        <f>'[1]2026 Orders'!R94</f>
        <v>46052</v>
      </c>
      <c r="U93">
        <f>'[1]2026 Orders'!S94</f>
        <v>0</v>
      </c>
      <c r="V93">
        <f>'[1]2026 Orders'!T94</f>
        <v>0</v>
      </c>
      <c r="W93">
        <f>'[1]2026 Orders'!U94</f>
        <v>0</v>
      </c>
      <c r="X93">
        <f>'[1]2026 Orders'!V94</f>
        <v>0</v>
      </c>
      <c r="Y93">
        <f>'[1]2026 Orders'!W94</f>
        <v>0</v>
      </c>
      <c r="Z93">
        <f>'[1]2026 Orders'!X94</f>
        <v>0</v>
      </c>
      <c r="AC93" t="str">
        <f t="shared" si="2"/>
        <v>/4158</v>
      </c>
      <c r="AD93" t="e">
        <f t="shared" si="3"/>
        <v>#VALUE!</v>
      </c>
    </row>
    <row r="94" spans="1:30" ht="33" hidden="1" customHeight="1" x14ac:dyDescent="0.3">
      <c r="A94">
        <f>'[1]2026 Orders'!A95</f>
        <v>45763</v>
      </c>
      <c r="B94" s="14" t="str">
        <f>'[1]2026 Orders'!B95</f>
        <v>Iraq</v>
      </c>
      <c r="C94" s="14" t="str">
        <f>'[1]2026 Orders'!C95</f>
        <v>A4596</v>
      </c>
      <c r="D94" s="14">
        <f>'[1]2026 Orders'!D95</f>
        <v>0</v>
      </c>
      <c r="E94" s="17" t="str" cm="1">
        <f t="array" ref="E94">IF(C94=0,"",
HYPERLINK(
"#'2026 Orders'!C"&amp;
MATCH(1,
('2026 Orders'!C:C=C94)*
('2026 Orders'!G:G=G94)*
('2026 Orders'!N:N=N94),
0),
"Open "&amp;C94
))</f>
        <v>Open A4596</v>
      </c>
      <c r="F94" s="14" t="str">
        <f>'[1]2026 Orders'!F95</f>
        <v>2/10/26: Qty decreased from 1500 -&gt; 953
2/17/2026: Moved from IraqA4541 to consolidate for shipment.</v>
      </c>
      <c r="G94" s="14" t="str">
        <f>'[1]2026 Orders'!G95</f>
        <v>QWELL2-60-SG-CS-IQ</v>
      </c>
      <c r="H94" s="14" t="str" cm="1">
        <f t="array" ref="H94">IFERROR(_xlfn.TEXTJOIN("-",,INDEX(_xlfn.TEXTSPLIT(TableGive[[#This Row],[SKU]],"-"),{1,2})),"")</f>
        <v>QWELL2-60</v>
      </c>
      <c r="I94" s="15" t="str">
        <f>IFERROR(_xlfn.TEXTAFTER(TableGive[[#This Row],[SKU]],"-",-1),"")</f>
        <v>IQ</v>
      </c>
      <c r="J94" s="14">
        <f>'[1]2026 Orders'!H95</f>
        <v>953</v>
      </c>
      <c r="K94" t="str">
        <f>'[1]2026 Orders'!I95</f>
        <v>IQ58-24.0</v>
      </c>
      <c r="L94">
        <f>'[1]2026 Orders'!J95</f>
        <v>953</v>
      </c>
      <c r="N94" s="10" t="str">
        <f>'[1]2026 Orders'!L95</f>
        <v>ON HOLD</v>
      </c>
      <c r="O94">
        <f>'[1]2026 Orders'!M95</f>
        <v>0</v>
      </c>
      <c r="P94" t="str">
        <f>'[1]2026 Orders'!N95</f>
        <v>NA</v>
      </c>
      <c r="Q94">
        <f>'[1]2026 Orders'!O95</f>
        <v>609788968528</v>
      </c>
      <c r="R94">
        <f>'[1]2026 Orders'!P95</f>
        <v>2550</v>
      </c>
      <c r="S94">
        <f>'[1]2026 Orders'!Q95</f>
        <v>4965</v>
      </c>
      <c r="T94">
        <f>'[1]2026 Orders'!R95</f>
        <v>46058</v>
      </c>
      <c r="U94">
        <f>'[1]2026 Orders'!S95</f>
        <v>0</v>
      </c>
      <c r="V94">
        <f>'[1]2026 Orders'!T95</f>
        <v>0</v>
      </c>
      <c r="W94">
        <f>'[1]2026 Orders'!U95</f>
        <v>0</v>
      </c>
      <c r="X94">
        <f>'[1]2026 Orders'!V95</f>
        <v>0</v>
      </c>
      <c r="Y94">
        <f>'[1]2026 Orders'!W95</f>
        <v>0</v>
      </c>
      <c r="Z94">
        <f>'[1]2026 Orders'!X95</f>
        <v>0</v>
      </c>
      <c r="AC94" t="str">
        <f t="shared" si="2"/>
        <v>/953</v>
      </c>
      <c r="AD94" t="e">
        <f t="shared" si="3"/>
        <v>#VALUE!</v>
      </c>
    </row>
    <row r="95" spans="1:30" ht="33" hidden="1" customHeight="1" x14ac:dyDescent="0.3">
      <c r="A95">
        <f>'[1]2026 Orders'!A96</f>
        <v>45763</v>
      </c>
      <c r="B95" s="14" t="str">
        <f>'[1]2026 Orders'!B96</f>
        <v>Iraq</v>
      </c>
      <c r="C95" s="14" t="str">
        <f>'[1]2026 Orders'!C96</f>
        <v>A4596</v>
      </c>
      <c r="D95" s="14" t="str">
        <f>'[1]2026 Orders'!D96</f>
        <v>48391125
Mfg:11/2025
Exp:11/2028</v>
      </c>
      <c r="E95" s="17" t="str" cm="1">
        <f t="array" ref="E95">IF(C95=0,"",
HYPERLINK(
"#'2026 Orders'!C"&amp;
MATCH(1,
('2026 Orders'!C:C=C95)*
('2026 Orders'!G:G=G95)*
('2026 Orders'!N:N=N95),
0),
"Open "&amp;C95
))</f>
        <v>Open A4596</v>
      </c>
      <c r="F95" s="14" t="str">
        <f>'[1]2026 Orders'!F96</f>
        <v>9/30/2025: Moved from IraqA4442 1/15/2025: moved from IraqA4541</v>
      </c>
      <c r="G95" s="14" t="str">
        <f>'[1]2026 Orders'!G96</f>
        <v>NRGWOM-45-FD</v>
      </c>
      <c r="H95" s="14" t="str" cm="1">
        <f t="array" ref="H95">IFERROR(_xlfn.TEXTJOIN("-",,INDEX(_xlfn.TEXTSPLIT(TableGive[[#This Row],[SKU]],"-"),{1,2})),"")</f>
        <v>NRGWOM-45</v>
      </c>
      <c r="I95" s="15" t="str">
        <f>IFERROR(_xlfn.TEXTAFTER(TableGive[[#This Row],[SKU]],"-",-1),"")</f>
        <v>FD</v>
      </c>
      <c r="J95" s="14">
        <f>'[1]2026 Orders'!H96</f>
        <v>860</v>
      </c>
      <c r="K95" t="str">
        <f>'[1]2026 Orders'!I96</f>
        <v>F83-22.0</v>
      </c>
      <c r="L95">
        <f>'[1]2026 Orders'!J96</f>
        <v>860</v>
      </c>
      <c r="N95" s="10" t="str">
        <f>'[1]2026 Orders'!L96</f>
        <v>ON HOLD</v>
      </c>
      <c r="O95">
        <f>'[1]2026 Orders'!M96</f>
        <v>0</v>
      </c>
      <c r="P95" t="str">
        <f>'[1]2026 Orders'!N96</f>
        <v>Y</v>
      </c>
      <c r="Q95">
        <f>'[1]2026 Orders'!O96</f>
        <v>604776735885</v>
      </c>
      <c r="R95">
        <f>'[1]2026 Orders'!P96</f>
        <v>5000</v>
      </c>
      <c r="S95">
        <f>'[1]2026 Orders'!Q96</f>
        <v>4839</v>
      </c>
      <c r="T95" t="str">
        <f>'[1]2026 Orders'!R96</f>
        <v>complete</v>
      </c>
      <c r="U95">
        <f>'[1]2026 Orders'!S96</f>
        <v>0</v>
      </c>
      <c r="V95">
        <f>'[1]2026 Orders'!T96</f>
        <v>0</v>
      </c>
      <c r="W95">
        <f>'[1]2026 Orders'!U96</f>
        <v>0</v>
      </c>
      <c r="X95">
        <f>'[1]2026 Orders'!V96</f>
        <v>0</v>
      </c>
      <c r="Y95">
        <f>'[1]2026 Orders'!W96</f>
        <v>0</v>
      </c>
      <c r="Z95">
        <f>'[1]2026 Orders'!X96</f>
        <v>0</v>
      </c>
      <c r="AC95" t="str">
        <f t="shared" si="2"/>
        <v>/860</v>
      </c>
      <c r="AD95" t="e">
        <f t="shared" si="3"/>
        <v>#VALUE!</v>
      </c>
    </row>
    <row r="96" spans="1:30" ht="33" hidden="1" customHeight="1" x14ac:dyDescent="0.3">
      <c r="A96">
        <f>'[1]2026 Orders'!A97</f>
        <v>45995</v>
      </c>
      <c r="B96" s="14" t="str">
        <f>'[1]2026 Orders'!B97</f>
        <v>Iraq</v>
      </c>
      <c r="C96" s="14" t="str">
        <f>'[1]2026 Orders'!C97</f>
        <v>A4596</v>
      </c>
      <c r="D96" s="14">
        <f>'[1]2026 Orders'!D97</f>
        <v>0</v>
      </c>
      <c r="E96" s="17" t="str" cm="1">
        <f t="array" ref="E96">IF(C96=0,"",
HYPERLINK(
"#'2026 Orders'!C"&amp;
MATCH(1,
('2026 Orders'!C:C=C96)*
('2026 Orders'!G:G=G96)*
('2026 Orders'!N:N=N96),
0),
"Open "&amp;C96
))</f>
        <v>Open A4596</v>
      </c>
      <c r="F96" s="14" t="str">
        <f>'[1]2026 Orders'!F97</f>
        <v>1/15/2026: moved from IraqA4541                                 2/17/2026: Moved from IraqA4541 to consolidate for shipment.</v>
      </c>
      <c r="G96" s="14" t="str">
        <f>'[1]2026 Orders'!G97</f>
        <v>NMNH-60-FD</v>
      </c>
      <c r="H96" s="14" t="str" cm="1">
        <f t="array" ref="H96">IFERROR(_xlfn.TEXTJOIN("-",,INDEX(_xlfn.TEXTSPLIT(TableGive[[#This Row],[SKU]],"-"),{1,2})),"")</f>
        <v>NMNH-60</v>
      </c>
      <c r="I96" s="15" t="str">
        <f>IFERROR(_xlfn.TEXTAFTER(TableGive[[#This Row],[SKU]],"-",-1),"")</f>
        <v>FD</v>
      </c>
      <c r="J96" s="14">
        <f>'[1]2026 Orders'!H97</f>
        <v>2200</v>
      </c>
      <c r="K96" t="str">
        <f>'[1]2026 Orders'!I97</f>
        <v>F114-25.0</v>
      </c>
      <c r="L96">
        <f>'[1]2026 Orders'!J97</f>
        <v>2200</v>
      </c>
      <c r="N96" s="10" t="str">
        <f>'[1]2026 Orders'!L97</f>
        <v>ON HOLD</v>
      </c>
      <c r="O96">
        <f>'[1]2026 Orders'!M97</f>
        <v>0</v>
      </c>
      <c r="P96" t="str">
        <f>'[1]2026 Orders'!N97</f>
        <v>Y</v>
      </c>
      <c r="Q96" t="str">
        <f>'[1]2026 Orders'!O97</f>
        <v>810131192990</v>
      </c>
      <c r="R96">
        <f>'[1]2026 Orders'!P97</f>
        <v>5000</v>
      </c>
      <c r="S96">
        <f>'[1]2026 Orders'!Q97</f>
        <v>4798</v>
      </c>
      <c r="T96" t="str">
        <f>'[1]2026 Orders'!R97</f>
        <v>complete</v>
      </c>
      <c r="U96">
        <f>'[1]2026 Orders'!S97</f>
        <v>0</v>
      </c>
      <c r="V96">
        <f>'[1]2026 Orders'!T97</f>
        <v>0</v>
      </c>
      <c r="W96">
        <f>'[1]2026 Orders'!U97</f>
        <v>0</v>
      </c>
      <c r="X96">
        <f>'[1]2026 Orders'!V97</f>
        <v>0</v>
      </c>
      <c r="Y96">
        <f>'[1]2026 Orders'!W97</f>
        <v>0</v>
      </c>
      <c r="Z96">
        <f>'[1]2026 Orders'!X97</f>
        <v>0</v>
      </c>
      <c r="AC96" t="str">
        <f t="shared" si="2"/>
        <v>/2200</v>
      </c>
      <c r="AD96" t="e">
        <f t="shared" si="3"/>
        <v>#VALUE!</v>
      </c>
    </row>
    <row r="97" spans="1:30" ht="33" hidden="1" customHeight="1" x14ac:dyDescent="0.3">
      <c r="A97">
        <f>'[1]2026 Orders'!A98</f>
        <v>46072</v>
      </c>
      <c r="B97" s="14" t="str">
        <f>'[1]2026 Orders'!B98</f>
        <v>Iraq</v>
      </c>
      <c r="C97" s="14" t="str">
        <f>'[1]2026 Orders'!C98</f>
        <v>A4596</v>
      </c>
      <c r="D97" s="14">
        <f>'[1]2026 Orders'!D98</f>
        <v>0</v>
      </c>
      <c r="E97" s="17" t="str" cm="1">
        <f t="array" ref="E97">IF(C97=0,"",
HYPERLINK(
"#'2026 Orders'!C"&amp;
MATCH(1,
('2026 Orders'!C:C=C97)*
('2026 Orders'!G:G=G97)*
('2026 Orders'!N:N=N97),
0),
"Open "&amp;C97
))</f>
        <v>Open A4596</v>
      </c>
      <c r="F97" s="14" t="str">
        <f>'[1]2026 Orders'!F98</f>
        <v>2/19/2025: Added to order - product in Inventory               2/20/2026: Reduced qty from 1453 -&gt; 1451 after re-work.</v>
      </c>
      <c r="G97" s="14" t="str">
        <f>'[1]2026 Orders'!G98</f>
        <v>CAVINAD-60-FD</v>
      </c>
      <c r="H97" s="14" t="str" cm="1">
        <f t="array" ref="H97">IFERROR(_xlfn.TEXTJOIN("-",,INDEX(_xlfn.TEXTSPLIT(TableGive[[#This Row],[SKU]],"-"),{1,2})),"")</f>
        <v>CAVINAD-60</v>
      </c>
      <c r="I97" s="15" t="str">
        <f>IFERROR(_xlfn.TEXTAFTER(TableGive[[#This Row],[SKU]],"-",-1),"")</f>
        <v>FD</v>
      </c>
      <c r="J97" s="14">
        <f>'[1]2026 Orders'!H98</f>
        <v>1451</v>
      </c>
      <c r="K97">
        <f>'[1]2026 Orders'!I98</f>
        <v>0</v>
      </c>
      <c r="L97">
        <f>'[1]2026 Orders'!J98</f>
        <v>1453</v>
      </c>
      <c r="N97" s="10" t="str">
        <f>'[1]2026 Orders'!L98</f>
        <v>ON HOLD</v>
      </c>
      <c r="O97">
        <f>'[1]2026 Orders'!M98</f>
        <v>0</v>
      </c>
      <c r="P97" t="str">
        <f>'[1]2026 Orders'!N98</f>
        <v>NA</v>
      </c>
      <c r="Q97">
        <f>'[1]2026 Orders'!O98</f>
        <v>609788968610</v>
      </c>
      <c r="R97">
        <f>'[1]2026 Orders'!P98</f>
        <v>0</v>
      </c>
      <c r="S97">
        <f>'[1]2026 Orders'!Q98</f>
        <v>0</v>
      </c>
      <c r="T97">
        <f>'[1]2026 Orders'!R98</f>
        <v>0</v>
      </c>
      <c r="U97">
        <f>'[1]2026 Orders'!S98</f>
        <v>0</v>
      </c>
      <c r="V97">
        <f>'[1]2026 Orders'!T98</f>
        <v>0</v>
      </c>
      <c r="W97">
        <f>'[1]2026 Orders'!U98</f>
        <v>0</v>
      </c>
      <c r="X97">
        <f>'[1]2026 Orders'!V98</f>
        <v>0</v>
      </c>
      <c r="Y97">
        <f>'[1]2026 Orders'!W98</f>
        <v>0</v>
      </c>
      <c r="Z97">
        <f>'[1]2026 Orders'!X98</f>
        <v>0</v>
      </c>
      <c r="AC97" t="str">
        <f t="shared" si="2"/>
        <v>/1451</v>
      </c>
      <c r="AD97" t="e">
        <f t="shared" si="3"/>
        <v>#VALUE!</v>
      </c>
    </row>
    <row r="98" spans="1:30" ht="33" hidden="1" customHeight="1" x14ac:dyDescent="0.3">
      <c r="A98">
        <f>'[1]2026 Orders'!A99</f>
        <v>46072</v>
      </c>
      <c r="B98" s="14" t="str">
        <f>'[1]2026 Orders'!B99</f>
        <v>Iraq</v>
      </c>
      <c r="C98" s="14" t="str">
        <f>'[1]2026 Orders'!C99</f>
        <v>A4596</v>
      </c>
      <c r="D98" s="14">
        <f>'[1]2026 Orders'!D99</f>
        <v>0</v>
      </c>
      <c r="E98" s="17" t="str" cm="1">
        <f t="array" ref="E98">IF(C98=0,"",
HYPERLINK(
"#'2026 Orders'!C"&amp;
MATCH(1,
('2026 Orders'!C:C=C98)*
('2026 Orders'!G:G=G98)*
('2026 Orders'!N:N=N98),
0),
"Open "&amp;C98
))</f>
        <v>Open A4596</v>
      </c>
      <c r="F98" s="14" t="str">
        <f>'[1]2026 Orders'!F99</f>
        <v>2/19/2025: Added to order - product in Inventory</v>
      </c>
      <c r="G98" s="14" t="str">
        <f>'[1]2026 Orders'!G99</f>
        <v>CAVINAD-60-FD</v>
      </c>
      <c r="H98" s="14" t="str" cm="1">
        <f t="array" ref="H98">IFERROR(_xlfn.TEXTJOIN("-",,INDEX(_xlfn.TEXTSPLIT(TableGive[[#This Row],[SKU]],"-"),{1,2})),"")</f>
        <v>CAVINAD-60</v>
      </c>
      <c r="I98" s="15" t="str">
        <f>IFERROR(_xlfn.TEXTAFTER(TableGive[[#This Row],[SKU]],"-",-1),"")</f>
        <v>FD</v>
      </c>
      <c r="J98" s="14">
        <f>'[1]2026 Orders'!H99</f>
        <v>860</v>
      </c>
      <c r="K98">
        <f>'[1]2026 Orders'!I99</f>
        <v>0</v>
      </c>
      <c r="L98">
        <f>'[1]2026 Orders'!J99</f>
        <v>860</v>
      </c>
      <c r="N98" s="10" t="str">
        <f>'[1]2026 Orders'!L99</f>
        <v>ON HOLD</v>
      </c>
      <c r="O98">
        <f>'[1]2026 Orders'!M99</f>
        <v>0</v>
      </c>
      <c r="P98" t="str">
        <f>'[1]2026 Orders'!N99</f>
        <v>NA</v>
      </c>
      <c r="Q98">
        <f>'[1]2026 Orders'!O99</f>
        <v>609788968610</v>
      </c>
      <c r="R98">
        <f>'[1]2026 Orders'!P99</f>
        <v>0</v>
      </c>
      <c r="S98">
        <f>'[1]2026 Orders'!Q99</f>
        <v>0</v>
      </c>
      <c r="T98">
        <f>'[1]2026 Orders'!R99</f>
        <v>0</v>
      </c>
      <c r="U98">
        <f>'[1]2026 Orders'!S99</f>
        <v>0</v>
      </c>
      <c r="V98">
        <f>'[1]2026 Orders'!T99</f>
        <v>0</v>
      </c>
      <c r="W98">
        <f>'[1]2026 Orders'!U99</f>
        <v>0</v>
      </c>
      <c r="X98">
        <f>'[1]2026 Orders'!V99</f>
        <v>0</v>
      </c>
      <c r="Y98">
        <f>'[1]2026 Orders'!W99</f>
        <v>0</v>
      </c>
      <c r="Z98">
        <f>'[1]2026 Orders'!X99</f>
        <v>0</v>
      </c>
      <c r="AC98" t="str">
        <f t="shared" si="2"/>
        <v>/860</v>
      </c>
      <c r="AD98" t="e">
        <f t="shared" si="3"/>
        <v>#VALUE!</v>
      </c>
    </row>
    <row r="99" spans="1:30" ht="33" hidden="1" customHeight="1" x14ac:dyDescent="0.3">
      <c r="A99">
        <f>'[1]2026 Orders'!A100</f>
        <v>46072</v>
      </c>
      <c r="B99" s="14" t="str">
        <f>'[1]2026 Orders'!B100</f>
        <v>Iraq</v>
      </c>
      <c r="C99" s="14" t="str">
        <f>'[1]2026 Orders'!C100</f>
        <v>A4596</v>
      </c>
      <c r="D99" s="14">
        <f>'[1]2026 Orders'!D100</f>
        <v>0</v>
      </c>
      <c r="E99" s="17" t="str" cm="1">
        <f t="array" ref="E99">IF(C99=0,"",
HYPERLINK(
"#'2026 Orders'!C"&amp;
MATCH(1,
('2026 Orders'!C:C=C99)*
('2026 Orders'!G:G=G99)*
('2026 Orders'!N:N=N99),
0),
"Open "&amp;C99
))</f>
        <v>Open A4596</v>
      </c>
      <c r="F99" s="14" t="str">
        <f>'[1]2026 Orders'!F100</f>
        <v>6/5/2026: Product added to order. In inventory.</v>
      </c>
      <c r="G99" s="14" t="str">
        <f>'[1]2026 Orders'!G100</f>
        <v>OSTEOPW-74-FD</v>
      </c>
      <c r="H99" s="14" t="str" cm="1">
        <f t="array" ref="H99">IFERROR(_xlfn.TEXTJOIN("-",,INDEX(_xlfn.TEXTSPLIT(TableGive[[#This Row],[SKU]],"-"),{1,2})),"")</f>
        <v>OSTEOPW-74</v>
      </c>
      <c r="I99" s="15" t="str">
        <f>IFERROR(_xlfn.TEXTAFTER(TableGive[[#This Row],[SKU]],"-",-1),"")</f>
        <v>FD</v>
      </c>
      <c r="J99" s="14">
        <f>'[1]2026 Orders'!H100</f>
        <v>1001</v>
      </c>
      <c r="K99">
        <f>'[1]2026 Orders'!I100</f>
        <v>0</v>
      </c>
      <c r="L99">
        <f>'[1]2026 Orders'!J100</f>
        <v>0</v>
      </c>
      <c r="N99" s="10" t="str">
        <f>'[1]2026 Orders'!L100</f>
        <v>ON HOLD</v>
      </c>
      <c r="O99">
        <f>'[1]2026 Orders'!M100</f>
        <v>0</v>
      </c>
      <c r="P99">
        <f>'[1]2026 Orders'!N100</f>
        <v>0</v>
      </c>
      <c r="Q99">
        <f>'[1]2026 Orders'!O100</f>
        <v>0</v>
      </c>
      <c r="R99">
        <f>'[1]2026 Orders'!P100</f>
        <v>0</v>
      </c>
      <c r="S99">
        <f>'[1]2026 Orders'!Q100</f>
        <v>0</v>
      </c>
      <c r="T99">
        <f>'[1]2026 Orders'!R100</f>
        <v>0</v>
      </c>
      <c r="U99">
        <f>'[1]2026 Orders'!S100</f>
        <v>0</v>
      </c>
      <c r="V99">
        <f>'[1]2026 Orders'!T100</f>
        <v>0</v>
      </c>
      <c r="W99">
        <f>'[1]2026 Orders'!U100</f>
        <v>0</v>
      </c>
      <c r="X99">
        <f>'[1]2026 Orders'!V100</f>
        <v>0</v>
      </c>
      <c r="Y99">
        <f>'[1]2026 Orders'!W100</f>
        <v>0</v>
      </c>
      <c r="Z99">
        <f>'[1]2026 Orders'!X100</f>
        <v>0</v>
      </c>
      <c r="AC99" t="str">
        <f t="shared" si="2"/>
        <v>/1001</v>
      </c>
      <c r="AD99" t="e">
        <f t="shared" si="3"/>
        <v>#VALUE!</v>
      </c>
    </row>
    <row r="100" spans="1:30" ht="33" hidden="1" customHeight="1" x14ac:dyDescent="0.3">
      <c r="A100">
        <f>'[1]2026 Orders'!A101</f>
        <v>45967</v>
      </c>
      <c r="B100" s="14" t="str">
        <f>'[1]2026 Orders'!B101</f>
        <v>Iraq</v>
      </c>
      <c r="C100" s="14" t="str">
        <f>'[1]2026 Orders'!C101</f>
        <v>A4631</v>
      </c>
      <c r="D100" s="14" t="str">
        <f>'[1]2026 Orders'!D101</f>
        <v>49450126
Mfg:01/2026
Exp:01/2029</v>
      </c>
      <c r="E100" s="17" t="str" cm="1">
        <f t="array" ref="E100">IF(C100=0,"",
HYPERLINK(
"#'2026 Orders'!C"&amp;
MATCH(1,
('2026 Orders'!C:C=C100)*
('2026 Orders'!G:G=G100)*
('2026 Orders'!N:N=N100),
0),
"Open "&amp;C100
))</f>
        <v>Open A4631</v>
      </c>
      <c r="F100" s="14" t="str">
        <f>'[1]2026 Orders'!F101</f>
        <v>Iceland</v>
      </c>
      <c r="G100" s="14" t="str">
        <f>'[1]2026 Orders'!G101</f>
        <v>QWELL4-30-SG-CS-IQ</v>
      </c>
      <c r="H100" s="14" t="str" cm="1">
        <f t="array" ref="H100">IFERROR(_xlfn.TEXTJOIN("-",,INDEX(_xlfn.TEXTSPLIT(TableGive[[#This Row],[SKU]],"-"),{1,2})),"")</f>
        <v>QWELL4-30</v>
      </c>
      <c r="I100" s="15" t="str">
        <f>IFERROR(_xlfn.TEXTAFTER(TableGive[[#This Row],[SKU]],"-",-1),"")</f>
        <v>IQ</v>
      </c>
      <c r="J100" s="14">
        <f>'[1]2026 Orders'!H101</f>
        <v>12250</v>
      </c>
      <c r="K100" t="str">
        <f>'[1]2026 Orders'!I101</f>
        <v>IQ58-24.0</v>
      </c>
      <c r="L100">
        <f>'[1]2026 Orders'!J101</f>
        <v>0</v>
      </c>
      <c r="N100" s="10" t="str">
        <f>'[1]2026 Orders'!L101</f>
        <v>ON HOLD</v>
      </c>
      <c r="O100">
        <f>'[1]2026 Orders'!M101</f>
        <v>0</v>
      </c>
      <c r="P100" t="str">
        <f>'[1]2026 Orders'!N101</f>
        <v>NA</v>
      </c>
      <c r="Q100">
        <f>'[1]2026 Orders'!O101</f>
        <v>604776737988</v>
      </c>
      <c r="R100">
        <f>'[1]2026 Orders'!P101</f>
        <v>15000</v>
      </c>
      <c r="S100">
        <f>'[1]2026 Orders'!Q101</f>
        <v>4945</v>
      </c>
      <c r="T100" t="str">
        <f>'[1]2026 Orders'!R101</f>
        <v>Complete</v>
      </c>
      <c r="U100" t="str">
        <f>'[1]2026 Orders'!S101</f>
        <v>Waiting for Sample, waiting for product release</v>
      </c>
      <c r="V100">
        <f>'[1]2026 Orders'!T101</f>
        <v>0</v>
      </c>
      <c r="W100">
        <f>'[1]2026 Orders'!U101</f>
        <v>0</v>
      </c>
      <c r="X100">
        <f>'[1]2026 Orders'!V101</f>
        <v>0</v>
      </c>
      <c r="Y100">
        <f>'[1]2026 Orders'!W101</f>
        <v>0</v>
      </c>
      <c r="Z100">
        <f>'[1]2026 Orders'!X101</f>
        <v>0</v>
      </c>
      <c r="AC100" t="str">
        <f t="shared" si="2"/>
        <v>/12250</v>
      </c>
      <c r="AD100" t="e">
        <f t="shared" si="3"/>
        <v>#VALUE!</v>
      </c>
    </row>
    <row r="101" spans="1:30" ht="33" hidden="1" customHeight="1" x14ac:dyDescent="0.3">
      <c r="A101">
        <f>'[1]2026 Orders'!A102</f>
        <v>45967</v>
      </c>
      <c r="B101" s="14" t="str">
        <f>'[1]2026 Orders'!B102</f>
        <v>Iraq</v>
      </c>
      <c r="C101" s="14" t="str">
        <f>'[1]2026 Orders'!C102</f>
        <v>A4622</v>
      </c>
      <c r="D101" s="14">
        <f>'[1]2026 Orders'!D102</f>
        <v>0</v>
      </c>
      <c r="E101" s="17" t="str" cm="1">
        <f t="array" ref="E101">IF(C101=0,"",
HYPERLINK(
"#'2026 Orders'!C"&amp;
MATCH(1,
('2026 Orders'!C:C=C101)*
('2026 Orders'!G:G=G101)*
('2026 Orders'!N:N=N101),
0),
"Open "&amp;C101
))</f>
        <v>Open A4622</v>
      </c>
      <c r="F101" s="14" t="str">
        <f>'[1]2026 Orders'!F102</f>
        <v>May need a specific batch number 11/20/205: Should be a fresh batch
6/8/2026: Product arriving at warehouse on 6/10/26.</v>
      </c>
      <c r="G101" s="14" t="str">
        <f>'[1]2026 Orders'!G102</f>
        <v>LIPODIS-60-CS-IQ</v>
      </c>
      <c r="H101" s="14" t="str" cm="1">
        <f t="array" ref="H101">IFERROR(_xlfn.TEXTJOIN("-",,INDEX(_xlfn.TEXTSPLIT(TableGive[[#This Row],[SKU]],"-"),{1,2})),"")</f>
        <v>LIPODIS-60</v>
      </c>
      <c r="I101" s="15" t="str">
        <f>IFERROR(_xlfn.TEXTAFTER(TableGive[[#This Row],[SKU]],"-",-1),"")</f>
        <v>IQ</v>
      </c>
      <c r="J101" s="14">
        <f>'[1]2026 Orders'!H102</f>
        <v>5000</v>
      </c>
      <c r="K101" t="str">
        <f>'[1]2026 Orders'!I102</f>
        <v>IQ26-24.1</v>
      </c>
      <c r="L101">
        <f>'[1]2026 Orders'!J102</f>
        <v>0</v>
      </c>
      <c r="N101" s="10" t="str">
        <f>'[1]2026 Orders'!L102</f>
        <v>ON HOLD</v>
      </c>
      <c r="O101" t="str">
        <f>'[1]2026 Orders'!M102</f>
        <v>Available</v>
      </c>
      <c r="P101" t="str">
        <f>'[1]2026 Orders'!N102</f>
        <v>Y</v>
      </c>
      <c r="Q101">
        <f>'[1]2026 Orders'!O102</f>
        <v>604776737834</v>
      </c>
      <c r="R101">
        <f>'[1]2026 Orders'!P102</f>
        <v>7000</v>
      </c>
      <c r="S101">
        <f>'[1]2026 Orders'!Q102</f>
        <v>4971</v>
      </c>
      <c r="T101">
        <f>'[1]2026 Orders'!R102</f>
        <v>46136</v>
      </c>
      <c r="U101" t="str">
        <f>'[1]2026 Orders'!S102</f>
        <v>Labeled</v>
      </c>
      <c r="V101">
        <f>'[1]2026 Orders'!T102</f>
        <v>0</v>
      </c>
      <c r="W101">
        <f>'[1]2026 Orders'!U102</f>
        <v>0</v>
      </c>
      <c r="X101">
        <f>'[1]2026 Orders'!V102</f>
        <v>0</v>
      </c>
      <c r="Y101">
        <f>'[1]2026 Orders'!W102</f>
        <v>0</v>
      </c>
      <c r="Z101" t="str">
        <f>'[1]2026 Orders'!X102</f>
        <v>HOLD</v>
      </c>
      <c r="AC101" t="str">
        <f t="shared" si="2"/>
        <v>/5000</v>
      </c>
      <c r="AD101" t="e">
        <f t="shared" si="3"/>
        <v>#VALUE!</v>
      </c>
    </row>
    <row r="102" spans="1:30" ht="33" hidden="1" customHeight="1" x14ac:dyDescent="0.3">
      <c r="A102">
        <f>'[1]2026 Orders'!A103</f>
        <v>45995</v>
      </c>
      <c r="B102" s="14" t="str">
        <f>'[1]2026 Orders'!B103</f>
        <v>Iraq</v>
      </c>
      <c r="C102" s="14" t="str">
        <f>'[1]2026 Orders'!C103</f>
        <v>A4622</v>
      </c>
      <c r="D102" s="14">
        <f>'[1]2026 Orders'!D103</f>
        <v>0</v>
      </c>
      <c r="E102" s="17" t="str" cm="1">
        <f t="array" ref="E102">IF(C102=0,"",
HYPERLINK(
"#'2026 Orders'!C"&amp;
MATCH(1,
('2026 Orders'!C:C=C102)*
('2026 Orders'!G:G=G102)*
('2026 Orders'!N:N=N102),
0),
"Open "&amp;C102
))</f>
        <v>Open A4622</v>
      </c>
      <c r="F102" s="14" t="str">
        <f>'[1]2026 Orders'!F103</f>
        <v>1/15/2026: 1480 packs moved from IraqA4596
2/17/2026: Moved from IraqA4541 to consolidate Back Order.
6/8/2026: Product arriving at warehouse on 6/10/26.</v>
      </c>
      <c r="G102" s="14" t="str">
        <f>'[1]2026 Orders'!G103</f>
        <v>UTIC-60-FD</v>
      </c>
      <c r="H102" s="14" t="str" cm="1">
        <f t="array" ref="H102">IFERROR(_xlfn.TEXTJOIN("-",,INDEX(_xlfn.TEXTSPLIT(TableGive[[#This Row],[SKU]],"-"),{1,2})),"")</f>
        <v>UTIC-60</v>
      </c>
      <c r="I102" s="15" t="str">
        <f>IFERROR(_xlfn.TEXTAFTER(TableGive[[#This Row],[SKU]],"-",-1),"")</f>
        <v>FD</v>
      </c>
      <c r="J102" s="14">
        <f>'[1]2026 Orders'!H103</f>
        <v>1480</v>
      </c>
      <c r="K102" t="str">
        <f>'[1]2026 Orders'!I103</f>
        <v>F110-25.0</v>
      </c>
      <c r="L102">
        <f>'[1]2026 Orders'!J103</f>
        <v>0</v>
      </c>
      <c r="N102" s="10" t="str">
        <f>'[1]2026 Orders'!L103</f>
        <v>ON HOLD</v>
      </c>
      <c r="O102" t="str">
        <f>'[1]2026 Orders'!M103</f>
        <v>Available</v>
      </c>
      <c r="P102" t="str">
        <f>'[1]2026 Orders'!N103</f>
        <v>NA</v>
      </c>
      <c r="Q102" t="str">
        <f>'[1]2026 Orders'!O103</f>
        <v>810131192983</v>
      </c>
      <c r="R102">
        <f>'[1]2026 Orders'!P103</f>
        <v>4000</v>
      </c>
      <c r="S102">
        <f>'[1]2026 Orders'!Q103</f>
        <v>4973</v>
      </c>
      <c r="T102">
        <f>'[1]2026 Orders'!R103</f>
        <v>46136</v>
      </c>
      <c r="U102">
        <f>'[1]2026 Orders'!S103</f>
        <v>0</v>
      </c>
      <c r="V102">
        <f>'[1]2026 Orders'!T103</f>
        <v>0</v>
      </c>
      <c r="W102">
        <f>'[1]2026 Orders'!U103</f>
        <v>0</v>
      </c>
      <c r="X102">
        <f>'[1]2026 Orders'!V103</f>
        <v>0</v>
      </c>
      <c r="Y102">
        <f>'[1]2026 Orders'!W103</f>
        <v>0</v>
      </c>
      <c r="Z102">
        <f>'[1]2026 Orders'!X103</f>
        <v>0</v>
      </c>
      <c r="AC102" t="str">
        <f t="shared" si="2"/>
        <v>/1480</v>
      </c>
      <c r="AD102" t="e">
        <f t="shared" si="3"/>
        <v>#VALUE!</v>
      </c>
    </row>
    <row r="103" spans="1:30" ht="33" hidden="1" customHeight="1" x14ac:dyDescent="0.3">
      <c r="A103">
        <f>'[1]2026 Orders'!A104</f>
        <v>0</v>
      </c>
      <c r="B103" s="14">
        <f>'[1]2026 Orders'!B104</f>
        <v>0</v>
      </c>
      <c r="C103" s="14">
        <f>'[1]2026 Orders'!C104</f>
        <v>0</v>
      </c>
      <c r="D103" s="14">
        <f>'[1]2026 Orders'!D104</f>
        <v>0</v>
      </c>
      <c r="E103" s="17" t="str" cm="1">
        <f t="array" ref="E103">IF(C103=0,"",
HYPERLINK(
"#'2026 Orders'!C"&amp;
MATCH(1,
('2026 Orders'!C:C=C103)*
('2026 Orders'!G:G=G103)*
('2026 Orders'!N:N=N103),
0),
"Open "&amp;C103
))</f>
        <v/>
      </c>
      <c r="F103" s="14">
        <f>'[1]2026 Orders'!F104</f>
        <v>0</v>
      </c>
      <c r="G103" s="14">
        <f>'[1]2026 Orders'!G104</f>
        <v>0</v>
      </c>
      <c r="H103" s="14" t="str" cm="1">
        <f t="array" ref="H103">IFERROR(_xlfn.TEXTJOIN("-",,INDEX(_xlfn.TEXTSPLIT(TableGive[[#This Row],[SKU]],"-"),{1,2})),"")</f>
        <v/>
      </c>
      <c r="I103" s="15" t="str">
        <f>IFERROR(_xlfn.TEXTAFTER(TableGive[[#This Row],[SKU]],"-",-1),"")</f>
        <v/>
      </c>
      <c r="J103" s="14">
        <f>'[1]2026 Orders'!H104</f>
        <v>0</v>
      </c>
      <c r="K103">
        <f>'[1]2026 Orders'!I104</f>
        <v>0</v>
      </c>
      <c r="L103">
        <f>'[1]2026 Orders'!J104</f>
        <v>0</v>
      </c>
      <c r="N103" s="10">
        <f>'[1]2026 Orders'!L104</f>
        <v>0</v>
      </c>
      <c r="O103">
        <f>'[1]2026 Orders'!M104</f>
        <v>0</v>
      </c>
      <c r="P103">
        <f>'[1]2026 Orders'!N104</f>
        <v>0</v>
      </c>
      <c r="Q103">
        <f>'[1]2026 Orders'!O104</f>
        <v>0</v>
      </c>
      <c r="R103">
        <f>'[1]2026 Orders'!P104</f>
        <v>0</v>
      </c>
      <c r="S103">
        <f>'[1]2026 Orders'!Q104</f>
        <v>0</v>
      </c>
      <c r="T103">
        <f>'[1]2026 Orders'!R104</f>
        <v>0</v>
      </c>
      <c r="U103">
        <f>'[1]2026 Orders'!S104</f>
        <v>0</v>
      </c>
      <c r="V103">
        <f>'[1]2026 Orders'!T104</f>
        <v>0</v>
      </c>
      <c r="W103">
        <f>'[1]2026 Orders'!U104</f>
        <v>0</v>
      </c>
      <c r="X103">
        <f>'[1]2026 Orders'!V104</f>
        <v>0</v>
      </c>
      <c r="Y103">
        <f>'[1]2026 Orders'!W104</f>
        <v>0</v>
      </c>
      <c r="Z103">
        <f>'[1]2026 Orders'!X104</f>
        <v>0</v>
      </c>
      <c r="AC103" t="str">
        <f t="shared" si="2"/>
        <v/>
      </c>
      <c r="AD103" t="str">
        <f t="shared" si="3"/>
        <v/>
      </c>
    </row>
    <row r="104" spans="1:30" ht="33" hidden="1" customHeight="1" x14ac:dyDescent="0.3">
      <c r="A104">
        <f>'[1]2026 Orders'!A105</f>
        <v>45971</v>
      </c>
      <c r="B104" s="14" t="str">
        <f>'[1]2026 Orders'!B105</f>
        <v>Botswana</v>
      </c>
      <c r="C104" s="14" t="str">
        <f>'[1]2026 Orders'!C105</f>
        <v>A4569</v>
      </c>
      <c r="D104" s="14" t="str">
        <f>'[1]2026 Orders'!D105</f>
        <v>Awaiting Import Permit Update</v>
      </c>
      <c r="E104" s="17" t="str" cm="1">
        <f t="array" ref="E104">IF(C104=0,"",
HYPERLINK(
"#'2026 Orders'!C"&amp;
MATCH(1,
('2026 Orders'!C:C=C104)*
('2026 Orders'!G:G=G104)*
('2026 Orders'!N:N=N104),
0),
"Open "&amp;C104
))</f>
        <v>Open A4569</v>
      </c>
      <c r="F104" s="14">
        <f>'[1]2026 Orders'!F105</f>
        <v>0</v>
      </c>
      <c r="G104" s="14" t="str">
        <f>'[1]2026 Orders'!G105</f>
        <v>OSTEOPL-96-FD</v>
      </c>
      <c r="H104" s="14" t="str" cm="1">
        <f t="array" ref="H104">IFERROR(_xlfn.TEXTJOIN("-",,INDEX(_xlfn.TEXTSPLIT(TableGive[[#This Row],[SKU]],"-"),{1,2})),"")</f>
        <v>OSTEOPL-96</v>
      </c>
      <c r="I104" s="15" t="str">
        <f>IFERROR(_xlfn.TEXTAFTER(TableGive[[#This Row],[SKU]],"-",-1),"")</f>
        <v>FD</v>
      </c>
      <c r="J104" s="14">
        <f>'[1]2026 Orders'!H105</f>
        <v>96</v>
      </c>
      <c r="K104" t="str">
        <f>'[1]2026 Orders'!I105</f>
        <v>F39-24.0</v>
      </c>
      <c r="L104">
        <f>'[1]2026 Orders'!J105</f>
        <v>96</v>
      </c>
      <c r="N104" s="10" t="str">
        <f>'[1]2026 Orders'!L105</f>
        <v>D/W Sent</v>
      </c>
      <c r="O104">
        <f>'[1]2026 Orders'!M105</f>
        <v>46094</v>
      </c>
      <c r="P104" t="str">
        <f>'[1]2026 Orders'!N105</f>
        <v>Y</v>
      </c>
      <c r="Q104" t="str">
        <f>'[1]2026 Orders'!O105</f>
        <v>609788968238</v>
      </c>
      <c r="R104">
        <f>'[1]2026 Orders'!P105</f>
        <v>5000</v>
      </c>
      <c r="S104">
        <f>'[1]2026 Orders'!Q105</f>
        <v>4841</v>
      </c>
      <c r="T104" t="str">
        <f>'[1]2026 Orders'!R105</f>
        <v>complete</v>
      </c>
      <c r="U104">
        <f>'[1]2026 Orders'!S105</f>
        <v>0</v>
      </c>
      <c r="V104">
        <f>'[1]2026 Orders'!T105</f>
        <v>0</v>
      </c>
      <c r="W104">
        <f>'[1]2026 Orders'!U105</f>
        <v>0</v>
      </c>
      <c r="X104">
        <f>'[1]2026 Orders'!V105</f>
        <v>0</v>
      </c>
      <c r="Y104">
        <f>'[1]2026 Orders'!W105</f>
        <v>0</v>
      </c>
      <c r="Z104" t="str">
        <f>'[1]2026 Orders'!X105</f>
        <v>HOLD</v>
      </c>
      <c r="AC104" t="str">
        <f t="shared" si="2"/>
        <v>/96</v>
      </c>
      <c r="AD104" t="e">
        <f t="shared" si="3"/>
        <v>#VALUE!</v>
      </c>
    </row>
    <row r="105" spans="1:30" ht="33" hidden="1" customHeight="1" x14ac:dyDescent="0.3">
      <c r="A105">
        <f>'[1]2026 Orders'!A106</f>
        <v>45971</v>
      </c>
      <c r="B105" s="14" t="str">
        <f>'[1]2026 Orders'!B106</f>
        <v>Botswana</v>
      </c>
      <c r="C105" s="14" t="str">
        <f>'[1]2026 Orders'!C106</f>
        <v>A4569</v>
      </c>
      <c r="D105" s="14">
        <f>'[1]2026 Orders'!D106</f>
        <v>0</v>
      </c>
      <c r="E105" s="17" t="str" cm="1">
        <f t="array" ref="E105">IF(C105=0,"",
HYPERLINK(
"#'2026 Orders'!C"&amp;
MATCH(1,
('2026 Orders'!C:C=C105)*
('2026 Orders'!G:G=G105)*
('2026 Orders'!N:N=N105),
0),
"Open "&amp;C105
))</f>
        <v>Open A4569</v>
      </c>
      <c r="F105" s="14">
        <f>'[1]2026 Orders'!F106</f>
        <v>0</v>
      </c>
      <c r="G105" s="14" t="str">
        <f>'[1]2026 Orders'!G106</f>
        <v>GINKGO-60-FD</v>
      </c>
      <c r="H105" s="14" t="str" cm="1">
        <f t="array" ref="H105">IFERROR(_xlfn.TEXTJOIN("-",,INDEX(_xlfn.TEXTSPLIT(TableGive[[#This Row],[SKU]],"-"),{1,2})),"")</f>
        <v>GINKGO-60</v>
      </c>
      <c r="I105" s="15" t="str">
        <f>IFERROR(_xlfn.TEXTAFTER(TableGive[[#This Row],[SKU]],"-",-1),"")</f>
        <v>FD</v>
      </c>
      <c r="J105" s="14">
        <f>'[1]2026 Orders'!H106</f>
        <v>48</v>
      </c>
      <c r="K105" t="str">
        <f>'[1]2026 Orders'!I106</f>
        <v>F21-23.0</v>
      </c>
      <c r="L105">
        <f>'[1]2026 Orders'!J106</f>
        <v>48</v>
      </c>
      <c r="N105" s="10" t="str">
        <f>'[1]2026 Orders'!L106</f>
        <v>D/W Sent</v>
      </c>
      <c r="O105">
        <f>'[1]2026 Orders'!M106</f>
        <v>0</v>
      </c>
      <c r="P105" t="str">
        <f>'[1]2026 Orders'!N106</f>
        <v>NA</v>
      </c>
      <c r="Q105" t="str">
        <f>'[1]2026 Orders'!O106</f>
        <v>609788968146</v>
      </c>
      <c r="R105">
        <f>'[1]2026 Orders'!P106</f>
        <v>0</v>
      </c>
      <c r="S105">
        <f>'[1]2026 Orders'!Q106</f>
        <v>0</v>
      </c>
      <c r="T105">
        <f>'[1]2026 Orders'!R106</f>
        <v>0</v>
      </c>
      <c r="U105">
        <f>'[1]2026 Orders'!S106</f>
        <v>0</v>
      </c>
      <c r="V105">
        <f>'[1]2026 Orders'!T106</f>
        <v>0</v>
      </c>
      <c r="W105">
        <f>'[1]2026 Orders'!U106</f>
        <v>0</v>
      </c>
      <c r="X105">
        <f>'[1]2026 Orders'!V106</f>
        <v>0</v>
      </c>
      <c r="Y105">
        <f>'[1]2026 Orders'!W106</f>
        <v>0</v>
      </c>
      <c r="Z105">
        <f>'[1]2026 Orders'!X106</f>
        <v>0</v>
      </c>
      <c r="AC105" t="str">
        <f t="shared" si="2"/>
        <v>/48</v>
      </c>
      <c r="AD105" t="e">
        <f t="shared" si="3"/>
        <v>#VALUE!</v>
      </c>
    </row>
    <row r="106" spans="1:30" ht="33" hidden="1" customHeight="1" x14ac:dyDescent="0.3">
      <c r="A106">
        <f>'[1]2026 Orders'!A107</f>
        <v>45971</v>
      </c>
      <c r="B106" s="14" t="str">
        <f>'[1]2026 Orders'!B107</f>
        <v>Botswana</v>
      </c>
      <c r="C106" s="14" t="str">
        <f>'[1]2026 Orders'!C107</f>
        <v>A4569</v>
      </c>
      <c r="D106" s="14">
        <f>'[1]2026 Orders'!D107</f>
        <v>0</v>
      </c>
      <c r="E106" s="17" t="str" cm="1">
        <f t="array" ref="E106">IF(C106=0,"",
HYPERLINK(
"#'2026 Orders'!C"&amp;
MATCH(1,
('2026 Orders'!C:C=C106)*
('2026 Orders'!G:G=G106)*
('2026 Orders'!N:N=N106),
0),
"Open "&amp;C106
))</f>
        <v>Open A4569</v>
      </c>
      <c r="F106" s="14">
        <f>'[1]2026 Orders'!F107</f>
        <v>0</v>
      </c>
      <c r="G106" s="14" t="str">
        <f>'[1]2026 Orders'!G107</f>
        <v>PROSTA-90-FD</v>
      </c>
      <c r="H106" s="14" t="str" cm="1">
        <f t="array" ref="H106">IFERROR(_xlfn.TEXTJOIN("-",,INDEX(_xlfn.TEXTSPLIT(TableGive[[#This Row],[SKU]],"-"),{1,2})),"")</f>
        <v>PROSTA-90</v>
      </c>
      <c r="I106" s="15" t="str">
        <f>IFERROR(_xlfn.TEXTAFTER(TableGive[[#This Row],[SKU]],"-",-1),"")</f>
        <v>FD</v>
      </c>
      <c r="J106" s="14">
        <f>'[1]2026 Orders'!H107</f>
        <v>48</v>
      </c>
      <c r="K106" t="str">
        <f>'[1]2026 Orders'!I107</f>
        <v>F56-23.0</v>
      </c>
      <c r="L106">
        <f>'[1]2026 Orders'!J107</f>
        <v>48</v>
      </c>
      <c r="N106" s="10" t="str">
        <f>'[1]2026 Orders'!L107</f>
        <v>D/W Sent</v>
      </c>
      <c r="O106">
        <f>'[1]2026 Orders'!M107</f>
        <v>0</v>
      </c>
      <c r="P106" t="str">
        <f>'[1]2026 Orders'!N107</f>
        <v>NA</v>
      </c>
      <c r="Q106">
        <f>'[1]2026 Orders'!O107</f>
        <v>609788968504</v>
      </c>
      <c r="R106">
        <f>'[1]2026 Orders'!P107</f>
        <v>4000</v>
      </c>
      <c r="S106">
        <f>'[1]2026 Orders'!Q107</f>
        <v>4802</v>
      </c>
      <c r="T106" t="str">
        <f>'[1]2026 Orders'!R107</f>
        <v>complete</v>
      </c>
      <c r="U106">
        <f>'[1]2026 Orders'!S107</f>
        <v>0</v>
      </c>
      <c r="V106">
        <f>'[1]2026 Orders'!T107</f>
        <v>0</v>
      </c>
      <c r="W106">
        <f>'[1]2026 Orders'!U107</f>
        <v>0</v>
      </c>
      <c r="X106">
        <f>'[1]2026 Orders'!V107</f>
        <v>0</v>
      </c>
      <c r="Y106">
        <f>'[1]2026 Orders'!W107</f>
        <v>0</v>
      </c>
      <c r="Z106">
        <f>'[1]2026 Orders'!X107</f>
        <v>0</v>
      </c>
      <c r="AC106" t="str">
        <f t="shared" si="2"/>
        <v>/48</v>
      </c>
      <c r="AD106" t="e">
        <f t="shared" si="3"/>
        <v>#VALUE!</v>
      </c>
    </row>
    <row r="107" spans="1:30" ht="33" hidden="1" customHeight="1" x14ac:dyDescent="0.3">
      <c r="A107">
        <f>'[1]2026 Orders'!A108</f>
        <v>45971</v>
      </c>
      <c r="B107" s="14" t="str">
        <f>'[1]2026 Orders'!B108</f>
        <v>Botswana</v>
      </c>
      <c r="C107" s="14" t="str">
        <f>'[1]2026 Orders'!C108</f>
        <v>A4569</v>
      </c>
      <c r="D107" s="14">
        <f>'[1]2026 Orders'!D108</f>
        <v>0</v>
      </c>
      <c r="E107" s="17" t="str" cm="1">
        <f t="array" ref="E107">IF(C107=0,"",
HYPERLINK(
"#'2026 Orders'!C"&amp;
MATCH(1,
('2026 Orders'!C:C=C107)*
('2026 Orders'!G:G=G107)*
('2026 Orders'!N:N=N107),
0),
"Open "&amp;C107
))</f>
        <v>Open A4569</v>
      </c>
      <c r="F107" s="14">
        <f>'[1]2026 Orders'!F108</f>
        <v>0</v>
      </c>
      <c r="G107" s="14" t="str">
        <f>'[1]2026 Orders'!G108</f>
        <v>XTRAD10-60-FD</v>
      </c>
      <c r="H107" s="14" t="str" cm="1">
        <f t="array" ref="H107">IFERROR(_xlfn.TEXTJOIN("-",,INDEX(_xlfn.TEXTSPLIT(TableGive[[#This Row],[SKU]],"-"),{1,2})),"")</f>
        <v>XTRAD10-60</v>
      </c>
      <c r="I107" s="15" t="str">
        <f>IFERROR(_xlfn.TEXTAFTER(TableGive[[#This Row],[SKU]],"-",-1),"")</f>
        <v>FD</v>
      </c>
      <c r="J107" s="14">
        <f>'[1]2026 Orders'!H108</f>
        <v>120</v>
      </c>
      <c r="K107" t="str">
        <f>'[1]2026 Orders'!I108</f>
        <v>F76-25.0</v>
      </c>
      <c r="L107">
        <f>'[1]2026 Orders'!J108</f>
        <v>120</v>
      </c>
      <c r="N107" s="10" t="str">
        <f>'[1]2026 Orders'!L108</f>
        <v>D/W Sent</v>
      </c>
      <c r="O107">
        <f>'[1]2026 Orders'!M108</f>
        <v>0</v>
      </c>
      <c r="P107" t="str">
        <f>'[1]2026 Orders'!N108</f>
        <v>NA</v>
      </c>
      <c r="Q107" t="str">
        <f>'[1]2026 Orders'!O108</f>
        <v>609788968122</v>
      </c>
      <c r="R107">
        <f>'[1]2026 Orders'!P108</f>
        <v>12000</v>
      </c>
      <c r="S107">
        <f>'[1]2026 Orders'!Q108</f>
        <v>4690</v>
      </c>
      <c r="T107" t="str">
        <f>'[1]2026 Orders'!R108</f>
        <v>complete</v>
      </c>
      <c r="U107">
        <f>'[1]2026 Orders'!S108</f>
        <v>0</v>
      </c>
      <c r="V107">
        <f>'[1]2026 Orders'!T108</f>
        <v>0</v>
      </c>
      <c r="W107">
        <f>'[1]2026 Orders'!U108</f>
        <v>0</v>
      </c>
      <c r="X107">
        <f>'[1]2026 Orders'!V108</f>
        <v>0</v>
      </c>
      <c r="Y107">
        <f>'[1]2026 Orders'!W108</f>
        <v>0</v>
      </c>
      <c r="Z107">
        <f>'[1]2026 Orders'!X108</f>
        <v>0</v>
      </c>
      <c r="AC107" t="str">
        <f t="shared" si="2"/>
        <v>/120</v>
      </c>
      <c r="AD107" t="e">
        <f t="shared" si="3"/>
        <v>#VALUE!</v>
      </c>
    </row>
    <row r="108" spans="1:30" ht="33" hidden="1" customHeight="1" x14ac:dyDescent="0.3">
      <c r="A108">
        <f>'[1]2026 Orders'!A109</f>
        <v>45971</v>
      </c>
      <c r="B108" s="14" t="str">
        <f>'[1]2026 Orders'!B109</f>
        <v>Botswana</v>
      </c>
      <c r="C108" s="14" t="str">
        <f>'[1]2026 Orders'!C109</f>
        <v>A4569</v>
      </c>
      <c r="D108" s="14">
        <f>'[1]2026 Orders'!D109</f>
        <v>0</v>
      </c>
      <c r="E108" s="17" t="str" cm="1">
        <f t="array" ref="E108">IF(C108=0,"",
HYPERLINK(
"#'2026 Orders'!C"&amp;
MATCH(1,
('2026 Orders'!C:C=C108)*
('2026 Orders'!G:G=G108)*
('2026 Orders'!N:N=N108),
0),
"Open "&amp;C108
))</f>
        <v>Open A4569</v>
      </c>
      <c r="F108" s="14">
        <f>'[1]2026 Orders'!F109</f>
        <v>0</v>
      </c>
      <c r="G108" s="14" t="str">
        <f>'[1]2026 Orders'!G109</f>
        <v>MOTILMX-60-FD</v>
      </c>
      <c r="H108" s="14" t="str" cm="1">
        <f t="array" ref="H108">IFERROR(_xlfn.TEXTJOIN("-",,INDEX(_xlfn.TEXTSPLIT(TableGive[[#This Row],[SKU]],"-"),{1,2})),"")</f>
        <v>MOTILMX-60</v>
      </c>
      <c r="I108" s="15" t="str">
        <f>IFERROR(_xlfn.TEXTAFTER(TableGive[[#This Row],[SKU]],"-",-1),"")</f>
        <v>FD</v>
      </c>
      <c r="J108" s="14">
        <f>'[1]2026 Orders'!H109</f>
        <v>24</v>
      </c>
      <c r="K108" t="str">
        <f>'[1]2026 Orders'!I109</f>
        <v>F31-23.0</v>
      </c>
      <c r="L108">
        <f>'[1]2026 Orders'!J109</f>
        <v>24</v>
      </c>
      <c r="N108" s="10" t="str">
        <f>'[1]2026 Orders'!L109</f>
        <v>D/W Sent</v>
      </c>
      <c r="O108">
        <f>'[1]2026 Orders'!M109</f>
        <v>0</v>
      </c>
      <c r="P108" t="str">
        <f>'[1]2026 Orders'!N109</f>
        <v>NA</v>
      </c>
      <c r="Q108" t="str">
        <f>'[1]2026 Orders'!O109</f>
        <v>609788968122</v>
      </c>
      <c r="R108">
        <f>'[1]2026 Orders'!P109</f>
        <v>6500</v>
      </c>
      <c r="S108">
        <f>'[1]2026 Orders'!Q109</f>
        <v>4848</v>
      </c>
      <c r="T108" t="str">
        <f>'[1]2026 Orders'!R109</f>
        <v>complete</v>
      </c>
      <c r="U108">
        <f>'[1]2026 Orders'!S109</f>
        <v>0</v>
      </c>
      <c r="V108">
        <f>'[1]2026 Orders'!T109</f>
        <v>0</v>
      </c>
      <c r="W108">
        <f>'[1]2026 Orders'!U109</f>
        <v>0</v>
      </c>
      <c r="X108">
        <f>'[1]2026 Orders'!V109</f>
        <v>0</v>
      </c>
      <c r="Y108">
        <f>'[1]2026 Orders'!W109</f>
        <v>0</v>
      </c>
      <c r="Z108">
        <f>'[1]2026 Orders'!X109</f>
        <v>0</v>
      </c>
      <c r="AC108" t="str">
        <f t="shared" si="2"/>
        <v>/24</v>
      </c>
      <c r="AD108" t="e">
        <f t="shared" si="3"/>
        <v>#VALUE!</v>
      </c>
    </row>
    <row r="109" spans="1:30" ht="33" hidden="1" customHeight="1" x14ac:dyDescent="0.3">
      <c r="A109">
        <f>'[1]2026 Orders'!A110</f>
        <v>45971</v>
      </c>
      <c r="B109" s="14" t="str">
        <f>'[1]2026 Orders'!B110</f>
        <v>Botswana</v>
      </c>
      <c r="C109" s="14" t="str">
        <f>'[1]2026 Orders'!C110</f>
        <v>A4569</v>
      </c>
      <c r="D109" s="14">
        <f>'[1]2026 Orders'!D110</f>
        <v>0</v>
      </c>
      <c r="E109" s="17" t="str" cm="1">
        <f t="array" ref="E109">IF(C109=0,"",
HYPERLINK(
"#'2026 Orders'!C"&amp;
MATCH(1,
('2026 Orders'!C:C=C109)*
('2026 Orders'!G:G=G109)*
('2026 Orders'!N:N=N109),
0),
"Open "&amp;C109
))</f>
        <v>Open A4569</v>
      </c>
      <c r="F109" s="14">
        <f>'[1]2026 Orders'!F110</f>
        <v>0</v>
      </c>
      <c r="G109" s="14" t="str">
        <f>'[1]2026 Orders'!G110</f>
        <v>MFSPLS-120-FD</v>
      </c>
      <c r="H109" s="14" t="str" cm="1">
        <f t="array" ref="H109">IFERROR(_xlfn.TEXTJOIN("-",,INDEX(_xlfn.TEXTSPLIT(TableGive[[#This Row],[SKU]],"-"),{1,2})),"")</f>
        <v>MFSPLS-120</v>
      </c>
      <c r="I109" s="15" t="str">
        <f>IFERROR(_xlfn.TEXTAFTER(TableGive[[#This Row],[SKU]],"-",-1),"")</f>
        <v>FD</v>
      </c>
      <c r="J109" s="14">
        <f>'[1]2026 Orders'!H110</f>
        <v>48</v>
      </c>
      <c r="K109" t="str">
        <f>'[1]2026 Orders'!I110</f>
        <v>F30-25.1</v>
      </c>
      <c r="L109">
        <f>'[1]2026 Orders'!J110</f>
        <v>48</v>
      </c>
      <c r="N109" s="10" t="str">
        <f>'[1]2026 Orders'!L110</f>
        <v>D/W Sent</v>
      </c>
      <c r="O109">
        <f>'[1]2026 Orders'!M110</f>
        <v>0</v>
      </c>
      <c r="P109" t="str">
        <f>'[1]2026 Orders'!N110</f>
        <v>NA</v>
      </c>
      <c r="Q109">
        <f>'[1]2026 Orders'!O110</f>
        <v>609788968344</v>
      </c>
      <c r="R109">
        <f>'[1]2026 Orders'!P110</f>
        <v>14000</v>
      </c>
      <c r="S109">
        <f>'[1]2026 Orders'!Q110</f>
        <v>4846</v>
      </c>
      <c r="T109" t="str">
        <f>'[1]2026 Orders'!R110</f>
        <v>complete</v>
      </c>
      <c r="U109">
        <f>'[1]2026 Orders'!S110</f>
        <v>0</v>
      </c>
      <c r="V109">
        <f>'[1]2026 Orders'!T110</f>
        <v>0</v>
      </c>
      <c r="W109">
        <f>'[1]2026 Orders'!U110</f>
        <v>0</v>
      </c>
      <c r="X109">
        <f>'[1]2026 Orders'!V110</f>
        <v>0</v>
      </c>
      <c r="Y109">
        <f>'[1]2026 Orders'!W110</f>
        <v>0</v>
      </c>
      <c r="Z109">
        <f>'[1]2026 Orders'!X110</f>
        <v>0</v>
      </c>
      <c r="AC109" t="str">
        <f t="shared" si="2"/>
        <v>/48</v>
      </c>
      <c r="AD109" t="e">
        <f t="shared" si="3"/>
        <v>#VALUE!</v>
      </c>
    </row>
    <row r="110" spans="1:30" ht="33" hidden="1" customHeight="1" x14ac:dyDescent="0.3">
      <c r="A110">
        <f>'[1]2026 Orders'!A111</f>
        <v>45971</v>
      </c>
      <c r="B110" s="14" t="str">
        <f>'[1]2026 Orders'!B111</f>
        <v>Botswana</v>
      </c>
      <c r="C110" s="14" t="str">
        <f>'[1]2026 Orders'!C111</f>
        <v>A4569</v>
      </c>
      <c r="D110" s="14">
        <f>'[1]2026 Orders'!D111</f>
        <v>0</v>
      </c>
      <c r="E110" s="17" t="str" cm="1">
        <f t="array" ref="E110">IF(C110=0,"",
HYPERLINK(
"#'2026 Orders'!C"&amp;
MATCH(1,
('2026 Orders'!C:C=C110)*
('2026 Orders'!G:G=G110)*
('2026 Orders'!N:N=N110),
0),
"Open "&amp;C110
))</f>
        <v>Open A4569</v>
      </c>
      <c r="F110" s="14">
        <f>'[1]2026 Orders'!F111</f>
        <v>0</v>
      </c>
      <c r="G110" s="14" t="str">
        <f>'[1]2026 Orders'!G111</f>
        <v>FIBRO-60-FD</v>
      </c>
      <c r="H110" s="14" t="str" cm="1">
        <f t="array" ref="H110">IFERROR(_xlfn.TEXTJOIN("-",,INDEX(_xlfn.TEXTSPLIT(TableGive[[#This Row],[SKU]],"-"),{1,2})),"")</f>
        <v>FIBRO-60</v>
      </c>
      <c r="I110" s="15" t="str">
        <f>IFERROR(_xlfn.TEXTAFTER(TableGive[[#This Row],[SKU]],"-",-1),"")</f>
        <v>FD</v>
      </c>
      <c r="J110" s="14">
        <f>'[1]2026 Orders'!H111</f>
        <v>48</v>
      </c>
      <c r="K110" t="str">
        <f>'[1]2026 Orders'!I111</f>
        <v>F17-25.1</v>
      </c>
      <c r="L110">
        <f>'[1]2026 Orders'!J111</f>
        <v>48</v>
      </c>
      <c r="N110" s="10" t="str">
        <f>'[1]2026 Orders'!L111</f>
        <v>D/W Sent</v>
      </c>
      <c r="O110">
        <f>'[1]2026 Orders'!M111</f>
        <v>0</v>
      </c>
      <c r="P110" t="str">
        <f>'[1]2026 Orders'!N111</f>
        <v>NA</v>
      </c>
      <c r="Q110">
        <f>'[1]2026 Orders'!O111</f>
        <v>609788968498</v>
      </c>
      <c r="R110">
        <f>'[1]2026 Orders'!P111</f>
        <v>6500</v>
      </c>
      <c r="S110">
        <f>'[1]2026 Orders'!Q111</f>
        <v>4840</v>
      </c>
      <c r="T110" t="str">
        <f>'[1]2026 Orders'!R111</f>
        <v>complete</v>
      </c>
      <c r="U110">
        <f>'[1]2026 Orders'!S111</f>
        <v>0</v>
      </c>
      <c r="V110">
        <f>'[1]2026 Orders'!T111</f>
        <v>0</v>
      </c>
      <c r="W110">
        <f>'[1]2026 Orders'!U111</f>
        <v>0</v>
      </c>
      <c r="X110">
        <f>'[1]2026 Orders'!V111</f>
        <v>0</v>
      </c>
      <c r="Y110">
        <f>'[1]2026 Orders'!W111</f>
        <v>45981</v>
      </c>
      <c r="Z110">
        <f>'[1]2026 Orders'!X111</f>
        <v>0</v>
      </c>
      <c r="AC110" t="str">
        <f t="shared" si="2"/>
        <v>/48</v>
      </c>
      <c r="AD110" t="e">
        <f t="shared" si="3"/>
        <v>#VALUE!</v>
      </c>
    </row>
    <row r="111" spans="1:30" ht="33" hidden="1" customHeight="1" x14ac:dyDescent="0.3">
      <c r="A111">
        <f>'[1]2026 Orders'!A112</f>
        <v>45971</v>
      </c>
      <c r="B111" s="14" t="str">
        <f>'[1]2026 Orders'!B112</f>
        <v>Botswana</v>
      </c>
      <c r="C111" s="14" t="str">
        <f>'[1]2026 Orders'!C112</f>
        <v>A4569</v>
      </c>
      <c r="D111" s="14">
        <f>'[1]2026 Orders'!D112</f>
        <v>0</v>
      </c>
      <c r="E111" s="17" t="str" cm="1">
        <f t="array" ref="E111">IF(C111=0,"",
HYPERLINK(
"#'2026 Orders'!C"&amp;
MATCH(1,
('2026 Orders'!C:C=C111)*
('2026 Orders'!G:G=G111)*
('2026 Orders'!N:N=N111),
0),
"Open "&amp;C111
))</f>
        <v>Open A4569</v>
      </c>
      <c r="F111" s="14">
        <f>'[1]2026 Orders'!F112</f>
        <v>0</v>
      </c>
      <c r="G111" s="14" t="str">
        <f>'[1]2026 Orders'!G112</f>
        <v>DHEA25-60-FD</v>
      </c>
      <c r="H111" s="14" t="str" cm="1">
        <f t="array" ref="H111">IFERROR(_xlfn.TEXTJOIN("-",,INDEX(_xlfn.TEXTSPLIT(TableGive[[#This Row],[SKU]],"-"),{1,2})),"")</f>
        <v>DHEA25-60</v>
      </c>
      <c r="I111" s="15" t="str">
        <f>IFERROR(_xlfn.TEXTAFTER(TableGive[[#This Row],[SKU]],"-",-1),"")</f>
        <v>FD</v>
      </c>
      <c r="J111" s="14">
        <f>'[1]2026 Orders'!H112</f>
        <v>48</v>
      </c>
      <c r="K111" t="str">
        <f>'[1]2026 Orders'!I112</f>
        <v>F14-25.2</v>
      </c>
      <c r="L111">
        <f>'[1]2026 Orders'!J112</f>
        <v>48</v>
      </c>
      <c r="N111" s="10" t="str">
        <f>'[1]2026 Orders'!L112</f>
        <v>D/W Sent</v>
      </c>
      <c r="O111">
        <f>'[1]2026 Orders'!M112</f>
        <v>0</v>
      </c>
      <c r="P111" t="str">
        <f>'[1]2026 Orders'!N112</f>
        <v>NA</v>
      </c>
      <c r="Q111" t="str">
        <f>'[1]2026 Orders'!O112</f>
        <v>609788968153</v>
      </c>
      <c r="R111">
        <f>'[1]2026 Orders'!P112</f>
        <v>0</v>
      </c>
      <c r="S111">
        <f>'[1]2026 Orders'!Q112</f>
        <v>0</v>
      </c>
      <c r="T111">
        <f>'[1]2026 Orders'!R112</f>
        <v>0</v>
      </c>
      <c r="U111">
        <f>'[1]2026 Orders'!S112</f>
        <v>0</v>
      </c>
      <c r="V111">
        <f>'[1]2026 Orders'!T112</f>
        <v>0</v>
      </c>
      <c r="W111">
        <f>'[1]2026 Orders'!U112</f>
        <v>0</v>
      </c>
      <c r="X111">
        <f>'[1]2026 Orders'!V112</f>
        <v>0</v>
      </c>
      <c r="Y111">
        <f>'[1]2026 Orders'!W112</f>
        <v>0</v>
      </c>
      <c r="Z111">
        <f>'[1]2026 Orders'!X112</f>
        <v>0</v>
      </c>
      <c r="AC111" t="str">
        <f t="shared" si="2"/>
        <v>/48</v>
      </c>
      <c r="AD111" t="e">
        <f t="shared" si="3"/>
        <v>#VALUE!</v>
      </c>
    </row>
    <row r="112" spans="1:30" ht="33" hidden="1" customHeight="1" x14ac:dyDescent="0.3">
      <c r="A112">
        <f>'[1]2026 Orders'!A113</f>
        <v>45971</v>
      </c>
      <c r="B112" s="14" t="str">
        <f>'[1]2026 Orders'!B113</f>
        <v>Botswana</v>
      </c>
      <c r="C112" s="14" t="str">
        <f>'[1]2026 Orders'!C113</f>
        <v>A4569</v>
      </c>
      <c r="D112" s="14">
        <f>'[1]2026 Orders'!D113</f>
        <v>0</v>
      </c>
      <c r="E112" s="17" t="str" cm="1">
        <f t="array" ref="E112">IF(C112=0,"",
HYPERLINK(
"#'2026 Orders'!C"&amp;
MATCH(1,
('2026 Orders'!C:C=C112)*
('2026 Orders'!G:G=G112)*
('2026 Orders'!N:N=N112),
0),
"Open "&amp;C112
))</f>
        <v>Open A4569</v>
      </c>
      <c r="F112" s="14">
        <f>'[1]2026 Orders'!F113</f>
        <v>0</v>
      </c>
      <c r="G112" s="14" t="str">
        <f>'[1]2026 Orders'!G113</f>
        <v>DHEA50-60-FD</v>
      </c>
      <c r="H112" s="14" t="str" cm="1">
        <f t="array" ref="H112">IFERROR(_xlfn.TEXTJOIN("-",,INDEX(_xlfn.TEXTSPLIT(TableGive[[#This Row],[SKU]],"-"),{1,2})),"")</f>
        <v>DHEA50-60</v>
      </c>
      <c r="I112" s="15" t="str">
        <f>IFERROR(_xlfn.TEXTAFTER(TableGive[[#This Row],[SKU]],"-",-1),"")</f>
        <v>FD</v>
      </c>
      <c r="J112" s="14">
        <f>'[1]2026 Orders'!H113</f>
        <v>48</v>
      </c>
      <c r="K112" t="str">
        <f>'[1]2026 Orders'!I113</f>
        <v>F13-25.2</v>
      </c>
      <c r="L112">
        <f>'[1]2026 Orders'!J113</f>
        <v>48</v>
      </c>
      <c r="N112" s="10" t="str">
        <f>'[1]2026 Orders'!L113</f>
        <v>D/W Sent</v>
      </c>
      <c r="O112">
        <f>'[1]2026 Orders'!M113</f>
        <v>0</v>
      </c>
      <c r="P112" t="str">
        <f>'[1]2026 Orders'!N113</f>
        <v>NA</v>
      </c>
      <c r="Q112">
        <f>'[1]2026 Orders'!O113</f>
        <v>609788968221</v>
      </c>
      <c r="R112">
        <f>'[1]2026 Orders'!P113</f>
        <v>5000</v>
      </c>
      <c r="S112">
        <f>'[1]2026 Orders'!Q113</f>
        <v>4832</v>
      </c>
      <c r="T112" t="str">
        <f>'[1]2026 Orders'!R113</f>
        <v>complete</v>
      </c>
      <c r="U112">
        <f>'[1]2026 Orders'!S113</f>
        <v>0</v>
      </c>
      <c r="V112">
        <f>'[1]2026 Orders'!T113</f>
        <v>0</v>
      </c>
      <c r="W112">
        <f>'[1]2026 Orders'!U113</f>
        <v>0</v>
      </c>
      <c r="X112">
        <f>'[1]2026 Orders'!V113</f>
        <v>0</v>
      </c>
      <c r="Y112">
        <f>'[1]2026 Orders'!W113</f>
        <v>0</v>
      </c>
      <c r="Z112">
        <f>'[1]2026 Orders'!X113</f>
        <v>0</v>
      </c>
      <c r="AC112" t="str">
        <f t="shared" si="2"/>
        <v>/48</v>
      </c>
      <c r="AD112" t="e">
        <f t="shared" si="3"/>
        <v>#VALUE!</v>
      </c>
    </row>
    <row r="113" spans="1:30" ht="33" hidden="1" customHeight="1" x14ac:dyDescent="0.3">
      <c r="A113">
        <f>'[1]2026 Orders'!A114</f>
        <v>45971</v>
      </c>
      <c r="B113" s="14" t="str">
        <f>'[1]2026 Orders'!B114</f>
        <v>Botswana</v>
      </c>
      <c r="C113" s="14" t="str">
        <f>'[1]2026 Orders'!C114</f>
        <v>A4569</v>
      </c>
      <c r="D113" s="14">
        <f>'[1]2026 Orders'!D114</f>
        <v>0</v>
      </c>
      <c r="E113" s="17" t="str" cm="1">
        <f t="array" ref="E113">IF(C113=0,"",
HYPERLINK(
"#'2026 Orders'!C"&amp;
MATCH(1,
('2026 Orders'!C:C=C113)*
('2026 Orders'!G:G=G113)*
('2026 Orders'!N:N=N113),
0),
"Open "&amp;C113
))</f>
        <v>Open A4569</v>
      </c>
      <c r="F113" s="14">
        <f>'[1]2026 Orders'!F114</f>
        <v>0</v>
      </c>
      <c r="G113" s="14" t="str">
        <f>'[1]2026 Orders'!G114</f>
        <v>WFSPLS-180-FD</v>
      </c>
      <c r="H113" s="14" t="str" cm="1">
        <f t="array" ref="H113">IFERROR(_xlfn.TEXTJOIN("-",,INDEX(_xlfn.TEXTSPLIT(TableGive[[#This Row],[SKU]],"-"),{1,2})),"")</f>
        <v>WFSPLS-180</v>
      </c>
      <c r="I113" s="15" t="str">
        <f>IFERROR(_xlfn.TEXTAFTER(TableGive[[#This Row],[SKU]],"-",-1),"")</f>
        <v>FD</v>
      </c>
      <c r="J113" s="14">
        <f>'[1]2026 Orders'!H114</f>
        <v>48</v>
      </c>
      <c r="K113" t="str">
        <f>'[1]2026 Orders'!I114</f>
        <v>F73-23.0</v>
      </c>
      <c r="L113">
        <f>'[1]2026 Orders'!J114</f>
        <v>48</v>
      </c>
      <c r="N113" s="10" t="str">
        <f>'[1]2026 Orders'!L114</f>
        <v>D/W Sent</v>
      </c>
      <c r="O113">
        <f>'[1]2026 Orders'!M114</f>
        <v>0</v>
      </c>
      <c r="P113" t="str">
        <f>'[1]2026 Orders'!N114</f>
        <v>NA</v>
      </c>
      <c r="Q113">
        <f>'[1]2026 Orders'!O114</f>
        <v>609788968351</v>
      </c>
      <c r="R113">
        <f>'[1]2026 Orders'!P114</f>
        <v>9000</v>
      </c>
      <c r="S113">
        <f>'[1]2026 Orders'!Q114</f>
        <v>4845</v>
      </c>
      <c r="T113" t="str">
        <f>'[1]2026 Orders'!R114</f>
        <v>complete</v>
      </c>
      <c r="U113">
        <f>'[1]2026 Orders'!S114</f>
        <v>0</v>
      </c>
      <c r="V113">
        <f>'[1]2026 Orders'!T114</f>
        <v>0</v>
      </c>
      <c r="W113">
        <f>'[1]2026 Orders'!U114</f>
        <v>0</v>
      </c>
      <c r="X113">
        <f>'[1]2026 Orders'!V114</f>
        <v>0</v>
      </c>
      <c r="Y113">
        <f>'[1]2026 Orders'!W114</f>
        <v>0</v>
      </c>
      <c r="Z113">
        <f>'[1]2026 Orders'!X114</f>
        <v>0</v>
      </c>
      <c r="AC113" t="str">
        <f t="shared" si="2"/>
        <v>/48</v>
      </c>
      <c r="AD113" t="e">
        <f t="shared" si="3"/>
        <v>#VALUE!</v>
      </c>
    </row>
    <row r="114" spans="1:30" ht="33" hidden="1" customHeight="1" x14ac:dyDescent="0.3">
      <c r="A114">
        <f>'[1]2026 Orders'!A115</f>
        <v>45971</v>
      </c>
      <c r="B114" s="14" t="str">
        <f>'[1]2026 Orders'!B115</f>
        <v>Botswana</v>
      </c>
      <c r="C114" s="14" t="str">
        <f>'[1]2026 Orders'!C115</f>
        <v>A4569</v>
      </c>
      <c r="D114" s="14">
        <f>'[1]2026 Orders'!D115</f>
        <v>0</v>
      </c>
      <c r="E114" s="17" t="str" cm="1">
        <f t="array" ref="E114">IF(C114=0,"",
HYPERLINK(
"#'2026 Orders'!C"&amp;
MATCH(1,
('2026 Orders'!C:C=C114)*
('2026 Orders'!G:G=G114)*
('2026 Orders'!N:N=N114),
0),
"Open "&amp;C114
))</f>
        <v>Open A4569</v>
      </c>
      <c r="F114" s="14">
        <f>'[1]2026 Orders'!F115</f>
        <v>0</v>
      </c>
      <c r="G114" s="14" t="str">
        <f>'[1]2026 Orders'!G115</f>
        <v>SPERMCT-60-FD</v>
      </c>
      <c r="H114" s="14" t="str" cm="1">
        <f t="array" ref="H114">IFERROR(_xlfn.TEXTJOIN("-",,INDEX(_xlfn.TEXTSPLIT(TableGive[[#This Row],[SKU]],"-"),{1,2})),"")</f>
        <v>SPERMCT-60</v>
      </c>
      <c r="I114" s="15" t="str">
        <f>IFERROR(_xlfn.TEXTAFTER(TableGive[[#This Row],[SKU]],"-",-1),"")</f>
        <v>FD</v>
      </c>
      <c r="J114" s="14">
        <f>'[1]2026 Orders'!H115</f>
        <v>24</v>
      </c>
      <c r="K114" t="str">
        <f>'[1]2026 Orders'!I115</f>
        <v>F64-25.0</v>
      </c>
      <c r="L114">
        <f>'[1]2026 Orders'!J115</f>
        <v>24</v>
      </c>
      <c r="N114" s="10" t="str">
        <f>'[1]2026 Orders'!L115</f>
        <v>D/W Sent</v>
      </c>
      <c r="O114">
        <f>'[1]2026 Orders'!M115</f>
        <v>0</v>
      </c>
      <c r="P114" t="str">
        <f>'[1]2026 Orders'!N115</f>
        <v>NA</v>
      </c>
      <c r="Q114">
        <f>'[1]2026 Orders'!O115</f>
        <v>609788968405</v>
      </c>
      <c r="R114">
        <f>'[1]2026 Orders'!P115</f>
        <v>5500</v>
      </c>
      <c r="S114">
        <f>'[1]2026 Orders'!Q115</f>
        <v>4850</v>
      </c>
      <c r="T114" t="str">
        <f>'[1]2026 Orders'!R115</f>
        <v>complete</v>
      </c>
      <c r="U114">
        <f>'[1]2026 Orders'!S115</f>
        <v>0</v>
      </c>
      <c r="V114">
        <f>'[1]2026 Orders'!T115</f>
        <v>0</v>
      </c>
      <c r="W114">
        <f>'[1]2026 Orders'!U115</f>
        <v>0</v>
      </c>
      <c r="X114">
        <f>'[1]2026 Orders'!V115</f>
        <v>0</v>
      </c>
      <c r="Y114">
        <f>'[1]2026 Orders'!W115</f>
        <v>0</v>
      </c>
      <c r="Z114">
        <f>'[1]2026 Orders'!X115</f>
        <v>0</v>
      </c>
      <c r="AC114" t="str">
        <f t="shared" si="2"/>
        <v>/24</v>
      </c>
      <c r="AD114" t="e">
        <f t="shared" si="3"/>
        <v>#VALUE!</v>
      </c>
    </row>
    <row r="115" spans="1:30" ht="33" hidden="1" customHeight="1" x14ac:dyDescent="0.3">
      <c r="A115">
        <f>'[1]2026 Orders'!A116</f>
        <v>45971</v>
      </c>
      <c r="B115" s="14" t="str">
        <f>'[1]2026 Orders'!B116</f>
        <v>Botswana</v>
      </c>
      <c r="C115" s="14" t="str">
        <f>'[1]2026 Orders'!C116</f>
        <v>A4569</v>
      </c>
      <c r="D115" s="14">
        <f>'[1]2026 Orders'!D116</f>
        <v>0</v>
      </c>
      <c r="E115" s="17" t="str" cm="1">
        <f t="array" ref="E115">IF(C115=0,"",
HYPERLINK(
"#'2026 Orders'!C"&amp;
MATCH(1,
('2026 Orders'!C:C=C115)*
('2026 Orders'!G:G=G115)*
('2026 Orders'!N:N=N115),
0),
"Open "&amp;C115
))</f>
        <v>Open A4569</v>
      </c>
      <c r="F115" s="14">
        <f>'[1]2026 Orders'!F116</f>
        <v>0</v>
      </c>
      <c r="G115" s="14" t="str">
        <f>'[1]2026 Orders'!G116</f>
        <v>OVAMAX-120-FD</v>
      </c>
      <c r="H115" s="14" t="str" cm="1">
        <f t="array" ref="H115">IFERROR(_xlfn.TEXTJOIN("-",,INDEX(_xlfn.TEXTSPLIT(TableGive[[#This Row],[SKU]],"-"),{1,2})),"")</f>
        <v>OVAMAX-120</v>
      </c>
      <c r="I115" s="15" t="str">
        <f>IFERROR(_xlfn.TEXTAFTER(TableGive[[#This Row],[SKU]],"-",-1),"")</f>
        <v>FD</v>
      </c>
      <c r="J115" s="14">
        <f>'[1]2026 Orders'!H116</f>
        <v>48</v>
      </c>
      <c r="K115" t="str">
        <f>'[1]2026 Orders'!I116</f>
        <v>F97-25.0</v>
      </c>
      <c r="L115">
        <f>'[1]2026 Orders'!J116</f>
        <v>48</v>
      </c>
      <c r="N115" s="10" t="str">
        <f>'[1]2026 Orders'!L116</f>
        <v>D/W Sent</v>
      </c>
      <c r="O115">
        <f>'[1]2026 Orders'!M116</f>
        <v>0</v>
      </c>
      <c r="P115" t="str">
        <f>'[1]2026 Orders'!N116</f>
        <v>NA</v>
      </c>
      <c r="Q115">
        <f>'[1]2026 Orders'!O116</f>
        <v>609788968399</v>
      </c>
      <c r="R115">
        <f>'[1]2026 Orders'!P116</f>
        <v>16000</v>
      </c>
      <c r="S115">
        <f>'[1]2026 Orders'!Q116</f>
        <v>4823</v>
      </c>
      <c r="T115" t="str">
        <f>'[1]2026 Orders'!R116</f>
        <v>complete</v>
      </c>
      <c r="U115">
        <f>'[1]2026 Orders'!S116</f>
        <v>0</v>
      </c>
      <c r="V115">
        <f>'[1]2026 Orders'!T116</f>
        <v>0</v>
      </c>
      <c r="W115">
        <f>'[1]2026 Orders'!U116</f>
        <v>0</v>
      </c>
      <c r="X115">
        <f>'[1]2026 Orders'!V116</f>
        <v>0</v>
      </c>
      <c r="Y115">
        <f>'[1]2026 Orders'!W116</f>
        <v>0</v>
      </c>
      <c r="Z115">
        <f>'[1]2026 Orders'!X116</f>
        <v>0</v>
      </c>
      <c r="AC115" t="str">
        <f t="shared" si="2"/>
        <v>/48</v>
      </c>
      <c r="AD115" t="e">
        <f t="shared" si="3"/>
        <v>#VALUE!</v>
      </c>
    </row>
    <row r="116" spans="1:30" ht="33" hidden="1" customHeight="1" x14ac:dyDescent="0.3">
      <c r="A116">
        <f>'[1]2026 Orders'!A117</f>
        <v>45971</v>
      </c>
      <c r="B116" s="14" t="str">
        <f>'[1]2026 Orders'!B117</f>
        <v>Botswana</v>
      </c>
      <c r="C116" s="14" t="str">
        <f>'[1]2026 Orders'!C117</f>
        <v>A4569</v>
      </c>
      <c r="D116" s="14">
        <f>'[1]2026 Orders'!D117</f>
        <v>0</v>
      </c>
      <c r="E116" s="17" t="str" cm="1">
        <f t="array" ref="E116">IF(C116=0,"",
HYPERLINK(
"#'2026 Orders'!C"&amp;
MATCH(1,
('2026 Orders'!C:C=C116)*
('2026 Orders'!G:G=G116)*
('2026 Orders'!N:N=N116),
0),
"Open "&amp;C116
))</f>
        <v>Open A4569</v>
      </c>
      <c r="F116" s="14">
        <f>'[1]2026 Orders'!F117</f>
        <v>49241225</v>
      </c>
      <c r="G116" s="14" t="str">
        <f>'[1]2026 Orders'!G117</f>
        <v>CAVIN-60-FD</v>
      </c>
      <c r="H116" s="14" t="str" cm="1">
        <f t="array" ref="H116">IFERROR(_xlfn.TEXTJOIN("-",,INDEX(_xlfn.TEXTSPLIT(TableGive[[#This Row],[SKU]],"-"),{1,2})),"")</f>
        <v>CAVIN-60</v>
      </c>
      <c r="I116" s="15" t="str">
        <f>IFERROR(_xlfn.TEXTAFTER(TableGive[[#This Row],[SKU]],"-",-1),"")</f>
        <v>FD</v>
      </c>
      <c r="J116" s="14">
        <f>'[1]2026 Orders'!H117</f>
        <v>48</v>
      </c>
      <c r="K116" t="str">
        <f>'[1]2026 Orders'!I117</f>
        <v>F08-25.0</v>
      </c>
      <c r="L116">
        <f>'[1]2026 Orders'!J117</f>
        <v>48</v>
      </c>
      <c r="N116" s="10" t="str">
        <f>'[1]2026 Orders'!L117</f>
        <v>D/W Sent</v>
      </c>
      <c r="O116">
        <f>'[1]2026 Orders'!M117</f>
        <v>0</v>
      </c>
      <c r="P116" t="str">
        <f>'[1]2026 Orders'!N117</f>
        <v>NA</v>
      </c>
      <c r="Q116">
        <f>'[1]2026 Orders'!O117</f>
        <v>609788968597</v>
      </c>
      <c r="R116">
        <f>'[1]2026 Orders'!P117</f>
        <v>5000</v>
      </c>
      <c r="S116">
        <f>'[1]2026 Orders'!Q117</f>
        <v>4924</v>
      </c>
      <c r="T116" t="str">
        <f>'[1]2026 Orders'!R117</f>
        <v>Complete</v>
      </c>
      <c r="U116">
        <f>'[1]2026 Orders'!S117</f>
        <v>0</v>
      </c>
      <c r="V116">
        <f>'[1]2026 Orders'!T117</f>
        <v>0</v>
      </c>
      <c r="W116">
        <f>'[1]2026 Orders'!U117</f>
        <v>0</v>
      </c>
      <c r="X116">
        <f>'[1]2026 Orders'!V117</f>
        <v>0</v>
      </c>
      <c r="Y116">
        <f>'[1]2026 Orders'!W117</f>
        <v>0</v>
      </c>
      <c r="Z116">
        <f>'[1]2026 Orders'!X117</f>
        <v>0</v>
      </c>
      <c r="AC116" t="str">
        <f t="shared" si="2"/>
        <v>/48</v>
      </c>
      <c r="AD116" t="e">
        <f t="shared" si="3"/>
        <v>#VALUE!</v>
      </c>
    </row>
    <row r="117" spans="1:30" ht="33" hidden="1" customHeight="1" x14ac:dyDescent="0.3">
      <c r="A117">
        <f>'[1]2026 Orders'!A118</f>
        <v>45971</v>
      </c>
      <c r="B117" s="14" t="str">
        <f>'[1]2026 Orders'!B118</f>
        <v>Botswana</v>
      </c>
      <c r="C117" s="14" t="str">
        <f>'[1]2026 Orders'!C118</f>
        <v>A4569</v>
      </c>
      <c r="D117" s="14">
        <f>'[1]2026 Orders'!D118</f>
        <v>0</v>
      </c>
      <c r="E117" s="17" t="str" cm="1">
        <f t="array" ref="E117">IF(C117=0,"",
HYPERLINK(
"#'2026 Orders'!C"&amp;
MATCH(1,
('2026 Orders'!C:C=C117)*
('2026 Orders'!G:G=G117)*
('2026 Orders'!N:N=N117),
0),
"Open "&amp;C117
))</f>
        <v>Open A4569</v>
      </c>
      <c r="F117" s="14">
        <f>'[1]2026 Orders'!F118</f>
        <v>0</v>
      </c>
      <c r="G117" s="14" t="str">
        <f>'[1]2026 Orders'!G118</f>
        <v>FERTMX-90-RE</v>
      </c>
      <c r="H117" s="14" t="str" cm="1">
        <f t="array" ref="H117">IFERROR(_xlfn.TEXTJOIN("-",,INDEX(_xlfn.TEXTSPLIT(TableGive[[#This Row],[SKU]],"-"),{1,2})),"")</f>
        <v>FERTMX-90</v>
      </c>
      <c r="I117" s="15" t="str">
        <f>IFERROR(_xlfn.TEXTAFTER(TableGive[[#This Row],[SKU]],"-",-1),"")</f>
        <v>RE</v>
      </c>
      <c r="J117" s="14">
        <f>'[1]2026 Orders'!H118</f>
        <v>48</v>
      </c>
      <c r="K117" t="str">
        <f>'[1]2026 Orders'!I118</f>
        <v>R16-22.0</v>
      </c>
      <c r="L117">
        <f>'[1]2026 Orders'!J118</f>
        <v>48</v>
      </c>
      <c r="N117" s="10" t="str">
        <f>'[1]2026 Orders'!L118</f>
        <v>D/W Sent</v>
      </c>
      <c r="O117">
        <f>'[1]2026 Orders'!M118</f>
        <v>0</v>
      </c>
      <c r="P117" t="str">
        <f>'[1]2026 Orders'!N118</f>
        <v>Y</v>
      </c>
      <c r="Q117">
        <f>'[1]2026 Orders'!O118</f>
        <v>609788968726</v>
      </c>
      <c r="R117">
        <f>'[1]2026 Orders'!P118</f>
        <v>5000</v>
      </c>
      <c r="S117">
        <f>'[1]2026 Orders'!Q118</f>
        <v>4834</v>
      </c>
      <c r="T117" t="str">
        <f>'[1]2026 Orders'!R118</f>
        <v>complete</v>
      </c>
      <c r="U117">
        <f>'[1]2026 Orders'!S118</f>
        <v>0</v>
      </c>
      <c r="V117">
        <f>'[1]2026 Orders'!T118</f>
        <v>0</v>
      </c>
      <c r="W117">
        <f>'[1]2026 Orders'!U118</f>
        <v>0</v>
      </c>
      <c r="X117">
        <f>'[1]2026 Orders'!V118</f>
        <v>0</v>
      </c>
      <c r="Y117">
        <f>'[1]2026 Orders'!W118</f>
        <v>0</v>
      </c>
      <c r="Z117">
        <f>'[1]2026 Orders'!X118</f>
        <v>0</v>
      </c>
      <c r="AC117" t="str">
        <f t="shared" si="2"/>
        <v>/48</v>
      </c>
      <c r="AD117" t="e">
        <f t="shared" si="3"/>
        <v>#VALUE!</v>
      </c>
    </row>
    <row r="118" spans="1:30" ht="33" hidden="1" customHeight="1" x14ac:dyDescent="0.3">
      <c r="A118">
        <f>'[1]2026 Orders'!A119</f>
        <v>45971</v>
      </c>
      <c r="B118" s="14" t="str">
        <f>'[1]2026 Orders'!B119</f>
        <v>Botswana</v>
      </c>
      <c r="C118" s="14" t="str">
        <f>'[1]2026 Orders'!C119</f>
        <v>A4569</v>
      </c>
      <c r="D118" s="14">
        <f>'[1]2026 Orders'!D119</f>
        <v>0</v>
      </c>
      <c r="E118" s="17" t="str" cm="1">
        <f t="array" ref="E118">IF(C118=0,"",
HYPERLINK(
"#'2026 Orders'!C"&amp;
MATCH(1,
('2026 Orders'!C:C=C118)*
('2026 Orders'!G:G=G118)*
('2026 Orders'!N:N=N118),
0),
"Open "&amp;C118
))</f>
        <v>Open A4569</v>
      </c>
      <c r="F118" s="14">
        <f>'[1]2026 Orders'!F119</f>
        <v>0</v>
      </c>
      <c r="G118" s="14" t="str">
        <f>'[1]2026 Orders'!G119</f>
        <v>OME369-90-FD</v>
      </c>
      <c r="H118" s="14" t="str" cm="1">
        <f t="array" ref="H118">IFERROR(_xlfn.TEXTJOIN("-",,INDEX(_xlfn.TEXTSPLIT(TableGive[[#This Row],[SKU]],"-"),{1,2})),"")</f>
        <v>OME369-90</v>
      </c>
      <c r="I118" s="15" t="str">
        <f>IFERROR(_xlfn.TEXTAFTER(TableGive[[#This Row],[SKU]],"-",-1),"")</f>
        <v>FD</v>
      </c>
      <c r="J118" s="14">
        <f>'[1]2026 Orders'!H119</f>
        <v>120</v>
      </c>
      <c r="K118" t="str">
        <f>'[1]2026 Orders'!I119</f>
        <v>F39-22.1</v>
      </c>
      <c r="L118">
        <f>'[1]2026 Orders'!J119</f>
        <v>120</v>
      </c>
      <c r="N118" s="10" t="str">
        <f>'[1]2026 Orders'!L119</f>
        <v>D/W Sent</v>
      </c>
      <c r="O118">
        <f>'[1]2026 Orders'!M119</f>
        <v>0</v>
      </c>
      <c r="P118" t="str">
        <f>'[1]2026 Orders'!N119</f>
        <v>Y</v>
      </c>
      <c r="Q118" t="str">
        <f>'[1]2026 Orders'!O119</f>
        <v>609788968511</v>
      </c>
      <c r="R118">
        <f>'[1]2026 Orders'!P119</f>
        <v>0</v>
      </c>
      <c r="S118">
        <f>'[1]2026 Orders'!Q119</f>
        <v>4896</v>
      </c>
      <c r="T118">
        <f>'[1]2026 Orders'!R119</f>
        <v>0</v>
      </c>
      <c r="U118">
        <f>'[1]2026 Orders'!S119</f>
        <v>0</v>
      </c>
      <c r="V118">
        <f>'[1]2026 Orders'!T119</f>
        <v>0</v>
      </c>
      <c r="W118">
        <f>'[1]2026 Orders'!U119</f>
        <v>0</v>
      </c>
      <c r="X118">
        <f>'[1]2026 Orders'!V119</f>
        <v>0</v>
      </c>
      <c r="Y118">
        <f>'[1]2026 Orders'!W119</f>
        <v>0</v>
      </c>
      <c r="Z118">
        <f>'[1]2026 Orders'!X119</f>
        <v>0</v>
      </c>
      <c r="AC118" t="str">
        <f t="shared" si="2"/>
        <v>/120</v>
      </c>
      <c r="AD118" t="e">
        <f t="shared" si="3"/>
        <v>#VALUE!</v>
      </c>
    </row>
    <row r="119" spans="1:30" ht="33" hidden="1" customHeight="1" x14ac:dyDescent="0.3">
      <c r="A119">
        <f>'[1]2026 Orders'!A120</f>
        <v>45971</v>
      </c>
      <c r="B119" s="14" t="str">
        <f>'[1]2026 Orders'!B120</f>
        <v>Botswana</v>
      </c>
      <c r="C119" s="14" t="str">
        <f>'[1]2026 Orders'!C120</f>
        <v>A4569</v>
      </c>
      <c r="D119" s="14">
        <f>'[1]2026 Orders'!D120</f>
        <v>0</v>
      </c>
      <c r="E119" s="17" t="str" cm="1">
        <f t="array" ref="E119">IF(C119=0,"",
HYPERLINK(
"#'2026 Orders'!C"&amp;
MATCH(1,
('2026 Orders'!C:C=C119)*
('2026 Orders'!G:G=G119)*
('2026 Orders'!N:N=N119),
0),
"Open "&amp;C119
))</f>
        <v>Open A4569</v>
      </c>
      <c r="F119" s="14">
        <f>'[1]2026 Orders'!F120</f>
        <v>0</v>
      </c>
      <c r="G119" s="14" t="str">
        <f>'[1]2026 Orders'!G120</f>
        <v>PRECON-90-FD</v>
      </c>
      <c r="H119" s="14" t="str" cm="1">
        <f t="array" ref="H119">IFERROR(_xlfn.TEXTJOIN("-",,INDEX(_xlfn.TEXTSPLIT(TableGive[[#This Row],[SKU]],"-"),{1,2})),"")</f>
        <v>PRECON-90</v>
      </c>
      <c r="I119" s="15" t="str">
        <f>IFERROR(_xlfn.TEXTAFTER(TableGive[[#This Row],[SKU]],"-",-1),"")</f>
        <v>FD</v>
      </c>
      <c r="J119" s="14">
        <f>'[1]2026 Orders'!H120</f>
        <v>48</v>
      </c>
      <c r="K119" t="str">
        <f>'[1]2026 Orders'!I120</f>
        <v>F54-23.0</v>
      </c>
      <c r="L119">
        <f>'[1]2026 Orders'!J120</f>
        <v>48</v>
      </c>
      <c r="N119" s="10" t="str">
        <f>'[1]2026 Orders'!L120</f>
        <v>D/W Sent</v>
      </c>
      <c r="O119">
        <f>'[1]2026 Orders'!M120</f>
        <v>0</v>
      </c>
      <c r="P119" t="str">
        <f>'[1]2026 Orders'!N120</f>
        <v>NA</v>
      </c>
      <c r="Q119">
        <f>'[1]2026 Orders'!O120</f>
        <v>609788968368</v>
      </c>
      <c r="R119">
        <f>'[1]2026 Orders'!P120</f>
        <v>5000</v>
      </c>
      <c r="S119">
        <f>'[1]2026 Orders'!Q120</f>
        <v>4851</v>
      </c>
      <c r="T119" t="str">
        <f>'[1]2026 Orders'!R120</f>
        <v>complete</v>
      </c>
      <c r="U119">
        <f>'[1]2026 Orders'!S120</f>
        <v>0</v>
      </c>
      <c r="V119">
        <f>'[1]2026 Orders'!T120</f>
        <v>0</v>
      </c>
      <c r="W119">
        <f>'[1]2026 Orders'!U120</f>
        <v>0</v>
      </c>
      <c r="X119">
        <f>'[1]2026 Orders'!V120</f>
        <v>0</v>
      </c>
      <c r="Y119">
        <f>'[1]2026 Orders'!W120</f>
        <v>0</v>
      </c>
      <c r="Z119">
        <f>'[1]2026 Orders'!X120</f>
        <v>0</v>
      </c>
      <c r="AC119" t="str">
        <f t="shared" si="2"/>
        <v>/48</v>
      </c>
      <c r="AD119" t="e">
        <f t="shared" si="3"/>
        <v>#VALUE!</v>
      </c>
    </row>
    <row r="120" spans="1:30" ht="33" hidden="1" customHeight="1" x14ac:dyDescent="0.3">
      <c r="A120">
        <f>'[1]2026 Orders'!A121</f>
        <v>45971</v>
      </c>
      <c r="B120" s="14" t="str">
        <f>'[1]2026 Orders'!B121</f>
        <v>Botswana</v>
      </c>
      <c r="C120" s="14" t="str">
        <f>'[1]2026 Orders'!C121</f>
        <v>A4569</v>
      </c>
      <c r="D120" s="14">
        <f>'[1]2026 Orders'!D121</f>
        <v>0</v>
      </c>
      <c r="E120" s="17" t="str" cm="1">
        <f t="array" ref="E120">IF(C120=0,"",
HYPERLINK(
"#'2026 Orders'!C"&amp;
MATCH(1,
('2026 Orders'!C:C=C120)*
('2026 Orders'!G:G=G120)*
('2026 Orders'!N:N=N120),
0),
"Open "&amp;C120
))</f>
        <v>Open A4569</v>
      </c>
      <c r="F120" s="14">
        <f>'[1]2026 Orders'!F121</f>
        <v>0</v>
      </c>
      <c r="G120" s="14" t="str">
        <f>'[1]2026 Orders'!G121</f>
        <v>PRECON-180-FD</v>
      </c>
      <c r="H120" s="14" t="str" cm="1">
        <f t="array" ref="H120">IFERROR(_xlfn.TEXTJOIN("-",,INDEX(_xlfn.TEXTSPLIT(TableGive[[#This Row],[SKU]],"-"),{1,2})),"")</f>
        <v>PRECON-180</v>
      </c>
      <c r="I120" s="15" t="str">
        <f>IFERROR(_xlfn.TEXTAFTER(TableGive[[#This Row],[SKU]],"-",-1),"")</f>
        <v>FD</v>
      </c>
      <c r="J120" s="14">
        <f>'[1]2026 Orders'!H121</f>
        <v>48</v>
      </c>
      <c r="K120" t="str">
        <f>'[1]2026 Orders'!I121</f>
        <v>F55-22.2</v>
      </c>
      <c r="L120">
        <f>'[1]2026 Orders'!J121</f>
        <v>48</v>
      </c>
      <c r="N120" s="10" t="str">
        <f>'[1]2026 Orders'!L121</f>
        <v>D/W Sent</v>
      </c>
      <c r="O120">
        <f>'[1]2026 Orders'!M121</f>
        <v>0</v>
      </c>
      <c r="P120" t="str">
        <f>'[1]2026 Orders'!N121</f>
        <v>NA</v>
      </c>
      <c r="Q120">
        <f>'[1]2026 Orders'!O121</f>
        <v>609788968375</v>
      </c>
      <c r="R120">
        <f>'[1]2026 Orders'!P121</f>
        <v>5000</v>
      </c>
      <c r="S120">
        <f>'[1]2026 Orders'!Q121</f>
        <v>4849</v>
      </c>
      <c r="T120" t="str">
        <f>'[1]2026 Orders'!R121</f>
        <v>complete</v>
      </c>
      <c r="U120">
        <f>'[1]2026 Orders'!S121</f>
        <v>0</v>
      </c>
      <c r="V120">
        <f>'[1]2026 Orders'!T121</f>
        <v>0</v>
      </c>
      <c r="W120">
        <f>'[1]2026 Orders'!U121</f>
        <v>0</v>
      </c>
      <c r="X120">
        <f>'[1]2026 Orders'!V121</f>
        <v>0</v>
      </c>
      <c r="Y120">
        <f>'[1]2026 Orders'!W121</f>
        <v>0</v>
      </c>
      <c r="Z120">
        <f>'[1]2026 Orders'!X121</f>
        <v>0</v>
      </c>
      <c r="AC120" t="str">
        <f t="shared" si="2"/>
        <v>/48</v>
      </c>
      <c r="AD120" t="e">
        <f t="shared" si="3"/>
        <v>#VALUE!</v>
      </c>
    </row>
    <row r="121" spans="1:30" ht="33" hidden="1" customHeight="1" x14ac:dyDescent="0.3">
      <c r="A121">
        <f>'[1]2026 Orders'!A122</f>
        <v>45971</v>
      </c>
      <c r="B121" s="14" t="str">
        <f>'[1]2026 Orders'!B122</f>
        <v>Botswana</v>
      </c>
      <c r="C121" s="14" t="str">
        <f>'[1]2026 Orders'!C122</f>
        <v>A4569</v>
      </c>
      <c r="D121" s="14">
        <f>'[1]2026 Orders'!D122</f>
        <v>0</v>
      </c>
      <c r="E121" s="17" t="str" cm="1">
        <f t="array" ref="E121">IF(C121=0,"",
HYPERLINK(
"#'2026 Orders'!C"&amp;
MATCH(1,
('2026 Orders'!C:C=C121)*
('2026 Orders'!G:G=G121)*
('2026 Orders'!N:N=N121),
0),
"Open "&amp;C121
))</f>
        <v>Open A4569</v>
      </c>
      <c r="F121" s="14">
        <f>'[1]2026 Orders'!F122</f>
        <v>0</v>
      </c>
      <c r="G121" s="14" t="str">
        <f>'[1]2026 Orders'!G122</f>
        <v>PENAMAX-60-GE-FD</v>
      </c>
      <c r="H121" s="14" t="str" cm="1">
        <f t="array" ref="H121">IFERROR(_xlfn.TEXTJOIN("-",,INDEX(_xlfn.TEXTSPLIT(TableGive[[#This Row],[SKU]],"-"),{1,2})),"")</f>
        <v>PENAMAX-60</v>
      </c>
      <c r="I121" s="15" t="str">
        <f>IFERROR(_xlfn.TEXTAFTER(TableGive[[#This Row],[SKU]],"-",-1),"")</f>
        <v>FD</v>
      </c>
      <c r="J121" s="14">
        <f>'[1]2026 Orders'!H122</f>
        <v>24</v>
      </c>
      <c r="K121" t="str">
        <f>'[1]2026 Orders'!I122</f>
        <v>F88-25.1</v>
      </c>
      <c r="L121">
        <f>'[1]2026 Orders'!J122</f>
        <v>24</v>
      </c>
      <c r="N121" s="10" t="str">
        <f>'[1]2026 Orders'!L122</f>
        <v>D/W Sent</v>
      </c>
      <c r="O121">
        <f>'[1]2026 Orders'!M122</f>
        <v>0</v>
      </c>
      <c r="P121" t="str">
        <f>'[1]2026 Orders'!N122</f>
        <v>Y</v>
      </c>
      <c r="Q121">
        <f>'[1]2026 Orders'!O122</f>
        <v>609788968702</v>
      </c>
      <c r="R121">
        <f>'[1]2026 Orders'!P122</f>
        <v>0</v>
      </c>
      <c r="S121">
        <f>'[1]2026 Orders'!Q122</f>
        <v>0</v>
      </c>
      <c r="T121">
        <f>'[1]2026 Orders'!R122</f>
        <v>0</v>
      </c>
      <c r="U121">
        <f>'[1]2026 Orders'!S122</f>
        <v>0</v>
      </c>
      <c r="V121">
        <f>'[1]2026 Orders'!T122</f>
        <v>0</v>
      </c>
      <c r="W121">
        <f>'[1]2026 Orders'!U122</f>
        <v>0</v>
      </c>
      <c r="X121">
        <f>'[1]2026 Orders'!V122</f>
        <v>0</v>
      </c>
      <c r="Y121">
        <f>'[1]2026 Orders'!W122</f>
        <v>0</v>
      </c>
      <c r="Z121">
        <f>'[1]2026 Orders'!X122</f>
        <v>0</v>
      </c>
      <c r="AC121" t="str">
        <f t="shared" si="2"/>
        <v>/24</v>
      </c>
      <c r="AD121" t="e">
        <f t="shared" si="3"/>
        <v>#VALUE!</v>
      </c>
    </row>
    <row r="122" spans="1:30" ht="33" hidden="1" customHeight="1" x14ac:dyDescent="0.3">
      <c r="A122">
        <f>'[1]2026 Orders'!A123</f>
        <v>45971</v>
      </c>
      <c r="B122" s="14" t="str">
        <f>'[1]2026 Orders'!B123</f>
        <v>Botswana</v>
      </c>
      <c r="C122" s="14" t="str">
        <f>'[1]2026 Orders'!C123</f>
        <v>A4569</v>
      </c>
      <c r="D122" s="14">
        <f>'[1]2026 Orders'!D123</f>
        <v>0</v>
      </c>
      <c r="E122" s="17" t="e" cm="1">
        <f t="array" ref="E122">IF(C122=0,"",
HYPERLINK(
"#'2026 Orders'!C"&amp;
MATCH(1,
('2026 Orders'!C:C=C122)*
('2026 Orders'!G:G=G122)*
('2026 Orders'!N:N=N122),
0),
"Open "&amp;C122
))</f>
        <v>#N/A</v>
      </c>
      <c r="F122" s="14">
        <f>'[1]2026 Orders'!F123</f>
        <v>0</v>
      </c>
      <c r="G122" s="14" t="str">
        <f>'[1]2026 Orders'!G123</f>
        <v>XTRAD10-60-FD</v>
      </c>
      <c r="H122" s="14" t="str" cm="1">
        <f t="array" ref="H122">IFERROR(_xlfn.TEXTJOIN("-",,INDEX(_xlfn.TEXTSPLIT(TableGive[[#This Row],[SKU]],"-"),{1,2})),"")</f>
        <v>XTRAD10-60</v>
      </c>
      <c r="I122" s="15" t="str">
        <f>IFERROR(_xlfn.TEXTAFTER(TableGive[[#This Row],[SKU]],"-",-1),"")</f>
        <v>FD</v>
      </c>
      <c r="J122" s="14">
        <f>'[1]2026 Orders'!H123</f>
        <v>120</v>
      </c>
      <c r="K122" t="str">
        <f>'[1]2026 Orders'!I123</f>
        <v>F76-25.0</v>
      </c>
      <c r="L122">
        <f>'[1]2026 Orders'!J123</f>
        <v>120</v>
      </c>
      <c r="N122" s="10">
        <f>'[1]2026 Orders'!L123</f>
        <v>0</v>
      </c>
      <c r="O122">
        <f>'[1]2026 Orders'!M123</f>
        <v>0</v>
      </c>
      <c r="P122" t="str">
        <f>'[1]2026 Orders'!N123</f>
        <v>NA</v>
      </c>
      <c r="Q122" t="str">
        <f>'[1]2026 Orders'!O123</f>
        <v>609788968122</v>
      </c>
      <c r="R122">
        <f>'[1]2026 Orders'!P123</f>
        <v>12000</v>
      </c>
      <c r="S122">
        <f>'[1]2026 Orders'!Q123</f>
        <v>4690</v>
      </c>
      <c r="T122" t="str">
        <f>'[1]2026 Orders'!R123</f>
        <v>complete</v>
      </c>
      <c r="U122">
        <f>'[1]2026 Orders'!S123</f>
        <v>0</v>
      </c>
      <c r="V122">
        <f>'[1]2026 Orders'!T123</f>
        <v>0</v>
      </c>
      <c r="W122">
        <f>'[1]2026 Orders'!U123</f>
        <v>0</v>
      </c>
      <c r="X122">
        <f>'[1]2026 Orders'!V123</f>
        <v>0</v>
      </c>
      <c r="Y122">
        <f>'[1]2026 Orders'!W123</f>
        <v>0</v>
      </c>
      <c r="Z122">
        <f>'[1]2026 Orders'!X123</f>
        <v>0</v>
      </c>
      <c r="AC122" t="str">
        <f t="shared" si="2"/>
        <v>/120</v>
      </c>
      <c r="AD122" t="e">
        <f t="shared" si="3"/>
        <v>#VALUE!</v>
      </c>
    </row>
    <row r="123" spans="1:30" ht="33" hidden="1" customHeight="1" x14ac:dyDescent="0.3">
      <c r="A123">
        <f>'[1]2026 Orders'!A124</f>
        <v>45975</v>
      </c>
      <c r="B123" s="14" t="str">
        <f>'[1]2026 Orders'!B124</f>
        <v>UAE</v>
      </c>
      <c r="C123" s="14" t="str">
        <f>'[1]2026 Orders'!C124</f>
        <v>A4572</v>
      </c>
      <c r="D123" s="14">
        <f>'[1]2026 Orders'!D124</f>
        <v>0</v>
      </c>
      <c r="E123" s="17" t="str" cm="1">
        <f t="array" ref="E123">IF(C123=0,"",
HYPERLINK(
"#'2026 Orders'!C"&amp;
MATCH(1,
('2026 Orders'!C:C=C123)*
('2026 Orders'!G:G=G123)*
('2026 Orders'!N:N=N123),
0),
"Open "&amp;C123
))</f>
        <v>Open A4572</v>
      </c>
      <c r="F123" s="14">
        <f>'[1]2026 Orders'!F124</f>
        <v>0</v>
      </c>
      <c r="G123" s="14" t="str">
        <f>'[1]2026 Orders'!G124</f>
        <v>ALC-60-FD</v>
      </c>
      <c r="H123" s="14" t="str" cm="1">
        <f t="array" ref="H123">IFERROR(_xlfn.TEXTJOIN("-",,INDEX(_xlfn.TEXTSPLIT(TableGive[[#This Row],[SKU]],"-"),{1,2})),"")</f>
        <v>ALC-60</v>
      </c>
      <c r="I123" s="15" t="str">
        <f>IFERROR(_xlfn.TEXTAFTER(TableGive[[#This Row],[SKU]],"-",-1),"")</f>
        <v>FD</v>
      </c>
      <c r="J123" s="14">
        <f>'[1]2026 Orders'!H124</f>
        <v>417</v>
      </c>
      <c r="K123" t="str">
        <f>'[1]2026 Orders'!I124</f>
        <v>F03-25.1</v>
      </c>
      <c r="L123">
        <f>'[1]2026 Orders'!J124</f>
        <v>0</v>
      </c>
      <c r="N123" s="10" t="str">
        <f>'[1]2026 Orders'!L124</f>
        <v>In Production</v>
      </c>
      <c r="O123">
        <f>'[1]2026 Orders'!M124</f>
        <v>0</v>
      </c>
      <c r="P123" t="str">
        <f>'[1]2026 Orders'!N124</f>
        <v>NA</v>
      </c>
      <c r="Q123">
        <f>'[1]2026 Orders'!O124</f>
        <v>609788968085</v>
      </c>
      <c r="R123">
        <f>'[1]2026 Orders'!P124</f>
        <v>2000</v>
      </c>
      <c r="S123">
        <f>'[1]2026 Orders'!Q124</f>
        <v>4933</v>
      </c>
      <c r="T123">
        <f>'[1]2026 Orders'!R124</f>
        <v>46194</v>
      </c>
      <c r="U123">
        <f>'[1]2026 Orders'!S124</f>
        <v>0</v>
      </c>
      <c r="V123">
        <f>'[1]2026 Orders'!T124</f>
        <v>0</v>
      </c>
      <c r="W123">
        <f>'[1]2026 Orders'!U124</f>
        <v>0</v>
      </c>
      <c r="X123">
        <f>'[1]2026 Orders'!V124</f>
        <v>0</v>
      </c>
      <c r="Y123">
        <f>'[1]2026 Orders'!W124</f>
        <v>0</v>
      </c>
      <c r="Z123" t="str">
        <f>'[1]2026 Orders'!X124</f>
        <v>HOLD</v>
      </c>
      <c r="AC123" t="str">
        <f t="shared" si="2"/>
        <v>/417</v>
      </c>
      <c r="AD123" t="e">
        <f t="shared" si="3"/>
        <v>#VALUE!</v>
      </c>
    </row>
    <row r="124" spans="1:30" ht="33" hidden="1" customHeight="1" x14ac:dyDescent="0.3">
      <c r="A124">
        <f>'[1]2026 Orders'!A125</f>
        <v>45975</v>
      </c>
      <c r="B124" s="14" t="str">
        <f>'[1]2026 Orders'!B125</f>
        <v>UAE</v>
      </c>
      <c r="C124" s="14" t="str">
        <f>'[1]2026 Orders'!C125</f>
        <v>A4572</v>
      </c>
      <c r="D124" s="14">
        <f>'[1]2026 Orders'!D125</f>
        <v>0</v>
      </c>
      <c r="E124" s="17" t="str" cm="1">
        <f t="array" ref="E124">IF(C124=0,"",
HYPERLINK(
"#'2026 Orders'!C"&amp;
MATCH(1,
('2026 Orders'!C:C=C124)*
('2026 Orders'!G:G=G124)*
('2026 Orders'!N:N=N124),
0),
"Open "&amp;C124
))</f>
        <v>Open A4572</v>
      </c>
      <c r="F124" s="14">
        <f>'[1]2026 Orders'!F125</f>
        <v>0</v>
      </c>
      <c r="G124" s="14" t="str">
        <f>'[1]2026 Orders'!G125</f>
        <v>EYECAP-30-FD</v>
      </c>
      <c r="H124" s="14" t="str" cm="1">
        <f t="array" ref="H124">IFERROR(_xlfn.TEXTJOIN("-",,INDEX(_xlfn.TEXTSPLIT(TableGive[[#This Row],[SKU]],"-"),{1,2})),"")</f>
        <v>EYECAP-30</v>
      </c>
      <c r="I124" s="15" t="str">
        <f>IFERROR(_xlfn.TEXTAFTER(TableGive[[#This Row],[SKU]],"-",-1),"")</f>
        <v>FD</v>
      </c>
      <c r="J124" s="14">
        <f>'[1]2026 Orders'!H125</f>
        <v>600</v>
      </c>
      <c r="K124" t="str">
        <f>'[1]2026 Orders'!I125</f>
        <v>F15-22.1</v>
      </c>
      <c r="L124">
        <f>'[1]2026 Orders'!J125</f>
        <v>0</v>
      </c>
      <c r="N124" s="10" t="str">
        <f>'[1]2026 Orders'!L125</f>
        <v>Not Meet MOQ</v>
      </c>
      <c r="O124">
        <f>'[1]2026 Orders'!M125</f>
        <v>0</v>
      </c>
      <c r="P124" t="str">
        <f>'[1]2026 Orders'!N125</f>
        <v>Y</v>
      </c>
      <c r="Q124">
        <f>'[1]2026 Orders'!O125</f>
        <v>609788968443</v>
      </c>
      <c r="R124">
        <f>'[1]2026 Orders'!P125</f>
        <v>5000</v>
      </c>
      <c r="S124">
        <f>'[1]2026 Orders'!Q125</f>
        <v>4934</v>
      </c>
      <c r="T124" t="str">
        <f>'[1]2026 Orders'!R125</f>
        <v>TBD</v>
      </c>
      <c r="U124" t="str">
        <f>'[1]2026 Orders'!S125</f>
        <v>Pending approval to send to vendor</v>
      </c>
      <c r="V124">
        <f>'[1]2026 Orders'!T125</f>
        <v>0</v>
      </c>
      <c r="W124">
        <f>'[1]2026 Orders'!U125</f>
        <v>0</v>
      </c>
      <c r="X124">
        <f>'[1]2026 Orders'!V125</f>
        <v>0</v>
      </c>
      <c r="Y124">
        <f>'[1]2026 Orders'!W125</f>
        <v>0</v>
      </c>
      <c r="Z124">
        <f>'[1]2026 Orders'!X125</f>
        <v>0</v>
      </c>
      <c r="AC124" t="str">
        <f t="shared" si="2"/>
        <v>/600</v>
      </c>
      <c r="AD124" t="e">
        <f t="shared" si="3"/>
        <v>#VALUE!</v>
      </c>
    </row>
    <row r="125" spans="1:30" ht="33" hidden="1" customHeight="1" x14ac:dyDescent="0.3">
      <c r="A125">
        <f>'[1]2026 Orders'!A126</f>
        <v>45975</v>
      </c>
      <c r="B125" s="14" t="str">
        <f>'[1]2026 Orders'!B126</f>
        <v>UAE</v>
      </c>
      <c r="C125" s="14" t="str">
        <f>'[1]2026 Orders'!C126</f>
        <v>A4572</v>
      </c>
      <c r="D125" s="14">
        <f>'[1]2026 Orders'!D126</f>
        <v>0</v>
      </c>
      <c r="E125" s="17" t="str" cm="1">
        <f t="array" ref="E125">IF(C125=0,"",
HYPERLINK(
"#'2026 Orders'!C"&amp;
MATCH(1,
('2026 Orders'!C:C=C125)*
('2026 Orders'!G:G=G125)*
('2026 Orders'!N:N=N125),
0),
"Open "&amp;C125
))</f>
        <v>Open A4572</v>
      </c>
      <c r="F125" s="14" t="str">
        <f>'[1]2026 Orders'!F126</f>
        <v>4/15/2026: 720 packs allocated from Libya A4571
4/29/2026: 720 packs moved from UAE A4572
5/4/2026: Awaiting approval to send without IFC
5/6/2026: Moved from A4553</v>
      </c>
      <c r="G125" s="14" t="str">
        <f>'[1]2026 Orders'!G126</f>
        <v>EYECAP-30-FD</v>
      </c>
      <c r="H125" s="14" t="str" cm="1">
        <f t="array" ref="H125">IFERROR(_xlfn.TEXTJOIN("-",,INDEX(_xlfn.TEXTSPLIT(TableGive[[#This Row],[SKU]],"-"),{1,2})),"")</f>
        <v>EYECAP-30</v>
      </c>
      <c r="I125" s="15" t="str">
        <f>IFERROR(_xlfn.TEXTAFTER(TableGive[[#This Row],[SKU]],"-",-1),"")</f>
        <v>FD</v>
      </c>
      <c r="J125" s="14">
        <f>'[1]2026 Orders'!H126</f>
        <v>720</v>
      </c>
      <c r="K125" t="str">
        <f>'[1]2026 Orders'!I126</f>
        <v>F15-22.1</v>
      </c>
      <c r="L125">
        <f>'[1]2026 Orders'!J126</f>
        <v>720</v>
      </c>
      <c r="N125" s="10" t="str">
        <f>'[1]2026 Orders'!L126</f>
        <v>Not Meet MOQ</v>
      </c>
      <c r="O125">
        <f>'[1]2026 Orders'!M126</f>
        <v>0</v>
      </c>
      <c r="P125" t="str">
        <f>'[1]2026 Orders'!N126</f>
        <v>Y</v>
      </c>
      <c r="Q125">
        <f>'[1]2026 Orders'!O126</f>
        <v>609788968443</v>
      </c>
      <c r="R125">
        <f>'[1]2026 Orders'!P126</f>
        <v>5000</v>
      </c>
      <c r="S125">
        <f>'[1]2026 Orders'!Q126</f>
        <v>4934</v>
      </c>
      <c r="T125" t="str">
        <f>'[1]2026 Orders'!R126</f>
        <v>TBD</v>
      </c>
      <c r="U125" t="str">
        <f>'[1]2026 Orders'!S126</f>
        <v>Pending approval to send to vendor</v>
      </c>
      <c r="V125">
        <f>'[1]2026 Orders'!T126</f>
        <v>0</v>
      </c>
      <c r="W125">
        <f>'[1]2026 Orders'!U126</f>
        <v>0</v>
      </c>
      <c r="X125">
        <f>'[1]2026 Orders'!V126</f>
        <v>0</v>
      </c>
      <c r="Y125">
        <f>'[1]2026 Orders'!W126</f>
        <v>0</v>
      </c>
      <c r="Z125">
        <f>'[1]2026 Orders'!X126</f>
        <v>0</v>
      </c>
      <c r="AC125" t="str">
        <f t="shared" si="2"/>
        <v>/720</v>
      </c>
      <c r="AD125" t="e">
        <f t="shared" si="3"/>
        <v>#VALUE!</v>
      </c>
    </row>
    <row r="126" spans="1:30" ht="33" hidden="1" customHeight="1" x14ac:dyDescent="0.3">
      <c r="A126">
        <f>'[1]2026 Orders'!A127</f>
        <v>45975</v>
      </c>
      <c r="B126" s="14" t="str">
        <f>'[1]2026 Orders'!B127</f>
        <v>UAE</v>
      </c>
      <c r="C126" s="14" t="str">
        <f>'[1]2026 Orders'!C127</f>
        <v>A4572</v>
      </c>
      <c r="D126" s="14">
        <f>'[1]2026 Orders'!D127</f>
        <v>0</v>
      </c>
      <c r="E126" s="17" t="str" cm="1">
        <f t="array" ref="E126">IF(C126=0,"",
HYPERLINK(
"#'2026 Orders'!C"&amp;
MATCH(1,
('2026 Orders'!C:C=C126)*
('2026 Orders'!G:G=G126)*
('2026 Orders'!N:N=N126),
0),
"Open "&amp;C126
))</f>
        <v>Open A4572</v>
      </c>
      <c r="F126" s="14">
        <f>'[1]2026 Orders'!F127</f>
        <v>0</v>
      </c>
      <c r="G126" s="14" t="str">
        <f>'[1]2026 Orders'!G127</f>
        <v>PEDIAD4-50-FD</v>
      </c>
      <c r="H126" s="14" t="str" cm="1">
        <f t="array" ref="H126">IFERROR(_xlfn.TEXTJOIN("-",,INDEX(_xlfn.TEXTSPLIT(TableGive[[#This Row],[SKU]],"-"),{1,2})),"")</f>
        <v>PEDIAD4-50</v>
      </c>
      <c r="I126" s="15" t="str">
        <f>IFERROR(_xlfn.TEXTAFTER(TableGive[[#This Row],[SKU]],"-",-1),"")</f>
        <v>FD</v>
      </c>
      <c r="J126" s="14">
        <f>'[1]2026 Orders'!H127</f>
        <v>1350</v>
      </c>
      <c r="K126" t="str">
        <f>'[1]2026 Orders'!I127</f>
        <v>F45-26.0</v>
      </c>
      <c r="L126">
        <f>'[1]2026 Orders'!J127</f>
        <v>0</v>
      </c>
      <c r="N126" s="10" t="str">
        <f>'[1]2026 Orders'!L127</f>
        <v>PO submitted</v>
      </c>
      <c r="O126">
        <f>'[1]2026 Orders'!M127</f>
        <v>0</v>
      </c>
      <c r="P126" t="str">
        <f>'[1]2026 Orders'!N127</f>
        <v>Y</v>
      </c>
      <c r="Q126">
        <f>'[1]2026 Orders'!O127</f>
        <v>810131199623</v>
      </c>
      <c r="R126">
        <f>'[1]2026 Orders'!P127</f>
        <v>5000</v>
      </c>
      <c r="S126">
        <f>'[1]2026 Orders'!Q127</f>
        <v>4979</v>
      </c>
      <c r="T126" t="str">
        <f>'[1]2026 Orders'!R127</f>
        <v>TBD</v>
      </c>
      <c r="U126" t="str">
        <f>'[1]2026 Orders'!S127</f>
        <v>Waiting for IFC to start production.</v>
      </c>
      <c r="V126">
        <f>'[1]2026 Orders'!T127</f>
        <v>0</v>
      </c>
      <c r="W126">
        <f>'[1]2026 Orders'!U127</f>
        <v>0</v>
      </c>
      <c r="X126">
        <f>'[1]2026 Orders'!V127</f>
        <v>0</v>
      </c>
      <c r="Y126">
        <f>'[1]2026 Orders'!W127</f>
        <v>0</v>
      </c>
      <c r="Z126">
        <f>'[1]2026 Orders'!X127</f>
        <v>0</v>
      </c>
      <c r="AC126" t="str">
        <f t="shared" si="2"/>
        <v>/1350</v>
      </c>
      <c r="AD126" t="e">
        <f t="shared" si="3"/>
        <v>#VALUE!</v>
      </c>
    </row>
    <row r="127" spans="1:30" ht="33" hidden="1" customHeight="1" x14ac:dyDescent="0.3">
      <c r="A127">
        <f>'[1]2026 Orders'!A128</f>
        <v>45975</v>
      </c>
      <c r="B127" s="14" t="str">
        <f>'[1]2026 Orders'!B128</f>
        <v>UAE</v>
      </c>
      <c r="C127" s="14" t="str">
        <f>'[1]2026 Orders'!C128</f>
        <v>A4572</v>
      </c>
      <c r="D127" s="14">
        <f>'[1]2026 Orders'!D128</f>
        <v>0</v>
      </c>
      <c r="E127" s="17" t="str" cm="1">
        <f t="array" ref="E127">IF(C127=0,"",
HYPERLINK(
"#'2026 Orders'!C"&amp;
MATCH(1,
('2026 Orders'!C:C=C127)*
('2026 Orders'!G:G=G127)*
('2026 Orders'!N:N=N127),
0),
"Open "&amp;C127
))</f>
        <v>Open A4572</v>
      </c>
      <c r="F127" s="14">
        <f>'[1]2026 Orders'!F128</f>
        <v>0</v>
      </c>
      <c r="G127" s="14" t="str">
        <f>'[1]2026 Orders'!G128</f>
        <v>LARGIN-100-FD</v>
      </c>
      <c r="H127" s="14" t="str" cm="1">
        <f t="array" ref="H127">IFERROR(_xlfn.TEXTJOIN("-",,INDEX(_xlfn.TEXTSPLIT(TableGive[[#This Row],[SKU]],"-"),{1,2})),"")</f>
        <v>LARGIN-100</v>
      </c>
      <c r="I127" s="15" t="str">
        <f>IFERROR(_xlfn.TEXTAFTER(TableGive[[#This Row],[SKU]],"-",-1),"")</f>
        <v>FD</v>
      </c>
      <c r="J127" s="14">
        <f>'[1]2026 Orders'!H128</f>
        <v>619</v>
      </c>
      <c r="K127" t="str">
        <f>'[1]2026 Orders'!I128</f>
        <v>F25-23.0</v>
      </c>
      <c r="L127">
        <f>'[1]2026 Orders'!J128</f>
        <v>0</v>
      </c>
      <c r="N127" s="10" t="str">
        <f>'[1]2026 Orders'!L128</f>
        <v>In Production</v>
      </c>
      <c r="O127">
        <f>'[1]2026 Orders'!M128</f>
        <v>0</v>
      </c>
      <c r="P127">
        <f>'[1]2026 Orders'!N128</f>
        <v>0</v>
      </c>
      <c r="Q127">
        <f>'[1]2026 Orders'!O128</f>
        <v>609788968559</v>
      </c>
      <c r="R127">
        <f>'[1]2026 Orders'!P128</f>
        <v>2000</v>
      </c>
      <c r="S127">
        <f>'[1]2026 Orders'!Q128</f>
        <v>4998</v>
      </c>
      <c r="T127">
        <f>'[1]2026 Orders'!R128</f>
        <v>46198</v>
      </c>
      <c r="U127">
        <f>'[1]2026 Orders'!S128</f>
        <v>0</v>
      </c>
      <c r="V127">
        <f>'[1]2026 Orders'!T128</f>
        <v>0</v>
      </c>
      <c r="W127">
        <f>'[1]2026 Orders'!U128</f>
        <v>0</v>
      </c>
      <c r="X127">
        <f>'[1]2026 Orders'!V128</f>
        <v>0</v>
      </c>
      <c r="Y127">
        <f>'[1]2026 Orders'!W128</f>
        <v>0</v>
      </c>
      <c r="Z127">
        <f>'[1]2026 Orders'!X128</f>
        <v>0</v>
      </c>
      <c r="AC127" t="str">
        <f t="shared" si="2"/>
        <v>/619</v>
      </c>
      <c r="AD127" t="e">
        <f t="shared" si="3"/>
        <v>#VALUE!</v>
      </c>
    </row>
    <row r="128" spans="1:30" ht="33" hidden="1" customHeight="1" x14ac:dyDescent="0.3">
      <c r="A128">
        <f>'[1]2026 Orders'!A129</f>
        <v>45975</v>
      </c>
      <c r="B128" s="14" t="str">
        <f>'[1]2026 Orders'!B129</f>
        <v>UAE</v>
      </c>
      <c r="C128" s="14" t="str">
        <f>'[1]2026 Orders'!C129</f>
        <v>A4572</v>
      </c>
      <c r="D128" s="14">
        <f>'[1]2026 Orders'!D129</f>
        <v>0</v>
      </c>
      <c r="E128" s="17" t="str" cm="1">
        <f t="array" ref="E128">IF(C128=0,"",
HYPERLINK(
"#'2026 Orders'!C"&amp;
MATCH(1,
('2026 Orders'!C:C=C128)*
('2026 Orders'!G:G=G128)*
('2026 Orders'!N:N=N128),
0),
"Open "&amp;C128
))</f>
        <v>Open A4572</v>
      </c>
      <c r="F128" s="14">
        <f>'[1]2026 Orders'!F129</f>
        <v>0</v>
      </c>
      <c r="G128" s="14" t="str">
        <f>'[1]2026 Orders'!G129</f>
        <v>ZINC25-60-FD</v>
      </c>
      <c r="H128" s="14" t="str" cm="1">
        <f t="array" ref="H128">IFERROR(_xlfn.TEXTJOIN("-",,INDEX(_xlfn.TEXTSPLIT(TableGive[[#This Row],[SKU]],"-"),{1,2})),"")</f>
        <v>ZINC25-60</v>
      </c>
      <c r="I128" s="15" t="str">
        <f>IFERROR(_xlfn.TEXTAFTER(TableGive[[#This Row],[SKU]],"-",-1),"")</f>
        <v>FD</v>
      </c>
      <c r="J128" s="14">
        <f>'[1]2026 Orders'!H129</f>
        <v>1050</v>
      </c>
      <c r="K128" t="str">
        <f>'[1]2026 Orders'!I129</f>
        <v>F78-22.0</v>
      </c>
      <c r="L128">
        <f>'[1]2026 Orders'!J129</f>
        <v>0</v>
      </c>
      <c r="N128" s="10" t="str">
        <f>'[1]2026 Orders'!L129</f>
        <v>PO Drafted</v>
      </c>
      <c r="O128">
        <f>'[1]2026 Orders'!M129</f>
        <v>0</v>
      </c>
      <c r="P128" t="str">
        <f>'[1]2026 Orders'!N129</f>
        <v>NA</v>
      </c>
      <c r="Q128">
        <f>'[1]2026 Orders'!O129</f>
        <v>609788968245</v>
      </c>
      <c r="R128">
        <f>'[1]2026 Orders'!P129</f>
        <v>5000</v>
      </c>
      <c r="S128">
        <f>'[1]2026 Orders'!Q129</f>
        <v>5031</v>
      </c>
      <c r="T128" t="str">
        <f>'[1]2026 Orders'!R129</f>
        <v>TBD</v>
      </c>
      <c r="U128" t="str">
        <f>'[1]2026 Orders'!S129</f>
        <v>Pending approval to send to vendor</v>
      </c>
      <c r="V128">
        <f>'[1]2026 Orders'!T129</f>
        <v>0</v>
      </c>
      <c r="W128">
        <f>'[1]2026 Orders'!U129</f>
        <v>0</v>
      </c>
      <c r="X128">
        <f>'[1]2026 Orders'!V129</f>
        <v>0</v>
      </c>
      <c r="Y128">
        <f>'[1]2026 Orders'!W129</f>
        <v>0</v>
      </c>
      <c r="Z128">
        <f>'[1]2026 Orders'!X129</f>
        <v>0</v>
      </c>
      <c r="AC128" t="str">
        <f t="shared" si="2"/>
        <v>/1050</v>
      </c>
      <c r="AD128" t="e">
        <f t="shared" si="3"/>
        <v>#VALUE!</v>
      </c>
    </row>
    <row r="129" spans="1:30" ht="33" hidden="1" customHeight="1" x14ac:dyDescent="0.3">
      <c r="A129">
        <f>'[1]2026 Orders'!A130</f>
        <v>45975</v>
      </c>
      <c r="B129" s="14" t="str">
        <f>'[1]2026 Orders'!B130</f>
        <v>UAE</v>
      </c>
      <c r="C129" s="14" t="str">
        <f>'[1]2026 Orders'!C130</f>
        <v>A4572</v>
      </c>
      <c r="D129" s="14">
        <f>'[1]2026 Orders'!D130</f>
        <v>0</v>
      </c>
      <c r="E129" s="17" t="str" cm="1">
        <f t="array" ref="E129">IF(C129=0,"",
HYPERLINK(
"#'2026 Orders'!C"&amp;
MATCH(1,
('2026 Orders'!C:C=C129)*
('2026 Orders'!G:G=G129)*
('2026 Orders'!N:N=N129),
0),
"Open "&amp;C129
))</f>
        <v>Open A4572</v>
      </c>
      <c r="F129" s="14">
        <f>'[1]2026 Orders'!F130</f>
        <v>0</v>
      </c>
      <c r="G129" s="14" t="str">
        <f>'[1]2026 Orders'!G130</f>
        <v>MAGNES-50-FD</v>
      </c>
      <c r="H129" s="14" t="str" cm="1">
        <f t="array" ref="H129">IFERROR(_xlfn.TEXTJOIN("-",,INDEX(_xlfn.TEXTSPLIT(TableGive[[#This Row],[SKU]],"-"),{1,2})),"")</f>
        <v>MAGNES-50</v>
      </c>
      <c r="I129" s="15" t="str">
        <f>IFERROR(_xlfn.TEXTAFTER(TableGive[[#This Row],[SKU]],"-",-1),"")</f>
        <v>FD</v>
      </c>
      <c r="J129" s="14">
        <f>'[1]2026 Orders'!H130</f>
        <v>1050</v>
      </c>
      <c r="K129" t="str">
        <f>'[1]2026 Orders'!I130</f>
        <v>F85-25.0</v>
      </c>
      <c r="L129">
        <f>'[1]2026 Orders'!J130</f>
        <v>0</v>
      </c>
      <c r="N129" s="10" t="str">
        <f>'[1]2026 Orders'!L130</f>
        <v>In Production</v>
      </c>
      <c r="O129" t="str">
        <f>'[1]2026 Orders'!M130</f>
        <v> </v>
      </c>
      <c r="P129" t="str">
        <f>'[1]2026 Orders'!N130</f>
        <v>NA</v>
      </c>
      <c r="Q129">
        <f>'[1]2026 Orders'!O130</f>
        <v>810131199401</v>
      </c>
      <c r="R129">
        <f>'[1]2026 Orders'!P130</f>
        <v>2000</v>
      </c>
      <c r="S129">
        <f>'[1]2026 Orders'!Q130</f>
        <v>4997</v>
      </c>
      <c r="T129">
        <f>'[1]2026 Orders'!R130</f>
        <v>46193</v>
      </c>
      <c r="U129">
        <f>'[1]2026 Orders'!S130</f>
        <v>0</v>
      </c>
      <c r="V129">
        <f>'[1]2026 Orders'!T130</f>
        <v>0</v>
      </c>
      <c r="W129">
        <f>'[1]2026 Orders'!U130</f>
        <v>0</v>
      </c>
      <c r="X129">
        <f>'[1]2026 Orders'!V130</f>
        <v>0</v>
      </c>
      <c r="Y129">
        <f>'[1]2026 Orders'!W130</f>
        <v>0</v>
      </c>
      <c r="Z129">
        <f>'[1]2026 Orders'!X130</f>
        <v>0</v>
      </c>
      <c r="AC129" t="str">
        <f t="shared" si="2"/>
        <v>/1050</v>
      </c>
      <c r="AD129" t="e">
        <f t="shared" si="3"/>
        <v>#VALUE!</v>
      </c>
    </row>
    <row r="130" spans="1:30" ht="33" hidden="1" customHeight="1" x14ac:dyDescent="0.3">
      <c r="A130">
        <f>'[1]2026 Orders'!A131</f>
        <v>46034</v>
      </c>
      <c r="B130" s="14" t="str">
        <f>'[1]2026 Orders'!B131</f>
        <v>UAE</v>
      </c>
      <c r="C130" s="14" t="str">
        <f>'[1]2026 Orders'!C131</f>
        <v>A4572</v>
      </c>
      <c r="D130" s="14">
        <f>'[1]2026 Orders'!D131</f>
        <v>0</v>
      </c>
      <c r="E130" s="17" t="str" cm="1">
        <f t="array" ref="E130">IF(C130=0,"",
HYPERLINK(
"#'2026 Orders'!C"&amp;
MATCH(1,
('2026 Orders'!C:C=C130)*
('2026 Orders'!G:G=G130)*
('2026 Orders'!N:N=N130),
0),
"Open "&amp;C130
))</f>
        <v>Open A4572</v>
      </c>
      <c r="F130" s="14" t="str">
        <f>'[1]2026 Orders'!F131</f>
        <v>product added on 1/12/2025</v>
      </c>
      <c r="G130" s="14" t="str">
        <f>'[1]2026 Orders'!G131</f>
        <v>NRGMEN-45-CS-UA</v>
      </c>
      <c r="H130" s="14" t="str" cm="1">
        <f t="array" ref="H130">IFERROR(_xlfn.TEXTJOIN("-",,INDEX(_xlfn.TEXTSPLIT(TableGive[[#This Row],[SKU]],"-"),{1,2})),"")</f>
        <v>NRGMEN-45</v>
      </c>
      <c r="I130" s="15" t="str">
        <f>IFERROR(_xlfn.TEXTAFTER(TableGive[[#This Row],[SKU]],"-",-1),"")</f>
        <v>UA</v>
      </c>
      <c r="J130" s="14">
        <f>'[1]2026 Orders'!H131</f>
        <v>2000</v>
      </c>
      <c r="K130" t="str">
        <f>'[1]2026 Orders'!I131</f>
        <v>UA84-26.0</v>
      </c>
      <c r="L130">
        <f>'[1]2026 Orders'!J131</f>
        <v>0</v>
      </c>
      <c r="N130" s="10" t="str">
        <f>'[1]2026 Orders'!L131</f>
        <v>PO Drafted</v>
      </c>
      <c r="O130" t="str">
        <f>'[1]2026 Orders'!M131</f>
        <v>from sales: MUST BE NEW LABEL UPLOADED , new batch from new formula. NEW LABEL UPLOADED 2/12 BY OVERSEAS</v>
      </c>
      <c r="P130" t="str">
        <f>'[1]2026 Orders'!N131</f>
        <v>Y</v>
      </c>
      <c r="Q130">
        <f>'[1]2026 Orders'!O131</f>
        <v>604776735892</v>
      </c>
      <c r="R130">
        <f>'[1]2026 Orders'!P131</f>
        <v>3000</v>
      </c>
      <c r="S130">
        <f>'[1]2026 Orders'!Q131</f>
        <v>5028</v>
      </c>
      <c r="T130" t="str">
        <f>'[1]2026 Orders'!R131</f>
        <v>TBD</v>
      </c>
      <c r="U130" t="str">
        <f>'[1]2026 Orders'!S131</f>
        <v>Pending approval to send to vendor</v>
      </c>
      <c r="V130">
        <f>'[1]2026 Orders'!T131</f>
        <v>0</v>
      </c>
      <c r="W130">
        <f>'[1]2026 Orders'!U131</f>
        <v>0</v>
      </c>
      <c r="X130">
        <f>'[1]2026 Orders'!V131</f>
        <v>0</v>
      </c>
      <c r="Y130">
        <f>'[1]2026 Orders'!W131</f>
        <v>0</v>
      </c>
      <c r="Z130">
        <f>'[1]2026 Orders'!X131</f>
        <v>0</v>
      </c>
      <c r="AC130" t="str">
        <f t="shared" si="2"/>
        <v>/2000</v>
      </c>
      <c r="AD130" t="e">
        <f t="shared" si="3"/>
        <v>#VALUE!</v>
      </c>
    </row>
    <row r="131" spans="1:30" ht="33" hidden="1" customHeight="1" x14ac:dyDescent="0.3">
      <c r="A131">
        <f>'[1]2026 Orders'!A132</f>
        <v>46034</v>
      </c>
      <c r="B131" s="14" t="str">
        <f>'[1]2026 Orders'!B132</f>
        <v>UAE</v>
      </c>
      <c r="C131" s="14" t="str">
        <f>'[1]2026 Orders'!C132</f>
        <v>A4572</v>
      </c>
      <c r="D131" s="14">
        <f>'[1]2026 Orders'!D132</f>
        <v>0</v>
      </c>
      <c r="E131" s="17" t="str" cm="1">
        <f t="array" ref="E131">IF(C131=0,"",
HYPERLINK(
"#'2026 Orders'!C"&amp;
MATCH(1,
('2026 Orders'!C:C=C131)*
('2026 Orders'!G:G=G131)*
('2026 Orders'!N:N=N131),
0),
"Open "&amp;C131
))</f>
        <v>Open A4572</v>
      </c>
      <c r="F131" s="14" t="str">
        <f>'[1]2026 Orders'!F132</f>
        <v>2/25/2026: Moved from UAE A4553. 
3/4/2026: qty reduced from 790 -&gt; 490</v>
      </c>
      <c r="G131" s="14" t="str">
        <f>'[1]2026 Orders'!G132</f>
        <v>POLYSIT-90-RE</v>
      </c>
      <c r="H131" s="14" t="str" cm="1">
        <f t="array" ref="H131">IFERROR(_xlfn.TEXTJOIN("-",,INDEX(_xlfn.TEXTSPLIT(TableGive[[#This Row],[SKU]],"-"),{1,2})),"")</f>
        <v>POLYSIT-90</v>
      </c>
      <c r="I131" s="15" t="str">
        <f>IFERROR(_xlfn.TEXTAFTER(TableGive[[#This Row],[SKU]],"-",-1),"")</f>
        <v>RE</v>
      </c>
      <c r="J131" s="14">
        <f>'[1]2026 Orders'!H132</f>
        <v>490</v>
      </c>
      <c r="K131" t="str">
        <f>'[1]2026 Orders'!I132</f>
        <v>R53-17.0</v>
      </c>
      <c r="L131">
        <f>'[1]2026 Orders'!J132</f>
        <v>0</v>
      </c>
      <c r="N131" s="10" t="str">
        <f>'[1]2026 Orders'!L132</f>
        <v>In Production</v>
      </c>
      <c r="O131">
        <f>'[1]2026 Orders'!M132</f>
        <v>0</v>
      </c>
      <c r="P131" t="str">
        <f>'[1]2026 Orders'!N132</f>
        <v>Y</v>
      </c>
      <c r="Q131">
        <f>'[1]2026 Orders'!O132</f>
        <v>609788969006</v>
      </c>
      <c r="R131">
        <f>'[1]2026 Orders'!P132</f>
        <v>5000</v>
      </c>
      <c r="S131">
        <f>'[1]2026 Orders'!Q132</f>
        <v>5034</v>
      </c>
      <c r="T131">
        <f>'[1]2026 Orders'!R132</f>
        <v>46204</v>
      </c>
      <c r="U131">
        <f>'[1]2026 Orders'!S132</f>
        <v>0</v>
      </c>
      <c r="V131">
        <f>'[1]2026 Orders'!T132</f>
        <v>0</v>
      </c>
      <c r="W131">
        <f>'[1]2026 Orders'!U132</f>
        <v>0</v>
      </c>
      <c r="X131">
        <f>'[1]2026 Orders'!V132</f>
        <v>0</v>
      </c>
      <c r="Y131">
        <f>'[1]2026 Orders'!W132</f>
        <v>0</v>
      </c>
      <c r="Z131">
        <f>'[1]2026 Orders'!X132</f>
        <v>0</v>
      </c>
      <c r="AC131" t="str">
        <f t="shared" ref="AC131:AC194" si="4">IF(OR(B131="",B131=0),"",$AJ$2&amp;"/"&amp;J131)</f>
        <v>/490</v>
      </c>
      <c r="AD131" t="e">
        <f t="shared" ref="AD131:AD194" si="5">IF(OR(J131="",J131=0),"",$AK$2&amp;" -&gt; "&amp;I131)</f>
        <v>#VALUE!</v>
      </c>
    </row>
    <row r="132" spans="1:30" ht="33" hidden="1" customHeight="1" x14ac:dyDescent="0.3">
      <c r="A132">
        <f>'[1]2026 Orders'!A133</f>
        <v>45975</v>
      </c>
      <c r="B132" s="14" t="str">
        <f>'[1]2026 Orders'!B133</f>
        <v>UAE</v>
      </c>
      <c r="C132" s="14" t="str">
        <f>'[1]2026 Orders'!C133</f>
        <v>A4572</v>
      </c>
      <c r="D132" s="14">
        <f>'[1]2026 Orders'!D133</f>
        <v>0</v>
      </c>
      <c r="E132" s="17" t="str" cm="1">
        <f t="array" ref="E132">IF(C132=0,"",
HYPERLINK(
"#'2026 Orders'!C"&amp;
MATCH(1,
('2026 Orders'!C:C=C132)*
('2026 Orders'!G:G=G132)*
('2026 Orders'!N:N=N132),
0),
"Open "&amp;C132
))</f>
        <v>Open A4572</v>
      </c>
      <c r="F132" s="14" t="str">
        <f>'[1]2026 Orders'!F133</f>
        <v>2/4/2026: Moved from UAE A4572
5/4/2026: Moved back from UAE A4553</v>
      </c>
      <c r="G132" s="14" t="str">
        <f>'[1]2026 Orders'!G133</f>
        <v>ROYALPL-30-FD</v>
      </c>
      <c r="H132" s="14" t="str" cm="1">
        <f t="array" ref="H132">IFERROR(_xlfn.TEXTJOIN("-",,INDEX(_xlfn.TEXTSPLIT(TableGive[[#This Row],[SKU]],"-"),{1,2})),"")</f>
        <v>ROYALPL-30</v>
      </c>
      <c r="I132" s="15" t="str">
        <f>IFERROR(_xlfn.TEXTAFTER(TableGive[[#This Row],[SKU]],"-",-1),"")</f>
        <v>FD</v>
      </c>
      <c r="J132" s="14">
        <f>'[1]2026 Orders'!H133</f>
        <v>1485</v>
      </c>
      <c r="K132" t="str">
        <f>'[1]2026 Orders'!I133</f>
        <v>F62-25.0</v>
      </c>
      <c r="L132">
        <f>'[1]2026 Orders'!J133</f>
        <v>0</v>
      </c>
      <c r="N132" s="10" t="str">
        <f>'[1]2026 Orders'!L133</f>
        <v>Production Complete</v>
      </c>
      <c r="O132">
        <f>'[1]2026 Orders'!M133</f>
        <v>0</v>
      </c>
      <c r="P132" t="str">
        <f>'[1]2026 Orders'!N133</f>
        <v>NA</v>
      </c>
      <c r="Q132">
        <f>'[1]2026 Orders'!O133</f>
        <v>609788968672</v>
      </c>
      <c r="R132">
        <f>'[1]2026 Orders'!P133</f>
        <v>5000</v>
      </c>
      <c r="S132">
        <f>'[1]2026 Orders'!Q133</f>
        <v>4875</v>
      </c>
      <c r="T132" t="str">
        <f>'[1]2026 Orders'!R133</f>
        <v>complete</v>
      </c>
      <c r="U132" t="str">
        <f>'[1]2026 Orders'!S133</f>
        <v>Held at MFR facility</v>
      </c>
      <c r="V132">
        <f>'[1]2026 Orders'!T133</f>
        <v>0</v>
      </c>
      <c r="W132">
        <f>'[1]2026 Orders'!U133</f>
        <v>0</v>
      </c>
      <c r="X132">
        <f>'[1]2026 Orders'!V133</f>
        <v>0</v>
      </c>
      <c r="Y132">
        <f>'[1]2026 Orders'!W133</f>
        <v>0</v>
      </c>
      <c r="Z132">
        <f>'[1]2026 Orders'!X133</f>
        <v>0</v>
      </c>
      <c r="AC132" t="str">
        <f t="shared" si="4"/>
        <v>/1485</v>
      </c>
      <c r="AD132" t="e">
        <f t="shared" si="5"/>
        <v>#VALUE!</v>
      </c>
    </row>
    <row r="133" spans="1:30" ht="33" hidden="1" customHeight="1" x14ac:dyDescent="0.3">
      <c r="A133">
        <f>'[1]2026 Orders'!A134</f>
        <v>46058</v>
      </c>
      <c r="B133" s="14" t="str">
        <f>'[1]2026 Orders'!B134</f>
        <v>UAE</v>
      </c>
      <c r="C133" s="14" t="str">
        <f>'[1]2026 Orders'!C134</f>
        <v>A4572</v>
      </c>
      <c r="D133" s="14">
        <f>'[1]2026 Orders'!D134</f>
        <v>0</v>
      </c>
      <c r="E133" s="17" t="str" cm="1">
        <f t="array" ref="E133">IF(C133=0,"",
HYPERLINK(
"#'2026 Orders'!C"&amp;
MATCH(1,
('2026 Orders'!C:C=C133)*
('2026 Orders'!G:G=G133)*
('2026 Orders'!N:N=N133),
0),
"Open "&amp;C133
))</f>
        <v>Open A4572</v>
      </c>
      <c r="F133" s="14" t="str">
        <f>'[1]2026 Orders'!F134</f>
        <v>3/30/2026:
Moved from UAE A4644
5/4/2026: Moved from A4553</v>
      </c>
      <c r="G133" s="14" t="str">
        <f>'[1]2026 Orders'!G134</f>
        <v>OMEGA3-60-CS-UA</v>
      </c>
      <c r="H133" s="14" t="str" cm="1">
        <f t="array" ref="H133">IFERROR(_xlfn.TEXTJOIN("-",,INDEX(_xlfn.TEXTSPLIT(TableGive[[#This Row],[SKU]],"-"),{1,2})),"")</f>
        <v>OMEGA3-60</v>
      </c>
      <c r="I133" s="15" t="str">
        <f>IFERROR(_xlfn.TEXTAFTER(TableGive[[#This Row],[SKU]],"-",-1),"")</f>
        <v>UA</v>
      </c>
      <c r="J133" s="14">
        <f>'[1]2026 Orders'!H134</f>
        <v>1500</v>
      </c>
      <c r="K133" t="str">
        <f>'[1]2026 Orders'!I134</f>
        <v>UA37-25.0</v>
      </c>
      <c r="L133">
        <f>'[1]2026 Orders'!J134</f>
        <v>0</v>
      </c>
      <c r="N133" s="10" t="str">
        <f>'[1]2026 Orders'!L134</f>
        <v>In Production</v>
      </c>
      <c r="O133">
        <f>'[1]2026 Orders'!M134</f>
        <v>0</v>
      </c>
      <c r="P133" t="str">
        <f>'[1]2026 Orders'!N134</f>
        <v>Y</v>
      </c>
      <c r="Q133">
        <f>'[1]2026 Orders'!O134</f>
        <v>609788968184</v>
      </c>
      <c r="R133">
        <f>'[1]2026 Orders'!P134</f>
        <v>1500</v>
      </c>
      <c r="S133">
        <f>'[1]2026 Orders'!Q134</f>
        <v>5069</v>
      </c>
      <c r="T133">
        <f>'[1]2026 Orders'!R134</f>
        <v>46223</v>
      </c>
      <c r="U133" t="str">
        <f>'[1]2026 Orders'!S134</f>
        <v>PO submitted at Genova</v>
      </c>
      <c r="V133">
        <f>'[1]2026 Orders'!T134</f>
        <v>0</v>
      </c>
      <c r="W133">
        <f>'[1]2026 Orders'!U134</f>
        <v>0</v>
      </c>
      <c r="X133">
        <f>'[1]2026 Orders'!V134</f>
        <v>0</v>
      </c>
      <c r="Y133">
        <f>'[1]2026 Orders'!W134</f>
        <v>0</v>
      </c>
      <c r="Z133">
        <f>'[1]2026 Orders'!X134</f>
        <v>0</v>
      </c>
      <c r="AC133" t="str">
        <f t="shared" si="4"/>
        <v>/1500</v>
      </c>
      <c r="AD133" t="e">
        <f t="shared" si="5"/>
        <v>#VALUE!</v>
      </c>
    </row>
    <row r="134" spans="1:30" ht="33" hidden="1" customHeight="1" x14ac:dyDescent="0.3">
      <c r="A134">
        <f>'[1]2026 Orders'!A135</f>
        <v>45975</v>
      </c>
      <c r="B134" s="14" t="str">
        <f>'[1]2026 Orders'!B135</f>
        <v>UAE</v>
      </c>
      <c r="C134" s="14" t="str">
        <f>'[1]2026 Orders'!C135</f>
        <v>A4572</v>
      </c>
      <c r="D134" s="14">
        <f>'[1]2026 Orders'!D135</f>
        <v>0</v>
      </c>
      <c r="E134" s="17" t="str" cm="1">
        <f t="array" ref="E134">IF(C134=0,"",
HYPERLINK(
"#'2026 Orders'!C"&amp;
MATCH(1,
('2026 Orders'!C:C=C134)*
('2026 Orders'!G:G=G134)*
('2026 Orders'!N:N=N134),
0),
"Open "&amp;C134
))</f>
        <v>Open A4572</v>
      </c>
      <c r="F134" s="14" t="str">
        <f>'[1]2026 Orders'!F135</f>
        <v>2/4/2026: Moved from UAE A4572
5/13/2026: Moved from UAE A4553</v>
      </c>
      <c r="G134" s="14" t="str">
        <f>'[1]2026 Orders'!G135</f>
        <v>LIPODIS-60-FD</v>
      </c>
      <c r="H134" s="14" t="str" cm="1">
        <f t="array" ref="H134">IFERROR(_xlfn.TEXTJOIN("-",,INDEX(_xlfn.TEXTSPLIT(TableGive[[#This Row],[SKU]],"-"),{1,2})),"")</f>
        <v>LIPODIS-60</v>
      </c>
      <c r="I134" s="15" t="str">
        <f>IFERROR(_xlfn.TEXTAFTER(TableGive[[#This Row],[SKU]],"-",-1),"")</f>
        <v>FD</v>
      </c>
      <c r="J134" s="14">
        <f>'[1]2026 Orders'!H135</f>
        <v>1207</v>
      </c>
      <c r="K134" t="str">
        <f>'[1]2026 Orders'!I135</f>
        <v>F26-22.0</v>
      </c>
      <c r="L134">
        <f>'[1]2026 Orders'!J135</f>
        <v>0</v>
      </c>
      <c r="N134" s="10" t="str">
        <f>'[1]2026 Orders'!L135</f>
        <v>Available</v>
      </c>
      <c r="O134">
        <f>'[1]2026 Orders'!M135</f>
        <v>0</v>
      </c>
      <c r="P134" t="str">
        <f>'[1]2026 Orders'!N135</f>
        <v>Y</v>
      </c>
      <c r="Q134">
        <f>'[1]2026 Orders'!O135</f>
        <v>604776735823</v>
      </c>
      <c r="R134">
        <f>'[1]2026 Orders'!P135</f>
        <v>7000</v>
      </c>
      <c r="S134">
        <f>'[1]2026 Orders'!Q135</f>
        <v>4971</v>
      </c>
      <c r="T134" t="str">
        <f>'[1]2026 Orders'!R135</f>
        <v>Complete</v>
      </c>
      <c r="U134" t="str">
        <f>'[1]2026 Orders'!S135</f>
        <v>Waiting for PL and sample approval</v>
      </c>
      <c r="V134">
        <f>'[1]2026 Orders'!T135</f>
        <v>0</v>
      </c>
      <c r="W134">
        <f>'[1]2026 Orders'!U135</f>
        <v>0</v>
      </c>
      <c r="X134">
        <f>'[1]2026 Orders'!V135</f>
        <v>0</v>
      </c>
      <c r="Y134">
        <f>'[1]2026 Orders'!W135</f>
        <v>0</v>
      </c>
      <c r="Z134" t="str">
        <f>'[1]2026 Orders'!X135</f>
        <v>HOLD</v>
      </c>
      <c r="AC134" t="str">
        <f t="shared" si="4"/>
        <v>/1207</v>
      </c>
      <c r="AD134" t="e">
        <f t="shared" si="5"/>
        <v>#VALUE!</v>
      </c>
    </row>
    <row r="135" spans="1:30" ht="33" hidden="1" customHeight="1" x14ac:dyDescent="0.3">
      <c r="A135">
        <f>'[1]2026 Orders'!A136</f>
        <v>0</v>
      </c>
      <c r="B135" s="14">
        <f>'[1]2026 Orders'!B136</f>
        <v>0</v>
      </c>
      <c r="C135" s="14">
        <f>'[1]2026 Orders'!C136</f>
        <v>0</v>
      </c>
      <c r="D135" s="14">
        <f>'[1]2026 Orders'!D136</f>
        <v>0</v>
      </c>
      <c r="E135" s="17" t="str" cm="1">
        <f t="array" ref="E135">IF(C135=0,"",
HYPERLINK(
"#'2026 Orders'!C"&amp;
MATCH(1,
('2026 Orders'!C:C=C135)*
('2026 Orders'!G:G=G135)*
('2026 Orders'!N:N=N135),
0),
"Open "&amp;C135
))</f>
        <v/>
      </c>
      <c r="F135" s="14">
        <f>'[1]2026 Orders'!F136</f>
        <v>0</v>
      </c>
      <c r="G135" s="14">
        <f>'[1]2026 Orders'!G136</f>
        <v>0</v>
      </c>
      <c r="H135" s="14" t="str" cm="1">
        <f t="array" ref="H135">IFERROR(_xlfn.TEXTJOIN("-",,INDEX(_xlfn.TEXTSPLIT(TableGive[[#This Row],[SKU]],"-"),{1,2})),"")</f>
        <v/>
      </c>
      <c r="I135" s="15" t="str">
        <f>IFERROR(_xlfn.TEXTAFTER(TableGive[[#This Row],[SKU]],"-",-1),"")</f>
        <v/>
      </c>
      <c r="J135" s="14">
        <f>'[1]2026 Orders'!H136</f>
        <v>0</v>
      </c>
      <c r="K135">
        <f>'[1]2026 Orders'!I136</f>
        <v>0</v>
      </c>
      <c r="L135">
        <f>'[1]2026 Orders'!J136</f>
        <v>0</v>
      </c>
      <c r="N135" s="10">
        <f>'[1]2026 Orders'!L136</f>
        <v>0</v>
      </c>
      <c r="O135">
        <f>'[1]2026 Orders'!M136</f>
        <v>0</v>
      </c>
      <c r="P135">
        <f>'[1]2026 Orders'!N136</f>
        <v>0</v>
      </c>
      <c r="Q135">
        <f>'[1]2026 Orders'!O136</f>
        <v>0</v>
      </c>
      <c r="R135">
        <f>'[1]2026 Orders'!P136</f>
        <v>0</v>
      </c>
      <c r="S135">
        <f>'[1]2026 Orders'!Q136</f>
        <v>0</v>
      </c>
      <c r="T135">
        <f>'[1]2026 Orders'!R136</f>
        <v>0</v>
      </c>
      <c r="U135">
        <f>'[1]2026 Orders'!S136</f>
        <v>0</v>
      </c>
      <c r="V135">
        <f>'[1]2026 Orders'!T136</f>
        <v>0</v>
      </c>
      <c r="W135">
        <f>'[1]2026 Orders'!U136</f>
        <v>0</v>
      </c>
      <c r="X135">
        <f>'[1]2026 Orders'!V136</f>
        <v>0</v>
      </c>
      <c r="Y135">
        <f>'[1]2026 Orders'!W136</f>
        <v>0</v>
      </c>
      <c r="Z135">
        <f>'[1]2026 Orders'!X136</f>
        <v>0</v>
      </c>
      <c r="AC135" t="str">
        <f t="shared" si="4"/>
        <v/>
      </c>
      <c r="AD135" t="str">
        <f t="shared" si="5"/>
        <v/>
      </c>
    </row>
    <row r="136" spans="1:30" ht="33" hidden="1" customHeight="1" x14ac:dyDescent="0.3">
      <c r="A136">
        <f>'[1]2026 Orders'!A137</f>
        <v>45975</v>
      </c>
      <c r="B136" s="14" t="str">
        <f>'[1]2026 Orders'!B137</f>
        <v>Uganda</v>
      </c>
      <c r="C136" s="14" t="str">
        <f>'[1]2026 Orders'!C137</f>
        <v>A4574</v>
      </c>
      <c r="D136" s="14" t="str">
        <f>'[1]2026 Orders'!D137</f>
        <v>New Docs to be made</v>
      </c>
      <c r="E136" s="17" t="str" cm="1">
        <f t="array" ref="E136">IF(C136=0,"",
HYPERLINK(
"#'2026 Orders'!C"&amp;
MATCH(1,
('2026 Orders'!C:C=C136)*
('2026 Orders'!G:G=G136)*
('2026 Orders'!N:N=N136),
0),
"Open "&amp;C136
))</f>
        <v>Open A4574</v>
      </c>
      <c r="F136" s="14" t="str">
        <f>'[1]2026 Orders'!F137</f>
        <v>49481225
Mfg:12/2025
Exp:12/2028                                  5/21/2026: Allocating 240 pcs to Egypt A4683.</v>
      </c>
      <c r="G136" s="14" t="str">
        <f>'[1]2026 Orders'!G137</f>
        <v>MFSPLS-120-FD</v>
      </c>
      <c r="H136" s="14" t="str" cm="1">
        <f t="array" ref="H136">IFERROR(_xlfn.TEXTJOIN("-",,INDEX(_xlfn.TEXTSPLIT(TableGive[[#This Row],[SKU]],"-"),{1,2})),"")</f>
        <v>MFSPLS-120</v>
      </c>
      <c r="I136" s="15" t="str">
        <f>IFERROR(_xlfn.TEXTAFTER(TableGive[[#This Row],[SKU]],"-",-1),"")</f>
        <v>FD</v>
      </c>
      <c r="J136" s="14">
        <f>'[1]2026 Orders'!H137</f>
        <v>240</v>
      </c>
      <c r="K136" t="str">
        <f>'[1]2026 Orders'!I137</f>
        <v>F30-25.1</v>
      </c>
      <c r="L136">
        <f>'[1]2026 Orders'!J137</f>
        <v>240</v>
      </c>
      <c r="N136" s="10" t="str">
        <f>'[1]2026 Orders'!L137</f>
        <v>In Production</v>
      </c>
      <c r="O136">
        <f>'[1]2026 Orders'!M137</f>
        <v>0</v>
      </c>
      <c r="P136" t="str">
        <f>'[1]2026 Orders'!N137</f>
        <v>NA</v>
      </c>
      <c r="Q136">
        <f>'[1]2026 Orders'!O137</f>
        <v>609788968344</v>
      </c>
      <c r="R136">
        <f>'[1]2026 Orders'!P137</f>
        <v>9195</v>
      </c>
      <c r="S136">
        <f>'[1]2026 Orders'!Q137</f>
        <v>5032</v>
      </c>
      <c r="T136">
        <f>'[1]2026 Orders'!R137</f>
        <v>46211</v>
      </c>
      <c r="U136">
        <f>'[1]2026 Orders'!S137</f>
        <v>0</v>
      </c>
      <c r="V136">
        <f>'[1]2026 Orders'!T137</f>
        <v>0</v>
      </c>
      <c r="W136">
        <f>'[1]2026 Orders'!U137</f>
        <v>0</v>
      </c>
      <c r="X136">
        <f>'[1]2026 Orders'!V137</f>
        <v>0</v>
      </c>
      <c r="Y136">
        <f>'[1]2026 Orders'!W137</f>
        <v>0</v>
      </c>
      <c r="Z136" t="str">
        <f>'[1]2026 Orders'!X137</f>
        <v>HOLD</v>
      </c>
      <c r="AC136" t="str">
        <f t="shared" si="4"/>
        <v>/240</v>
      </c>
      <c r="AD136" t="e">
        <f t="shared" si="5"/>
        <v>#VALUE!</v>
      </c>
    </row>
    <row r="137" spans="1:30" ht="33" hidden="1" customHeight="1" x14ac:dyDescent="0.3">
      <c r="A137">
        <f>'[1]2026 Orders'!A138</f>
        <v>45975</v>
      </c>
      <c r="B137" s="14" t="str">
        <f>'[1]2026 Orders'!B138</f>
        <v>Uganda</v>
      </c>
      <c r="C137" s="14" t="str">
        <f>'[1]2026 Orders'!C138</f>
        <v>A4574</v>
      </c>
      <c r="D137" s="14">
        <f>'[1]2026 Orders'!D138</f>
        <v>0</v>
      </c>
      <c r="E137" s="17" t="str" cm="1">
        <f t="array" ref="E137">IF(C137=0,"",
HYPERLINK(
"#'2026 Orders'!C"&amp;
MATCH(1,
('2026 Orders'!C:C=C137)*
('2026 Orders'!G:G=G137)*
('2026 Orders'!N:N=N137),
0),
"Open "&amp;C137
))</f>
        <v>Open A4574</v>
      </c>
      <c r="F137" s="14" t="str">
        <f>'[1]2026 Orders'!F138</f>
        <v>11/19/2025: allocated 192 packs to KSA A4566
5/11/2026: Allocating to Kenya A4699.</v>
      </c>
      <c r="G137" s="14" t="str">
        <f>'[1]2026 Orders'!G138</f>
        <v>FERTMX-90-RE</v>
      </c>
      <c r="H137" s="14" t="str" cm="1">
        <f t="array" ref="H137">IFERROR(_xlfn.TEXTJOIN("-",,INDEX(_xlfn.TEXTSPLIT(TableGive[[#This Row],[SKU]],"-"),{1,2})),"")</f>
        <v>FERTMX-90</v>
      </c>
      <c r="I137" s="15" t="str">
        <f>IFERROR(_xlfn.TEXTAFTER(TableGive[[#This Row],[SKU]],"-",-1),"")</f>
        <v>RE</v>
      </c>
      <c r="J137" s="14">
        <f>'[1]2026 Orders'!H138</f>
        <v>8</v>
      </c>
      <c r="K137" t="str">
        <f>'[1]2026 Orders'!I138</f>
        <v>R16-22.0</v>
      </c>
      <c r="L137">
        <f>'[1]2026 Orders'!J138</f>
        <v>8</v>
      </c>
      <c r="N137" s="10" t="str">
        <f>'[1]2026 Orders'!L138</f>
        <v>PO submitted</v>
      </c>
      <c r="O137">
        <f>'[1]2026 Orders'!M138</f>
        <v>0</v>
      </c>
      <c r="P137" t="str">
        <f>'[1]2026 Orders'!N138</f>
        <v>Y</v>
      </c>
      <c r="Q137">
        <f>'[1]2026 Orders'!O138</f>
        <v>609788968726</v>
      </c>
      <c r="R137">
        <f>'[1]2026 Orders'!P138</f>
        <v>5000</v>
      </c>
      <c r="S137">
        <f>'[1]2026 Orders'!Q138</f>
        <v>5041</v>
      </c>
      <c r="T137" t="str">
        <f>'[1]2026 Orders'!R138</f>
        <v>TBD</v>
      </c>
      <c r="U137" t="str">
        <f>'[1]2026 Orders'!S138</f>
        <v>Waiting for vendor confirmation.</v>
      </c>
      <c r="V137">
        <f>'[1]2026 Orders'!T138</f>
        <v>0</v>
      </c>
      <c r="W137">
        <f>'[1]2026 Orders'!U138</f>
        <v>0</v>
      </c>
      <c r="X137">
        <f>'[1]2026 Orders'!V138</f>
        <v>0</v>
      </c>
      <c r="Y137">
        <f>'[1]2026 Orders'!W138</f>
        <v>0</v>
      </c>
      <c r="Z137">
        <f>'[1]2026 Orders'!X138</f>
        <v>0</v>
      </c>
      <c r="AC137" t="str">
        <f t="shared" si="4"/>
        <v>/8</v>
      </c>
      <c r="AD137" t="e">
        <f t="shared" si="5"/>
        <v>#VALUE!</v>
      </c>
    </row>
    <row r="138" spans="1:30" ht="33" hidden="1" customHeight="1" x14ac:dyDescent="0.3">
      <c r="A138">
        <f>'[1]2026 Orders'!A139</f>
        <v>45980</v>
      </c>
      <c r="B138" s="14" t="str">
        <f>'[1]2026 Orders'!B139</f>
        <v>Uganda</v>
      </c>
      <c r="C138" s="14" t="str">
        <f>'[1]2026 Orders'!C139</f>
        <v>A4574</v>
      </c>
      <c r="D138" s="14">
        <f>'[1]2026 Orders'!D139</f>
        <v>0</v>
      </c>
      <c r="E138" s="17" t="str" cm="1">
        <f t="array" ref="E138">IF(C138=0,"",
HYPERLINK(
"#'2026 Orders'!C"&amp;
MATCH(1,
('2026 Orders'!C:C=C138)*
('2026 Orders'!G:G=G138)*
('2026 Orders'!N:N=N138),
0),
"Open "&amp;C138
))</f>
        <v>Open A4574</v>
      </c>
      <c r="F138" s="14" t="str">
        <f>'[1]2026 Orders'!F139</f>
        <v>11/19/2025: Fulfilled from PO4834                        5/11/2026: Allocating to Kenya A4699.</v>
      </c>
      <c r="G138" s="14" t="str">
        <f>'[1]2026 Orders'!G139</f>
        <v>FERTMX-90-RE</v>
      </c>
      <c r="H138" s="14" t="str" cm="1">
        <f t="array" ref="H138">IFERROR(_xlfn.TEXTJOIN("-",,INDEX(_xlfn.TEXTSPLIT(TableGive[[#This Row],[SKU]],"-"),{1,2})),"")</f>
        <v>FERTMX-90</v>
      </c>
      <c r="I138" s="15" t="str">
        <f>IFERROR(_xlfn.TEXTAFTER(TableGive[[#This Row],[SKU]],"-",-1),"")</f>
        <v>RE</v>
      </c>
      <c r="J138" s="14">
        <f>'[1]2026 Orders'!H139</f>
        <v>192</v>
      </c>
      <c r="K138" t="str">
        <f>'[1]2026 Orders'!I139</f>
        <v>R16-22.0</v>
      </c>
      <c r="L138">
        <f>'[1]2026 Orders'!J139</f>
        <v>192</v>
      </c>
      <c r="N138" s="10" t="str">
        <f>'[1]2026 Orders'!L139</f>
        <v>PO submitted</v>
      </c>
      <c r="O138">
        <f>'[1]2026 Orders'!M139</f>
        <v>0</v>
      </c>
      <c r="P138" t="str">
        <f>'[1]2026 Orders'!N139</f>
        <v>Y</v>
      </c>
      <c r="Q138">
        <f>'[1]2026 Orders'!O139</f>
        <v>609788968726</v>
      </c>
      <c r="R138">
        <f>'[1]2026 Orders'!P139</f>
        <v>5000</v>
      </c>
      <c r="S138">
        <f>'[1]2026 Orders'!Q139</f>
        <v>5041</v>
      </c>
      <c r="T138" t="str">
        <f>'[1]2026 Orders'!R139</f>
        <v>TBD</v>
      </c>
      <c r="U138" t="str">
        <f>'[1]2026 Orders'!S139</f>
        <v>Waiting for vendor confirmation.</v>
      </c>
      <c r="V138">
        <f>'[1]2026 Orders'!T139</f>
        <v>0</v>
      </c>
      <c r="W138">
        <f>'[1]2026 Orders'!U139</f>
        <v>0</v>
      </c>
      <c r="X138">
        <f>'[1]2026 Orders'!V139</f>
        <v>0</v>
      </c>
      <c r="Y138">
        <f>'[1]2026 Orders'!W139</f>
        <v>0</v>
      </c>
      <c r="Z138">
        <f>'[1]2026 Orders'!X139</f>
        <v>0</v>
      </c>
      <c r="AC138" t="str">
        <f t="shared" si="4"/>
        <v>/192</v>
      </c>
      <c r="AD138" t="e">
        <f t="shared" si="5"/>
        <v>#VALUE!</v>
      </c>
    </row>
    <row r="139" spans="1:30" ht="33" hidden="1" customHeight="1" x14ac:dyDescent="0.3">
      <c r="A139">
        <f>'[1]2026 Orders'!A140</f>
        <v>45975</v>
      </c>
      <c r="B139" s="14" t="str">
        <f>'[1]2026 Orders'!B140</f>
        <v>Uganda</v>
      </c>
      <c r="C139" s="14" t="str">
        <f>'[1]2026 Orders'!C140</f>
        <v>A4574</v>
      </c>
      <c r="D139" s="14">
        <f>'[1]2026 Orders'!D140</f>
        <v>0</v>
      </c>
      <c r="E139" s="17" t="str" cm="1">
        <f t="array" ref="E139">IF(C139=0,"",
HYPERLINK(
"#'2026 Orders'!C"&amp;
MATCH(1,
('2026 Orders'!C:C=C139)*
('2026 Orders'!G:G=G139)*
('2026 Orders'!N:N=N139),
0),
"Open "&amp;C139
))</f>
        <v>Open A4574</v>
      </c>
      <c r="F139" s="14" t="str">
        <f>'[1]2026 Orders'!F140</f>
        <v>03/10/26 Product allocated to Somalia A4655</v>
      </c>
      <c r="G139" s="14" t="str">
        <f>'[1]2026 Orders'!G140</f>
        <v>DHEA50-60-FD</v>
      </c>
      <c r="H139" s="14" t="str" cm="1">
        <f t="array" ref="H139">IFERROR(_xlfn.TEXTJOIN("-",,INDEX(_xlfn.TEXTSPLIT(TableGive[[#This Row],[SKU]],"-"),{1,2})),"")</f>
        <v>DHEA50-60</v>
      </c>
      <c r="I139" s="15" t="str">
        <f>IFERROR(_xlfn.TEXTAFTER(TableGive[[#This Row],[SKU]],"-",-1),"")</f>
        <v>FD</v>
      </c>
      <c r="J139" s="14">
        <f>'[1]2026 Orders'!H140</f>
        <v>30</v>
      </c>
      <c r="K139" t="str">
        <f>'[1]2026 Orders'!I140</f>
        <v>F13-25.2</v>
      </c>
      <c r="L139">
        <f>'[1]2026 Orders'!J140</f>
        <v>0</v>
      </c>
      <c r="N139" s="10" t="str">
        <f>'[1]2026 Orders'!L140</f>
        <v>In Production</v>
      </c>
      <c r="O139">
        <f>'[1]2026 Orders'!M140</f>
        <v>0</v>
      </c>
      <c r="P139" t="str">
        <f>'[1]2026 Orders'!N140</f>
        <v>NA</v>
      </c>
      <c r="Q139">
        <f>'[1]2026 Orders'!O140</f>
        <v>609788968221</v>
      </c>
      <c r="R139">
        <f>'[1]2026 Orders'!P140</f>
        <v>7000</v>
      </c>
      <c r="S139">
        <f>'[1]2026 Orders'!Q140</f>
        <v>5027</v>
      </c>
      <c r="T139">
        <f>'[1]2026 Orders'!R140</f>
        <v>46201</v>
      </c>
      <c r="U139">
        <f>'[1]2026 Orders'!S140</f>
        <v>0</v>
      </c>
      <c r="V139">
        <f>'[1]2026 Orders'!T140</f>
        <v>0</v>
      </c>
      <c r="W139">
        <f>'[1]2026 Orders'!U140</f>
        <v>0</v>
      </c>
      <c r="X139">
        <f>'[1]2026 Orders'!V140</f>
        <v>0</v>
      </c>
      <c r="Y139">
        <f>'[1]2026 Orders'!W140</f>
        <v>0</v>
      </c>
      <c r="Z139">
        <f>'[1]2026 Orders'!X140</f>
        <v>0</v>
      </c>
      <c r="AC139" t="str">
        <f t="shared" si="4"/>
        <v>/30</v>
      </c>
      <c r="AD139" t="e">
        <f t="shared" si="5"/>
        <v>#VALUE!</v>
      </c>
    </row>
    <row r="140" spans="1:30" ht="33" hidden="1" customHeight="1" x14ac:dyDescent="0.3">
      <c r="A140">
        <f>'[1]2026 Orders'!A141</f>
        <v>45975</v>
      </c>
      <c r="B140" s="14" t="str">
        <f>'[1]2026 Orders'!B141</f>
        <v>Uganda</v>
      </c>
      <c r="C140" s="14" t="str">
        <f>'[1]2026 Orders'!C141</f>
        <v>A4574</v>
      </c>
      <c r="D140" s="14">
        <f>'[1]2026 Orders'!D141</f>
        <v>0</v>
      </c>
      <c r="E140" s="17" t="str" cm="1">
        <f t="array" ref="E140">IF(C140=0,"",
HYPERLINK(
"#'2026 Orders'!C"&amp;
MATCH(1,
('2026 Orders'!C:C=C140)*
('2026 Orders'!G:G=G140)*
('2026 Orders'!N:N=N140),
0),
"Open "&amp;C140
))</f>
        <v>Open A4574</v>
      </c>
      <c r="F140" s="14" t="str">
        <f>'[1]2026 Orders'!F141</f>
        <v>4/9/2026: 200 packs of Ovamax allocated to Bahrain A4685</v>
      </c>
      <c r="G140" s="14" t="str">
        <f>'[1]2026 Orders'!G141</f>
        <v>OVAMAX-120-FD</v>
      </c>
      <c r="H140" s="14" t="str" cm="1">
        <f t="array" ref="H140">IFERROR(_xlfn.TEXTJOIN("-",,INDEX(_xlfn.TEXTSPLIT(TableGive[[#This Row],[SKU]],"-"),{1,2})),"")</f>
        <v>OVAMAX-120</v>
      </c>
      <c r="I140" s="15" t="str">
        <f>IFERROR(_xlfn.TEXTAFTER(TableGive[[#This Row],[SKU]],"-",-1),"")</f>
        <v>FD</v>
      </c>
      <c r="J140" s="14">
        <f>'[1]2026 Orders'!H141</f>
        <v>200</v>
      </c>
      <c r="K140" t="str">
        <f>'[1]2026 Orders'!I141</f>
        <v>F41-25.0</v>
      </c>
      <c r="L140">
        <f>'[1]2026 Orders'!J141</f>
        <v>0</v>
      </c>
      <c r="N140" s="10" t="str">
        <f>'[1]2026 Orders'!L141</f>
        <v>In Production</v>
      </c>
      <c r="O140">
        <f>'[1]2026 Orders'!M141</f>
        <v>0</v>
      </c>
      <c r="P140" t="str">
        <f>'[1]2026 Orders'!N141</f>
        <v>NA</v>
      </c>
      <c r="Q140">
        <f>'[1]2026 Orders'!O141</f>
        <v>810131199586</v>
      </c>
      <c r="R140">
        <f>'[1]2026 Orders'!P141</f>
        <v>10775</v>
      </c>
      <c r="S140">
        <f>'[1]2026 Orders'!Q141</f>
        <v>5055</v>
      </c>
      <c r="T140">
        <f>'[1]2026 Orders'!R141</f>
        <v>46213</v>
      </c>
      <c r="U140">
        <f>'[1]2026 Orders'!S141</f>
        <v>0</v>
      </c>
      <c r="V140">
        <f>'[1]2026 Orders'!T141</f>
        <v>0</v>
      </c>
      <c r="W140">
        <f>'[1]2026 Orders'!U141</f>
        <v>0</v>
      </c>
      <c r="X140">
        <f>'[1]2026 Orders'!V141</f>
        <v>0</v>
      </c>
      <c r="Y140">
        <f>'[1]2026 Orders'!W141</f>
        <v>0</v>
      </c>
      <c r="Z140">
        <f>'[1]2026 Orders'!X141</f>
        <v>0</v>
      </c>
      <c r="AC140" t="str">
        <f t="shared" si="4"/>
        <v>/200</v>
      </c>
      <c r="AD140" t="e">
        <f t="shared" si="5"/>
        <v>#VALUE!</v>
      </c>
    </row>
    <row r="141" spans="1:30" ht="33" hidden="1" customHeight="1" x14ac:dyDescent="0.3">
      <c r="A141">
        <f>'[1]2026 Orders'!A142</f>
        <v>45975</v>
      </c>
      <c r="B141" s="14" t="str">
        <f>'[1]2026 Orders'!B142</f>
        <v>Uganda</v>
      </c>
      <c r="C141" s="14" t="str">
        <f>'[1]2026 Orders'!C142</f>
        <v>A4574</v>
      </c>
      <c r="D141" s="14">
        <f>'[1]2026 Orders'!D142</f>
        <v>0</v>
      </c>
      <c r="E141" s="17" t="str" cm="1">
        <f t="array" ref="E141">IF(C141=0,"",
HYPERLINK(
"#'2026 Orders'!C"&amp;
MATCH(1,
('2026 Orders'!C:C=C141)*
('2026 Orders'!G:G=G141)*
('2026 Orders'!N:N=N141),
0),
"Open "&amp;C141
))</f>
        <v>Open A4574</v>
      </c>
      <c r="F141" s="14">
        <f>'[1]2026 Orders'!F142</f>
        <v>0</v>
      </c>
      <c r="G141" s="14" t="str">
        <f>'[1]2026 Orders'!G142</f>
        <v>WFSPLS-180-FD</v>
      </c>
      <c r="H141" s="14" t="str" cm="1">
        <f t="array" ref="H141">IFERROR(_xlfn.TEXTJOIN("-",,INDEX(_xlfn.TEXTSPLIT(TableGive[[#This Row],[SKU]],"-"),{1,2})),"")</f>
        <v>WFSPLS-180</v>
      </c>
      <c r="I141" s="15" t="str">
        <f>IFERROR(_xlfn.TEXTAFTER(TableGive[[#This Row],[SKU]],"-",-1),"")</f>
        <v>FD</v>
      </c>
      <c r="J141" s="14">
        <f>'[1]2026 Orders'!H142</f>
        <v>30</v>
      </c>
      <c r="K141" t="str">
        <f>'[1]2026 Orders'!I142</f>
        <v>F73-23.0</v>
      </c>
      <c r="L141">
        <f>'[1]2026 Orders'!J142</f>
        <v>30</v>
      </c>
      <c r="N141" s="10" t="str">
        <f>'[1]2026 Orders'!L142</f>
        <v>Picked</v>
      </c>
      <c r="O141">
        <f>'[1]2026 Orders'!M142</f>
        <v>0</v>
      </c>
      <c r="P141" t="str">
        <f>'[1]2026 Orders'!N142</f>
        <v>NA</v>
      </c>
      <c r="Q141">
        <f>'[1]2026 Orders'!O142</f>
        <v>609788968351</v>
      </c>
      <c r="R141">
        <f>'[1]2026 Orders'!P142</f>
        <v>9000</v>
      </c>
      <c r="S141">
        <f>'[1]2026 Orders'!Q142</f>
        <v>4845</v>
      </c>
      <c r="T141" t="str">
        <f>'[1]2026 Orders'!R142</f>
        <v>complete</v>
      </c>
      <c r="U141">
        <f>'[1]2026 Orders'!S142</f>
        <v>0</v>
      </c>
      <c r="V141">
        <f>'[1]2026 Orders'!T142</f>
        <v>0</v>
      </c>
      <c r="W141">
        <f>'[1]2026 Orders'!U142</f>
        <v>0</v>
      </c>
      <c r="X141">
        <f>'[1]2026 Orders'!V142</f>
        <v>0</v>
      </c>
      <c r="Y141">
        <f>'[1]2026 Orders'!W142</f>
        <v>0</v>
      </c>
      <c r="Z141">
        <f>'[1]2026 Orders'!X142</f>
        <v>0</v>
      </c>
      <c r="AC141" t="str">
        <f t="shared" si="4"/>
        <v>/30</v>
      </c>
      <c r="AD141" t="e">
        <f t="shared" si="5"/>
        <v>#VALUE!</v>
      </c>
    </row>
    <row r="142" spans="1:30" ht="33" hidden="1" customHeight="1" x14ac:dyDescent="0.3">
      <c r="A142">
        <f>'[1]2026 Orders'!A143</f>
        <v>45975</v>
      </c>
      <c r="B142" s="14" t="str">
        <f>'[1]2026 Orders'!B143</f>
        <v>Uganda</v>
      </c>
      <c r="C142" s="14" t="str">
        <f>'[1]2026 Orders'!C143</f>
        <v>A4574</v>
      </c>
      <c r="D142" s="14">
        <f>'[1]2026 Orders'!D143</f>
        <v>0</v>
      </c>
      <c r="E142" s="17" t="str" cm="1">
        <f t="array" ref="E142">IF(C142=0,"",
HYPERLINK(
"#'2026 Orders'!C"&amp;
MATCH(1,
('2026 Orders'!C:C=C142)*
('2026 Orders'!G:G=G142)*
('2026 Orders'!N:N=N142),
0),
"Open "&amp;C142
))</f>
        <v>Open A4574</v>
      </c>
      <c r="F142" s="14">
        <f>'[1]2026 Orders'!F143</f>
        <v>0</v>
      </c>
      <c r="G142" s="14" t="str">
        <f>'[1]2026 Orders'!G143</f>
        <v>QWELL4-30-SG-FD</v>
      </c>
      <c r="H142" s="14" t="str" cm="1">
        <f t="array" ref="H142">IFERROR(_xlfn.TEXTJOIN("-",,INDEX(_xlfn.TEXTSPLIT(TableGive[[#This Row],[SKU]],"-"),{1,2})),"")</f>
        <v>QWELL4-30</v>
      </c>
      <c r="I142" s="15" t="str">
        <f>IFERROR(_xlfn.TEXTAFTER(TableGive[[#This Row],[SKU]],"-",-1),"")</f>
        <v>FD</v>
      </c>
      <c r="J142" s="14">
        <f>'[1]2026 Orders'!H143</f>
        <v>60</v>
      </c>
      <c r="K142" t="str">
        <f>'[1]2026 Orders'!I143</f>
        <v>F58-25.3</v>
      </c>
      <c r="L142">
        <f>'[1]2026 Orders'!J143</f>
        <v>60</v>
      </c>
      <c r="N142" s="10" t="str">
        <f>'[1]2026 Orders'!L143</f>
        <v>Picked</v>
      </c>
      <c r="O142">
        <f>'[1]2026 Orders'!M143</f>
        <v>0</v>
      </c>
      <c r="P142" t="str">
        <f>'[1]2026 Orders'!N143</f>
        <v>NA</v>
      </c>
      <c r="Q142" t="str">
        <f>'[1]2026 Orders'!O143</f>
        <v>609788968214</v>
      </c>
      <c r="R142">
        <f>'[1]2026 Orders'!P143</f>
        <v>0</v>
      </c>
      <c r="S142">
        <f>'[1]2026 Orders'!Q143</f>
        <v>0</v>
      </c>
      <c r="T142">
        <f>'[1]2026 Orders'!R143</f>
        <v>0</v>
      </c>
      <c r="U142">
        <f>'[1]2026 Orders'!S143</f>
        <v>0</v>
      </c>
      <c r="V142">
        <f>'[1]2026 Orders'!T143</f>
        <v>0</v>
      </c>
      <c r="W142">
        <f>'[1]2026 Orders'!U143</f>
        <v>0</v>
      </c>
      <c r="X142">
        <f>'[1]2026 Orders'!V143</f>
        <v>0</v>
      </c>
      <c r="Y142">
        <f>'[1]2026 Orders'!W143</f>
        <v>0</v>
      </c>
      <c r="Z142">
        <f>'[1]2026 Orders'!X143</f>
        <v>0</v>
      </c>
      <c r="AC142" t="str">
        <f t="shared" si="4"/>
        <v>/60</v>
      </c>
      <c r="AD142" t="e">
        <f t="shared" si="5"/>
        <v>#VALUE!</v>
      </c>
    </row>
    <row r="143" spans="1:30" ht="33" hidden="1" customHeight="1" x14ac:dyDescent="0.3">
      <c r="A143">
        <f>'[1]2026 Orders'!A144</f>
        <v>45975</v>
      </c>
      <c r="B143" s="14" t="str">
        <f>'[1]2026 Orders'!B144</f>
        <v>Uganda</v>
      </c>
      <c r="C143" s="14" t="str">
        <f>'[1]2026 Orders'!C144</f>
        <v>A4574</v>
      </c>
      <c r="D143" s="14">
        <f>'[1]2026 Orders'!D144</f>
        <v>0</v>
      </c>
      <c r="E143" s="17" t="str" cm="1">
        <f t="array" ref="E143">IF(C143=0,"",
HYPERLINK(
"#'2026 Orders'!C"&amp;
MATCH(1,
('2026 Orders'!C:C=C143)*
('2026 Orders'!G:G=G143)*
('2026 Orders'!N:N=N143),
0),
"Open "&amp;C143
))</f>
        <v>Open A4574</v>
      </c>
      <c r="F143" s="14">
        <f>'[1]2026 Orders'!F144</f>
        <v>0</v>
      </c>
      <c r="G143" s="14" t="str">
        <f>'[1]2026 Orders'!G144</f>
        <v>PRECON-180-FD</v>
      </c>
      <c r="H143" s="14" t="str" cm="1">
        <f t="array" ref="H143">IFERROR(_xlfn.TEXTJOIN("-",,INDEX(_xlfn.TEXTSPLIT(TableGive[[#This Row],[SKU]],"-"),{1,2})),"")</f>
        <v>PRECON-180</v>
      </c>
      <c r="I143" s="15" t="str">
        <f>IFERROR(_xlfn.TEXTAFTER(TableGive[[#This Row],[SKU]],"-",-1),"")</f>
        <v>FD</v>
      </c>
      <c r="J143" s="14">
        <f>'[1]2026 Orders'!H144</f>
        <v>50</v>
      </c>
      <c r="K143" t="str">
        <f>'[1]2026 Orders'!I144</f>
        <v>F55-22.2</v>
      </c>
      <c r="L143">
        <f>'[1]2026 Orders'!J144</f>
        <v>50</v>
      </c>
      <c r="N143" s="10" t="str">
        <f>'[1]2026 Orders'!L144</f>
        <v>Picked</v>
      </c>
      <c r="O143">
        <f>'[1]2026 Orders'!M144</f>
        <v>0</v>
      </c>
      <c r="P143" t="str">
        <f>'[1]2026 Orders'!N144</f>
        <v>NA</v>
      </c>
      <c r="Q143">
        <f>'[1]2026 Orders'!O144</f>
        <v>609788968375</v>
      </c>
      <c r="R143">
        <f>'[1]2026 Orders'!P144</f>
        <v>5000</v>
      </c>
      <c r="S143">
        <f>'[1]2026 Orders'!Q144</f>
        <v>4849</v>
      </c>
      <c r="T143" t="str">
        <f>'[1]2026 Orders'!R144</f>
        <v>complete</v>
      </c>
      <c r="U143">
        <f>'[1]2026 Orders'!S144</f>
        <v>0</v>
      </c>
      <c r="V143">
        <f>'[1]2026 Orders'!T144</f>
        <v>0</v>
      </c>
      <c r="W143">
        <f>'[1]2026 Orders'!U144</f>
        <v>0</v>
      </c>
      <c r="X143">
        <f>'[1]2026 Orders'!V144</f>
        <v>0</v>
      </c>
      <c r="Y143">
        <f>'[1]2026 Orders'!W144</f>
        <v>0</v>
      </c>
      <c r="Z143">
        <f>'[1]2026 Orders'!X144</f>
        <v>0</v>
      </c>
      <c r="AC143" t="str">
        <f t="shared" si="4"/>
        <v>/50</v>
      </c>
      <c r="AD143" t="e">
        <f t="shared" si="5"/>
        <v>#VALUE!</v>
      </c>
    </row>
    <row r="144" spans="1:30" ht="33" hidden="1" customHeight="1" x14ac:dyDescent="0.3">
      <c r="A144">
        <f>'[1]2026 Orders'!A145</f>
        <v>45975</v>
      </c>
      <c r="B144" s="14" t="str">
        <f>'[1]2026 Orders'!B145</f>
        <v>Uganda</v>
      </c>
      <c r="C144" s="14" t="str">
        <f>'[1]2026 Orders'!C145</f>
        <v>A4574</v>
      </c>
      <c r="D144" s="14">
        <f>'[1]2026 Orders'!D145</f>
        <v>0</v>
      </c>
      <c r="E144" s="17" t="str" cm="1">
        <f t="array" ref="E144">IF(C144=0,"",
HYPERLINK(
"#'2026 Orders'!C"&amp;
MATCH(1,
('2026 Orders'!C:C=C144)*
('2026 Orders'!G:G=G144)*
('2026 Orders'!N:N=N144),
0),
"Open "&amp;C144
))</f>
        <v>Open A4574</v>
      </c>
      <c r="F144" s="14">
        <f>'[1]2026 Orders'!F145</f>
        <v>0</v>
      </c>
      <c r="G144" s="14" t="str">
        <f>'[1]2026 Orders'!G145</f>
        <v>PENAMAX-60-GE-FD</v>
      </c>
      <c r="H144" s="14" t="str" cm="1">
        <f t="array" ref="H144">IFERROR(_xlfn.TEXTJOIN("-",,INDEX(_xlfn.TEXTSPLIT(TableGive[[#This Row],[SKU]],"-"),{1,2})),"")</f>
        <v>PENAMAX-60</v>
      </c>
      <c r="I144" s="15" t="str">
        <f>IFERROR(_xlfn.TEXTAFTER(TableGive[[#This Row],[SKU]],"-",-1),"")</f>
        <v>FD</v>
      </c>
      <c r="J144" s="14">
        <f>'[1]2026 Orders'!H145</f>
        <v>100</v>
      </c>
      <c r="K144" t="str">
        <f>'[1]2026 Orders'!I145</f>
        <v>F88-25.1</v>
      </c>
      <c r="L144">
        <f>'[1]2026 Orders'!J145</f>
        <v>100</v>
      </c>
      <c r="N144" s="10" t="str">
        <f>'[1]2026 Orders'!L145</f>
        <v>Picked</v>
      </c>
      <c r="O144">
        <f>'[1]2026 Orders'!M145</f>
        <v>0</v>
      </c>
      <c r="P144" t="str">
        <f>'[1]2026 Orders'!N145</f>
        <v>Y</v>
      </c>
      <c r="Q144">
        <f>'[1]2026 Orders'!O145</f>
        <v>609788968702</v>
      </c>
      <c r="R144">
        <f>'[1]2026 Orders'!P145</f>
        <v>0</v>
      </c>
      <c r="S144">
        <f>'[1]2026 Orders'!Q145</f>
        <v>0</v>
      </c>
      <c r="T144">
        <f>'[1]2026 Orders'!R145</f>
        <v>0</v>
      </c>
      <c r="U144">
        <f>'[1]2026 Orders'!S145</f>
        <v>0</v>
      </c>
      <c r="V144">
        <f>'[1]2026 Orders'!T145</f>
        <v>0</v>
      </c>
      <c r="W144">
        <f>'[1]2026 Orders'!U145</f>
        <v>0</v>
      </c>
      <c r="X144">
        <f>'[1]2026 Orders'!V145</f>
        <v>0</v>
      </c>
      <c r="Y144">
        <f>'[1]2026 Orders'!W145</f>
        <v>0</v>
      </c>
      <c r="Z144">
        <f>'[1]2026 Orders'!X145</f>
        <v>0</v>
      </c>
      <c r="AC144" t="str">
        <f t="shared" si="4"/>
        <v>/100</v>
      </c>
      <c r="AD144" t="e">
        <f t="shared" si="5"/>
        <v>#VALUE!</v>
      </c>
    </row>
    <row r="145" spans="1:30" ht="33" hidden="1" customHeight="1" x14ac:dyDescent="0.3">
      <c r="A145">
        <f>'[1]2026 Orders'!A146</f>
        <v>46034</v>
      </c>
      <c r="B145" s="14" t="str">
        <f>'[1]2026 Orders'!B146</f>
        <v>UAE</v>
      </c>
      <c r="C145" s="14" t="str">
        <f>'[1]2026 Orders'!C146</f>
        <v>A4572</v>
      </c>
      <c r="D145" s="14">
        <f>'[1]2026 Orders'!D146</f>
        <v>0</v>
      </c>
      <c r="E145" s="17" t="e" cm="1">
        <f t="array" ref="E145">IF(C145=0,"",
HYPERLINK(
"#'2026 Orders'!C"&amp;
MATCH(1,
('2026 Orders'!C:C=C145)*
('2026 Orders'!G:G=G145)*
('2026 Orders'!N:N=N145),
0),
"Open "&amp;C145
))</f>
        <v>#N/A</v>
      </c>
      <c r="F145" s="14" t="str">
        <f>'[1]2026 Orders'!F146</f>
        <v>product added on 1/12/2025</v>
      </c>
      <c r="G145" s="14" t="str">
        <f>'[1]2026 Orders'!G146</f>
        <v>NRGMEN-45-CS-UA</v>
      </c>
      <c r="H145" s="14" t="str" cm="1">
        <f t="array" ref="H145">IFERROR(_xlfn.TEXTJOIN("-",,INDEX(_xlfn.TEXTSPLIT(TableGive[[#This Row],[SKU]],"-"),{1,2})),"")</f>
        <v>NRGMEN-45</v>
      </c>
      <c r="I145" s="15" t="str">
        <f>IFERROR(_xlfn.TEXTAFTER(TableGive[[#This Row],[SKU]],"-",-1),"")</f>
        <v>UA</v>
      </c>
      <c r="J145" s="14">
        <f>'[1]2026 Orders'!H146</f>
        <v>2000</v>
      </c>
      <c r="K145" t="str">
        <f>'[1]2026 Orders'!I146</f>
        <v>UA84-26.0</v>
      </c>
      <c r="L145">
        <f>'[1]2026 Orders'!J146</f>
        <v>0</v>
      </c>
      <c r="N145" s="10">
        <f>'[1]2026 Orders'!L146</f>
        <v>0</v>
      </c>
      <c r="O145" t="str">
        <f>'[1]2026 Orders'!M146</f>
        <v>from sales: MUST BE NEW LABEL UPLOADED , new batch from new formula. NEW LABEL UPLOADED 2/12 BY OVERSEAS</v>
      </c>
      <c r="P145" t="str">
        <f>'[1]2026 Orders'!N146</f>
        <v>Y</v>
      </c>
      <c r="Q145">
        <f>'[1]2026 Orders'!O146</f>
        <v>604777000000</v>
      </c>
      <c r="R145">
        <f>'[1]2026 Orders'!P146</f>
        <v>3000</v>
      </c>
      <c r="S145">
        <f>'[1]2026 Orders'!Q146</f>
        <v>5028</v>
      </c>
      <c r="T145" t="str">
        <f>'[1]2026 Orders'!R146</f>
        <v>TBD</v>
      </c>
      <c r="U145" t="str">
        <f>'[1]2026 Orders'!S146</f>
        <v>Pending approval to send to vendor</v>
      </c>
      <c r="V145">
        <f>'[1]2026 Orders'!T146</f>
        <v>0</v>
      </c>
      <c r="W145">
        <f>'[1]2026 Orders'!U146</f>
        <v>0</v>
      </c>
      <c r="X145">
        <f>'[1]2026 Orders'!V146</f>
        <v>0</v>
      </c>
      <c r="Y145">
        <f>'[1]2026 Orders'!W146</f>
        <v>0</v>
      </c>
      <c r="Z145">
        <f>'[1]2026 Orders'!X146</f>
        <v>0</v>
      </c>
      <c r="AC145" t="str">
        <f t="shared" si="4"/>
        <v>/2000</v>
      </c>
      <c r="AD145" t="e">
        <f t="shared" si="5"/>
        <v>#VALUE!</v>
      </c>
    </row>
    <row r="146" spans="1:30" ht="33" hidden="1" customHeight="1" x14ac:dyDescent="0.3">
      <c r="A146">
        <f>'[1]2026 Orders'!A147</f>
        <v>45975</v>
      </c>
      <c r="B146" s="14" t="str">
        <f>'[1]2026 Orders'!B147</f>
        <v>Ethiopia</v>
      </c>
      <c r="C146" s="14" t="str">
        <f>'[1]2026 Orders'!C147</f>
        <v>A4575</v>
      </c>
      <c r="D146" s="14">
        <f>'[1]2026 Orders'!D147</f>
        <v>0</v>
      </c>
      <c r="E146" s="17" t="str" cm="1">
        <f t="array" ref="E146">IF(C146=0,"",
HYPERLINK(
"#'2026 Orders'!C"&amp;
MATCH(1,
('2026 Orders'!C:C=C146)*
('2026 Orders'!G:G=G146)*
('2026 Orders'!N:N=N146),
0),
"Open "&amp;C146
))</f>
        <v>Open A4575</v>
      </c>
      <c r="F146" s="14" t="str">
        <f>'[1]2026 Orders'!F147</f>
        <v>5/11/2026: Allocating to Kenya A4699.</v>
      </c>
      <c r="G146" s="14" t="str">
        <f>'[1]2026 Orders'!G147</f>
        <v>FERTMX-90-RE</v>
      </c>
      <c r="H146" s="14" t="str" cm="1">
        <f t="array" ref="H146">IFERROR(_xlfn.TEXTJOIN("-",,INDEX(_xlfn.TEXTSPLIT(TableGive[[#This Row],[SKU]],"-"),{1,2})),"")</f>
        <v>FERTMX-90</v>
      </c>
      <c r="I146" s="15" t="str">
        <f>IFERROR(_xlfn.TEXTAFTER(TableGive[[#This Row],[SKU]],"-",-1),"")</f>
        <v>RE</v>
      </c>
      <c r="J146" s="14">
        <f>'[1]2026 Orders'!H147</f>
        <v>288</v>
      </c>
      <c r="K146" t="str">
        <f>'[1]2026 Orders'!I147</f>
        <v>R16-22.0</v>
      </c>
      <c r="L146">
        <f>'[1]2026 Orders'!J147</f>
        <v>288</v>
      </c>
      <c r="N146" s="10" t="str">
        <f>'[1]2026 Orders'!L147</f>
        <v>PO submitted</v>
      </c>
      <c r="O146">
        <f>'[1]2026 Orders'!M147</f>
        <v>0</v>
      </c>
      <c r="P146" t="str">
        <f>'[1]2026 Orders'!N147</f>
        <v>Y</v>
      </c>
      <c r="Q146">
        <f>'[1]2026 Orders'!O147</f>
        <v>609788968726</v>
      </c>
      <c r="R146">
        <f>'[1]2026 Orders'!P147</f>
        <v>5000</v>
      </c>
      <c r="S146">
        <f>'[1]2026 Orders'!Q147</f>
        <v>5041</v>
      </c>
      <c r="T146" t="str">
        <f>'[1]2026 Orders'!R147</f>
        <v>TBD</v>
      </c>
      <c r="U146" t="str">
        <f>'[1]2026 Orders'!S147</f>
        <v>Waiting for vendor confirmation.</v>
      </c>
      <c r="V146">
        <f>'[1]2026 Orders'!T147</f>
        <v>0</v>
      </c>
      <c r="W146">
        <f>'[1]2026 Orders'!U147</f>
        <v>0</v>
      </c>
      <c r="X146">
        <f>'[1]2026 Orders'!V147</f>
        <v>0</v>
      </c>
      <c r="Y146">
        <f>'[1]2026 Orders'!W147</f>
        <v>0</v>
      </c>
      <c r="Z146" t="str">
        <f>'[1]2026 Orders'!X147</f>
        <v>HOLD</v>
      </c>
      <c r="AC146" t="str">
        <f t="shared" si="4"/>
        <v>/288</v>
      </c>
      <c r="AD146" t="e">
        <f t="shared" si="5"/>
        <v>#VALUE!</v>
      </c>
    </row>
    <row r="147" spans="1:30" ht="33" hidden="1" customHeight="1" x14ac:dyDescent="0.3">
      <c r="A147">
        <f>'[1]2026 Orders'!A148</f>
        <v>45975</v>
      </c>
      <c r="B147" s="14" t="str">
        <f>'[1]2026 Orders'!B148</f>
        <v>Ethiopia</v>
      </c>
      <c r="C147" s="14" t="str">
        <f>'[1]2026 Orders'!C148</f>
        <v>A4575</v>
      </c>
      <c r="D147" s="14">
        <f>'[1]2026 Orders'!D148</f>
        <v>0</v>
      </c>
      <c r="E147" s="17" t="str" cm="1">
        <f t="array" ref="E147">IF(C147=0,"",
HYPERLINK(
"#'2026 Orders'!C"&amp;
MATCH(1,
('2026 Orders'!C:C=C147)*
('2026 Orders'!G:G=G147)*
('2026 Orders'!N:N=N147),
0),
"Open "&amp;C147
))</f>
        <v>Open A4575</v>
      </c>
      <c r="F147" s="14" t="str">
        <f>'[1]2026 Orders'!F148</f>
        <v>5/13/2026: Full qty (1008) allocating to Qatar A4693</v>
      </c>
      <c r="G147" s="14" t="str">
        <f>'[1]2026 Orders'!G148</f>
        <v>MFSPLS-120-FD</v>
      </c>
      <c r="H147" s="14" t="str" cm="1">
        <f t="array" ref="H147">IFERROR(_xlfn.TEXTJOIN("-",,INDEX(_xlfn.TEXTSPLIT(TableGive[[#This Row],[SKU]],"-"),{1,2})),"")</f>
        <v>MFSPLS-120</v>
      </c>
      <c r="I147" s="15" t="str">
        <f>IFERROR(_xlfn.TEXTAFTER(TableGive[[#This Row],[SKU]],"-",-1),"")</f>
        <v>FD</v>
      </c>
      <c r="J147" s="14">
        <f>'[1]2026 Orders'!H148</f>
        <v>1008</v>
      </c>
      <c r="K147" t="str">
        <f>'[1]2026 Orders'!I148</f>
        <v>F30-25.1</v>
      </c>
      <c r="L147">
        <f>'[1]2026 Orders'!J148</f>
        <v>1008</v>
      </c>
      <c r="N147" s="10" t="str">
        <f>'[1]2026 Orders'!L148</f>
        <v>PO submitted</v>
      </c>
      <c r="O147">
        <f>'[1]2026 Orders'!M148</f>
        <v>0</v>
      </c>
      <c r="P147" t="str">
        <f>'[1]2026 Orders'!N148</f>
        <v>NA</v>
      </c>
      <c r="Q147">
        <f>'[1]2026 Orders'!O148</f>
        <v>609788968344</v>
      </c>
      <c r="R147" t="str">
        <f>'[1]2026 Orders'!P148</f>
        <v>300000 bulk</v>
      </c>
      <c r="S147">
        <f>'[1]2026 Orders'!Q148</f>
        <v>5064</v>
      </c>
      <c r="T147" t="str">
        <f>'[1]2026 Orders'!R148</f>
        <v>TBD</v>
      </c>
      <c r="U147" t="str">
        <f>'[1]2026 Orders'!S148</f>
        <v>Bulk PO Submitted, Pending ETA confirmation</v>
      </c>
      <c r="V147">
        <f>'[1]2026 Orders'!T148</f>
        <v>0</v>
      </c>
      <c r="W147">
        <f>'[1]2026 Orders'!U148</f>
        <v>0</v>
      </c>
      <c r="X147">
        <f>'[1]2026 Orders'!V148</f>
        <v>0</v>
      </c>
      <c r="Y147">
        <f>'[1]2026 Orders'!W148</f>
        <v>0</v>
      </c>
      <c r="Z147">
        <f>'[1]2026 Orders'!X148</f>
        <v>0</v>
      </c>
      <c r="AC147" t="str">
        <f t="shared" si="4"/>
        <v>/1008</v>
      </c>
      <c r="AD147" t="e">
        <f t="shared" si="5"/>
        <v>#VALUE!</v>
      </c>
    </row>
    <row r="148" spans="1:30" ht="33" hidden="1" customHeight="1" x14ac:dyDescent="0.3">
      <c r="A148">
        <f>'[1]2026 Orders'!A149</f>
        <v>45975</v>
      </c>
      <c r="B148" s="14" t="str">
        <f>'[1]2026 Orders'!B149</f>
        <v>Ethiopia</v>
      </c>
      <c r="C148" s="14" t="str">
        <f>'[1]2026 Orders'!C149</f>
        <v>A4575</v>
      </c>
      <c r="D148" s="14">
        <f>'[1]2026 Orders'!D149</f>
        <v>0</v>
      </c>
      <c r="E148" s="17" t="str" cm="1">
        <f t="array" ref="E148">IF(C148=0,"",
HYPERLINK(
"#'2026 Orders'!C"&amp;
MATCH(1,
('2026 Orders'!C:C=C148)*
('2026 Orders'!G:G=G148)*
('2026 Orders'!N:N=N148),
0),
"Open "&amp;C148
))</f>
        <v>Open A4575</v>
      </c>
      <c r="F148" s="14">
        <f>'[1]2026 Orders'!F149</f>
        <v>0</v>
      </c>
      <c r="G148" s="14" t="str">
        <f>'[1]2026 Orders'!G149</f>
        <v>OVAMAX-120-FD</v>
      </c>
      <c r="H148" s="14" t="str" cm="1">
        <f t="array" ref="H148">IFERROR(_xlfn.TEXTJOIN("-",,INDEX(_xlfn.TEXTSPLIT(TableGive[[#This Row],[SKU]],"-"),{1,2})),"")</f>
        <v>OVAMAX-120</v>
      </c>
      <c r="I148" s="15" t="str">
        <f>IFERROR(_xlfn.TEXTAFTER(TableGive[[#This Row],[SKU]],"-",-1),"")</f>
        <v>FD</v>
      </c>
      <c r="J148" s="14">
        <f>'[1]2026 Orders'!H149</f>
        <v>288</v>
      </c>
      <c r="K148" t="str">
        <f>'[1]2026 Orders'!I149</f>
        <v>F41-25.0</v>
      </c>
      <c r="L148">
        <f>'[1]2026 Orders'!J149</f>
        <v>288</v>
      </c>
      <c r="N148" s="10" t="str">
        <f>'[1]2026 Orders'!L149</f>
        <v>Picked</v>
      </c>
      <c r="O148">
        <f>'[1]2026 Orders'!M149</f>
        <v>0</v>
      </c>
      <c r="P148" t="str">
        <f>'[1]2026 Orders'!N149</f>
        <v>NA</v>
      </c>
      <c r="Q148">
        <f>'[1]2026 Orders'!O149</f>
        <v>609788968399</v>
      </c>
      <c r="R148">
        <f>'[1]2026 Orders'!P149</f>
        <v>16000</v>
      </c>
      <c r="S148">
        <f>'[1]2026 Orders'!Q149</f>
        <v>4823</v>
      </c>
      <c r="T148" t="str">
        <f>'[1]2026 Orders'!R149</f>
        <v>complete</v>
      </c>
      <c r="U148">
        <f>'[1]2026 Orders'!S149</f>
        <v>0</v>
      </c>
      <c r="V148">
        <f>'[1]2026 Orders'!T149</f>
        <v>0</v>
      </c>
      <c r="W148">
        <f>'[1]2026 Orders'!U149</f>
        <v>0</v>
      </c>
      <c r="X148">
        <f>'[1]2026 Orders'!V149</f>
        <v>0</v>
      </c>
      <c r="Y148">
        <f>'[1]2026 Orders'!W149</f>
        <v>0</v>
      </c>
      <c r="Z148">
        <f>'[1]2026 Orders'!X149</f>
        <v>0</v>
      </c>
      <c r="AC148" t="str">
        <f t="shared" si="4"/>
        <v>/288</v>
      </c>
      <c r="AD148" t="e">
        <f t="shared" si="5"/>
        <v>#VALUE!</v>
      </c>
    </row>
    <row r="149" spans="1:30" ht="33" hidden="1" customHeight="1" x14ac:dyDescent="0.3">
      <c r="A149">
        <f>'[1]2026 Orders'!A150</f>
        <v>45975</v>
      </c>
      <c r="B149" s="14" t="str">
        <f>'[1]2026 Orders'!B150</f>
        <v>Ethiopia</v>
      </c>
      <c r="C149" s="14" t="str">
        <f>'[1]2026 Orders'!C150</f>
        <v>A4575</v>
      </c>
      <c r="D149" s="14">
        <f>'[1]2026 Orders'!D150</f>
        <v>0</v>
      </c>
      <c r="E149" s="17" t="str" cm="1">
        <f t="array" ref="E149">IF(C149=0,"",
HYPERLINK(
"#'2026 Orders'!C"&amp;
MATCH(1,
('2026 Orders'!C:C=C149)*
('2026 Orders'!G:G=G149)*
('2026 Orders'!N:N=N149),
0),
"Open "&amp;C149
))</f>
        <v>Open A4575</v>
      </c>
      <c r="F149" s="14" t="str">
        <f>'[1]2026 Orders'!F150</f>
        <v>5/12/2026: Allocating to Lebanon A4690</v>
      </c>
      <c r="G149" s="14" t="str">
        <f>'[1]2026 Orders'!G150</f>
        <v>WFSPLS-180-FD</v>
      </c>
      <c r="H149" s="14" t="str" cm="1">
        <f t="array" ref="H149">IFERROR(_xlfn.TEXTJOIN("-",,INDEX(_xlfn.TEXTSPLIT(TableGive[[#This Row],[SKU]],"-"),{1,2})),"")</f>
        <v>WFSPLS-180</v>
      </c>
      <c r="I149" s="15" t="str">
        <f>IFERROR(_xlfn.TEXTAFTER(TableGive[[#This Row],[SKU]],"-",-1),"")</f>
        <v>FD</v>
      </c>
      <c r="J149" s="14">
        <f>'[1]2026 Orders'!H150</f>
        <v>120</v>
      </c>
      <c r="K149" t="str">
        <f>'[1]2026 Orders'!I150</f>
        <v>F73-23.0</v>
      </c>
      <c r="L149">
        <f>'[1]2026 Orders'!J150</f>
        <v>120</v>
      </c>
      <c r="N149" s="10" t="str">
        <f>'[1]2026 Orders'!L150</f>
        <v>PO Drafted</v>
      </c>
      <c r="O149">
        <f>'[1]2026 Orders'!M150</f>
        <v>0</v>
      </c>
      <c r="P149" t="str">
        <f>'[1]2026 Orders'!N150</f>
        <v>NA</v>
      </c>
      <c r="Q149">
        <f>'[1]2026 Orders'!O150</f>
        <v>609788968351</v>
      </c>
      <c r="R149">
        <f>'[1]2026 Orders'!P150</f>
        <v>5000</v>
      </c>
      <c r="S149">
        <f>'[1]2026 Orders'!Q150</f>
        <v>5043</v>
      </c>
      <c r="T149" t="str">
        <f>'[1]2026 Orders'!R150</f>
        <v>TBD</v>
      </c>
      <c r="U149" t="str">
        <f>'[1]2026 Orders'!S150</f>
        <v>Pending approval to send to vendor</v>
      </c>
      <c r="V149">
        <f>'[1]2026 Orders'!T150</f>
        <v>0</v>
      </c>
      <c r="W149">
        <f>'[1]2026 Orders'!U150</f>
        <v>0</v>
      </c>
      <c r="X149">
        <f>'[1]2026 Orders'!V150</f>
        <v>0</v>
      </c>
      <c r="Y149">
        <f>'[1]2026 Orders'!W150</f>
        <v>0</v>
      </c>
      <c r="Z149">
        <f>'[1]2026 Orders'!X150</f>
        <v>0</v>
      </c>
      <c r="AC149" t="str">
        <f t="shared" si="4"/>
        <v>/120</v>
      </c>
      <c r="AD149" t="e">
        <f t="shared" si="5"/>
        <v>#VALUE!</v>
      </c>
    </row>
    <row r="150" spans="1:30" ht="33" hidden="1" customHeight="1" x14ac:dyDescent="0.3">
      <c r="A150">
        <f>'[1]2026 Orders'!A151</f>
        <v>45975</v>
      </c>
      <c r="B150" s="14" t="str">
        <f>'[1]2026 Orders'!B151</f>
        <v>Ethiopia</v>
      </c>
      <c r="C150" s="14" t="str">
        <f>'[1]2026 Orders'!C151</f>
        <v>A4575</v>
      </c>
      <c r="D150" s="14">
        <f>'[1]2026 Orders'!D151</f>
        <v>0</v>
      </c>
      <c r="E150" s="17" t="str" cm="1">
        <f t="array" ref="E150">IF(C150=0,"",
HYPERLINK(
"#'2026 Orders'!C"&amp;
MATCH(1,
('2026 Orders'!C:C=C150)*
('2026 Orders'!G:G=G150)*
('2026 Orders'!N:N=N150),
0),
"Open "&amp;C150
))</f>
        <v>Open A4575</v>
      </c>
      <c r="F150" s="14" t="str">
        <f>'[1]2026 Orders'!F151</f>
        <v>12/4/2025: Allocated 201 packs to A4519</v>
      </c>
      <c r="G150" s="14" t="str">
        <f>'[1]2026 Orders'!G151</f>
        <v>QWELL4-30-SG-FD</v>
      </c>
      <c r="H150" s="14" t="str" cm="1">
        <f t="array" ref="H150">IFERROR(_xlfn.TEXTJOIN("-",,INDEX(_xlfn.TEXTSPLIT(TableGive[[#This Row],[SKU]],"-"),{1,2})),"")</f>
        <v>QWELL4-30</v>
      </c>
      <c r="I150" s="15" t="str">
        <f>IFERROR(_xlfn.TEXTAFTER(TableGive[[#This Row],[SKU]],"-",-1),"")</f>
        <v>FD</v>
      </c>
      <c r="J150" s="14">
        <f>'[1]2026 Orders'!H151</f>
        <v>87</v>
      </c>
      <c r="K150" t="str">
        <f>'[1]2026 Orders'!I151</f>
        <v>F58-25.3</v>
      </c>
      <c r="L150">
        <f>'[1]2026 Orders'!J151</f>
        <v>87</v>
      </c>
      <c r="N150" s="10" t="str">
        <f>'[1]2026 Orders'!L151</f>
        <v>Picked</v>
      </c>
      <c r="O150">
        <f>'[1]2026 Orders'!M151</f>
        <v>0</v>
      </c>
      <c r="P150" t="str">
        <f>'[1]2026 Orders'!N151</f>
        <v>NA</v>
      </c>
      <c r="Q150" t="str">
        <f>'[1]2026 Orders'!O151</f>
        <v>609788968214</v>
      </c>
      <c r="R150">
        <f>'[1]2026 Orders'!P151</f>
        <v>0</v>
      </c>
      <c r="S150">
        <f>'[1]2026 Orders'!Q151</f>
        <v>0</v>
      </c>
      <c r="T150">
        <f>'[1]2026 Orders'!R151</f>
        <v>0</v>
      </c>
      <c r="U150">
        <f>'[1]2026 Orders'!S151</f>
        <v>0</v>
      </c>
      <c r="V150">
        <f>'[1]2026 Orders'!T151</f>
        <v>0</v>
      </c>
      <c r="W150">
        <f>'[1]2026 Orders'!U151</f>
        <v>0</v>
      </c>
      <c r="X150">
        <f>'[1]2026 Orders'!V151</f>
        <v>0</v>
      </c>
      <c r="Y150">
        <f>'[1]2026 Orders'!W151</f>
        <v>0</v>
      </c>
      <c r="Z150">
        <f>'[1]2026 Orders'!X151</f>
        <v>0</v>
      </c>
      <c r="AC150" t="str">
        <f t="shared" si="4"/>
        <v>/87</v>
      </c>
      <c r="AD150" t="e">
        <f t="shared" si="5"/>
        <v>#VALUE!</v>
      </c>
    </row>
    <row r="151" spans="1:30" ht="33" hidden="1" customHeight="1" x14ac:dyDescent="0.3">
      <c r="A151">
        <f>'[1]2026 Orders'!A152</f>
        <v>45902</v>
      </c>
      <c r="B151" s="14" t="str">
        <f>'[1]2026 Orders'!B152</f>
        <v>Ethiopia</v>
      </c>
      <c r="C151" s="14" t="str">
        <f>'[1]2026 Orders'!C152</f>
        <v>A4575</v>
      </c>
      <c r="D151" s="14">
        <f>'[1]2026 Orders'!D152</f>
        <v>0</v>
      </c>
      <c r="E151" s="17" t="str" cm="1">
        <f t="array" ref="E151">IF(C151=0,"",
HYPERLINK(
"#'2026 Orders'!C"&amp;
MATCH(1,
('2026 Orders'!C:C=C151)*
('2026 Orders'!G:G=G151)*
('2026 Orders'!N:N=N151),
0),
"Open "&amp;C151
))</f>
        <v>Open A4575</v>
      </c>
      <c r="F151" s="14" t="str">
        <f>'[1]2026 Orders'!F152</f>
        <v xml:space="preserve">9/3/2025: Changed from SG to VE  12/4/2025: Moved from A4519 due to allocation </v>
      </c>
      <c r="G151" s="14" t="str">
        <f>'[1]2026 Orders'!G152</f>
        <v>QWELL4-30-VE-FD</v>
      </c>
      <c r="H151" s="14" t="str" cm="1">
        <f t="array" ref="H151">IFERROR(_xlfn.TEXTJOIN("-",,INDEX(_xlfn.TEXTSPLIT(TableGive[[#This Row],[SKU]],"-"),{1,2})),"")</f>
        <v>QWELL4-30</v>
      </c>
      <c r="I151" s="15" t="str">
        <f>IFERROR(_xlfn.TEXTAFTER(TableGive[[#This Row],[SKU]],"-",-1),"")</f>
        <v>FD</v>
      </c>
      <c r="J151" s="14">
        <f>'[1]2026 Orders'!H152</f>
        <v>200</v>
      </c>
      <c r="K151" t="str">
        <f>'[1]2026 Orders'!I152</f>
        <v>F99-23.0</v>
      </c>
      <c r="L151">
        <f>'[1]2026 Orders'!J152</f>
        <v>0</v>
      </c>
      <c r="N151" s="10" t="str">
        <f>'[1]2026 Orders'!L152</f>
        <v>Production complete</v>
      </c>
      <c r="O151">
        <f>'[1]2026 Orders'!M152</f>
        <v>0</v>
      </c>
      <c r="P151" t="str">
        <f>'[1]2026 Orders'!N152</f>
        <v>NA</v>
      </c>
      <c r="Q151" t="str">
        <f>'[1]2026 Orders'!O152</f>
        <v>810131192 532</v>
      </c>
      <c r="R151">
        <f>'[1]2026 Orders'!P152</f>
        <v>4000</v>
      </c>
      <c r="S151">
        <f>'[1]2026 Orders'!Q152</f>
        <v>4808</v>
      </c>
      <c r="T151" t="str">
        <f>'[1]2026 Orders'!R152</f>
        <v>Complete</v>
      </c>
      <c r="U151" t="str">
        <f>'[1]2026 Orders'!S152</f>
        <v>Awaiting vendor packing list</v>
      </c>
      <c r="V151">
        <f>'[1]2026 Orders'!T152</f>
        <v>0</v>
      </c>
      <c r="W151">
        <f>'[1]2026 Orders'!U152</f>
        <v>0</v>
      </c>
      <c r="X151">
        <f>'[1]2026 Orders'!V152</f>
        <v>0</v>
      </c>
      <c r="Y151">
        <f>'[1]2026 Orders'!W152</f>
        <v>0</v>
      </c>
      <c r="Z151">
        <f>'[1]2026 Orders'!X152</f>
        <v>0</v>
      </c>
      <c r="AC151" t="str">
        <f t="shared" si="4"/>
        <v>/200</v>
      </c>
      <c r="AD151" t="e">
        <f t="shared" si="5"/>
        <v>#VALUE!</v>
      </c>
    </row>
    <row r="152" spans="1:30" ht="33" hidden="1" customHeight="1" x14ac:dyDescent="0.3">
      <c r="A152">
        <f>'[1]2026 Orders'!A153</f>
        <v>45975</v>
      </c>
      <c r="B152" s="14" t="str">
        <f>'[1]2026 Orders'!B153</f>
        <v>Ethiopia</v>
      </c>
      <c r="C152" s="14" t="str">
        <f>'[1]2026 Orders'!C153</f>
        <v>A4575</v>
      </c>
      <c r="D152" s="14">
        <f>'[1]2026 Orders'!D153</f>
        <v>0</v>
      </c>
      <c r="E152" s="17" t="str" cm="1">
        <f t="array" ref="E152">IF(C152=0,"",
HYPERLINK(
"#'2026 Orders'!C"&amp;
MATCH(1,
('2026 Orders'!C:C=C152)*
('2026 Orders'!G:G=G152)*
('2026 Orders'!N:N=N152),
0),
"Open "&amp;C152
))</f>
        <v>Open A4575</v>
      </c>
      <c r="F152" s="14" t="str">
        <f>'[1]2026 Orders'!F153</f>
        <v>5/12/2026: Allocating to Lebanon A4690</v>
      </c>
      <c r="G152" s="14" t="str">
        <f>'[1]2026 Orders'!G153</f>
        <v>PRECON-180-FD</v>
      </c>
      <c r="H152" s="14" t="str" cm="1">
        <f t="array" ref="H152">IFERROR(_xlfn.TEXTJOIN("-",,INDEX(_xlfn.TEXTSPLIT(TableGive[[#This Row],[SKU]],"-"),{1,2})),"")</f>
        <v>PRECON-180</v>
      </c>
      <c r="I152" s="15" t="str">
        <f>IFERROR(_xlfn.TEXTAFTER(TableGive[[#This Row],[SKU]],"-",-1),"")</f>
        <v>FD</v>
      </c>
      <c r="J152" s="14">
        <f>'[1]2026 Orders'!H153</f>
        <v>165</v>
      </c>
      <c r="K152" t="str">
        <f>'[1]2026 Orders'!I153</f>
        <v>F55-22.2</v>
      </c>
      <c r="L152">
        <f>'[1]2026 Orders'!J153</f>
        <v>165</v>
      </c>
      <c r="N152" s="10" t="str">
        <f>'[1]2026 Orders'!L153</f>
        <v>In Production</v>
      </c>
      <c r="O152">
        <f>'[1]2026 Orders'!M153</f>
        <v>0</v>
      </c>
      <c r="P152" t="str">
        <f>'[1]2026 Orders'!N153</f>
        <v>NA</v>
      </c>
      <c r="Q152">
        <f>'[1]2026 Orders'!O153</f>
        <v>609788968375</v>
      </c>
      <c r="R152">
        <f>'[1]2026 Orders'!P153</f>
        <v>5000</v>
      </c>
      <c r="S152">
        <f>'[1]2026 Orders'!Q153</f>
        <v>5060</v>
      </c>
      <c r="T152">
        <f>'[1]2026 Orders'!R153</f>
        <v>46205</v>
      </c>
      <c r="U152">
        <f>'[1]2026 Orders'!S153</f>
        <v>0</v>
      </c>
      <c r="V152">
        <f>'[1]2026 Orders'!T153</f>
        <v>0</v>
      </c>
      <c r="W152">
        <f>'[1]2026 Orders'!U153</f>
        <v>0</v>
      </c>
      <c r="X152">
        <f>'[1]2026 Orders'!V153</f>
        <v>0</v>
      </c>
      <c r="Y152">
        <f>'[1]2026 Orders'!W153</f>
        <v>0</v>
      </c>
      <c r="Z152">
        <f>'[1]2026 Orders'!X153</f>
        <v>0</v>
      </c>
      <c r="AC152" t="str">
        <f t="shared" si="4"/>
        <v>/165</v>
      </c>
      <c r="AD152" t="e">
        <f t="shared" si="5"/>
        <v>#VALUE!</v>
      </c>
    </row>
    <row r="153" spans="1:30" ht="33" hidden="1" customHeight="1" x14ac:dyDescent="0.3">
      <c r="A153">
        <f>'[1]2026 Orders'!A154</f>
        <v>45975</v>
      </c>
      <c r="B153" s="14" t="str">
        <f>'[1]2026 Orders'!B154</f>
        <v>Ethiopia</v>
      </c>
      <c r="C153" s="14" t="str">
        <f>'[1]2026 Orders'!C154</f>
        <v>A4575</v>
      </c>
      <c r="D153" s="14">
        <f>'[1]2026 Orders'!D154</f>
        <v>0</v>
      </c>
      <c r="E153" s="17" t="str" cm="1">
        <f t="array" ref="E153">IF(C153=0,"",
HYPERLINK(
"#'2026 Orders'!C"&amp;
MATCH(1,
('2026 Orders'!C:C=C153)*
('2026 Orders'!G:G=G153)*
('2026 Orders'!N:N=N153),
0),
"Open "&amp;C153
))</f>
        <v>Open A4575</v>
      </c>
      <c r="F153" s="14">
        <f>'[1]2026 Orders'!F154</f>
        <v>0</v>
      </c>
      <c r="G153" s="14" t="str">
        <f>'[1]2026 Orders'!G154</f>
        <v>PRECON-180-FD</v>
      </c>
      <c r="H153" s="14" t="str" cm="1">
        <f t="array" ref="H153">IFERROR(_xlfn.TEXTJOIN("-",,INDEX(_xlfn.TEXTSPLIT(TableGive[[#This Row],[SKU]],"-"),{1,2})),"")</f>
        <v>PRECON-180</v>
      </c>
      <c r="I153" s="15" t="str">
        <f>IFERROR(_xlfn.TEXTAFTER(TableGive[[#This Row],[SKU]],"-",-1),"")</f>
        <v>FD</v>
      </c>
      <c r="J153" s="14">
        <f>'[1]2026 Orders'!H154</f>
        <v>37</v>
      </c>
      <c r="K153" t="str">
        <f>'[1]2026 Orders'!I154</f>
        <v>F55-22.2</v>
      </c>
      <c r="L153">
        <f>'[1]2026 Orders'!J154</f>
        <v>37</v>
      </c>
      <c r="N153" s="10" t="str">
        <f>'[1]2026 Orders'!L154</f>
        <v>Picked</v>
      </c>
      <c r="O153">
        <f>'[1]2026 Orders'!M154</f>
        <v>0</v>
      </c>
      <c r="P153" t="str">
        <f>'[1]2026 Orders'!N154</f>
        <v>NA</v>
      </c>
      <c r="Q153">
        <f>'[1]2026 Orders'!O154</f>
        <v>609788968375</v>
      </c>
      <c r="R153">
        <f>'[1]2026 Orders'!P154</f>
        <v>5000</v>
      </c>
      <c r="S153">
        <f>'[1]2026 Orders'!Q154</f>
        <v>4849</v>
      </c>
      <c r="T153">
        <f>'[1]2026 Orders'!R154</f>
        <v>0</v>
      </c>
      <c r="U153">
        <f>'[1]2026 Orders'!S154</f>
        <v>0</v>
      </c>
      <c r="V153">
        <f>'[1]2026 Orders'!T154</f>
        <v>0</v>
      </c>
      <c r="W153">
        <f>'[1]2026 Orders'!U154</f>
        <v>0</v>
      </c>
      <c r="X153">
        <f>'[1]2026 Orders'!V154</f>
        <v>0</v>
      </c>
      <c r="Y153">
        <f>'[1]2026 Orders'!W154</f>
        <v>0</v>
      </c>
      <c r="Z153">
        <f>'[1]2026 Orders'!X154</f>
        <v>0</v>
      </c>
      <c r="AC153" t="str">
        <f t="shared" si="4"/>
        <v>/37</v>
      </c>
      <c r="AD153" t="e">
        <f t="shared" si="5"/>
        <v>#VALUE!</v>
      </c>
    </row>
    <row r="154" spans="1:30" ht="33" hidden="1" customHeight="1" x14ac:dyDescent="0.3">
      <c r="A154">
        <f>'[1]2026 Orders'!A155</f>
        <v>45975</v>
      </c>
      <c r="B154" s="14" t="str">
        <f>'[1]2026 Orders'!B155</f>
        <v>Ethiopia</v>
      </c>
      <c r="C154" s="14" t="str">
        <f>'[1]2026 Orders'!C155</f>
        <v>A4575</v>
      </c>
      <c r="D154" s="14">
        <f>'[1]2026 Orders'!D155</f>
        <v>0</v>
      </c>
      <c r="E154" s="17" t="str" cm="1">
        <f t="array" ref="E154">IF(C154=0,"",
HYPERLINK(
"#'2026 Orders'!C"&amp;
MATCH(1,
('2026 Orders'!C:C=C154)*
('2026 Orders'!G:G=G154)*
('2026 Orders'!N:N=N154),
0),
"Open "&amp;C154
))</f>
        <v>Open A4575</v>
      </c>
      <c r="F154" s="14">
        <f>'[1]2026 Orders'!F155</f>
        <v>0</v>
      </c>
      <c r="G154" s="14" t="str">
        <f>'[1]2026 Orders'!G155</f>
        <v>PENAMAX-60-GE-FD</v>
      </c>
      <c r="H154" s="14" t="str" cm="1">
        <f t="array" ref="H154">IFERROR(_xlfn.TEXTJOIN("-",,INDEX(_xlfn.TEXTSPLIT(TableGive[[#This Row],[SKU]],"-"),{1,2})),"")</f>
        <v>PENAMAX-60</v>
      </c>
      <c r="I154" s="15" t="str">
        <f>IFERROR(_xlfn.TEXTAFTER(TableGive[[#This Row],[SKU]],"-",-1),"")</f>
        <v>FD</v>
      </c>
      <c r="J154" s="14">
        <f>'[1]2026 Orders'!H155</f>
        <v>202</v>
      </c>
      <c r="K154" t="str">
        <f>'[1]2026 Orders'!I155</f>
        <v>F88-25.1</v>
      </c>
      <c r="L154">
        <f>'[1]2026 Orders'!J155</f>
        <v>202</v>
      </c>
      <c r="N154" s="10" t="str">
        <f>'[1]2026 Orders'!L155</f>
        <v>Picked</v>
      </c>
      <c r="O154">
        <f>'[1]2026 Orders'!M155</f>
        <v>0</v>
      </c>
      <c r="P154" t="str">
        <f>'[1]2026 Orders'!N155</f>
        <v>Y</v>
      </c>
      <c r="Q154">
        <f>'[1]2026 Orders'!O155</f>
        <v>609788968702</v>
      </c>
      <c r="R154">
        <f>'[1]2026 Orders'!P155</f>
        <v>0</v>
      </c>
      <c r="S154">
        <f>'[1]2026 Orders'!Q155</f>
        <v>0</v>
      </c>
      <c r="T154">
        <f>'[1]2026 Orders'!R155</f>
        <v>0</v>
      </c>
      <c r="U154">
        <f>'[1]2026 Orders'!S155</f>
        <v>0</v>
      </c>
      <c r="V154">
        <f>'[1]2026 Orders'!T155</f>
        <v>0</v>
      </c>
      <c r="W154">
        <f>'[1]2026 Orders'!U155</f>
        <v>0</v>
      </c>
      <c r="X154">
        <f>'[1]2026 Orders'!V155</f>
        <v>0</v>
      </c>
      <c r="Y154">
        <f>'[1]2026 Orders'!W155</f>
        <v>0</v>
      </c>
      <c r="Z154">
        <f>'[1]2026 Orders'!X155</f>
        <v>0</v>
      </c>
      <c r="AC154" t="str">
        <f t="shared" si="4"/>
        <v>/202</v>
      </c>
      <c r="AD154" t="e">
        <f t="shared" si="5"/>
        <v>#VALUE!</v>
      </c>
    </row>
    <row r="155" spans="1:30" ht="33" hidden="1" customHeight="1" x14ac:dyDescent="0.3">
      <c r="A155">
        <f>'[1]2026 Orders'!A156</f>
        <v>45975</v>
      </c>
      <c r="B155" s="14" t="str">
        <f>'[1]2026 Orders'!B156</f>
        <v>Uganda</v>
      </c>
      <c r="C155" s="14" t="str">
        <f>'[1]2026 Orders'!C156</f>
        <v>A4574</v>
      </c>
      <c r="D155" s="14">
        <f>'[1]2026 Orders'!D156</f>
        <v>0</v>
      </c>
      <c r="E155" s="17" t="e" cm="1">
        <f t="array" ref="E155">IF(C155=0,"",
HYPERLINK(
"#'2026 Orders'!C"&amp;
MATCH(1,
('2026 Orders'!C:C=C155)*
('2026 Orders'!G:G=G155)*
('2026 Orders'!N:N=N155),
0),
"Open "&amp;C155
))</f>
        <v>#N/A</v>
      </c>
      <c r="F155" s="14" t="str">
        <f>'[1]2026 Orders'!F156</f>
        <v>4/9/2026: 200 packs of Ovamax allocated to Bahrain A4685</v>
      </c>
      <c r="G155" s="14" t="str">
        <f>'[1]2026 Orders'!G156</f>
        <v>OVAMAX-120-FD</v>
      </c>
      <c r="H155" s="14" t="str" cm="1">
        <f t="array" ref="H155">IFERROR(_xlfn.TEXTJOIN("-",,INDEX(_xlfn.TEXTSPLIT(TableGive[[#This Row],[SKU]],"-"),{1,2})),"")</f>
        <v>OVAMAX-120</v>
      </c>
      <c r="I155" s="15" t="str">
        <f>IFERROR(_xlfn.TEXTAFTER(TableGive[[#This Row],[SKU]],"-",-1),"")</f>
        <v>FD</v>
      </c>
      <c r="J155" s="14">
        <f>'[1]2026 Orders'!H156</f>
        <v>200</v>
      </c>
      <c r="K155" t="str">
        <f>'[1]2026 Orders'!I156</f>
        <v>F41-25.0</v>
      </c>
      <c r="L155">
        <f>'[1]2026 Orders'!J156</f>
        <v>200</v>
      </c>
      <c r="N155" s="10">
        <f>'[1]2026 Orders'!L156</f>
        <v>0</v>
      </c>
      <c r="O155">
        <f>'[1]2026 Orders'!M156</f>
        <v>0</v>
      </c>
      <c r="P155" t="str">
        <f>'[1]2026 Orders'!N156</f>
        <v>NA</v>
      </c>
      <c r="Q155">
        <f>'[1]2026 Orders'!O156</f>
        <v>810131199586</v>
      </c>
      <c r="R155">
        <f>'[1]2026 Orders'!P156</f>
        <v>4100</v>
      </c>
      <c r="S155">
        <f>'[1]2026 Orders'!Q156</f>
        <v>4949</v>
      </c>
      <c r="T155" t="str">
        <f>'[1]2026 Orders'!R156</f>
        <v>Complete</v>
      </c>
      <c r="U155">
        <f>'[1]2026 Orders'!S156</f>
        <v>0</v>
      </c>
      <c r="V155">
        <f>'[1]2026 Orders'!T156</f>
        <v>0</v>
      </c>
      <c r="W155">
        <f>'[1]2026 Orders'!U156</f>
        <v>0</v>
      </c>
      <c r="X155">
        <f>'[1]2026 Orders'!V156</f>
        <v>0</v>
      </c>
      <c r="Y155">
        <f>'[1]2026 Orders'!W156</f>
        <v>0</v>
      </c>
      <c r="Z155">
        <f>'[1]2026 Orders'!X156</f>
        <v>0</v>
      </c>
      <c r="AC155" t="str">
        <f t="shared" si="4"/>
        <v>/200</v>
      </c>
      <c r="AD155" t="e">
        <f t="shared" si="5"/>
        <v>#VALUE!</v>
      </c>
    </row>
    <row r="156" spans="1:30" ht="33" hidden="1" customHeight="1" x14ac:dyDescent="0.3">
      <c r="A156">
        <f>'[1]2026 Orders'!A157</f>
        <v>46057</v>
      </c>
      <c r="B156" s="14" t="str">
        <f>'[1]2026 Orders'!B157</f>
        <v>Egypt</v>
      </c>
      <c r="C156" s="14" t="str">
        <f>'[1]2026 Orders'!C157</f>
        <v>A4634</v>
      </c>
      <c r="D156" s="14">
        <f>'[1]2026 Orders'!D157</f>
        <v>0</v>
      </c>
      <c r="E156" s="17" t="str" cm="1">
        <f t="array" ref="E156">IF(C156=0,"",
HYPERLINK(
"#'2026 Orders'!C"&amp;
MATCH(1,
('2026 Orders'!C:C=C156)*
('2026 Orders'!G:G=G156)*
('2026 Orders'!N:N=N156),
0),
"Open "&amp;C156
))</f>
        <v>Open A4634</v>
      </c>
      <c r="F156" s="14" t="str">
        <f>'[1]2026 Orders'!F157</f>
        <v>2/25/2025: Moved from Egypt A4642. Backorder for excess quantities.                                     5/11/2026: UPC updated.</v>
      </c>
      <c r="G156" s="14" t="str">
        <f>'[1]2026 Orders'!G157</f>
        <v>POLYSIT-90-CS-EG</v>
      </c>
      <c r="H156" s="14" t="str" cm="1">
        <f t="array" ref="H156">IFERROR(_xlfn.TEXTJOIN("-",,INDEX(_xlfn.TEXTSPLIT(TableGive[[#This Row],[SKU]],"-"),{1,2})),"")</f>
        <v>POLYSIT-90</v>
      </c>
      <c r="I156" s="15" t="str">
        <f>IFERROR(_xlfn.TEXTAFTER(TableGive[[#This Row],[SKU]],"-",-1),"")</f>
        <v>EG</v>
      </c>
      <c r="J156" s="14">
        <f>'[1]2026 Orders'!H157</f>
        <v>1050</v>
      </c>
      <c r="K156" t="str">
        <f>'[1]2026 Orders'!I157</f>
        <v>EG53-26</v>
      </c>
      <c r="L156">
        <f>'[1]2026 Orders'!J157</f>
        <v>0</v>
      </c>
      <c r="N156" s="10" t="str">
        <f>'[1]2026 Orders'!L157</f>
        <v>In Production</v>
      </c>
      <c r="O156" t="str">
        <f>'[1]2026 Orders'!M157</f>
        <v>2/26/26 may require their new amended label size delay till 4/3</v>
      </c>
      <c r="P156" t="str">
        <f>'[1]2026 Orders'!N157</f>
        <v>NA</v>
      </c>
      <c r="Q156">
        <f>'[1]2026 Orders'!O157</f>
        <v>604776740414</v>
      </c>
      <c r="R156">
        <f>'[1]2026 Orders'!P157</f>
        <v>5000</v>
      </c>
      <c r="S156">
        <f>'[1]2026 Orders'!Q157</f>
        <v>5034</v>
      </c>
      <c r="T156">
        <f>'[1]2026 Orders'!R157</f>
        <v>46204</v>
      </c>
      <c r="U156">
        <f>'[1]2026 Orders'!S157</f>
        <v>0</v>
      </c>
      <c r="V156">
        <f>'[1]2026 Orders'!T157</f>
        <v>0</v>
      </c>
      <c r="W156">
        <f>'[1]2026 Orders'!U157</f>
        <v>0</v>
      </c>
      <c r="X156">
        <f>'[1]2026 Orders'!V157</f>
        <v>0</v>
      </c>
      <c r="Y156">
        <f>'[1]2026 Orders'!W157</f>
        <v>0</v>
      </c>
      <c r="Z156" t="str">
        <f>'[1]2026 Orders'!X157</f>
        <v>Approved</v>
      </c>
      <c r="AC156" t="str">
        <f t="shared" si="4"/>
        <v>/1050</v>
      </c>
      <c r="AD156" t="e">
        <f t="shared" si="5"/>
        <v>#VALUE!</v>
      </c>
    </row>
    <row r="157" spans="1:30" ht="33" hidden="1" customHeight="1" x14ac:dyDescent="0.3">
      <c r="A157">
        <f>'[1]2026 Orders'!A158</f>
        <v>45975</v>
      </c>
      <c r="B157" s="14" t="str">
        <f>'[1]2026 Orders'!B158</f>
        <v>Uganda</v>
      </c>
      <c r="C157" s="14" t="str">
        <f>'[1]2026 Orders'!C158</f>
        <v>A4574</v>
      </c>
      <c r="D157" s="14">
        <f>'[1]2026 Orders'!D158</f>
        <v>0</v>
      </c>
      <c r="E157" s="17" t="e" cm="1">
        <f t="array" ref="E157">IF(C157=0,"",
HYPERLINK(
"#'2026 Orders'!C"&amp;
MATCH(1,
('2026 Orders'!C:C=C157)*
('2026 Orders'!G:G=G157)*
('2026 Orders'!N:N=N157),
0),
"Open "&amp;C157
))</f>
        <v>#N/A</v>
      </c>
      <c r="F157" s="14">
        <f>'[1]2026 Orders'!F158</f>
        <v>0</v>
      </c>
      <c r="G157" s="14" t="str">
        <f>'[1]2026 Orders'!G158</f>
        <v>QWELL4-30-SG-FD</v>
      </c>
      <c r="H157" s="14" t="str" cm="1">
        <f t="array" ref="H157">IFERROR(_xlfn.TEXTJOIN("-",,INDEX(_xlfn.TEXTSPLIT(TableGive[[#This Row],[SKU]],"-"),{1,2})),"")</f>
        <v>QWELL4-30</v>
      </c>
      <c r="I157" s="15" t="str">
        <f>IFERROR(_xlfn.TEXTAFTER(TableGive[[#This Row],[SKU]],"-",-1),"")</f>
        <v>FD</v>
      </c>
      <c r="J157" s="14">
        <f>'[1]2026 Orders'!H158</f>
        <v>60</v>
      </c>
      <c r="K157" t="str">
        <f>'[1]2026 Orders'!I158</f>
        <v>F58-25.3</v>
      </c>
      <c r="L157">
        <f>'[1]2026 Orders'!J158</f>
        <v>60</v>
      </c>
      <c r="N157" s="10">
        <f>'[1]2026 Orders'!L158</f>
        <v>0</v>
      </c>
      <c r="O157">
        <f>'[1]2026 Orders'!M158</f>
        <v>0</v>
      </c>
      <c r="P157" t="str">
        <f>'[1]2026 Orders'!N158</f>
        <v>NA</v>
      </c>
      <c r="Q157" t="str">
        <f>'[1]2026 Orders'!O158</f>
        <v>609788968214</v>
      </c>
      <c r="R157">
        <f>'[1]2026 Orders'!P158</f>
        <v>0</v>
      </c>
      <c r="S157">
        <f>'[1]2026 Orders'!Q158</f>
        <v>0</v>
      </c>
      <c r="T157">
        <f>'[1]2026 Orders'!R158</f>
        <v>0</v>
      </c>
      <c r="U157">
        <f>'[1]2026 Orders'!S158</f>
        <v>0</v>
      </c>
      <c r="V157">
        <f>'[1]2026 Orders'!T158</f>
        <v>0</v>
      </c>
      <c r="W157">
        <f>'[1]2026 Orders'!U158</f>
        <v>0</v>
      </c>
      <c r="X157">
        <f>'[1]2026 Orders'!V158</f>
        <v>0</v>
      </c>
      <c r="Y157">
        <f>'[1]2026 Orders'!W158</f>
        <v>0</v>
      </c>
      <c r="Z157">
        <f>'[1]2026 Orders'!X158</f>
        <v>0</v>
      </c>
      <c r="AC157" t="str">
        <f t="shared" si="4"/>
        <v>/60</v>
      </c>
      <c r="AD157" t="e">
        <f t="shared" si="5"/>
        <v>#VALUE!</v>
      </c>
    </row>
    <row r="158" spans="1:30" ht="33" hidden="1" customHeight="1" x14ac:dyDescent="0.3">
      <c r="A158">
        <f>'[1]2026 Orders'!A159</f>
        <v>45981</v>
      </c>
      <c r="B158" s="14" t="str">
        <f>'[1]2026 Orders'!B159</f>
        <v>Chad</v>
      </c>
      <c r="C158" s="14" t="str">
        <f>'[1]2026 Orders'!C159</f>
        <v>A4640</v>
      </c>
      <c r="D158" s="14">
        <f>'[1]2026 Orders'!D159</f>
        <v>0</v>
      </c>
      <c r="E158" s="17" t="str" cm="1">
        <f t="array" ref="E158">IF(C158=0,"",
HYPERLINK(
"#'2026 Orders'!C"&amp;
MATCH(1,
('2026 Orders'!C:C=C158)*
('2026 Orders'!G:G=G158)*
('2026 Orders'!N:N=N158),
0),
"Open "&amp;C158
))</f>
        <v>Open A4640</v>
      </c>
      <c r="F158" s="14" t="str">
        <f>'[1]2026 Orders'!F159</f>
        <v>3/13/2026: qty increased from 1500 -&gt; 1800 (300 packs moved from Chad A4597)</v>
      </c>
      <c r="G158" s="14" t="str">
        <f>'[1]2026 Orders'!G159</f>
        <v>PEDIAIR-50-FD</v>
      </c>
      <c r="H158" s="14" t="str" cm="1">
        <f t="array" ref="H158">IFERROR(_xlfn.TEXTJOIN("-",,INDEX(_xlfn.TEXTSPLIT(TableGive[[#This Row],[SKU]],"-"),{1,2})),"")</f>
        <v>PEDIAIR-50</v>
      </c>
      <c r="I158" s="15" t="str">
        <f>IFERROR(_xlfn.TEXTAFTER(TableGive[[#This Row],[SKU]],"-",-1),"")</f>
        <v>FD</v>
      </c>
      <c r="J158" s="14">
        <f>'[1]2026 Orders'!H159</f>
        <v>1800</v>
      </c>
      <c r="K158" t="str">
        <f>'[1]2026 Orders'!I159</f>
        <v>F48-26.0</v>
      </c>
      <c r="L158">
        <f>'[1]2026 Orders'!J159</f>
        <v>0</v>
      </c>
      <c r="N158" s="10" t="str">
        <f>'[1]2026 Orders'!L159</f>
        <v>PO submitted</v>
      </c>
      <c r="O158">
        <f>'[1]2026 Orders'!M159</f>
        <v>0</v>
      </c>
      <c r="P158" t="str">
        <f>'[1]2026 Orders'!N159</f>
        <v>Y</v>
      </c>
      <c r="Q158">
        <f>'[1]2026 Orders'!O159</f>
        <v>810131199654</v>
      </c>
      <c r="R158">
        <f>'[1]2026 Orders'!P159</f>
        <v>5000</v>
      </c>
      <c r="S158">
        <f>'[1]2026 Orders'!Q159</f>
        <v>4977</v>
      </c>
      <c r="T158" t="str">
        <f>'[1]2026 Orders'!R159</f>
        <v>TBD</v>
      </c>
      <c r="U158" t="str">
        <f>'[1]2026 Orders'!S159</f>
        <v>Waiting for IFC to start production.</v>
      </c>
      <c r="V158">
        <f>'[1]2026 Orders'!T159</f>
        <v>0</v>
      </c>
      <c r="W158">
        <f>'[1]2026 Orders'!U159</f>
        <v>0</v>
      </c>
      <c r="X158">
        <f>'[1]2026 Orders'!V159</f>
        <v>0</v>
      </c>
      <c r="Y158">
        <f>'[1]2026 Orders'!W159</f>
        <v>0</v>
      </c>
      <c r="Z158" t="str">
        <f>'[1]2026 Orders'!X159</f>
        <v>HOLD</v>
      </c>
      <c r="AC158" t="str">
        <f t="shared" si="4"/>
        <v>/1800</v>
      </c>
      <c r="AD158" t="e">
        <f t="shared" si="5"/>
        <v>#VALUE!</v>
      </c>
    </row>
    <row r="159" spans="1:30" ht="33" hidden="1" customHeight="1" x14ac:dyDescent="0.3">
      <c r="A159">
        <f>'[1]2026 Orders'!A160</f>
        <v>45981</v>
      </c>
      <c r="B159" s="14" t="str">
        <f>'[1]2026 Orders'!B160</f>
        <v>Chad</v>
      </c>
      <c r="C159" s="14" t="str">
        <f>'[1]2026 Orders'!C160</f>
        <v>A4640</v>
      </c>
      <c r="D159" s="14">
        <f>'[1]2026 Orders'!D160</f>
        <v>0</v>
      </c>
      <c r="E159" s="17" t="str" cm="1">
        <f t="array" ref="E159">IF(C159=0,"",
HYPERLINK(
"#'2026 Orders'!C"&amp;
MATCH(1,
('2026 Orders'!C:C=C159)*
('2026 Orders'!G:G=G159)*
('2026 Orders'!N:N=N159),
0),
"Open "&amp;C159
))</f>
        <v>Open A4640</v>
      </c>
      <c r="F159" s="14">
        <f>'[1]2026 Orders'!F160</f>
        <v>0</v>
      </c>
      <c r="G159" s="14" t="str">
        <f>'[1]2026 Orders'!G160</f>
        <v>PEDIAZI-50-FD</v>
      </c>
      <c r="H159" s="14" t="str" cm="1">
        <f t="array" ref="H159">IFERROR(_xlfn.TEXTJOIN("-",,INDEX(_xlfn.TEXTSPLIT(TableGive[[#This Row],[SKU]],"-"),{1,2})),"")</f>
        <v>PEDIAZI-50</v>
      </c>
      <c r="I159" s="15" t="str">
        <f>IFERROR(_xlfn.TEXTAFTER(TableGive[[#This Row],[SKU]],"-",-1),"")</f>
        <v>FD</v>
      </c>
      <c r="J159" s="14">
        <f>'[1]2026 Orders'!H160</f>
        <v>1500</v>
      </c>
      <c r="K159" t="str">
        <f>'[1]2026 Orders'!I160</f>
        <v>F50-26.0</v>
      </c>
      <c r="L159">
        <f>'[1]2026 Orders'!J160</f>
        <v>0</v>
      </c>
      <c r="N159" s="10" t="str">
        <f>'[1]2026 Orders'!L160</f>
        <v>PO submitted</v>
      </c>
      <c r="O159">
        <f>'[1]2026 Orders'!M160</f>
        <v>0</v>
      </c>
      <c r="P159" t="str">
        <f>'[1]2026 Orders'!N160</f>
        <v>Y</v>
      </c>
      <c r="Q159">
        <f>'[1]2026 Orders'!O160</f>
        <v>810131199678</v>
      </c>
      <c r="R159">
        <f>'[1]2026 Orders'!P160</f>
        <v>5000</v>
      </c>
      <c r="S159">
        <f>'[1]2026 Orders'!Q160</f>
        <v>4978</v>
      </c>
      <c r="T159" t="str">
        <f>'[1]2026 Orders'!R160</f>
        <v>TBD</v>
      </c>
      <c r="U159" t="str">
        <f>'[1]2026 Orders'!S160</f>
        <v>Waiting for IFC to start production.</v>
      </c>
      <c r="V159">
        <f>'[1]2026 Orders'!T160</f>
        <v>0</v>
      </c>
      <c r="W159">
        <f>'[1]2026 Orders'!U160</f>
        <v>0</v>
      </c>
      <c r="X159">
        <f>'[1]2026 Orders'!V160</f>
        <v>0</v>
      </c>
      <c r="Y159">
        <f>'[1]2026 Orders'!W160</f>
        <v>0</v>
      </c>
      <c r="Z159">
        <f>'[1]2026 Orders'!X160</f>
        <v>0</v>
      </c>
      <c r="AC159" t="str">
        <f t="shared" si="4"/>
        <v>/1500</v>
      </c>
      <c r="AD159" t="e">
        <f t="shared" si="5"/>
        <v>#VALUE!</v>
      </c>
    </row>
    <row r="160" spans="1:30" ht="33" hidden="1" customHeight="1" x14ac:dyDescent="0.3">
      <c r="A160">
        <f>'[1]2026 Orders'!A161</f>
        <v>45981</v>
      </c>
      <c r="B160" s="14" t="str">
        <f>'[1]2026 Orders'!B161</f>
        <v>Chad</v>
      </c>
      <c r="C160" s="14" t="str">
        <f>'[1]2026 Orders'!C161</f>
        <v>A4640</v>
      </c>
      <c r="D160" s="14">
        <f>'[1]2026 Orders'!D161</f>
        <v>0</v>
      </c>
      <c r="E160" s="17" t="str" cm="1">
        <f t="array" ref="E160">IF(C160=0,"",
HYPERLINK(
"#'2026 Orders'!C"&amp;
MATCH(1,
('2026 Orders'!C:C=C160)*
('2026 Orders'!G:G=G160)*
('2026 Orders'!N:N=N160),
0),
"Open "&amp;C160
))</f>
        <v>Open A4640</v>
      </c>
      <c r="F160" s="14" t="str">
        <f>'[1]2026 Orders'!F161</f>
        <v>11/25/2025: Qty updated</v>
      </c>
      <c r="G160" s="14" t="str">
        <f>'[1]2026 Orders'!G161</f>
        <v>PEDIAD4-50-FD</v>
      </c>
      <c r="H160" s="14" t="str" cm="1">
        <f t="array" ref="H160">IFERROR(_xlfn.TEXTJOIN("-",,INDEX(_xlfn.TEXTSPLIT(TableGive[[#This Row],[SKU]],"-"),{1,2})),"")</f>
        <v>PEDIAD4-50</v>
      </c>
      <c r="I160" s="15" t="str">
        <f>IFERROR(_xlfn.TEXTAFTER(TableGive[[#This Row],[SKU]],"-",-1),"")</f>
        <v>FD</v>
      </c>
      <c r="J160" s="14">
        <f>'[1]2026 Orders'!H161</f>
        <v>500</v>
      </c>
      <c r="K160" t="str">
        <f>'[1]2026 Orders'!I161</f>
        <v>F45-26.0</v>
      </c>
      <c r="L160">
        <f>'[1]2026 Orders'!J161</f>
        <v>0</v>
      </c>
      <c r="N160" s="10" t="str">
        <f>'[1]2026 Orders'!L161</f>
        <v>PO submitted</v>
      </c>
      <c r="O160">
        <f>'[1]2026 Orders'!M161</f>
        <v>0</v>
      </c>
      <c r="P160" t="str">
        <f>'[1]2026 Orders'!N161</f>
        <v>Y</v>
      </c>
      <c r="Q160">
        <f>'[1]2026 Orders'!O161</f>
        <v>810131199623</v>
      </c>
      <c r="R160">
        <f>'[1]2026 Orders'!P161</f>
        <v>5000</v>
      </c>
      <c r="S160">
        <f>'[1]2026 Orders'!Q161</f>
        <v>4979</v>
      </c>
      <c r="T160" t="str">
        <f>'[1]2026 Orders'!R161</f>
        <v>TBD</v>
      </c>
      <c r="U160" t="str">
        <f>'[1]2026 Orders'!S161</f>
        <v>Waiting for IFC to start production.</v>
      </c>
      <c r="V160">
        <f>'[1]2026 Orders'!T161</f>
        <v>0</v>
      </c>
      <c r="W160">
        <f>'[1]2026 Orders'!U161</f>
        <v>0</v>
      </c>
      <c r="X160">
        <f>'[1]2026 Orders'!V161</f>
        <v>0</v>
      </c>
      <c r="Y160">
        <f>'[1]2026 Orders'!W161</f>
        <v>0</v>
      </c>
      <c r="Z160">
        <f>'[1]2026 Orders'!X161</f>
        <v>0</v>
      </c>
      <c r="AC160" t="str">
        <f t="shared" si="4"/>
        <v>/500</v>
      </c>
      <c r="AD160" t="e">
        <f t="shared" si="5"/>
        <v>#VALUE!</v>
      </c>
    </row>
    <row r="161" spans="1:30" ht="33" hidden="1" customHeight="1" x14ac:dyDescent="0.3">
      <c r="A161">
        <f>'[1]2026 Orders'!A162</f>
        <v>45981</v>
      </c>
      <c r="B161" s="14" t="str">
        <f>'[1]2026 Orders'!B162</f>
        <v>Chad</v>
      </c>
      <c r="C161" s="14" t="str">
        <f>'[1]2026 Orders'!C162</f>
        <v>A4640</v>
      </c>
      <c r="D161" s="14">
        <f>'[1]2026 Orders'!D162</f>
        <v>0</v>
      </c>
      <c r="E161" s="17" t="str" cm="1">
        <f t="array" ref="E161">IF(C161=0,"",
HYPERLINK(
"#'2026 Orders'!C"&amp;
MATCH(1,
('2026 Orders'!C:C=C161)*
('2026 Orders'!G:G=G161)*
('2026 Orders'!N:N=N161),
0),
"Open "&amp;C161
))</f>
        <v>Open A4640</v>
      </c>
      <c r="F161" s="14">
        <f>'[1]2026 Orders'!F162</f>
        <v>0</v>
      </c>
      <c r="G161" s="14" t="str">
        <f>'[1]2026 Orders'!G162</f>
        <v>PEDIACM-50-FD</v>
      </c>
      <c r="H161" s="14" t="str" cm="1">
        <f t="array" ref="H161">IFERROR(_xlfn.TEXTJOIN("-",,INDEX(_xlfn.TEXTSPLIT(TableGive[[#This Row],[SKU]],"-"),{1,2})),"")</f>
        <v>PEDIACM-50</v>
      </c>
      <c r="I161" s="15" t="str">
        <f>IFERROR(_xlfn.TEXTAFTER(TableGive[[#This Row],[SKU]],"-",-1),"")</f>
        <v>FD</v>
      </c>
      <c r="J161" s="14">
        <f>'[1]2026 Orders'!H162</f>
        <v>1500</v>
      </c>
      <c r="K161" t="str">
        <f>'[1]2026 Orders'!I162</f>
        <v>F44-26.0</v>
      </c>
      <c r="L161">
        <f>'[1]2026 Orders'!J162</f>
        <v>0</v>
      </c>
      <c r="N161" s="10" t="str">
        <f>'[1]2026 Orders'!L162</f>
        <v>PO submitted</v>
      </c>
      <c r="O161">
        <f>'[1]2026 Orders'!M162</f>
        <v>0</v>
      </c>
      <c r="P161" t="str">
        <f>'[1]2026 Orders'!N162</f>
        <v>Y</v>
      </c>
      <c r="Q161">
        <f>'[1]2026 Orders'!O162</f>
        <v>810131199616</v>
      </c>
      <c r="R161">
        <f>'[1]2026 Orders'!P162</f>
        <v>5000</v>
      </c>
      <c r="S161">
        <f>'[1]2026 Orders'!Q162</f>
        <v>4980</v>
      </c>
      <c r="T161" t="str">
        <f>'[1]2026 Orders'!R162</f>
        <v>TBD</v>
      </c>
      <c r="U161" t="str">
        <f>'[1]2026 Orders'!S162</f>
        <v>Waiting for IFC to start production.</v>
      </c>
      <c r="V161">
        <f>'[1]2026 Orders'!T162</f>
        <v>0</v>
      </c>
      <c r="W161">
        <f>'[1]2026 Orders'!U162</f>
        <v>0</v>
      </c>
      <c r="X161">
        <f>'[1]2026 Orders'!V162</f>
        <v>0</v>
      </c>
      <c r="Y161">
        <f>'[1]2026 Orders'!W162</f>
        <v>0</v>
      </c>
      <c r="Z161">
        <f>'[1]2026 Orders'!X162</f>
        <v>0</v>
      </c>
      <c r="AC161" t="str">
        <f t="shared" si="4"/>
        <v>/1500</v>
      </c>
      <c r="AD161" t="e">
        <f t="shared" si="5"/>
        <v>#VALUE!</v>
      </c>
    </row>
    <row r="162" spans="1:30" ht="33" hidden="1" customHeight="1" x14ac:dyDescent="0.3">
      <c r="A162">
        <f>'[1]2026 Orders'!A163</f>
        <v>45975</v>
      </c>
      <c r="B162" s="14" t="str">
        <f>'[1]2026 Orders'!B163</f>
        <v>Ethiopia</v>
      </c>
      <c r="C162" s="14" t="str">
        <f>'[1]2026 Orders'!C163</f>
        <v>A4575</v>
      </c>
      <c r="D162" s="14">
        <f>'[1]2026 Orders'!D163</f>
        <v>0</v>
      </c>
      <c r="E162" s="17" t="e" cm="1">
        <f t="array" ref="E162">IF(C162=0,"",
HYPERLINK(
"#'2026 Orders'!C"&amp;
MATCH(1,
('2026 Orders'!C:C=C162)*
('2026 Orders'!G:G=G162)*
('2026 Orders'!N:N=N162),
0),
"Open "&amp;C162
))</f>
        <v>#N/A</v>
      </c>
      <c r="F162" s="14" t="str">
        <f>'[1]2026 Orders'!F163</f>
        <v>5/13/2026: Full qty (1008) allocating to Qatar A4693</v>
      </c>
      <c r="G162" s="14" t="str">
        <f>'[1]2026 Orders'!G163</f>
        <v>MFSPLS-120-FD</v>
      </c>
      <c r="H162" s="14" t="str" cm="1">
        <f t="array" ref="H162">IFERROR(_xlfn.TEXTJOIN("-",,INDEX(_xlfn.TEXTSPLIT(TableGive[[#This Row],[SKU]],"-"),{1,2})),"")</f>
        <v>MFSPLS-120</v>
      </c>
      <c r="I162" s="15" t="str">
        <f>IFERROR(_xlfn.TEXTAFTER(TableGive[[#This Row],[SKU]],"-",-1),"")</f>
        <v>FD</v>
      </c>
      <c r="J162" s="14">
        <f>'[1]2026 Orders'!H163</f>
        <v>1008</v>
      </c>
      <c r="K162" t="str">
        <f>'[1]2026 Orders'!I163</f>
        <v>F30-25.1</v>
      </c>
      <c r="L162">
        <f>'[1]2026 Orders'!J163</f>
        <v>1008</v>
      </c>
      <c r="N162" s="10">
        <f>'[1]2026 Orders'!L163</f>
        <v>0</v>
      </c>
      <c r="O162">
        <f>'[1]2026 Orders'!M163</f>
        <v>0</v>
      </c>
      <c r="P162" t="str">
        <f>'[1]2026 Orders'!N163</f>
        <v>NA</v>
      </c>
      <c r="Q162">
        <f>'[1]2026 Orders'!O163</f>
        <v>609788968344</v>
      </c>
      <c r="R162">
        <f>'[1]2026 Orders'!P163</f>
        <v>7000</v>
      </c>
      <c r="S162">
        <f>'[1]2026 Orders'!Q163</f>
        <v>4935</v>
      </c>
      <c r="T162" t="str">
        <f>'[1]2026 Orders'!R163</f>
        <v>complete</v>
      </c>
      <c r="U162">
        <f>'[1]2026 Orders'!S163</f>
        <v>0</v>
      </c>
      <c r="V162">
        <f>'[1]2026 Orders'!T163</f>
        <v>0</v>
      </c>
      <c r="W162">
        <f>'[1]2026 Orders'!U163</f>
        <v>0</v>
      </c>
      <c r="X162">
        <f>'[1]2026 Orders'!V163</f>
        <v>0</v>
      </c>
      <c r="Y162">
        <f>'[1]2026 Orders'!W163</f>
        <v>0</v>
      </c>
      <c r="Z162">
        <f>'[1]2026 Orders'!X163</f>
        <v>0</v>
      </c>
      <c r="AC162" t="str">
        <f t="shared" si="4"/>
        <v>/1008</v>
      </c>
      <c r="AD162" t="e">
        <f t="shared" si="5"/>
        <v>#VALUE!</v>
      </c>
    </row>
    <row r="163" spans="1:30" ht="33" hidden="1" customHeight="1" x14ac:dyDescent="0.3">
      <c r="A163">
        <f>'[1]2026 Orders'!A164</f>
        <v>45981</v>
      </c>
      <c r="B163" s="14" t="str">
        <f>'[1]2026 Orders'!B164</f>
        <v>South Sudan</v>
      </c>
      <c r="C163" s="14" t="str">
        <f>'[1]2026 Orders'!C164</f>
        <v>A4586</v>
      </c>
      <c r="D163" s="14">
        <f>'[1]2026 Orders'!D164</f>
        <v>0</v>
      </c>
      <c r="E163" s="17" t="str" cm="1">
        <f t="array" ref="E163">IF(C163=0,"",
HYPERLINK(
"#'2026 Orders'!C"&amp;
MATCH(1,
('2026 Orders'!C:C=C163)*
('2026 Orders'!G:G=G163)*
('2026 Orders'!N:N=N163),
0),
"Open "&amp;C163
))</f>
        <v>Open A4586</v>
      </c>
      <c r="F163" s="14">
        <f>'[1]2026 Orders'!F164</f>
        <v>0</v>
      </c>
      <c r="G163" s="14" t="str">
        <f>'[1]2026 Orders'!G164</f>
        <v>MFSPLS-120-FD</v>
      </c>
      <c r="H163" s="14" t="str" cm="1">
        <f t="array" ref="H163">IFERROR(_xlfn.TEXTJOIN("-",,INDEX(_xlfn.TEXTSPLIT(TableGive[[#This Row],[SKU]],"-"),{1,2})),"")</f>
        <v>MFSPLS-120</v>
      </c>
      <c r="I163" s="15" t="str">
        <f>IFERROR(_xlfn.TEXTAFTER(TableGive[[#This Row],[SKU]],"-",-1),"")</f>
        <v>FD</v>
      </c>
      <c r="J163" s="14">
        <f>'[1]2026 Orders'!H164</f>
        <v>300</v>
      </c>
      <c r="K163" t="str">
        <f>'[1]2026 Orders'!I164</f>
        <v>F30-25.1</v>
      </c>
      <c r="L163">
        <f>'[1]2026 Orders'!J164</f>
        <v>0</v>
      </c>
      <c r="N163" s="10" t="str">
        <f>'[1]2026 Orders'!L164</f>
        <v>D/W Sent</v>
      </c>
      <c r="O163">
        <f>'[1]2026 Orders'!M164</f>
        <v>46143</v>
      </c>
      <c r="P163" t="str">
        <f>'[1]2026 Orders'!N164</f>
        <v>NA</v>
      </c>
      <c r="Q163">
        <f>'[1]2026 Orders'!O164</f>
        <v>609788968344</v>
      </c>
      <c r="R163">
        <f>'[1]2026 Orders'!P164</f>
        <v>7000</v>
      </c>
      <c r="S163">
        <f>'[1]2026 Orders'!Q164</f>
        <v>4935</v>
      </c>
      <c r="T163" t="str">
        <f>'[1]2026 Orders'!R164</f>
        <v>complete</v>
      </c>
      <c r="U163">
        <f>'[1]2026 Orders'!S164</f>
        <v>0</v>
      </c>
      <c r="V163">
        <f>'[1]2026 Orders'!T164</f>
        <v>0</v>
      </c>
      <c r="W163">
        <f>'[1]2026 Orders'!U164</f>
        <v>0</v>
      </c>
      <c r="X163">
        <f>'[1]2026 Orders'!V164</f>
        <v>0</v>
      </c>
      <c r="Y163">
        <f>'[1]2026 Orders'!W164</f>
        <v>0</v>
      </c>
      <c r="Z163" t="str">
        <f>'[1]2026 Orders'!X164</f>
        <v>Approved</v>
      </c>
      <c r="AC163" t="str">
        <f t="shared" si="4"/>
        <v>/300</v>
      </c>
      <c r="AD163" t="e">
        <f t="shared" si="5"/>
        <v>#VALUE!</v>
      </c>
    </row>
    <row r="164" spans="1:30" ht="33" hidden="1" customHeight="1" x14ac:dyDescent="0.3">
      <c r="A164">
        <f>'[1]2026 Orders'!A165</f>
        <v>45981</v>
      </c>
      <c r="B164" s="14" t="str">
        <f>'[1]2026 Orders'!B165</f>
        <v>South Sudan</v>
      </c>
      <c r="C164" s="14" t="str">
        <f>'[1]2026 Orders'!C165</f>
        <v>A4586</v>
      </c>
      <c r="D164" s="14">
        <f>'[1]2026 Orders'!D165</f>
        <v>0</v>
      </c>
      <c r="E164" s="17" t="str" cm="1">
        <f t="array" ref="E164">IF(C164=0,"",
HYPERLINK(
"#'2026 Orders'!C"&amp;
MATCH(1,
('2026 Orders'!C:C=C164)*
('2026 Orders'!G:G=G164)*
('2026 Orders'!N:N=N164),
0),
"Open "&amp;C164
))</f>
        <v>Open A4586</v>
      </c>
      <c r="F164" s="14">
        <f>'[1]2026 Orders'!F165</f>
        <v>0</v>
      </c>
      <c r="G164" s="14" t="str">
        <f>'[1]2026 Orders'!G165</f>
        <v>OVAMAX-120-FD</v>
      </c>
      <c r="H164" s="14" t="str" cm="1">
        <f t="array" ref="H164">IFERROR(_xlfn.TEXTJOIN("-",,INDEX(_xlfn.TEXTSPLIT(TableGive[[#This Row],[SKU]],"-"),{1,2})),"")</f>
        <v>OVAMAX-120</v>
      </c>
      <c r="I164" s="15" t="str">
        <f>IFERROR(_xlfn.TEXTAFTER(TableGive[[#This Row],[SKU]],"-",-1),"")</f>
        <v>FD</v>
      </c>
      <c r="J164" s="14">
        <f>'[1]2026 Orders'!H165</f>
        <v>300</v>
      </c>
      <c r="K164" t="str">
        <f>'[1]2026 Orders'!I165</f>
        <v>F41-25.0</v>
      </c>
      <c r="L164">
        <f>'[1]2026 Orders'!J165</f>
        <v>300</v>
      </c>
      <c r="N164" s="10" t="str">
        <f>'[1]2026 Orders'!L165</f>
        <v>D/W Sent</v>
      </c>
      <c r="O164">
        <f>'[1]2026 Orders'!M165</f>
        <v>0</v>
      </c>
      <c r="P164" t="str">
        <f>'[1]2026 Orders'!N165</f>
        <v>NA</v>
      </c>
      <c r="Q164">
        <f>'[1]2026 Orders'!O165</f>
        <v>810131199586</v>
      </c>
      <c r="R164">
        <f>'[1]2026 Orders'!P165</f>
        <v>4100</v>
      </c>
      <c r="S164">
        <f>'[1]2026 Orders'!Q165</f>
        <v>4823</v>
      </c>
      <c r="T164">
        <f>'[1]2026 Orders'!R165</f>
        <v>0</v>
      </c>
      <c r="U164">
        <f>'[1]2026 Orders'!S165</f>
        <v>0</v>
      </c>
      <c r="V164">
        <f>'[1]2026 Orders'!T165</f>
        <v>0</v>
      </c>
      <c r="W164">
        <f>'[1]2026 Orders'!U165</f>
        <v>0</v>
      </c>
      <c r="X164">
        <f>'[1]2026 Orders'!V165</f>
        <v>46062</v>
      </c>
      <c r="Y164">
        <f>'[1]2026 Orders'!W165</f>
        <v>0</v>
      </c>
      <c r="Z164">
        <f>'[1]2026 Orders'!X165</f>
        <v>0</v>
      </c>
      <c r="AC164" t="str">
        <f t="shared" si="4"/>
        <v>/300</v>
      </c>
      <c r="AD164" t="e">
        <f t="shared" si="5"/>
        <v>#VALUE!</v>
      </c>
    </row>
    <row r="165" spans="1:30" ht="33" hidden="1" customHeight="1" x14ac:dyDescent="0.3">
      <c r="A165">
        <f>'[1]2026 Orders'!A166</f>
        <v>45981</v>
      </c>
      <c r="B165" s="14" t="str">
        <f>'[1]2026 Orders'!B166</f>
        <v>South Sudan</v>
      </c>
      <c r="C165" s="14" t="str">
        <f>'[1]2026 Orders'!C166</f>
        <v>A4586</v>
      </c>
      <c r="D165" s="14">
        <f>'[1]2026 Orders'!D166</f>
        <v>0</v>
      </c>
      <c r="E165" s="17" t="str" cm="1">
        <f t="array" ref="E165">IF(C165=0,"",
HYPERLINK(
"#'2026 Orders'!C"&amp;
MATCH(1,
('2026 Orders'!C:C=C165)*
('2026 Orders'!G:G=G165)*
('2026 Orders'!N:N=N165),
0),
"Open "&amp;C165
))</f>
        <v>Open A4586</v>
      </c>
      <c r="F165" s="14" t="str">
        <f>'[1]2026 Orders'!F166</f>
        <v>2/11/2026: IFC updated to Y following IFC scrub.</v>
      </c>
      <c r="G165" s="14" t="str">
        <f>'[1]2026 Orders'!G166</f>
        <v>FERTMX-90-RE</v>
      </c>
      <c r="H165" s="14" t="str" cm="1">
        <f t="array" ref="H165">IFERROR(_xlfn.TEXTJOIN("-",,INDEX(_xlfn.TEXTSPLIT(TableGive[[#This Row],[SKU]],"-"),{1,2})),"")</f>
        <v>FERTMX-90</v>
      </c>
      <c r="I165" s="15" t="str">
        <f>IFERROR(_xlfn.TEXTAFTER(TableGive[[#This Row],[SKU]],"-",-1),"")</f>
        <v>RE</v>
      </c>
      <c r="J165" s="14">
        <f>'[1]2026 Orders'!H166</f>
        <v>300</v>
      </c>
      <c r="K165" t="str">
        <f>'[1]2026 Orders'!I166</f>
        <v>R16-22</v>
      </c>
      <c r="L165">
        <f>'[1]2026 Orders'!J166</f>
        <v>300</v>
      </c>
      <c r="N165" s="10" t="str">
        <f>'[1]2026 Orders'!L166</f>
        <v>D/W Sent</v>
      </c>
      <c r="O165">
        <f>'[1]2026 Orders'!M166</f>
        <v>0</v>
      </c>
      <c r="P165" t="str">
        <f>'[1]2026 Orders'!N166</f>
        <v>Y</v>
      </c>
      <c r="Q165">
        <f>'[1]2026 Orders'!O166</f>
        <v>609788968726</v>
      </c>
      <c r="R165">
        <f>'[1]2026 Orders'!P166</f>
        <v>5000</v>
      </c>
      <c r="S165">
        <f>'[1]2026 Orders'!Q166</f>
        <v>4834</v>
      </c>
      <c r="T165" t="str">
        <f>'[1]2026 Orders'!R166</f>
        <v>complete</v>
      </c>
      <c r="U165">
        <f>'[1]2026 Orders'!S166</f>
        <v>0</v>
      </c>
      <c r="V165">
        <f>'[1]2026 Orders'!T166</f>
        <v>0</v>
      </c>
      <c r="W165">
        <f>'[1]2026 Orders'!U166</f>
        <v>0</v>
      </c>
      <c r="X165">
        <f>'[1]2026 Orders'!V166</f>
        <v>0</v>
      </c>
      <c r="Y165">
        <f>'[1]2026 Orders'!W166</f>
        <v>0</v>
      </c>
      <c r="Z165">
        <f>'[1]2026 Orders'!X166</f>
        <v>0</v>
      </c>
      <c r="AC165" t="str">
        <f t="shared" si="4"/>
        <v>/300</v>
      </c>
      <c r="AD165" t="e">
        <f t="shared" si="5"/>
        <v>#VALUE!</v>
      </c>
    </row>
    <row r="166" spans="1:30" ht="33" hidden="1" customHeight="1" x14ac:dyDescent="0.3">
      <c r="A166">
        <f>'[1]2026 Orders'!A167</f>
        <v>45981</v>
      </c>
      <c r="B166" s="14" t="str">
        <f>'[1]2026 Orders'!B167</f>
        <v>South Sudan</v>
      </c>
      <c r="C166" s="14" t="str">
        <f>'[1]2026 Orders'!C167</f>
        <v>A4586</v>
      </c>
      <c r="D166" s="14">
        <f>'[1]2026 Orders'!D167</f>
        <v>0</v>
      </c>
      <c r="E166" s="17" t="str" cm="1">
        <f t="array" ref="E166">IF(C166=0,"",
HYPERLINK(
"#'2026 Orders'!C"&amp;
MATCH(1,
('2026 Orders'!C:C=C166)*
('2026 Orders'!G:G=G166)*
('2026 Orders'!N:N=N166),
0),
"Open "&amp;C166
))</f>
        <v>Open A4586</v>
      </c>
      <c r="F166" s="14">
        <f>'[1]2026 Orders'!F167</f>
        <v>0</v>
      </c>
      <c r="G166" s="14" t="str">
        <f>'[1]2026 Orders'!G167</f>
        <v>PRECON-180-FD</v>
      </c>
      <c r="H166" s="14" t="str" cm="1">
        <f t="array" ref="H166">IFERROR(_xlfn.TEXTJOIN("-",,INDEX(_xlfn.TEXTSPLIT(TableGive[[#This Row],[SKU]],"-"),{1,2})),"")</f>
        <v>PRECON-180</v>
      </c>
      <c r="I166" s="15" t="str">
        <f>IFERROR(_xlfn.TEXTAFTER(TableGive[[#This Row],[SKU]],"-",-1),"")</f>
        <v>FD</v>
      </c>
      <c r="J166" s="14">
        <f>'[1]2026 Orders'!H167</f>
        <v>100</v>
      </c>
      <c r="K166" t="str">
        <f>'[1]2026 Orders'!I167</f>
        <v>F55-22.2</v>
      </c>
      <c r="L166">
        <f>'[1]2026 Orders'!J167</f>
        <v>100</v>
      </c>
      <c r="N166" s="10" t="str">
        <f>'[1]2026 Orders'!L167</f>
        <v>D/W Sent</v>
      </c>
      <c r="O166">
        <f>'[1]2026 Orders'!M167</f>
        <v>0</v>
      </c>
      <c r="P166" t="str">
        <f>'[1]2026 Orders'!N167</f>
        <v>NA</v>
      </c>
      <c r="Q166">
        <f>'[1]2026 Orders'!O167</f>
        <v>609788968375</v>
      </c>
      <c r="R166">
        <f>'[1]2026 Orders'!P167</f>
        <v>5000</v>
      </c>
      <c r="S166">
        <f>'[1]2026 Orders'!Q167</f>
        <v>4849</v>
      </c>
      <c r="T166" t="str">
        <f>'[1]2026 Orders'!R167</f>
        <v>complete</v>
      </c>
      <c r="U166">
        <f>'[1]2026 Orders'!S167</f>
        <v>0</v>
      </c>
      <c r="V166">
        <f>'[1]2026 Orders'!T167</f>
        <v>0</v>
      </c>
      <c r="W166">
        <f>'[1]2026 Orders'!U167</f>
        <v>0</v>
      </c>
      <c r="X166">
        <f>'[1]2026 Orders'!V167</f>
        <v>0</v>
      </c>
      <c r="Y166">
        <f>'[1]2026 Orders'!W167</f>
        <v>0</v>
      </c>
      <c r="Z166">
        <f>'[1]2026 Orders'!X167</f>
        <v>0</v>
      </c>
      <c r="AC166" t="str">
        <f t="shared" si="4"/>
        <v>/100</v>
      </c>
      <c r="AD166" t="e">
        <f t="shared" si="5"/>
        <v>#VALUE!</v>
      </c>
    </row>
    <row r="167" spans="1:30" ht="33" hidden="1" customHeight="1" x14ac:dyDescent="0.3">
      <c r="A167">
        <f>'[1]2026 Orders'!A168</f>
        <v>45981</v>
      </c>
      <c r="B167" s="14" t="str">
        <f>'[1]2026 Orders'!B168</f>
        <v>South Sudan</v>
      </c>
      <c r="C167" s="14" t="str">
        <f>'[1]2026 Orders'!C168</f>
        <v>A4586</v>
      </c>
      <c r="D167" s="14">
        <f>'[1]2026 Orders'!D168</f>
        <v>0</v>
      </c>
      <c r="E167" s="17" t="str" cm="1">
        <f t="array" ref="E167">IF(C167=0,"",
HYPERLINK(
"#'2026 Orders'!C"&amp;
MATCH(1,
('2026 Orders'!C:C=C167)*
('2026 Orders'!G:G=G167)*
('2026 Orders'!N:N=N167),
0),
"Open "&amp;C167
))</f>
        <v>Open A4586</v>
      </c>
      <c r="F167" s="14">
        <f>'[1]2026 Orders'!F168</f>
        <v>0</v>
      </c>
      <c r="G167" s="14" t="str">
        <f>'[1]2026 Orders'!G168</f>
        <v>FIBRO-60-FD</v>
      </c>
      <c r="H167" s="14" t="str" cm="1">
        <f t="array" ref="H167">IFERROR(_xlfn.TEXTJOIN("-",,INDEX(_xlfn.TEXTSPLIT(TableGive[[#This Row],[SKU]],"-"),{1,2})),"")</f>
        <v>FIBRO-60</v>
      </c>
      <c r="I167" s="15" t="str">
        <f>IFERROR(_xlfn.TEXTAFTER(TableGive[[#This Row],[SKU]],"-",-1),"")</f>
        <v>FD</v>
      </c>
      <c r="J167" s="14">
        <f>'[1]2026 Orders'!H168</f>
        <v>100</v>
      </c>
      <c r="K167" t="str">
        <f>'[1]2026 Orders'!I168</f>
        <v>F17-25.0</v>
      </c>
      <c r="L167">
        <f>'[1]2026 Orders'!J168</f>
        <v>100</v>
      </c>
      <c r="N167" s="10" t="str">
        <f>'[1]2026 Orders'!L168</f>
        <v>D/W Sent</v>
      </c>
      <c r="O167">
        <f>'[1]2026 Orders'!M168</f>
        <v>0</v>
      </c>
      <c r="P167" t="str">
        <f>'[1]2026 Orders'!N168</f>
        <v>NA</v>
      </c>
      <c r="Q167" t="str">
        <f>'[1]2026 Orders'!O168</f>
        <v>609788968498</v>
      </c>
      <c r="R167">
        <f>'[1]2026 Orders'!P168</f>
        <v>6500</v>
      </c>
      <c r="S167">
        <f>'[1]2026 Orders'!Q168</f>
        <v>4840</v>
      </c>
      <c r="T167" t="str">
        <f>'[1]2026 Orders'!R168</f>
        <v>complete</v>
      </c>
      <c r="U167">
        <f>'[1]2026 Orders'!S168</f>
        <v>0</v>
      </c>
      <c r="V167">
        <f>'[1]2026 Orders'!T168</f>
        <v>0</v>
      </c>
      <c r="W167">
        <f>'[1]2026 Orders'!U168</f>
        <v>0</v>
      </c>
      <c r="X167">
        <f>'[1]2026 Orders'!V168</f>
        <v>0</v>
      </c>
      <c r="Y167">
        <f>'[1]2026 Orders'!W168</f>
        <v>0</v>
      </c>
      <c r="Z167">
        <f>'[1]2026 Orders'!X168</f>
        <v>0</v>
      </c>
      <c r="AC167" t="str">
        <f t="shared" si="4"/>
        <v>/100</v>
      </c>
      <c r="AD167" t="e">
        <f t="shared" si="5"/>
        <v>#VALUE!</v>
      </c>
    </row>
    <row r="168" spans="1:30" ht="33" hidden="1" customHeight="1" x14ac:dyDescent="0.3">
      <c r="A168">
        <f>'[1]2026 Orders'!A169</f>
        <v>45981</v>
      </c>
      <c r="B168" s="14" t="str">
        <f>'[1]2026 Orders'!B169</f>
        <v>South Sudan</v>
      </c>
      <c r="C168" s="14" t="str">
        <f>'[1]2026 Orders'!C169</f>
        <v>A4586</v>
      </c>
      <c r="D168" s="14">
        <f>'[1]2026 Orders'!D169</f>
        <v>0</v>
      </c>
      <c r="E168" s="17" t="str" cm="1">
        <f t="array" ref="E168">IF(C168=0,"",
HYPERLINK(
"#'2026 Orders'!C"&amp;
MATCH(1,
('2026 Orders'!C:C=C168)*
('2026 Orders'!G:G=G168)*
('2026 Orders'!N:N=N168),
0),
"Open "&amp;C168
))</f>
        <v>Open A4586</v>
      </c>
      <c r="F168" s="14">
        <f>'[1]2026 Orders'!F169</f>
        <v>0</v>
      </c>
      <c r="G168" s="14" t="str">
        <f>'[1]2026 Orders'!G169</f>
        <v>COQ400-30-VE-CS-SU</v>
      </c>
      <c r="H168" s="14" t="str" cm="1">
        <f t="array" ref="H168">IFERROR(_xlfn.TEXTJOIN("-",,INDEX(_xlfn.TEXTSPLIT(TableGive[[#This Row],[SKU]],"-"),{1,2})),"")</f>
        <v>COQ400-30</v>
      </c>
      <c r="I168" s="15" t="str">
        <f>IFERROR(_xlfn.TEXTAFTER(TableGive[[#This Row],[SKU]],"-",-1),"")</f>
        <v>SU</v>
      </c>
      <c r="J168" s="14">
        <f>'[1]2026 Orders'!H169</f>
        <v>400</v>
      </c>
      <c r="K168" t="str">
        <f>'[1]2026 Orders'!I169</f>
        <v>SU58-23.0</v>
      </c>
      <c r="L168">
        <f>'[1]2026 Orders'!J169</f>
        <v>0</v>
      </c>
      <c r="N168" s="10" t="str">
        <f>'[1]2026 Orders'!L169</f>
        <v>D/W Sent</v>
      </c>
      <c r="O168">
        <f>'[1]2026 Orders'!M169</f>
        <v>0</v>
      </c>
      <c r="P168" t="str">
        <f>'[1]2026 Orders'!N169</f>
        <v>NA</v>
      </c>
      <c r="Q168">
        <f>'[1]2026 Orders'!O169</f>
        <v>609788968467</v>
      </c>
      <c r="R168">
        <f>'[1]2026 Orders'!P169</f>
        <v>4000</v>
      </c>
      <c r="S168">
        <f>'[1]2026 Orders'!Q169</f>
        <v>4940</v>
      </c>
      <c r="T168" t="str">
        <f>'[1]2026 Orders'!R169</f>
        <v>Complete</v>
      </c>
      <c r="U168">
        <f>'[1]2026 Orders'!S169</f>
        <v>0</v>
      </c>
      <c r="V168">
        <f>'[1]2026 Orders'!T169</f>
        <v>0</v>
      </c>
      <c r="W168">
        <f>'[1]2026 Orders'!U169</f>
        <v>0</v>
      </c>
      <c r="X168">
        <f>'[1]2026 Orders'!V169</f>
        <v>0</v>
      </c>
      <c r="Y168">
        <f>'[1]2026 Orders'!W169</f>
        <v>0</v>
      </c>
      <c r="Z168">
        <f>'[1]2026 Orders'!X169</f>
        <v>0</v>
      </c>
      <c r="AC168" t="str">
        <f t="shared" si="4"/>
        <v>/400</v>
      </c>
      <c r="AD168" t="e">
        <f t="shared" si="5"/>
        <v>#VALUE!</v>
      </c>
    </row>
    <row r="169" spans="1:30" ht="33" hidden="1" customHeight="1" x14ac:dyDescent="0.3">
      <c r="A169">
        <f>'[1]2026 Orders'!A170</f>
        <v>45981</v>
      </c>
      <c r="B169" s="14" t="str">
        <f>'[1]2026 Orders'!B170</f>
        <v>South Sudan</v>
      </c>
      <c r="C169" s="14" t="str">
        <f>'[1]2026 Orders'!C170</f>
        <v>A4586</v>
      </c>
      <c r="D169" s="14" t="str">
        <f>'[1]2026 Orders'!D170</f>
        <v>...</v>
      </c>
      <c r="E169" s="17" t="str" cm="1">
        <f t="array" ref="E169">IF(C169=0,"",
HYPERLINK(
"#'2026 Orders'!C"&amp;
MATCH(1,
('2026 Orders'!C:C=C169)*
('2026 Orders'!G:G=G169)*
('2026 Orders'!N:N=N169),
0),
"Open "&amp;C169
))</f>
        <v>Open A4586</v>
      </c>
      <c r="F169" s="14">
        <f>'[1]2026 Orders'!F170</f>
        <v>0</v>
      </c>
      <c r="G169" s="14" t="str">
        <f>'[1]2026 Orders'!G170</f>
        <v>DHEA50-60-FD</v>
      </c>
      <c r="H169" s="14" t="str" cm="1">
        <f t="array" ref="H169">IFERROR(_xlfn.TEXTJOIN("-",,INDEX(_xlfn.TEXTSPLIT(TableGive[[#This Row],[SKU]],"-"),{1,2})),"")</f>
        <v>DHEA50-60</v>
      </c>
      <c r="I169" s="15" t="str">
        <f>IFERROR(_xlfn.TEXTAFTER(TableGive[[#This Row],[SKU]],"-",-1),"")</f>
        <v>FD</v>
      </c>
      <c r="J169" s="14">
        <f>'[1]2026 Orders'!H170</f>
        <v>300</v>
      </c>
      <c r="K169" t="str">
        <f>'[1]2026 Orders'!I170</f>
        <v>F13-25.2</v>
      </c>
      <c r="L169">
        <f>'[1]2026 Orders'!J170</f>
        <v>300</v>
      </c>
      <c r="N169" s="10" t="str">
        <f>'[1]2026 Orders'!L170</f>
        <v>D/W Sent</v>
      </c>
      <c r="O169">
        <f>'[1]2026 Orders'!M170</f>
        <v>0</v>
      </c>
      <c r="P169" t="str">
        <f>'[1]2026 Orders'!N170</f>
        <v>NA</v>
      </c>
      <c r="Q169">
        <f>'[1]2026 Orders'!O170</f>
        <v>609788968221</v>
      </c>
      <c r="R169">
        <f>'[1]2026 Orders'!P170</f>
        <v>0</v>
      </c>
      <c r="S169">
        <f>'[1]2026 Orders'!Q170</f>
        <v>4832</v>
      </c>
      <c r="T169">
        <f>'[1]2026 Orders'!R170</f>
        <v>0</v>
      </c>
      <c r="U169">
        <f>'[1]2026 Orders'!S170</f>
        <v>0</v>
      </c>
      <c r="V169">
        <f>'[1]2026 Orders'!T170</f>
        <v>0</v>
      </c>
      <c r="W169">
        <f>'[1]2026 Orders'!U170</f>
        <v>0</v>
      </c>
      <c r="X169">
        <f>'[1]2026 Orders'!V170</f>
        <v>0</v>
      </c>
      <c r="Y169">
        <f>'[1]2026 Orders'!W170</f>
        <v>0</v>
      </c>
      <c r="Z169">
        <f>'[1]2026 Orders'!X170</f>
        <v>0</v>
      </c>
      <c r="AC169" t="str">
        <f t="shared" si="4"/>
        <v>/300</v>
      </c>
      <c r="AD169" t="e">
        <f t="shared" si="5"/>
        <v>#VALUE!</v>
      </c>
    </row>
    <row r="170" spans="1:30" ht="33" hidden="1" customHeight="1" x14ac:dyDescent="0.3">
      <c r="A170">
        <f>'[1]2026 Orders'!A171</f>
        <v>45981</v>
      </c>
      <c r="B170" s="14" t="str">
        <f>'[1]2026 Orders'!B171</f>
        <v>South Sudan</v>
      </c>
      <c r="C170" s="14" t="str">
        <f>'[1]2026 Orders'!C171</f>
        <v>A4586</v>
      </c>
      <c r="D170" s="14">
        <f>'[1]2026 Orders'!D171</f>
        <v>0</v>
      </c>
      <c r="E170" s="17" t="str" cm="1">
        <f t="array" ref="E170">IF(C170=0,"",
HYPERLINK(
"#'2026 Orders'!C"&amp;
MATCH(1,
('2026 Orders'!C:C=C170)*
('2026 Orders'!G:G=G170)*
('2026 Orders'!N:N=N170),
0),
"Open "&amp;C170
))</f>
        <v>Open A4586</v>
      </c>
      <c r="F170" s="14">
        <f>'[1]2026 Orders'!F171</f>
        <v>0</v>
      </c>
      <c r="G170" s="14" t="str">
        <f>'[1]2026 Orders'!G171</f>
        <v>PENAMAX-60-GE-FD</v>
      </c>
      <c r="H170" s="14" t="str" cm="1">
        <f t="array" ref="H170">IFERROR(_xlfn.TEXTJOIN("-",,INDEX(_xlfn.TEXTSPLIT(TableGive[[#This Row],[SKU]],"-"),{1,2})),"")</f>
        <v>PENAMAX-60</v>
      </c>
      <c r="I170" s="15" t="str">
        <f>IFERROR(_xlfn.TEXTAFTER(TableGive[[#This Row],[SKU]],"-",-1),"")</f>
        <v>FD</v>
      </c>
      <c r="J170" s="14">
        <f>'[1]2026 Orders'!H171</f>
        <v>100</v>
      </c>
      <c r="K170" t="str">
        <f>'[1]2026 Orders'!I171</f>
        <v>F88-25.1</v>
      </c>
      <c r="L170">
        <f>'[1]2026 Orders'!J171</f>
        <v>100</v>
      </c>
      <c r="N170" s="10" t="str">
        <f>'[1]2026 Orders'!L171</f>
        <v>D/W Sent</v>
      </c>
      <c r="O170">
        <f>'[1]2026 Orders'!M171</f>
        <v>0</v>
      </c>
      <c r="P170" t="str">
        <f>'[1]2026 Orders'!N171</f>
        <v>Y</v>
      </c>
      <c r="Q170">
        <f>'[1]2026 Orders'!O171</f>
        <v>609788968702</v>
      </c>
      <c r="R170">
        <f>'[1]2026 Orders'!P171</f>
        <v>0</v>
      </c>
      <c r="S170">
        <f>'[1]2026 Orders'!Q171</f>
        <v>4805</v>
      </c>
      <c r="T170">
        <f>'[1]2026 Orders'!R171</f>
        <v>0</v>
      </c>
      <c r="U170">
        <f>'[1]2026 Orders'!S171</f>
        <v>0</v>
      </c>
      <c r="V170">
        <f>'[1]2026 Orders'!T171</f>
        <v>0</v>
      </c>
      <c r="W170">
        <f>'[1]2026 Orders'!U171</f>
        <v>0</v>
      </c>
      <c r="X170">
        <f>'[1]2026 Orders'!V171</f>
        <v>0</v>
      </c>
      <c r="Y170">
        <f>'[1]2026 Orders'!W171</f>
        <v>0</v>
      </c>
      <c r="Z170">
        <f>'[1]2026 Orders'!X171</f>
        <v>0</v>
      </c>
      <c r="AC170" t="str">
        <f t="shared" si="4"/>
        <v>/100</v>
      </c>
      <c r="AD170" t="e">
        <f t="shared" si="5"/>
        <v>#VALUE!</v>
      </c>
    </row>
    <row r="171" spans="1:30" ht="33" hidden="1" customHeight="1" x14ac:dyDescent="0.3">
      <c r="A171">
        <f>'[1]2026 Orders'!A172</f>
        <v>45981</v>
      </c>
      <c r="B171" s="14" t="str">
        <f>'[1]2026 Orders'!B172</f>
        <v>South Sudan</v>
      </c>
      <c r="C171" s="14" t="str">
        <f>'[1]2026 Orders'!C172</f>
        <v>A4586</v>
      </c>
      <c r="D171" s="14">
        <f>'[1]2026 Orders'!D172</f>
        <v>0</v>
      </c>
      <c r="E171" s="17" t="str" cm="1">
        <f t="array" ref="E171">IF(C171=0,"",
HYPERLINK(
"#'2026 Orders'!C"&amp;
MATCH(1,
('2026 Orders'!C:C=C171)*
('2026 Orders'!G:G=G171)*
('2026 Orders'!N:N=N171),
0),
"Open "&amp;C171
))</f>
        <v>Open A4586</v>
      </c>
      <c r="F171" s="14">
        <f>'[1]2026 Orders'!F172</f>
        <v>0</v>
      </c>
      <c r="G171" s="14" t="str">
        <f>'[1]2026 Orders'!G172</f>
        <v>MOTILMX-60-FD</v>
      </c>
      <c r="H171" s="14" t="str" cm="1">
        <f t="array" ref="H171">IFERROR(_xlfn.TEXTJOIN("-",,INDEX(_xlfn.TEXTSPLIT(TableGive[[#This Row],[SKU]],"-"),{1,2})),"")</f>
        <v>MOTILMX-60</v>
      </c>
      <c r="I171" s="15" t="str">
        <f>IFERROR(_xlfn.TEXTAFTER(TableGive[[#This Row],[SKU]],"-",-1),"")</f>
        <v>FD</v>
      </c>
      <c r="J171" s="14">
        <f>'[1]2026 Orders'!H172</f>
        <v>250</v>
      </c>
      <c r="K171" t="str">
        <f>'[1]2026 Orders'!I172</f>
        <v>F31-23.0</v>
      </c>
      <c r="L171">
        <f>'[1]2026 Orders'!J172</f>
        <v>250</v>
      </c>
      <c r="N171" s="10" t="str">
        <f>'[1]2026 Orders'!L172</f>
        <v>D/W Sent</v>
      </c>
      <c r="O171">
        <f>'[1]2026 Orders'!M172</f>
        <v>0</v>
      </c>
      <c r="P171" t="str">
        <f>'[1]2026 Orders'!N172</f>
        <v>NA</v>
      </c>
      <c r="Q171">
        <f>'[1]2026 Orders'!O172</f>
        <v>609788968191</v>
      </c>
      <c r="R171">
        <f>'[1]2026 Orders'!P172</f>
        <v>0</v>
      </c>
      <c r="S171">
        <f>'[1]2026 Orders'!Q172</f>
        <v>4754</v>
      </c>
      <c r="T171">
        <f>'[1]2026 Orders'!R172</f>
        <v>0</v>
      </c>
      <c r="U171">
        <f>'[1]2026 Orders'!S172</f>
        <v>0</v>
      </c>
      <c r="V171">
        <f>'[1]2026 Orders'!T172</f>
        <v>0</v>
      </c>
      <c r="W171">
        <f>'[1]2026 Orders'!U172</f>
        <v>0</v>
      </c>
      <c r="X171">
        <f>'[1]2026 Orders'!V172</f>
        <v>0</v>
      </c>
      <c r="Y171">
        <f>'[1]2026 Orders'!W172</f>
        <v>0</v>
      </c>
      <c r="Z171">
        <f>'[1]2026 Orders'!X172</f>
        <v>0</v>
      </c>
      <c r="AC171" t="str">
        <f t="shared" si="4"/>
        <v>/250</v>
      </c>
      <c r="AD171" t="e">
        <f t="shared" si="5"/>
        <v>#VALUE!</v>
      </c>
    </row>
    <row r="172" spans="1:30" ht="33" hidden="1" customHeight="1" x14ac:dyDescent="0.3">
      <c r="A172">
        <f>'[1]2026 Orders'!A173</f>
        <v>45981</v>
      </c>
      <c r="B172" s="14" t="str">
        <f>'[1]2026 Orders'!B173</f>
        <v>South Sudan</v>
      </c>
      <c r="C172" s="14" t="str">
        <f>'[1]2026 Orders'!C173</f>
        <v>A4586</v>
      </c>
      <c r="D172" s="14">
        <f>'[1]2026 Orders'!D173</f>
        <v>0</v>
      </c>
      <c r="E172" s="17" t="str" cm="1">
        <f t="array" ref="E172">IF(C172=0,"",
HYPERLINK(
"#'2026 Orders'!C"&amp;
MATCH(1,
('2026 Orders'!C:C=C172)*
('2026 Orders'!G:G=G172)*
('2026 Orders'!N:N=N172),
0),
"Open "&amp;C172
))</f>
        <v>Open A4586</v>
      </c>
      <c r="F172" s="14">
        <f>'[1]2026 Orders'!F173</f>
        <v>0</v>
      </c>
      <c r="G172" s="14" t="str">
        <f>'[1]2026 Orders'!G173</f>
        <v>WFSPLS-180-FD</v>
      </c>
      <c r="H172" s="14" t="str" cm="1">
        <f t="array" ref="H172">IFERROR(_xlfn.TEXTJOIN("-",,INDEX(_xlfn.TEXTSPLIT(TableGive[[#This Row],[SKU]],"-"),{1,2})),"")</f>
        <v>WFSPLS-180</v>
      </c>
      <c r="I172" s="15" t="str">
        <f>IFERROR(_xlfn.TEXTAFTER(TableGive[[#This Row],[SKU]],"-",-1),"")</f>
        <v>FD</v>
      </c>
      <c r="J172" s="14">
        <f>'[1]2026 Orders'!H173</f>
        <v>50</v>
      </c>
      <c r="K172" t="str">
        <f>'[1]2026 Orders'!I173</f>
        <v>F73-23.0</v>
      </c>
      <c r="L172">
        <f>'[1]2026 Orders'!J173</f>
        <v>0</v>
      </c>
      <c r="N172" s="10" t="str">
        <f>'[1]2026 Orders'!L173</f>
        <v>D/W Sent</v>
      </c>
      <c r="O172">
        <f>'[1]2026 Orders'!M173</f>
        <v>0</v>
      </c>
      <c r="P172" t="str">
        <f>'[1]2026 Orders'!N173</f>
        <v>NA</v>
      </c>
      <c r="Q172">
        <f>'[1]2026 Orders'!O173</f>
        <v>609788968351</v>
      </c>
      <c r="R172">
        <f>'[1]2026 Orders'!P173</f>
        <v>9000</v>
      </c>
      <c r="S172">
        <f>'[1]2026 Orders'!Q173</f>
        <v>4845</v>
      </c>
      <c r="T172" t="str">
        <f>'[1]2026 Orders'!R173</f>
        <v>complete</v>
      </c>
      <c r="U172">
        <f>'[1]2026 Orders'!S173</f>
        <v>0</v>
      </c>
      <c r="V172">
        <f>'[1]2026 Orders'!T173</f>
        <v>0</v>
      </c>
      <c r="W172">
        <f>'[1]2026 Orders'!U173</f>
        <v>0</v>
      </c>
      <c r="X172">
        <f>'[1]2026 Orders'!V173</f>
        <v>0</v>
      </c>
      <c r="Y172">
        <f>'[1]2026 Orders'!W173</f>
        <v>0</v>
      </c>
      <c r="Z172">
        <f>'[1]2026 Orders'!X173</f>
        <v>0</v>
      </c>
      <c r="AC172" t="str">
        <f t="shared" si="4"/>
        <v>/50</v>
      </c>
      <c r="AD172" t="e">
        <f t="shared" si="5"/>
        <v>#VALUE!</v>
      </c>
    </row>
    <row r="173" spans="1:30" ht="33" hidden="1" customHeight="1" x14ac:dyDescent="0.3">
      <c r="A173">
        <f>'[1]2026 Orders'!A174</f>
        <v>0</v>
      </c>
      <c r="B173" s="14">
        <f>'[1]2026 Orders'!B174</f>
        <v>0</v>
      </c>
      <c r="C173" s="14">
        <f>'[1]2026 Orders'!C174</f>
        <v>0</v>
      </c>
      <c r="D173" s="14">
        <f>'[1]2026 Orders'!D174</f>
        <v>0</v>
      </c>
      <c r="E173" s="17" t="str" cm="1">
        <f t="array" ref="E173">IF(C173=0,"",
HYPERLINK(
"#'2026 Orders'!C"&amp;
MATCH(1,
('2026 Orders'!C:C=C173)*
('2026 Orders'!G:G=G173)*
('2026 Orders'!N:N=N173),
0),
"Open "&amp;C173
))</f>
        <v/>
      </c>
      <c r="F173" s="14">
        <f>'[1]2026 Orders'!F174</f>
        <v>0</v>
      </c>
      <c r="G173" s="14">
        <f>'[1]2026 Orders'!G174</f>
        <v>0</v>
      </c>
      <c r="H173" s="14" t="str" cm="1">
        <f t="array" ref="H173">IFERROR(_xlfn.TEXTJOIN("-",,INDEX(_xlfn.TEXTSPLIT(TableGive[[#This Row],[SKU]],"-"),{1,2})),"")</f>
        <v/>
      </c>
      <c r="I173" s="15" t="str">
        <f>IFERROR(_xlfn.TEXTAFTER(TableGive[[#This Row],[SKU]],"-",-1),"")</f>
        <v/>
      </c>
      <c r="J173" s="14">
        <f>'[1]2026 Orders'!H174</f>
        <v>0</v>
      </c>
      <c r="K173">
        <f>'[1]2026 Orders'!I174</f>
        <v>0</v>
      </c>
      <c r="L173">
        <f>'[1]2026 Orders'!J174</f>
        <v>0</v>
      </c>
      <c r="N173" s="10">
        <f>'[1]2026 Orders'!L174</f>
        <v>0</v>
      </c>
      <c r="O173">
        <f>'[1]2026 Orders'!M174</f>
        <v>0</v>
      </c>
      <c r="P173">
        <f>'[1]2026 Orders'!N174</f>
        <v>0</v>
      </c>
      <c r="Q173">
        <f>'[1]2026 Orders'!O174</f>
        <v>0</v>
      </c>
      <c r="R173">
        <f>'[1]2026 Orders'!P174</f>
        <v>0</v>
      </c>
      <c r="S173">
        <f>'[1]2026 Orders'!Q174</f>
        <v>0</v>
      </c>
      <c r="T173">
        <f>'[1]2026 Orders'!R174</f>
        <v>0</v>
      </c>
      <c r="U173">
        <f>'[1]2026 Orders'!S174</f>
        <v>0</v>
      </c>
      <c r="V173">
        <f>'[1]2026 Orders'!T174</f>
        <v>0</v>
      </c>
      <c r="W173">
        <f>'[1]2026 Orders'!U174</f>
        <v>0</v>
      </c>
      <c r="X173">
        <f>'[1]2026 Orders'!V174</f>
        <v>0</v>
      </c>
      <c r="Y173">
        <f>'[1]2026 Orders'!W174</f>
        <v>0</v>
      </c>
      <c r="Z173">
        <f>'[1]2026 Orders'!X174</f>
        <v>0</v>
      </c>
      <c r="AC173" t="str">
        <f t="shared" si="4"/>
        <v/>
      </c>
      <c r="AD173" t="str">
        <f t="shared" si="5"/>
        <v/>
      </c>
    </row>
    <row r="174" spans="1:30" ht="33" hidden="1" customHeight="1" x14ac:dyDescent="0.3">
      <c r="A174">
        <f>'[1]2026 Orders'!A175</f>
        <v>45992</v>
      </c>
      <c r="B174" s="14" t="str">
        <f>'[1]2026 Orders'!B175</f>
        <v>China</v>
      </c>
      <c r="C174" s="14" t="str">
        <f>'[1]2026 Orders'!C175</f>
        <v>A4592</v>
      </c>
      <c r="D174" s="14">
        <f>'[1]2026 Orders'!D175</f>
        <v>0</v>
      </c>
      <c r="E174" s="17" t="str" cm="1">
        <f t="array" ref="E174">IF(C174=0,"",
HYPERLINK(
"#'2026 Orders'!C"&amp;
MATCH(1,
('2026 Orders'!C:C=C174)*
('2026 Orders'!G:G=G174)*
('2026 Orders'!N:N=N174),
0),
"Open "&amp;C174
))</f>
        <v>Open A4592</v>
      </c>
      <c r="F174" s="14">
        <f>'[1]2026 Orders'!F175</f>
        <v>0</v>
      </c>
      <c r="G174" s="14" t="str">
        <f>'[1]2026 Orders'!G175</f>
        <v>NERUFLX-60-FD</v>
      </c>
      <c r="H174" s="14" t="str" cm="1">
        <f t="array" ref="H174">IFERROR(_xlfn.TEXTJOIN("-",,INDEX(_xlfn.TEXTSPLIT(TableGive[[#This Row],[SKU]],"-"),{1,2})),"")</f>
        <v>NERUFLX-60</v>
      </c>
      <c r="I174" s="15" t="str">
        <f>IFERROR(_xlfn.TEXTAFTER(TableGive[[#This Row],[SKU]],"-",-1),"")</f>
        <v>FD</v>
      </c>
      <c r="J174" s="14">
        <f>'[1]2026 Orders'!H175</f>
        <v>100</v>
      </c>
      <c r="K174" t="str">
        <f>'[1]2026 Orders'!I175</f>
        <v>F115-25.0</v>
      </c>
      <c r="L174">
        <f>'[1]2026 Orders'!J175</f>
        <v>100</v>
      </c>
      <c r="N174" s="10" t="str">
        <f>'[1]2026 Orders'!L175</f>
        <v>D/W Sent</v>
      </c>
      <c r="O174" t="str">
        <f>'[1]2026 Orders'!M175</f>
        <v>01/14 D/W Sent</v>
      </c>
      <c r="P174" t="str">
        <f>'[1]2026 Orders'!N175</f>
        <v>Y</v>
      </c>
      <c r="Q174">
        <f>'[1]2026 Orders'!O175</f>
        <v>810131193164</v>
      </c>
      <c r="R174">
        <f>'[1]2026 Orders'!P175</f>
        <v>7000</v>
      </c>
      <c r="S174">
        <f>'[1]2026 Orders'!Q175</f>
        <v>4867</v>
      </c>
      <c r="T174" t="str">
        <f>'[1]2026 Orders'!R175</f>
        <v>complete</v>
      </c>
      <c r="U174">
        <f>'[1]2026 Orders'!S175</f>
        <v>0</v>
      </c>
      <c r="V174">
        <f>'[1]2026 Orders'!T175</f>
        <v>0</v>
      </c>
      <c r="W174">
        <f>'[1]2026 Orders'!U175</f>
        <v>0</v>
      </c>
      <c r="X174">
        <f>'[1]2026 Orders'!V175</f>
        <v>0</v>
      </c>
      <c r="Y174">
        <f>'[1]2026 Orders'!W175</f>
        <v>0</v>
      </c>
      <c r="Z174" t="str">
        <f>'[1]2026 Orders'!X175</f>
        <v>Approved</v>
      </c>
      <c r="AC174" t="str">
        <f t="shared" si="4"/>
        <v>/100</v>
      </c>
      <c r="AD174" t="e">
        <f t="shared" si="5"/>
        <v>#VALUE!</v>
      </c>
    </row>
    <row r="175" spans="1:30" ht="33" hidden="1" customHeight="1" x14ac:dyDescent="0.3">
      <c r="A175">
        <f>'[1]2026 Orders'!A176</f>
        <v>45981</v>
      </c>
      <c r="B175" s="14" t="str">
        <f>'[1]2026 Orders'!B176</f>
        <v>Chad</v>
      </c>
      <c r="C175" s="14" t="str">
        <f>'[1]2026 Orders'!C176</f>
        <v>A4640</v>
      </c>
      <c r="D175" s="14">
        <f>'[1]2026 Orders'!D176</f>
        <v>0</v>
      </c>
      <c r="E175" s="17" t="e" cm="1">
        <f t="array" ref="E175">IF(C175=0,"",
HYPERLINK(
"#'2026 Orders'!C"&amp;
MATCH(1,
('2026 Orders'!C:C=C175)*
('2026 Orders'!G:G=G175)*
('2026 Orders'!N:N=N175),
0),
"Open "&amp;C175
))</f>
        <v>#N/A</v>
      </c>
      <c r="F175" s="14">
        <f>'[1]2026 Orders'!F176</f>
        <v>0</v>
      </c>
      <c r="G175" s="14" t="str">
        <f>'[1]2026 Orders'!G176</f>
        <v>PEDIAZI-50-FD</v>
      </c>
      <c r="H175" s="14" t="str" cm="1">
        <f t="array" ref="H175">IFERROR(_xlfn.TEXTJOIN("-",,INDEX(_xlfn.TEXTSPLIT(TableGive[[#This Row],[SKU]],"-"),{1,2})),"")</f>
        <v>PEDIAZI-50</v>
      </c>
      <c r="I175" s="15" t="str">
        <f>IFERROR(_xlfn.TEXTAFTER(TableGive[[#This Row],[SKU]],"-",-1),"")</f>
        <v>FD</v>
      </c>
      <c r="J175" s="14">
        <f>'[1]2026 Orders'!H176</f>
        <v>1500</v>
      </c>
      <c r="K175" t="str">
        <f>'[1]2026 Orders'!I176</f>
        <v>F50-24.1</v>
      </c>
      <c r="L175">
        <f>'[1]2026 Orders'!J176</f>
        <v>0</v>
      </c>
      <c r="N175" s="10">
        <f>'[1]2026 Orders'!L176</f>
        <v>0</v>
      </c>
      <c r="O175">
        <f>'[1]2026 Orders'!M176</f>
        <v>0</v>
      </c>
      <c r="P175" t="str">
        <f>'[1]2026 Orders'!N176</f>
        <v>Y</v>
      </c>
      <c r="Q175">
        <f>'[1]2026 Orders'!O176</f>
        <v>0</v>
      </c>
      <c r="R175">
        <f>'[1]2026 Orders'!P176</f>
        <v>5000</v>
      </c>
      <c r="S175">
        <f>'[1]2026 Orders'!Q176</f>
        <v>4978</v>
      </c>
      <c r="T175" t="str">
        <f>'[1]2026 Orders'!R176</f>
        <v>TBD</v>
      </c>
      <c r="U175" t="str">
        <f>'[1]2026 Orders'!S176</f>
        <v>Waiting for Labels and IFC to start production.</v>
      </c>
      <c r="V175">
        <f>'[1]2026 Orders'!T176</f>
        <v>0</v>
      </c>
      <c r="W175">
        <f>'[1]2026 Orders'!U176</f>
        <v>0</v>
      </c>
      <c r="X175">
        <f>'[1]2026 Orders'!V176</f>
        <v>0</v>
      </c>
      <c r="Y175">
        <f>'[1]2026 Orders'!W176</f>
        <v>0</v>
      </c>
      <c r="Z175">
        <f>'[1]2026 Orders'!X176</f>
        <v>0</v>
      </c>
      <c r="AC175" t="str">
        <f t="shared" si="4"/>
        <v>/1500</v>
      </c>
      <c r="AD175" t="e">
        <f t="shared" si="5"/>
        <v>#VALUE!</v>
      </c>
    </row>
    <row r="176" spans="1:30" ht="33" hidden="1" customHeight="1" x14ac:dyDescent="0.3">
      <c r="A176">
        <f>'[1]2026 Orders'!A177</f>
        <v>46066</v>
      </c>
      <c r="B176" s="14" t="str">
        <f>'[1]2026 Orders'!B177</f>
        <v>Chad</v>
      </c>
      <c r="C176" s="14" t="str">
        <f>'[1]2026 Orders'!C177</f>
        <v>A4647</v>
      </c>
      <c r="D176" s="14">
        <f>'[1]2026 Orders'!D177</f>
        <v>0</v>
      </c>
      <c r="E176" s="17" t="str" cm="1">
        <f t="array" ref="E176">IF(C176=0,"",
HYPERLINK(
"#'2026 Orders'!C"&amp;
MATCH(1,
('2026 Orders'!C:C=C176)*
('2026 Orders'!G:G=G176)*
('2026 Orders'!N:N=N176),
0),
"Open "&amp;C176
))</f>
        <v>Open A4647</v>
      </c>
      <c r="F176" s="14">
        <f>'[1]2026 Orders'!F177</f>
        <v>0</v>
      </c>
      <c r="G176" s="14" t="str">
        <f>'[1]2026 Orders'!G177</f>
        <v>PEDIAIR-50-CS-CH</v>
      </c>
      <c r="H176" s="14" t="str" cm="1">
        <f t="array" ref="H176">IFERROR(_xlfn.TEXTJOIN("-",,INDEX(_xlfn.TEXTSPLIT(TableGive[[#This Row],[SKU]],"-"),{1,2})),"")</f>
        <v>PEDIAIR-50</v>
      </c>
      <c r="I176" s="15" t="str">
        <f>IFERROR(_xlfn.TEXTAFTER(TableGive[[#This Row],[SKU]],"-",-1),"")</f>
        <v>CH</v>
      </c>
      <c r="J176" s="14">
        <f>'[1]2026 Orders'!H177</f>
        <v>10</v>
      </c>
      <c r="K176" t="str">
        <f>'[1]2026 Orders'!I177</f>
        <v>N/A</v>
      </c>
      <c r="L176">
        <f>'[1]2026 Orders'!J177</f>
        <v>0</v>
      </c>
      <c r="N176" s="10" t="str">
        <f>'[1]2026 Orders'!L177</f>
        <v>PO submitted</v>
      </c>
      <c r="O176" t="str">
        <f>'[1]2026 Orders'!M177</f>
        <v>label and sku non existent</v>
      </c>
      <c r="P176" t="str">
        <f>'[1]2026 Orders'!N177</f>
        <v>Y</v>
      </c>
      <c r="Q176" t="str">
        <f>'[1]2026 Orders'!O177</f>
        <v>N/A</v>
      </c>
      <c r="R176">
        <f>'[1]2026 Orders'!P177</f>
        <v>5000</v>
      </c>
      <c r="S176">
        <f>'[1]2026 Orders'!Q177</f>
        <v>4977</v>
      </c>
      <c r="T176" t="str">
        <f>'[1]2026 Orders'!R177</f>
        <v>TBD</v>
      </c>
      <c r="U176" t="str">
        <f>'[1]2026 Orders'!S177</f>
        <v>Must rework at AMS</v>
      </c>
      <c r="V176">
        <f>'[1]2026 Orders'!T177</f>
        <v>0</v>
      </c>
      <c r="W176">
        <f>'[1]2026 Orders'!U177</f>
        <v>0</v>
      </c>
      <c r="X176">
        <f>'[1]2026 Orders'!V177</f>
        <v>0</v>
      </c>
      <c r="Y176">
        <f>'[1]2026 Orders'!W177</f>
        <v>0</v>
      </c>
      <c r="Z176" t="str">
        <f>'[1]2026 Orders'!X177</f>
        <v>HOLD</v>
      </c>
      <c r="AC176" t="str">
        <f t="shared" si="4"/>
        <v>/10</v>
      </c>
      <c r="AD176" t="e">
        <f t="shared" si="5"/>
        <v>#VALUE!</v>
      </c>
    </row>
    <row r="177" spans="1:30" ht="33" hidden="1" customHeight="1" x14ac:dyDescent="0.3">
      <c r="A177">
        <f>'[1]2026 Orders'!A178</f>
        <v>45981</v>
      </c>
      <c r="B177" s="14" t="str">
        <f>'[1]2026 Orders'!B178</f>
        <v>Chad</v>
      </c>
      <c r="C177" s="14" t="str">
        <f>'[1]2026 Orders'!C178</f>
        <v>A4640</v>
      </c>
      <c r="D177" s="14">
        <f>'[1]2026 Orders'!D178</f>
        <v>0</v>
      </c>
      <c r="E177" s="17" t="e" cm="1">
        <f t="array" ref="E177">IF(C177=0,"",
HYPERLINK(
"#'2026 Orders'!C"&amp;
MATCH(1,
('2026 Orders'!C:C=C177)*
('2026 Orders'!G:G=G177)*
('2026 Orders'!N:N=N177),
0),
"Open "&amp;C177
))</f>
        <v>#N/A</v>
      </c>
      <c r="F177" s="14">
        <f>'[1]2026 Orders'!F178</f>
        <v>0</v>
      </c>
      <c r="G177" s="14" t="str">
        <f>'[1]2026 Orders'!G178</f>
        <v>PEDIACM-50-FD</v>
      </c>
      <c r="H177" s="14" t="str" cm="1">
        <f t="array" ref="H177">IFERROR(_xlfn.TEXTJOIN("-",,INDEX(_xlfn.TEXTSPLIT(TableGive[[#This Row],[SKU]],"-"),{1,2})),"")</f>
        <v>PEDIACM-50</v>
      </c>
      <c r="I177" s="15" t="str">
        <f>IFERROR(_xlfn.TEXTAFTER(TableGive[[#This Row],[SKU]],"-",-1),"")</f>
        <v>FD</v>
      </c>
      <c r="J177" s="14">
        <f>'[1]2026 Orders'!H178</f>
        <v>1500</v>
      </c>
      <c r="K177" t="str">
        <f>'[1]2026 Orders'!I178</f>
        <v>F44-24.1</v>
      </c>
      <c r="L177">
        <f>'[1]2026 Orders'!J178</f>
        <v>0</v>
      </c>
      <c r="N177" s="10">
        <f>'[1]2026 Orders'!L178</f>
        <v>0</v>
      </c>
      <c r="O177">
        <f>'[1]2026 Orders'!M178</f>
        <v>0</v>
      </c>
      <c r="P177" t="str">
        <f>'[1]2026 Orders'!N178</f>
        <v>Y</v>
      </c>
      <c r="Q177">
        <f>'[1]2026 Orders'!O178</f>
        <v>0</v>
      </c>
      <c r="R177">
        <f>'[1]2026 Orders'!P178</f>
        <v>5000</v>
      </c>
      <c r="S177">
        <f>'[1]2026 Orders'!Q178</f>
        <v>4980</v>
      </c>
      <c r="T177" t="str">
        <f>'[1]2026 Orders'!R178</f>
        <v>TBD</v>
      </c>
      <c r="U177" t="str">
        <f>'[1]2026 Orders'!S178</f>
        <v>Waiting for Labels and IFC to start production.</v>
      </c>
      <c r="V177">
        <f>'[1]2026 Orders'!T178</f>
        <v>0</v>
      </c>
      <c r="W177">
        <f>'[1]2026 Orders'!U178</f>
        <v>0</v>
      </c>
      <c r="X177">
        <f>'[1]2026 Orders'!V178</f>
        <v>0</v>
      </c>
      <c r="Y177">
        <f>'[1]2026 Orders'!W178</f>
        <v>0</v>
      </c>
      <c r="Z177">
        <f>'[1]2026 Orders'!X178</f>
        <v>0</v>
      </c>
      <c r="AC177" t="str">
        <f t="shared" si="4"/>
        <v>/1500</v>
      </c>
      <c r="AD177" t="e">
        <f t="shared" si="5"/>
        <v>#VALUE!</v>
      </c>
    </row>
    <row r="178" spans="1:30" ht="33" hidden="1" customHeight="1" x14ac:dyDescent="0.3">
      <c r="A178">
        <f>'[1]2026 Orders'!A179</f>
        <v>46003</v>
      </c>
      <c r="B178" s="14" t="str">
        <f>'[1]2026 Orders'!B179</f>
        <v>Iraq</v>
      </c>
      <c r="C178" s="14" t="str">
        <f>'[1]2026 Orders'!C179</f>
        <v>A4610</v>
      </c>
      <c r="D178" s="14" t="str">
        <f>'[1]2026 Orders'!D179</f>
        <v>6/2/2026: 30% Down Payment needed.</v>
      </c>
      <c r="E178" s="17" t="str" cm="1">
        <f t="array" ref="E178">IF(C178=0,"",
HYPERLINK(
"#'2026 Orders'!C"&amp;
MATCH(1,
('2026 Orders'!C:C=C178)*
('2026 Orders'!G:G=G178)*
('2026 Orders'!N:N=N178),
0),
"Open "&amp;C178
))</f>
        <v>Open A4610</v>
      </c>
      <c r="F178" s="14" t="str">
        <f>'[1]2026 Orders'!F179</f>
        <v xml:space="preserve">Product changed to Omega3-40-CS-IQ 
1/14/2025: Sales requested for labels to be uploaded to server by overseas team  
2/11/2026: IFC Updated to Y following IFC scrub. 3/10: NO NEED FOR IFC MOE/TARIQ CONFIRMED WITH NIBAL.
5/18/2026: Reduced Qty 100,000 -&gt; 62,962. 37,038 moved to Morocco A4688.         </v>
      </c>
      <c r="G178" s="14" t="str">
        <f>'[1]2026 Orders'!G179</f>
        <v>OMEGA3-40-CS-IQ</v>
      </c>
      <c r="H178" s="14" t="str" cm="1">
        <f t="array" ref="H178">IFERROR(_xlfn.TEXTJOIN("-",,INDEX(_xlfn.TEXTSPLIT(TableGive[[#This Row],[SKU]],"-"),{1,2})),"")</f>
        <v>OMEGA3-40</v>
      </c>
      <c r="I178" s="15" t="str">
        <f>IFERROR(_xlfn.TEXTAFTER(TableGive[[#This Row],[SKU]],"-",-1),"")</f>
        <v>IQ</v>
      </c>
      <c r="J178" s="14">
        <f>'[1]2026 Orders'!H179</f>
        <v>62962</v>
      </c>
      <c r="K178" t="str">
        <f>'[1]2026 Orders'!I179</f>
        <v>IQ128-26</v>
      </c>
      <c r="L178">
        <f>'[1]2026 Orders'!J179</f>
        <v>0</v>
      </c>
      <c r="N178" s="10" t="str">
        <f>'[1]2026 Orders'!L179</f>
        <v>ON HOLD</v>
      </c>
      <c r="O178">
        <f>'[1]2026 Orders'!M179</f>
        <v>0</v>
      </c>
      <c r="P178" t="str">
        <f>'[1]2026 Orders'!N179</f>
        <v>NA</v>
      </c>
      <c r="Q178" t="str">
        <f>'[1]2026 Orders'!O179</f>
        <v>604776738114</v>
      </c>
      <c r="R178">
        <f>'[1]2026 Orders'!P179</f>
        <v>100000</v>
      </c>
      <c r="S178">
        <f>'[1]2026 Orders'!Q179</f>
        <v>4958</v>
      </c>
      <c r="T178" t="str">
        <f>'[1]2026 Orders'!R179</f>
        <v>TBD</v>
      </c>
      <c r="U178">
        <f>'[1]2026 Orders'!S179</f>
        <v>0</v>
      </c>
      <c r="V178">
        <f>'[1]2026 Orders'!T179</f>
        <v>0</v>
      </c>
      <c r="W178">
        <f>'[1]2026 Orders'!U179</f>
        <v>0</v>
      </c>
      <c r="X178">
        <f>'[1]2026 Orders'!V179</f>
        <v>0</v>
      </c>
      <c r="Y178">
        <f>'[1]2026 Orders'!W179</f>
        <v>0</v>
      </c>
      <c r="Z178" t="str">
        <f>'[1]2026 Orders'!X179</f>
        <v>HOLD</v>
      </c>
      <c r="AC178" t="str">
        <f t="shared" si="4"/>
        <v>/62962</v>
      </c>
      <c r="AD178" t="e">
        <f t="shared" si="5"/>
        <v>#VALUE!</v>
      </c>
    </row>
    <row r="179" spans="1:30" ht="33" hidden="1" customHeight="1" x14ac:dyDescent="0.3">
      <c r="A179">
        <f>'[1]2026 Orders'!A180</f>
        <v>46003</v>
      </c>
      <c r="B179" s="14" t="str">
        <f>'[1]2026 Orders'!B180</f>
        <v>Iraq</v>
      </c>
      <c r="C179" s="14" t="str">
        <f>'[1]2026 Orders'!C180</f>
        <v>A4610</v>
      </c>
      <c r="D179" s="14" t="str">
        <f>'[1]2026 Orders'!D180</f>
        <v>6/2/2026: 30% Down Payment needed.</v>
      </c>
      <c r="E179" s="17" t="str" cm="1">
        <f t="array" ref="E179">IF(C179=0,"",
HYPERLINK(
"#'2026 Orders'!C"&amp;
MATCH(1,
('2026 Orders'!C:C=C179)*
('2026 Orders'!G:G=G179)*
('2026 Orders'!N:N=N179),
0),
"Open "&amp;C179
))</f>
        <v>Open A4610</v>
      </c>
      <c r="F179" s="14" t="str">
        <f>'[1]2026 Orders'!F180</f>
        <v>Product changed to ZINC50-30-CS-IQ</v>
      </c>
      <c r="G179" s="14" t="str">
        <f>'[1]2026 Orders'!G180</f>
        <v>ZINC50-30-CS-IQ</v>
      </c>
      <c r="H179" s="14" t="str" cm="1">
        <f t="array" ref="H179">IFERROR(_xlfn.TEXTJOIN("-",,INDEX(_xlfn.TEXTSPLIT(TableGive[[#This Row],[SKU]],"-"),{1,2})),"")</f>
        <v>ZINC50-30</v>
      </c>
      <c r="I179" s="15" t="str">
        <f>IFERROR(_xlfn.TEXTAFTER(TableGive[[#This Row],[SKU]],"-",-1),"")</f>
        <v>IQ</v>
      </c>
      <c r="J179" s="14">
        <f>'[1]2026 Orders'!H180</f>
        <v>50000</v>
      </c>
      <c r="K179" t="str">
        <f>'[1]2026 Orders'!I180</f>
        <v>IQ129-26</v>
      </c>
      <c r="L179">
        <f>'[1]2026 Orders'!J180</f>
        <v>0</v>
      </c>
      <c r="N179" s="10" t="str">
        <f>'[1]2026 Orders'!L180</f>
        <v>ON HOLD</v>
      </c>
      <c r="O179">
        <f>'[1]2026 Orders'!M180</f>
        <v>0</v>
      </c>
      <c r="P179" t="str">
        <f>'[1]2026 Orders'!N180</f>
        <v>NA</v>
      </c>
      <c r="Q179" t="str">
        <f>'[1]2026 Orders'!O180</f>
        <v>604776738121</v>
      </c>
      <c r="R179">
        <f>'[1]2026 Orders'!P180</f>
        <v>50000</v>
      </c>
      <c r="S179">
        <f>'[1]2026 Orders'!Q180</f>
        <v>4959</v>
      </c>
      <c r="T179" t="str">
        <f>'[1]2026 Orders'!R180</f>
        <v>TBD</v>
      </c>
      <c r="U179" t="str">
        <f>'[1]2026 Orders'!S180</f>
        <v>Need lids and labels.</v>
      </c>
      <c r="V179">
        <f>'[1]2026 Orders'!T180</f>
        <v>0</v>
      </c>
      <c r="W179">
        <f>'[1]2026 Orders'!U180</f>
        <v>0</v>
      </c>
      <c r="X179">
        <f>'[1]2026 Orders'!V180</f>
        <v>0</v>
      </c>
      <c r="Y179">
        <f>'[1]2026 Orders'!W180</f>
        <v>0</v>
      </c>
      <c r="Z179">
        <f>'[1]2026 Orders'!X180</f>
        <v>0</v>
      </c>
      <c r="AC179" t="str">
        <f t="shared" si="4"/>
        <v>/50000</v>
      </c>
      <c r="AD179" t="e">
        <f t="shared" si="5"/>
        <v>#VALUE!</v>
      </c>
    </row>
    <row r="180" spans="1:30" ht="33" hidden="1" customHeight="1" x14ac:dyDescent="0.3">
      <c r="A180">
        <f>'[1]2026 Orders'!A181</f>
        <v>45981</v>
      </c>
      <c r="B180" s="14" t="str">
        <f>'[1]2026 Orders'!B181</f>
        <v>South Sudan</v>
      </c>
      <c r="C180" s="14" t="str">
        <f>'[1]2026 Orders'!C181</f>
        <v>A4586</v>
      </c>
      <c r="D180" s="14">
        <f>'[1]2026 Orders'!D181</f>
        <v>0</v>
      </c>
      <c r="E180" s="17" t="e" cm="1">
        <f t="array" ref="E180">IF(C180=0,"",
HYPERLINK(
"#'2026 Orders'!C"&amp;
MATCH(1,
('2026 Orders'!C:C=C180)*
('2026 Orders'!G:G=G180)*
('2026 Orders'!N:N=N180),
0),
"Open "&amp;C180
))</f>
        <v>#N/A</v>
      </c>
      <c r="F180" s="14">
        <f>'[1]2026 Orders'!F181</f>
        <v>0</v>
      </c>
      <c r="G180" s="14" t="str">
        <f>'[1]2026 Orders'!G181</f>
        <v>OVAMAX-120-FD</v>
      </c>
      <c r="H180" s="14" t="str" cm="1">
        <f t="array" ref="H180">IFERROR(_xlfn.TEXTJOIN("-",,INDEX(_xlfn.TEXTSPLIT(TableGive[[#This Row],[SKU]],"-"),{1,2})),"")</f>
        <v>OVAMAX-120</v>
      </c>
      <c r="I180" s="15" t="str">
        <f>IFERROR(_xlfn.TEXTAFTER(TableGive[[#This Row],[SKU]],"-",-1),"")</f>
        <v>FD</v>
      </c>
      <c r="J180" s="14">
        <f>'[1]2026 Orders'!H181</f>
        <v>300</v>
      </c>
      <c r="K180" t="str">
        <f>'[1]2026 Orders'!I181</f>
        <v>F41-25.0</v>
      </c>
      <c r="L180">
        <f>'[1]2026 Orders'!J181</f>
        <v>300</v>
      </c>
      <c r="N180" s="10">
        <f>'[1]2026 Orders'!L181</f>
        <v>0</v>
      </c>
      <c r="O180">
        <f>'[1]2026 Orders'!M181</f>
        <v>0</v>
      </c>
      <c r="P180" t="str">
        <f>'[1]2026 Orders'!N181</f>
        <v>NA</v>
      </c>
      <c r="Q180">
        <f>'[1]2026 Orders'!O181</f>
        <v>810131199586</v>
      </c>
      <c r="R180">
        <f>'[1]2026 Orders'!P181</f>
        <v>4100</v>
      </c>
      <c r="S180">
        <f>'[1]2026 Orders'!Q181</f>
        <v>4823</v>
      </c>
      <c r="T180">
        <f>'[1]2026 Orders'!R181</f>
        <v>0</v>
      </c>
      <c r="U180">
        <f>'[1]2026 Orders'!S181</f>
        <v>0</v>
      </c>
      <c r="V180">
        <f>'[1]2026 Orders'!T181</f>
        <v>0</v>
      </c>
      <c r="W180">
        <f>'[1]2026 Orders'!U181</f>
        <v>0</v>
      </c>
      <c r="X180">
        <f>'[1]2026 Orders'!V181</f>
        <v>46062</v>
      </c>
      <c r="Y180">
        <f>'[1]2026 Orders'!W181</f>
        <v>0</v>
      </c>
      <c r="Z180">
        <f>'[1]2026 Orders'!X181</f>
        <v>0</v>
      </c>
      <c r="AC180" t="str">
        <f t="shared" si="4"/>
        <v>/300</v>
      </c>
      <c r="AD180" t="e">
        <f t="shared" si="5"/>
        <v>#VALUE!</v>
      </c>
    </row>
    <row r="181" spans="1:30" ht="33" hidden="1" customHeight="1" x14ac:dyDescent="0.3">
      <c r="A181">
        <f>'[1]2026 Orders'!A182</f>
        <v>46009</v>
      </c>
      <c r="B181" s="14" t="str">
        <f>'[1]2026 Orders'!B182</f>
        <v>Botswana</v>
      </c>
      <c r="C181" s="14" t="str">
        <f>'[1]2026 Orders'!C182</f>
        <v>A4611</v>
      </c>
      <c r="D181" s="14" t="str">
        <f>'[1]2026 Orders'!D182</f>
        <v>Awaiting Import Permit Update</v>
      </c>
      <c r="E181" s="17" t="str" cm="1">
        <f t="array" ref="E181">IF(C181=0,"",
HYPERLINK(
"#'2026 Orders'!C"&amp;
MATCH(1,
('2026 Orders'!C:C=C181)*
('2026 Orders'!G:G=G181)*
('2026 Orders'!N:N=N181),
0),
"Open "&amp;C181
))</f>
        <v>Open A4611</v>
      </c>
      <c r="F181" s="14">
        <f>'[1]2026 Orders'!F182</f>
        <v>0</v>
      </c>
      <c r="G181" s="14" t="str">
        <f>'[1]2026 Orders'!G182</f>
        <v>GINKGO-60-FD</v>
      </c>
      <c r="H181" s="14" t="str" cm="1">
        <f t="array" ref="H181">IFERROR(_xlfn.TEXTJOIN("-",,INDEX(_xlfn.TEXTSPLIT(TableGive[[#This Row],[SKU]],"-"),{1,2})),"")</f>
        <v>GINKGO-60</v>
      </c>
      <c r="I181" s="15" t="str">
        <f>IFERROR(_xlfn.TEXTAFTER(TableGive[[#This Row],[SKU]],"-",-1),"")</f>
        <v>FD</v>
      </c>
      <c r="J181" s="14">
        <f>'[1]2026 Orders'!H182</f>
        <v>40</v>
      </c>
      <c r="K181" t="str">
        <f>'[1]2026 Orders'!I182</f>
        <v>F21-23.0</v>
      </c>
      <c r="L181">
        <f>'[1]2026 Orders'!J182</f>
        <v>40</v>
      </c>
      <c r="N181" s="10" t="str">
        <f>'[1]2026 Orders'!L182</f>
        <v>D/W Sent</v>
      </c>
      <c r="O181">
        <f>'[1]2026 Orders'!M182</f>
        <v>46094</v>
      </c>
      <c r="P181" t="str">
        <f>'[1]2026 Orders'!N182</f>
        <v>NA</v>
      </c>
      <c r="Q181">
        <f>'[1]2026 Orders'!O182</f>
        <v>609788968146</v>
      </c>
      <c r="R181">
        <f>'[1]2026 Orders'!P182</f>
        <v>0</v>
      </c>
      <c r="S181">
        <f>'[1]2026 Orders'!Q182</f>
        <v>4791</v>
      </c>
      <c r="T181">
        <f>'[1]2026 Orders'!R182</f>
        <v>0</v>
      </c>
      <c r="U181">
        <f>'[1]2026 Orders'!S182</f>
        <v>0</v>
      </c>
      <c r="V181">
        <f>'[1]2026 Orders'!T182</f>
        <v>0</v>
      </c>
      <c r="W181">
        <f>'[1]2026 Orders'!U182</f>
        <v>0</v>
      </c>
      <c r="X181">
        <f>'[1]2026 Orders'!V182</f>
        <v>0</v>
      </c>
      <c r="Y181">
        <f>'[1]2026 Orders'!W182</f>
        <v>0</v>
      </c>
      <c r="Z181" t="str">
        <f>'[1]2026 Orders'!X182</f>
        <v>HOLD</v>
      </c>
      <c r="AC181" t="str">
        <f t="shared" si="4"/>
        <v>/40</v>
      </c>
      <c r="AD181" t="e">
        <f t="shared" si="5"/>
        <v>#VALUE!</v>
      </c>
    </row>
    <row r="182" spans="1:30" ht="33" hidden="1" customHeight="1" x14ac:dyDescent="0.3">
      <c r="A182">
        <f>'[1]2026 Orders'!A183</f>
        <v>46009</v>
      </c>
      <c r="B182" s="14" t="str">
        <f>'[1]2026 Orders'!B183</f>
        <v>Botswana</v>
      </c>
      <c r="C182" s="14" t="str">
        <f>'[1]2026 Orders'!C183</f>
        <v>A4611</v>
      </c>
      <c r="D182" s="14">
        <f>'[1]2026 Orders'!D183</f>
        <v>0</v>
      </c>
      <c r="E182" s="17" t="str" cm="1">
        <f t="array" ref="E182">IF(C182=0,"",
HYPERLINK(
"#'2026 Orders'!C"&amp;
MATCH(1,
('2026 Orders'!C:C=C182)*
('2026 Orders'!G:G=G182)*
('2026 Orders'!N:N=N182),
0),
"Open "&amp;C182
))</f>
        <v>Open A4611</v>
      </c>
      <c r="F182" s="14">
        <f>'[1]2026 Orders'!F183</f>
        <v>0</v>
      </c>
      <c r="G182" s="14" t="str">
        <f>'[1]2026 Orders'!G183</f>
        <v>XTRAD10-60-FD</v>
      </c>
      <c r="H182" s="14" t="str" cm="1">
        <f t="array" ref="H182">IFERROR(_xlfn.TEXTJOIN("-",,INDEX(_xlfn.TEXTSPLIT(TableGive[[#This Row],[SKU]],"-"),{1,2})),"")</f>
        <v>XTRAD10-60</v>
      </c>
      <c r="I182" s="15" t="str">
        <f>IFERROR(_xlfn.TEXTAFTER(TableGive[[#This Row],[SKU]],"-",-1),"")</f>
        <v>FD</v>
      </c>
      <c r="J182" s="14">
        <f>'[1]2026 Orders'!H183</f>
        <v>1200</v>
      </c>
      <c r="K182" t="str">
        <f>'[1]2026 Orders'!I183</f>
        <v>F76-25.0</v>
      </c>
      <c r="L182">
        <f>'[1]2026 Orders'!J183</f>
        <v>1200</v>
      </c>
      <c r="N182" s="10" t="str">
        <f>'[1]2026 Orders'!L183</f>
        <v>D/W Sent</v>
      </c>
      <c r="O182">
        <f>'[1]2026 Orders'!M183</f>
        <v>0</v>
      </c>
      <c r="P182" t="str">
        <f>'[1]2026 Orders'!N183</f>
        <v>NA</v>
      </c>
      <c r="Q182">
        <f>'[1]2026 Orders'!O183</f>
        <v>609788968122</v>
      </c>
      <c r="R182">
        <f>'[1]2026 Orders'!P183</f>
        <v>0</v>
      </c>
      <c r="S182">
        <f>'[1]2026 Orders'!Q183</f>
        <v>4926</v>
      </c>
      <c r="T182">
        <f>'[1]2026 Orders'!R183</f>
        <v>0</v>
      </c>
      <c r="U182">
        <f>'[1]2026 Orders'!S183</f>
        <v>0</v>
      </c>
      <c r="V182">
        <f>'[1]2026 Orders'!T183</f>
        <v>0</v>
      </c>
      <c r="W182">
        <f>'[1]2026 Orders'!U183</f>
        <v>0</v>
      </c>
      <c r="X182">
        <f>'[1]2026 Orders'!V183</f>
        <v>0</v>
      </c>
      <c r="Y182">
        <f>'[1]2026 Orders'!W183</f>
        <v>0</v>
      </c>
      <c r="Z182">
        <f>'[1]2026 Orders'!X183</f>
        <v>0</v>
      </c>
      <c r="AC182" t="str">
        <f t="shared" si="4"/>
        <v>/1200</v>
      </c>
      <c r="AD182" t="e">
        <f t="shared" si="5"/>
        <v>#VALUE!</v>
      </c>
    </row>
    <row r="183" spans="1:30" ht="33" hidden="1" customHeight="1" x14ac:dyDescent="0.3">
      <c r="A183">
        <f>'[1]2026 Orders'!A184</f>
        <v>46009</v>
      </c>
      <c r="B183" s="14" t="str">
        <f>'[1]2026 Orders'!B184</f>
        <v>Botswana</v>
      </c>
      <c r="C183" s="14" t="str">
        <f>'[1]2026 Orders'!C184</f>
        <v>A4611</v>
      </c>
      <c r="D183" s="14">
        <f>'[1]2026 Orders'!D184</f>
        <v>0</v>
      </c>
      <c r="E183" s="17" t="str" cm="1">
        <f t="array" ref="E183">IF(C183=0,"",
HYPERLINK(
"#'2026 Orders'!C"&amp;
MATCH(1,
('2026 Orders'!C:C=C183)*
('2026 Orders'!G:G=G183)*
('2026 Orders'!N:N=N183),
0),
"Open "&amp;C183
))</f>
        <v>Open A4611</v>
      </c>
      <c r="F183" s="14">
        <f>'[1]2026 Orders'!F184</f>
        <v>0</v>
      </c>
      <c r="G183" s="14" t="str">
        <f>'[1]2026 Orders'!G184</f>
        <v>MOTILMX-60-FD</v>
      </c>
      <c r="H183" s="14" t="str" cm="1">
        <f t="array" ref="H183">IFERROR(_xlfn.TEXTJOIN("-",,INDEX(_xlfn.TEXTSPLIT(TableGive[[#This Row],[SKU]],"-"),{1,2})),"")</f>
        <v>MOTILMX-60</v>
      </c>
      <c r="I183" s="15" t="str">
        <f>IFERROR(_xlfn.TEXTAFTER(TableGive[[#This Row],[SKU]],"-",-1),"")</f>
        <v>FD</v>
      </c>
      <c r="J183" s="14">
        <f>'[1]2026 Orders'!H184</f>
        <v>100</v>
      </c>
      <c r="K183" t="str">
        <f>'[1]2026 Orders'!I184</f>
        <v>F31-23.0</v>
      </c>
      <c r="L183">
        <f>'[1]2026 Orders'!J184</f>
        <v>100</v>
      </c>
      <c r="N183" s="10" t="str">
        <f>'[1]2026 Orders'!L184</f>
        <v>D/W Sent</v>
      </c>
      <c r="O183">
        <f>'[1]2026 Orders'!M184</f>
        <v>0</v>
      </c>
      <c r="P183" t="str">
        <f>'[1]2026 Orders'!N184</f>
        <v>NA</v>
      </c>
      <c r="Q183">
        <f>'[1]2026 Orders'!O184</f>
        <v>609788968191</v>
      </c>
      <c r="R183">
        <f>'[1]2026 Orders'!P184</f>
        <v>0</v>
      </c>
      <c r="S183">
        <f>'[1]2026 Orders'!Q184</f>
        <v>4848</v>
      </c>
      <c r="T183">
        <f>'[1]2026 Orders'!R184</f>
        <v>0</v>
      </c>
      <c r="U183">
        <f>'[1]2026 Orders'!S184</f>
        <v>0</v>
      </c>
      <c r="V183">
        <f>'[1]2026 Orders'!T184</f>
        <v>0</v>
      </c>
      <c r="W183">
        <f>'[1]2026 Orders'!U184</f>
        <v>0</v>
      </c>
      <c r="X183">
        <f>'[1]2026 Orders'!V184</f>
        <v>0</v>
      </c>
      <c r="Y183">
        <f>'[1]2026 Orders'!W184</f>
        <v>0</v>
      </c>
      <c r="Z183">
        <f>'[1]2026 Orders'!X184</f>
        <v>0</v>
      </c>
      <c r="AC183" t="str">
        <f t="shared" si="4"/>
        <v>/100</v>
      </c>
      <c r="AD183" t="e">
        <f t="shared" si="5"/>
        <v>#VALUE!</v>
      </c>
    </row>
    <row r="184" spans="1:30" ht="33" hidden="1" customHeight="1" x14ac:dyDescent="0.3">
      <c r="A184">
        <f>'[1]2026 Orders'!A185</f>
        <v>46009</v>
      </c>
      <c r="B184" s="14" t="str">
        <f>'[1]2026 Orders'!B185</f>
        <v>Botswana</v>
      </c>
      <c r="C184" s="14" t="str">
        <f>'[1]2026 Orders'!C185</f>
        <v>A4611</v>
      </c>
      <c r="D184" s="14">
        <f>'[1]2026 Orders'!D185</f>
        <v>0</v>
      </c>
      <c r="E184" s="17" t="str" cm="1">
        <f t="array" ref="E184">IF(C184=0,"",
HYPERLINK(
"#'2026 Orders'!C"&amp;
MATCH(1,
('2026 Orders'!C:C=C184)*
('2026 Orders'!G:G=G184)*
('2026 Orders'!N:N=N184),
0),
"Open "&amp;C184
))</f>
        <v>Open A4611</v>
      </c>
      <c r="F184" s="14">
        <f>'[1]2026 Orders'!F185</f>
        <v>0</v>
      </c>
      <c r="G184" s="14" t="str">
        <f>'[1]2026 Orders'!G185</f>
        <v>MFSPLS-120-FD</v>
      </c>
      <c r="H184" s="14" t="str" cm="1">
        <f t="array" ref="H184">IFERROR(_xlfn.TEXTJOIN("-",,INDEX(_xlfn.TEXTSPLIT(TableGive[[#This Row],[SKU]],"-"),{1,2})),"")</f>
        <v>MFSPLS-120</v>
      </c>
      <c r="I184" s="15" t="str">
        <f>IFERROR(_xlfn.TEXTAFTER(TableGive[[#This Row],[SKU]],"-",-1),"")</f>
        <v>FD</v>
      </c>
      <c r="J184" s="14">
        <f>'[1]2026 Orders'!H185</f>
        <v>80</v>
      </c>
      <c r="K184" t="str">
        <f>'[1]2026 Orders'!I185</f>
        <v>F30-25.1</v>
      </c>
      <c r="L184">
        <f>'[1]2026 Orders'!J185</f>
        <v>80</v>
      </c>
      <c r="N184" s="10" t="str">
        <f>'[1]2026 Orders'!L185</f>
        <v>D/W Sent</v>
      </c>
      <c r="O184">
        <f>'[1]2026 Orders'!M185</f>
        <v>0</v>
      </c>
      <c r="P184" t="str">
        <f>'[1]2026 Orders'!N185</f>
        <v>NA</v>
      </c>
      <c r="Q184">
        <f>'[1]2026 Orders'!O185</f>
        <v>609788968344</v>
      </c>
      <c r="R184">
        <f>'[1]2026 Orders'!P185</f>
        <v>0</v>
      </c>
      <c r="S184">
        <f>'[1]2026 Orders'!Q185</f>
        <v>4846</v>
      </c>
      <c r="T184">
        <f>'[1]2026 Orders'!R185</f>
        <v>0</v>
      </c>
      <c r="U184">
        <f>'[1]2026 Orders'!S185</f>
        <v>0</v>
      </c>
      <c r="V184">
        <f>'[1]2026 Orders'!T185</f>
        <v>0</v>
      </c>
      <c r="W184">
        <f>'[1]2026 Orders'!U185</f>
        <v>0</v>
      </c>
      <c r="X184">
        <f>'[1]2026 Orders'!V185</f>
        <v>0</v>
      </c>
      <c r="Y184">
        <f>'[1]2026 Orders'!W185</f>
        <v>0</v>
      </c>
      <c r="Z184">
        <f>'[1]2026 Orders'!X185</f>
        <v>0</v>
      </c>
      <c r="AC184" t="str">
        <f t="shared" si="4"/>
        <v>/80</v>
      </c>
      <c r="AD184" t="e">
        <f t="shared" si="5"/>
        <v>#VALUE!</v>
      </c>
    </row>
    <row r="185" spans="1:30" ht="33" hidden="1" customHeight="1" x14ac:dyDescent="0.3">
      <c r="A185">
        <f>'[1]2026 Orders'!A186</f>
        <v>46009</v>
      </c>
      <c r="B185" s="14" t="str">
        <f>'[1]2026 Orders'!B186</f>
        <v>Botswana</v>
      </c>
      <c r="C185" s="14" t="str">
        <f>'[1]2026 Orders'!C186</f>
        <v>A4611</v>
      </c>
      <c r="D185" s="14">
        <f>'[1]2026 Orders'!D186</f>
        <v>0</v>
      </c>
      <c r="E185" s="17" t="str" cm="1">
        <f t="array" ref="E185">IF(C185=0,"",
HYPERLINK(
"#'2026 Orders'!C"&amp;
MATCH(1,
('2026 Orders'!C:C=C185)*
('2026 Orders'!G:G=G185)*
('2026 Orders'!N:N=N185),
0),
"Open "&amp;C185
))</f>
        <v>Open A4611</v>
      </c>
      <c r="F185" s="14">
        <f>'[1]2026 Orders'!F186</f>
        <v>0</v>
      </c>
      <c r="G185" s="14" t="str">
        <f>'[1]2026 Orders'!G186</f>
        <v>FIBRO-60-FD</v>
      </c>
      <c r="H185" s="14" t="str" cm="1">
        <f t="array" ref="H185">IFERROR(_xlfn.TEXTJOIN("-",,INDEX(_xlfn.TEXTSPLIT(TableGive[[#This Row],[SKU]],"-"),{1,2})),"")</f>
        <v>FIBRO-60</v>
      </c>
      <c r="I185" s="15" t="str">
        <f>IFERROR(_xlfn.TEXTAFTER(TableGive[[#This Row],[SKU]],"-",-1),"")</f>
        <v>FD</v>
      </c>
      <c r="J185" s="14">
        <f>'[1]2026 Orders'!H186</f>
        <v>60</v>
      </c>
      <c r="K185" t="str">
        <f>'[1]2026 Orders'!I186</f>
        <v>F17-25.1</v>
      </c>
      <c r="L185">
        <f>'[1]2026 Orders'!J186</f>
        <v>60</v>
      </c>
      <c r="N185" s="10" t="str">
        <f>'[1]2026 Orders'!L186</f>
        <v>D/W Sent</v>
      </c>
      <c r="O185">
        <f>'[1]2026 Orders'!M186</f>
        <v>0</v>
      </c>
      <c r="P185" t="str">
        <f>'[1]2026 Orders'!N186</f>
        <v>NA</v>
      </c>
      <c r="Q185">
        <f>'[1]2026 Orders'!O186</f>
        <v>609788968498</v>
      </c>
      <c r="R185">
        <f>'[1]2026 Orders'!P186</f>
        <v>0</v>
      </c>
      <c r="S185">
        <f>'[1]2026 Orders'!Q186</f>
        <v>4840</v>
      </c>
      <c r="T185">
        <f>'[1]2026 Orders'!R186</f>
        <v>0</v>
      </c>
      <c r="U185">
        <f>'[1]2026 Orders'!S186</f>
        <v>0</v>
      </c>
      <c r="V185">
        <f>'[1]2026 Orders'!T186</f>
        <v>0</v>
      </c>
      <c r="W185">
        <f>'[1]2026 Orders'!U186</f>
        <v>0</v>
      </c>
      <c r="X185">
        <f>'[1]2026 Orders'!V186</f>
        <v>0</v>
      </c>
      <c r="Y185">
        <f>'[1]2026 Orders'!W186</f>
        <v>0</v>
      </c>
      <c r="Z185">
        <f>'[1]2026 Orders'!X186</f>
        <v>0</v>
      </c>
      <c r="AC185" t="str">
        <f t="shared" si="4"/>
        <v>/60</v>
      </c>
      <c r="AD185" t="e">
        <f t="shared" si="5"/>
        <v>#VALUE!</v>
      </c>
    </row>
    <row r="186" spans="1:30" ht="33" hidden="1" customHeight="1" x14ac:dyDescent="0.3">
      <c r="A186">
        <f>'[1]2026 Orders'!A187</f>
        <v>46009</v>
      </c>
      <c r="B186" s="14" t="str">
        <f>'[1]2026 Orders'!B187</f>
        <v>Botswana</v>
      </c>
      <c r="C186" s="14" t="str">
        <f>'[1]2026 Orders'!C187</f>
        <v>A4611</v>
      </c>
      <c r="D186" s="14">
        <f>'[1]2026 Orders'!D187</f>
        <v>0</v>
      </c>
      <c r="E186" s="17" t="str" cm="1">
        <f t="array" ref="E186">IF(C186=0,"",
HYPERLINK(
"#'2026 Orders'!C"&amp;
MATCH(1,
('2026 Orders'!C:C=C186)*
('2026 Orders'!G:G=G186)*
('2026 Orders'!N:N=N186),
0),
"Open "&amp;C186
))</f>
        <v>Open A4611</v>
      </c>
      <c r="F186" s="14">
        <f>'[1]2026 Orders'!F187</f>
        <v>0</v>
      </c>
      <c r="G186" s="14" t="str">
        <f>'[1]2026 Orders'!G187</f>
        <v>DHEA50-60-FD</v>
      </c>
      <c r="H186" s="14" t="str" cm="1">
        <f t="array" ref="H186">IFERROR(_xlfn.TEXTJOIN("-",,INDEX(_xlfn.TEXTSPLIT(TableGive[[#This Row],[SKU]],"-"),{1,2})),"")</f>
        <v>DHEA50-60</v>
      </c>
      <c r="I186" s="15" t="str">
        <f>IFERROR(_xlfn.TEXTAFTER(TableGive[[#This Row],[SKU]],"-",-1),"")</f>
        <v>FD</v>
      </c>
      <c r="J186" s="14">
        <f>'[1]2026 Orders'!H187</f>
        <v>60</v>
      </c>
      <c r="K186" t="str">
        <f>'[1]2026 Orders'!I187</f>
        <v>F13-25.2</v>
      </c>
      <c r="L186">
        <f>'[1]2026 Orders'!J187</f>
        <v>60</v>
      </c>
      <c r="N186" s="10" t="str">
        <f>'[1]2026 Orders'!L187</f>
        <v>D/W Sent</v>
      </c>
      <c r="O186">
        <f>'[1]2026 Orders'!M187</f>
        <v>0</v>
      </c>
      <c r="P186" t="str">
        <f>'[1]2026 Orders'!N187</f>
        <v>NA</v>
      </c>
      <c r="Q186">
        <f>'[1]2026 Orders'!O187</f>
        <v>609788968221</v>
      </c>
      <c r="R186">
        <f>'[1]2026 Orders'!P187</f>
        <v>0</v>
      </c>
      <c r="S186">
        <f>'[1]2026 Orders'!Q187</f>
        <v>4832</v>
      </c>
      <c r="T186">
        <f>'[1]2026 Orders'!R187</f>
        <v>0</v>
      </c>
      <c r="U186">
        <f>'[1]2026 Orders'!S187</f>
        <v>0</v>
      </c>
      <c r="V186">
        <f>'[1]2026 Orders'!T187</f>
        <v>0</v>
      </c>
      <c r="W186">
        <f>'[1]2026 Orders'!U187</f>
        <v>0</v>
      </c>
      <c r="X186">
        <f>'[1]2026 Orders'!V187</f>
        <v>0</v>
      </c>
      <c r="Y186">
        <f>'[1]2026 Orders'!W187</f>
        <v>0</v>
      </c>
      <c r="Z186">
        <f>'[1]2026 Orders'!X187</f>
        <v>0</v>
      </c>
      <c r="AC186" t="str">
        <f t="shared" si="4"/>
        <v>/60</v>
      </c>
      <c r="AD186" t="e">
        <f t="shared" si="5"/>
        <v>#VALUE!</v>
      </c>
    </row>
    <row r="187" spans="1:30" ht="33" hidden="1" customHeight="1" x14ac:dyDescent="0.3">
      <c r="A187">
        <f>'[1]2026 Orders'!A188</f>
        <v>46009</v>
      </c>
      <c r="B187" s="14" t="str">
        <f>'[1]2026 Orders'!B188</f>
        <v>Botswana</v>
      </c>
      <c r="C187" s="14" t="str">
        <f>'[1]2026 Orders'!C188</f>
        <v>A4611</v>
      </c>
      <c r="D187" s="14">
        <f>'[1]2026 Orders'!D188</f>
        <v>0</v>
      </c>
      <c r="E187" s="17" t="str" cm="1">
        <f t="array" ref="E187">IF(C187=0,"",
HYPERLINK(
"#'2026 Orders'!C"&amp;
MATCH(1,
('2026 Orders'!C:C=C187)*
('2026 Orders'!G:G=G187)*
('2026 Orders'!N:N=N187),
0),
"Open "&amp;C187
))</f>
        <v>Open A4611</v>
      </c>
      <c r="F187" s="14">
        <f>'[1]2026 Orders'!F188</f>
        <v>0</v>
      </c>
      <c r="G187" s="14" t="str">
        <f>'[1]2026 Orders'!G188</f>
        <v>SPERMCT-60-FD</v>
      </c>
      <c r="H187" s="14" t="str" cm="1">
        <f t="array" ref="H187">IFERROR(_xlfn.TEXTJOIN("-",,INDEX(_xlfn.TEXTSPLIT(TableGive[[#This Row],[SKU]],"-"),{1,2})),"")</f>
        <v>SPERMCT-60</v>
      </c>
      <c r="I187" s="15" t="str">
        <f>IFERROR(_xlfn.TEXTAFTER(TableGive[[#This Row],[SKU]],"-",-1),"")</f>
        <v>FD</v>
      </c>
      <c r="J187" s="14">
        <f>'[1]2026 Orders'!H188</f>
        <v>50</v>
      </c>
      <c r="K187" t="str">
        <f>'[1]2026 Orders'!I188</f>
        <v>F64-25.0</v>
      </c>
      <c r="L187">
        <f>'[1]2026 Orders'!J188</f>
        <v>50</v>
      </c>
      <c r="N187" s="10" t="str">
        <f>'[1]2026 Orders'!L188</f>
        <v>D/W Sent</v>
      </c>
      <c r="O187">
        <f>'[1]2026 Orders'!M188</f>
        <v>0</v>
      </c>
      <c r="P187" t="str">
        <f>'[1]2026 Orders'!N188</f>
        <v>NA</v>
      </c>
      <c r="Q187">
        <f>'[1]2026 Orders'!O188</f>
        <v>609788968405</v>
      </c>
      <c r="R187">
        <f>'[1]2026 Orders'!P188</f>
        <v>0</v>
      </c>
      <c r="S187">
        <f>'[1]2026 Orders'!Q188</f>
        <v>4850</v>
      </c>
      <c r="T187">
        <f>'[1]2026 Orders'!R188</f>
        <v>0</v>
      </c>
      <c r="U187">
        <f>'[1]2026 Orders'!S188</f>
        <v>0</v>
      </c>
      <c r="V187">
        <f>'[1]2026 Orders'!T188</f>
        <v>0</v>
      </c>
      <c r="W187">
        <f>'[1]2026 Orders'!U188</f>
        <v>0</v>
      </c>
      <c r="X187">
        <f>'[1]2026 Orders'!V188</f>
        <v>0</v>
      </c>
      <c r="Y187">
        <f>'[1]2026 Orders'!W188</f>
        <v>0</v>
      </c>
      <c r="Z187">
        <f>'[1]2026 Orders'!X188</f>
        <v>0</v>
      </c>
      <c r="AC187" t="str">
        <f t="shared" si="4"/>
        <v>/50</v>
      </c>
      <c r="AD187" t="e">
        <f t="shared" si="5"/>
        <v>#VALUE!</v>
      </c>
    </row>
    <row r="188" spans="1:30" ht="33" hidden="1" customHeight="1" x14ac:dyDescent="0.3">
      <c r="A188">
        <f>'[1]2026 Orders'!A189</f>
        <v>46009</v>
      </c>
      <c r="B188" s="14" t="str">
        <f>'[1]2026 Orders'!B189</f>
        <v>Botswana</v>
      </c>
      <c r="C188" s="14" t="str">
        <f>'[1]2026 Orders'!C189</f>
        <v>A4611</v>
      </c>
      <c r="D188" s="14">
        <f>'[1]2026 Orders'!D189</f>
        <v>0</v>
      </c>
      <c r="E188" s="17" t="str" cm="1">
        <f t="array" ref="E188">IF(C188=0,"",
HYPERLINK(
"#'2026 Orders'!C"&amp;
MATCH(1,
('2026 Orders'!C:C=C188)*
('2026 Orders'!G:G=G188)*
('2026 Orders'!N:N=N188),
0),
"Open "&amp;C188
))</f>
        <v>Open A4611</v>
      </c>
      <c r="F188" s="14">
        <f>'[1]2026 Orders'!F189</f>
        <v>49241225</v>
      </c>
      <c r="G188" s="14" t="str">
        <f>'[1]2026 Orders'!G189</f>
        <v>CAVIN-60-FD</v>
      </c>
      <c r="H188" s="14" t="str" cm="1">
        <f t="array" ref="H188">IFERROR(_xlfn.TEXTJOIN("-",,INDEX(_xlfn.TEXTSPLIT(TableGive[[#This Row],[SKU]],"-"),{1,2})),"")</f>
        <v>CAVIN-60</v>
      </c>
      <c r="I188" s="15" t="str">
        <f>IFERROR(_xlfn.TEXTAFTER(TableGive[[#This Row],[SKU]],"-",-1),"")</f>
        <v>FD</v>
      </c>
      <c r="J188" s="14">
        <f>'[1]2026 Orders'!H189</f>
        <v>46</v>
      </c>
      <c r="K188" t="str">
        <f>'[1]2026 Orders'!I189</f>
        <v>F08-25.0</v>
      </c>
      <c r="L188">
        <f>'[1]2026 Orders'!J189</f>
        <v>46</v>
      </c>
      <c r="N188" s="10" t="str">
        <f>'[1]2026 Orders'!L189</f>
        <v>D/W Sent</v>
      </c>
      <c r="O188">
        <f>'[1]2026 Orders'!M189</f>
        <v>0</v>
      </c>
      <c r="P188" t="str">
        <f>'[1]2026 Orders'!N189</f>
        <v>NA</v>
      </c>
      <c r="Q188">
        <f>'[1]2026 Orders'!O189</f>
        <v>609788968597</v>
      </c>
      <c r="R188">
        <f>'[1]2026 Orders'!P189</f>
        <v>5000</v>
      </c>
      <c r="S188">
        <f>'[1]2026 Orders'!Q189</f>
        <v>4924</v>
      </c>
      <c r="T188" t="str">
        <f>'[1]2026 Orders'!R189</f>
        <v>complete</v>
      </c>
      <c r="U188">
        <f>'[1]2026 Orders'!S189</f>
        <v>0</v>
      </c>
      <c r="V188">
        <f>'[1]2026 Orders'!T189</f>
        <v>0</v>
      </c>
      <c r="W188">
        <f>'[1]2026 Orders'!U189</f>
        <v>0</v>
      </c>
      <c r="X188">
        <f>'[1]2026 Orders'!V189</f>
        <v>0</v>
      </c>
      <c r="Y188">
        <f>'[1]2026 Orders'!W189</f>
        <v>0</v>
      </c>
      <c r="Z188">
        <f>'[1]2026 Orders'!X189</f>
        <v>0</v>
      </c>
      <c r="AC188" t="str">
        <f t="shared" si="4"/>
        <v>/46</v>
      </c>
      <c r="AD188" t="e">
        <f t="shared" si="5"/>
        <v>#VALUE!</v>
      </c>
    </row>
    <row r="189" spans="1:30" ht="33" hidden="1" customHeight="1" x14ac:dyDescent="0.3">
      <c r="A189">
        <f>'[1]2026 Orders'!A190</f>
        <v>46009</v>
      </c>
      <c r="B189" s="14" t="str">
        <f>'[1]2026 Orders'!B190</f>
        <v>Botswana</v>
      </c>
      <c r="C189" s="14" t="str">
        <f>'[1]2026 Orders'!C190</f>
        <v>A4611</v>
      </c>
      <c r="D189" s="14">
        <f>'[1]2026 Orders'!D190</f>
        <v>0</v>
      </c>
      <c r="E189" s="17" t="str" cm="1">
        <f t="array" ref="E189">IF(C189=0,"",
HYPERLINK(
"#'2026 Orders'!C"&amp;
MATCH(1,
('2026 Orders'!C:C=C189)*
('2026 Orders'!G:G=G189)*
('2026 Orders'!N:N=N189),
0),
"Open "&amp;C189
))</f>
        <v>Open A4611</v>
      </c>
      <c r="F189" s="14">
        <f>'[1]2026 Orders'!F190</f>
        <v>0</v>
      </c>
      <c r="G189" s="14" t="str">
        <f>'[1]2026 Orders'!G190</f>
        <v>CAVIN-60-FD</v>
      </c>
      <c r="H189" s="14" t="str" cm="1">
        <f t="array" ref="H189">IFERROR(_xlfn.TEXTJOIN("-",,INDEX(_xlfn.TEXTSPLIT(TableGive[[#This Row],[SKU]],"-"),{1,2})),"")</f>
        <v>CAVIN-60</v>
      </c>
      <c r="I189" s="15" t="str">
        <f>IFERROR(_xlfn.TEXTAFTER(TableGive[[#This Row],[SKU]],"-",-1),"")</f>
        <v>FD</v>
      </c>
      <c r="J189" s="14">
        <f>'[1]2026 Orders'!H190</f>
        <v>12</v>
      </c>
      <c r="K189" t="str">
        <f>'[1]2026 Orders'!I190</f>
        <v>F08-25.0</v>
      </c>
      <c r="L189">
        <f>'[1]2026 Orders'!J190</f>
        <v>12</v>
      </c>
      <c r="N189" s="10" t="str">
        <f>'[1]2026 Orders'!L190</f>
        <v>D/W Sent</v>
      </c>
      <c r="O189">
        <f>'[1]2026 Orders'!M190</f>
        <v>0</v>
      </c>
      <c r="P189">
        <f>'[1]2026 Orders'!N190</f>
        <v>0</v>
      </c>
      <c r="Q189">
        <f>'[1]2026 Orders'!O190</f>
        <v>0</v>
      </c>
      <c r="R189">
        <f>'[1]2026 Orders'!P190</f>
        <v>0</v>
      </c>
      <c r="S189">
        <f>'[1]2026 Orders'!Q190</f>
        <v>0</v>
      </c>
      <c r="T189">
        <f>'[1]2026 Orders'!R190</f>
        <v>0</v>
      </c>
      <c r="U189">
        <f>'[1]2026 Orders'!S190</f>
        <v>0</v>
      </c>
      <c r="V189">
        <f>'[1]2026 Orders'!T190</f>
        <v>0</v>
      </c>
      <c r="W189">
        <f>'[1]2026 Orders'!U190</f>
        <v>0</v>
      </c>
      <c r="X189">
        <f>'[1]2026 Orders'!V190</f>
        <v>0</v>
      </c>
      <c r="Y189">
        <f>'[1]2026 Orders'!W190</f>
        <v>0</v>
      </c>
      <c r="Z189">
        <f>'[1]2026 Orders'!X190</f>
        <v>0</v>
      </c>
      <c r="AC189" t="str">
        <f t="shared" si="4"/>
        <v>/12</v>
      </c>
      <c r="AD189" t="e">
        <f t="shared" si="5"/>
        <v>#VALUE!</v>
      </c>
    </row>
    <row r="190" spans="1:30" ht="33" hidden="1" customHeight="1" x14ac:dyDescent="0.3">
      <c r="A190">
        <f>'[1]2026 Orders'!A191</f>
        <v>46009</v>
      </c>
      <c r="B190" s="14" t="str">
        <f>'[1]2026 Orders'!B191</f>
        <v>Botswana</v>
      </c>
      <c r="C190" s="14" t="str">
        <f>'[1]2026 Orders'!C191</f>
        <v>A4611</v>
      </c>
      <c r="D190" s="14">
        <f>'[1]2026 Orders'!D191</f>
        <v>0</v>
      </c>
      <c r="E190" s="17" t="str" cm="1">
        <f t="array" ref="E190">IF(C190=0,"",
HYPERLINK(
"#'2026 Orders'!C"&amp;
MATCH(1,
('2026 Orders'!C:C=C190)*
('2026 Orders'!G:G=G190)*
('2026 Orders'!N:N=N190),
0),
"Open "&amp;C190
))</f>
        <v>Open A4611</v>
      </c>
      <c r="F190" s="14">
        <f>'[1]2026 Orders'!F191</f>
        <v>0</v>
      </c>
      <c r="G190" s="14" t="str">
        <f>'[1]2026 Orders'!G191</f>
        <v>OME369-90-FD</v>
      </c>
      <c r="H190" s="14" t="str" cm="1">
        <f t="array" ref="H190">IFERROR(_xlfn.TEXTJOIN("-",,INDEX(_xlfn.TEXTSPLIT(TableGive[[#This Row],[SKU]],"-"),{1,2})),"")</f>
        <v>OME369-90</v>
      </c>
      <c r="I190" s="15" t="str">
        <f>IFERROR(_xlfn.TEXTAFTER(TableGive[[#This Row],[SKU]],"-",-1),"")</f>
        <v>FD</v>
      </c>
      <c r="J190" s="14">
        <f>'[1]2026 Orders'!H191</f>
        <v>60</v>
      </c>
      <c r="K190" t="str">
        <f>'[1]2026 Orders'!I191</f>
        <v>F36-22.1</v>
      </c>
      <c r="L190">
        <f>'[1]2026 Orders'!J191</f>
        <v>60</v>
      </c>
      <c r="N190" s="10" t="str">
        <f>'[1]2026 Orders'!L191</f>
        <v>D/W Sent</v>
      </c>
      <c r="O190">
        <f>'[1]2026 Orders'!M191</f>
        <v>0</v>
      </c>
      <c r="P190" t="str">
        <f>'[1]2026 Orders'!N191</f>
        <v>Y</v>
      </c>
      <c r="Q190">
        <f>'[1]2026 Orders'!O191</f>
        <v>609788968511</v>
      </c>
      <c r="R190">
        <f>'[1]2026 Orders'!P191</f>
        <v>0</v>
      </c>
      <c r="S190">
        <f>'[1]2026 Orders'!Q191</f>
        <v>4896</v>
      </c>
      <c r="T190">
        <f>'[1]2026 Orders'!R191</f>
        <v>0</v>
      </c>
      <c r="U190">
        <f>'[1]2026 Orders'!S191</f>
        <v>0</v>
      </c>
      <c r="V190">
        <f>'[1]2026 Orders'!T191</f>
        <v>0</v>
      </c>
      <c r="W190">
        <f>'[1]2026 Orders'!U191</f>
        <v>0</v>
      </c>
      <c r="X190">
        <f>'[1]2026 Orders'!V191</f>
        <v>0</v>
      </c>
      <c r="Y190">
        <f>'[1]2026 Orders'!W191</f>
        <v>0</v>
      </c>
      <c r="Z190">
        <f>'[1]2026 Orders'!X191</f>
        <v>0</v>
      </c>
      <c r="AC190" t="str">
        <f t="shared" si="4"/>
        <v>/60</v>
      </c>
      <c r="AD190" t="e">
        <f t="shared" si="5"/>
        <v>#VALUE!</v>
      </c>
    </row>
    <row r="191" spans="1:30" ht="33" hidden="1" customHeight="1" x14ac:dyDescent="0.3">
      <c r="A191">
        <f>'[1]2026 Orders'!A192</f>
        <v>0</v>
      </c>
      <c r="B191" s="14">
        <f>'[1]2026 Orders'!B192</f>
        <v>0</v>
      </c>
      <c r="C191" s="14">
        <f>'[1]2026 Orders'!C192</f>
        <v>0</v>
      </c>
      <c r="D191" s="14">
        <f>'[1]2026 Orders'!D192</f>
        <v>0</v>
      </c>
      <c r="E191" s="17" t="str" cm="1">
        <f t="array" ref="E191">IF(C191=0,"",
HYPERLINK(
"#'2026 Orders'!C"&amp;
MATCH(1,
('2026 Orders'!C:C=C191)*
('2026 Orders'!G:G=G191)*
('2026 Orders'!N:N=N191),
0),
"Open "&amp;C191
))</f>
        <v/>
      </c>
      <c r="F191" s="14">
        <f>'[1]2026 Orders'!F192</f>
        <v>0</v>
      </c>
      <c r="G191" s="14">
        <f>'[1]2026 Orders'!G192</f>
        <v>0</v>
      </c>
      <c r="H191" s="14" t="str" cm="1">
        <f t="array" ref="H191">IFERROR(_xlfn.TEXTJOIN("-",,INDEX(_xlfn.TEXTSPLIT(TableGive[[#This Row],[SKU]],"-"),{1,2})),"")</f>
        <v/>
      </c>
      <c r="I191" s="15" t="str">
        <f>IFERROR(_xlfn.TEXTAFTER(TableGive[[#This Row],[SKU]],"-",-1),"")</f>
        <v/>
      </c>
      <c r="J191" s="14">
        <f>'[1]2026 Orders'!H192</f>
        <v>0</v>
      </c>
      <c r="K191">
        <f>'[1]2026 Orders'!I192</f>
        <v>0</v>
      </c>
      <c r="L191">
        <f>'[1]2026 Orders'!J192</f>
        <v>0</v>
      </c>
      <c r="N191" s="10">
        <f>'[1]2026 Orders'!L192</f>
        <v>0</v>
      </c>
      <c r="O191">
        <f>'[1]2026 Orders'!M192</f>
        <v>0</v>
      </c>
      <c r="P191">
        <f>'[1]2026 Orders'!N192</f>
        <v>0</v>
      </c>
      <c r="Q191">
        <f>'[1]2026 Orders'!O192</f>
        <v>0</v>
      </c>
      <c r="R191">
        <f>'[1]2026 Orders'!P192</f>
        <v>0</v>
      </c>
      <c r="S191">
        <f>'[1]2026 Orders'!Q192</f>
        <v>0</v>
      </c>
      <c r="T191">
        <f>'[1]2026 Orders'!R192</f>
        <v>0</v>
      </c>
      <c r="U191">
        <f>'[1]2026 Orders'!S192</f>
        <v>0</v>
      </c>
      <c r="V191">
        <f>'[1]2026 Orders'!T192</f>
        <v>0</v>
      </c>
      <c r="W191">
        <f>'[1]2026 Orders'!U192</f>
        <v>0</v>
      </c>
      <c r="X191">
        <f>'[1]2026 Orders'!V192</f>
        <v>0</v>
      </c>
      <c r="Y191">
        <f>'[1]2026 Orders'!W192</f>
        <v>0</v>
      </c>
      <c r="Z191">
        <f>'[1]2026 Orders'!X192</f>
        <v>0</v>
      </c>
      <c r="AC191" t="str">
        <f t="shared" si="4"/>
        <v/>
      </c>
      <c r="AD191" t="str">
        <f t="shared" si="5"/>
        <v/>
      </c>
    </row>
    <row r="192" spans="1:30" ht="33" hidden="1" customHeight="1" x14ac:dyDescent="0.3">
      <c r="A192">
        <f>'[1]2026 Orders'!A193</f>
        <v>46009</v>
      </c>
      <c r="B192" s="14" t="str">
        <f>'[1]2026 Orders'!B193</f>
        <v>Botswana</v>
      </c>
      <c r="C192" s="14" t="str">
        <f>'[1]2026 Orders'!C193</f>
        <v>A4612</v>
      </c>
      <c r="D192" s="14" t="str">
        <f>'[1]2026 Orders'!D193</f>
        <v>Awaiting Import Permit Update</v>
      </c>
      <c r="E192" s="17" t="str" cm="1">
        <f t="array" ref="E192">IF(C192=0,"",
HYPERLINK(
"#'2026 Orders'!C"&amp;
MATCH(1,
('2026 Orders'!C:C=C192)*
('2026 Orders'!G:G=G192)*
('2026 Orders'!N:N=N192),
0),
"Open "&amp;C192
))</f>
        <v>Open A4612</v>
      </c>
      <c r="F192" s="14">
        <f>'[1]2026 Orders'!F193</f>
        <v>0</v>
      </c>
      <c r="G192" s="14" t="str">
        <f>'[1]2026 Orders'!G193</f>
        <v>OSTEOPL-96-FD</v>
      </c>
      <c r="H192" s="14" t="str" cm="1">
        <f t="array" ref="H192">IFERROR(_xlfn.TEXTJOIN("-",,INDEX(_xlfn.TEXTSPLIT(TableGive[[#This Row],[SKU]],"-"),{1,2})),"")</f>
        <v>OSTEOPL-96</v>
      </c>
      <c r="I192" s="15" t="str">
        <f>IFERROR(_xlfn.TEXTAFTER(TableGive[[#This Row],[SKU]],"-",-1),"")</f>
        <v>FD</v>
      </c>
      <c r="J192" s="14">
        <f>'[1]2026 Orders'!H193</f>
        <v>40</v>
      </c>
      <c r="K192" t="str">
        <f>'[1]2026 Orders'!I193</f>
        <v>F39-24.0</v>
      </c>
      <c r="L192">
        <f>'[1]2026 Orders'!J193</f>
        <v>40</v>
      </c>
      <c r="N192" s="10" t="str">
        <f>'[1]2026 Orders'!L193</f>
        <v>D/W Sent</v>
      </c>
      <c r="O192">
        <f>'[1]2026 Orders'!M193</f>
        <v>46094</v>
      </c>
      <c r="P192" t="str">
        <f>'[1]2026 Orders'!N193</f>
        <v>Y</v>
      </c>
      <c r="Q192">
        <f>'[1]2026 Orders'!O193</f>
        <v>609788968238</v>
      </c>
      <c r="R192">
        <f>'[1]2026 Orders'!P193</f>
        <v>0</v>
      </c>
      <c r="S192">
        <f>'[1]2026 Orders'!Q193</f>
        <v>4841</v>
      </c>
      <c r="T192">
        <f>'[1]2026 Orders'!R193</f>
        <v>0</v>
      </c>
      <c r="U192">
        <f>'[1]2026 Orders'!S193</f>
        <v>0</v>
      </c>
      <c r="V192">
        <f>'[1]2026 Orders'!T193</f>
        <v>0</v>
      </c>
      <c r="W192">
        <f>'[1]2026 Orders'!U193</f>
        <v>0</v>
      </c>
      <c r="X192">
        <f>'[1]2026 Orders'!V193</f>
        <v>0</v>
      </c>
      <c r="Y192">
        <f>'[1]2026 Orders'!W193</f>
        <v>0</v>
      </c>
      <c r="Z192" t="str">
        <f>'[1]2026 Orders'!X193</f>
        <v>HOLD</v>
      </c>
      <c r="AC192" t="str">
        <f t="shared" si="4"/>
        <v>/40</v>
      </c>
      <c r="AD192" t="e">
        <f t="shared" si="5"/>
        <v>#VALUE!</v>
      </c>
    </row>
    <row r="193" spans="1:30" ht="33" hidden="1" customHeight="1" x14ac:dyDescent="0.3">
      <c r="A193">
        <f>'[1]2026 Orders'!A194</f>
        <v>46009</v>
      </c>
      <c r="B193" s="14" t="str">
        <f>'[1]2026 Orders'!B194</f>
        <v>Botswana</v>
      </c>
      <c r="C193" s="14" t="str">
        <f>'[1]2026 Orders'!C194</f>
        <v>A4612</v>
      </c>
      <c r="D193" s="14">
        <f>'[1]2026 Orders'!D194</f>
        <v>0</v>
      </c>
      <c r="E193" s="17" t="str" cm="1">
        <f t="array" ref="E193">IF(C193=0,"",
HYPERLINK(
"#'2026 Orders'!C"&amp;
MATCH(1,
('2026 Orders'!C:C=C193)*
('2026 Orders'!G:G=G193)*
('2026 Orders'!N:N=N193),
0),
"Open "&amp;C193
))</f>
        <v>Open A4612</v>
      </c>
      <c r="F193" s="14">
        <f>'[1]2026 Orders'!F194</f>
        <v>0</v>
      </c>
      <c r="G193" s="14" t="str">
        <f>'[1]2026 Orders'!G194</f>
        <v>GINKGO-60-FD</v>
      </c>
      <c r="H193" s="14" t="str" cm="1">
        <f t="array" ref="H193">IFERROR(_xlfn.TEXTJOIN("-",,INDEX(_xlfn.TEXTSPLIT(TableGive[[#This Row],[SKU]],"-"),{1,2})),"")</f>
        <v>GINKGO-60</v>
      </c>
      <c r="I193" s="15" t="str">
        <f>IFERROR(_xlfn.TEXTAFTER(TableGive[[#This Row],[SKU]],"-",-1),"")</f>
        <v>FD</v>
      </c>
      <c r="J193" s="14">
        <f>'[1]2026 Orders'!H194</f>
        <v>50</v>
      </c>
      <c r="K193" t="str">
        <f>'[1]2026 Orders'!I194</f>
        <v>F21-23.0</v>
      </c>
      <c r="L193">
        <f>'[1]2026 Orders'!J194</f>
        <v>50</v>
      </c>
      <c r="N193" s="10" t="str">
        <f>'[1]2026 Orders'!L194</f>
        <v>D/W Sent</v>
      </c>
      <c r="O193">
        <f>'[1]2026 Orders'!M194</f>
        <v>0</v>
      </c>
      <c r="P193" t="str">
        <f>'[1]2026 Orders'!N194</f>
        <v>NA</v>
      </c>
      <c r="Q193">
        <f>'[1]2026 Orders'!O194</f>
        <v>609788968146</v>
      </c>
      <c r="R193">
        <f>'[1]2026 Orders'!P194</f>
        <v>0</v>
      </c>
      <c r="S193">
        <f>'[1]2026 Orders'!Q194</f>
        <v>4791</v>
      </c>
      <c r="T193">
        <f>'[1]2026 Orders'!R194</f>
        <v>0</v>
      </c>
      <c r="U193">
        <f>'[1]2026 Orders'!S194</f>
        <v>0</v>
      </c>
      <c r="V193">
        <f>'[1]2026 Orders'!T194</f>
        <v>0</v>
      </c>
      <c r="W193">
        <f>'[1]2026 Orders'!U194</f>
        <v>0</v>
      </c>
      <c r="X193">
        <f>'[1]2026 Orders'!V194</f>
        <v>0</v>
      </c>
      <c r="Y193">
        <f>'[1]2026 Orders'!W194</f>
        <v>0</v>
      </c>
      <c r="Z193">
        <f>'[1]2026 Orders'!X194</f>
        <v>0</v>
      </c>
      <c r="AC193" t="str">
        <f t="shared" si="4"/>
        <v>/50</v>
      </c>
      <c r="AD193" t="e">
        <f t="shared" si="5"/>
        <v>#VALUE!</v>
      </c>
    </row>
    <row r="194" spans="1:30" ht="33" hidden="1" customHeight="1" x14ac:dyDescent="0.3">
      <c r="A194">
        <f>'[1]2026 Orders'!A195</f>
        <v>46009</v>
      </c>
      <c r="B194" s="14" t="str">
        <f>'[1]2026 Orders'!B195</f>
        <v>Botswana</v>
      </c>
      <c r="C194" s="14" t="str">
        <f>'[1]2026 Orders'!C195</f>
        <v>A4612</v>
      </c>
      <c r="D194" s="14">
        <f>'[1]2026 Orders'!D195</f>
        <v>0</v>
      </c>
      <c r="E194" s="17" t="str" cm="1">
        <f t="array" ref="E194">IF(C194=0,"",
HYPERLINK(
"#'2026 Orders'!C"&amp;
MATCH(1,
('2026 Orders'!C:C=C194)*
('2026 Orders'!G:G=G194)*
('2026 Orders'!N:N=N194),
0),
"Open "&amp;C194
))</f>
        <v>Open A4612</v>
      </c>
      <c r="F194" s="14">
        <f>'[1]2026 Orders'!F195</f>
        <v>0</v>
      </c>
      <c r="G194" s="14" t="str">
        <f>'[1]2026 Orders'!G195</f>
        <v>PROSTA-90-FD</v>
      </c>
      <c r="H194" s="14" t="str" cm="1">
        <f t="array" ref="H194">IFERROR(_xlfn.TEXTJOIN("-",,INDEX(_xlfn.TEXTSPLIT(TableGive[[#This Row],[SKU]],"-"),{1,2})),"")</f>
        <v>PROSTA-90</v>
      </c>
      <c r="I194" s="15" t="str">
        <f>IFERROR(_xlfn.TEXTAFTER(TableGive[[#This Row],[SKU]],"-",-1),"")</f>
        <v>FD</v>
      </c>
      <c r="J194" s="14">
        <f>'[1]2026 Orders'!H195</f>
        <v>40</v>
      </c>
      <c r="K194" t="str">
        <f>'[1]2026 Orders'!I195</f>
        <v>F56-23.0</v>
      </c>
      <c r="L194">
        <f>'[1]2026 Orders'!J195</f>
        <v>40</v>
      </c>
      <c r="N194" s="10" t="str">
        <f>'[1]2026 Orders'!L195</f>
        <v>D/W Sent</v>
      </c>
      <c r="O194">
        <f>'[1]2026 Orders'!M195</f>
        <v>0</v>
      </c>
      <c r="P194" t="str">
        <f>'[1]2026 Orders'!N195</f>
        <v>NA</v>
      </c>
      <c r="Q194">
        <f>'[1]2026 Orders'!O195</f>
        <v>609788968504</v>
      </c>
      <c r="R194">
        <f>'[1]2026 Orders'!P195</f>
        <v>0</v>
      </c>
      <c r="S194">
        <f>'[1]2026 Orders'!Q195</f>
        <v>4802</v>
      </c>
      <c r="T194">
        <f>'[1]2026 Orders'!R195</f>
        <v>0</v>
      </c>
      <c r="U194">
        <f>'[1]2026 Orders'!S195</f>
        <v>0</v>
      </c>
      <c r="V194">
        <f>'[1]2026 Orders'!T195</f>
        <v>0</v>
      </c>
      <c r="W194">
        <f>'[1]2026 Orders'!U195</f>
        <v>0</v>
      </c>
      <c r="X194">
        <f>'[1]2026 Orders'!V195</f>
        <v>0</v>
      </c>
      <c r="Y194">
        <f>'[1]2026 Orders'!W195</f>
        <v>0</v>
      </c>
      <c r="Z194">
        <f>'[1]2026 Orders'!X195</f>
        <v>0</v>
      </c>
      <c r="AC194" t="str">
        <f t="shared" si="4"/>
        <v>/40</v>
      </c>
      <c r="AD194" t="e">
        <f t="shared" si="5"/>
        <v>#VALUE!</v>
      </c>
    </row>
    <row r="195" spans="1:30" ht="33" hidden="1" customHeight="1" x14ac:dyDescent="0.3">
      <c r="A195">
        <f>'[1]2026 Orders'!A196</f>
        <v>46009</v>
      </c>
      <c r="B195" s="14" t="str">
        <f>'[1]2026 Orders'!B196</f>
        <v>Botswana</v>
      </c>
      <c r="C195" s="14" t="str">
        <f>'[1]2026 Orders'!C196</f>
        <v>A4612</v>
      </c>
      <c r="D195" s="14">
        <f>'[1]2026 Orders'!D196</f>
        <v>0</v>
      </c>
      <c r="E195" s="17" t="str" cm="1">
        <f t="array" ref="E195">IF(C195=0,"",
HYPERLINK(
"#'2026 Orders'!C"&amp;
MATCH(1,
('2026 Orders'!C:C=C195)*
('2026 Orders'!G:G=G195)*
('2026 Orders'!N:N=N195),
0),
"Open "&amp;C195
))</f>
        <v>Open A4612</v>
      </c>
      <c r="F195" s="14">
        <f>'[1]2026 Orders'!F196</f>
        <v>0</v>
      </c>
      <c r="G195" s="14" t="str">
        <f>'[1]2026 Orders'!G196</f>
        <v>XTRAD10-60-FD</v>
      </c>
      <c r="H195" s="14" t="str" cm="1">
        <f t="array" ref="H195">IFERROR(_xlfn.TEXTJOIN("-",,INDEX(_xlfn.TEXTSPLIT(TableGive[[#This Row],[SKU]],"-"),{1,2})),"")</f>
        <v>XTRAD10-60</v>
      </c>
      <c r="I195" s="15" t="str">
        <f>IFERROR(_xlfn.TEXTAFTER(TableGive[[#This Row],[SKU]],"-",-1),"")</f>
        <v>FD</v>
      </c>
      <c r="J195" s="14">
        <f>'[1]2026 Orders'!H196</f>
        <v>600</v>
      </c>
      <c r="K195" t="str">
        <f>'[1]2026 Orders'!I196</f>
        <v>F76-25.0</v>
      </c>
      <c r="L195">
        <f>'[1]2026 Orders'!J196</f>
        <v>600</v>
      </c>
      <c r="N195" s="10" t="str">
        <f>'[1]2026 Orders'!L196</f>
        <v>D/W Sent</v>
      </c>
      <c r="O195">
        <f>'[1]2026 Orders'!M196</f>
        <v>0</v>
      </c>
      <c r="P195" t="str">
        <f>'[1]2026 Orders'!N196</f>
        <v>NA</v>
      </c>
      <c r="Q195">
        <f>'[1]2026 Orders'!O196</f>
        <v>609788968122</v>
      </c>
      <c r="R195">
        <f>'[1]2026 Orders'!P196</f>
        <v>0</v>
      </c>
      <c r="S195">
        <f>'[1]2026 Orders'!Q196</f>
        <v>4926</v>
      </c>
      <c r="T195">
        <f>'[1]2026 Orders'!R196</f>
        <v>0</v>
      </c>
      <c r="U195">
        <f>'[1]2026 Orders'!S196</f>
        <v>0</v>
      </c>
      <c r="V195">
        <f>'[1]2026 Orders'!T196</f>
        <v>0</v>
      </c>
      <c r="W195">
        <f>'[1]2026 Orders'!U196</f>
        <v>0</v>
      </c>
      <c r="X195">
        <f>'[1]2026 Orders'!V196</f>
        <v>0</v>
      </c>
      <c r="Y195">
        <f>'[1]2026 Orders'!W196</f>
        <v>0</v>
      </c>
      <c r="Z195">
        <f>'[1]2026 Orders'!X196</f>
        <v>0</v>
      </c>
      <c r="AC195" t="str">
        <f t="shared" ref="AC195:AC258" si="6">IF(OR(B195="",B195=0),"",$AJ$2&amp;"/"&amp;J195)</f>
        <v>/600</v>
      </c>
      <c r="AD195" t="e">
        <f t="shared" ref="AD195:AD258" si="7">IF(OR(J195="",J195=0),"",$AK$2&amp;" -&gt; "&amp;I195)</f>
        <v>#VALUE!</v>
      </c>
    </row>
    <row r="196" spans="1:30" ht="33" hidden="1" customHeight="1" x14ac:dyDescent="0.3">
      <c r="A196">
        <f>'[1]2026 Orders'!A197</f>
        <v>46009</v>
      </c>
      <c r="B196" s="14" t="str">
        <f>'[1]2026 Orders'!B197</f>
        <v>Botswana</v>
      </c>
      <c r="C196" s="14" t="str">
        <f>'[1]2026 Orders'!C197</f>
        <v>A4612</v>
      </c>
      <c r="D196" s="14">
        <f>'[1]2026 Orders'!D197</f>
        <v>0</v>
      </c>
      <c r="E196" s="17" t="str" cm="1">
        <f t="array" ref="E196">IF(C196=0,"",
HYPERLINK(
"#'2026 Orders'!C"&amp;
MATCH(1,
('2026 Orders'!C:C=C196)*
('2026 Orders'!G:G=G196)*
('2026 Orders'!N:N=N196),
0),
"Open "&amp;C196
))</f>
        <v>Open A4612</v>
      </c>
      <c r="F196" s="14">
        <f>'[1]2026 Orders'!F197</f>
        <v>0</v>
      </c>
      <c r="G196" s="14" t="str">
        <f>'[1]2026 Orders'!G197</f>
        <v>MOTILMX-60-FD</v>
      </c>
      <c r="H196" s="14" t="str" cm="1">
        <f t="array" ref="H196">IFERROR(_xlfn.TEXTJOIN("-",,INDEX(_xlfn.TEXTSPLIT(TableGive[[#This Row],[SKU]],"-"),{1,2})),"")</f>
        <v>MOTILMX-60</v>
      </c>
      <c r="I196" s="15" t="str">
        <f>IFERROR(_xlfn.TEXTAFTER(TableGive[[#This Row],[SKU]],"-",-1),"")</f>
        <v>FD</v>
      </c>
      <c r="J196" s="14">
        <f>'[1]2026 Orders'!H197</f>
        <v>20</v>
      </c>
      <c r="K196" t="str">
        <f>'[1]2026 Orders'!I197</f>
        <v>F31-23.0</v>
      </c>
      <c r="L196">
        <f>'[1]2026 Orders'!J197</f>
        <v>20</v>
      </c>
      <c r="N196" s="10" t="str">
        <f>'[1]2026 Orders'!L197</f>
        <v>D/W Sent</v>
      </c>
      <c r="O196">
        <f>'[1]2026 Orders'!M197</f>
        <v>0</v>
      </c>
      <c r="P196" t="str">
        <f>'[1]2026 Orders'!N197</f>
        <v>NA</v>
      </c>
      <c r="Q196">
        <f>'[1]2026 Orders'!O197</f>
        <v>609788968191</v>
      </c>
      <c r="R196">
        <f>'[1]2026 Orders'!P197</f>
        <v>0</v>
      </c>
      <c r="S196">
        <f>'[1]2026 Orders'!Q197</f>
        <v>4848</v>
      </c>
      <c r="T196">
        <f>'[1]2026 Orders'!R197</f>
        <v>0</v>
      </c>
      <c r="U196">
        <f>'[1]2026 Orders'!S197</f>
        <v>0</v>
      </c>
      <c r="V196">
        <f>'[1]2026 Orders'!T197</f>
        <v>0</v>
      </c>
      <c r="W196">
        <f>'[1]2026 Orders'!U197</f>
        <v>0</v>
      </c>
      <c r="X196">
        <f>'[1]2026 Orders'!V197</f>
        <v>0</v>
      </c>
      <c r="Y196">
        <f>'[1]2026 Orders'!W197</f>
        <v>0</v>
      </c>
      <c r="Z196">
        <f>'[1]2026 Orders'!X197</f>
        <v>0</v>
      </c>
      <c r="AC196" t="str">
        <f t="shared" si="6"/>
        <v>/20</v>
      </c>
      <c r="AD196" t="e">
        <f t="shared" si="7"/>
        <v>#VALUE!</v>
      </c>
    </row>
    <row r="197" spans="1:30" ht="33" hidden="1" customHeight="1" x14ac:dyDescent="0.3">
      <c r="A197">
        <f>'[1]2026 Orders'!A198</f>
        <v>46009</v>
      </c>
      <c r="B197" s="14" t="str">
        <f>'[1]2026 Orders'!B198</f>
        <v>Botswana</v>
      </c>
      <c r="C197" s="14" t="str">
        <f>'[1]2026 Orders'!C198</f>
        <v>A4612</v>
      </c>
      <c r="D197" s="14">
        <f>'[1]2026 Orders'!D198</f>
        <v>0</v>
      </c>
      <c r="E197" s="17" t="str" cm="1">
        <f t="array" ref="E197">IF(C197=0,"",
HYPERLINK(
"#'2026 Orders'!C"&amp;
MATCH(1,
('2026 Orders'!C:C=C197)*
('2026 Orders'!G:G=G197)*
('2026 Orders'!N:N=N197),
0),
"Open "&amp;C197
))</f>
        <v>Open A4612</v>
      </c>
      <c r="F197" s="14">
        <f>'[1]2026 Orders'!F198</f>
        <v>0</v>
      </c>
      <c r="G197" s="14" t="str">
        <f>'[1]2026 Orders'!G198</f>
        <v>MFSPLS-120-FD</v>
      </c>
      <c r="H197" s="14" t="str" cm="1">
        <f t="array" ref="H197">IFERROR(_xlfn.TEXTJOIN("-",,INDEX(_xlfn.TEXTSPLIT(TableGive[[#This Row],[SKU]],"-"),{1,2})),"")</f>
        <v>MFSPLS-120</v>
      </c>
      <c r="I197" s="15" t="str">
        <f>IFERROR(_xlfn.TEXTAFTER(TableGive[[#This Row],[SKU]],"-",-1),"")</f>
        <v>FD</v>
      </c>
      <c r="J197" s="14">
        <f>'[1]2026 Orders'!H198</f>
        <v>40</v>
      </c>
      <c r="K197" t="str">
        <f>'[1]2026 Orders'!I198</f>
        <v>F30-25.1</v>
      </c>
      <c r="L197">
        <f>'[1]2026 Orders'!J198</f>
        <v>40</v>
      </c>
      <c r="N197" s="10" t="str">
        <f>'[1]2026 Orders'!L198</f>
        <v>D/W Sent</v>
      </c>
      <c r="O197">
        <f>'[1]2026 Orders'!M198</f>
        <v>0</v>
      </c>
      <c r="P197" t="str">
        <f>'[1]2026 Orders'!N198</f>
        <v>NA</v>
      </c>
      <c r="Q197">
        <f>'[1]2026 Orders'!O198</f>
        <v>609788968344</v>
      </c>
      <c r="R197">
        <f>'[1]2026 Orders'!P198</f>
        <v>0</v>
      </c>
      <c r="S197">
        <f>'[1]2026 Orders'!Q198</f>
        <v>4846</v>
      </c>
      <c r="T197">
        <f>'[1]2026 Orders'!R198</f>
        <v>0</v>
      </c>
      <c r="U197">
        <f>'[1]2026 Orders'!S198</f>
        <v>0</v>
      </c>
      <c r="V197">
        <f>'[1]2026 Orders'!T198</f>
        <v>0</v>
      </c>
      <c r="W197">
        <f>'[1]2026 Orders'!U198</f>
        <v>0</v>
      </c>
      <c r="X197">
        <f>'[1]2026 Orders'!V198</f>
        <v>0</v>
      </c>
      <c r="Y197">
        <f>'[1]2026 Orders'!W198</f>
        <v>0</v>
      </c>
      <c r="Z197">
        <f>'[1]2026 Orders'!X198</f>
        <v>0</v>
      </c>
      <c r="AC197" t="str">
        <f t="shared" si="6"/>
        <v>/40</v>
      </c>
      <c r="AD197" t="e">
        <f t="shared" si="7"/>
        <v>#VALUE!</v>
      </c>
    </row>
    <row r="198" spans="1:30" ht="33" hidden="1" customHeight="1" x14ac:dyDescent="0.3">
      <c r="A198">
        <f>'[1]2026 Orders'!A199</f>
        <v>46009</v>
      </c>
      <c r="B198" s="14" t="str">
        <f>'[1]2026 Orders'!B199</f>
        <v>Botswana</v>
      </c>
      <c r="C198" s="14" t="str">
        <f>'[1]2026 Orders'!C199</f>
        <v>A4612</v>
      </c>
      <c r="D198" s="14">
        <f>'[1]2026 Orders'!D199</f>
        <v>0</v>
      </c>
      <c r="E198" s="17" t="str" cm="1">
        <f t="array" ref="E198">IF(C198=0,"",
HYPERLINK(
"#'2026 Orders'!C"&amp;
MATCH(1,
('2026 Orders'!C:C=C198)*
('2026 Orders'!G:G=G198)*
('2026 Orders'!N:N=N198),
0),
"Open "&amp;C198
))</f>
        <v>Open A4612</v>
      </c>
      <c r="F198" s="14">
        <f>'[1]2026 Orders'!F199</f>
        <v>0</v>
      </c>
      <c r="G198" s="14" t="str">
        <f>'[1]2026 Orders'!G199</f>
        <v>FIBRO-60-FD</v>
      </c>
      <c r="H198" s="14" t="str" cm="1">
        <f t="array" ref="H198">IFERROR(_xlfn.TEXTJOIN("-",,INDEX(_xlfn.TEXTSPLIT(TableGive[[#This Row],[SKU]],"-"),{1,2})),"")</f>
        <v>FIBRO-60</v>
      </c>
      <c r="I198" s="15" t="str">
        <f>IFERROR(_xlfn.TEXTAFTER(TableGive[[#This Row],[SKU]],"-",-1),"")</f>
        <v>FD</v>
      </c>
      <c r="J198" s="14">
        <f>'[1]2026 Orders'!H199</f>
        <v>40</v>
      </c>
      <c r="K198" t="str">
        <f>'[1]2026 Orders'!I199</f>
        <v>F17-25.1</v>
      </c>
      <c r="L198">
        <f>'[1]2026 Orders'!J199</f>
        <v>40</v>
      </c>
      <c r="N198" s="10" t="str">
        <f>'[1]2026 Orders'!L199</f>
        <v>D/W Sent</v>
      </c>
      <c r="O198">
        <f>'[1]2026 Orders'!M199</f>
        <v>0</v>
      </c>
      <c r="P198" t="str">
        <f>'[1]2026 Orders'!N199</f>
        <v>NA</v>
      </c>
      <c r="Q198">
        <f>'[1]2026 Orders'!O199</f>
        <v>609788968498</v>
      </c>
      <c r="R198">
        <f>'[1]2026 Orders'!P199</f>
        <v>0</v>
      </c>
      <c r="S198">
        <f>'[1]2026 Orders'!Q199</f>
        <v>4840</v>
      </c>
      <c r="T198">
        <f>'[1]2026 Orders'!R199</f>
        <v>0</v>
      </c>
      <c r="U198">
        <f>'[1]2026 Orders'!S199</f>
        <v>0</v>
      </c>
      <c r="V198">
        <f>'[1]2026 Orders'!T199</f>
        <v>0</v>
      </c>
      <c r="W198">
        <f>'[1]2026 Orders'!U199</f>
        <v>0</v>
      </c>
      <c r="X198">
        <f>'[1]2026 Orders'!V199</f>
        <v>0</v>
      </c>
      <c r="Y198">
        <f>'[1]2026 Orders'!W199</f>
        <v>0</v>
      </c>
      <c r="Z198">
        <f>'[1]2026 Orders'!X199</f>
        <v>0</v>
      </c>
      <c r="AC198" t="str">
        <f t="shared" si="6"/>
        <v>/40</v>
      </c>
      <c r="AD198" t="e">
        <f t="shared" si="7"/>
        <v>#VALUE!</v>
      </c>
    </row>
    <row r="199" spans="1:30" ht="33" hidden="1" customHeight="1" x14ac:dyDescent="0.3">
      <c r="A199">
        <f>'[1]2026 Orders'!A200</f>
        <v>46009</v>
      </c>
      <c r="B199" s="14" t="str">
        <f>'[1]2026 Orders'!B200</f>
        <v>Botswana</v>
      </c>
      <c r="C199" s="14" t="str">
        <f>'[1]2026 Orders'!C200</f>
        <v>A4612</v>
      </c>
      <c r="D199" s="14">
        <f>'[1]2026 Orders'!D200</f>
        <v>0</v>
      </c>
      <c r="E199" s="17" t="str" cm="1">
        <f t="array" ref="E199">IF(C199=0,"",
HYPERLINK(
"#'2026 Orders'!C"&amp;
MATCH(1,
('2026 Orders'!C:C=C199)*
('2026 Orders'!G:G=G199)*
('2026 Orders'!N:N=N199),
0),
"Open "&amp;C199
))</f>
        <v>Open A4612</v>
      </c>
      <c r="F199" s="14">
        <f>'[1]2026 Orders'!F200</f>
        <v>0</v>
      </c>
      <c r="G199" s="14" t="str">
        <f>'[1]2026 Orders'!G200</f>
        <v>DHEA25-60-FD</v>
      </c>
      <c r="H199" s="14" t="str" cm="1">
        <f t="array" ref="H199">IFERROR(_xlfn.TEXTJOIN("-",,INDEX(_xlfn.TEXTSPLIT(TableGive[[#This Row],[SKU]],"-"),{1,2})),"")</f>
        <v>DHEA25-60</v>
      </c>
      <c r="I199" s="15" t="str">
        <f>IFERROR(_xlfn.TEXTAFTER(TableGive[[#This Row],[SKU]],"-",-1),"")</f>
        <v>FD</v>
      </c>
      <c r="J199" s="14">
        <f>'[1]2026 Orders'!H200</f>
        <v>50</v>
      </c>
      <c r="K199" t="str">
        <f>'[1]2026 Orders'!I200</f>
        <v>F14-25.2</v>
      </c>
      <c r="L199">
        <f>'[1]2026 Orders'!J200</f>
        <v>50</v>
      </c>
      <c r="N199" s="10" t="str">
        <f>'[1]2026 Orders'!L200</f>
        <v>D/W Sent</v>
      </c>
      <c r="O199">
        <f>'[1]2026 Orders'!M200</f>
        <v>0</v>
      </c>
      <c r="P199" t="str">
        <f>'[1]2026 Orders'!N200</f>
        <v>NA</v>
      </c>
      <c r="Q199">
        <f>'[1]2026 Orders'!O200</f>
        <v>609788968153</v>
      </c>
      <c r="R199">
        <f>'[1]2026 Orders'!P200</f>
        <v>0</v>
      </c>
      <c r="S199">
        <f>'[1]2026 Orders'!Q200</f>
        <v>4831</v>
      </c>
      <c r="T199">
        <f>'[1]2026 Orders'!R200</f>
        <v>0</v>
      </c>
      <c r="U199">
        <f>'[1]2026 Orders'!S200</f>
        <v>0</v>
      </c>
      <c r="V199">
        <f>'[1]2026 Orders'!T200</f>
        <v>0</v>
      </c>
      <c r="W199">
        <f>'[1]2026 Orders'!U200</f>
        <v>0</v>
      </c>
      <c r="X199">
        <f>'[1]2026 Orders'!V200</f>
        <v>0</v>
      </c>
      <c r="Y199">
        <f>'[1]2026 Orders'!W200</f>
        <v>0</v>
      </c>
      <c r="Z199">
        <f>'[1]2026 Orders'!X200</f>
        <v>0</v>
      </c>
      <c r="AC199" t="str">
        <f t="shared" si="6"/>
        <v>/50</v>
      </c>
      <c r="AD199" t="e">
        <f t="shared" si="7"/>
        <v>#VALUE!</v>
      </c>
    </row>
    <row r="200" spans="1:30" ht="33" hidden="1" customHeight="1" x14ac:dyDescent="0.3">
      <c r="A200">
        <f>'[1]2026 Orders'!A201</f>
        <v>46009</v>
      </c>
      <c r="B200" s="14" t="str">
        <f>'[1]2026 Orders'!B201</f>
        <v>Botswana</v>
      </c>
      <c r="C200" s="14" t="str">
        <f>'[1]2026 Orders'!C201</f>
        <v>A4612</v>
      </c>
      <c r="D200" s="14">
        <f>'[1]2026 Orders'!D201</f>
        <v>0</v>
      </c>
      <c r="E200" s="17" t="str" cm="1">
        <f t="array" ref="E200">IF(C200=0,"",
HYPERLINK(
"#'2026 Orders'!C"&amp;
MATCH(1,
('2026 Orders'!C:C=C200)*
('2026 Orders'!G:G=G200)*
('2026 Orders'!N:N=N200),
0),
"Open "&amp;C200
))</f>
        <v>Open A4612</v>
      </c>
      <c r="F200" s="14">
        <f>'[1]2026 Orders'!F201</f>
        <v>0</v>
      </c>
      <c r="G200" s="14" t="str">
        <f>'[1]2026 Orders'!G201</f>
        <v>DHEA50-60-FD</v>
      </c>
      <c r="H200" s="14" t="str" cm="1">
        <f t="array" ref="H200">IFERROR(_xlfn.TEXTJOIN("-",,INDEX(_xlfn.TEXTSPLIT(TableGive[[#This Row],[SKU]],"-"),{1,2})),"")</f>
        <v>DHEA50-60</v>
      </c>
      <c r="I200" s="15" t="str">
        <f>IFERROR(_xlfn.TEXTAFTER(TableGive[[#This Row],[SKU]],"-",-1),"")</f>
        <v>FD</v>
      </c>
      <c r="J200" s="14">
        <f>'[1]2026 Orders'!H201</f>
        <v>50</v>
      </c>
      <c r="K200" t="str">
        <f>'[1]2026 Orders'!I201</f>
        <v>F13-25.2</v>
      </c>
      <c r="L200">
        <f>'[1]2026 Orders'!J201</f>
        <v>50</v>
      </c>
      <c r="N200" s="10" t="str">
        <f>'[1]2026 Orders'!L201</f>
        <v>D/W Sent</v>
      </c>
      <c r="O200">
        <f>'[1]2026 Orders'!M201</f>
        <v>0</v>
      </c>
      <c r="P200" t="str">
        <f>'[1]2026 Orders'!N201</f>
        <v>NA</v>
      </c>
      <c r="Q200">
        <f>'[1]2026 Orders'!O201</f>
        <v>609788968221</v>
      </c>
      <c r="R200">
        <f>'[1]2026 Orders'!P201</f>
        <v>0</v>
      </c>
      <c r="S200">
        <f>'[1]2026 Orders'!Q201</f>
        <v>4832</v>
      </c>
      <c r="T200">
        <f>'[1]2026 Orders'!R201</f>
        <v>0</v>
      </c>
      <c r="U200">
        <f>'[1]2026 Orders'!S201</f>
        <v>0</v>
      </c>
      <c r="V200">
        <f>'[1]2026 Orders'!T201</f>
        <v>0</v>
      </c>
      <c r="W200">
        <f>'[1]2026 Orders'!U201</f>
        <v>0</v>
      </c>
      <c r="X200">
        <f>'[1]2026 Orders'!V201</f>
        <v>0</v>
      </c>
      <c r="Y200">
        <f>'[1]2026 Orders'!W201</f>
        <v>0</v>
      </c>
      <c r="Z200">
        <f>'[1]2026 Orders'!X201</f>
        <v>0</v>
      </c>
      <c r="AC200" t="str">
        <f t="shared" si="6"/>
        <v>/50</v>
      </c>
      <c r="AD200" t="e">
        <f t="shared" si="7"/>
        <v>#VALUE!</v>
      </c>
    </row>
    <row r="201" spans="1:30" ht="33" hidden="1" customHeight="1" x14ac:dyDescent="0.3">
      <c r="A201">
        <f>'[1]2026 Orders'!A202</f>
        <v>46009</v>
      </c>
      <c r="B201" s="14" t="str">
        <f>'[1]2026 Orders'!B202</f>
        <v>Botswana</v>
      </c>
      <c r="C201" s="14" t="str">
        <f>'[1]2026 Orders'!C202</f>
        <v>A4612</v>
      </c>
      <c r="D201" s="14">
        <f>'[1]2026 Orders'!D202</f>
        <v>0</v>
      </c>
      <c r="E201" s="17" t="str" cm="1">
        <f t="array" ref="E201">IF(C201=0,"",
HYPERLINK(
"#'2026 Orders'!C"&amp;
MATCH(1,
('2026 Orders'!C:C=C201)*
('2026 Orders'!G:G=G201)*
('2026 Orders'!N:N=N201),
0),
"Open "&amp;C201
))</f>
        <v>Open A4612</v>
      </c>
      <c r="F201" s="14">
        <f>'[1]2026 Orders'!F202</f>
        <v>0</v>
      </c>
      <c r="G201" s="14" t="str">
        <f>'[1]2026 Orders'!G202</f>
        <v>WFSPLS-180-FD</v>
      </c>
      <c r="H201" s="14" t="str" cm="1">
        <f t="array" ref="H201">IFERROR(_xlfn.TEXTJOIN("-",,INDEX(_xlfn.TEXTSPLIT(TableGive[[#This Row],[SKU]],"-"),{1,2})),"")</f>
        <v>WFSPLS-180</v>
      </c>
      <c r="I201" s="15" t="str">
        <f>IFERROR(_xlfn.TEXTAFTER(TableGive[[#This Row],[SKU]],"-",-1),"")</f>
        <v>FD</v>
      </c>
      <c r="J201" s="14">
        <f>'[1]2026 Orders'!H202</f>
        <v>40</v>
      </c>
      <c r="K201" t="str">
        <f>'[1]2026 Orders'!I202</f>
        <v>F73-23.0</v>
      </c>
      <c r="L201">
        <f>'[1]2026 Orders'!J202</f>
        <v>40</v>
      </c>
      <c r="N201" s="10" t="str">
        <f>'[1]2026 Orders'!L202</f>
        <v>D/W Sent</v>
      </c>
      <c r="O201">
        <f>'[1]2026 Orders'!M202</f>
        <v>0</v>
      </c>
      <c r="P201" t="str">
        <f>'[1]2026 Orders'!N202</f>
        <v>NA</v>
      </c>
      <c r="Q201">
        <f>'[1]2026 Orders'!O202</f>
        <v>609788968351</v>
      </c>
      <c r="R201">
        <f>'[1]2026 Orders'!P202</f>
        <v>0</v>
      </c>
      <c r="S201">
        <f>'[1]2026 Orders'!Q202</f>
        <v>4684</v>
      </c>
      <c r="T201">
        <f>'[1]2026 Orders'!R202</f>
        <v>0</v>
      </c>
      <c r="U201">
        <f>'[1]2026 Orders'!S202</f>
        <v>0</v>
      </c>
      <c r="V201">
        <f>'[1]2026 Orders'!T202</f>
        <v>0</v>
      </c>
      <c r="W201">
        <f>'[1]2026 Orders'!U202</f>
        <v>0</v>
      </c>
      <c r="X201">
        <f>'[1]2026 Orders'!V202</f>
        <v>0</v>
      </c>
      <c r="Y201">
        <f>'[1]2026 Orders'!W202</f>
        <v>0</v>
      </c>
      <c r="Z201">
        <f>'[1]2026 Orders'!X202</f>
        <v>0</v>
      </c>
      <c r="AC201" t="str">
        <f t="shared" si="6"/>
        <v>/40</v>
      </c>
      <c r="AD201" t="e">
        <f t="shared" si="7"/>
        <v>#VALUE!</v>
      </c>
    </row>
    <row r="202" spans="1:30" ht="33" hidden="1" customHeight="1" x14ac:dyDescent="0.3">
      <c r="A202">
        <f>'[1]2026 Orders'!A203</f>
        <v>46009</v>
      </c>
      <c r="B202" s="14" t="str">
        <f>'[1]2026 Orders'!B203</f>
        <v>Botswana</v>
      </c>
      <c r="C202" s="14" t="str">
        <f>'[1]2026 Orders'!C203</f>
        <v>A4612</v>
      </c>
      <c r="D202" s="14">
        <f>'[1]2026 Orders'!D203</f>
        <v>0</v>
      </c>
      <c r="E202" s="17" t="str" cm="1">
        <f t="array" ref="E202">IF(C202=0,"",
HYPERLINK(
"#'2026 Orders'!C"&amp;
MATCH(1,
('2026 Orders'!C:C=C202)*
('2026 Orders'!G:G=G202)*
('2026 Orders'!N:N=N202),
0),
"Open "&amp;C202
))</f>
        <v>Open A4612</v>
      </c>
      <c r="F202" s="14">
        <f>'[1]2026 Orders'!F203</f>
        <v>0</v>
      </c>
      <c r="G202" s="14" t="str">
        <f>'[1]2026 Orders'!G203</f>
        <v>SPERMCT-60-FD</v>
      </c>
      <c r="H202" s="14" t="str" cm="1">
        <f t="array" ref="H202">IFERROR(_xlfn.TEXTJOIN("-",,INDEX(_xlfn.TEXTSPLIT(TableGive[[#This Row],[SKU]],"-"),{1,2})),"")</f>
        <v>SPERMCT-60</v>
      </c>
      <c r="I202" s="15" t="str">
        <f>IFERROR(_xlfn.TEXTAFTER(TableGive[[#This Row],[SKU]],"-",-1),"")</f>
        <v>FD</v>
      </c>
      <c r="J202" s="14">
        <f>'[1]2026 Orders'!H203</f>
        <v>20</v>
      </c>
      <c r="K202" t="str">
        <f>'[1]2026 Orders'!I203</f>
        <v>F64-25.0</v>
      </c>
      <c r="L202">
        <f>'[1]2026 Orders'!J203</f>
        <v>20</v>
      </c>
      <c r="N202" s="10" t="str">
        <f>'[1]2026 Orders'!L203</f>
        <v>D/W Sent</v>
      </c>
      <c r="O202">
        <f>'[1]2026 Orders'!M203</f>
        <v>0</v>
      </c>
      <c r="P202" t="str">
        <f>'[1]2026 Orders'!N203</f>
        <v>NA</v>
      </c>
      <c r="Q202">
        <f>'[1]2026 Orders'!O203</f>
        <v>609788968405</v>
      </c>
      <c r="R202">
        <f>'[1]2026 Orders'!P203</f>
        <v>0</v>
      </c>
      <c r="S202">
        <f>'[1]2026 Orders'!Q203</f>
        <v>4850</v>
      </c>
      <c r="T202">
        <f>'[1]2026 Orders'!R203</f>
        <v>0</v>
      </c>
      <c r="U202">
        <f>'[1]2026 Orders'!S203</f>
        <v>0</v>
      </c>
      <c r="V202">
        <f>'[1]2026 Orders'!T203</f>
        <v>0</v>
      </c>
      <c r="W202">
        <f>'[1]2026 Orders'!U203</f>
        <v>0</v>
      </c>
      <c r="X202">
        <f>'[1]2026 Orders'!V203</f>
        <v>0</v>
      </c>
      <c r="Y202">
        <f>'[1]2026 Orders'!W203</f>
        <v>0</v>
      </c>
      <c r="Z202">
        <f>'[1]2026 Orders'!X203</f>
        <v>0</v>
      </c>
      <c r="AC202" t="str">
        <f t="shared" si="6"/>
        <v>/20</v>
      </c>
      <c r="AD202" t="e">
        <f t="shared" si="7"/>
        <v>#VALUE!</v>
      </c>
    </row>
    <row r="203" spans="1:30" ht="33" hidden="1" customHeight="1" x14ac:dyDescent="0.3">
      <c r="A203">
        <f>'[1]2026 Orders'!A204</f>
        <v>46009</v>
      </c>
      <c r="B203" s="14" t="str">
        <f>'[1]2026 Orders'!B204</f>
        <v>Botswana</v>
      </c>
      <c r="C203" s="14" t="str">
        <f>'[1]2026 Orders'!C204</f>
        <v>A4612</v>
      </c>
      <c r="D203" s="14">
        <f>'[1]2026 Orders'!D204</f>
        <v>0</v>
      </c>
      <c r="E203" s="17" t="str" cm="1">
        <f t="array" ref="E203">IF(C203=0,"",
HYPERLINK(
"#'2026 Orders'!C"&amp;
MATCH(1,
('2026 Orders'!C:C=C203)*
('2026 Orders'!G:G=G203)*
('2026 Orders'!N:N=N203),
0),
"Open "&amp;C203
))</f>
        <v>Open A4612</v>
      </c>
      <c r="F203" s="14">
        <f>'[1]2026 Orders'!F204</f>
        <v>0</v>
      </c>
      <c r="G203" s="14" t="str">
        <f>'[1]2026 Orders'!G204</f>
        <v>OVAMAX-120-FD</v>
      </c>
      <c r="H203" s="14" t="str" cm="1">
        <f t="array" ref="H203">IFERROR(_xlfn.TEXTJOIN("-",,INDEX(_xlfn.TEXTSPLIT(TableGive[[#This Row],[SKU]],"-"),{1,2})),"")</f>
        <v>OVAMAX-120</v>
      </c>
      <c r="I203" s="15" t="str">
        <f>IFERROR(_xlfn.TEXTAFTER(TableGive[[#This Row],[SKU]],"-",-1),"")</f>
        <v>FD</v>
      </c>
      <c r="J203" s="14">
        <f>'[1]2026 Orders'!H204</f>
        <v>40</v>
      </c>
      <c r="K203" t="str">
        <f>'[1]2026 Orders'!I204</f>
        <v>F41-25.0</v>
      </c>
      <c r="L203">
        <f>'[1]2026 Orders'!J204</f>
        <v>40</v>
      </c>
      <c r="N203" s="10" t="str">
        <f>'[1]2026 Orders'!L204</f>
        <v>D/W Sent</v>
      </c>
      <c r="O203">
        <f>'[1]2026 Orders'!M204</f>
        <v>0</v>
      </c>
      <c r="P203" t="str">
        <f>'[1]2026 Orders'!N204</f>
        <v>NA</v>
      </c>
      <c r="Q203">
        <f>'[1]2026 Orders'!O204</f>
        <v>810131199586</v>
      </c>
      <c r="R203">
        <f>'[1]2026 Orders'!P204</f>
        <v>0</v>
      </c>
      <c r="S203">
        <f>'[1]2026 Orders'!Q204</f>
        <v>4823</v>
      </c>
      <c r="T203">
        <f>'[1]2026 Orders'!R204</f>
        <v>0</v>
      </c>
      <c r="U203">
        <f>'[1]2026 Orders'!S204</f>
        <v>0</v>
      </c>
      <c r="V203">
        <f>'[1]2026 Orders'!T204</f>
        <v>0</v>
      </c>
      <c r="W203">
        <f>'[1]2026 Orders'!U204</f>
        <v>0</v>
      </c>
      <c r="X203">
        <f>'[1]2026 Orders'!V204</f>
        <v>0</v>
      </c>
      <c r="Y203">
        <f>'[1]2026 Orders'!W204</f>
        <v>0</v>
      </c>
      <c r="Z203">
        <f>'[1]2026 Orders'!X204</f>
        <v>0</v>
      </c>
      <c r="AC203" t="str">
        <f t="shared" si="6"/>
        <v>/40</v>
      </c>
      <c r="AD203" t="e">
        <f t="shared" si="7"/>
        <v>#VALUE!</v>
      </c>
    </row>
    <row r="204" spans="1:30" ht="33" hidden="1" customHeight="1" x14ac:dyDescent="0.3">
      <c r="A204">
        <f>'[1]2026 Orders'!A205</f>
        <v>46009</v>
      </c>
      <c r="B204" s="14" t="str">
        <f>'[1]2026 Orders'!B205</f>
        <v>Botswana</v>
      </c>
      <c r="C204" s="14" t="str">
        <f>'[1]2026 Orders'!C205</f>
        <v>A4612</v>
      </c>
      <c r="D204" s="14">
        <f>'[1]2026 Orders'!D205</f>
        <v>0</v>
      </c>
      <c r="E204" s="17" t="str" cm="1">
        <f t="array" ref="E204">IF(C204=0,"",
HYPERLINK(
"#'2026 Orders'!C"&amp;
MATCH(1,
('2026 Orders'!C:C=C204)*
('2026 Orders'!G:G=G204)*
('2026 Orders'!N:N=N204),
0),
"Open "&amp;C204
))</f>
        <v>Open A4612</v>
      </c>
      <c r="F204" s="14">
        <f>'[1]2026 Orders'!F205</f>
        <v>49241225</v>
      </c>
      <c r="G204" s="14" t="str">
        <f>'[1]2026 Orders'!G205</f>
        <v>CAVIN-60-FD</v>
      </c>
      <c r="H204" s="14" t="str" cm="1">
        <f t="array" ref="H204">IFERROR(_xlfn.TEXTJOIN("-",,INDEX(_xlfn.TEXTSPLIT(TableGive[[#This Row],[SKU]],"-"),{1,2})),"")</f>
        <v>CAVIN-60</v>
      </c>
      <c r="I204" s="15" t="str">
        <f>IFERROR(_xlfn.TEXTAFTER(TableGive[[#This Row],[SKU]],"-",-1),"")</f>
        <v>FD</v>
      </c>
      <c r="J204" s="14">
        <f>'[1]2026 Orders'!H205</f>
        <v>40</v>
      </c>
      <c r="K204" t="str">
        <f>'[1]2026 Orders'!I205</f>
        <v>F08-25.0</v>
      </c>
      <c r="L204">
        <f>'[1]2026 Orders'!J205</f>
        <v>0</v>
      </c>
      <c r="N204" s="10" t="str">
        <f>'[1]2026 Orders'!L205</f>
        <v>D/W Sent</v>
      </c>
      <c r="O204">
        <f>'[1]2026 Orders'!M205</f>
        <v>0</v>
      </c>
      <c r="P204" t="str">
        <f>'[1]2026 Orders'!N205</f>
        <v>NA</v>
      </c>
      <c r="Q204">
        <f>'[1]2026 Orders'!O205</f>
        <v>609788968597</v>
      </c>
      <c r="R204">
        <f>'[1]2026 Orders'!P205</f>
        <v>5000</v>
      </c>
      <c r="S204">
        <f>'[1]2026 Orders'!Q205</f>
        <v>4924</v>
      </c>
      <c r="T204" t="str">
        <f>'[1]2026 Orders'!R205</f>
        <v>complete</v>
      </c>
      <c r="U204">
        <f>'[1]2026 Orders'!S205</f>
        <v>0</v>
      </c>
      <c r="V204">
        <f>'[1]2026 Orders'!T205</f>
        <v>0</v>
      </c>
      <c r="W204">
        <f>'[1]2026 Orders'!U205</f>
        <v>0</v>
      </c>
      <c r="X204">
        <f>'[1]2026 Orders'!V205</f>
        <v>0</v>
      </c>
      <c r="Y204">
        <f>'[1]2026 Orders'!W205</f>
        <v>0</v>
      </c>
      <c r="Z204">
        <f>'[1]2026 Orders'!X205</f>
        <v>0</v>
      </c>
      <c r="AC204" t="str">
        <f t="shared" si="6"/>
        <v>/40</v>
      </c>
      <c r="AD204" t="e">
        <f t="shared" si="7"/>
        <v>#VALUE!</v>
      </c>
    </row>
    <row r="205" spans="1:30" ht="33" hidden="1" customHeight="1" x14ac:dyDescent="0.3">
      <c r="A205">
        <f>'[1]2026 Orders'!A206</f>
        <v>46009</v>
      </c>
      <c r="B205" s="14" t="str">
        <f>'[1]2026 Orders'!B206</f>
        <v>Botswana</v>
      </c>
      <c r="C205" s="14" t="str">
        <f>'[1]2026 Orders'!C206</f>
        <v>A4612</v>
      </c>
      <c r="D205" s="14">
        <f>'[1]2026 Orders'!D206</f>
        <v>0</v>
      </c>
      <c r="E205" s="17" t="str" cm="1">
        <f t="array" ref="E205">IF(C205=0,"",
HYPERLINK(
"#'2026 Orders'!C"&amp;
MATCH(1,
('2026 Orders'!C:C=C205)*
('2026 Orders'!G:G=G205)*
('2026 Orders'!N:N=N205),
0),
"Open "&amp;C205
))</f>
        <v>Open A4612</v>
      </c>
      <c r="F205" s="14">
        <f>'[1]2026 Orders'!F206</f>
        <v>0</v>
      </c>
      <c r="G205" s="14" t="str">
        <f>'[1]2026 Orders'!G206</f>
        <v>FERTMX-90-RE</v>
      </c>
      <c r="H205" s="14" t="str" cm="1">
        <f t="array" ref="H205">IFERROR(_xlfn.TEXTJOIN("-",,INDEX(_xlfn.TEXTSPLIT(TableGive[[#This Row],[SKU]],"-"),{1,2})),"")</f>
        <v>FERTMX-90</v>
      </c>
      <c r="I205" s="15" t="str">
        <f>IFERROR(_xlfn.TEXTAFTER(TableGive[[#This Row],[SKU]],"-",-1),"")</f>
        <v>RE</v>
      </c>
      <c r="J205" s="14">
        <f>'[1]2026 Orders'!H206</f>
        <v>40</v>
      </c>
      <c r="K205" t="str">
        <f>'[1]2026 Orders'!I206</f>
        <v>R16-22.0</v>
      </c>
      <c r="L205">
        <f>'[1]2026 Orders'!J206</f>
        <v>40</v>
      </c>
      <c r="N205" s="10" t="str">
        <f>'[1]2026 Orders'!L206</f>
        <v>D/W Sent</v>
      </c>
      <c r="O205">
        <f>'[1]2026 Orders'!M206</f>
        <v>0</v>
      </c>
      <c r="P205" t="str">
        <f>'[1]2026 Orders'!N206</f>
        <v>Y</v>
      </c>
      <c r="Q205">
        <f>'[1]2026 Orders'!O206</f>
        <v>604776736561</v>
      </c>
      <c r="R205">
        <f>'[1]2026 Orders'!P206</f>
        <v>0</v>
      </c>
      <c r="S205">
        <f>'[1]2026 Orders'!Q206</f>
        <v>4834</v>
      </c>
      <c r="T205">
        <f>'[1]2026 Orders'!R206</f>
        <v>0</v>
      </c>
      <c r="U205">
        <f>'[1]2026 Orders'!S206</f>
        <v>0</v>
      </c>
      <c r="V205">
        <f>'[1]2026 Orders'!T206</f>
        <v>0</v>
      </c>
      <c r="W205">
        <f>'[1]2026 Orders'!U206</f>
        <v>0</v>
      </c>
      <c r="X205">
        <f>'[1]2026 Orders'!V206</f>
        <v>0</v>
      </c>
      <c r="Y205">
        <f>'[1]2026 Orders'!W206</f>
        <v>0</v>
      </c>
      <c r="Z205">
        <f>'[1]2026 Orders'!X206</f>
        <v>0</v>
      </c>
      <c r="AC205" t="str">
        <f t="shared" si="6"/>
        <v>/40</v>
      </c>
      <c r="AD205" t="e">
        <f t="shared" si="7"/>
        <v>#VALUE!</v>
      </c>
    </row>
    <row r="206" spans="1:30" ht="33" hidden="1" customHeight="1" x14ac:dyDescent="0.3">
      <c r="A206">
        <f>'[1]2026 Orders'!A207</f>
        <v>46009</v>
      </c>
      <c r="B206" s="14" t="str">
        <f>'[1]2026 Orders'!B207</f>
        <v>Botswana</v>
      </c>
      <c r="C206" s="14" t="str">
        <f>'[1]2026 Orders'!C207</f>
        <v>A4612</v>
      </c>
      <c r="D206" s="14">
        <f>'[1]2026 Orders'!D207</f>
        <v>0</v>
      </c>
      <c r="E206" s="17" t="str" cm="1">
        <f t="array" ref="E206">IF(C206=0,"",
HYPERLINK(
"#'2026 Orders'!C"&amp;
MATCH(1,
('2026 Orders'!C:C=C206)*
('2026 Orders'!G:G=G206)*
('2026 Orders'!N:N=N206),
0),
"Open "&amp;C206
))</f>
        <v>Open A4612</v>
      </c>
      <c r="F206" s="14">
        <f>'[1]2026 Orders'!F207</f>
        <v>0</v>
      </c>
      <c r="G206" s="14" t="str">
        <f>'[1]2026 Orders'!G207</f>
        <v>OME369-90-FD</v>
      </c>
      <c r="H206" s="14" t="str" cm="1">
        <f t="array" ref="H206">IFERROR(_xlfn.TEXTJOIN("-",,INDEX(_xlfn.TEXTSPLIT(TableGive[[#This Row],[SKU]],"-"),{1,2})),"")</f>
        <v>OME369-90</v>
      </c>
      <c r="I206" s="15" t="str">
        <f>IFERROR(_xlfn.TEXTAFTER(TableGive[[#This Row],[SKU]],"-",-1),"")</f>
        <v>FD</v>
      </c>
      <c r="J206" s="14">
        <f>'[1]2026 Orders'!H207</f>
        <v>120</v>
      </c>
      <c r="K206" t="str">
        <f>'[1]2026 Orders'!I207</f>
        <v>F36-22.1</v>
      </c>
      <c r="L206">
        <f>'[1]2026 Orders'!J207</f>
        <v>120</v>
      </c>
      <c r="N206" s="10" t="str">
        <f>'[1]2026 Orders'!L207</f>
        <v>D/W Sent</v>
      </c>
      <c r="O206">
        <f>'[1]2026 Orders'!M207</f>
        <v>0</v>
      </c>
      <c r="P206" t="str">
        <f>'[1]2026 Orders'!N207</f>
        <v>Y</v>
      </c>
      <c r="Q206">
        <f>'[1]2026 Orders'!O207</f>
        <v>609788968511</v>
      </c>
      <c r="R206">
        <f>'[1]2026 Orders'!P207</f>
        <v>0</v>
      </c>
      <c r="S206">
        <f>'[1]2026 Orders'!Q207</f>
        <v>4896</v>
      </c>
      <c r="T206">
        <f>'[1]2026 Orders'!R207</f>
        <v>0</v>
      </c>
      <c r="U206">
        <f>'[1]2026 Orders'!S207</f>
        <v>0</v>
      </c>
      <c r="V206">
        <f>'[1]2026 Orders'!T207</f>
        <v>0</v>
      </c>
      <c r="W206">
        <f>'[1]2026 Orders'!U207</f>
        <v>0</v>
      </c>
      <c r="X206">
        <f>'[1]2026 Orders'!V207</f>
        <v>0</v>
      </c>
      <c r="Y206">
        <f>'[1]2026 Orders'!W207</f>
        <v>0</v>
      </c>
      <c r="Z206">
        <f>'[1]2026 Orders'!X207</f>
        <v>0</v>
      </c>
      <c r="AC206" t="str">
        <f t="shared" si="6"/>
        <v>/120</v>
      </c>
      <c r="AD206" t="e">
        <f t="shared" si="7"/>
        <v>#VALUE!</v>
      </c>
    </row>
    <row r="207" spans="1:30" ht="33" hidden="1" customHeight="1" x14ac:dyDescent="0.3">
      <c r="A207">
        <f>'[1]2026 Orders'!A208</f>
        <v>46009</v>
      </c>
      <c r="B207" s="14" t="str">
        <f>'[1]2026 Orders'!B208</f>
        <v>Botswana</v>
      </c>
      <c r="C207" s="14" t="str">
        <f>'[1]2026 Orders'!C208</f>
        <v>A4612</v>
      </c>
      <c r="D207" s="14">
        <f>'[1]2026 Orders'!D208</f>
        <v>0</v>
      </c>
      <c r="E207" s="17" t="str" cm="1">
        <f t="array" ref="E207">IF(C207=0,"",
HYPERLINK(
"#'2026 Orders'!C"&amp;
MATCH(1,
('2026 Orders'!C:C=C207)*
('2026 Orders'!G:G=G207)*
('2026 Orders'!N:N=N207),
0),
"Open "&amp;C207
))</f>
        <v>Open A4612</v>
      </c>
      <c r="F207" s="14">
        <f>'[1]2026 Orders'!F208</f>
        <v>0</v>
      </c>
      <c r="G207" s="14" t="str">
        <f>'[1]2026 Orders'!G208</f>
        <v>PRECON-90-FD</v>
      </c>
      <c r="H207" s="14" t="str" cm="1">
        <f t="array" ref="H207">IFERROR(_xlfn.TEXTJOIN("-",,INDEX(_xlfn.TEXTSPLIT(TableGive[[#This Row],[SKU]],"-"),{1,2})),"")</f>
        <v>PRECON-90</v>
      </c>
      <c r="I207" s="15" t="str">
        <f>IFERROR(_xlfn.TEXTAFTER(TableGive[[#This Row],[SKU]],"-",-1),"")</f>
        <v>FD</v>
      </c>
      <c r="J207" s="14">
        <f>'[1]2026 Orders'!H208</f>
        <v>40</v>
      </c>
      <c r="K207" t="str">
        <f>'[1]2026 Orders'!I208</f>
        <v>F54-23.0</v>
      </c>
      <c r="L207">
        <f>'[1]2026 Orders'!J208</f>
        <v>40</v>
      </c>
      <c r="N207" s="10" t="str">
        <f>'[1]2026 Orders'!L208</f>
        <v>D/W Sent</v>
      </c>
      <c r="O207">
        <f>'[1]2026 Orders'!M208</f>
        <v>0</v>
      </c>
      <c r="P207" t="str">
        <f>'[1]2026 Orders'!N208</f>
        <v>NA</v>
      </c>
      <c r="Q207">
        <f>'[1]2026 Orders'!O208</f>
        <v>609788968368</v>
      </c>
      <c r="R207">
        <f>'[1]2026 Orders'!P208</f>
        <v>0</v>
      </c>
      <c r="S207">
        <f>'[1]2026 Orders'!Q208</f>
        <v>4851</v>
      </c>
      <c r="T207">
        <f>'[1]2026 Orders'!R208</f>
        <v>0</v>
      </c>
      <c r="U207">
        <f>'[1]2026 Orders'!S208</f>
        <v>0</v>
      </c>
      <c r="V207">
        <f>'[1]2026 Orders'!T208</f>
        <v>0</v>
      </c>
      <c r="W207">
        <f>'[1]2026 Orders'!U208</f>
        <v>0</v>
      </c>
      <c r="X207">
        <f>'[1]2026 Orders'!V208</f>
        <v>0</v>
      </c>
      <c r="Y207">
        <f>'[1]2026 Orders'!W208</f>
        <v>0</v>
      </c>
      <c r="Z207">
        <f>'[1]2026 Orders'!X208</f>
        <v>0</v>
      </c>
      <c r="AC207" t="str">
        <f t="shared" si="6"/>
        <v>/40</v>
      </c>
      <c r="AD207" t="e">
        <f t="shared" si="7"/>
        <v>#VALUE!</v>
      </c>
    </row>
    <row r="208" spans="1:30" ht="33" hidden="1" customHeight="1" x14ac:dyDescent="0.3">
      <c r="A208">
        <f>'[1]2026 Orders'!A209</f>
        <v>46009</v>
      </c>
      <c r="B208" s="14" t="str">
        <f>'[1]2026 Orders'!B209</f>
        <v>Botswana</v>
      </c>
      <c r="C208" s="14" t="str">
        <f>'[1]2026 Orders'!C209</f>
        <v>A4612</v>
      </c>
      <c r="D208" s="14">
        <f>'[1]2026 Orders'!D209</f>
        <v>0</v>
      </c>
      <c r="E208" s="17" t="str" cm="1">
        <f t="array" ref="E208">IF(C208=0,"",
HYPERLINK(
"#'2026 Orders'!C"&amp;
MATCH(1,
('2026 Orders'!C:C=C208)*
('2026 Orders'!G:G=G208)*
('2026 Orders'!N:N=N208),
0),
"Open "&amp;C208
))</f>
        <v>Open A4612</v>
      </c>
      <c r="F208" s="14">
        <f>'[1]2026 Orders'!F209</f>
        <v>0</v>
      </c>
      <c r="G208" s="14" t="str">
        <f>'[1]2026 Orders'!G209</f>
        <v>PRECON-180-FD</v>
      </c>
      <c r="H208" s="14" t="str" cm="1">
        <f t="array" ref="H208">IFERROR(_xlfn.TEXTJOIN("-",,INDEX(_xlfn.TEXTSPLIT(TableGive[[#This Row],[SKU]],"-"),{1,2})),"")</f>
        <v>PRECON-180</v>
      </c>
      <c r="I208" s="15" t="str">
        <f>IFERROR(_xlfn.TEXTAFTER(TableGive[[#This Row],[SKU]],"-",-1),"")</f>
        <v>FD</v>
      </c>
      <c r="J208" s="14">
        <f>'[1]2026 Orders'!H209</f>
        <v>40</v>
      </c>
      <c r="K208" t="str">
        <f>'[1]2026 Orders'!I209</f>
        <v>F55-22.2</v>
      </c>
      <c r="L208">
        <f>'[1]2026 Orders'!J209</f>
        <v>40</v>
      </c>
      <c r="N208" s="10" t="str">
        <f>'[1]2026 Orders'!L209</f>
        <v>D/W Sent</v>
      </c>
      <c r="O208">
        <f>'[1]2026 Orders'!M209</f>
        <v>0</v>
      </c>
      <c r="P208" t="str">
        <f>'[1]2026 Orders'!N209</f>
        <v>NA</v>
      </c>
      <c r="Q208">
        <f>'[1]2026 Orders'!O209</f>
        <v>609788968375</v>
      </c>
      <c r="R208">
        <f>'[1]2026 Orders'!P209</f>
        <v>0</v>
      </c>
      <c r="S208">
        <f>'[1]2026 Orders'!Q209</f>
        <v>4849</v>
      </c>
      <c r="T208">
        <f>'[1]2026 Orders'!R209</f>
        <v>0</v>
      </c>
      <c r="U208">
        <f>'[1]2026 Orders'!S209</f>
        <v>0</v>
      </c>
      <c r="V208">
        <f>'[1]2026 Orders'!T209</f>
        <v>0</v>
      </c>
      <c r="W208">
        <f>'[1]2026 Orders'!U209</f>
        <v>0</v>
      </c>
      <c r="X208">
        <f>'[1]2026 Orders'!V209</f>
        <v>0</v>
      </c>
      <c r="Y208">
        <f>'[1]2026 Orders'!W209</f>
        <v>0</v>
      </c>
      <c r="Z208">
        <f>'[1]2026 Orders'!X209</f>
        <v>0</v>
      </c>
      <c r="AC208" t="str">
        <f t="shared" si="6"/>
        <v>/40</v>
      </c>
      <c r="AD208" t="e">
        <f t="shared" si="7"/>
        <v>#VALUE!</v>
      </c>
    </row>
    <row r="209" spans="1:30" ht="33" hidden="1" customHeight="1" x14ac:dyDescent="0.3">
      <c r="A209">
        <f>'[1]2026 Orders'!A210</f>
        <v>46009</v>
      </c>
      <c r="B209" s="14" t="str">
        <f>'[1]2026 Orders'!B210</f>
        <v>Botswana</v>
      </c>
      <c r="C209" s="14" t="str">
        <f>'[1]2026 Orders'!C210</f>
        <v>A4612</v>
      </c>
      <c r="D209" s="14">
        <f>'[1]2026 Orders'!D210</f>
        <v>0</v>
      </c>
      <c r="E209" s="17" t="str" cm="1">
        <f t="array" ref="E209">IF(C209=0,"",
HYPERLINK(
"#'2026 Orders'!C"&amp;
MATCH(1,
('2026 Orders'!C:C=C209)*
('2026 Orders'!G:G=G209)*
('2026 Orders'!N:N=N209),
0),
"Open "&amp;C209
))</f>
        <v>Open A4612</v>
      </c>
      <c r="F209" s="14">
        <f>'[1]2026 Orders'!F210</f>
        <v>0</v>
      </c>
      <c r="G209" s="14" t="str">
        <f>'[1]2026 Orders'!G210</f>
        <v>PENAMAX-60-GE-FD</v>
      </c>
      <c r="H209" s="14" t="str" cm="1">
        <f t="array" ref="H209">IFERROR(_xlfn.TEXTJOIN("-",,INDEX(_xlfn.TEXTSPLIT(TableGive[[#This Row],[SKU]],"-"),{1,2})),"")</f>
        <v>PENAMAX-60</v>
      </c>
      <c r="I209" s="15" t="str">
        <f>IFERROR(_xlfn.TEXTAFTER(TableGive[[#This Row],[SKU]],"-",-1),"")</f>
        <v>FD</v>
      </c>
      <c r="J209" s="14">
        <f>'[1]2026 Orders'!H210</f>
        <v>20</v>
      </c>
      <c r="K209" t="str">
        <f>'[1]2026 Orders'!I210</f>
        <v>F88-25.1</v>
      </c>
      <c r="L209">
        <f>'[1]2026 Orders'!J210</f>
        <v>20</v>
      </c>
      <c r="N209" s="10" t="str">
        <f>'[1]2026 Orders'!L210</f>
        <v>D/W Sent</v>
      </c>
      <c r="O209">
        <f>'[1]2026 Orders'!M210</f>
        <v>0</v>
      </c>
      <c r="P209" t="str">
        <f>'[1]2026 Orders'!N210</f>
        <v>Y</v>
      </c>
      <c r="Q209">
        <f>'[1]2026 Orders'!O210</f>
        <v>604776738824</v>
      </c>
      <c r="R209">
        <f>'[1]2026 Orders'!P210</f>
        <v>0</v>
      </c>
      <c r="S209">
        <f>'[1]2026 Orders'!Q210</f>
        <v>4805</v>
      </c>
      <c r="T209">
        <f>'[1]2026 Orders'!R210</f>
        <v>0</v>
      </c>
      <c r="U209">
        <f>'[1]2026 Orders'!S210</f>
        <v>0</v>
      </c>
      <c r="V209">
        <f>'[1]2026 Orders'!T210</f>
        <v>0</v>
      </c>
      <c r="W209">
        <f>'[1]2026 Orders'!U210</f>
        <v>0</v>
      </c>
      <c r="X209">
        <f>'[1]2026 Orders'!V210</f>
        <v>0</v>
      </c>
      <c r="Y209">
        <f>'[1]2026 Orders'!W210</f>
        <v>0</v>
      </c>
      <c r="Z209">
        <f>'[1]2026 Orders'!X210</f>
        <v>0</v>
      </c>
      <c r="AC209" t="str">
        <f t="shared" si="6"/>
        <v>/20</v>
      </c>
      <c r="AD209" t="e">
        <f t="shared" si="7"/>
        <v>#VALUE!</v>
      </c>
    </row>
    <row r="210" spans="1:30" ht="33" hidden="1" customHeight="1" x14ac:dyDescent="0.3">
      <c r="A210">
        <f>'[1]2026 Orders'!A211</f>
        <v>46009</v>
      </c>
      <c r="B210" s="14" t="str">
        <f>'[1]2026 Orders'!B211</f>
        <v>Botswana</v>
      </c>
      <c r="C210" s="14" t="str">
        <f>'[1]2026 Orders'!C211</f>
        <v>A4612</v>
      </c>
      <c r="D210" s="14">
        <f>'[1]2026 Orders'!D211</f>
        <v>0</v>
      </c>
      <c r="E210" s="17" t="e" cm="1">
        <f t="array" ref="E210">IF(C210=0,"",
HYPERLINK(
"#'2026 Orders'!C"&amp;
MATCH(1,
('2026 Orders'!C:C=C210)*
('2026 Orders'!G:G=G210)*
('2026 Orders'!N:N=N210),
0),
"Open "&amp;C210
))</f>
        <v>#N/A</v>
      </c>
      <c r="F210" s="14">
        <f>'[1]2026 Orders'!F211</f>
        <v>0</v>
      </c>
      <c r="G210" s="14" t="str">
        <f>'[1]2026 Orders'!G211</f>
        <v>PROSTA-90-FD</v>
      </c>
      <c r="H210" s="14" t="str" cm="1">
        <f t="array" ref="H210">IFERROR(_xlfn.TEXTJOIN("-",,INDEX(_xlfn.TEXTSPLIT(TableGive[[#This Row],[SKU]],"-"),{1,2})),"")</f>
        <v>PROSTA-90</v>
      </c>
      <c r="I210" s="15" t="str">
        <f>IFERROR(_xlfn.TEXTAFTER(TableGive[[#This Row],[SKU]],"-",-1),"")</f>
        <v>FD</v>
      </c>
      <c r="J210" s="14">
        <f>'[1]2026 Orders'!H211</f>
        <v>40</v>
      </c>
      <c r="K210" t="str">
        <f>'[1]2026 Orders'!I211</f>
        <v>F56-23.0</v>
      </c>
      <c r="L210">
        <f>'[1]2026 Orders'!J211</f>
        <v>40</v>
      </c>
      <c r="N210" s="10">
        <f>'[1]2026 Orders'!L211</f>
        <v>0</v>
      </c>
      <c r="O210">
        <f>'[1]2026 Orders'!M211</f>
        <v>0</v>
      </c>
      <c r="P210" t="str">
        <f>'[1]2026 Orders'!N211</f>
        <v>NA</v>
      </c>
      <c r="Q210">
        <f>'[1]2026 Orders'!O211</f>
        <v>609788968504</v>
      </c>
      <c r="R210">
        <f>'[1]2026 Orders'!P211</f>
        <v>0</v>
      </c>
      <c r="S210">
        <f>'[1]2026 Orders'!Q211</f>
        <v>4802</v>
      </c>
      <c r="T210">
        <f>'[1]2026 Orders'!R211</f>
        <v>0</v>
      </c>
      <c r="U210">
        <f>'[1]2026 Orders'!S211</f>
        <v>0</v>
      </c>
      <c r="V210">
        <f>'[1]2026 Orders'!T211</f>
        <v>0</v>
      </c>
      <c r="W210">
        <f>'[1]2026 Orders'!U211</f>
        <v>0</v>
      </c>
      <c r="X210">
        <f>'[1]2026 Orders'!V211</f>
        <v>0</v>
      </c>
      <c r="Y210">
        <f>'[1]2026 Orders'!W211</f>
        <v>0</v>
      </c>
      <c r="Z210">
        <f>'[1]2026 Orders'!X211</f>
        <v>0</v>
      </c>
      <c r="AC210" t="str">
        <f t="shared" si="6"/>
        <v>/40</v>
      </c>
      <c r="AD210" t="e">
        <f t="shared" si="7"/>
        <v>#VALUE!</v>
      </c>
    </row>
    <row r="211" spans="1:30" ht="33" hidden="1" customHeight="1" x14ac:dyDescent="0.3">
      <c r="A211">
        <f>'[1]2026 Orders'!A212</f>
        <v>46009</v>
      </c>
      <c r="B211" s="14" t="str">
        <f>'[1]2026 Orders'!B212</f>
        <v>Georgia</v>
      </c>
      <c r="C211" s="14" t="str">
        <f>'[1]2026 Orders'!C212</f>
        <v>A4625</v>
      </c>
      <c r="D211" s="14">
        <f>'[1]2026 Orders'!D212</f>
        <v>0</v>
      </c>
      <c r="E211" s="17" t="str" cm="1">
        <f t="array" ref="E211">IF(C211=0,"",
HYPERLINK(
"#'2026 Orders'!C"&amp;
MATCH(1,
('2026 Orders'!C:C=C211)*
('2026 Orders'!G:G=G211)*
('2026 Orders'!N:N=N211),
0),
"Open "&amp;C211
))</f>
        <v>Open A4625</v>
      </c>
      <c r="F211" s="14" t="str">
        <f>'[1]2026 Orders'!F212</f>
        <v>( l-argine ) 
1/15/2025 moved to back order</v>
      </c>
      <c r="G211" s="14" t="str">
        <f>'[1]2026 Orders'!G212</f>
        <v>ARGI-100-CS-GE</v>
      </c>
      <c r="H211" s="14" t="str" cm="1">
        <f t="array" ref="H211">IFERROR(_xlfn.TEXTJOIN("-",,INDEX(_xlfn.TEXTSPLIT(TableGive[[#This Row],[SKU]],"-"),{1,2})),"")</f>
        <v>ARGI-100</v>
      </c>
      <c r="I211" s="15" t="str">
        <f>IFERROR(_xlfn.TEXTAFTER(TableGive[[#This Row],[SKU]],"-",-1),"")</f>
        <v>GE</v>
      </c>
      <c r="J211" s="14">
        <f>'[1]2026 Orders'!H212</f>
        <v>239</v>
      </c>
      <c r="K211" t="str">
        <f>'[1]2026 Orders'!I212</f>
        <v>GO25-21.0</v>
      </c>
      <c r="L211">
        <f>'[1]2026 Orders'!J212</f>
        <v>0</v>
      </c>
      <c r="N211" s="10" t="str">
        <f>'[1]2026 Orders'!L212</f>
        <v>In Production</v>
      </c>
      <c r="O211">
        <f>'[1]2026 Orders'!M212</f>
        <v>0</v>
      </c>
      <c r="P211" t="str">
        <f>'[1]2026 Orders'!N212</f>
        <v>NA</v>
      </c>
      <c r="Q211">
        <f>'[1]2026 Orders'!O212</f>
        <v>604776738657</v>
      </c>
      <c r="R211">
        <f>'[1]2026 Orders'!P212</f>
        <v>2000</v>
      </c>
      <c r="S211">
        <f>'[1]2026 Orders'!Q212</f>
        <v>4998</v>
      </c>
      <c r="T211">
        <f>'[1]2026 Orders'!R212</f>
        <v>46198</v>
      </c>
      <c r="U211">
        <f>'[1]2026 Orders'!S212</f>
        <v>0</v>
      </c>
      <c r="V211">
        <f>'[1]2026 Orders'!T212</f>
        <v>0</v>
      </c>
      <c r="W211">
        <f>'[1]2026 Orders'!U212</f>
        <v>0</v>
      </c>
      <c r="X211">
        <f>'[1]2026 Orders'!V212</f>
        <v>0</v>
      </c>
      <c r="Y211">
        <f>'[1]2026 Orders'!W212</f>
        <v>0</v>
      </c>
      <c r="Z211" t="str">
        <f>'[1]2026 Orders'!X212</f>
        <v>HOLD</v>
      </c>
      <c r="AC211" t="str">
        <f t="shared" si="6"/>
        <v>/239</v>
      </c>
      <c r="AD211" t="e">
        <f t="shared" si="7"/>
        <v>#VALUE!</v>
      </c>
    </row>
    <row r="212" spans="1:30" ht="33" hidden="1" customHeight="1" x14ac:dyDescent="0.3">
      <c r="A212">
        <f>'[1]2026 Orders'!A213</f>
        <v>46009</v>
      </c>
      <c r="B212" s="14" t="str">
        <f>'[1]2026 Orders'!B213</f>
        <v>Botswana</v>
      </c>
      <c r="C212" s="14" t="str">
        <f>'[1]2026 Orders'!C213</f>
        <v>A4612</v>
      </c>
      <c r="D212" s="14">
        <f>'[1]2026 Orders'!D213</f>
        <v>0</v>
      </c>
      <c r="E212" s="17" t="e" cm="1">
        <f t="array" ref="E212">IF(C212=0,"",
HYPERLINK(
"#'2026 Orders'!C"&amp;
MATCH(1,
('2026 Orders'!C:C=C212)*
('2026 Orders'!G:G=G212)*
('2026 Orders'!N:N=N212),
0),
"Open "&amp;C212
))</f>
        <v>#N/A</v>
      </c>
      <c r="F212" s="14">
        <f>'[1]2026 Orders'!F213</f>
        <v>0</v>
      </c>
      <c r="G212" s="14" t="str">
        <f>'[1]2026 Orders'!G213</f>
        <v>MOTILMX-60-FD</v>
      </c>
      <c r="H212" s="14" t="str" cm="1">
        <f t="array" ref="H212">IFERROR(_xlfn.TEXTJOIN("-",,INDEX(_xlfn.TEXTSPLIT(TableGive[[#This Row],[SKU]],"-"),{1,2})),"")</f>
        <v>MOTILMX-60</v>
      </c>
      <c r="I212" s="15" t="str">
        <f>IFERROR(_xlfn.TEXTAFTER(TableGive[[#This Row],[SKU]],"-",-1),"")</f>
        <v>FD</v>
      </c>
      <c r="J212" s="14">
        <f>'[1]2026 Orders'!H213</f>
        <v>20</v>
      </c>
      <c r="K212" t="str">
        <f>'[1]2026 Orders'!I213</f>
        <v>F31-23.0</v>
      </c>
      <c r="L212">
        <f>'[1]2026 Orders'!J213</f>
        <v>20</v>
      </c>
      <c r="N212" s="10">
        <f>'[1]2026 Orders'!L213</f>
        <v>0</v>
      </c>
      <c r="O212">
        <f>'[1]2026 Orders'!M213</f>
        <v>0</v>
      </c>
      <c r="P212" t="str">
        <f>'[1]2026 Orders'!N213</f>
        <v>NA</v>
      </c>
      <c r="Q212">
        <f>'[1]2026 Orders'!O213</f>
        <v>609788968191</v>
      </c>
      <c r="R212">
        <f>'[1]2026 Orders'!P213</f>
        <v>0</v>
      </c>
      <c r="S212">
        <f>'[1]2026 Orders'!Q213</f>
        <v>4848</v>
      </c>
      <c r="T212">
        <f>'[1]2026 Orders'!R213</f>
        <v>0</v>
      </c>
      <c r="U212">
        <f>'[1]2026 Orders'!S213</f>
        <v>0</v>
      </c>
      <c r="V212">
        <f>'[1]2026 Orders'!T213</f>
        <v>0</v>
      </c>
      <c r="W212">
        <f>'[1]2026 Orders'!U213</f>
        <v>0</v>
      </c>
      <c r="X212">
        <f>'[1]2026 Orders'!V213</f>
        <v>0</v>
      </c>
      <c r="Y212">
        <f>'[1]2026 Orders'!W213</f>
        <v>0</v>
      </c>
      <c r="Z212">
        <f>'[1]2026 Orders'!X213</f>
        <v>0</v>
      </c>
      <c r="AC212" t="str">
        <f t="shared" si="6"/>
        <v>/20</v>
      </c>
      <c r="AD212" t="e">
        <f t="shared" si="7"/>
        <v>#VALUE!</v>
      </c>
    </row>
    <row r="213" spans="1:30" ht="33" hidden="1" customHeight="1" x14ac:dyDescent="0.3">
      <c r="A213">
        <f>'[1]2026 Orders'!A214</f>
        <v>46013</v>
      </c>
      <c r="B213" s="14" t="str">
        <f>'[1]2026 Orders'!B214</f>
        <v>Nigeria</v>
      </c>
      <c r="C213" s="14" t="str">
        <f>'[1]2026 Orders'!C214</f>
        <v>A4616</v>
      </c>
      <c r="D213" s="14" t="str">
        <f>'[1]2026 Orders'!D214</f>
        <v>waiting on import permit</v>
      </c>
      <c r="E213" s="17" t="str" cm="1">
        <f t="array" ref="E213">IF(C213=0,"",
HYPERLINK(
"#'2026 Orders'!C"&amp;
MATCH(1,
('2026 Orders'!C:C=C213)*
('2026 Orders'!G:G=G213)*
('2026 Orders'!N:N=N213),
0),
"Open "&amp;C213
))</f>
        <v>Open A4616</v>
      </c>
      <c r="F213" s="14" t="str">
        <f>'[1]2026 Orders'!F214</f>
        <v xml:space="preserve">1/8/2025: quanitity increased 16 bottles </v>
      </c>
      <c r="G213" s="14" t="str">
        <f>'[1]2026 Orders'!G214</f>
        <v>FERTMX-90-CS-NI</v>
      </c>
      <c r="H213" s="14" t="str" cm="1">
        <f t="array" ref="H213">IFERROR(_xlfn.TEXTJOIN("-",,INDEX(_xlfn.TEXTSPLIT(TableGive[[#This Row],[SKU]],"-"),{1,2})),"")</f>
        <v>FERTMX-90</v>
      </c>
      <c r="I213" s="15" t="str">
        <f>IFERROR(_xlfn.TEXTAFTER(TableGive[[#This Row],[SKU]],"-",-1),"")</f>
        <v>NI</v>
      </c>
      <c r="J213" s="14">
        <f>'[1]2026 Orders'!H214</f>
        <v>216</v>
      </c>
      <c r="K213" t="str">
        <f>'[1]2026 Orders'!I214</f>
        <v>NI16-26.0</v>
      </c>
      <c r="L213">
        <f>'[1]2026 Orders'!J214</f>
        <v>216</v>
      </c>
      <c r="N213" s="10" t="str">
        <f>'[1]2026 Orders'!L214</f>
        <v>D/W Sent</v>
      </c>
      <c r="O213">
        <f>'[1]2026 Orders'!M214</f>
        <v>46065</v>
      </c>
      <c r="P213" t="str">
        <f>'[1]2026 Orders'!N214</f>
        <v>y</v>
      </c>
      <c r="Q213">
        <f>'[1]2026 Orders'!O214</f>
        <v>604776739890</v>
      </c>
      <c r="R213">
        <f>'[1]2026 Orders'!P214</f>
        <v>0</v>
      </c>
      <c r="S213">
        <f>'[1]2026 Orders'!Q214</f>
        <v>4834</v>
      </c>
      <c r="T213">
        <f>'[1]2026 Orders'!R214</f>
        <v>0</v>
      </c>
      <c r="U213">
        <f>'[1]2026 Orders'!S214</f>
        <v>0</v>
      </c>
      <c r="V213">
        <f>'[1]2026 Orders'!T214</f>
        <v>0</v>
      </c>
      <c r="W213">
        <f>'[1]2026 Orders'!U214</f>
        <v>0</v>
      </c>
      <c r="X213">
        <f>'[1]2026 Orders'!V214</f>
        <v>0</v>
      </c>
      <c r="Y213">
        <f>'[1]2026 Orders'!W214</f>
        <v>0</v>
      </c>
      <c r="Z213" t="str">
        <f>'[1]2026 Orders'!X214</f>
        <v>HOLD</v>
      </c>
      <c r="AC213" t="str">
        <f t="shared" si="6"/>
        <v>/216</v>
      </c>
      <c r="AD213" t="e">
        <f t="shared" si="7"/>
        <v>#VALUE!</v>
      </c>
    </row>
    <row r="214" spans="1:30" ht="33" hidden="1" customHeight="1" x14ac:dyDescent="0.3">
      <c r="A214">
        <f>'[1]2026 Orders'!A215</f>
        <v>46013</v>
      </c>
      <c r="B214" s="14" t="str">
        <f>'[1]2026 Orders'!B215</f>
        <v>Nigeria</v>
      </c>
      <c r="C214" s="14" t="str">
        <f>'[1]2026 Orders'!C215</f>
        <v>A4616</v>
      </c>
      <c r="D214" s="14">
        <f>'[1]2026 Orders'!D215</f>
        <v>0</v>
      </c>
      <c r="E214" s="17" t="str" cm="1">
        <f t="array" ref="E214">IF(C214=0,"",
HYPERLINK(
"#'2026 Orders'!C"&amp;
MATCH(1,
('2026 Orders'!C:C=C214)*
('2026 Orders'!G:G=G214)*
('2026 Orders'!N:N=N214),
0),
"Open "&amp;C214
))</f>
        <v>Open A4616</v>
      </c>
      <c r="F214" s="14">
        <f>'[1]2026 Orders'!F215</f>
        <v>0</v>
      </c>
      <c r="G214" s="14" t="str">
        <f>'[1]2026 Orders'!G215</f>
        <v>MFSPLS-120-CS-NI</v>
      </c>
      <c r="H214" s="14" t="str" cm="1">
        <f t="array" ref="H214">IFERROR(_xlfn.TEXTJOIN("-",,INDEX(_xlfn.TEXTSPLIT(TableGive[[#This Row],[SKU]],"-"),{1,2})),"")</f>
        <v>MFSPLS-120</v>
      </c>
      <c r="I214" s="15" t="str">
        <f>IFERROR(_xlfn.TEXTAFTER(TableGive[[#This Row],[SKU]],"-",-1),"")</f>
        <v>NI</v>
      </c>
      <c r="J214" s="14">
        <f>'[1]2026 Orders'!H215</f>
        <v>120</v>
      </c>
      <c r="K214" t="str">
        <f>'[1]2026 Orders'!I215</f>
        <v>NI30-26.0</v>
      </c>
      <c r="L214">
        <f>'[1]2026 Orders'!J215</f>
        <v>120</v>
      </c>
      <c r="N214" s="10" t="str">
        <f>'[1]2026 Orders'!L215</f>
        <v>D/W Sent</v>
      </c>
      <c r="O214">
        <f>'[1]2026 Orders'!M215</f>
        <v>0</v>
      </c>
      <c r="P214" t="str">
        <f>'[1]2026 Orders'!N215</f>
        <v>NA</v>
      </c>
      <c r="Q214">
        <f>'[1]2026 Orders'!O215</f>
        <v>604776739760</v>
      </c>
      <c r="R214">
        <f>'[1]2026 Orders'!P215</f>
        <v>0</v>
      </c>
      <c r="S214">
        <f>'[1]2026 Orders'!Q215</f>
        <v>4846</v>
      </c>
      <c r="T214">
        <f>'[1]2026 Orders'!R215</f>
        <v>0</v>
      </c>
      <c r="U214">
        <f>'[1]2026 Orders'!S215</f>
        <v>0</v>
      </c>
      <c r="V214">
        <f>'[1]2026 Orders'!T215</f>
        <v>0</v>
      </c>
      <c r="W214">
        <f>'[1]2026 Orders'!U215</f>
        <v>0</v>
      </c>
      <c r="X214">
        <f>'[1]2026 Orders'!V215</f>
        <v>0</v>
      </c>
      <c r="Y214">
        <f>'[1]2026 Orders'!W215</f>
        <v>0</v>
      </c>
      <c r="Z214">
        <f>'[1]2026 Orders'!X215</f>
        <v>0</v>
      </c>
      <c r="AC214" t="str">
        <f t="shared" si="6"/>
        <v>/120</v>
      </c>
      <c r="AD214" t="e">
        <f t="shared" si="7"/>
        <v>#VALUE!</v>
      </c>
    </row>
    <row r="215" spans="1:30" ht="33" hidden="1" customHeight="1" x14ac:dyDescent="0.3">
      <c r="A215">
        <f>'[1]2026 Orders'!A216</f>
        <v>46013</v>
      </c>
      <c r="B215" s="14" t="str">
        <f>'[1]2026 Orders'!B216</f>
        <v>Nigeria</v>
      </c>
      <c r="C215" s="14" t="str">
        <f>'[1]2026 Orders'!C216</f>
        <v>A4616</v>
      </c>
      <c r="D215" s="14">
        <f>'[1]2026 Orders'!D216</f>
        <v>0</v>
      </c>
      <c r="E215" s="17" t="str" cm="1">
        <f t="array" ref="E215">IF(C215=0,"",
HYPERLINK(
"#'2026 Orders'!C"&amp;
MATCH(1,
('2026 Orders'!C:C=C215)*
('2026 Orders'!G:G=G215)*
('2026 Orders'!N:N=N215),
0),
"Open "&amp;C215
))</f>
        <v>Open A4616</v>
      </c>
      <c r="F215" s="14" t="str">
        <f>'[1]2026 Orders'!F216</f>
        <v xml:space="preserve">1/8/2025: quanitity increased 16 bottles </v>
      </c>
      <c r="G215" s="14" t="str">
        <f>'[1]2026 Orders'!G216</f>
        <v>MOTILMX-60-CS-NI</v>
      </c>
      <c r="H215" s="14" t="str" cm="1">
        <f t="array" ref="H215">IFERROR(_xlfn.TEXTJOIN("-",,INDEX(_xlfn.TEXTSPLIT(TableGive[[#This Row],[SKU]],"-"),{1,2})),"")</f>
        <v>MOTILMX-60</v>
      </c>
      <c r="I215" s="15" t="str">
        <f>IFERROR(_xlfn.TEXTAFTER(TableGive[[#This Row],[SKU]],"-",-1),"")</f>
        <v>NI</v>
      </c>
      <c r="J215" s="14">
        <f>'[1]2026 Orders'!H216</f>
        <v>96</v>
      </c>
      <c r="K215" t="str">
        <f>'[1]2026 Orders'!I216</f>
        <v>NI31-26.0</v>
      </c>
      <c r="L215">
        <f>'[1]2026 Orders'!J216</f>
        <v>96</v>
      </c>
      <c r="N215" s="10" t="str">
        <f>'[1]2026 Orders'!L216</f>
        <v>D/W Sent</v>
      </c>
      <c r="O215">
        <f>'[1]2026 Orders'!M216</f>
        <v>0</v>
      </c>
      <c r="P215" t="str">
        <f>'[1]2026 Orders'!N216</f>
        <v>NA</v>
      </c>
      <c r="Q215">
        <f>'[1]2026 Orders'!O216</f>
        <v>604776739906</v>
      </c>
      <c r="R215">
        <f>'[1]2026 Orders'!P216</f>
        <v>0</v>
      </c>
      <c r="S215">
        <f>'[1]2026 Orders'!Q216</f>
        <v>4848</v>
      </c>
      <c r="T215">
        <f>'[1]2026 Orders'!R216</f>
        <v>0</v>
      </c>
      <c r="U215">
        <f>'[1]2026 Orders'!S216</f>
        <v>0</v>
      </c>
      <c r="V215">
        <f>'[1]2026 Orders'!T216</f>
        <v>0</v>
      </c>
      <c r="W215">
        <f>'[1]2026 Orders'!U216</f>
        <v>0</v>
      </c>
      <c r="X215">
        <f>'[1]2026 Orders'!V216</f>
        <v>0</v>
      </c>
      <c r="Y215">
        <f>'[1]2026 Orders'!W216</f>
        <v>0</v>
      </c>
      <c r="Z215">
        <f>'[1]2026 Orders'!X216</f>
        <v>0</v>
      </c>
      <c r="AC215" t="str">
        <f t="shared" si="6"/>
        <v>/96</v>
      </c>
      <c r="AD215" t="e">
        <f t="shared" si="7"/>
        <v>#VALUE!</v>
      </c>
    </row>
    <row r="216" spans="1:30" ht="33" hidden="1" customHeight="1" x14ac:dyDescent="0.3">
      <c r="A216">
        <f>'[1]2026 Orders'!A217</f>
        <v>46013</v>
      </c>
      <c r="B216" s="14" t="str">
        <f>'[1]2026 Orders'!B217</f>
        <v>Nigeria</v>
      </c>
      <c r="C216" s="14" t="str">
        <f>'[1]2026 Orders'!C217</f>
        <v>A4616</v>
      </c>
      <c r="D216" s="14">
        <f>'[1]2026 Orders'!D217</f>
        <v>0</v>
      </c>
      <c r="E216" s="17" t="str" cm="1">
        <f t="array" ref="E216">IF(C216=0,"",
HYPERLINK(
"#'2026 Orders'!C"&amp;
MATCH(1,
('2026 Orders'!C:C=C216)*
('2026 Orders'!G:G=G216)*
('2026 Orders'!N:N=N216),
0),
"Open "&amp;C216
))</f>
        <v>Open A4616</v>
      </c>
      <c r="F216" s="14" t="str">
        <f>'[1]2026 Orders'!F217</f>
        <v xml:space="preserve">1/8/2025: quanitity increased 20 bottles </v>
      </c>
      <c r="G216" s="14" t="str">
        <f>'[1]2026 Orders'!G217</f>
        <v>OVAMAX-120-CS-NI</v>
      </c>
      <c r="H216" s="14" t="str" cm="1">
        <f t="array" ref="H216">IFERROR(_xlfn.TEXTJOIN("-",,INDEX(_xlfn.TEXTSPLIT(TableGive[[#This Row],[SKU]],"-"),{1,2})),"")</f>
        <v>OVAMAX-120</v>
      </c>
      <c r="I216" s="15" t="str">
        <f>IFERROR(_xlfn.TEXTAFTER(TableGive[[#This Row],[SKU]],"-",-1),"")</f>
        <v>NI</v>
      </c>
      <c r="J216" s="14">
        <f>'[1]2026 Orders'!H217</f>
        <v>120</v>
      </c>
      <c r="K216" t="str">
        <f>'[1]2026 Orders'!I217</f>
        <v>NI41-26.0</v>
      </c>
      <c r="L216">
        <f>'[1]2026 Orders'!J217</f>
        <v>120</v>
      </c>
      <c r="N216" s="10" t="str">
        <f>'[1]2026 Orders'!L217</f>
        <v>D/W Sent</v>
      </c>
      <c r="O216">
        <f>'[1]2026 Orders'!M217</f>
        <v>0</v>
      </c>
      <c r="P216" t="str">
        <f>'[1]2026 Orders'!N217</f>
        <v>NA</v>
      </c>
      <c r="Q216">
        <f>'[1]2026 Orders'!O217</f>
        <v>604776739623</v>
      </c>
      <c r="R216">
        <f>'[1]2026 Orders'!P217</f>
        <v>0</v>
      </c>
      <c r="S216">
        <f>'[1]2026 Orders'!Q217</f>
        <v>4823</v>
      </c>
      <c r="T216">
        <f>'[1]2026 Orders'!R217</f>
        <v>0</v>
      </c>
      <c r="U216">
        <f>'[1]2026 Orders'!S217</f>
        <v>0</v>
      </c>
      <c r="V216">
        <f>'[1]2026 Orders'!T217</f>
        <v>0</v>
      </c>
      <c r="W216">
        <f>'[1]2026 Orders'!U217</f>
        <v>0</v>
      </c>
      <c r="X216">
        <f>'[1]2026 Orders'!V217</f>
        <v>0</v>
      </c>
      <c r="Y216">
        <f>'[1]2026 Orders'!W217</f>
        <v>0</v>
      </c>
      <c r="Z216">
        <f>'[1]2026 Orders'!X217</f>
        <v>0</v>
      </c>
      <c r="AC216" t="str">
        <f t="shared" si="6"/>
        <v>/120</v>
      </c>
      <c r="AD216" t="e">
        <f t="shared" si="7"/>
        <v>#VALUE!</v>
      </c>
    </row>
    <row r="217" spans="1:30" ht="33" hidden="1" customHeight="1" x14ac:dyDescent="0.3">
      <c r="A217">
        <f>'[1]2026 Orders'!A218</f>
        <v>46013</v>
      </c>
      <c r="B217" s="14" t="str">
        <f>'[1]2026 Orders'!B218</f>
        <v>Nigeria</v>
      </c>
      <c r="C217" s="14" t="str">
        <f>'[1]2026 Orders'!C218</f>
        <v>A4616</v>
      </c>
      <c r="D217" s="14">
        <f>'[1]2026 Orders'!D218</f>
        <v>0</v>
      </c>
      <c r="E217" s="17" t="str" cm="1">
        <f t="array" ref="E217">IF(C217=0,"",
HYPERLINK(
"#'2026 Orders'!C"&amp;
MATCH(1,
('2026 Orders'!C:C=C217)*
('2026 Orders'!G:G=G217)*
('2026 Orders'!N:N=N217),
0),
"Open "&amp;C217
))</f>
        <v>Open A4616</v>
      </c>
      <c r="F217" s="14" t="str">
        <f>'[1]2026 Orders'!F218</f>
        <v xml:space="preserve">1/8/2025: quanitity increased 20 bottles </v>
      </c>
      <c r="G217" s="14" t="str">
        <f>'[1]2026 Orders'!G218</f>
        <v>WFSPLS-180-CS-NI</v>
      </c>
      <c r="H217" s="14" t="str" cm="1">
        <f t="array" ref="H217">IFERROR(_xlfn.TEXTJOIN("-",,INDEX(_xlfn.TEXTSPLIT(TableGive[[#This Row],[SKU]],"-"),{1,2})),"")</f>
        <v>WFSPLS-180</v>
      </c>
      <c r="I217" s="15" t="str">
        <f>IFERROR(_xlfn.TEXTAFTER(TableGive[[#This Row],[SKU]],"-",-1),"")</f>
        <v>NI</v>
      </c>
      <c r="J217" s="14">
        <f>'[1]2026 Orders'!H218</f>
        <v>120</v>
      </c>
      <c r="K217" t="str">
        <f>'[1]2026 Orders'!I218</f>
        <v>NI73-26.0</v>
      </c>
      <c r="L217">
        <f>'[1]2026 Orders'!J218</f>
        <v>120</v>
      </c>
      <c r="N217" s="10" t="str">
        <f>'[1]2026 Orders'!L218</f>
        <v>D/W Sent</v>
      </c>
      <c r="O217">
        <f>'[1]2026 Orders'!M218</f>
        <v>0</v>
      </c>
      <c r="P217" t="str">
        <f>'[1]2026 Orders'!N218</f>
        <v>NA</v>
      </c>
      <c r="Q217">
        <f>'[1]2026 Orders'!O218</f>
        <v>604776739920</v>
      </c>
      <c r="R217">
        <f>'[1]2026 Orders'!P218</f>
        <v>0</v>
      </c>
      <c r="S217">
        <f>'[1]2026 Orders'!Q218</f>
        <v>4684</v>
      </c>
      <c r="T217">
        <f>'[1]2026 Orders'!R218</f>
        <v>0</v>
      </c>
      <c r="U217">
        <f>'[1]2026 Orders'!S218</f>
        <v>0</v>
      </c>
      <c r="V217">
        <f>'[1]2026 Orders'!T218</f>
        <v>0</v>
      </c>
      <c r="W217">
        <f>'[1]2026 Orders'!U218</f>
        <v>0</v>
      </c>
      <c r="X217">
        <f>'[1]2026 Orders'!V218</f>
        <v>0</v>
      </c>
      <c r="Y217">
        <f>'[1]2026 Orders'!W218</f>
        <v>0</v>
      </c>
      <c r="Z217">
        <f>'[1]2026 Orders'!X218</f>
        <v>0</v>
      </c>
      <c r="AC217" t="str">
        <f t="shared" si="6"/>
        <v>/120</v>
      </c>
      <c r="AD217" t="e">
        <f t="shared" si="7"/>
        <v>#VALUE!</v>
      </c>
    </row>
    <row r="218" spans="1:30" ht="33" hidden="1" customHeight="1" x14ac:dyDescent="0.3">
      <c r="A218">
        <f>'[1]2026 Orders'!A219</f>
        <v>46013</v>
      </c>
      <c r="B218" s="14" t="str">
        <f>'[1]2026 Orders'!B219</f>
        <v>Nigeria</v>
      </c>
      <c r="C218" s="14" t="str">
        <f>'[1]2026 Orders'!C219</f>
        <v>A4616</v>
      </c>
      <c r="D218" s="14">
        <f>'[1]2026 Orders'!D219</f>
        <v>0</v>
      </c>
      <c r="E218" s="17" t="str" cm="1">
        <f t="array" ref="E218">IF(C218=0,"",
HYPERLINK(
"#'2026 Orders'!C"&amp;
MATCH(1,
('2026 Orders'!C:C=C218)*
('2026 Orders'!G:G=G218)*
('2026 Orders'!N:N=N218),
0),
"Open "&amp;C218
))</f>
        <v>Open A4616</v>
      </c>
      <c r="F218" s="14" t="str">
        <f>'[1]2026 Orders'!F219</f>
        <v>1/8/2025: quanitity increased 12 bottles</v>
      </c>
      <c r="G218" s="14" t="str">
        <f>'[1]2026 Orders'!G219</f>
        <v>VELMARA-60-CS-NI</v>
      </c>
      <c r="H218" s="14" t="str" cm="1">
        <f t="array" ref="H218">IFERROR(_xlfn.TEXTJOIN("-",,INDEX(_xlfn.TEXTSPLIT(TableGive[[#This Row],[SKU]],"-"),{1,2})),"")</f>
        <v>VELMARA-60</v>
      </c>
      <c r="I218" s="15" t="str">
        <f>IFERROR(_xlfn.TEXTAFTER(TableGive[[#This Row],[SKU]],"-",-1),"")</f>
        <v>NI</v>
      </c>
      <c r="J218" s="14">
        <f>'[1]2026 Orders'!H219</f>
        <v>72</v>
      </c>
      <c r="K218" t="str">
        <f>'[1]2026 Orders'!I219</f>
        <v>NI17-26.0</v>
      </c>
      <c r="L218">
        <f>'[1]2026 Orders'!J219</f>
        <v>72</v>
      </c>
      <c r="N218" s="10" t="str">
        <f>'[1]2026 Orders'!L219</f>
        <v>D/W Sent</v>
      </c>
      <c r="O218">
        <f>'[1]2026 Orders'!M219</f>
        <v>0</v>
      </c>
      <c r="P218" t="str">
        <f>'[1]2026 Orders'!N219</f>
        <v>NA</v>
      </c>
      <c r="Q218">
        <f>'[1]2026 Orders'!O219</f>
        <v>604776740131</v>
      </c>
      <c r="R218">
        <f>'[1]2026 Orders'!P219</f>
        <v>0</v>
      </c>
      <c r="S218">
        <f>'[1]2026 Orders'!Q219</f>
        <v>4840</v>
      </c>
      <c r="T218">
        <f>'[1]2026 Orders'!R219</f>
        <v>0</v>
      </c>
      <c r="U218">
        <f>'[1]2026 Orders'!S219</f>
        <v>0</v>
      </c>
      <c r="V218">
        <f>'[1]2026 Orders'!T219</f>
        <v>0</v>
      </c>
      <c r="W218">
        <f>'[1]2026 Orders'!U219</f>
        <v>0</v>
      </c>
      <c r="X218">
        <f>'[1]2026 Orders'!V219</f>
        <v>0</v>
      </c>
      <c r="Y218">
        <f>'[1]2026 Orders'!W219</f>
        <v>0</v>
      </c>
      <c r="Z218">
        <f>'[1]2026 Orders'!X219</f>
        <v>0</v>
      </c>
      <c r="AC218" t="str">
        <f t="shared" si="6"/>
        <v>/72</v>
      </c>
      <c r="AD218" t="e">
        <f t="shared" si="7"/>
        <v>#VALUE!</v>
      </c>
    </row>
    <row r="219" spans="1:30" ht="33" hidden="1" customHeight="1" x14ac:dyDescent="0.3">
      <c r="A219">
        <f>'[1]2026 Orders'!A220</f>
        <v>46009</v>
      </c>
      <c r="B219" s="14" t="str">
        <f>'[1]2026 Orders'!B220</f>
        <v>Botswana</v>
      </c>
      <c r="C219" s="14" t="str">
        <f>'[1]2026 Orders'!C220</f>
        <v>A4612</v>
      </c>
      <c r="D219" s="14">
        <f>'[1]2026 Orders'!D220</f>
        <v>0</v>
      </c>
      <c r="E219" s="17" t="e" cm="1">
        <f t="array" ref="E219">IF(C219=0,"",
HYPERLINK(
"#'2026 Orders'!C"&amp;
MATCH(1,
('2026 Orders'!C:C=C219)*
('2026 Orders'!G:G=G219)*
('2026 Orders'!N:N=N219),
0),
"Open "&amp;C219
))</f>
        <v>#N/A</v>
      </c>
      <c r="F219" s="14">
        <f>'[1]2026 Orders'!F220</f>
        <v>0</v>
      </c>
      <c r="G219" s="14" t="str">
        <f>'[1]2026 Orders'!G220</f>
        <v>OVAMAX-120-FD</v>
      </c>
      <c r="H219" s="14" t="str" cm="1">
        <f t="array" ref="H219">IFERROR(_xlfn.TEXTJOIN("-",,INDEX(_xlfn.TEXTSPLIT(TableGive[[#This Row],[SKU]],"-"),{1,2})),"")</f>
        <v>OVAMAX-120</v>
      </c>
      <c r="I219" s="15" t="str">
        <f>IFERROR(_xlfn.TEXTAFTER(TableGive[[#This Row],[SKU]],"-",-1),"")</f>
        <v>FD</v>
      </c>
      <c r="J219" s="14">
        <f>'[1]2026 Orders'!H220</f>
        <v>40</v>
      </c>
      <c r="K219" t="str">
        <f>'[1]2026 Orders'!I220</f>
        <v>F41-25.0</v>
      </c>
      <c r="L219">
        <f>'[1]2026 Orders'!J220</f>
        <v>40</v>
      </c>
      <c r="N219" s="10">
        <f>'[1]2026 Orders'!L220</f>
        <v>0</v>
      </c>
      <c r="O219">
        <f>'[1]2026 Orders'!M220</f>
        <v>0</v>
      </c>
      <c r="P219" t="str">
        <f>'[1]2026 Orders'!N220</f>
        <v>NA</v>
      </c>
      <c r="Q219">
        <f>'[1]2026 Orders'!O220</f>
        <v>810131199586</v>
      </c>
      <c r="R219">
        <f>'[1]2026 Orders'!P220</f>
        <v>0</v>
      </c>
      <c r="S219">
        <f>'[1]2026 Orders'!Q220</f>
        <v>4823</v>
      </c>
      <c r="T219">
        <f>'[1]2026 Orders'!R220</f>
        <v>0</v>
      </c>
      <c r="U219">
        <f>'[1]2026 Orders'!S220</f>
        <v>0</v>
      </c>
      <c r="V219">
        <f>'[1]2026 Orders'!T220</f>
        <v>0</v>
      </c>
      <c r="W219">
        <f>'[1]2026 Orders'!U220</f>
        <v>0</v>
      </c>
      <c r="X219">
        <f>'[1]2026 Orders'!V220</f>
        <v>0</v>
      </c>
      <c r="Y219">
        <f>'[1]2026 Orders'!W220</f>
        <v>0</v>
      </c>
      <c r="Z219">
        <f>'[1]2026 Orders'!X220</f>
        <v>0</v>
      </c>
      <c r="AC219" t="str">
        <f t="shared" si="6"/>
        <v>/40</v>
      </c>
      <c r="AD219" t="e">
        <f t="shared" si="7"/>
        <v>#VALUE!</v>
      </c>
    </row>
    <row r="220" spans="1:30" ht="33" hidden="1" customHeight="1" x14ac:dyDescent="0.3">
      <c r="A220">
        <f>'[1]2026 Orders'!A221</f>
        <v>46028</v>
      </c>
      <c r="B220" s="14" t="str">
        <f>'[1]2026 Orders'!B221</f>
        <v>Libya</v>
      </c>
      <c r="C220" s="14" t="str">
        <f>'[1]2026 Orders'!C221</f>
        <v>A4617</v>
      </c>
      <c r="D220" s="14" t="str">
        <f>'[1]2026 Orders'!D221</f>
        <v>Waiting for Split Feedback</v>
      </c>
      <c r="E220" s="17" t="str" cm="1">
        <f t="array" ref="E220">IF(C220=0,"",
HYPERLINK(
"#'2026 Orders'!C"&amp;
MATCH(1,
('2026 Orders'!C:C=C220)*
('2026 Orders'!G:G=G220)*
('2026 Orders'!N:N=N220),
0),
"Open "&amp;C220
))</f>
        <v>Open A4617</v>
      </c>
      <c r="F220" s="14">
        <f>'[1]2026 Orders'!F221</f>
        <v>0</v>
      </c>
      <c r="G220" s="14" t="str">
        <f>'[1]2026 Orders'!G221</f>
        <v>FERTMX-90-CS-LY</v>
      </c>
      <c r="H220" s="14" t="str" cm="1">
        <f t="array" ref="H220">IFERROR(_xlfn.TEXTJOIN("-",,INDEX(_xlfn.TEXTSPLIT(TableGive[[#This Row],[SKU]],"-"),{1,2})),"")</f>
        <v>FERTMX-90</v>
      </c>
      <c r="I220" s="15" t="str">
        <f>IFERROR(_xlfn.TEXTAFTER(TableGive[[#This Row],[SKU]],"-",-1),"")</f>
        <v>LY</v>
      </c>
      <c r="J220" s="14">
        <f>'[1]2026 Orders'!H221</f>
        <v>500</v>
      </c>
      <c r="K220" t="str">
        <f>'[1]2026 Orders'!I221</f>
        <v>LY16-25.0</v>
      </c>
      <c r="L220">
        <f>'[1]2026 Orders'!J221</f>
        <v>500</v>
      </c>
      <c r="N220" s="10" t="str">
        <f>'[1]2026 Orders'!L221</f>
        <v>D/W Sent</v>
      </c>
      <c r="O220">
        <f>'[1]2026 Orders'!M221</f>
        <v>46183</v>
      </c>
      <c r="P220" t="str">
        <f>'[1]2026 Orders'!N221</f>
        <v>Y</v>
      </c>
      <c r="Q220">
        <f>'[1]2026 Orders'!O221</f>
        <v>604776737575</v>
      </c>
      <c r="R220">
        <f>'[1]2026 Orders'!P221</f>
        <v>0</v>
      </c>
      <c r="S220">
        <f>'[1]2026 Orders'!Q221</f>
        <v>4834</v>
      </c>
      <c r="T220">
        <f>'[1]2026 Orders'!R221</f>
        <v>0</v>
      </c>
      <c r="U220">
        <f>'[1]2026 Orders'!S221</f>
        <v>0</v>
      </c>
      <c r="V220">
        <f>'[1]2026 Orders'!T221</f>
        <v>0</v>
      </c>
      <c r="W220">
        <f>'[1]2026 Orders'!U221</f>
        <v>0</v>
      </c>
      <c r="X220">
        <f>'[1]2026 Orders'!V221</f>
        <v>0</v>
      </c>
      <c r="Y220">
        <f>'[1]2026 Orders'!W221</f>
        <v>0</v>
      </c>
      <c r="Z220" t="str">
        <f>'[1]2026 Orders'!X221</f>
        <v>HOLD</v>
      </c>
      <c r="AC220" t="str">
        <f t="shared" si="6"/>
        <v>/500</v>
      </c>
      <c r="AD220" t="e">
        <f t="shared" si="7"/>
        <v>#VALUE!</v>
      </c>
    </row>
    <row r="221" spans="1:30" ht="33" hidden="1" customHeight="1" x14ac:dyDescent="0.3">
      <c r="A221">
        <f>'[1]2026 Orders'!A222</f>
        <v>46028</v>
      </c>
      <c r="B221" s="14" t="str">
        <f>'[1]2026 Orders'!B222</f>
        <v>Libya</v>
      </c>
      <c r="C221" s="14" t="str">
        <f>'[1]2026 Orders'!C222</f>
        <v>A4617</v>
      </c>
      <c r="D221" s="14" t="str">
        <f>'[1]2026 Orders'!D222</f>
        <v>2/13/26 - Docs sent</v>
      </c>
      <c r="E221" s="17" t="str" cm="1">
        <f t="array" ref="E221">IF(C221=0,"",
HYPERLINK(
"#'2026 Orders'!C"&amp;
MATCH(1,
('2026 Orders'!C:C=C221)*
('2026 Orders'!G:G=G221)*
('2026 Orders'!N:N=N221),
0),
"Open "&amp;C221
))</f>
        <v>Open A4617</v>
      </c>
      <c r="F221" s="14">
        <f>'[1]2026 Orders'!F222</f>
        <v>0</v>
      </c>
      <c r="G221" s="14" t="str">
        <f>'[1]2026 Orders'!G222</f>
        <v>METRIO-60-CS-LY</v>
      </c>
      <c r="H221" s="14" t="str" cm="1">
        <f t="array" ref="H221">IFERROR(_xlfn.TEXTJOIN("-",,INDEX(_xlfn.TEXTSPLIT(TableGive[[#This Row],[SKU]],"-"),{1,2})),"")</f>
        <v>METRIO-60</v>
      </c>
      <c r="I221" s="15" t="str">
        <f>IFERROR(_xlfn.TEXTAFTER(TableGive[[#This Row],[SKU]],"-",-1),"")</f>
        <v>LY</v>
      </c>
      <c r="J221" s="14">
        <f>'[1]2026 Orders'!H222</f>
        <v>300</v>
      </c>
      <c r="K221" t="str">
        <f>'[1]2026 Orders'!I222</f>
        <v>LY28-24.0</v>
      </c>
      <c r="L221">
        <f>'[1]2026 Orders'!J222</f>
        <v>300</v>
      </c>
      <c r="N221" s="10" t="str">
        <f>'[1]2026 Orders'!L222</f>
        <v>D/W Sent</v>
      </c>
      <c r="O221">
        <f>'[1]2026 Orders'!M222</f>
        <v>0</v>
      </c>
      <c r="P221" t="str">
        <f>'[1]2026 Orders'!N222</f>
        <v>NA</v>
      </c>
      <c r="Q221">
        <f>'[1]2026 Orders'!O222</f>
        <v>604776739036</v>
      </c>
      <c r="R221">
        <f>'[1]2026 Orders'!P222</f>
        <v>0</v>
      </c>
      <c r="S221">
        <f>'[1]2026 Orders'!Q222</f>
        <v>4842</v>
      </c>
      <c r="T221">
        <f>'[1]2026 Orders'!R222</f>
        <v>0</v>
      </c>
      <c r="U221">
        <f>'[1]2026 Orders'!S222</f>
        <v>0</v>
      </c>
      <c r="V221">
        <f>'[1]2026 Orders'!T222</f>
        <v>0</v>
      </c>
      <c r="W221">
        <f>'[1]2026 Orders'!U222</f>
        <v>0</v>
      </c>
      <c r="X221">
        <f>'[1]2026 Orders'!V222</f>
        <v>0</v>
      </c>
      <c r="Y221">
        <f>'[1]2026 Orders'!W222</f>
        <v>0</v>
      </c>
      <c r="Z221">
        <f>'[1]2026 Orders'!X222</f>
        <v>0</v>
      </c>
      <c r="AC221" t="str">
        <f t="shared" si="6"/>
        <v>/300</v>
      </c>
      <c r="AD221" t="e">
        <f t="shared" si="7"/>
        <v>#VALUE!</v>
      </c>
    </row>
    <row r="222" spans="1:30" ht="33" hidden="1" customHeight="1" x14ac:dyDescent="0.3">
      <c r="A222">
        <f>'[1]2026 Orders'!A223</f>
        <v>46028</v>
      </c>
      <c r="B222" s="14" t="str">
        <f>'[1]2026 Orders'!B223</f>
        <v>Libya</v>
      </c>
      <c r="C222" s="14" t="str">
        <f>'[1]2026 Orders'!C223</f>
        <v>A4617</v>
      </c>
      <c r="D222" s="14" t="str">
        <f>'[1]2026 Orders'!D223</f>
        <v>5/19/2026: Working on Docs</v>
      </c>
      <c r="E222" s="17" t="str" cm="1">
        <f t="array" ref="E222">IF(C222=0,"",
HYPERLINK(
"#'2026 Orders'!C"&amp;
MATCH(1,
('2026 Orders'!C:C=C222)*
('2026 Orders'!G:G=G222)*
('2026 Orders'!N:N=N222),
0),
"Open "&amp;C222
))</f>
        <v>Open A4617</v>
      </c>
      <c r="F222" s="14">
        <f>'[1]2026 Orders'!F223</f>
        <v>0</v>
      </c>
      <c r="G222" s="14" t="str">
        <f>'[1]2026 Orders'!G223</f>
        <v>MFSPLS-120-CS-LY</v>
      </c>
      <c r="H222" s="14" t="str" cm="1">
        <f t="array" ref="H222">IFERROR(_xlfn.TEXTJOIN("-",,INDEX(_xlfn.TEXTSPLIT(TableGive[[#This Row],[SKU]],"-"),{1,2})),"")</f>
        <v>MFSPLS-120</v>
      </c>
      <c r="I222" s="15" t="str">
        <f>IFERROR(_xlfn.TEXTAFTER(TableGive[[#This Row],[SKU]],"-",-1),"")</f>
        <v>LY</v>
      </c>
      <c r="J222" s="14">
        <f>'[1]2026 Orders'!H223</f>
        <v>800</v>
      </c>
      <c r="K222" t="str">
        <f>'[1]2026 Orders'!I223</f>
        <v>LY30-24.0</v>
      </c>
      <c r="L222">
        <f>'[1]2026 Orders'!J223</f>
        <v>800</v>
      </c>
      <c r="N222" s="10" t="str">
        <f>'[1]2026 Orders'!L223</f>
        <v>D/W Sent</v>
      </c>
      <c r="O222">
        <f>'[1]2026 Orders'!M223</f>
        <v>0</v>
      </c>
      <c r="P222" t="str">
        <f>'[1]2026 Orders'!N223</f>
        <v>NA</v>
      </c>
      <c r="Q222">
        <f>'[1]2026 Orders'!O223</f>
        <v>604776739050</v>
      </c>
      <c r="R222">
        <f>'[1]2026 Orders'!P223</f>
        <v>7000</v>
      </c>
      <c r="S222">
        <f>'[1]2026 Orders'!Q223</f>
        <v>4935</v>
      </c>
      <c r="T222" t="str">
        <f>'[1]2026 Orders'!R223</f>
        <v>complete</v>
      </c>
      <c r="U222">
        <f>'[1]2026 Orders'!S223</f>
        <v>0</v>
      </c>
      <c r="V222">
        <f>'[1]2026 Orders'!T223</f>
        <v>0</v>
      </c>
      <c r="W222">
        <f>'[1]2026 Orders'!U223</f>
        <v>0</v>
      </c>
      <c r="X222">
        <f>'[1]2026 Orders'!V223</f>
        <v>0</v>
      </c>
      <c r="Y222">
        <f>'[1]2026 Orders'!W223</f>
        <v>0</v>
      </c>
      <c r="Z222">
        <f>'[1]2026 Orders'!X223</f>
        <v>0</v>
      </c>
      <c r="AC222" t="str">
        <f t="shared" si="6"/>
        <v>/800</v>
      </c>
      <c r="AD222" t="e">
        <f t="shared" si="7"/>
        <v>#VALUE!</v>
      </c>
    </row>
    <row r="223" spans="1:30" ht="33" hidden="1" customHeight="1" x14ac:dyDescent="0.3">
      <c r="A223">
        <f>'[1]2026 Orders'!A224</f>
        <v>46028</v>
      </c>
      <c r="B223" s="14" t="str">
        <f>'[1]2026 Orders'!B224</f>
        <v>Libya</v>
      </c>
      <c r="C223" s="14" t="str">
        <f>'[1]2026 Orders'!C224</f>
        <v>A4617</v>
      </c>
      <c r="D223" s="14">
        <f>'[1]2026 Orders'!D224</f>
        <v>0</v>
      </c>
      <c r="E223" s="17" t="str" cm="1">
        <f t="array" ref="E223">IF(C223=0,"",
HYPERLINK(
"#'2026 Orders'!C"&amp;
MATCH(1,
('2026 Orders'!C:C=C223)*
('2026 Orders'!G:G=G223)*
('2026 Orders'!N:N=N223),
0),
"Open "&amp;C223
))</f>
        <v>Open A4617</v>
      </c>
      <c r="F223" s="14">
        <f>'[1]2026 Orders'!F224</f>
        <v>0</v>
      </c>
      <c r="G223" s="14" t="str">
        <f>'[1]2026 Orders'!G224</f>
        <v>OVAMAX-120-CS-LY</v>
      </c>
      <c r="H223" s="14" t="str" cm="1">
        <f t="array" ref="H223">IFERROR(_xlfn.TEXTJOIN("-",,INDEX(_xlfn.TEXTSPLIT(TableGive[[#This Row],[SKU]],"-"),{1,2})),"")</f>
        <v>OVAMAX-120</v>
      </c>
      <c r="I223" s="15" t="str">
        <f>IFERROR(_xlfn.TEXTAFTER(TableGive[[#This Row],[SKU]],"-",-1),"")</f>
        <v>LY</v>
      </c>
      <c r="J223" s="14">
        <f>'[1]2026 Orders'!H224</f>
        <v>500</v>
      </c>
      <c r="K223" t="str">
        <f>'[1]2026 Orders'!I224</f>
        <v>LY41-24.0</v>
      </c>
      <c r="L223">
        <f>'[1]2026 Orders'!J224</f>
        <v>500</v>
      </c>
      <c r="N223" s="10" t="str">
        <f>'[1]2026 Orders'!L224</f>
        <v>D/W Sent</v>
      </c>
      <c r="O223">
        <f>'[1]2026 Orders'!M224</f>
        <v>0</v>
      </c>
      <c r="P223" t="str">
        <f>'[1]2026 Orders'!N224</f>
        <v>NA</v>
      </c>
      <c r="Q223">
        <f>'[1]2026 Orders'!O224</f>
        <v>604776739081</v>
      </c>
      <c r="R223">
        <f>'[1]2026 Orders'!P224</f>
        <v>0</v>
      </c>
      <c r="S223">
        <f>'[1]2026 Orders'!Q224</f>
        <v>0</v>
      </c>
      <c r="T223">
        <f>'[1]2026 Orders'!R224</f>
        <v>0</v>
      </c>
      <c r="U223">
        <f>'[1]2026 Orders'!S224</f>
        <v>0</v>
      </c>
      <c r="V223">
        <f>'[1]2026 Orders'!T224</f>
        <v>0</v>
      </c>
      <c r="W223">
        <f>'[1]2026 Orders'!U224</f>
        <v>0</v>
      </c>
      <c r="X223">
        <f>'[1]2026 Orders'!V224</f>
        <v>46062</v>
      </c>
      <c r="Y223">
        <f>'[1]2026 Orders'!W224</f>
        <v>0</v>
      </c>
      <c r="Z223">
        <f>'[1]2026 Orders'!X224</f>
        <v>0</v>
      </c>
      <c r="AC223" t="str">
        <f t="shared" si="6"/>
        <v>/500</v>
      </c>
      <c r="AD223" t="e">
        <f t="shared" si="7"/>
        <v>#VALUE!</v>
      </c>
    </row>
    <row r="224" spans="1:30" ht="33" hidden="1" customHeight="1" x14ac:dyDescent="0.3">
      <c r="A224">
        <f>'[1]2026 Orders'!A225</f>
        <v>46028</v>
      </c>
      <c r="B224" s="14" t="str">
        <f>'[1]2026 Orders'!B225</f>
        <v>Libya</v>
      </c>
      <c r="C224" s="14" t="str">
        <f>'[1]2026 Orders'!C225</f>
        <v>A4617</v>
      </c>
      <c r="D224" s="14">
        <f>'[1]2026 Orders'!D225</f>
        <v>0</v>
      </c>
      <c r="E224" s="17" t="str" cm="1">
        <f t="array" ref="E224">IF(C224=0,"",
HYPERLINK(
"#'2026 Orders'!C"&amp;
MATCH(1,
('2026 Orders'!C:C=C224)*
('2026 Orders'!G:G=G224)*
('2026 Orders'!N:N=N224),
0),
"Open "&amp;C224
))</f>
        <v>Open A4617</v>
      </c>
      <c r="F224" s="14">
        <f>'[1]2026 Orders'!F225</f>
        <v>0</v>
      </c>
      <c r="G224" s="14" t="str">
        <f>'[1]2026 Orders'!G225</f>
        <v>LIPODIS-60-FD</v>
      </c>
      <c r="H224" s="14" t="str" cm="1">
        <f t="array" ref="H224">IFERROR(_xlfn.TEXTJOIN("-",,INDEX(_xlfn.TEXTSPLIT(TableGive[[#This Row],[SKU]],"-"),{1,2})),"")</f>
        <v>LIPODIS-60</v>
      </c>
      <c r="I224" s="15" t="str">
        <f>IFERROR(_xlfn.TEXTAFTER(TableGive[[#This Row],[SKU]],"-",-1),"")</f>
        <v>FD</v>
      </c>
      <c r="J224" s="14">
        <f>'[1]2026 Orders'!H225</f>
        <v>300</v>
      </c>
      <c r="K224" t="str">
        <f>'[1]2026 Orders'!I225</f>
        <v>F26-22.0</v>
      </c>
      <c r="L224">
        <f>'[1]2026 Orders'!J225</f>
        <v>0</v>
      </c>
      <c r="N224" s="10" t="str">
        <f>'[1]2026 Orders'!L225</f>
        <v>D/W Sent</v>
      </c>
      <c r="O224">
        <f>'[1]2026 Orders'!M225</f>
        <v>0</v>
      </c>
      <c r="P224" t="str">
        <f>'[1]2026 Orders'!N225</f>
        <v>Y</v>
      </c>
      <c r="Q224" t="str">
        <f>'[1]2026 Orders'!O225</f>
        <v>604776735823</v>
      </c>
      <c r="R224">
        <f>'[1]2026 Orders'!P225</f>
        <v>7000</v>
      </c>
      <c r="S224">
        <f>'[1]2026 Orders'!Q225</f>
        <v>4971</v>
      </c>
      <c r="T224" t="str">
        <f>'[1]2026 Orders'!R225</f>
        <v>Complete</v>
      </c>
      <c r="U224" t="str">
        <f>'[1]2026 Orders'!S225</f>
        <v>Waiting for PL and sample approval</v>
      </c>
      <c r="V224">
        <f>'[1]2026 Orders'!T225</f>
        <v>0</v>
      </c>
      <c r="W224">
        <f>'[1]2026 Orders'!U225</f>
        <v>0</v>
      </c>
      <c r="X224">
        <f>'[1]2026 Orders'!V225</f>
        <v>0</v>
      </c>
      <c r="Y224">
        <f>'[1]2026 Orders'!W225</f>
        <v>0</v>
      </c>
      <c r="Z224">
        <f>'[1]2026 Orders'!X225</f>
        <v>0</v>
      </c>
      <c r="AC224" t="str">
        <f t="shared" si="6"/>
        <v>/300</v>
      </c>
      <c r="AD224" t="e">
        <f t="shared" si="7"/>
        <v>#VALUE!</v>
      </c>
    </row>
    <row r="225" spans="1:30" ht="33" hidden="1" customHeight="1" x14ac:dyDescent="0.3">
      <c r="A225">
        <f>'[1]2026 Orders'!A226</f>
        <v>46009</v>
      </c>
      <c r="B225" s="14" t="str">
        <f>'[1]2026 Orders'!B226</f>
        <v>Botswana</v>
      </c>
      <c r="C225" s="14" t="str">
        <f>'[1]2026 Orders'!C226</f>
        <v>A4612</v>
      </c>
      <c r="D225" s="14">
        <f>'[1]2026 Orders'!D226</f>
        <v>0</v>
      </c>
      <c r="E225" s="17" t="e" cm="1">
        <f t="array" ref="E225">IF(C225=0,"",
HYPERLINK(
"#'2026 Orders'!C"&amp;
MATCH(1,
('2026 Orders'!C:C=C225)*
('2026 Orders'!G:G=G225)*
('2026 Orders'!N:N=N225),
0),
"Open "&amp;C225
))</f>
        <v>#N/A</v>
      </c>
      <c r="F225" s="14">
        <f>'[1]2026 Orders'!F226</f>
        <v>0</v>
      </c>
      <c r="G225" s="14" t="str">
        <f>'[1]2026 Orders'!G226</f>
        <v>PENAMAX-60-GE-FD</v>
      </c>
      <c r="H225" s="14" t="str" cm="1">
        <f t="array" ref="H225">IFERROR(_xlfn.TEXTJOIN("-",,INDEX(_xlfn.TEXTSPLIT(TableGive[[#This Row],[SKU]],"-"),{1,2})),"")</f>
        <v>PENAMAX-60</v>
      </c>
      <c r="I225" s="15" t="str">
        <f>IFERROR(_xlfn.TEXTAFTER(TableGive[[#This Row],[SKU]],"-",-1),"")</f>
        <v>FD</v>
      </c>
      <c r="J225" s="14">
        <f>'[1]2026 Orders'!H226</f>
        <v>20</v>
      </c>
      <c r="K225" t="str">
        <f>'[1]2026 Orders'!I226</f>
        <v>F88-25.1</v>
      </c>
      <c r="L225">
        <f>'[1]2026 Orders'!J226</f>
        <v>20</v>
      </c>
      <c r="N225" s="10">
        <f>'[1]2026 Orders'!L226</f>
        <v>0</v>
      </c>
      <c r="O225">
        <f>'[1]2026 Orders'!M226</f>
        <v>0</v>
      </c>
      <c r="P225" t="str">
        <f>'[1]2026 Orders'!N226</f>
        <v>Y</v>
      </c>
      <c r="Q225">
        <f>'[1]2026 Orders'!O226</f>
        <v>604776738824</v>
      </c>
      <c r="R225">
        <f>'[1]2026 Orders'!P226</f>
        <v>0</v>
      </c>
      <c r="S225">
        <f>'[1]2026 Orders'!Q226</f>
        <v>4805</v>
      </c>
      <c r="T225">
        <f>'[1]2026 Orders'!R226</f>
        <v>0</v>
      </c>
      <c r="U225">
        <f>'[1]2026 Orders'!S226</f>
        <v>0</v>
      </c>
      <c r="V225">
        <f>'[1]2026 Orders'!T226</f>
        <v>0</v>
      </c>
      <c r="W225">
        <f>'[1]2026 Orders'!U226</f>
        <v>0</v>
      </c>
      <c r="X225">
        <f>'[1]2026 Orders'!V226</f>
        <v>0</v>
      </c>
      <c r="Y225">
        <f>'[1]2026 Orders'!W226</f>
        <v>0</v>
      </c>
      <c r="Z225">
        <f>'[1]2026 Orders'!X226</f>
        <v>0</v>
      </c>
      <c r="AC225" t="str">
        <f t="shared" si="6"/>
        <v>/20</v>
      </c>
      <c r="AD225" t="e">
        <f t="shared" si="7"/>
        <v>#VALUE!</v>
      </c>
    </row>
    <row r="226" spans="1:30" ht="33" hidden="1" customHeight="1" x14ac:dyDescent="0.3">
      <c r="A226">
        <f>'[1]2026 Orders'!A227</f>
        <v>46028</v>
      </c>
      <c r="B226" s="14" t="str">
        <f>'[1]2026 Orders'!B227</f>
        <v>Libya</v>
      </c>
      <c r="C226" s="14" t="str">
        <f>'[1]2026 Orders'!C227</f>
        <v>A4706</v>
      </c>
      <c r="D226" s="14">
        <f>'[1]2026 Orders'!D227</f>
        <v>0</v>
      </c>
      <c r="E226" s="17" t="str" cm="1">
        <f t="array" ref="E226">IF(C226=0,"",
HYPERLINK(
"#'2026 Orders'!C"&amp;
MATCH(1,
('2026 Orders'!C:C=C226)*
('2026 Orders'!G:G=G226)*
('2026 Orders'!N:N=N226),
0),
"Open "&amp;C226
))</f>
        <v>Open A4706</v>
      </c>
      <c r="F226" s="14" t="str">
        <f>'[1]2026 Orders'!F227</f>
        <v>3/4/2026 - Status changed to out of stock as 300 packs moved to UAE A4553</v>
      </c>
      <c r="G226" s="14" t="str">
        <f>'[1]2026 Orders'!G227</f>
        <v>POLYSIT-90-CS-LY</v>
      </c>
      <c r="H226" s="14" t="str" cm="1">
        <f t="array" ref="H226">IFERROR(_xlfn.TEXTJOIN("-",,INDEX(_xlfn.TEXTSPLIT(TableGive[[#This Row],[SKU]],"-"),{1,2})),"")</f>
        <v>POLYSIT-90</v>
      </c>
      <c r="I226" s="15" t="str">
        <f>IFERROR(_xlfn.TEXTAFTER(TableGive[[#This Row],[SKU]],"-",-1),"")</f>
        <v>LY</v>
      </c>
      <c r="J226" s="14">
        <f>'[1]2026 Orders'!H227</f>
        <v>300</v>
      </c>
      <c r="K226" t="str">
        <f>'[1]2026 Orders'!I227</f>
        <v>LY53-24.0</v>
      </c>
      <c r="L226">
        <f>'[1]2026 Orders'!J227</f>
        <v>0</v>
      </c>
      <c r="N226" s="10" t="str">
        <f>'[1]2026 Orders'!L227</f>
        <v>In Production</v>
      </c>
      <c r="O226">
        <f>'[1]2026 Orders'!M227</f>
        <v>0</v>
      </c>
      <c r="P226" t="str">
        <f>'[1]2026 Orders'!N227</f>
        <v>Y</v>
      </c>
      <c r="Q226">
        <f>'[1]2026 Orders'!O227</f>
        <v>604776739203</v>
      </c>
      <c r="R226">
        <f>'[1]2026 Orders'!P227</f>
        <v>5000</v>
      </c>
      <c r="S226">
        <f>'[1]2026 Orders'!Q227</f>
        <v>5034</v>
      </c>
      <c r="T226">
        <f>'[1]2026 Orders'!R227</f>
        <v>46204</v>
      </c>
      <c r="U226">
        <f>'[1]2026 Orders'!S227</f>
        <v>0</v>
      </c>
      <c r="V226">
        <f>'[1]2026 Orders'!T227</f>
        <v>0</v>
      </c>
      <c r="W226">
        <f>'[1]2026 Orders'!U227</f>
        <v>0</v>
      </c>
      <c r="X226">
        <f>'[1]2026 Orders'!V227</f>
        <v>0</v>
      </c>
      <c r="Y226">
        <f>'[1]2026 Orders'!W227</f>
        <v>0</v>
      </c>
      <c r="Z226" t="str">
        <f>'[1]2026 Orders'!X227</f>
        <v>HOLD</v>
      </c>
      <c r="AC226" t="str">
        <f t="shared" si="6"/>
        <v>/300</v>
      </c>
      <c r="AD226" t="e">
        <f t="shared" si="7"/>
        <v>#VALUE!</v>
      </c>
    </row>
    <row r="227" spans="1:30" ht="33" hidden="1" customHeight="1" x14ac:dyDescent="0.3">
      <c r="A227">
        <f>'[1]2026 Orders'!A228</f>
        <v>46009</v>
      </c>
      <c r="B227" s="14" t="str">
        <f>'[1]2026 Orders'!B228</f>
        <v>Georgia</v>
      </c>
      <c r="C227" s="14" t="str">
        <f>'[1]2026 Orders'!C228</f>
        <v>A4625</v>
      </c>
      <c r="D227" s="14">
        <f>'[1]2026 Orders'!D228</f>
        <v>0</v>
      </c>
      <c r="E227" s="17" t="e" cm="1">
        <f t="array" ref="E227">IF(C227=0,"",
HYPERLINK(
"#'2026 Orders'!C"&amp;
MATCH(1,
('2026 Orders'!C:C=C227)*
('2026 Orders'!G:G=G227)*
('2026 Orders'!N:N=N227),
0),
"Open "&amp;C227
))</f>
        <v>#N/A</v>
      </c>
      <c r="F227" s="14" t="str">
        <f>'[1]2026 Orders'!F228</f>
        <v>( l-argine ) 1/15/2025 moved to back order</v>
      </c>
      <c r="G227" s="14" t="str">
        <f>'[1]2026 Orders'!G228</f>
        <v>ARGI-100-CS-GE</v>
      </c>
      <c r="H227" s="14" t="str" cm="1">
        <f t="array" ref="H227">IFERROR(_xlfn.TEXTJOIN("-",,INDEX(_xlfn.TEXTSPLIT(TableGive[[#This Row],[SKU]],"-"),{1,2})),"")</f>
        <v>ARGI-100</v>
      </c>
      <c r="I227" s="15" t="str">
        <f>IFERROR(_xlfn.TEXTAFTER(TableGive[[#This Row],[SKU]],"-",-1),"")</f>
        <v>GE</v>
      </c>
      <c r="J227" s="14">
        <f>'[1]2026 Orders'!H228</f>
        <v>239</v>
      </c>
      <c r="K227" t="str">
        <f>'[1]2026 Orders'!I228</f>
        <v>GO25-21.0</v>
      </c>
      <c r="L227">
        <f>'[1]2026 Orders'!J228</f>
        <v>0</v>
      </c>
      <c r="N227" s="10">
        <f>'[1]2026 Orders'!L228</f>
        <v>0</v>
      </c>
      <c r="O227">
        <f>'[1]2026 Orders'!M228</f>
        <v>0</v>
      </c>
      <c r="P227" t="str">
        <f>'[1]2026 Orders'!N228</f>
        <v>NA</v>
      </c>
      <c r="Q227">
        <f>'[1]2026 Orders'!O228</f>
        <v>604776738657</v>
      </c>
      <c r="R227">
        <f>'[1]2026 Orders'!P228</f>
        <v>2000</v>
      </c>
      <c r="S227">
        <f>'[1]2026 Orders'!Q228</f>
        <v>4998</v>
      </c>
      <c r="T227" t="str">
        <f>'[1]2026 Orders'!R228</f>
        <v>TBD</v>
      </c>
      <c r="U227" t="str">
        <f>'[1]2026 Orders'!S228</f>
        <v>MOQ 2000</v>
      </c>
      <c r="V227">
        <f>'[1]2026 Orders'!T228</f>
        <v>0</v>
      </c>
      <c r="W227">
        <f>'[1]2026 Orders'!U228</f>
        <v>0</v>
      </c>
      <c r="X227">
        <f>'[1]2026 Orders'!V228</f>
        <v>0</v>
      </c>
      <c r="Y227">
        <f>'[1]2026 Orders'!W228</f>
        <v>0</v>
      </c>
      <c r="Z227" t="str">
        <f>'[1]2026 Orders'!X228</f>
        <v>HOLD</v>
      </c>
      <c r="AC227" t="str">
        <f t="shared" si="6"/>
        <v>/239</v>
      </c>
      <c r="AD227" t="e">
        <f t="shared" si="7"/>
        <v>#VALUE!</v>
      </c>
    </row>
    <row r="228" spans="1:30" ht="33" hidden="1" customHeight="1" x14ac:dyDescent="0.3">
      <c r="A228">
        <f>'[1]2026 Orders'!A229</f>
        <v>46029</v>
      </c>
      <c r="B228" s="14" t="str">
        <f>'[1]2026 Orders'!B229</f>
        <v>Kuwait</v>
      </c>
      <c r="C228" s="14" t="str">
        <f>'[1]2026 Orders'!C229</f>
        <v>A4696</v>
      </c>
      <c r="D228" s="14">
        <f>'[1]2026 Orders'!D229</f>
        <v>0</v>
      </c>
      <c r="E228" s="17" t="str" cm="1">
        <f t="array" ref="E228">IF(C228=0,"",
HYPERLINK(
"#'2026 Orders'!C"&amp;
MATCH(1,
('2026 Orders'!C:C=C228)*
('2026 Orders'!G:G=G228)*
('2026 Orders'!N:N=N228),
0),
"Open "&amp;C228
))</f>
        <v>Open A4696</v>
      </c>
      <c r="F228" s="14" t="str">
        <f>'[1]2026 Orders'!F229</f>
        <v xml:space="preserve">Needs to be converted to green capsules </v>
      </c>
      <c r="G228" s="14" t="str">
        <f>'[1]2026 Orders'!G229</f>
        <v>CAVINADV-60-CS-KW</v>
      </c>
      <c r="H228" s="14" t="str" cm="1">
        <f t="array" ref="H228">IFERROR(_xlfn.TEXTJOIN("-",,INDEX(_xlfn.TEXTSPLIT(TableGive[[#This Row],[SKU]],"-"),{1,2})),"")</f>
        <v>CAVINADV-60</v>
      </c>
      <c r="I228" s="15" t="str">
        <f>IFERROR(_xlfn.TEXTAFTER(TableGive[[#This Row],[SKU]],"-",-1),"")</f>
        <v>KW</v>
      </c>
      <c r="J228" s="14">
        <f>'[1]2026 Orders'!H229</f>
        <v>1</v>
      </c>
      <c r="K228" t="str">
        <f>'[1]2026 Orders'!I229</f>
        <v>KW09-26.0</v>
      </c>
      <c r="L228">
        <f>'[1]2026 Orders'!J229</f>
        <v>1</v>
      </c>
      <c r="N228" s="10" t="str">
        <f>'[1]2026 Orders'!L229</f>
        <v>D/W Sent</v>
      </c>
      <c r="O228">
        <f>'[1]2026 Orders'!M229</f>
        <v>46147</v>
      </c>
      <c r="P228" t="str">
        <f>'[1]2026 Orders'!N229</f>
        <v>NA</v>
      </c>
      <c r="Q228">
        <f>'[1]2026 Orders'!O229</f>
        <v>604776740179</v>
      </c>
      <c r="R228">
        <f>'[1]2026 Orders'!P229</f>
        <v>0</v>
      </c>
      <c r="S228">
        <f>'[1]2026 Orders'!Q229</f>
        <v>0</v>
      </c>
      <c r="T228">
        <f>'[1]2026 Orders'!R229</f>
        <v>0</v>
      </c>
      <c r="U228">
        <f>'[1]2026 Orders'!S229</f>
        <v>0</v>
      </c>
      <c r="V228">
        <f>'[1]2026 Orders'!T229</f>
        <v>0</v>
      </c>
      <c r="W228">
        <f>'[1]2026 Orders'!U229</f>
        <v>0</v>
      </c>
      <c r="X228">
        <f>'[1]2026 Orders'!V229</f>
        <v>0</v>
      </c>
      <c r="Y228">
        <f>'[1]2026 Orders'!W229</f>
        <v>0</v>
      </c>
      <c r="Z228" t="str">
        <f>'[1]2026 Orders'!X229</f>
        <v>Approved</v>
      </c>
      <c r="AC228" t="str">
        <f t="shared" si="6"/>
        <v>/1</v>
      </c>
      <c r="AD228" t="e">
        <f t="shared" si="7"/>
        <v>#VALUE!</v>
      </c>
    </row>
    <row r="229" spans="1:30" ht="33" hidden="1" customHeight="1" x14ac:dyDescent="0.3">
      <c r="A229">
        <f>'[1]2026 Orders'!A230</f>
        <v>46013</v>
      </c>
      <c r="B229" s="14" t="str">
        <f>'[1]2026 Orders'!B230</f>
        <v>Nigeria</v>
      </c>
      <c r="C229" s="14" t="str">
        <f>'[1]2026 Orders'!C230</f>
        <v>A4616</v>
      </c>
      <c r="D229" s="14" t="str">
        <f>'[1]2026 Orders'!D230</f>
        <v>waiting on import permit</v>
      </c>
      <c r="E229" s="17" t="e" cm="1">
        <f t="array" ref="E229">IF(C229=0,"",
HYPERLINK(
"#'2026 Orders'!C"&amp;
MATCH(1,
('2026 Orders'!C:C=C229)*
('2026 Orders'!G:G=G229)*
('2026 Orders'!N:N=N229),
0),
"Open "&amp;C229
))</f>
        <v>#N/A</v>
      </c>
      <c r="F229" s="14" t="str">
        <f>'[1]2026 Orders'!F230</f>
        <v xml:space="preserve">1/8/2025: quanitity increased 16 bottles </v>
      </c>
      <c r="G229" s="14" t="str">
        <f>'[1]2026 Orders'!G230</f>
        <v>FERTMX-90-CS-NI</v>
      </c>
      <c r="H229" s="14" t="str" cm="1">
        <f t="array" ref="H229">IFERROR(_xlfn.TEXTJOIN("-",,INDEX(_xlfn.TEXTSPLIT(TableGive[[#This Row],[SKU]],"-"),{1,2})),"")</f>
        <v>FERTMX-90</v>
      </c>
      <c r="I229" s="15" t="str">
        <f>IFERROR(_xlfn.TEXTAFTER(TableGive[[#This Row],[SKU]],"-",-1),"")</f>
        <v>NI</v>
      </c>
      <c r="J229" s="14">
        <f>'[1]2026 Orders'!H230</f>
        <v>216</v>
      </c>
      <c r="K229" t="str">
        <f>'[1]2026 Orders'!I230</f>
        <v>NI16|26.0</v>
      </c>
      <c r="L229">
        <f>'[1]2026 Orders'!J230</f>
        <v>216</v>
      </c>
      <c r="N229" s="10">
        <f>'[1]2026 Orders'!L230</f>
        <v>0</v>
      </c>
      <c r="O229">
        <f>'[1]2026 Orders'!M230</f>
        <v>0</v>
      </c>
      <c r="P229" t="str">
        <f>'[1]2026 Orders'!N230</f>
        <v>y</v>
      </c>
      <c r="Q229">
        <f>'[1]2026 Orders'!O230</f>
        <v>604776739890</v>
      </c>
      <c r="R229">
        <f>'[1]2026 Orders'!P230</f>
        <v>0</v>
      </c>
      <c r="S229">
        <f>'[1]2026 Orders'!Q230</f>
        <v>4834</v>
      </c>
      <c r="T229">
        <f>'[1]2026 Orders'!R230</f>
        <v>0</v>
      </c>
      <c r="U229">
        <f>'[1]2026 Orders'!S230</f>
        <v>0</v>
      </c>
      <c r="V229">
        <f>'[1]2026 Orders'!T230</f>
        <v>0</v>
      </c>
      <c r="W229">
        <f>'[1]2026 Orders'!U230</f>
        <v>0</v>
      </c>
      <c r="X229">
        <f>'[1]2026 Orders'!V230</f>
        <v>0</v>
      </c>
      <c r="Y229">
        <f>'[1]2026 Orders'!W230</f>
        <v>0</v>
      </c>
      <c r="Z229" t="str">
        <f>'[1]2026 Orders'!X230</f>
        <v>HOLD</v>
      </c>
      <c r="AC229" t="str">
        <f t="shared" si="6"/>
        <v>/216</v>
      </c>
      <c r="AD229" t="e">
        <f t="shared" si="7"/>
        <v>#VALUE!</v>
      </c>
    </row>
    <row r="230" spans="1:30" ht="33" hidden="1" customHeight="1" x14ac:dyDescent="0.3">
      <c r="A230">
        <f>'[1]2026 Orders'!A231</f>
        <v>46028</v>
      </c>
      <c r="B230" s="14" t="str">
        <f>'[1]2026 Orders'!B231</f>
        <v>Kuwait</v>
      </c>
      <c r="C230" s="14" t="str">
        <f>'[1]2026 Orders'!C231</f>
        <v>A4648</v>
      </c>
      <c r="D230" s="14" t="str">
        <f>'[1]2026 Orders'!D231</f>
        <v>EyeCaps are to be placed on hold for now. Cannot register product w/ current formula, waiting for labels.</v>
      </c>
      <c r="E230" s="17" t="str" cm="1">
        <f t="array" ref="E230">IF(C230=0,"",
HYPERLINK(
"#'2026 Orders'!C"&amp;
MATCH(1,
('2026 Orders'!C:C=C230)*
('2026 Orders'!G:G=G230)*
('2026 Orders'!N:N=N230),
0),
"Open "&amp;C230
))</f>
        <v>Open A4648</v>
      </c>
      <c r="F230" s="14" t="str">
        <f>'[1]2026 Orders'!F231</f>
        <v xml:space="preserve">Regular product with country specific labels </v>
      </c>
      <c r="G230" s="14" t="str">
        <f>'[1]2026 Orders'!G231</f>
        <v>EYECAP-30-CS-KW</v>
      </c>
      <c r="H230" s="14" t="str" cm="1">
        <f t="array" ref="H230">IFERROR(_xlfn.TEXTJOIN("-",,INDEX(_xlfn.TEXTSPLIT(TableGive[[#This Row],[SKU]],"-"),{1,2})),"")</f>
        <v>EYECAP-30</v>
      </c>
      <c r="I230" s="15" t="str">
        <f>IFERROR(_xlfn.TEXTAFTER(TableGive[[#This Row],[SKU]],"-",-1),"")</f>
        <v>KW</v>
      </c>
      <c r="J230" s="14">
        <f>'[1]2026 Orders'!H231</f>
        <v>5</v>
      </c>
      <c r="K230" t="str">
        <f>'[1]2026 Orders'!I231</f>
        <v>N/A</v>
      </c>
      <c r="L230">
        <f>'[1]2026 Orders'!J231</f>
        <v>5</v>
      </c>
      <c r="N230" s="10" t="str">
        <f>'[1]2026 Orders'!L231</f>
        <v>Sales Action Needed</v>
      </c>
      <c r="O230" t="str">
        <f>'[1]2026 Orders'!M231</f>
        <v>label and sku non existent</v>
      </c>
      <c r="P230" t="str">
        <f>'[1]2026 Orders'!N231</f>
        <v>Y</v>
      </c>
      <c r="Q230" t="str">
        <f>'[1]2026 Orders'!O231</f>
        <v>N/A</v>
      </c>
      <c r="R230">
        <f>'[1]2026 Orders'!P231</f>
        <v>0</v>
      </c>
      <c r="S230">
        <f>'[1]2026 Orders'!Q231</f>
        <v>0</v>
      </c>
      <c r="T230">
        <f>'[1]2026 Orders'!R231</f>
        <v>0</v>
      </c>
      <c r="U230">
        <f>'[1]2026 Orders'!S231</f>
        <v>0</v>
      </c>
      <c r="V230">
        <f>'[1]2026 Orders'!T231</f>
        <v>0</v>
      </c>
      <c r="W230">
        <f>'[1]2026 Orders'!U231</f>
        <v>0</v>
      </c>
      <c r="X230">
        <f>'[1]2026 Orders'!V231</f>
        <v>0</v>
      </c>
      <c r="Y230">
        <f>'[1]2026 Orders'!W231</f>
        <v>0</v>
      </c>
      <c r="Z230" t="str">
        <f>'[1]2026 Orders'!X231</f>
        <v>Approved</v>
      </c>
      <c r="AC230" t="str">
        <f t="shared" si="6"/>
        <v>/5</v>
      </c>
      <c r="AD230" t="e">
        <f t="shared" si="7"/>
        <v>#VALUE!</v>
      </c>
    </row>
    <row r="231" spans="1:30" ht="33" hidden="1" customHeight="1" x14ac:dyDescent="0.3">
      <c r="A231">
        <f>'[1]2026 Orders'!A232</f>
        <v>46013</v>
      </c>
      <c r="B231" s="14" t="str">
        <f>'[1]2026 Orders'!B232</f>
        <v>Nigeria</v>
      </c>
      <c r="C231" s="14" t="str">
        <f>'[1]2026 Orders'!C232</f>
        <v>A4616</v>
      </c>
      <c r="D231" s="14">
        <f>'[1]2026 Orders'!D232</f>
        <v>0</v>
      </c>
      <c r="E231" s="17" t="e" cm="1">
        <f t="array" ref="E231">IF(C231=0,"",
HYPERLINK(
"#'2026 Orders'!C"&amp;
MATCH(1,
('2026 Orders'!C:C=C231)*
('2026 Orders'!G:G=G231)*
('2026 Orders'!N:N=N231),
0),
"Open "&amp;C231
))</f>
        <v>#N/A</v>
      </c>
      <c r="F231" s="14" t="str">
        <f>'[1]2026 Orders'!F232</f>
        <v xml:space="preserve">1/8/2025: quanitity increased 16 bottles </v>
      </c>
      <c r="G231" s="14" t="str">
        <f>'[1]2026 Orders'!G232</f>
        <v>MOTILMX-60-CS-NI</v>
      </c>
      <c r="H231" s="14" t="str" cm="1">
        <f t="array" ref="H231">IFERROR(_xlfn.TEXTJOIN("-",,INDEX(_xlfn.TEXTSPLIT(TableGive[[#This Row],[SKU]],"-"),{1,2})),"")</f>
        <v>MOTILMX-60</v>
      </c>
      <c r="I231" s="15" t="str">
        <f>IFERROR(_xlfn.TEXTAFTER(TableGive[[#This Row],[SKU]],"-",-1),"")</f>
        <v>NI</v>
      </c>
      <c r="J231" s="14">
        <f>'[1]2026 Orders'!H232</f>
        <v>96</v>
      </c>
      <c r="K231" t="str">
        <f>'[1]2026 Orders'!I232</f>
        <v>NI31|26.0</v>
      </c>
      <c r="L231">
        <f>'[1]2026 Orders'!J232</f>
        <v>96</v>
      </c>
      <c r="N231" s="10">
        <f>'[1]2026 Orders'!L232</f>
        <v>0</v>
      </c>
      <c r="O231">
        <f>'[1]2026 Orders'!M232</f>
        <v>0</v>
      </c>
      <c r="P231" t="str">
        <f>'[1]2026 Orders'!N232</f>
        <v>NA</v>
      </c>
      <c r="Q231">
        <f>'[1]2026 Orders'!O232</f>
        <v>604776739906</v>
      </c>
      <c r="R231">
        <f>'[1]2026 Orders'!P232</f>
        <v>0</v>
      </c>
      <c r="S231">
        <f>'[1]2026 Orders'!Q232</f>
        <v>4848</v>
      </c>
      <c r="T231">
        <f>'[1]2026 Orders'!R232</f>
        <v>0</v>
      </c>
      <c r="U231">
        <f>'[1]2026 Orders'!S232</f>
        <v>0</v>
      </c>
      <c r="V231">
        <f>'[1]2026 Orders'!T232</f>
        <v>0</v>
      </c>
      <c r="W231">
        <f>'[1]2026 Orders'!U232</f>
        <v>0</v>
      </c>
      <c r="X231">
        <f>'[1]2026 Orders'!V232</f>
        <v>0</v>
      </c>
      <c r="Y231">
        <f>'[1]2026 Orders'!W232</f>
        <v>0</v>
      </c>
      <c r="Z231">
        <f>'[1]2026 Orders'!X232</f>
        <v>0</v>
      </c>
      <c r="AC231" t="str">
        <f t="shared" si="6"/>
        <v>/96</v>
      </c>
      <c r="AD231" t="e">
        <f t="shared" si="7"/>
        <v>#VALUE!</v>
      </c>
    </row>
    <row r="232" spans="1:30" ht="33" hidden="1" customHeight="1" x14ac:dyDescent="0.3">
      <c r="A232">
        <f>'[1]2026 Orders'!A233</f>
        <v>46037</v>
      </c>
      <c r="B232" s="14" t="str">
        <f>'[1]2026 Orders'!B233</f>
        <v>Iraq</v>
      </c>
      <c r="C232" s="14" t="str">
        <f>'[1]2026 Orders'!C233</f>
        <v>A4626</v>
      </c>
      <c r="D232" s="14">
        <f>'[1]2026 Orders'!D233</f>
        <v>0</v>
      </c>
      <c r="E232" s="17" t="str" cm="1">
        <f t="array" ref="E232">IF(C232=0,"",
HYPERLINK(
"#'2026 Orders'!C"&amp;
MATCH(1,
('2026 Orders'!C:C=C232)*
('2026 Orders'!G:G=G232)*
('2026 Orders'!N:N=N232),
0),
"Open "&amp;C232
))</f>
        <v>Open A4626</v>
      </c>
      <c r="F232" s="14">
        <f>'[1]2026 Orders'!F233</f>
        <v>0</v>
      </c>
      <c r="G232" s="14" t="str">
        <f>'[1]2026 Orders'!G233</f>
        <v>CAVINAD-60-FD</v>
      </c>
      <c r="H232" s="14" t="str" cm="1">
        <f t="array" ref="H232">IFERROR(_xlfn.TEXTJOIN("-",,INDEX(_xlfn.TEXTSPLIT(TableGive[[#This Row],[SKU]],"-"),{1,2})),"")</f>
        <v>CAVINAD-60</v>
      </c>
      <c r="I232" s="15" t="str">
        <f>IFERROR(_xlfn.TEXTAFTER(TableGive[[#This Row],[SKU]],"-",-1),"")</f>
        <v>FD</v>
      </c>
      <c r="J232" s="14">
        <f>'[1]2026 Orders'!H233</f>
        <v>4000</v>
      </c>
      <c r="K232" t="str">
        <f>'[1]2026 Orders'!I233</f>
        <v>F09-25.0</v>
      </c>
      <c r="L232">
        <f>'[1]2026 Orders'!J233</f>
        <v>4000</v>
      </c>
      <c r="N232" s="10" t="str">
        <f>'[1]2026 Orders'!L233</f>
        <v>ON HOLD</v>
      </c>
      <c r="O232">
        <f>'[1]2026 Orders'!M233</f>
        <v>0</v>
      </c>
      <c r="P232">
        <f>'[1]2026 Orders'!N233</f>
        <v>0</v>
      </c>
      <c r="Q232">
        <f>'[1]2026 Orders'!O233</f>
        <v>609788968610</v>
      </c>
      <c r="R232">
        <f>'[1]2026 Orders'!P233</f>
        <v>4000</v>
      </c>
      <c r="S232">
        <f>'[1]2026 Orders'!Q233</f>
        <v>4992</v>
      </c>
      <c r="T232" t="str">
        <f>'[1]2026 Orders'!R233</f>
        <v>TBD</v>
      </c>
      <c r="U232">
        <f>'[1]2026 Orders'!S233</f>
        <v>0</v>
      </c>
      <c r="V232">
        <f>'[1]2026 Orders'!T233</f>
        <v>0</v>
      </c>
      <c r="W232">
        <f>'[1]2026 Orders'!U233</f>
        <v>0</v>
      </c>
      <c r="X232">
        <f>'[1]2026 Orders'!V233</f>
        <v>0</v>
      </c>
      <c r="Y232">
        <f>'[1]2026 Orders'!W233</f>
        <v>0</v>
      </c>
      <c r="Z232" t="str">
        <f>'[1]2026 Orders'!X233</f>
        <v>HOLD</v>
      </c>
      <c r="AC232" t="str">
        <f t="shared" si="6"/>
        <v>/4000</v>
      </c>
      <c r="AD232" t="e">
        <f t="shared" si="7"/>
        <v>#VALUE!</v>
      </c>
    </row>
    <row r="233" spans="1:30" ht="33" hidden="1" customHeight="1" x14ac:dyDescent="0.3">
      <c r="A233">
        <f>'[1]2026 Orders'!A234</f>
        <v>46013</v>
      </c>
      <c r="B233" s="14" t="str">
        <f>'[1]2026 Orders'!B234</f>
        <v>Nigeria</v>
      </c>
      <c r="C233" s="14" t="str">
        <f>'[1]2026 Orders'!C234</f>
        <v>A4616</v>
      </c>
      <c r="D233" s="14">
        <f>'[1]2026 Orders'!D234</f>
        <v>0</v>
      </c>
      <c r="E233" s="17" t="str" cm="1">
        <f t="array" ref="E233">IF(C233=0,"",
HYPERLINK(
"#'2026 Orders'!C"&amp;
MATCH(1,
('2026 Orders'!C:C=C233)*
('2026 Orders'!G:G=G233)*
('2026 Orders'!N:N=N233),
0),
"Open "&amp;C233
))</f>
        <v>Open A4616</v>
      </c>
      <c r="F233" s="14" t="str">
        <f>'[1]2026 Orders'!F234</f>
        <v xml:space="preserve">1/8/2025: quanitity increased 20 bottles </v>
      </c>
      <c r="G233" s="14" t="str">
        <f>'[1]2026 Orders'!G234</f>
        <v>WFSPLS-180-CS-NI</v>
      </c>
      <c r="H233" s="14" t="str" cm="1">
        <f t="array" ref="H233">IFERROR(_xlfn.TEXTJOIN("-",,INDEX(_xlfn.TEXTSPLIT(TableGive[[#This Row],[SKU]],"-"),{1,2})),"")</f>
        <v>WFSPLS-180</v>
      </c>
      <c r="I233" s="15" t="str">
        <f>IFERROR(_xlfn.TEXTAFTER(TableGive[[#This Row],[SKU]],"-",-1),"")</f>
        <v>NI</v>
      </c>
      <c r="J233" s="14">
        <f>'[1]2026 Orders'!H234</f>
        <v>120</v>
      </c>
      <c r="K233" t="str">
        <f>'[1]2026 Orders'!I234</f>
        <v>NI73|26.0</v>
      </c>
      <c r="L233">
        <f>'[1]2026 Orders'!J234</f>
        <v>120</v>
      </c>
      <c r="N233" s="10" t="str">
        <f>'[1]2026 Orders'!L234</f>
        <v>D/W Sent</v>
      </c>
      <c r="O233">
        <f>'[1]2026 Orders'!M234</f>
        <v>0</v>
      </c>
      <c r="P233" t="str">
        <f>'[1]2026 Orders'!N234</f>
        <v>NA</v>
      </c>
      <c r="Q233">
        <f>'[1]2026 Orders'!O234</f>
        <v>604776739920</v>
      </c>
      <c r="R233">
        <f>'[1]2026 Orders'!P234</f>
        <v>0</v>
      </c>
      <c r="S233">
        <f>'[1]2026 Orders'!Q234</f>
        <v>4684</v>
      </c>
      <c r="T233">
        <f>'[1]2026 Orders'!R234</f>
        <v>0</v>
      </c>
      <c r="U233">
        <f>'[1]2026 Orders'!S234</f>
        <v>0</v>
      </c>
      <c r="V233">
        <f>'[1]2026 Orders'!T234</f>
        <v>0</v>
      </c>
      <c r="W233">
        <f>'[1]2026 Orders'!U234</f>
        <v>0</v>
      </c>
      <c r="X233">
        <f>'[1]2026 Orders'!V234</f>
        <v>0</v>
      </c>
      <c r="Y233">
        <f>'[1]2026 Orders'!W234</f>
        <v>0</v>
      </c>
      <c r="Z233">
        <f>'[1]2026 Orders'!X234</f>
        <v>0</v>
      </c>
      <c r="AC233" t="str">
        <f t="shared" si="6"/>
        <v>/120</v>
      </c>
      <c r="AD233" t="e">
        <f t="shared" si="7"/>
        <v>#VALUE!</v>
      </c>
    </row>
    <row r="234" spans="1:30" ht="33" hidden="1" customHeight="1" x14ac:dyDescent="0.3">
      <c r="A234">
        <f>'[1]2026 Orders'!A235</f>
        <v>46073</v>
      </c>
      <c r="B234" s="14" t="str">
        <f>'[1]2026 Orders'!B235</f>
        <v>Somalia</v>
      </c>
      <c r="C234" s="14" t="str">
        <f>'[1]2026 Orders'!C235</f>
        <v>A4708</v>
      </c>
      <c r="D234" s="14">
        <f>'[1]2026 Orders'!D235</f>
        <v>0</v>
      </c>
      <c r="E234" s="17" t="str" cm="1">
        <f t="array" ref="E234">IF(C234=0,"",
HYPERLINK(
"#'2026 Orders'!C"&amp;
MATCH(1,
('2026 Orders'!C:C=C234)*
('2026 Orders'!G:G=G234)*
('2026 Orders'!N:N=N234),
0),
"Open "&amp;C234
))</f>
        <v>Open A4708</v>
      </c>
      <c r="F234" s="14" t="str">
        <f>'[1]2026 Orders'!F235</f>
        <v>5/21/2026: 1320 packs moved from Somalia A4686</v>
      </c>
      <c r="G234" s="14" t="str">
        <f>'[1]2026 Orders'!G235</f>
        <v>DHEA50-60-FD</v>
      </c>
      <c r="H234" s="14" t="str" cm="1">
        <f t="array" ref="H234">IFERROR(_xlfn.TEXTJOIN("-",,INDEX(_xlfn.TEXTSPLIT(TableGive[[#This Row],[SKU]],"-"),{1,2})),"")</f>
        <v>DHEA50-60</v>
      </c>
      <c r="I234" s="15" t="str">
        <f>IFERROR(_xlfn.TEXTAFTER(TableGive[[#This Row],[SKU]],"-",-1),"")</f>
        <v>FD</v>
      </c>
      <c r="J234" s="14">
        <f>'[1]2026 Orders'!H235</f>
        <v>1320</v>
      </c>
      <c r="K234" t="str">
        <f>'[1]2026 Orders'!I235</f>
        <v>F13-25.2</v>
      </c>
      <c r="L234">
        <f>'[1]2026 Orders'!J235</f>
        <v>0</v>
      </c>
      <c r="N234" s="10" t="str">
        <f>'[1]2026 Orders'!L235</f>
        <v>In Production</v>
      </c>
      <c r="O234">
        <f>'[1]2026 Orders'!M235</f>
        <v>0</v>
      </c>
      <c r="P234" t="str">
        <f>'[1]2026 Orders'!N235</f>
        <v>NA</v>
      </c>
      <c r="Q234">
        <f>'[1]2026 Orders'!O235</f>
        <v>609788968221</v>
      </c>
      <c r="R234">
        <f>'[1]2026 Orders'!P235</f>
        <v>7000</v>
      </c>
      <c r="S234">
        <f>'[1]2026 Orders'!Q235</f>
        <v>5027</v>
      </c>
      <c r="T234">
        <f>'[1]2026 Orders'!R235</f>
        <v>46201</v>
      </c>
      <c r="U234">
        <f>'[1]2026 Orders'!S235</f>
        <v>0</v>
      </c>
      <c r="V234">
        <f>'[1]2026 Orders'!T235</f>
        <v>0</v>
      </c>
      <c r="W234">
        <f>'[1]2026 Orders'!U235</f>
        <v>0</v>
      </c>
      <c r="X234">
        <f>'[1]2026 Orders'!V235</f>
        <v>0</v>
      </c>
      <c r="Y234">
        <f>'[1]2026 Orders'!W235</f>
        <v>0</v>
      </c>
      <c r="Z234" t="str">
        <f>'[1]2026 Orders'!X235</f>
        <v>Approved</v>
      </c>
      <c r="AC234" t="str">
        <f t="shared" si="6"/>
        <v>/1320</v>
      </c>
      <c r="AD234" t="e">
        <f t="shared" si="7"/>
        <v>#VALUE!</v>
      </c>
    </row>
    <row r="235" spans="1:30" ht="33" hidden="1" customHeight="1" x14ac:dyDescent="0.3">
      <c r="A235">
        <f>'[1]2026 Orders'!A236</f>
        <v>0</v>
      </c>
      <c r="B235" s="14">
        <f>'[1]2026 Orders'!B236</f>
        <v>0</v>
      </c>
      <c r="C235" s="14">
        <f>'[1]2026 Orders'!C236</f>
        <v>0</v>
      </c>
      <c r="D235" s="14">
        <f>'[1]2026 Orders'!D236</f>
        <v>0</v>
      </c>
      <c r="E235" s="17" t="str" cm="1">
        <f t="array" ref="E235">IF(C235=0,"",
HYPERLINK(
"#'2026 Orders'!C"&amp;
MATCH(1,
('2026 Orders'!C:C=C235)*
('2026 Orders'!G:G=G235)*
('2026 Orders'!N:N=N235),
0),
"Open "&amp;C235
))</f>
        <v/>
      </c>
      <c r="F235" s="14">
        <f>'[1]2026 Orders'!F236</f>
        <v>0</v>
      </c>
      <c r="G235" s="14">
        <f>'[1]2026 Orders'!G236</f>
        <v>0</v>
      </c>
      <c r="H235" s="14" t="str" cm="1">
        <f t="array" ref="H235">IFERROR(_xlfn.TEXTJOIN("-",,INDEX(_xlfn.TEXTSPLIT(TableGive[[#This Row],[SKU]],"-"),{1,2})),"")</f>
        <v/>
      </c>
      <c r="I235" s="15" t="str">
        <f>IFERROR(_xlfn.TEXTAFTER(TableGive[[#This Row],[SKU]],"-",-1),"")</f>
        <v/>
      </c>
      <c r="J235" s="14">
        <f>'[1]2026 Orders'!H236</f>
        <v>0</v>
      </c>
      <c r="K235">
        <f>'[1]2026 Orders'!I236</f>
        <v>0</v>
      </c>
      <c r="L235">
        <f>'[1]2026 Orders'!J236</f>
        <v>0</v>
      </c>
      <c r="N235" s="10">
        <f>'[1]2026 Orders'!L236</f>
        <v>0</v>
      </c>
      <c r="O235">
        <f>'[1]2026 Orders'!M236</f>
        <v>0</v>
      </c>
      <c r="P235">
        <f>'[1]2026 Orders'!N236</f>
        <v>0</v>
      </c>
      <c r="Q235">
        <f>'[1]2026 Orders'!O236</f>
        <v>0</v>
      </c>
      <c r="R235">
        <f>'[1]2026 Orders'!P236</f>
        <v>0</v>
      </c>
      <c r="S235">
        <f>'[1]2026 Orders'!Q236</f>
        <v>0</v>
      </c>
      <c r="T235">
        <f>'[1]2026 Orders'!R236</f>
        <v>0</v>
      </c>
      <c r="U235">
        <f>'[1]2026 Orders'!S236</f>
        <v>0</v>
      </c>
      <c r="V235">
        <f>'[1]2026 Orders'!T236</f>
        <v>0</v>
      </c>
      <c r="W235">
        <f>'[1]2026 Orders'!U236</f>
        <v>0</v>
      </c>
      <c r="X235">
        <f>'[1]2026 Orders'!V236</f>
        <v>0</v>
      </c>
      <c r="Y235">
        <f>'[1]2026 Orders'!W236</f>
        <v>0</v>
      </c>
      <c r="Z235">
        <f>'[1]2026 Orders'!X236</f>
        <v>0</v>
      </c>
      <c r="AC235" t="str">
        <f t="shared" si="6"/>
        <v/>
      </c>
      <c r="AD235" t="str">
        <f t="shared" si="7"/>
        <v/>
      </c>
    </row>
    <row r="236" spans="1:30" ht="33" hidden="1" customHeight="1" x14ac:dyDescent="0.3">
      <c r="A236">
        <f>'[1]2026 Orders'!A237</f>
        <v>46080</v>
      </c>
      <c r="B236" s="14" t="str">
        <f>'[1]2026 Orders'!B237</f>
        <v>Qatar</v>
      </c>
      <c r="C236" s="14" t="str">
        <f>'[1]2026 Orders'!C237</f>
        <v>A4693</v>
      </c>
      <c r="D236" s="14">
        <f>'[1]2026 Orders'!D237</f>
        <v>0</v>
      </c>
      <c r="E236" s="17" t="str" cm="1">
        <f t="array" ref="E236">IF(C236=0,"",
HYPERLINK(
"#'2026 Orders'!C"&amp;
MATCH(1,
('2026 Orders'!C:C=C236)*
('2026 Orders'!G:G=G236)*
('2026 Orders'!N:N=N236),
0),
"Open "&amp;C236
))</f>
        <v>Open A4693</v>
      </c>
      <c r="F236" s="14" t="str">
        <f>'[1]2026 Orders'!F237</f>
        <v>5/13/2026: qty decreased 
1052 -&gt; 1008 (44 packs moved to UAE A4701)
1008 packs fufilled by Ethiopia A4575</v>
      </c>
      <c r="G236" s="14" t="str">
        <f>'[1]2026 Orders'!G237</f>
        <v>MFSPLS-120-CS-QT</v>
      </c>
      <c r="H236" s="14" t="str" cm="1">
        <f t="array" ref="H236">IFERROR(_xlfn.TEXTJOIN("-",,INDEX(_xlfn.TEXTSPLIT(TableGive[[#This Row],[SKU]],"-"),{1,2})),"")</f>
        <v>MFSPLS-120</v>
      </c>
      <c r="I236" s="15" t="str">
        <f>IFERROR(_xlfn.TEXTAFTER(TableGive[[#This Row],[SKU]],"-",-1),"")</f>
        <v>QT</v>
      </c>
      <c r="J236" s="14">
        <f>'[1]2026 Orders'!H237</f>
        <v>1008</v>
      </c>
      <c r="K236" t="str">
        <f>'[1]2026 Orders'!I237</f>
        <v>QT30-24.0</v>
      </c>
      <c r="L236">
        <f>'[1]2026 Orders'!J237</f>
        <v>1008</v>
      </c>
      <c r="N236" s="10" t="str">
        <f>'[1]2026 Orders'!L237</f>
        <v>D/W Sent</v>
      </c>
      <c r="O236">
        <f>'[1]2026 Orders'!M237</f>
        <v>46181</v>
      </c>
      <c r="P236" t="str">
        <f>'[1]2026 Orders'!N237</f>
        <v>NA</v>
      </c>
      <c r="Q236">
        <f>'[1]2026 Orders'!O237</f>
        <v>604776736752</v>
      </c>
      <c r="R236">
        <f>'[1]2026 Orders'!P237</f>
        <v>0</v>
      </c>
      <c r="S236">
        <f>'[1]2026 Orders'!Q237</f>
        <v>0</v>
      </c>
      <c r="T236">
        <f>'[1]2026 Orders'!R237</f>
        <v>0</v>
      </c>
      <c r="U236">
        <f>'[1]2026 Orders'!S237</f>
        <v>0</v>
      </c>
      <c r="V236">
        <f>'[1]2026 Orders'!T237</f>
        <v>0</v>
      </c>
      <c r="W236">
        <f>'[1]2026 Orders'!U237</f>
        <v>0</v>
      </c>
      <c r="X236">
        <f>'[1]2026 Orders'!V237</f>
        <v>0</v>
      </c>
      <c r="Y236">
        <f>'[1]2026 Orders'!W237</f>
        <v>0</v>
      </c>
      <c r="Z236" t="str">
        <f>'[1]2026 Orders'!X237</f>
        <v>Approved</v>
      </c>
      <c r="AC236" t="str">
        <f t="shared" si="6"/>
        <v>/1008</v>
      </c>
      <c r="AD236" t="e">
        <f t="shared" si="7"/>
        <v>#VALUE!</v>
      </c>
    </row>
    <row r="237" spans="1:30" ht="33" hidden="1" customHeight="1" x14ac:dyDescent="0.3">
      <c r="A237">
        <f>'[1]2026 Orders'!A238</f>
        <v>46080</v>
      </c>
      <c r="B237" s="14" t="str">
        <f>'[1]2026 Orders'!B238</f>
        <v>Qatar</v>
      </c>
      <c r="C237" s="14" t="str">
        <f>'[1]2026 Orders'!C238</f>
        <v>A4693</v>
      </c>
      <c r="D237" s="14">
        <f>'[1]2026 Orders'!D238</f>
        <v>0</v>
      </c>
      <c r="E237" s="17" t="str" cm="1">
        <f t="array" ref="E237">IF(C237=0,"",
HYPERLINK(
"#'2026 Orders'!C"&amp;
MATCH(1,
('2026 Orders'!C:C=C237)*
('2026 Orders'!G:G=G237)*
('2026 Orders'!N:N=N237),
0),
"Open "&amp;C237
))</f>
        <v>Open A4693</v>
      </c>
      <c r="F237" s="14">
        <f>'[1]2026 Orders'!F238</f>
        <v>0</v>
      </c>
      <c r="G237" s="14" t="str">
        <f>'[1]2026 Orders'!G238</f>
        <v>MFSPLS-120-CS-QT</v>
      </c>
      <c r="H237" s="14" t="str" cm="1">
        <f t="array" ref="H237">IFERROR(_xlfn.TEXTJOIN("-",,INDEX(_xlfn.TEXTSPLIT(TableGive[[#This Row],[SKU]],"-"),{1,2})),"")</f>
        <v>MFSPLS-120</v>
      </c>
      <c r="I237" s="15" t="str">
        <f>IFERROR(_xlfn.TEXTAFTER(TableGive[[#This Row],[SKU]],"-",-1),"")</f>
        <v>QT</v>
      </c>
      <c r="J237" s="14">
        <f>'[1]2026 Orders'!H238</f>
        <v>598</v>
      </c>
      <c r="K237" t="str">
        <f>'[1]2026 Orders'!I238</f>
        <v>QT30-24.0</v>
      </c>
      <c r="L237">
        <f>'[1]2026 Orders'!J238</f>
        <v>598</v>
      </c>
      <c r="N237" s="10" t="str">
        <f>'[1]2026 Orders'!L238</f>
        <v>D/W Sent</v>
      </c>
      <c r="O237">
        <f>'[1]2026 Orders'!M238</f>
        <v>0</v>
      </c>
      <c r="P237" t="str">
        <f>'[1]2026 Orders'!N238</f>
        <v>NA</v>
      </c>
      <c r="Q237">
        <f>'[1]2026 Orders'!O238</f>
        <v>604776736752</v>
      </c>
      <c r="R237">
        <f>'[1]2026 Orders'!P238</f>
        <v>7000</v>
      </c>
      <c r="S237">
        <f>'[1]2026 Orders'!Q238</f>
        <v>4935</v>
      </c>
      <c r="T237" t="str">
        <f>'[1]2026 Orders'!R238</f>
        <v>complete</v>
      </c>
      <c r="U237">
        <f>'[1]2026 Orders'!S238</f>
        <v>0</v>
      </c>
      <c r="V237">
        <f>'[1]2026 Orders'!T238</f>
        <v>0</v>
      </c>
      <c r="W237">
        <f>'[1]2026 Orders'!U238</f>
        <v>0</v>
      </c>
      <c r="X237">
        <f>'[1]2026 Orders'!V238</f>
        <v>0</v>
      </c>
      <c r="Y237">
        <f>'[1]2026 Orders'!W238</f>
        <v>0</v>
      </c>
      <c r="Z237">
        <f>'[1]2026 Orders'!X238</f>
        <v>0</v>
      </c>
      <c r="AC237" t="str">
        <f t="shared" si="6"/>
        <v>/598</v>
      </c>
      <c r="AD237" t="e">
        <f t="shared" si="7"/>
        <v>#VALUE!</v>
      </c>
    </row>
    <row r="238" spans="1:30" ht="33" hidden="1" customHeight="1" x14ac:dyDescent="0.3">
      <c r="A238">
        <f>'[1]2026 Orders'!A239</f>
        <v>46080</v>
      </c>
      <c r="B238" s="14" t="str">
        <f>'[1]2026 Orders'!B239</f>
        <v>Qatar</v>
      </c>
      <c r="C238" s="14" t="str">
        <f>'[1]2026 Orders'!C239</f>
        <v>A4693</v>
      </c>
      <c r="D238" s="14">
        <f>'[1]2026 Orders'!D239</f>
        <v>0</v>
      </c>
      <c r="E238" s="17" t="str" cm="1">
        <f t="array" ref="E238">IF(C238=0,"",
HYPERLINK(
"#'2026 Orders'!C"&amp;
MATCH(1,
('2026 Orders'!C:C=C238)*
('2026 Orders'!G:G=G238)*
('2026 Orders'!N:N=N238),
0),
"Open "&amp;C238
))</f>
        <v>Open A4693</v>
      </c>
      <c r="F238" s="14">
        <f>'[1]2026 Orders'!F239</f>
        <v>0</v>
      </c>
      <c r="G238" s="14" t="str">
        <f>'[1]2026 Orders'!G239</f>
        <v>MOTILMX-60-CS-QT</v>
      </c>
      <c r="H238" s="14" t="str" cm="1">
        <f t="array" ref="H238">IFERROR(_xlfn.TEXTJOIN("-",,INDEX(_xlfn.TEXTSPLIT(TableGive[[#This Row],[SKU]],"-"),{1,2})),"")</f>
        <v>MOTILMX-60</v>
      </c>
      <c r="I238" s="15" t="str">
        <f>IFERROR(_xlfn.TEXTAFTER(TableGive[[#This Row],[SKU]],"-",-1),"")</f>
        <v>QT</v>
      </c>
      <c r="J238" s="14">
        <f>'[1]2026 Orders'!H239</f>
        <v>2200</v>
      </c>
      <c r="K238" t="str">
        <f>'[1]2026 Orders'!I239</f>
        <v>QT31-24.0</v>
      </c>
      <c r="L238">
        <f>'[1]2026 Orders'!J239</f>
        <v>2200</v>
      </c>
      <c r="N238" s="10" t="str">
        <f>'[1]2026 Orders'!L239</f>
        <v>D/W Sent</v>
      </c>
      <c r="O238">
        <f>'[1]2026 Orders'!M239</f>
        <v>0</v>
      </c>
      <c r="P238" t="str">
        <f>'[1]2026 Orders'!N239</f>
        <v>NA</v>
      </c>
      <c r="Q238">
        <f>'[1]2026 Orders'!O239</f>
        <v>604776736769</v>
      </c>
      <c r="R238">
        <f>'[1]2026 Orders'!P239</f>
        <v>0</v>
      </c>
      <c r="S238">
        <f>'[1]2026 Orders'!Q239</f>
        <v>0</v>
      </c>
      <c r="T238">
        <f>'[1]2026 Orders'!R239</f>
        <v>0</v>
      </c>
      <c r="U238">
        <f>'[1]2026 Orders'!S239</f>
        <v>0</v>
      </c>
      <c r="V238">
        <f>'[1]2026 Orders'!T239</f>
        <v>0</v>
      </c>
      <c r="W238">
        <f>'[1]2026 Orders'!U239</f>
        <v>0</v>
      </c>
      <c r="X238">
        <f>'[1]2026 Orders'!V239</f>
        <v>0</v>
      </c>
      <c r="Y238">
        <f>'[1]2026 Orders'!W239</f>
        <v>0</v>
      </c>
      <c r="Z238">
        <f>'[1]2026 Orders'!X239</f>
        <v>0</v>
      </c>
      <c r="AC238" t="str">
        <f t="shared" si="6"/>
        <v>/2200</v>
      </c>
      <c r="AD238" t="e">
        <f t="shared" si="7"/>
        <v>#VALUE!</v>
      </c>
    </row>
    <row r="239" spans="1:30" ht="33" hidden="1" customHeight="1" x14ac:dyDescent="0.3">
      <c r="A239">
        <f>'[1]2026 Orders'!A240</f>
        <v>0</v>
      </c>
      <c r="B239" s="14">
        <f>'[1]2026 Orders'!B240</f>
        <v>0</v>
      </c>
      <c r="C239" s="14">
        <f>'[1]2026 Orders'!C240</f>
        <v>0</v>
      </c>
      <c r="D239" s="14">
        <f>'[1]2026 Orders'!D240</f>
        <v>0</v>
      </c>
      <c r="E239" s="17" t="str" cm="1">
        <f t="array" ref="E239">IF(C239=0,"",
HYPERLINK(
"#'2026 Orders'!C"&amp;
MATCH(1,
('2026 Orders'!C:C=C239)*
('2026 Orders'!G:G=G239)*
('2026 Orders'!N:N=N239),
0),
"Open "&amp;C239
))</f>
        <v/>
      </c>
      <c r="F239" s="14">
        <f>'[1]2026 Orders'!F240</f>
        <v>0</v>
      </c>
      <c r="G239" s="14">
        <f>'[1]2026 Orders'!G240</f>
        <v>0</v>
      </c>
      <c r="H239" s="14" t="str" cm="1">
        <f t="array" ref="H239">IFERROR(_xlfn.TEXTJOIN("-",,INDEX(_xlfn.TEXTSPLIT(TableGive[[#This Row],[SKU]],"-"),{1,2})),"")</f>
        <v/>
      </c>
      <c r="I239" s="15" t="str">
        <f>IFERROR(_xlfn.TEXTAFTER(TableGive[[#This Row],[SKU]],"-",-1),"")</f>
        <v/>
      </c>
      <c r="J239" s="14">
        <f>'[1]2026 Orders'!H240</f>
        <v>0</v>
      </c>
      <c r="K239">
        <f>'[1]2026 Orders'!I240</f>
        <v>0</v>
      </c>
      <c r="L239">
        <f>'[1]2026 Orders'!J240</f>
        <v>0</v>
      </c>
      <c r="N239" s="10">
        <f>'[1]2026 Orders'!L240</f>
        <v>0</v>
      </c>
      <c r="O239">
        <f>'[1]2026 Orders'!M240</f>
        <v>0</v>
      </c>
      <c r="P239">
        <f>'[1]2026 Orders'!N240</f>
        <v>0</v>
      </c>
      <c r="Q239">
        <f>'[1]2026 Orders'!O240</f>
        <v>0</v>
      </c>
      <c r="R239">
        <f>'[1]2026 Orders'!P240</f>
        <v>0</v>
      </c>
      <c r="S239">
        <f>'[1]2026 Orders'!Q240</f>
        <v>0</v>
      </c>
      <c r="T239">
        <f>'[1]2026 Orders'!R240</f>
        <v>0</v>
      </c>
      <c r="U239">
        <f>'[1]2026 Orders'!S240</f>
        <v>0</v>
      </c>
      <c r="V239">
        <f>'[1]2026 Orders'!T240</f>
        <v>0</v>
      </c>
      <c r="W239">
        <f>'[1]2026 Orders'!U240</f>
        <v>0</v>
      </c>
      <c r="X239">
        <f>'[1]2026 Orders'!V240</f>
        <v>0</v>
      </c>
      <c r="Y239">
        <f>'[1]2026 Orders'!W240</f>
        <v>0</v>
      </c>
      <c r="Z239">
        <f>'[1]2026 Orders'!X240</f>
        <v>0</v>
      </c>
      <c r="AC239" t="str">
        <f t="shared" si="6"/>
        <v/>
      </c>
      <c r="AD239" t="str">
        <f t="shared" si="7"/>
        <v/>
      </c>
    </row>
    <row r="240" spans="1:30" ht="33" hidden="1" customHeight="1" x14ac:dyDescent="0.3">
      <c r="A240">
        <f>'[1]2026 Orders'!A241</f>
        <v>46080</v>
      </c>
      <c r="B240" s="14" t="str">
        <f>'[1]2026 Orders'!B241</f>
        <v>Qatar</v>
      </c>
      <c r="C240" s="14" t="str">
        <f>'[1]2026 Orders'!C241</f>
        <v>A4701</v>
      </c>
      <c r="D240" s="14">
        <f>'[1]2026 Orders'!D241</f>
        <v>0</v>
      </c>
      <c r="E240" s="17" t="str" cm="1">
        <f t="array" ref="E240">IF(C240=0,"",
HYPERLINK(
"#'2026 Orders'!C"&amp;
MATCH(1,
('2026 Orders'!C:C=C240)*
('2026 Orders'!G:G=G240)*
('2026 Orders'!N:N=N240),
0),
"Open "&amp;C240
))</f>
        <v>Open A4701</v>
      </c>
      <c r="F240" s="14" t="str">
        <f>'[1]2026 Orders'!F241</f>
        <v>5/13/2026: 44 packs moved from Qatar A4693</v>
      </c>
      <c r="G240" s="14" t="str">
        <f>'[1]2026 Orders'!G241</f>
        <v>MFSPLS-120-CS-QT</v>
      </c>
      <c r="H240" s="14" t="str" cm="1">
        <f t="array" ref="H240">IFERROR(_xlfn.TEXTJOIN("-",,INDEX(_xlfn.TEXTSPLIT(TableGive[[#This Row],[SKU]],"-"),{1,2})),"")</f>
        <v>MFSPLS-120</v>
      </c>
      <c r="I240" s="15" t="str">
        <f>IFERROR(_xlfn.TEXTAFTER(TableGive[[#This Row],[SKU]],"-",-1),"")</f>
        <v>QT</v>
      </c>
      <c r="J240" s="14">
        <f>'[1]2026 Orders'!H241</f>
        <v>44</v>
      </c>
      <c r="K240" t="str">
        <f>'[1]2026 Orders'!I241</f>
        <v>QT30-24.0</v>
      </c>
      <c r="L240">
        <f>'[1]2026 Orders'!J241</f>
        <v>0</v>
      </c>
      <c r="N240" s="10" t="str">
        <f>'[1]2026 Orders'!L241</f>
        <v>In Production</v>
      </c>
      <c r="O240">
        <f>'[1]2026 Orders'!M241</f>
        <v>0</v>
      </c>
      <c r="P240" t="str">
        <f>'[1]2026 Orders'!N241</f>
        <v>NA</v>
      </c>
      <c r="Q240">
        <f>'[1]2026 Orders'!O241</f>
        <v>604776736752</v>
      </c>
      <c r="R240">
        <f>'[1]2026 Orders'!P241</f>
        <v>9195</v>
      </c>
      <c r="S240">
        <f>'[1]2026 Orders'!Q241</f>
        <v>5032</v>
      </c>
      <c r="T240">
        <f>'[1]2026 Orders'!R241</f>
        <v>46211</v>
      </c>
      <c r="U240">
        <f>'[1]2026 Orders'!S241</f>
        <v>0</v>
      </c>
      <c r="V240">
        <f>'[1]2026 Orders'!T241</f>
        <v>0</v>
      </c>
      <c r="W240">
        <f>'[1]2026 Orders'!U241</f>
        <v>0</v>
      </c>
      <c r="X240">
        <f>'[1]2026 Orders'!V241</f>
        <v>0</v>
      </c>
      <c r="Y240">
        <f>'[1]2026 Orders'!W241</f>
        <v>0</v>
      </c>
      <c r="Z240" t="str">
        <f>'[1]2026 Orders'!X241</f>
        <v>HOLD</v>
      </c>
      <c r="AC240" t="str">
        <f t="shared" si="6"/>
        <v>/44</v>
      </c>
      <c r="AD240" t="e">
        <f t="shared" si="7"/>
        <v>#VALUE!</v>
      </c>
    </row>
    <row r="241" spans="1:30" ht="33" hidden="1" customHeight="1" x14ac:dyDescent="0.3">
      <c r="A241">
        <f>'[1]2026 Orders'!A242</f>
        <v>0</v>
      </c>
      <c r="B241" s="14">
        <f>'[1]2026 Orders'!B242</f>
        <v>0</v>
      </c>
      <c r="C241" s="14">
        <f>'[1]2026 Orders'!C242</f>
        <v>0</v>
      </c>
      <c r="D241" s="14">
        <f>'[1]2026 Orders'!D242</f>
        <v>0</v>
      </c>
      <c r="E241" s="17" t="str" cm="1">
        <f t="array" ref="E241">IF(C241=0,"",
HYPERLINK(
"#'2026 Orders'!C"&amp;
MATCH(1,
('2026 Orders'!C:C=C241)*
('2026 Orders'!G:G=G241)*
('2026 Orders'!N:N=N241),
0),
"Open "&amp;C241
))</f>
        <v/>
      </c>
      <c r="F241" s="14">
        <f>'[1]2026 Orders'!F242</f>
        <v>0</v>
      </c>
      <c r="G241" s="14">
        <f>'[1]2026 Orders'!G242</f>
        <v>0</v>
      </c>
      <c r="H241" s="14" t="str" cm="1">
        <f t="array" ref="H241">IFERROR(_xlfn.TEXTJOIN("-",,INDEX(_xlfn.TEXTSPLIT(TableGive[[#This Row],[SKU]],"-"),{1,2})),"")</f>
        <v/>
      </c>
      <c r="I241" s="15" t="str">
        <f>IFERROR(_xlfn.TEXTAFTER(TableGive[[#This Row],[SKU]],"-",-1),"")</f>
        <v/>
      </c>
      <c r="J241" s="14">
        <f>'[1]2026 Orders'!H242</f>
        <v>0</v>
      </c>
      <c r="K241">
        <f>'[1]2026 Orders'!I242</f>
        <v>0</v>
      </c>
      <c r="L241">
        <f>'[1]2026 Orders'!J242</f>
        <v>0</v>
      </c>
      <c r="N241" s="10">
        <f>'[1]2026 Orders'!L242</f>
        <v>0</v>
      </c>
      <c r="O241">
        <f>'[1]2026 Orders'!M242</f>
        <v>0</v>
      </c>
      <c r="P241">
        <f>'[1]2026 Orders'!N242</f>
        <v>0</v>
      </c>
      <c r="Q241">
        <f>'[1]2026 Orders'!O242</f>
        <v>0</v>
      </c>
      <c r="R241">
        <f>'[1]2026 Orders'!P242</f>
        <v>0</v>
      </c>
      <c r="S241">
        <f>'[1]2026 Orders'!Q242</f>
        <v>0</v>
      </c>
      <c r="T241">
        <f>'[1]2026 Orders'!R242</f>
        <v>0</v>
      </c>
      <c r="U241">
        <f>'[1]2026 Orders'!S242</f>
        <v>0</v>
      </c>
      <c r="V241">
        <f>'[1]2026 Orders'!T242</f>
        <v>0</v>
      </c>
      <c r="W241">
        <f>'[1]2026 Orders'!U242</f>
        <v>0</v>
      </c>
      <c r="X241">
        <f>'[1]2026 Orders'!V242</f>
        <v>0</v>
      </c>
      <c r="Y241">
        <f>'[1]2026 Orders'!W242</f>
        <v>0</v>
      </c>
      <c r="Z241">
        <f>'[1]2026 Orders'!X242</f>
        <v>0</v>
      </c>
      <c r="AC241" t="str">
        <f t="shared" si="6"/>
        <v/>
      </c>
      <c r="AD241" t="str">
        <f t="shared" si="7"/>
        <v/>
      </c>
    </row>
    <row r="242" spans="1:30" ht="33" hidden="1" customHeight="1" x14ac:dyDescent="0.3">
      <c r="A242">
        <f>'[1]2026 Orders'!A243</f>
        <v>46087</v>
      </c>
      <c r="B242" s="14" t="str">
        <f>'[1]2026 Orders'!B243</f>
        <v>KSA</v>
      </c>
      <c r="C242" s="14" t="str">
        <f>'[1]2026 Orders'!C243</f>
        <v>A4654</v>
      </c>
      <c r="D242" s="14" t="str">
        <f>'[1]2026 Orders'!D243</f>
        <v>5/7/2026: working on revised docs</v>
      </c>
      <c r="E242" s="17" t="str" cm="1">
        <f t="array" ref="E242">IF(C242=0,"",
HYPERLINK(
"#'2026 Orders'!C"&amp;
MATCH(1,
('2026 Orders'!C:C=C242)*
('2026 Orders'!G:G=G242)*
('2026 Orders'!N:N=N242),
0),
"Open "&amp;C242
))</f>
        <v>Open A4654</v>
      </c>
      <c r="F242" s="14">
        <f>'[1]2026 Orders'!F243</f>
        <v>0</v>
      </c>
      <c r="G242" s="14" t="str">
        <f>'[1]2026 Orders'!G243</f>
        <v>WFSPLS-180-FD</v>
      </c>
      <c r="H242" s="14" t="str" cm="1">
        <f t="array" ref="H242">IFERROR(_xlfn.TEXTJOIN("-",,INDEX(_xlfn.TEXTSPLIT(TableGive[[#This Row],[SKU]],"-"),{1,2})),"")</f>
        <v>WFSPLS-180</v>
      </c>
      <c r="I242" s="15" t="str">
        <f>IFERROR(_xlfn.TEXTAFTER(TableGive[[#This Row],[SKU]],"-",-1),"")</f>
        <v>FD</v>
      </c>
      <c r="J242" s="14">
        <f>'[1]2026 Orders'!H243</f>
        <v>48</v>
      </c>
      <c r="K242" t="str">
        <f>'[1]2026 Orders'!I243</f>
        <v>F73-23.0</v>
      </c>
      <c r="L242">
        <f>'[1]2026 Orders'!J243</f>
        <v>48</v>
      </c>
      <c r="N242" s="10" t="str">
        <f>'[1]2026 Orders'!L243</f>
        <v>D/W Sent</v>
      </c>
      <c r="O242">
        <f>'[1]2026 Orders'!M243</f>
        <v>46182</v>
      </c>
      <c r="P242" t="str">
        <f>'[1]2026 Orders'!N243</f>
        <v>NA</v>
      </c>
      <c r="Q242">
        <f>'[1]2026 Orders'!O243</f>
        <v>609788968351</v>
      </c>
      <c r="R242">
        <f>'[1]2026 Orders'!P243</f>
        <v>0</v>
      </c>
      <c r="S242">
        <f>'[1]2026 Orders'!Q243</f>
        <v>0</v>
      </c>
      <c r="T242">
        <f>'[1]2026 Orders'!R243</f>
        <v>0</v>
      </c>
      <c r="U242">
        <f>'[1]2026 Orders'!S243</f>
        <v>0</v>
      </c>
      <c r="V242">
        <f>'[1]2026 Orders'!T243</f>
        <v>0</v>
      </c>
      <c r="W242">
        <f>'[1]2026 Orders'!U243</f>
        <v>0</v>
      </c>
      <c r="X242">
        <f>'[1]2026 Orders'!V243</f>
        <v>0</v>
      </c>
      <c r="Y242">
        <f>'[1]2026 Orders'!W243</f>
        <v>0</v>
      </c>
      <c r="Z242" t="str">
        <f>'[1]2026 Orders'!X243</f>
        <v>HOLD</v>
      </c>
      <c r="AC242" t="str">
        <f t="shared" si="6"/>
        <v>/48</v>
      </c>
      <c r="AD242" t="e">
        <f t="shared" si="7"/>
        <v>#VALUE!</v>
      </c>
    </row>
    <row r="243" spans="1:30" ht="33" hidden="1" customHeight="1" x14ac:dyDescent="0.3">
      <c r="A243">
        <f>'[1]2026 Orders'!A244</f>
        <v>46087</v>
      </c>
      <c r="B243" s="14" t="str">
        <f>'[1]2026 Orders'!B244</f>
        <v>KSA</v>
      </c>
      <c r="C243" s="14" t="str">
        <f>'[1]2026 Orders'!C244</f>
        <v>A4654</v>
      </c>
      <c r="D243" s="14">
        <f>'[1]2026 Orders'!D244</f>
        <v>0</v>
      </c>
      <c r="E243" s="17" t="str" cm="1">
        <f t="array" ref="E243">IF(C243=0,"",
HYPERLINK(
"#'2026 Orders'!C"&amp;
MATCH(1,
('2026 Orders'!C:C=C243)*
('2026 Orders'!G:G=G243)*
('2026 Orders'!N:N=N243),
0),
"Open "&amp;C243
))</f>
        <v>Open A4654</v>
      </c>
      <c r="F243" s="14">
        <f>'[1]2026 Orders'!F244</f>
        <v>0</v>
      </c>
      <c r="G243" s="14" t="str">
        <f>'[1]2026 Orders'!G244</f>
        <v>EYECAP-30-FD</v>
      </c>
      <c r="H243" s="14" t="str" cm="1">
        <f t="array" ref="H243">IFERROR(_xlfn.TEXTJOIN("-",,INDEX(_xlfn.TEXTSPLIT(TableGive[[#This Row],[SKU]],"-"),{1,2})),"")</f>
        <v>EYECAP-30</v>
      </c>
      <c r="I243" s="15" t="str">
        <f>IFERROR(_xlfn.TEXTAFTER(TableGive[[#This Row],[SKU]],"-",-1),"")</f>
        <v>FD</v>
      </c>
      <c r="J243" s="14">
        <f>'[1]2026 Orders'!H244</f>
        <v>72</v>
      </c>
      <c r="K243" t="str">
        <f>'[1]2026 Orders'!I244</f>
        <v>F15-26.0</v>
      </c>
      <c r="L243">
        <f>'[1]2026 Orders'!J244</f>
        <v>72</v>
      </c>
      <c r="N243" s="10" t="str">
        <f>'[1]2026 Orders'!L244</f>
        <v>D/W Sent</v>
      </c>
      <c r="O243">
        <f>'[1]2026 Orders'!M244</f>
        <v>46149</v>
      </c>
      <c r="P243" t="str">
        <f>'[1]2026 Orders'!N244</f>
        <v>Y</v>
      </c>
      <c r="Q243">
        <f>'[1]2026 Orders'!O244</f>
        <v>609788968443</v>
      </c>
      <c r="R243">
        <f>'[1]2026 Orders'!P244</f>
        <v>0</v>
      </c>
      <c r="S243">
        <f>'[1]2026 Orders'!Q244</f>
        <v>0</v>
      </c>
      <c r="T243">
        <f>'[1]2026 Orders'!R244</f>
        <v>0</v>
      </c>
      <c r="U243">
        <f>'[1]2026 Orders'!S244</f>
        <v>0</v>
      </c>
      <c r="V243">
        <f>'[1]2026 Orders'!T244</f>
        <v>0</v>
      </c>
      <c r="W243">
        <f>'[1]2026 Orders'!U244</f>
        <v>0</v>
      </c>
      <c r="X243">
        <f>'[1]2026 Orders'!V244</f>
        <v>0</v>
      </c>
      <c r="Y243">
        <f>'[1]2026 Orders'!W244</f>
        <v>0</v>
      </c>
      <c r="Z243">
        <f>'[1]2026 Orders'!X244</f>
        <v>0</v>
      </c>
      <c r="AC243" t="str">
        <f t="shared" si="6"/>
        <v>/72</v>
      </c>
      <c r="AD243" t="e">
        <f t="shared" si="7"/>
        <v>#VALUE!</v>
      </c>
    </row>
    <row r="244" spans="1:30" ht="33" hidden="1" customHeight="1" x14ac:dyDescent="0.3">
      <c r="A244">
        <f>'[1]2026 Orders'!A245</f>
        <v>46087</v>
      </c>
      <c r="B244" s="14" t="str">
        <f>'[1]2026 Orders'!B245</f>
        <v>KSA</v>
      </c>
      <c r="C244" s="14" t="str">
        <f>'[1]2026 Orders'!C245</f>
        <v>A4654</v>
      </c>
      <c r="D244" s="14">
        <f>'[1]2026 Orders'!D245</f>
        <v>0</v>
      </c>
      <c r="E244" s="17" t="str" cm="1">
        <f t="array" ref="E244">IF(C244=0,"",
HYPERLINK(
"#'2026 Orders'!C"&amp;
MATCH(1,
('2026 Orders'!C:C=C244)*
('2026 Orders'!G:G=G244)*
('2026 Orders'!N:N=N244),
0),
"Open "&amp;C244
))</f>
        <v>Open A4654</v>
      </c>
      <c r="F244" s="14">
        <f>'[1]2026 Orders'!F245</f>
        <v>0</v>
      </c>
      <c r="G244" s="14" t="str">
        <f>'[1]2026 Orders'!G245</f>
        <v>PEARLY-60-FD</v>
      </c>
      <c r="H244" s="14" t="str" cm="1">
        <f t="array" ref="H244">IFERROR(_xlfn.TEXTJOIN("-",,INDEX(_xlfn.TEXTSPLIT(TableGive[[#This Row],[SKU]],"-"),{1,2})),"")</f>
        <v>PEARLY-60</v>
      </c>
      <c r="I244" s="15" t="str">
        <f>IFERROR(_xlfn.TEXTAFTER(TableGive[[#This Row],[SKU]],"-",-1),"")</f>
        <v>FD</v>
      </c>
      <c r="J244" s="14">
        <f>'[1]2026 Orders'!H245</f>
        <v>120</v>
      </c>
      <c r="K244" t="str">
        <f>'[1]2026 Orders'!I245</f>
        <v>F42-22.0</v>
      </c>
      <c r="L244">
        <f>'[1]2026 Orders'!J245</f>
        <v>120</v>
      </c>
      <c r="N244" s="10" t="str">
        <f>'[1]2026 Orders'!L245</f>
        <v>D/W Sent</v>
      </c>
      <c r="O244">
        <f>'[1]2026 Orders'!M245</f>
        <v>0</v>
      </c>
      <c r="P244" t="str">
        <f>'[1]2026 Orders'!N245</f>
        <v>Y</v>
      </c>
      <c r="Q244">
        <f>'[1]2026 Orders'!O245</f>
        <v>609788968665</v>
      </c>
      <c r="R244">
        <f>'[1]2026 Orders'!P245</f>
        <v>0</v>
      </c>
      <c r="S244">
        <f>'[1]2026 Orders'!Q245</f>
        <v>0</v>
      </c>
      <c r="T244">
        <f>'[1]2026 Orders'!R245</f>
        <v>0</v>
      </c>
      <c r="U244">
        <f>'[1]2026 Orders'!S245</f>
        <v>0</v>
      </c>
      <c r="V244">
        <f>'[1]2026 Orders'!T245</f>
        <v>0</v>
      </c>
      <c r="W244">
        <f>'[1]2026 Orders'!U245</f>
        <v>0</v>
      </c>
      <c r="X244">
        <f>'[1]2026 Orders'!V245</f>
        <v>0</v>
      </c>
      <c r="Y244">
        <f>'[1]2026 Orders'!W245</f>
        <v>0</v>
      </c>
      <c r="Z244">
        <f>'[1]2026 Orders'!X245</f>
        <v>0</v>
      </c>
      <c r="AC244" t="str">
        <f t="shared" si="6"/>
        <v>/120</v>
      </c>
      <c r="AD244" t="e">
        <f t="shared" si="7"/>
        <v>#VALUE!</v>
      </c>
    </row>
    <row r="245" spans="1:30" ht="33" hidden="1" customHeight="1" x14ac:dyDescent="0.3">
      <c r="A245">
        <f>'[1]2026 Orders'!A246</f>
        <v>46087</v>
      </c>
      <c r="B245" s="14" t="str">
        <f>'[1]2026 Orders'!B246</f>
        <v>KSA</v>
      </c>
      <c r="C245" s="14" t="str">
        <f>'[1]2026 Orders'!C246</f>
        <v>A4654</v>
      </c>
      <c r="D245" s="14">
        <f>'[1]2026 Orders'!D246</f>
        <v>0</v>
      </c>
      <c r="E245" s="17" t="str" cm="1">
        <f t="array" ref="E245">IF(C245=0,"",
HYPERLINK(
"#'2026 Orders'!C"&amp;
MATCH(1,
('2026 Orders'!C:C=C245)*
('2026 Orders'!G:G=G245)*
('2026 Orders'!N:N=N245),
0),
"Open "&amp;C245
))</f>
        <v>Open A4654</v>
      </c>
      <c r="F245" s="14">
        <f>'[1]2026 Orders'!F246</f>
        <v>0</v>
      </c>
      <c r="G245" s="14" t="str">
        <f>'[1]2026 Orders'!G246</f>
        <v>PEARLY-60-FD</v>
      </c>
      <c r="H245" s="14" t="str" cm="1">
        <f t="array" ref="H245">IFERROR(_xlfn.TEXTJOIN("-",,INDEX(_xlfn.TEXTSPLIT(TableGive[[#This Row],[SKU]],"-"),{1,2})),"")</f>
        <v>PEARLY-60</v>
      </c>
      <c r="I245" s="15" t="str">
        <f>IFERROR(_xlfn.TEXTAFTER(TableGive[[#This Row],[SKU]],"-",-1),"")</f>
        <v>FD</v>
      </c>
      <c r="J245" s="14">
        <f>'[1]2026 Orders'!H246</f>
        <v>24</v>
      </c>
      <c r="K245" t="str">
        <f>'[1]2026 Orders'!I246</f>
        <v>F42-22.0</v>
      </c>
      <c r="L245">
        <f>'[1]2026 Orders'!J246</f>
        <v>24</v>
      </c>
      <c r="N245" s="10" t="str">
        <f>'[1]2026 Orders'!L246</f>
        <v>D/W Sent</v>
      </c>
      <c r="O245">
        <f>'[1]2026 Orders'!M246</f>
        <v>0</v>
      </c>
      <c r="P245" t="str">
        <f>'[1]2026 Orders'!N246</f>
        <v>Y</v>
      </c>
      <c r="Q245">
        <f>'[1]2026 Orders'!O246</f>
        <v>609788968665</v>
      </c>
      <c r="R245">
        <f>'[1]2026 Orders'!P246</f>
        <v>0</v>
      </c>
      <c r="S245">
        <f>'[1]2026 Orders'!Q246</f>
        <v>0</v>
      </c>
      <c r="T245">
        <f>'[1]2026 Orders'!R246</f>
        <v>0</v>
      </c>
      <c r="U245">
        <f>'[1]2026 Orders'!S246</f>
        <v>0</v>
      </c>
      <c r="V245">
        <f>'[1]2026 Orders'!T246</f>
        <v>0</v>
      </c>
      <c r="W245">
        <f>'[1]2026 Orders'!U246</f>
        <v>0</v>
      </c>
      <c r="X245">
        <f>'[1]2026 Orders'!V246</f>
        <v>0</v>
      </c>
      <c r="Y245">
        <f>'[1]2026 Orders'!W246</f>
        <v>0</v>
      </c>
      <c r="Z245">
        <f>'[1]2026 Orders'!X246</f>
        <v>0</v>
      </c>
      <c r="AC245" t="str">
        <f t="shared" si="6"/>
        <v>/24</v>
      </c>
      <c r="AD245" t="e">
        <f t="shared" si="7"/>
        <v>#VALUE!</v>
      </c>
    </row>
    <row r="246" spans="1:30" ht="33" hidden="1" customHeight="1" x14ac:dyDescent="0.3">
      <c r="A246">
        <f>'[1]2026 Orders'!A247</f>
        <v>46087</v>
      </c>
      <c r="B246" s="14" t="str">
        <f>'[1]2026 Orders'!B247</f>
        <v>KSA</v>
      </c>
      <c r="C246" s="14" t="str">
        <f>'[1]2026 Orders'!C247</f>
        <v>A4654</v>
      </c>
      <c r="D246" s="14">
        <f>'[1]2026 Orders'!D247</f>
        <v>0</v>
      </c>
      <c r="E246" s="17" t="str" cm="1">
        <f t="array" ref="E246">IF(C246=0,"",
HYPERLINK(
"#'2026 Orders'!C"&amp;
MATCH(1,
('2026 Orders'!C:C=C246)*
('2026 Orders'!G:G=G246)*
('2026 Orders'!N:N=N246),
0),
"Open "&amp;C246
))</f>
        <v>Open A4654</v>
      </c>
      <c r="F246" s="14">
        <f>'[1]2026 Orders'!F247</f>
        <v>0</v>
      </c>
      <c r="G246" s="14" t="str">
        <f>'[1]2026 Orders'!G247</f>
        <v>QWELL4-30-SG-FD</v>
      </c>
      <c r="H246" s="14" t="str" cm="1">
        <f t="array" ref="H246">IFERROR(_xlfn.TEXTJOIN("-",,INDEX(_xlfn.TEXTSPLIT(TableGive[[#This Row],[SKU]],"-"),{1,2})),"")</f>
        <v>QWELL4-30</v>
      </c>
      <c r="I246" s="15" t="str">
        <f>IFERROR(_xlfn.TEXTAFTER(TableGive[[#This Row],[SKU]],"-",-1),"")</f>
        <v>FD</v>
      </c>
      <c r="J246" s="14">
        <f>'[1]2026 Orders'!H247</f>
        <v>144</v>
      </c>
      <c r="K246" t="str">
        <f>'[1]2026 Orders'!I247</f>
        <v>F58-25.3</v>
      </c>
      <c r="L246">
        <f>'[1]2026 Orders'!J247</f>
        <v>144</v>
      </c>
      <c r="N246" s="10" t="str">
        <f>'[1]2026 Orders'!L247</f>
        <v>D/W Sent</v>
      </c>
      <c r="O246">
        <f>'[1]2026 Orders'!M247</f>
        <v>0</v>
      </c>
      <c r="P246" t="str">
        <f>'[1]2026 Orders'!N247</f>
        <v>NA</v>
      </c>
      <c r="Q246">
        <f>'[1]2026 Orders'!O247</f>
        <v>609788968214</v>
      </c>
      <c r="R246">
        <f>'[1]2026 Orders'!P247</f>
        <v>0</v>
      </c>
      <c r="S246">
        <f>'[1]2026 Orders'!Q247</f>
        <v>0</v>
      </c>
      <c r="T246">
        <f>'[1]2026 Orders'!R247</f>
        <v>0</v>
      </c>
      <c r="U246">
        <f>'[1]2026 Orders'!S247</f>
        <v>0</v>
      </c>
      <c r="V246">
        <f>'[1]2026 Orders'!T247</f>
        <v>0</v>
      </c>
      <c r="W246">
        <f>'[1]2026 Orders'!U247</f>
        <v>0</v>
      </c>
      <c r="X246">
        <f>'[1]2026 Orders'!V247</f>
        <v>0</v>
      </c>
      <c r="Y246">
        <f>'[1]2026 Orders'!W247</f>
        <v>0</v>
      </c>
      <c r="Z246">
        <f>'[1]2026 Orders'!X247</f>
        <v>0</v>
      </c>
      <c r="AC246" t="str">
        <f t="shared" si="6"/>
        <v>/144</v>
      </c>
      <c r="AD246" t="e">
        <f t="shared" si="7"/>
        <v>#VALUE!</v>
      </c>
    </row>
    <row r="247" spans="1:30" ht="33" hidden="1" customHeight="1" x14ac:dyDescent="0.3">
      <c r="A247">
        <f>'[1]2026 Orders'!A248</f>
        <v>46087</v>
      </c>
      <c r="B247" s="14" t="str">
        <f>'[1]2026 Orders'!B248</f>
        <v>KSA</v>
      </c>
      <c r="C247" s="14" t="str">
        <f>'[1]2026 Orders'!C248</f>
        <v>A4654</v>
      </c>
      <c r="D247" s="14">
        <f>'[1]2026 Orders'!D248</f>
        <v>0</v>
      </c>
      <c r="E247" s="17" t="str" cm="1">
        <f t="array" ref="E247">IF(C247=0,"",
HYPERLINK(
"#'2026 Orders'!C"&amp;
MATCH(1,
('2026 Orders'!C:C=C247)*
('2026 Orders'!G:G=G247)*
('2026 Orders'!N:N=N247),
0),
"Open "&amp;C247
))</f>
        <v>Open A4654</v>
      </c>
      <c r="F247" s="14">
        <f>'[1]2026 Orders'!F248</f>
        <v>0</v>
      </c>
      <c r="G247" s="14" t="str">
        <f>'[1]2026 Orders'!G248</f>
        <v>PRECON-90-FD</v>
      </c>
      <c r="H247" s="14" t="str" cm="1">
        <f t="array" ref="H247">IFERROR(_xlfn.TEXTJOIN("-",,INDEX(_xlfn.TEXTSPLIT(TableGive[[#This Row],[SKU]],"-"),{1,2})),"")</f>
        <v>PRECON-90</v>
      </c>
      <c r="I247" s="15" t="str">
        <f>IFERROR(_xlfn.TEXTAFTER(TableGive[[#This Row],[SKU]],"-",-1),"")</f>
        <v>FD</v>
      </c>
      <c r="J247" s="14">
        <f>'[1]2026 Orders'!H248</f>
        <v>72</v>
      </c>
      <c r="K247" t="str">
        <f>'[1]2026 Orders'!I248</f>
        <v>F54-23.0</v>
      </c>
      <c r="L247">
        <f>'[1]2026 Orders'!J248</f>
        <v>72</v>
      </c>
      <c r="N247" s="10" t="str">
        <f>'[1]2026 Orders'!L248</f>
        <v>D/W Sent</v>
      </c>
      <c r="O247">
        <f>'[1]2026 Orders'!M248</f>
        <v>0</v>
      </c>
      <c r="P247" t="str">
        <f>'[1]2026 Orders'!N248</f>
        <v>NA</v>
      </c>
      <c r="Q247">
        <f>'[1]2026 Orders'!O248</f>
        <v>609788968368</v>
      </c>
      <c r="R247">
        <f>'[1]2026 Orders'!P248</f>
        <v>0</v>
      </c>
      <c r="S247">
        <f>'[1]2026 Orders'!Q248</f>
        <v>0</v>
      </c>
      <c r="T247">
        <f>'[1]2026 Orders'!R248</f>
        <v>0</v>
      </c>
      <c r="U247">
        <f>'[1]2026 Orders'!S248</f>
        <v>0</v>
      </c>
      <c r="V247">
        <f>'[1]2026 Orders'!T248</f>
        <v>0</v>
      </c>
      <c r="W247">
        <f>'[1]2026 Orders'!U248</f>
        <v>0</v>
      </c>
      <c r="X247">
        <f>'[1]2026 Orders'!V248</f>
        <v>0</v>
      </c>
      <c r="Y247">
        <f>'[1]2026 Orders'!W248</f>
        <v>0</v>
      </c>
      <c r="Z247">
        <f>'[1]2026 Orders'!X248</f>
        <v>0</v>
      </c>
      <c r="AC247" t="str">
        <f t="shared" si="6"/>
        <v>/72</v>
      </c>
      <c r="AD247" t="e">
        <f t="shared" si="7"/>
        <v>#VALUE!</v>
      </c>
    </row>
    <row r="248" spans="1:30" ht="33" hidden="1" customHeight="1" x14ac:dyDescent="0.3">
      <c r="A248">
        <f>'[1]2026 Orders'!A249</f>
        <v>46087</v>
      </c>
      <c r="B248" s="14" t="str">
        <f>'[1]2026 Orders'!B249</f>
        <v>KSA</v>
      </c>
      <c r="C248" s="14" t="str">
        <f>'[1]2026 Orders'!C249</f>
        <v>A4654</v>
      </c>
      <c r="D248" s="14">
        <f>'[1]2026 Orders'!D249</f>
        <v>0</v>
      </c>
      <c r="E248" s="17" t="str" cm="1">
        <f t="array" ref="E248">IF(C248=0,"",
HYPERLINK(
"#'2026 Orders'!C"&amp;
MATCH(1,
('2026 Orders'!C:C=C248)*
('2026 Orders'!G:G=G248)*
('2026 Orders'!N:N=N248),
0),
"Open "&amp;C248
))</f>
        <v>Open A4654</v>
      </c>
      <c r="F248" s="14" t="str">
        <f>'[1]2026 Orders'!F249</f>
        <v>6/8/2026: quantity increased 
240 -&gt; 400 (160 packs added)</v>
      </c>
      <c r="G248" s="14" t="str">
        <f>'[1]2026 Orders'!G249</f>
        <v>DHEA25-60-FD</v>
      </c>
      <c r="H248" s="14" t="str" cm="1">
        <f t="array" ref="H248">IFERROR(_xlfn.TEXTJOIN("-",,INDEX(_xlfn.TEXTSPLIT(TableGive[[#This Row],[SKU]],"-"),{1,2})),"")</f>
        <v>DHEA25-60</v>
      </c>
      <c r="I248" s="15" t="str">
        <f>IFERROR(_xlfn.TEXTAFTER(TableGive[[#This Row],[SKU]],"-",-1),"")</f>
        <v>FD</v>
      </c>
      <c r="J248" s="14">
        <f>'[1]2026 Orders'!H249</f>
        <v>160</v>
      </c>
      <c r="K248" t="str">
        <f>'[1]2026 Orders'!I249</f>
        <v>F14-25.2</v>
      </c>
      <c r="L248">
        <f>'[1]2026 Orders'!J249</f>
        <v>160</v>
      </c>
      <c r="N248" s="10" t="str">
        <f>'[1]2026 Orders'!L249</f>
        <v>D/W Sent</v>
      </c>
      <c r="O248">
        <f>'[1]2026 Orders'!M249</f>
        <v>0</v>
      </c>
      <c r="P248" t="str">
        <f>'[1]2026 Orders'!N249</f>
        <v>NA</v>
      </c>
      <c r="Q248">
        <f>'[1]2026 Orders'!O249</f>
        <v>609788968153</v>
      </c>
      <c r="R248">
        <f>'[1]2026 Orders'!P249</f>
        <v>0</v>
      </c>
      <c r="S248">
        <f>'[1]2026 Orders'!Q249</f>
        <v>0</v>
      </c>
      <c r="T248">
        <f>'[1]2026 Orders'!R249</f>
        <v>0</v>
      </c>
      <c r="U248">
        <f>'[1]2026 Orders'!S249</f>
        <v>0</v>
      </c>
      <c r="V248">
        <f>'[1]2026 Orders'!T249</f>
        <v>0</v>
      </c>
      <c r="W248">
        <f>'[1]2026 Orders'!U249</f>
        <v>0</v>
      </c>
      <c r="X248">
        <f>'[1]2026 Orders'!V249</f>
        <v>0</v>
      </c>
      <c r="Y248">
        <f>'[1]2026 Orders'!W249</f>
        <v>0</v>
      </c>
      <c r="Z248">
        <f>'[1]2026 Orders'!X249</f>
        <v>0</v>
      </c>
      <c r="AC248" t="str">
        <f t="shared" si="6"/>
        <v>/160</v>
      </c>
      <c r="AD248" t="e">
        <f t="shared" si="7"/>
        <v>#VALUE!</v>
      </c>
    </row>
    <row r="249" spans="1:30" ht="33" hidden="1" customHeight="1" x14ac:dyDescent="0.3">
      <c r="A249">
        <f>'[1]2026 Orders'!A250</f>
        <v>46087</v>
      </c>
      <c r="B249" s="14" t="str">
        <f>'[1]2026 Orders'!B250</f>
        <v>KSA</v>
      </c>
      <c r="C249" s="14" t="str">
        <f>'[1]2026 Orders'!C250</f>
        <v>A4654</v>
      </c>
      <c r="D249" s="14">
        <f>'[1]2026 Orders'!D250</f>
        <v>0</v>
      </c>
      <c r="E249" s="17" t="str" cm="1">
        <f t="array" ref="E249">IF(C249=0,"",
HYPERLINK(
"#'2026 Orders'!C"&amp;
MATCH(1,
('2026 Orders'!C:C=C249)*
('2026 Orders'!G:G=G249)*
('2026 Orders'!N:N=N249),
0),
"Open "&amp;C249
))</f>
        <v>Open A4654</v>
      </c>
      <c r="F249" s="14" t="str">
        <f>'[1]2026 Orders'!F250</f>
        <v>6/8/2026: quantity increased 
240 -&gt; 400 (160 packs added)</v>
      </c>
      <c r="G249" s="14" t="str">
        <f>'[1]2026 Orders'!G250</f>
        <v>DHEA25-60-FD</v>
      </c>
      <c r="H249" s="14" t="str" cm="1">
        <f t="array" ref="H249">IFERROR(_xlfn.TEXTJOIN("-",,INDEX(_xlfn.TEXTSPLIT(TableGive[[#This Row],[SKU]],"-"),{1,2})),"")</f>
        <v>DHEA25-60</v>
      </c>
      <c r="I249" s="15" t="str">
        <f>IFERROR(_xlfn.TEXTAFTER(TableGive[[#This Row],[SKU]],"-",-1),"")</f>
        <v>FD</v>
      </c>
      <c r="J249" s="14">
        <f>'[1]2026 Orders'!H250</f>
        <v>240</v>
      </c>
      <c r="K249" t="str">
        <f>'[1]2026 Orders'!I250</f>
        <v>F14-25.2</v>
      </c>
      <c r="L249">
        <f>'[1]2026 Orders'!J250</f>
        <v>240</v>
      </c>
      <c r="N249" s="10" t="str">
        <f>'[1]2026 Orders'!L250</f>
        <v>D/W Sent</v>
      </c>
      <c r="O249">
        <f>'[1]2026 Orders'!M250</f>
        <v>0</v>
      </c>
      <c r="P249" t="str">
        <f>'[1]2026 Orders'!N250</f>
        <v>NA</v>
      </c>
      <c r="Q249">
        <f>'[1]2026 Orders'!O250</f>
        <v>609788968153</v>
      </c>
      <c r="R249">
        <f>'[1]2026 Orders'!P250</f>
        <v>0</v>
      </c>
      <c r="S249">
        <f>'[1]2026 Orders'!Q250</f>
        <v>0</v>
      </c>
      <c r="T249">
        <f>'[1]2026 Orders'!R250</f>
        <v>0</v>
      </c>
      <c r="U249">
        <f>'[1]2026 Orders'!S250</f>
        <v>0</v>
      </c>
      <c r="V249">
        <f>'[1]2026 Orders'!T250</f>
        <v>0</v>
      </c>
      <c r="W249">
        <f>'[1]2026 Orders'!U250</f>
        <v>0</v>
      </c>
      <c r="X249">
        <f>'[1]2026 Orders'!V250</f>
        <v>0</v>
      </c>
      <c r="Y249">
        <f>'[1]2026 Orders'!W250</f>
        <v>0</v>
      </c>
      <c r="Z249">
        <f>'[1]2026 Orders'!X250</f>
        <v>0</v>
      </c>
      <c r="AC249" t="str">
        <f t="shared" si="6"/>
        <v>/240</v>
      </c>
      <c r="AD249" t="e">
        <f t="shared" si="7"/>
        <v>#VALUE!</v>
      </c>
    </row>
    <row r="250" spans="1:30" ht="33" hidden="1" customHeight="1" x14ac:dyDescent="0.3">
      <c r="A250">
        <f>'[1]2026 Orders'!A251</f>
        <v>46087</v>
      </c>
      <c r="B250" s="14" t="str">
        <f>'[1]2026 Orders'!B251</f>
        <v>KSA</v>
      </c>
      <c r="C250" s="14" t="str">
        <f>'[1]2026 Orders'!C251</f>
        <v>A4654</v>
      </c>
      <c r="D250" s="14">
        <f>'[1]2026 Orders'!D251</f>
        <v>0</v>
      </c>
      <c r="E250" s="17" t="str" cm="1">
        <f t="array" ref="E250">IF(C250=0,"",
HYPERLINK(
"#'2026 Orders'!C"&amp;
MATCH(1,
('2026 Orders'!C:C=C250)*
('2026 Orders'!G:G=G250)*
('2026 Orders'!N:N=N250),
0),
"Open "&amp;C250
))</f>
        <v>Open A4654</v>
      </c>
      <c r="F250" s="14">
        <f>'[1]2026 Orders'!F251</f>
        <v>0</v>
      </c>
      <c r="G250" s="14" t="str">
        <f>'[1]2026 Orders'!G251</f>
        <v>KETONEG-60-FD</v>
      </c>
      <c r="H250" s="14" t="str" cm="1">
        <f t="array" ref="H250">IFERROR(_xlfn.TEXTJOIN("-",,INDEX(_xlfn.TEXTSPLIT(TableGive[[#This Row],[SKU]],"-"),{1,2})),"")</f>
        <v>KETONEG-60</v>
      </c>
      <c r="I250" s="15" t="str">
        <f>IFERROR(_xlfn.TEXTAFTER(TableGive[[#This Row],[SKU]],"-",-1),"")</f>
        <v>FD</v>
      </c>
      <c r="J250" s="14">
        <f>'[1]2026 Orders'!H251</f>
        <v>168</v>
      </c>
      <c r="K250" t="str">
        <f>'[1]2026 Orders'!I251</f>
        <v>F24-25.1</v>
      </c>
      <c r="L250">
        <f>'[1]2026 Orders'!J251</f>
        <v>168</v>
      </c>
      <c r="N250" s="10" t="str">
        <f>'[1]2026 Orders'!L251</f>
        <v>D/W Sent</v>
      </c>
      <c r="O250">
        <f>'[1]2026 Orders'!M251</f>
        <v>0</v>
      </c>
      <c r="P250" t="str">
        <f>'[1]2026 Orders'!N251</f>
        <v>Y</v>
      </c>
      <c r="Q250">
        <f>'[1]2026 Orders'!O251</f>
        <v>810131190071</v>
      </c>
      <c r="R250">
        <f>'[1]2026 Orders'!P251</f>
        <v>0</v>
      </c>
      <c r="S250">
        <f>'[1]2026 Orders'!Q251</f>
        <v>0</v>
      </c>
      <c r="T250">
        <f>'[1]2026 Orders'!R251</f>
        <v>0</v>
      </c>
      <c r="U250">
        <f>'[1]2026 Orders'!S251</f>
        <v>0</v>
      </c>
      <c r="V250">
        <f>'[1]2026 Orders'!T251</f>
        <v>0</v>
      </c>
      <c r="W250">
        <f>'[1]2026 Orders'!U251</f>
        <v>0</v>
      </c>
      <c r="X250">
        <f>'[1]2026 Orders'!V251</f>
        <v>0</v>
      </c>
      <c r="Y250">
        <f>'[1]2026 Orders'!W251</f>
        <v>0</v>
      </c>
      <c r="Z250">
        <f>'[1]2026 Orders'!X251</f>
        <v>0</v>
      </c>
      <c r="AC250" t="str">
        <f t="shared" si="6"/>
        <v>/168</v>
      </c>
      <c r="AD250" t="e">
        <f t="shared" si="7"/>
        <v>#VALUE!</v>
      </c>
    </row>
    <row r="251" spans="1:30" ht="33" hidden="1" customHeight="1" x14ac:dyDescent="0.3">
      <c r="A251">
        <f>'[1]2026 Orders'!A252</f>
        <v>46087</v>
      </c>
      <c r="B251" s="14" t="str">
        <f>'[1]2026 Orders'!B252</f>
        <v>KSA</v>
      </c>
      <c r="C251" s="14" t="str">
        <f>'[1]2026 Orders'!C252</f>
        <v>A4654</v>
      </c>
      <c r="D251" s="14">
        <f>'[1]2026 Orders'!D252</f>
        <v>0</v>
      </c>
      <c r="E251" s="17" t="str" cm="1">
        <f t="array" ref="E251">IF(C251=0,"",
HYPERLINK(
"#'2026 Orders'!C"&amp;
MATCH(1,
('2026 Orders'!C:C=C251)*
('2026 Orders'!G:G=G251)*
('2026 Orders'!N:N=N251),
0),
"Open "&amp;C251
))</f>
        <v>Open A4654</v>
      </c>
      <c r="F251" s="14">
        <f>'[1]2026 Orders'!F252</f>
        <v>0</v>
      </c>
      <c r="G251" s="14" t="str">
        <f>'[1]2026 Orders'!G252</f>
        <v>WFSPLS-90-FD</v>
      </c>
      <c r="H251" s="14" t="str" cm="1">
        <f t="array" ref="H251">IFERROR(_xlfn.TEXTJOIN("-",,INDEX(_xlfn.TEXTSPLIT(TableGive[[#This Row],[SKU]],"-"),{1,2})),"")</f>
        <v>WFSPLS-90</v>
      </c>
      <c r="I251" s="15" t="str">
        <f>IFERROR(_xlfn.TEXTAFTER(TableGive[[#This Row],[SKU]],"-",-1),"")</f>
        <v>FD</v>
      </c>
      <c r="J251" s="14">
        <f>'[1]2026 Orders'!H252</f>
        <v>96</v>
      </c>
      <c r="K251" t="str">
        <f>'[1]2026 Orders'!I252</f>
        <v>F72-25.0</v>
      </c>
      <c r="L251">
        <f>'[1]2026 Orders'!J252</f>
        <v>96</v>
      </c>
      <c r="N251" s="10" t="str">
        <f>'[1]2026 Orders'!L252</f>
        <v>D/W Sent</v>
      </c>
      <c r="O251">
        <f>'[1]2026 Orders'!M252</f>
        <v>0</v>
      </c>
      <c r="P251" t="str">
        <f>'[1]2026 Orders'!N252</f>
        <v>NA</v>
      </c>
      <c r="Q251">
        <f>'[1]2026 Orders'!O252</f>
        <v>609788968108</v>
      </c>
      <c r="R251">
        <f>'[1]2026 Orders'!P252</f>
        <v>4000</v>
      </c>
      <c r="S251">
        <f>'[1]2026 Orders'!Q252</f>
        <v>4941</v>
      </c>
      <c r="T251" t="str">
        <f>'[1]2026 Orders'!R252</f>
        <v>complete</v>
      </c>
      <c r="U251">
        <f>'[1]2026 Orders'!S252</f>
        <v>0</v>
      </c>
      <c r="V251">
        <f>'[1]2026 Orders'!T252</f>
        <v>0</v>
      </c>
      <c r="W251">
        <f>'[1]2026 Orders'!U252</f>
        <v>0</v>
      </c>
      <c r="X251">
        <f>'[1]2026 Orders'!V252</f>
        <v>0</v>
      </c>
      <c r="Y251">
        <f>'[1]2026 Orders'!W252</f>
        <v>0</v>
      </c>
      <c r="Z251">
        <f>'[1]2026 Orders'!X252</f>
        <v>0</v>
      </c>
      <c r="AC251" t="str">
        <f t="shared" si="6"/>
        <v>/96</v>
      </c>
      <c r="AD251" t="e">
        <f t="shared" si="7"/>
        <v>#VALUE!</v>
      </c>
    </row>
    <row r="252" spans="1:30" ht="33" hidden="1" customHeight="1" x14ac:dyDescent="0.3">
      <c r="A252">
        <f>'[1]2026 Orders'!A253</f>
        <v>46087</v>
      </c>
      <c r="B252" s="14" t="str">
        <f>'[1]2026 Orders'!B253</f>
        <v>KSA</v>
      </c>
      <c r="C252" s="14" t="str">
        <f>'[1]2026 Orders'!C253</f>
        <v>A4654</v>
      </c>
      <c r="D252" s="14">
        <f>'[1]2026 Orders'!D253</f>
        <v>0</v>
      </c>
      <c r="E252" s="17" t="str" cm="1">
        <f t="array" ref="E252">IF(C252=0,"",
HYPERLINK(
"#'2026 Orders'!C"&amp;
MATCH(1,
('2026 Orders'!C:C=C252)*
('2026 Orders'!G:G=G252)*
('2026 Orders'!N:N=N252),
0),
"Open "&amp;C252
))</f>
        <v>Open A4654</v>
      </c>
      <c r="F252" s="14">
        <f>'[1]2026 Orders'!F253</f>
        <v>0</v>
      </c>
      <c r="G252" s="14" t="str">
        <f>'[1]2026 Orders'!G253</f>
        <v>PRECON-180-FD</v>
      </c>
      <c r="H252" s="14" t="str" cm="1">
        <f t="array" ref="H252">IFERROR(_xlfn.TEXTJOIN("-",,INDEX(_xlfn.TEXTSPLIT(TableGive[[#This Row],[SKU]],"-"),{1,2})),"")</f>
        <v>PRECON-180</v>
      </c>
      <c r="I252" s="15" t="str">
        <f>IFERROR(_xlfn.TEXTAFTER(TableGive[[#This Row],[SKU]],"-",-1),"")</f>
        <v>FD</v>
      </c>
      <c r="J252" s="14">
        <f>'[1]2026 Orders'!H253</f>
        <v>72</v>
      </c>
      <c r="K252" t="str">
        <f>'[1]2026 Orders'!I253</f>
        <v>F55-22.2</v>
      </c>
      <c r="L252">
        <f>'[1]2026 Orders'!J253</f>
        <v>72</v>
      </c>
      <c r="N252" s="10" t="str">
        <f>'[1]2026 Orders'!L253</f>
        <v>D/W Sent</v>
      </c>
      <c r="O252">
        <f>'[1]2026 Orders'!M253</f>
        <v>0</v>
      </c>
      <c r="P252" t="str">
        <f>'[1]2026 Orders'!N253</f>
        <v>NA</v>
      </c>
      <c r="Q252">
        <f>'[1]2026 Orders'!O253</f>
        <v>609788968375</v>
      </c>
      <c r="R252">
        <f>'[1]2026 Orders'!P253</f>
        <v>0</v>
      </c>
      <c r="S252">
        <f>'[1]2026 Orders'!Q253</f>
        <v>0</v>
      </c>
      <c r="T252">
        <f>'[1]2026 Orders'!R253</f>
        <v>0</v>
      </c>
      <c r="U252">
        <f>'[1]2026 Orders'!S253</f>
        <v>0</v>
      </c>
      <c r="V252">
        <f>'[1]2026 Orders'!T253</f>
        <v>0</v>
      </c>
      <c r="W252">
        <f>'[1]2026 Orders'!U253</f>
        <v>0</v>
      </c>
      <c r="X252">
        <f>'[1]2026 Orders'!V253</f>
        <v>0</v>
      </c>
      <c r="Y252">
        <f>'[1]2026 Orders'!W253</f>
        <v>0</v>
      </c>
      <c r="Z252">
        <f>'[1]2026 Orders'!X253</f>
        <v>0</v>
      </c>
      <c r="AC252" t="str">
        <f t="shared" si="6"/>
        <v>/72</v>
      </c>
      <c r="AD252" t="e">
        <f t="shared" si="7"/>
        <v>#VALUE!</v>
      </c>
    </row>
    <row r="253" spans="1:30" ht="33" hidden="1" customHeight="1" x14ac:dyDescent="0.3">
      <c r="A253">
        <f>'[1]2026 Orders'!A254</f>
        <v>46087</v>
      </c>
      <c r="B253" s="14" t="str">
        <f>'[1]2026 Orders'!B254</f>
        <v>KSA</v>
      </c>
      <c r="C253" s="14" t="str">
        <f>'[1]2026 Orders'!C254</f>
        <v>A4654</v>
      </c>
      <c r="D253" s="14">
        <f>'[1]2026 Orders'!D254</f>
        <v>0</v>
      </c>
      <c r="E253" s="17" t="str" cm="1">
        <f t="array" ref="E253">IF(C253=0,"",
HYPERLINK(
"#'2026 Orders'!C"&amp;
MATCH(1,
('2026 Orders'!C:C=C253)*
('2026 Orders'!G:G=G253)*
('2026 Orders'!N:N=N253),
0),
"Open "&amp;C253
))</f>
        <v>Open A4654</v>
      </c>
      <c r="F253" s="14">
        <f>'[1]2026 Orders'!F254</f>
        <v>0</v>
      </c>
      <c r="G253" s="14" t="str">
        <f>'[1]2026 Orders'!G254</f>
        <v>GINKGO-60-FD</v>
      </c>
      <c r="H253" s="14" t="str" cm="1">
        <f t="array" ref="H253">IFERROR(_xlfn.TEXTJOIN("-",,INDEX(_xlfn.TEXTSPLIT(TableGive[[#This Row],[SKU]],"-"),{1,2})),"")</f>
        <v>GINKGO-60</v>
      </c>
      <c r="I253" s="15" t="str">
        <f>IFERROR(_xlfn.TEXTAFTER(TableGive[[#This Row],[SKU]],"-",-1),"")</f>
        <v>FD</v>
      </c>
      <c r="J253" s="14">
        <f>'[1]2026 Orders'!H254</f>
        <v>120</v>
      </c>
      <c r="K253" t="str">
        <f>'[1]2026 Orders'!I254</f>
        <v>F21-23.0</v>
      </c>
      <c r="L253">
        <f>'[1]2026 Orders'!J254</f>
        <v>120</v>
      </c>
      <c r="N253" s="10" t="str">
        <f>'[1]2026 Orders'!L254</f>
        <v>D/W Sent</v>
      </c>
      <c r="O253">
        <f>'[1]2026 Orders'!M254</f>
        <v>0</v>
      </c>
      <c r="P253" t="str">
        <f>'[1]2026 Orders'!N254</f>
        <v>NA</v>
      </c>
      <c r="Q253">
        <f>'[1]2026 Orders'!O254</f>
        <v>609788968146</v>
      </c>
      <c r="R253">
        <f>'[1]2026 Orders'!P254</f>
        <v>0</v>
      </c>
      <c r="S253">
        <f>'[1]2026 Orders'!Q254</f>
        <v>0</v>
      </c>
      <c r="T253">
        <f>'[1]2026 Orders'!R254</f>
        <v>0</v>
      </c>
      <c r="U253">
        <f>'[1]2026 Orders'!S254</f>
        <v>0</v>
      </c>
      <c r="V253">
        <f>'[1]2026 Orders'!T254</f>
        <v>0</v>
      </c>
      <c r="W253">
        <f>'[1]2026 Orders'!U254</f>
        <v>0</v>
      </c>
      <c r="X253">
        <f>'[1]2026 Orders'!V254</f>
        <v>0</v>
      </c>
      <c r="Y253">
        <f>'[1]2026 Orders'!W254</f>
        <v>0</v>
      </c>
      <c r="Z253">
        <f>'[1]2026 Orders'!X254</f>
        <v>0</v>
      </c>
      <c r="AC253" t="str">
        <f t="shared" si="6"/>
        <v>/120</v>
      </c>
      <c r="AD253" t="e">
        <f t="shared" si="7"/>
        <v>#VALUE!</v>
      </c>
    </row>
    <row r="254" spans="1:30" ht="33" hidden="1" customHeight="1" x14ac:dyDescent="0.3">
      <c r="A254">
        <f>'[1]2026 Orders'!A255</f>
        <v>46087</v>
      </c>
      <c r="B254" s="14" t="str">
        <f>'[1]2026 Orders'!B255</f>
        <v>KSA</v>
      </c>
      <c r="C254" s="14" t="str">
        <f>'[1]2026 Orders'!C255</f>
        <v>A4654</v>
      </c>
      <c r="D254" s="14">
        <f>'[1]2026 Orders'!D255</f>
        <v>0</v>
      </c>
      <c r="E254" s="17" t="str" cm="1">
        <f t="array" ref="E254">IF(C254=0,"",
HYPERLINK(
"#'2026 Orders'!C"&amp;
MATCH(1,
('2026 Orders'!C:C=C254)*
('2026 Orders'!G:G=G254)*
('2026 Orders'!N:N=N254),
0),
"Open "&amp;C254
))</f>
        <v>Open A4654</v>
      </c>
      <c r="F254" s="14">
        <f>'[1]2026 Orders'!F255</f>
        <v>0</v>
      </c>
      <c r="G254" s="14" t="str">
        <f>'[1]2026 Orders'!G255</f>
        <v>OSTEOPL-96-FD</v>
      </c>
      <c r="H254" s="14" t="str" cm="1">
        <f t="array" ref="H254">IFERROR(_xlfn.TEXTJOIN("-",,INDEX(_xlfn.TEXTSPLIT(TableGive[[#This Row],[SKU]],"-"),{1,2})),"")</f>
        <v>OSTEOPL-96</v>
      </c>
      <c r="I254" s="15" t="str">
        <f>IFERROR(_xlfn.TEXTAFTER(TableGive[[#This Row],[SKU]],"-",-1),"")</f>
        <v>FD</v>
      </c>
      <c r="J254" s="14">
        <f>'[1]2026 Orders'!H255</f>
        <v>96</v>
      </c>
      <c r="K254" t="str">
        <f>'[1]2026 Orders'!I255</f>
        <v>F39-24.0</v>
      </c>
      <c r="L254">
        <f>'[1]2026 Orders'!J255</f>
        <v>96</v>
      </c>
      <c r="N254" s="10" t="str">
        <f>'[1]2026 Orders'!L255</f>
        <v>D/W Sent</v>
      </c>
      <c r="O254">
        <f>'[1]2026 Orders'!M255</f>
        <v>0</v>
      </c>
      <c r="P254" t="str">
        <f>'[1]2026 Orders'!N255</f>
        <v>Y</v>
      </c>
      <c r="Q254">
        <f>'[1]2026 Orders'!O255</f>
        <v>609788968238</v>
      </c>
      <c r="R254">
        <f>'[1]2026 Orders'!P255</f>
        <v>0</v>
      </c>
      <c r="S254">
        <f>'[1]2026 Orders'!Q255</f>
        <v>0</v>
      </c>
      <c r="T254">
        <f>'[1]2026 Orders'!R255</f>
        <v>0</v>
      </c>
      <c r="U254">
        <f>'[1]2026 Orders'!S255</f>
        <v>0</v>
      </c>
      <c r="V254">
        <f>'[1]2026 Orders'!T255</f>
        <v>0</v>
      </c>
      <c r="W254">
        <f>'[1]2026 Orders'!U255</f>
        <v>0</v>
      </c>
      <c r="X254">
        <f>'[1]2026 Orders'!V255</f>
        <v>0</v>
      </c>
      <c r="Y254">
        <f>'[1]2026 Orders'!W255</f>
        <v>0</v>
      </c>
      <c r="Z254">
        <f>'[1]2026 Orders'!X255</f>
        <v>0</v>
      </c>
      <c r="AC254" t="str">
        <f t="shared" si="6"/>
        <v>/96</v>
      </c>
      <c r="AD254" t="e">
        <f t="shared" si="7"/>
        <v>#VALUE!</v>
      </c>
    </row>
    <row r="255" spans="1:30" ht="33" hidden="1" customHeight="1" x14ac:dyDescent="0.3">
      <c r="A255">
        <f>'[1]2026 Orders'!A256</f>
        <v>46087</v>
      </c>
      <c r="B255" s="14" t="str">
        <f>'[1]2026 Orders'!B256</f>
        <v>KSA</v>
      </c>
      <c r="C255" s="14" t="str">
        <f>'[1]2026 Orders'!C256</f>
        <v>A4654</v>
      </c>
      <c r="D255" s="14">
        <f>'[1]2026 Orders'!D256</f>
        <v>0</v>
      </c>
      <c r="E255" s="17" t="str" cm="1">
        <f t="array" ref="E255">IF(C255=0,"",
HYPERLINK(
"#'2026 Orders'!C"&amp;
MATCH(1,
('2026 Orders'!C:C=C255)*
('2026 Orders'!G:G=G255)*
('2026 Orders'!N:N=N255),
0),
"Open "&amp;C255
))</f>
        <v>Open A4654</v>
      </c>
      <c r="F255" s="14" t="str">
        <f>'[1]2026 Orders'!F256</f>
        <v>Extra run off 
4/22/2026 - Product added back from KSA A4679</v>
      </c>
      <c r="G255" s="14" t="str">
        <f>'[1]2026 Orders'!G256</f>
        <v>COQ100-125-FD</v>
      </c>
      <c r="H255" s="14" t="str" cm="1">
        <f t="array" ref="H255">IFERROR(_xlfn.TEXTJOIN("-",,INDEX(_xlfn.TEXTSPLIT(TableGive[[#This Row],[SKU]],"-"),{1,2})),"")</f>
        <v>COQ100-125</v>
      </c>
      <c r="I255" s="15" t="str">
        <f>IFERROR(_xlfn.TEXTAFTER(TableGive[[#This Row],[SKU]],"-",-1),"")</f>
        <v>FD</v>
      </c>
      <c r="J255" s="14">
        <f>'[1]2026 Orders'!H256</f>
        <v>140</v>
      </c>
      <c r="K255" t="str">
        <f>'[1]2026 Orders'!I256</f>
        <v>F12-26.0</v>
      </c>
      <c r="L255">
        <f>'[1]2026 Orders'!J256</f>
        <v>140</v>
      </c>
      <c r="N255" s="10" t="str">
        <f>'[1]2026 Orders'!L256</f>
        <v>D/W Sent</v>
      </c>
      <c r="O255">
        <f>'[1]2026 Orders'!M256</f>
        <v>0</v>
      </c>
      <c r="P255" t="str">
        <f>'[1]2026 Orders'!N256</f>
        <v>Y</v>
      </c>
      <c r="Q255">
        <f>'[1]2026 Orders'!O256</f>
        <v>810131199258</v>
      </c>
      <c r="R255">
        <f>'[1]2026 Orders'!P256</f>
        <v>8000</v>
      </c>
      <c r="S255">
        <f>'[1]2026 Orders'!Q256</f>
        <v>4916</v>
      </c>
      <c r="T255" t="str">
        <f>'[1]2026 Orders'!R256</f>
        <v>Complete</v>
      </c>
      <c r="U255" t="str">
        <f>'[1]2026 Orders'!S256</f>
        <v>Use overrun to fulfill this order. Waiting to pick up from Vitane pending response</v>
      </c>
      <c r="V255">
        <f>'[1]2026 Orders'!T256</f>
        <v>0</v>
      </c>
      <c r="W255">
        <f>'[1]2026 Orders'!U256</f>
        <v>0</v>
      </c>
      <c r="X255">
        <f>'[1]2026 Orders'!V256</f>
        <v>0</v>
      </c>
      <c r="Y255">
        <f>'[1]2026 Orders'!W256</f>
        <v>0</v>
      </c>
      <c r="Z255">
        <f>'[1]2026 Orders'!X256</f>
        <v>0</v>
      </c>
      <c r="AC255" t="str">
        <f t="shared" si="6"/>
        <v>/140</v>
      </c>
      <c r="AD255" t="e">
        <f t="shared" si="7"/>
        <v>#VALUE!</v>
      </c>
    </row>
    <row r="256" spans="1:30" ht="33" hidden="1" customHeight="1" x14ac:dyDescent="0.3">
      <c r="A256">
        <f>'[1]2026 Orders'!A257</f>
        <v>46087</v>
      </c>
      <c r="B256" s="14" t="str">
        <f>'[1]2026 Orders'!B257</f>
        <v>KSA</v>
      </c>
      <c r="C256" s="14" t="str">
        <f>'[1]2026 Orders'!C257</f>
        <v>A4654</v>
      </c>
      <c r="D256" s="14">
        <f>'[1]2026 Orders'!D257</f>
        <v>0</v>
      </c>
      <c r="E256" s="17" t="str" cm="1">
        <f t="array" ref="E256">IF(C256=0,"",
HYPERLINK(
"#'2026 Orders'!C"&amp;
MATCH(1,
('2026 Orders'!C:C=C256)*
('2026 Orders'!G:G=G256)*
('2026 Orders'!N:N=N256),
0),
"Open "&amp;C256
))</f>
        <v>Open A4654</v>
      </c>
      <c r="F256" s="14" t="str">
        <f>'[1]2026 Orders'!F257</f>
        <v>5/7/2026: Moved from KSA A4679</v>
      </c>
      <c r="G256" s="14" t="str">
        <f>'[1]2026 Orders'!G257</f>
        <v>MFSPLS-120-FD</v>
      </c>
      <c r="H256" s="14" t="str" cm="1">
        <f t="array" ref="H256">IFERROR(_xlfn.TEXTJOIN("-",,INDEX(_xlfn.TEXTSPLIT(TableGive[[#This Row],[SKU]],"-"),{1,2})),"")</f>
        <v>MFSPLS-120</v>
      </c>
      <c r="I256" s="15" t="str">
        <f>IFERROR(_xlfn.TEXTAFTER(TableGive[[#This Row],[SKU]],"-",-1),"")</f>
        <v>FD</v>
      </c>
      <c r="J256" s="14">
        <f>'[1]2026 Orders'!H257</f>
        <v>216</v>
      </c>
      <c r="K256" t="str">
        <f>'[1]2026 Orders'!I257</f>
        <v>F30-25.1</v>
      </c>
      <c r="L256">
        <f>'[1]2026 Orders'!J257</f>
        <v>216</v>
      </c>
      <c r="N256" s="10" t="str">
        <f>'[1]2026 Orders'!L257</f>
        <v>D/W Sent</v>
      </c>
      <c r="O256">
        <f>'[1]2026 Orders'!M257</f>
        <v>0</v>
      </c>
      <c r="P256" t="str">
        <f>'[1]2026 Orders'!N257</f>
        <v>NA</v>
      </c>
      <c r="Q256">
        <f>'[1]2026 Orders'!O257</f>
        <v>609788968344</v>
      </c>
      <c r="R256">
        <f>'[1]2026 Orders'!P257</f>
        <v>0</v>
      </c>
      <c r="S256">
        <f>'[1]2026 Orders'!Q257</f>
        <v>0</v>
      </c>
      <c r="T256">
        <f>'[1]2026 Orders'!R257</f>
        <v>0</v>
      </c>
      <c r="U256">
        <f>'[1]2026 Orders'!S257</f>
        <v>0</v>
      </c>
      <c r="V256">
        <f>'[1]2026 Orders'!T257</f>
        <v>0</v>
      </c>
      <c r="W256">
        <f>'[1]2026 Orders'!U257</f>
        <v>0</v>
      </c>
      <c r="X256">
        <f>'[1]2026 Orders'!V257</f>
        <v>0</v>
      </c>
      <c r="Y256">
        <f>'[1]2026 Orders'!W257</f>
        <v>0</v>
      </c>
      <c r="Z256">
        <f>'[1]2026 Orders'!X257</f>
        <v>0</v>
      </c>
      <c r="AC256" t="str">
        <f t="shared" si="6"/>
        <v>/216</v>
      </c>
      <c r="AD256" t="e">
        <f t="shared" si="7"/>
        <v>#VALUE!</v>
      </c>
    </row>
    <row r="257" spans="1:30" ht="33" hidden="1" customHeight="1" x14ac:dyDescent="0.3">
      <c r="A257">
        <f>'[1]2026 Orders'!A258</f>
        <v>0</v>
      </c>
      <c r="B257" s="14">
        <f>'[1]2026 Orders'!B258</f>
        <v>0</v>
      </c>
      <c r="C257" s="14">
        <f>'[1]2026 Orders'!C258</f>
        <v>0</v>
      </c>
      <c r="D257" s="14">
        <f>'[1]2026 Orders'!D258</f>
        <v>0</v>
      </c>
      <c r="E257" s="17" t="str" cm="1">
        <f t="array" ref="E257">IF(C257=0,"",
HYPERLINK(
"#'2026 Orders'!C"&amp;
MATCH(1,
('2026 Orders'!C:C=C257)*
('2026 Orders'!G:G=G257)*
('2026 Orders'!N:N=N257),
0),
"Open "&amp;C257
))</f>
        <v/>
      </c>
      <c r="F257" s="14">
        <f>'[1]2026 Orders'!F258</f>
        <v>0</v>
      </c>
      <c r="G257" s="14">
        <f>'[1]2026 Orders'!G258</f>
        <v>0</v>
      </c>
      <c r="H257" s="14" t="str" cm="1">
        <f t="array" ref="H257">IFERROR(_xlfn.TEXTJOIN("-",,INDEX(_xlfn.TEXTSPLIT(TableGive[[#This Row],[SKU]],"-"),{1,2})),"")</f>
        <v/>
      </c>
      <c r="I257" s="15" t="str">
        <f>IFERROR(_xlfn.TEXTAFTER(TableGive[[#This Row],[SKU]],"-",-1),"")</f>
        <v/>
      </c>
      <c r="J257" s="14">
        <f>'[1]2026 Orders'!H258</f>
        <v>0</v>
      </c>
      <c r="K257">
        <f>'[1]2026 Orders'!I258</f>
        <v>0</v>
      </c>
      <c r="L257">
        <f>'[1]2026 Orders'!J258</f>
        <v>0</v>
      </c>
      <c r="N257" s="10">
        <f>'[1]2026 Orders'!L258</f>
        <v>0</v>
      </c>
      <c r="O257">
        <f>'[1]2026 Orders'!M258</f>
        <v>0</v>
      </c>
      <c r="P257">
        <f>'[1]2026 Orders'!N258</f>
        <v>0</v>
      </c>
      <c r="Q257">
        <f>'[1]2026 Orders'!O258</f>
        <v>0</v>
      </c>
      <c r="R257">
        <f>'[1]2026 Orders'!P258</f>
        <v>0</v>
      </c>
      <c r="S257">
        <f>'[1]2026 Orders'!Q258</f>
        <v>0</v>
      </c>
      <c r="T257">
        <f>'[1]2026 Orders'!R258</f>
        <v>0</v>
      </c>
      <c r="U257">
        <f>'[1]2026 Orders'!S258</f>
        <v>0</v>
      </c>
      <c r="V257">
        <f>'[1]2026 Orders'!T258</f>
        <v>0</v>
      </c>
      <c r="W257">
        <f>'[1]2026 Orders'!U258</f>
        <v>0</v>
      </c>
      <c r="X257">
        <f>'[1]2026 Orders'!V258</f>
        <v>0</v>
      </c>
      <c r="Y257">
        <f>'[1]2026 Orders'!W258</f>
        <v>0</v>
      </c>
      <c r="Z257">
        <f>'[1]2026 Orders'!X258</f>
        <v>0</v>
      </c>
      <c r="AC257" t="str">
        <f t="shared" si="6"/>
        <v/>
      </c>
      <c r="AD257" t="str">
        <f t="shared" si="7"/>
        <v/>
      </c>
    </row>
    <row r="258" spans="1:30" ht="33" hidden="1" customHeight="1" x14ac:dyDescent="0.3">
      <c r="A258">
        <f>'[1]2026 Orders'!A259</f>
        <v>46087</v>
      </c>
      <c r="B258" s="14" t="str">
        <f>'[1]2026 Orders'!B259</f>
        <v>KSA</v>
      </c>
      <c r="C258" s="14" t="str">
        <f>'[1]2026 Orders'!C259</f>
        <v>A4679</v>
      </c>
      <c r="D258" s="14">
        <f>'[1]2026 Orders'!D259</f>
        <v>0</v>
      </c>
      <c r="E258" s="17" t="str" cm="1">
        <f t="array" ref="E258">IF(C258=0,"",
HYPERLINK(
"#'2026 Orders'!C"&amp;
MATCH(1,
('2026 Orders'!C:C=C258)*
('2026 Orders'!G:G=G258)*
('2026 Orders'!N:N=N258),
0),
"Open "&amp;C258
))</f>
        <v>Open A4679</v>
      </c>
      <c r="F258" s="14">
        <f>'[1]2026 Orders'!F259</f>
        <v>0</v>
      </c>
      <c r="G258" s="14" t="str">
        <f>'[1]2026 Orders'!G259</f>
        <v>MFSADV-120-FD</v>
      </c>
      <c r="H258" s="14" t="str" cm="1">
        <f t="array" ref="H258">IFERROR(_xlfn.TEXTJOIN("-",,INDEX(_xlfn.TEXTSPLIT(TableGive[[#This Row],[SKU]],"-"),{1,2})),"")</f>
        <v>MFSADV-120</v>
      </c>
      <c r="I258" s="15" t="str">
        <f>IFERROR(_xlfn.TEXTAFTER(TableGive[[#This Row],[SKU]],"-",-1),"")</f>
        <v>FD</v>
      </c>
      <c r="J258" s="14">
        <f>'[1]2026 Orders'!H259</f>
        <v>288</v>
      </c>
      <c r="K258" t="str">
        <f>'[1]2026 Orders'!I259</f>
        <v>F87-25.0</v>
      </c>
      <c r="L258">
        <f>'[1]2026 Orders'!J259</f>
        <v>0</v>
      </c>
      <c r="N258" s="10" t="str">
        <f>'[1]2026 Orders'!L259</f>
        <v>Not Meet MOQ</v>
      </c>
      <c r="O258">
        <f>'[1]2026 Orders'!M259</f>
        <v>0</v>
      </c>
      <c r="P258" t="str">
        <f>'[1]2026 Orders'!N259</f>
        <v>Y</v>
      </c>
      <c r="Q258">
        <f>'[1]2026 Orders'!O259</f>
        <v>604776736547</v>
      </c>
      <c r="R258">
        <f>'[1]2026 Orders'!P259</f>
        <v>0</v>
      </c>
      <c r="S258">
        <f>'[1]2026 Orders'!Q259</f>
        <v>0</v>
      </c>
      <c r="T258">
        <f>'[1]2026 Orders'!R259</f>
        <v>0</v>
      </c>
      <c r="U258" t="str">
        <f>'[1]2026 Orders'!S259</f>
        <v>Tablet</v>
      </c>
      <c r="V258">
        <f>'[1]2026 Orders'!T259</f>
        <v>0</v>
      </c>
      <c r="W258">
        <f>'[1]2026 Orders'!U259</f>
        <v>0</v>
      </c>
      <c r="X258">
        <f>'[1]2026 Orders'!V259</f>
        <v>0</v>
      </c>
      <c r="Y258">
        <f>'[1]2026 Orders'!W259</f>
        <v>0</v>
      </c>
      <c r="Z258" t="str">
        <f>'[1]2026 Orders'!X259</f>
        <v>HOLD</v>
      </c>
      <c r="AC258" t="str">
        <f t="shared" si="6"/>
        <v>/288</v>
      </c>
      <c r="AD258" t="e">
        <f t="shared" si="7"/>
        <v>#VALUE!</v>
      </c>
    </row>
    <row r="259" spans="1:30" ht="33" hidden="1" customHeight="1" x14ac:dyDescent="0.3">
      <c r="A259">
        <f>'[1]2026 Orders'!A260</f>
        <v>46087</v>
      </c>
      <c r="B259" s="14" t="str">
        <f>'[1]2026 Orders'!B260</f>
        <v>KSA</v>
      </c>
      <c r="C259" s="14" t="str">
        <f>'[1]2026 Orders'!C260</f>
        <v>A4679</v>
      </c>
      <c r="D259" s="14">
        <f>'[1]2026 Orders'!D260</f>
        <v>0</v>
      </c>
      <c r="E259" s="17" t="str" cm="1">
        <f t="array" ref="E259">IF(C259=0,"",
HYPERLINK(
"#'2026 Orders'!C"&amp;
MATCH(1,
('2026 Orders'!C:C=C259)*
('2026 Orders'!G:G=G259)*
('2026 Orders'!N:N=N259),
0),
"Open "&amp;C259
))</f>
        <v>Open A4679</v>
      </c>
      <c r="F259" s="14">
        <f>'[1]2026 Orders'!F260</f>
        <v>0</v>
      </c>
      <c r="G259" s="14" t="str">
        <f>'[1]2026 Orders'!G260</f>
        <v>PEDIACM-50-FD</v>
      </c>
      <c r="H259" s="14" t="str" cm="1">
        <f t="array" ref="H259">IFERROR(_xlfn.TEXTJOIN("-",,INDEX(_xlfn.TEXTSPLIT(TableGive[[#This Row],[SKU]],"-"),{1,2})),"")</f>
        <v>PEDIACM-50</v>
      </c>
      <c r="I259" s="15" t="str">
        <f>IFERROR(_xlfn.TEXTAFTER(TableGive[[#This Row],[SKU]],"-",-1),"")</f>
        <v>FD</v>
      </c>
      <c r="J259" s="14">
        <f>'[1]2026 Orders'!H260</f>
        <v>144</v>
      </c>
      <c r="K259" t="str">
        <f>'[1]2026 Orders'!I260</f>
        <v>F44-26.0</v>
      </c>
      <c r="L259">
        <f>'[1]2026 Orders'!J260</f>
        <v>0</v>
      </c>
      <c r="N259" s="10" t="str">
        <f>'[1]2026 Orders'!L260</f>
        <v>PO submitted</v>
      </c>
      <c r="O259">
        <f>'[1]2026 Orders'!M260</f>
        <v>0</v>
      </c>
      <c r="P259" t="str">
        <f>'[1]2026 Orders'!N260</f>
        <v>Y</v>
      </c>
      <c r="Q259">
        <f>'[1]2026 Orders'!O260</f>
        <v>810131199616</v>
      </c>
      <c r="R259">
        <f>'[1]2026 Orders'!P260</f>
        <v>5000</v>
      </c>
      <c r="S259">
        <f>'[1]2026 Orders'!Q260</f>
        <v>4980</v>
      </c>
      <c r="T259" t="str">
        <f>'[1]2026 Orders'!R260</f>
        <v>TBD</v>
      </c>
      <c r="U259" t="str">
        <f>'[1]2026 Orders'!S260</f>
        <v>Waiting for IFC to start production.</v>
      </c>
      <c r="V259">
        <f>'[1]2026 Orders'!T260</f>
        <v>0</v>
      </c>
      <c r="W259">
        <f>'[1]2026 Orders'!U260</f>
        <v>0</v>
      </c>
      <c r="X259">
        <f>'[1]2026 Orders'!V260</f>
        <v>0</v>
      </c>
      <c r="Y259">
        <f>'[1]2026 Orders'!W260</f>
        <v>0</v>
      </c>
      <c r="Z259">
        <f>'[1]2026 Orders'!X260</f>
        <v>0</v>
      </c>
      <c r="AC259" t="str">
        <f t="shared" ref="AC259:AC322" si="8">IF(OR(B259="",B259=0),"",$AJ$2&amp;"/"&amp;J259)</f>
        <v>/144</v>
      </c>
      <c r="AD259" t="e">
        <f t="shared" ref="AD259:AD322" si="9">IF(OR(J259="",J259=0),"",$AK$2&amp;" -&gt; "&amp;I259)</f>
        <v>#VALUE!</v>
      </c>
    </row>
    <row r="260" spans="1:30" ht="33" hidden="1" customHeight="1" x14ac:dyDescent="0.3">
      <c r="A260">
        <f>'[1]2026 Orders'!A261</f>
        <v>46087</v>
      </c>
      <c r="B260" s="14" t="str">
        <f>'[1]2026 Orders'!B261</f>
        <v>KSA</v>
      </c>
      <c r="C260" s="14" t="str">
        <f>'[1]2026 Orders'!C261</f>
        <v>A4679</v>
      </c>
      <c r="D260" s="14">
        <f>'[1]2026 Orders'!D261</f>
        <v>0</v>
      </c>
      <c r="E260" s="17" t="str" cm="1">
        <f t="array" ref="E260">IF(C260=0,"",
HYPERLINK(
"#'2026 Orders'!C"&amp;
MATCH(1,
('2026 Orders'!C:C=C260)*
('2026 Orders'!G:G=G260)*
('2026 Orders'!N:N=N260),
0),
"Open "&amp;C260
))</f>
        <v>Open A4679</v>
      </c>
      <c r="F260" s="14">
        <f>'[1]2026 Orders'!F261</f>
        <v>0</v>
      </c>
      <c r="G260" s="14" t="str">
        <f>'[1]2026 Orders'!G261</f>
        <v>PEDIAZI-50-FD</v>
      </c>
      <c r="H260" s="14" t="str" cm="1">
        <f t="array" ref="H260">IFERROR(_xlfn.TEXTJOIN("-",,INDEX(_xlfn.TEXTSPLIT(TableGive[[#This Row],[SKU]],"-"),{1,2})),"")</f>
        <v>PEDIAZI-50</v>
      </c>
      <c r="I260" s="15" t="str">
        <f>IFERROR(_xlfn.TEXTAFTER(TableGive[[#This Row],[SKU]],"-",-1),"")</f>
        <v>FD</v>
      </c>
      <c r="J260" s="14">
        <f>'[1]2026 Orders'!H261</f>
        <v>216</v>
      </c>
      <c r="K260" t="str">
        <f>'[1]2026 Orders'!I261</f>
        <v>F50-26.0</v>
      </c>
      <c r="L260">
        <f>'[1]2026 Orders'!J261</f>
        <v>0</v>
      </c>
      <c r="N260" s="10" t="str">
        <f>'[1]2026 Orders'!L261</f>
        <v>PO submitted</v>
      </c>
      <c r="O260">
        <f>'[1]2026 Orders'!M261</f>
        <v>0</v>
      </c>
      <c r="P260" t="str">
        <f>'[1]2026 Orders'!N261</f>
        <v>Y</v>
      </c>
      <c r="Q260">
        <f>'[1]2026 Orders'!O261</f>
        <v>810131199678</v>
      </c>
      <c r="R260">
        <f>'[1]2026 Orders'!P261</f>
        <v>5000</v>
      </c>
      <c r="S260">
        <f>'[1]2026 Orders'!Q261</f>
        <v>4978</v>
      </c>
      <c r="T260" t="str">
        <f>'[1]2026 Orders'!R261</f>
        <v>TBD</v>
      </c>
      <c r="U260" t="str">
        <f>'[1]2026 Orders'!S261</f>
        <v>Waiting for IFC to start production.</v>
      </c>
      <c r="V260">
        <f>'[1]2026 Orders'!T261</f>
        <v>0</v>
      </c>
      <c r="W260">
        <f>'[1]2026 Orders'!U261</f>
        <v>0</v>
      </c>
      <c r="X260">
        <f>'[1]2026 Orders'!V261</f>
        <v>0</v>
      </c>
      <c r="Y260">
        <f>'[1]2026 Orders'!W261</f>
        <v>0</v>
      </c>
      <c r="Z260">
        <f>'[1]2026 Orders'!X261</f>
        <v>0</v>
      </c>
      <c r="AC260" t="str">
        <f t="shared" si="8"/>
        <v>/216</v>
      </c>
      <c r="AD260" t="e">
        <f t="shared" si="9"/>
        <v>#VALUE!</v>
      </c>
    </row>
    <row r="261" spans="1:30" ht="33" hidden="1" customHeight="1" x14ac:dyDescent="0.3">
      <c r="A261">
        <f>'[1]2026 Orders'!A262</f>
        <v>46087</v>
      </c>
      <c r="B261" s="14" t="str">
        <f>'[1]2026 Orders'!B262</f>
        <v>KSA</v>
      </c>
      <c r="C261" s="14" t="str">
        <f>'[1]2026 Orders'!C262</f>
        <v>A4679</v>
      </c>
      <c r="D261" s="14">
        <f>'[1]2026 Orders'!D262</f>
        <v>0</v>
      </c>
      <c r="E261" s="17" t="str" cm="1">
        <f t="array" ref="E261">IF(C261=0,"",
HYPERLINK(
"#'2026 Orders'!C"&amp;
MATCH(1,
('2026 Orders'!C:C=C261)*
('2026 Orders'!G:G=G261)*
('2026 Orders'!N:N=N261),
0),
"Open "&amp;C261
))</f>
        <v>Open A4679</v>
      </c>
      <c r="F261" s="14" t="str">
        <f>'[1]2026 Orders'!F262</f>
        <v>take from Iraq A4631?</v>
      </c>
      <c r="G261" s="14" t="str">
        <f>'[1]2026 Orders'!G262</f>
        <v>MEMOUP-60-FD</v>
      </c>
      <c r="H261" s="14" t="str" cm="1">
        <f t="array" ref="H261">IFERROR(_xlfn.TEXTJOIN("-",,INDEX(_xlfn.TEXTSPLIT(TableGive[[#This Row],[SKU]],"-"),{1,2})),"")</f>
        <v>MEMOUP-60</v>
      </c>
      <c r="I261" s="15" t="str">
        <f>IFERROR(_xlfn.TEXTAFTER(TableGive[[#This Row],[SKU]],"-",-1),"")</f>
        <v>FD</v>
      </c>
      <c r="J261" s="14">
        <f>'[1]2026 Orders'!H262</f>
        <v>105</v>
      </c>
      <c r="K261" t="str">
        <f>'[1]2026 Orders'!I262</f>
        <v>F27-26.0</v>
      </c>
      <c r="L261">
        <f>'[1]2026 Orders'!J262</f>
        <v>0</v>
      </c>
      <c r="N261" s="10" t="str">
        <f>'[1]2026 Orders'!L262</f>
        <v>Not Meet MOQ</v>
      </c>
      <c r="O261">
        <f>'[1]2026 Orders'!M262</f>
        <v>0</v>
      </c>
      <c r="P261" t="str">
        <f>'[1]2026 Orders'!N262</f>
        <v>Y</v>
      </c>
      <c r="Q261">
        <f>'[1]2026 Orders'!O262</f>
        <v>810131199449</v>
      </c>
      <c r="R261">
        <f>'[1]2026 Orders'!P262</f>
        <v>0</v>
      </c>
      <c r="S261">
        <f>'[1]2026 Orders'!Q262</f>
        <v>0</v>
      </c>
      <c r="T261">
        <f>'[1]2026 Orders'!R262</f>
        <v>0</v>
      </c>
      <c r="U261" t="str">
        <f>'[1]2026 Orders'!S262</f>
        <v>Take from Iraq?</v>
      </c>
      <c r="V261">
        <f>'[1]2026 Orders'!T262</f>
        <v>0</v>
      </c>
      <c r="W261">
        <f>'[1]2026 Orders'!U262</f>
        <v>0</v>
      </c>
      <c r="X261">
        <f>'[1]2026 Orders'!V262</f>
        <v>0</v>
      </c>
      <c r="Y261">
        <f>'[1]2026 Orders'!W262</f>
        <v>0</v>
      </c>
      <c r="Z261">
        <f>'[1]2026 Orders'!X262</f>
        <v>0</v>
      </c>
      <c r="AC261" t="str">
        <f t="shared" si="8"/>
        <v>/105</v>
      </c>
      <c r="AD261" t="e">
        <f t="shared" si="9"/>
        <v>#VALUE!</v>
      </c>
    </row>
    <row r="262" spans="1:30" ht="33" hidden="1" customHeight="1" x14ac:dyDescent="0.3">
      <c r="A262">
        <f>'[1]2026 Orders'!A263</f>
        <v>46087</v>
      </c>
      <c r="B262" s="14" t="str">
        <f>'[1]2026 Orders'!B263</f>
        <v>KSA</v>
      </c>
      <c r="C262" s="14" t="str">
        <f>'[1]2026 Orders'!C263</f>
        <v>A4679</v>
      </c>
      <c r="D262" s="14">
        <f>'[1]2026 Orders'!D263</f>
        <v>0</v>
      </c>
      <c r="E262" s="17" t="str" cm="1">
        <f t="array" ref="E262">IF(C262=0,"",
HYPERLINK(
"#'2026 Orders'!C"&amp;
MATCH(1,
('2026 Orders'!C:C=C262)*
('2026 Orders'!G:G=G262)*
('2026 Orders'!N:N=N262),
0),
"Open "&amp;C262
))</f>
        <v>Open A4679</v>
      </c>
      <c r="F262" s="14">
        <f>'[1]2026 Orders'!F263</f>
        <v>0</v>
      </c>
      <c r="G262" s="14" t="str">
        <f>'[1]2026 Orders'!G263</f>
        <v>ROYALJE-60-FD</v>
      </c>
      <c r="H262" s="14" t="str" cm="1">
        <f t="array" ref="H262">IFERROR(_xlfn.TEXTJOIN("-",,INDEX(_xlfn.TEXTSPLIT(TableGive[[#This Row],[SKU]],"-"),{1,2})),"")</f>
        <v>ROYALJE-60</v>
      </c>
      <c r="I262" s="15" t="str">
        <f>IFERROR(_xlfn.TEXTAFTER(TableGive[[#This Row],[SKU]],"-",-1),"")</f>
        <v>FD</v>
      </c>
      <c r="J262" s="14">
        <f>'[1]2026 Orders'!H263</f>
        <v>432</v>
      </c>
      <c r="K262" t="str">
        <f>'[1]2026 Orders'!I263</f>
        <v>F61-22.1</v>
      </c>
      <c r="L262">
        <f>'[1]2026 Orders'!J263</f>
        <v>0</v>
      </c>
      <c r="N262" s="10" t="str">
        <f>'[1]2026 Orders'!L263</f>
        <v>Not Meet MOQ</v>
      </c>
      <c r="O262">
        <f>'[1]2026 Orders'!M263</f>
        <v>0</v>
      </c>
      <c r="P262" t="str">
        <f>'[1]2026 Orders'!N263</f>
        <v>NA</v>
      </c>
      <c r="Q262">
        <f>'[1]2026 Orders'!O263</f>
        <v>609788968276</v>
      </c>
      <c r="R262">
        <f>'[1]2026 Orders'!P263</f>
        <v>0</v>
      </c>
      <c r="S262">
        <f>'[1]2026 Orders'!Q263</f>
        <v>0</v>
      </c>
      <c r="T262">
        <f>'[1]2026 Orders'!R263</f>
        <v>0</v>
      </c>
      <c r="U262" t="str">
        <f>'[1]2026 Orders'!S263</f>
        <v>MOQ 5000</v>
      </c>
      <c r="V262">
        <f>'[1]2026 Orders'!T263</f>
        <v>0</v>
      </c>
      <c r="W262">
        <f>'[1]2026 Orders'!U263</f>
        <v>0</v>
      </c>
      <c r="X262">
        <f>'[1]2026 Orders'!V263</f>
        <v>0</v>
      </c>
      <c r="Y262">
        <f>'[1]2026 Orders'!W263</f>
        <v>0</v>
      </c>
      <c r="Z262">
        <f>'[1]2026 Orders'!X263</f>
        <v>0</v>
      </c>
      <c r="AC262" t="str">
        <f t="shared" si="8"/>
        <v>/432</v>
      </c>
      <c r="AD262" t="e">
        <f t="shared" si="9"/>
        <v>#VALUE!</v>
      </c>
    </row>
    <row r="263" spans="1:30" ht="33" hidden="1" customHeight="1" x14ac:dyDescent="0.3">
      <c r="A263">
        <f>'[1]2026 Orders'!A264</f>
        <v>46087</v>
      </c>
      <c r="B263" s="14" t="str">
        <f>'[1]2026 Orders'!B264</f>
        <v>KSA</v>
      </c>
      <c r="C263" s="14" t="str">
        <f>'[1]2026 Orders'!C264</f>
        <v>A4679</v>
      </c>
      <c r="D263" s="14">
        <f>'[1]2026 Orders'!D264</f>
        <v>0</v>
      </c>
      <c r="E263" s="17" t="str" cm="1">
        <f t="array" ref="E263">IF(C263=0,"",
HYPERLINK(
"#'2026 Orders'!C"&amp;
MATCH(1,
('2026 Orders'!C:C=C263)*
('2026 Orders'!G:G=G263)*
('2026 Orders'!N:N=N263),
0),
"Open "&amp;C263
))</f>
        <v>Open A4679</v>
      </c>
      <c r="F263" s="14">
        <f>'[1]2026 Orders'!F264</f>
        <v>0</v>
      </c>
      <c r="G263" s="14" t="str">
        <f>'[1]2026 Orders'!G264</f>
        <v>PEDIAFL-50-FD</v>
      </c>
      <c r="H263" s="14" t="str" cm="1">
        <f t="array" ref="H263">IFERROR(_xlfn.TEXTJOIN("-",,INDEX(_xlfn.TEXTSPLIT(TableGive[[#This Row],[SKU]],"-"),{1,2})),"")</f>
        <v>PEDIAFL-50</v>
      </c>
      <c r="I263" s="15" t="str">
        <f>IFERROR(_xlfn.TEXTAFTER(TableGive[[#This Row],[SKU]],"-",-1),"")</f>
        <v>FD</v>
      </c>
      <c r="J263" s="14">
        <f>'[1]2026 Orders'!H264</f>
        <v>72</v>
      </c>
      <c r="K263" t="str">
        <f>'[1]2026 Orders'!I264</f>
        <v>F47-24.1</v>
      </c>
      <c r="L263">
        <f>'[1]2026 Orders'!J264</f>
        <v>0</v>
      </c>
      <c r="N263" s="10" t="str">
        <f>'[1]2026 Orders'!L264</f>
        <v>Not Meet MOQ</v>
      </c>
      <c r="O263">
        <f>'[1]2026 Orders'!M264</f>
        <v>0</v>
      </c>
      <c r="P263" t="str">
        <f>'[1]2026 Orders'!N264</f>
        <v>Y</v>
      </c>
      <c r="Q263">
        <f>'[1]2026 Orders'!O264</f>
        <v>810131199647</v>
      </c>
      <c r="R263">
        <f>'[1]2026 Orders'!P264</f>
        <v>0</v>
      </c>
      <c r="S263">
        <f>'[1]2026 Orders'!Q264</f>
        <v>0</v>
      </c>
      <c r="T263">
        <f>'[1]2026 Orders'!R264</f>
        <v>0</v>
      </c>
      <c r="U263" t="str">
        <f>'[1]2026 Orders'!S264</f>
        <v>MOQ 5000</v>
      </c>
      <c r="V263">
        <f>'[1]2026 Orders'!T264</f>
        <v>0</v>
      </c>
      <c r="W263">
        <f>'[1]2026 Orders'!U264</f>
        <v>0</v>
      </c>
      <c r="X263">
        <f>'[1]2026 Orders'!V264</f>
        <v>0</v>
      </c>
      <c r="Y263">
        <f>'[1]2026 Orders'!W264</f>
        <v>0</v>
      </c>
      <c r="Z263">
        <f>'[1]2026 Orders'!X264</f>
        <v>0</v>
      </c>
      <c r="AC263" t="str">
        <f t="shared" si="8"/>
        <v>/72</v>
      </c>
      <c r="AD263" t="e">
        <f t="shared" si="9"/>
        <v>#VALUE!</v>
      </c>
    </row>
    <row r="264" spans="1:30" ht="33" hidden="1" customHeight="1" x14ac:dyDescent="0.3">
      <c r="A264">
        <f>'[1]2026 Orders'!A265</f>
        <v>46087</v>
      </c>
      <c r="B264" s="14" t="str">
        <f>'[1]2026 Orders'!B265</f>
        <v>KSA</v>
      </c>
      <c r="C264" s="14" t="str">
        <f>'[1]2026 Orders'!C265</f>
        <v>A4679</v>
      </c>
      <c r="D264" s="14">
        <f>'[1]2026 Orders'!D265</f>
        <v>0</v>
      </c>
      <c r="E264" s="17" t="str" cm="1">
        <f t="array" ref="E264">IF(C264=0,"",
HYPERLINK(
"#'2026 Orders'!C"&amp;
MATCH(1,
('2026 Orders'!C:C=C264)*
('2026 Orders'!G:G=G264)*
('2026 Orders'!N:N=N264),
0),
"Open "&amp;C264
))</f>
        <v>Open A4679</v>
      </c>
      <c r="F264" s="14">
        <f>'[1]2026 Orders'!F265</f>
        <v>0</v>
      </c>
      <c r="G264" s="14" t="str">
        <f>'[1]2026 Orders'!G265</f>
        <v>PEDIABS-50-FD</v>
      </c>
      <c r="H264" s="14" t="str" cm="1">
        <f t="array" ref="H264">IFERROR(_xlfn.TEXTJOIN("-",,INDEX(_xlfn.TEXTSPLIT(TableGive[[#This Row],[SKU]],"-"),{1,2})),"")</f>
        <v>PEDIABS-50</v>
      </c>
      <c r="I264" s="15" t="str">
        <f>IFERROR(_xlfn.TEXTAFTER(TableGive[[#This Row],[SKU]],"-",-1),"")</f>
        <v>FD</v>
      </c>
      <c r="J264" s="14">
        <f>'[1]2026 Orders'!H265</f>
        <v>120</v>
      </c>
      <c r="K264" t="str">
        <f>'[1]2026 Orders'!I265</f>
        <v>F43-25.0</v>
      </c>
      <c r="L264">
        <f>'[1]2026 Orders'!J265</f>
        <v>120</v>
      </c>
      <c r="N264" s="10" t="str">
        <f>'[1]2026 Orders'!L265</f>
        <v>Not Meet MOQ</v>
      </c>
      <c r="O264">
        <f>'[1]2026 Orders'!M265</f>
        <v>0</v>
      </c>
      <c r="P264" t="str">
        <f>'[1]2026 Orders'!N265</f>
        <v>Y</v>
      </c>
      <c r="Q264">
        <f>'[1]2026 Orders'!O265</f>
        <v>810131199609</v>
      </c>
      <c r="R264">
        <f>'[1]2026 Orders'!P265</f>
        <v>0</v>
      </c>
      <c r="S264">
        <f>'[1]2026 Orders'!Q265</f>
        <v>0</v>
      </c>
      <c r="T264">
        <f>'[1]2026 Orders'!R265</f>
        <v>0</v>
      </c>
      <c r="U264" t="str">
        <f>'[1]2026 Orders'!S265</f>
        <v>MOQ 5000</v>
      </c>
      <c r="V264">
        <f>'[1]2026 Orders'!T265</f>
        <v>0</v>
      </c>
      <c r="W264">
        <f>'[1]2026 Orders'!U265</f>
        <v>0</v>
      </c>
      <c r="X264">
        <f>'[1]2026 Orders'!V265</f>
        <v>0</v>
      </c>
      <c r="Y264">
        <f>'[1]2026 Orders'!W265</f>
        <v>0</v>
      </c>
      <c r="Z264">
        <f>'[1]2026 Orders'!X265</f>
        <v>0</v>
      </c>
      <c r="AC264" t="str">
        <f t="shared" si="8"/>
        <v>/120</v>
      </c>
      <c r="AD264" t="e">
        <f t="shared" si="9"/>
        <v>#VALUE!</v>
      </c>
    </row>
    <row r="265" spans="1:30" ht="33" hidden="1" customHeight="1" x14ac:dyDescent="0.3">
      <c r="A265">
        <f>'[1]2026 Orders'!A266</f>
        <v>0</v>
      </c>
      <c r="B265" s="14">
        <f>'[1]2026 Orders'!B266</f>
        <v>0</v>
      </c>
      <c r="C265" s="14">
        <f>'[1]2026 Orders'!C266</f>
        <v>0</v>
      </c>
      <c r="D265" s="14">
        <f>'[1]2026 Orders'!D266</f>
        <v>0</v>
      </c>
      <c r="E265" s="17" t="str" cm="1">
        <f t="array" ref="E265">IF(C265=0,"",
HYPERLINK(
"#'2026 Orders'!C"&amp;
MATCH(1,
('2026 Orders'!C:C=C265)*
('2026 Orders'!G:G=G265)*
('2026 Orders'!N:N=N265),
0),
"Open "&amp;C265
))</f>
        <v/>
      </c>
      <c r="F265" s="14">
        <f>'[1]2026 Orders'!F266</f>
        <v>0</v>
      </c>
      <c r="G265" s="14">
        <f>'[1]2026 Orders'!G266</f>
        <v>0</v>
      </c>
      <c r="H265" s="14" t="str" cm="1">
        <f t="array" ref="H265">IFERROR(_xlfn.TEXTJOIN("-",,INDEX(_xlfn.TEXTSPLIT(TableGive[[#This Row],[SKU]],"-"),{1,2})),"")</f>
        <v/>
      </c>
      <c r="I265" s="15" t="str">
        <f>IFERROR(_xlfn.TEXTAFTER(TableGive[[#This Row],[SKU]],"-",-1),"")</f>
        <v/>
      </c>
      <c r="J265" s="14">
        <f>'[1]2026 Orders'!H266</f>
        <v>0</v>
      </c>
      <c r="K265">
        <f>'[1]2026 Orders'!I266</f>
        <v>0</v>
      </c>
      <c r="L265">
        <f>'[1]2026 Orders'!J266</f>
        <v>0</v>
      </c>
      <c r="N265" s="10">
        <f>'[1]2026 Orders'!L266</f>
        <v>0</v>
      </c>
      <c r="O265">
        <f>'[1]2026 Orders'!M266</f>
        <v>0</v>
      </c>
      <c r="P265">
        <f>'[1]2026 Orders'!N266</f>
        <v>0</v>
      </c>
      <c r="Q265">
        <f>'[1]2026 Orders'!O266</f>
        <v>0</v>
      </c>
      <c r="R265">
        <f>'[1]2026 Orders'!P266</f>
        <v>0</v>
      </c>
      <c r="S265">
        <f>'[1]2026 Orders'!Q266</f>
        <v>0</v>
      </c>
      <c r="T265">
        <f>'[1]2026 Orders'!R266</f>
        <v>0</v>
      </c>
      <c r="U265">
        <f>'[1]2026 Orders'!S266</f>
        <v>0</v>
      </c>
      <c r="V265">
        <f>'[1]2026 Orders'!T266</f>
        <v>0</v>
      </c>
      <c r="W265">
        <f>'[1]2026 Orders'!U266</f>
        <v>0</v>
      </c>
      <c r="X265">
        <f>'[1]2026 Orders'!V266</f>
        <v>0</v>
      </c>
      <c r="Y265">
        <f>'[1]2026 Orders'!W266</f>
        <v>0</v>
      </c>
      <c r="Z265">
        <f>'[1]2026 Orders'!X266</f>
        <v>0</v>
      </c>
      <c r="AC265" t="str">
        <f t="shared" si="8"/>
        <v/>
      </c>
      <c r="AD265" t="str">
        <f t="shared" si="9"/>
        <v/>
      </c>
    </row>
    <row r="266" spans="1:30" ht="33" hidden="1" customHeight="1" x14ac:dyDescent="0.3">
      <c r="A266">
        <f>'[1]2026 Orders'!A267</f>
        <v>46093</v>
      </c>
      <c r="B266" s="14" t="str">
        <f>'[1]2026 Orders'!B267</f>
        <v>China</v>
      </c>
      <c r="C266" s="14" t="str">
        <f>'[1]2026 Orders'!C267</f>
        <v>A4658</v>
      </c>
      <c r="D266" s="14" t="str">
        <f>'[1]2026 Orders'!D267</f>
        <v>4/1/2026: DHEA 25 and Rapid C Moved to China A4680</v>
      </c>
      <c r="E266" s="17" t="str" cm="1">
        <f t="array" ref="E266">IF(C266=0,"",
HYPERLINK(
"#'2026 Orders'!C"&amp;
MATCH(1,
('2026 Orders'!C:C=C266)*
('2026 Orders'!G:G=G266)*
('2026 Orders'!N:N=N266),
0),
"Open "&amp;C266
))</f>
        <v>Open A4658</v>
      </c>
      <c r="F266" s="14">
        <f>'[1]2026 Orders'!F267</f>
        <v>0</v>
      </c>
      <c r="G266" s="14" t="str">
        <f>'[1]2026 Orders'!G267</f>
        <v>PENAMAX-60-GE-FD</v>
      </c>
      <c r="H266" s="14" t="str" cm="1">
        <f t="array" ref="H266">IFERROR(_xlfn.TEXTJOIN("-",,INDEX(_xlfn.TEXTSPLIT(TableGive[[#This Row],[SKU]],"-"),{1,2})),"")</f>
        <v>PENAMAX-60</v>
      </c>
      <c r="I266" s="15" t="str">
        <f>IFERROR(_xlfn.TEXTAFTER(TableGive[[#This Row],[SKU]],"-",-1),"")</f>
        <v>FD</v>
      </c>
      <c r="J266" s="14">
        <f>'[1]2026 Orders'!H267</f>
        <v>100</v>
      </c>
      <c r="K266" t="str">
        <f>'[1]2026 Orders'!I267</f>
        <v>F88-25.1</v>
      </c>
      <c r="L266">
        <f>'[1]2026 Orders'!J267</f>
        <v>100</v>
      </c>
      <c r="N266" s="10" t="str">
        <f>'[1]2026 Orders'!L267</f>
        <v>Picked</v>
      </c>
      <c r="O266">
        <f>'[1]2026 Orders'!M267</f>
        <v>0</v>
      </c>
      <c r="P266" t="str">
        <f>'[1]2026 Orders'!N267</f>
        <v>Y</v>
      </c>
      <c r="Q266">
        <f>'[1]2026 Orders'!O267</f>
        <v>609788968702</v>
      </c>
      <c r="R266">
        <f>'[1]2026 Orders'!P267</f>
        <v>0</v>
      </c>
      <c r="S266">
        <f>'[1]2026 Orders'!Q267</f>
        <v>0</v>
      </c>
      <c r="T266">
        <f>'[1]2026 Orders'!R267</f>
        <v>0</v>
      </c>
      <c r="U266">
        <f>'[1]2026 Orders'!S267</f>
        <v>0</v>
      </c>
      <c r="V266">
        <f>'[1]2026 Orders'!T267</f>
        <v>0</v>
      </c>
      <c r="W266">
        <f>'[1]2026 Orders'!U267</f>
        <v>0</v>
      </c>
      <c r="X266">
        <f>'[1]2026 Orders'!V267</f>
        <v>0</v>
      </c>
      <c r="Y266">
        <f>'[1]2026 Orders'!W267</f>
        <v>0</v>
      </c>
      <c r="Z266" t="str">
        <f>'[1]2026 Orders'!X267</f>
        <v>HOLD</v>
      </c>
      <c r="AC266" t="str">
        <f t="shared" si="8"/>
        <v>/100</v>
      </c>
      <c r="AD266" t="e">
        <f t="shared" si="9"/>
        <v>#VALUE!</v>
      </c>
    </row>
    <row r="267" spans="1:30" ht="33" hidden="1" customHeight="1" x14ac:dyDescent="0.3">
      <c r="A267">
        <f>'[1]2026 Orders'!A268</f>
        <v>46093</v>
      </c>
      <c r="B267" s="14" t="str">
        <f>'[1]2026 Orders'!B268</f>
        <v>China</v>
      </c>
      <c r="C267" s="14" t="str">
        <f>'[1]2026 Orders'!C268</f>
        <v>A4658</v>
      </c>
      <c r="D267" s="14">
        <f>'[1]2026 Orders'!D268</f>
        <v>0</v>
      </c>
      <c r="E267" s="17" t="str" cm="1">
        <f t="array" ref="E267">IF(C267=0,"",
HYPERLINK(
"#'2026 Orders'!C"&amp;
MATCH(1,
('2026 Orders'!C:C=C267)*
('2026 Orders'!G:G=G267)*
('2026 Orders'!N:N=N267),
0),
"Open "&amp;C267
))</f>
        <v>Open A4658</v>
      </c>
      <c r="F267" s="14">
        <f>'[1]2026 Orders'!F268</f>
        <v>0</v>
      </c>
      <c r="G267" s="14" t="str">
        <f>'[1]2026 Orders'!G268</f>
        <v>LARGIN-100-FD</v>
      </c>
      <c r="H267" s="14" t="str" cm="1">
        <f t="array" ref="H267">IFERROR(_xlfn.TEXTJOIN("-",,INDEX(_xlfn.TEXTSPLIT(TableGive[[#This Row],[SKU]],"-"),{1,2})),"")</f>
        <v>LARGIN-100</v>
      </c>
      <c r="I267" s="15" t="str">
        <f>IFERROR(_xlfn.TEXTAFTER(TableGive[[#This Row],[SKU]],"-",-1),"")</f>
        <v>FD</v>
      </c>
      <c r="J267" s="14">
        <f>'[1]2026 Orders'!H268</f>
        <v>100</v>
      </c>
      <c r="K267" t="str">
        <f>'[1]2026 Orders'!I268</f>
        <v>F25-23.0</v>
      </c>
      <c r="L267">
        <f>'[1]2026 Orders'!J268</f>
        <v>0</v>
      </c>
      <c r="N267" s="10" t="str">
        <f>'[1]2026 Orders'!L268</f>
        <v>In Production</v>
      </c>
      <c r="O267">
        <f>'[1]2026 Orders'!M268</f>
        <v>0</v>
      </c>
      <c r="P267" t="str">
        <f>'[1]2026 Orders'!N268</f>
        <v>NA</v>
      </c>
      <c r="Q267" t="str">
        <f>'[1]2026 Orders'!O268</f>
        <v>609788968559</v>
      </c>
      <c r="R267">
        <f>'[1]2026 Orders'!P268</f>
        <v>2000</v>
      </c>
      <c r="S267">
        <f>'[1]2026 Orders'!Q268</f>
        <v>4998</v>
      </c>
      <c r="T267">
        <f>'[1]2026 Orders'!R268</f>
        <v>46198</v>
      </c>
      <c r="U267">
        <f>'[1]2026 Orders'!S268</f>
        <v>0</v>
      </c>
      <c r="V267">
        <f>'[1]2026 Orders'!T268</f>
        <v>0</v>
      </c>
      <c r="W267">
        <f>'[1]2026 Orders'!U268</f>
        <v>0</v>
      </c>
      <c r="X267">
        <f>'[1]2026 Orders'!V268</f>
        <v>0</v>
      </c>
      <c r="Y267">
        <f>'[1]2026 Orders'!W268</f>
        <v>0</v>
      </c>
      <c r="Z267">
        <f>'[1]2026 Orders'!X268</f>
        <v>0</v>
      </c>
      <c r="AC267" t="str">
        <f t="shared" si="8"/>
        <v>/100</v>
      </c>
      <c r="AD267" t="e">
        <f t="shared" si="9"/>
        <v>#VALUE!</v>
      </c>
    </row>
    <row r="268" spans="1:30" ht="33" hidden="1" customHeight="1" x14ac:dyDescent="0.3">
      <c r="A268">
        <f>'[1]2026 Orders'!A269</f>
        <v>46093</v>
      </c>
      <c r="B268" s="14" t="str">
        <f>'[1]2026 Orders'!B269</f>
        <v>China</v>
      </c>
      <c r="C268" s="14" t="str">
        <f>'[1]2026 Orders'!C269</f>
        <v>A4658</v>
      </c>
      <c r="D268" s="14">
        <f>'[1]2026 Orders'!D269</f>
        <v>0</v>
      </c>
      <c r="E268" s="17" t="str" cm="1">
        <f t="array" ref="E268">IF(C268=0,"",
HYPERLINK(
"#'2026 Orders'!C"&amp;
MATCH(1,
('2026 Orders'!C:C=C268)*
('2026 Orders'!G:G=G268)*
('2026 Orders'!N:N=N268),
0),
"Open "&amp;C268
))</f>
        <v>Open A4658</v>
      </c>
      <c r="F268" s="14">
        <f>'[1]2026 Orders'!F269</f>
        <v>0</v>
      </c>
      <c r="G268" s="14" t="str">
        <f>'[1]2026 Orders'!G269</f>
        <v>QWELL2-60-SG-FD</v>
      </c>
      <c r="H268" s="14" t="str" cm="1">
        <f t="array" ref="H268">IFERROR(_xlfn.TEXTJOIN("-",,INDEX(_xlfn.TEXTSPLIT(TableGive[[#This Row],[SKU]],"-"),{1,2})),"")</f>
        <v>QWELL2-60</v>
      </c>
      <c r="I268" s="15" t="str">
        <f>IFERROR(_xlfn.TEXTAFTER(TableGive[[#This Row],[SKU]],"-",-1),"")</f>
        <v>FD</v>
      </c>
      <c r="J268" s="14">
        <f>'[1]2026 Orders'!H269</f>
        <v>100</v>
      </c>
      <c r="K268" t="str">
        <f>'[1]2026 Orders'!I269</f>
        <v>F57-25.3</v>
      </c>
      <c r="L268">
        <f>'[1]2026 Orders'!J269</f>
        <v>100</v>
      </c>
      <c r="N268" s="10" t="str">
        <f>'[1]2026 Orders'!L269</f>
        <v>Picked</v>
      </c>
      <c r="O268">
        <f>'[1]2026 Orders'!M269</f>
        <v>0</v>
      </c>
      <c r="P268" t="str">
        <f>'[1]2026 Orders'!N269</f>
        <v>NA</v>
      </c>
      <c r="Q268">
        <f>'[1]2026 Orders'!O269</f>
        <v>609788968528</v>
      </c>
      <c r="R268">
        <f>'[1]2026 Orders'!P269</f>
        <v>0</v>
      </c>
      <c r="S268">
        <f>'[1]2026 Orders'!Q269</f>
        <v>0</v>
      </c>
      <c r="T268">
        <f>'[1]2026 Orders'!R269</f>
        <v>0</v>
      </c>
      <c r="U268">
        <f>'[1]2026 Orders'!S269</f>
        <v>0</v>
      </c>
      <c r="V268">
        <f>'[1]2026 Orders'!T269</f>
        <v>0</v>
      </c>
      <c r="W268">
        <f>'[1]2026 Orders'!U269</f>
        <v>0</v>
      </c>
      <c r="X268">
        <f>'[1]2026 Orders'!V269</f>
        <v>0</v>
      </c>
      <c r="Y268">
        <f>'[1]2026 Orders'!W269</f>
        <v>0</v>
      </c>
      <c r="Z268">
        <f>'[1]2026 Orders'!X269</f>
        <v>0</v>
      </c>
      <c r="AC268" t="str">
        <f t="shared" si="8"/>
        <v>/100</v>
      </c>
      <c r="AD268" t="e">
        <f t="shared" si="9"/>
        <v>#VALUE!</v>
      </c>
    </row>
    <row r="269" spans="1:30" ht="33" hidden="1" customHeight="1" x14ac:dyDescent="0.3">
      <c r="A269">
        <f>'[1]2026 Orders'!A270</f>
        <v>0</v>
      </c>
      <c r="B269" s="14">
        <f>'[1]2026 Orders'!B270</f>
        <v>0</v>
      </c>
      <c r="C269" s="14">
        <f>'[1]2026 Orders'!C270</f>
        <v>0</v>
      </c>
      <c r="D269" s="14">
        <f>'[1]2026 Orders'!D270</f>
        <v>0</v>
      </c>
      <c r="E269" s="17" t="str" cm="1">
        <f t="array" ref="E269">IF(C269=0,"",
HYPERLINK(
"#'2026 Orders'!C"&amp;
MATCH(1,
('2026 Orders'!C:C=C269)*
('2026 Orders'!G:G=G269)*
('2026 Orders'!N:N=N269),
0),
"Open "&amp;C269
))</f>
        <v/>
      </c>
      <c r="F269" s="14">
        <f>'[1]2026 Orders'!F270</f>
        <v>0</v>
      </c>
      <c r="G269" s="14">
        <f>'[1]2026 Orders'!G270</f>
        <v>0</v>
      </c>
      <c r="H269" s="14" t="str" cm="1">
        <f t="array" ref="H269">IFERROR(_xlfn.TEXTJOIN("-",,INDEX(_xlfn.TEXTSPLIT(TableGive[[#This Row],[SKU]],"-"),{1,2})),"")</f>
        <v/>
      </c>
      <c r="I269" s="15" t="str">
        <f>IFERROR(_xlfn.TEXTAFTER(TableGive[[#This Row],[SKU]],"-",-1),"")</f>
        <v/>
      </c>
      <c r="J269" s="14">
        <f>'[1]2026 Orders'!H270</f>
        <v>0</v>
      </c>
      <c r="K269">
        <f>'[1]2026 Orders'!I270</f>
        <v>0</v>
      </c>
      <c r="L269">
        <f>'[1]2026 Orders'!J270</f>
        <v>0</v>
      </c>
      <c r="N269" s="10">
        <f>'[1]2026 Orders'!L270</f>
        <v>0</v>
      </c>
      <c r="O269">
        <f>'[1]2026 Orders'!M270</f>
        <v>0</v>
      </c>
      <c r="P269">
        <f>'[1]2026 Orders'!N270</f>
        <v>0</v>
      </c>
      <c r="Q269">
        <f>'[1]2026 Orders'!O270</f>
        <v>0</v>
      </c>
      <c r="R269">
        <f>'[1]2026 Orders'!P270</f>
        <v>0</v>
      </c>
      <c r="S269">
        <f>'[1]2026 Orders'!Q270</f>
        <v>0</v>
      </c>
      <c r="T269">
        <f>'[1]2026 Orders'!R270</f>
        <v>0</v>
      </c>
      <c r="U269">
        <f>'[1]2026 Orders'!S270</f>
        <v>0</v>
      </c>
      <c r="V269">
        <f>'[1]2026 Orders'!T270</f>
        <v>0</v>
      </c>
      <c r="W269">
        <f>'[1]2026 Orders'!U270</f>
        <v>0</v>
      </c>
      <c r="X269">
        <f>'[1]2026 Orders'!V270</f>
        <v>0</v>
      </c>
      <c r="Y269">
        <f>'[1]2026 Orders'!W270</f>
        <v>0</v>
      </c>
      <c r="Z269">
        <f>'[1]2026 Orders'!X270</f>
        <v>0</v>
      </c>
      <c r="AC269" t="str">
        <f t="shared" si="8"/>
        <v/>
      </c>
      <c r="AD269" t="str">
        <f t="shared" si="9"/>
        <v/>
      </c>
    </row>
    <row r="270" spans="1:30" ht="33" hidden="1" customHeight="1" x14ac:dyDescent="0.3">
      <c r="A270">
        <f>'[1]2026 Orders'!A271</f>
        <v>46093</v>
      </c>
      <c r="B270" s="14" t="str">
        <f>'[1]2026 Orders'!B271</f>
        <v>China</v>
      </c>
      <c r="C270" s="14" t="str">
        <f>'[1]2026 Orders'!C271</f>
        <v>A4659</v>
      </c>
      <c r="D270" s="14">
        <f>'[1]2026 Orders'!D271</f>
        <v>0</v>
      </c>
      <c r="E270" s="17" t="str" cm="1">
        <f t="array" ref="E270">IF(C270=0,"",
HYPERLINK(
"#'2026 Orders'!C"&amp;
MATCH(1,
('2026 Orders'!C:C=C270)*
('2026 Orders'!G:G=G270)*
('2026 Orders'!N:N=N270),
0),
"Open "&amp;C270
))</f>
        <v>Open A4659</v>
      </c>
      <c r="F270" s="14">
        <f>'[1]2026 Orders'!F271</f>
        <v>0</v>
      </c>
      <c r="G270" s="14" t="str">
        <f>'[1]2026 Orders'!G271</f>
        <v>FERTMX-90-RE</v>
      </c>
      <c r="H270" s="14" t="str" cm="1">
        <f t="array" ref="H270">IFERROR(_xlfn.TEXTJOIN("-",,INDEX(_xlfn.TEXTSPLIT(TableGive[[#This Row],[SKU]],"-"),{1,2})),"")</f>
        <v>FERTMX-90</v>
      </c>
      <c r="I270" s="15" t="str">
        <f>IFERROR(_xlfn.TEXTAFTER(TableGive[[#This Row],[SKU]],"-",-1),"")</f>
        <v>RE</v>
      </c>
      <c r="J270" s="14">
        <f>'[1]2026 Orders'!H271</f>
        <v>76</v>
      </c>
      <c r="K270" t="str">
        <f>'[1]2026 Orders'!I271</f>
        <v>R16-22.0</v>
      </c>
      <c r="L270">
        <f>'[1]2026 Orders'!J271</f>
        <v>76</v>
      </c>
      <c r="N270" s="10" t="str">
        <f>'[1]2026 Orders'!L271</f>
        <v>Picked</v>
      </c>
      <c r="O270">
        <f>'[1]2026 Orders'!M271</f>
        <v>0</v>
      </c>
      <c r="P270" t="str">
        <f>'[1]2026 Orders'!N271</f>
        <v>Y</v>
      </c>
      <c r="Q270">
        <f>'[1]2026 Orders'!O271</f>
        <v>609788968726</v>
      </c>
      <c r="R270">
        <f>'[1]2026 Orders'!P271</f>
        <v>0</v>
      </c>
      <c r="S270">
        <f>'[1]2026 Orders'!Q271</f>
        <v>0</v>
      </c>
      <c r="T270">
        <f>'[1]2026 Orders'!R271</f>
        <v>0</v>
      </c>
      <c r="U270">
        <f>'[1]2026 Orders'!S271</f>
        <v>0</v>
      </c>
      <c r="V270">
        <f>'[1]2026 Orders'!T271</f>
        <v>0</v>
      </c>
      <c r="W270">
        <f>'[1]2026 Orders'!U271</f>
        <v>0</v>
      </c>
      <c r="X270">
        <f>'[1]2026 Orders'!V271</f>
        <v>0</v>
      </c>
      <c r="Y270">
        <f>'[1]2026 Orders'!W271</f>
        <v>0</v>
      </c>
      <c r="Z270" t="str">
        <f>'[1]2026 Orders'!X271</f>
        <v>HOLD</v>
      </c>
      <c r="AC270" t="str">
        <f t="shared" si="8"/>
        <v>/76</v>
      </c>
      <c r="AD270" t="e">
        <f t="shared" si="9"/>
        <v>#VALUE!</v>
      </c>
    </row>
    <row r="271" spans="1:30" ht="33" hidden="1" customHeight="1" x14ac:dyDescent="0.3">
      <c r="A271">
        <f>'[1]2026 Orders'!A272</f>
        <v>46093</v>
      </c>
      <c r="B271" s="14" t="str">
        <f>'[1]2026 Orders'!B272</f>
        <v>China</v>
      </c>
      <c r="C271" s="14" t="str">
        <f>'[1]2026 Orders'!C272</f>
        <v>A4659</v>
      </c>
      <c r="D271" s="14">
        <f>'[1]2026 Orders'!D272</f>
        <v>0</v>
      </c>
      <c r="E271" s="17" t="str" cm="1">
        <f t="array" ref="E271">IF(C271=0,"",
HYPERLINK(
"#'2026 Orders'!C"&amp;
MATCH(1,
('2026 Orders'!C:C=C271)*
('2026 Orders'!G:G=G271)*
('2026 Orders'!N:N=N271),
0),
"Open "&amp;C271
))</f>
        <v>Open A4659</v>
      </c>
      <c r="F271" s="14">
        <f>'[1]2026 Orders'!F272</f>
        <v>0</v>
      </c>
      <c r="G271" s="14" t="str">
        <f>'[1]2026 Orders'!G272</f>
        <v>FERTMX-90-RE</v>
      </c>
      <c r="H271" s="14" t="str" cm="1">
        <f t="array" ref="H271">IFERROR(_xlfn.TEXTJOIN("-",,INDEX(_xlfn.TEXTSPLIT(TableGive[[#This Row],[SKU]],"-"),{1,2})),"")</f>
        <v>FERTMX-90</v>
      </c>
      <c r="I271" s="15" t="str">
        <f>IFERROR(_xlfn.TEXTAFTER(TableGive[[#This Row],[SKU]],"-",-1),"")</f>
        <v>RE</v>
      </c>
      <c r="J271" s="14">
        <f>'[1]2026 Orders'!H272</f>
        <v>34</v>
      </c>
      <c r="K271" t="str">
        <f>'[1]2026 Orders'!I272</f>
        <v>R16-22.0</v>
      </c>
      <c r="L271">
        <f>'[1]2026 Orders'!J272</f>
        <v>34</v>
      </c>
      <c r="N271" s="10" t="str">
        <f>'[1]2026 Orders'!L272</f>
        <v>Picked</v>
      </c>
      <c r="O271">
        <f>'[1]2026 Orders'!M272</f>
        <v>0</v>
      </c>
      <c r="P271" t="str">
        <f>'[1]2026 Orders'!N272</f>
        <v>Y</v>
      </c>
      <c r="Q271">
        <f>'[1]2026 Orders'!O272</f>
        <v>0</v>
      </c>
      <c r="R271">
        <f>'[1]2026 Orders'!P272</f>
        <v>0</v>
      </c>
      <c r="S271">
        <f>'[1]2026 Orders'!Q272</f>
        <v>0</v>
      </c>
      <c r="T271">
        <f>'[1]2026 Orders'!R272</f>
        <v>0</v>
      </c>
      <c r="U271">
        <f>'[1]2026 Orders'!S272</f>
        <v>0</v>
      </c>
      <c r="V271">
        <f>'[1]2026 Orders'!T272</f>
        <v>0</v>
      </c>
      <c r="W271">
        <f>'[1]2026 Orders'!U272</f>
        <v>0</v>
      </c>
      <c r="X271">
        <f>'[1]2026 Orders'!V272</f>
        <v>0</v>
      </c>
      <c r="Y271">
        <f>'[1]2026 Orders'!W272</f>
        <v>0</v>
      </c>
      <c r="Z271">
        <f>'[1]2026 Orders'!X272</f>
        <v>0</v>
      </c>
      <c r="AC271" t="str">
        <f t="shared" si="8"/>
        <v>/34</v>
      </c>
      <c r="AD271" t="e">
        <f t="shared" si="9"/>
        <v>#VALUE!</v>
      </c>
    </row>
    <row r="272" spans="1:30" ht="33" hidden="1" customHeight="1" x14ac:dyDescent="0.3">
      <c r="A272">
        <f>'[1]2026 Orders'!A273</f>
        <v>46093</v>
      </c>
      <c r="B272" s="14" t="str">
        <f>'[1]2026 Orders'!B273</f>
        <v>China</v>
      </c>
      <c r="C272" s="14" t="str">
        <f>'[1]2026 Orders'!C273</f>
        <v>A4659</v>
      </c>
      <c r="D272" s="14">
        <f>'[1]2026 Orders'!D273</f>
        <v>0</v>
      </c>
      <c r="E272" s="17" t="str" cm="1">
        <f t="array" ref="E272">IF(C272=0,"",
HYPERLINK(
"#'2026 Orders'!C"&amp;
MATCH(1,
('2026 Orders'!C:C=C272)*
('2026 Orders'!G:G=G272)*
('2026 Orders'!N:N=N272),
0),
"Open "&amp;C272
))</f>
        <v>Open A4659</v>
      </c>
      <c r="F272" s="14">
        <f>'[1]2026 Orders'!F273</f>
        <v>0</v>
      </c>
      <c r="G272" s="14" t="str">
        <f>'[1]2026 Orders'!G273</f>
        <v>METRIO-60-FD</v>
      </c>
      <c r="H272" s="14" t="str" cm="1">
        <f t="array" ref="H272">IFERROR(_xlfn.TEXTJOIN("-",,INDEX(_xlfn.TEXTSPLIT(TableGive[[#This Row],[SKU]],"-"),{1,2})),"")</f>
        <v>METRIO-60</v>
      </c>
      <c r="I272" s="15" t="str">
        <f>IFERROR(_xlfn.TEXTAFTER(TableGive[[#This Row],[SKU]],"-",-1),"")</f>
        <v>FD</v>
      </c>
      <c r="J272" s="14">
        <f>'[1]2026 Orders'!H273</f>
        <v>110</v>
      </c>
      <c r="K272" t="str">
        <f>'[1]2026 Orders'!I273</f>
        <v>F28-25.0</v>
      </c>
      <c r="L272">
        <f>'[1]2026 Orders'!J273</f>
        <v>110</v>
      </c>
      <c r="N272" s="10" t="str">
        <f>'[1]2026 Orders'!L273</f>
        <v>Picked</v>
      </c>
      <c r="O272">
        <f>'[1]2026 Orders'!M273</f>
        <v>0</v>
      </c>
      <c r="P272" t="str">
        <f>'[1]2026 Orders'!N273</f>
        <v>NA</v>
      </c>
      <c r="Q272">
        <f>'[1]2026 Orders'!O273</f>
        <v>609788968481</v>
      </c>
      <c r="R272">
        <f>'[1]2026 Orders'!P273</f>
        <v>0</v>
      </c>
      <c r="S272">
        <f>'[1]2026 Orders'!Q273</f>
        <v>0</v>
      </c>
      <c r="T272">
        <f>'[1]2026 Orders'!R273</f>
        <v>0</v>
      </c>
      <c r="U272">
        <f>'[1]2026 Orders'!S273</f>
        <v>0</v>
      </c>
      <c r="V272">
        <f>'[1]2026 Orders'!T273</f>
        <v>0</v>
      </c>
      <c r="W272">
        <f>'[1]2026 Orders'!U273</f>
        <v>0</v>
      </c>
      <c r="X272">
        <f>'[1]2026 Orders'!V273</f>
        <v>0</v>
      </c>
      <c r="Y272">
        <f>'[1]2026 Orders'!W273</f>
        <v>0</v>
      </c>
      <c r="Z272">
        <f>'[1]2026 Orders'!X273</f>
        <v>0</v>
      </c>
      <c r="AC272" t="str">
        <f t="shared" si="8"/>
        <v>/110</v>
      </c>
      <c r="AD272" t="e">
        <f t="shared" si="9"/>
        <v>#VALUE!</v>
      </c>
    </row>
    <row r="273" spans="1:30" ht="33" hidden="1" customHeight="1" x14ac:dyDescent="0.3">
      <c r="A273">
        <f>'[1]2026 Orders'!A274</f>
        <v>46093</v>
      </c>
      <c r="B273" s="14" t="str">
        <f>'[1]2026 Orders'!B274</f>
        <v>China</v>
      </c>
      <c r="C273" s="14" t="str">
        <f>'[1]2026 Orders'!C274</f>
        <v>A4659</v>
      </c>
      <c r="D273" s="14">
        <f>'[1]2026 Orders'!D274</f>
        <v>0</v>
      </c>
      <c r="E273" s="17" t="str" cm="1">
        <f t="array" ref="E273">IF(C273=0,"",
HYPERLINK(
"#'2026 Orders'!C"&amp;
MATCH(1,
('2026 Orders'!C:C=C273)*
('2026 Orders'!G:G=G273)*
('2026 Orders'!N:N=N273),
0),
"Open "&amp;C273
))</f>
        <v>Open A4659</v>
      </c>
      <c r="F273" s="14">
        <f>'[1]2026 Orders'!F274</f>
        <v>0</v>
      </c>
      <c r="G273" s="14" t="str">
        <f>'[1]2026 Orders'!G274</f>
        <v>MFSPLS-120-CS-CN</v>
      </c>
      <c r="H273" s="14" t="str" cm="1">
        <f t="array" ref="H273">IFERROR(_xlfn.TEXTJOIN("-",,INDEX(_xlfn.TEXTSPLIT(TableGive[[#This Row],[SKU]],"-"),{1,2})),"")</f>
        <v>MFSPLS-120</v>
      </c>
      <c r="I273" s="15" t="str">
        <f>IFERROR(_xlfn.TEXTAFTER(TableGive[[#This Row],[SKU]],"-",-1),"")</f>
        <v>CN</v>
      </c>
      <c r="J273" s="14">
        <f>'[1]2026 Orders'!H274</f>
        <v>550</v>
      </c>
      <c r="K273" t="str">
        <f>'[1]2026 Orders'!I274</f>
        <v>CN30-24.0</v>
      </c>
      <c r="L273">
        <f>'[1]2026 Orders'!J274</f>
        <v>0</v>
      </c>
      <c r="N273" s="10" t="str">
        <f>'[1]2026 Orders'!L274</f>
        <v>PO submitted</v>
      </c>
      <c r="O273">
        <f>'[1]2026 Orders'!M274</f>
        <v>0</v>
      </c>
      <c r="P273" t="str">
        <f>'[1]2026 Orders'!N274</f>
        <v>NA</v>
      </c>
      <c r="Q273" t="str">
        <f>'[1]2026 Orders'!O274</f>
        <v>604776737582</v>
      </c>
      <c r="R273">
        <f>'[1]2026 Orders'!P274</f>
        <v>0</v>
      </c>
      <c r="S273">
        <f>'[1]2026 Orders'!Q274</f>
        <v>0</v>
      </c>
      <c r="T273" t="str">
        <f>'[1]2026 Orders'!R274</f>
        <v>TBD</v>
      </c>
      <c r="U273" t="str">
        <f>'[1]2026 Orders'!S274</f>
        <v>Bulk PO Submitted, Pending ETA confirmation</v>
      </c>
      <c r="V273">
        <f>'[1]2026 Orders'!T274</f>
        <v>0</v>
      </c>
      <c r="W273">
        <f>'[1]2026 Orders'!U274</f>
        <v>0</v>
      </c>
      <c r="X273">
        <f>'[1]2026 Orders'!V274</f>
        <v>0</v>
      </c>
      <c r="Y273">
        <f>'[1]2026 Orders'!W274</f>
        <v>0</v>
      </c>
      <c r="Z273">
        <f>'[1]2026 Orders'!X274</f>
        <v>0</v>
      </c>
      <c r="AC273" t="str">
        <f t="shared" si="8"/>
        <v>/550</v>
      </c>
      <c r="AD273" t="e">
        <f t="shared" si="9"/>
        <v>#VALUE!</v>
      </c>
    </row>
    <row r="274" spans="1:30" ht="33" hidden="1" customHeight="1" x14ac:dyDescent="0.3">
      <c r="A274">
        <f>'[1]2026 Orders'!A275</f>
        <v>46093</v>
      </c>
      <c r="B274" s="14" t="str">
        <f>'[1]2026 Orders'!B275</f>
        <v>China</v>
      </c>
      <c r="C274" s="14" t="str">
        <f>'[1]2026 Orders'!C275</f>
        <v>A4659</v>
      </c>
      <c r="D274" s="14">
        <f>'[1]2026 Orders'!D275</f>
        <v>0</v>
      </c>
      <c r="E274" s="17" t="str" cm="1">
        <f t="array" ref="E274">IF(C274=0,"",
HYPERLINK(
"#'2026 Orders'!C"&amp;
MATCH(1,
('2026 Orders'!C:C=C274)*
('2026 Orders'!G:G=G274)*
('2026 Orders'!N:N=N274),
0),
"Open "&amp;C274
))</f>
        <v>Open A4659</v>
      </c>
      <c r="F274" s="14">
        <f>'[1]2026 Orders'!F275</f>
        <v>0</v>
      </c>
      <c r="G274" s="14" t="str">
        <f>'[1]2026 Orders'!G275</f>
        <v>OVAMAXPLUS-120-CS-CN</v>
      </c>
      <c r="H274" s="14" t="str" cm="1">
        <f t="array" ref="H274">IFERROR(_xlfn.TEXTJOIN("-",,INDEX(_xlfn.TEXTSPLIT(TableGive[[#This Row],[SKU]],"-"),{1,2})),"")</f>
        <v>OVAMAXPLUS-120</v>
      </c>
      <c r="I274" s="15" t="str">
        <f>IFERROR(_xlfn.TEXTAFTER(TableGive[[#This Row],[SKU]],"-",-1),"")</f>
        <v>CN</v>
      </c>
      <c r="J274" s="14">
        <f>'[1]2026 Orders'!H275</f>
        <v>1650</v>
      </c>
      <c r="K274" t="str">
        <f>'[1]2026 Orders'!I275</f>
        <v>CN41-25.0</v>
      </c>
      <c r="L274">
        <f>'[1]2026 Orders'!J275</f>
        <v>1650</v>
      </c>
      <c r="N274" s="10" t="str">
        <f>'[1]2026 Orders'!L275</f>
        <v>Picked</v>
      </c>
      <c r="O274">
        <f>'[1]2026 Orders'!M275</f>
        <v>0</v>
      </c>
      <c r="P274" t="str">
        <f>'[1]2026 Orders'!N275</f>
        <v>NA</v>
      </c>
      <c r="Q274" t="str">
        <f>'[1]2026 Orders'!O275</f>
        <v>604776740056</v>
      </c>
      <c r="R274">
        <f>'[1]2026 Orders'!P275</f>
        <v>0</v>
      </c>
      <c r="S274">
        <f>'[1]2026 Orders'!Q275</f>
        <v>0</v>
      </c>
      <c r="T274">
        <f>'[1]2026 Orders'!R275</f>
        <v>0</v>
      </c>
      <c r="U274">
        <f>'[1]2026 Orders'!S275</f>
        <v>0</v>
      </c>
      <c r="V274">
        <f>'[1]2026 Orders'!T275</f>
        <v>0</v>
      </c>
      <c r="W274">
        <f>'[1]2026 Orders'!U275</f>
        <v>0</v>
      </c>
      <c r="X274">
        <f>'[1]2026 Orders'!V275</f>
        <v>0</v>
      </c>
      <c r="Y274">
        <f>'[1]2026 Orders'!W275</f>
        <v>0</v>
      </c>
      <c r="Z274">
        <f>'[1]2026 Orders'!X275</f>
        <v>0</v>
      </c>
      <c r="AC274" t="str">
        <f t="shared" si="8"/>
        <v>/1650</v>
      </c>
      <c r="AD274" t="e">
        <f t="shared" si="9"/>
        <v>#VALUE!</v>
      </c>
    </row>
    <row r="275" spans="1:30" ht="33" hidden="1" customHeight="1" x14ac:dyDescent="0.3">
      <c r="A275">
        <f>'[1]2026 Orders'!A276</f>
        <v>46093</v>
      </c>
      <c r="B275" s="14" t="str">
        <f>'[1]2026 Orders'!B276</f>
        <v>China</v>
      </c>
      <c r="C275" s="14" t="str">
        <f>'[1]2026 Orders'!C276</f>
        <v>A4659</v>
      </c>
      <c r="D275" s="14">
        <f>'[1]2026 Orders'!D276</f>
        <v>0</v>
      </c>
      <c r="E275" s="17" t="str" cm="1">
        <f t="array" ref="E275">IF(C275=0,"",
HYPERLINK(
"#'2026 Orders'!C"&amp;
MATCH(1,
('2026 Orders'!C:C=C275)*
('2026 Orders'!G:G=G275)*
('2026 Orders'!N:N=N275),
0),
"Open "&amp;C275
))</f>
        <v>Open A4659</v>
      </c>
      <c r="F275" s="14">
        <f>'[1]2026 Orders'!F276</f>
        <v>0</v>
      </c>
      <c r="G275" s="14" t="str">
        <f>'[1]2026 Orders'!G276</f>
        <v>PRECON-180-FD</v>
      </c>
      <c r="H275" s="14" t="str" cm="1">
        <f t="array" ref="H275">IFERROR(_xlfn.TEXTJOIN("-",,INDEX(_xlfn.TEXTSPLIT(TableGive[[#This Row],[SKU]],"-"),{1,2})),"")</f>
        <v>PRECON-180</v>
      </c>
      <c r="I275" s="15" t="str">
        <f>IFERROR(_xlfn.TEXTAFTER(TableGive[[#This Row],[SKU]],"-",-1),"")</f>
        <v>FD</v>
      </c>
      <c r="J275" s="14">
        <f>'[1]2026 Orders'!H276</f>
        <v>330</v>
      </c>
      <c r="K275" t="str">
        <f>'[1]2026 Orders'!I276</f>
        <v>F55-22.0</v>
      </c>
      <c r="L275">
        <f>'[1]2026 Orders'!J276</f>
        <v>330</v>
      </c>
      <c r="N275" s="10" t="str">
        <f>'[1]2026 Orders'!L276</f>
        <v>Picked</v>
      </c>
      <c r="O275">
        <f>'[1]2026 Orders'!M276</f>
        <v>0</v>
      </c>
      <c r="P275" t="str">
        <f>'[1]2026 Orders'!N276</f>
        <v>NA</v>
      </c>
      <c r="Q275">
        <f>'[1]2026 Orders'!O276</f>
        <v>609788968375</v>
      </c>
      <c r="R275">
        <f>'[1]2026 Orders'!P276</f>
        <v>0</v>
      </c>
      <c r="S275">
        <f>'[1]2026 Orders'!Q276</f>
        <v>0</v>
      </c>
      <c r="T275">
        <f>'[1]2026 Orders'!R276</f>
        <v>0</v>
      </c>
      <c r="U275">
        <f>'[1]2026 Orders'!S276</f>
        <v>0</v>
      </c>
      <c r="V275">
        <f>'[1]2026 Orders'!T276</f>
        <v>0</v>
      </c>
      <c r="W275">
        <f>'[1]2026 Orders'!U276</f>
        <v>0</v>
      </c>
      <c r="X275">
        <f>'[1]2026 Orders'!V276</f>
        <v>0</v>
      </c>
      <c r="Y275">
        <f>'[1]2026 Orders'!W276</f>
        <v>0</v>
      </c>
      <c r="Z275">
        <f>'[1]2026 Orders'!X276</f>
        <v>0</v>
      </c>
      <c r="AC275" t="str">
        <f t="shared" si="8"/>
        <v>/330</v>
      </c>
      <c r="AD275" t="e">
        <f t="shared" si="9"/>
        <v>#VALUE!</v>
      </c>
    </row>
    <row r="276" spans="1:30" ht="33" hidden="1" customHeight="1" x14ac:dyDescent="0.3">
      <c r="A276">
        <f>'[1]2026 Orders'!A277</f>
        <v>46093</v>
      </c>
      <c r="B276" s="14" t="str">
        <f>'[1]2026 Orders'!B277</f>
        <v>China</v>
      </c>
      <c r="C276" s="14" t="str">
        <f>'[1]2026 Orders'!C277</f>
        <v>A4659</v>
      </c>
      <c r="D276" s="14">
        <f>'[1]2026 Orders'!D277</f>
        <v>0</v>
      </c>
      <c r="E276" s="17" t="str" cm="1">
        <f t="array" ref="E276">IF(C276=0,"",
HYPERLINK(
"#'2026 Orders'!C"&amp;
MATCH(1,
('2026 Orders'!C:C=C276)*
('2026 Orders'!G:G=G276)*
('2026 Orders'!N:N=N276),
0),
"Open "&amp;C276
))</f>
        <v>Open A4659</v>
      </c>
      <c r="F276" s="14">
        <f>'[1]2026 Orders'!F277</f>
        <v>0</v>
      </c>
      <c r="G276" s="14" t="str">
        <f>'[1]2026 Orders'!G277</f>
        <v>SPERMCT-60-FD</v>
      </c>
      <c r="H276" s="14" t="str" cm="1">
        <f t="array" ref="H276">IFERROR(_xlfn.TEXTJOIN("-",,INDEX(_xlfn.TEXTSPLIT(TableGive[[#This Row],[SKU]],"-"),{1,2})),"")</f>
        <v>SPERMCT-60</v>
      </c>
      <c r="I276" s="15" t="str">
        <f>IFERROR(_xlfn.TEXTAFTER(TableGive[[#This Row],[SKU]],"-",-1),"")</f>
        <v>FD</v>
      </c>
      <c r="J276" s="14">
        <f>'[1]2026 Orders'!H277</f>
        <v>110</v>
      </c>
      <c r="K276" t="str">
        <f>'[1]2026 Orders'!I277</f>
        <v>F64-25.0</v>
      </c>
      <c r="L276">
        <f>'[1]2026 Orders'!J277</f>
        <v>110</v>
      </c>
      <c r="N276" s="10" t="str">
        <f>'[1]2026 Orders'!L277</f>
        <v>Picked</v>
      </c>
      <c r="O276">
        <f>'[1]2026 Orders'!M277</f>
        <v>0</v>
      </c>
      <c r="P276" t="str">
        <f>'[1]2026 Orders'!N277</f>
        <v>NA</v>
      </c>
      <c r="Q276">
        <f>'[1]2026 Orders'!O277</f>
        <v>609788968405</v>
      </c>
      <c r="R276">
        <f>'[1]2026 Orders'!P277</f>
        <v>0</v>
      </c>
      <c r="S276">
        <f>'[1]2026 Orders'!Q277</f>
        <v>0</v>
      </c>
      <c r="T276">
        <f>'[1]2026 Orders'!R277</f>
        <v>0</v>
      </c>
      <c r="U276">
        <f>'[1]2026 Orders'!S277</f>
        <v>0</v>
      </c>
      <c r="V276">
        <f>'[1]2026 Orders'!T277</f>
        <v>0</v>
      </c>
      <c r="W276">
        <f>'[1]2026 Orders'!U277</f>
        <v>0</v>
      </c>
      <c r="X276">
        <f>'[1]2026 Orders'!V277</f>
        <v>0</v>
      </c>
      <c r="Y276">
        <f>'[1]2026 Orders'!W277</f>
        <v>0</v>
      </c>
      <c r="Z276">
        <f>'[1]2026 Orders'!X277</f>
        <v>0</v>
      </c>
      <c r="AC276" t="str">
        <f t="shared" si="8"/>
        <v>/110</v>
      </c>
      <c r="AD276" t="e">
        <f t="shared" si="9"/>
        <v>#VALUE!</v>
      </c>
    </row>
    <row r="277" spans="1:30" ht="33" hidden="1" customHeight="1" x14ac:dyDescent="0.3">
      <c r="A277">
        <f>'[1]2026 Orders'!A278</f>
        <v>46093</v>
      </c>
      <c r="B277" s="14" t="str">
        <f>'[1]2026 Orders'!B278</f>
        <v>China</v>
      </c>
      <c r="C277" s="14" t="str">
        <f>'[1]2026 Orders'!C278</f>
        <v>A4659</v>
      </c>
      <c r="D277" s="14">
        <f>'[1]2026 Orders'!D278</f>
        <v>0</v>
      </c>
      <c r="E277" s="17" t="str" cm="1">
        <f t="array" ref="E277">IF(C277=0,"",
HYPERLINK(
"#'2026 Orders'!C"&amp;
MATCH(1,
('2026 Orders'!C:C=C277)*
('2026 Orders'!G:G=G277)*
('2026 Orders'!N:N=N277),
0),
"Open "&amp;C277
))</f>
        <v>Open A4659</v>
      </c>
      <c r="F277" s="14" t="str">
        <f>'[1]2026 Orders'!F278</f>
        <v>5/12/2026: Allocating to Lebanon A4690.</v>
      </c>
      <c r="G277" s="14" t="str">
        <f>'[1]2026 Orders'!G278</f>
        <v>WFSPLS-180-FD</v>
      </c>
      <c r="H277" s="14" t="str" cm="1">
        <f t="array" ref="H277">IFERROR(_xlfn.TEXTJOIN("-",,INDEX(_xlfn.TEXTSPLIT(TableGive[[#This Row],[SKU]],"-"),{1,2})),"")</f>
        <v>WFSPLS-180</v>
      </c>
      <c r="I277" s="15" t="str">
        <f>IFERROR(_xlfn.TEXTAFTER(TableGive[[#This Row],[SKU]],"-",-1),"")</f>
        <v>FD</v>
      </c>
      <c r="J277" s="14">
        <f>'[1]2026 Orders'!H278</f>
        <v>110</v>
      </c>
      <c r="K277" t="str">
        <f>'[1]2026 Orders'!I278</f>
        <v>F73-23.0</v>
      </c>
      <c r="L277">
        <f>'[1]2026 Orders'!J278</f>
        <v>110</v>
      </c>
      <c r="N277" s="10" t="str">
        <f>'[1]2026 Orders'!L278</f>
        <v>PO Drafted</v>
      </c>
      <c r="O277">
        <f>'[1]2026 Orders'!M278</f>
        <v>0</v>
      </c>
      <c r="P277" t="str">
        <f>'[1]2026 Orders'!N278</f>
        <v>NA</v>
      </c>
      <c r="Q277">
        <f>'[1]2026 Orders'!O278</f>
        <v>609788968351</v>
      </c>
      <c r="R277">
        <f>'[1]2026 Orders'!P278</f>
        <v>5000</v>
      </c>
      <c r="S277">
        <f>'[1]2026 Orders'!Q278</f>
        <v>5043</v>
      </c>
      <c r="T277" t="str">
        <f>'[1]2026 Orders'!R278</f>
        <v>TBD</v>
      </c>
      <c r="U277" t="str">
        <f>'[1]2026 Orders'!S278</f>
        <v>Pending approval to send to vendor</v>
      </c>
      <c r="V277">
        <f>'[1]2026 Orders'!T278</f>
        <v>0</v>
      </c>
      <c r="W277">
        <f>'[1]2026 Orders'!U278</f>
        <v>0</v>
      </c>
      <c r="X277">
        <f>'[1]2026 Orders'!V278</f>
        <v>0</v>
      </c>
      <c r="Y277">
        <f>'[1]2026 Orders'!W278</f>
        <v>0</v>
      </c>
      <c r="Z277">
        <f>'[1]2026 Orders'!X278</f>
        <v>0</v>
      </c>
      <c r="AC277" t="str">
        <f t="shared" si="8"/>
        <v>/110</v>
      </c>
      <c r="AD277" t="e">
        <f t="shared" si="9"/>
        <v>#VALUE!</v>
      </c>
    </row>
    <row r="278" spans="1:30" ht="33" hidden="1" customHeight="1" x14ac:dyDescent="0.3">
      <c r="A278">
        <f>'[1]2026 Orders'!A279</f>
        <v>46093</v>
      </c>
      <c r="B278" s="14" t="str">
        <f>'[1]2026 Orders'!B279</f>
        <v>China</v>
      </c>
      <c r="C278" s="14" t="str">
        <f>'[1]2026 Orders'!C279</f>
        <v>A4659</v>
      </c>
      <c r="D278" s="14">
        <f>'[1]2026 Orders'!D279</f>
        <v>0</v>
      </c>
      <c r="E278" s="17" t="str" cm="1">
        <f t="array" ref="E278">IF(C278=0,"",
HYPERLINK(
"#'2026 Orders'!C"&amp;
MATCH(1,
('2026 Orders'!C:C=C278)*
('2026 Orders'!G:G=G278)*
('2026 Orders'!N:N=N278),
0),
"Open "&amp;C278
))</f>
        <v>Open A4659</v>
      </c>
      <c r="F278" s="14">
        <f>'[1]2026 Orders'!F279</f>
        <v>0</v>
      </c>
      <c r="G278" s="14" t="str">
        <f>'[1]2026 Orders'!G279</f>
        <v>TESTRON-60-FD</v>
      </c>
      <c r="H278" s="14" t="str" cm="1">
        <f t="array" ref="H278">IFERROR(_xlfn.TEXTJOIN("-",,INDEX(_xlfn.TEXTSPLIT(TableGive[[#This Row],[SKU]],"-"),{1,2})),"")</f>
        <v>TESTRON-60</v>
      </c>
      <c r="I278" s="15" t="str">
        <f>IFERROR(_xlfn.TEXTAFTER(TableGive[[#This Row],[SKU]],"-",-1),"")</f>
        <v>FD</v>
      </c>
      <c r="J278" s="14">
        <f>'[1]2026 Orders'!H279</f>
        <v>100</v>
      </c>
      <c r="K278" t="str">
        <f>'[1]2026 Orders'!I279</f>
        <v>F103-26.0</v>
      </c>
      <c r="L278">
        <f>'[1]2026 Orders'!J279</f>
        <v>100</v>
      </c>
      <c r="N278" s="10" t="str">
        <f>'[1]2026 Orders'!L279</f>
        <v>Picked</v>
      </c>
      <c r="O278">
        <f>'[1]2026 Orders'!M279</f>
        <v>0</v>
      </c>
      <c r="P278" t="str">
        <f>'[1]2026 Orders'!N279</f>
        <v>NA</v>
      </c>
      <c r="Q278" t="str">
        <f>'[1]2026 Orders'!O279</f>
        <v>810131192907</v>
      </c>
      <c r="R278">
        <f>'[1]2026 Orders'!P279</f>
        <v>101</v>
      </c>
      <c r="S278">
        <f>'[1]2026 Orders'!Q279</f>
        <v>5061</v>
      </c>
      <c r="T278" t="str">
        <f>'[1]2026 Orders'!R279</f>
        <v>Complete</v>
      </c>
      <c r="U278" t="str">
        <f>'[1]2026 Orders'!S279</f>
        <v>From FX</v>
      </c>
      <c r="V278">
        <f>'[1]2026 Orders'!T279</f>
        <v>0</v>
      </c>
      <c r="W278">
        <f>'[1]2026 Orders'!U279</f>
        <v>0</v>
      </c>
      <c r="X278">
        <f>'[1]2026 Orders'!V279</f>
        <v>0</v>
      </c>
      <c r="Y278">
        <f>'[1]2026 Orders'!W279</f>
        <v>0</v>
      </c>
      <c r="Z278">
        <f>'[1]2026 Orders'!X279</f>
        <v>0</v>
      </c>
      <c r="AC278" t="str">
        <f t="shared" si="8"/>
        <v>/100</v>
      </c>
      <c r="AD278" t="e">
        <f t="shared" si="9"/>
        <v>#VALUE!</v>
      </c>
    </row>
    <row r="279" spans="1:30" ht="33" hidden="1" customHeight="1" x14ac:dyDescent="0.3">
      <c r="A279">
        <f>'[1]2026 Orders'!A280</f>
        <v>0</v>
      </c>
      <c r="B279" s="14">
        <f>'[1]2026 Orders'!B280</f>
        <v>0</v>
      </c>
      <c r="C279" s="14">
        <f>'[1]2026 Orders'!C280</f>
        <v>0</v>
      </c>
      <c r="D279" s="14">
        <f>'[1]2026 Orders'!D280</f>
        <v>0</v>
      </c>
      <c r="E279" s="17" t="str" cm="1">
        <f t="array" ref="E279">IF(C279=0,"",
HYPERLINK(
"#'2026 Orders'!C"&amp;
MATCH(1,
('2026 Orders'!C:C=C279)*
('2026 Orders'!G:G=G279)*
('2026 Orders'!N:N=N279),
0),
"Open "&amp;C279
))</f>
        <v/>
      </c>
      <c r="F279" s="14">
        <f>'[1]2026 Orders'!F280</f>
        <v>0</v>
      </c>
      <c r="G279" s="14">
        <f>'[1]2026 Orders'!G280</f>
        <v>0</v>
      </c>
      <c r="H279" s="14" t="str" cm="1">
        <f t="array" ref="H279">IFERROR(_xlfn.TEXTJOIN("-",,INDEX(_xlfn.TEXTSPLIT(TableGive[[#This Row],[SKU]],"-"),{1,2})),"")</f>
        <v/>
      </c>
      <c r="I279" s="15" t="str">
        <f>IFERROR(_xlfn.TEXTAFTER(TableGive[[#This Row],[SKU]],"-",-1),"")</f>
        <v/>
      </c>
      <c r="J279" s="14">
        <f>'[1]2026 Orders'!H280</f>
        <v>0</v>
      </c>
      <c r="K279">
        <f>'[1]2026 Orders'!I280</f>
        <v>0</v>
      </c>
      <c r="L279">
        <f>'[1]2026 Orders'!J280</f>
        <v>0</v>
      </c>
      <c r="N279" s="10">
        <f>'[1]2026 Orders'!L280</f>
        <v>0</v>
      </c>
      <c r="O279">
        <f>'[1]2026 Orders'!M280</f>
        <v>0</v>
      </c>
      <c r="P279">
        <f>'[1]2026 Orders'!N280</f>
        <v>0</v>
      </c>
      <c r="Q279">
        <f>'[1]2026 Orders'!O280</f>
        <v>0</v>
      </c>
      <c r="R279">
        <f>'[1]2026 Orders'!P280</f>
        <v>0</v>
      </c>
      <c r="S279">
        <f>'[1]2026 Orders'!Q280</f>
        <v>0</v>
      </c>
      <c r="T279">
        <f>'[1]2026 Orders'!R280</f>
        <v>0</v>
      </c>
      <c r="U279">
        <f>'[1]2026 Orders'!S280</f>
        <v>0</v>
      </c>
      <c r="V279">
        <f>'[1]2026 Orders'!T280</f>
        <v>0</v>
      </c>
      <c r="W279">
        <f>'[1]2026 Orders'!U280</f>
        <v>0</v>
      </c>
      <c r="X279">
        <f>'[1]2026 Orders'!V280</f>
        <v>0</v>
      </c>
      <c r="Y279">
        <f>'[1]2026 Orders'!W280</f>
        <v>0</v>
      </c>
      <c r="Z279">
        <f>'[1]2026 Orders'!X280</f>
        <v>0</v>
      </c>
      <c r="AC279" t="str">
        <f t="shared" si="8"/>
        <v/>
      </c>
      <c r="AD279" t="str">
        <f t="shared" si="9"/>
        <v/>
      </c>
    </row>
    <row r="280" spans="1:30" ht="33" hidden="1" customHeight="1" x14ac:dyDescent="0.3">
      <c r="A280">
        <f>'[1]2026 Orders'!A281</f>
        <v>46113</v>
      </c>
      <c r="B280" s="14" t="str">
        <f>'[1]2026 Orders'!B281</f>
        <v>China</v>
      </c>
      <c r="C280" s="14" t="str">
        <f>'[1]2026 Orders'!C281</f>
        <v>A4680</v>
      </c>
      <c r="D280" s="14">
        <f>'[1]2026 Orders'!D281</f>
        <v>0</v>
      </c>
      <c r="E280" s="17" t="str" cm="1">
        <f t="array" ref="E280">IF(C280=0,"",
HYPERLINK(
"#'2026 Orders'!C"&amp;
MATCH(1,
('2026 Orders'!C:C=C280)*
('2026 Orders'!G:G=G280)*
('2026 Orders'!N:N=N280),
0),
"Open "&amp;C280
))</f>
        <v>Open A4680</v>
      </c>
      <c r="F280" s="14" t="str">
        <f>'[1]2026 Orders'!F281</f>
        <v>4/1/2026: Moved from China A4658</v>
      </c>
      <c r="G280" s="14" t="str">
        <f>'[1]2026 Orders'!G281</f>
        <v>DHEA25-60-FD</v>
      </c>
      <c r="H280" s="14" t="str" cm="1">
        <f t="array" ref="H280">IFERROR(_xlfn.TEXTJOIN("-",,INDEX(_xlfn.TEXTSPLIT(TableGive[[#This Row],[SKU]],"-"),{1,2})),"")</f>
        <v>DHEA25-60</v>
      </c>
      <c r="I280" s="15" t="str">
        <f>IFERROR(_xlfn.TEXTAFTER(TableGive[[#This Row],[SKU]],"-",-1),"")</f>
        <v>FD</v>
      </c>
      <c r="J280" s="14">
        <f>'[1]2026 Orders'!H281</f>
        <v>300</v>
      </c>
      <c r="K280" t="str">
        <f>'[1]2026 Orders'!I281</f>
        <v>F14-25.2</v>
      </c>
      <c r="L280">
        <f>'[1]2026 Orders'!J281</f>
        <v>300</v>
      </c>
      <c r="N280" s="10" t="str">
        <f>'[1]2026 Orders'!L281</f>
        <v>D/W Sent</v>
      </c>
      <c r="O280">
        <f>'[1]2026 Orders'!M281</f>
        <v>46113</v>
      </c>
      <c r="P280" t="str">
        <f>'[1]2026 Orders'!N281</f>
        <v>NA</v>
      </c>
      <c r="Q280" t="str">
        <f>'[1]2026 Orders'!O281</f>
        <v>609788968153</v>
      </c>
      <c r="R280">
        <f>'[1]2026 Orders'!P281</f>
        <v>0</v>
      </c>
      <c r="S280">
        <f>'[1]2026 Orders'!Q281</f>
        <v>0</v>
      </c>
      <c r="T280">
        <f>'[1]2026 Orders'!R281</f>
        <v>0</v>
      </c>
      <c r="U280">
        <f>'[1]2026 Orders'!S281</f>
        <v>0</v>
      </c>
      <c r="V280">
        <f>'[1]2026 Orders'!T281</f>
        <v>0</v>
      </c>
      <c r="W280">
        <f>'[1]2026 Orders'!U281</f>
        <v>0</v>
      </c>
      <c r="X280">
        <f>'[1]2026 Orders'!V281</f>
        <v>0</v>
      </c>
      <c r="Y280">
        <f>'[1]2026 Orders'!W281</f>
        <v>0</v>
      </c>
      <c r="Z280" t="str">
        <f>'[1]2026 Orders'!X281</f>
        <v>Approved</v>
      </c>
      <c r="AC280" t="str">
        <f t="shared" si="8"/>
        <v>/300</v>
      </c>
      <c r="AD280" t="e">
        <f t="shared" si="9"/>
        <v>#VALUE!</v>
      </c>
    </row>
    <row r="281" spans="1:30" ht="33" hidden="1" customHeight="1" x14ac:dyDescent="0.3">
      <c r="A281">
        <f>'[1]2026 Orders'!A282</f>
        <v>46113</v>
      </c>
      <c r="B281" s="14" t="str">
        <f>'[1]2026 Orders'!B282</f>
        <v>China</v>
      </c>
      <c r="C281" s="14" t="str">
        <f>'[1]2026 Orders'!C282</f>
        <v>A4680</v>
      </c>
      <c r="D281" s="14">
        <f>'[1]2026 Orders'!D282</f>
        <v>0</v>
      </c>
      <c r="E281" s="17" t="str" cm="1">
        <f t="array" ref="E281">IF(C281=0,"",
HYPERLINK(
"#'2026 Orders'!C"&amp;
MATCH(1,
('2026 Orders'!C:C=C281)*
('2026 Orders'!G:G=G281)*
('2026 Orders'!N:N=N281),
0),
"Open "&amp;C281
))</f>
        <v>Open A4680</v>
      </c>
      <c r="F281" s="14" t="str">
        <f>'[1]2026 Orders'!F282</f>
        <v>4/1/2026: Moved from China A4658</v>
      </c>
      <c r="G281" s="14" t="str">
        <f>'[1]2026 Orders'!G282</f>
        <v>RAPIDC5-100-FD</v>
      </c>
      <c r="H281" s="14" t="str" cm="1">
        <f t="array" ref="H281">IFERROR(_xlfn.TEXTJOIN("-",,INDEX(_xlfn.TEXTSPLIT(TableGive[[#This Row],[SKU]],"-"),{1,2})),"")</f>
        <v>RAPIDC5-100</v>
      </c>
      <c r="I281" s="15" t="str">
        <f>IFERROR(_xlfn.TEXTAFTER(TableGive[[#This Row],[SKU]],"-",-1),"")</f>
        <v>FD</v>
      </c>
      <c r="J281" s="14">
        <f>'[1]2026 Orders'!H282</f>
        <v>500</v>
      </c>
      <c r="K281" t="str">
        <f>'[1]2026 Orders'!I282</f>
        <v>F59-25.0</v>
      </c>
      <c r="L281">
        <f>'[1]2026 Orders'!J282</f>
        <v>500</v>
      </c>
      <c r="N281" s="10" t="str">
        <f>'[1]2026 Orders'!L282</f>
        <v>D/W Sent</v>
      </c>
      <c r="O281">
        <f>'[1]2026 Orders'!M282</f>
        <v>0</v>
      </c>
      <c r="P281" t="str">
        <f>'[1]2026 Orders'!N282</f>
        <v>NA</v>
      </c>
      <c r="Q281">
        <f>'[1]2026 Orders'!O282</f>
        <v>604776736585</v>
      </c>
      <c r="R281">
        <f>'[1]2026 Orders'!P282</f>
        <v>0</v>
      </c>
      <c r="S281">
        <f>'[1]2026 Orders'!Q282</f>
        <v>0</v>
      </c>
      <c r="T281">
        <f>'[1]2026 Orders'!R282</f>
        <v>0</v>
      </c>
      <c r="U281">
        <f>'[1]2026 Orders'!S282</f>
        <v>0</v>
      </c>
      <c r="V281">
        <f>'[1]2026 Orders'!T282</f>
        <v>0</v>
      </c>
      <c r="W281">
        <f>'[1]2026 Orders'!U282</f>
        <v>0</v>
      </c>
      <c r="X281">
        <f>'[1]2026 Orders'!V282</f>
        <v>0</v>
      </c>
      <c r="Y281">
        <f>'[1]2026 Orders'!W282</f>
        <v>0</v>
      </c>
      <c r="Z281">
        <f>'[1]2026 Orders'!X282</f>
        <v>0</v>
      </c>
      <c r="AC281" t="str">
        <f t="shared" si="8"/>
        <v>/500</v>
      </c>
      <c r="AD281" t="e">
        <f t="shared" si="9"/>
        <v>#VALUE!</v>
      </c>
    </row>
    <row r="282" spans="1:30" ht="33" hidden="1" customHeight="1" x14ac:dyDescent="0.3">
      <c r="A282">
        <f>'[1]2026 Orders'!A283</f>
        <v>0</v>
      </c>
      <c r="B282" s="14">
        <f>'[1]2026 Orders'!B283</f>
        <v>0</v>
      </c>
      <c r="C282" s="14">
        <f>'[1]2026 Orders'!C283</f>
        <v>0</v>
      </c>
      <c r="D282" s="14">
        <f>'[1]2026 Orders'!D283</f>
        <v>0</v>
      </c>
      <c r="E282" s="17" t="str" cm="1">
        <f t="array" ref="E282">IF(C282=0,"",
HYPERLINK(
"#'2026 Orders'!C"&amp;
MATCH(1,
('2026 Orders'!C:C=C282)*
('2026 Orders'!G:G=G282)*
('2026 Orders'!N:N=N282),
0),
"Open "&amp;C282
))</f>
        <v/>
      </c>
      <c r="F282" s="14">
        <f>'[1]2026 Orders'!F283</f>
        <v>0</v>
      </c>
      <c r="G282" s="14">
        <f>'[1]2026 Orders'!G283</f>
        <v>0</v>
      </c>
      <c r="H282" s="14" t="str" cm="1">
        <f t="array" ref="H282">IFERROR(_xlfn.TEXTJOIN("-",,INDEX(_xlfn.TEXTSPLIT(TableGive[[#This Row],[SKU]],"-"),{1,2})),"")</f>
        <v/>
      </c>
      <c r="I282" s="15" t="str">
        <f>IFERROR(_xlfn.TEXTAFTER(TableGive[[#This Row],[SKU]],"-",-1),"")</f>
        <v/>
      </c>
      <c r="J282" s="14">
        <f>'[1]2026 Orders'!H283</f>
        <v>0</v>
      </c>
      <c r="K282">
        <f>'[1]2026 Orders'!I283</f>
        <v>0</v>
      </c>
      <c r="L282">
        <f>'[1]2026 Orders'!J283</f>
        <v>0</v>
      </c>
      <c r="N282" s="10">
        <f>'[1]2026 Orders'!L283</f>
        <v>0</v>
      </c>
      <c r="O282">
        <f>'[1]2026 Orders'!M283</f>
        <v>0</v>
      </c>
      <c r="P282">
        <f>'[1]2026 Orders'!N283</f>
        <v>0</v>
      </c>
      <c r="Q282">
        <f>'[1]2026 Orders'!O283</f>
        <v>0</v>
      </c>
      <c r="R282">
        <f>'[1]2026 Orders'!P283</f>
        <v>0</v>
      </c>
      <c r="S282">
        <f>'[1]2026 Orders'!Q283</f>
        <v>0</v>
      </c>
      <c r="T282">
        <f>'[1]2026 Orders'!R283</f>
        <v>0</v>
      </c>
      <c r="U282">
        <f>'[1]2026 Orders'!S283</f>
        <v>0</v>
      </c>
      <c r="V282">
        <f>'[1]2026 Orders'!T283</f>
        <v>0</v>
      </c>
      <c r="W282">
        <f>'[1]2026 Orders'!U283</f>
        <v>0</v>
      </c>
      <c r="X282">
        <f>'[1]2026 Orders'!V283</f>
        <v>0</v>
      </c>
      <c r="Y282">
        <f>'[1]2026 Orders'!W283</f>
        <v>0</v>
      </c>
      <c r="Z282">
        <f>'[1]2026 Orders'!X283</f>
        <v>0</v>
      </c>
      <c r="AC282" t="str">
        <f t="shared" si="8"/>
        <v/>
      </c>
      <c r="AD282" t="str">
        <f t="shared" si="9"/>
        <v/>
      </c>
    </row>
    <row r="283" spans="1:30" ht="33" hidden="1" customHeight="1" x14ac:dyDescent="0.3">
      <c r="A283">
        <f>'[1]2026 Orders'!A284</f>
        <v>46098</v>
      </c>
      <c r="B283" s="14" t="str">
        <f>'[1]2026 Orders'!B284</f>
        <v>Kuwait</v>
      </c>
      <c r="C283" s="14" t="str">
        <f>'[1]2026 Orders'!C284</f>
        <v>A4668</v>
      </c>
      <c r="D283" s="14" t="str">
        <f>'[1]2026 Orders'!D284</f>
        <v>Extra Kuwait Quantities:
536 bottles of Osteo Plus
945 bottles of Keto Lean
(Awaiting feedback if client can take)
5/21/2026: Client cannot take extra quantities</v>
      </c>
      <c r="E283" s="17" t="str" cm="1">
        <f t="array" ref="E283">IF(C283=0,"",
HYPERLINK(
"#'2026 Orders'!C"&amp;
MATCH(1,
('2026 Orders'!C:C=C283)*
('2026 Orders'!G:G=G283)*
('2026 Orders'!N:N=N283),
0),
"Open "&amp;C283
))</f>
        <v>Open A4668</v>
      </c>
      <c r="F283" s="14" t="str">
        <f>'[1]2026 Orders'!F284</f>
        <v>GREEN CAPSULES (NO TITANIUM DIOXIDE)</v>
      </c>
      <c r="G283" s="14" t="str">
        <f>'[1]2026 Orders'!G284</f>
        <v>OVAMAX-120-CS-KW</v>
      </c>
      <c r="H283" s="14" t="str" cm="1">
        <f t="array" ref="H283">IFERROR(_xlfn.TEXTJOIN("-",,INDEX(_xlfn.TEXTSPLIT(TableGive[[#This Row],[SKU]],"-"),{1,2})),"")</f>
        <v>OVAMAX-120</v>
      </c>
      <c r="I283" s="15" t="str">
        <f>IFERROR(_xlfn.TEXTAFTER(TableGive[[#This Row],[SKU]],"-",-1),"")</f>
        <v>KW</v>
      </c>
      <c r="J283" s="14">
        <f>'[1]2026 Orders'!H284</f>
        <v>223</v>
      </c>
      <c r="K283" t="str">
        <f>'[1]2026 Orders'!I284</f>
        <v>KW41-24.0</v>
      </c>
      <c r="L283">
        <f>'[1]2026 Orders'!J284</f>
        <v>223</v>
      </c>
      <c r="N283" s="10" t="str">
        <f>'[1]2026 Orders'!L284</f>
        <v>Picked</v>
      </c>
      <c r="O283">
        <f>'[1]2026 Orders'!M284</f>
        <v>0</v>
      </c>
      <c r="P283" t="str">
        <f>'[1]2026 Orders'!N284</f>
        <v>NA</v>
      </c>
      <c r="Q283">
        <f>'[1]2026 Orders'!O284</f>
        <v>810131191061</v>
      </c>
      <c r="R283">
        <f>'[1]2026 Orders'!P284</f>
        <v>0</v>
      </c>
      <c r="S283">
        <f>'[1]2026 Orders'!Q284</f>
        <v>0</v>
      </c>
      <c r="T283">
        <f>'[1]2026 Orders'!R284</f>
        <v>0</v>
      </c>
      <c r="U283">
        <f>'[1]2026 Orders'!S284</f>
        <v>0</v>
      </c>
      <c r="V283">
        <f>'[1]2026 Orders'!T284</f>
        <v>0</v>
      </c>
      <c r="W283">
        <f>'[1]2026 Orders'!U284</f>
        <v>0</v>
      </c>
      <c r="X283">
        <f>'[1]2026 Orders'!V284</f>
        <v>0</v>
      </c>
      <c r="Y283">
        <f>'[1]2026 Orders'!W284</f>
        <v>0</v>
      </c>
      <c r="Z283" t="str">
        <f>'[1]2026 Orders'!X284</f>
        <v>HOLD</v>
      </c>
      <c r="AC283" t="str">
        <f t="shared" si="8"/>
        <v>/223</v>
      </c>
      <c r="AD283" t="e">
        <f t="shared" si="9"/>
        <v>#VALUE!</v>
      </c>
    </row>
    <row r="284" spans="1:30" ht="33" hidden="1" customHeight="1" x14ac:dyDescent="0.3">
      <c r="A284">
        <f>'[1]2026 Orders'!A285</f>
        <v>46098</v>
      </c>
      <c r="B284" s="14" t="str">
        <f>'[1]2026 Orders'!B285</f>
        <v>Kuwait</v>
      </c>
      <c r="C284" s="14" t="str">
        <f>'[1]2026 Orders'!C285</f>
        <v>A4668</v>
      </c>
      <c r="D284" s="14">
        <f>'[1]2026 Orders'!D285</f>
        <v>0</v>
      </c>
      <c r="E284" s="17" t="str" cm="1">
        <f t="array" ref="E284">IF(C284=0,"",
HYPERLINK(
"#'2026 Orders'!C"&amp;
MATCH(1,
('2026 Orders'!C:C=C284)*
('2026 Orders'!G:G=G284)*
('2026 Orders'!N:N=N284),
0),
"Open "&amp;C284
))</f>
        <v>Open A4668</v>
      </c>
      <c r="F284" s="14" t="str">
        <f>'[1]2026 Orders'!F285</f>
        <v>GREEN CAPSULES (NO TITANIUM DIOXIDE)</v>
      </c>
      <c r="G284" s="14" t="str">
        <f>'[1]2026 Orders'!G285</f>
        <v>OVAMAX-120-CS-KW</v>
      </c>
      <c r="H284" s="14" t="str" cm="1">
        <f t="array" ref="H284">IFERROR(_xlfn.TEXTJOIN("-",,INDEX(_xlfn.TEXTSPLIT(TableGive[[#This Row],[SKU]],"-"),{1,2})),"")</f>
        <v>OVAMAX-120</v>
      </c>
      <c r="I284" s="15" t="str">
        <f>IFERROR(_xlfn.TEXTAFTER(TableGive[[#This Row],[SKU]],"-",-1),"")</f>
        <v>KW</v>
      </c>
      <c r="J284" s="14">
        <f>'[1]2026 Orders'!H285</f>
        <v>1977</v>
      </c>
      <c r="K284" t="str">
        <f>'[1]2026 Orders'!I285</f>
        <v>KW41-24.0</v>
      </c>
      <c r="L284">
        <f>'[1]2026 Orders'!J285</f>
        <v>0</v>
      </c>
      <c r="N284" s="10" t="str">
        <f>'[1]2026 Orders'!L285</f>
        <v>PO submitted</v>
      </c>
      <c r="O284">
        <f>'[1]2026 Orders'!M285</f>
        <v>0</v>
      </c>
      <c r="P284" t="str">
        <f>'[1]2026 Orders'!N285</f>
        <v>NA</v>
      </c>
      <c r="Q284">
        <f>'[1]2026 Orders'!O285</f>
        <v>810131191061</v>
      </c>
      <c r="R284">
        <f>'[1]2026 Orders'!P285</f>
        <v>3000</v>
      </c>
      <c r="S284">
        <f>'[1]2026 Orders'!Q285</f>
        <v>5048</v>
      </c>
      <c r="T284" t="str">
        <f>'[1]2026 Orders'!R285</f>
        <v>TBD</v>
      </c>
      <c r="U284" t="str">
        <f>'[1]2026 Orders'!S285</f>
        <v>Pending vendor eta</v>
      </c>
      <c r="V284">
        <f>'[1]2026 Orders'!T285</f>
        <v>0</v>
      </c>
      <c r="W284">
        <f>'[1]2026 Orders'!U285</f>
        <v>0</v>
      </c>
      <c r="X284">
        <f>'[1]2026 Orders'!V285</f>
        <v>0</v>
      </c>
      <c r="Y284">
        <f>'[1]2026 Orders'!W285</f>
        <v>0</v>
      </c>
      <c r="Z284">
        <f>'[1]2026 Orders'!X285</f>
        <v>0</v>
      </c>
      <c r="AC284" t="str">
        <f t="shared" si="8"/>
        <v>/1977</v>
      </c>
      <c r="AD284" t="e">
        <f t="shared" si="9"/>
        <v>#VALUE!</v>
      </c>
    </row>
    <row r="285" spans="1:30" ht="33" hidden="1" customHeight="1" x14ac:dyDescent="0.3">
      <c r="A285">
        <f>'[1]2026 Orders'!A286</f>
        <v>46098</v>
      </c>
      <c r="B285" s="14" t="str">
        <f>'[1]2026 Orders'!B286</f>
        <v>Kuwait</v>
      </c>
      <c r="C285" s="14" t="str">
        <f>'[1]2026 Orders'!C286</f>
        <v>A4668</v>
      </c>
      <c r="D285" s="14">
        <f>'[1]2026 Orders'!D286</f>
        <v>0</v>
      </c>
      <c r="E285" s="17" t="str" cm="1">
        <f t="array" ref="E285">IF(C285=0,"",
HYPERLINK(
"#'2026 Orders'!C"&amp;
MATCH(1,
('2026 Orders'!C:C=C285)*
('2026 Orders'!G:G=G285)*
('2026 Orders'!N:N=N285),
0),
"Open "&amp;C285
))</f>
        <v>Open A4668</v>
      </c>
      <c r="F285" s="14" t="str">
        <f>'[1]2026 Orders'!F286</f>
        <v>GREEN CAPSULES (NO TITANIUM DIOXIDE)</v>
      </c>
      <c r="G285" s="14" t="str">
        <f>'[1]2026 Orders'!G286</f>
        <v>MOTILMX-60-CS-KW</v>
      </c>
      <c r="H285" s="14" t="str" cm="1">
        <f t="array" ref="H285">IFERROR(_xlfn.TEXTJOIN("-",,INDEX(_xlfn.TEXTSPLIT(TableGive[[#This Row],[SKU]],"-"),{1,2})),"")</f>
        <v>MOTILMX-60</v>
      </c>
      <c r="I285" s="15" t="str">
        <f>IFERROR(_xlfn.TEXTAFTER(TableGive[[#This Row],[SKU]],"-",-1),"")</f>
        <v>KW</v>
      </c>
      <c r="J285" s="14">
        <f>'[1]2026 Orders'!H286</f>
        <v>2100</v>
      </c>
      <c r="K285" t="str">
        <f>'[1]2026 Orders'!I286</f>
        <v>KW31-24.2</v>
      </c>
      <c r="L285">
        <f>'[1]2026 Orders'!J286</f>
        <v>0</v>
      </c>
      <c r="N285" s="10" t="str">
        <f>'[1]2026 Orders'!L286</f>
        <v>In Production</v>
      </c>
      <c r="O285">
        <f>'[1]2026 Orders'!M286</f>
        <v>0</v>
      </c>
      <c r="P285" t="str">
        <f>'[1]2026 Orders'!N286</f>
        <v>NA</v>
      </c>
      <c r="Q285">
        <f>'[1]2026 Orders'!O286</f>
        <v>604776736691</v>
      </c>
      <c r="R285">
        <f>'[1]2026 Orders'!P286</f>
        <v>7100</v>
      </c>
      <c r="S285">
        <f>'[1]2026 Orders'!Q286</f>
        <v>5049</v>
      </c>
      <c r="T285">
        <f>'[1]2026 Orders'!R286</f>
        <v>46223</v>
      </c>
      <c r="U285">
        <f>'[1]2026 Orders'!S286</f>
        <v>0</v>
      </c>
      <c r="V285">
        <f>'[1]2026 Orders'!T286</f>
        <v>0</v>
      </c>
      <c r="W285">
        <f>'[1]2026 Orders'!U286</f>
        <v>0</v>
      </c>
      <c r="X285">
        <f>'[1]2026 Orders'!V286</f>
        <v>0</v>
      </c>
      <c r="Y285">
        <f>'[1]2026 Orders'!W286</f>
        <v>0</v>
      </c>
      <c r="Z285">
        <f>'[1]2026 Orders'!X286</f>
        <v>0</v>
      </c>
      <c r="AC285" t="str">
        <f t="shared" si="8"/>
        <v>/2100</v>
      </c>
      <c r="AD285" t="e">
        <f t="shared" si="9"/>
        <v>#VALUE!</v>
      </c>
    </row>
    <row r="286" spans="1:30" ht="33" hidden="1" customHeight="1" x14ac:dyDescent="0.3">
      <c r="A286">
        <f>'[1]2026 Orders'!A287</f>
        <v>46098</v>
      </c>
      <c r="B286" s="14" t="str">
        <f>'[1]2026 Orders'!B287</f>
        <v>Kuwait</v>
      </c>
      <c r="C286" s="14" t="str">
        <f>'[1]2026 Orders'!C287</f>
        <v>A4668</v>
      </c>
      <c r="D286" s="14">
        <f>'[1]2026 Orders'!D287</f>
        <v>0</v>
      </c>
      <c r="E286" s="17" t="str" cm="1">
        <f t="array" ref="E286">IF(C286=0,"",
HYPERLINK(
"#'2026 Orders'!C"&amp;
MATCH(1,
('2026 Orders'!C:C=C286)*
('2026 Orders'!G:G=G286)*
('2026 Orders'!N:N=N286),
0),
"Open "&amp;C286
))</f>
        <v>Open A4668</v>
      </c>
      <c r="F286" s="14" t="str">
        <f>'[1]2026 Orders'!F287</f>
        <v>Lot: 47080326</v>
      </c>
      <c r="G286" s="14" t="str">
        <f>'[1]2026 Orders'!G287</f>
        <v>COLLA-60-CS-KW</v>
      </c>
      <c r="H286" s="14" t="str" cm="1">
        <f t="array" ref="H286">IFERROR(_xlfn.TEXTJOIN("-",,INDEX(_xlfn.TEXTSPLIT(TableGive[[#This Row],[SKU]],"-"),{1,2})),"")</f>
        <v>COLLA-60</v>
      </c>
      <c r="I286" s="15" t="str">
        <f>IFERROR(_xlfn.TEXTAFTER(TableGive[[#This Row],[SKU]],"-",-1),"")</f>
        <v>KW</v>
      </c>
      <c r="J286" s="14">
        <f>'[1]2026 Orders'!H287</f>
        <v>399</v>
      </c>
      <c r="K286" t="str">
        <f>'[1]2026 Orders'!I287</f>
        <v>KW11-25.0</v>
      </c>
      <c r="L286">
        <f>'[1]2026 Orders'!J287</f>
        <v>399</v>
      </c>
      <c r="N286" s="10" t="str">
        <f>'[1]2026 Orders'!L287</f>
        <v>Picked</v>
      </c>
      <c r="O286">
        <f>'[1]2026 Orders'!M287</f>
        <v>0</v>
      </c>
      <c r="P286" t="str">
        <f>'[1]2026 Orders'!N287</f>
        <v>NA</v>
      </c>
      <c r="Q286">
        <f>'[1]2026 Orders'!O287</f>
        <v>604776739630</v>
      </c>
      <c r="R286">
        <f>'[1]2026 Orders'!P287</f>
        <v>0</v>
      </c>
      <c r="S286">
        <f>'[1]2026 Orders'!Q287</f>
        <v>0</v>
      </c>
      <c r="T286">
        <f>'[1]2026 Orders'!R287</f>
        <v>0</v>
      </c>
      <c r="U286">
        <f>'[1]2026 Orders'!S287</f>
        <v>0</v>
      </c>
      <c r="V286">
        <f>'[1]2026 Orders'!T287</f>
        <v>0</v>
      </c>
      <c r="W286">
        <f>'[1]2026 Orders'!U287</f>
        <v>0</v>
      </c>
      <c r="X286">
        <f>'[1]2026 Orders'!V287</f>
        <v>0</v>
      </c>
      <c r="Y286">
        <f>'[1]2026 Orders'!W287</f>
        <v>0</v>
      </c>
      <c r="Z286">
        <f>'[1]2026 Orders'!X287</f>
        <v>0</v>
      </c>
      <c r="AC286" t="str">
        <f t="shared" si="8"/>
        <v>/399</v>
      </c>
      <c r="AD286" t="e">
        <f t="shared" si="9"/>
        <v>#VALUE!</v>
      </c>
    </row>
    <row r="287" spans="1:30" ht="33" hidden="1" customHeight="1" x14ac:dyDescent="0.3">
      <c r="A287">
        <f>'[1]2026 Orders'!A288</f>
        <v>46098</v>
      </c>
      <c r="B287" s="14" t="str">
        <f>'[1]2026 Orders'!B288</f>
        <v>Kuwait</v>
      </c>
      <c r="C287" s="14" t="str">
        <f>'[1]2026 Orders'!C288</f>
        <v>A4668</v>
      </c>
      <c r="D287" s="14">
        <f>'[1]2026 Orders'!D288</f>
        <v>0</v>
      </c>
      <c r="E287" s="17" t="str" cm="1">
        <f t="array" ref="E287">IF(C287=0,"",
HYPERLINK(
"#'2026 Orders'!C"&amp;
MATCH(1,
('2026 Orders'!C:C=C287)*
('2026 Orders'!G:G=G287)*
('2026 Orders'!N:N=N287),
0),
"Open "&amp;C287
))</f>
        <v>Open A4668</v>
      </c>
      <c r="F287" s="14" t="str">
        <f>'[1]2026 Orders'!F288</f>
        <v>Lot: 49030326</v>
      </c>
      <c r="G287" s="14" t="str">
        <f>'[1]2026 Orders'!G288</f>
        <v>COLLA-60-CS-KW</v>
      </c>
      <c r="H287" s="14" t="str" cm="1">
        <f t="array" ref="H287">IFERROR(_xlfn.TEXTJOIN("-",,INDEX(_xlfn.TEXTSPLIT(TableGive[[#This Row],[SKU]],"-"),{1,2})),"")</f>
        <v>COLLA-60</v>
      </c>
      <c r="I287" s="15" t="str">
        <f>IFERROR(_xlfn.TEXTAFTER(TableGive[[#This Row],[SKU]],"-",-1),"")</f>
        <v>KW</v>
      </c>
      <c r="J287" s="14">
        <f>'[1]2026 Orders'!H288</f>
        <v>301</v>
      </c>
      <c r="K287" t="str">
        <f>'[1]2026 Orders'!I288</f>
        <v>KW11-25.0</v>
      </c>
      <c r="L287">
        <f>'[1]2026 Orders'!J288</f>
        <v>301</v>
      </c>
      <c r="N287" s="10" t="str">
        <f>'[1]2026 Orders'!L288</f>
        <v>Picked</v>
      </c>
      <c r="O287">
        <f>'[1]2026 Orders'!M288</f>
        <v>0</v>
      </c>
      <c r="P287" t="str">
        <f>'[1]2026 Orders'!N288</f>
        <v>NA</v>
      </c>
      <c r="Q287">
        <f>'[1]2026 Orders'!O288</f>
        <v>604776739630</v>
      </c>
      <c r="R287">
        <f>'[1]2026 Orders'!P288</f>
        <v>0</v>
      </c>
      <c r="S287">
        <f>'[1]2026 Orders'!Q288</f>
        <v>0</v>
      </c>
      <c r="T287">
        <f>'[1]2026 Orders'!R288</f>
        <v>0</v>
      </c>
      <c r="U287">
        <f>'[1]2026 Orders'!S288</f>
        <v>0</v>
      </c>
      <c r="V287">
        <f>'[1]2026 Orders'!T288</f>
        <v>0</v>
      </c>
      <c r="W287">
        <f>'[1]2026 Orders'!U288</f>
        <v>0</v>
      </c>
      <c r="X287">
        <f>'[1]2026 Orders'!V288</f>
        <v>0</v>
      </c>
      <c r="Y287">
        <f>'[1]2026 Orders'!W288</f>
        <v>0</v>
      </c>
      <c r="Z287">
        <f>'[1]2026 Orders'!X288</f>
        <v>0</v>
      </c>
      <c r="AC287" t="str">
        <f t="shared" si="8"/>
        <v>/301</v>
      </c>
      <c r="AD287" t="e">
        <f t="shared" si="9"/>
        <v>#VALUE!</v>
      </c>
    </row>
    <row r="288" spans="1:30" ht="33" hidden="1" customHeight="1" x14ac:dyDescent="0.3">
      <c r="A288">
        <f>'[1]2026 Orders'!A289</f>
        <v>46098</v>
      </c>
      <c r="B288" s="14" t="str">
        <f>'[1]2026 Orders'!B289</f>
        <v>Kuwait</v>
      </c>
      <c r="C288" s="14" t="str">
        <f>'[1]2026 Orders'!C289</f>
        <v>A4668</v>
      </c>
      <c r="D288" s="14">
        <f>'[1]2026 Orders'!D289</f>
        <v>0</v>
      </c>
      <c r="E288" s="17" t="str" cm="1">
        <f t="array" ref="E288">IF(C288=0,"",
HYPERLINK(
"#'2026 Orders'!C"&amp;
MATCH(1,
('2026 Orders'!C:C=C288)*
('2026 Orders'!G:G=G288)*
('2026 Orders'!N:N=N288),
0),
"Open "&amp;C288
))</f>
        <v>Open A4668</v>
      </c>
      <c r="F288" s="14">
        <f>'[1]2026 Orders'!F289</f>
        <v>0</v>
      </c>
      <c r="G288" s="14" t="str">
        <f>'[1]2026 Orders'!G289</f>
        <v>DHEA50-60-CS-KW</v>
      </c>
      <c r="H288" s="14" t="str" cm="1">
        <f t="array" ref="H288">IFERROR(_xlfn.TEXTJOIN("-",,INDEX(_xlfn.TEXTSPLIT(TableGive[[#This Row],[SKU]],"-"),{1,2})),"")</f>
        <v>DHEA50-60</v>
      </c>
      <c r="I288" s="15" t="str">
        <f>IFERROR(_xlfn.TEXTAFTER(TableGive[[#This Row],[SKU]],"-",-1),"")</f>
        <v>KW</v>
      </c>
      <c r="J288" s="14">
        <f>'[1]2026 Orders'!H289</f>
        <v>1000</v>
      </c>
      <c r="K288" t="str">
        <f>'[1]2026 Orders'!I289</f>
        <v>KW13-25.0</v>
      </c>
      <c r="L288">
        <f>'[1]2026 Orders'!J289</f>
        <v>0</v>
      </c>
      <c r="N288" s="10" t="str">
        <f>'[1]2026 Orders'!L289</f>
        <v>In Production</v>
      </c>
      <c r="O288">
        <f>'[1]2026 Orders'!M289</f>
        <v>0</v>
      </c>
      <c r="P288" t="str">
        <f>'[1]2026 Orders'!N289</f>
        <v>NA</v>
      </c>
      <c r="Q288">
        <f>'[1]2026 Orders'!O289</f>
        <v>604776739517</v>
      </c>
      <c r="R288">
        <f>'[1]2026 Orders'!P289</f>
        <v>7000</v>
      </c>
      <c r="S288">
        <f>'[1]2026 Orders'!Q289</f>
        <v>5027</v>
      </c>
      <c r="T288">
        <f>'[1]2026 Orders'!R289</f>
        <v>46201</v>
      </c>
      <c r="U288">
        <f>'[1]2026 Orders'!S289</f>
        <v>0</v>
      </c>
      <c r="V288">
        <f>'[1]2026 Orders'!T289</f>
        <v>0</v>
      </c>
      <c r="W288">
        <f>'[1]2026 Orders'!U289</f>
        <v>0</v>
      </c>
      <c r="X288">
        <f>'[1]2026 Orders'!V289</f>
        <v>0</v>
      </c>
      <c r="Y288">
        <f>'[1]2026 Orders'!W289</f>
        <v>0</v>
      </c>
      <c r="Z288">
        <f>'[1]2026 Orders'!X289</f>
        <v>0</v>
      </c>
      <c r="AC288" t="str">
        <f t="shared" si="8"/>
        <v>/1000</v>
      </c>
      <c r="AD288" t="e">
        <f t="shared" si="9"/>
        <v>#VALUE!</v>
      </c>
    </row>
    <row r="289" spans="1:30" ht="33" hidden="1" customHeight="1" x14ac:dyDescent="0.3">
      <c r="A289">
        <f>'[1]2026 Orders'!A290</f>
        <v>46098</v>
      </c>
      <c r="B289" s="14" t="str">
        <f>'[1]2026 Orders'!B290</f>
        <v>Kuwait</v>
      </c>
      <c r="C289" s="14" t="str">
        <f>'[1]2026 Orders'!C290</f>
        <v>A4668</v>
      </c>
      <c r="D289" s="14">
        <f>'[1]2026 Orders'!D290</f>
        <v>0</v>
      </c>
      <c r="E289" s="17" t="str" cm="1">
        <f t="array" ref="E289">IF(C289=0,"",
HYPERLINK(
"#'2026 Orders'!C"&amp;
MATCH(1,
('2026 Orders'!C:C=C289)*
('2026 Orders'!G:G=G289)*
('2026 Orders'!N:N=N289),
0),
"Open "&amp;C289
))</f>
        <v>Open A4668</v>
      </c>
      <c r="F289" s="14" t="str">
        <f>'[1]2026 Orders'!F290</f>
        <v>3/25/2026:
qty changed 1,000 -&gt; 1,500
(500 packs added from Kuwait A4587)</v>
      </c>
      <c r="G289" s="14" t="str">
        <f>'[1]2026 Orders'!G290</f>
        <v>OMEGA3-60-FD</v>
      </c>
      <c r="H289" s="14" t="str" cm="1">
        <f t="array" ref="H289">IFERROR(_xlfn.TEXTJOIN("-",,INDEX(_xlfn.TEXTSPLIT(TableGive[[#This Row],[SKU]],"-"),{1,2})),"")</f>
        <v>OMEGA3-60</v>
      </c>
      <c r="I289" s="15" t="str">
        <f>IFERROR(_xlfn.TEXTAFTER(TableGive[[#This Row],[SKU]],"-",-1),"")</f>
        <v>FD</v>
      </c>
      <c r="J289" s="14">
        <f>'[1]2026 Orders'!H290</f>
        <v>1500</v>
      </c>
      <c r="K289" t="str">
        <f>'[1]2026 Orders'!I290</f>
        <v>37-25.0</v>
      </c>
      <c r="L289">
        <f>'[1]2026 Orders'!J290</f>
        <v>0</v>
      </c>
      <c r="N289" s="10" t="str">
        <f>'[1]2026 Orders'!L290</f>
        <v>PO submitted</v>
      </c>
      <c r="O289">
        <f>'[1]2026 Orders'!M290</f>
        <v>0</v>
      </c>
      <c r="P289" t="str">
        <f>'[1]2026 Orders'!N290</f>
        <v>Y</v>
      </c>
      <c r="Q289">
        <f>'[1]2026 Orders'!O290</f>
        <v>810131199531</v>
      </c>
      <c r="R289">
        <f>'[1]2026 Orders'!P290</f>
        <v>5000</v>
      </c>
      <c r="S289">
        <f>'[1]2026 Orders'!Q290</f>
        <v>5035</v>
      </c>
      <c r="T289" t="str">
        <f>'[1]2026 Orders'!R290</f>
        <v>TBD</v>
      </c>
      <c r="U289" t="str">
        <f>'[1]2026 Orders'!S290</f>
        <v>Waiting for Bulk PL PO A4991 to ship for bottling, waiting for bulk release. Pending rebottling at Genova</v>
      </c>
      <c r="V289">
        <f>'[1]2026 Orders'!T290</f>
        <v>0</v>
      </c>
      <c r="W289">
        <f>'[1]2026 Orders'!U290</f>
        <v>0</v>
      </c>
      <c r="X289">
        <f>'[1]2026 Orders'!V290</f>
        <v>0</v>
      </c>
      <c r="Y289">
        <f>'[1]2026 Orders'!W290</f>
        <v>0</v>
      </c>
      <c r="Z289">
        <f>'[1]2026 Orders'!X290</f>
        <v>0</v>
      </c>
      <c r="AC289" t="str">
        <f t="shared" si="8"/>
        <v>/1500</v>
      </c>
      <c r="AD289" t="e">
        <f t="shared" si="9"/>
        <v>#VALUE!</v>
      </c>
    </row>
    <row r="290" spans="1:30" ht="33" hidden="1" customHeight="1" x14ac:dyDescent="0.3">
      <c r="A290">
        <f>'[1]2026 Orders'!A291</f>
        <v>45981</v>
      </c>
      <c r="B290" s="14" t="str">
        <f>'[1]2026 Orders'!B291</f>
        <v>Kuwait</v>
      </c>
      <c r="C290" s="14" t="str">
        <f>'[1]2026 Orders'!C291</f>
        <v>A4668</v>
      </c>
      <c r="D290" s="14">
        <f>'[1]2026 Orders'!D291</f>
        <v>0</v>
      </c>
      <c r="E290" s="17" t="str" cm="1">
        <f t="array" ref="E290">IF(C290=0,"",
HYPERLINK(
"#'2026 Orders'!C"&amp;
MATCH(1,
('2026 Orders'!C:C=C290)*
('2026 Orders'!G:G=G290)*
('2026 Orders'!N:N=N290),
0),
"Open "&amp;C290
))</f>
        <v>Open A4668</v>
      </c>
      <c r="F290" s="14" t="str">
        <f>'[1]2026 Orders'!F291</f>
        <v>3/26/2026: Item added from Kuwait A4587</v>
      </c>
      <c r="G290" s="14" t="str">
        <f>'[1]2026 Orders'!G291</f>
        <v>OME369-90-FD</v>
      </c>
      <c r="H290" s="14" t="str" cm="1">
        <f t="array" ref="H290">IFERROR(_xlfn.TEXTJOIN("-",,INDEX(_xlfn.TEXTSPLIT(TableGive[[#This Row],[SKU]],"-"),{1,2})),"")</f>
        <v>OME369-90</v>
      </c>
      <c r="I290" s="15" t="str">
        <f>IFERROR(_xlfn.TEXTAFTER(TableGive[[#This Row],[SKU]],"-",-1),"")</f>
        <v>FD</v>
      </c>
      <c r="J290" s="14">
        <f>'[1]2026 Orders'!H291</f>
        <v>300</v>
      </c>
      <c r="K290" t="str">
        <f>'[1]2026 Orders'!I291</f>
        <v>F36-22.1</v>
      </c>
      <c r="L290">
        <f>'[1]2026 Orders'!J291</f>
        <v>300</v>
      </c>
      <c r="N290" s="10" t="str">
        <f>'[1]2026 Orders'!L291</f>
        <v>Picked</v>
      </c>
      <c r="O290">
        <f>'[1]2026 Orders'!M291</f>
        <v>0</v>
      </c>
      <c r="P290" t="str">
        <f>'[1]2026 Orders'!N291</f>
        <v>Y</v>
      </c>
      <c r="Q290" t="str">
        <f>'[1]2026 Orders'!O291</f>
        <v>609788968511</v>
      </c>
      <c r="R290">
        <f>'[1]2026 Orders'!P291</f>
        <v>0</v>
      </c>
      <c r="S290">
        <f>'[1]2026 Orders'!Q291</f>
        <v>0</v>
      </c>
      <c r="T290">
        <f>'[1]2026 Orders'!R291</f>
        <v>0</v>
      </c>
      <c r="U290">
        <f>'[1]2026 Orders'!S291</f>
        <v>0</v>
      </c>
      <c r="V290">
        <f>'[1]2026 Orders'!T291</f>
        <v>0</v>
      </c>
      <c r="W290">
        <f>'[1]2026 Orders'!U291</f>
        <v>0</v>
      </c>
      <c r="X290">
        <f>'[1]2026 Orders'!V291</f>
        <v>0</v>
      </c>
      <c r="Y290">
        <f>'[1]2026 Orders'!W291</f>
        <v>0</v>
      </c>
      <c r="Z290">
        <f>'[1]2026 Orders'!X291</f>
        <v>0</v>
      </c>
      <c r="AC290" t="str">
        <f t="shared" si="8"/>
        <v>/300</v>
      </c>
      <c r="AD290" t="e">
        <f t="shared" si="9"/>
        <v>#VALUE!</v>
      </c>
    </row>
    <row r="291" spans="1:30" ht="33" hidden="1" customHeight="1" x14ac:dyDescent="0.3">
      <c r="A291">
        <f>'[1]2026 Orders'!A292</f>
        <v>46112</v>
      </c>
      <c r="B291" s="14" t="str">
        <f>'[1]2026 Orders'!B292</f>
        <v xml:space="preserve">Kuwait </v>
      </c>
      <c r="C291" s="14" t="str">
        <f>'[1]2026 Orders'!C292</f>
        <v>A4668</v>
      </c>
      <c r="D291" s="14">
        <f>'[1]2026 Orders'!D292</f>
        <v>0</v>
      </c>
      <c r="E291" s="17" t="str" cm="1">
        <f t="array" ref="E291">IF(C291=0,"",
HYPERLINK(
"#'2026 Orders'!C"&amp;
MATCH(1,
('2026 Orders'!C:C=C291)*
('2026 Orders'!G:G=G291)*
('2026 Orders'!N:N=N291),
0),
"Open "&amp;C291
))</f>
        <v>Open A4668</v>
      </c>
      <c r="F291" s="14" t="str">
        <f>'[1]2026 Orders'!F292</f>
        <v>3/31/2026: Item added to order
4/3/2026: Awaiting TD confirmation
4/16/2026: *PRODUCT TO CONTAIN NO TITANIUM DIOXIDE*
6/10/2026: * Approved to send without IFC's *</v>
      </c>
      <c r="G291" s="14" t="str">
        <f>'[1]2026 Orders'!G292</f>
        <v>OSTEOPL-96-CS-KW</v>
      </c>
      <c r="H291" s="14" t="str" cm="1">
        <f t="array" ref="H291">IFERROR(_xlfn.TEXTJOIN("-",,INDEX(_xlfn.TEXTSPLIT(TableGive[[#This Row],[SKU]],"-"),{1,2})),"")</f>
        <v>OSTEOPL-96</v>
      </c>
      <c r="I291" s="15" t="str">
        <f>IFERROR(_xlfn.TEXTAFTER(TableGive[[#This Row],[SKU]],"-",-1),"")</f>
        <v>KW</v>
      </c>
      <c r="J291" s="14">
        <f>'[1]2026 Orders'!H292</f>
        <v>500</v>
      </c>
      <c r="K291" t="str">
        <f>'[1]2026 Orders'!I292</f>
        <v>ait</v>
      </c>
      <c r="L291">
        <f>'[1]2026 Orders'!J292</f>
        <v>500</v>
      </c>
      <c r="N291" s="10" t="str">
        <f>'[1]2026 Orders'!L292</f>
        <v>Rework</v>
      </c>
      <c r="O291" t="str">
        <f>'[1]2026 Orders'!M292</f>
        <v>LOT:4335
QTY 1036 AVAILABLE, 6/8/2026: Label and IFC Requested</v>
      </c>
      <c r="P291" t="str">
        <f>'[1]2026 Orders'!N292</f>
        <v>Y</v>
      </c>
      <c r="Q291">
        <f>'[1]2026 Orders'!O292</f>
        <v>604776739258</v>
      </c>
      <c r="R291">
        <f>'[1]2026 Orders'!P292</f>
        <v>0</v>
      </c>
      <c r="S291">
        <f>'[1]2026 Orders'!Q292</f>
        <v>0</v>
      </c>
      <c r="T291">
        <f>'[1]2026 Orders'!R292</f>
        <v>0</v>
      </c>
      <c r="U291" t="str">
        <f>'[1]2026 Orders'!S292</f>
        <v>Small batch with Genova?</v>
      </c>
      <c r="V291">
        <f>'[1]2026 Orders'!T292</f>
        <v>0</v>
      </c>
      <c r="W291">
        <f>'[1]2026 Orders'!U292</f>
        <v>0</v>
      </c>
      <c r="X291">
        <f>'[1]2026 Orders'!V292</f>
        <v>0</v>
      </c>
      <c r="Y291">
        <f>'[1]2026 Orders'!W292</f>
        <v>0</v>
      </c>
      <c r="Z291">
        <f>'[1]2026 Orders'!X292</f>
        <v>0</v>
      </c>
      <c r="AC291" t="str">
        <f t="shared" si="8"/>
        <v>/500</v>
      </c>
      <c r="AD291" t="e">
        <f t="shared" si="9"/>
        <v>#VALUE!</v>
      </c>
    </row>
    <row r="292" spans="1:30" ht="33" hidden="1" customHeight="1" x14ac:dyDescent="0.3">
      <c r="A292">
        <f>'[1]2026 Orders'!A293</f>
        <v>0</v>
      </c>
      <c r="B292" s="14">
        <f>'[1]2026 Orders'!B293</f>
        <v>0</v>
      </c>
      <c r="C292" s="14">
        <f>'[1]2026 Orders'!C293</f>
        <v>0</v>
      </c>
      <c r="D292" s="14">
        <f>'[1]2026 Orders'!D293</f>
        <v>0</v>
      </c>
      <c r="E292" s="17" t="str" cm="1">
        <f t="array" ref="E292">IF(C292=0,"",
HYPERLINK(
"#'2026 Orders'!C"&amp;
MATCH(1,
('2026 Orders'!C:C=C292)*
('2026 Orders'!G:G=G292)*
('2026 Orders'!N:N=N292),
0),
"Open "&amp;C292
))</f>
        <v/>
      </c>
      <c r="F292" s="14">
        <f>'[1]2026 Orders'!F293</f>
        <v>0</v>
      </c>
      <c r="G292" s="14">
        <f>'[1]2026 Orders'!G293</f>
        <v>0</v>
      </c>
      <c r="H292" s="14" t="str" cm="1">
        <f t="array" ref="H292">IFERROR(_xlfn.TEXTJOIN("-",,INDEX(_xlfn.TEXTSPLIT(TableGive[[#This Row],[SKU]],"-"),{1,2})),"")</f>
        <v/>
      </c>
      <c r="I292" s="15" t="str">
        <f>IFERROR(_xlfn.TEXTAFTER(TableGive[[#This Row],[SKU]],"-",-1),"")</f>
        <v/>
      </c>
      <c r="J292" s="14">
        <f>'[1]2026 Orders'!H293</f>
        <v>0</v>
      </c>
      <c r="K292">
        <f>'[1]2026 Orders'!I293</f>
        <v>0</v>
      </c>
      <c r="L292">
        <f>'[1]2026 Orders'!J293</f>
        <v>0</v>
      </c>
      <c r="N292" s="10">
        <f>'[1]2026 Orders'!L293</f>
        <v>0</v>
      </c>
      <c r="O292">
        <f>'[1]2026 Orders'!M293</f>
        <v>0</v>
      </c>
      <c r="P292">
        <f>'[1]2026 Orders'!N293</f>
        <v>0</v>
      </c>
      <c r="Q292">
        <f>'[1]2026 Orders'!O293</f>
        <v>0</v>
      </c>
      <c r="R292">
        <f>'[1]2026 Orders'!P293</f>
        <v>0</v>
      </c>
      <c r="S292">
        <f>'[1]2026 Orders'!Q293</f>
        <v>0</v>
      </c>
      <c r="T292">
        <f>'[1]2026 Orders'!R293</f>
        <v>0</v>
      </c>
      <c r="U292">
        <f>'[1]2026 Orders'!S293</f>
        <v>0</v>
      </c>
      <c r="V292">
        <f>'[1]2026 Orders'!T293</f>
        <v>0</v>
      </c>
      <c r="W292">
        <f>'[1]2026 Orders'!U293</f>
        <v>0</v>
      </c>
      <c r="X292">
        <f>'[1]2026 Orders'!V293</f>
        <v>0</v>
      </c>
      <c r="Y292">
        <f>'[1]2026 Orders'!W293</f>
        <v>0</v>
      </c>
      <c r="Z292">
        <f>'[1]2026 Orders'!X293</f>
        <v>0</v>
      </c>
      <c r="AC292" t="str">
        <f t="shared" si="8"/>
        <v/>
      </c>
      <c r="AD292" t="str">
        <f t="shared" si="9"/>
        <v/>
      </c>
    </row>
    <row r="293" spans="1:30" ht="33" hidden="1" customHeight="1" x14ac:dyDescent="0.3">
      <c r="A293">
        <f>'[1]2026 Orders'!A294</f>
        <v>46108</v>
      </c>
      <c r="B293" s="14" t="str">
        <f>'[1]2026 Orders'!B294</f>
        <v>Greece</v>
      </c>
      <c r="C293" s="14" t="str">
        <f>'[1]2026 Orders'!C294</f>
        <v>A4672</v>
      </c>
      <c r="D293" s="14">
        <f>'[1]2026 Orders'!D294</f>
        <v>0</v>
      </c>
      <c r="E293" s="17" t="str" cm="1">
        <f t="array" ref="E293">IF(C293=0,"",
HYPERLINK(
"#'2026 Orders'!C"&amp;
MATCH(1,
('2026 Orders'!C:C=C293)*
('2026 Orders'!G:G=G293)*
('2026 Orders'!N:N=N293),
0),
"Open "&amp;C293
))</f>
        <v>Open A4672</v>
      </c>
      <c r="F293" s="14">
        <f>'[1]2026 Orders'!F294</f>
        <v>0</v>
      </c>
      <c r="G293" s="14" t="str">
        <f>'[1]2026 Orders'!G294</f>
        <v>OVAMAX-120-CS-GR</v>
      </c>
      <c r="H293" s="14" t="str" cm="1">
        <f t="array" ref="H293">IFERROR(_xlfn.TEXTJOIN("-",,INDEX(_xlfn.TEXTSPLIT(TableGive[[#This Row],[SKU]],"-"),{1,2})),"")</f>
        <v>OVAMAX-120</v>
      </c>
      <c r="I293" s="15" t="str">
        <f>IFERROR(_xlfn.TEXTAFTER(TableGive[[#This Row],[SKU]],"-",-1),"")</f>
        <v>GR</v>
      </c>
      <c r="J293" s="14">
        <f>'[1]2026 Orders'!H294</f>
        <v>552</v>
      </c>
      <c r="K293" t="str">
        <f>'[1]2026 Orders'!I294</f>
        <v>GR41-25.1</v>
      </c>
      <c r="L293">
        <f>'[1]2026 Orders'!J294</f>
        <v>552</v>
      </c>
      <c r="N293" s="10" t="str">
        <f>'[1]2026 Orders'!L294</f>
        <v>D/W Sent</v>
      </c>
      <c r="O293">
        <f>'[1]2026 Orders'!M294</f>
        <v>46148</v>
      </c>
      <c r="P293" t="str">
        <f>'[1]2026 Orders'!N294</f>
        <v>NA</v>
      </c>
      <c r="Q293">
        <f>'[1]2026 Orders'!O294</f>
        <v>604776736943</v>
      </c>
      <c r="R293">
        <f>'[1]2026 Orders'!P294</f>
        <v>0</v>
      </c>
      <c r="S293">
        <f>'[1]2026 Orders'!Q294</f>
        <v>0</v>
      </c>
      <c r="T293">
        <f>'[1]2026 Orders'!R294</f>
        <v>0</v>
      </c>
      <c r="U293">
        <f>'[1]2026 Orders'!S294</f>
        <v>0</v>
      </c>
      <c r="V293">
        <f>'[1]2026 Orders'!T294</f>
        <v>0</v>
      </c>
      <c r="W293">
        <f>'[1]2026 Orders'!U294</f>
        <v>0</v>
      </c>
      <c r="X293">
        <f>'[1]2026 Orders'!V294</f>
        <v>0</v>
      </c>
      <c r="Y293">
        <f>'[1]2026 Orders'!W294</f>
        <v>0</v>
      </c>
      <c r="Z293" t="str">
        <f>'[1]2026 Orders'!X294</f>
        <v>Approved</v>
      </c>
      <c r="AC293" t="str">
        <f t="shared" si="8"/>
        <v>/552</v>
      </c>
      <c r="AD293" t="e">
        <f t="shared" si="9"/>
        <v>#VALUE!</v>
      </c>
    </row>
    <row r="294" spans="1:30" ht="33" hidden="1" customHeight="1" x14ac:dyDescent="0.3">
      <c r="A294">
        <f>'[1]2026 Orders'!A295</f>
        <v>46108</v>
      </c>
      <c r="B294" s="14" t="str">
        <f>'[1]2026 Orders'!B295</f>
        <v>Greece</v>
      </c>
      <c r="C294" s="14" t="str">
        <f>'[1]2026 Orders'!C295</f>
        <v>A4672</v>
      </c>
      <c r="D294" s="14">
        <f>'[1]2026 Orders'!D295</f>
        <v>0</v>
      </c>
      <c r="E294" s="17" t="str" cm="1">
        <f t="array" ref="E294">IF(C294=0,"",
HYPERLINK(
"#'2026 Orders'!C"&amp;
MATCH(1,
('2026 Orders'!C:C=C294)*
('2026 Orders'!G:G=G294)*
('2026 Orders'!N:N=N294),
0),
"Open "&amp;C294
))</f>
        <v>Open A4672</v>
      </c>
      <c r="F294" s="14">
        <f>'[1]2026 Orders'!F295</f>
        <v>0</v>
      </c>
      <c r="G294" s="14" t="str">
        <f>'[1]2026 Orders'!G295</f>
        <v>METRIO-60-CS-GR</v>
      </c>
      <c r="H294" s="14" t="str" cm="1">
        <f t="array" ref="H294">IFERROR(_xlfn.TEXTJOIN("-",,INDEX(_xlfn.TEXTSPLIT(TableGive[[#This Row],[SKU]],"-"),{1,2})),"")</f>
        <v>METRIO-60</v>
      </c>
      <c r="I294" s="15" t="str">
        <f>IFERROR(_xlfn.TEXTAFTER(TableGive[[#This Row],[SKU]],"-",-1),"")</f>
        <v>GR</v>
      </c>
      <c r="J294" s="14">
        <f>'[1]2026 Orders'!H295</f>
        <v>144</v>
      </c>
      <c r="K294" t="str">
        <f>'[1]2026 Orders'!I295</f>
        <v>GR28-25.0</v>
      </c>
      <c r="L294">
        <f>'[1]2026 Orders'!J295</f>
        <v>144</v>
      </c>
      <c r="N294" s="10" t="str">
        <f>'[1]2026 Orders'!L295</f>
        <v>D/W Sent</v>
      </c>
      <c r="O294">
        <f>'[1]2026 Orders'!M295</f>
        <v>0</v>
      </c>
      <c r="P294" t="str">
        <f>'[1]2026 Orders'!N295</f>
        <v>NA</v>
      </c>
      <c r="Q294">
        <f>'[1]2026 Orders'!O295</f>
        <v>604776736936</v>
      </c>
      <c r="R294">
        <f>'[1]2026 Orders'!P295</f>
        <v>0</v>
      </c>
      <c r="S294">
        <f>'[1]2026 Orders'!Q295</f>
        <v>0</v>
      </c>
      <c r="T294">
        <f>'[1]2026 Orders'!R295</f>
        <v>0</v>
      </c>
      <c r="U294">
        <f>'[1]2026 Orders'!S295</f>
        <v>0</v>
      </c>
      <c r="V294">
        <f>'[1]2026 Orders'!T295</f>
        <v>0</v>
      </c>
      <c r="W294">
        <f>'[1]2026 Orders'!U295</f>
        <v>0</v>
      </c>
      <c r="X294">
        <f>'[1]2026 Orders'!V295</f>
        <v>0</v>
      </c>
      <c r="Y294">
        <f>'[1]2026 Orders'!W295</f>
        <v>0</v>
      </c>
      <c r="Z294">
        <f>'[1]2026 Orders'!X295</f>
        <v>0</v>
      </c>
      <c r="AC294" t="str">
        <f t="shared" si="8"/>
        <v>/144</v>
      </c>
      <c r="AD294" t="e">
        <f t="shared" si="9"/>
        <v>#VALUE!</v>
      </c>
    </row>
    <row r="295" spans="1:30" ht="33" hidden="1" customHeight="1" x14ac:dyDescent="0.3">
      <c r="A295">
        <f>'[1]2026 Orders'!A296</f>
        <v>46108</v>
      </c>
      <c r="B295" s="14" t="str">
        <f>'[1]2026 Orders'!B296</f>
        <v>Greece</v>
      </c>
      <c r="C295" s="14" t="str">
        <f>'[1]2026 Orders'!C296</f>
        <v>A4672</v>
      </c>
      <c r="D295" s="14">
        <f>'[1]2026 Orders'!D296</f>
        <v>0</v>
      </c>
      <c r="E295" s="17" t="str" cm="1">
        <f t="array" ref="E295">IF(C295=0,"",
HYPERLINK(
"#'2026 Orders'!C"&amp;
MATCH(1,
('2026 Orders'!C:C=C295)*
('2026 Orders'!G:G=G295)*
('2026 Orders'!N:N=N295),
0),
"Open "&amp;C295
))</f>
        <v>Open A4672</v>
      </c>
      <c r="F295" s="14">
        <f>'[1]2026 Orders'!F296</f>
        <v>0</v>
      </c>
      <c r="G295" s="14" t="str">
        <f>'[1]2026 Orders'!G296</f>
        <v>PEARLY-60-CS-GR</v>
      </c>
      <c r="H295" s="14" t="str" cm="1">
        <f t="array" ref="H295">IFERROR(_xlfn.TEXTJOIN("-",,INDEX(_xlfn.TEXTSPLIT(TableGive[[#This Row],[SKU]],"-"),{1,2})),"")</f>
        <v>PEARLY-60</v>
      </c>
      <c r="I295" s="15" t="str">
        <f>IFERROR(_xlfn.TEXTAFTER(TableGive[[#This Row],[SKU]],"-",-1),"")</f>
        <v>GR</v>
      </c>
      <c r="J295" s="14">
        <f>'[1]2026 Orders'!H296</f>
        <v>72</v>
      </c>
      <c r="K295" t="str">
        <f>'[1]2026 Orders'!I296</f>
        <v>GR42-25.0</v>
      </c>
      <c r="L295">
        <f>'[1]2026 Orders'!J296</f>
        <v>72</v>
      </c>
      <c r="N295" s="10" t="str">
        <f>'[1]2026 Orders'!L296</f>
        <v>D/W Sent</v>
      </c>
      <c r="O295">
        <f>'[1]2026 Orders'!M296</f>
        <v>0</v>
      </c>
      <c r="P295" t="str">
        <f>'[1]2026 Orders'!N296</f>
        <v>Y</v>
      </c>
      <c r="Q295">
        <f>'[1]2026 Orders'!O296</f>
        <v>604776737469</v>
      </c>
      <c r="R295">
        <f>'[1]2026 Orders'!P296</f>
        <v>0</v>
      </c>
      <c r="S295">
        <f>'[1]2026 Orders'!Q296</f>
        <v>0</v>
      </c>
      <c r="T295">
        <f>'[1]2026 Orders'!R296</f>
        <v>0</v>
      </c>
      <c r="U295">
        <f>'[1]2026 Orders'!S296</f>
        <v>0</v>
      </c>
      <c r="V295">
        <f>'[1]2026 Orders'!T296</f>
        <v>0</v>
      </c>
      <c r="W295">
        <f>'[1]2026 Orders'!U296</f>
        <v>0</v>
      </c>
      <c r="X295">
        <f>'[1]2026 Orders'!V296</f>
        <v>0</v>
      </c>
      <c r="Y295">
        <f>'[1]2026 Orders'!W296</f>
        <v>0</v>
      </c>
      <c r="Z295">
        <f>'[1]2026 Orders'!X296</f>
        <v>0</v>
      </c>
      <c r="AC295" t="str">
        <f t="shared" si="8"/>
        <v>/72</v>
      </c>
      <c r="AD295" t="e">
        <f t="shared" si="9"/>
        <v>#VALUE!</v>
      </c>
    </row>
    <row r="296" spans="1:30" ht="33" hidden="1" customHeight="1" x14ac:dyDescent="0.3">
      <c r="A296">
        <f>'[1]2026 Orders'!A297</f>
        <v>46108</v>
      </c>
      <c r="B296" s="14" t="str">
        <f>'[1]2026 Orders'!B297</f>
        <v>Greece</v>
      </c>
      <c r="C296" s="14" t="str">
        <f>'[1]2026 Orders'!C297</f>
        <v>A4672</v>
      </c>
      <c r="D296" s="14">
        <f>'[1]2026 Orders'!D297</f>
        <v>0</v>
      </c>
      <c r="E296" s="17" t="str" cm="1">
        <f t="array" ref="E296">IF(C296=0,"",
HYPERLINK(
"#'2026 Orders'!C"&amp;
MATCH(1,
('2026 Orders'!C:C=C296)*
('2026 Orders'!G:G=G296)*
('2026 Orders'!N:N=N296),
0),
"Open "&amp;C296
))</f>
        <v>Open A4672</v>
      </c>
      <c r="F296" s="14">
        <f>'[1]2026 Orders'!F297</f>
        <v>0</v>
      </c>
      <c r="G296" s="14" t="str">
        <f>'[1]2026 Orders'!G297</f>
        <v>PEDIAMU-50-FD</v>
      </c>
      <c r="H296" s="14" t="str" cm="1">
        <f t="array" ref="H296">IFERROR(_xlfn.TEXTJOIN("-",,INDEX(_xlfn.TEXTSPLIT(TableGive[[#This Row],[SKU]],"-"),{1,2})),"")</f>
        <v>PEDIAMU-50</v>
      </c>
      <c r="I296" s="15" t="str">
        <f>IFERROR(_xlfn.TEXTAFTER(TableGive[[#This Row],[SKU]],"-",-1),"")</f>
        <v>FD</v>
      </c>
      <c r="J296" s="14">
        <f>'[1]2026 Orders'!H297</f>
        <v>48</v>
      </c>
      <c r="K296" t="str">
        <f>'[1]2026 Orders'!I297</f>
        <v>F49-26.0</v>
      </c>
      <c r="L296">
        <f>'[1]2026 Orders'!J297</f>
        <v>48</v>
      </c>
      <c r="N296" s="10" t="str">
        <f>'[1]2026 Orders'!L297</f>
        <v>D/W Sent</v>
      </c>
      <c r="O296" t="str">
        <f>'[1]2026 Orders'!M297</f>
        <v>Lot 45130425</v>
      </c>
      <c r="P296" t="str">
        <f>'[1]2026 Orders'!N297</f>
        <v>Y</v>
      </c>
      <c r="Q296">
        <f>'[1]2026 Orders'!O297</f>
        <v>810131199661</v>
      </c>
      <c r="R296">
        <f>'[1]2026 Orders'!P297</f>
        <v>0</v>
      </c>
      <c r="S296">
        <f>'[1]2026 Orders'!Q297</f>
        <v>0</v>
      </c>
      <c r="T296">
        <f>'[1]2026 Orders'!R297</f>
        <v>0</v>
      </c>
      <c r="U296">
        <f>'[1]2026 Orders'!S297</f>
        <v>0</v>
      </c>
      <c r="V296">
        <f>'[1]2026 Orders'!T297</f>
        <v>0</v>
      </c>
      <c r="W296">
        <f>'[1]2026 Orders'!U297</f>
        <v>0</v>
      </c>
      <c r="X296">
        <f>'[1]2026 Orders'!V297</f>
        <v>0</v>
      </c>
      <c r="Y296">
        <f>'[1]2026 Orders'!W297</f>
        <v>0</v>
      </c>
      <c r="Z296">
        <f>'[1]2026 Orders'!X297</f>
        <v>0</v>
      </c>
      <c r="AC296" t="str">
        <f t="shared" si="8"/>
        <v>/48</v>
      </c>
      <c r="AD296" t="e">
        <f t="shared" si="9"/>
        <v>#VALUE!</v>
      </c>
    </row>
    <row r="297" spans="1:30" ht="33" hidden="1" customHeight="1" x14ac:dyDescent="0.3">
      <c r="A297">
        <f>'[1]2026 Orders'!A298</f>
        <v>0</v>
      </c>
      <c r="B297" s="14">
        <f>'[1]2026 Orders'!B298</f>
        <v>0</v>
      </c>
      <c r="C297" s="14">
        <f>'[1]2026 Orders'!C298</f>
        <v>0</v>
      </c>
      <c r="D297" s="14">
        <f>'[1]2026 Orders'!D298</f>
        <v>0</v>
      </c>
      <c r="E297" s="17" t="str" cm="1">
        <f t="array" ref="E297">IF(C297=0,"",
HYPERLINK(
"#'2026 Orders'!C"&amp;
MATCH(1,
('2026 Orders'!C:C=C297)*
('2026 Orders'!G:G=G297)*
('2026 Orders'!N:N=N297),
0),
"Open "&amp;C297
))</f>
        <v/>
      </c>
      <c r="F297" s="14">
        <f>'[1]2026 Orders'!F298</f>
        <v>0</v>
      </c>
      <c r="G297" s="14">
        <f>'[1]2026 Orders'!G298</f>
        <v>0</v>
      </c>
      <c r="H297" s="14" t="str" cm="1">
        <f t="array" ref="H297">IFERROR(_xlfn.TEXTJOIN("-",,INDEX(_xlfn.TEXTSPLIT(TableGive[[#This Row],[SKU]],"-"),{1,2})),"")</f>
        <v/>
      </c>
      <c r="I297" s="15" t="str">
        <f>IFERROR(_xlfn.TEXTAFTER(TableGive[[#This Row],[SKU]],"-",-1),"")</f>
        <v/>
      </c>
      <c r="J297" s="14">
        <f>'[1]2026 Orders'!H298</f>
        <v>0</v>
      </c>
      <c r="K297">
        <f>'[1]2026 Orders'!I298</f>
        <v>0</v>
      </c>
      <c r="L297">
        <f>'[1]2026 Orders'!J298</f>
        <v>0</v>
      </c>
      <c r="N297" s="10">
        <f>'[1]2026 Orders'!L298</f>
        <v>0</v>
      </c>
      <c r="O297">
        <f>'[1]2026 Orders'!M298</f>
        <v>0</v>
      </c>
      <c r="P297">
        <f>'[1]2026 Orders'!N298</f>
        <v>0</v>
      </c>
      <c r="Q297">
        <f>'[1]2026 Orders'!O298</f>
        <v>0</v>
      </c>
      <c r="R297">
        <f>'[1]2026 Orders'!P298</f>
        <v>0</v>
      </c>
      <c r="S297">
        <f>'[1]2026 Orders'!Q298</f>
        <v>0</v>
      </c>
      <c r="T297">
        <f>'[1]2026 Orders'!R298</f>
        <v>0</v>
      </c>
      <c r="U297">
        <f>'[1]2026 Orders'!S298</f>
        <v>0</v>
      </c>
      <c r="V297">
        <f>'[1]2026 Orders'!T298</f>
        <v>0</v>
      </c>
      <c r="W297">
        <f>'[1]2026 Orders'!U298</f>
        <v>0</v>
      </c>
      <c r="X297">
        <f>'[1]2026 Orders'!V298</f>
        <v>0</v>
      </c>
      <c r="Y297">
        <f>'[1]2026 Orders'!W298</f>
        <v>0</v>
      </c>
      <c r="Z297">
        <f>'[1]2026 Orders'!X298</f>
        <v>0</v>
      </c>
      <c r="AC297" t="str">
        <f t="shared" si="8"/>
        <v/>
      </c>
      <c r="AD297" t="str">
        <f t="shared" si="9"/>
        <v/>
      </c>
    </row>
    <row r="298" spans="1:30" ht="33" hidden="1" customHeight="1" x14ac:dyDescent="0.3">
      <c r="A298">
        <f>'[1]2026 Orders'!A299</f>
        <v>46108</v>
      </c>
      <c r="B298" s="14" t="str">
        <f>'[1]2026 Orders'!B299</f>
        <v>Greece</v>
      </c>
      <c r="C298" s="14" t="str">
        <f>'[1]2026 Orders'!C299</f>
        <v>A4673</v>
      </c>
      <c r="D298" s="14">
        <f>'[1]2026 Orders'!D299</f>
        <v>0</v>
      </c>
      <c r="E298" s="17" t="str" cm="1">
        <f t="array" ref="E298">IF(C298=0,"",
HYPERLINK(
"#'2026 Orders'!C"&amp;
MATCH(1,
('2026 Orders'!C:C=C298)*
('2026 Orders'!G:G=G298)*
('2026 Orders'!N:N=N298),
0),
"Open "&amp;C298
))</f>
        <v>Open A4673</v>
      </c>
      <c r="F298" s="14">
        <f>'[1]2026 Orders'!F299</f>
        <v>0</v>
      </c>
      <c r="G298" s="14" t="str">
        <f>'[1]2026 Orders'!G299</f>
        <v>FIBRO-60-CS-GR</v>
      </c>
      <c r="H298" s="14" t="str" cm="1">
        <f t="array" ref="H298">IFERROR(_xlfn.TEXTJOIN("-",,INDEX(_xlfn.TEXTSPLIT(TableGive[[#This Row],[SKU]],"-"),{1,2})),"")</f>
        <v>FIBRO-60</v>
      </c>
      <c r="I298" s="15" t="str">
        <f>IFERROR(_xlfn.TEXTAFTER(TableGive[[#This Row],[SKU]],"-",-1),"")</f>
        <v>GR</v>
      </c>
      <c r="J298" s="14">
        <f>'[1]2026 Orders'!H299</f>
        <v>48</v>
      </c>
      <c r="K298" t="str">
        <f>'[1]2026 Orders'!I299</f>
        <v>GR17-25.0</v>
      </c>
      <c r="L298">
        <f>'[1]2026 Orders'!J299</f>
        <v>48</v>
      </c>
      <c r="N298" s="10" t="str">
        <f>'[1]2026 Orders'!L299</f>
        <v>D/W Sent</v>
      </c>
      <c r="O298">
        <f>'[1]2026 Orders'!M299</f>
        <v>46146</v>
      </c>
      <c r="P298" t="str">
        <f>'[1]2026 Orders'!N299</f>
        <v>NA</v>
      </c>
      <c r="Q298">
        <f>'[1]2026 Orders'!O299</f>
        <v>604776739524</v>
      </c>
      <c r="R298">
        <f>'[1]2026 Orders'!P299</f>
        <v>0</v>
      </c>
      <c r="S298">
        <f>'[1]2026 Orders'!Q299</f>
        <v>0</v>
      </c>
      <c r="T298">
        <f>'[1]2026 Orders'!R299</f>
        <v>0</v>
      </c>
      <c r="U298">
        <f>'[1]2026 Orders'!S299</f>
        <v>0</v>
      </c>
      <c r="V298">
        <f>'[1]2026 Orders'!T299</f>
        <v>0</v>
      </c>
      <c r="W298">
        <f>'[1]2026 Orders'!U299</f>
        <v>0</v>
      </c>
      <c r="X298">
        <f>'[1]2026 Orders'!V299</f>
        <v>0</v>
      </c>
      <c r="Y298">
        <f>'[1]2026 Orders'!W299</f>
        <v>0</v>
      </c>
      <c r="Z298" t="str">
        <f>'[1]2026 Orders'!X299</f>
        <v>Approved</v>
      </c>
      <c r="AC298" t="str">
        <f t="shared" si="8"/>
        <v>/48</v>
      </c>
      <c r="AD298" t="e">
        <f t="shared" si="9"/>
        <v>#VALUE!</v>
      </c>
    </row>
    <row r="299" spans="1:30" ht="33" hidden="1" customHeight="1" x14ac:dyDescent="0.3">
      <c r="A299">
        <f>'[1]2026 Orders'!A300</f>
        <v>46108</v>
      </c>
      <c r="B299" s="14" t="str">
        <f>'[1]2026 Orders'!B300</f>
        <v>Greece</v>
      </c>
      <c r="C299" s="14" t="str">
        <f>'[1]2026 Orders'!C300</f>
        <v>A4673</v>
      </c>
      <c r="D299" s="14">
        <f>'[1]2026 Orders'!D300</f>
        <v>0</v>
      </c>
      <c r="E299" s="17" t="str" cm="1">
        <f t="array" ref="E299">IF(C299=0,"",
HYPERLINK(
"#'2026 Orders'!C"&amp;
MATCH(1,
('2026 Orders'!C:C=C299)*
('2026 Orders'!G:G=G299)*
('2026 Orders'!N:N=N299),
0),
"Open "&amp;C299
))</f>
        <v>Open A4673</v>
      </c>
      <c r="F299" s="14">
        <f>'[1]2026 Orders'!F300</f>
        <v>0</v>
      </c>
      <c r="G299" s="14" t="str">
        <f>'[1]2026 Orders'!G300</f>
        <v>XTRAD10-60-CS-GR</v>
      </c>
      <c r="H299" s="14" t="str" cm="1">
        <f t="array" ref="H299">IFERROR(_xlfn.TEXTJOIN("-",,INDEX(_xlfn.TEXTSPLIT(TableGive[[#This Row],[SKU]],"-"),{1,2})),"")</f>
        <v>XTRAD10-60</v>
      </c>
      <c r="I299" s="15" t="str">
        <f>IFERROR(_xlfn.TEXTAFTER(TableGive[[#This Row],[SKU]],"-",-1),"")</f>
        <v>GR</v>
      </c>
      <c r="J299" s="14">
        <f>'[1]2026 Orders'!H300</f>
        <v>96</v>
      </c>
      <c r="K299" t="str">
        <f>'[1]2026 Orders'!I300</f>
        <v>GR76-25.0</v>
      </c>
      <c r="L299">
        <f>'[1]2026 Orders'!J300</f>
        <v>96</v>
      </c>
      <c r="N299" s="10" t="str">
        <f>'[1]2026 Orders'!L300</f>
        <v>D/W Sent</v>
      </c>
      <c r="O299">
        <f>'[1]2026 Orders'!M300</f>
        <v>0</v>
      </c>
      <c r="P299" t="str">
        <f>'[1]2026 Orders'!N300</f>
        <v>NA</v>
      </c>
      <c r="Q299">
        <f>'[1]2026 Orders'!O300</f>
        <v>604776736882</v>
      </c>
      <c r="R299">
        <f>'[1]2026 Orders'!P300</f>
        <v>0</v>
      </c>
      <c r="S299">
        <f>'[1]2026 Orders'!Q300</f>
        <v>0</v>
      </c>
      <c r="T299">
        <f>'[1]2026 Orders'!R300</f>
        <v>0</v>
      </c>
      <c r="U299">
        <f>'[1]2026 Orders'!S300</f>
        <v>0</v>
      </c>
      <c r="V299">
        <f>'[1]2026 Orders'!T300</f>
        <v>0</v>
      </c>
      <c r="W299">
        <f>'[1]2026 Orders'!U300</f>
        <v>0</v>
      </c>
      <c r="X299">
        <f>'[1]2026 Orders'!V300</f>
        <v>0</v>
      </c>
      <c r="Y299">
        <f>'[1]2026 Orders'!W300</f>
        <v>0</v>
      </c>
      <c r="Z299">
        <f>'[1]2026 Orders'!X300</f>
        <v>0</v>
      </c>
      <c r="AC299" t="str">
        <f t="shared" si="8"/>
        <v>/96</v>
      </c>
      <c r="AD299" t="e">
        <f t="shared" si="9"/>
        <v>#VALUE!</v>
      </c>
    </row>
    <row r="300" spans="1:30" ht="33" hidden="1" customHeight="1" x14ac:dyDescent="0.3">
      <c r="A300">
        <f>'[1]2026 Orders'!A301</f>
        <v>46108</v>
      </c>
      <c r="B300" s="14" t="str">
        <f>'[1]2026 Orders'!B301</f>
        <v>Greece</v>
      </c>
      <c r="C300" s="14" t="str">
        <f>'[1]2026 Orders'!C301</f>
        <v>A4673</v>
      </c>
      <c r="D300" s="14">
        <f>'[1]2026 Orders'!D301</f>
        <v>0</v>
      </c>
      <c r="E300" s="17" t="str" cm="1">
        <f t="array" ref="E300">IF(C300=0,"",
HYPERLINK(
"#'2026 Orders'!C"&amp;
MATCH(1,
('2026 Orders'!C:C=C300)*
('2026 Orders'!G:G=G300)*
('2026 Orders'!N:N=N300),
0),
"Open "&amp;C300
))</f>
        <v>Open A4673</v>
      </c>
      <c r="F300" s="14">
        <f>'[1]2026 Orders'!F301</f>
        <v>0</v>
      </c>
      <c r="G300" s="14" t="str">
        <f>'[1]2026 Orders'!G301</f>
        <v>PENAMAX-60-GE-CS-GR</v>
      </c>
      <c r="H300" s="14" t="str" cm="1">
        <f t="array" ref="H300">IFERROR(_xlfn.TEXTJOIN("-",,INDEX(_xlfn.TEXTSPLIT(TableGive[[#This Row],[SKU]],"-"),{1,2})),"")</f>
        <v>PENAMAX-60</v>
      </c>
      <c r="I300" s="15" t="str">
        <f>IFERROR(_xlfn.TEXTAFTER(TableGive[[#This Row],[SKU]],"-",-1),"")</f>
        <v>GR</v>
      </c>
      <c r="J300" s="14">
        <f>'[1]2026 Orders'!H301</f>
        <v>228</v>
      </c>
      <c r="K300" t="str">
        <f>'[1]2026 Orders'!I301</f>
        <v>GR88-25.0</v>
      </c>
      <c r="L300">
        <f>'[1]2026 Orders'!J301</f>
        <v>228</v>
      </c>
      <c r="N300" s="10" t="str">
        <f>'[1]2026 Orders'!L301</f>
        <v>D/W Sent</v>
      </c>
      <c r="O300">
        <f>'[1]2026 Orders'!M301</f>
        <v>0</v>
      </c>
      <c r="P300" t="str">
        <f>'[1]2026 Orders'!N301</f>
        <v>Y</v>
      </c>
      <c r="Q300">
        <f>'[1]2026 Orders'!O301</f>
        <v>604776736905</v>
      </c>
      <c r="R300">
        <f>'[1]2026 Orders'!P301</f>
        <v>0</v>
      </c>
      <c r="S300">
        <f>'[1]2026 Orders'!Q301</f>
        <v>0</v>
      </c>
      <c r="T300">
        <f>'[1]2026 Orders'!R301</f>
        <v>0</v>
      </c>
      <c r="U300">
        <f>'[1]2026 Orders'!S301</f>
        <v>0</v>
      </c>
      <c r="V300">
        <f>'[1]2026 Orders'!T301</f>
        <v>0</v>
      </c>
      <c r="W300">
        <f>'[1]2026 Orders'!U301</f>
        <v>0</v>
      </c>
      <c r="X300">
        <f>'[1]2026 Orders'!V301</f>
        <v>0</v>
      </c>
      <c r="Y300">
        <f>'[1]2026 Orders'!W301</f>
        <v>0</v>
      </c>
      <c r="Z300">
        <f>'[1]2026 Orders'!X301</f>
        <v>0</v>
      </c>
      <c r="AC300" t="str">
        <f t="shared" si="8"/>
        <v>/228</v>
      </c>
      <c r="AD300" t="e">
        <f t="shared" si="9"/>
        <v>#VALUE!</v>
      </c>
    </row>
    <row r="301" spans="1:30" ht="33" hidden="1" customHeight="1" x14ac:dyDescent="0.3">
      <c r="A301">
        <f>'[1]2026 Orders'!A302</f>
        <v>0</v>
      </c>
      <c r="B301" s="14">
        <f>'[1]2026 Orders'!B302</f>
        <v>0</v>
      </c>
      <c r="C301" s="14">
        <f>'[1]2026 Orders'!C302</f>
        <v>0</v>
      </c>
      <c r="D301" s="14">
        <f>'[1]2026 Orders'!D302</f>
        <v>0</v>
      </c>
      <c r="E301" s="17" t="str" cm="1">
        <f t="array" ref="E301">IF(C301=0,"",
HYPERLINK(
"#'2026 Orders'!C"&amp;
MATCH(1,
('2026 Orders'!C:C=C301)*
('2026 Orders'!G:G=G301)*
('2026 Orders'!N:N=N301),
0),
"Open "&amp;C301
))</f>
        <v/>
      </c>
      <c r="F301" s="14">
        <f>'[1]2026 Orders'!F302</f>
        <v>0</v>
      </c>
      <c r="G301" s="14">
        <f>'[1]2026 Orders'!G302</f>
        <v>0</v>
      </c>
      <c r="H301" s="14" t="str" cm="1">
        <f t="array" ref="H301">IFERROR(_xlfn.TEXTJOIN("-",,INDEX(_xlfn.TEXTSPLIT(TableGive[[#This Row],[SKU]],"-"),{1,2})),"")</f>
        <v/>
      </c>
      <c r="I301" s="15" t="str">
        <f>IFERROR(_xlfn.TEXTAFTER(TableGive[[#This Row],[SKU]],"-",-1),"")</f>
        <v/>
      </c>
      <c r="J301" s="14">
        <f>'[1]2026 Orders'!H302</f>
        <v>0</v>
      </c>
      <c r="K301">
        <f>'[1]2026 Orders'!I302</f>
        <v>0</v>
      </c>
      <c r="L301">
        <f>'[1]2026 Orders'!J302</f>
        <v>0</v>
      </c>
      <c r="N301" s="10">
        <f>'[1]2026 Orders'!L302</f>
        <v>0</v>
      </c>
      <c r="O301">
        <f>'[1]2026 Orders'!M302</f>
        <v>0</v>
      </c>
      <c r="P301">
        <f>'[1]2026 Orders'!N302</f>
        <v>0</v>
      </c>
      <c r="Q301">
        <f>'[1]2026 Orders'!O302</f>
        <v>0</v>
      </c>
      <c r="R301">
        <f>'[1]2026 Orders'!P302</f>
        <v>0</v>
      </c>
      <c r="S301">
        <f>'[1]2026 Orders'!Q302</f>
        <v>0</v>
      </c>
      <c r="T301">
        <f>'[1]2026 Orders'!R302</f>
        <v>0</v>
      </c>
      <c r="U301">
        <f>'[1]2026 Orders'!S302</f>
        <v>0</v>
      </c>
      <c r="V301">
        <f>'[1]2026 Orders'!T302</f>
        <v>0</v>
      </c>
      <c r="W301">
        <f>'[1]2026 Orders'!U302</f>
        <v>0</v>
      </c>
      <c r="X301">
        <f>'[1]2026 Orders'!V302</f>
        <v>0</v>
      </c>
      <c r="Y301">
        <f>'[1]2026 Orders'!W302</f>
        <v>0</v>
      </c>
      <c r="Z301">
        <f>'[1]2026 Orders'!X302</f>
        <v>0</v>
      </c>
      <c r="AC301" t="str">
        <f t="shared" si="8"/>
        <v/>
      </c>
      <c r="AD301" t="str">
        <f t="shared" si="9"/>
        <v/>
      </c>
    </row>
    <row r="302" spans="1:30" ht="33" hidden="1" customHeight="1" x14ac:dyDescent="0.3">
      <c r="A302">
        <f>'[1]2026 Orders'!A303</f>
        <v>46108</v>
      </c>
      <c r="B302" s="14" t="str">
        <f>'[1]2026 Orders'!B303</f>
        <v>Greece</v>
      </c>
      <c r="C302" s="14" t="str">
        <f>'[1]2026 Orders'!C303</f>
        <v>A4674</v>
      </c>
      <c r="D302" s="14">
        <f>'[1]2026 Orders'!D303</f>
        <v>0</v>
      </c>
      <c r="E302" s="17" t="str" cm="1">
        <f t="array" ref="E302">IF(C302=0,"",
HYPERLINK(
"#'2026 Orders'!C"&amp;
MATCH(1,
('2026 Orders'!C:C=C302)*
('2026 Orders'!G:G=G302)*
('2026 Orders'!N:N=N302),
0),
"Open "&amp;C302
))</f>
        <v>Open A4674</v>
      </c>
      <c r="F302" s="14" t="str">
        <f>'[1]2026 Orders'!F303</f>
        <v xml:space="preserve">MFS Plus capsules blistered </v>
      </c>
      <c r="G302" s="14" t="str">
        <f>'[1]2026 Orders'!G303</f>
        <v>MFSADV-120-CS-GR</v>
      </c>
      <c r="H302" s="14" t="str" cm="1">
        <f t="array" ref="H302">IFERROR(_xlfn.TEXTJOIN("-",,INDEX(_xlfn.TEXTSPLIT(TableGive[[#This Row],[SKU]],"-"),{1,2})),"")</f>
        <v>MFSADV-120</v>
      </c>
      <c r="I302" s="15" t="str">
        <f>IFERROR(_xlfn.TEXTAFTER(TableGive[[#This Row],[SKU]],"-",-1),"")</f>
        <v>GR</v>
      </c>
      <c r="J302" s="14">
        <f>'[1]2026 Orders'!H303</f>
        <v>600</v>
      </c>
      <c r="K302" t="str">
        <f>'[1]2026 Orders'!I303</f>
        <v>GR87-25.0</v>
      </c>
      <c r="L302">
        <f>'[1]2026 Orders'!J303</f>
        <v>600</v>
      </c>
      <c r="N302" s="10" t="str">
        <f>'[1]2026 Orders'!L303</f>
        <v>D/W Sent</v>
      </c>
      <c r="O302">
        <f>'[1]2026 Orders'!M303</f>
        <v>46157</v>
      </c>
      <c r="P302" t="str">
        <f>'[1]2026 Orders'!N303</f>
        <v>Y</v>
      </c>
      <c r="Q302">
        <f>'[1]2026 Orders'!O303</f>
        <v>604776739272</v>
      </c>
      <c r="R302">
        <f>'[1]2026 Orders'!P303</f>
        <v>0</v>
      </c>
      <c r="S302">
        <f>'[1]2026 Orders'!Q303</f>
        <v>5053</v>
      </c>
      <c r="T302" t="str">
        <f>'[1]2026 Orders'!R303</f>
        <v>TBD</v>
      </c>
      <c r="U302" t="str">
        <f>'[1]2026 Orders'!S303</f>
        <v>Use 342 units left over from PO A5053. Need a bulk PO for remaining. Bulk PO submitted, will need a PO for blistering</v>
      </c>
      <c r="V302">
        <f>'[1]2026 Orders'!T303</f>
        <v>0</v>
      </c>
      <c r="W302">
        <f>'[1]2026 Orders'!U303</f>
        <v>0</v>
      </c>
      <c r="X302">
        <f>'[1]2026 Orders'!V303</f>
        <v>0</v>
      </c>
      <c r="Y302">
        <f>'[1]2026 Orders'!W303</f>
        <v>0</v>
      </c>
      <c r="Z302" t="str">
        <f>'[1]2026 Orders'!X303</f>
        <v>Approved</v>
      </c>
      <c r="AC302" t="str">
        <f t="shared" si="8"/>
        <v>/600</v>
      </c>
      <c r="AD302" t="e">
        <f t="shared" si="9"/>
        <v>#VALUE!</v>
      </c>
    </row>
    <row r="303" spans="1:30" ht="33" hidden="1" customHeight="1" x14ac:dyDescent="0.3">
      <c r="A303">
        <f>'[1]2026 Orders'!A304</f>
        <v>46108</v>
      </c>
      <c r="B303" s="14" t="str">
        <f>'[1]2026 Orders'!B304</f>
        <v>Greece</v>
      </c>
      <c r="C303" s="14" t="str">
        <f>'[1]2026 Orders'!C304</f>
        <v>A4674</v>
      </c>
      <c r="D303" s="14">
        <f>'[1]2026 Orders'!D304</f>
        <v>0</v>
      </c>
      <c r="E303" s="17" t="str" cm="1">
        <f t="array" ref="E303">IF(C303=0,"",
HYPERLINK(
"#'2026 Orders'!C"&amp;
MATCH(1,
('2026 Orders'!C:C=C303)*
('2026 Orders'!G:G=G303)*
('2026 Orders'!N:N=N303),
0),
"Open "&amp;C303
))</f>
        <v>Open A4674</v>
      </c>
      <c r="F303" s="14">
        <f>'[1]2026 Orders'!F304</f>
        <v>0</v>
      </c>
      <c r="G303" s="14" t="str">
        <f>'[1]2026 Orders'!G304</f>
        <v>FIBRO-60-CS-GR</v>
      </c>
      <c r="H303" s="14" t="str" cm="1">
        <f t="array" ref="H303">IFERROR(_xlfn.TEXTJOIN("-",,INDEX(_xlfn.TEXTSPLIT(TableGive[[#This Row],[SKU]],"-"),{1,2})),"")</f>
        <v>FIBRO-60</v>
      </c>
      <c r="I303" s="15" t="str">
        <f>IFERROR(_xlfn.TEXTAFTER(TableGive[[#This Row],[SKU]],"-",-1),"")</f>
        <v>GR</v>
      </c>
      <c r="J303" s="14">
        <f>'[1]2026 Orders'!H304</f>
        <v>24</v>
      </c>
      <c r="K303" t="str">
        <f>'[1]2026 Orders'!I304</f>
        <v>GR17-25.0</v>
      </c>
      <c r="L303">
        <f>'[1]2026 Orders'!J304</f>
        <v>24</v>
      </c>
      <c r="N303" s="10" t="str">
        <f>'[1]2026 Orders'!L304</f>
        <v>D/W Sent</v>
      </c>
      <c r="O303">
        <f>'[1]2026 Orders'!M304</f>
        <v>0</v>
      </c>
      <c r="P303" t="str">
        <f>'[1]2026 Orders'!N304</f>
        <v>NA</v>
      </c>
      <c r="Q303">
        <f>'[1]2026 Orders'!O304</f>
        <v>604776739524</v>
      </c>
      <c r="R303">
        <f>'[1]2026 Orders'!P304</f>
        <v>0</v>
      </c>
      <c r="S303">
        <f>'[1]2026 Orders'!Q304</f>
        <v>0</v>
      </c>
      <c r="T303">
        <f>'[1]2026 Orders'!R304</f>
        <v>0</v>
      </c>
      <c r="U303">
        <f>'[1]2026 Orders'!S304</f>
        <v>0</v>
      </c>
      <c r="V303">
        <f>'[1]2026 Orders'!T304</f>
        <v>0</v>
      </c>
      <c r="W303">
        <f>'[1]2026 Orders'!U304</f>
        <v>0</v>
      </c>
      <c r="X303">
        <f>'[1]2026 Orders'!V304</f>
        <v>0</v>
      </c>
      <c r="Y303">
        <f>'[1]2026 Orders'!W304</f>
        <v>0</v>
      </c>
      <c r="Z303">
        <f>'[1]2026 Orders'!X304</f>
        <v>0</v>
      </c>
      <c r="AC303" t="str">
        <f t="shared" si="8"/>
        <v>/24</v>
      </c>
      <c r="AD303" t="e">
        <f t="shared" si="9"/>
        <v>#VALUE!</v>
      </c>
    </row>
    <row r="304" spans="1:30" ht="33" hidden="1" customHeight="1" x14ac:dyDescent="0.3">
      <c r="A304">
        <f>'[1]2026 Orders'!A305</f>
        <v>46108</v>
      </c>
      <c r="B304" s="14" t="str">
        <f>'[1]2026 Orders'!B305</f>
        <v>Greece</v>
      </c>
      <c r="C304" s="14" t="str">
        <f>'[1]2026 Orders'!C305</f>
        <v>A4674</v>
      </c>
      <c r="D304" s="14">
        <f>'[1]2026 Orders'!D305</f>
        <v>0</v>
      </c>
      <c r="E304" s="17" t="str" cm="1">
        <f t="array" ref="E304">IF(C304=0,"",
HYPERLINK(
"#'2026 Orders'!C"&amp;
MATCH(1,
('2026 Orders'!C:C=C304)*
('2026 Orders'!G:G=G304)*
('2026 Orders'!N:N=N304),
0),
"Open "&amp;C304
))</f>
        <v>Open A4674</v>
      </c>
      <c r="F304" s="14">
        <f>'[1]2026 Orders'!F305</f>
        <v>0</v>
      </c>
      <c r="G304" s="14" t="str">
        <f>'[1]2026 Orders'!G305</f>
        <v>XTRAD10-60-CS-GR</v>
      </c>
      <c r="H304" s="14" t="str" cm="1">
        <f t="array" ref="H304">IFERROR(_xlfn.TEXTJOIN("-",,INDEX(_xlfn.TEXTSPLIT(TableGive[[#This Row],[SKU]],"-"),{1,2})),"")</f>
        <v>XTRAD10-60</v>
      </c>
      <c r="I304" s="15" t="str">
        <f>IFERROR(_xlfn.TEXTAFTER(TableGive[[#This Row],[SKU]],"-",-1),"")</f>
        <v>GR</v>
      </c>
      <c r="J304" s="14">
        <f>'[1]2026 Orders'!H305</f>
        <v>96</v>
      </c>
      <c r="K304" t="str">
        <f>'[1]2026 Orders'!I305</f>
        <v>GR76-25.0</v>
      </c>
      <c r="L304">
        <f>'[1]2026 Orders'!J305</f>
        <v>96</v>
      </c>
      <c r="N304" s="10" t="str">
        <f>'[1]2026 Orders'!L305</f>
        <v>D/W Sent</v>
      </c>
      <c r="O304">
        <f>'[1]2026 Orders'!M305</f>
        <v>0</v>
      </c>
      <c r="P304" t="str">
        <f>'[1]2026 Orders'!N305</f>
        <v>NA</v>
      </c>
      <c r="Q304">
        <f>'[1]2026 Orders'!O305</f>
        <v>604776736882</v>
      </c>
      <c r="R304">
        <f>'[1]2026 Orders'!P305</f>
        <v>0</v>
      </c>
      <c r="S304">
        <f>'[1]2026 Orders'!Q305</f>
        <v>0</v>
      </c>
      <c r="T304">
        <f>'[1]2026 Orders'!R305</f>
        <v>0</v>
      </c>
      <c r="U304">
        <f>'[1]2026 Orders'!S305</f>
        <v>0</v>
      </c>
      <c r="V304">
        <f>'[1]2026 Orders'!T305</f>
        <v>0</v>
      </c>
      <c r="W304">
        <f>'[1]2026 Orders'!U305</f>
        <v>0</v>
      </c>
      <c r="X304">
        <f>'[1]2026 Orders'!V305</f>
        <v>0</v>
      </c>
      <c r="Y304">
        <f>'[1]2026 Orders'!W305</f>
        <v>0</v>
      </c>
      <c r="Z304">
        <f>'[1]2026 Orders'!X305</f>
        <v>0</v>
      </c>
      <c r="AC304" t="str">
        <f t="shared" si="8"/>
        <v>/96</v>
      </c>
      <c r="AD304" t="e">
        <f t="shared" si="9"/>
        <v>#VALUE!</v>
      </c>
    </row>
    <row r="305" spans="1:30" ht="33" hidden="1" customHeight="1" x14ac:dyDescent="0.3">
      <c r="A305">
        <f>'[1]2026 Orders'!A306</f>
        <v>46108</v>
      </c>
      <c r="B305" s="14" t="str">
        <f>'[1]2026 Orders'!B306</f>
        <v>Greece</v>
      </c>
      <c r="C305" s="14" t="str">
        <f>'[1]2026 Orders'!C306</f>
        <v>A4674</v>
      </c>
      <c r="D305" s="14">
        <f>'[1]2026 Orders'!D306</f>
        <v>0</v>
      </c>
      <c r="E305" s="17" t="str" cm="1">
        <f t="array" ref="E305">IF(C305=0,"",
HYPERLINK(
"#'2026 Orders'!C"&amp;
MATCH(1,
('2026 Orders'!C:C=C305)*
('2026 Orders'!G:G=G305)*
('2026 Orders'!N:N=N305),
0),
"Open "&amp;C305
))</f>
        <v>Open A4674</v>
      </c>
      <c r="F305" s="14">
        <f>'[1]2026 Orders'!F306</f>
        <v>0</v>
      </c>
      <c r="G305" s="14" t="str">
        <f>'[1]2026 Orders'!G306</f>
        <v>PENAMAX-60-GE-CS-GR</v>
      </c>
      <c r="H305" s="14" t="str" cm="1">
        <f t="array" ref="H305">IFERROR(_xlfn.TEXTJOIN("-",,INDEX(_xlfn.TEXTSPLIT(TableGive[[#This Row],[SKU]],"-"),{1,2})),"")</f>
        <v>PENAMAX-60</v>
      </c>
      <c r="I305" s="15" t="str">
        <f>IFERROR(_xlfn.TEXTAFTER(TableGive[[#This Row],[SKU]],"-",-1),"")</f>
        <v>GR</v>
      </c>
      <c r="J305" s="14">
        <f>'[1]2026 Orders'!H306</f>
        <v>228</v>
      </c>
      <c r="K305" t="str">
        <f>'[1]2026 Orders'!I306</f>
        <v>GR88-25.0</v>
      </c>
      <c r="L305">
        <f>'[1]2026 Orders'!J306</f>
        <v>228</v>
      </c>
      <c r="N305" s="10" t="str">
        <f>'[1]2026 Orders'!L306</f>
        <v>D/W Sent</v>
      </c>
      <c r="O305">
        <f>'[1]2026 Orders'!M306</f>
        <v>0</v>
      </c>
      <c r="P305" t="str">
        <f>'[1]2026 Orders'!N306</f>
        <v>Y</v>
      </c>
      <c r="Q305">
        <f>'[1]2026 Orders'!O306</f>
        <v>604776736905</v>
      </c>
      <c r="R305">
        <f>'[1]2026 Orders'!P306</f>
        <v>0</v>
      </c>
      <c r="S305">
        <f>'[1]2026 Orders'!Q306</f>
        <v>0</v>
      </c>
      <c r="T305">
        <f>'[1]2026 Orders'!R306</f>
        <v>0</v>
      </c>
      <c r="U305">
        <f>'[1]2026 Orders'!S306</f>
        <v>0</v>
      </c>
      <c r="V305">
        <f>'[1]2026 Orders'!T306</f>
        <v>0</v>
      </c>
      <c r="W305">
        <f>'[1]2026 Orders'!U306</f>
        <v>0</v>
      </c>
      <c r="X305">
        <f>'[1]2026 Orders'!V306</f>
        <v>0</v>
      </c>
      <c r="Y305">
        <f>'[1]2026 Orders'!W306</f>
        <v>0</v>
      </c>
      <c r="Z305">
        <f>'[1]2026 Orders'!X306</f>
        <v>0</v>
      </c>
      <c r="AC305" t="str">
        <f t="shared" si="8"/>
        <v>/228</v>
      </c>
      <c r="AD305" t="e">
        <f t="shared" si="9"/>
        <v>#VALUE!</v>
      </c>
    </row>
    <row r="306" spans="1:30" ht="33" hidden="1" customHeight="1" x14ac:dyDescent="0.3">
      <c r="A306">
        <f>'[1]2026 Orders'!A307</f>
        <v>0</v>
      </c>
      <c r="B306" s="14">
        <f>'[1]2026 Orders'!B307</f>
        <v>0</v>
      </c>
      <c r="C306" s="14">
        <f>'[1]2026 Orders'!C307</f>
        <v>0</v>
      </c>
      <c r="D306" s="14">
        <f>'[1]2026 Orders'!D307</f>
        <v>0</v>
      </c>
      <c r="E306" s="17" t="str" cm="1">
        <f t="array" ref="E306">IF(C306=0,"",
HYPERLINK(
"#'2026 Orders'!C"&amp;
MATCH(1,
('2026 Orders'!C:C=C306)*
('2026 Orders'!G:G=G306)*
('2026 Orders'!N:N=N306),
0),
"Open "&amp;C306
))</f>
        <v/>
      </c>
      <c r="F306" s="14">
        <f>'[1]2026 Orders'!F307</f>
        <v>0</v>
      </c>
      <c r="G306" s="14">
        <f>'[1]2026 Orders'!G307</f>
        <v>0</v>
      </c>
      <c r="H306" s="14" t="str" cm="1">
        <f t="array" ref="H306">IFERROR(_xlfn.TEXTJOIN("-",,INDEX(_xlfn.TEXTSPLIT(TableGive[[#This Row],[SKU]],"-"),{1,2})),"")</f>
        <v/>
      </c>
      <c r="I306" s="15" t="str">
        <f>IFERROR(_xlfn.TEXTAFTER(TableGive[[#This Row],[SKU]],"-",-1),"")</f>
        <v/>
      </c>
      <c r="J306" s="14">
        <f>'[1]2026 Orders'!H307</f>
        <v>0</v>
      </c>
      <c r="K306">
        <f>'[1]2026 Orders'!I307</f>
        <v>0</v>
      </c>
      <c r="L306">
        <f>'[1]2026 Orders'!J307</f>
        <v>0</v>
      </c>
      <c r="N306" s="10">
        <f>'[1]2026 Orders'!L307</f>
        <v>0</v>
      </c>
      <c r="O306">
        <f>'[1]2026 Orders'!M307</f>
        <v>0</v>
      </c>
      <c r="P306">
        <f>'[1]2026 Orders'!N307</f>
        <v>0</v>
      </c>
      <c r="Q306">
        <f>'[1]2026 Orders'!O307</f>
        <v>0</v>
      </c>
      <c r="R306">
        <f>'[1]2026 Orders'!P307</f>
        <v>0</v>
      </c>
      <c r="S306">
        <f>'[1]2026 Orders'!Q307</f>
        <v>0</v>
      </c>
      <c r="T306">
        <f>'[1]2026 Orders'!R307</f>
        <v>0</v>
      </c>
      <c r="U306">
        <f>'[1]2026 Orders'!S307</f>
        <v>0</v>
      </c>
      <c r="V306">
        <f>'[1]2026 Orders'!T307</f>
        <v>0</v>
      </c>
      <c r="W306">
        <f>'[1]2026 Orders'!U307</f>
        <v>0</v>
      </c>
      <c r="X306">
        <f>'[1]2026 Orders'!V307</f>
        <v>0</v>
      </c>
      <c r="Y306">
        <f>'[1]2026 Orders'!W307</f>
        <v>0</v>
      </c>
      <c r="Z306">
        <f>'[1]2026 Orders'!X307</f>
        <v>0</v>
      </c>
      <c r="AC306" t="str">
        <f t="shared" si="8"/>
        <v/>
      </c>
      <c r="AD306" t="str">
        <f t="shared" si="9"/>
        <v/>
      </c>
    </row>
    <row r="307" spans="1:30" ht="33" hidden="1" customHeight="1" x14ac:dyDescent="0.3">
      <c r="A307">
        <f>'[1]2026 Orders'!A308</f>
        <v>46108</v>
      </c>
      <c r="B307" s="14" t="str">
        <f>'[1]2026 Orders'!B308</f>
        <v>Cyprus</v>
      </c>
      <c r="C307" s="14" t="str">
        <f>'[1]2026 Orders'!C308</f>
        <v>A4676</v>
      </c>
      <c r="D307" s="14">
        <f>'[1]2026 Orders'!D308</f>
        <v>0</v>
      </c>
      <c r="E307" s="17" t="str" cm="1">
        <f t="array" ref="E307">IF(C307=0,"",
HYPERLINK(
"#'2026 Orders'!C"&amp;
MATCH(1,
('2026 Orders'!C:C=C307)*
('2026 Orders'!G:G=G307)*
('2026 Orders'!N:N=N307),
0),
"Open "&amp;C307
))</f>
        <v>Open A4676</v>
      </c>
      <c r="F307" s="14" t="str">
        <f>'[1]2026 Orders'!F308</f>
        <v>6/1/2026: Allocating 528 pcs from Ethiopia A4591.</v>
      </c>
      <c r="G307" s="14" t="str">
        <f>'[1]2026 Orders'!G308</f>
        <v>FERTNOM-90-CS-CY</v>
      </c>
      <c r="H307" s="14" t="str" cm="1">
        <f t="array" ref="H307">IFERROR(_xlfn.TEXTJOIN("-",,INDEX(_xlfn.TEXTSPLIT(TableGive[[#This Row],[SKU]],"-"),{1,2})),"")</f>
        <v>FERTNOM-90</v>
      </c>
      <c r="I307" s="15" t="str">
        <f>IFERROR(_xlfn.TEXTAFTER(TableGive[[#This Row],[SKU]],"-",-1),"")</f>
        <v>CY</v>
      </c>
      <c r="J307" s="14">
        <f>'[1]2026 Orders'!H308</f>
        <v>528</v>
      </c>
      <c r="K307" t="str">
        <f>'[1]2026 Orders'!I308</f>
        <v>CY16-25.0</v>
      </c>
      <c r="L307">
        <f>'[1]2026 Orders'!J308</f>
        <v>528</v>
      </c>
      <c r="N307" s="10" t="str">
        <f>'[1]2026 Orders'!L308</f>
        <v>Rework</v>
      </c>
      <c r="O307" t="str">
        <f>'[1]2026 Orders'!M308</f>
        <v>Need Peeling</v>
      </c>
      <c r="P307" t="str">
        <f>'[1]2026 Orders'!N308</f>
        <v>Y</v>
      </c>
      <c r="Q307">
        <f>'[1]2026 Orders'!O308</f>
        <v>604776737551</v>
      </c>
      <c r="R307">
        <f>'[1]2026 Orders'!P308</f>
        <v>5000</v>
      </c>
      <c r="S307">
        <f>'[1]2026 Orders'!Q308</f>
        <v>5041</v>
      </c>
      <c r="T307" t="str">
        <f>'[1]2026 Orders'!R308</f>
        <v>TBD</v>
      </c>
      <c r="U307" t="str">
        <f>'[1]2026 Orders'!S308</f>
        <v>Pending approval to send to vendor</v>
      </c>
      <c r="V307">
        <f>'[1]2026 Orders'!T308</f>
        <v>0</v>
      </c>
      <c r="W307">
        <f>'[1]2026 Orders'!U308</f>
        <v>0</v>
      </c>
      <c r="X307">
        <f>'[1]2026 Orders'!V308</f>
        <v>0</v>
      </c>
      <c r="Y307">
        <f>'[1]2026 Orders'!W308</f>
        <v>0</v>
      </c>
      <c r="Z307" t="str">
        <f>'[1]2026 Orders'!X308</f>
        <v>Approved</v>
      </c>
      <c r="AC307" t="str">
        <f t="shared" si="8"/>
        <v>/528</v>
      </c>
      <c r="AD307" t="e">
        <f t="shared" si="9"/>
        <v>#VALUE!</v>
      </c>
    </row>
    <row r="308" spans="1:30" ht="33" hidden="1" customHeight="1" x14ac:dyDescent="0.3">
      <c r="A308">
        <f>'[1]2026 Orders'!A309</f>
        <v>46108</v>
      </c>
      <c r="B308" s="14" t="str">
        <f>'[1]2026 Orders'!B309</f>
        <v>Cyprus</v>
      </c>
      <c r="C308" s="14" t="str">
        <f>'[1]2026 Orders'!C309</f>
        <v>A4676</v>
      </c>
      <c r="D308" s="14">
        <f>'[1]2026 Orders'!D309</f>
        <v>0</v>
      </c>
      <c r="E308" s="17" t="str" cm="1">
        <f t="array" ref="E308">IF(C308=0,"",
HYPERLINK(
"#'2026 Orders'!C"&amp;
MATCH(1,
('2026 Orders'!C:C=C308)*
('2026 Orders'!G:G=G308)*
('2026 Orders'!N:N=N308),
0),
"Open "&amp;C308
))</f>
        <v>Open A4676</v>
      </c>
      <c r="F308" s="14" t="str">
        <f>'[1]2026 Orders'!F309</f>
        <v>MFS Plus capsules blistered              5/26/26: Allocating from Greece A4547.</v>
      </c>
      <c r="G308" s="14" t="str">
        <f>'[1]2026 Orders'!G309</f>
        <v>MFSADV-120-CS-GR</v>
      </c>
      <c r="H308" s="14" t="str" cm="1">
        <f t="array" ref="H308">IFERROR(_xlfn.TEXTJOIN("-",,INDEX(_xlfn.TEXTSPLIT(TableGive[[#This Row],[SKU]],"-"),{1,2})),"")</f>
        <v>MFSADV-120</v>
      </c>
      <c r="I308" s="15" t="str">
        <f>IFERROR(_xlfn.TEXTAFTER(TableGive[[#This Row],[SKU]],"-",-1),"")</f>
        <v>GR</v>
      </c>
      <c r="J308" s="14">
        <f>'[1]2026 Orders'!H309</f>
        <v>576</v>
      </c>
      <c r="K308" t="str">
        <f>'[1]2026 Orders'!I309</f>
        <v>GR87-25.0</v>
      </c>
      <c r="L308">
        <f>'[1]2026 Orders'!J309</f>
        <v>576</v>
      </c>
      <c r="N308" s="10" t="str">
        <f>'[1]2026 Orders'!L309</f>
        <v>Picked</v>
      </c>
      <c r="O308">
        <f>'[1]2026 Orders'!M309</f>
        <v>0</v>
      </c>
      <c r="P308" t="str">
        <f>'[1]2026 Orders'!N309</f>
        <v>Y</v>
      </c>
      <c r="Q308">
        <f>'[1]2026 Orders'!O309</f>
        <v>604776739272</v>
      </c>
      <c r="R308">
        <f>'[1]2026 Orders'!P309</f>
        <v>300000</v>
      </c>
      <c r="S308">
        <f>'[1]2026 Orders'!Q309</f>
        <v>5064</v>
      </c>
      <c r="T308" t="str">
        <f>'[1]2026 Orders'!R309</f>
        <v>TBD</v>
      </c>
      <c r="U308" t="str">
        <f>'[1]2026 Orders'!S309</f>
        <v>Bulk PO submitted, waiting for vendor ETA</v>
      </c>
      <c r="V308">
        <f>'[1]2026 Orders'!T309</f>
        <v>0</v>
      </c>
      <c r="W308">
        <f>'[1]2026 Orders'!U309</f>
        <v>0</v>
      </c>
      <c r="X308">
        <f>'[1]2026 Orders'!V309</f>
        <v>0</v>
      </c>
      <c r="Y308">
        <f>'[1]2026 Orders'!W309</f>
        <v>0</v>
      </c>
      <c r="Z308">
        <f>'[1]2026 Orders'!X309</f>
        <v>0</v>
      </c>
      <c r="AC308" t="str">
        <f t="shared" si="8"/>
        <v>/576</v>
      </c>
      <c r="AD308" t="e">
        <f t="shared" si="9"/>
        <v>#VALUE!</v>
      </c>
    </row>
    <row r="309" spans="1:30" ht="33" hidden="1" customHeight="1" x14ac:dyDescent="0.3">
      <c r="A309">
        <f>'[1]2026 Orders'!A310</f>
        <v>46108</v>
      </c>
      <c r="B309" s="14" t="str">
        <f>'[1]2026 Orders'!B310</f>
        <v>Cyprus</v>
      </c>
      <c r="C309" s="14" t="str">
        <f>'[1]2026 Orders'!C310</f>
        <v>A4676</v>
      </c>
      <c r="D309" s="14">
        <f>'[1]2026 Orders'!D310</f>
        <v>0</v>
      </c>
      <c r="E309" s="17" t="str" cm="1">
        <f t="array" ref="E309">IF(C309=0,"",
HYPERLINK(
"#'2026 Orders'!C"&amp;
MATCH(1,
('2026 Orders'!C:C=C309)*
('2026 Orders'!G:G=G309)*
('2026 Orders'!N:N=N309),
0),
"Open "&amp;C309
))</f>
        <v>Open A4676</v>
      </c>
      <c r="F309" s="14">
        <f>'[1]2026 Orders'!F310</f>
        <v>0</v>
      </c>
      <c r="G309" s="14" t="str">
        <f>'[1]2026 Orders'!G310</f>
        <v>MOTILMX-60-CS-GR</v>
      </c>
      <c r="H309" s="14" t="str" cm="1">
        <f t="array" ref="H309">IFERROR(_xlfn.TEXTJOIN("-",,INDEX(_xlfn.TEXTSPLIT(TableGive[[#This Row],[SKU]],"-"),{1,2})),"")</f>
        <v>MOTILMX-60</v>
      </c>
      <c r="I309" s="15" t="str">
        <f>IFERROR(_xlfn.TEXTAFTER(TableGive[[#This Row],[SKU]],"-",-1),"")</f>
        <v>GR</v>
      </c>
      <c r="J309" s="14">
        <f>'[1]2026 Orders'!H310</f>
        <v>120</v>
      </c>
      <c r="K309" t="str">
        <f>'[1]2026 Orders'!I310</f>
        <v>GR31-25.0</v>
      </c>
      <c r="L309">
        <f>'[1]2026 Orders'!J310</f>
        <v>120</v>
      </c>
      <c r="N309" s="10" t="str">
        <f>'[1]2026 Orders'!L310</f>
        <v>Picked</v>
      </c>
      <c r="O309">
        <f>'[1]2026 Orders'!M310</f>
        <v>0</v>
      </c>
      <c r="P309" t="str">
        <f>'[1]2026 Orders'!N310</f>
        <v>NA</v>
      </c>
      <c r="Q309">
        <f>'[1]2026 Orders'!O310</f>
        <v>604776736998</v>
      </c>
      <c r="R309">
        <f>'[1]2026 Orders'!P310</f>
        <v>0</v>
      </c>
      <c r="S309">
        <f>'[1]2026 Orders'!Q310</f>
        <v>0</v>
      </c>
      <c r="T309">
        <f>'[1]2026 Orders'!R310</f>
        <v>0</v>
      </c>
      <c r="U309">
        <f>'[1]2026 Orders'!S310</f>
        <v>0</v>
      </c>
      <c r="V309">
        <f>'[1]2026 Orders'!T310</f>
        <v>0</v>
      </c>
      <c r="W309">
        <f>'[1]2026 Orders'!U310</f>
        <v>0</v>
      </c>
      <c r="X309">
        <f>'[1]2026 Orders'!V310</f>
        <v>0</v>
      </c>
      <c r="Y309">
        <f>'[1]2026 Orders'!W310</f>
        <v>0</v>
      </c>
      <c r="Z309">
        <f>'[1]2026 Orders'!X310</f>
        <v>0</v>
      </c>
      <c r="AC309" t="str">
        <f t="shared" si="8"/>
        <v>/120</v>
      </c>
      <c r="AD309" t="e">
        <f t="shared" si="9"/>
        <v>#VALUE!</v>
      </c>
    </row>
    <row r="310" spans="1:30" ht="33" hidden="1" customHeight="1" x14ac:dyDescent="0.3">
      <c r="A310">
        <f>'[1]2026 Orders'!A311</f>
        <v>0</v>
      </c>
      <c r="B310" s="14">
        <f>'[1]2026 Orders'!B311</f>
        <v>0</v>
      </c>
      <c r="C310" s="14">
        <f>'[1]2026 Orders'!C311</f>
        <v>0</v>
      </c>
      <c r="D310" s="14">
        <f>'[1]2026 Orders'!D311</f>
        <v>0</v>
      </c>
      <c r="E310" s="17" t="str" cm="1">
        <f t="array" ref="E310">IF(C310=0,"",
HYPERLINK(
"#'2026 Orders'!C"&amp;
MATCH(1,
('2026 Orders'!C:C=C310)*
('2026 Orders'!G:G=G310)*
('2026 Orders'!N:N=N310),
0),
"Open "&amp;C310
))</f>
        <v/>
      </c>
      <c r="F310" s="14">
        <f>'[1]2026 Orders'!F311</f>
        <v>0</v>
      </c>
      <c r="G310" s="14">
        <f>'[1]2026 Orders'!G311</f>
        <v>0</v>
      </c>
      <c r="H310" s="14" t="str" cm="1">
        <f t="array" ref="H310">IFERROR(_xlfn.TEXTJOIN("-",,INDEX(_xlfn.TEXTSPLIT(TableGive[[#This Row],[SKU]],"-"),{1,2})),"")</f>
        <v/>
      </c>
      <c r="I310" s="15" t="str">
        <f>IFERROR(_xlfn.TEXTAFTER(TableGive[[#This Row],[SKU]],"-",-1),"")</f>
        <v/>
      </c>
      <c r="J310" s="14">
        <f>'[1]2026 Orders'!H311</f>
        <v>0</v>
      </c>
      <c r="K310">
        <f>'[1]2026 Orders'!I311</f>
        <v>0</v>
      </c>
      <c r="L310">
        <f>'[1]2026 Orders'!J311</f>
        <v>0</v>
      </c>
      <c r="N310" s="10">
        <f>'[1]2026 Orders'!L311</f>
        <v>0</v>
      </c>
      <c r="O310">
        <f>'[1]2026 Orders'!M311</f>
        <v>0</v>
      </c>
      <c r="P310">
        <f>'[1]2026 Orders'!N311</f>
        <v>0</v>
      </c>
      <c r="Q310">
        <f>'[1]2026 Orders'!O311</f>
        <v>0</v>
      </c>
      <c r="R310">
        <f>'[1]2026 Orders'!P311</f>
        <v>0</v>
      </c>
      <c r="S310">
        <f>'[1]2026 Orders'!Q311</f>
        <v>0</v>
      </c>
      <c r="T310">
        <f>'[1]2026 Orders'!R311</f>
        <v>0</v>
      </c>
      <c r="U310">
        <f>'[1]2026 Orders'!S311</f>
        <v>0</v>
      </c>
      <c r="V310">
        <f>'[1]2026 Orders'!T311</f>
        <v>0</v>
      </c>
      <c r="W310">
        <f>'[1]2026 Orders'!U311</f>
        <v>0</v>
      </c>
      <c r="X310">
        <f>'[1]2026 Orders'!V311</f>
        <v>0</v>
      </c>
      <c r="Y310">
        <f>'[1]2026 Orders'!W311</f>
        <v>0</v>
      </c>
      <c r="Z310">
        <f>'[1]2026 Orders'!X311</f>
        <v>0</v>
      </c>
      <c r="AC310" t="str">
        <f t="shared" si="8"/>
        <v/>
      </c>
      <c r="AD310" t="str">
        <f t="shared" si="9"/>
        <v/>
      </c>
    </row>
    <row r="311" spans="1:30" ht="33" hidden="1" customHeight="1" x14ac:dyDescent="0.3">
      <c r="A311">
        <f>'[1]2026 Orders'!A312</f>
        <v>46113</v>
      </c>
      <c r="B311" s="14" t="str">
        <f>'[1]2026 Orders'!B312</f>
        <v>China</v>
      </c>
      <c r="C311" s="14" t="str">
        <f>'[1]2026 Orders'!C312</f>
        <v>A4681</v>
      </c>
      <c r="D311" s="14" t="str">
        <f>'[1]2026 Orders'!D312</f>
        <v>4/2/2026: Proforma Approved.</v>
      </c>
      <c r="E311" s="17" t="str" cm="1">
        <f t="array" ref="E311">IF(C311=0,"",
HYPERLINK(
"#'2026 Orders'!C"&amp;
MATCH(1,
('2026 Orders'!C:C=C311)*
('2026 Orders'!G:G=G311)*
('2026 Orders'!N:N=N311),
0),
"Open "&amp;C311
))</f>
        <v>Open A4681</v>
      </c>
      <c r="F311" s="14">
        <f>'[1]2026 Orders'!F312</f>
        <v>0</v>
      </c>
      <c r="G311" s="14" t="str">
        <f>'[1]2026 Orders'!G312</f>
        <v>OME369-90-FD</v>
      </c>
      <c r="H311" s="14" t="str" cm="1">
        <f t="array" ref="H311">IFERROR(_xlfn.TEXTJOIN("-",,INDEX(_xlfn.TEXTSPLIT(TableGive[[#This Row],[SKU]],"-"),{1,2})),"")</f>
        <v>OME369-90</v>
      </c>
      <c r="I311" s="15" t="str">
        <f>IFERROR(_xlfn.TEXTAFTER(TableGive[[#This Row],[SKU]],"-",-1),"")</f>
        <v>FD</v>
      </c>
      <c r="J311" s="14">
        <f>'[1]2026 Orders'!H312</f>
        <v>192</v>
      </c>
      <c r="K311" t="str">
        <f>'[1]2026 Orders'!I312</f>
        <v>F36-22.1</v>
      </c>
      <c r="L311">
        <f>'[1]2026 Orders'!J312</f>
        <v>192</v>
      </c>
      <c r="N311" s="10" t="str">
        <f>'[1]2026 Orders'!L312</f>
        <v>D/W Sent</v>
      </c>
      <c r="O311">
        <f>'[1]2026 Orders'!M312</f>
        <v>46119</v>
      </c>
      <c r="P311" t="str">
        <f>'[1]2026 Orders'!N312</f>
        <v>Y</v>
      </c>
      <c r="Q311" t="str">
        <f>'[1]2026 Orders'!O312</f>
        <v>609788968511</v>
      </c>
      <c r="R311">
        <f>'[1]2026 Orders'!P312</f>
        <v>0</v>
      </c>
      <c r="S311">
        <f>'[1]2026 Orders'!Q312</f>
        <v>0</v>
      </c>
      <c r="T311">
        <f>'[1]2026 Orders'!R312</f>
        <v>0</v>
      </c>
      <c r="U311">
        <f>'[1]2026 Orders'!S312</f>
        <v>0</v>
      </c>
      <c r="V311">
        <f>'[1]2026 Orders'!T312</f>
        <v>0</v>
      </c>
      <c r="W311">
        <f>'[1]2026 Orders'!U312</f>
        <v>0</v>
      </c>
      <c r="X311">
        <f>'[1]2026 Orders'!V312</f>
        <v>0</v>
      </c>
      <c r="Y311">
        <f>'[1]2026 Orders'!W312</f>
        <v>0</v>
      </c>
      <c r="Z311" t="str">
        <f>'[1]2026 Orders'!X312</f>
        <v>Approved</v>
      </c>
      <c r="AC311" t="str">
        <f t="shared" si="8"/>
        <v>/192</v>
      </c>
      <c r="AD311" t="e">
        <f t="shared" si="9"/>
        <v>#VALUE!</v>
      </c>
    </row>
    <row r="312" spans="1:30" ht="33" hidden="1" customHeight="1" x14ac:dyDescent="0.3">
      <c r="A312">
        <f>'[1]2026 Orders'!A313</f>
        <v>0</v>
      </c>
      <c r="B312" s="14">
        <f>'[1]2026 Orders'!B313</f>
        <v>0</v>
      </c>
      <c r="C312" s="14">
        <f>'[1]2026 Orders'!C313</f>
        <v>0</v>
      </c>
      <c r="D312" s="14">
        <f>'[1]2026 Orders'!D313</f>
        <v>0</v>
      </c>
      <c r="E312" s="17" t="str" cm="1">
        <f t="array" ref="E312">IF(C312=0,"",
HYPERLINK(
"#'2026 Orders'!C"&amp;
MATCH(1,
('2026 Orders'!C:C=C312)*
('2026 Orders'!G:G=G312)*
('2026 Orders'!N:N=N312),
0),
"Open "&amp;C312
))</f>
        <v/>
      </c>
      <c r="F312" s="14">
        <f>'[1]2026 Orders'!F313</f>
        <v>0</v>
      </c>
      <c r="G312" s="14">
        <f>'[1]2026 Orders'!G313</f>
        <v>0</v>
      </c>
      <c r="H312" s="14" t="str" cm="1">
        <f t="array" ref="H312">IFERROR(_xlfn.TEXTJOIN("-",,INDEX(_xlfn.TEXTSPLIT(TableGive[[#This Row],[SKU]],"-"),{1,2})),"")</f>
        <v/>
      </c>
      <c r="I312" s="15" t="str">
        <f>IFERROR(_xlfn.TEXTAFTER(TableGive[[#This Row],[SKU]],"-",-1),"")</f>
        <v/>
      </c>
      <c r="J312" s="14">
        <f>'[1]2026 Orders'!H313</f>
        <v>0</v>
      </c>
      <c r="K312">
        <f>'[1]2026 Orders'!I313</f>
        <v>0</v>
      </c>
      <c r="L312">
        <f>'[1]2026 Orders'!J313</f>
        <v>0</v>
      </c>
      <c r="N312" s="10">
        <f>'[1]2026 Orders'!L313</f>
        <v>0</v>
      </c>
      <c r="O312">
        <f>'[1]2026 Orders'!M313</f>
        <v>0</v>
      </c>
      <c r="P312">
        <f>'[1]2026 Orders'!N313</f>
        <v>0</v>
      </c>
      <c r="Q312">
        <f>'[1]2026 Orders'!O313</f>
        <v>0</v>
      </c>
      <c r="R312">
        <f>'[1]2026 Orders'!P313</f>
        <v>0</v>
      </c>
      <c r="S312">
        <f>'[1]2026 Orders'!Q313</f>
        <v>0</v>
      </c>
      <c r="T312">
        <f>'[1]2026 Orders'!R313</f>
        <v>0</v>
      </c>
      <c r="U312">
        <f>'[1]2026 Orders'!S313</f>
        <v>0</v>
      </c>
      <c r="V312">
        <f>'[1]2026 Orders'!T313</f>
        <v>0</v>
      </c>
      <c r="W312">
        <f>'[1]2026 Orders'!U313</f>
        <v>0</v>
      </c>
      <c r="X312">
        <f>'[1]2026 Orders'!V313</f>
        <v>0</v>
      </c>
      <c r="Y312">
        <f>'[1]2026 Orders'!W313</f>
        <v>0</v>
      </c>
      <c r="Z312">
        <f>'[1]2026 Orders'!X313</f>
        <v>0</v>
      </c>
      <c r="AC312" t="str">
        <f t="shared" si="8"/>
        <v/>
      </c>
      <c r="AD312" t="str">
        <f t="shared" si="9"/>
        <v/>
      </c>
    </row>
    <row r="313" spans="1:30" ht="33" hidden="1" customHeight="1" x14ac:dyDescent="0.3">
      <c r="A313">
        <f>'[1]2026 Orders'!A314</f>
        <v>46114</v>
      </c>
      <c r="B313" s="14" t="str">
        <f>'[1]2026 Orders'!B314</f>
        <v>Egypt</v>
      </c>
      <c r="C313" s="14" t="str">
        <f>'[1]2026 Orders'!C314</f>
        <v>A4683</v>
      </c>
      <c r="D313" s="14" t="str">
        <f>'[1]2026 Orders'!D314</f>
        <v xml:space="preserve">4/7/2026: Pro Forma Invoice approved.                          </v>
      </c>
      <c r="E313" s="17" t="str" cm="1">
        <f t="array" ref="E313">IF(C313=0,"",
HYPERLINK(
"#'2026 Orders'!C"&amp;
MATCH(1,
('2026 Orders'!C:C=C313)*
('2026 Orders'!G:G=G313)*
('2026 Orders'!N:N=N313),
0),
"Open "&amp;C313
))</f>
        <v>Open A4683</v>
      </c>
      <c r="F313" s="14" t="str">
        <f>'[1]2026 Orders'!F314</f>
        <v> 5/11/2026: UPC updated.
5/21/2026: Allocating 817 pcs from Ethiopia A4591, + 240 pcs from Uganda A4574. Reducing quantity on this order to 1057 pcs - remaining 2093 pcs will move to Backorder.</v>
      </c>
      <c r="G313" s="14" t="str">
        <f>'[1]2026 Orders'!G314</f>
        <v>MFSPLS-120-CS-EG</v>
      </c>
      <c r="H313" s="14" t="str" cm="1">
        <f t="array" ref="H313">IFERROR(_xlfn.TEXTJOIN("-",,INDEX(_xlfn.TEXTSPLIT(TableGive[[#This Row],[SKU]],"-"),{1,2})),"")</f>
        <v>MFSPLS-120</v>
      </c>
      <c r="I313" s="15" t="str">
        <f>IFERROR(_xlfn.TEXTAFTER(TableGive[[#This Row],[SKU]],"-",-1),"")</f>
        <v>EG</v>
      </c>
      <c r="J313" s="14">
        <f>'[1]2026 Orders'!H314</f>
        <v>1057</v>
      </c>
      <c r="K313" t="str">
        <f>'[1]2026 Orders'!I314</f>
        <v>EG30-26.0</v>
      </c>
      <c r="L313">
        <f>'[1]2026 Orders'!J314</f>
        <v>1057</v>
      </c>
      <c r="N313" s="10" t="str">
        <f>'[1]2026 Orders'!L314</f>
        <v>Picked</v>
      </c>
      <c r="O313">
        <f>'[1]2026 Orders'!M314</f>
        <v>0</v>
      </c>
      <c r="P313" t="str">
        <f>'[1]2026 Orders'!N314</f>
        <v>NA</v>
      </c>
      <c r="Q313">
        <f>'[1]2026 Orders'!O314</f>
        <v>810131193799</v>
      </c>
      <c r="R313">
        <f>'[1]2026 Orders'!P314</f>
        <v>0</v>
      </c>
      <c r="S313">
        <f>'[1]2026 Orders'!Q314</f>
        <v>0</v>
      </c>
      <c r="T313">
        <f>'[1]2026 Orders'!R314</f>
        <v>0</v>
      </c>
      <c r="U313">
        <f>'[1]2026 Orders'!S314</f>
        <v>0</v>
      </c>
      <c r="V313" t="str">
        <f>'[1]2026 Orders'!T314</f>
        <v> </v>
      </c>
      <c r="W313" t="str">
        <f>'[1]2026 Orders'!U314</f>
        <v> </v>
      </c>
      <c r="X313" t="str">
        <f>'[1]2026 Orders'!V314</f>
        <v> </v>
      </c>
      <c r="Y313" t="str">
        <f>'[1]2026 Orders'!W314</f>
        <v> </v>
      </c>
      <c r="Z313" t="str">
        <f>'[1]2026 Orders'!X314</f>
        <v>Approved</v>
      </c>
      <c r="AC313" t="str">
        <f t="shared" si="8"/>
        <v>/1057</v>
      </c>
      <c r="AD313" t="e">
        <f t="shared" si="9"/>
        <v>#VALUE!</v>
      </c>
    </row>
    <row r="314" spans="1:30" ht="33" hidden="1" customHeight="1" x14ac:dyDescent="0.3">
      <c r="A314">
        <f>'[1]2026 Orders'!A315</f>
        <v>46114</v>
      </c>
      <c r="B314" s="14" t="str">
        <f>'[1]2026 Orders'!B315</f>
        <v>Egypt</v>
      </c>
      <c r="C314" s="14" t="str">
        <f>'[1]2026 Orders'!C315</f>
        <v>A4683</v>
      </c>
      <c r="D314" s="14" t="str">
        <f>'[1]2026 Orders'!D315</f>
        <v> </v>
      </c>
      <c r="E314" s="17" t="str" cm="1">
        <f t="array" ref="E314">IF(C314=0,"",
HYPERLINK(
"#'2026 Orders'!C"&amp;
MATCH(1,
('2026 Orders'!C:C=C314)*
('2026 Orders'!G:G=G314)*
('2026 Orders'!N:N=N314),
0),
"Open "&amp;C314
))</f>
        <v>Open A4683</v>
      </c>
      <c r="F314" s="14" t="str">
        <f>'[1]2026 Orders'!F315</f>
        <v> 5/11/2026: UPC updated.</v>
      </c>
      <c r="G314" s="14" t="str">
        <f>'[1]2026 Orders'!G315</f>
        <v>WFSPLS-180-CS-EG</v>
      </c>
      <c r="H314" s="14" t="str" cm="1">
        <f t="array" ref="H314">IFERROR(_xlfn.TEXTJOIN("-",,INDEX(_xlfn.TEXTSPLIT(TableGive[[#This Row],[SKU]],"-"),{1,2})),"")</f>
        <v>WFSPLS-180</v>
      </c>
      <c r="I314" s="15" t="str">
        <f>IFERROR(_xlfn.TEXTAFTER(TableGive[[#This Row],[SKU]],"-",-1),"")</f>
        <v>EG</v>
      </c>
      <c r="J314" s="14">
        <f>'[1]2026 Orders'!H315</f>
        <v>2100</v>
      </c>
      <c r="K314" t="str">
        <f>'[1]2026 Orders'!I315</f>
        <v>EG73-26.0</v>
      </c>
      <c r="L314">
        <f>'[1]2026 Orders'!J315</f>
        <v>2100</v>
      </c>
      <c r="N314" s="10" t="str">
        <f>'[1]2026 Orders'!L315</f>
        <v>Picked</v>
      </c>
      <c r="O314">
        <f>'[1]2026 Orders'!M315</f>
        <v>0</v>
      </c>
      <c r="P314" t="str">
        <f>'[1]2026 Orders'!N315</f>
        <v>NA</v>
      </c>
      <c r="Q314">
        <f>'[1]2026 Orders'!O315</f>
        <v>810131193898</v>
      </c>
      <c r="R314" t="str">
        <f>'[1]2026 Orders'!P315</f>
        <v> </v>
      </c>
      <c r="S314" t="str">
        <f>'[1]2026 Orders'!Q315</f>
        <v> </v>
      </c>
      <c r="T314" t="str">
        <f>'[1]2026 Orders'!R315</f>
        <v> </v>
      </c>
      <c r="U314" t="str">
        <f>'[1]2026 Orders'!S315</f>
        <v> </v>
      </c>
      <c r="V314" t="str">
        <f>'[1]2026 Orders'!T315</f>
        <v> </v>
      </c>
      <c r="W314" t="str">
        <f>'[1]2026 Orders'!U315</f>
        <v> </v>
      </c>
      <c r="X314" t="str">
        <f>'[1]2026 Orders'!V315</f>
        <v> </v>
      </c>
      <c r="Y314" t="str">
        <f>'[1]2026 Orders'!W315</f>
        <v> </v>
      </c>
      <c r="Z314">
        <f>'[1]2026 Orders'!X315</f>
        <v>0</v>
      </c>
      <c r="AC314" t="str">
        <f t="shared" si="8"/>
        <v>/2100</v>
      </c>
      <c r="AD314" t="e">
        <f t="shared" si="9"/>
        <v>#VALUE!</v>
      </c>
    </row>
    <row r="315" spans="1:30" ht="33" hidden="1" customHeight="1" x14ac:dyDescent="0.3">
      <c r="A315">
        <f>'[1]2026 Orders'!A316</f>
        <v>46114</v>
      </c>
      <c r="B315" s="14" t="str">
        <f>'[1]2026 Orders'!B316</f>
        <v>Egypt</v>
      </c>
      <c r="C315" s="14" t="str">
        <f>'[1]2026 Orders'!C316</f>
        <v>A4683</v>
      </c>
      <c r="D315" s="14" t="str">
        <f>'[1]2026 Orders'!D316</f>
        <v> </v>
      </c>
      <c r="E315" s="17" t="str" cm="1">
        <f t="array" ref="E315">IF(C315=0,"",
HYPERLINK(
"#'2026 Orders'!C"&amp;
MATCH(1,
('2026 Orders'!C:C=C315)*
('2026 Orders'!G:G=G315)*
('2026 Orders'!N:N=N315),
0),
"Open "&amp;C315
))</f>
        <v>Open A4683</v>
      </c>
      <c r="F315" s="14" t="str">
        <f>'[1]2026 Orders'!F316</f>
        <v> 5/11/2026: UPC updated.
5/14/2026: Allocating 192 from Uganda A4522, 200 from Uganda A4574, 1500 from Libya A4692, 1758 from Sudan A4697, and 480 from Ethiopia A4591. ~100 pcs in stock. Qty reduced from 5775 -&gt; 4230.
5/18/2026: Reserving 100pcs for Ecommerce. Reduced to 4130 pcs.</v>
      </c>
      <c r="G315" s="14" t="str">
        <f>'[1]2026 Orders'!G316</f>
        <v>OVAMAX-120-CS-EG</v>
      </c>
      <c r="H315" s="14" t="str" cm="1">
        <f t="array" ref="H315">IFERROR(_xlfn.TEXTJOIN("-",,INDEX(_xlfn.TEXTSPLIT(TableGive[[#This Row],[SKU]],"-"),{1,2})),"")</f>
        <v>OVAMAX-120</v>
      </c>
      <c r="I315" s="15" t="str">
        <f>IFERROR(_xlfn.TEXTAFTER(TableGive[[#This Row],[SKU]],"-",-1),"")</f>
        <v>EG</v>
      </c>
      <c r="J315" s="14">
        <f>'[1]2026 Orders'!H316</f>
        <v>570</v>
      </c>
      <c r="K315" t="str">
        <f>'[1]2026 Orders'!I316</f>
        <v>EG41-26.0</v>
      </c>
      <c r="L315">
        <f>'[1]2026 Orders'!J316</f>
        <v>570</v>
      </c>
      <c r="N315" s="10" t="str">
        <f>'[1]2026 Orders'!L316</f>
        <v>Picked</v>
      </c>
      <c r="O315">
        <f>'[1]2026 Orders'!M316</f>
        <v>0</v>
      </c>
      <c r="P315" t="str">
        <f>'[1]2026 Orders'!N316</f>
        <v>NA</v>
      </c>
      <c r="Q315">
        <f>'[1]2026 Orders'!O316</f>
        <v>810131193812</v>
      </c>
      <c r="R315">
        <f>'[1]2026 Orders'!P316</f>
        <v>0</v>
      </c>
      <c r="S315">
        <f>'[1]2026 Orders'!Q316</f>
        <v>4949</v>
      </c>
      <c r="T315">
        <f>'[1]2026 Orders'!R316</f>
        <v>0</v>
      </c>
      <c r="U315">
        <f>'[1]2026 Orders'!S316</f>
        <v>0</v>
      </c>
      <c r="V315" t="str">
        <f>'[1]2026 Orders'!T316</f>
        <v> </v>
      </c>
      <c r="W315" t="str">
        <f>'[1]2026 Orders'!U316</f>
        <v> </v>
      </c>
      <c r="X315" t="str">
        <f>'[1]2026 Orders'!V316</f>
        <v> </v>
      </c>
      <c r="Y315" t="str">
        <f>'[1]2026 Orders'!W316</f>
        <v> </v>
      </c>
      <c r="Z315">
        <f>'[1]2026 Orders'!X316</f>
        <v>0</v>
      </c>
      <c r="AC315" t="str">
        <f t="shared" si="8"/>
        <v>/570</v>
      </c>
      <c r="AD315" t="e">
        <f t="shared" si="9"/>
        <v>#VALUE!</v>
      </c>
    </row>
    <row r="316" spans="1:30" ht="33" hidden="1" customHeight="1" x14ac:dyDescent="0.3">
      <c r="A316">
        <f>'[1]2026 Orders'!A317</f>
        <v>46114</v>
      </c>
      <c r="B316" s="14" t="str">
        <f>'[1]2026 Orders'!B317</f>
        <v>Egypt</v>
      </c>
      <c r="C316" s="14" t="str">
        <f>'[1]2026 Orders'!C317</f>
        <v>A4683</v>
      </c>
      <c r="D316" s="14" t="str">
        <f>'[1]2026 Orders'!D317</f>
        <v> </v>
      </c>
      <c r="E316" s="17" t="str" cm="1">
        <f t="array" ref="E316">IF(C316=0,"",
HYPERLINK(
"#'2026 Orders'!C"&amp;
MATCH(1,
('2026 Orders'!C:C=C316)*
('2026 Orders'!G:G=G316)*
('2026 Orders'!N:N=N316),
0),
"Open "&amp;C316
))</f>
        <v>Open A4683</v>
      </c>
      <c r="F316" s="14" t="str">
        <f>'[1]2026 Orders'!F317</f>
        <v> 5/11/2026: UPC updated.
5/14/2026: Allocating 192 from Uganda A4522, 200 from Uganda A4574, 1500 from Libya A4692, 1758 from Sudan A4697, and 480 from Ethiopia A4591. ~100 pcs in stock. Qty reduced from 5775 -&gt; 4230.
5/18/2026: Reserving 100pcs for Ecommerce. Reduced to 4130 pcs.</v>
      </c>
      <c r="G316" s="14" t="str">
        <f>'[1]2026 Orders'!G317</f>
        <v>OVAMAX-120-CS-EG</v>
      </c>
      <c r="H316" s="14" t="str" cm="1">
        <f t="array" ref="H316">IFERROR(_xlfn.TEXTJOIN("-",,INDEX(_xlfn.TEXTSPLIT(TableGive[[#This Row],[SKU]],"-"),{1,2})),"")</f>
        <v>OVAMAX-120</v>
      </c>
      <c r="I316" s="15" t="str">
        <f>IFERROR(_xlfn.TEXTAFTER(TableGive[[#This Row],[SKU]],"-",-1),"")</f>
        <v>EG</v>
      </c>
      <c r="J316" s="14">
        <f>'[1]2026 Orders'!H317</f>
        <v>3750</v>
      </c>
      <c r="K316" t="str">
        <f>'[1]2026 Orders'!I317</f>
        <v>EG41-26.0</v>
      </c>
      <c r="L316">
        <f>'[1]2026 Orders'!J317</f>
        <v>3750</v>
      </c>
      <c r="N316" s="10" t="str">
        <f>'[1]2026 Orders'!L317</f>
        <v>Picked</v>
      </c>
      <c r="O316">
        <f>'[1]2026 Orders'!M317</f>
        <v>0</v>
      </c>
      <c r="P316" t="str">
        <f>'[1]2026 Orders'!N317</f>
        <v>NA</v>
      </c>
      <c r="Q316">
        <f>'[1]2026 Orders'!O317</f>
        <v>810131193812</v>
      </c>
      <c r="R316">
        <f>'[1]2026 Orders'!P317</f>
        <v>0</v>
      </c>
      <c r="S316">
        <f>'[1]2026 Orders'!Q317</f>
        <v>4949</v>
      </c>
      <c r="T316">
        <f>'[1]2026 Orders'!R317</f>
        <v>0</v>
      </c>
      <c r="U316">
        <f>'[1]2026 Orders'!S317</f>
        <v>0</v>
      </c>
      <c r="V316" t="str">
        <f>'[1]2026 Orders'!T317</f>
        <v> </v>
      </c>
      <c r="W316" t="str">
        <f>'[1]2026 Orders'!U317</f>
        <v> </v>
      </c>
      <c r="X316" t="str">
        <f>'[1]2026 Orders'!V317</f>
        <v> </v>
      </c>
      <c r="Y316" t="str">
        <f>'[1]2026 Orders'!W317</f>
        <v> </v>
      </c>
      <c r="Z316">
        <f>'[1]2026 Orders'!X317</f>
        <v>0</v>
      </c>
      <c r="AC316" t="str">
        <f t="shared" si="8"/>
        <v>/3750</v>
      </c>
      <c r="AD316" t="e">
        <f t="shared" si="9"/>
        <v>#VALUE!</v>
      </c>
    </row>
    <row r="317" spans="1:30" ht="33" hidden="1" customHeight="1" x14ac:dyDescent="0.3">
      <c r="A317">
        <f>'[1]2026 Orders'!A318</f>
        <v>46114</v>
      </c>
      <c r="B317" s="14" t="str">
        <f>'[1]2026 Orders'!B318</f>
        <v>Egypt</v>
      </c>
      <c r="C317" s="14" t="str">
        <f>'[1]2026 Orders'!C318</f>
        <v>A4683</v>
      </c>
      <c r="D317" s="14" t="str">
        <f>'[1]2026 Orders'!D318</f>
        <v> </v>
      </c>
      <c r="E317" s="17" t="str" cm="1">
        <f t="array" ref="E317">IF(C317=0,"",
HYPERLINK(
"#'2026 Orders'!C"&amp;
MATCH(1,
('2026 Orders'!C:C=C317)*
('2026 Orders'!G:G=G317)*
('2026 Orders'!N:N=N317),
0),
"Open "&amp;C317
))</f>
        <v>Open A4683</v>
      </c>
      <c r="F317" s="14" t="str">
        <f>'[1]2026 Orders'!F318</f>
        <v xml:space="preserve"> 5/11/2026: UPC updated.              5/13/2026: Reducing line by 48; issue with bottle quality.              </v>
      </c>
      <c r="G317" s="14" t="str">
        <f>'[1]2026 Orders'!G318</f>
        <v>PRECON-180-CS-EG</v>
      </c>
      <c r="H317" s="14" t="str" cm="1">
        <f t="array" ref="H317">IFERROR(_xlfn.TEXTJOIN("-",,INDEX(_xlfn.TEXTSPLIT(TableGive[[#This Row],[SKU]],"-"),{1,2})),"")</f>
        <v>PRECON-180</v>
      </c>
      <c r="I317" s="15" t="str">
        <f>IFERROR(_xlfn.TEXTAFTER(TableGive[[#This Row],[SKU]],"-",-1),"")</f>
        <v>EG</v>
      </c>
      <c r="J317" s="14">
        <f>'[1]2026 Orders'!H318</f>
        <v>516</v>
      </c>
      <c r="K317" t="str">
        <f>'[1]2026 Orders'!I318</f>
        <v>EG55-26.0</v>
      </c>
      <c r="L317">
        <f>'[1]2026 Orders'!J318</f>
        <v>516</v>
      </c>
      <c r="N317" s="10" t="str">
        <f>'[1]2026 Orders'!L318</f>
        <v>Picked</v>
      </c>
      <c r="O317">
        <f>'[1]2026 Orders'!M318</f>
        <v>0</v>
      </c>
      <c r="P317" t="str">
        <f>'[1]2026 Orders'!N318</f>
        <v>NA</v>
      </c>
      <c r="Q317">
        <f>'[1]2026 Orders'!O318</f>
        <v>810131193843</v>
      </c>
      <c r="R317" t="str">
        <f>'[1]2026 Orders'!P318</f>
        <v> </v>
      </c>
      <c r="S317" t="str">
        <f>'[1]2026 Orders'!Q318</f>
        <v> </v>
      </c>
      <c r="T317" t="str">
        <f>'[1]2026 Orders'!R318</f>
        <v> </v>
      </c>
      <c r="U317" t="str">
        <f>'[1]2026 Orders'!S318</f>
        <v> </v>
      </c>
      <c r="V317" t="str">
        <f>'[1]2026 Orders'!T318</f>
        <v> </v>
      </c>
      <c r="W317" t="str">
        <f>'[1]2026 Orders'!U318</f>
        <v> </v>
      </c>
      <c r="X317" t="str">
        <f>'[1]2026 Orders'!V318</f>
        <v> </v>
      </c>
      <c r="Y317" t="str">
        <f>'[1]2026 Orders'!W318</f>
        <v> </v>
      </c>
      <c r="Z317">
        <f>'[1]2026 Orders'!X318</f>
        <v>0</v>
      </c>
      <c r="AC317" t="str">
        <f t="shared" si="8"/>
        <v>/516</v>
      </c>
      <c r="AD317" t="e">
        <f t="shared" si="9"/>
        <v>#VALUE!</v>
      </c>
    </row>
    <row r="318" spans="1:30" ht="33" hidden="1" customHeight="1" x14ac:dyDescent="0.3">
      <c r="A318">
        <f>'[1]2026 Orders'!A319</f>
        <v>46114</v>
      </c>
      <c r="B318" s="14" t="str">
        <f>'[1]2026 Orders'!B319</f>
        <v>Egypt</v>
      </c>
      <c r="C318" s="14" t="str">
        <f>'[1]2026 Orders'!C319</f>
        <v>A4683</v>
      </c>
      <c r="D318" s="14">
        <f>'[1]2026 Orders'!D319</f>
        <v>0</v>
      </c>
      <c r="E318" s="17" t="str" cm="1">
        <f t="array" ref="E318">IF(C318=0,"",
HYPERLINK(
"#'2026 Orders'!C"&amp;
MATCH(1,
('2026 Orders'!C:C=C318)*
('2026 Orders'!G:G=G318)*
('2026 Orders'!N:N=N318),
0),
"Open "&amp;C318
))</f>
        <v>Open A4683</v>
      </c>
      <c r="F318" s="14" t="str">
        <f>'[1]2026 Orders'!F319</f>
        <v> 5/11/2026: UPC updated.         5/14/2026: Allocating 245 from Ethiopia A4591 and 50 from Uganda A4522.                                         6/1/2026: Qty reduced to 261 - only 16/50 bottles were usable from Uganda allocation.</v>
      </c>
      <c r="G318" s="14" t="str">
        <f>'[1]2026 Orders'!G319</f>
        <v>PRECON-180-CS-EG</v>
      </c>
      <c r="H318" s="14" t="str" cm="1">
        <f t="array" ref="H318">IFERROR(_xlfn.TEXTJOIN("-",,INDEX(_xlfn.TEXTSPLIT(TableGive[[#This Row],[SKU]],"-"),{1,2})),"")</f>
        <v>PRECON-180</v>
      </c>
      <c r="I318" s="15" t="str">
        <f>IFERROR(_xlfn.TEXTAFTER(TableGive[[#This Row],[SKU]],"-",-1),"")</f>
        <v>EG</v>
      </c>
      <c r="J318" s="14">
        <f>'[1]2026 Orders'!H319</f>
        <v>261</v>
      </c>
      <c r="K318" t="str">
        <f>'[1]2026 Orders'!I319</f>
        <v>EG55-26.0</v>
      </c>
      <c r="L318">
        <f>'[1]2026 Orders'!J319</f>
        <v>261</v>
      </c>
      <c r="N318" s="10" t="str">
        <f>'[1]2026 Orders'!L319</f>
        <v>Picked</v>
      </c>
      <c r="O318">
        <f>'[1]2026 Orders'!M319</f>
        <v>0</v>
      </c>
      <c r="P318" t="str">
        <f>'[1]2026 Orders'!N319</f>
        <v>NA</v>
      </c>
      <c r="Q318">
        <f>'[1]2026 Orders'!O319</f>
        <v>810131193843</v>
      </c>
      <c r="R318">
        <f>'[1]2026 Orders'!P319</f>
        <v>0</v>
      </c>
      <c r="S318">
        <f>'[1]2026 Orders'!Q319</f>
        <v>0</v>
      </c>
      <c r="T318">
        <f>'[1]2026 Orders'!R319</f>
        <v>0</v>
      </c>
      <c r="U318">
        <f>'[1]2026 Orders'!S319</f>
        <v>0</v>
      </c>
      <c r="V318">
        <f>'[1]2026 Orders'!T319</f>
        <v>0</v>
      </c>
      <c r="W318">
        <f>'[1]2026 Orders'!U319</f>
        <v>0</v>
      </c>
      <c r="X318">
        <f>'[1]2026 Orders'!V319</f>
        <v>0</v>
      </c>
      <c r="Y318">
        <f>'[1]2026 Orders'!W319</f>
        <v>0</v>
      </c>
      <c r="Z318">
        <f>'[1]2026 Orders'!X319</f>
        <v>0</v>
      </c>
      <c r="AC318" t="str">
        <f t="shared" si="8"/>
        <v>/261</v>
      </c>
      <c r="AD318" t="e">
        <f t="shared" si="9"/>
        <v>#VALUE!</v>
      </c>
    </row>
    <row r="319" spans="1:30" ht="33" hidden="1" customHeight="1" x14ac:dyDescent="0.3">
      <c r="A319">
        <f>'[1]2026 Orders'!A320</f>
        <v>46114</v>
      </c>
      <c r="B319" s="14" t="str">
        <f>'[1]2026 Orders'!B320</f>
        <v>Egypt</v>
      </c>
      <c r="C319" s="14" t="str">
        <f>'[1]2026 Orders'!C320</f>
        <v>A4683</v>
      </c>
      <c r="D319" s="14" t="str">
        <f>'[1]2026 Orders'!D320</f>
        <v> </v>
      </c>
      <c r="E319" s="17" t="str" cm="1">
        <f t="array" ref="E319">IF(C319=0,"",
HYPERLINK(
"#'2026 Orders'!C"&amp;
MATCH(1,
('2026 Orders'!C:C=C319)*
('2026 Orders'!G:G=G319)*
('2026 Orders'!N:N=N319),
0),
"Open "&amp;C319
))</f>
        <v>Open A4683</v>
      </c>
      <c r="F319" s="14">
        <f>'[1]2026 Orders'!F320</f>
        <v>0</v>
      </c>
      <c r="G319" s="14" t="str">
        <f>'[1]2026 Orders'!G320</f>
        <v>MOTILMX-60-CS-EG</v>
      </c>
      <c r="H319" s="14" t="str" cm="1">
        <f t="array" ref="H319">IFERROR(_xlfn.TEXTJOIN("-",,INDEX(_xlfn.TEXTSPLIT(TableGive[[#This Row],[SKU]],"-"),{1,2})),"")</f>
        <v>MOTILMX-60</v>
      </c>
      <c r="I319" s="15" t="str">
        <f>IFERROR(_xlfn.TEXTAFTER(TableGive[[#This Row],[SKU]],"-",-1),"")</f>
        <v>EG</v>
      </c>
      <c r="J319" s="14">
        <f>'[1]2026 Orders'!H320</f>
        <v>1680</v>
      </c>
      <c r="K319" t="str">
        <f>'[1]2026 Orders'!I320</f>
        <v>EG31-26.0</v>
      </c>
      <c r="L319">
        <f>'[1]2026 Orders'!J320</f>
        <v>1680</v>
      </c>
      <c r="N319" s="10" t="str">
        <f>'[1]2026 Orders'!L320</f>
        <v>Picked</v>
      </c>
      <c r="O319">
        <f>'[1]2026 Orders'!M320</f>
        <v>0</v>
      </c>
      <c r="P319" t="str">
        <f>'[1]2026 Orders'!N320</f>
        <v>NA</v>
      </c>
      <c r="Q319">
        <f>'[1]2026 Orders'!O320</f>
        <v>810131191030</v>
      </c>
      <c r="R319" t="str">
        <f>'[1]2026 Orders'!P320</f>
        <v> </v>
      </c>
      <c r="S319" t="str">
        <f>'[1]2026 Orders'!Q320</f>
        <v> </v>
      </c>
      <c r="T319" t="str">
        <f>'[1]2026 Orders'!R320</f>
        <v> </v>
      </c>
      <c r="U319" t="str">
        <f>'[1]2026 Orders'!S320</f>
        <v> </v>
      </c>
      <c r="V319" t="str">
        <f>'[1]2026 Orders'!T320</f>
        <v> </v>
      </c>
      <c r="W319" t="str">
        <f>'[1]2026 Orders'!U320</f>
        <v> </v>
      </c>
      <c r="X319" t="str">
        <f>'[1]2026 Orders'!V320</f>
        <v> </v>
      </c>
      <c r="Y319" t="str">
        <f>'[1]2026 Orders'!W320</f>
        <v> </v>
      </c>
      <c r="Z319">
        <f>'[1]2026 Orders'!X320</f>
        <v>0</v>
      </c>
      <c r="AC319" t="str">
        <f t="shared" si="8"/>
        <v>/1680</v>
      </c>
      <c r="AD319" t="e">
        <f t="shared" si="9"/>
        <v>#VALUE!</v>
      </c>
    </row>
    <row r="320" spans="1:30" ht="33" hidden="1" customHeight="1" x14ac:dyDescent="0.3">
      <c r="A320">
        <f>'[1]2026 Orders'!A321</f>
        <v>46114</v>
      </c>
      <c r="B320" s="14" t="str">
        <f>'[1]2026 Orders'!B321</f>
        <v>Egypt</v>
      </c>
      <c r="C320" s="14" t="str">
        <f>'[1]2026 Orders'!C321</f>
        <v>A4683</v>
      </c>
      <c r="D320" s="14" t="str">
        <f>'[1]2026 Orders'!D321</f>
        <v xml:space="preserve">4/6/2026: SKU changed from WFSPLS-180-CS-EG to WFSPLS-90-CS-EG  </v>
      </c>
      <c r="E320" s="17" t="str" cm="1">
        <f t="array" ref="E320">IF(C320=0,"",
HYPERLINK(
"#'2026 Orders'!C"&amp;
MATCH(1,
('2026 Orders'!C:C=C320)*
('2026 Orders'!G:G=G320)*
('2026 Orders'!N:N=N320),
0),
"Open "&amp;C320
))</f>
        <v>Open A4683</v>
      </c>
      <c r="F320" s="14" t="str">
        <f>'[1]2026 Orders'!F321</f>
        <v> 5/11/2026: UPC updated.</v>
      </c>
      <c r="G320" s="14" t="str">
        <f>'[1]2026 Orders'!G321</f>
        <v xml:space="preserve">WFSPLS-90-CS-EG  </v>
      </c>
      <c r="H320" s="14" t="str" cm="1">
        <f t="array" ref="H320">IFERROR(_xlfn.TEXTJOIN("-",,INDEX(_xlfn.TEXTSPLIT(TableGive[[#This Row],[SKU]],"-"),{1,2})),"")</f>
        <v>WFSPLS-90</v>
      </c>
      <c r="I320" s="15" t="str">
        <f>IFERROR(_xlfn.TEXTAFTER(TableGive[[#This Row],[SKU]],"-",-1),"")</f>
        <v xml:space="preserve">EG  </v>
      </c>
      <c r="J320" s="14">
        <f>'[1]2026 Orders'!H321</f>
        <v>840</v>
      </c>
      <c r="K320" t="str">
        <f>'[1]2026 Orders'!I321</f>
        <v>EG72-25.0</v>
      </c>
      <c r="L320">
        <f>'[1]2026 Orders'!J321</f>
        <v>840</v>
      </c>
      <c r="N320" s="10" t="str">
        <f>'[1]2026 Orders'!L321</f>
        <v>Picked</v>
      </c>
      <c r="O320">
        <f>'[1]2026 Orders'!M321</f>
        <v>0</v>
      </c>
      <c r="P320" t="str">
        <f>'[1]2026 Orders'!N321</f>
        <v>NA</v>
      </c>
      <c r="Q320">
        <f>'[1]2026 Orders'!O321</f>
        <v>604776737025</v>
      </c>
      <c r="R320">
        <f>'[1]2026 Orders'!P321</f>
        <v>4000</v>
      </c>
      <c r="S320">
        <f>'[1]2026 Orders'!Q321</f>
        <v>4941</v>
      </c>
      <c r="T320" t="str">
        <f>'[1]2026 Orders'!R321</f>
        <v>complete</v>
      </c>
      <c r="U320">
        <f>'[1]2026 Orders'!S321</f>
        <v>0</v>
      </c>
      <c r="V320" t="str">
        <f>'[1]2026 Orders'!T321</f>
        <v> </v>
      </c>
      <c r="W320" t="str">
        <f>'[1]2026 Orders'!U321</f>
        <v> </v>
      </c>
      <c r="X320" t="str">
        <f>'[1]2026 Orders'!V321</f>
        <v> </v>
      </c>
      <c r="Y320" t="str">
        <f>'[1]2026 Orders'!W321</f>
        <v> </v>
      </c>
      <c r="Z320">
        <f>'[1]2026 Orders'!X321</f>
        <v>0</v>
      </c>
      <c r="AC320" t="str">
        <f t="shared" si="8"/>
        <v>/840</v>
      </c>
      <c r="AD320" t="e">
        <f t="shared" si="9"/>
        <v>#VALUE!</v>
      </c>
    </row>
    <row r="321" spans="1:30" ht="33" hidden="1" customHeight="1" x14ac:dyDescent="0.3">
      <c r="A321">
        <f>'[1]2026 Orders'!A322</f>
        <v>46114</v>
      </c>
      <c r="B321" s="14" t="str">
        <f>'[1]2026 Orders'!B322</f>
        <v>Egypt</v>
      </c>
      <c r="C321" s="14" t="str">
        <f>'[1]2026 Orders'!C322</f>
        <v>A4683</v>
      </c>
      <c r="D321" s="14" t="str">
        <f>'[1]2026 Orders'!D322</f>
        <v> </v>
      </c>
      <c r="E321" s="17" t="str" cm="1">
        <f t="array" ref="E321">IF(C321=0,"",
HYPERLINK(
"#'2026 Orders'!C"&amp;
MATCH(1,
('2026 Orders'!C:C=C321)*
('2026 Orders'!G:G=G321)*
('2026 Orders'!N:N=N321),
0),
"Open "&amp;C321
))</f>
        <v>Open A4683</v>
      </c>
      <c r="F321" s="14" t="str">
        <f>'[1]2026 Orders'!F322</f>
        <v>Ride on back of Bulk MFS order       5/11/2026: UPC updated.</v>
      </c>
      <c r="G321" s="14" t="str">
        <f>'[1]2026 Orders'!G322</f>
        <v>MFSPLS-60-CS-EG</v>
      </c>
      <c r="H321" s="14" t="str" cm="1">
        <f t="array" ref="H321">IFERROR(_xlfn.TEXTJOIN("-",,INDEX(_xlfn.TEXTSPLIT(TableGive[[#This Row],[SKU]],"-"),{1,2})),"")</f>
        <v>MFSPLS-60</v>
      </c>
      <c r="I321" s="15" t="str">
        <f>IFERROR(_xlfn.TEXTAFTER(TableGive[[#This Row],[SKU]],"-",-1),"")</f>
        <v>EG</v>
      </c>
      <c r="J321" s="14">
        <f>'[1]2026 Orders'!H322</f>
        <v>840</v>
      </c>
      <c r="K321" t="str">
        <f>'[1]2026 Orders'!I322</f>
        <v>EG29-26.0</v>
      </c>
      <c r="L321">
        <f>'[1]2026 Orders'!J322</f>
        <v>840</v>
      </c>
      <c r="N321" s="10" t="str">
        <f>'[1]2026 Orders'!L322</f>
        <v>Picked</v>
      </c>
      <c r="O321">
        <f>'[1]2026 Orders'!M322</f>
        <v>0</v>
      </c>
      <c r="P321" t="str">
        <f>'[1]2026 Orders'!N322</f>
        <v>NA</v>
      </c>
      <c r="Q321">
        <f>'[1]2026 Orders'!O322</f>
        <v>810131193805</v>
      </c>
      <c r="R321">
        <f>'[1]2026 Orders'!P322</f>
        <v>39000</v>
      </c>
      <c r="S321">
        <f>'[1]2026 Orders'!Q322</f>
        <v>4907</v>
      </c>
      <c r="T321" t="str">
        <f>'[1]2026 Orders'!R322</f>
        <v>Complete</v>
      </c>
      <c r="U321">
        <f>'[1]2026 Orders'!S322</f>
        <v>0</v>
      </c>
      <c r="V321" t="str">
        <f>'[1]2026 Orders'!T322</f>
        <v> </v>
      </c>
      <c r="W321" t="str">
        <f>'[1]2026 Orders'!U322</f>
        <v> </v>
      </c>
      <c r="X321" t="str">
        <f>'[1]2026 Orders'!V322</f>
        <v> </v>
      </c>
      <c r="Y321" t="str">
        <f>'[1]2026 Orders'!W322</f>
        <v> </v>
      </c>
      <c r="Z321">
        <f>'[1]2026 Orders'!X322</f>
        <v>0</v>
      </c>
      <c r="AC321" t="str">
        <f t="shared" si="8"/>
        <v>/840</v>
      </c>
      <c r="AD321" t="e">
        <f t="shared" si="9"/>
        <v>#VALUE!</v>
      </c>
    </row>
    <row r="322" spans="1:30" ht="33" hidden="1" customHeight="1" x14ac:dyDescent="0.3">
      <c r="A322">
        <f>'[1]2026 Orders'!A323</f>
        <v>46114</v>
      </c>
      <c r="B322" s="14" t="str">
        <f>'[1]2026 Orders'!B323</f>
        <v>Egypt</v>
      </c>
      <c r="C322" s="14" t="str">
        <f>'[1]2026 Orders'!C323</f>
        <v>A4683</v>
      </c>
      <c r="D322" s="14" t="str">
        <f>'[1]2026 Orders'!D323</f>
        <v> </v>
      </c>
      <c r="E322" s="17" t="str" cm="1">
        <f t="array" ref="E322">IF(C322=0,"",
HYPERLINK(
"#'2026 Orders'!C"&amp;
MATCH(1,
('2026 Orders'!C:C=C322)*
('2026 Orders'!G:G=G322)*
('2026 Orders'!N:N=N322),
0),
"Open "&amp;C322
))</f>
        <v>Open A4683</v>
      </c>
      <c r="F322" s="14" t="str">
        <f>'[1]2026 Orders'!F323</f>
        <v>5/14/2026: Allocate 1050 pcs from Iraq A4596.</v>
      </c>
      <c r="G322" s="14" t="str">
        <f>'[1]2026 Orders'!G323</f>
        <v>QWELL2-60-SG-CS-EG</v>
      </c>
      <c r="H322" s="14" t="str" cm="1">
        <f t="array" ref="H322">IFERROR(_xlfn.TEXTJOIN("-",,INDEX(_xlfn.TEXTSPLIT(TableGive[[#This Row],[SKU]],"-"),{1,2})),"")</f>
        <v>QWELL2-60</v>
      </c>
      <c r="I322" s="15" t="str">
        <f>IFERROR(_xlfn.TEXTAFTER(TableGive[[#This Row],[SKU]],"-",-1),"")</f>
        <v>EG</v>
      </c>
      <c r="J322" s="14">
        <f>'[1]2026 Orders'!H323</f>
        <v>1050</v>
      </c>
      <c r="K322" t="str">
        <f>'[1]2026 Orders'!I323</f>
        <v>EG57-26.0</v>
      </c>
      <c r="L322">
        <f>'[1]2026 Orders'!J323</f>
        <v>1050</v>
      </c>
      <c r="N322" s="10" t="str">
        <f>'[1]2026 Orders'!L323</f>
        <v>Picked</v>
      </c>
      <c r="O322">
        <f>'[1]2026 Orders'!M323</f>
        <v>0</v>
      </c>
      <c r="P322" t="str">
        <f>'[1]2026 Orders'!N323</f>
        <v>NA</v>
      </c>
      <c r="Q322">
        <f>'[1]2026 Orders'!O323</f>
        <v>604776737407</v>
      </c>
      <c r="R322">
        <f>'[1]2026 Orders'!P323</f>
        <v>5000</v>
      </c>
      <c r="S322">
        <f>'[1]2026 Orders'!Q323</f>
        <v>5033</v>
      </c>
      <c r="T322" t="str">
        <f>'[1]2026 Orders'!R323</f>
        <v>TBD</v>
      </c>
      <c r="U322" t="str">
        <f>'[1]2026 Orders'!S323</f>
        <v>Bulk PO. Pending approval to send to vendor</v>
      </c>
      <c r="V322" t="str">
        <f>'[1]2026 Orders'!T323</f>
        <v> </v>
      </c>
      <c r="W322" t="str">
        <f>'[1]2026 Orders'!U323</f>
        <v> </v>
      </c>
      <c r="X322" t="str">
        <f>'[1]2026 Orders'!V323</f>
        <v> </v>
      </c>
      <c r="Y322" t="str">
        <f>'[1]2026 Orders'!W323</f>
        <v> </v>
      </c>
      <c r="Z322">
        <f>'[1]2026 Orders'!X323</f>
        <v>0</v>
      </c>
      <c r="AC322" t="str">
        <f t="shared" si="8"/>
        <v>/1050</v>
      </c>
      <c r="AD322" t="e">
        <f t="shared" si="9"/>
        <v>#VALUE!</v>
      </c>
    </row>
    <row r="323" spans="1:30" ht="33" hidden="1" customHeight="1" x14ac:dyDescent="0.3">
      <c r="A323">
        <f>'[1]2026 Orders'!A324</f>
        <v>46057</v>
      </c>
      <c r="B323" s="14" t="str">
        <f>'[1]2026 Orders'!B324</f>
        <v>Egypt</v>
      </c>
      <c r="C323" s="14" t="str">
        <f>'[1]2026 Orders'!C324</f>
        <v>A4683</v>
      </c>
      <c r="D323" s="14">
        <f>'[1]2026 Orders'!D324</f>
        <v>0</v>
      </c>
      <c r="E323" s="17" t="str" cm="1">
        <f t="array" ref="E323">IF(C323=0,"",
HYPERLINK(
"#'2026 Orders'!C"&amp;
MATCH(1,
('2026 Orders'!C:C=C323)*
('2026 Orders'!G:G=G323)*
('2026 Orders'!N:N=N323),
0),
"Open "&amp;C323
))</f>
        <v>Open A4683</v>
      </c>
      <c r="F323" s="14" t="str">
        <f>'[1]2026 Orders'!F324</f>
        <v>5/21/2026: Moved from Egypt A4634.</v>
      </c>
      <c r="G323" s="14" t="str">
        <f>'[1]2026 Orders'!G324</f>
        <v>UTIC-60-CS-EG</v>
      </c>
      <c r="H323" s="14" t="str" cm="1">
        <f t="array" ref="H323">IFERROR(_xlfn.TEXTJOIN("-",,INDEX(_xlfn.TEXTSPLIT(TableGive[[#This Row],[SKU]],"-"),{1,2})),"")</f>
        <v>UTIC-60</v>
      </c>
      <c r="I323" s="15" t="str">
        <f>IFERROR(_xlfn.TEXTAFTER(TableGive[[#This Row],[SKU]],"-",-1),"")</f>
        <v>EG</v>
      </c>
      <c r="J323" s="14">
        <f>'[1]2026 Orders'!H324</f>
        <v>1050</v>
      </c>
      <c r="K323" t="str">
        <f>'[1]2026 Orders'!I324</f>
        <v>EG110-26.0</v>
      </c>
      <c r="L323">
        <f>'[1]2026 Orders'!J324</f>
        <v>1050</v>
      </c>
      <c r="N323" s="10" t="str">
        <f>'[1]2026 Orders'!L324</f>
        <v>Rework</v>
      </c>
      <c r="O323">
        <f>'[1]2026 Orders'!M324</f>
        <v>0</v>
      </c>
      <c r="P323" t="str">
        <f>'[1]2026 Orders'!N324</f>
        <v>NA</v>
      </c>
      <c r="Q323">
        <f>'[1]2026 Orders'!O324</f>
        <v>604776740438</v>
      </c>
      <c r="R323">
        <f>'[1]2026 Orders'!P324</f>
        <v>4000</v>
      </c>
      <c r="S323">
        <f>'[1]2026 Orders'!Q324</f>
        <v>4973</v>
      </c>
      <c r="T323" t="str">
        <f>'[1]2026 Orders'!R324</f>
        <v>Complete</v>
      </c>
      <c r="U323" t="str">
        <f>'[1]2026 Orders'!S324</f>
        <v>Waiting for PL and sample approval</v>
      </c>
      <c r="V323">
        <f>'[1]2026 Orders'!T324</f>
        <v>0</v>
      </c>
      <c r="W323">
        <f>'[1]2026 Orders'!U324</f>
        <v>0</v>
      </c>
      <c r="X323">
        <f>'[1]2026 Orders'!V324</f>
        <v>0</v>
      </c>
      <c r="Y323">
        <f>'[1]2026 Orders'!W324</f>
        <v>0</v>
      </c>
      <c r="Z323">
        <f>'[1]2026 Orders'!X324</f>
        <v>0</v>
      </c>
      <c r="AC323" t="str">
        <f t="shared" ref="AC323:AC386" si="10">IF(OR(B323="",B323=0),"",$AJ$2&amp;"/"&amp;J323)</f>
        <v>/1050</v>
      </c>
      <c r="AD323" t="e">
        <f t="shared" ref="AD323:AD386" si="11">IF(OR(J323="",J323=0),"",$AK$2&amp;" -&gt; "&amp;I323)</f>
        <v>#VALUE!</v>
      </c>
    </row>
    <row r="324" spans="1:30" ht="33" hidden="1" customHeight="1" x14ac:dyDescent="0.3">
      <c r="A324">
        <f>'[1]2026 Orders'!A325</f>
        <v>0</v>
      </c>
      <c r="B324" s="14">
        <f>'[1]2026 Orders'!B325</f>
        <v>0</v>
      </c>
      <c r="C324" s="14">
        <f>'[1]2026 Orders'!C325</f>
        <v>0</v>
      </c>
      <c r="D324" s="14">
        <f>'[1]2026 Orders'!D325</f>
        <v>0</v>
      </c>
      <c r="E324" s="17" t="str" cm="1">
        <f t="array" ref="E324">IF(C324=0,"",
HYPERLINK(
"#'2026 Orders'!C"&amp;
MATCH(1,
('2026 Orders'!C:C=C324)*
('2026 Orders'!G:G=G324)*
('2026 Orders'!N:N=N324),
0),
"Open "&amp;C324
))</f>
        <v/>
      </c>
      <c r="F324" s="14">
        <f>'[1]2026 Orders'!F325</f>
        <v>0</v>
      </c>
      <c r="G324" s="14">
        <f>'[1]2026 Orders'!G325</f>
        <v>0</v>
      </c>
      <c r="H324" s="14" t="str" cm="1">
        <f t="array" ref="H324">IFERROR(_xlfn.TEXTJOIN("-",,INDEX(_xlfn.TEXTSPLIT(TableGive[[#This Row],[SKU]],"-"),{1,2})),"")</f>
        <v/>
      </c>
      <c r="I324" s="15" t="str">
        <f>IFERROR(_xlfn.TEXTAFTER(TableGive[[#This Row],[SKU]],"-",-1),"")</f>
        <v/>
      </c>
      <c r="J324" s="14">
        <f>'[1]2026 Orders'!H325</f>
        <v>0</v>
      </c>
      <c r="K324">
        <f>'[1]2026 Orders'!I325</f>
        <v>0</v>
      </c>
      <c r="L324">
        <f>'[1]2026 Orders'!J325</f>
        <v>0</v>
      </c>
      <c r="N324" s="10">
        <f>'[1]2026 Orders'!L325</f>
        <v>0</v>
      </c>
      <c r="O324">
        <f>'[1]2026 Orders'!M325</f>
        <v>0</v>
      </c>
      <c r="P324">
        <f>'[1]2026 Orders'!N325</f>
        <v>0</v>
      </c>
      <c r="Q324">
        <f>'[1]2026 Orders'!O325</f>
        <v>0</v>
      </c>
      <c r="R324">
        <f>'[1]2026 Orders'!P325</f>
        <v>0</v>
      </c>
      <c r="S324">
        <f>'[1]2026 Orders'!Q325</f>
        <v>0</v>
      </c>
      <c r="T324">
        <f>'[1]2026 Orders'!R325</f>
        <v>0</v>
      </c>
      <c r="U324">
        <f>'[1]2026 Orders'!S325</f>
        <v>0</v>
      </c>
      <c r="V324">
        <f>'[1]2026 Orders'!T325</f>
        <v>0</v>
      </c>
      <c r="W324">
        <f>'[1]2026 Orders'!U325</f>
        <v>0</v>
      </c>
      <c r="X324">
        <f>'[1]2026 Orders'!V325</f>
        <v>0</v>
      </c>
      <c r="Y324">
        <f>'[1]2026 Orders'!W325</f>
        <v>0</v>
      </c>
      <c r="Z324">
        <f>'[1]2026 Orders'!X325</f>
        <v>0</v>
      </c>
      <c r="AC324" t="str">
        <f t="shared" si="10"/>
        <v/>
      </c>
      <c r="AD324" t="str">
        <f t="shared" si="11"/>
        <v/>
      </c>
    </row>
    <row r="325" spans="1:30" ht="33" hidden="1" customHeight="1" x14ac:dyDescent="0.3">
      <c r="A325">
        <f>'[1]2026 Orders'!A326</f>
        <v>46114</v>
      </c>
      <c r="B325" s="14" t="str">
        <f>'[1]2026 Orders'!B326</f>
        <v>Egypt</v>
      </c>
      <c r="C325" s="14" t="str">
        <f>'[1]2026 Orders'!C326</f>
        <v>A4709</v>
      </c>
      <c r="D325" s="14">
        <f>'[1]2026 Orders'!D326</f>
        <v>0</v>
      </c>
      <c r="E325" s="17" t="str" cm="1">
        <f t="array" ref="E325">IF(C325=0,"",
HYPERLINK(
"#'2026 Orders'!C"&amp;
MATCH(1,
('2026 Orders'!C:C=C325)*
('2026 Orders'!G:G=G325)*
('2026 Orders'!N:N=N325),
0),
"Open "&amp;C325
))</f>
        <v>Open A4709</v>
      </c>
      <c r="F325" s="14" t="str">
        <f>'[1]2026 Orders'!F326</f>
        <v>5/21/2026: Moved 2093 pcs to backorder from Egypt A4683.</v>
      </c>
      <c r="G325" s="14" t="str">
        <f>'[1]2026 Orders'!G326</f>
        <v>MFSPLS-120-CS-EG</v>
      </c>
      <c r="H325" s="14" t="str" cm="1">
        <f t="array" ref="H325">IFERROR(_xlfn.TEXTJOIN("-",,INDEX(_xlfn.TEXTSPLIT(TableGive[[#This Row],[SKU]],"-"),{1,2})),"")</f>
        <v>MFSPLS-120</v>
      </c>
      <c r="I325" s="15" t="str">
        <f>IFERROR(_xlfn.TEXTAFTER(TableGive[[#This Row],[SKU]],"-",-1),"")</f>
        <v>EG</v>
      </c>
      <c r="J325" s="14">
        <f>'[1]2026 Orders'!H326</f>
        <v>2093</v>
      </c>
      <c r="K325" t="str">
        <f>'[1]2026 Orders'!I326</f>
        <v> EG30-26.0</v>
      </c>
      <c r="L325">
        <f>'[1]2026 Orders'!J326</f>
        <v>0</v>
      </c>
      <c r="N325" s="10" t="str">
        <f>'[1]2026 Orders'!L326</f>
        <v>In Production</v>
      </c>
      <c r="O325">
        <f>'[1]2026 Orders'!M326</f>
        <v>0</v>
      </c>
      <c r="P325" t="str">
        <f>'[1]2026 Orders'!N326</f>
        <v>NA</v>
      </c>
      <c r="Q325">
        <f>'[1]2026 Orders'!O326</f>
        <v>810131193799</v>
      </c>
      <c r="R325">
        <f>'[1]2026 Orders'!P326</f>
        <v>9195</v>
      </c>
      <c r="S325">
        <f>'[1]2026 Orders'!Q326</f>
        <v>5032</v>
      </c>
      <c r="T325">
        <f>'[1]2026 Orders'!R326</f>
        <v>46211</v>
      </c>
      <c r="U325">
        <f>'[1]2026 Orders'!S326</f>
        <v>0</v>
      </c>
      <c r="V325" t="str">
        <f>'[1]2026 Orders'!T326</f>
        <v> </v>
      </c>
      <c r="W325" t="str">
        <f>'[1]2026 Orders'!U326</f>
        <v> </v>
      </c>
      <c r="X325" t="str">
        <f>'[1]2026 Orders'!V326</f>
        <v> </v>
      </c>
      <c r="Y325" t="str">
        <f>'[1]2026 Orders'!W326</f>
        <v> </v>
      </c>
      <c r="Z325" t="str">
        <f>'[1]2026 Orders'!X326</f>
        <v>Approved</v>
      </c>
      <c r="AC325" t="str">
        <f t="shared" si="10"/>
        <v>/2093</v>
      </c>
      <c r="AD325" t="e">
        <f t="shared" si="11"/>
        <v>#VALUE!</v>
      </c>
    </row>
    <row r="326" spans="1:30" ht="33" hidden="1" customHeight="1" x14ac:dyDescent="0.3">
      <c r="A326">
        <f>'[1]2026 Orders'!A327</f>
        <v>0</v>
      </c>
      <c r="B326" s="14">
        <f>'[1]2026 Orders'!B327</f>
        <v>0</v>
      </c>
      <c r="C326" s="14">
        <f>'[1]2026 Orders'!C327</f>
        <v>0</v>
      </c>
      <c r="D326" s="14">
        <f>'[1]2026 Orders'!D327</f>
        <v>0</v>
      </c>
      <c r="E326" s="17" t="str" cm="1">
        <f t="array" ref="E326">IF(C326=0,"",
HYPERLINK(
"#'2026 Orders'!C"&amp;
MATCH(1,
('2026 Orders'!C:C=C326)*
('2026 Orders'!G:G=G326)*
('2026 Orders'!N:N=N326),
0),
"Open "&amp;C326
))</f>
        <v/>
      </c>
      <c r="F326" s="14">
        <f>'[1]2026 Orders'!F327</f>
        <v>0</v>
      </c>
      <c r="G326" s="14">
        <f>'[1]2026 Orders'!G327</f>
        <v>0</v>
      </c>
      <c r="H326" s="14" t="str" cm="1">
        <f t="array" ref="H326">IFERROR(_xlfn.TEXTJOIN("-",,INDEX(_xlfn.TEXTSPLIT(TableGive[[#This Row],[SKU]],"-"),{1,2})),"")</f>
        <v/>
      </c>
      <c r="I326" s="15" t="str">
        <f>IFERROR(_xlfn.TEXTAFTER(TableGive[[#This Row],[SKU]],"-",-1),"")</f>
        <v/>
      </c>
      <c r="J326" s="14">
        <f>'[1]2026 Orders'!H327</f>
        <v>0</v>
      </c>
      <c r="K326">
        <f>'[1]2026 Orders'!I327</f>
        <v>0</v>
      </c>
      <c r="L326">
        <f>'[1]2026 Orders'!J327</f>
        <v>0</v>
      </c>
      <c r="N326" s="10">
        <f>'[1]2026 Orders'!L327</f>
        <v>0</v>
      </c>
      <c r="O326">
        <f>'[1]2026 Orders'!M327</f>
        <v>0</v>
      </c>
      <c r="P326">
        <f>'[1]2026 Orders'!N327</f>
        <v>0</v>
      </c>
      <c r="Q326">
        <f>'[1]2026 Orders'!O327</f>
        <v>0</v>
      </c>
      <c r="R326">
        <f>'[1]2026 Orders'!P327</f>
        <v>0</v>
      </c>
      <c r="S326">
        <f>'[1]2026 Orders'!Q327</f>
        <v>0</v>
      </c>
      <c r="T326">
        <f>'[1]2026 Orders'!R327</f>
        <v>0</v>
      </c>
      <c r="U326">
        <f>'[1]2026 Orders'!S327</f>
        <v>0</v>
      </c>
      <c r="V326">
        <f>'[1]2026 Orders'!T327</f>
        <v>0</v>
      </c>
      <c r="W326">
        <f>'[1]2026 Orders'!U327</f>
        <v>0</v>
      </c>
      <c r="X326">
        <f>'[1]2026 Orders'!V327</f>
        <v>0</v>
      </c>
      <c r="Y326">
        <f>'[1]2026 Orders'!W327</f>
        <v>0</v>
      </c>
      <c r="Z326">
        <f>'[1]2026 Orders'!X327</f>
        <v>0</v>
      </c>
      <c r="AC326" t="str">
        <f t="shared" si="10"/>
        <v/>
      </c>
      <c r="AD326" t="str">
        <f t="shared" si="11"/>
        <v/>
      </c>
    </row>
    <row r="327" spans="1:30" ht="33" hidden="1" customHeight="1" x14ac:dyDescent="0.3">
      <c r="A327">
        <f>'[1]2026 Orders'!A328</f>
        <v>46121</v>
      </c>
      <c r="B327" s="14" t="str">
        <f>'[1]2026 Orders'!B328</f>
        <v>Chad</v>
      </c>
      <c r="C327" s="14" t="str">
        <f>'[1]2026 Orders'!C328</f>
        <v>A4687</v>
      </c>
      <c r="D327" s="14" t="str">
        <f>'[1]2026 Orders'!D328</f>
        <v>4/9/2026: Awaiting Proforma Invoice Confirmation</v>
      </c>
      <c r="E327" s="17" t="str" cm="1">
        <f t="array" ref="E327">IF(C327=0,"",
HYPERLINK(
"#'2026 Orders'!C"&amp;
MATCH(1,
('2026 Orders'!C:C=C327)*
('2026 Orders'!G:G=G327)*
('2026 Orders'!N:N=N327),
0),
"Open "&amp;C327
))</f>
        <v>Open A4687</v>
      </c>
      <c r="F327" s="14" t="str">
        <f>'[1]2026 Orders'!F328</f>
        <v>4/27/2026: SKU changed to PENAMAX-60-GE-FD
4/30/2026: SKU changed to PENAMAX-60-GE-CS-CH (PENNAMAX-60-VE-LAB-CS-CH MUST BE USED)
5/7/2026: VE Chad labels confirmed
qty increased from 240 → 277</v>
      </c>
      <c r="G327" s="14" t="str">
        <f>'[1]2026 Orders'!G328</f>
        <v xml:space="preserve"> PENAMAX-60-GE-CS-CH (PENNAMAX-60-VE-LAB-CS-CH)</v>
      </c>
      <c r="H327" s="14" t="str" cm="1">
        <f t="array" ref="H327">IFERROR(_xlfn.TEXTJOIN("-",,INDEX(_xlfn.TEXTSPLIT(TableGive[[#This Row],[SKU]],"-"),{1,2})),"")</f>
        <v xml:space="preserve"> PENAMAX-60</v>
      </c>
      <c r="I327" s="15" t="str">
        <f>IFERROR(_xlfn.TEXTAFTER(TableGive[[#This Row],[SKU]],"-",-1),"")</f>
        <v>CH)</v>
      </c>
      <c r="J327" s="14">
        <f>'[1]2026 Orders'!H328</f>
        <v>277</v>
      </c>
      <c r="K327" t="str">
        <f>'[1]2026 Orders'!I328</f>
        <v>CH51-21.0</v>
      </c>
      <c r="L327">
        <f>'[1]2026 Orders'!J328</f>
        <v>277</v>
      </c>
      <c r="N327" s="10" t="str">
        <f>'[1]2026 Orders'!L328</f>
        <v>Rework</v>
      </c>
      <c r="O327">
        <f>'[1]2026 Orders'!M328</f>
        <v>0</v>
      </c>
      <c r="P327" t="str">
        <f>'[1]2026 Orders'!N328</f>
        <v>NA</v>
      </c>
      <c r="Q327">
        <f>'[1]2026 Orders'!O328</f>
        <v>604776738763</v>
      </c>
      <c r="R327">
        <f>'[1]2026 Orders'!P328</f>
        <v>0</v>
      </c>
      <c r="S327">
        <f>'[1]2026 Orders'!Q328</f>
        <v>0</v>
      </c>
      <c r="T327">
        <f>'[1]2026 Orders'!R328</f>
        <v>0</v>
      </c>
      <c r="U327">
        <f>'[1]2026 Orders'!S328</f>
        <v>0</v>
      </c>
      <c r="V327">
        <f>'[1]2026 Orders'!T328</f>
        <v>0</v>
      </c>
      <c r="W327">
        <f>'[1]2026 Orders'!U328</f>
        <v>0</v>
      </c>
      <c r="X327">
        <f>'[1]2026 Orders'!V328</f>
        <v>0</v>
      </c>
      <c r="Y327">
        <f>'[1]2026 Orders'!W328</f>
        <v>0</v>
      </c>
      <c r="Z327" t="str">
        <f>'[1]2026 Orders'!X328</f>
        <v>HOLD</v>
      </c>
      <c r="AC327" t="str">
        <f t="shared" si="10"/>
        <v>/277</v>
      </c>
      <c r="AD327" t="e">
        <f t="shared" si="11"/>
        <v>#VALUE!</v>
      </c>
    </row>
    <row r="328" spans="1:30" ht="33" hidden="1" customHeight="1" x14ac:dyDescent="0.3">
      <c r="A328">
        <f>'[1]2026 Orders'!A329</f>
        <v>46121</v>
      </c>
      <c r="B328" s="14" t="str">
        <f>'[1]2026 Orders'!B329</f>
        <v>Chad</v>
      </c>
      <c r="C328" s="14" t="str">
        <f>'[1]2026 Orders'!C329</f>
        <v>A4687</v>
      </c>
      <c r="D328" s="14" t="str">
        <f>'[1]2026 Orders'!D329</f>
        <v>4/15/2026: Proforma Invoice Confirmed</v>
      </c>
      <c r="E328" s="17" t="str" cm="1">
        <f t="array" ref="E328">IF(C328=0,"",
HYPERLINK(
"#'2026 Orders'!C"&amp;
MATCH(1,
('2026 Orders'!C:C=C328)*
('2026 Orders'!G:G=G328)*
('2026 Orders'!N:N=N328),
0),
"Open "&amp;C328
))</f>
        <v>Open A4687</v>
      </c>
      <c r="F328" s="14" t="str">
        <f>'[1]2026 Orders'!F329</f>
        <v>5/7/2026: qty increased from 1200 → 1290</v>
      </c>
      <c r="G328" s="14" t="str">
        <f>'[1]2026 Orders'!G329</f>
        <v>OSTEOPL-96-CS-CH</v>
      </c>
      <c r="H328" s="14" t="str" cm="1">
        <f t="array" ref="H328">IFERROR(_xlfn.TEXTJOIN("-",,INDEX(_xlfn.TEXTSPLIT(TableGive[[#This Row],[SKU]],"-"),{1,2})),"")</f>
        <v>OSTEOPL-96</v>
      </c>
      <c r="I328" s="15" t="str">
        <f>IFERROR(_xlfn.TEXTAFTER(TableGive[[#This Row],[SKU]],"-",-1),"")</f>
        <v>CH</v>
      </c>
      <c r="J328" s="14">
        <f>'[1]2026 Orders'!H329</f>
        <v>1290</v>
      </c>
      <c r="K328" t="str">
        <f>'[1]2026 Orders'!I329</f>
        <v>CH39-21.0</v>
      </c>
      <c r="L328">
        <f>'[1]2026 Orders'!J329</f>
        <v>1290</v>
      </c>
      <c r="N328" s="10" t="str">
        <f>'[1]2026 Orders'!L329</f>
        <v>Picked</v>
      </c>
      <c r="O328">
        <f>'[1]2026 Orders'!M329</f>
        <v>0</v>
      </c>
      <c r="P328" t="str">
        <f>'[1]2026 Orders'!N329</f>
        <v>NA</v>
      </c>
      <c r="Q328">
        <f>'[1]2026 Orders'!O329</f>
        <v>604776738749</v>
      </c>
      <c r="R328">
        <f>'[1]2026 Orders'!P329</f>
        <v>0</v>
      </c>
      <c r="S328">
        <f>'[1]2026 Orders'!Q329</f>
        <v>0</v>
      </c>
      <c r="T328">
        <f>'[1]2026 Orders'!R329</f>
        <v>0</v>
      </c>
      <c r="U328">
        <f>'[1]2026 Orders'!S329</f>
        <v>0</v>
      </c>
      <c r="V328">
        <f>'[1]2026 Orders'!T329</f>
        <v>0</v>
      </c>
      <c r="W328">
        <f>'[1]2026 Orders'!U329</f>
        <v>0</v>
      </c>
      <c r="X328">
        <f>'[1]2026 Orders'!V329</f>
        <v>0</v>
      </c>
      <c r="Y328">
        <f>'[1]2026 Orders'!W329</f>
        <v>0</v>
      </c>
      <c r="Z328">
        <f>'[1]2026 Orders'!X329</f>
        <v>0</v>
      </c>
      <c r="AC328" t="str">
        <f t="shared" si="10"/>
        <v>/1290</v>
      </c>
      <c r="AD328" t="e">
        <f t="shared" si="11"/>
        <v>#VALUE!</v>
      </c>
    </row>
    <row r="329" spans="1:30" ht="33" hidden="1" customHeight="1" x14ac:dyDescent="0.3">
      <c r="A329">
        <f>'[1]2026 Orders'!A330</f>
        <v>46121</v>
      </c>
      <c r="B329" s="14" t="str">
        <f>'[1]2026 Orders'!B330</f>
        <v>Chad</v>
      </c>
      <c r="C329" s="14" t="str">
        <f>'[1]2026 Orders'!C330</f>
        <v>A4687</v>
      </c>
      <c r="D329" s="14">
        <f>'[1]2026 Orders'!D330</f>
        <v>0</v>
      </c>
      <c r="E329" s="17" t="str" cm="1">
        <f t="array" ref="E329">IF(C329=0,"",
HYPERLINK(
"#'2026 Orders'!C"&amp;
MATCH(1,
('2026 Orders'!C:C=C329)*
('2026 Orders'!G:G=G329)*
('2026 Orders'!N:N=N329),
0),
"Open "&amp;C329
))</f>
        <v>Open A4687</v>
      </c>
      <c r="F329" s="14" t="str">
        <f>'[1]2026 Orders'!F330</f>
        <v>5/7/2026: qty increased from 240 → 270</v>
      </c>
      <c r="G329" s="14" t="str">
        <f>'[1]2026 Orders'!G330</f>
        <v>DHEA50-60-CS-CH</v>
      </c>
      <c r="H329" s="14" t="str" cm="1">
        <f t="array" ref="H329">IFERROR(_xlfn.TEXTJOIN("-",,INDEX(_xlfn.TEXTSPLIT(TableGive[[#This Row],[SKU]],"-"),{1,2})),"")</f>
        <v>DHEA50-60</v>
      </c>
      <c r="I329" s="15" t="str">
        <f>IFERROR(_xlfn.TEXTAFTER(TableGive[[#This Row],[SKU]],"-",-1),"")</f>
        <v>CH</v>
      </c>
      <c r="J329" s="14">
        <f>'[1]2026 Orders'!H330</f>
        <v>270</v>
      </c>
      <c r="K329" t="str">
        <f>'[1]2026 Orders'!I330</f>
        <v>CH13-21.0</v>
      </c>
      <c r="L329">
        <f>'[1]2026 Orders'!J330</f>
        <v>0</v>
      </c>
      <c r="N329" s="10" t="str">
        <f>'[1]2026 Orders'!L330</f>
        <v>In Production</v>
      </c>
      <c r="O329">
        <f>'[1]2026 Orders'!M330</f>
        <v>0</v>
      </c>
      <c r="P329" t="str">
        <f>'[1]2026 Orders'!N330</f>
        <v>NA</v>
      </c>
      <c r="Q329">
        <f>'[1]2026 Orders'!O330</f>
        <v>604776738695</v>
      </c>
      <c r="R329">
        <f>'[1]2026 Orders'!P330</f>
        <v>7000</v>
      </c>
      <c r="S329">
        <f>'[1]2026 Orders'!Q330</f>
        <v>5027</v>
      </c>
      <c r="T329">
        <f>'[1]2026 Orders'!R330</f>
        <v>46201</v>
      </c>
      <c r="U329">
        <f>'[1]2026 Orders'!S330</f>
        <v>0</v>
      </c>
      <c r="V329">
        <f>'[1]2026 Orders'!T330</f>
        <v>0</v>
      </c>
      <c r="W329">
        <f>'[1]2026 Orders'!U330</f>
        <v>0</v>
      </c>
      <c r="X329">
        <f>'[1]2026 Orders'!V330</f>
        <v>0</v>
      </c>
      <c r="Y329">
        <f>'[1]2026 Orders'!W330</f>
        <v>0</v>
      </c>
      <c r="Z329">
        <f>'[1]2026 Orders'!X330</f>
        <v>0</v>
      </c>
      <c r="AC329" t="str">
        <f t="shared" si="10"/>
        <v>/270</v>
      </c>
      <c r="AD329" t="e">
        <f t="shared" si="11"/>
        <v>#VALUE!</v>
      </c>
    </row>
    <row r="330" spans="1:30" ht="33" hidden="1" customHeight="1" x14ac:dyDescent="0.3">
      <c r="A330">
        <f>'[1]2026 Orders'!A331</f>
        <v>46121</v>
      </c>
      <c r="B330" s="14" t="str">
        <f>'[1]2026 Orders'!B331</f>
        <v>Chad</v>
      </c>
      <c r="C330" s="14" t="str">
        <f>'[1]2026 Orders'!C331</f>
        <v>A4687</v>
      </c>
      <c r="D330" s="14">
        <f>'[1]2026 Orders'!D331</f>
        <v>0</v>
      </c>
      <c r="E330" s="17" t="str" cm="1">
        <f t="array" ref="E330">IF(C330=0,"",
HYPERLINK(
"#'2026 Orders'!C"&amp;
MATCH(1,
('2026 Orders'!C:C=C330)*
('2026 Orders'!G:G=G330)*
('2026 Orders'!N:N=N330),
0),
"Open "&amp;C330
))</f>
        <v>Open A4687</v>
      </c>
      <c r="F330" s="14" t="str">
        <f>'[1]2026 Orders'!F331</f>
        <v>5/7/2026: qty increased from 600 → 636</v>
      </c>
      <c r="G330" s="14" t="str">
        <f>'[1]2026 Orders'!G331</f>
        <v>WFSPLS-180-CS-CH</v>
      </c>
      <c r="H330" s="14" t="str" cm="1">
        <f t="array" ref="H330">IFERROR(_xlfn.TEXTJOIN("-",,INDEX(_xlfn.TEXTSPLIT(TableGive[[#This Row],[SKU]],"-"),{1,2})),"")</f>
        <v>WFSPLS-180</v>
      </c>
      <c r="I330" s="15" t="str">
        <f>IFERROR(_xlfn.TEXTAFTER(TableGive[[#This Row],[SKU]],"-",-1),"")</f>
        <v>CH</v>
      </c>
      <c r="J330" s="14">
        <f>'[1]2026 Orders'!H331</f>
        <v>282</v>
      </c>
      <c r="K330" t="str">
        <f>'[1]2026 Orders'!I331</f>
        <v>CH73-21.0</v>
      </c>
      <c r="L330">
        <f>'[1]2026 Orders'!J331</f>
        <v>0</v>
      </c>
      <c r="N330" s="10" t="str">
        <f>'[1]2026 Orders'!L331</f>
        <v>Out of Stock</v>
      </c>
      <c r="O330">
        <f>'[1]2026 Orders'!M331</f>
        <v>0</v>
      </c>
      <c r="P330" t="str">
        <f>'[1]2026 Orders'!N331</f>
        <v>NA</v>
      </c>
      <c r="Q330">
        <f>'[1]2026 Orders'!O331</f>
        <v>604776738817</v>
      </c>
      <c r="R330">
        <f>'[1]2026 Orders'!P331</f>
        <v>0</v>
      </c>
      <c r="S330">
        <f>'[1]2026 Orders'!Q331</f>
        <v>0</v>
      </c>
      <c r="T330">
        <f>'[1]2026 Orders'!R331</f>
        <v>0</v>
      </c>
      <c r="U330">
        <f>'[1]2026 Orders'!S331</f>
        <v>0</v>
      </c>
      <c r="V330">
        <f>'[1]2026 Orders'!T331</f>
        <v>0</v>
      </c>
      <c r="W330">
        <f>'[1]2026 Orders'!U331</f>
        <v>0</v>
      </c>
      <c r="X330">
        <f>'[1]2026 Orders'!V331</f>
        <v>0</v>
      </c>
      <c r="Y330">
        <f>'[1]2026 Orders'!W331</f>
        <v>0</v>
      </c>
      <c r="Z330">
        <f>'[1]2026 Orders'!X331</f>
        <v>0</v>
      </c>
      <c r="AC330" t="str">
        <f t="shared" si="10"/>
        <v>/282</v>
      </c>
      <c r="AD330" t="e">
        <f t="shared" si="11"/>
        <v>#VALUE!</v>
      </c>
    </row>
    <row r="331" spans="1:30" ht="33" hidden="1" customHeight="1" x14ac:dyDescent="0.3">
      <c r="A331">
        <f>'[1]2026 Orders'!A332</f>
        <v>46121</v>
      </c>
      <c r="B331" s="14" t="str">
        <f>'[1]2026 Orders'!B332</f>
        <v>Chad</v>
      </c>
      <c r="C331" s="14" t="str">
        <f>'[1]2026 Orders'!C332</f>
        <v>A4687</v>
      </c>
      <c r="D331" s="14">
        <f>'[1]2026 Orders'!D332</f>
        <v>0</v>
      </c>
      <c r="E331" s="17" t="str" cm="1">
        <f t="array" ref="E331">IF(C331=0,"",
HYPERLINK(
"#'2026 Orders'!C"&amp;
MATCH(1,
('2026 Orders'!C:C=C331)*
('2026 Orders'!G:G=G331)*
('2026 Orders'!N:N=N331),
0),
"Open "&amp;C331
))</f>
        <v>Open A4687</v>
      </c>
      <c r="F331" s="14" t="str">
        <f>'[1]2026 Orders'!F332</f>
        <v>5/7/2026: qty increased from 600 → 636</v>
      </c>
      <c r="G331" s="14" t="str">
        <f>'[1]2026 Orders'!G332</f>
        <v>WFSPLS-180-CS-CH</v>
      </c>
      <c r="H331" s="14" t="str" cm="1">
        <f t="array" ref="H331">IFERROR(_xlfn.TEXTJOIN("-",,INDEX(_xlfn.TEXTSPLIT(TableGive[[#This Row],[SKU]],"-"),{1,2})),"")</f>
        <v>WFSPLS-180</v>
      </c>
      <c r="I331" s="15" t="str">
        <f>IFERROR(_xlfn.TEXTAFTER(TableGive[[#This Row],[SKU]],"-",-1),"")</f>
        <v>CH</v>
      </c>
      <c r="J331" s="14">
        <f>'[1]2026 Orders'!H332</f>
        <v>354</v>
      </c>
      <c r="K331" t="str">
        <f>'[1]2026 Orders'!I332</f>
        <v>CH73-21.0</v>
      </c>
      <c r="L331">
        <f>'[1]2026 Orders'!J332</f>
        <v>354</v>
      </c>
      <c r="N331" s="10" t="str">
        <f>'[1]2026 Orders'!L332</f>
        <v>Picked</v>
      </c>
      <c r="O331">
        <f>'[1]2026 Orders'!M332</f>
        <v>0</v>
      </c>
      <c r="P331" t="str">
        <f>'[1]2026 Orders'!N332</f>
        <v>NA</v>
      </c>
      <c r="Q331">
        <f>'[1]2026 Orders'!O332</f>
        <v>604776738817</v>
      </c>
      <c r="R331">
        <f>'[1]2026 Orders'!P332</f>
        <v>0</v>
      </c>
      <c r="S331">
        <f>'[1]2026 Orders'!Q332</f>
        <v>0</v>
      </c>
      <c r="T331">
        <f>'[1]2026 Orders'!R332</f>
        <v>0</v>
      </c>
      <c r="U331">
        <f>'[1]2026 Orders'!S332</f>
        <v>0</v>
      </c>
      <c r="V331">
        <f>'[1]2026 Orders'!T332</f>
        <v>0</v>
      </c>
      <c r="W331">
        <f>'[1]2026 Orders'!U332</f>
        <v>0</v>
      </c>
      <c r="X331">
        <f>'[1]2026 Orders'!V332</f>
        <v>0</v>
      </c>
      <c r="Y331">
        <f>'[1]2026 Orders'!W332</f>
        <v>0</v>
      </c>
      <c r="Z331">
        <f>'[1]2026 Orders'!X332</f>
        <v>0</v>
      </c>
      <c r="AC331" t="str">
        <f t="shared" si="10"/>
        <v>/354</v>
      </c>
      <c r="AD331" t="e">
        <f t="shared" si="11"/>
        <v>#VALUE!</v>
      </c>
    </row>
    <row r="332" spans="1:30" ht="33" hidden="1" customHeight="1" x14ac:dyDescent="0.3">
      <c r="A332">
        <f>'[1]2026 Orders'!A333</f>
        <v>46121</v>
      </c>
      <c r="B332" s="14" t="str">
        <f>'[1]2026 Orders'!B333</f>
        <v>Chad</v>
      </c>
      <c r="C332" s="14" t="str">
        <f>'[1]2026 Orders'!C333</f>
        <v>A4687</v>
      </c>
      <c r="D332" s="14">
        <f>'[1]2026 Orders'!D333</f>
        <v>0</v>
      </c>
      <c r="E332" s="17" t="str" cm="1">
        <f t="array" ref="E332">IF(C332=0,"",
HYPERLINK(
"#'2026 Orders'!C"&amp;
MATCH(1,
('2026 Orders'!C:C=C332)*
('2026 Orders'!G:G=G332)*
('2026 Orders'!N:N=N332),
0),
"Open "&amp;C332
))</f>
        <v>Open A4687</v>
      </c>
      <c r="F332" s="14" t="str">
        <f>'[1]2026 Orders'!F333</f>
        <v>5/7/2026: qty increased from 720 → 780</v>
      </c>
      <c r="G332" s="14" t="str">
        <f>'[1]2026 Orders'!G333</f>
        <v>MFSPLS-120-CS-CH</v>
      </c>
      <c r="H332" s="14" t="str" cm="1">
        <f t="array" ref="H332">IFERROR(_xlfn.TEXTJOIN("-",,INDEX(_xlfn.TEXTSPLIT(TableGive[[#This Row],[SKU]],"-"),{1,2})),"")</f>
        <v>MFSPLS-120</v>
      </c>
      <c r="I332" s="15" t="str">
        <f>IFERROR(_xlfn.TEXTAFTER(TableGive[[#This Row],[SKU]],"-",-1),"")</f>
        <v>CH</v>
      </c>
      <c r="J332" s="14">
        <f>'[1]2026 Orders'!H333</f>
        <v>780</v>
      </c>
      <c r="K332" t="str">
        <f>'[1]2026 Orders'!I333</f>
        <v>CH30-21.0</v>
      </c>
      <c r="L332">
        <f>'[1]2026 Orders'!J333</f>
        <v>0</v>
      </c>
      <c r="N332" s="10" t="str">
        <f>'[1]2026 Orders'!L333</f>
        <v>PO submitted</v>
      </c>
      <c r="O332">
        <f>'[1]2026 Orders'!M333</f>
        <v>0</v>
      </c>
      <c r="P332" t="str">
        <f>'[1]2026 Orders'!N333</f>
        <v>NA</v>
      </c>
      <c r="Q332">
        <f>'[1]2026 Orders'!O333</f>
        <v>604776738725</v>
      </c>
      <c r="R332" t="str">
        <f>'[1]2026 Orders'!P333</f>
        <v>300000 bulk</v>
      </c>
      <c r="S332">
        <f>'[1]2026 Orders'!Q333</f>
        <v>5064</v>
      </c>
      <c r="T332" t="str">
        <f>'[1]2026 Orders'!R333</f>
        <v>TBD</v>
      </c>
      <c r="U332" t="str">
        <f>'[1]2026 Orders'!S333</f>
        <v>Bulk PO Submitted, Pending ETA confirmation</v>
      </c>
      <c r="V332">
        <f>'[1]2026 Orders'!T333</f>
        <v>0</v>
      </c>
      <c r="W332">
        <f>'[1]2026 Orders'!U333</f>
        <v>0</v>
      </c>
      <c r="X332">
        <f>'[1]2026 Orders'!V333</f>
        <v>0</v>
      </c>
      <c r="Y332">
        <f>'[1]2026 Orders'!W333</f>
        <v>0</v>
      </c>
      <c r="Z332">
        <f>'[1]2026 Orders'!X333</f>
        <v>0</v>
      </c>
      <c r="AC332" t="str">
        <f t="shared" si="10"/>
        <v>/780</v>
      </c>
      <c r="AD332" t="e">
        <f t="shared" si="11"/>
        <v>#VALUE!</v>
      </c>
    </row>
    <row r="333" spans="1:30" ht="33" hidden="1" customHeight="1" x14ac:dyDescent="0.3">
      <c r="A333">
        <f>'[1]2026 Orders'!A334</f>
        <v>46121</v>
      </c>
      <c r="B333" s="14" t="str">
        <f>'[1]2026 Orders'!B334</f>
        <v>Chad</v>
      </c>
      <c r="C333" s="14" t="str">
        <f>'[1]2026 Orders'!C334</f>
        <v>A4687</v>
      </c>
      <c r="D333" s="14">
        <f>'[1]2026 Orders'!D334</f>
        <v>0</v>
      </c>
      <c r="E333" s="17" t="str" cm="1">
        <f t="array" ref="E333">IF(C333=0,"",
HYPERLINK(
"#'2026 Orders'!C"&amp;
MATCH(1,
('2026 Orders'!C:C=C333)*
('2026 Orders'!G:G=G333)*
('2026 Orders'!N:N=N333),
0),
"Open "&amp;C333
))</f>
        <v>Open A4687</v>
      </c>
      <c r="F333" s="14" t="str">
        <f>'[1]2026 Orders'!F334</f>
        <v>4/14/2026: SKU changed to FD
5/7/2026: qty increased from 1250 → 1351</v>
      </c>
      <c r="G333" s="14" t="str">
        <f>'[1]2026 Orders'!G334</f>
        <v>FLORA30-30-FD</v>
      </c>
      <c r="H333" s="14" t="str" cm="1">
        <f t="array" ref="H333">IFERROR(_xlfn.TEXTJOIN("-",,INDEX(_xlfn.TEXTSPLIT(TableGive[[#This Row],[SKU]],"-"),{1,2})),"")</f>
        <v>FLORA30-30</v>
      </c>
      <c r="I333" s="15" t="str">
        <f>IFERROR(_xlfn.TEXTAFTER(TableGive[[#This Row],[SKU]],"-",-1),"")</f>
        <v>FD</v>
      </c>
      <c r="J333" s="14">
        <f>'[1]2026 Orders'!H334</f>
        <v>1351</v>
      </c>
      <c r="K333" t="str">
        <f>'[1]2026 Orders'!I334</f>
        <v>CH18-26.0</v>
      </c>
      <c r="L333">
        <f>'[1]2026 Orders'!J334</f>
        <v>1351</v>
      </c>
      <c r="N333" s="10" t="str">
        <f>'[1]2026 Orders'!L334</f>
        <v>Rework</v>
      </c>
      <c r="O333">
        <f>'[1]2026 Orders'!M334</f>
        <v>0</v>
      </c>
      <c r="P333" t="str">
        <f>'[1]2026 Orders'!N334</f>
        <v>Y</v>
      </c>
      <c r="Q333" t="str">
        <f>'[1]2026 Orders'!O334</f>
        <v>609788968979</v>
      </c>
      <c r="R333">
        <f>'[1]2026 Orders'!P334</f>
        <v>0</v>
      </c>
      <c r="S333">
        <f>'[1]2026 Orders'!Q334</f>
        <v>0</v>
      </c>
      <c r="T333">
        <f>'[1]2026 Orders'!R334</f>
        <v>0</v>
      </c>
      <c r="U333">
        <f>'[1]2026 Orders'!S334</f>
        <v>0</v>
      </c>
      <c r="V333">
        <f>'[1]2026 Orders'!T334</f>
        <v>0</v>
      </c>
      <c r="W333">
        <f>'[1]2026 Orders'!U334</f>
        <v>0</v>
      </c>
      <c r="X333">
        <f>'[1]2026 Orders'!V334</f>
        <v>0</v>
      </c>
      <c r="Y333">
        <f>'[1]2026 Orders'!W334</f>
        <v>0</v>
      </c>
      <c r="Z333">
        <f>'[1]2026 Orders'!X334</f>
        <v>0</v>
      </c>
      <c r="AC333" t="str">
        <f t="shared" si="10"/>
        <v>/1351</v>
      </c>
      <c r="AD333" t="e">
        <f t="shared" si="11"/>
        <v>#VALUE!</v>
      </c>
    </row>
    <row r="334" spans="1:30" ht="33" hidden="1" customHeight="1" x14ac:dyDescent="0.3">
      <c r="A334">
        <f>'[1]2026 Orders'!A335</f>
        <v>46121</v>
      </c>
      <c r="B334" s="14" t="str">
        <f>'[1]2026 Orders'!B335</f>
        <v>Chad</v>
      </c>
      <c r="C334" s="14" t="str">
        <f>'[1]2026 Orders'!C335</f>
        <v>A4687</v>
      </c>
      <c r="D334" s="14">
        <f>'[1]2026 Orders'!D335</f>
        <v>0</v>
      </c>
      <c r="E334" s="17" t="str" cm="1">
        <f t="array" ref="E334">IF(C334=0,"",
HYPERLINK(
"#'2026 Orders'!C"&amp;
MATCH(1,
('2026 Orders'!C:C=C334)*
('2026 Orders'!G:G=G334)*
('2026 Orders'!N:N=N334),
0),
"Open "&amp;C334
))</f>
        <v>Open A4687</v>
      </c>
      <c r="F334" s="14" t="str">
        <f>'[1]2026 Orders'!F335</f>
        <v>Cannot take available lot (45130425)
5/7/2026: qty increased from 1000 → 1125</v>
      </c>
      <c r="G334" s="14" t="str">
        <f>'[1]2026 Orders'!G335</f>
        <v>PEDIAMU-50-FD</v>
      </c>
      <c r="H334" s="14" t="str" cm="1">
        <f t="array" ref="H334">IFERROR(_xlfn.TEXTJOIN("-",,INDEX(_xlfn.TEXTSPLIT(TableGive[[#This Row],[SKU]],"-"),{1,2})),"")</f>
        <v>PEDIAMU-50</v>
      </c>
      <c r="I334" s="15" t="str">
        <f>IFERROR(_xlfn.TEXTAFTER(TableGive[[#This Row],[SKU]],"-",-1),"")</f>
        <v>FD</v>
      </c>
      <c r="J334" s="14">
        <f>'[1]2026 Orders'!H335</f>
        <v>1125</v>
      </c>
      <c r="K334" t="str">
        <f>'[1]2026 Orders'!I335</f>
        <v>F49-24.1</v>
      </c>
      <c r="L334">
        <f>'[1]2026 Orders'!J335</f>
        <v>0</v>
      </c>
      <c r="N334" s="10" t="str">
        <f>'[1]2026 Orders'!L335</f>
        <v>Not Meet MOQ</v>
      </c>
      <c r="O334" t="str">
        <f>'[1]2026 Orders'!M335</f>
        <v>Lot:45130425</v>
      </c>
      <c r="P334" t="str">
        <f>'[1]2026 Orders'!N335</f>
        <v>Y</v>
      </c>
      <c r="Q334">
        <f>'[1]2026 Orders'!O335</f>
        <v>810131199661</v>
      </c>
      <c r="R334">
        <f>'[1]2026 Orders'!P335</f>
        <v>0</v>
      </c>
      <c r="S334">
        <f>'[1]2026 Orders'!Q335</f>
        <v>0</v>
      </c>
      <c r="T334">
        <f>'[1]2026 Orders'!R335</f>
        <v>0</v>
      </c>
      <c r="U334">
        <f>'[1]2026 Orders'!S335</f>
        <v>0</v>
      </c>
      <c r="V334">
        <f>'[1]2026 Orders'!T335</f>
        <v>0</v>
      </c>
      <c r="W334">
        <f>'[1]2026 Orders'!U335</f>
        <v>0</v>
      </c>
      <c r="X334">
        <f>'[1]2026 Orders'!V335</f>
        <v>0</v>
      </c>
      <c r="Y334">
        <f>'[1]2026 Orders'!W335</f>
        <v>0</v>
      </c>
      <c r="Z334">
        <f>'[1]2026 Orders'!X335</f>
        <v>0</v>
      </c>
      <c r="AC334" t="str">
        <f t="shared" si="10"/>
        <v>/1125</v>
      </c>
      <c r="AD334" t="e">
        <f t="shared" si="11"/>
        <v>#VALUE!</v>
      </c>
    </row>
    <row r="335" spans="1:30" ht="33" hidden="1" customHeight="1" x14ac:dyDescent="0.3">
      <c r="A335">
        <f>'[1]2026 Orders'!A336</f>
        <v>46121</v>
      </c>
      <c r="B335" s="14" t="str">
        <f>'[1]2026 Orders'!B336</f>
        <v>Chad</v>
      </c>
      <c r="C335" s="14" t="str">
        <f>'[1]2026 Orders'!C336</f>
        <v>A4687</v>
      </c>
      <c r="D335" s="14">
        <f>'[1]2026 Orders'!D336</f>
        <v>0</v>
      </c>
      <c r="E335" s="17" t="str" cm="1">
        <f t="array" ref="E335">IF(C335=0,"",
HYPERLINK(
"#'2026 Orders'!C"&amp;
MATCH(1,
('2026 Orders'!C:C=C335)*
('2026 Orders'!G:G=G335)*
('2026 Orders'!N:N=N335),
0),
"Open "&amp;C335
))</f>
        <v>Open A4687</v>
      </c>
      <c r="F335" s="14" t="str">
        <f>'[1]2026 Orders'!F336</f>
        <v>5/7/2026: qty increased from 2000 → 2100</v>
      </c>
      <c r="G335" s="14" t="str">
        <f>'[1]2026 Orders'!G336</f>
        <v>PEDIAZI-50-FD</v>
      </c>
      <c r="H335" s="14" t="str" cm="1">
        <f t="array" ref="H335">IFERROR(_xlfn.TEXTJOIN("-",,INDEX(_xlfn.TEXTSPLIT(TableGive[[#This Row],[SKU]],"-"),{1,2})),"")</f>
        <v>PEDIAZI-50</v>
      </c>
      <c r="I335" s="15" t="str">
        <f>IFERROR(_xlfn.TEXTAFTER(TableGive[[#This Row],[SKU]],"-",-1),"")</f>
        <v>FD</v>
      </c>
      <c r="J335" s="14">
        <f>'[1]2026 Orders'!H336</f>
        <v>2100</v>
      </c>
      <c r="K335" t="str">
        <f>'[1]2026 Orders'!I336</f>
        <v>F50-26.0</v>
      </c>
      <c r="L335">
        <f>'[1]2026 Orders'!J336</f>
        <v>0</v>
      </c>
      <c r="N335" s="10" t="str">
        <f>'[1]2026 Orders'!L336</f>
        <v>PO submitted</v>
      </c>
      <c r="O335">
        <f>'[1]2026 Orders'!M336</f>
        <v>0</v>
      </c>
      <c r="P335" t="str">
        <f>'[1]2026 Orders'!N336</f>
        <v>Y</v>
      </c>
      <c r="Q335">
        <f>'[1]2026 Orders'!O336</f>
        <v>0</v>
      </c>
      <c r="R335">
        <f>'[1]2026 Orders'!P336</f>
        <v>5000</v>
      </c>
      <c r="S335">
        <f>'[1]2026 Orders'!Q336</f>
        <v>4978</v>
      </c>
      <c r="T335" t="str">
        <f>'[1]2026 Orders'!R336</f>
        <v>TBD</v>
      </c>
      <c r="U335" t="str">
        <f>'[1]2026 Orders'!S336</f>
        <v>Waiting for IFC to start production.</v>
      </c>
      <c r="V335">
        <f>'[1]2026 Orders'!T336</f>
        <v>0</v>
      </c>
      <c r="W335">
        <f>'[1]2026 Orders'!U336</f>
        <v>0</v>
      </c>
      <c r="X335">
        <f>'[1]2026 Orders'!V336</f>
        <v>0</v>
      </c>
      <c r="Y335">
        <f>'[1]2026 Orders'!W336</f>
        <v>0</v>
      </c>
      <c r="Z335">
        <f>'[1]2026 Orders'!X336</f>
        <v>0</v>
      </c>
      <c r="AC335" t="str">
        <f t="shared" si="10"/>
        <v>/2100</v>
      </c>
      <c r="AD335" t="e">
        <f t="shared" si="11"/>
        <v>#VALUE!</v>
      </c>
    </row>
    <row r="336" spans="1:30" ht="33" hidden="1" customHeight="1" x14ac:dyDescent="0.3">
      <c r="A336">
        <f>'[1]2026 Orders'!A337</f>
        <v>46121</v>
      </c>
      <c r="B336" s="14" t="str">
        <f>'[1]2026 Orders'!B337</f>
        <v>Chad</v>
      </c>
      <c r="C336" s="14" t="str">
        <f>'[1]2026 Orders'!C337</f>
        <v>A4687</v>
      </c>
      <c r="D336" s="14">
        <f>'[1]2026 Orders'!D337</f>
        <v>0</v>
      </c>
      <c r="E336" s="17" t="str" cm="1">
        <f t="array" ref="E336">IF(C336=0,"",
HYPERLINK(
"#'2026 Orders'!C"&amp;
MATCH(1,
('2026 Orders'!C:C=C336)*
('2026 Orders'!G:G=G336)*
('2026 Orders'!N:N=N336),
0),
"Open "&amp;C336
))</f>
        <v>Open A4687</v>
      </c>
      <c r="F336" s="14" t="str">
        <f>'[1]2026 Orders'!F337</f>
        <v>4/14/2026: SKU changed to FD
5/7/2026: qty increased from 480 → 504</v>
      </c>
      <c r="G336" s="14" t="str">
        <f>'[1]2026 Orders'!G337</f>
        <v>OMEGA3-60-FD</v>
      </c>
      <c r="H336" s="14" t="str" cm="1">
        <f t="array" ref="H336">IFERROR(_xlfn.TEXTJOIN("-",,INDEX(_xlfn.TEXTSPLIT(TableGive[[#This Row],[SKU]],"-"),{1,2})),"")</f>
        <v>OMEGA3-60</v>
      </c>
      <c r="I336" s="15" t="str">
        <f>IFERROR(_xlfn.TEXTAFTER(TableGive[[#This Row],[SKU]],"-",-1),"")</f>
        <v>FD</v>
      </c>
      <c r="J336" s="14">
        <f>'[1]2026 Orders'!H337</f>
        <v>504</v>
      </c>
      <c r="K336" t="str">
        <f>'[1]2026 Orders'!I337</f>
        <v>F37-26.0</v>
      </c>
      <c r="L336">
        <f>'[1]2026 Orders'!J337</f>
        <v>0</v>
      </c>
      <c r="N336" s="10" t="str">
        <f>'[1]2026 Orders'!L337</f>
        <v>In Production</v>
      </c>
      <c r="O336">
        <f>'[1]2026 Orders'!M337</f>
        <v>0</v>
      </c>
      <c r="P336" t="str">
        <f>'[1]2026 Orders'!N337</f>
        <v>Y</v>
      </c>
      <c r="Q336">
        <f>'[1]2026 Orders'!O337</f>
        <v>810131199531</v>
      </c>
      <c r="R336">
        <f>'[1]2026 Orders'!P337</f>
        <v>10232</v>
      </c>
      <c r="S336">
        <f>'[1]2026 Orders'!Q337</f>
        <v>5069</v>
      </c>
      <c r="T336">
        <f>'[1]2026 Orders'!R337</f>
        <v>46223</v>
      </c>
      <c r="U336" t="str">
        <f>'[1]2026 Orders'!S337</f>
        <v>Order placed with Genova, pulling from Iraq allocation</v>
      </c>
      <c r="V336">
        <f>'[1]2026 Orders'!T337</f>
        <v>0</v>
      </c>
      <c r="W336">
        <f>'[1]2026 Orders'!U337</f>
        <v>0</v>
      </c>
      <c r="X336">
        <f>'[1]2026 Orders'!V337</f>
        <v>0</v>
      </c>
      <c r="Y336">
        <f>'[1]2026 Orders'!W337</f>
        <v>0</v>
      </c>
      <c r="Z336">
        <f>'[1]2026 Orders'!X337</f>
        <v>0</v>
      </c>
      <c r="AC336" t="str">
        <f t="shared" si="10"/>
        <v>/504</v>
      </c>
      <c r="AD336" t="e">
        <f t="shared" si="11"/>
        <v>#VALUE!</v>
      </c>
    </row>
    <row r="337" spans="1:30" ht="33" hidden="1" customHeight="1" x14ac:dyDescent="0.3">
      <c r="A337">
        <f>'[1]2026 Orders'!A338</f>
        <v>46121</v>
      </c>
      <c r="B337" s="14" t="str">
        <f>'[1]2026 Orders'!B338</f>
        <v>Chad</v>
      </c>
      <c r="C337" s="14" t="str">
        <f>'[1]2026 Orders'!C338</f>
        <v>A4687</v>
      </c>
      <c r="D337" s="14">
        <f>'[1]2026 Orders'!D338</f>
        <v>0</v>
      </c>
      <c r="E337" s="17" t="str" cm="1">
        <f t="array" ref="E337">IF(C337=0,"",
HYPERLINK(
"#'2026 Orders'!C"&amp;
MATCH(1,
('2026 Orders'!C:C=C337)*
('2026 Orders'!G:G=G337)*
('2026 Orders'!N:N=N337),
0),
"Open "&amp;C337
))</f>
        <v>Open A4687</v>
      </c>
      <c r="F337" s="14" t="str">
        <f>'[1]2026 Orders'!F338</f>
        <v>4/14/2026: SKU changed to FD
5/7/2026: qty increased from 360 → 378</v>
      </c>
      <c r="G337" s="14" t="str">
        <f>'[1]2026 Orders'!G338</f>
        <v>UTIC-60-FD</v>
      </c>
      <c r="H337" s="14" t="str" cm="1">
        <f t="array" ref="H337">IFERROR(_xlfn.TEXTJOIN("-",,INDEX(_xlfn.TEXTSPLIT(TableGive[[#This Row],[SKU]],"-"),{1,2})),"")</f>
        <v>UTIC-60</v>
      </c>
      <c r="I337" s="15" t="str">
        <f>IFERROR(_xlfn.TEXTAFTER(TableGive[[#This Row],[SKU]],"-",-1),"")</f>
        <v>FD</v>
      </c>
      <c r="J337" s="14">
        <f>'[1]2026 Orders'!H338</f>
        <v>378</v>
      </c>
      <c r="K337" t="str">
        <f>'[1]2026 Orders'!I338</f>
        <v>F110-25.0</v>
      </c>
      <c r="L337">
        <f>'[1]2026 Orders'!J338</f>
        <v>378</v>
      </c>
      <c r="N337" s="10" t="str">
        <f>'[1]2026 Orders'!L338</f>
        <v>Rework</v>
      </c>
      <c r="O337">
        <f>'[1]2026 Orders'!M338</f>
        <v>0</v>
      </c>
      <c r="P337" t="str">
        <f>'[1]2026 Orders'!N338</f>
        <v>NA</v>
      </c>
      <c r="Q337" t="str">
        <f>'[1]2026 Orders'!O338</f>
        <v>810131192983</v>
      </c>
      <c r="R337">
        <f>'[1]2026 Orders'!P338</f>
        <v>4000</v>
      </c>
      <c r="S337">
        <f>'[1]2026 Orders'!Q338</f>
        <v>4973</v>
      </c>
      <c r="T337" t="str">
        <f>'[1]2026 Orders'!R338</f>
        <v>Complete</v>
      </c>
      <c r="U337" t="str">
        <f>'[1]2026 Orders'!S338</f>
        <v>Waiting for PL and sample approval</v>
      </c>
      <c r="V337">
        <f>'[1]2026 Orders'!T338</f>
        <v>0</v>
      </c>
      <c r="W337">
        <f>'[1]2026 Orders'!U338</f>
        <v>0</v>
      </c>
      <c r="X337">
        <f>'[1]2026 Orders'!V338</f>
        <v>0</v>
      </c>
      <c r="Y337">
        <f>'[1]2026 Orders'!W338</f>
        <v>0</v>
      </c>
      <c r="Z337">
        <f>'[1]2026 Orders'!X338</f>
        <v>0</v>
      </c>
      <c r="AC337" t="str">
        <f t="shared" si="10"/>
        <v>/378</v>
      </c>
      <c r="AD337" t="e">
        <f t="shared" si="11"/>
        <v>#VALUE!</v>
      </c>
    </row>
    <row r="338" spans="1:30" ht="33" hidden="1" customHeight="1" x14ac:dyDescent="0.3">
      <c r="A338">
        <f>'[1]2026 Orders'!A339</f>
        <v>46121</v>
      </c>
      <c r="B338" s="14" t="str">
        <f>'[1]2026 Orders'!B339</f>
        <v>Chad</v>
      </c>
      <c r="C338" s="14" t="str">
        <f>'[1]2026 Orders'!C339</f>
        <v>A4687</v>
      </c>
      <c r="D338" s="14">
        <f>'[1]2026 Orders'!D339</f>
        <v>0</v>
      </c>
      <c r="E338" s="17" t="str" cm="1">
        <f t="array" ref="E338">IF(C338=0,"",
HYPERLINK(
"#'2026 Orders'!C"&amp;
MATCH(1,
('2026 Orders'!C:C=C338)*
('2026 Orders'!G:G=G338)*
('2026 Orders'!N:N=N338),
0),
"Open "&amp;C338
))</f>
        <v>Open A4687</v>
      </c>
      <c r="F338" s="14" t="str">
        <f>'[1]2026 Orders'!F339</f>
        <v>4/14/2026: SKU changed to FD
5/7/2026: qty increased from 
60 → 63</v>
      </c>
      <c r="G338" s="14" t="str">
        <f>'[1]2026 Orders'!G339</f>
        <v>METRIO-60-FD</v>
      </c>
      <c r="H338" s="14" t="str" cm="1">
        <f t="array" ref="H338">IFERROR(_xlfn.TEXTJOIN("-",,INDEX(_xlfn.TEXTSPLIT(TableGive[[#This Row],[SKU]],"-"),{1,2})),"")</f>
        <v>METRIO-60</v>
      </c>
      <c r="I338" s="15" t="str">
        <f>IFERROR(_xlfn.TEXTAFTER(TableGive[[#This Row],[SKU]],"-",-1),"")</f>
        <v>FD</v>
      </c>
      <c r="J338" s="14">
        <f>'[1]2026 Orders'!H339</f>
        <v>63</v>
      </c>
      <c r="K338" t="str">
        <f>'[1]2026 Orders'!I339</f>
        <v>F28-25.0</v>
      </c>
      <c r="L338">
        <f>'[1]2026 Orders'!J339</f>
        <v>63</v>
      </c>
      <c r="N338" s="10" t="str">
        <f>'[1]2026 Orders'!L339</f>
        <v>Rework</v>
      </c>
      <c r="O338">
        <f>'[1]2026 Orders'!M339</f>
        <v>0</v>
      </c>
      <c r="P338" t="str">
        <f>'[1]2026 Orders'!N339</f>
        <v>NA</v>
      </c>
      <c r="Q338">
        <f>'[1]2026 Orders'!O339</f>
        <v>609788968481</v>
      </c>
      <c r="R338">
        <f>'[1]2026 Orders'!P339</f>
        <v>0</v>
      </c>
      <c r="S338">
        <f>'[1]2026 Orders'!Q339</f>
        <v>0</v>
      </c>
      <c r="T338">
        <f>'[1]2026 Orders'!R339</f>
        <v>0</v>
      </c>
      <c r="U338">
        <f>'[1]2026 Orders'!S339</f>
        <v>0</v>
      </c>
      <c r="V338">
        <f>'[1]2026 Orders'!T339</f>
        <v>0</v>
      </c>
      <c r="W338">
        <f>'[1]2026 Orders'!U339</f>
        <v>0</v>
      </c>
      <c r="X338">
        <f>'[1]2026 Orders'!V339</f>
        <v>0</v>
      </c>
      <c r="Y338">
        <f>'[1]2026 Orders'!W339</f>
        <v>0</v>
      </c>
      <c r="Z338">
        <f>'[1]2026 Orders'!X339</f>
        <v>0</v>
      </c>
      <c r="AC338" t="str">
        <f t="shared" si="10"/>
        <v>/63</v>
      </c>
      <c r="AD338" t="e">
        <f t="shared" si="11"/>
        <v>#VALUE!</v>
      </c>
    </row>
    <row r="339" spans="1:30" ht="33" hidden="1" customHeight="1" x14ac:dyDescent="0.3">
      <c r="A339">
        <f>'[1]2026 Orders'!A340</f>
        <v>46121</v>
      </c>
      <c r="B339" s="14" t="str">
        <f>'[1]2026 Orders'!B340</f>
        <v>Chad</v>
      </c>
      <c r="C339" s="14" t="str">
        <f>'[1]2026 Orders'!C340</f>
        <v>A4687</v>
      </c>
      <c r="D339" s="14">
        <f>'[1]2026 Orders'!D340</f>
        <v>0</v>
      </c>
      <c r="E339" s="17" t="str" cm="1">
        <f t="array" ref="E339">IF(C339=0,"",
HYPERLINK(
"#'2026 Orders'!C"&amp;
MATCH(1,
('2026 Orders'!C:C=C339)*
('2026 Orders'!G:G=G339)*
('2026 Orders'!N:N=N339),
0),
"Open "&amp;C339
))</f>
        <v>Open A4687</v>
      </c>
      <c r="F339" s="14" t="str">
        <f>'[1]2026 Orders'!F340</f>
        <v>4/14/2026: SKU changed to FD
5/7/2026: qty increased from 120 → 126</v>
      </c>
      <c r="G339" s="14" t="str">
        <f>'[1]2026 Orders'!G340</f>
        <v>VIVAWOM-60-FD</v>
      </c>
      <c r="H339" s="14" t="str" cm="1">
        <f t="array" ref="H339">IFERROR(_xlfn.TEXTJOIN("-",,INDEX(_xlfn.TEXTSPLIT(TableGive[[#This Row],[SKU]],"-"),{1,2})),"")</f>
        <v>VIVAWOM-60</v>
      </c>
      <c r="I339" s="15" t="str">
        <f>IFERROR(_xlfn.TEXTAFTER(TableGive[[#This Row],[SKU]],"-",-1),"")</f>
        <v>FD</v>
      </c>
      <c r="J339" s="14">
        <f>'[1]2026 Orders'!H340</f>
        <v>126</v>
      </c>
      <c r="K339" t="str">
        <f>'[1]2026 Orders'!I340</f>
        <v>F90-25.0</v>
      </c>
      <c r="L339">
        <f>'[1]2026 Orders'!J340</f>
        <v>126</v>
      </c>
      <c r="N339" s="10" t="str">
        <f>'[1]2026 Orders'!L340</f>
        <v>Rework</v>
      </c>
      <c r="O339">
        <f>'[1]2026 Orders'!M340</f>
        <v>0</v>
      </c>
      <c r="P339" t="str">
        <f>'[1]2026 Orders'!N340</f>
        <v>Y</v>
      </c>
      <c r="Q339" t="str">
        <f>'[1]2026 Orders'!O340</f>
        <v>604776738640</v>
      </c>
      <c r="R339">
        <f>'[1]2026 Orders'!P340</f>
        <v>0</v>
      </c>
      <c r="S339">
        <f>'[1]2026 Orders'!Q340</f>
        <v>0</v>
      </c>
      <c r="T339">
        <f>'[1]2026 Orders'!R340</f>
        <v>0</v>
      </c>
      <c r="U339">
        <f>'[1]2026 Orders'!S340</f>
        <v>0</v>
      </c>
      <c r="V339">
        <f>'[1]2026 Orders'!T340</f>
        <v>0</v>
      </c>
      <c r="W339">
        <f>'[1]2026 Orders'!U340</f>
        <v>0</v>
      </c>
      <c r="X339">
        <f>'[1]2026 Orders'!V340</f>
        <v>0</v>
      </c>
      <c r="Y339">
        <f>'[1]2026 Orders'!W340</f>
        <v>0</v>
      </c>
      <c r="Z339">
        <f>'[1]2026 Orders'!X340</f>
        <v>0</v>
      </c>
      <c r="AC339" t="str">
        <f t="shared" si="10"/>
        <v>/126</v>
      </c>
      <c r="AD339" t="e">
        <f t="shared" si="11"/>
        <v>#VALUE!</v>
      </c>
    </row>
    <row r="340" spans="1:30" ht="33" hidden="1" customHeight="1" x14ac:dyDescent="0.3">
      <c r="A340">
        <f>'[1]2026 Orders'!A341</f>
        <v>46149</v>
      </c>
      <c r="B340" s="14" t="str">
        <f>'[1]2026 Orders'!B341</f>
        <v>Chad</v>
      </c>
      <c r="C340" s="14" t="str">
        <f>'[1]2026 Orders'!C341</f>
        <v>A4687</v>
      </c>
      <c r="D340" s="14">
        <f>'[1]2026 Orders'!D341</f>
        <v>0</v>
      </c>
      <c r="E340" s="17" t="str" cm="1">
        <f t="array" ref="E340">IF(C340=0,"",
HYPERLINK(
"#'2026 Orders'!C"&amp;
MATCH(1,
('2026 Orders'!C:C=C340)*
('2026 Orders'!G:G=G340)*
('2026 Orders'!N:N=N340),
0),
"Open "&amp;C340
))</f>
        <v>Open A4687</v>
      </c>
      <c r="F340" s="14" t="str">
        <f>'[1]2026 Orders'!F341</f>
        <v>5/7/2026: Product added</v>
      </c>
      <c r="G340" s="14" t="str">
        <f>'[1]2026 Orders'!G341</f>
        <v>FIBRO-60-CS-CH</v>
      </c>
      <c r="H340" s="14" t="str" cm="1">
        <f t="array" ref="H340">IFERROR(_xlfn.TEXTJOIN("-",,INDEX(_xlfn.TEXTSPLIT(TableGive[[#This Row],[SKU]],"-"),{1,2})),"")</f>
        <v>FIBRO-60</v>
      </c>
      <c r="I340" s="15" t="str">
        <f>IFERROR(_xlfn.TEXTAFTER(TableGive[[#This Row],[SKU]],"-",-1),"")</f>
        <v>CH</v>
      </c>
      <c r="J340" s="14">
        <f>'[1]2026 Orders'!H341</f>
        <v>12</v>
      </c>
      <c r="K340" t="str">
        <f>'[1]2026 Orders'!I341</f>
        <v>CH17-21.0</v>
      </c>
      <c r="L340">
        <f>'[1]2026 Orders'!J341</f>
        <v>12</v>
      </c>
      <c r="N340" s="10" t="str">
        <f>'[1]2026 Orders'!L341</f>
        <v>Rework</v>
      </c>
      <c r="O340">
        <f>'[1]2026 Orders'!M341</f>
        <v>0</v>
      </c>
      <c r="P340" t="str">
        <f>'[1]2026 Orders'!N341</f>
        <v>NA</v>
      </c>
      <c r="Q340">
        <f>'[1]2026 Orders'!O341</f>
        <v>604776738701</v>
      </c>
      <c r="R340">
        <f>'[1]2026 Orders'!P341</f>
        <v>0</v>
      </c>
      <c r="S340">
        <f>'[1]2026 Orders'!Q341</f>
        <v>0</v>
      </c>
      <c r="T340">
        <f>'[1]2026 Orders'!R341</f>
        <v>0</v>
      </c>
      <c r="U340">
        <f>'[1]2026 Orders'!S341</f>
        <v>0</v>
      </c>
      <c r="V340">
        <f>'[1]2026 Orders'!T341</f>
        <v>0</v>
      </c>
      <c r="W340">
        <f>'[1]2026 Orders'!U341</f>
        <v>0</v>
      </c>
      <c r="X340">
        <f>'[1]2026 Orders'!V341</f>
        <v>0</v>
      </c>
      <c r="Y340">
        <f>'[1]2026 Orders'!W341</f>
        <v>0</v>
      </c>
      <c r="Z340">
        <f>'[1]2026 Orders'!X341</f>
        <v>0</v>
      </c>
      <c r="AC340" t="str">
        <f t="shared" si="10"/>
        <v>/12</v>
      </c>
      <c r="AD340" t="e">
        <f t="shared" si="11"/>
        <v>#VALUE!</v>
      </c>
    </row>
    <row r="341" spans="1:30" ht="33" hidden="1" customHeight="1" x14ac:dyDescent="0.3">
      <c r="A341">
        <f>'[1]2026 Orders'!A342</f>
        <v>46149</v>
      </c>
      <c r="B341" s="14" t="str">
        <f>'[1]2026 Orders'!B342</f>
        <v>Chad</v>
      </c>
      <c r="C341" s="14" t="str">
        <f>'[1]2026 Orders'!C342</f>
        <v>A4687</v>
      </c>
      <c r="D341" s="14">
        <f>'[1]2026 Orders'!D342</f>
        <v>0</v>
      </c>
      <c r="E341" s="17" t="str" cm="1">
        <f t="array" ref="E341">IF(C341=0,"",
HYPERLINK(
"#'2026 Orders'!C"&amp;
MATCH(1,
('2026 Orders'!C:C=C341)*
('2026 Orders'!G:G=G341)*
('2026 Orders'!N:N=N341),
0),
"Open "&amp;C341
))</f>
        <v>Open A4687</v>
      </c>
      <c r="F341" s="14" t="str">
        <f>'[1]2026 Orders'!F342</f>
        <v>5/7/2026: Product added</v>
      </c>
      <c r="G341" s="14" t="str">
        <f>'[1]2026 Orders'!G342</f>
        <v>OVAMAX-120-CS-CH</v>
      </c>
      <c r="H341" s="14" t="str" cm="1">
        <f t="array" ref="H341">IFERROR(_xlfn.TEXTJOIN("-",,INDEX(_xlfn.TEXTSPLIT(TableGive[[#This Row],[SKU]],"-"),{1,2})),"")</f>
        <v>OVAMAX-120</v>
      </c>
      <c r="I341" s="15" t="str">
        <f>IFERROR(_xlfn.TEXTAFTER(TableGive[[#This Row],[SKU]],"-",-1),"")</f>
        <v>CH</v>
      </c>
      <c r="J341" s="14">
        <f>'[1]2026 Orders'!H342</f>
        <v>18</v>
      </c>
      <c r="K341" t="str">
        <f>'[1]2026 Orders'!I342</f>
        <v>CH41-21.0</v>
      </c>
      <c r="L341">
        <f>'[1]2026 Orders'!J342</f>
        <v>18</v>
      </c>
      <c r="N341" s="10" t="str">
        <f>'[1]2026 Orders'!L342</f>
        <v>Rework</v>
      </c>
      <c r="O341">
        <f>'[1]2026 Orders'!M342</f>
        <v>0</v>
      </c>
      <c r="P341" t="str">
        <f>'[1]2026 Orders'!N342</f>
        <v>NA</v>
      </c>
      <c r="Q341">
        <f>'[1]2026 Orders'!O342</f>
        <v>604776738732</v>
      </c>
      <c r="R341">
        <f>'[1]2026 Orders'!P342</f>
        <v>0</v>
      </c>
      <c r="S341">
        <f>'[1]2026 Orders'!Q342</f>
        <v>0</v>
      </c>
      <c r="T341">
        <f>'[1]2026 Orders'!R342</f>
        <v>0</v>
      </c>
      <c r="U341">
        <f>'[1]2026 Orders'!S342</f>
        <v>0</v>
      </c>
      <c r="V341">
        <f>'[1]2026 Orders'!T342</f>
        <v>0</v>
      </c>
      <c r="W341">
        <f>'[1]2026 Orders'!U342</f>
        <v>0</v>
      </c>
      <c r="X341">
        <f>'[1]2026 Orders'!V342</f>
        <v>0</v>
      </c>
      <c r="Y341">
        <f>'[1]2026 Orders'!W342</f>
        <v>0</v>
      </c>
      <c r="Z341">
        <f>'[1]2026 Orders'!X342</f>
        <v>0</v>
      </c>
      <c r="AC341" t="str">
        <f t="shared" si="10"/>
        <v>/18</v>
      </c>
      <c r="AD341" t="e">
        <f t="shared" si="11"/>
        <v>#VALUE!</v>
      </c>
    </row>
    <row r="342" spans="1:30" ht="33" hidden="1" customHeight="1" x14ac:dyDescent="0.3">
      <c r="A342">
        <f>'[1]2026 Orders'!A343</f>
        <v>46149</v>
      </c>
      <c r="B342" s="14" t="str">
        <f>'[1]2026 Orders'!B343</f>
        <v>Chad</v>
      </c>
      <c r="C342" s="14" t="str">
        <f>'[1]2026 Orders'!C343</f>
        <v>A4687</v>
      </c>
      <c r="D342" s="14">
        <f>'[1]2026 Orders'!D343</f>
        <v>0</v>
      </c>
      <c r="E342" s="17" t="str" cm="1">
        <f t="array" ref="E342">IF(C342=0,"",
HYPERLINK(
"#'2026 Orders'!C"&amp;
MATCH(1,
('2026 Orders'!C:C=C342)*
('2026 Orders'!G:G=G342)*
('2026 Orders'!N:N=N342),
0),
"Open "&amp;C342
))</f>
        <v>Open A4687</v>
      </c>
      <c r="F342" s="14" t="str">
        <f>'[1]2026 Orders'!F343</f>
        <v>5/7/2026: Product added</v>
      </c>
      <c r="G342" s="14" t="str">
        <f>'[1]2026 Orders'!G343</f>
        <v>PRECON-180-CS-CH</v>
      </c>
      <c r="H342" s="14" t="str" cm="1">
        <f t="array" ref="H342">IFERROR(_xlfn.TEXTJOIN("-",,INDEX(_xlfn.TEXTSPLIT(TableGive[[#This Row],[SKU]],"-"),{1,2})),"")</f>
        <v>PRECON-180</v>
      </c>
      <c r="I342" s="15" t="str">
        <f>IFERROR(_xlfn.TEXTAFTER(TableGive[[#This Row],[SKU]],"-",-1),"")</f>
        <v>CH</v>
      </c>
      <c r="J342" s="14">
        <f>'[1]2026 Orders'!H343</f>
        <v>24</v>
      </c>
      <c r="K342" t="str">
        <f>'[1]2026 Orders'!I343</f>
        <v>CH55-21.0</v>
      </c>
      <c r="L342">
        <f>'[1]2026 Orders'!J343</f>
        <v>0</v>
      </c>
      <c r="N342" s="10" t="str">
        <f>'[1]2026 Orders'!L343</f>
        <v>In Production</v>
      </c>
      <c r="O342">
        <f>'[1]2026 Orders'!M343</f>
        <v>0</v>
      </c>
      <c r="P342" t="str">
        <f>'[1]2026 Orders'!N343</f>
        <v>NA</v>
      </c>
      <c r="Q342">
        <f>'[1]2026 Orders'!O343</f>
        <v>604776738787</v>
      </c>
      <c r="R342">
        <f>'[1]2026 Orders'!P343</f>
        <v>5000</v>
      </c>
      <c r="S342">
        <f>'[1]2026 Orders'!Q343</f>
        <v>5060</v>
      </c>
      <c r="T342">
        <f>'[1]2026 Orders'!R343</f>
        <v>46205</v>
      </c>
      <c r="U342">
        <f>'[1]2026 Orders'!S343</f>
        <v>0</v>
      </c>
      <c r="V342">
        <f>'[1]2026 Orders'!T343</f>
        <v>0</v>
      </c>
      <c r="W342">
        <f>'[1]2026 Orders'!U343</f>
        <v>0</v>
      </c>
      <c r="X342">
        <f>'[1]2026 Orders'!V343</f>
        <v>0</v>
      </c>
      <c r="Y342">
        <f>'[1]2026 Orders'!W343</f>
        <v>0</v>
      </c>
      <c r="Z342">
        <f>'[1]2026 Orders'!X343</f>
        <v>0</v>
      </c>
      <c r="AC342" t="str">
        <f t="shared" si="10"/>
        <v>/24</v>
      </c>
      <c r="AD342" t="e">
        <f t="shared" si="11"/>
        <v>#VALUE!</v>
      </c>
    </row>
    <row r="343" spans="1:30" ht="33" hidden="1" customHeight="1" x14ac:dyDescent="0.3">
      <c r="A343">
        <f>'[1]2026 Orders'!A344</f>
        <v>46149</v>
      </c>
      <c r="B343" s="14" t="str">
        <f>'[1]2026 Orders'!B344</f>
        <v>Chad</v>
      </c>
      <c r="C343" s="14" t="str">
        <f>'[1]2026 Orders'!C344</f>
        <v>A4687</v>
      </c>
      <c r="D343" s="14">
        <f>'[1]2026 Orders'!D344</f>
        <v>0</v>
      </c>
      <c r="E343" s="17" t="str" cm="1">
        <f t="array" ref="E343">IF(C343=0,"",
HYPERLINK(
"#'2026 Orders'!C"&amp;
MATCH(1,
('2026 Orders'!C:C=C343)*
('2026 Orders'!G:G=G343)*
('2026 Orders'!N:N=N343),
0),
"Open "&amp;C343
))</f>
        <v>Open A4687</v>
      </c>
      <c r="F343" s="14" t="str">
        <f>'[1]2026 Orders'!F344</f>
        <v>5/7/2026: Product added</v>
      </c>
      <c r="G343" s="14" t="str">
        <f>'[1]2026 Orders'!G344</f>
        <v>QWELL4-30-SG-CS-CH</v>
      </c>
      <c r="H343" s="14" t="str" cm="1">
        <f t="array" ref="H343">IFERROR(_xlfn.TEXTJOIN("-",,INDEX(_xlfn.TEXTSPLIT(TableGive[[#This Row],[SKU]],"-"),{1,2})),"")</f>
        <v>QWELL4-30</v>
      </c>
      <c r="I343" s="15" t="str">
        <f>IFERROR(_xlfn.TEXTAFTER(TableGive[[#This Row],[SKU]],"-",-1),"")</f>
        <v>CH</v>
      </c>
      <c r="J343" s="14">
        <f>'[1]2026 Orders'!H344</f>
        <v>12</v>
      </c>
      <c r="K343" t="str">
        <f>'[1]2026 Orders'!I344</f>
        <v>CH58-21.0</v>
      </c>
      <c r="L343">
        <f>'[1]2026 Orders'!J344</f>
        <v>12</v>
      </c>
      <c r="N343" s="10" t="str">
        <f>'[1]2026 Orders'!L344</f>
        <v>Rework</v>
      </c>
      <c r="O343">
        <f>'[1]2026 Orders'!M344</f>
        <v>0</v>
      </c>
      <c r="P343" t="str">
        <f>'[1]2026 Orders'!N344</f>
        <v>NA</v>
      </c>
      <c r="Q343">
        <f>'[1]2026 Orders'!O344</f>
        <v>604776738671</v>
      </c>
      <c r="R343">
        <f>'[1]2026 Orders'!P344</f>
        <v>0</v>
      </c>
      <c r="S343">
        <f>'[1]2026 Orders'!Q344</f>
        <v>0</v>
      </c>
      <c r="T343">
        <f>'[1]2026 Orders'!R344</f>
        <v>0</v>
      </c>
      <c r="U343">
        <f>'[1]2026 Orders'!S344</f>
        <v>0</v>
      </c>
      <c r="V343">
        <f>'[1]2026 Orders'!T344</f>
        <v>0</v>
      </c>
      <c r="W343">
        <f>'[1]2026 Orders'!U344</f>
        <v>0</v>
      </c>
      <c r="X343">
        <f>'[1]2026 Orders'!V344</f>
        <v>0</v>
      </c>
      <c r="Y343">
        <f>'[1]2026 Orders'!W344</f>
        <v>0</v>
      </c>
      <c r="Z343">
        <f>'[1]2026 Orders'!X344</f>
        <v>0</v>
      </c>
      <c r="AC343" t="str">
        <f t="shared" si="10"/>
        <v>/12</v>
      </c>
      <c r="AD343" t="e">
        <f t="shared" si="11"/>
        <v>#VALUE!</v>
      </c>
    </row>
    <row r="344" spans="1:30" ht="33" hidden="1" customHeight="1" x14ac:dyDescent="0.3">
      <c r="A344">
        <f>'[1]2026 Orders'!A345</f>
        <v>46149</v>
      </c>
      <c r="B344" s="14" t="str">
        <f>'[1]2026 Orders'!B345</f>
        <v>Chad</v>
      </c>
      <c r="C344" s="14" t="str">
        <f>'[1]2026 Orders'!C345</f>
        <v>A4687</v>
      </c>
      <c r="D344" s="14">
        <f>'[1]2026 Orders'!D345</f>
        <v>0</v>
      </c>
      <c r="E344" s="17" t="str" cm="1">
        <f t="array" ref="E344">IF(C344=0,"",
HYPERLINK(
"#'2026 Orders'!C"&amp;
MATCH(1,
('2026 Orders'!C:C=C344)*
('2026 Orders'!G:G=G344)*
('2026 Orders'!N:N=N344),
0),
"Open "&amp;C344
))</f>
        <v>Open A4687</v>
      </c>
      <c r="F344" s="14" t="str">
        <f>'[1]2026 Orders'!F345</f>
        <v>5/7/2026: Product added</v>
      </c>
      <c r="G344" s="14" t="str">
        <f>'[1]2026 Orders'!G345</f>
        <v>VITAE4-60-CS-CH</v>
      </c>
      <c r="H344" s="14" t="str" cm="1">
        <f t="array" ref="H344">IFERROR(_xlfn.TEXTJOIN("-",,INDEX(_xlfn.TEXTSPLIT(TableGive[[#This Row],[SKU]],"-"),{1,2})),"")</f>
        <v>VITAE4-60</v>
      </c>
      <c r="I344" s="15" t="str">
        <f>IFERROR(_xlfn.TEXTAFTER(TableGive[[#This Row],[SKU]],"-",-1),"")</f>
        <v>CH</v>
      </c>
      <c r="J344" s="14">
        <f>'[1]2026 Orders'!H345</f>
        <v>9</v>
      </c>
      <c r="K344" t="str">
        <f>'[1]2026 Orders'!I345</f>
        <v>CH68-21.0</v>
      </c>
      <c r="L344">
        <f>'[1]2026 Orders'!J345</f>
        <v>9</v>
      </c>
      <c r="N344" s="10" t="str">
        <f>'[1]2026 Orders'!L345</f>
        <v>Rework</v>
      </c>
      <c r="O344">
        <f>'[1]2026 Orders'!M345</f>
        <v>0</v>
      </c>
      <c r="P344" t="str">
        <f>'[1]2026 Orders'!N345</f>
        <v>NA</v>
      </c>
      <c r="Q344">
        <f>'[1]2026 Orders'!O345</f>
        <v>604776738794</v>
      </c>
      <c r="R344">
        <f>'[1]2026 Orders'!P345</f>
        <v>0</v>
      </c>
      <c r="S344">
        <f>'[1]2026 Orders'!Q345</f>
        <v>0</v>
      </c>
      <c r="T344">
        <f>'[1]2026 Orders'!R345</f>
        <v>0</v>
      </c>
      <c r="U344">
        <f>'[1]2026 Orders'!S345</f>
        <v>0</v>
      </c>
      <c r="V344">
        <f>'[1]2026 Orders'!T345</f>
        <v>0</v>
      </c>
      <c r="W344">
        <f>'[1]2026 Orders'!U345</f>
        <v>0</v>
      </c>
      <c r="X344">
        <f>'[1]2026 Orders'!V345</f>
        <v>0</v>
      </c>
      <c r="Y344">
        <f>'[1]2026 Orders'!W345</f>
        <v>0</v>
      </c>
      <c r="Z344">
        <f>'[1]2026 Orders'!X345</f>
        <v>0</v>
      </c>
      <c r="AC344" t="str">
        <f t="shared" si="10"/>
        <v>/9</v>
      </c>
      <c r="AD344" t="e">
        <f t="shared" si="11"/>
        <v>#VALUE!</v>
      </c>
    </row>
    <row r="345" spans="1:30" ht="33" hidden="1" customHeight="1" x14ac:dyDescent="0.3">
      <c r="A345">
        <f>'[1]2026 Orders'!A346</f>
        <v>46149</v>
      </c>
      <c r="B345" s="14" t="str">
        <f>'[1]2026 Orders'!B346</f>
        <v>Chad</v>
      </c>
      <c r="C345" s="14" t="str">
        <f>'[1]2026 Orders'!C346</f>
        <v>A4687</v>
      </c>
      <c r="D345" s="14">
        <f>'[1]2026 Orders'!D346</f>
        <v>0</v>
      </c>
      <c r="E345" s="17" t="str" cm="1">
        <f t="array" ref="E345">IF(C345=0,"",
HYPERLINK(
"#'2026 Orders'!C"&amp;
MATCH(1,
('2026 Orders'!C:C=C345)*
('2026 Orders'!G:G=G345)*
('2026 Orders'!N:N=N345),
0),
"Open "&amp;C345
))</f>
        <v>Open A4687</v>
      </c>
      <c r="F345" s="14" t="str">
        <f>'[1]2026 Orders'!F346</f>
        <v>5/7/2026: Product added</v>
      </c>
      <c r="G345" s="14" t="str">
        <f>'[1]2026 Orders'!G346</f>
        <v>CHARCO-100-FD</v>
      </c>
      <c r="H345" s="14" t="str" cm="1">
        <f t="array" ref="H345">IFERROR(_xlfn.TEXTJOIN("-",,INDEX(_xlfn.TEXTSPLIT(TableGive[[#This Row],[SKU]],"-"),{1,2})),"")</f>
        <v>CHARCO-100</v>
      </c>
      <c r="I345" s="15" t="str">
        <f>IFERROR(_xlfn.TEXTAFTER(TableGive[[#This Row],[SKU]],"-",-1),"")</f>
        <v>FD</v>
      </c>
      <c r="J345" s="14">
        <f>'[1]2026 Orders'!H346</f>
        <v>12</v>
      </c>
      <c r="K345" t="str">
        <f>'[1]2026 Orders'!I346</f>
        <v>CH10-26.0</v>
      </c>
      <c r="L345">
        <f>'[1]2026 Orders'!J346</f>
        <v>12</v>
      </c>
      <c r="N345" s="10" t="str">
        <f>'[1]2026 Orders'!L346</f>
        <v>Rework</v>
      </c>
      <c r="O345">
        <f>'[1]2026 Orders'!M346</f>
        <v>0</v>
      </c>
      <c r="P345" t="str">
        <f>'[1]2026 Orders'!N346</f>
        <v>NA</v>
      </c>
      <c r="Q345" t="str">
        <f>'[1]2026 Orders'!O346</f>
        <v>604776735878</v>
      </c>
      <c r="R345">
        <f>'[1]2026 Orders'!P346</f>
        <v>0</v>
      </c>
      <c r="S345">
        <f>'[1]2026 Orders'!Q346</f>
        <v>0</v>
      </c>
      <c r="T345">
        <f>'[1]2026 Orders'!R346</f>
        <v>0</v>
      </c>
      <c r="U345">
        <f>'[1]2026 Orders'!S346</f>
        <v>0</v>
      </c>
      <c r="V345">
        <f>'[1]2026 Orders'!T346</f>
        <v>0</v>
      </c>
      <c r="W345">
        <f>'[1]2026 Orders'!U346</f>
        <v>0</v>
      </c>
      <c r="X345">
        <f>'[1]2026 Orders'!V346</f>
        <v>0</v>
      </c>
      <c r="Y345">
        <f>'[1]2026 Orders'!W346</f>
        <v>0</v>
      </c>
      <c r="Z345">
        <f>'[1]2026 Orders'!X346</f>
        <v>0</v>
      </c>
      <c r="AC345" t="str">
        <f t="shared" si="10"/>
        <v>/12</v>
      </c>
      <c r="AD345" t="e">
        <f t="shared" si="11"/>
        <v>#VALUE!</v>
      </c>
    </row>
    <row r="346" spans="1:30" ht="33" hidden="1" customHeight="1" x14ac:dyDescent="0.3">
      <c r="A346">
        <f>'[1]2026 Orders'!A347</f>
        <v>0</v>
      </c>
      <c r="B346" s="14">
        <f>'[1]2026 Orders'!B347</f>
        <v>0</v>
      </c>
      <c r="C346" s="14">
        <f>'[1]2026 Orders'!C347</f>
        <v>0</v>
      </c>
      <c r="D346" s="14">
        <f>'[1]2026 Orders'!D347</f>
        <v>0</v>
      </c>
      <c r="E346" s="17" t="str" cm="1">
        <f t="array" ref="E346">IF(C346=0,"",
HYPERLINK(
"#'2026 Orders'!C"&amp;
MATCH(1,
('2026 Orders'!C:C=C346)*
('2026 Orders'!G:G=G346)*
('2026 Orders'!N:N=N346),
0),
"Open "&amp;C346
))</f>
        <v/>
      </c>
      <c r="F346" s="14">
        <f>'[1]2026 Orders'!F347</f>
        <v>0</v>
      </c>
      <c r="G346" s="14">
        <f>'[1]2026 Orders'!G347</f>
        <v>0</v>
      </c>
      <c r="H346" s="14" t="str" cm="1">
        <f t="array" ref="H346">IFERROR(_xlfn.TEXTJOIN("-",,INDEX(_xlfn.TEXTSPLIT(TableGive[[#This Row],[SKU]],"-"),{1,2})),"")</f>
        <v/>
      </c>
      <c r="I346" s="15" t="str">
        <f>IFERROR(_xlfn.TEXTAFTER(TableGive[[#This Row],[SKU]],"-",-1),"")</f>
        <v/>
      </c>
      <c r="J346" s="14">
        <f>'[1]2026 Orders'!H347</f>
        <v>0</v>
      </c>
      <c r="K346">
        <f>'[1]2026 Orders'!I347</f>
        <v>0</v>
      </c>
      <c r="L346">
        <f>'[1]2026 Orders'!J347</f>
        <v>0</v>
      </c>
      <c r="N346" s="10">
        <f>'[1]2026 Orders'!L347</f>
        <v>0</v>
      </c>
      <c r="O346">
        <f>'[1]2026 Orders'!M347</f>
        <v>0</v>
      </c>
      <c r="P346">
        <f>'[1]2026 Orders'!N347</f>
        <v>0</v>
      </c>
      <c r="Q346">
        <f>'[1]2026 Orders'!O347</f>
        <v>0</v>
      </c>
      <c r="R346">
        <f>'[1]2026 Orders'!P347</f>
        <v>0</v>
      </c>
      <c r="S346">
        <f>'[1]2026 Orders'!Q347</f>
        <v>0</v>
      </c>
      <c r="T346">
        <f>'[1]2026 Orders'!R347</f>
        <v>0</v>
      </c>
      <c r="U346">
        <f>'[1]2026 Orders'!S347</f>
        <v>0</v>
      </c>
      <c r="V346">
        <f>'[1]2026 Orders'!T347</f>
        <v>0</v>
      </c>
      <c r="W346">
        <f>'[1]2026 Orders'!U347</f>
        <v>0</v>
      </c>
      <c r="X346">
        <f>'[1]2026 Orders'!V347</f>
        <v>0</v>
      </c>
      <c r="Y346">
        <f>'[1]2026 Orders'!W347</f>
        <v>0</v>
      </c>
      <c r="Z346">
        <f>'[1]2026 Orders'!X347</f>
        <v>0</v>
      </c>
      <c r="AC346" t="str">
        <f t="shared" si="10"/>
        <v/>
      </c>
      <c r="AD346" t="str">
        <f t="shared" si="11"/>
        <v/>
      </c>
    </row>
    <row r="347" spans="1:30" ht="33" hidden="1" customHeight="1" x14ac:dyDescent="0.3">
      <c r="A347">
        <f>'[1]2026 Orders'!A348</f>
        <v>46127</v>
      </c>
      <c r="B347" s="14" t="str">
        <f>'[1]2026 Orders'!B348</f>
        <v>Morocco</v>
      </c>
      <c r="C347" s="14" t="str">
        <f>'[1]2026 Orders'!C348</f>
        <v>A4688</v>
      </c>
      <c r="D347" s="14" t="str">
        <f>'[1]2026 Orders'!D348</f>
        <v>4/15/2026: Awaiting Proforma Confirmation                                          4/20/2026: Proforma Invoice Confirmed</v>
      </c>
      <c r="E347" s="17" t="str" cm="1">
        <f t="array" ref="E347">IF(C347=0,"",
HYPERLINK(
"#'2026 Orders'!C"&amp;
MATCH(1,
('2026 Orders'!C:C=C347)*
('2026 Orders'!G:G=G347)*
('2026 Orders'!N:N=N347),
0),
"Open "&amp;C347
))</f>
        <v>Open A4688</v>
      </c>
      <c r="F347" s="14" t="str">
        <f>'[1]2026 Orders'!F348</f>
        <v>6 Total Pallets = 
2244 bottles per pallet
5/4/2026: use the new label and IFC design</v>
      </c>
      <c r="G347" s="14" t="str">
        <f>'[1]2026 Orders'!G348</f>
        <v>OMEGA3-90-CS-MO</v>
      </c>
      <c r="H347" s="14" t="str" cm="1">
        <f t="array" ref="H347">IFERROR(_xlfn.TEXTJOIN("-",,INDEX(_xlfn.TEXTSPLIT(TableGive[[#This Row],[SKU]],"-"),{1,2})),"")</f>
        <v>OMEGA3-90</v>
      </c>
      <c r="I347" s="15" t="str">
        <f>IFERROR(_xlfn.TEXTAFTER(TableGive[[#This Row],[SKU]],"-",-1),"")</f>
        <v>MO</v>
      </c>
      <c r="J347" s="14">
        <f>'[1]2026 Orders'!H348</f>
        <v>13464</v>
      </c>
      <c r="K347" t="str">
        <f>'[1]2026 Orders'!I348</f>
        <v>MO116-26.0</v>
      </c>
      <c r="L347">
        <f>'[1]2026 Orders'!J348</f>
        <v>13464</v>
      </c>
      <c r="N347" s="10" t="str">
        <f>'[1]2026 Orders'!L348</f>
        <v>Out of Stock</v>
      </c>
      <c r="O347">
        <f>'[1]2026 Orders'!M348</f>
        <v>0</v>
      </c>
      <c r="P347" t="str">
        <f>'[1]2026 Orders'!N348</f>
        <v>Y</v>
      </c>
      <c r="Q347">
        <f>'[1]2026 Orders'!O348</f>
        <v>604776739746</v>
      </c>
      <c r="R347">
        <f>'[1]2026 Orders'!P348</f>
        <v>0</v>
      </c>
      <c r="S347">
        <f>'[1]2026 Orders'!Q348</f>
        <v>0</v>
      </c>
      <c r="T347">
        <f>'[1]2026 Orders'!R348</f>
        <v>0</v>
      </c>
      <c r="U347" t="str">
        <f>'[1]2026 Orders'!S348</f>
        <v>Pending confirmation that Iraq quantities can be pulled for this order</v>
      </c>
      <c r="V347">
        <f>'[1]2026 Orders'!T348</f>
        <v>0</v>
      </c>
      <c r="W347">
        <f>'[1]2026 Orders'!U348</f>
        <v>0</v>
      </c>
      <c r="X347">
        <f>'[1]2026 Orders'!V348</f>
        <v>0</v>
      </c>
      <c r="Y347">
        <f>'[1]2026 Orders'!W348</f>
        <v>0</v>
      </c>
      <c r="Z347" t="str">
        <f>'[1]2026 Orders'!X348</f>
        <v>HOLD</v>
      </c>
      <c r="AC347" t="str">
        <f t="shared" si="10"/>
        <v>/13464</v>
      </c>
      <c r="AD347" t="e">
        <f t="shared" si="11"/>
        <v>#VALUE!</v>
      </c>
    </row>
    <row r="348" spans="1:30" ht="33" hidden="1" customHeight="1" x14ac:dyDescent="0.3">
      <c r="A348">
        <f>'[1]2026 Orders'!A349</f>
        <v>46127</v>
      </c>
      <c r="B348" s="14" t="str">
        <f>'[1]2026 Orders'!B349</f>
        <v>Morocco</v>
      </c>
      <c r="C348" s="14" t="str">
        <f>'[1]2026 Orders'!C349</f>
        <v>A4688</v>
      </c>
      <c r="D348" s="14" t="str">
        <f>'[1]2026 Orders'!D349</f>
        <v>*Awaiting Down Payment*</v>
      </c>
      <c r="E348" s="17" t="str" cm="1">
        <f t="array" ref="E348">IF(C348=0,"",
HYPERLINK(
"#'2026 Orders'!C"&amp;
MATCH(1,
('2026 Orders'!C:C=C348)*
('2026 Orders'!G:G=G348)*
('2026 Orders'!N:N=N348),
0),
"Open "&amp;C348
))</f>
        <v>Open A4688</v>
      </c>
      <c r="F348" s="14" t="str">
        <f>'[1]2026 Orders'!F349</f>
        <v>5/4/2026: use the old IFC (CS Morocco IFC 25.1 version already available) with the new label design
5/8/2026: Qty decresead 
6,732 → 4,496</v>
      </c>
      <c r="G348" s="14" t="str">
        <f>'[1]2026 Orders'!G349</f>
        <v>OMEGA3-60-CS-MO</v>
      </c>
      <c r="H348" s="14" t="str" cm="1">
        <f t="array" ref="H348">IFERROR(_xlfn.TEXTJOIN("-",,INDEX(_xlfn.TEXTSPLIT(TableGive[[#This Row],[SKU]],"-"),{1,2})),"")</f>
        <v>OMEGA3-60</v>
      </c>
      <c r="I348" s="15" t="str">
        <f>IFERROR(_xlfn.TEXTAFTER(TableGive[[#This Row],[SKU]],"-",-1),"")</f>
        <v>MO</v>
      </c>
      <c r="J348" s="14">
        <f>'[1]2026 Orders'!H349</f>
        <v>4496</v>
      </c>
      <c r="K348" t="str">
        <f>'[1]2026 Orders'!I349</f>
        <v>MO37-26.0</v>
      </c>
      <c r="L348">
        <f>'[1]2026 Orders'!J349</f>
        <v>4496</v>
      </c>
      <c r="N348" s="10" t="str">
        <f>'[1]2026 Orders'!L349</f>
        <v>Out of Stock</v>
      </c>
      <c r="O348">
        <f>'[1]2026 Orders'!M349</f>
        <v>0</v>
      </c>
      <c r="P348" t="str">
        <f>'[1]2026 Orders'!N349</f>
        <v>Y</v>
      </c>
      <c r="Q348">
        <f>'[1]2026 Orders'!O349</f>
        <v>604776737254</v>
      </c>
      <c r="R348">
        <f>'[1]2026 Orders'!P349</f>
        <v>0</v>
      </c>
      <c r="S348">
        <f>'[1]2026 Orders'!Q349</f>
        <v>0</v>
      </c>
      <c r="T348">
        <f>'[1]2026 Orders'!R349</f>
        <v>0</v>
      </c>
      <c r="U348" t="str">
        <f>'[1]2026 Orders'!S349</f>
        <v>Pending confirmation that Iraq quantities can be pulled for this order</v>
      </c>
      <c r="V348">
        <f>'[1]2026 Orders'!T349</f>
        <v>0</v>
      </c>
      <c r="W348">
        <f>'[1]2026 Orders'!U349</f>
        <v>0</v>
      </c>
      <c r="X348">
        <f>'[1]2026 Orders'!V349</f>
        <v>0</v>
      </c>
      <c r="Y348">
        <f>'[1]2026 Orders'!W349</f>
        <v>0</v>
      </c>
      <c r="Z348">
        <f>'[1]2026 Orders'!X349</f>
        <v>0</v>
      </c>
      <c r="AC348" t="str">
        <f t="shared" si="10"/>
        <v>/4496</v>
      </c>
      <c r="AD348" t="e">
        <f t="shared" si="11"/>
        <v>#VALUE!</v>
      </c>
    </row>
    <row r="349" spans="1:30" ht="33" hidden="1" customHeight="1" x14ac:dyDescent="0.3">
      <c r="A349">
        <f>'[1]2026 Orders'!A350</f>
        <v>0</v>
      </c>
      <c r="B349" s="14">
        <f>'[1]2026 Orders'!B350</f>
        <v>0</v>
      </c>
      <c r="C349" s="14">
        <f>'[1]2026 Orders'!C350</f>
        <v>0</v>
      </c>
      <c r="D349" s="14">
        <f>'[1]2026 Orders'!D350</f>
        <v>0</v>
      </c>
      <c r="E349" s="17" t="str" cm="1">
        <f t="array" ref="E349">IF(C349=0,"",
HYPERLINK(
"#'2026 Orders'!C"&amp;
MATCH(1,
('2026 Orders'!C:C=C349)*
('2026 Orders'!G:G=G349)*
('2026 Orders'!N:N=N349),
0),
"Open "&amp;C349
))</f>
        <v/>
      </c>
      <c r="F349" s="14">
        <f>'[1]2026 Orders'!F350</f>
        <v>0</v>
      </c>
      <c r="G349" s="14">
        <f>'[1]2026 Orders'!G350</f>
        <v>0</v>
      </c>
      <c r="H349" s="14" t="str" cm="1">
        <f t="array" ref="H349">IFERROR(_xlfn.TEXTJOIN("-",,INDEX(_xlfn.TEXTSPLIT(TableGive[[#This Row],[SKU]],"-"),{1,2})),"")</f>
        <v/>
      </c>
      <c r="I349" s="15" t="str">
        <f>IFERROR(_xlfn.TEXTAFTER(TableGive[[#This Row],[SKU]],"-",-1),"")</f>
        <v/>
      </c>
      <c r="J349" s="14">
        <f>'[1]2026 Orders'!H350</f>
        <v>0</v>
      </c>
      <c r="K349">
        <f>'[1]2026 Orders'!I350</f>
        <v>0</v>
      </c>
      <c r="L349">
        <f>'[1]2026 Orders'!J350</f>
        <v>0</v>
      </c>
      <c r="N349" s="10">
        <f>'[1]2026 Orders'!L350</f>
        <v>0</v>
      </c>
      <c r="O349">
        <f>'[1]2026 Orders'!M350</f>
        <v>0</v>
      </c>
      <c r="P349">
        <f>'[1]2026 Orders'!N350</f>
        <v>0</v>
      </c>
      <c r="Q349">
        <f>'[1]2026 Orders'!O350</f>
        <v>0</v>
      </c>
      <c r="R349">
        <f>'[1]2026 Orders'!P350</f>
        <v>0</v>
      </c>
      <c r="S349">
        <f>'[1]2026 Orders'!Q350</f>
        <v>0</v>
      </c>
      <c r="T349">
        <f>'[1]2026 Orders'!R350</f>
        <v>0</v>
      </c>
      <c r="U349">
        <f>'[1]2026 Orders'!S350</f>
        <v>0</v>
      </c>
      <c r="V349">
        <f>'[1]2026 Orders'!T350</f>
        <v>0</v>
      </c>
      <c r="W349">
        <f>'[1]2026 Orders'!U350</f>
        <v>0</v>
      </c>
      <c r="X349">
        <f>'[1]2026 Orders'!V350</f>
        <v>0</v>
      </c>
      <c r="Y349">
        <f>'[1]2026 Orders'!W350</f>
        <v>0</v>
      </c>
      <c r="Z349">
        <f>'[1]2026 Orders'!X350</f>
        <v>0</v>
      </c>
      <c r="AC349" t="str">
        <f t="shared" si="10"/>
        <v/>
      </c>
      <c r="AD349" t="str">
        <f t="shared" si="11"/>
        <v/>
      </c>
    </row>
    <row r="350" spans="1:30" ht="33" hidden="1" customHeight="1" x14ac:dyDescent="0.3">
      <c r="A350">
        <f>'[1]2026 Orders'!A351</f>
        <v>46132</v>
      </c>
      <c r="B350" s="14" t="str">
        <f>'[1]2026 Orders'!B351</f>
        <v>Lebanon</v>
      </c>
      <c r="C350" s="14" t="str">
        <f>'[1]2026 Orders'!C351</f>
        <v>A4690</v>
      </c>
      <c r="D350" s="14" t="str">
        <f>'[1]2026 Orders'!D351</f>
        <v>4/20/2026: Awaiting Pro Forma Confirmation.
5/5/2026: Labels are on server. Updating order with CS SKUs then re-sending Pro Forma for approval.
5/8/2026: Removed from Sales Action Needed; Pro Forma confirmed.</v>
      </c>
      <c r="E350" s="17" t="str" cm="1">
        <f t="array" ref="E350">IF(C350=0,"",
HYPERLINK(
"#'2026 Orders'!C"&amp;
MATCH(1,
('2026 Orders'!C:C=C350)*
('2026 Orders'!G:G=G350)*
('2026 Orders'!N:N=N350),
0),
"Open "&amp;C350
))</f>
        <v>Open A4690</v>
      </c>
      <c r="F350" s="14" t="str">
        <f>'[1]2026 Orders'!F351</f>
        <v>4/21/2026: Some SKUs will be CS. Awaiting SKU confirmation.                    4/30/2026: Updated to MFSPLS-120-CS-LB                      5/14/2026: UPC updated.</v>
      </c>
      <c r="G350" s="14" t="str">
        <f>'[1]2026 Orders'!G351</f>
        <v>MFSPLS-120-CS-LB</v>
      </c>
      <c r="H350" s="14" t="str" cm="1">
        <f t="array" ref="H350">IFERROR(_xlfn.TEXTJOIN("-",,INDEX(_xlfn.TEXTSPLIT(TableGive[[#This Row],[SKU]],"-"),{1,2})),"")</f>
        <v>MFSPLS-120</v>
      </c>
      <c r="I350" s="15" t="str">
        <f>IFERROR(_xlfn.TEXTAFTER(TableGive[[#This Row],[SKU]],"-",-1),"")</f>
        <v>LB</v>
      </c>
      <c r="J350" s="14">
        <f>'[1]2026 Orders'!H351</f>
        <v>330</v>
      </c>
      <c r="K350" t="str">
        <f>'[1]2026 Orders'!I351</f>
        <v>LB30-26.0</v>
      </c>
      <c r="L350">
        <f>'[1]2026 Orders'!J351</f>
        <v>330</v>
      </c>
      <c r="N350" s="10" t="str">
        <f>'[1]2026 Orders'!L351</f>
        <v>Picked</v>
      </c>
      <c r="O350">
        <f>'[1]2026 Orders'!M351</f>
        <v>0</v>
      </c>
      <c r="P350" t="str">
        <f>'[1]2026 Orders'!N351</f>
        <v>NA</v>
      </c>
      <c r="Q350" t="str">
        <f>'[1]2026 Orders'!O351</f>
        <v>810131194604</v>
      </c>
      <c r="R350">
        <f>'[1]2026 Orders'!P351</f>
        <v>0</v>
      </c>
      <c r="S350">
        <f>'[1]2026 Orders'!Q351</f>
        <v>0</v>
      </c>
      <c r="T350">
        <f>'[1]2026 Orders'!R351</f>
        <v>0</v>
      </c>
      <c r="U350">
        <f>'[1]2026 Orders'!S351</f>
        <v>0</v>
      </c>
      <c r="V350">
        <f>'[1]2026 Orders'!T351</f>
        <v>0</v>
      </c>
      <c r="W350">
        <f>'[1]2026 Orders'!U351</f>
        <v>0</v>
      </c>
      <c r="X350">
        <f>'[1]2026 Orders'!V351</f>
        <v>0</v>
      </c>
      <c r="Y350">
        <f>'[1]2026 Orders'!W351</f>
        <v>0</v>
      </c>
      <c r="Z350" t="str">
        <f>'[1]2026 Orders'!X351</f>
        <v>HOLD</v>
      </c>
      <c r="AC350" t="str">
        <f t="shared" si="10"/>
        <v>/330</v>
      </c>
      <c r="AD350" t="e">
        <f t="shared" si="11"/>
        <v>#VALUE!</v>
      </c>
    </row>
    <row r="351" spans="1:30" ht="33" hidden="1" customHeight="1" x14ac:dyDescent="0.3">
      <c r="A351">
        <f>'[1]2026 Orders'!A352</f>
        <v>46132</v>
      </c>
      <c r="B351" s="14" t="str">
        <f>'[1]2026 Orders'!B352</f>
        <v>Lebanon</v>
      </c>
      <c r="C351" s="14" t="str">
        <f>'[1]2026 Orders'!C352</f>
        <v>A4690</v>
      </c>
      <c r="D351" s="14">
        <f>'[1]2026 Orders'!D352</f>
        <v>0</v>
      </c>
      <c r="E351" s="17" t="str" cm="1">
        <f t="array" ref="E351">IF(C351=0,"",
HYPERLINK(
"#'2026 Orders'!C"&amp;
MATCH(1,
('2026 Orders'!C:C=C351)*
('2026 Orders'!G:G=G351)*
('2026 Orders'!N:N=N351),
0),
"Open "&amp;C351
))</f>
        <v>Open A4690</v>
      </c>
      <c r="F351" s="14" t="str">
        <f>'[1]2026 Orders'!F352</f>
        <v>4/30/2026: Updated to MOTILMX-60-CS-LB                      5/14/2026: UPC updated.</v>
      </c>
      <c r="G351" s="14" t="str">
        <f>'[1]2026 Orders'!G352</f>
        <v>MOTILMX-60-CS-LB</v>
      </c>
      <c r="H351" s="14" t="str" cm="1">
        <f t="array" ref="H351">IFERROR(_xlfn.TEXTJOIN("-",,INDEX(_xlfn.TEXTSPLIT(TableGive[[#This Row],[SKU]],"-"),{1,2})),"")</f>
        <v>MOTILMX-60</v>
      </c>
      <c r="I351" s="15" t="str">
        <f>IFERROR(_xlfn.TEXTAFTER(TableGive[[#This Row],[SKU]],"-",-1),"")</f>
        <v>LB</v>
      </c>
      <c r="J351" s="14">
        <f>'[1]2026 Orders'!H352</f>
        <v>330</v>
      </c>
      <c r="K351" t="str">
        <f>'[1]2026 Orders'!I352</f>
        <v>LB31-26.0</v>
      </c>
      <c r="L351">
        <f>'[1]2026 Orders'!J352</f>
        <v>330</v>
      </c>
      <c r="N351" s="10" t="str">
        <f>'[1]2026 Orders'!L352</f>
        <v>D/W Sent</v>
      </c>
      <c r="O351">
        <f>'[1]2026 Orders'!M352</f>
        <v>0</v>
      </c>
      <c r="P351" t="str">
        <f>'[1]2026 Orders'!N352</f>
        <v>NA</v>
      </c>
      <c r="Q351" t="str">
        <f>'[1]2026 Orders'!O352</f>
        <v>810131194598</v>
      </c>
      <c r="R351">
        <f>'[1]2026 Orders'!P352</f>
        <v>0</v>
      </c>
      <c r="S351">
        <f>'[1]2026 Orders'!Q352</f>
        <v>0</v>
      </c>
      <c r="T351">
        <f>'[1]2026 Orders'!R352</f>
        <v>0</v>
      </c>
      <c r="U351">
        <f>'[1]2026 Orders'!S352</f>
        <v>0</v>
      </c>
      <c r="V351">
        <f>'[1]2026 Orders'!T352</f>
        <v>0</v>
      </c>
      <c r="W351">
        <f>'[1]2026 Orders'!U352</f>
        <v>0</v>
      </c>
      <c r="X351">
        <f>'[1]2026 Orders'!V352</f>
        <v>0</v>
      </c>
      <c r="Y351">
        <f>'[1]2026 Orders'!W352</f>
        <v>0</v>
      </c>
      <c r="Z351">
        <f>'[1]2026 Orders'!X352</f>
        <v>0</v>
      </c>
      <c r="AC351" t="str">
        <f t="shared" si="10"/>
        <v>/330</v>
      </c>
      <c r="AD351" t="e">
        <f t="shared" si="11"/>
        <v>#VALUE!</v>
      </c>
    </row>
    <row r="352" spans="1:30" ht="33" hidden="1" customHeight="1" x14ac:dyDescent="0.3">
      <c r="A352">
        <f>'[1]2026 Orders'!A353</f>
        <v>46132</v>
      </c>
      <c r="B352" s="14" t="str">
        <f>'[1]2026 Orders'!B353</f>
        <v>Lebanon</v>
      </c>
      <c r="C352" s="14" t="str">
        <f>'[1]2026 Orders'!C353</f>
        <v>A4690</v>
      </c>
      <c r="D352" s="14">
        <f>'[1]2026 Orders'!D353</f>
        <v>0</v>
      </c>
      <c r="E352" s="17" t="str" cm="1">
        <f t="array" ref="E352">IF(C352=0,"",
HYPERLINK(
"#'2026 Orders'!C"&amp;
MATCH(1,
('2026 Orders'!C:C=C352)*
('2026 Orders'!G:G=G352)*
('2026 Orders'!N:N=N352),
0),
"Open "&amp;C352
))</f>
        <v>Open A4690</v>
      </c>
      <c r="F352" s="14" t="str">
        <f>'[1]2026 Orders'!F353</f>
        <v>4/30/2026: Updated to SPERMCT-60-CS-LB                      5/14/2026: UPC updated.</v>
      </c>
      <c r="G352" s="14" t="str">
        <f>'[1]2026 Orders'!G353</f>
        <v>SPERMCT-60-CS-LB</v>
      </c>
      <c r="H352" s="14" t="str" cm="1">
        <f t="array" ref="H352">IFERROR(_xlfn.TEXTJOIN("-",,INDEX(_xlfn.TEXTSPLIT(TableGive[[#This Row],[SKU]],"-"),{1,2})),"")</f>
        <v>SPERMCT-60</v>
      </c>
      <c r="I352" s="15" t="str">
        <f>IFERROR(_xlfn.TEXTAFTER(TableGive[[#This Row],[SKU]],"-",-1),"")</f>
        <v>LB</v>
      </c>
      <c r="J352" s="14">
        <f>'[1]2026 Orders'!H353</f>
        <v>220</v>
      </c>
      <c r="K352" t="str">
        <f>'[1]2026 Orders'!I353</f>
        <v>LB64-26.0</v>
      </c>
      <c r="L352">
        <f>'[1]2026 Orders'!J353</f>
        <v>220</v>
      </c>
      <c r="N352" s="10" t="str">
        <f>'[1]2026 Orders'!L353</f>
        <v>D/W Sent</v>
      </c>
      <c r="O352">
        <f>'[1]2026 Orders'!M353</f>
        <v>0</v>
      </c>
      <c r="P352" t="str">
        <f>'[1]2026 Orders'!N353</f>
        <v>NA</v>
      </c>
      <c r="Q352" t="str">
        <f>'[1]2026 Orders'!O353</f>
        <v>810131194536</v>
      </c>
      <c r="R352">
        <f>'[1]2026 Orders'!P353</f>
        <v>0</v>
      </c>
      <c r="S352">
        <f>'[1]2026 Orders'!Q353</f>
        <v>0</v>
      </c>
      <c r="T352">
        <f>'[1]2026 Orders'!R353</f>
        <v>0</v>
      </c>
      <c r="U352">
        <f>'[1]2026 Orders'!S353</f>
        <v>0</v>
      </c>
      <c r="V352">
        <f>'[1]2026 Orders'!T353</f>
        <v>0</v>
      </c>
      <c r="W352">
        <f>'[1]2026 Orders'!U353</f>
        <v>0</v>
      </c>
      <c r="X352">
        <f>'[1]2026 Orders'!V353</f>
        <v>0</v>
      </c>
      <c r="Y352">
        <f>'[1]2026 Orders'!W353</f>
        <v>0</v>
      </c>
      <c r="Z352">
        <f>'[1]2026 Orders'!X353</f>
        <v>0</v>
      </c>
      <c r="AC352" t="str">
        <f t="shared" si="10"/>
        <v>/220</v>
      </c>
      <c r="AD352" t="e">
        <f t="shared" si="11"/>
        <v>#VALUE!</v>
      </c>
    </row>
    <row r="353" spans="1:30" ht="33" hidden="1" customHeight="1" x14ac:dyDescent="0.3">
      <c r="A353">
        <f>'[1]2026 Orders'!A354</f>
        <v>46132</v>
      </c>
      <c r="B353" s="14" t="str">
        <f>'[1]2026 Orders'!B354</f>
        <v>Lebanon</v>
      </c>
      <c r="C353" s="14" t="str">
        <f>'[1]2026 Orders'!C354</f>
        <v>A4690</v>
      </c>
      <c r="D353" s="14">
        <f>'[1]2026 Orders'!D354</f>
        <v>0</v>
      </c>
      <c r="E353" s="17" t="str" cm="1">
        <f t="array" ref="E353">IF(C353=0,"",
HYPERLINK(
"#'2026 Orders'!C"&amp;
MATCH(1,
('2026 Orders'!C:C=C353)*
('2026 Orders'!G:G=G353)*
('2026 Orders'!N:N=N353),
0),
"Open "&amp;C353
))</f>
        <v>Open A4690</v>
      </c>
      <c r="F353" s="14" t="str">
        <f>'[1]2026 Orders'!F354</f>
        <v>4/30/2026: Updated to WFSPLS-180-CS-LB
5/12/2026: Allocating from Uganda A4522 (120 pcs), Ethiopia A4575 (120 pcs), China A4659 (110 pcs). Reduced qty 385 -&gt; 350.
5/14/2026: UPC updated.</v>
      </c>
      <c r="G353" s="14" t="str">
        <f>'[1]2026 Orders'!G354</f>
        <v>WFSPLS-180-CS-LB</v>
      </c>
      <c r="H353" s="14" t="str" cm="1">
        <f t="array" ref="H353">IFERROR(_xlfn.TEXTJOIN("-",,INDEX(_xlfn.TEXTSPLIT(TableGive[[#This Row],[SKU]],"-"),{1,2})),"")</f>
        <v>WFSPLS-180</v>
      </c>
      <c r="I353" s="15" t="str">
        <f>IFERROR(_xlfn.TEXTAFTER(TableGive[[#This Row],[SKU]],"-",-1),"")</f>
        <v>LB</v>
      </c>
      <c r="J353" s="14">
        <f>'[1]2026 Orders'!H354</f>
        <v>350</v>
      </c>
      <c r="K353" t="str">
        <f>'[1]2026 Orders'!I354</f>
        <v>LB73-26.0</v>
      </c>
      <c r="L353">
        <f>'[1]2026 Orders'!J354</f>
        <v>350</v>
      </c>
      <c r="N353" s="10" t="str">
        <f>'[1]2026 Orders'!L354</f>
        <v>D/W Sent</v>
      </c>
      <c r="O353">
        <f>'[1]2026 Orders'!M354</f>
        <v>0</v>
      </c>
      <c r="P353" t="str">
        <f>'[1]2026 Orders'!N354</f>
        <v>NA</v>
      </c>
      <c r="Q353" t="str">
        <f>'[1]2026 Orders'!O354</f>
        <v>810131194543</v>
      </c>
      <c r="R353">
        <f>'[1]2026 Orders'!P354</f>
        <v>5000</v>
      </c>
      <c r="S353">
        <f>'[1]2026 Orders'!Q354</f>
        <v>5043</v>
      </c>
      <c r="T353" t="str">
        <f>'[1]2026 Orders'!R354</f>
        <v>TBD</v>
      </c>
      <c r="U353" t="str">
        <f>'[1]2026 Orders'!S354</f>
        <v>Pending approval to send to vendor</v>
      </c>
      <c r="V353">
        <f>'[1]2026 Orders'!T354</f>
        <v>0</v>
      </c>
      <c r="W353">
        <f>'[1]2026 Orders'!U354</f>
        <v>0</v>
      </c>
      <c r="X353">
        <f>'[1]2026 Orders'!V354</f>
        <v>0</v>
      </c>
      <c r="Y353">
        <f>'[1]2026 Orders'!W354</f>
        <v>0</v>
      </c>
      <c r="Z353">
        <f>'[1]2026 Orders'!X354</f>
        <v>0</v>
      </c>
      <c r="AC353" t="str">
        <f t="shared" si="10"/>
        <v>/350</v>
      </c>
      <c r="AD353" t="e">
        <f t="shared" si="11"/>
        <v>#VALUE!</v>
      </c>
    </row>
    <row r="354" spans="1:30" ht="33" hidden="1" customHeight="1" x14ac:dyDescent="0.3">
      <c r="A354">
        <f>'[1]2026 Orders'!A355</f>
        <v>46132</v>
      </c>
      <c r="B354" s="14" t="str">
        <f>'[1]2026 Orders'!B355</f>
        <v>Lebanon</v>
      </c>
      <c r="C354" s="14" t="str">
        <f>'[1]2026 Orders'!C355</f>
        <v>A4690</v>
      </c>
      <c r="D354" s="14">
        <f>'[1]2026 Orders'!D355</f>
        <v>0</v>
      </c>
      <c r="E354" s="17" t="str" cm="1">
        <f t="array" ref="E354">IF(C354=0,"",
HYPERLINK(
"#'2026 Orders'!C"&amp;
MATCH(1,
('2026 Orders'!C:C=C354)*
('2026 Orders'!G:G=G354)*
('2026 Orders'!N:N=N354),
0),
"Open "&amp;C354
))</f>
        <v>Open A4690</v>
      </c>
      <c r="F354" s="14" t="str">
        <f>'[1]2026 Orders'!F355</f>
        <v>4/30/2026: Updated to OVAMAX-120-CS-LB                      5/14/2026: UPC updated.</v>
      </c>
      <c r="G354" s="14" t="str">
        <f>'[1]2026 Orders'!G355</f>
        <v>OVAMAX-120-CS-LB</v>
      </c>
      <c r="H354" s="14" t="str" cm="1">
        <f t="array" ref="H354">IFERROR(_xlfn.TEXTJOIN("-",,INDEX(_xlfn.TEXTSPLIT(TableGive[[#This Row],[SKU]],"-"),{1,2})),"")</f>
        <v>OVAMAX-120</v>
      </c>
      <c r="I354" s="15" t="str">
        <f>IFERROR(_xlfn.TEXTAFTER(TableGive[[#This Row],[SKU]],"-",-1),"")</f>
        <v>LB</v>
      </c>
      <c r="J354" s="14">
        <f>'[1]2026 Orders'!H355</f>
        <v>385</v>
      </c>
      <c r="K354" t="str">
        <f>'[1]2026 Orders'!I355</f>
        <v>LB41-26.0</v>
      </c>
      <c r="L354">
        <f>'[1]2026 Orders'!J355</f>
        <v>385</v>
      </c>
      <c r="N354" s="10" t="str">
        <f>'[1]2026 Orders'!L355</f>
        <v>D/W Sent</v>
      </c>
      <c r="O354">
        <f>'[1]2026 Orders'!M355</f>
        <v>0</v>
      </c>
      <c r="P354" t="str">
        <f>'[1]2026 Orders'!N355</f>
        <v>NA</v>
      </c>
      <c r="Q354" t="str">
        <f>'[1]2026 Orders'!O355</f>
        <v>810131194567</v>
      </c>
      <c r="R354">
        <f>'[1]2026 Orders'!P355</f>
        <v>0</v>
      </c>
      <c r="S354">
        <f>'[1]2026 Orders'!Q355</f>
        <v>0</v>
      </c>
      <c r="T354">
        <f>'[1]2026 Orders'!R355</f>
        <v>0</v>
      </c>
      <c r="U354">
        <f>'[1]2026 Orders'!S355</f>
        <v>0</v>
      </c>
      <c r="V354">
        <f>'[1]2026 Orders'!T355</f>
        <v>0</v>
      </c>
      <c r="W354">
        <f>'[1]2026 Orders'!U355</f>
        <v>0</v>
      </c>
      <c r="X354">
        <f>'[1]2026 Orders'!V355</f>
        <v>0</v>
      </c>
      <c r="Y354">
        <f>'[1]2026 Orders'!W355</f>
        <v>0</v>
      </c>
      <c r="Z354">
        <f>'[1]2026 Orders'!X355</f>
        <v>0</v>
      </c>
      <c r="AC354" t="str">
        <f t="shared" si="10"/>
        <v>/385</v>
      </c>
      <c r="AD354" t="e">
        <f t="shared" si="11"/>
        <v>#VALUE!</v>
      </c>
    </row>
    <row r="355" spans="1:30" ht="33" hidden="1" customHeight="1" x14ac:dyDescent="0.3">
      <c r="A355">
        <f>'[1]2026 Orders'!A356</f>
        <v>46132</v>
      </c>
      <c r="B355" s="14" t="str">
        <f>'[1]2026 Orders'!B356</f>
        <v>Lebanon</v>
      </c>
      <c r="C355" s="14" t="str">
        <f>'[1]2026 Orders'!C356</f>
        <v>A4690</v>
      </c>
      <c r="D355" s="14">
        <f>'[1]2026 Orders'!D356</f>
        <v>0</v>
      </c>
      <c r="E355" s="17" t="str" cm="1">
        <f t="array" ref="E355">IF(C355=0,"",
HYPERLINK(
"#'2026 Orders'!C"&amp;
MATCH(1,
('2026 Orders'!C:C=C355)*
('2026 Orders'!G:G=G355)*
('2026 Orders'!N:N=N355),
0),
"Open "&amp;C355
))</f>
        <v>Open A4690</v>
      </c>
      <c r="F355" s="14" t="str">
        <f>'[1]2026 Orders'!F356</f>
        <v>4/30/2026: Updated to PRECON-180-CS-LB
5/12/2026: Allocating from Ethiopia A4575 (165 pcs).
5/14/2026: UPC updated.
5/19/2026: Qty reduced 165 -&gt; 161.
6/1/2026: Amended "Suggested Use" needed.                                  6/9/2026: Estimated completion - Monday 6/15/2026</v>
      </c>
      <c r="G355" s="14" t="str">
        <f>'[1]2026 Orders'!G356</f>
        <v>PRECON-180-CS-LB</v>
      </c>
      <c r="H355" s="14" t="str" cm="1">
        <f t="array" ref="H355">IFERROR(_xlfn.TEXTJOIN("-",,INDEX(_xlfn.TEXTSPLIT(TableGive[[#This Row],[SKU]],"-"),{1,2})),"")</f>
        <v>PRECON-180</v>
      </c>
      <c r="I355" s="15" t="str">
        <f>IFERROR(_xlfn.TEXTAFTER(TableGive[[#This Row],[SKU]],"-",-1),"")</f>
        <v>LB</v>
      </c>
      <c r="J355" s="14">
        <f>'[1]2026 Orders'!H356</f>
        <v>161</v>
      </c>
      <c r="K355" t="str">
        <f>'[1]2026 Orders'!I356</f>
        <v>LB55-26.0</v>
      </c>
      <c r="L355">
        <f>'[1]2026 Orders'!J356</f>
        <v>161</v>
      </c>
      <c r="N355" s="10" t="str">
        <f>'[1]2026 Orders'!L356</f>
        <v>Rework</v>
      </c>
      <c r="O355" t="str">
        <f>'[1]2026 Orders'!M356</f>
        <v>Label ETA 06/10</v>
      </c>
      <c r="P355" t="str">
        <f>'[1]2026 Orders'!N356</f>
        <v>NA</v>
      </c>
      <c r="Q355" t="str">
        <f>'[1]2026 Orders'!O356</f>
        <v>810131194574</v>
      </c>
      <c r="R355">
        <f>'[1]2026 Orders'!P356</f>
        <v>0</v>
      </c>
      <c r="S355">
        <f>'[1]2026 Orders'!Q356</f>
        <v>0</v>
      </c>
      <c r="T355">
        <f>'[1]2026 Orders'!R356</f>
        <v>0</v>
      </c>
      <c r="U355">
        <f>'[1]2026 Orders'!S356</f>
        <v>0</v>
      </c>
      <c r="V355">
        <f>'[1]2026 Orders'!T356</f>
        <v>0</v>
      </c>
      <c r="W355">
        <f>'[1]2026 Orders'!U356</f>
        <v>0</v>
      </c>
      <c r="X355">
        <f>'[1]2026 Orders'!V356</f>
        <v>0</v>
      </c>
      <c r="Y355">
        <f>'[1]2026 Orders'!W356</f>
        <v>0</v>
      </c>
      <c r="Z355">
        <f>'[1]2026 Orders'!X356</f>
        <v>0</v>
      </c>
      <c r="AC355" t="str">
        <f t="shared" si="10"/>
        <v>/161</v>
      </c>
      <c r="AD355" t="e">
        <f t="shared" si="11"/>
        <v>#VALUE!</v>
      </c>
    </row>
    <row r="356" spans="1:30" ht="33" hidden="1" customHeight="1" x14ac:dyDescent="0.3">
      <c r="A356">
        <f>'[1]2026 Orders'!A357</f>
        <v>0</v>
      </c>
      <c r="B356" s="14">
        <f>'[1]2026 Orders'!B357</f>
        <v>0</v>
      </c>
      <c r="C356" s="14">
        <f>'[1]2026 Orders'!C357</f>
        <v>0</v>
      </c>
      <c r="D356" s="14">
        <f>'[1]2026 Orders'!D357</f>
        <v>0</v>
      </c>
      <c r="E356" s="17" t="str" cm="1">
        <f t="array" ref="E356">IF(C356=0,"",
HYPERLINK(
"#'2026 Orders'!C"&amp;
MATCH(1,
('2026 Orders'!C:C=C356)*
('2026 Orders'!G:G=G356)*
('2026 Orders'!N:N=N356),
0),
"Open "&amp;C356
))</f>
        <v/>
      </c>
      <c r="F356" s="14">
        <f>'[1]2026 Orders'!F357</f>
        <v>0</v>
      </c>
      <c r="G356" s="14">
        <f>'[1]2026 Orders'!G357</f>
        <v>0</v>
      </c>
      <c r="H356" s="14" t="str" cm="1">
        <f t="array" ref="H356">IFERROR(_xlfn.TEXTJOIN("-",,INDEX(_xlfn.TEXTSPLIT(TableGive[[#This Row],[SKU]],"-"),{1,2})),"")</f>
        <v/>
      </c>
      <c r="I356" s="15" t="str">
        <f>IFERROR(_xlfn.TEXTAFTER(TableGive[[#This Row],[SKU]],"-",-1),"")</f>
        <v/>
      </c>
      <c r="J356" s="14">
        <f>'[1]2026 Orders'!H357</f>
        <v>0</v>
      </c>
      <c r="K356">
        <f>'[1]2026 Orders'!I357</f>
        <v>0</v>
      </c>
      <c r="L356">
        <f>'[1]2026 Orders'!J357</f>
        <v>0</v>
      </c>
      <c r="N356" s="10">
        <f>'[1]2026 Orders'!L357</f>
        <v>0</v>
      </c>
      <c r="O356">
        <f>'[1]2026 Orders'!M357</f>
        <v>0</v>
      </c>
      <c r="P356">
        <f>'[1]2026 Orders'!N357</f>
        <v>0</v>
      </c>
      <c r="Q356">
        <f>'[1]2026 Orders'!O357</f>
        <v>0</v>
      </c>
      <c r="R356">
        <f>'[1]2026 Orders'!P357</f>
        <v>0</v>
      </c>
      <c r="S356">
        <f>'[1]2026 Orders'!Q357</f>
        <v>0</v>
      </c>
      <c r="T356">
        <f>'[1]2026 Orders'!R357</f>
        <v>0</v>
      </c>
      <c r="U356">
        <f>'[1]2026 Orders'!S357</f>
        <v>0</v>
      </c>
      <c r="V356">
        <f>'[1]2026 Orders'!T357</f>
        <v>0</v>
      </c>
      <c r="W356">
        <f>'[1]2026 Orders'!U357</f>
        <v>0</v>
      </c>
      <c r="X356">
        <f>'[1]2026 Orders'!V357</f>
        <v>0</v>
      </c>
      <c r="Y356">
        <f>'[1]2026 Orders'!W357</f>
        <v>0</v>
      </c>
      <c r="Z356">
        <f>'[1]2026 Orders'!X357</f>
        <v>0</v>
      </c>
      <c r="AC356" t="str">
        <f t="shared" si="10"/>
        <v/>
      </c>
      <c r="AD356" t="str">
        <f t="shared" si="11"/>
        <v/>
      </c>
    </row>
    <row r="357" spans="1:30" ht="33" hidden="1" customHeight="1" x14ac:dyDescent="0.3">
      <c r="A357">
        <f>'[1]2026 Orders'!A358</f>
        <v>46133</v>
      </c>
      <c r="B357" s="14" t="str">
        <f>'[1]2026 Orders'!B358</f>
        <v>Iraq</v>
      </c>
      <c r="C357" s="14" t="str">
        <f>'[1]2026 Orders'!C358</f>
        <v>A4691</v>
      </c>
      <c r="D357" s="14" t="str">
        <f>'[1]2026 Orders'!D358</f>
        <v>4/21/2026: Awaiting Pro Forma Confirmation.                                   4/28/2026: Proforma Approved.         5/4/2026: Generated Lot Code for COQ runoff arriving Wednesday. No Memoup in stock, need to make plan for this product.</v>
      </c>
      <c r="E357" s="17" t="str" cm="1">
        <f t="array" ref="E357">IF(C357=0,"",
HYPERLINK(
"#'2026 Orders'!C"&amp;
MATCH(1,
('2026 Orders'!C:C=C357)*
('2026 Orders'!G:G=G357)*
('2026 Orders'!N:N=N357),
0),
"Open "&amp;C357
))</f>
        <v>Open A4691</v>
      </c>
      <c r="F357" s="14" t="str">
        <f>'[1]2026 Orders'!F358</f>
        <v>Runoff w/ Lot Code 49160126 arriving Wednesday - change lot to 25110126</v>
      </c>
      <c r="G357" s="14" t="str">
        <f>'[1]2026 Orders'!G358</f>
        <v>COQ100-125-FD</v>
      </c>
      <c r="H357" s="14" t="str" cm="1">
        <f t="array" ref="H357">IFERROR(_xlfn.TEXTJOIN("-",,INDEX(_xlfn.TEXTSPLIT(TableGive[[#This Row],[SKU]],"-"),{1,2})),"")</f>
        <v>COQ100-125</v>
      </c>
      <c r="I357" s="15" t="str">
        <f>IFERROR(_xlfn.TEXTAFTER(TableGive[[#This Row],[SKU]],"-",-1),"")</f>
        <v>FD</v>
      </c>
      <c r="J357" s="14">
        <f>'[1]2026 Orders'!H358</f>
        <v>30</v>
      </c>
      <c r="K357" t="str">
        <f>'[1]2026 Orders'!I358</f>
        <v>F12-26.0</v>
      </c>
      <c r="L357">
        <f>'[1]2026 Orders'!J358</f>
        <v>30</v>
      </c>
      <c r="N357" s="10" t="str">
        <f>'[1]2026 Orders'!L358</f>
        <v>Rework</v>
      </c>
      <c r="O357" t="str">
        <f>'[1]2026 Orders'!M358</f>
        <v>LABEL ETA 06/12</v>
      </c>
      <c r="P357" t="str">
        <f>'[1]2026 Orders'!N358</f>
        <v>Y</v>
      </c>
      <c r="Q357" t="str">
        <f>'[1]2026 Orders'!O358</f>
        <v xml:space="preserve">810131199258
</v>
      </c>
      <c r="R357">
        <f>'[1]2026 Orders'!P358</f>
        <v>0</v>
      </c>
      <c r="S357">
        <f>'[1]2026 Orders'!Q358</f>
        <v>0</v>
      </c>
      <c r="T357">
        <f>'[1]2026 Orders'!R358</f>
        <v>0</v>
      </c>
      <c r="U357">
        <f>'[1]2026 Orders'!S358</f>
        <v>0</v>
      </c>
      <c r="V357">
        <f>'[1]2026 Orders'!T358</f>
        <v>0</v>
      </c>
      <c r="W357">
        <f>'[1]2026 Orders'!U358</f>
        <v>0</v>
      </c>
      <c r="X357">
        <f>'[1]2026 Orders'!V358</f>
        <v>0</v>
      </c>
      <c r="Y357">
        <f>'[1]2026 Orders'!W358</f>
        <v>0</v>
      </c>
      <c r="Z357" t="str">
        <f>'[1]2026 Orders'!X358</f>
        <v>HOLD</v>
      </c>
      <c r="AC357" t="str">
        <f t="shared" si="10"/>
        <v>/30</v>
      </c>
      <c r="AD357" t="e">
        <f t="shared" si="11"/>
        <v>#VALUE!</v>
      </c>
    </row>
    <row r="358" spans="1:30" ht="33" hidden="1" customHeight="1" x14ac:dyDescent="0.3">
      <c r="A358">
        <f>'[1]2026 Orders'!A359</f>
        <v>46133</v>
      </c>
      <c r="B358" s="14" t="str">
        <f>'[1]2026 Orders'!B359</f>
        <v>Iraq</v>
      </c>
      <c r="C358" s="14" t="str">
        <f>'[1]2026 Orders'!C359</f>
        <v>A4691</v>
      </c>
      <c r="D358" s="14" t="str">
        <f>'[1]2026 Orders'!D359</f>
        <v>5/11/2026: Allocate from Iraq A4631. Arriving 5/14/2026.</v>
      </c>
      <c r="E358" s="17" t="str" cm="1">
        <f t="array" ref="E358">IF(C358=0,"",
HYPERLINK(
"#'2026 Orders'!C"&amp;
MATCH(1,
('2026 Orders'!C:C=C358)*
('2026 Orders'!G:G=G358)*
('2026 Orders'!N:N=N358),
0),
"Open "&amp;C358
))</f>
        <v>Open A4691</v>
      </c>
      <c r="F358" s="14" t="str">
        <f>'[1]2026 Orders'!F359</f>
        <v>New lot is needed - 25121025</v>
      </c>
      <c r="G358" s="14" t="str">
        <f>'[1]2026 Orders'!G359</f>
        <v>MEMOUP-60-FD</v>
      </c>
      <c r="H358" s="14" t="str" cm="1">
        <f t="array" ref="H358">IFERROR(_xlfn.TEXTJOIN("-",,INDEX(_xlfn.TEXTSPLIT(TableGive[[#This Row],[SKU]],"-"),{1,2})),"")</f>
        <v>MEMOUP-60</v>
      </c>
      <c r="I358" s="15" t="str">
        <f>IFERROR(_xlfn.TEXTAFTER(TableGive[[#This Row],[SKU]],"-",-1),"")</f>
        <v>FD</v>
      </c>
      <c r="J358" s="14">
        <f>'[1]2026 Orders'!H359</f>
        <v>30</v>
      </c>
      <c r="K358" t="str">
        <f>'[1]2026 Orders'!I359</f>
        <v>F27-26.0</v>
      </c>
      <c r="L358">
        <f>'[1]2026 Orders'!J359</f>
        <v>30</v>
      </c>
      <c r="N358" s="10" t="str">
        <f>'[1]2026 Orders'!L359</f>
        <v>Rework</v>
      </c>
      <c r="O358" t="str">
        <f>'[1]2026 Orders'!M359</f>
        <v>LABEL ETA 06/12</v>
      </c>
      <c r="P358" t="str">
        <f>'[1]2026 Orders'!N359</f>
        <v>Y</v>
      </c>
      <c r="Q358" t="str">
        <f>'[1]2026 Orders'!O359</f>
        <v>810131199449</v>
      </c>
      <c r="R358">
        <f>'[1]2026 Orders'!P359</f>
        <v>5250</v>
      </c>
      <c r="S358">
        <f>'[1]2026 Orders'!Q359</f>
        <v>4928</v>
      </c>
      <c r="T358" t="str">
        <f>'[1]2026 Orders'!R359</f>
        <v>Complete</v>
      </c>
      <c r="U358">
        <f>'[1]2026 Orders'!S359</f>
        <v>0</v>
      </c>
      <c r="V358">
        <f>'[1]2026 Orders'!T359</f>
        <v>0</v>
      </c>
      <c r="W358">
        <f>'[1]2026 Orders'!U359</f>
        <v>0</v>
      </c>
      <c r="X358">
        <f>'[1]2026 Orders'!V359</f>
        <v>0</v>
      </c>
      <c r="Y358">
        <f>'[1]2026 Orders'!W359</f>
        <v>0</v>
      </c>
      <c r="Z358">
        <f>'[1]2026 Orders'!X359</f>
        <v>0</v>
      </c>
      <c r="AC358" t="str">
        <f t="shared" si="10"/>
        <v>/30</v>
      </c>
      <c r="AD358" t="e">
        <f t="shared" si="11"/>
        <v>#VALUE!</v>
      </c>
    </row>
    <row r="359" spans="1:30" ht="33" hidden="1" customHeight="1" x14ac:dyDescent="0.3">
      <c r="A359">
        <f>'[1]2026 Orders'!A360</f>
        <v>0</v>
      </c>
      <c r="B359" s="14">
        <f>'[1]2026 Orders'!B360</f>
        <v>0</v>
      </c>
      <c r="C359" s="14">
        <f>'[1]2026 Orders'!C360</f>
        <v>0</v>
      </c>
      <c r="D359" s="14">
        <f>'[1]2026 Orders'!D360</f>
        <v>0</v>
      </c>
      <c r="E359" s="17" t="str" cm="1">
        <f t="array" ref="E359">IF(C359=0,"",
HYPERLINK(
"#'2026 Orders'!C"&amp;
MATCH(1,
('2026 Orders'!C:C=C359)*
('2026 Orders'!G:G=G359)*
('2026 Orders'!N:N=N359),
0),
"Open "&amp;C359
))</f>
        <v/>
      </c>
      <c r="F359" s="14">
        <f>'[1]2026 Orders'!F360</f>
        <v>0</v>
      </c>
      <c r="G359" s="14">
        <f>'[1]2026 Orders'!G360</f>
        <v>0</v>
      </c>
      <c r="H359" s="14" t="str" cm="1">
        <f t="array" ref="H359">IFERROR(_xlfn.TEXTJOIN("-",,INDEX(_xlfn.TEXTSPLIT(TableGive[[#This Row],[SKU]],"-"),{1,2})),"")</f>
        <v/>
      </c>
      <c r="I359" s="15" t="str">
        <f>IFERROR(_xlfn.TEXTAFTER(TableGive[[#This Row],[SKU]],"-",-1),"")</f>
        <v/>
      </c>
      <c r="J359" s="14">
        <f>'[1]2026 Orders'!H360</f>
        <v>0</v>
      </c>
      <c r="K359">
        <f>'[1]2026 Orders'!I360</f>
        <v>0</v>
      </c>
      <c r="L359">
        <f>'[1]2026 Orders'!J360</f>
        <v>0</v>
      </c>
      <c r="N359" s="10">
        <f>'[1]2026 Orders'!L360</f>
        <v>0</v>
      </c>
      <c r="O359">
        <f>'[1]2026 Orders'!M360</f>
        <v>0</v>
      </c>
      <c r="P359">
        <f>'[1]2026 Orders'!N360</f>
        <v>0</v>
      </c>
      <c r="Q359">
        <f>'[1]2026 Orders'!O360</f>
        <v>0</v>
      </c>
      <c r="R359">
        <f>'[1]2026 Orders'!P360</f>
        <v>0</v>
      </c>
      <c r="S359">
        <f>'[1]2026 Orders'!Q360</f>
        <v>0</v>
      </c>
      <c r="T359">
        <f>'[1]2026 Orders'!R360</f>
        <v>0</v>
      </c>
      <c r="U359">
        <f>'[1]2026 Orders'!S360</f>
        <v>0</v>
      </c>
      <c r="V359">
        <f>'[1]2026 Orders'!T360</f>
        <v>0</v>
      </c>
      <c r="W359">
        <f>'[1]2026 Orders'!U360</f>
        <v>0</v>
      </c>
      <c r="X359">
        <f>'[1]2026 Orders'!V360</f>
        <v>0</v>
      </c>
      <c r="Y359">
        <f>'[1]2026 Orders'!W360</f>
        <v>0</v>
      </c>
      <c r="Z359">
        <f>'[1]2026 Orders'!X360</f>
        <v>0</v>
      </c>
      <c r="AC359" t="str">
        <f t="shared" si="10"/>
        <v/>
      </c>
      <c r="AD359" t="str">
        <f t="shared" si="11"/>
        <v/>
      </c>
    </row>
    <row r="360" spans="1:30" ht="33" hidden="1" customHeight="1" x14ac:dyDescent="0.3">
      <c r="A360">
        <f>'[1]2026 Orders'!A361</f>
        <v>46134</v>
      </c>
      <c r="B360" s="14" t="str">
        <f>'[1]2026 Orders'!B361</f>
        <v>Libya</v>
      </c>
      <c r="C360" s="14" t="str">
        <f>'[1]2026 Orders'!C361</f>
        <v>A4692</v>
      </c>
      <c r="D360" s="14" t="str">
        <f>'[1]2026 Orders'!D361</f>
        <v>4/22/2026: Awaiting Proforma Confirmation</v>
      </c>
      <c r="E360" s="17" t="str" cm="1">
        <f t="array" ref="E360">IF(C360=0,"",
HYPERLINK(
"#'2026 Orders'!C"&amp;
MATCH(1,
('2026 Orders'!C:C=C360)*
('2026 Orders'!G:G=G360)*
('2026 Orders'!N:N=N360),
0),
"Open "&amp;C360
))</f>
        <v>Open A4692</v>
      </c>
      <c r="F360" s="14">
        <f>'[1]2026 Orders'!F361</f>
        <v>0</v>
      </c>
      <c r="G360" s="14" t="str">
        <f>'[1]2026 Orders'!G361</f>
        <v>FERTMX-90-CS-LY</v>
      </c>
      <c r="H360" s="14" t="str" cm="1">
        <f t="array" ref="H360">IFERROR(_xlfn.TEXTJOIN("-",,INDEX(_xlfn.TEXTSPLIT(TableGive[[#This Row],[SKU]],"-"),{1,2})),"")</f>
        <v>FERTMX-90</v>
      </c>
      <c r="I360" s="15" t="str">
        <f>IFERROR(_xlfn.TEXTAFTER(TableGive[[#This Row],[SKU]],"-",-1),"")</f>
        <v>LY</v>
      </c>
      <c r="J360" s="14">
        <f>'[1]2026 Orders'!H361</f>
        <v>1000</v>
      </c>
      <c r="K360" t="str">
        <f>'[1]2026 Orders'!I361</f>
        <v>LY16-24.0/25.0</v>
      </c>
      <c r="L360">
        <f>'[1]2026 Orders'!J361</f>
        <v>0</v>
      </c>
      <c r="N360" s="10" t="str">
        <f>'[1]2026 Orders'!L361</f>
        <v>PO submitted</v>
      </c>
      <c r="O360">
        <f>'[1]2026 Orders'!M361</f>
        <v>0</v>
      </c>
      <c r="P360" t="str">
        <f>'[1]2026 Orders'!N361</f>
        <v>Y</v>
      </c>
      <c r="Q360">
        <f>'[1]2026 Orders'!O361</f>
        <v>604776737575</v>
      </c>
      <c r="R360">
        <f>'[1]2026 Orders'!P361</f>
        <v>5000</v>
      </c>
      <c r="S360">
        <f>'[1]2026 Orders'!Q361</f>
        <v>5041</v>
      </c>
      <c r="T360">
        <f>'[1]2026 Orders'!R361</f>
        <v>46234</v>
      </c>
      <c r="U360" t="str">
        <f>'[1]2026 Orders'!S361</f>
        <v>Waiting for vendor confirmation.</v>
      </c>
      <c r="V360">
        <f>'[1]2026 Orders'!T361</f>
        <v>0</v>
      </c>
      <c r="W360">
        <f>'[1]2026 Orders'!U361</f>
        <v>0</v>
      </c>
      <c r="X360">
        <f>'[1]2026 Orders'!V361</f>
        <v>0</v>
      </c>
      <c r="Y360">
        <f>'[1]2026 Orders'!W361</f>
        <v>0</v>
      </c>
      <c r="Z360" t="str">
        <f>'[1]2026 Orders'!X361</f>
        <v>HOLD</v>
      </c>
      <c r="AC360" t="str">
        <f t="shared" si="10"/>
        <v>/1000</v>
      </c>
      <c r="AD360" t="e">
        <f t="shared" si="11"/>
        <v>#VALUE!</v>
      </c>
    </row>
    <row r="361" spans="1:30" ht="33" hidden="1" customHeight="1" x14ac:dyDescent="0.3">
      <c r="A361">
        <f>'[1]2026 Orders'!A362</f>
        <v>46134</v>
      </c>
      <c r="B361" s="14" t="str">
        <f>'[1]2026 Orders'!B362</f>
        <v>Libya</v>
      </c>
      <c r="C361" s="14" t="str">
        <f>'[1]2026 Orders'!C362</f>
        <v>A4692</v>
      </c>
      <c r="D361" s="14" t="str">
        <f>'[1]2026 Orders'!D362</f>
        <v>4/24/2026: Proforma Approved</v>
      </c>
      <c r="E361" s="17" t="str" cm="1">
        <f t="array" ref="E361">IF(C361=0,"",
HYPERLINK(
"#'2026 Orders'!C"&amp;
MATCH(1,
('2026 Orders'!C:C=C361)*
('2026 Orders'!G:G=G361)*
('2026 Orders'!N:N=N361),
0),
"Open "&amp;C361
))</f>
        <v>Open A4692</v>
      </c>
      <c r="F361" s="14">
        <f>'[1]2026 Orders'!F362</f>
        <v>0</v>
      </c>
      <c r="G361" s="14" t="str">
        <f>'[1]2026 Orders'!G362</f>
        <v>FIBRO-60-CS-LY</v>
      </c>
      <c r="H361" s="14" t="str" cm="1">
        <f t="array" ref="H361">IFERROR(_xlfn.TEXTJOIN("-",,INDEX(_xlfn.TEXTSPLIT(TableGive[[#This Row],[SKU]],"-"),{1,2})),"")</f>
        <v>FIBRO-60</v>
      </c>
      <c r="I361" s="15" t="str">
        <f>IFERROR(_xlfn.TEXTAFTER(TableGive[[#This Row],[SKU]],"-",-1),"")</f>
        <v>LY</v>
      </c>
      <c r="J361" s="14">
        <f>'[1]2026 Orders'!H362</f>
        <v>300</v>
      </c>
      <c r="K361" t="str">
        <f>'[1]2026 Orders'!I362</f>
        <v>LY17-24.0</v>
      </c>
      <c r="L361">
        <f>'[1]2026 Orders'!J362</f>
        <v>300</v>
      </c>
      <c r="N361" s="10" t="str">
        <f>'[1]2026 Orders'!L362</f>
        <v>Rework</v>
      </c>
      <c r="O361">
        <f>'[1]2026 Orders'!M362</f>
        <v>0</v>
      </c>
      <c r="P361" t="str">
        <f>'[1]2026 Orders'!N362</f>
        <v>NA</v>
      </c>
      <c r="Q361">
        <f>'[1]2026 Orders'!O362</f>
        <v>604776739012</v>
      </c>
      <c r="R361">
        <f>'[1]2026 Orders'!P362</f>
        <v>0</v>
      </c>
      <c r="S361">
        <f>'[1]2026 Orders'!Q362</f>
        <v>0</v>
      </c>
      <c r="T361">
        <f>'[1]2026 Orders'!R362</f>
        <v>0</v>
      </c>
      <c r="U361">
        <f>'[1]2026 Orders'!S362</f>
        <v>0</v>
      </c>
      <c r="V361">
        <f>'[1]2026 Orders'!T362</f>
        <v>0</v>
      </c>
      <c r="W361">
        <f>'[1]2026 Orders'!U362</f>
        <v>0</v>
      </c>
      <c r="X361">
        <f>'[1]2026 Orders'!V362</f>
        <v>0</v>
      </c>
      <c r="Y361">
        <f>'[1]2026 Orders'!W362</f>
        <v>0</v>
      </c>
      <c r="Z361">
        <f>'[1]2026 Orders'!X362</f>
        <v>0</v>
      </c>
      <c r="AC361" t="str">
        <f t="shared" si="10"/>
        <v>/300</v>
      </c>
      <c r="AD361" t="e">
        <f t="shared" si="11"/>
        <v>#VALUE!</v>
      </c>
    </row>
    <row r="362" spans="1:30" ht="33" hidden="1" customHeight="1" x14ac:dyDescent="0.3">
      <c r="A362">
        <f>'[1]2026 Orders'!A363</f>
        <v>46134</v>
      </c>
      <c r="B362" s="14" t="str">
        <f>'[1]2026 Orders'!B363</f>
        <v>Libya</v>
      </c>
      <c r="C362" s="14" t="str">
        <f>'[1]2026 Orders'!C363</f>
        <v>A4692</v>
      </c>
      <c r="D362" s="14">
        <f>'[1]2026 Orders'!D363</f>
        <v>0</v>
      </c>
      <c r="E362" s="17" t="str" cm="1">
        <f t="array" ref="E362">IF(C362=0,"",
HYPERLINK(
"#'2026 Orders'!C"&amp;
MATCH(1,
('2026 Orders'!C:C=C362)*
('2026 Orders'!G:G=G362)*
('2026 Orders'!N:N=N362),
0),
"Open "&amp;C362
))</f>
        <v>Open A4692</v>
      </c>
      <c r="F362" s="14">
        <f>'[1]2026 Orders'!F363</f>
        <v>0</v>
      </c>
      <c r="G362" s="14" t="str">
        <f>'[1]2026 Orders'!G363</f>
        <v>MOTILMX-60-CS-LY</v>
      </c>
      <c r="H362" s="14" t="str" cm="1">
        <f t="array" ref="H362">IFERROR(_xlfn.TEXTJOIN("-",,INDEX(_xlfn.TEXTSPLIT(TableGive[[#This Row],[SKU]],"-"),{1,2})),"")</f>
        <v>MOTILMX-60</v>
      </c>
      <c r="I362" s="15" t="str">
        <f>IFERROR(_xlfn.TEXTAFTER(TableGive[[#This Row],[SKU]],"-",-1),"")</f>
        <v>LY</v>
      </c>
      <c r="J362" s="14">
        <f>'[1]2026 Orders'!H363</f>
        <v>1500</v>
      </c>
      <c r="K362" t="str">
        <f>'[1]2026 Orders'!I363</f>
        <v>LY31-26.0</v>
      </c>
      <c r="L362">
        <f>'[1]2026 Orders'!J363</f>
        <v>1500</v>
      </c>
      <c r="N362" s="10" t="str">
        <f>'[1]2026 Orders'!L363</f>
        <v>Picked</v>
      </c>
      <c r="O362">
        <f>'[1]2026 Orders'!M363</f>
        <v>0</v>
      </c>
      <c r="P362" t="str">
        <f>'[1]2026 Orders'!N363</f>
        <v>NA</v>
      </c>
      <c r="Q362">
        <f>'[1]2026 Orders'!O363</f>
        <v>604776739067</v>
      </c>
      <c r="R362">
        <f>'[1]2026 Orders'!P363</f>
        <v>0</v>
      </c>
      <c r="S362">
        <f>'[1]2026 Orders'!Q363</f>
        <v>0</v>
      </c>
      <c r="T362">
        <f>'[1]2026 Orders'!R363</f>
        <v>0</v>
      </c>
      <c r="U362">
        <f>'[1]2026 Orders'!S363</f>
        <v>0</v>
      </c>
      <c r="V362">
        <f>'[1]2026 Orders'!T363</f>
        <v>0</v>
      </c>
      <c r="W362">
        <f>'[1]2026 Orders'!U363</f>
        <v>0</v>
      </c>
      <c r="X362">
        <f>'[1]2026 Orders'!V363</f>
        <v>0</v>
      </c>
      <c r="Y362">
        <f>'[1]2026 Orders'!W363</f>
        <v>0</v>
      </c>
      <c r="Z362">
        <f>'[1]2026 Orders'!X363</f>
        <v>0</v>
      </c>
      <c r="AC362" t="str">
        <f t="shared" si="10"/>
        <v>/1500</v>
      </c>
      <c r="AD362" t="e">
        <f t="shared" si="11"/>
        <v>#VALUE!</v>
      </c>
    </row>
    <row r="363" spans="1:30" ht="33" hidden="1" customHeight="1" x14ac:dyDescent="0.3">
      <c r="A363">
        <f>'[1]2026 Orders'!A364</f>
        <v>46134</v>
      </c>
      <c r="B363" s="14" t="str">
        <f>'[1]2026 Orders'!B364</f>
        <v>Libya</v>
      </c>
      <c r="C363" s="14" t="str">
        <f>'[1]2026 Orders'!C364</f>
        <v>A4692</v>
      </c>
      <c r="D363" s="14">
        <f>'[1]2026 Orders'!D364</f>
        <v>0</v>
      </c>
      <c r="E363" s="17" t="str" cm="1">
        <f t="array" ref="E363">IF(C363=0,"",
HYPERLINK(
"#'2026 Orders'!C"&amp;
MATCH(1,
('2026 Orders'!C:C=C363)*
('2026 Orders'!G:G=G363)*
('2026 Orders'!N:N=N363),
0),
"Open "&amp;C363
))</f>
        <v>Open A4692</v>
      </c>
      <c r="F363" s="14">
        <f>'[1]2026 Orders'!F364</f>
        <v>0</v>
      </c>
      <c r="G363" s="14" t="str">
        <f>'[1]2026 Orders'!G364</f>
        <v>OVAMAX-120-CS-LY</v>
      </c>
      <c r="H363" s="14" t="str" cm="1">
        <f t="array" ref="H363">IFERROR(_xlfn.TEXTJOIN("-",,INDEX(_xlfn.TEXTSPLIT(TableGive[[#This Row],[SKU]],"-"),{1,2})),"")</f>
        <v>OVAMAX-120</v>
      </c>
      <c r="I363" s="15" t="str">
        <f>IFERROR(_xlfn.TEXTAFTER(TableGive[[#This Row],[SKU]],"-",-1),"")</f>
        <v>LY</v>
      </c>
      <c r="J363" s="14">
        <f>'[1]2026 Orders'!H364</f>
        <v>1500</v>
      </c>
      <c r="K363" t="str">
        <f>'[1]2026 Orders'!I364</f>
        <v>LY41-24.0</v>
      </c>
      <c r="L363">
        <f>'[1]2026 Orders'!J364</f>
        <v>1500</v>
      </c>
      <c r="N363" s="10" t="str">
        <f>'[1]2026 Orders'!L364</f>
        <v>In Production</v>
      </c>
      <c r="O363">
        <f>'[1]2026 Orders'!M364</f>
        <v>0</v>
      </c>
      <c r="P363" t="str">
        <f>'[1]2026 Orders'!N364</f>
        <v>NA</v>
      </c>
      <c r="Q363">
        <f>'[1]2026 Orders'!O364</f>
        <v>609788968399</v>
      </c>
      <c r="R363">
        <f>'[1]2026 Orders'!P364</f>
        <v>10775</v>
      </c>
      <c r="S363">
        <f>'[1]2026 Orders'!Q364</f>
        <v>5055</v>
      </c>
      <c r="T363">
        <f>'[1]2026 Orders'!R364</f>
        <v>46213</v>
      </c>
      <c r="U363">
        <f>'[1]2026 Orders'!S364</f>
        <v>0</v>
      </c>
      <c r="V363">
        <f>'[1]2026 Orders'!T364</f>
        <v>0</v>
      </c>
      <c r="W363">
        <f>'[1]2026 Orders'!U364</f>
        <v>0</v>
      </c>
      <c r="X363">
        <f>'[1]2026 Orders'!V364</f>
        <v>0</v>
      </c>
      <c r="Y363">
        <f>'[1]2026 Orders'!W364</f>
        <v>0</v>
      </c>
      <c r="Z363">
        <f>'[1]2026 Orders'!X364</f>
        <v>0</v>
      </c>
      <c r="AC363" t="str">
        <f t="shared" si="10"/>
        <v>/1500</v>
      </c>
      <c r="AD363" t="e">
        <f t="shared" si="11"/>
        <v>#VALUE!</v>
      </c>
    </row>
    <row r="364" spans="1:30" ht="33" hidden="1" customHeight="1" x14ac:dyDescent="0.3">
      <c r="A364">
        <f>'[1]2026 Orders'!A365</f>
        <v>46134</v>
      </c>
      <c r="B364" s="14" t="str">
        <f>'[1]2026 Orders'!B365</f>
        <v>Libya</v>
      </c>
      <c r="C364" s="14" t="str">
        <f>'[1]2026 Orders'!C365</f>
        <v>A4692</v>
      </c>
      <c r="D364" s="14">
        <f>'[1]2026 Orders'!D365</f>
        <v>0</v>
      </c>
      <c r="E364" s="17" t="str" cm="1">
        <f t="array" ref="E364">IF(C364=0,"",
HYPERLINK(
"#'2026 Orders'!C"&amp;
MATCH(1,
('2026 Orders'!C:C=C364)*
('2026 Orders'!G:G=G364)*
('2026 Orders'!N:N=N364),
0),
"Open "&amp;C364
))</f>
        <v>Open A4692</v>
      </c>
      <c r="F364" s="14">
        <f>'[1]2026 Orders'!F365</f>
        <v>0</v>
      </c>
      <c r="G364" s="14" t="str">
        <f>'[1]2026 Orders'!G365</f>
        <v>POLYSIT-90-CS-LY</v>
      </c>
      <c r="H364" s="14" t="str" cm="1">
        <f t="array" ref="H364">IFERROR(_xlfn.TEXTJOIN("-",,INDEX(_xlfn.TEXTSPLIT(TableGive[[#This Row],[SKU]],"-"),{1,2})),"")</f>
        <v>POLYSIT-90</v>
      </c>
      <c r="I364" s="15" t="str">
        <f>IFERROR(_xlfn.TEXTAFTER(TableGive[[#This Row],[SKU]],"-",-1),"")</f>
        <v>LY</v>
      </c>
      <c r="J364" s="14">
        <f>'[1]2026 Orders'!H365</f>
        <v>300</v>
      </c>
      <c r="K364" t="str">
        <f>'[1]2026 Orders'!I365</f>
        <v>LY53-24.0</v>
      </c>
      <c r="L364">
        <f>'[1]2026 Orders'!J365</f>
        <v>0</v>
      </c>
      <c r="N364" s="10" t="str">
        <f>'[1]2026 Orders'!L365</f>
        <v>In Production</v>
      </c>
      <c r="O364">
        <f>'[1]2026 Orders'!M365</f>
        <v>0</v>
      </c>
      <c r="P364" t="str">
        <f>'[1]2026 Orders'!N365</f>
        <v>Y</v>
      </c>
      <c r="Q364">
        <f>'[1]2026 Orders'!O365</f>
        <v>604776739203</v>
      </c>
      <c r="R364">
        <f>'[1]2026 Orders'!P365</f>
        <v>5000</v>
      </c>
      <c r="S364">
        <f>'[1]2026 Orders'!Q365</f>
        <v>5034</v>
      </c>
      <c r="T364">
        <f>'[1]2026 Orders'!R365</f>
        <v>46204</v>
      </c>
      <c r="U364">
        <f>'[1]2026 Orders'!S365</f>
        <v>0</v>
      </c>
      <c r="V364">
        <f>'[1]2026 Orders'!T365</f>
        <v>0</v>
      </c>
      <c r="W364">
        <f>'[1]2026 Orders'!U365</f>
        <v>0</v>
      </c>
      <c r="X364">
        <f>'[1]2026 Orders'!V365</f>
        <v>0</v>
      </c>
      <c r="Y364">
        <f>'[1]2026 Orders'!W365</f>
        <v>0</v>
      </c>
      <c r="Z364">
        <f>'[1]2026 Orders'!X365</f>
        <v>0</v>
      </c>
      <c r="AC364" t="str">
        <f t="shared" si="10"/>
        <v>/300</v>
      </c>
      <c r="AD364" t="e">
        <f t="shared" si="11"/>
        <v>#VALUE!</v>
      </c>
    </row>
    <row r="365" spans="1:30" ht="33" hidden="1" customHeight="1" x14ac:dyDescent="0.3">
      <c r="A365">
        <f>'[1]2026 Orders'!A366</f>
        <v>46134</v>
      </c>
      <c r="B365" s="14" t="str">
        <f>'[1]2026 Orders'!B366</f>
        <v>Libya</v>
      </c>
      <c r="C365" s="14" t="str">
        <f>'[1]2026 Orders'!C366</f>
        <v>A4692</v>
      </c>
      <c r="D365" s="14">
        <f>'[1]2026 Orders'!D366</f>
        <v>0</v>
      </c>
      <c r="E365" s="17" t="str" cm="1">
        <f t="array" ref="E365">IF(C365=0,"",
HYPERLINK(
"#'2026 Orders'!C"&amp;
MATCH(1,
('2026 Orders'!C:C=C365)*
('2026 Orders'!G:G=G365)*
('2026 Orders'!N:N=N365),
0),
"Open "&amp;C365
))</f>
        <v>Open A4692</v>
      </c>
      <c r="F365" s="14">
        <f>'[1]2026 Orders'!F366</f>
        <v>0</v>
      </c>
      <c r="G365" s="14" t="str">
        <f>'[1]2026 Orders'!G366</f>
        <v>PENAMAX-60-GE-FD</v>
      </c>
      <c r="H365" s="14" t="str" cm="1">
        <f t="array" ref="H365">IFERROR(_xlfn.TEXTJOIN("-",,INDEX(_xlfn.TEXTSPLIT(TableGive[[#This Row],[SKU]],"-"),{1,2})),"")</f>
        <v>PENAMAX-60</v>
      </c>
      <c r="I365" s="15" t="str">
        <f>IFERROR(_xlfn.TEXTAFTER(TableGive[[#This Row],[SKU]],"-",-1),"")</f>
        <v>FD</v>
      </c>
      <c r="J365" s="14">
        <f>'[1]2026 Orders'!H366</f>
        <v>800</v>
      </c>
      <c r="K365" t="str">
        <f>'[1]2026 Orders'!I366</f>
        <v>F88-25.1</v>
      </c>
      <c r="L365">
        <f>'[1]2026 Orders'!J366</f>
        <v>800</v>
      </c>
      <c r="N365" s="10" t="str">
        <f>'[1]2026 Orders'!L366</f>
        <v>Rework</v>
      </c>
      <c r="O365">
        <f>'[1]2026 Orders'!M366</f>
        <v>0</v>
      </c>
      <c r="P365" t="str">
        <f>'[1]2026 Orders'!N366</f>
        <v>Y</v>
      </c>
      <c r="Q365">
        <f>'[1]2026 Orders'!O366</f>
        <v>609788968702</v>
      </c>
      <c r="R365">
        <f>'[1]2026 Orders'!P366</f>
        <v>0</v>
      </c>
      <c r="S365">
        <f>'[1]2026 Orders'!Q366</f>
        <v>0</v>
      </c>
      <c r="T365">
        <f>'[1]2026 Orders'!R366</f>
        <v>0</v>
      </c>
      <c r="U365">
        <f>'[1]2026 Orders'!S366</f>
        <v>0</v>
      </c>
      <c r="V365">
        <f>'[1]2026 Orders'!T366</f>
        <v>0</v>
      </c>
      <c r="W365">
        <f>'[1]2026 Orders'!U366</f>
        <v>0</v>
      </c>
      <c r="X365">
        <f>'[1]2026 Orders'!V366</f>
        <v>0</v>
      </c>
      <c r="Y365">
        <f>'[1]2026 Orders'!W366</f>
        <v>0</v>
      </c>
      <c r="Z365">
        <f>'[1]2026 Orders'!X366</f>
        <v>0</v>
      </c>
      <c r="AC365" t="str">
        <f t="shared" si="10"/>
        <v>/800</v>
      </c>
      <c r="AD365" t="e">
        <f t="shared" si="11"/>
        <v>#VALUE!</v>
      </c>
    </row>
    <row r="366" spans="1:30" ht="33" hidden="1" customHeight="1" x14ac:dyDescent="0.3">
      <c r="A366">
        <f>'[1]2026 Orders'!A367</f>
        <v>46134</v>
      </c>
      <c r="B366" s="14" t="str">
        <f>'[1]2026 Orders'!B367</f>
        <v>Libya</v>
      </c>
      <c r="C366" s="14" t="str">
        <f>'[1]2026 Orders'!C367</f>
        <v>A4692</v>
      </c>
      <c r="D366" s="14">
        <f>'[1]2026 Orders'!D367</f>
        <v>0</v>
      </c>
      <c r="E366" s="17" t="str" cm="1">
        <f t="array" ref="E366">IF(C366=0,"",
HYPERLINK(
"#'2026 Orders'!C"&amp;
MATCH(1,
('2026 Orders'!C:C=C366)*
('2026 Orders'!G:G=G366)*
('2026 Orders'!N:N=N366),
0),
"Open "&amp;C366
))</f>
        <v>Open A4692</v>
      </c>
      <c r="F366" s="14">
        <f>'[1]2026 Orders'!F367</f>
        <v>0</v>
      </c>
      <c r="G366" s="14" t="str">
        <f>'[1]2026 Orders'!G367</f>
        <v>WFSPLS-180-CS-LY</v>
      </c>
      <c r="H366" s="14" t="str" cm="1">
        <f t="array" ref="H366">IFERROR(_xlfn.TEXTJOIN("-",,INDEX(_xlfn.TEXTSPLIT(TableGive[[#This Row],[SKU]],"-"),{1,2})),"")</f>
        <v>WFSPLS-180</v>
      </c>
      <c r="I366" s="15" t="str">
        <f>IFERROR(_xlfn.TEXTAFTER(TableGive[[#This Row],[SKU]],"-",-1),"")</f>
        <v>LY</v>
      </c>
      <c r="J366" s="14">
        <f>'[1]2026 Orders'!H367</f>
        <v>500</v>
      </c>
      <c r="K366" t="str">
        <f>'[1]2026 Orders'!I367</f>
        <v>LY73-24.0</v>
      </c>
      <c r="L366">
        <f>'[1]2026 Orders'!J367</f>
        <v>0</v>
      </c>
      <c r="N366" s="10" t="str">
        <f>'[1]2026 Orders'!L367</f>
        <v>PO Drafted</v>
      </c>
      <c r="O366">
        <f>'[1]2026 Orders'!M367</f>
        <v>0</v>
      </c>
      <c r="P366" t="str">
        <f>'[1]2026 Orders'!N367</f>
        <v>NA</v>
      </c>
      <c r="Q366">
        <f>'[1]2026 Orders'!O367</f>
        <v>604776739142</v>
      </c>
      <c r="R366">
        <f>'[1]2026 Orders'!P367</f>
        <v>5000</v>
      </c>
      <c r="S366">
        <f>'[1]2026 Orders'!Q367</f>
        <v>5043</v>
      </c>
      <c r="T366" t="str">
        <f>'[1]2026 Orders'!R367</f>
        <v>TBD</v>
      </c>
      <c r="U366" t="str">
        <f>'[1]2026 Orders'!S367</f>
        <v>Pending approval to send to vendor</v>
      </c>
      <c r="V366">
        <f>'[1]2026 Orders'!T367</f>
        <v>0</v>
      </c>
      <c r="W366">
        <f>'[1]2026 Orders'!U367</f>
        <v>0</v>
      </c>
      <c r="X366">
        <f>'[1]2026 Orders'!V367</f>
        <v>0</v>
      </c>
      <c r="Y366">
        <f>'[1]2026 Orders'!W367</f>
        <v>0</v>
      </c>
      <c r="Z366">
        <f>'[1]2026 Orders'!X367</f>
        <v>0</v>
      </c>
      <c r="AC366" t="str">
        <f t="shared" si="10"/>
        <v>/500</v>
      </c>
      <c r="AD366" t="e">
        <f t="shared" si="11"/>
        <v>#VALUE!</v>
      </c>
    </row>
    <row r="367" spans="1:30" ht="33" hidden="1" customHeight="1" x14ac:dyDescent="0.3">
      <c r="A367">
        <f>'[1]2026 Orders'!A368</f>
        <v>46134</v>
      </c>
      <c r="B367" s="14" t="str">
        <f>'[1]2026 Orders'!B368</f>
        <v>Libya</v>
      </c>
      <c r="C367" s="14" t="str">
        <f>'[1]2026 Orders'!C368</f>
        <v>A4692</v>
      </c>
      <c r="D367" s="14">
        <f>'[1]2026 Orders'!D368</f>
        <v>0</v>
      </c>
      <c r="E367" s="17" t="str" cm="1">
        <f t="array" ref="E367">IF(C367=0,"",
HYPERLINK(
"#'2026 Orders'!C"&amp;
MATCH(1,
('2026 Orders'!C:C=C367)*
('2026 Orders'!G:G=G367)*
('2026 Orders'!N:N=N367),
0),
"Open "&amp;C367
))</f>
        <v>Open A4692</v>
      </c>
      <c r="F367" s="14">
        <f>'[1]2026 Orders'!F368</f>
        <v>0</v>
      </c>
      <c r="G367" s="14" t="str">
        <f>'[1]2026 Orders'!G368</f>
        <v>SPERMCT-60-CS-LY</v>
      </c>
      <c r="H367" s="14" t="str" cm="1">
        <f t="array" ref="H367">IFERROR(_xlfn.TEXTJOIN("-",,INDEX(_xlfn.TEXTSPLIT(TableGive[[#This Row],[SKU]],"-"),{1,2})),"")</f>
        <v>SPERMCT-60</v>
      </c>
      <c r="I367" s="15" t="str">
        <f>IFERROR(_xlfn.TEXTAFTER(TableGive[[#This Row],[SKU]],"-",-1),"")</f>
        <v>LY</v>
      </c>
      <c r="J367" s="14">
        <f>'[1]2026 Orders'!H368</f>
        <v>200</v>
      </c>
      <c r="K367" t="str">
        <f>'[1]2026 Orders'!I368</f>
        <v>LY64-24.0</v>
      </c>
      <c r="L367">
        <f>'[1]2026 Orders'!J368</f>
        <v>200</v>
      </c>
      <c r="N367" s="10" t="str">
        <f>'[1]2026 Orders'!L368</f>
        <v>Rework</v>
      </c>
      <c r="O367">
        <f>'[1]2026 Orders'!M368</f>
        <v>0</v>
      </c>
      <c r="P367" t="str">
        <f>'[1]2026 Orders'!N368</f>
        <v>NA</v>
      </c>
      <c r="Q367">
        <f>'[1]2026 Orders'!O368</f>
        <v>604776739128</v>
      </c>
      <c r="R367">
        <f>'[1]2026 Orders'!P368</f>
        <v>0</v>
      </c>
      <c r="S367">
        <f>'[1]2026 Orders'!Q368</f>
        <v>0</v>
      </c>
      <c r="T367">
        <f>'[1]2026 Orders'!R368</f>
        <v>0</v>
      </c>
      <c r="U367">
        <f>'[1]2026 Orders'!S368</f>
        <v>0</v>
      </c>
      <c r="V367">
        <f>'[1]2026 Orders'!T368</f>
        <v>0</v>
      </c>
      <c r="W367">
        <f>'[1]2026 Orders'!U368</f>
        <v>0</v>
      </c>
      <c r="X367">
        <f>'[1]2026 Orders'!V368</f>
        <v>0</v>
      </c>
      <c r="Y367">
        <f>'[1]2026 Orders'!W368</f>
        <v>0</v>
      </c>
      <c r="Z367">
        <f>'[1]2026 Orders'!X368</f>
        <v>0</v>
      </c>
      <c r="AC367" t="str">
        <f t="shared" si="10"/>
        <v>/200</v>
      </c>
      <c r="AD367" t="e">
        <f t="shared" si="11"/>
        <v>#VALUE!</v>
      </c>
    </row>
    <row r="368" spans="1:30" ht="33" hidden="1" customHeight="1" x14ac:dyDescent="0.3">
      <c r="A368">
        <f>'[1]2026 Orders'!A369</f>
        <v>46134</v>
      </c>
      <c r="B368" s="14" t="str">
        <f>'[1]2026 Orders'!B369</f>
        <v>Libya</v>
      </c>
      <c r="C368" s="14" t="str">
        <f>'[1]2026 Orders'!C369</f>
        <v>A4692</v>
      </c>
      <c r="D368" s="14">
        <f>'[1]2026 Orders'!D369</f>
        <v>0</v>
      </c>
      <c r="E368" s="17" t="str" cm="1">
        <f t="array" ref="E368">IF(C368=0,"",
HYPERLINK(
"#'2026 Orders'!C"&amp;
MATCH(1,
('2026 Orders'!C:C=C368)*
('2026 Orders'!G:G=G368)*
('2026 Orders'!N:N=N368),
0),
"Open "&amp;C368
))</f>
        <v>Open A4692</v>
      </c>
      <c r="F368" s="14">
        <f>'[1]2026 Orders'!F369</f>
        <v>0</v>
      </c>
      <c r="G368" s="14" t="str">
        <f>'[1]2026 Orders'!G369</f>
        <v>GRAVFER-90-CS-GO</v>
      </c>
      <c r="H368" s="14" t="str" cm="1">
        <f t="array" ref="H368">IFERROR(_xlfn.TEXTJOIN("-",,INDEX(_xlfn.TEXTSPLIT(TableGive[[#This Row],[SKU]],"-"),{1,2})),"")</f>
        <v>GRAVFER-90</v>
      </c>
      <c r="I368" s="15" t="str">
        <f>IFERROR(_xlfn.TEXTAFTER(TableGive[[#This Row],[SKU]],"-",-1),"")</f>
        <v>GO</v>
      </c>
      <c r="J368" s="14">
        <f>'[1]2026 Orders'!H369</f>
        <v>1000</v>
      </c>
      <c r="K368" t="str">
        <f>'[1]2026 Orders'!I369</f>
        <v>GO21-24.0</v>
      </c>
      <c r="L368">
        <f>'[1]2026 Orders'!J369</f>
        <v>0</v>
      </c>
      <c r="N368" s="10" t="str">
        <f>'[1]2026 Orders'!L369</f>
        <v>Not Meet MOQ</v>
      </c>
      <c r="O368">
        <f>'[1]2026 Orders'!M369</f>
        <v>0</v>
      </c>
      <c r="P368">
        <f>'[1]2026 Orders'!N369</f>
        <v>0</v>
      </c>
      <c r="Q368">
        <f>'[1]2026 Orders'!O369</f>
        <v>0</v>
      </c>
      <c r="R368">
        <f>'[1]2026 Orders'!P369</f>
        <v>0</v>
      </c>
      <c r="S368">
        <f>'[1]2026 Orders'!Q369</f>
        <v>0</v>
      </c>
      <c r="T368">
        <f>'[1]2026 Orders'!R369</f>
        <v>0</v>
      </c>
      <c r="U368">
        <f>'[1]2026 Orders'!S369</f>
        <v>0</v>
      </c>
      <c r="V368">
        <f>'[1]2026 Orders'!T369</f>
        <v>0</v>
      </c>
      <c r="W368">
        <f>'[1]2026 Orders'!U369</f>
        <v>0</v>
      </c>
      <c r="X368">
        <f>'[1]2026 Orders'!V369</f>
        <v>0</v>
      </c>
      <c r="Y368">
        <f>'[1]2026 Orders'!W369</f>
        <v>0</v>
      </c>
      <c r="Z368">
        <f>'[1]2026 Orders'!X369</f>
        <v>0</v>
      </c>
      <c r="AC368" t="str">
        <f t="shared" si="10"/>
        <v>/1000</v>
      </c>
      <c r="AD368" t="e">
        <f t="shared" si="11"/>
        <v>#VALUE!</v>
      </c>
    </row>
    <row r="369" spans="1:30" ht="33" hidden="1" customHeight="1" x14ac:dyDescent="0.3">
      <c r="A369">
        <f>'[1]2026 Orders'!A370</f>
        <v>46134</v>
      </c>
      <c r="B369" s="14" t="str">
        <f>'[1]2026 Orders'!B370</f>
        <v>Libya</v>
      </c>
      <c r="C369" s="14" t="str">
        <f>'[1]2026 Orders'!C370</f>
        <v>A4692</v>
      </c>
      <c r="D369" s="14">
        <f>'[1]2026 Orders'!D370</f>
        <v>0</v>
      </c>
      <c r="E369" s="17" t="str" cm="1">
        <f t="array" ref="E369">IF(C369=0,"",
HYPERLINK(
"#'2026 Orders'!C"&amp;
MATCH(1,
('2026 Orders'!C:C=C369)*
('2026 Orders'!G:G=G369)*
('2026 Orders'!N:N=N369),
0),
"Open "&amp;C369
))</f>
        <v>Open A4692</v>
      </c>
      <c r="F369" s="14">
        <f>'[1]2026 Orders'!F370</f>
        <v>0</v>
      </c>
      <c r="G369" s="14" t="str">
        <f>'[1]2026 Orders'!G370</f>
        <v>LIPODIS-60-FD</v>
      </c>
      <c r="H369" s="14" t="str" cm="1">
        <f t="array" ref="H369">IFERROR(_xlfn.TEXTJOIN("-",,INDEX(_xlfn.TEXTSPLIT(TableGive[[#This Row],[SKU]],"-"),{1,2})),"")</f>
        <v>LIPODIS-60</v>
      </c>
      <c r="I369" s="15" t="str">
        <f>IFERROR(_xlfn.TEXTAFTER(TableGive[[#This Row],[SKU]],"-",-1),"")</f>
        <v>FD</v>
      </c>
      <c r="J369" s="14">
        <f>'[1]2026 Orders'!H370</f>
        <v>800</v>
      </c>
      <c r="K369" t="str">
        <f>'[1]2026 Orders'!I370</f>
        <v>F26-22.0</v>
      </c>
      <c r="L369">
        <f>'[1]2026 Orders'!J370</f>
        <v>779</v>
      </c>
      <c r="N369" s="10" t="str">
        <f>'[1]2026 Orders'!L370</f>
        <v>Rework</v>
      </c>
      <c r="O369">
        <f>'[1]2026 Orders'!M370</f>
        <v>0</v>
      </c>
      <c r="P369" t="str">
        <f>'[1]2026 Orders'!N370</f>
        <v>Y</v>
      </c>
      <c r="Q369" t="str">
        <f>'[1]2026 Orders'!O370</f>
        <v>604776735823</v>
      </c>
      <c r="R369">
        <f>'[1]2026 Orders'!P370</f>
        <v>7000</v>
      </c>
      <c r="S369">
        <f>'[1]2026 Orders'!Q370</f>
        <v>4971</v>
      </c>
      <c r="T369" t="str">
        <f>'[1]2026 Orders'!R370</f>
        <v>Complete</v>
      </c>
      <c r="U369" t="str">
        <f>'[1]2026 Orders'!S370</f>
        <v>Waiting for PL and sample approval</v>
      </c>
      <c r="V369">
        <f>'[1]2026 Orders'!T370</f>
        <v>0</v>
      </c>
      <c r="W369">
        <f>'[1]2026 Orders'!U370</f>
        <v>0</v>
      </c>
      <c r="X369">
        <f>'[1]2026 Orders'!V370</f>
        <v>0</v>
      </c>
      <c r="Y369">
        <f>'[1]2026 Orders'!W370</f>
        <v>0</v>
      </c>
      <c r="Z369">
        <f>'[1]2026 Orders'!X370</f>
        <v>0</v>
      </c>
      <c r="AC369" t="str">
        <f t="shared" si="10"/>
        <v>/800</v>
      </c>
      <c r="AD369" t="e">
        <f t="shared" si="11"/>
        <v>#VALUE!</v>
      </c>
    </row>
    <row r="370" spans="1:30" ht="33" hidden="1" customHeight="1" x14ac:dyDescent="0.3">
      <c r="A370">
        <f>'[1]2026 Orders'!A371</f>
        <v>46134</v>
      </c>
      <c r="B370" s="14" t="str">
        <f>'[1]2026 Orders'!B371</f>
        <v>Libya</v>
      </c>
      <c r="C370" s="14" t="str">
        <f>'[1]2026 Orders'!C371</f>
        <v>A4692</v>
      </c>
      <c r="D370" s="14">
        <f>'[1]2026 Orders'!D371</f>
        <v>0</v>
      </c>
      <c r="E370" s="17" t="str" cm="1">
        <f t="array" ref="E370">IF(C370=0,"",
HYPERLINK(
"#'2026 Orders'!C"&amp;
MATCH(1,
('2026 Orders'!C:C=C370)*
('2026 Orders'!G:G=G370)*
('2026 Orders'!N:N=N370),
0),
"Open "&amp;C370
))</f>
        <v>Open A4692</v>
      </c>
      <c r="F370" s="14">
        <f>'[1]2026 Orders'!F371</f>
        <v>0</v>
      </c>
      <c r="G370" s="14" t="str">
        <f>'[1]2026 Orders'!G371</f>
        <v>OSTEOPL-96-FD</v>
      </c>
      <c r="H370" s="14" t="str" cm="1">
        <f t="array" ref="H370">IFERROR(_xlfn.TEXTJOIN("-",,INDEX(_xlfn.TEXTSPLIT(TableGive[[#This Row],[SKU]],"-"),{1,2})),"")</f>
        <v>OSTEOPL-96</v>
      </c>
      <c r="I370" s="15" t="str">
        <f>IFERROR(_xlfn.TEXTAFTER(TableGive[[#This Row],[SKU]],"-",-1),"")</f>
        <v>FD</v>
      </c>
      <c r="J370" s="14">
        <f>'[1]2026 Orders'!H371</f>
        <v>300</v>
      </c>
      <c r="K370" t="str">
        <f>'[1]2026 Orders'!I371</f>
        <v>F39-24.0</v>
      </c>
      <c r="L370">
        <f>'[1]2026 Orders'!J371</f>
        <v>300</v>
      </c>
      <c r="N370" s="10" t="str">
        <f>'[1]2026 Orders'!L371</f>
        <v>Rework</v>
      </c>
      <c r="O370">
        <f>'[1]2026 Orders'!M371</f>
        <v>0</v>
      </c>
      <c r="P370" t="str">
        <f>'[1]2026 Orders'!N371</f>
        <v>Y</v>
      </c>
      <c r="Q370" t="str">
        <f>'[1]2026 Orders'!O371</f>
        <v>609788968238</v>
      </c>
      <c r="R370">
        <f>'[1]2026 Orders'!P371</f>
        <v>0</v>
      </c>
      <c r="S370">
        <f>'[1]2026 Orders'!Q371</f>
        <v>0</v>
      </c>
      <c r="T370">
        <f>'[1]2026 Orders'!R371</f>
        <v>0</v>
      </c>
      <c r="U370">
        <f>'[1]2026 Orders'!S371</f>
        <v>0</v>
      </c>
      <c r="V370">
        <f>'[1]2026 Orders'!T371</f>
        <v>0</v>
      </c>
      <c r="W370">
        <f>'[1]2026 Orders'!U371</f>
        <v>0</v>
      </c>
      <c r="X370">
        <f>'[1]2026 Orders'!V371</f>
        <v>0</v>
      </c>
      <c r="Y370">
        <f>'[1]2026 Orders'!W371</f>
        <v>0</v>
      </c>
      <c r="Z370">
        <f>'[1]2026 Orders'!X371</f>
        <v>0</v>
      </c>
      <c r="AC370" t="str">
        <f t="shared" si="10"/>
        <v>/300</v>
      </c>
      <c r="AD370" t="e">
        <f t="shared" si="11"/>
        <v>#VALUE!</v>
      </c>
    </row>
    <row r="371" spans="1:30" ht="33" hidden="1" customHeight="1" x14ac:dyDescent="0.3">
      <c r="A371">
        <f>'[1]2026 Orders'!A372</f>
        <v>46134</v>
      </c>
      <c r="B371" s="14" t="str">
        <f>'[1]2026 Orders'!B372</f>
        <v>Libya</v>
      </c>
      <c r="C371" s="14" t="str">
        <f>'[1]2026 Orders'!C372</f>
        <v>A4692</v>
      </c>
      <c r="D371" s="14">
        <f>'[1]2026 Orders'!D372</f>
        <v>0</v>
      </c>
      <c r="E371" s="17" t="str" cm="1">
        <f t="array" ref="E371">IF(C371=0,"",
HYPERLINK(
"#'2026 Orders'!C"&amp;
MATCH(1,
('2026 Orders'!C:C=C371)*
('2026 Orders'!G:G=G371)*
('2026 Orders'!N:N=N371),
0),
"Open "&amp;C371
))</f>
        <v>Open A4692</v>
      </c>
      <c r="F371" s="14">
        <f>'[1]2026 Orders'!F372</f>
        <v>0</v>
      </c>
      <c r="G371" s="14" t="str">
        <f>'[1]2026 Orders'!G372</f>
        <v xml:space="preserve">UTIC-60-FD </v>
      </c>
      <c r="H371" s="14" t="str" cm="1">
        <f t="array" ref="H371">IFERROR(_xlfn.TEXTJOIN("-",,INDEX(_xlfn.TEXTSPLIT(TableGive[[#This Row],[SKU]],"-"),{1,2})),"")</f>
        <v>UTIC-60</v>
      </c>
      <c r="I371" s="15" t="str">
        <f>IFERROR(_xlfn.TEXTAFTER(TableGive[[#This Row],[SKU]],"-",-1),"")</f>
        <v xml:space="preserve">FD </v>
      </c>
      <c r="J371" s="14">
        <f>'[1]2026 Orders'!H372</f>
        <v>500</v>
      </c>
      <c r="K371" t="str">
        <f>'[1]2026 Orders'!I372</f>
        <v>F107-25.0</v>
      </c>
      <c r="L371">
        <f>'[1]2026 Orders'!J372</f>
        <v>0</v>
      </c>
      <c r="N371" s="10" t="str">
        <f>'[1]2026 Orders'!L372</f>
        <v>Rework</v>
      </c>
      <c r="O371">
        <f>'[1]2026 Orders'!M372</f>
        <v>0</v>
      </c>
      <c r="P371" t="str">
        <f>'[1]2026 Orders'!N372</f>
        <v>NA</v>
      </c>
      <c r="Q371" t="str">
        <f>'[1]2026 Orders'!O372</f>
        <v>810131192983</v>
      </c>
      <c r="R371">
        <f>'[1]2026 Orders'!P372</f>
        <v>4000</v>
      </c>
      <c r="S371">
        <f>'[1]2026 Orders'!Q372</f>
        <v>4973</v>
      </c>
      <c r="T371" t="str">
        <f>'[1]2026 Orders'!R372</f>
        <v>Complete</v>
      </c>
      <c r="U371" t="str">
        <f>'[1]2026 Orders'!S372</f>
        <v>Waiting for PL and sample approval</v>
      </c>
      <c r="V371">
        <f>'[1]2026 Orders'!T372</f>
        <v>0</v>
      </c>
      <c r="W371">
        <f>'[1]2026 Orders'!U372</f>
        <v>0</v>
      </c>
      <c r="X371">
        <f>'[1]2026 Orders'!V372</f>
        <v>0</v>
      </c>
      <c r="Y371">
        <f>'[1]2026 Orders'!W372</f>
        <v>0</v>
      </c>
      <c r="Z371">
        <f>'[1]2026 Orders'!X372</f>
        <v>0</v>
      </c>
      <c r="AC371" t="str">
        <f t="shared" si="10"/>
        <v>/500</v>
      </c>
      <c r="AD371" t="e">
        <f t="shared" si="11"/>
        <v>#VALUE!</v>
      </c>
    </row>
    <row r="372" spans="1:30" ht="33" hidden="1" customHeight="1" x14ac:dyDescent="0.3">
      <c r="A372">
        <f>'[1]2026 Orders'!A373</f>
        <v>46134</v>
      </c>
      <c r="B372" s="14" t="str">
        <f>'[1]2026 Orders'!B373</f>
        <v>Libya</v>
      </c>
      <c r="C372" s="14" t="str">
        <f>'[1]2026 Orders'!C373</f>
        <v>A4692</v>
      </c>
      <c r="D372" s="14">
        <f>'[1]2026 Orders'!D373</f>
        <v>0</v>
      </c>
      <c r="E372" s="17" t="str" cm="1">
        <f t="array" ref="E372">IF(C372=0,"",
HYPERLINK(
"#'2026 Orders'!C"&amp;
MATCH(1,
('2026 Orders'!C:C=C372)*
('2026 Orders'!G:G=G372)*
('2026 Orders'!N:N=N372),
0),
"Open "&amp;C372
))</f>
        <v>Open A4692</v>
      </c>
      <c r="F372" s="14" t="str">
        <f>'[1]2026 Orders'!F373</f>
        <v>4/23/2026: SKU changed from FD to CS - *Use new labels uploaded*
5/4/2026: Awaiting Formula Confirmation
5/6/2026: Available formula confirmed</v>
      </c>
      <c r="G372" s="14" t="str">
        <f>'[1]2026 Orders'!G373</f>
        <v>BRSTW-60-CS-LY</v>
      </c>
      <c r="H372" s="14" t="str" cm="1">
        <f t="array" ref="H372">IFERROR(_xlfn.TEXTJOIN("-",,INDEX(_xlfn.TEXTSPLIT(TableGive[[#This Row],[SKU]],"-"),{1,2})),"")</f>
        <v>BRSTW-60</v>
      </c>
      <c r="I372" s="15" t="str">
        <f>IFERROR(_xlfn.TEXTAFTER(TableGive[[#This Row],[SKU]],"-",-1),"")</f>
        <v>LY</v>
      </c>
      <c r="J372" s="14">
        <f>'[1]2026 Orders'!H373</f>
        <v>500</v>
      </c>
      <c r="K372" t="str">
        <f>'[1]2026 Orders'!I373</f>
        <v>LY112-26.0</v>
      </c>
      <c r="L372">
        <f>'[1]2026 Orders'!J373</f>
        <v>500</v>
      </c>
      <c r="N372" s="10" t="str">
        <f>'[1]2026 Orders'!L373</f>
        <v>Pending Picking</v>
      </c>
      <c r="O372" t="str">
        <f>'[1]2026 Orders'!M373</f>
        <v>Old Formula available</v>
      </c>
      <c r="P372">
        <f>'[1]2026 Orders'!N373</f>
        <v>0</v>
      </c>
      <c r="Q372">
        <f>'[1]2026 Orders'!O373</f>
        <v>0</v>
      </c>
      <c r="R372">
        <f>'[1]2026 Orders'!P373</f>
        <v>0</v>
      </c>
      <c r="S372">
        <f>'[1]2026 Orders'!Q373</f>
        <v>0</v>
      </c>
      <c r="T372">
        <f>'[1]2026 Orders'!R373</f>
        <v>0</v>
      </c>
      <c r="U372">
        <f>'[1]2026 Orders'!S373</f>
        <v>0</v>
      </c>
      <c r="V372">
        <f>'[1]2026 Orders'!T373</f>
        <v>0</v>
      </c>
      <c r="W372">
        <f>'[1]2026 Orders'!U373</f>
        <v>0</v>
      </c>
      <c r="X372">
        <f>'[1]2026 Orders'!V373</f>
        <v>0</v>
      </c>
      <c r="Y372">
        <f>'[1]2026 Orders'!W373</f>
        <v>0</v>
      </c>
      <c r="Z372">
        <f>'[1]2026 Orders'!X373</f>
        <v>0</v>
      </c>
      <c r="AC372" t="str">
        <f t="shared" si="10"/>
        <v>/500</v>
      </c>
      <c r="AD372" t="e">
        <f t="shared" si="11"/>
        <v>#VALUE!</v>
      </c>
    </row>
    <row r="373" spans="1:30" ht="33" hidden="1" customHeight="1" x14ac:dyDescent="0.3">
      <c r="A373">
        <f>'[1]2026 Orders'!A374</f>
        <v>0</v>
      </c>
      <c r="B373" s="14">
        <f>'[1]2026 Orders'!B374</f>
        <v>0</v>
      </c>
      <c r="C373" s="14">
        <f>'[1]2026 Orders'!C374</f>
        <v>0</v>
      </c>
      <c r="D373" s="14">
        <f>'[1]2026 Orders'!D374</f>
        <v>0</v>
      </c>
      <c r="E373" s="17" t="str" cm="1">
        <f t="array" ref="E373">IF(C373=0,"",
HYPERLINK(
"#'2026 Orders'!C"&amp;
MATCH(1,
('2026 Orders'!C:C=C373)*
('2026 Orders'!G:G=G373)*
('2026 Orders'!N:N=N373),
0),
"Open "&amp;C373
))</f>
        <v/>
      </c>
      <c r="F373" s="14">
        <f>'[1]2026 Orders'!F374</f>
        <v>0</v>
      </c>
      <c r="G373" s="14">
        <f>'[1]2026 Orders'!G374</f>
        <v>0</v>
      </c>
      <c r="H373" s="14" t="str" cm="1">
        <f t="array" ref="H373">IFERROR(_xlfn.TEXTJOIN("-",,INDEX(_xlfn.TEXTSPLIT(TableGive[[#This Row],[SKU]],"-"),{1,2})),"")</f>
        <v/>
      </c>
      <c r="I373" s="15" t="str">
        <f>IFERROR(_xlfn.TEXTAFTER(TableGive[[#This Row],[SKU]],"-",-1),"")</f>
        <v/>
      </c>
      <c r="J373" s="14">
        <f>'[1]2026 Orders'!H374</f>
        <v>0</v>
      </c>
      <c r="K373">
        <f>'[1]2026 Orders'!I374</f>
        <v>0</v>
      </c>
      <c r="L373">
        <f>'[1]2026 Orders'!J374</f>
        <v>0</v>
      </c>
      <c r="N373" s="10">
        <f>'[1]2026 Orders'!L374</f>
        <v>0</v>
      </c>
      <c r="O373">
        <f>'[1]2026 Orders'!M374</f>
        <v>0</v>
      </c>
      <c r="P373">
        <f>'[1]2026 Orders'!N374</f>
        <v>0</v>
      </c>
      <c r="Q373">
        <f>'[1]2026 Orders'!O374</f>
        <v>0</v>
      </c>
      <c r="R373">
        <f>'[1]2026 Orders'!P374</f>
        <v>0</v>
      </c>
      <c r="S373">
        <f>'[1]2026 Orders'!Q374</f>
        <v>0</v>
      </c>
      <c r="T373">
        <f>'[1]2026 Orders'!R374</f>
        <v>0</v>
      </c>
      <c r="U373">
        <f>'[1]2026 Orders'!S374</f>
        <v>0</v>
      </c>
      <c r="V373">
        <f>'[1]2026 Orders'!T374</f>
        <v>0</v>
      </c>
      <c r="W373">
        <f>'[1]2026 Orders'!U374</f>
        <v>0</v>
      </c>
      <c r="X373">
        <f>'[1]2026 Orders'!V374</f>
        <v>0</v>
      </c>
      <c r="Y373">
        <f>'[1]2026 Orders'!W374</f>
        <v>0</v>
      </c>
      <c r="Z373">
        <f>'[1]2026 Orders'!X374</f>
        <v>0</v>
      </c>
      <c r="AC373" t="str">
        <f t="shared" si="10"/>
        <v/>
      </c>
      <c r="AD373" t="str">
        <f t="shared" si="11"/>
        <v/>
      </c>
    </row>
    <row r="374" spans="1:30" ht="33" hidden="1" customHeight="1" x14ac:dyDescent="0.3">
      <c r="A374">
        <f>'[1]2026 Orders'!A375</f>
        <v>46135</v>
      </c>
      <c r="B374" s="14" t="str">
        <f>'[1]2026 Orders'!B375</f>
        <v>Qatar</v>
      </c>
      <c r="C374" s="14" t="str">
        <f>'[1]2026 Orders'!C375</f>
        <v>A4694</v>
      </c>
      <c r="D374" s="14" t="str">
        <f>'[1]2026 Orders'!D375</f>
        <v>4/23/2026: Awaiting Proforma Confirmation
4/24/2026: Proforma Approved</v>
      </c>
      <c r="E374" s="17" t="str" cm="1">
        <f t="array" ref="E374">IF(C374=0,"",
HYPERLINK(
"#'2026 Orders'!C"&amp;
MATCH(1,
('2026 Orders'!C:C=C374)*
('2026 Orders'!G:G=G374)*
('2026 Orders'!N:N=N374),
0),
"Open "&amp;C374
))</f>
        <v>Open A4694</v>
      </c>
      <c r="F374" s="14">
        <f>'[1]2026 Orders'!F375</f>
        <v>0</v>
      </c>
      <c r="G374" s="14" t="str">
        <f>'[1]2026 Orders'!G375</f>
        <v>PEDIAD4-50-CS-QT</v>
      </c>
      <c r="H374" s="14" t="str" cm="1">
        <f t="array" ref="H374">IFERROR(_xlfn.TEXTJOIN("-",,INDEX(_xlfn.TEXTSPLIT(TableGive[[#This Row],[SKU]],"-"),{1,2})),"")</f>
        <v>PEDIAD4-50</v>
      </c>
      <c r="I374" s="15" t="str">
        <f>IFERROR(_xlfn.TEXTAFTER(TableGive[[#This Row],[SKU]],"-",-1),"")</f>
        <v>QT</v>
      </c>
      <c r="J374" s="14">
        <f>'[1]2026 Orders'!H375</f>
        <v>2000</v>
      </c>
      <c r="K374" t="str">
        <f>'[1]2026 Orders'!I375</f>
        <v>F45-25.0</v>
      </c>
      <c r="L374">
        <f>'[1]2026 Orders'!J375</f>
        <v>0</v>
      </c>
      <c r="N374" s="10" t="str">
        <f>'[1]2026 Orders'!L375</f>
        <v>PO submitted</v>
      </c>
      <c r="O374">
        <f>'[1]2026 Orders'!M375</f>
        <v>0</v>
      </c>
      <c r="P374" t="str">
        <f>'[1]2026 Orders'!N375</f>
        <v>Y</v>
      </c>
      <c r="Q374">
        <f>'[1]2026 Orders'!O375</f>
        <v>0</v>
      </c>
      <c r="R374">
        <f>'[1]2026 Orders'!P375</f>
        <v>5000</v>
      </c>
      <c r="S374">
        <f>'[1]2026 Orders'!Q375</f>
        <v>4979</v>
      </c>
      <c r="T374" t="str">
        <f>'[1]2026 Orders'!R375</f>
        <v>TBD</v>
      </c>
      <c r="U374" t="str">
        <f>'[1]2026 Orders'!S375</f>
        <v>Waiting for IFC to start production.</v>
      </c>
      <c r="V374">
        <f>'[1]2026 Orders'!T375</f>
        <v>0</v>
      </c>
      <c r="W374">
        <f>'[1]2026 Orders'!U375</f>
        <v>0</v>
      </c>
      <c r="X374">
        <f>'[1]2026 Orders'!V375</f>
        <v>0</v>
      </c>
      <c r="Y374">
        <f>'[1]2026 Orders'!W375</f>
        <v>0</v>
      </c>
      <c r="Z374" t="str">
        <f>'[1]2026 Orders'!X375</f>
        <v>HOLD</v>
      </c>
      <c r="AC374" t="str">
        <f t="shared" si="10"/>
        <v>/2000</v>
      </c>
      <c r="AD374" t="e">
        <f t="shared" si="11"/>
        <v>#VALUE!</v>
      </c>
    </row>
    <row r="375" spans="1:30" ht="33" hidden="1" customHeight="1" x14ac:dyDescent="0.3">
      <c r="A375">
        <f>'[1]2026 Orders'!A376</f>
        <v>0</v>
      </c>
      <c r="B375" s="14">
        <f>'[1]2026 Orders'!B376</f>
        <v>0</v>
      </c>
      <c r="C375" s="14">
        <f>'[1]2026 Orders'!C376</f>
        <v>0</v>
      </c>
      <c r="D375" s="14">
        <f>'[1]2026 Orders'!D376</f>
        <v>0</v>
      </c>
      <c r="E375" s="17" t="str" cm="1">
        <f t="array" ref="E375">IF(C375=0,"",
HYPERLINK(
"#'2026 Orders'!C"&amp;
MATCH(1,
('2026 Orders'!C:C=C375)*
('2026 Orders'!G:G=G375)*
('2026 Orders'!N:N=N375),
0),
"Open "&amp;C375
))</f>
        <v/>
      </c>
      <c r="F375" s="14">
        <f>'[1]2026 Orders'!F376</f>
        <v>0</v>
      </c>
      <c r="G375" s="14">
        <f>'[1]2026 Orders'!G376</f>
        <v>0</v>
      </c>
      <c r="H375" s="14" t="str" cm="1">
        <f t="array" ref="H375">IFERROR(_xlfn.TEXTJOIN("-",,INDEX(_xlfn.TEXTSPLIT(TableGive[[#This Row],[SKU]],"-"),{1,2})),"")</f>
        <v/>
      </c>
      <c r="I375" s="15" t="str">
        <f>IFERROR(_xlfn.TEXTAFTER(TableGive[[#This Row],[SKU]],"-",-1),"")</f>
        <v/>
      </c>
      <c r="J375" s="14">
        <f>'[1]2026 Orders'!H376</f>
        <v>0</v>
      </c>
      <c r="K375">
        <f>'[1]2026 Orders'!I376</f>
        <v>0</v>
      </c>
      <c r="L375">
        <f>'[1]2026 Orders'!J376</f>
        <v>0</v>
      </c>
      <c r="N375" s="10">
        <f>'[1]2026 Orders'!L376</f>
        <v>0</v>
      </c>
      <c r="O375">
        <f>'[1]2026 Orders'!M376</f>
        <v>0</v>
      </c>
      <c r="P375">
        <f>'[1]2026 Orders'!N376</f>
        <v>0</v>
      </c>
      <c r="Q375">
        <f>'[1]2026 Orders'!O376</f>
        <v>0</v>
      </c>
      <c r="R375">
        <f>'[1]2026 Orders'!P376</f>
        <v>0</v>
      </c>
      <c r="S375">
        <f>'[1]2026 Orders'!Q376</f>
        <v>0</v>
      </c>
      <c r="T375">
        <f>'[1]2026 Orders'!R376</f>
        <v>0</v>
      </c>
      <c r="U375">
        <f>'[1]2026 Orders'!S376</f>
        <v>0</v>
      </c>
      <c r="V375">
        <f>'[1]2026 Orders'!T376</f>
        <v>0</v>
      </c>
      <c r="W375">
        <f>'[1]2026 Orders'!U376</f>
        <v>0</v>
      </c>
      <c r="X375">
        <f>'[1]2026 Orders'!V376</f>
        <v>0</v>
      </c>
      <c r="Y375">
        <f>'[1]2026 Orders'!W376</f>
        <v>0</v>
      </c>
      <c r="Z375">
        <f>'[1]2026 Orders'!X376</f>
        <v>0</v>
      </c>
      <c r="AC375" t="str">
        <f t="shared" si="10"/>
        <v/>
      </c>
      <c r="AD375" t="str">
        <f t="shared" si="11"/>
        <v/>
      </c>
    </row>
    <row r="376" spans="1:30" ht="33" hidden="1" customHeight="1" x14ac:dyDescent="0.3">
      <c r="A376">
        <f>'[1]2026 Orders'!A377</f>
        <v>46139</v>
      </c>
      <c r="B376" s="14" t="str">
        <f>'[1]2026 Orders'!B377</f>
        <v>Iraq</v>
      </c>
      <c r="C376" s="14" t="str">
        <f>'[1]2026 Orders'!C377</f>
        <v>A4695</v>
      </c>
      <c r="D376" s="14" t="str">
        <f>'[1]2026 Orders'!D377</f>
        <v>4/27/2026: Awaiting Proforma Confirmation
4/28/2026: Proforma Approved
5/1/2026: Checking with Maya if Lot Codes are usable for this order.
5/4/2026: Lot Codes are reviewed. 60ct needs new Lot Code. Removed from Sales Action Needed.</v>
      </c>
      <c r="E376" s="17" t="str" cm="1">
        <f t="array" ref="E376">IF(C376=0,"",
HYPERLINK(
"#'2026 Orders'!C"&amp;
MATCH(1,
('2026 Orders'!C:C=C376)*
('2026 Orders'!G:G=G376)*
('2026 Orders'!N:N=N376),
0),
"Open "&amp;C376
))</f>
        <v>Open A4695</v>
      </c>
      <c r="F376" s="14" t="str">
        <f>'[1]2026 Orders'!F377</f>
        <v>Lot 49350126</v>
      </c>
      <c r="G376" s="14" t="str">
        <f>'[1]2026 Orders'!G377</f>
        <v>MFSPLS-120-RE</v>
      </c>
      <c r="H376" s="14" t="str" cm="1">
        <f t="array" ref="H376">IFERROR(_xlfn.TEXTJOIN("-",,INDEX(_xlfn.TEXTSPLIT(TableGive[[#This Row],[SKU]],"-"),{1,2})),"")</f>
        <v>MFSPLS-120</v>
      </c>
      <c r="I376" s="15" t="str">
        <f>IFERROR(_xlfn.TEXTAFTER(TableGive[[#This Row],[SKU]],"-",-1),"")</f>
        <v>RE</v>
      </c>
      <c r="J376" s="14">
        <f>'[1]2026 Orders'!H377</f>
        <v>5</v>
      </c>
      <c r="K376" t="str">
        <f>'[1]2026 Orders'!I377</f>
        <v>R30-26.0</v>
      </c>
      <c r="L376">
        <f>'[1]2026 Orders'!J377</f>
        <v>5</v>
      </c>
      <c r="N376" s="10" t="str">
        <f>'[1]2026 Orders'!L377</f>
        <v>D/W Sent</v>
      </c>
      <c r="O376">
        <f>'[1]2026 Orders'!M377</f>
        <v>46153</v>
      </c>
      <c r="P376" t="str">
        <f>'[1]2026 Orders'!N377</f>
        <v>NA</v>
      </c>
      <c r="Q376">
        <f>'[1]2026 Orders'!O377</f>
        <v>609788968344</v>
      </c>
      <c r="R376">
        <f>'[1]2026 Orders'!P377</f>
        <v>0</v>
      </c>
      <c r="S376">
        <f>'[1]2026 Orders'!Q377</f>
        <v>4935</v>
      </c>
      <c r="T376">
        <f>'[1]2026 Orders'!R377</f>
        <v>0</v>
      </c>
      <c r="U376">
        <f>'[1]2026 Orders'!S377</f>
        <v>0</v>
      </c>
      <c r="V376">
        <f>'[1]2026 Orders'!T377</f>
        <v>0</v>
      </c>
      <c r="W376">
        <f>'[1]2026 Orders'!U377</f>
        <v>0</v>
      </c>
      <c r="X376">
        <f>'[1]2026 Orders'!V377</f>
        <v>0</v>
      </c>
      <c r="Y376">
        <f>'[1]2026 Orders'!W377</f>
        <v>0</v>
      </c>
      <c r="Z376" t="str">
        <f>'[1]2026 Orders'!X377</f>
        <v>HOLD</v>
      </c>
      <c r="AC376" t="str">
        <f t="shared" si="10"/>
        <v>/5</v>
      </c>
      <c r="AD376" t="e">
        <f t="shared" si="11"/>
        <v>#VALUE!</v>
      </c>
    </row>
    <row r="377" spans="1:30" ht="33" hidden="1" customHeight="1" x14ac:dyDescent="0.3">
      <c r="A377">
        <f>'[1]2026 Orders'!A378</f>
        <v>46139</v>
      </c>
      <c r="B377" s="14" t="str">
        <f>'[1]2026 Orders'!B378</f>
        <v>Iraq</v>
      </c>
      <c r="C377" s="14" t="str">
        <f>'[1]2026 Orders'!C378</f>
        <v>A4695</v>
      </c>
      <c r="D377" s="14">
        <f>'[1]2026 Orders'!D378</f>
        <v>0</v>
      </c>
      <c r="E377" s="17" t="str" cm="1">
        <f t="array" ref="E377">IF(C377=0,"",
HYPERLINK(
"#'2026 Orders'!C"&amp;
MATCH(1,
('2026 Orders'!C:C=C377)*
('2026 Orders'!G:G=G377)*
('2026 Orders'!N:N=N377),
0),
"Open "&amp;C377
))</f>
        <v>Open A4695</v>
      </c>
      <c r="F377" s="14" t="str">
        <f>'[1]2026 Orders'!F378</f>
        <v>Change lot to 25031225 for customs.</v>
      </c>
      <c r="G377" s="14" t="str">
        <f>'[1]2026 Orders'!G378</f>
        <v>MFSPLS-60-RE</v>
      </c>
      <c r="H377" s="14" t="str" cm="1">
        <f t="array" ref="H377">IFERROR(_xlfn.TEXTJOIN("-",,INDEX(_xlfn.TEXTSPLIT(TableGive[[#This Row],[SKU]],"-"),{1,2})),"")</f>
        <v>MFSPLS-60</v>
      </c>
      <c r="I377" s="15" t="str">
        <f>IFERROR(_xlfn.TEXTAFTER(TableGive[[#This Row],[SKU]],"-",-1),"")</f>
        <v>RE</v>
      </c>
      <c r="J377" s="14">
        <f>'[1]2026 Orders'!H378</f>
        <v>3</v>
      </c>
      <c r="K377" t="str">
        <f>'[1]2026 Orders'!I378</f>
        <v>R29-24.0</v>
      </c>
      <c r="L377">
        <f>'[1]2026 Orders'!J378</f>
        <v>3</v>
      </c>
      <c r="N377" s="10" t="str">
        <f>'[1]2026 Orders'!L378</f>
        <v>D/W Sent</v>
      </c>
      <c r="O377">
        <f>'[1]2026 Orders'!M378</f>
        <v>0</v>
      </c>
      <c r="P377" t="str">
        <f>'[1]2026 Orders'!N378</f>
        <v>NA</v>
      </c>
      <c r="Q377">
        <f>'[1]2026 Orders'!O378</f>
        <v>609788968092</v>
      </c>
      <c r="R377">
        <f>'[1]2026 Orders'!P378</f>
        <v>0</v>
      </c>
      <c r="S377">
        <f>'[1]2026 Orders'!Q378</f>
        <v>4907</v>
      </c>
      <c r="T377">
        <f>'[1]2026 Orders'!R378</f>
        <v>0</v>
      </c>
      <c r="U377">
        <f>'[1]2026 Orders'!S378</f>
        <v>0</v>
      </c>
      <c r="V377">
        <f>'[1]2026 Orders'!T378</f>
        <v>0</v>
      </c>
      <c r="W377">
        <f>'[1]2026 Orders'!U378</f>
        <v>0</v>
      </c>
      <c r="X377">
        <f>'[1]2026 Orders'!V378</f>
        <v>0</v>
      </c>
      <c r="Y377">
        <f>'[1]2026 Orders'!W378</f>
        <v>0</v>
      </c>
      <c r="Z377">
        <f>'[1]2026 Orders'!X378</f>
        <v>0</v>
      </c>
      <c r="AC377" t="str">
        <f t="shared" si="10"/>
        <v>/3</v>
      </c>
      <c r="AD377" t="e">
        <f t="shared" si="11"/>
        <v>#VALUE!</v>
      </c>
    </row>
    <row r="378" spans="1:30" ht="33" hidden="1" customHeight="1" x14ac:dyDescent="0.3">
      <c r="A378">
        <f>'[1]2026 Orders'!A379</f>
        <v>0</v>
      </c>
      <c r="B378" s="14">
        <f>'[1]2026 Orders'!B379</f>
        <v>0</v>
      </c>
      <c r="C378" s="14">
        <f>'[1]2026 Orders'!C379</f>
        <v>0</v>
      </c>
      <c r="D378" s="14">
        <f>'[1]2026 Orders'!D379</f>
        <v>0</v>
      </c>
      <c r="E378" s="17" t="str" cm="1">
        <f t="array" ref="E378">IF(C378=0,"",
HYPERLINK(
"#'2026 Orders'!C"&amp;
MATCH(1,
('2026 Orders'!C:C=C378)*
('2026 Orders'!G:G=G378)*
('2026 Orders'!N:N=N378),
0),
"Open "&amp;C378
))</f>
        <v/>
      </c>
      <c r="F378" s="14">
        <f>'[1]2026 Orders'!F379</f>
        <v>0</v>
      </c>
      <c r="G378" s="14">
        <f>'[1]2026 Orders'!G379</f>
        <v>0</v>
      </c>
      <c r="H378" s="14" t="str" cm="1">
        <f t="array" ref="H378">IFERROR(_xlfn.TEXTJOIN("-",,INDEX(_xlfn.TEXTSPLIT(TableGive[[#This Row],[SKU]],"-"),{1,2})),"")</f>
        <v/>
      </c>
      <c r="I378" s="15" t="str">
        <f>IFERROR(_xlfn.TEXTAFTER(TableGive[[#This Row],[SKU]],"-",-1),"")</f>
        <v/>
      </c>
      <c r="J378" s="14">
        <f>'[1]2026 Orders'!H379</f>
        <v>0</v>
      </c>
      <c r="K378">
        <f>'[1]2026 Orders'!I379</f>
        <v>0</v>
      </c>
      <c r="L378">
        <f>'[1]2026 Orders'!J379</f>
        <v>0</v>
      </c>
      <c r="N378" s="10">
        <f>'[1]2026 Orders'!L379</f>
        <v>0</v>
      </c>
      <c r="O378">
        <f>'[1]2026 Orders'!M379</f>
        <v>0</v>
      </c>
      <c r="P378">
        <f>'[1]2026 Orders'!N379</f>
        <v>0</v>
      </c>
      <c r="Q378">
        <f>'[1]2026 Orders'!O379</f>
        <v>0</v>
      </c>
      <c r="R378">
        <f>'[1]2026 Orders'!P379</f>
        <v>0</v>
      </c>
      <c r="S378">
        <f>'[1]2026 Orders'!Q379</f>
        <v>0</v>
      </c>
      <c r="T378">
        <f>'[1]2026 Orders'!R379</f>
        <v>0</v>
      </c>
      <c r="U378">
        <f>'[1]2026 Orders'!S379</f>
        <v>0</v>
      </c>
      <c r="V378">
        <f>'[1]2026 Orders'!T379</f>
        <v>0</v>
      </c>
      <c r="W378">
        <f>'[1]2026 Orders'!U379</f>
        <v>0</v>
      </c>
      <c r="X378">
        <f>'[1]2026 Orders'!V379</f>
        <v>0</v>
      </c>
      <c r="Y378">
        <f>'[1]2026 Orders'!W379</f>
        <v>0</v>
      </c>
      <c r="Z378">
        <f>'[1]2026 Orders'!X379</f>
        <v>0</v>
      </c>
      <c r="AC378" t="str">
        <f t="shared" si="10"/>
        <v/>
      </c>
      <c r="AD378" t="str">
        <f t="shared" si="11"/>
        <v/>
      </c>
    </row>
    <row r="379" spans="1:30" ht="33" hidden="1" customHeight="1" x14ac:dyDescent="0.3">
      <c r="A379">
        <f>'[1]2026 Orders'!A380</f>
        <v>46139</v>
      </c>
      <c r="B379" s="14" t="str">
        <f>'[1]2026 Orders'!B380</f>
        <v>Sudan</v>
      </c>
      <c r="C379" s="14" t="str">
        <f>'[1]2026 Orders'!C380</f>
        <v>A4697</v>
      </c>
      <c r="D379" s="14" t="str">
        <f>'[1]2026 Orders'!D380</f>
        <v>4/27/2026: Awaiting Proforma Confirmation
4/28/2026: Proforma Approved</v>
      </c>
      <c r="E379" s="17" t="str" cm="1">
        <f t="array" ref="E379">IF(C379=0,"",
HYPERLINK(
"#'2026 Orders'!C"&amp;
MATCH(1,
('2026 Orders'!C:C=C379)*
('2026 Orders'!G:G=G379)*
('2026 Orders'!N:N=N379),
0),
"Open "&amp;C379
))</f>
        <v>Open A4697</v>
      </c>
      <c r="F379" s="14">
        <f>'[1]2026 Orders'!F380</f>
        <v>0</v>
      </c>
      <c r="G379" s="14" t="str">
        <f>'[1]2026 Orders'!G380</f>
        <v>MFSPLS-120-RE</v>
      </c>
      <c r="H379" s="14" t="str" cm="1">
        <f t="array" ref="H379">IFERROR(_xlfn.TEXTJOIN("-",,INDEX(_xlfn.TEXTSPLIT(TableGive[[#This Row],[SKU]],"-"),{1,2})),"")</f>
        <v>MFSPLS-120</v>
      </c>
      <c r="I379" s="15" t="str">
        <f>IFERROR(_xlfn.TEXTAFTER(TableGive[[#This Row],[SKU]],"-",-1),"")</f>
        <v>RE</v>
      </c>
      <c r="J379" s="14">
        <f>'[1]2026 Orders'!H380</f>
        <v>3245</v>
      </c>
      <c r="K379" t="str">
        <f>'[1]2026 Orders'!I380</f>
        <v>R30-26.0</v>
      </c>
      <c r="L379">
        <f>'[1]2026 Orders'!J380</f>
        <v>0</v>
      </c>
      <c r="N379" s="10" t="str">
        <f>'[1]2026 Orders'!L380</f>
        <v>In Production</v>
      </c>
      <c r="O379">
        <f>'[1]2026 Orders'!M380</f>
        <v>0</v>
      </c>
      <c r="P379" t="str">
        <f>'[1]2026 Orders'!N380</f>
        <v>NA</v>
      </c>
      <c r="Q379">
        <f>'[1]2026 Orders'!O380</f>
        <v>609788968344</v>
      </c>
      <c r="R379">
        <f>'[1]2026 Orders'!P380</f>
        <v>9195</v>
      </c>
      <c r="S379">
        <f>'[1]2026 Orders'!Q380</f>
        <v>5032</v>
      </c>
      <c r="T379">
        <f>'[1]2026 Orders'!R380</f>
        <v>46211</v>
      </c>
      <c r="U379">
        <f>'[1]2026 Orders'!S380</f>
        <v>0</v>
      </c>
      <c r="V379">
        <f>'[1]2026 Orders'!T380</f>
        <v>0</v>
      </c>
      <c r="W379">
        <f>'[1]2026 Orders'!U380</f>
        <v>0</v>
      </c>
      <c r="X379">
        <f>'[1]2026 Orders'!V380</f>
        <v>0</v>
      </c>
      <c r="Y379">
        <f>'[1]2026 Orders'!W380</f>
        <v>0</v>
      </c>
      <c r="Z379" t="str">
        <f>'[1]2026 Orders'!X380</f>
        <v>HOLD</v>
      </c>
      <c r="AC379" t="str">
        <f t="shared" si="10"/>
        <v>/3245</v>
      </c>
      <c r="AD379" t="e">
        <f t="shared" si="11"/>
        <v>#VALUE!</v>
      </c>
    </row>
    <row r="380" spans="1:30" ht="33" hidden="1" customHeight="1" x14ac:dyDescent="0.3">
      <c r="A380">
        <f>'[1]2026 Orders'!A381</f>
        <v>46139</v>
      </c>
      <c r="B380" s="14" t="str">
        <f>'[1]2026 Orders'!B381</f>
        <v>Sudan</v>
      </c>
      <c r="C380" s="14" t="str">
        <f>'[1]2026 Orders'!C381</f>
        <v>A4697</v>
      </c>
      <c r="D380" s="14">
        <f>'[1]2026 Orders'!D381</f>
        <v>0</v>
      </c>
      <c r="E380" s="17" t="str" cm="1">
        <f t="array" ref="E380">IF(C380=0,"",
HYPERLINK(
"#'2026 Orders'!C"&amp;
MATCH(1,
('2026 Orders'!C:C=C380)*
('2026 Orders'!G:G=G380)*
('2026 Orders'!N:N=N380),
0),
"Open "&amp;C380
))</f>
        <v>Open A4697</v>
      </c>
      <c r="F380" s="14">
        <f>'[1]2026 Orders'!F381</f>
        <v>0</v>
      </c>
      <c r="G380" s="14" t="str">
        <f>'[1]2026 Orders'!G381</f>
        <v>WFSPLS-180-RE</v>
      </c>
      <c r="H380" s="14" t="str" cm="1">
        <f t="array" ref="H380">IFERROR(_xlfn.TEXTJOIN("-",,INDEX(_xlfn.TEXTSPLIT(TableGive[[#This Row],[SKU]],"-"),{1,2})),"")</f>
        <v>WFSPLS-180</v>
      </c>
      <c r="I380" s="15" t="str">
        <f>IFERROR(_xlfn.TEXTAFTER(TableGive[[#This Row],[SKU]],"-",-1),"")</f>
        <v>RE</v>
      </c>
      <c r="J380" s="14">
        <f>'[1]2026 Orders'!H381</f>
        <v>1248</v>
      </c>
      <c r="K380" t="str">
        <f>'[1]2026 Orders'!I381</f>
        <v>R73-22.0</v>
      </c>
      <c r="L380">
        <f>'[1]2026 Orders'!J381</f>
        <v>0</v>
      </c>
      <c r="N380" s="10" t="str">
        <f>'[1]2026 Orders'!L381</f>
        <v>PO Drafted</v>
      </c>
      <c r="O380">
        <f>'[1]2026 Orders'!M381</f>
        <v>0</v>
      </c>
      <c r="P380" t="str">
        <f>'[1]2026 Orders'!N381</f>
        <v>NA</v>
      </c>
      <c r="Q380">
        <f>'[1]2026 Orders'!O381</f>
        <v>609788968351</v>
      </c>
      <c r="R380">
        <f>'[1]2026 Orders'!P381</f>
        <v>5000</v>
      </c>
      <c r="S380">
        <f>'[1]2026 Orders'!Q381</f>
        <v>5043</v>
      </c>
      <c r="T380" t="str">
        <f>'[1]2026 Orders'!R381</f>
        <v>TBD</v>
      </c>
      <c r="U380" t="str">
        <f>'[1]2026 Orders'!S381</f>
        <v>Pending approval to send to vendor</v>
      </c>
      <c r="V380">
        <f>'[1]2026 Orders'!T381</f>
        <v>0</v>
      </c>
      <c r="W380">
        <f>'[1]2026 Orders'!U381</f>
        <v>0</v>
      </c>
      <c r="X380">
        <f>'[1]2026 Orders'!V381</f>
        <v>0</v>
      </c>
      <c r="Y380">
        <f>'[1]2026 Orders'!W381</f>
        <v>0</v>
      </c>
      <c r="Z380">
        <f>'[1]2026 Orders'!X381</f>
        <v>0</v>
      </c>
      <c r="AC380" t="str">
        <f t="shared" si="10"/>
        <v>/1248</v>
      </c>
      <c r="AD380" t="e">
        <f t="shared" si="11"/>
        <v>#VALUE!</v>
      </c>
    </row>
    <row r="381" spans="1:30" ht="33" hidden="1" customHeight="1" x14ac:dyDescent="0.3">
      <c r="A381">
        <f>'[1]2026 Orders'!A382</f>
        <v>46139</v>
      </c>
      <c r="B381" s="14" t="str">
        <f>'[1]2026 Orders'!B382</f>
        <v>Sudan</v>
      </c>
      <c r="C381" s="14" t="str">
        <f>'[1]2026 Orders'!C382</f>
        <v>A4697</v>
      </c>
      <c r="D381" s="14">
        <f>'[1]2026 Orders'!D382</f>
        <v>0</v>
      </c>
      <c r="E381" s="17" t="str" cm="1">
        <f t="array" ref="E381">IF(C381=0,"",
HYPERLINK(
"#'2026 Orders'!C"&amp;
MATCH(1,
('2026 Orders'!C:C=C381)*
('2026 Orders'!G:G=G381)*
('2026 Orders'!N:N=N381),
0),
"Open "&amp;C381
))</f>
        <v>Open A4697</v>
      </c>
      <c r="F381" s="14">
        <f>'[1]2026 Orders'!F382</f>
        <v>0</v>
      </c>
      <c r="G381" s="14" t="str">
        <f>'[1]2026 Orders'!G382</f>
        <v>PRECON-180-RE</v>
      </c>
      <c r="H381" s="14" t="str" cm="1">
        <f t="array" ref="H381">IFERROR(_xlfn.TEXTJOIN("-",,INDEX(_xlfn.TEXTSPLIT(TableGive[[#This Row],[SKU]],"-"),{1,2})),"")</f>
        <v>PRECON-180</v>
      </c>
      <c r="I381" s="15" t="str">
        <f>IFERROR(_xlfn.TEXTAFTER(TableGive[[#This Row],[SKU]],"-",-1),"")</f>
        <v>RE</v>
      </c>
      <c r="J381" s="14">
        <f>'[1]2026 Orders'!H382</f>
        <v>998</v>
      </c>
      <c r="K381" t="str">
        <f>'[1]2026 Orders'!I382</f>
        <v>R55-22.0</v>
      </c>
      <c r="L381">
        <f>'[1]2026 Orders'!J382</f>
        <v>0</v>
      </c>
      <c r="N381" s="10" t="str">
        <f>'[1]2026 Orders'!L382</f>
        <v>In Production</v>
      </c>
      <c r="O381">
        <f>'[1]2026 Orders'!M382</f>
        <v>0</v>
      </c>
      <c r="P381" t="str">
        <f>'[1]2026 Orders'!N382</f>
        <v>NA</v>
      </c>
      <c r="Q381">
        <f>'[1]2026 Orders'!O382</f>
        <v>609788968375</v>
      </c>
      <c r="R381">
        <f>'[1]2026 Orders'!P382</f>
        <v>5000</v>
      </c>
      <c r="S381">
        <f>'[1]2026 Orders'!Q382</f>
        <v>5060</v>
      </c>
      <c r="T381">
        <f>'[1]2026 Orders'!R382</f>
        <v>46205</v>
      </c>
      <c r="U381">
        <f>'[1]2026 Orders'!S382</f>
        <v>0</v>
      </c>
      <c r="V381">
        <f>'[1]2026 Orders'!T382</f>
        <v>0</v>
      </c>
      <c r="W381">
        <f>'[1]2026 Orders'!U382</f>
        <v>0</v>
      </c>
      <c r="X381">
        <f>'[1]2026 Orders'!V382</f>
        <v>0</v>
      </c>
      <c r="Y381">
        <f>'[1]2026 Orders'!W382</f>
        <v>0</v>
      </c>
      <c r="Z381">
        <f>'[1]2026 Orders'!X382</f>
        <v>0</v>
      </c>
      <c r="AC381" t="str">
        <f t="shared" si="10"/>
        <v>/998</v>
      </c>
      <c r="AD381" t="e">
        <f t="shared" si="11"/>
        <v>#VALUE!</v>
      </c>
    </row>
    <row r="382" spans="1:30" ht="33" hidden="1" customHeight="1" x14ac:dyDescent="0.3">
      <c r="A382">
        <f>'[1]2026 Orders'!A383</f>
        <v>46139</v>
      </c>
      <c r="B382" s="14" t="str">
        <f>'[1]2026 Orders'!B383</f>
        <v>Sudan</v>
      </c>
      <c r="C382" s="14" t="str">
        <f>'[1]2026 Orders'!C383</f>
        <v>A4697</v>
      </c>
      <c r="D382" s="14">
        <f>'[1]2026 Orders'!D383</f>
        <v>0</v>
      </c>
      <c r="E382" s="17" t="str" cm="1">
        <f t="array" ref="E382">IF(C382=0,"",
HYPERLINK(
"#'2026 Orders'!C"&amp;
MATCH(1,
('2026 Orders'!C:C=C382)*
('2026 Orders'!G:G=G382)*
('2026 Orders'!N:N=N382),
0),
"Open "&amp;C382
))</f>
        <v>Open A4697</v>
      </c>
      <c r="F382" s="14">
        <f>'[1]2026 Orders'!F383</f>
        <v>0</v>
      </c>
      <c r="G382" s="14" t="str">
        <f>'[1]2026 Orders'!G383</f>
        <v>OSTEOPL-96-FD</v>
      </c>
      <c r="H382" s="14" t="str" cm="1">
        <f t="array" ref="H382">IFERROR(_xlfn.TEXTJOIN("-",,INDEX(_xlfn.TEXTSPLIT(TableGive[[#This Row],[SKU]],"-"),{1,2})),"")</f>
        <v>OSTEOPL-96</v>
      </c>
      <c r="I382" s="15" t="str">
        <f>IFERROR(_xlfn.TEXTAFTER(TableGive[[#This Row],[SKU]],"-",-1),"")</f>
        <v>FD</v>
      </c>
      <c r="J382" s="14">
        <f>'[1]2026 Orders'!H383</f>
        <v>998</v>
      </c>
      <c r="K382" t="str">
        <f>'[1]2026 Orders'!I383</f>
        <v>F39-24.0</v>
      </c>
      <c r="L382">
        <f>'[1]2026 Orders'!J383</f>
        <v>998</v>
      </c>
      <c r="N382" s="10" t="str">
        <f>'[1]2026 Orders'!L383</f>
        <v>Rework</v>
      </c>
      <c r="O382">
        <f>'[1]2026 Orders'!M383</f>
        <v>0</v>
      </c>
      <c r="P382" t="str">
        <f>'[1]2026 Orders'!N383</f>
        <v>Y</v>
      </c>
      <c r="Q382" t="str">
        <f>'[1]2026 Orders'!O383</f>
        <v>609788968238</v>
      </c>
      <c r="R382">
        <f>'[1]2026 Orders'!P383</f>
        <v>0</v>
      </c>
      <c r="S382">
        <f>'[1]2026 Orders'!Q383</f>
        <v>0</v>
      </c>
      <c r="T382">
        <f>'[1]2026 Orders'!R383</f>
        <v>0</v>
      </c>
      <c r="U382">
        <f>'[1]2026 Orders'!S383</f>
        <v>0</v>
      </c>
      <c r="V382">
        <f>'[1]2026 Orders'!T383</f>
        <v>0</v>
      </c>
      <c r="W382">
        <f>'[1]2026 Orders'!U383</f>
        <v>0</v>
      </c>
      <c r="X382">
        <f>'[1]2026 Orders'!V383</f>
        <v>0</v>
      </c>
      <c r="Y382">
        <f>'[1]2026 Orders'!W383</f>
        <v>0</v>
      </c>
      <c r="Z382">
        <f>'[1]2026 Orders'!X383</f>
        <v>0</v>
      </c>
      <c r="AC382" t="str">
        <f t="shared" si="10"/>
        <v>/998</v>
      </c>
      <c r="AD382" t="e">
        <f t="shared" si="11"/>
        <v>#VALUE!</v>
      </c>
    </row>
    <row r="383" spans="1:30" ht="33" hidden="1" customHeight="1" x14ac:dyDescent="0.3">
      <c r="A383">
        <f>'[1]2026 Orders'!A384</f>
        <v>46139</v>
      </c>
      <c r="B383" s="14" t="str">
        <f>'[1]2026 Orders'!B384</f>
        <v>Sudan</v>
      </c>
      <c r="C383" s="14" t="str">
        <f>'[1]2026 Orders'!C384</f>
        <v>A4697</v>
      </c>
      <c r="D383" s="14">
        <f>'[1]2026 Orders'!D384</f>
        <v>0</v>
      </c>
      <c r="E383" s="17" t="str" cm="1">
        <f t="array" ref="E383">IF(C383=0,"",
HYPERLINK(
"#'2026 Orders'!C"&amp;
MATCH(1,
('2026 Orders'!C:C=C383)*
('2026 Orders'!G:G=G383)*
('2026 Orders'!N:N=N383),
0),
"Open "&amp;C383
))</f>
        <v>Open A4697</v>
      </c>
      <c r="F383" s="14">
        <f>'[1]2026 Orders'!F384</f>
        <v>0</v>
      </c>
      <c r="G383" s="14" t="str">
        <f>'[1]2026 Orders'!G384</f>
        <v>DHEA50-60-FD</v>
      </c>
      <c r="H383" s="14" t="str" cm="1">
        <f t="array" ref="H383">IFERROR(_xlfn.TEXTJOIN("-",,INDEX(_xlfn.TEXTSPLIT(TableGive[[#This Row],[SKU]],"-"),{1,2})),"")</f>
        <v>DHEA50-60</v>
      </c>
      <c r="I383" s="15" t="str">
        <f>IFERROR(_xlfn.TEXTAFTER(TableGive[[#This Row],[SKU]],"-",-1),"")</f>
        <v>FD</v>
      </c>
      <c r="J383" s="14">
        <f>'[1]2026 Orders'!H384</f>
        <v>3245</v>
      </c>
      <c r="K383" t="str">
        <f>'[1]2026 Orders'!I384</f>
        <v>F13-25.2</v>
      </c>
      <c r="L383">
        <f>'[1]2026 Orders'!J384</f>
        <v>0</v>
      </c>
      <c r="N383" s="10" t="str">
        <f>'[1]2026 Orders'!L384</f>
        <v>In Production</v>
      </c>
      <c r="O383">
        <f>'[1]2026 Orders'!M384</f>
        <v>0</v>
      </c>
      <c r="P383" t="str">
        <f>'[1]2026 Orders'!N384</f>
        <v>NA</v>
      </c>
      <c r="Q383">
        <f>'[1]2026 Orders'!O384</f>
        <v>609788968221</v>
      </c>
      <c r="R383">
        <f>'[1]2026 Orders'!P384</f>
        <v>7000</v>
      </c>
      <c r="S383">
        <f>'[1]2026 Orders'!Q384</f>
        <v>5027</v>
      </c>
      <c r="T383">
        <f>'[1]2026 Orders'!R384</f>
        <v>46201</v>
      </c>
      <c r="U383">
        <f>'[1]2026 Orders'!S384</f>
        <v>0</v>
      </c>
      <c r="V383">
        <f>'[1]2026 Orders'!T384</f>
        <v>0</v>
      </c>
      <c r="W383">
        <f>'[1]2026 Orders'!U384</f>
        <v>0</v>
      </c>
      <c r="X383">
        <f>'[1]2026 Orders'!V384</f>
        <v>0</v>
      </c>
      <c r="Y383">
        <f>'[1]2026 Orders'!W384</f>
        <v>0</v>
      </c>
      <c r="Z383">
        <f>'[1]2026 Orders'!X384</f>
        <v>0</v>
      </c>
      <c r="AC383" t="str">
        <f t="shared" si="10"/>
        <v>/3245</v>
      </c>
      <c r="AD383" t="e">
        <f t="shared" si="11"/>
        <v>#VALUE!</v>
      </c>
    </row>
    <row r="384" spans="1:30" ht="33" hidden="1" customHeight="1" x14ac:dyDescent="0.3">
      <c r="A384">
        <f>'[1]2026 Orders'!A385</f>
        <v>46139</v>
      </c>
      <c r="B384" s="14" t="str">
        <f>'[1]2026 Orders'!B385</f>
        <v>Sudan</v>
      </c>
      <c r="C384" s="14" t="str">
        <f>'[1]2026 Orders'!C385</f>
        <v>A4697</v>
      </c>
      <c r="D384" s="14">
        <f>'[1]2026 Orders'!D385</f>
        <v>0</v>
      </c>
      <c r="E384" s="17" t="str" cm="1">
        <f t="array" ref="E384">IF(C384=0,"",
HYPERLINK(
"#'2026 Orders'!C"&amp;
MATCH(1,
('2026 Orders'!C:C=C384)*
('2026 Orders'!G:G=G384)*
('2026 Orders'!N:N=N384),
0),
"Open "&amp;C384
))</f>
        <v>Open A4697</v>
      </c>
      <c r="F384" s="14" t="str">
        <f>'[1]2026 Orders'!F385</f>
        <v>5/22/2026: QTY increased 
2246 -&gt; 2422 (176 packs added from Sudan A4549)
5/26/2026: Qty changed to original 
2422 -&gt; 2246 packs (176 packs moved to Sudan A4711)</v>
      </c>
      <c r="G384" s="14" t="str">
        <f>'[1]2026 Orders'!G385</f>
        <v>COQ400-30-VE-CS-SU</v>
      </c>
      <c r="H384" s="14" t="str" cm="1">
        <f t="array" ref="H384">IFERROR(_xlfn.TEXTJOIN("-",,INDEX(_xlfn.TEXTSPLIT(TableGive[[#This Row],[SKU]],"-"),{1,2})),"")</f>
        <v>COQ400-30</v>
      </c>
      <c r="I384" s="15" t="str">
        <f>IFERROR(_xlfn.TEXTAFTER(TableGive[[#This Row],[SKU]],"-",-1),"")</f>
        <v>SU</v>
      </c>
      <c r="J384" s="14">
        <f>'[1]2026 Orders'!H385</f>
        <v>2246</v>
      </c>
      <c r="K384" t="str">
        <f>'[1]2026 Orders'!I385</f>
        <v>SU58-23.0</v>
      </c>
      <c r="L384">
        <f>'[1]2026 Orders'!J385</f>
        <v>0</v>
      </c>
      <c r="N384" s="10" t="str">
        <f>'[1]2026 Orders'!L385</f>
        <v>Transit to Warehouse</v>
      </c>
      <c r="O384">
        <f>'[1]2026 Orders'!M385</f>
        <v>0</v>
      </c>
      <c r="P384" t="str">
        <f>'[1]2026 Orders'!N385</f>
        <v>NA</v>
      </c>
      <c r="Q384">
        <f>'[1]2026 Orders'!O385</f>
        <v>609788968467</v>
      </c>
      <c r="R384">
        <f>'[1]2026 Orders'!P385</f>
        <v>4000</v>
      </c>
      <c r="S384">
        <f>'[1]2026 Orders'!Q385</f>
        <v>4808</v>
      </c>
      <c r="T384" t="str">
        <f>'[1]2026 Orders'!R385</f>
        <v>complete</v>
      </c>
      <c r="U384" t="str">
        <f>'[1]2026 Orders'!S385</f>
        <v>Awaiting for vendor packing list.</v>
      </c>
      <c r="V384">
        <f>'[1]2026 Orders'!T385</f>
        <v>0</v>
      </c>
      <c r="W384">
        <f>'[1]2026 Orders'!U385</f>
        <v>0</v>
      </c>
      <c r="X384">
        <f>'[1]2026 Orders'!V385</f>
        <v>0</v>
      </c>
      <c r="Y384">
        <f>'[1]2026 Orders'!W385</f>
        <v>0</v>
      </c>
      <c r="Z384">
        <f>'[1]2026 Orders'!X385</f>
        <v>0</v>
      </c>
      <c r="AC384" t="str">
        <f t="shared" si="10"/>
        <v>/2246</v>
      </c>
      <c r="AD384" t="e">
        <f t="shared" si="11"/>
        <v>#VALUE!</v>
      </c>
    </row>
    <row r="385" spans="1:30" ht="33" hidden="1" customHeight="1" x14ac:dyDescent="0.3">
      <c r="A385">
        <f>'[1]2026 Orders'!A386</f>
        <v>46139</v>
      </c>
      <c r="B385" s="14" t="str">
        <f>'[1]2026 Orders'!B386</f>
        <v>Sudan</v>
      </c>
      <c r="C385" s="14" t="str">
        <f>'[1]2026 Orders'!C386</f>
        <v>A4697</v>
      </c>
      <c r="D385" s="14">
        <f>'[1]2026 Orders'!D386</f>
        <v>0</v>
      </c>
      <c r="E385" s="17" t="str" cm="1">
        <f t="array" ref="E385">IF(C385=0,"",
HYPERLINK(
"#'2026 Orders'!C"&amp;
MATCH(1,
('2026 Orders'!C:C=C385)*
('2026 Orders'!G:G=G385)*
('2026 Orders'!N:N=N385),
0),
"Open "&amp;C385
))</f>
        <v>Open A4697</v>
      </c>
      <c r="F385" s="14">
        <f>'[1]2026 Orders'!F386</f>
        <v>0</v>
      </c>
      <c r="G385" s="14" t="str">
        <f>'[1]2026 Orders'!G386</f>
        <v>OVAMAX-120-RE</v>
      </c>
      <c r="H385" s="14" t="str" cm="1">
        <f t="array" ref="H385">IFERROR(_xlfn.TEXTJOIN("-",,INDEX(_xlfn.TEXTSPLIT(TableGive[[#This Row],[SKU]],"-"),{1,2})),"")</f>
        <v>OVAMAX-120</v>
      </c>
      <c r="I385" s="15" t="str">
        <f>IFERROR(_xlfn.TEXTAFTER(TableGive[[#This Row],[SKU]],"-",-1),"")</f>
        <v>RE</v>
      </c>
      <c r="J385" s="14">
        <f>'[1]2026 Orders'!H386</f>
        <v>1758</v>
      </c>
      <c r="K385" t="str">
        <f>'[1]2026 Orders'!I386</f>
        <v>R41-22.0</v>
      </c>
      <c r="L385">
        <f>'[1]2026 Orders'!J386</f>
        <v>0</v>
      </c>
      <c r="N385" s="10" t="str">
        <f>'[1]2026 Orders'!L386</f>
        <v>In Production</v>
      </c>
      <c r="O385">
        <f>'[1]2026 Orders'!M386</f>
        <v>0</v>
      </c>
      <c r="P385" t="str">
        <f>'[1]2026 Orders'!N386</f>
        <v>NA</v>
      </c>
      <c r="Q385">
        <f>'[1]2026 Orders'!O386</f>
        <v>609788968399</v>
      </c>
      <c r="R385">
        <f>'[1]2026 Orders'!P386</f>
        <v>10775</v>
      </c>
      <c r="S385">
        <f>'[1]2026 Orders'!Q386</f>
        <v>5055</v>
      </c>
      <c r="T385">
        <f>'[1]2026 Orders'!R386</f>
        <v>46213</v>
      </c>
      <c r="U385">
        <f>'[1]2026 Orders'!S386</f>
        <v>0</v>
      </c>
      <c r="V385">
        <f>'[1]2026 Orders'!T386</f>
        <v>0</v>
      </c>
      <c r="W385">
        <f>'[1]2026 Orders'!U386</f>
        <v>0</v>
      </c>
      <c r="X385">
        <f>'[1]2026 Orders'!V386</f>
        <v>0</v>
      </c>
      <c r="Y385">
        <f>'[1]2026 Orders'!W386</f>
        <v>0</v>
      </c>
      <c r="Z385">
        <f>'[1]2026 Orders'!X386</f>
        <v>0</v>
      </c>
      <c r="AC385" t="str">
        <f t="shared" si="10"/>
        <v>/1758</v>
      </c>
      <c r="AD385" t="e">
        <f t="shared" si="11"/>
        <v>#VALUE!</v>
      </c>
    </row>
    <row r="386" spans="1:30" ht="33" hidden="1" customHeight="1" x14ac:dyDescent="0.3">
      <c r="A386">
        <f>'[1]2026 Orders'!A387</f>
        <v>0</v>
      </c>
      <c r="B386" s="14">
        <f>'[1]2026 Orders'!B387</f>
        <v>0</v>
      </c>
      <c r="C386" s="14">
        <f>'[1]2026 Orders'!C387</f>
        <v>0</v>
      </c>
      <c r="D386" s="14">
        <f>'[1]2026 Orders'!D387</f>
        <v>0</v>
      </c>
      <c r="E386" s="17" t="str" cm="1">
        <f t="array" ref="E386">IF(C386=0,"",
HYPERLINK(
"#'2026 Orders'!C"&amp;
MATCH(1,
('2026 Orders'!C:C=C386)*
('2026 Orders'!G:G=G386)*
('2026 Orders'!N:N=N386),
0),
"Open "&amp;C386
))</f>
        <v/>
      </c>
      <c r="F386" s="14">
        <f>'[1]2026 Orders'!F387</f>
        <v>0</v>
      </c>
      <c r="G386" s="14">
        <f>'[1]2026 Orders'!G387</f>
        <v>0</v>
      </c>
      <c r="H386" s="14" t="str" cm="1">
        <f t="array" ref="H386">IFERROR(_xlfn.TEXTJOIN("-",,INDEX(_xlfn.TEXTSPLIT(TableGive[[#This Row],[SKU]],"-"),{1,2})),"")</f>
        <v/>
      </c>
      <c r="I386" s="15" t="str">
        <f>IFERROR(_xlfn.TEXTAFTER(TableGive[[#This Row],[SKU]],"-",-1),"")</f>
        <v/>
      </c>
      <c r="J386" s="14">
        <f>'[1]2026 Orders'!H387</f>
        <v>0</v>
      </c>
      <c r="K386">
        <f>'[1]2026 Orders'!I387</f>
        <v>0</v>
      </c>
      <c r="L386">
        <f>'[1]2026 Orders'!J387</f>
        <v>0</v>
      </c>
      <c r="N386" s="10">
        <f>'[1]2026 Orders'!L387</f>
        <v>0</v>
      </c>
      <c r="O386">
        <f>'[1]2026 Orders'!M387</f>
        <v>0</v>
      </c>
      <c r="P386">
        <f>'[1]2026 Orders'!N387</f>
        <v>0</v>
      </c>
      <c r="Q386">
        <f>'[1]2026 Orders'!O387</f>
        <v>0</v>
      </c>
      <c r="R386">
        <f>'[1]2026 Orders'!P387</f>
        <v>0</v>
      </c>
      <c r="S386">
        <f>'[1]2026 Orders'!Q387</f>
        <v>0</v>
      </c>
      <c r="T386">
        <f>'[1]2026 Orders'!R387</f>
        <v>0</v>
      </c>
      <c r="U386">
        <f>'[1]2026 Orders'!S387</f>
        <v>0</v>
      </c>
      <c r="V386">
        <f>'[1]2026 Orders'!T387</f>
        <v>0</v>
      </c>
      <c r="W386">
        <f>'[1]2026 Orders'!U387</f>
        <v>0</v>
      </c>
      <c r="X386">
        <f>'[1]2026 Orders'!V387</f>
        <v>0</v>
      </c>
      <c r="Y386">
        <f>'[1]2026 Orders'!W387</f>
        <v>0</v>
      </c>
      <c r="Z386">
        <f>'[1]2026 Orders'!X387</f>
        <v>0</v>
      </c>
      <c r="AC386" t="str">
        <f t="shared" si="10"/>
        <v/>
      </c>
      <c r="AD386" t="str">
        <f t="shared" si="11"/>
        <v/>
      </c>
    </row>
    <row r="387" spans="1:30" ht="33" hidden="1" customHeight="1" x14ac:dyDescent="0.3">
      <c r="A387">
        <f>'[1]2026 Orders'!A388</f>
        <v>46153</v>
      </c>
      <c r="B387" s="14" t="str">
        <f>'[1]2026 Orders'!B388</f>
        <v>Kenya</v>
      </c>
      <c r="C387" s="14" t="str">
        <f>'[1]2026 Orders'!C388</f>
        <v>A4699</v>
      </c>
      <c r="D387" s="14" t="str">
        <f>'[1]2026 Orders'!D388</f>
        <v>5/11/2026: Awaiting Pro Forma confirmation.                                         5/11/2026: Reduced qty to 488 pcs; removed from Sales Action Needed.                                            5/12/2026: Docs + D/W Sent</v>
      </c>
      <c r="E387" s="17" t="str" cm="1">
        <f t="array" ref="E387">IF(C387=0,"",
HYPERLINK(
"#'2026 Orders'!C"&amp;
MATCH(1,
('2026 Orders'!C:C=C387)*
('2026 Orders'!G:G=G387)*
('2026 Orders'!N:N=N387),
0),
"Open "&amp;C387
))</f>
        <v>Open A4699</v>
      </c>
      <c r="F387" s="14" t="str">
        <f>'[1]2026 Orders'!F388</f>
        <v>5/11/2026: Allocate 288 from Ethiopia A4575 + 200 from Uganda A4574.</v>
      </c>
      <c r="G387" s="14" t="str">
        <f>'[1]2026 Orders'!G388</f>
        <v>FERTMX-90-RE</v>
      </c>
      <c r="H387" s="14" t="str" cm="1">
        <f t="array" ref="H387">IFERROR(_xlfn.TEXTJOIN("-",,INDEX(_xlfn.TEXTSPLIT(TableGive[[#This Row],[SKU]],"-"),{1,2})),"")</f>
        <v>FERTMX-90</v>
      </c>
      <c r="I387" s="15" t="str">
        <f>IFERROR(_xlfn.TEXTAFTER(TableGive[[#This Row],[SKU]],"-",-1),"")</f>
        <v>RE</v>
      </c>
      <c r="J387" s="14">
        <f>'[1]2026 Orders'!H388</f>
        <v>488</v>
      </c>
      <c r="K387" t="str">
        <f>'[1]2026 Orders'!I388</f>
        <v>R16-22.0</v>
      </c>
      <c r="L387">
        <f>'[1]2026 Orders'!J388</f>
        <v>488</v>
      </c>
      <c r="N387" s="10" t="str">
        <f>'[1]2026 Orders'!L388</f>
        <v>D/W Sent</v>
      </c>
      <c r="O387" t="str">
        <f>'[1]2026 Orders'!M388</f>
        <v>5/12/2026: D/W sent</v>
      </c>
      <c r="P387" t="str">
        <f>'[1]2026 Orders'!N388</f>
        <v>Y</v>
      </c>
      <c r="Q387">
        <f>'[1]2026 Orders'!O388</f>
        <v>609788968726</v>
      </c>
      <c r="R387">
        <f>'[1]2026 Orders'!P388</f>
        <v>0</v>
      </c>
      <c r="S387">
        <f>'[1]2026 Orders'!Q388</f>
        <v>0</v>
      </c>
      <c r="T387">
        <f>'[1]2026 Orders'!R388</f>
        <v>0</v>
      </c>
      <c r="U387">
        <f>'[1]2026 Orders'!S388</f>
        <v>0</v>
      </c>
      <c r="V387">
        <f>'[1]2026 Orders'!T388</f>
        <v>0</v>
      </c>
      <c r="W387">
        <f>'[1]2026 Orders'!U388</f>
        <v>0</v>
      </c>
      <c r="X387">
        <f>'[1]2026 Orders'!V388</f>
        <v>0</v>
      </c>
      <c r="Y387">
        <f>'[1]2026 Orders'!W388</f>
        <v>0</v>
      </c>
      <c r="Z387" t="str">
        <f>'[1]2026 Orders'!X388</f>
        <v>HOLD</v>
      </c>
      <c r="AC387" t="str">
        <f t="shared" ref="AC387:AC450" si="12">IF(OR(B387="",B387=0),"",$AJ$2&amp;"/"&amp;J387)</f>
        <v>/488</v>
      </c>
      <c r="AD387" t="e">
        <f t="shared" ref="AD387:AD450" si="13">IF(OR(J387="",J387=0),"",$AK$2&amp;" -&gt; "&amp;I387)</f>
        <v>#VALUE!</v>
      </c>
    </row>
    <row r="388" spans="1:30" ht="33" hidden="1" customHeight="1" x14ac:dyDescent="0.3">
      <c r="A388">
        <f>'[1]2026 Orders'!A389</f>
        <v>0</v>
      </c>
      <c r="B388" s="14">
        <f>'[1]2026 Orders'!B389</f>
        <v>0</v>
      </c>
      <c r="C388" s="14">
        <f>'[1]2026 Orders'!C389</f>
        <v>0</v>
      </c>
      <c r="D388" s="14">
        <f>'[1]2026 Orders'!D389</f>
        <v>0</v>
      </c>
      <c r="E388" s="17" t="str" cm="1">
        <f t="array" ref="E388">IF(C388=0,"",
HYPERLINK(
"#'2026 Orders'!C"&amp;
MATCH(1,
('2026 Orders'!C:C=C388)*
('2026 Orders'!G:G=G388)*
('2026 Orders'!N:N=N388),
0),
"Open "&amp;C388
))</f>
        <v/>
      </c>
      <c r="F388" s="14">
        <f>'[1]2026 Orders'!F389</f>
        <v>0</v>
      </c>
      <c r="G388" s="14">
        <f>'[1]2026 Orders'!G389</f>
        <v>0</v>
      </c>
      <c r="H388" s="14" t="str" cm="1">
        <f t="array" ref="H388">IFERROR(_xlfn.TEXTJOIN("-",,INDEX(_xlfn.TEXTSPLIT(TableGive[[#This Row],[SKU]],"-"),{1,2})),"")</f>
        <v/>
      </c>
      <c r="I388" s="15" t="str">
        <f>IFERROR(_xlfn.TEXTAFTER(TableGive[[#This Row],[SKU]],"-",-1),"")</f>
        <v/>
      </c>
      <c r="J388" s="14">
        <f>'[1]2026 Orders'!H389</f>
        <v>0</v>
      </c>
      <c r="K388">
        <f>'[1]2026 Orders'!I389</f>
        <v>0</v>
      </c>
      <c r="L388">
        <f>'[1]2026 Orders'!J389</f>
        <v>0</v>
      </c>
      <c r="N388" s="10">
        <f>'[1]2026 Orders'!L389</f>
        <v>0</v>
      </c>
      <c r="O388">
        <f>'[1]2026 Orders'!M389</f>
        <v>0</v>
      </c>
      <c r="P388">
        <f>'[1]2026 Orders'!N389</f>
        <v>0</v>
      </c>
      <c r="Q388">
        <f>'[1]2026 Orders'!O389</f>
        <v>0</v>
      </c>
      <c r="R388">
        <f>'[1]2026 Orders'!P389</f>
        <v>0</v>
      </c>
      <c r="S388">
        <f>'[1]2026 Orders'!Q389</f>
        <v>0</v>
      </c>
      <c r="T388">
        <f>'[1]2026 Orders'!R389</f>
        <v>0</v>
      </c>
      <c r="U388">
        <f>'[1]2026 Orders'!S389</f>
        <v>0</v>
      </c>
      <c r="V388">
        <f>'[1]2026 Orders'!T389</f>
        <v>0</v>
      </c>
      <c r="W388">
        <f>'[1]2026 Orders'!U389</f>
        <v>0</v>
      </c>
      <c r="X388">
        <f>'[1]2026 Orders'!V389</f>
        <v>0</v>
      </c>
      <c r="Y388">
        <f>'[1]2026 Orders'!W389</f>
        <v>0</v>
      </c>
      <c r="Z388">
        <f>'[1]2026 Orders'!X389</f>
        <v>0</v>
      </c>
      <c r="AC388" t="str">
        <f t="shared" si="12"/>
        <v/>
      </c>
      <c r="AD388" t="str">
        <f t="shared" si="13"/>
        <v/>
      </c>
    </row>
    <row r="389" spans="1:30" ht="33" hidden="1" customHeight="1" x14ac:dyDescent="0.3">
      <c r="A389">
        <f>'[1]2026 Orders'!A390</f>
        <v>46153</v>
      </c>
      <c r="B389" s="14" t="str">
        <f>'[1]2026 Orders'!B390</f>
        <v>Kenya</v>
      </c>
      <c r="C389" s="14" t="str">
        <f>'[1]2026 Orders'!C390</f>
        <v>A4700</v>
      </c>
      <c r="D389" s="14" t="str">
        <f>'[1]2026 Orders'!D390</f>
        <v>5/11/2026: Awaiting Pro Forma confirmation.                                     5/14/2026: Pro Forma Invoice approved. Removed from Sales Action Needed.</v>
      </c>
      <c r="E389" s="17" t="str" cm="1">
        <f t="array" ref="E389">IF(C389=0,"",
HYPERLINK(
"#'2026 Orders'!C"&amp;
MATCH(1,
('2026 Orders'!C:C=C389)*
('2026 Orders'!G:G=G389)*
('2026 Orders'!N:N=N389),
0),
"Open "&amp;C389
))</f>
        <v>Open A4700</v>
      </c>
      <c r="F389" s="14">
        <f>'[1]2026 Orders'!F390</f>
        <v>0</v>
      </c>
      <c r="G389" s="14" t="str">
        <f>'[1]2026 Orders'!G390</f>
        <v>FIBRO-60-FD</v>
      </c>
      <c r="H389" s="14" t="str" cm="1">
        <f t="array" ref="H389">IFERROR(_xlfn.TEXTJOIN("-",,INDEX(_xlfn.TEXTSPLIT(TableGive[[#This Row],[SKU]],"-"),{1,2})),"")</f>
        <v>FIBRO-60</v>
      </c>
      <c r="I389" s="15" t="str">
        <f>IFERROR(_xlfn.TEXTAFTER(TableGive[[#This Row],[SKU]],"-",-1),"")</f>
        <v>FD</v>
      </c>
      <c r="J389" s="14">
        <f>'[1]2026 Orders'!H390</f>
        <v>168</v>
      </c>
      <c r="K389" t="str">
        <f>'[1]2026 Orders'!I390</f>
        <v>F17-25.1</v>
      </c>
      <c r="L389">
        <f>'[1]2026 Orders'!J390</f>
        <v>168</v>
      </c>
      <c r="N389" s="10" t="str">
        <f>'[1]2026 Orders'!L390</f>
        <v>Rework</v>
      </c>
      <c r="O389">
        <f>'[1]2026 Orders'!M390</f>
        <v>0</v>
      </c>
      <c r="P389" t="str">
        <f>'[1]2026 Orders'!N390</f>
        <v>NA</v>
      </c>
      <c r="Q389">
        <f>'[1]2026 Orders'!O390</f>
        <v>609788968498</v>
      </c>
      <c r="R389">
        <f>'[1]2026 Orders'!P390</f>
        <v>0</v>
      </c>
      <c r="S389">
        <f>'[1]2026 Orders'!Q390</f>
        <v>0</v>
      </c>
      <c r="T389">
        <f>'[1]2026 Orders'!R390</f>
        <v>0</v>
      </c>
      <c r="U389">
        <f>'[1]2026 Orders'!S390</f>
        <v>0</v>
      </c>
      <c r="V389">
        <f>'[1]2026 Orders'!T390</f>
        <v>0</v>
      </c>
      <c r="W389">
        <f>'[1]2026 Orders'!U390</f>
        <v>0</v>
      </c>
      <c r="X389">
        <f>'[1]2026 Orders'!V390</f>
        <v>0</v>
      </c>
      <c r="Y389">
        <f>'[1]2026 Orders'!W390</f>
        <v>0</v>
      </c>
      <c r="Z389" t="str">
        <f>'[1]2026 Orders'!X390</f>
        <v>HOLD</v>
      </c>
      <c r="AC389" t="str">
        <f t="shared" si="12"/>
        <v>/168</v>
      </c>
      <c r="AD389" t="e">
        <f t="shared" si="13"/>
        <v>#VALUE!</v>
      </c>
    </row>
    <row r="390" spans="1:30" ht="33" hidden="1" customHeight="1" x14ac:dyDescent="0.3">
      <c r="A390">
        <f>'[1]2026 Orders'!A391</f>
        <v>46153</v>
      </c>
      <c r="B390" s="14" t="str">
        <f>'[1]2026 Orders'!B391</f>
        <v>Kenya</v>
      </c>
      <c r="C390" s="14" t="str">
        <f>'[1]2026 Orders'!C391</f>
        <v>A4700</v>
      </c>
      <c r="D390" s="14">
        <f>'[1]2026 Orders'!D391</f>
        <v>0</v>
      </c>
      <c r="E390" s="17" t="str" cm="1">
        <f t="array" ref="E390">IF(C390=0,"",
HYPERLINK(
"#'2026 Orders'!C"&amp;
MATCH(1,
('2026 Orders'!C:C=C390)*
('2026 Orders'!G:G=G390)*
('2026 Orders'!N:N=N390),
0),
"Open "&amp;C390
))</f>
        <v>Open A4700</v>
      </c>
      <c r="F390" s="14">
        <f>'[1]2026 Orders'!F391</f>
        <v>0</v>
      </c>
      <c r="G390" s="14" t="str">
        <f>'[1]2026 Orders'!G391</f>
        <v>WFSPLS-180-FD</v>
      </c>
      <c r="H390" s="14" t="str" cm="1">
        <f t="array" ref="H390">IFERROR(_xlfn.TEXTJOIN("-",,INDEX(_xlfn.TEXTSPLIT(TableGive[[#This Row],[SKU]],"-"),{1,2})),"")</f>
        <v>WFSPLS-180</v>
      </c>
      <c r="I390" s="15" t="str">
        <f>IFERROR(_xlfn.TEXTAFTER(TableGive[[#This Row],[SKU]],"-",-1),"")</f>
        <v>FD</v>
      </c>
      <c r="J390" s="14">
        <f>'[1]2026 Orders'!H391</f>
        <v>120</v>
      </c>
      <c r="K390" t="str">
        <f>'[1]2026 Orders'!I391</f>
        <v>F73-23.0</v>
      </c>
      <c r="L390">
        <f>'[1]2026 Orders'!J391</f>
        <v>0</v>
      </c>
      <c r="N390" s="10" t="str">
        <f>'[1]2026 Orders'!L391</f>
        <v>PO Drafted</v>
      </c>
      <c r="O390">
        <f>'[1]2026 Orders'!M391</f>
        <v>0</v>
      </c>
      <c r="P390" t="str">
        <f>'[1]2026 Orders'!N391</f>
        <v>NA</v>
      </c>
      <c r="Q390">
        <f>'[1]2026 Orders'!O391</f>
        <v>609788968351</v>
      </c>
      <c r="R390">
        <f>'[1]2026 Orders'!P391</f>
        <v>5000</v>
      </c>
      <c r="S390">
        <f>'[1]2026 Orders'!Q391</f>
        <v>5043</v>
      </c>
      <c r="T390" t="str">
        <f>'[1]2026 Orders'!R391</f>
        <v>TBD</v>
      </c>
      <c r="U390" t="str">
        <f>'[1]2026 Orders'!S391</f>
        <v>Pending approval to send to vendor</v>
      </c>
      <c r="V390">
        <f>'[1]2026 Orders'!T391</f>
        <v>0</v>
      </c>
      <c r="W390">
        <f>'[1]2026 Orders'!U391</f>
        <v>0</v>
      </c>
      <c r="X390">
        <f>'[1]2026 Orders'!V391</f>
        <v>0</v>
      </c>
      <c r="Y390">
        <f>'[1]2026 Orders'!W391</f>
        <v>0</v>
      </c>
      <c r="Z390">
        <f>'[1]2026 Orders'!X391</f>
        <v>0</v>
      </c>
      <c r="AC390" t="str">
        <f t="shared" si="12"/>
        <v>/120</v>
      </c>
      <c r="AD390" t="e">
        <f t="shared" si="13"/>
        <v>#VALUE!</v>
      </c>
    </row>
    <row r="391" spans="1:30" ht="33" hidden="1" customHeight="1" x14ac:dyDescent="0.3">
      <c r="A391">
        <f>'[1]2026 Orders'!A392</f>
        <v>46153</v>
      </c>
      <c r="B391" s="14" t="str">
        <f>'[1]2026 Orders'!B392</f>
        <v>Kenya</v>
      </c>
      <c r="C391" s="14" t="str">
        <f>'[1]2026 Orders'!C392</f>
        <v>A4700</v>
      </c>
      <c r="D391" s="14">
        <f>'[1]2026 Orders'!D392</f>
        <v>0</v>
      </c>
      <c r="E391" s="17" t="str" cm="1">
        <f t="array" ref="E391">IF(C391=0,"",
HYPERLINK(
"#'2026 Orders'!C"&amp;
MATCH(1,
('2026 Orders'!C:C=C391)*
('2026 Orders'!G:G=G391)*
('2026 Orders'!N:N=N391),
0),
"Open "&amp;C391
))</f>
        <v>Open A4700</v>
      </c>
      <c r="F391" s="14">
        <f>'[1]2026 Orders'!F392</f>
        <v>0</v>
      </c>
      <c r="G391" s="14" t="str">
        <f>'[1]2026 Orders'!G392</f>
        <v>SPERMCT-60-FD</v>
      </c>
      <c r="H391" s="14" t="str" cm="1">
        <f t="array" ref="H391">IFERROR(_xlfn.TEXTJOIN("-",,INDEX(_xlfn.TEXTSPLIT(TableGive[[#This Row],[SKU]],"-"),{1,2})),"")</f>
        <v>SPERMCT-60</v>
      </c>
      <c r="I391" s="15" t="str">
        <f>IFERROR(_xlfn.TEXTAFTER(TableGive[[#This Row],[SKU]],"-",-1),"")</f>
        <v>FD</v>
      </c>
      <c r="J391" s="14">
        <f>'[1]2026 Orders'!H392</f>
        <v>24</v>
      </c>
      <c r="K391" t="str">
        <f>'[1]2026 Orders'!I392</f>
        <v>F64-25.0</v>
      </c>
      <c r="L391">
        <f>'[1]2026 Orders'!J392</f>
        <v>24</v>
      </c>
      <c r="N391" s="10" t="str">
        <f>'[1]2026 Orders'!L392</f>
        <v>Rework</v>
      </c>
      <c r="O391">
        <f>'[1]2026 Orders'!M392</f>
        <v>0</v>
      </c>
      <c r="P391" t="str">
        <f>'[1]2026 Orders'!N392</f>
        <v>NA</v>
      </c>
      <c r="Q391">
        <f>'[1]2026 Orders'!O392</f>
        <v>609788968405</v>
      </c>
      <c r="R391">
        <f>'[1]2026 Orders'!P392</f>
        <v>0</v>
      </c>
      <c r="S391">
        <f>'[1]2026 Orders'!Q392</f>
        <v>0</v>
      </c>
      <c r="T391">
        <f>'[1]2026 Orders'!R392</f>
        <v>0</v>
      </c>
      <c r="U391">
        <f>'[1]2026 Orders'!S392</f>
        <v>0</v>
      </c>
      <c r="V391">
        <f>'[1]2026 Orders'!T392</f>
        <v>0</v>
      </c>
      <c r="W391">
        <f>'[1]2026 Orders'!U392</f>
        <v>0</v>
      </c>
      <c r="X391">
        <f>'[1]2026 Orders'!V392</f>
        <v>0</v>
      </c>
      <c r="Y391">
        <f>'[1]2026 Orders'!W392</f>
        <v>0</v>
      </c>
      <c r="Z391">
        <f>'[1]2026 Orders'!X392</f>
        <v>0</v>
      </c>
      <c r="AC391" t="str">
        <f t="shared" si="12"/>
        <v>/24</v>
      </c>
      <c r="AD391" t="e">
        <f t="shared" si="13"/>
        <v>#VALUE!</v>
      </c>
    </row>
    <row r="392" spans="1:30" ht="33" hidden="1" customHeight="1" x14ac:dyDescent="0.3">
      <c r="A392">
        <f>'[1]2026 Orders'!A393</f>
        <v>46153</v>
      </c>
      <c r="B392" s="14" t="str">
        <f>'[1]2026 Orders'!B393</f>
        <v>Kenya</v>
      </c>
      <c r="C392" s="14" t="str">
        <f>'[1]2026 Orders'!C393</f>
        <v>A4700</v>
      </c>
      <c r="D392" s="14">
        <f>'[1]2026 Orders'!D393</f>
        <v>0</v>
      </c>
      <c r="E392" s="17" t="str" cm="1">
        <f t="array" ref="E392">IF(C392=0,"",
HYPERLINK(
"#'2026 Orders'!C"&amp;
MATCH(1,
('2026 Orders'!C:C=C392)*
('2026 Orders'!G:G=G392)*
('2026 Orders'!N:N=N392),
0),
"Open "&amp;C392
))</f>
        <v>Open A4700</v>
      </c>
      <c r="F392" s="14">
        <f>'[1]2026 Orders'!F393</f>
        <v>0</v>
      </c>
      <c r="G392" s="14" t="str">
        <f>'[1]2026 Orders'!G393</f>
        <v>OVAMAX-120-FD</v>
      </c>
      <c r="H392" s="14" t="str" cm="1">
        <f t="array" ref="H392">IFERROR(_xlfn.TEXTJOIN("-",,INDEX(_xlfn.TEXTSPLIT(TableGive[[#This Row],[SKU]],"-"),{1,2})),"")</f>
        <v>OVAMAX-120</v>
      </c>
      <c r="I392" s="15" t="str">
        <f>IFERROR(_xlfn.TEXTAFTER(TableGive[[#This Row],[SKU]],"-",-1),"")</f>
        <v>FD</v>
      </c>
      <c r="J392" s="14">
        <f>'[1]2026 Orders'!H393</f>
        <v>312</v>
      </c>
      <c r="K392" t="str">
        <f>'[1]2026 Orders'!I393</f>
        <v>F41-25.0</v>
      </c>
      <c r="L392">
        <f>'[1]2026 Orders'!J393</f>
        <v>312</v>
      </c>
      <c r="N392" s="10" t="str">
        <f>'[1]2026 Orders'!L393</f>
        <v>In Production</v>
      </c>
      <c r="O392">
        <f>'[1]2026 Orders'!M393</f>
        <v>0</v>
      </c>
      <c r="P392" t="str">
        <f>'[1]2026 Orders'!N393</f>
        <v>NA</v>
      </c>
      <c r="Q392">
        <f>'[1]2026 Orders'!O393</f>
        <v>810131199586</v>
      </c>
      <c r="R392">
        <f>'[1]2026 Orders'!P393</f>
        <v>10775</v>
      </c>
      <c r="S392">
        <f>'[1]2026 Orders'!Q393</f>
        <v>5055</v>
      </c>
      <c r="T392">
        <f>'[1]2026 Orders'!R393</f>
        <v>46213</v>
      </c>
      <c r="U392">
        <f>'[1]2026 Orders'!S393</f>
        <v>0</v>
      </c>
      <c r="V392">
        <f>'[1]2026 Orders'!T393</f>
        <v>0</v>
      </c>
      <c r="W392">
        <f>'[1]2026 Orders'!U393</f>
        <v>0</v>
      </c>
      <c r="X392">
        <f>'[1]2026 Orders'!V393</f>
        <v>0</v>
      </c>
      <c r="Y392">
        <f>'[1]2026 Orders'!W393</f>
        <v>0</v>
      </c>
      <c r="Z392">
        <f>'[1]2026 Orders'!X393</f>
        <v>0</v>
      </c>
      <c r="AC392" t="str">
        <f t="shared" si="12"/>
        <v>/312</v>
      </c>
      <c r="AD392" t="e">
        <f t="shared" si="13"/>
        <v>#VALUE!</v>
      </c>
    </row>
    <row r="393" spans="1:30" ht="33" hidden="1" customHeight="1" x14ac:dyDescent="0.3">
      <c r="A393">
        <f>'[1]2026 Orders'!A394</f>
        <v>46153</v>
      </c>
      <c r="B393" s="14" t="str">
        <f>'[1]2026 Orders'!B394</f>
        <v>Kenya</v>
      </c>
      <c r="C393" s="14" t="str">
        <f>'[1]2026 Orders'!C394</f>
        <v>A4700</v>
      </c>
      <c r="D393" s="14">
        <f>'[1]2026 Orders'!D394</f>
        <v>0</v>
      </c>
      <c r="E393" s="17" t="str" cm="1">
        <f t="array" ref="E393">IF(C393=0,"",
HYPERLINK(
"#'2026 Orders'!C"&amp;
MATCH(1,
('2026 Orders'!C:C=C393)*
('2026 Orders'!G:G=G393)*
('2026 Orders'!N:N=N393),
0),
"Open "&amp;C393
))</f>
        <v>Open A4700</v>
      </c>
      <c r="F393" s="14">
        <f>'[1]2026 Orders'!F394</f>
        <v>0</v>
      </c>
      <c r="G393" s="14" t="str">
        <f>'[1]2026 Orders'!G394</f>
        <v>FERTMX-90-RE</v>
      </c>
      <c r="H393" s="14" t="str" cm="1">
        <f t="array" ref="H393">IFERROR(_xlfn.TEXTJOIN("-",,INDEX(_xlfn.TEXTSPLIT(TableGive[[#This Row],[SKU]],"-"),{1,2})),"")</f>
        <v>FERTMX-90</v>
      </c>
      <c r="I393" s="15" t="str">
        <f>IFERROR(_xlfn.TEXTAFTER(TableGive[[#This Row],[SKU]],"-",-1),"")</f>
        <v>RE</v>
      </c>
      <c r="J393" s="14">
        <f>'[1]2026 Orders'!H394</f>
        <v>480</v>
      </c>
      <c r="K393" t="str">
        <f>'[1]2026 Orders'!I394</f>
        <v>R16-22.0</v>
      </c>
      <c r="L393">
        <f>'[1]2026 Orders'!J394</f>
        <v>0</v>
      </c>
      <c r="N393" s="10" t="str">
        <f>'[1]2026 Orders'!L394</f>
        <v>PO submitted</v>
      </c>
      <c r="O393">
        <f>'[1]2026 Orders'!M394</f>
        <v>0</v>
      </c>
      <c r="P393" t="str">
        <f>'[1]2026 Orders'!N394</f>
        <v>Y</v>
      </c>
      <c r="Q393">
        <f>'[1]2026 Orders'!O394</f>
        <v>609788968726</v>
      </c>
      <c r="R393">
        <f>'[1]2026 Orders'!P394</f>
        <v>5000</v>
      </c>
      <c r="S393">
        <f>'[1]2026 Orders'!Q394</f>
        <v>5041</v>
      </c>
      <c r="T393" t="str">
        <f>'[1]2026 Orders'!R394</f>
        <v>TBD</v>
      </c>
      <c r="U393" t="str">
        <f>'[1]2026 Orders'!S394</f>
        <v>Waiting for vendor confirmation.</v>
      </c>
      <c r="V393">
        <f>'[1]2026 Orders'!T394</f>
        <v>0</v>
      </c>
      <c r="W393">
        <f>'[1]2026 Orders'!U394</f>
        <v>0</v>
      </c>
      <c r="X393">
        <f>'[1]2026 Orders'!V394</f>
        <v>0</v>
      </c>
      <c r="Y393">
        <f>'[1]2026 Orders'!W394</f>
        <v>0</v>
      </c>
      <c r="Z393">
        <f>'[1]2026 Orders'!X394</f>
        <v>0</v>
      </c>
      <c r="AC393" t="str">
        <f t="shared" si="12"/>
        <v>/480</v>
      </c>
      <c r="AD393" t="e">
        <f t="shared" si="13"/>
        <v>#VALUE!</v>
      </c>
    </row>
    <row r="394" spans="1:30" ht="33" hidden="1" customHeight="1" x14ac:dyDescent="0.3">
      <c r="A394">
        <f>'[1]2026 Orders'!A395</f>
        <v>46153</v>
      </c>
      <c r="B394" s="14" t="str">
        <f>'[1]2026 Orders'!B395</f>
        <v>Kenya</v>
      </c>
      <c r="C394" s="14" t="str">
        <f>'[1]2026 Orders'!C395</f>
        <v>A4700</v>
      </c>
      <c r="D394" s="14">
        <f>'[1]2026 Orders'!D395</f>
        <v>0</v>
      </c>
      <c r="E394" s="17" t="str" cm="1">
        <f t="array" ref="E394">IF(C394=0,"",
HYPERLINK(
"#'2026 Orders'!C"&amp;
MATCH(1,
('2026 Orders'!C:C=C394)*
('2026 Orders'!G:G=G394)*
('2026 Orders'!N:N=N394),
0),
"Open "&amp;C394
))</f>
        <v>Open A4700</v>
      </c>
      <c r="F394" s="14">
        <f>'[1]2026 Orders'!F395</f>
        <v>0</v>
      </c>
      <c r="G394" s="14" t="str">
        <f>'[1]2026 Orders'!G395</f>
        <v>PRECON-90-FD</v>
      </c>
      <c r="H394" s="14" t="str" cm="1">
        <f t="array" ref="H394">IFERROR(_xlfn.TEXTJOIN("-",,INDEX(_xlfn.TEXTSPLIT(TableGive[[#This Row],[SKU]],"-"),{1,2})),"")</f>
        <v>PRECON-90</v>
      </c>
      <c r="I394" s="15" t="str">
        <f>IFERROR(_xlfn.TEXTAFTER(TableGive[[#This Row],[SKU]],"-",-1),"")</f>
        <v>FD</v>
      </c>
      <c r="J394" s="14">
        <f>'[1]2026 Orders'!H395</f>
        <v>24</v>
      </c>
      <c r="K394" t="str">
        <f>'[1]2026 Orders'!I395</f>
        <v>F54-23.0</v>
      </c>
      <c r="L394">
        <f>'[1]2026 Orders'!J395</f>
        <v>24</v>
      </c>
      <c r="N394" s="10" t="str">
        <f>'[1]2026 Orders'!L395</f>
        <v>Rework</v>
      </c>
      <c r="O394">
        <f>'[1]2026 Orders'!M395</f>
        <v>0</v>
      </c>
      <c r="P394" t="str">
        <f>'[1]2026 Orders'!N395</f>
        <v>NA</v>
      </c>
      <c r="Q394">
        <f>'[1]2026 Orders'!O395</f>
        <v>609788968368</v>
      </c>
      <c r="R394">
        <f>'[1]2026 Orders'!P395</f>
        <v>0</v>
      </c>
      <c r="S394">
        <f>'[1]2026 Orders'!Q395</f>
        <v>0</v>
      </c>
      <c r="T394">
        <f>'[1]2026 Orders'!R395</f>
        <v>0</v>
      </c>
      <c r="U394">
        <f>'[1]2026 Orders'!S395</f>
        <v>0</v>
      </c>
      <c r="V394">
        <f>'[1]2026 Orders'!T395</f>
        <v>0</v>
      </c>
      <c r="W394">
        <f>'[1]2026 Orders'!U395</f>
        <v>0</v>
      </c>
      <c r="X394">
        <f>'[1]2026 Orders'!V395</f>
        <v>0</v>
      </c>
      <c r="Y394">
        <f>'[1]2026 Orders'!W395</f>
        <v>0</v>
      </c>
      <c r="Z394">
        <f>'[1]2026 Orders'!X395</f>
        <v>0</v>
      </c>
      <c r="AC394" t="str">
        <f t="shared" si="12"/>
        <v>/24</v>
      </c>
      <c r="AD394" t="e">
        <f t="shared" si="13"/>
        <v>#VALUE!</v>
      </c>
    </row>
    <row r="395" spans="1:30" ht="33" hidden="1" customHeight="1" x14ac:dyDescent="0.3">
      <c r="A395">
        <f>'[1]2026 Orders'!A396</f>
        <v>46153</v>
      </c>
      <c r="B395" s="14" t="str">
        <f>'[1]2026 Orders'!B396</f>
        <v>Kenya</v>
      </c>
      <c r="C395" s="14" t="str">
        <f>'[1]2026 Orders'!C396</f>
        <v>A4700</v>
      </c>
      <c r="D395" s="14">
        <f>'[1]2026 Orders'!D396</f>
        <v>0</v>
      </c>
      <c r="E395" s="17" t="str" cm="1">
        <f t="array" ref="E395">IF(C395=0,"",
HYPERLINK(
"#'2026 Orders'!C"&amp;
MATCH(1,
('2026 Orders'!C:C=C395)*
('2026 Orders'!G:G=G395)*
('2026 Orders'!N:N=N395),
0),
"Open "&amp;C395
))</f>
        <v>Open A4700</v>
      </c>
      <c r="F395" s="14">
        <f>'[1]2026 Orders'!F396</f>
        <v>0</v>
      </c>
      <c r="G395" s="14" t="str">
        <f>'[1]2026 Orders'!G396</f>
        <v>POLYSIT-90-FD</v>
      </c>
      <c r="H395" s="14" t="str" cm="1">
        <f t="array" ref="H395">IFERROR(_xlfn.TEXTJOIN("-",,INDEX(_xlfn.TEXTSPLIT(TableGive[[#This Row],[SKU]],"-"),{1,2})),"")</f>
        <v>POLYSIT-90</v>
      </c>
      <c r="I395" s="15" t="str">
        <f>IFERROR(_xlfn.TEXTAFTER(TableGive[[#This Row],[SKU]],"-",-1),"")</f>
        <v>FD</v>
      </c>
      <c r="J395" s="14">
        <f>'[1]2026 Orders'!H396</f>
        <v>24</v>
      </c>
      <c r="K395" t="str">
        <f>'[1]2026 Orders'!I396</f>
        <v>F53-24.0</v>
      </c>
      <c r="L395">
        <f>'[1]2026 Orders'!J396</f>
        <v>0</v>
      </c>
      <c r="N395" s="10" t="str">
        <f>'[1]2026 Orders'!L396</f>
        <v>In Production</v>
      </c>
      <c r="O395">
        <f>'[1]2026 Orders'!M396</f>
        <v>0</v>
      </c>
      <c r="P395" t="str">
        <f>'[1]2026 Orders'!N396</f>
        <v>Y</v>
      </c>
      <c r="Q395">
        <f>'[1]2026 Orders'!O396</f>
        <v>609788969006</v>
      </c>
      <c r="R395">
        <f>'[1]2026 Orders'!P396</f>
        <v>5000</v>
      </c>
      <c r="S395">
        <f>'[1]2026 Orders'!Q396</f>
        <v>5034</v>
      </c>
      <c r="T395">
        <f>'[1]2026 Orders'!R396</f>
        <v>46204</v>
      </c>
      <c r="U395">
        <f>'[1]2026 Orders'!S396</f>
        <v>0</v>
      </c>
      <c r="V395">
        <f>'[1]2026 Orders'!T396</f>
        <v>0</v>
      </c>
      <c r="W395">
        <f>'[1]2026 Orders'!U396</f>
        <v>0</v>
      </c>
      <c r="X395">
        <f>'[1]2026 Orders'!V396</f>
        <v>0</v>
      </c>
      <c r="Y395">
        <f>'[1]2026 Orders'!W396</f>
        <v>0</v>
      </c>
      <c r="Z395">
        <f>'[1]2026 Orders'!X396</f>
        <v>0</v>
      </c>
      <c r="AC395" t="str">
        <f t="shared" si="12"/>
        <v>/24</v>
      </c>
      <c r="AD395" t="e">
        <f t="shared" si="13"/>
        <v>#VALUE!</v>
      </c>
    </row>
    <row r="396" spans="1:30" ht="33" hidden="1" customHeight="1" x14ac:dyDescent="0.3">
      <c r="A396">
        <f>'[1]2026 Orders'!A397</f>
        <v>46153</v>
      </c>
      <c r="B396" s="14" t="str">
        <f>'[1]2026 Orders'!B397</f>
        <v>Kenya</v>
      </c>
      <c r="C396" s="14" t="str">
        <f>'[1]2026 Orders'!C397</f>
        <v>A4700</v>
      </c>
      <c r="D396" s="14">
        <f>'[1]2026 Orders'!D397</f>
        <v>0</v>
      </c>
      <c r="E396" s="17" t="str" cm="1">
        <f t="array" ref="E396">IF(C396=0,"",
HYPERLINK(
"#'2026 Orders'!C"&amp;
MATCH(1,
('2026 Orders'!C:C=C396)*
('2026 Orders'!G:G=G396)*
('2026 Orders'!N:N=N396),
0),
"Open "&amp;C396
))</f>
        <v>Open A4700</v>
      </c>
      <c r="F396" s="14">
        <f>'[1]2026 Orders'!F397</f>
        <v>0</v>
      </c>
      <c r="G396" s="14" t="str">
        <f>'[1]2026 Orders'!G397</f>
        <v>METRIO-60-FD</v>
      </c>
      <c r="H396" s="14" t="str" cm="1">
        <f t="array" ref="H396">IFERROR(_xlfn.TEXTJOIN("-",,INDEX(_xlfn.TEXTSPLIT(TableGive[[#This Row],[SKU]],"-"),{1,2})),"")</f>
        <v>METRIO-60</v>
      </c>
      <c r="I396" s="15" t="str">
        <f>IFERROR(_xlfn.TEXTAFTER(TableGive[[#This Row],[SKU]],"-",-1),"")</f>
        <v>FD</v>
      </c>
      <c r="J396" s="14">
        <f>'[1]2026 Orders'!H397</f>
        <v>24</v>
      </c>
      <c r="K396" t="str">
        <f>'[1]2026 Orders'!I397</f>
        <v>F28-25.0</v>
      </c>
      <c r="L396">
        <f>'[1]2026 Orders'!J397</f>
        <v>24</v>
      </c>
      <c r="N396" s="10" t="str">
        <f>'[1]2026 Orders'!L397</f>
        <v>Rework</v>
      </c>
      <c r="O396">
        <f>'[1]2026 Orders'!M397</f>
        <v>0</v>
      </c>
      <c r="P396" t="str">
        <f>'[1]2026 Orders'!N397</f>
        <v>NA</v>
      </c>
      <c r="Q396">
        <f>'[1]2026 Orders'!O397</f>
        <v>609788968481</v>
      </c>
      <c r="R396">
        <f>'[1]2026 Orders'!P397</f>
        <v>0</v>
      </c>
      <c r="S396">
        <f>'[1]2026 Orders'!Q397</f>
        <v>0</v>
      </c>
      <c r="T396">
        <f>'[1]2026 Orders'!R397</f>
        <v>0</v>
      </c>
      <c r="U396">
        <f>'[1]2026 Orders'!S397</f>
        <v>0</v>
      </c>
      <c r="V396">
        <f>'[1]2026 Orders'!T397</f>
        <v>0</v>
      </c>
      <c r="W396">
        <f>'[1]2026 Orders'!U397</f>
        <v>0</v>
      </c>
      <c r="X396">
        <f>'[1]2026 Orders'!V397</f>
        <v>0</v>
      </c>
      <c r="Y396">
        <f>'[1]2026 Orders'!W397</f>
        <v>0</v>
      </c>
      <c r="Z396">
        <f>'[1]2026 Orders'!X397</f>
        <v>0</v>
      </c>
      <c r="AC396" t="str">
        <f t="shared" si="12"/>
        <v>/24</v>
      </c>
      <c r="AD396" t="e">
        <f t="shared" si="13"/>
        <v>#VALUE!</v>
      </c>
    </row>
    <row r="397" spans="1:30" ht="33" hidden="1" customHeight="1" x14ac:dyDescent="0.3">
      <c r="A397">
        <f>'[1]2026 Orders'!A398</f>
        <v>0</v>
      </c>
      <c r="B397" s="14">
        <f>'[1]2026 Orders'!B398</f>
        <v>0</v>
      </c>
      <c r="C397" s="14">
        <f>'[1]2026 Orders'!C398</f>
        <v>0</v>
      </c>
      <c r="D397" s="14">
        <f>'[1]2026 Orders'!D398</f>
        <v>0</v>
      </c>
      <c r="E397" s="17" t="str" cm="1">
        <f t="array" ref="E397">IF(C397=0,"",
HYPERLINK(
"#'2026 Orders'!C"&amp;
MATCH(1,
('2026 Orders'!C:C=C397)*
('2026 Orders'!G:G=G397)*
('2026 Orders'!N:N=N397),
0),
"Open "&amp;C397
))</f>
        <v/>
      </c>
      <c r="F397" s="14">
        <f>'[1]2026 Orders'!F398</f>
        <v>0</v>
      </c>
      <c r="G397" s="14">
        <f>'[1]2026 Orders'!G398</f>
        <v>0</v>
      </c>
      <c r="H397" s="14" t="str" cm="1">
        <f t="array" ref="H397">IFERROR(_xlfn.TEXTJOIN("-",,INDEX(_xlfn.TEXTSPLIT(TableGive[[#This Row],[SKU]],"-"),{1,2})),"")</f>
        <v/>
      </c>
      <c r="I397" s="15" t="str">
        <f>IFERROR(_xlfn.TEXTAFTER(TableGive[[#This Row],[SKU]],"-",-1),"")</f>
        <v/>
      </c>
      <c r="J397" s="14">
        <f>'[1]2026 Orders'!H398</f>
        <v>0</v>
      </c>
      <c r="K397">
        <f>'[1]2026 Orders'!I398</f>
        <v>0</v>
      </c>
      <c r="L397">
        <f>'[1]2026 Orders'!J398</f>
        <v>0</v>
      </c>
      <c r="N397" s="10">
        <f>'[1]2026 Orders'!L398</f>
        <v>0</v>
      </c>
      <c r="O397">
        <f>'[1]2026 Orders'!M398</f>
        <v>0</v>
      </c>
      <c r="P397">
        <f>'[1]2026 Orders'!N398</f>
        <v>0</v>
      </c>
      <c r="Q397">
        <f>'[1]2026 Orders'!O398</f>
        <v>0</v>
      </c>
      <c r="R397">
        <f>'[1]2026 Orders'!P398</f>
        <v>0</v>
      </c>
      <c r="S397">
        <f>'[1]2026 Orders'!Q398</f>
        <v>0</v>
      </c>
      <c r="T397">
        <f>'[1]2026 Orders'!R398</f>
        <v>0</v>
      </c>
      <c r="U397">
        <f>'[1]2026 Orders'!S398</f>
        <v>0</v>
      </c>
      <c r="V397">
        <f>'[1]2026 Orders'!T398</f>
        <v>0</v>
      </c>
      <c r="W397">
        <f>'[1]2026 Orders'!U398</f>
        <v>0</v>
      </c>
      <c r="X397">
        <f>'[1]2026 Orders'!V398</f>
        <v>0</v>
      </c>
      <c r="Y397">
        <f>'[1]2026 Orders'!W398</f>
        <v>0</v>
      </c>
      <c r="Z397">
        <f>'[1]2026 Orders'!X398</f>
        <v>0</v>
      </c>
      <c r="AC397" t="str">
        <f t="shared" si="12"/>
        <v/>
      </c>
      <c r="AD397" t="str">
        <f t="shared" si="13"/>
        <v/>
      </c>
    </row>
    <row r="398" spans="1:30" ht="33" hidden="1" customHeight="1" x14ac:dyDescent="0.3">
      <c r="A398">
        <f>'[1]2026 Orders'!A399</f>
        <v>46156</v>
      </c>
      <c r="B398" s="14" t="str">
        <f>'[1]2026 Orders'!B399</f>
        <v>Greece</v>
      </c>
      <c r="C398" s="14" t="str">
        <f>'[1]2026 Orders'!C399</f>
        <v>A4702</v>
      </c>
      <c r="D398" s="14" t="str">
        <f>'[1]2026 Orders'!D399</f>
        <v>5/14/2026: Pro Forma Invoice sent.           5/18/2026: Pro Forma approved. Removed from Sales Action Needed.</v>
      </c>
      <c r="E398" s="17" t="str" cm="1">
        <f t="array" ref="E398">IF(C398=0,"",
HYPERLINK(
"#'2026 Orders'!C"&amp;
MATCH(1,
('2026 Orders'!C:C=C398)*
('2026 Orders'!G:G=G398)*
('2026 Orders'!N:N=N398),
0),
"Open "&amp;C398
))</f>
        <v>Open A4702</v>
      </c>
      <c r="F398" s="14" t="str">
        <f>'[1]2026 Orders'!F399</f>
        <v xml:space="preserve">MFS Plus capsules blistered </v>
      </c>
      <c r="G398" s="14" t="str">
        <f>'[1]2026 Orders'!G399</f>
        <v>MFSADV-120-CS-GR</v>
      </c>
      <c r="H398" s="14" t="str" cm="1">
        <f t="array" ref="H398">IFERROR(_xlfn.TEXTJOIN("-",,INDEX(_xlfn.TEXTSPLIT(TableGive[[#This Row],[SKU]],"-"),{1,2})),"")</f>
        <v>MFSADV-120</v>
      </c>
      <c r="I398" s="15" t="str">
        <f>IFERROR(_xlfn.TEXTAFTER(TableGive[[#This Row],[SKU]],"-",-1),"")</f>
        <v>GR</v>
      </c>
      <c r="J398" s="14">
        <f>'[1]2026 Orders'!H399</f>
        <v>1000</v>
      </c>
      <c r="K398" t="str">
        <f>'[1]2026 Orders'!I399</f>
        <v>GR87-25.0</v>
      </c>
      <c r="L398">
        <f>'[1]2026 Orders'!J399</f>
        <v>0</v>
      </c>
      <c r="N398" s="10" t="str">
        <f>'[1]2026 Orders'!L399</f>
        <v>PO submitted</v>
      </c>
      <c r="O398">
        <f>'[1]2026 Orders'!M399</f>
        <v>0</v>
      </c>
      <c r="P398">
        <f>'[1]2026 Orders'!N399</f>
        <v>0</v>
      </c>
      <c r="Q398">
        <f>'[1]2026 Orders'!O399</f>
        <v>604776739272</v>
      </c>
      <c r="R398" t="str">
        <f>'[1]2026 Orders'!P399</f>
        <v>300000 bulk</v>
      </c>
      <c r="S398">
        <f>'[1]2026 Orders'!Q399</f>
        <v>5064</v>
      </c>
      <c r="T398" t="str">
        <f>'[1]2026 Orders'!R399</f>
        <v>TBD</v>
      </c>
      <c r="U398" t="str">
        <f>'[1]2026 Orders'!S399</f>
        <v>Bulk PO Submitted, Pending ETA confirmation</v>
      </c>
      <c r="V398">
        <f>'[1]2026 Orders'!T399</f>
        <v>0</v>
      </c>
      <c r="W398">
        <f>'[1]2026 Orders'!U399</f>
        <v>0</v>
      </c>
      <c r="X398">
        <f>'[1]2026 Orders'!V399</f>
        <v>0</v>
      </c>
      <c r="Y398">
        <f>'[1]2026 Orders'!W399</f>
        <v>0</v>
      </c>
      <c r="Z398" t="str">
        <f>'[1]2026 Orders'!X399</f>
        <v>Approved</v>
      </c>
      <c r="AC398" t="str">
        <f t="shared" si="12"/>
        <v>/1000</v>
      </c>
      <c r="AD398" t="e">
        <f t="shared" si="13"/>
        <v>#VALUE!</v>
      </c>
    </row>
    <row r="399" spans="1:30" ht="33" hidden="1" customHeight="1" x14ac:dyDescent="0.3">
      <c r="A399">
        <f>'[1]2026 Orders'!A400</f>
        <v>0</v>
      </c>
      <c r="B399" s="14">
        <f>'[1]2026 Orders'!B400</f>
        <v>0</v>
      </c>
      <c r="C399" s="14">
        <f>'[1]2026 Orders'!C400</f>
        <v>0</v>
      </c>
      <c r="D399" s="14">
        <f>'[1]2026 Orders'!D400</f>
        <v>0</v>
      </c>
      <c r="E399" s="17" t="str" cm="1">
        <f t="array" ref="E399">IF(C399=0,"",
HYPERLINK(
"#'2026 Orders'!C"&amp;
MATCH(1,
('2026 Orders'!C:C=C399)*
('2026 Orders'!G:G=G399)*
('2026 Orders'!N:N=N399),
0),
"Open "&amp;C399
))</f>
        <v/>
      </c>
      <c r="F399" s="14">
        <f>'[1]2026 Orders'!F400</f>
        <v>0</v>
      </c>
      <c r="G399" s="14">
        <f>'[1]2026 Orders'!G400</f>
        <v>0</v>
      </c>
      <c r="H399" s="14" t="str" cm="1">
        <f t="array" ref="H399">IFERROR(_xlfn.TEXTJOIN("-",,INDEX(_xlfn.TEXTSPLIT(TableGive[[#This Row],[SKU]],"-"),{1,2})),"")</f>
        <v/>
      </c>
      <c r="I399" s="15" t="str">
        <f>IFERROR(_xlfn.TEXTAFTER(TableGive[[#This Row],[SKU]],"-",-1),"")</f>
        <v/>
      </c>
      <c r="J399" s="14">
        <f>'[1]2026 Orders'!H400</f>
        <v>0</v>
      </c>
      <c r="K399">
        <f>'[1]2026 Orders'!I400</f>
        <v>0</v>
      </c>
      <c r="L399">
        <f>'[1]2026 Orders'!J400</f>
        <v>0</v>
      </c>
      <c r="N399" s="10">
        <f>'[1]2026 Orders'!L400</f>
        <v>0</v>
      </c>
      <c r="O399">
        <f>'[1]2026 Orders'!M400</f>
        <v>0</v>
      </c>
      <c r="P399">
        <f>'[1]2026 Orders'!N400</f>
        <v>0</v>
      </c>
      <c r="Q399">
        <f>'[1]2026 Orders'!O400</f>
        <v>0</v>
      </c>
      <c r="R399">
        <f>'[1]2026 Orders'!P400</f>
        <v>0</v>
      </c>
      <c r="S399">
        <f>'[1]2026 Orders'!Q400</f>
        <v>0</v>
      </c>
      <c r="T399">
        <f>'[1]2026 Orders'!R400</f>
        <v>0</v>
      </c>
      <c r="U399">
        <f>'[1]2026 Orders'!S400</f>
        <v>0</v>
      </c>
      <c r="V399">
        <f>'[1]2026 Orders'!T400</f>
        <v>0</v>
      </c>
      <c r="W399">
        <f>'[1]2026 Orders'!U400</f>
        <v>0</v>
      </c>
      <c r="X399">
        <f>'[1]2026 Orders'!V400</f>
        <v>0</v>
      </c>
      <c r="Y399">
        <f>'[1]2026 Orders'!W400</f>
        <v>0</v>
      </c>
      <c r="Z399">
        <f>'[1]2026 Orders'!X400</f>
        <v>0</v>
      </c>
      <c r="AC399" t="str">
        <f t="shared" si="12"/>
        <v/>
      </c>
      <c r="AD399" t="str">
        <f t="shared" si="13"/>
        <v/>
      </c>
    </row>
    <row r="400" spans="1:30" ht="33" hidden="1" customHeight="1" x14ac:dyDescent="0.3">
      <c r="A400">
        <f>'[1]2026 Orders'!A401</f>
        <v>46160</v>
      </c>
      <c r="B400" s="14" t="str">
        <f>'[1]2026 Orders'!B401</f>
        <v>Botswana</v>
      </c>
      <c r="C400" s="14" t="str">
        <f>'[1]2026 Orders'!C401</f>
        <v>A4705</v>
      </c>
      <c r="D400" s="14" t="str">
        <f>'[1]2026 Orders'!D401</f>
        <v>5/18/2026: Awaiting Pro Forma Approval.                                    5/19/2026: Pro Forma approved.</v>
      </c>
      <c r="E400" s="17" t="str" cm="1">
        <f t="array" ref="E400">IF(C400=0,"",
HYPERLINK(
"#'2026 Orders'!C"&amp;
MATCH(1,
('2026 Orders'!C:C=C400)*
('2026 Orders'!G:G=G400)*
('2026 Orders'!N:N=N400),
0),
"Open "&amp;C400
))</f>
        <v>Open A4705</v>
      </c>
      <c r="F400" s="14">
        <f>'[1]2026 Orders'!F401</f>
        <v>0</v>
      </c>
      <c r="G400" s="14" t="str">
        <f>'[1]2026 Orders'!G401</f>
        <v>PROSTA-90-FD</v>
      </c>
      <c r="H400" s="14" t="str" cm="1">
        <f t="array" ref="H400">IFERROR(_xlfn.TEXTJOIN("-",,INDEX(_xlfn.TEXTSPLIT(TableGive[[#This Row],[SKU]],"-"),{1,2})),"")</f>
        <v>PROSTA-90</v>
      </c>
      <c r="I400" s="15" t="str">
        <f>IFERROR(_xlfn.TEXTAFTER(TableGive[[#This Row],[SKU]],"-",-1),"")</f>
        <v>FD</v>
      </c>
      <c r="J400" s="14">
        <f>'[1]2026 Orders'!H401</f>
        <v>72</v>
      </c>
      <c r="K400" t="str">
        <f>'[1]2026 Orders'!I401</f>
        <v>F56-23.0</v>
      </c>
      <c r="L400">
        <f>'[1]2026 Orders'!J401</f>
        <v>72</v>
      </c>
      <c r="N400" s="10" t="str">
        <f>'[1]2026 Orders'!L401</f>
        <v>Rework</v>
      </c>
      <c r="O400">
        <f>'[1]2026 Orders'!M401</f>
        <v>0</v>
      </c>
      <c r="P400" t="str">
        <f>'[1]2026 Orders'!N401</f>
        <v>NA</v>
      </c>
      <c r="Q400">
        <f>'[1]2026 Orders'!O401</f>
        <v>609788968504</v>
      </c>
      <c r="R400">
        <f>'[1]2026 Orders'!P401</f>
        <v>0</v>
      </c>
      <c r="S400">
        <f>'[1]2026 Orders'!Q401</f>
        <v>0</v>
      </c>
      <c r="T400">
        <f>'[1]2026 Orders'!R401</f>
        <v>0</v>
      </c>
      <c r="U400">
        <f>'[1]2026 Orders'!S401</f>
        <v>0</v>
      </c>
      <c r="V400">
        <f>'[1]2026 Orders'!T401</f>
        <v>0</v>
      </c>
      <c r="W400">
        <f>'[1]2026 Orders'!U401</f>
        <v>0</v>
      </c>
      <c r="X400">
        <f>'[1]2026 Orders'!V401</f>
        <v>0</v>
      </c>
      <c r="Y400">
        <f>'[1]2026 Orders'!W401</f>
        <v>0</v>
      </c>
      <c r="Z400" t="str">
        <f>'[1]2026 Orders'!X401</f>
        <v>HOLD</v>
      </c>
      <c r="AC400" t="str">
        <f t="shared" si="12"/>
        <v>/72</v>
      </c>
      <c r="AD400" t="e">
        <f t="shared" si="13"/>
        <v>#VALUE!</v>
      </c>
    </row>
    <row r="401" spans="1:30" ht="33" hidden="1" customHeight="1" x14ac:dyDescent="0.3">
      <c r="A401">
        <f>'[1]2026 Orders'!A402</f>
        <v>46160</v>
      </c>
      <c r="B401" s="14" t="str">
        <f>'[1]2026 Orders'!B402</f>
        <v>Botswana</v>
      </c>
      <c r="C401" s="14" t="str">
        <f>'[1]2026 Orders'!C402</f>
        <v>A4705</v>
      </c>
      <c r="D401" s="14">
        <f>'[1]2026 Orders'!D402</f>
        <v>0</v>
      </c>
      <c r="E401" s="17" t="str" cm="1">
        <f t="array" ref="E401">IF(C401=0,"",
HYPERLINK(
"#'2026 Orders'!C"&amp;
MATCH(1,
('2026 Orders'!C:C=C401)*
('2026 Orders'!G:G=G401)*
('2026 Orders'!N:N=N401),
0),
"Open "&amp;C401
))</f>
        <v>Open A4705</v>
      </c>
      <c r="F401" s="14">
        <f>'[1]2026 Orders'!F402</f>
        <v>0</v>
      </c>
      <c r="G401" s="14" t="str">
        <f>'[1]2026 Orders'!G402</f>
        <v>XTRAD10-60-FD</v>
      </c>
      <c r="H401" s="14" t="str" cm="1">
        <f t="array" ref="H401">IFERROR(_xlfn.TEXTJOIN("-",,INDEX(_xlfn.TEXTSPLIT(TableGive[[#This Row],[SKU]],"-"),{1,2})),"")</f>
        <v>XTRAD10-60</v>
      </c>
      <c r="I401" s="15" t="str">
        <f>IFERROR(_xlfn.TEXTAFTER(TableGive[[#This Row],[SKU]],"-",-1),"")</f>
        <v>FD</v>
      </c>
      <c r="J401" s="14">
        <f>'[1]2026 Orders'!H402</f>
        <v>1440</v>
      </c>
      <c r="K401" t="str">
        <f>'[1]2026 Orders'!I402</f>
        <v>F76-25.0</v>
      </c>
      <c r="L401">
        <f>'[1]2026 Orders'!J402</f>
        <v>0</v>
      </c>
      <c r="N401" s="10" t="str">
        <f>'[1]2026 Orders'!L402</f>
        <v>Bulk Production Complete</v>
      </c>
      <c r="O401">
        <f>'[1]2026 Orders'!M402</f>
        <v>0</v>
      </c>
      <c r="P401" t="str">
        <f>'[1]2026 Orders'!N402</f>
        <v>NA</v>
      </c>
      <c r="Q401" t="str">
        <f>'[1]2026 Orders'!O402</f>
        <v>609788968122</v>
      </c>
      <c r="R401">
        <f>'[1]2026 Orders'!P402</f>
        <v>0</v>
      </c>
      <c r="S401">
        <f>'[1]2026 Orders'!Q402</f>
        <v>4690</v>
      </c>
      <c r="T401">
        <f>'[1]2026 Orders'!R402</f>
        <v>0</v>
      </c>
      <c r="U401" t="str">
        <f>'[1]2026 Orders'!S402</f>
        <v>Extra bulk at Iceland. Pending vendor release to bottle</v>
      </c>
      <c r="V401">
        <f>'[1]2026 Orders'!T402</f>
        <v>0</v>
      </c>
      <c r="W401">
        <f>'[1]2026 Orders'!U402</f>
        <v>0</v>
      </c>
      <c r="X401">
        <f>'[1]2026 Orders'!V402</f>
        <v>0</v>
      </c>
      <c r="Y401">
        <f>'[1]2026 Orders'!W402</f>
        <v>0</v>
      </c>
      <c r="Z401">
        <f>'[1]2026 Orders'!X402</f>
        <v>0</v>
      </c>
      <c r="AC401" t="str">
        <f t="shared" si="12"/>
        <v>/1440</v>
      </c>
      <c r="AD401" t="e">
        <f t="shared" si="13"/>
        <v>#VALUE!</v>
      </c>
    </row>
    <row r="402" spans="1:30" ht="33" hidden="1" customHeight="1" x14ac:dyDescent="0.3">
      <c r="A402">
        <f>'[1]2026 Orders'!A403</f>
        <v>46160</v>
      </c>
      <c r="B402" s="14" t="str">
        <f>'[1]2026 Orders'!B403</f>
        <v>Botswana</v>
      </c>
      <c r="C402" s="14" t="str">
        <f>'[1]2026 Orders'!C403</f>
        <v>A4705</v>
      </c>
      <c r="D402" s="14">
        <f>'[1]2026 Orders'!D403</f>
        <v>0</v>
      </c>
      <c r="E402" s="17" t="str" cm="1">
        <f t="array" ref="E402">IF(C402=0,"",
HYPERLINK(
"#'2026 Orders'!C"&amp;
MATCH(1,
('2026 Orders'!C:C=C402)*
('2026 Orders'!G:G=G402)*
('2026 Orders'!N:N=N402),
0),
"Open "&amp;C402
))</f>
        <v>Open A4705</v>
      </c>
      <c r="F402" s="14">
        <f>'[1]2026 Orders'!F403</f>
        <v>0</v>
      </c>
      <c r="G402" s="14" t="str">
        <f>'[1]2026 Orders'!G403</f>
        <v>MFSPLS-120-FD</v>
      </c>
      <c r="H402" s="14" t="str" cm="1">
        <f t="array" ref="H402">IFERROR(_xlfn.TEXTJOIN("-",,INDEX(_xlfn.TEXTSPLIT(TableGive[[#This Row],[SKU]],"-"),{1,2})),"")</f>
        <v>MFSPLS-120</v>
      </c>
      <c r="I402" s="15" t="str">
        <f>IFERROR(_xlfn.TEXTAFTER(TableGive[[#This Row],[SKU]],"-",-1),"")</f>
        <v>FD</v>
      </c>
      <c r="J402" s="14">
        <f>'[1]2026 Orders'!H403</f>
        <v>96</v>
      </c>
      <c r="K402" t="str">
        <f>'[1]2026 Orders'!I403</f>
        <v>F30-25.1</v>
      </c>
      <c r="L402">
        <f>'[1]2026 Orders'!J403</f>
        <v>0</v>
      </c>
      <c r="N402" s="10" t="str">
        <f>'[1]2026 Orders'!L403</f>
        <v>In Production</v>
      </c>
      <c r="O402">
        <f>'[1]2026 Orders'!M403</f>
        <v>0</v>
      </c>
      <c r="P402" t="str">
        <f>'[1]2026 Orders'!N403</f>
        <v>NA</v>
      </c>
      <c r="Q402">
        <f>'[1]2026 Orders'!O403</f>
        <v>609788968344</v>
      </c>
      <c r="R402">
        <f>'[1]2026 Orders'!P403</f>
        <v>9195</v>
      </c>
      <c r="S402">
        <f>'[1]2026 Orders'!Q403</f>
        <v>5032</v>
      </c>
      <c r="T402">
        <f>'[1]2026 Orders'!R403</f>
        <v>46211</v>
      </c>
      <c r="U402">
        <f>'[1]2026 Orders'!S403</f>
        <v>0</v>
      </c>
      <c r="V402">
        <f>'[1]2026 Orders'!T403</f>
        <v>0</v>
      </c>
      <c r="W402">
        <f>'[1]2026 Orders'!U403</f>
        <v>0</v>
      </c>
      <c r="X402">
        <f>'[1]2026 Orders'!V403</f>
        <v>0</v>
      </c>
      <c r="Y402">
        <f>'[1]2026 Orders'!W403</f>
        <v>0</v>
      </c>
      <c r="Z402">
        <f>'[1]2026 Orders'!X403</f>
        <v>0</v>
      </c>
      <c r="AC402" t="str">
        <f t="shared" si="12"/>
        <v>/96</v>
      </c>
      <c r="AD402" t="e">
        <f t="shared" si="13"/>
        <v>#VALUE!</v>
      </c>
    </row>
    <row r="403" spans="1:30" ht="33" hidden="1" customHeight="1" x14ac:dyDescent="0.3">
      <c r="A403">
        <f>'[1]2026 Orders'!A404</f>
        <v>46160</v>
      </c>
      <c r="B403" s="14" t="str">
        <f>'[1]2026 Orders'!B404</f>
        <v>Botswana</v>
      </c>
      <c r="C403" s="14" t="str">
        <f>'[1]2026 Orders'!C404</f>
        <v>A4705</v>
      </c>
      <c r="D403" s="14">
        <f>'[1]2026 Orders'!D404</f>
        <v>0</v>
      </c>
      <c r="E403" s="17" t="str" cm="1">
        <f t="array" ref="E403">IF(C403=0,"",
HYPERLINK(
"#'2026 Orders'!C"&amp;
MATCH(1,
('2026 Orders'!C:C=C403)*
('2026 Orders'!G:G=G403)*
('2026 Orders'!N:N=N403),
0),
"Open "&amp;C403
))</f>
        <v>Open A4705</v>
      </c>
      <c r="F403" s="14">
        <f>'[1]2026 Orders'!F404</f>
        <v>0</v>
      </c>
      <c r="G403" s="14" t="str">
        <f>'[1]2026 Orders'!G404</f>
        <v>DHEA50-60-FD</v>
      </c>
      <c r="H403" s="14" t="str" cm="1">
        <f t="array" ref="H403">IFERROR(_xlfn.TEXTJOIN("-",,INDEX(_xlfn.TEXTSPLIT(TableGive[[#This Row],[SKU]],"-"),{1,2})),"")</f>
        <v>DHEA50-60</v>
      </c>
      <c r="I403" s="15" t="str">
        <f>IFERROR(_xlfn.TEXTAFTER(TableGive[[#This Row],[SKU]],"-",-1),"")</f>
        <v>FD</v>
      </c>
      <c r="J403" s="14">
        <f>'[1]2026 Orders'!H404</f>
        <v>120</v>
      </c>
      <c r="K403" t="str">
        <f>'[1]2026 Orders'!I404</f>
        <v>F13-25.2</v>
      </c>
      <c r="L403">
        <f>'[1]2026 Orders'!J404</f>
        <v>0</v>
      </c>
      <c r="N403" s="10" t="str">
        <f>'[1]2026 Orders'!L404</f>
        <v>In Production</v>
      </c>
      <c r="O403">
        <f>'[1]2026 Orders'!M404</f>
        <v>0</v>
      </c>
      <c r="P403" t="str">
        <f>'[1]2026 Orders'!N404</f>
        <v>NA</v>
      </c>
      <c r="Q403">
        <f>'[1]2026 Orders'!O404</f>
        <v>609788968221</v>
      </c>
      <c r="R403">
        <f>'[1]2026 Orders'!P404</f>
        <v>7000</v>
      </c>
      <c r="S403">
        <f>'[1]2026 Orders'!Q404</f>
        <v>5027</v>
      </c>
      <c r="T403">
        <f>'[1]2026 Orders'!R404</f>
        <v>46201</v>
      </c>
      <c r="U403" t="str">
        <f>'[1]2026 Orders'!S404</f>
        <v>Vendor confirming PO ETA</v>
      </c>
      <c r="V403">
        <f>'[1]2026 Orders'!T404</f>
        <v>0</v>
      </c>
      <c r="W403">
        <f>'[1]2026 Orders'!U404</f>
        <v>0</v>
      </c>
      <c r="X403">
        <f>'[1]2026 Orders'!V404</f>
        <v>0</v>
      </c>
      <c r="Y403">
        <f>'[1]2026 Orders'!W404</f>
        <v>0</v>
      </c>
      <c r="Z403">
        <f>'[1]2026 Orders'!X404</f>
        <v>0</v>
      </c>
      <c r="AC403" t="str">
        <f t="shared" si="12"/>
        <v>/120</v>
      </c>
      <c r="AD403" t="e">
        <f t="shared" si="13"/>
        <v>#VALUE!</v>
      </c>
    </row>
    <row r="404" spans="1:30" ht="33" hidden="1" customHeight="1" x14ac:dyDescent="0.3">
      <c r="A404">
        <f>'[1]2026 Orders'!A405</f>
        <v>46160</v>
      </c>
      <c r="B404" s="14" t="str">
        <f>'[1]2026 Orders'!B405</f>
        <v>Botswana</v>
      </c>
      <c r="C404" s="14" t="str">
        <f>'[1]2026 Orders'!C405</f>
        <v>A4705</v>
      </c>
      <c r="D404" s="14">
        <f>'[1]2026 Orders'!D405</f>
        <v>0</v>
      </c>
      <c r="E404" s="17" t="str" cm="1">
        <f t="array" ref="E404">IF(C404=0,"",
HYPERLINK(
"#'2026 Orders'!C"&amp;
MATCH(1,
('2026 Orders'!C:C=C404)*
('2026 Orders'!G:G=G404)*
('2026 Orders'!N:N=N404),
0),
"Open "&amp;C404
))</f>
        <v>Open A4705</v>
      </c>
      <c r="F404" s="14">
        <f>'[1]2026 Orders'!F405</f>
        <v>0</v>
      </c>
      <c r="G404" s="14" t="str">
        <f>'[1]2026 Orders'!G405</f>
        <v>CAVIN-60-FD</v>
      </c>
      <c r="H404" s="14" t="str" cm="1">
        <f t="array" ref="H404">IFERROR(_xlfn.TEXTJOIN("-",,INDEX(_xlfn.TEXTSPLIT(TableGive[[#This Row],[SKU]],"-"),{1,2})),"")</f>
        <v>CAVIN-60</v>
      </c>
      <c r="I404" s="15" t="str">
        <f>IFERROR(_xlfn.TEXTAFTER(TableGive[[#This Row],[SKU]],"-",-1),"")</f>
        <v>FD</v>
      </c>
      <c r="J404" s="14">
        <f>'[1]2026 Orders'!H405</f>
        <v>96</v>
      </c>
      <c r="K404" t="str">
        <f>'[1]2026 Orders'!I405</f>
        <v>F08-25.0</v>
      </c>
      <c r="L404">
        <f>'[1]2026 Orders'!J405</f>
        <v>96</v>
      </c>
      <c r="N404" s="10" t="str">
        <f>'[1]2026 Orders'!L405</f>
        <v>Rework</v>
      </c>
      <c r="O404">
        <f>'[1]2026 Orders'!M405</f>
        <v>0</v>
      </c>
      <c r="P404" t="str">
        <f>'[1]2026 Orders'!N405</f>
        <v>NA</v>
      </c>
      <c r="Q404">
        <f>'[1]2026 Orders'!O405</f>
        <v>609788968597</v>
      </c>
      <c r="R404">
        <f>'[1]2026 Orders'!P405</f>
        <v>0</v>
      </c>
      <c r="S404">
        <f>'[1]2026 Orders'!Q405</f>
        <v>0</v>
      </c>
      <c r="T404">
        <f>'[1]2026 Orders'!R405</f>
        <v>0</v>
      </c>
      <c r="U404">
        <f>'[1]2026 Orders'!S405</f>
        <v>0</v>
      </c>
      <c r="V404">
        <f>'[1]2026 Orders'!T405</f>
        <v>0</v>
      </c>
      <c r="W404">
        <f>'[1]2026 Orders'!U405</f>
        <v>0</v>
      </c>
      <c r="X404">
        <f>'[1]2026 Orders'!V405</f>
        <v>0</v>
      </c>
      <c r="Y404">
        <f>'[1]2026 Orders'!W405</f>
        <v>0</v>
      </c>
      <c r="Z404">
        <f>'[1]2026 Orders'!X405</f>
        <v>0</v>
      </c>
      <c r="AC404" t="str">
        <f t="shared" si="12"/>
        <v>/96</v>
      </c>
      <c r="AD404" t="e">
        <f t="shared" si="13"/>
        <v>#VALUE!</v>
      </c>
    </row>
    <row r="405" spans="1:30" ht="33" hidden="1" customHeight="1" x14ac:dyDescent="0.3">
      <c r="A405">
        <f>'[1]2026 Orders'!A406</f>
        <v>0</v>
      </c>
      <c r="B405" s="14">
        <f>'[1]2026 Orders'!B406</f>
        <v>0</v>
      </c>
      <c r="C405" s="14">
        <f>'[1]2026 Orders'!C406</f>
        <v>0</v>
      </c>
      <c r="D405" s="14">
        <f>'[1]2026 Orders'!D406</f>
        <v>0</v>
      </c>
      <c r="E405" s="17" t="str" cm="1">
        <f t="array" ref="E405">IF(C405=0,"",
HYPERLINK(
"#'2026 Orders'!C"&amp;
MATCH(1,
('2026 Orders'!C:C=C405)*
('2026 Orders'!G:G=G405)*
('2026 Orders'!N:N=N405),
0),
"Open "&amp;C405
))</f>
        <v/>
      </c>
      <c r="F405" s="14">
        <f>'[1]2026 Orders'!F406</f>
        <v>0</v>
      </c>
      <c r="G405" s="14">
        <f>'[1]2026 Orders'!G406</f>
        <v>0</v>
      </c>
      <c r="H405" s="14" t="str" cm="1">
        <f t="array" ref="H405">IFERROR(_xlfn.TEXTJOIN("-",,INDEX(_xlfn.TEXTSPLIT(TableGive[[#This Row],[SKU]],"-"),{1,2})),"")</f>
        <v/>
      </c>
      <c r="I405" s="15" t="str">
        <f>IFERROR(_xlfn.TEXTAFTER(TableGive[[#This Row],[SKU]],"-",-1),"")</f>
        <v/>
      </c>
      <c r="J405" s="14">
        <f>'[1]2026 Orders'!H406</f>
        <v>0</v>
      </c>
      <c r="K405">
        <f>'[1]2026 Orders'!I406</f>
        <v>0</v>
      </c>
      <c r="L405">
        <f>'[1]2026 Orders'!J406</f>
        <v>0</v>
      </c>
      <c r="N405" s="10">
        <f>'[1]2026 Orders'!L406</f>
        <v>0</v>
      </c>
      <c r="O405">
        <f>'[1]2026 Orders'!M406</f>
        <v>0</v>
      </c>
      <c r="P405">
        <f>'[1]2026 Orders'!N406</f>
        <v>0</v>
      </c>
      <c r="Q405">
        <f>'[1]2026 Orders'!O406</f>
        <v>0</v>
      </c>
      <c r="R405">
        <f>'[1]2026 Orders'!P406</f>
        <v>0</v>
      </c>
      <c r="S405">
        <f>'[1]2026 Orders'!Q406</f>
        <v>0</v>
      </c>
      <c r="T405">
        <f>'[1]2026 Orders'!R406</f>
        <v>0</v>
      </c>
      <c r="U405">
        <f>'[1]2026 Orders'!S406</f>
        <v>0</v>
      </c>
      <c r="V405">
        <f>'[1]2026 Orders'!T406</f>
        <v>0</v>
      </c>
      <c r="W405">
        <f>'[1]2026 Orders'!U406</f>
        <v>0</v>
      </c>
      <c r="X405">
        <f>'[1]2026 Orders'!V406</f>
        <v>0</v>
      </c>
      <c r="Y405">
        <f>'[1]2026 Orders'!W406</f>
        <v>0</v>
      </c>
      <c r="Z405">
        <f>'[1]2026 Orders'!X406</f>
        <v>0</v>
      </c>
      <c r="AC405" t="str">
        <f t="shared" si="12"/>
        <v/>
      </c>
      <c r="AD405" t="str">
        <f t="shared" si="13"/>
        <v/>
      </c>
    </row>
    <row r="406" spans="1:30" ht="33" hidden="1" customHeight="1" x14ac:dyDescent="0.3">
      <c r="A406">
        <f>'[1]2026 Orders'!A407</f>
        <v>46162</v>
      </c>
      <c r="B406" s="14" t="str">
        <f>'[1]2026 Orders'!B407</f>
        <v>Bahrain</v>
      </c>
      <c r="C406" s="14" t="str">
        <f>'[1]2026 Orders'!C407</f>
        <v>A4707</v>
      </c>
      <c r="D406" s="14" t="str">
        <f>'[1]2026 Orders'!D407</f>
        <v>5/20/2026: Awaiting Proforma Approval
5/21/2026: Proforma approved</v>
      </c>
      <c r="E406" s="17" t="str" cm="1">
        <f t="array" ref="E406">IF(C406=0,"",
HYPERLINK(
"#'2026 Orders'!C"&amp;
MATCH(1,
('2026 Orders'!C:C=C406)*
('2026 Orders'!G:G=G406)*
('2026 Orders'!N:N=N406),
0),
"Open "&amp;C406
))</f>
        <v>Open A4707</v>
      </c>
      <c r="F406" s="14">
        <f>'[1]2026 Orders'!F407</f>
        <v>0</v>
      </c>
      <c r="G406" s="14" t="str">
        <f>'[1]2026 Orders'!G407</f>
        <v>MOTILMX-60-CS-BN</v>
      </c>
      <c r="H406" s="14" t="str" cm="1">
        <f t="array" ref="H406">IFERROR(_xlfn.TEXTJOIN("-",,INDEX(_xlfn.TEXTSPLIT(TableGive[[#This Row],[SKU]],"-"),{1,2})),"")</f>
        <v>MOTILMX-60</v>
      </c>
      <c r="I406" s="15" t="str">
        <f>IFERROR(_xlfn.TEXTAFTER(TableGive[[#This Row],[SKU]],"-",-1),"")</f>
        <v>BN</v>
      </c>
      <c r="J406" s="14">
        <f>'[1]2026 Orders'!H407</f>
        <v>500</v>
      </c>
      <c r="K406" t="str">
        <f>'[1]2026 Orders'!I407</f>
        <v>BN31-25.0</v>
      </c>
      <c r="L406">
        <f>'[1]2026 Orders'!J407</f>
        <v>500</v>
      </c>
      <c r="N406" s="10" t="str">
        <f>'[1]2026 Orders'!L407</f>
        <v>D/W Sent</v>
      </c>
      <c r="O406">
        <f>'[1]2026 Orders'!M407</f>
        <v>46182</v>
      </c>
      <c r="P406" t="str">
        <f>'[1]2026 Orders'!N407</f>
        <v>NA</v>
      </c>
      <c r="Q406" t="str">
        <f>'[1]2026 Orders'!O407</f>
        <v>604776739814</v>
      </c>
      <c r="R406">
        <f>'[1]2026 Orders'!P407</f>
        <v>0</v>
      </c>
      <c r="S406">
        <f>'[1]2026 Orders'!Q407</f>
        <v>0</v>
      </c>
      <c r="T406">
        <f>'[1]2026 Orders'!R407</f>
        <v>0</v>
      </c>
      <c r="U406">
        <f>'[1]2026 Orders'!S407</f>
        <v>0</v>
      </c>
      <c r="V406">
        <f>'[1]2026 Orders'!T407</f>
        <v>0</v>
      </c>
      <c r="W406">
        <f>'[1]2026 Orders'!U407</f>
        <v>0</v>
      </c>
      <c r="X406">
        <f>'[1]2026 Orders'!V407</f>
        <v>0</v>
      </c>
      <c r="Y406">
        <f>'[1]2026 Orders'!W407</f>
        <v>0</v>
      </c>
      <c r="Z406" t="str">
        <f>'[1]2026 Orders'!X407</f>
        <v>HOLD</v>
      </c>
      <c r="AC406" t="str">
        <f t="shared" si="12"/>
        <v>/500</v>
      </c>
      <c r="AD406" t="e">
        <f t="shared" si="13"/>
        <v>#VALUE!</v>
      </c>
    </row>
    <row r="407" spans="1:30" ht="33" hidden="1" customHeight="1" x14ac:dyDescent="0.3">
      <c r="A407">
        <f>'[1]2026 Orders'!A408</f>
        <v>0</v>
      </c>
      <c r="B407" s="14">
        <f>'[1]2026 Orders'!B408</f>
        <v>0</v>
      </c>
      <c r="C407" s="14">
        <f>'[1]2026 Orders'!C408</f>
        <v>0</v>
      </c>
      <c r="D407" s="14">
        <f>'[1]2026 Orders'!D408</f>
        <v>0</v>
      </c>
      <c r="E407" s="17" t="str" cm="1">
        <f t="array" ref="E407">IF(C407=0,"",
HYPERLINK(
"#'2026 Orders'!C"&amp;
MATCH(1,
('2026 Orders'!C:C=C407)*
('2026 Orders'!G:G=G407)*
('2026 Orders'!N:N=N407),
0),
"Open "&amp;C407
))</f>
        <v/>
      </c>
      <c r="F407" s="14">
        <f>'[1]2026 Orders'!F408</f>
        <v>0</v>
      </c>
      <c r="G407" s="14">
        <f>'[1]2026 Orders'!G408</f>
        <v>0</v>
      </c>
      <c r="H407" s="14" t="str" cm="1">
        <f t="array" ref="H407">IFERROR(_xlfn.TEXTJOIN("-",,INDEX(_xlfn.TEXTSPLIT(TableGive[[#This Row],[SKU]],"-"),{1,2})),"")</f>
        <v/>
      </c>
      <c r="I407" s="15" t="str">
        <f>IFERROR(_xlfn.TEXTAFTER(TableGive[[#This Row],[SKU]],"-",-1),"")</f>
        <v/>
      </c>
      <c r="J407" s="14">
        <f>'[1]2026 Orders'!H408</f>
        <v>0</v>
      </c>
      <c r="K407">
        <f>'[1]2026 Orders'!I408</f>
        <v>0</v>
      </c>
      <c r="L407">
        <f>'[1]2026 Orders'!J408</f>
        <v>0</v>
      </c>
      <c r="N407" s="10">
        <f>'[1]2026 Orders'!L408</f>
        <v>0</v>
      </c>
      <c r="O407">
        <f>'[1]2026 Orders'!M408</f>
        <v>0</v>
      </c>
      <c r="P407">
        <f>'[1]2026 Orders'!N408</f>
        <v>0</v>
      </c>
      <c r="Q407">
        <f>'[1]2026 Orders'!O408</f>
        <v>0</v>
      </c>
      <c r="R407">
        <f>'[1]2026 Orders'!P408</f>
        <v>0</v>
      </c>
      <c r="S407">
        <f>'[1]2026 Orders'!Q408</f>
        <v>0</v>
      </c>
      <c r="T407">
        <f>'[1]2026 Orders'!R408</f>
        <v>0</v>
      </c>
      <c r="U407">
        <f>'[1]2026 Orders'!S408</f>
        <v>0</v>
      </c>
      <c r="V407">
        <f>'[1]2026 Orders'!T408</f>
        <v>0</v>
      </c>
      <c r="W407">
        <f>'[1]2026 Orders'!U408</f>
        <v>0</v>
      </c>
      <c r="X407">
        <f>'[1]2026 Orders'!V408</f>
        <v>0</v>
      </c>
      <c r="Y407">
        <f>'[1]2026 Orders'!W408</f>
        <v>0</v>
      </c>
      <c r="Z407">
        <f>'[1]2026 Orders'!X408</f>
        <v>0</v>
      </c>
      <c r="AC407" t="str">
        <f t="shared" si="12"/>
        <v/>
      </c>
      <c r="AD407" t="str">
        <f t="shared" si="13"/>
        <v/>
      </c>
    </row>
    <row r="408" spans="1:30" ht="33" hidden="1" customHeight="1" x14ac:dyDescent="0.3">
      <c r="A408">
        <f>'[1]2026 Orders'!A409</f>
        <v>46163</v>
      </c>
      <c r="B408" s="14" t="str">
        <f>'[1]2026 Orders'!B409</f>
        <v>Tanzania</v>
      </c>
      <c r="C408" s="14" t="str">
        <f>'[1]2026 Orders'!C409</f>
        <v>A4710</v>
      </c>
      <c r="D408" s="14" t="str">
        <f>'[1]2026 Orders'!D409</f>
        <v>5/21/2026: Awaiting Proforma Approval</v>
      </c>
      <c r="E408" s="17" t="str" cm="1">
        <f t="array" ref="E408">IF(C408=0,"",
HYPERLINK(
"#'2026 Orders'!C"&amp;
MATCH(1,
('2026 Orders'!C:C=C408)*
('2026 Orders'!G:G=G408)*
('2026 Orders'!N:N=N408),
0),
"Open "&amp;C408
))</f>
        <v>Open A4710</v>
      </c>
      <c r="F408" s="14">
        <f>'[1]2026 Orders'!F409</f>
        <v>0</v>
      </c>
      <c r="G408" s="14" t="str">
        <f>'[1]2026 Orders'!G409</f>
        <v>WFSPLS-180-CS-TA</v>
      </c>
      <c r="H408" s="14" t="str" cm="1">
        <f t="array" ref="H408">IFERROR(_xlfn.TEXTJOIN("-",,INDEX(_xlfn.TEXTSPLIT(TableGive[[#This Row],[SKU]],"-"),{1,2})),"")</f>
        <v>WFSPLS-180</v>
      </c>
      <c r="I408" s="15" t="str">
        <f>IFERROR(_xlfn.TEXTAFTER(TableGive[[#This Row],[SKU]],"-",-1),"")</f>
        <v>TA</v>
      </c>
      <c r="J408" s="14">
        <f>'[1]2026 Orders'!H409</f>
        <v>48</v>
      </c>
      <c r="K408" t="str">
        <f>'[1]2026 Orders'!I409</f>
        <v>TA73-26.0</v>
      </c>
      <c r="L408">
        <f>'[1]2026 Orders'!J409</f>
        <v>0</v>
      </c>
      <c r="N408" s="10" t="str">
        <f>'[1]2026 Orders'!L409</f>
        <v>PO Drafted</v>
      </c>
      <c r="O408">
        <f>'[1]2026 Orders'!M409</f>
        <v>0</v>
      </c>
      <c r="P408" t="str">
        <f>'[1]2026 Orders'!N409</f>
        <v>NA</v>
      </c>
      <c r="Q408">
        <f>'[1]2026 Orders'!O409</f>
        <v>810131194680</v>
      </c>
      <c r="R408">
        <f>'[1]2026 Orders'!P409</f>
        <v>5000</v>
      </c>
      <c r="S408">
        <f>'[1]2026 Orders'!Q409</f>
        <v>5043</v>
      </c>
      <c r="T408" t="str">
        <f>'[1]2026 Orders'!R409</f>
        <v>TBD</v>
      </c>
      <c r="U408" t="str">
        <f>'[1]2026 Orders'!S409</f>
        <v>Pending approval to send to vendor</v>
      </c>
      <c r="V408">
        <f>'[1]2026 Orders'!T409</f>
        <v>0</v>
      </c>
      <c r="W408">
        <f>'[1]2026 Orders'!U409</f>
        <v>0</v>
      </c>
      <c r="X408">
        <f>'[1]2026 Orders'!V409</f>
        <v>0</v>
      </c>
      <c r="Y408">
        <f>'[1]2026 Orders'!W409</f>
        <v>0</v>
      </c>
      <c r="Z408" t="str">
        <f>'[1]2026 Orders'!X409</f>
        <v>HOLD</v>
      </c>
      <c r="AC408" t="str">
        <f t="shared" si="12"/>
        <v>/48</v>
      </c>
      <c r="AD408" t="e">
        <f t="shared" si="13"/>
        <v>#VALUE!</v>
      </c>
    </row>
    <row r="409" spans="1:30" ht="33" hidden="1" customHeight="1" x14ac:dyDescent="0.3">
      <c r="A409">
        <f>'[1]2026 Orders'!A410</f>
        <v>46163</v>
      </c>
      <c r="B409" s="14" t="str">
        <f>'[1]2026 Orders'!B410</f>
        <v>Tanzania</v>
      </c>
      <c r="C409" s="14" t="str">
        <f>'[1]2026 Orders'!C410</f>
        <v>A4710</v>
      </c>
      <c r="D409" s="14" t="str">
        <f>'[1]2026 Orders'!D410</f>
        <v>5/22/2026: Proforma approved</v>
      </c>
      <c r="E409" s="17" t="str" cm="1">
        <f t="array" ref="E409">IF(C409=0,"",
HYPERLINK(
"#'2026 Orders'!C"&amp;
MATCH(1,
('2026 Orders'!C:C=C409)*
('2026 Orders'!G:G=G409)*
('2026 Orders'!N:N=N409),
0),
"Open "&amp;C409
))</f>
        <v>Open A4710</v>
      </c>
      <c r="F409" s="14">
        <f>'[1]2026 Orders'!F410</f>
        <v>0</v>
      </c>
      <c r="G409" s="14" t="str">
        <f>'[1]2026 Orders'!G410</f>
        <v>PRECON-180-CS-TA</v>
      </c>
      <c r="H409" s="14" t="str" cm="1">
        <f t="array" ref="H409">IFERROR(_xlfn.TEXTJOIN("-",,INDEX(_xlfn.TEXTSPLIT(TableGive[[#This Row],[SKU]],"-"),{1,2})),"")</f>
        <v>PRECON-180</v>
      </c>
      <c r="I409" s="15" t="str">
        <f>IFERROR(_xlfn.TEXTAFTER(TableGive[[#This Row],[SKU]],"-",-1),"")</f>
        <v>TA</v>
      </c>
      <c r="J409" s="14">
        <f>'[1]2026 Orders'!H410</f>
        <v>120</v>
      </c>
      <c r="K409" t="str">
        <f>'[1]2026 Orders'!I410</f>
        <v>TA55-26.0</v>
      </c>
      <c r="L409">
        <f>'[1]2026 Orders'!J410</f>
        <v>0</v>
      </c>
      <c r="N409" s="10" t="str">
        <f>'[1]2026 Orders'!L410</f>
        <v>In Production</v>
      </c>
      <c r="O409">
        <f>'[1]2026 Orders'!M410</f>
        <v>0</v>
      </c>
      <c r="P409" t="str">
        <f>'[1]2026 Orders'!N410</f>
        <v>NA</v>
      </c>
      <c r="Q409">
        <f>'[1]2026 Orders'!O410</f>
        <v>810131194666</v>
      </c>
      <c r="R409">
        <f>'[1]2026 Orders'!P410</f>
        <v>5000</v>
      </c>
      <c r="S409">
        <f>'[1]2026 Orders'!Q410</f>
        <v>5060</v>
      </c>
      <c r="T409">
        <f>'[1]2026 Orders'!R410</f>
        <v>46205</v>
      </c>
      <c r="U409">
        <f>'[1]2026 Orders'!S410</f>
        <v>0</v>
      </c>
      <c r="V409">
        <f>'[1]2026 Orders'!T410</f>
        <v>0</v>
      </c>
      <c r="W409">
        <f>'[1]2026 Orders'!U410</f>
        <v>0</v>
      </c>
      <c r="X409">
        <f>'[1]2026 Orders'!V410</f>
        <v>0</v>
      </c>
      <c r="Y409">
        <f>'[1]2026 Orders'!W410</f>
        <v>0</v>
      </c>
      <c r="Z409">
        <f>'[1]2026 Orders'!X410</f>
        <v>0</v>
      </c>
      <c r="AC409" t="str">
        <f t="shared" si="12"/>
        <v>/120</v>
      </c>
      <c r="AD409" t="e">
        <f t="shared" si="13"/>
        <v>#VALUE!</v>
      </c>
    </row>
    <row r="410" spans="1:30" ht="33" hidden="1" customHeight="1" x14ac:dyDescent="0.3">
      <c r="A410">
        <f>'[1]2026 Orders'!A411</f>
        <v>46163</v>
      </c>
      <c r="B410" s="14" t="str">
        <f>'[1]2026 Orders'!B411</f>
        <v>Tanzania</v>
      </c>
      <c r="C410" s="14" t="str">
        <f>'[1]2026 Orders'!C411</f>
        <v>A4710</v>
      </c>
      <c r="D410" s="14">
        <f>'[1]2026 Orders'!D411</f>
        <v>0</v>
      </c>
      <c r="E410" s="17" t="str" cm="1">
        <f t="array" ref="E410">IF(C410=0,"",
HYPERLINK(
"#'2026 Orders'!C"&amp;
MATCH(1,
('2026 Orders'!C:C=C410)*
('2026 Orders'!G:G=G410)*
('2026 Orders'!N:N=N410),
0),
"Open "&amp;C410
))</f>
        <v>Open A4710</v>
      </c>
      <c r="F410" s="14">
        <f>'[1]2026 Orders'!F411</f>
        <v>0</v>
      </c>
      <c r="G410" s="14" t="str">
        <f>'[1]2026 Orders'!G411</f>
        <v>FERTMX-90-CS-TA</v>
      </c>
      <c r="H410" s="14" t="str" cm="1">
        <f t="array" ref="H410">IFERROR(_xlfn.TEXTJOIN("-",,INDEX(_xlfn.TEXTSPLIT(TableGive[[#This Row],[SKU]],"-"),{1,2})),"")</f>
        <v>FERTMX-90</v>
      </c>
      <c r="I410" s="15" t="str">
        <f>IFERROR(_xlfn.TEXTAFTER(TableGive[[#This Row],[SKU]],"-",-1),"")</f>
        <v>TA</v>
      </c>
      <c r="J410" s="14">
        <f>'[1]2026 Orders'!H411</f>
        <v>240</v>
      </c>
      <c r="K410" t="str">
        <f>'[1]2026 Orders'!I411</f>
        <v>TA16-26.0</v>
      </c>
      <c r="L410">
        <f>'[1]2026 Orders'!J411</f>
        <v>0</v>
      </c>
      <c r="N410" s="10" t="str">
        <f>'[1]2026 Orders'!L411</f>
        <v>PO submitted</v>
      </c>
      <c r="O410">
        <f>'[1]2026 Orders'!M411</f>
        <v>0</v>
      </c>
      <c r="P410" t="str">
        <f>'[1]2026 Orders'!N411</f>
        <v>NA</v>
      </c>
      <c r="Q410">
        <f>'[1]2026 Orders'!O411</f>
        <v>810131194628</v>
      </c>
      <c r="R410">
        <f>'[1]2026 Orders'!P411</f>
        <v>5000</v>
      </c>
      <c r="S410">
        <f>'[1]2026 Orders'!Q411</f>
        <v>5041</v>
      </c>
      <c r="T410" t="str">
        <f>'[1]2026 Orders'!R411</f>
        <v>TBD</v>
      </c>
      <c r="U410" t="str">
        <f>'[1]2026 Orders'!S411</f>
        <v>Waiting for vendor confirmation.</v>
      </c>
      <c r="V410">
        <f>'[1]2026 Orders'!T411</f>
        <v>0</v>
      </c>
      <c r="W410">
        <f>'[1]2026 Orders'!U411</f>
        <v>0</v>
      </c>
      <c r="X410">
        <f>'[1]2026 Orders'!V411</f>
        <v>0</v>
      </c>
      <c r="Y410">
        <f>'[1]2026 Orders'!W411</f>
        <v>0</v>
      </c>
      <c r="Z410">
        <f>'[1]2026 Orders'!X411</f>
        <v>0</v>
      </c>
      <c r="AC410" t="str">
        <f t="shared" si="12"/>
        <v>/240</v>
      </c>
      <c r="AD410" t="e">
        <f t="shared" si="13"/>
        <v>#VALUE!</v>
      </c>
    </row>
    <row r="411" spans="1:30" ht="33" hidden="1" customHeight="1" x14ac:dyDescent="0.3">
      <c r="A411">
        <f>'[1]2026 Orders'!A412</f>
        <v>46163</v>
      </c>
      <c r="B411" s="14" t="str">
        <f>'[1]2026 Orders'!B412</f>
        <v>Tanzania</v>
      </c>
      <c r="C411" s="14" t="str">
        <f>'[1]2026 Orders'!C412</f>
        <v>A4710</v>
      </c>
      <c r="D411" s="14">
        <f>'[1]2026 Orders'!D412</f>
        <v>0</v>
      </c>
      <c r="E411" s="17" t="str" cm="1">
        <f t="array" ref="E411">IF(C411=0,"",
HYPERLINK(
"#'2026 Orders'!C"&amp;
MATCH(1,
('2026 Orders'!C:C=C411)*
('2026 Orders'!G:G=G411)*
('2026 Orders'!N:N=N411),
0),
"Open "&amp;C411
))</f>
        <v>Open A4710</v>
      </c>
      <c r="F411" s="14">
        <f>'[1]2026 Orders'!F412</f>
        <v>0</v>
      </c>
      <c r="G411" s="14" t="str">
        <f>'[1]2026 Orders'!G412</f>
        <v>OVAMANM-120-CS-TA</v>
      </c>
      <c r="H411" s="14" t="str" cm="1">
        <f t="array" ref="H411">IFERROR(_xlfn.TEXTJOIN("-",,INDEX(_xlfn.TEXTSPLIT(TableGive[[#This Row],[SKU]],"-"),{1,2})),"")</f>
        <v>OVAMANM-120</v>
      </c>
      <c r="I411" s="15" t="str">
        <f>IFERROR(_xlfn.TEXTAFTER(TableGive[[#This Row],[SKU]],"-",-1),"")</f>
        <v>TA</v>
      </c>
      <c r="J411" s="14">
        <f>'[1]2026 Orders'!H412</f>
        <v>240</v>
      </c>
      <c r="K411" t="str">
        <f>'[1]2026 Orders'!I412</f>
        <v>TA41-26.0</v>
      </c>
      <c r="L411">
        <f>'[1]2026 Orders'!J412</f>
        <v>0</v>
      </c>
      <c r="N411" s="10" t="str">
        <f>'[1]2026 Orders'!L412</f>
        <v>Not Meet MOQ</v>
      </c>
      <c r="O411" t="str">
        <f>'[1]2026 Orders'!M412</f>
        <v>71 available</v>
      </c>
      <c r="P411" t="str">
        <f>'[1]2026 Orders'!N412</f>
        <v>NA</v>
      </c>
      <c r="Q411">
        <f>'[1]2026 Orders'!O412</f>
        <v>810131194642</v>
      </c>
      <c r="R411">
        <f>'[1]2026 Orders'!P412</f>
        <v>0</v>
      </c>
      <c r="S411">
        <f>'[1]2026 Orders'!Q412</f>
        <v>0</v>
      </c>
      <c r="T411">
        <f>'[1]2026 Orders'!R412</f>
        <v>0</v>
      </c>
      <c r="U411">
        <f>'[1]2026 Orders'!S412</f>
        <v>0</v>
      </c>
      <c r="V411">
        <f>'[1]2026 Orders'!T412</f>
        <v>0</v>
      </c>
      <c r="W411">
        <f>'[1]2026 Orders'!U412</f>
        <v>0</v>
      </c>
      <c r="X411">
        <f>'[1]2026 Orders'!V412</f>
        <v>0</v>
      </c>
      <c r="Y411">
        <f>'[1]2026 Orders'!W412</f>
        <v>0</v>
      </c>
      <c r="Z411">
        <f>'[1]2026 Orders'!X412</f>
        <v>0</v>
      </c>
      <c r="AC411" t="str">
        <f t="shared" si="12"/>
        <v>/240</v>
      </c>
      <c r="AD411" t="e">
        <f t="shared" si="13"/>
        <v>#VALUE!</v>
      </c>
    </row>
    <row r="412" spans="1:30" ht="33" hidden="1" customHeight="1" x14ac:dyDescent="0.3">
      <c r="A412">
        <f>'[1]2026 Orders'!A413</f>
        <v>46163</v>
      </c>
      <c r="B412" s="14" t="str">
        <f>'[1]2026 Orders'!B413</f>
        <v>Tanzania</v>
      </c>
      <c r="C412" s="14" t="str">
        <f>'[1]2026 Orders'!C413</f>
        <v>A4710</v>
      </c>
      <c r="D412" s="14">
        <f>'[1]2026 Orders'!D413</f>
        <v>0</v>
      </c>
      <c r="E412" s="17" t="str" cm="1">
        <f t="array" ref="E412">IF(C412=0,"",
HYPERLINK(
"#'2026 Orders'!C"&amp;
MATCH(1,
('2026 Orders'!C:C=C412)*
('2026 Orders'!G:G=G412)*
('2026 Orders'!N:N=N412),
0),
"Open "&amp;C412
))</f>
        <v>Open A4710</v>
      </c>
      <c r="F412" s="14">
        <f>'[1]2026 Orders'!F413</f>
        <v>0</v>
      </c>
      <c r="G412" s="14" t="str">
        <f>'[1]2026 Orders'!G413</f>
        <v>QWELL4-30-SG-CS-TA</v>
      </c>
      <c r="H412" s="14" t="str" cm="1">
        <f t="array" ref="H412">IFERROR(_xlfn.TEXTJOIN("-",,INDEX(_xlfn.TEXTSPLIT(TableGive[[#This Row],[SKU]],"-"),{1,2})),"")</f>
        <v>QWELL4-30</v>
      </c>
      <c r="I412" s="15" t="str">
        <f>IFERROR(_xlfn.TEXTAFTER(TableGive[[#This Row],[SKU]],"-",-1),"")</f>
        <v>TA</v>
      </c>
      <c r="J412" s="14">
        <f>'[1]2026 Orders'!H413</f>
        <v>120</v>
      </c>
      <c r="K412" t="str">
        <f>'[1]2026 Orders'!I413</f>
        <v>TA58-26.0</v>
      </c>
      <c r="L412">
        <f>'[1]2026 Orders'!J413</f>
        <v>120</v>
      </c>
      <c r="N412" s="10" t="str">
        <f>'[1]2026 Orders'!L413</f>
        <v>Rework</v>
      </c>
      <c r="O412" t="str">
        <f>'[1]2026 Orders'!M413</f>
        <v>5/22/2026:Label requested</v>
      </c>
      <c r="P412" t="str">
        <f>'[1]2026 Orders'!N413</f>
        <v>NA</v>
      </c>
      <c r="Q412">
        <f>'[1]2026 Orders'!O413</f>
        <v>810131194673</v>
      </c>
      <c r="R412">
        <f>'[1]2026 Orders'!P413</f>
        <v>0</v>
      </c>
      <c r="S412">
        <f>'[1]2026 Orders'!Q413</f>
        <v>0</v>
      </c>
      <c r="T412">
        <f>'[1]2026 Orders'!R413</f>
        <v>0</v>
      </c>
      <c r="U412">
        <f>'[1]2026 Orders'!S413</f>
        <v>0</v>
      </c>
      <c r="V412">
        <f>'[1]2026 Orders'!T413</f>
        <v>0</v>
      </c>
      <c r="W412">
        <f>'[1]2026 Orders'!U413</f>
        <v>0</v>
      </c>
      <c r="X412">
        <f>'[1]2026 Orders'!V413</f>
        <v>0</v>
      </c>
      <c r="Y412">
        <f>'[1]2026 Orders'!W413</f>
        <v>0</v>
      </c>
      <c r="Z412">
        <f>'[1]2026 Orders'!X413</f>
        <v>0</v>
      </c>
      <c r="AC412" t="str">
        <f t="shared" si="12"/>
        <v>/120</v>
      </c>
      <c r="AD412" t="e">
        <f t="shared" si="13"/>
        <v>#VALUE!</v>
      </c>
    </row>
    <row r="413" spans="1:30" ht="33" hidden="1" customHeight="1" x14ac:dyDescent="0.3">
      <c r="A413">
        <f>'[1]2026 Orders'!A414</f>
        <v>0</v>
      </c>
      <c r="B413" s="14">
        <f>'[1]2026 Orders'!B414</f>
        <v>0</v>
      </c>
      <c r="C413" s="14">
        <f>'[1]2026 Orders'!C414</f>
        <v>0</v>
      </c>
      <c r="D413" s="14">
        <f>'[1]2026 Orders'!D414</f>
        <v>0</v>
      </c>
      <c r="E413" s="17" t="str" cm="1">
        <f t="array" ref="E413">IF(C413=0,"",
HYPERLINK(
"#'2026 Orders'!C"&amp;
MATCH(1,
('2026 Orders'!C:C=C413)*
('2026 Orders'!G:G=G413)*
('2026 Orders'!N:N=N413),
0),
"Open "&amp;C413
))</f>
        <v/>
      </c>
      <c r="F413" s="14">
        <f>'[1]2026 Orders'!F414</f>
        <v>0</v>
      </c>
      <c r="G413" s="14">
        <f>'[1]2026 Orders'!G414</f>
        <v>0</v>
      </c>
      <c r="H413" s="14" t="str" cm="1">
        <f t="array" ref="H413">IFERROR(_xlfn.TEXTJOIN("-",,INDEX(_xlfn.TEXTSPLIT(TableGive[[#This Row],[SKU]],"-"),{1,2})),"")</f>
        <v/>
      </c>
      <c r="I413" s="15" t="str">
        <f>IFERROR(_xlfn.TEXTAFTER(TableGive[[#This Row],[SKU]],"-",-1),"")</f>
        <v/>
      </c>
      <c r="J413" s="14">
        <f>'[1]2026 Orders'!H414</f>
        <v>0</v>
      </c>
      <c r="K413">
        <f>'[1]2026 Orders'!I414</f>
        <v>0</v>
      </c>
      <c r="L413">
        <f>'[1]2026 Orders'!J414</f>
        <v>0</v>
      </c>
      <c r="N413" s="10">
        <f>'[1]2026 Orders'!L414</f>
        <v>0</v>
      </c>
      <c r="O413">
        <f>'[1]2026 Orders'!M414</f>
        <v>0</v>
      </c>
      <c r="P413">
        <f>'[1]2026 Orders'!N414</f>
        <v>0</v>
      </c>
      <c r="Q413">
        <f>'[1]2026 Orders'!O414</f>
        <v>0</v>
      </c>
      <c r="R413">
        <f>'[1]2026 Orders'!P414</f>
        <v>0</v>
      </c>
      <c r="S413">
        <f>'[1]2026 Orders'!Q414</f>
        <v>0</v>
      </c>
      <c r="T413">
        <f>'[1]2026 Orders'!R414</f>
        <v>0</v>
      </c>
      <c r="U413">
        <f>'[1]2026 Orders'!S414</f>
        <v>0</v>
      </c>
      <c r="V413">
        <f>'[1]2026 Orders'!T414</f>
        <v>0</v>
      </c>
      <c r="W413">
        <f>'[1]2026 Orders'!U414</f>
        <v>0</v>
      </c>
      <c r="X413">
        <f>'[1]2026 Orders'!V414</f>
        <v>0</v>
      </c>
      <c r="Y413">
        <f>'[1]2026 Orders'!W414</f>
        <v>0</v>
      </c>
      <c r="Z413">
        <f>'[1]2026 Orders'!X414</f>
        <v>0</v>
      </c>
      <c r="AC413" t="str">
        <f t="shared" si="12"/>
        <v/>
      </c>
      <c r="AD413" t="str">
        <f t="shared" si="13"/>
        <v/>
      </c>
    </row>
    <row r="414" spans="1:30" ht="33" hidden="1" customHeight="1" x14ac:dyDescent="0.3">
      <c r="A414">
        <f>'[1]2026 Orders'!A415</f>
        <v>46177</v>
      </c>
      <c r="B414" s="14" t="str">
        <f>'[1]2026 Orders'!B415</f>
        <v>UAE</v>
      </c>
      <c r="C414" s="14" t="str">
        <f>'[1]2026 Orders'!C415</f>
        <v>A4712</v>
      </c>
      <c r="D414" s="14" t="str">
        <f>'[1]2026 Orders'!D415</f>
        <v>6/4/2026: Awaiting Proforma Approval</v>
      </c>
      <c r="E414" s="17" t="str" cm="1">
        <f t="array" ref="E414">IF(C414=0,"",
HYPERLINK(
"#'2026 Orders'!C"&amp;
MATCH(1,
('2026 Orders'!C:C=C414)*
('2026 Orders'!G:G=G414)*
('2026 Orders'!N:N=N414),
0),
"Open "&amp;C414
))</f>
        <v>Open A4712</v>
      </c>
      <c r="F414" s="14">
        <f>'[1]2026 Orders'!F415</f>
        <v>0</v>
      </c>
      <c r="G414" s="14" t="str">
        <f>'[1]2026 Orders'!G415</f>
        <v>QWELL4-30-SG-FD</v>
      </c>
      <c r="H414" s="14" t="str" cm="1">
        <f t="array" ref="H414">IFERROR(_xlfn.TEXTJOIN("-",,INDEX(_xlfn.TEXTSPLIT(TableGive[[#This Row],[SKU]],"-"),{1,2})),"")</f>
        <v>QWELL4-30</v>
      </c>
      <c r="I414" s="15" t="str">
        <f>IFERROR(_xlfn.TEXTAFTER(TableGive[[#This Row],[SKU]],"-",-1),"")</f>
        <v>FD</v>
      </c>
      <c r="J414" s="14">
        <f>'[1]2026 Orders'!H415</f>
        <v>1008</v>
      </c>
      <c r="K414" t="str">
        <f>'[1]2026 Orders'!I415</f>
        <v>F58-25.3</v>
      </c>
      <c r="L414">
        <f>'[1]2026 Orders'!J415</f>
        <v>696</v>
      </c>
      <c r="N414" s="10" t="str">
        <f>'[1]2026 Orders'!L415</f>
        <v>Available</v>
      </c>
      <c r="O414" t="str">
        <f>'[1]2026 Orders'!M415</f>
        <v>696 available</v>
      </c>
      <c r="P414" t="str">
        <f>'[1]2026 Orders'!N415</f>
        <v>NA</v>
      </c>
      <c r="Q414" t="str">
        <f>'[1]2026 Orders'!O415</f>
        <v>609788968214</v>
      </c>
      <c r="R414">
        <f>'[1]2026 Orders'!P415</f>
        <v>0</v>
      </c>
      <c r="S414">
        <f>'[1]2026 Orders'!Q415</f>
        <v>0</v>
      </c>
      <c r="T414">
        <f>'[1]2026 Orders'!R415</f>
        <v>0</v>
      </c>
      <c r="U414">
        <f>'[1]2026 Orders'!S415</f>
        <v>0</v>
      </c>
      <c r="V414">
        <f>'[1]2026 Orders'!T415</f>
        <v>0</v>
      </c>
      <c r="W414">
        <f>'[1]2026 Orders'!U415</f>
        <v>0</v>
      </c>
      <c r="X414">
        <f>'[1]2026 Orders'!V415</f>
        <v>0</v>
      </c>
      <c r="Y414">
        <f>'[1]2026 Orders'!W415</f>
        <v>0</v>
      </c>
      <c r="Z414">
        <f>'[1]2026 Orders'!X415</f>
        <v>0</v>
      </c>
      <c r="AC414" t="str">
        <f t="shared" si="12"/>
        <v>/1008</v>
      </c>
      <c r="AD414" t="e">
        <f t="shared" si="13"/>
        <v>#VALUE!</v>
      </c>
    </row>
    <row r="415" spans="1:30" ht="33" hidden="1" customHeight="1" x14ac:dyDescent="0.3">
      <c r="A415">
        <f>'[1]2026 Orders'!A416</f>
        <v>46177</v>
      </c>
      <c r="B415" s="14" t="str">
        <f>'[1]2026 Orders'!B416</f>
        <v>UAE</v>
      </c>
      <c r="C415" s="14" t="str">
        <f>'[1]2026 Orders'!C416</f>
        <v>A4712</v>
      </c>
      <c r="D415" s="14" t="str">
        <f>'[1]2026 Orders'!D416</f>
        <v>6/5/2026: Proforma approved</v>
      </c>
      <c r="E415" s="17" t="str" cm="1">
        <f t="array" ref="E415">IF(C415=0,"",
HYPERLINK(
"#'2026 Orders'!C"&amp;
MATCH(1,
('2026 Orders'!C:C=C415)*
('2026 Orders'!G:G=G415)*
('2026 Orders'!N:N=N415),
0),
"Open "&amp;C415
))</f>
        <v>Open A4712</v>
      </c>
      <c r="F415" s="14">
        <f>'[1]2026 Orders'!F416</f>
        <v>0</v>
      </c>
      <c r="G415" s="14" t="str">
        <f>'[1]2026 Orders'!G416</f>
        <v>MFSPLS-120-RE</v>
      </c>
      <c r="H415" s="14" t="str" cm="1">
        <f t="array" ref="H415">IFERROR(_xlfn.TEXTJOIN("-",,INDEX(_xlfn.TEXTSPLIT(TableGive[[#This Row],[SKU]],"-"),{1,2})),"")</f>
        <v>MFSPLS-120</v>
      </c>
      <c r="I415" s="15" t="str">
        <f>IFERROR(_xlfn.TEXTAFTER(TableGive[[#This Row],[SKU]],"-",-1),"")</f>
        <v>RE</v>
      </c>
      <c r="J415" s="14">
        <f>'[1]2026 Orders'!H416</f>
        <v>1512</v>
      </c>
      <c r="K415" t="str">
        <f>'[1]2026 Orders'!I416</f>
        <v>R30-26.0</v>
      </c>
      <c r="L415">
        <f>'[1]2026 Orders'!J416</f>
        <v>0</v>
      </c>
      <c r="N415" s="10" t="str">
        <f>'[1]2026 Orders'!L416</f>
        <v>Out of Stock</v>
      </c>
      <c r="O415">
        <f>'[1]2026 Orders'!M416</f>
        <v>0</v>
      </c>
      <c r="P415" t="str">
        <f>'[1]2026 Orders'!N416</f>
        <v>NA</v>
      </c>
      <c r="Q415">
        <f>'[1]2026 Orders'!O416</f>
        <v>609788968344</v>
      </c>
      <c r="R415">
        <f>'[1]2026 Orders'!P416</f>
        <v>0</v>
      </c>
      <c r="S415">
        <f>'[1]2026 Orders'!Q416</f>
        <v>0</v>
      </c>
      <c r="T415">
        <f>'[1]2026 Orders'!R416</f>
        <v>0</v>
      </c>
      <c r="U415">
        <f>'[1]2026 Orders'!S416</f>
        <v>0</v>
      </c>
      <c r="V415">
        <f>'[1]2026 Orders'!T416</f>
        <v>0</v>
      </c>
      <c r="W415">
        <f>'[1]2026 Orders'!U416</f>
        <v>0</v>
      </c>
      <c r="X415">
        <f>'[1]2026 Orders'!V416</f>
        <v>0</v>
      </c>
      <c r="Y415">
        <f>'[1]2026 Orders'!W416</f>
        <v>0</v>
      </c>
      <c r="Z415">
        <f>'[1]2026 Orders'!X416</f>
        <v>0</v>
      </c>
      <c r="AC415" t="str">
        <f t="shared" si="12"/>
        <v>/1512</v>
      </c>
      <c r="AD415" t="e">
        <f t="shared" si="13"/>
        <v>#VALUE!</v>
      </c>
    </row>
    <row r="416" spans="1:30" ht="33" hidden="1" customHeight="1" x14ac:dyDescent="0.3">
      <c r="A416">
        <f>'[1]2026 Orders'!A417</f>
        <v>46177</v>
      </c>
      <c r="B416" s="14" t="str">
        <f>'[1]2026 Orders'!B417</f>
        <v>UAE</v>
      </c>
      <c r="C416" s="14" t="str">
        <f>'[1]2026 Orders'!C417</f>
        <v>A4712</v>
      </c>
      <c r="D416" s="14">
        <f>'[1]2026 Orders'!D417</f>
        <v>0</v>
      </c>
      <c r="E416" s="17" t="str" cm="1">
        <f t="array" ref="E416">IF(C416=0,"",
HYPERLINK(
"#'2026 Orders'!C"&amp;
MATCH(1,
('2026 Orders'!C:C=C416)*
('2026 Orders'!G:G=G416)*
('2026 Orders'!N:N=N416),
0),
"Open "&amp;C416
))</f>
        <v>Open A4712</v>
      </c>
      <c r="F416" s="14">
        <f>'[1]2026 Orders'!F417</f>
        <v>0</v>
      </c>
      <c r="G416" s="14" t="str">
        <f>'[1]2026 Orders'!G417</f>
        <v>OMEGA3-60-CS-UA</v>
      </c>
      <c r="H416" s="14" t="str" cm="1">
        <f t="array" ref="H416">IFERROR(_xlfn.TEXTJOIN("-",,INDEX(_xlfn.TEXTSPLIT(TableGive[[#This Row],[SKU]],"-"),{1,2})),"")</f>
        <v>OMEGA3-60</v>
      </c>
      <c r="I416" s="15" t="str">
        <f>IFERROR(_xlfn.TEXTAFTER(TableGive[[#This Row],[SKU]],"-",-1),"")</f>
        <v>UA</v>
      </c>
      <c r="J416" s="14">
        <f>'[1]2026 Orders'!H417</f>
        <v>2160</v>
      </c>
      <c r="K416" t="str">
        <f>'[1]2026 Orders'!I417</f>
        <v>UA37-25.0</v>
      </c>
      <c r="L416">
        <f>'[1]2026 Orders'!J417</f>
        <v>0</v>
      </c>
      <c r="N416" s="10" t="str">
        <f>'[1]2026 Orders'!L417</f>
        <v>Out of Stock</v>
      </c>
      <c r="O416">
        <f>'[1]2026 Orders'!M417</f>
        <v>0</v>
      </c>
      <c r="P416" t="str">
        <f>'[1]2026 Orders'!N417</f>
        <v>Y</v>
      </c>
      <c r="Q416">
        <f>'[1]2026 Orders'!O417</f>
        <v>609788968184</v>
      </c>
      <c r="R416">
        <f>'[1]2026 Orders'!P417</f>
        <v>0</v>
      </c>
      <c r="S416">
        <f>'[1]2026 Orders'!Q417</f>
        <v>0</v>
      </c>
      <c r="T416">
        <f>'[1]2026 Orders'!R417</f>
        <v>0</v>
      </c>
      <c r="U416">
        <f>'[1]2026 Orders'!S417</f>
        <v>0</v>
      </c>
      <c r="V416">
        <f>'[1]2026 Orders'!T417</f>
        <v>0</v>
      </c>
      <c r="W416">
        <f>'[1]2026 Orders'!U417</f>
        <v>0</v>
      </c>
      <c r="X416">
        <f>'[1]2026 Orders'!V417</f>
        <v>0</v>
      </c>
      <c r="Y416">
        <f>'[1]2026 Orders'!W417</f>
        <v>0</v>
      </c>
      <c r="Z416">
        <f>'[1]2026 Orders'!X417</f>
        <v>0</v>
      </c>
      <c r="AC416" t="str">
        <f t="shared" si="12"/>
        <v>/2160</v>
      </c>
      <c r="AD416" t="e">
        <f t="shared" si="13"/>
        <v>#VALUE!</v>
      </c>
    </row>
    <row r="417" spans="1:30" ht="33" hidden="1" customHeight="1" x14ac:dyDescent="0.3">
      <c r="A417">
        <f>'[1]2026 Orders'!A418</f>
        <v>46177</v>
      </c>
      <c r="B417" s="14" t="str">
        <f>'[1]2026 Orders'!B418</f>
        <v>UAE</v>
      </c>
      <c r="C417" s="14" t="str">
        <f>'[1]2026 Orders'!C418</f>
        <v>A4712</v>
      </c>
      <c r="D417" s="14">
        <f>'[1]2026 Orders'!D418</f>
        <v>0</v>
      </c>
      <c r="E417" s="17" t="str" cm="1">
        <f t="array" ref="E417">IF(C417=0,"",
HYPERLINK(
"#'2026 Orders'!C"&amp;
MATCH(1,
('2026 Orders'!C:C=C417)*
('2026 Orders'!G:G=G417)*
('2026 Orders'!N:N=N417),
0),
"Open "&amp;C417
))</f>
        <v>Open A4712</v>
      </c>
      <c r="F417" s="14">
        <f>'[1]2026 Orders'!F418</f>
        <v>0</v>
      </c>
      <c r="G417" s="14" t="str">
        <f>'[1]2026 Orders'!G418</f>
        <v>OVAMANM-120-CS-UA</v>
      </c>
      <c r="H417" s="14" t="str" cm="1">
        <f t="array" ref="H417">IFERROR(_xlfn.TEXTJOIN("-",,INDEX(_xlfn.TEXTSPLIT(TableGive[[#This Row],[SKU]],"-"),{1,2})),"")</f>
        <v>OVAMANM-120</v>
      </c>
      <c r="I417" s="15" t="str">
        <f>IFERROR(_xlfn.TEXTAFTER(TableGive[[#This Row],[SKU]],"-",-1),"")</f>
        <v>UA</v>
      </c>
      <c r="J417" s="14">
        <f>'[1]2026 Orders'!H418</f>
        <v>1512</v>
      </c>
      <c r="K417" t="str">
        <f>'[1]2026 Orders'!I418</f>
        <v>UA41-25.0</v>
      </c>
      <c r="L417">
        <f>'[1]2026 Orders'!J418</f>
        <v>0</v>
      </c>
      <c r="N417" s="10" t="str">
        <f>'[1]2026 Orders'!L418</f>
        <v>Out of Stock</v>
      </c>
      <c r="O417">
        <f>'[1]2026 Orders'!M418</f>
        <v>0</v>
      </c>
      <c r="P417" t="str">
        <f>'[1]2026 Orders'!N418</f>
        <v>NA</v>
      </c>
      <c r="Q417">
        <f>'[1]2026 Orders'!O418</f>
        <v>609788968399</v>
      </c>
      <c r="R417">
        <f>'[1]2026 Orders'!P418</f>
        <v>0</v>
      </c>
      <c r="S417">
        <f>'[1]2026 Orders'!Q418</f>
        <v>0</v>
      </c>
      <c r="T417">
        <f>'[1]2026 Orders'!R418</f>
        <v>0</v>
      </c>
      <c r="U417">
        <f>'[1]2026 Orders'!S418</f>
        <v>0</v>
      </c>
      <c r="V417">
        <f>'[1]2026 Orders'!T418</f>
        <v>0</v>
      </c>
      <c r="W417">
        <f>'[1]2026 Orders'!U418</f>
        <v>0</v>
      </c>
      <c r="X417">
        <f>'[1]2026 Orders'!V418</f>
        <v>0</v>
      </c>
      <c r="Y417">
        <f>'[1]2026 Orders'!W418</f>
        <v>0</v>
      </c>
      <c r="Z417">
        <f>'[1]2026 Orders'!X418</f>
        <v>0</v>
      </c>
      <c r="AC417" t="str">
        <f t="shared" si="12"/>
        <v>/1512</v>
      </c>
      <c r="AD417" t="e">
        <f t="shared" si="13"/>
        <v>#VALUE!</v>
      </c>
    </row>
    <row r="418" spans="1:30" ht="33" hidden="1" customHeight="1" x14ac:dyDescent="0.3">
      <c r="A418">
        <f>'[1]2026 Orders'!A419</f>
        <v>46177</v>
      </c>
      <c r="B418" s="14" t="str">
        <f>'[1]2026 Orders'!B419</f>
        <v>UAE</v>
      </c>
      <c r="C418" s="14" t="str">
        <f>'[1]2026 Orders'!C419</f>
        <v>A4712</v>
      </c>
      <c r="D418" s="14">
        <f>'[1]2026 Orders'!D419</f>
        <v>0</v>
      </c>
      <c r="E418" s="17" t="str" cm="1">
        <f t="array" ref="E418">IF(C418=0,"",
HYPERLINK(
"#'2026 Orders'!C"&amp;
MATCH(1,
('2026 Orders'!C:C=C418)*
('2026 Orders'!G:G=G418)*
('2026 Orders'!N:N=N418),
0),
"Open "&amp;C418
))</f>
        <v>Open A4712</v>
      </c>
      <c r="F418" s="14">
        <f>'[1]2026 Orders'!F419</f>
        <v>0</v>
      </c>
      <c r="G418" s="14" t="str">
        <f>'[1]2026 Orders'!G419</f>
        <v>PEDIAD4-50-FD</v>
      </c>
      <c r="H418" s="14" t="str" cm="1">
        <f t="array" ref="H418">IFERROR(_xlfn.TEXTJOIN("-",,INDEX(_xlfn.TEXTSPLIT(TableGive[[#This Row],[SKU]],"-"),{1,2})),"")</f>
        <v>PEDIAD4-50</v>
      </c>
      <c r="I418" s="15" t="str">
        <f>IFERROR(_xlfn.TEXTAFTER(TableGive[[#This Row],[SKU]],"-",-1),"")</f>
        <v>FD</v>
      </c>
      <c r="J418" s="14">
        <f>'[1]2026 Orders'!H419</f>
        <v>1008</v>
      </c>
      <c r="K418" t="str">
        <f>'[1]2026 Orders'!I419</f>
        <v>F45-26.0</v>
      </c>
      <c r="L418">
        <f>'[1]2026 Orders'!J419</f>
        <v>0</v>
      </c>
      <c r="N418" s="10" t="str">
        <f>'[1]2026 Orders'!L419</f>
        <v>Out of Stock</v>
      </c>
      <c r="O418">
        <f>'[1]2026 Orders'!M419</f>
        <v>0</v>
      </c>
      <c r="P418" t="str">
        <f>'[1]2026 Orders'!N419</f>
        <v>Y</v>
      </c>
      <c r="Q418">
        <f>'[1]2026 Orders'!O419</f>
        <v>810131199623</v>
      </c>
      <c r="R418">
        <f>'[1]2026 Orders'!P419</f>
        <v>0</v>
      </c>
      <c r="S418">
        <f>'[1]2026 Orders'!Q419</f>
        <v>0</v>
      </c>
      <c r="T418">
        <f>'[1]2026 Orders'!R419</f>
        <v>0</v>
      </c>
      <c r="U418">
        <f>'[1]2026 Orders'!S419</f>
        <v>0</v>
      </c>
      <c r="V418">
        <f>'[1]2026 Orders'!T419</f>
        <v>0</v>
      </c>
      <c r="W418">
        <f>'[1]2026 Orders'!U419</f>
        <v>0</v>
      </c>
      <c r="X418">
        <f>'[1]2026 Orders'!V419</f>
        <v>0</v>
      </c>
      <c r="Y418">
        <f>'[1]2026 Orders'!W419</f>
        <v>0</v>
      </c>
      <c r="Z418">
        <f>'[1]2026 Orders'!X419</f>
        <v>0</v>
      </c>
      <c r="AC418" t="str">
        <f t="shared" si="12"/>
        <v>/1008</v>
      </c>
      <c r="AD418" t="e">
        <f t="shared" si="13"/>
        <v>#VALUE!</v>
      </c>
    </row>
    <row r="419" spans="1:30" ht="33" hidden="1" customHeight="1" x14ac:dyDescent="0.3">
      <c r="A419">
        <f>'[1]2026 Orders'!A420</f>
        <v>46177</v>
      </c>
      <c r="B419" s="14" t="str">
        <f>'[1]2026 Orders'!B420</f>
        <v>UAE</v>
      </c>
      <c r="C419" s="14" t="str">
        <f>'[1]2026 Orders'!C420</f>
        <v>A4712</v>
      </c>
      <c r="D419" s="14">
        <f>'[1]2026 Orders'!D420</f>
        <v>0</v>
      </c>
      <c r="E419" s="17" t="str" cm="1">
        <f t="array" ref="E419">IF(C419=0,"",
HYPERLINK(
"#'2026 Orders'!C"&amp;
MATCH(1,
('2026 Orders'!C:C=C419)*
('2026 Orders'!G:G=G419)*
('2026 Orders'!N:N=N419),
0),
"Open "&amp;C419
))</f>
        <v>Open A4712</v>
      </c>
      <c r="F419" s="14">
        <f>'[1]2026 Orders'!F420</f>
        <v>0</v>
      </c>
      <c r="G419" s="14" t="str">
        <f>'[1]2026 Orders'!G420</f>
        <v>POLYSIT-90-RE</v>
      </c>
      <c r="H419" s="14" t="str" cm="1">
        <f t="array" ref="H419">IFERROR(_xlfn.TEXTJOIN("-",,INDEX(_xlfn.TEXTSPLIT(TableGive[[#This Row],[SKU]],"-"),{1,2})),"")</f>
        <v>POLYSIT-90</v>
      </c>
      <c r="I419" s="15" t="str">
        <f>IFERROR(_xlfn.TEXTAFTER(TableGive[[#This Row],[SKU]],"-",-1),"")</f>
        <v>RE</v>
      </c>
      <c r="J419" s="14">
        <f>'[1]2026 Orders'!H420</f>
        <v>1008</v>
      </c>
      <c r="K419" t="str">
        <f>'[1]2026 Orders'!I420</f>
        <v>R53-17.0</v>
      </c>
      <c r="L419">
        <f>'[1]2026 Orders'!J420</f>
        <v>0</v>
      </c>
      <c r="N419" s="10" t="str">
        <f>'[1]2026 Orders'!L420</f>
        <v>Out of Stock</v>
      </c>
      <c r="O419">
        <f>'[1]2026 Orders'!M420</f>
        <v>0</v>
      </c>
      <c r="P419" t="str">
        <f>'[1]2026 Orders'!N420</f>
        <v>Y</v>
      </c>
      <c r="Q419">
        <f>'[1]2026 Orders'!O420</f>
        <v>609788969006</v>
      </c>
      <c r="R419">
        <f>'[1]2026 Orders'!P420</f>
        <v>0</v>
      </c>
      <c r="S419">
        <f>'[1]2026 Orders'!Q420</f>
        <v>0</v>
      </c>
      <c r="T419">
        <f>'[1]2026 Orders'!R420</f>
        <v>0</v>
      </c>
      <c r="U419">
        <f>'[1]2026 Orders'!S420</f>
        <v>0</v>
      </c>
      <c r="V419">
        <f>'[1]2026 Orders'!T420</f>
        <v>0</v>
      </c>
      <c r="W419">
        <f>'[1]2026 Orders'!U420</f>
        <v>0</v>
      </c>
      <c r="X419">
        <f>'[1]2026 Orders'!V420</f>
        <v>0</v>
      </c>
      <c r="Y419">
        <f>'[1]2026 Orders'!W420</f>
        <v>0</v>
      </c>
      <c r="Z419">
        <f>'[1]2026 Orders'!X420</f>
        <v>0</v>
      </c>
      <c r="AC419" t="str">
        <f t="shared" si="12"/>
        <v>/1008</v>
      </c>
      <c r="AD419" t="e">
        <f t="shared" si="13"/>
        <v>#VALUE!</v>
      </c>
    </row>
    <row r="420" spans="1:30" ht="33" hidden="1" customHeight="1" x14ac:dyDescent="0.3">
      <c r="A420">
        <f>'[1]2026 Orders'!A421</f>
        <v>46177</v>
      </c>
      <c r="B420" s="14" t="str">
        <f>'[1]2026 Orders'!B421</f>
        <v>UAE</v>
      </c>
      <c r="C420" s="14" t="str">
        <f>'[1]2026 Orders'!C421</f>
        <v>A4712</v>
      </c>
      <c r="D420" s="14">
        <f>'[1]2026 Orders'!D421</f>
        <v>0</v>
      </c>
      <c r="E420" s="17" t="str" cm="1">
        <f t="array" ref="E420">IF(C420=0,"",
HYPERLINK(
"#'2026 Orders'!C"&amp;
MATCH(1,
('2026 Orders'!C:C=C420)*
('2026 Orders'!G:G=G420)*
('2026 Orders'!N:N=N420),
0),
"Open "&amp;C420
))</f>
        <v>Open A4712</v>
      </c>
      <c r="F420" s="14">
        <f>'[1]2026 Orders'!F421</f>
        <v>0</v>
      </c>
      <c r="G420" s="14" t="str">
        <f>'[1]2026 Orders'!G421</f>
        <v>XTRAD10-60-FD</v>
      </c>
      <c r="H420" s="14" t="str" cm="1">
        <f t="array" ref="H420">IFERROR(_xlfn.TEXTJOIN("-",,INDEX(_xlfn.TEXTSPLIT(TableGive[[#This Row],[SKU]],"-"),{1,2})),"")</f>
        <v>XTRAD10-60</v>
      </c>
      <c r="I420" s="15" t="str">
        <f>IFERROR(_xlfn.TEXTAFTER(TableGive[[#This Row],[SKU]],"-",-1),"")</f>
        <v>FD</v>
      </c>
      <c r="J420" s="14">
        <f>'[1]2026 Orders'!H421</f>
        <v>2016</v>
      </c>
      <c r="K420" t="str">
        <f>'[1]2026 Orders'!I421</f>
        <v>F76-25.0</v>
      </c>
      <c r="L420">
        <f>'[1]2026 Orders'!J421</f>
        <v>164</v>
      </c>
      <c r="N420" s="10" t="str">
        <f>'[1]2026 Orders'!L421</f>
        <v>Out of Stock</v>
      </c>
      <c r="O420" t="str">
        <f>'[1]2026 Orders'!M421</f>
        <v>164 available</v>
      </c>
      <c r="P420" t="str">
        <f>'[1]2026 Orders'!N421</f>
        <v>NA</v>
      </c>
      <c r="Q420" t="str">
        <f>'[1]2026 Orders'!O421</f>
        <v>609788968122</v>
      </c>
      <c r="R420">
        <f>'[1]2026 Orders'!P421</f>
        <v>0</v>
      </c>
      <c r="S420">
        <f>'[1]2026 Orders'!Q421</f>
        <v>0</v>
      </c>
      <c r="T420">
        <f>'[1]2026 Orders'!R421</f>
        <v>0</v>
      </c>
      <c r="U420">
        <f>'[1]2026 Orders'!S421</f>
        <v>0</v>
      </c>
      <c r="V420">
        <f>'[1]2026 Orders'!T421</f>
        <v>0</v>
      </c>
      <c r="W420">
        <f>'[1]2026 Orders'!U421</f>
        <v>0</v>
      </c>
      <c r="X420">
        <f>'[1]2026 Orders'!V421</f>
        <v>0</v>
      </c>
      <c r="Y420">
        <f>'[1]2026 Orders'!W421</f>
        <v>0</v>
      </c>
      <c r="Z420">
        <f>'[1]2026 Orders'!X421</f>
        <v>0</v>
      </c>
      <c r="AC420" t="str">
        <f t="shared" si="12"/>
        <v>/2016</v>
      </c>
      <c r="AD420" t="e">
        <f t="shared" si="13"/>
        <v>#VALUE!</v>
      </c>
    </row>
    <row r="421" spans="1:30" ht="33" hidden="1" customHeight="1" x14ac:dyDescent="0.3">
      <c r="A421">
        <f>'[1]2026 Orders'!A422</f>
        <v>46177</v>
      </c>
      <c r="B421" s="14" t="str">
        <f>'[1]2026 Orders'!B422</f>
        <v>UAE</v>
      </c>
      <c r="C421" s="14" t="str">
        <f>'[1]2026 Orders'!C422</f>
        <v>A4712</v>
      </c>
      <c r="D421" s="14">
        <f>'[1]2026 Orders'!D422</f>
        <v>0</v>
      </c>
      <c r="E421" s="17" t="str" cm="1">
        <f t="array" ref="E421">IF(C421=0,"",
HYPERLINK(
"#'2026 Orders'!C"&amp;
MATCH(1,
('2026 Orders'!C:C=C421)*
('2026 Orders'!G:G=G421)*
('2026 Orders'!N:N=N421),
0),
"Open "&amp;C421
))</f>
        <v>Open A4712</v>
      </c>
      <c r="F421" s="14">
        <f>'[1]2026 Orders'!F422</f>
        <v>0</v>
      </c>
      <c r="G421" s="14" t="str">
        <f>'[1]2026 Orders'!G422</f>
        <v xml:space="preserve">ZINC25-60-FD </v>
      </c>
      <c r="H421" s="14" t="str" cm="1">
        <f t="array" ref="H421">IFERROR(_xlfn.TEXTJOIN("-",,INDEX(_xlfn.TEXTSPLIT(TableGive[[#This Row],[SKU]],"-"),{1,2})),"")</f>
        <v>ZINC25-60</v>
      </c>
      <c r="I421" s="15" t="str">
        <f>IFERROR(_xlfn.TEXTAFTER(TableGive[[#This Row],[SKU]],"-",-1),"")</f>
        <v xml:space="preserve">FD </v>
      </c>
      <c r="J421" s="14">
        <f>'[1]2026 Orders'!H422</f>
        <v>1008</v>
      </c>
      <c r="K421" t="str">
        <f>'[1]2026 Orders'!I422</f>
        <v>F78-22.0</v>
      </c>
      <c r="L421">
        <f>'[1]2026 Orders'!J422</f>
        <v>0</v>
      </c>
      <c r="N421" s="10" t="str">
        <f>'[1]2026 Orders'!L422</f>
        <v>Out of Stock</v>
      </c>
      <c r="O421">
        <f>'[1]2026 Orders'!M422</f>
        <v>0</v>
      </c>
      <c r="P421" t="str">
        <f>'[1]2026 Orders'!N422</f>
        <v>NA</v>
      </c>
      <c r="Q421" t="str">
        <f>'[1]2026 Orders'!O422</f>
        <v>609788968245</v>
      </c>
      <c r="R421">
        <f>'[1]2026 Orders'!P422</f>
        <v>0</v>
      </c>
      <c r="S421">
        <f>'[1]2026 Orders'!Q422</f>
        <v>0</v>
      </c>
      <c r="T421">
        <f>'[1]2026 Orders'!R422</f>
        <v>0</v>
      </c>
      <c r="U421">
        <f>'[1]2026 Orders'!S422</f>
        <v>0</v>
      </c>
      <c r="V421">
        <f>'[1]2026 Orders'!T422</f>
        <v>0</v>
      </c>
      <c r="W421">
        <f>'[1]2026 Orders'!U422</f>
        <v>0</v>
      </c>
      <c r="X421">
        <f>'[1]2026 Orders'!V422</f>
        <v>0</v>
      </c>
      <c r="Y421">
        <f>'[1]2026 Orders'!W422</f>
        <v>0</v>
      </c>
      <c r="Z421">
        <f>'[1]2026 Orders'!X422</f>
        <v>0</v>
      </c>
      <c r="AC421" t="str">
        <f t="shared" si="12"/>
        <v>/1008</v>
      </c>
      <c r="AD421" t="e">
        <f t="shared" si="13"/>
        <v>#VALUE!</v>
      </c>
    </row>
    <row r="422" spans="1:30" ht="33" hidden="1" customHeight="1" x14ac:dyDescent="0.3">
      <c r="A422">
        <f>'[1]2026 Orders'!A423</f>
        <v>46177</v>
      </c>
      <c r="B422" s="14" t="str">
        <f>'[1]2026 Orders'!B423</f>
        <v>UAE</v>
      </c>
      <c r="C422" s="14" t="str">
        <f>'[1]2026 Orders'!C423</f>
        <v>A4712</v>
      </c>
      <c r="D422" s="14">
        <f>'[1]2026 Orders'!D423</f>
        <v>0</v>
      </c>
      <c r="E422" s="17" t="str" cm="1">
        <f t="array" ref="E422">IF(C422=0,"",
HYPERLINK(
"#'2026 Orders'!C"&amp;
MATCH(1,
('2026 Orders'!C:C=C422)*
('2026 Orders'!G:G=G422)*
('2026 Orders'!N:N=N422),
0),
"Open "&amp;C422
))</f>
        <v>Open A4712</v>
      </c>
      <c r="F422" s="14">
        <f>'[1]2026 Orders'!F423</f>
        <v>0</v>
      </c>
      <c r="G422" s="14" t="str">
        <f>'[1]2026 Orders'!G423</f>
        <v>ZINC50-60-FD</v>
      </c>
      <c r="H422" s="14" t="str" cm="1">
        <f t="array" ref="H422">IFERROR(_xlfn.TEXTJOIN("-",,INDEX(_xlfn.TEXTSPLIT(TableGive[[#This Row],[SKU]],"-"),{1,2})),"")</f>
        <v>ZINC50-60</v>
      </c>
      <c r="I422" s="15" t="str">
        <f>IFERROR(_xlfn.TEXTAFTER(TableGive[[#This Row],[SKU]],"-",-1),"")</f>
        <v>FD</v>
      </c>
      <c r="J422" s="14">
        <f>'[1]2026 Orders'!H423</f>
        <v>1008</v>
      </c>
      <c r="K422" t="str">
        <f>'[1]2026 Orders'!I423</f>
        <v>F79-25.0</v>
      </c>
      <c r="L422">
        <f>'[1]2026 Orders'!J423</f>
        <v>0</v>
      </c>
      <c r="N422" s="10" t="str">
        <f>'[1]2026 Orders'!L423</f>
        <v>Out of Stock</v>
      </c>
      <c r="O422">
        <f>'[1]2026 Orders'!M423</f>
        <v>0</v>
      </c>
      <c r="P422" t="str">
        <f>'[1]2026 Orders'!N423</f>
        <v>NA</v>
      </c>
      <c r="Q422" t="str">
        <f>'[1]2026 Orders'!O423</f>
        <v>609788968535</v>
      </c>
      <c r="R422">
        <f>'[1]2026 Orders'!P423</f>
        <v>0</v>
      </c>
      <c r="S422">
        <f>'[1]2026 Orders'!Q423</f>
        <v>0</v>
      </c>
      <c r="T422">
        <f>'[1]2026 Orders'!R423</f>
        <v>0</v>
      </c>
      <c r="U422">
        <f>'[1]2026 Orders'!S423</f>
        <v>0</v>
      </c>
      <c r="V422">
        <f>'[1]2026 Orders'!T423</f>
        <v>0</v>
      </c>
      <c r="W422">
        <f>'[1]2026 Orders'!U423</f>
        <v>0</v>
      </c>
      <c r="X422">
        <f>'[1]2026 Orders'!V423</f>
        <v>0</v>
      </c>
      <c r="Y422">
        <f>'[1]2026 Orders'!W423</f>
        <v>0</v>
      </c>
      <c r="Z422">
        <f>'[1]2026 Orders'!X423</f>
        <v>0</v>
      </c>
      <c r="AC422" t="str">
        <f t="shared" si="12"/>
        <v>/1008</v>
      </c>
      <c r="AD422" t="e">
        <f t="shared" si="13"/>
        <v>#VALUE!</v>
      </c>
    </row>
    <row r="423" spans="1:30" ht="33" hidden="1" customHeight="1" x14ac:dyDescent="0.3">
      <c r="A423">
        <f>'[1]2026 Orders'!A424</f>
        <v>0</v>
      </c>
      <c r="B423" s="14">
        <f>'[1]2026 Orders'!B424</f>
        <v>0</v>
      </c>
      <c r="C423" s="14">
        <f>'[1]2026 Orders'!C424</f>
        <v>0</v>
      </c>
      <c r="D423" s="14">
        <f>'[1]2026 Orders'!D424</f>
        <v>0</v>
      </c>
      <c r="E423" s="17" t="str" cm="1">
        <f t="array" ref="E423">IF(C423=0,"",
HYPERLINK(
"#'2026 Orders'!C"&amp;
MATCH(1,
('2026 Orders'!C:C=C423)*
('2026 Orders'!G:G=G423)*
('2026 Orders'!N:N=N423),
0),
"Open "&amp;C423
))</f>
        <v/>
      </c>
      <c r="F423" s="14">
        <f>'[1]2026 Orders'!F424</f>
        <v>0</v>
      </c>
      <c r="G423" s="14">
        <f>'[1]2026 Orders'!G424</f>
        <v>0</v>
      </c>
      <c r="H423" s="14" t="str" cm="1">
        <f t="array" ref="H423">IFERROR(_xlfn.TEXTJOIN("-",,INDEX(_xlfn.TEXTSPLIT(TableGive[[#This Row],[SKU]],"-"),{1,2})),"")</f>
        <v/>
      </c>
      <c r="I423" s="15" t="str">
        <f>IFERROR(_xlfn.TEXTAFTER(TableGive[[#This Row],[SKU]],"-",-1),"")</f>
        <v/>
      </c>
      <c r="J423" s="14">
        <f>'[1]2026 Orders'!H424</f>
        <v>0</v>
      </c>
      <c r="K423">
        <f>'[1]2026 Orders'!I424</f>
        <v>0</v>
      </c>
      <c r="L423">
        <f>'[1]2026 Orders'!J424</f>
        <v>0</v>
      </c>
      <c r="N423" s="10">
        <f>'[1]2026 Orders'!L424</f>
        <v>0</v>
      </c>
      <c r="O423">
        <f>'[1]2026 Orders'!M424</f>
        <v>0</v>
      </c>
      <c r="P423">
        <f>'[1]2026 Orders'!N424</f>
        <v>0</v>
      </c>
      <c r="Q423">
        <f>'[1]2026 Orders'!O424</f>
        <v>0</v>
      </c>
      <c r="R423">
        <f>'[1]2026 Orders'!P424</f>
        <v>0</v>
      </c>
      <c r="S423">
        <f>'[1]2026 Orders'!Q424</f>
        <v>0</v>
      </c>
      <c r="T423">
        <f>'[1]2026 Orders'!R424</f>
        <v>0</v>
      </c>
      <c r="U423">
        <f>'[1]2026 Orders'!S424</f>
        <v>0</v>
      </c>
      <c r="V423">
        <f>'[1]2026 Orders'!T424</f>
        <v>0</v>
      </c>
      <c r="W423">
        <f>'[1]2026 Orders'!U424</f>
        <v>0</v>
      </c>
      <c r="X423">
        <f>'[1]2026 Orders'!V424</f>
        <v>0</v>
      </c>
      <c r="Y423">
        <f>'[1]2026 Orders'!W424</f>
        <v>0</v>
      </c>
      <c r="Z423">
        <f>'[1]2026 Orders'!X424</f>
        <v>0</v>
      </c>
      <c r="AC423" t="str">
        <f t="shared" si="12"/>
        <v/>
      </c>
      <c r="AD423" t="str">
        <f t="shared" si="13"/>
        <v/>
      </c>
    </row>
    <row r="424" spans="1:30" ht="33" hidden="1" customHeight="1" x14ac:dyDescent="0.3">
      <c r="A424">
        <f>'[1]2026 Orders'!A425</f>
        <v>46177</v>
      </c>
      <c r="B424" s="14" t="str">
        <f>'[1]2026 Orders'!B425</f>
        <v>Lebanon</v>
      </c>
      <c r="C424" s="14" t="str">
        <f>'[1]2026 Orders'!C425</f>
        <v>A4713</v>
      </c>
      <c r="D424" s="14" t="str">
        <f>'[1]2026 Orders'!D425</f>
        <v>6/4/2026: Awaiting Proforma Approval</v>
      </c>
      <c r="E424" s="17" t="str" cm="1">
        <f t="array" ref="E424">IF(C424=0,"",
HYPERLINK(
"#'2026 Orders'!C"&amp;
MATCH(1,
('2026 Orders'!C:C=C424)*
('2026 Orders'!G:G=G424)*
('2026 Orders'!N:N=N424),
0),
"Open "&amp;C424
))</f>
        <v>Open A4713</v>
      </c>
      <c r="F424" s="14">
        <f>'[1]2026 Orders'!F425</f>
        <v>0</v>
      </c>
      <c r="G424" s="14" t="str">
        <f>'[1]2026 Orders'!G425</f>
        <v>NMNH-60-FD</v>
      </c>
      <c r="H424" s="14" t="str" cm="1">
        <f t="array" ref="H424">IFERROR(_xlfn.TEXTJOIN("-",,INDEX(_xlfn.TEXTSPLIT(TableGive[[#This Row],[SKU]],"-"),{1,2})),"")</f>
        <v>NMNH-60</v>
      </c>
      <c r="I424" s="15" t="str">
        <f>IFERROR(_xlfn.TEXTAFTER(TableGive[[#This Row],[SKU]],"-",-1),"")</f>
        <v>FD</v>
      </c>
      <c r="J424" s="14">
        <f>'[1]2026 Orders'!H425</f>
        <v>400</v>
      </c>
      <c r="K424" t="str">
        <f>'[1]2026 Orders'!I425</f>
        <v>F114-25.0</v>
      </c>
      <c r="L424">
        <f>'[1]2026 Orders'!J425</f>
        <v>400</v>
      </c>
      <c r="N424" s="10" t="str">
        <f>'[1]2026 Orders'!L425</f>
        <v>Rework</v>
      </c>
      <c r="O424">
        <f>'[1]2026 Orders'!M425</f>
        <v>0</v>
      </c>
      <c r="P424" t="str">
        <f>'[1]2026 Orders'!N425</f>
        <v>Y</v>
      </c>
      <c r="Q424" t="str">
        <f>'[1]2026 Orders'!O425</f>
        <v>810131192990</v>
      </c>
      <c r="R424">
        <f>'[1]2026 Orders'!P425</f>
        <v>0</v>
      </c>
      <c r="S424">
        <f>'[1]2026 Orders'!Q425</f>
        <v>0</v>
      </c>
      <c r="T424">
        <f>'[1]2026 Orders'!R425</f>
        <v>0</v>
      </c>
      <c r="U424">
        <f>'[1]2026 Orders'!S425</f>
        <v>0</v>
      </c>
      <c r="V424">
        <f>'[1]2026 Orders'!T425</f>
        <v>0</v>
      </c>
      <c r="W424">
        <f>'[1]2026 Orders'!U425</f>
        <v>0</v>
      </c>
      <c r="X424">
        <f>'[1]2026 Orders'!V425</f>
        <v>0</v>
      </c>
      <c r="Y424">
        <f>'[1]2026 Orders'!W425</f>
        <v>0</v>
      </c>
      <c r="Z424">
        <f>'[1]2026 Orders'!X425</f>
        <v>0</v>
      </c>
      <c r="AC424" t="str">
        <f t="shared" si="12"/>
        <v>/400</v>
      </c>
      <c r="AD424" t="e">
        <f t="shared" si="13"/>
        <v>#VALUE!</v>
      </c>
    </row>
    <row r="425" spans="1:30" ht="33" hidden="1" customHeight="1" x14ac:dyDescent="0.3">
      <c r="A425">
        <f>'[1]2026 Orders'!A426</f>
        <v>46177</v>
      </c>
      <c r="B425" s="14" t="str">
        <f>'[1]2026 Orders'!B426</f>
        <v>Lebanon</v>
      </c>
      <c r="C425" s="14" t="str">
        <f>'[1]2026 Orders'!C426</f>
        <v>A4713</v>
      </c>
      <c r="D425" s="14" t="str">
        <f>'[1]2026 Orders'!D426</f>
        <v>6/5/2026: Proforma approved</v>
      </c>
      <c r="E425" s="17" t="str" cm="1">
        <f t="array" ref="E425">IF(C425=0,"",
HYPERLINK(
"#'2026 Orders'!C"&amp;
MATCH(1,
('2026 Orders'!C:C=C425)*
('2026 Orders'!G:G=G425)*
('2026 Orders'!N:N=N425),
0),
"Open "&amp;C425
))</f>
        <v>Open A4713</v>
      </c>
      <c r="F425" s="14" t="str">
        <f>'[1]2026 Orders'!F426</f>
        <v>6/8/2026: Qty may increase, checking availability.                      6/9/2026: Qty increased from 200 pcs to 300 pcs.</v>
      </c>
      <c r="G425" s="14" t="str">
        <f>'[1]2026 Orders'!G426</f>
        <v>PEARLY-60-FD</v>
      </c>
      <c r="H425" s="14" t="str" cm="1">
        <f t="array" ref="H425">IFERROR(_xlfn.TEXTJOIN("-",,INDEX(_xlfn.TEXTSPLIT(TableGive[[#This Row],[SKU]],"-"),{1,2})),"")</f>
        <v>PEARLY-60</v>
      </c>
      <c r="I425" s="15" t="str">
        <f>IFERROR(_xlfn.TEXTAFTER(TableGive[[#This Row],[SKU]],"-",-1),"")</f>
        <v>FD</v>
      </c>
      <c r="J425" s="14">
        <f>'[1]2026 Orders'!H426</f>
        <v>300</v>
      </c>
      <c r="K425" t="str">
        <f>'[1]2026 Orders'!I426</f>
        <v>F42-22.0</v>
      </c>
      <c r="L425">
        <f>'[1]2026 Orders'!J426</f>
        <v>300</v>
      </c>
      <c r="N425" s="10" t="str">
        <f>'[1]2026 Orders'!L426</f>
        <v>Rework</v>
      </c>
      <c r="O425">
        <f>'[1]2026 Orders'!M426</f>
        <v>0</v>
      </c>
      <c r="P425" t="str">
        <f>'[1]2026 Orders'!N426</f>
        <v>Y</v>
      </c>
      <c r="Q425" t="str">
        <f>'[1]2026 Orders'!O426</f>
        <v>609788968665</v>
      </c>
      <c r="R425">
        <f>'[1]2026 Orders'!P426</f>
        <v>0</v>
      </c>
      <c r="S425">
        <f>'[1]2026 Orders'!Q426</f>
        <v>0</v>
      </c>
      <c r="T425">
        <f>'[1]2026 Orders'!R426</f>
        <v>0</v>
      </c>
      <c r="U425">
        <f>'[1]2026 Orders'!S426</f>
        <v>0</v>
      </c>
      <c r="V425">
        <f>'[1]2026 Orders'!T426</f>
        <v>0</v>
      </c>
      <c r="W425">
        <f>'[1]2026 Orders'!U426</f>
        <v>0</v>
      </c>
      <c r="X425">
        <f>'[1]2026 Orders'!V426</f>
        <v>0</v>
      </c>
      <c r="Y425">
        <f>'[1]2026 Orders'!W426</f>
        <v>0</v>
      </c>
      <c r="Z425">
        <f>'[1]2026 Orders'!X426</f>
        <v>0</v>
      </c>
      <c r="AC425" t="str">
        <f t="shared" si="12"/>
        <v>/300</v>
      </c>
      <c r="AD425" t="e">
        <f t="shared" si="13"/>
        <v>#VALUE!</v>
      </c>
    </row>
    <row r="426" spans="1:30" ht="33" hidden="1" customHeight="1" x14ac:dyDescent="0.3">
      <c r="A426">
        <f>'[1]2026 Orders'!A427</f>
        <v>0</v>
      </c>
      <c r="B426" s="14">
        <f>'[1]2026 Orders'!B427</f>
        <v>0</v>
      </c>
      <c r="C426" s="14">
        <f>'[1]2026 Orders'!C427</f>
        <v>0</v>
      </c>
      <c r="D426" s="14">
        <f>'[1]2026 Orders'!D427</f>
        <v>0</v>
      </c>
      <c r="E426" s="17" t="str" cm="1">
        <f t="array" ref="E426">IF(C426=0,"",
HYPERLINK(
"#'2026 Orders'!C"&amp;
MATCH(1,
('2026 Orders'!C:C=C426)*
('2026 Orders'!G:G=G426)*
('2026 Orders'!N:N=N426),
0),
"Open "&amp;C426
))</f>
        <v/>
      </c>
      <c r="F426" s="14">
        <f>'[1]2026 Orders'!F427</f>
        <v>0</v>
      </c>
      <c r="G426" s="14">
        <f>'[1]2026 Orders'!G427</f>
        <v>0</v>
      </c>
      <c r="H426" s="14" t="str" cm="1">
        <f t="array" ref="H426">IFERROR(_xlfn.TEXTJOIN("-",,INDEX(_xlfn.TEXTSPLIT(TableGive[[#This Row],[SKU]],"-"),{1,2})),"")</f>
        <v/>
      </c>
      <c r="I426" s="15" t="str">
        <f>IFERROR(_xlfn.TEXTAFTER(TableGive[[#This Row],[SKU]],"-",-1),"")</f>
        <v/>
      </c>
      <c r="J426" s="14">
        <f>'[1]2026 Orders'!H427</f>
        <v>0</v>
      </c>
      <c r="K426">
        <f>'[1]2026 Orders'!I427</f>
        <v>0</v>
      </c>
      <c r="L426">
        <f>'[1]2026 Orders'!J427</f>
        <v>0</v>
      </c>
      <c r="N426" s="10">
        <f>'[1]2026 Orders'!L427</f>
        <v>0</v>
      </c>
      <c r="O426">
        <f>'[1]2026 Orders'!M427</f>
        <v>0</v>
      </c>
      <c r="P426">
        <f>'[1]2026 Orders'!N427</f>
        <v>0</v>
      </c>
      <c r="Q426">
        <f>'[1]2026 Orders'!O427</f>
        <v>0</v>
      </c>
      <c r="R426">
        <f>'[1]2026 Orders'!P427</f>
        <v>0</v>
      </c>
      <c r="S426">
        <f>'[1]2026 Orders'!Q427</f>
        <v>0</v>
      </c>
      <c r="T426">
        <f>'[1]2026 Orders'!R427</f>
        <v>0</v>
      </c>
      <c r="U426">
        <f>'[1]2026 Orders'!S427</f>
        <v>0</v>
      </c>
      <c r="V426">
        <f>'[1]2026 Orders'!T427</f>
        <v>0</v>
      </c>
      <c r="W426">
        <f>'[1]2026 Orders'!U427</f>
        <v>0</v>
      </c>
      <c r="X426">
        <f>'[1]2026 Orders'!V427</f>
        <v>0</v>
      </c>
      <c r="Y426">
        <f>'[1]2026 Orders'!W427</f>
        <v>0</v>
      </c>
      <c r="Z426">
        <f>'[1]2026 Orders'!X427</f>
        <v>0</v>
      </c>
      <c r="AC426" t="str">
        <f t="shared" si="12"/>
        <v/>
      </c>
      <c r="AD426" t="str">
        <f t="shared" si="13"/>
        <v/>
      </c>
    </row>
    <row r="427" spans="1:30" ht="33" hidden="1" customHeight="1" x14ac:dyDescent="0.3">
      <c r="A427">
        <f>'[1]2026 Orders'!A428</f>
        <v>46181</v>
      </c>
      <c r="B427" s="14" t="str">
        <f>'[1]2026 Orders'!B428</f>
        <v>Qatar</v>
      </c>
      <c r="C427" s="14" t="str">
        <f>'[1]2026 Orders'!C428</f>
        <v>A4714</v>
      </c>
      <c r="D427" s="14" t="str">
        <f>'[1]2026 Orders'!D428</f>
        <v>6/8/2026: Awaiting Proforma Approval</v>
      </c>
      <c r="E427" s="17" t="str" cm="1">
        <f t="array" ref="E427">IF(C427=0,"",
HYPERLINK(
"#'2026 Orders'!C"&amp;
MATCH(1,
('2026 Orders'!C:C=C427)*
('2026 Orders'!G:G=G427)*
('2026 Orders'!N:N=N427),
0),
"Open "&amp;C427
))</f>
        <v>Open A4714</v>
      </c>
      <c r="F427" s="14">
        <f>'[1]2026 Orders'!F428</f>
        <v>0</v>
      </c>
      <c r="G427" s="14" t="str">
        <f>'[1]2026 Orders'!G428</f>
        <v>SPERMCT-60-CS-QT</v>
      </c>
      <c r="H427" s="14" t="str" cm="1">
        <f t="array" ref="H427">IFERROR(_xlfn.TEXTJOIN("-",,INDEX(_xlfn.TEXTSPLIT(TableGive[[#This Row],[SKU]],"-"),{1,2})),"")</f>
        <v>SPERMCT-60</v>
      </c>
      <c r="I427" s="15" t="str">
        <f>IFERROR(_xlfn.TEXTAFTER(TableGive[[#This Row],[SKU]],"-",-1),"")</f>
        <v>QT</v>
      </c>
      <c r="J427" s="14">
        <f>'[1]2026 Orders'!H428</f>
        <v>1100</v>
      </c>
      <c r="K427">
        <f>'[1]2026 Orders'!I428</f>
        <v>0</v>
      </c>
      <c r="L427">
        <f>'[1]2026 Orders'!J428</f>
        <v>0</v>
      </c>
      <c r="N427" s="10" t="str">
        <f>'[1]2026 Orders'!L428</f>
        <v>Sales Action Needed</v>
      </c>
      <c r="O427" t="str">
        <f>'[1]2026 Orders'!M428</f>
        <v>Available</v>
      </c>
      <c r="P427" t="str">
        <f>'[1]2026 Orders'!N428</f>
        <v>NA</v>
      </c>
      <c r="Q427">
        <f>'[1]2026 Orders'!O428</f>
        <v>604776736820</v>
      </c>
      <c r="R427">
        <f>'[1]2026 Orders'!P428</f>
        <v>0</v>
      </c>
      <c r="S427">
        <f>'[1]2026 Orders'!Q428</f>
        <v>0</v>
      </c>
      <c r="T427">
        <f>'[1]2026 Orders'!R428</f>
        <v>0</v>
      </c>
      <c r="U427">
        <f>'[1]2026 Orders'!S428</f>
        <v>0</v>
      </c>
      <c r="V427">
        <f>'[1]2026 Orders'!T428</f>
        <v>0</v>
      </c>
      <c r="W427">
        <f>'[1]2026 Orders'!U428</f>
        <v>0</v>
      </c>
      <c r="X427">
        <f>'[1]2026 Orders'!V428</f>
        <v>0</v>
      </c>
      <c r="Y427">
        <f>'[1]2026 Orders'!W428</f>
        <v>0</v>
      </c>
      <c r="Z427">
        <f>'[1]2026 Orders'!X428</f>
        <v>0</v>
      </c>
      <c r="AC427" t="str">
        <f t="shared" si="12"/>
        <v>/1100</v>
      </c>
      <c r="AD427" t="e">
        <f t="shared" si="13"/>
        <v>#VALUE!</v>
      </c>
    </row>
    <row r="428" spans="1:30" ht="33" hidden="1" customHeight="1" x14ac:dyDescent="0.3">
      <c r="A428">
        <f>'[1]2026 Orders'!A429</f>
        <v>46181</v>
      </c>
      <c r="B428" s="14" t="str">
        <f>'[1]2026 Orders'!B429</f>
        <v>Qatar</v>
      </c>
      <c r="C428" s="14" t="str">
        <f>'[1]2026 Orders'!C429</f>
        <v>A4714</v>
      </c>
      <c r="D428" s="14" t="str">
        <f>'[1]2026 Orders'!D429</f>
        <v>6/9/2026: Proforma approved</v>
      </c>
      <c r="E428" s="17" t="str" cm="1">
        <f t="array" ref="E428">IF(C428=0,"",
HYPERLINK(
"#'2026 Orders'!C"&amp;
MATCH(1,
('2026 Orders'!C:C=C428)*
('2026 Orders'!G:G=G428)*
('2026 Orders'!N:N=N428),
0),
"Open "&amp;C428
))</f>
        <v>Open A4714</v>
      </c>
      <c r="F428" s="14">
        <f>'[1]2026 Orders'!F429</f>
        <v>0</v>
      </c>
      <c r="G428" s="14" t="str">
        <f>'[1]2026 Orders'!G429</f>
        <v>WFSPLS-180-CS-QT</v>
      </c>
      <c r="H428" s="14" t="str" cm="1">
        <f t="array" ref="H428">IFERROR(_xlfn.TEXTJOIN("-",,INDEX(_xlfn.TEXTSPLIT(TableGive[[#This Row],[SKU]],"-"),{1,2})),"")</f>
        <v>WFSPLS-180</v>
      </c>
      <c r="I428" s="15" t="str">
        <f>IFERROR(_xlfn.TEXTAFTER(TableGive[[#This Row],[SKU]],"-",-1),"")</f>
        <v>QT</v>
      </c>
      <c r="J428" s="14">
        <f>'[1]2026 Orders'!H429</f>
        <v>550</v>
      </c>
      <c r="K428">
        <f>'[1]2026 Orders'!I429</f>
        <v>0</v>
      </c>
      <c r="L428">
        <f>'[1]2026 Orders'!J429</f>
        <v>0</v>
      </c>
      <c r="N428" s="10" t="str">
        <f>'[1]2026 Orders'!L429</f>
        <v>Sales Action Needed</v>
      </c>
      <c r="O428" t="str">
        <f>'[1]2026 Orders'!M429</f>
        <v>Out of Stock</v>
      </c>
      <c r="P428" t="str">
        <f>'[1]2026 Orders'!N429</f>
        <v>NA</v>
      </c>
      <c r="Q428">
        <f>'[1]2026 Orders'!O429</f>
        <v>604776736844</v>
      </c>
      <c r="R428">
        <f>'[1]2026 Orders'!P429</f>
        <v>0</v>
      </c>
      <c r="S428">
        <f>'[1]2026 Orders'!Q429</f>
        <v>0</v>
      </c>
      <c r="T428">
        <f>'[1]2026 Orders'!R429</f>
        <v>0</v>
      </c>
      <c r="U428">
        <f>'[1]2026 Orders'!S429</f>
        <v>0</v>
      </c>
      <c r="V428">
        <f>'[1]2026 Orders'!T429</f>
        <v>0</v>
      </c>
      <c r="W428">
        <f>'[1]2026 Orders'!U429</f>
        <v>0</v>
      </c>
      <c r="X428">
        <f>'[1]2026 Orders'!V429</f>
        <v>0</v>
      </c>
      <c r="Y428">
        <f>'[1]2026 Orders'!W429</f>
        <v>0</v>
      </c>
      <c r="Z428">
        <f>'[1]2026 Orders'!X429</f>
        <v>0</v>
      </c>
      <c r="AC428" t="str">
        <f t="shared" si="12"/>
        <v>/550</v>
      </c>
      <c r="AD428" t="e">
        <f t="shared" si="13"/>
        <v>#VALUE!</v>
      </c>
    </row>
    <row r="429" spans="1:30" ht="33" hidden="1" customHeight="1" x14ac:dyDescent="0.3">
      <c r="A429">
        <f>'[1]2026 Orders'!A430</f>
        <v>46181</v>
      </c>
      <c r="B429" s="14" t="str">
        <f>'[1]2026 Orders'!B430</f>
        <v>Qatar</v>
      </c>
      <c r="C429" s="14" t="str">
        <f>'[1]2026 Orders'!C430</f>
        <v>A4714</v>
      </c>
      <c r="D429" s="14" t="str">
        <f>'[1]2026 Orders'!D430</f>
        <v>6/9/2026: Awaiting confirmation for labels</v>
      </c>
      <c r="E429" s="17" t="str" cm="1">
        <f t="array" ref="E429">IF(C429=0,"",
HYPERLINK(
"#'2026 Orders'!C"&amp;
MATCH(1,
('2026 Orders'!C:C=C429)*
('2026 Orders'!G:G=G429)*
('2026 Orders'!N:N=N429),
0),
"Open "&amp;C429
))</f>
        <v>Open A4714</v>
      </c>
      <c r="F429" s="14">
        <f>'[1]2026 Orders'!F430</f>
        <v>0</v>
      </c>
      <c r="G429" s="14" t="str">
        <f>'[1]2026 Orders'!G430</f>
        <v>METRIO-60-CS-QT</v>
      </c>
      <c r="H429" s="14" t="str" cm="1">
        <f t="array" ref="H429">IFERROR(_xlfn.TEXTJOIN("-",,INDEX(_xlfn.TEXTSPLIT(TableGive[[#This Row],[SKU]],"-"),{1,2})),"")</f>
        <v>METRIO-60</v>
      </c>
      <c r="I429" s="15" t="str">
        <f>IFERROR(_xlfn.TEXTAFTER(TableGive[[#This Row],[SKU]],"-",-1),"")</f>
        <v>QT</v>
      </c>
      <c r="J429" s="14">
        <f>'[1]2026 Orders'!H430</f>
        <v>550</v>
      </c>
      <c r="K429">
        <f>'[1]2026 Orders'!I430</f>
        <v>0</v>
      </c>
      <c r="L429">
        <f>'[1]2026 Orders'!J430</f>
        <v>0</v>
      </c>
      <c r="N429" s="10" t="str">
        <f>'[1]2026 Orders'!L430</f>
        <v>Sales Action Needed</v>
      </c>
      <c r="O429" t="str">
        <f>'[1]2026 Orders'!M430</f>
        <v>Available</v>
      </c>
      <c r="P429" t="str">
        <f>'[1]2026 Orders'!N430</f>
        <v>NA</v>
      </c>
      <c r="Q429">
        <f>'[1]2026 Orders'!O430</f>
        <v>604776736738</v>
      </c>
      <c r="R429">
        <f>'[1]2026 Orders'!P430</f>
        <v>0</v>
      </c>
      <c r="S429">
        <f>'[1]2026 Orders'!Q430</f>
        <v>0</v>
      </c>
      <c r="T429">
        <f>'[1]2026 Orders'!R430</f>
        <v>0</v>
      </c>
      <c r="U429">
        <f>'[1]2026 Orders'!S430</f>
        <v>0</v>
      </c>
      <c r="V429">
        <f>'[1]2026 Orders'!T430</f>
        <v>0</v>
      </c>
      <c r="W429">
        <f>'[1]2026 Orders'!U430</f>
        <v>0</v>
      </c>
      <c r="X429">
        <f>'[1]2026 Orders'!V430</f>
        <v>0</v>
      </c>
      <c r="Y429">
        <f>'[1]2026 Orders'!W430</f>
        <v>0</v>
      </c>
      <c r="Z429">
        <f>'[1]2026 Orders'!X430</f>
        <v>0</v>
      </c>
      <c r="AC429" t="str">
        <f t="shared" si="12"/>
        <v>/550</v>
      </c>
      <c r="AD429" t="e">
        <f t="shared" si="13"/>
        <v>#VALUE!</v>
      </c>
    </row>
    <row r="430" spans="1:30" ht="33" hidden="1" customHeight="1" x14ac:dyDescent="0.3">
      <c r="A430">
        <f>'[1]2026 Orders'!A431</f>
        <v>46181</v>
      </c>
      <c r="B430" s="14" t="str">
        <f>'[1]2026 Orders'!B431</f>
        <v>Qatar</v>
      </c>
      <c r="C430" s="14" t="str">
        <f>'[1]2026 Orders'!C431</f>
        <v>A4714</v>
      </c>
      <c r="D430" s="14">
        <f>'[1]2026 Orders'!D431</f>
        <v>0</v>
      </c>
      <c r="E430" s="17" t="str" cm="1">
        <f t="array" ref="E430">IF(C430=0,"",
HYPERLINK(
"#'2026 Orders'!C"&amp;
MATCH(1,
('2026 Orders'!C:C=C430)*
('2026 Orders'!G:G=G430)*
('2026 Orders'!N:N=N430),
0),
"Open "&amp;C430
))</f>
        <v>Open A4714</v>
      </c>
      <c r="F430" s="14" t="str">
        <f>'[1]2026 Orders'!F431</f>
        <v>6/11/2026: Can take 66 packs from Amazon reserves + 60 from available lot</v>
      </c>
      <c r="G430" s="14" t="str">
        <f>'[1]2026 Orders'!G431</f>
        <v>BIO5K-60-CS-QT</v>
      </c>
      <c r="H430" s="14" t="str" cm="1">
        <f t="array" ref="H430">IFERROR(_xlfn.TEXTJOIN("-",,INDEX(_xlfn.TEXTSPLIT(TableGive[[#This Row],[SKU]],"-"),{1,2})),"")</f>
        <v>BIO5K-60</v>
      </c>
      <c r="I430" s="15" t="str">
        <f>IFERROR(_xlfn.TEXTAFTER(TableGive[[#This Row],[SKU]],"-",-1),"")</f>
        <v>QT</v>
      </c>
      <c r="J430" s="14">
        <f>'[1]2026 Orders'!H431</f>
        <v>126</v>
      </c>
      <c r="K430">
        <f>'[1]2026 Orders'!I431</f>
        <v>0</v>
      </c>
      <c r="L430">
        <f>'[1]2026 Orders'!J431</f>
        <v>0</v>
      </c>
      <c r="N430" s="10" t="str">
        <f>'[1]2026 Orders'!L431</f>
        <v>Sales Action Needed</v>
      </c>
      <c r="O430" t="str">
        <f>'[1]2026 Orders'!M431</f>
        <v xml:space="preserve"> 	46350425: 60 available,                                     44251024: 66 available</v>
      </c>
      <c r="P430" t="str">
        <f>'[1]2026 Orders'!N431</f>
        <v>NA</v>
      </c>
      <c r="Q430">
        <f>'[1]2026 Orders'!O431</f>
        <v>604776739371</v>
      </c>
      <c r="R430">
        <f>'[1]2026 Orders'!P431</f>
        <v>0</v>
      </c>
      <c r="S430">
        <f>'[1]2026 Orders'!Q431</f>
        <v>0</v>
      </c>
      <c r="T430">
        <f>'[1]2026 Orders'!R431</f>
        <v>0</v>
      </c>
      <c r="U430">
        <f>'[1]2026 Orders'!S431</f>
        <v>0</v>
      </c>
      <c r="V430">
        <f>'[1]2026 Orders'!T431</f>
        <v>0</v>
      </c>
      <c r="W430">
        <f>'[1]2026 Orders'!U431</f>
        <v>0</v>
      </c>
      <c r="X430">
        <f>'[1]2026 Orders'!V431</f>
        <v>0</v>
      </c>
      <c r="Y430">
        <f>'[1]2026 Orders'!W431</f>
        <v>0</v>
      </c>
      <c r="Z430">
        <f>'[1]2026 Orders'!X431</f>
        <v>0</v>
      </c>
      <c r="AC430" t="str">
        <f t="shared" si="12"/>
        <v>/126</v>
      </c>
      <c r="AD430" t="e">
        <f t="shared" si="13"/>
        <v>#VALUE!</v>
      </c>
    </row>
    <row r="431" spans="1:30" ht="33" hidden="1" customHeight="1" x14ac:dyDescent="0.3">
      <c r="A431">
        <f>'[1]2026 Orders'!A432</f>
        <v>46181</v>
      </c>
      <c r="B431" s="14" t="str">
        <f>'[1]2026 Orders'!B432</f>
        <v>Qatar</v>
      </c>
      <c r="C431" s="14" t="str">
        <f>'[1]2026 Orders'!C432</f>
        <v>A4714</v>
      </c>
      <c r="D431" s="14">
        <f>'[1]2026 Orders'!D432</f>
        <v>0</v>
      </c>
      <c r="E431" s="17" t="str" cm="1">
        <f t="array" ref="E431">IF(C431=0,"",
HYPERLINK(
"#'2026 Orders'!C"&amp;
MATCH(1,
('2026 Orders'!C:C=C431)*
('2026 Orders'!G:G=G431)*
('2026 Orders'!N:N=N431),
0),
"Open "&amp;C431
))</f>
        <v>Open A4714</v>
      </c>
      <c r="F431" s="14" t="str">
        <f>'[1]2026 Orders'!F432</f>
        <v>6/11/2026: Client can take old formula containing Citrus Bioflavonoids</v>
      </c>
      <c r="G431" s="14" t="str">
        <f>'[1]2026 Orders'!G432</f>
        <v>EYECAP-30-CS-QT</v>
      </c>
      <c r="H431" s="14" t="str" cm="1">
        <f t="array" ref="H431">IFERROR(_xlfn.TEXTJOIN("-",,INDEX(_xlfn.TEXTSPLIT(TableGive[[#This Row],[SKU]],"-"),{1,2})),"")</f>
        <v>EYECAP-30</v>
      </c>
      <c r="I431" s="15" t="str">
        <f>IFERROR(_xlfn.TEXTAFTER(TableGive[[#This Row],[SKU]],"-",-1),"")</f>
        <v>QT</v>
      </c>
      <c r="J431" s="14">
        <f>'[1]2026 Orders'!H432</f>
        <v>720</v>
      </c>
      <c r="K431">
        <f>'[1]2026 Orders'!I432</f>
        <v>0</v>
      </c>
      <c r="L431">
        <f>'[1]2026 Orders'!J432</f>
        <v>0</v>
      </c>
      <c r="N431" s="10" t="str">
        <f>'[1]2026 Orders'!L432</f>
        <v>Sales Action Needed</v>
      </c>
      <c r="O431" t="str">
        <f>'[1]2026 Orders'!M432</f>
        <v>720 available with old formula</v>
      </c>
      <c r="P431" t="str">
        <f>'[1]2026 Orders'!N432</f>
        <v>NA</v>
      </c>
      <c r="Q431">
        <f>'[1]2026 Orders'!O432</f>
        <v>604776739395</v>
      </c>
      <c r="R431">
        <f>'[1]2026 Orders'!P432</f>
        <v>0</v>
      </c>
      <c r="S431">
        <f>'[1]2026 Orders'!Q432</f>
        <v>0</v>
      </c>
      <c r="T431">
        <f>'[1]2026 Orders'!R432</f>
        <v>0</v>
      </c>
      <c r="U431">
        <f>'[1]2026 Orders'!S432</f>
        <v>0</v>
      </c>
      <c r="V431">
        <f>'[1]2026 Orders'!T432</f>
        <v>0</v>
      </c>
      <c r="W431">
        <f>'[1]2026 Orders'!U432</f>
        <v>0</v>
      </c>
      <c r="X431">
        <f>'[1]2026 Orders'!V432</f>
        <v>0</v>
      </c>
      <c r="Y431">
        <f>'[1]2026 Orders'!W432</f>
        <v>0</v>
      </c>
      <c r="Z431">
        <f>'[1]2026 Orders'!X432</f>
        <v>0</v>
      </c>
      <c r="AC431" t="str">
        <f t="shared" si="12"/>
        <v>/720</v>
      </c>
      <c r="AD431" t="e">
        <f t="shared" si="13"/>
        <v>#VALUE!</v>
      </c>
    </row>
    <row r="432" spans="1:30" ht="33" hidden="1" customHeight="1" x14ac:dyDescent="0.3">
      <c r="A432">
        <f>'[1]2026 Orders'!A433</f>
        <v>0</v>
      </c>
      <c r="B432" s="14">
        <f>'[1]2026 Orders'!B433</f>
        <v>0</v>
      </c>
      <c r="C432" s="14">
        <f>'[1]2026 Orders'!C433</f>
        <v>0</v>
      </c>
      <c r="D432" s="14">
        <f>'[1]2026 Orders'!D433</f>
        <v>0</v>
      </c>
      <c r="E432" s="17" t="str" cm="1">
        <f t="array" ref="E432">IF(C432=0,"",
HYPERLINK(
"#'2026 Orders'!C"&amp;
MATCH(1,
('2026 Orders'!C:C=C432)*
('2026 Orders'!G:G=G432)*
('2026 Orders'!N:N=N432),
0),
"Open "&amp;C432
))</f>
        <v/>
      </c>
      <c r="F432" s="14">
        <f>'[1]2026 Orders'!F433</f>
        <v>0</v>
      </c>
      <c r="G432" s="14">
        <f>'[1]2026 Orders'!G433</f>
        <v>0</v>
      </c>
      <c r="H432" s="14" t="str" cm="1">
        <f t="array" ref="H432">IFERROR(_xlfn.TEXTJOIN("-",,INDEX(_xlfn.TEXTSPLIT(TableGive[[#This Row],[SKU]],"-"),{1,2})),"")</f>
        <v/>
      </c>
      <c r="I432" s="15" t="str">
        <f>IFERROR(_xlfn.TEXTAFTER(TableGive[[#This Row],[SKU]],"-",-1),"")</f>
        <v/>
      </c>
      <c r="J432" s="14">
        <f>'[1]2026 Orders'!H433</f>
        <v>0</v>
      </c>
      <c r="K432">
        <f>'[1]2026 Orders'!I433</f>
        <v>0</v>
      </c>
      <c r="L432">
        <f>'[1]2026 Orders'!J433</f>
        <v>0</v>
      </c>
      <c r="N432" s="10">
        <f>'[1]2026 Orders'!L433</f>
        <v>0</v>
      </c>
      <c r="O432">
        <f>'[1]2026 Orders'!M433</f>
        <v>0</v>
      </c>
      <c r="P432">
        <f>'[1]2026 Orders'!N433</f>
        <v>0</v>
      </c>
      <c r="Q432">
        <f>'[1]2026 Orders'!O433</f>
        <v>0</v>
      </c>
      <c r="R432">
        <f>'[1]2026 Orders'!P433</f>
        <v>0</v>
      </c>
      <c r="S432">
        <f>'[1]2026 Orders'!Q433</f>
        <v>0</v>
      </c>
      <c r="T432">
        <f>'[1]2026 Orders'!R433</f>
        <v>0</v>
      </c>
      <c r="U432">
        <f>'[1]2026 Orders'!S433</f>
        <v>0</v>
      </c>
      <c r="V432">
        <f>'[1]2026 Orders'!T433</f>
        <v>0</v>
      </c>
      <c r="W432">
        <f>'[1]2026 Orders'!U433</f>
        <v>0</v>
      </c>
      <c r="X432">
        <f>'[1]2026 Orders'!V433</f>
        <v>0</v>
      </c>
      <c r="Y432">
        <f>'[1]2026 Orders'!W433</f>
        <v>0</v>
      </c>
      <c r="Z432">
        <f>'[1]2026 Orders'!X433</f>
        <v>0</v>
      </c>
      <c r="AC432" t="str">
        <f t="shared" si="12"/>
        <v/>
      </c>
      <c r="AD432" t="str">
        <f t="shared" si="13"/>
        <v/>
      </c>
    </row>
    <row r="433" spans="1:30" ht="33" hidden="1" customHeight="1" x14ac:dyDescent="0.3">
      <c r="A433">
        <f>'[1]2026 Orders'!A434</f>
        <v>46181</v>
      </c>
      <c r="B433" s="14" t="str">
        <f>'[1]2026 Orders'!B434</f>
        <v>Qatar</v>
      </c>
      <c r="C433" s="14" t="str">
        <f>'[1]2026 Orders'!C434</f>
        <v>A4715</v>
      </c>
      <c r="D433" s="14" t="str">
        <f>'[1]2026 Orders'!D434</f>
        <v>6/8/2026: Awaiting Proforma Approval</v>
      </c>
      <c r="E433" s="17" t="str" cm="1">
        <f t="array" ref="E433">IF(C433=0,"",
HYPERLINK(
"#'2026 Orders'!C"&amp;
MATCH(1,
('2026 Orders'!C:C=C433)*
('2026 Orders'!G:G=G433)*
('2026 Orders'!N:N=N433),
0),
"Open "&amp;C433
))</f>
        <v>Open A4715</v>
      </c>
      <c r="F433" s="14">
        <f>'[1]2026 Orders'!F434</f>
        <v>0</v>
      </c>
      <c r="G433" s="14" t="str">
        <f>'[1]2026 Orders'!G434</f>
        <v>ROYALPL-30-CS-QT</v>
      </c>
      <c r="H433" s="14" t="str" cm="1">
        <f t="array" ref="H433">IFERROR(_xlfn.TEXTJOIN("-",,INDEX(_xlfn.TEXTSPLIT(TableGive[[#This Row],[SKU]],"-"),{1,2})),"")</f>
        <v>ROYALPL-30</v>
      </c>
      <c r="I433" s="15" t="str">
        <f>IFERROR(_xlfn.TEXTAFTER(TableGive[[#This Row],[SKU]],"-",-1),"")</f>
        <v>QT</v>
      </c>
      <c r="J433" s="14">
        <f>'[1]2026 Orders'!H434</f>
        <v>1000</v>
      </c>
      <c r="K433">
        <f>'[1]2026 Orders'!I434</f>
        <v>0</v>
      </c>
      <c r="L433">
        <f>'[1]2026 Orders'!J434</f>
        <v>0</v>
      </c>
      <c r="N433" s="10" t="str">
        <f>'[1]2026 Orders'!L434</f>
        <v>Sales Action Needed</v>
      </c>
      <c r="O433" t="str">
        <f>'[1]2026 Orders'!M434</f>
        <v>978 available with two lots</v>
      </c>
      <c r="P433" t="str">
        <f>'[1]2026 Orders'!N434</f>
        <v>NA</v>
      </c>
      <c r="Q433">
        <f>'[1]2026 Orders'!O434</f>
        <v>604776736813</v>
      </c>
      <c r="R433">
        <f>'[1]2026 Orders'!P434</f>
        <v>0</v>
      </c>
      <c r="S433">
        <f>'[1]2026 Orders'!Q434</f>
        <v>0</v>
      </c>
      <c r="T433">
        <f>'[1]2026 Orders'!R434</f>
        <v>0</v>
      </c>
      <c r="U433">
        <f>'[1]2026 Orders'!S434</f>
        <v>0</v>
      </c>
      <c r="V433">
        <f>'[1]2026 Orders'!T434</f>
        <v>0</v>
      </c>
      <c r="W433">
        <f>'[1]2026 Orders'!U434</f>
        <v>0</v>
      </c>
      <c r="X433">
        <f>'[1]2026 Orders'!V434</f>
        <v>0</v>
      </c>
      <c r="Y433">
        <f>'[1]2026 Orders'!W434</f>
        <v>0</v>
      </c>
      <c r="Z433">
        <f>'[1]2026 Orders'!X434</f>
        <v>0</v>
      </c>
      <c r="AC433" t="str">
        <f t="shared" si="12"/>
        <v>/1000</v>
      </c>
      <c r="AD433" t="e">
        <f t="shared" si="13"/>
        <v>#VALUE!</v>
      </c>
    </row>
    <row r="434" spans="1:30" ht="33" hidden="1" customHeight="1" x14ac:dyDescent="0.3">
      <c r="A434">
        <f>'[1]2026 Orders'!A435</f>
        <v>46181</v>
      </c>
      <c r="B434" s="14" t="str">
        <f>'[1]2026 Orders'!B435</f>
        <v>Qatar</v>
      </c>
      <c r="C434" s="14" t="str">
        <f>'[1]2026 Orders'!C435</f>
        <v>A4715</v>
      </c>
      <c r="D434" s="14" t="str">
        <f>'[1]2026 Orders'!D435</f>
        <v>6/9/2026: Proforma approved</v>
      </c>
      <c r="E434" s="17" t="str" cm="1">
        <f t="array" ref="E434">IF(C434=0,"",
HYPERLINK(
"#'2026 Orders'!C"&amp;
MATCH(1,
('2026 Orders'!C:C=C434)*
('2026 Orders'!G:G=G434)*
('2026 Orders'!N:N=N434),
0),
"Open "&amp;C434
))</f>
        <v>Open A4715</v>
      </c>
      <c r="F434" s="14">
        <f>'[1]2026 Orders'!F435</f>
        <v>0</v>
      </c>
      <c r="G434" s="14" t="str">
        <f>'[1]2026 Orders'!G435</f>
        <v>OVAMANM-120-CS-QT</v>
      </c>
      <c r="H434" s="14" t="str" cm="1">
        <f t="array" ref="H434">IFERROR(_xlfn.TEXTJOIN("-",,INDEX(_xlfn.TEXTSPLIT(TableGive[[#This Row],[SKU]],"-"),{1,2})),"")</f>
        <v>OVAMANM-120</v>
      </c>
      <c r="I434" s="15" t="str">
        <f>IFERROR(_xlfn.TEXTAFTER(TableGive[[#This Row],[SKU]],"-",-1),"")</f>
        <v>QT</v>
      </c>
      <c r="J434" s="14">
        <f>'[1]2026 Orders'!H435</f>
        <v>1500</v>
      </c>
      <c r="K434">
        <f>'[1]2026 Orders'!I435</f>
        <v>0</v>
      </c>
      <c r="L434">
        <f>'[1]2026 Orders'!J435</f>
        <v>0</v>
      </c>
      <c r="N434" s="10" t="str">
        <f>'[1]2026 Orders'!L435</f>
        <v>Sales Action Needed</v>
      </c>
      <c r="O434" t="str">
        <f>'[1]2026 Orders'!M435</f>
        <v>Out of Stock</v>
      </c>
      <c r="P434" t="str">
        <f>'[1]2026 Orders'!N435</f>
        <v>NA</v>
      </c>
      <c r="Q434">
        <f>'[1]2026 Orders'!O435</f>
        <v>604776736776</v>
      </c>
      <c r="R434">
        <f>'[1]2026 Orders'!P435</f>
        <v>0</v>
      </c>
      <c r="S434">
        <f>'[1]2026 Orders'!Q435</f>
        <v>0</v>
      </c>
      <c r="T434">
        <f>'[1]2026 Orders'!R435</f>
        <v>0</v>
      </c>
      <c r="U434">
        <f>'[1]2026 Orders'!S435</f>
        <v>0</v>
      </c>
      <c r="V434">
        <f>'[1]2026 Orders'!T435</f>
        <v>0</v>
      </c>
      <c r="W434">
        <f>'[1]2026 Orders'!U435</f>
        <v>0</v>
      </c>
      <c r="X434">
        <f>'[1]2026 Orders'!V435</f>
        <v>0</v>
      </c>
      <c r="Y434">
        <f>'[1]2026 Orders'!W435</f>
        <v>0</v>
      </c>
      <c r="Z434">
        <f>'[1]2026 Orders'!X435</f>
        <v>0</v>
      </c>
      <c r="AC434" t="str">
        <f t="shared" si="12"/>
        <v>/1500</v>
      </c>
      <c r="AD434" t="e">
        <f t="shared" si="13"/>
        <v>#VALUE!</v>
      </c>
    </row>
    <row r="435" spans="1:30" ht="33" hidden="1" customHeight="1" x14ac:dyDescent="0.3">
      <c r="A435">
        <f>'[1]2026 Orders'!A436</f>
        <v>46181</v>
      </c>
      <c r="B435" s="14" t="str">
        <f>'[1]2026 Orders'!B436</f>
        <v>Qatar</v>
      </c>
      <c r="C435" s="14" t="str">
        <f>'[1]2026 Orders'!C436</f>
        <v>A4715</v>
      </c>
      <c r="D435" s="14" t="str">
        <f>'[1]2026 Orders'!D436</f>
        <v>6/9/2026: Awaiting confirmation for labels</v>
      </c>
      <c r="E435" s="17" t="str" cm="1">
        <f t="array" ref="E435">IF(C435=0,"",
HYPERLINK(
"#'2026 Orders'!C"&amp;
MATCH(1,
('2026 Orders'!C:C=C435)*
('2026 Orders'!G:G=G435)*
('2026 Orders'!N:N=N435),
0),
"Open "&amp;C435
))</f>
        <v>Open A4715</v>
      </c>
      <c r="F435" s="14">
        <f>'[1]2026 Orders'!F436</f>
        <v>0</v>
      </c>
      <c r="G435" s="14" t="str">
        <f>'[1]2026 Orders'!G436</f>
        <v>PRECON-90-CS-QT</v>
      </c>
      <c r="H435" s="14" t="str" cm="1">
        <f t="array" ref="H435">IFERROR(_xlfn.TEXTJOIN("-",,INDEX(_xlfn.TEXTSPLIT(TableGive[[#This Row],[SKU]],"-"),{1,2})),"")</f>
        <v>PRECON-90</v>
      </c>
      <c r="I435" s="15" t="str">
        <f>IFERROR(_xlfn.TEXTAFTER(TableGive[[#This Row],[SKU]],"-",-1),"")</f>
        <v>QT</v>
      </c>
      <c r="J435" s="14">
        <f>'[1]2026 Orders'!H436</f>
        <v>1500</v>
      </c>
      <c r="K435">
        <f>'[1]2026 Orders'!I436</f>
        <v>0</v>
      </c>
      <c r="L435">
        <f>'[1]2026 Orders'!J436</f>
        <v>0</v>
      </c>
      <c r="N435" s="10" t="str">
        <f>'[1]2026 Orders'!L436</f>
        <v>Sales Action Needed</v>
      </c>
      <c r="O435" t="str">
        <f>'[1]2026 Orders'!M436</f>
        <v>Available</v>
      </c>
      <c r="P435" t="str">
        <f>'[1]2026 Orders'!N436</f>
        <v>NA</v>
      </c>
      <c r="Q435">
        <f>'[1]2026 Orders'!O436</f>
        <v>604776736790</v>
      </c>
      <c r="R435">
        <f>'[1]2026 Orders'!P436</f>
        <v>0</v>
      </c>
      <c r="S435">
        <f>'[1]2026 Orders'!Q436</f>
        <v>0</v>
      </c>
      <c r="T435">
        <f>'[1]2026 Orders'!R436</f>
        <v>0</v>
      </c>
      <c r="U435">
        <f>'[1]2026 Orders'!S436</f>
        <v>0</v>
      </c>
      <c r="V435">
        <f>'[1]2026 Orders'!T436</f>
        <v>0</v>
      </c>
      <c r="W435">
        <f>'[1]2026 Orders'!U436</f>
        <v>0</v>
      </c>
      <c r="X435">
        <f>'[1]2026 Orders'!V436</f>
        <v>0</v>
      </c>
      <c r="Y435">
        <f>'[1]2026 Orders'!W436</f>
        <v>0</v>
      </c>
      <c r="Z435">
        <f>'[1]2026 Orders'!X436</f>
        <v>0</v>
      </c>
      <c r="AC435" t="str">
        <f t="shared" si="12"/>
        <v>/1500</v>
      </c>
      <c r="AD435" t="e">
        <f t="shared" si="13"/>
        <v>#VALUE!</v>
      </c>
    </row>
    <row r="436" spans="1:30" ht="33" hidden="1" customHeight="1" x14ac:dyDescent="0.3">
      <c r="A436">
        <f>'[1]2026 Orders'!A437</f>
        <v>0</v>
      </c>
      <c r="B436" s="14">
        <f>'[1]2026 Orders'!B437</f>
        <v>0</v>
      </c>
      <c r="C436" s="14">
        <f>'[1]2026 Orders'!C437</f>
        <v>0</v>
      </c>
      <c r="D436" s="14">
        <f>'[1]2026 Orders'!D437</f>
        <v>0</v>
      </c>
      <c r="E436" s="17" t="str" cm="1">
        <f t="array" ref="E436">IF(C436=0,"",
HYPERLINK(
"#'2026 Orders'!C"&amp;
MATCH(1,
('2026 Orders'!C:C=C436)*
('2026 Orders'!G:G=G436)*
('2026 Orders'!N:N=N436),
0),
"Open "&amp;C436
))</f>
        <v/>
      </c>
      <c r="F436" s="14">
        <f>'[1]2026 Orders'!F437</f>
        <v>0</v>
      </c>
      <c r="G436" s="14">
        <f>'[1]2026 Orders'!G437</f>
        <v>0</v>
      </c>
      <c r="H436" s="14" t="str" cm="1">
        <f t="array" ref="H436">IFERROR(_xlfn.TEXTJOIN("-",,INDEX(_xlfn.TEXTSPLIT(TableGive[[#This Row],[SKU]],"-"),{1,2})),"")</f>
        <v/>
      </c>
      <c r="I436" s="15" t="str">
        <f>IFERROR(_xlfn.TEXTAFTER(TableGive[[#This Row],[SKU]],"-",-1),"")</f>
        <v/>
      </c>
      <c r="J436" s="14">
        <f>'[1]2026 Orders'!H437</f>
        <v>0</v>
      </c>
      <c r="K436">
        <f>'[1]2026 Orders'!I437</f>
        <v>0</v>
      </c>
      <c r="L436">
        <f>'[1]2026 Orders'!J437</f>
        <v>0</v>
      </c>
      <c r="N436" s="10">
        <f>'[1]2026 Orders'!L437</f>
        <v>0</v>
      </c>
      <c r="O436">
        <f>'[1]2026 Orders'!M437</f>
        <v>0</v>
      </c>
      <c r="P436">
        <f>'[1]2026 Orders'!N437</f>
        <v>0</v>
      </c>
      <c r="Q436">
        <f>'[1]2026 Orders'!O437</f>
        <v>0</v>
      </c>
      <c r="R436">
        <f>'[1]2026 Orders'!P437</f>
        <v>0</v>
      </c>
      <c r="S436">
        <f>'[1]2026 Orders'!Q437</f>
        <v>0</v>
      </c>
      <c r="T436">
        <f>'[1]2026 Orders'!R437</f>
        <v>0</v>
      </c>
      <c r="U436">
        <f>'[1]2026 Orders'!S437</f>
        <v>0</v>
      </c>
      <c r="V436">
        <f>'[1]2026 Orders'!T437</f>
        <v>0</v>
      </c>
      <c r="W436">
        <f>'[1]2026 Orders'!U437</f>
        <v>0</v>
      </c>
      <c r="X436">
        <f>'[1]2026 Orders'!V437</f>
        <v>0</v>
      </c>
      <c r="Y436">
        <f>'[1]2026 Orders'!W437</f>
        <v>0</v>
      </c>
      <c r="Z436">
        <f>'[1]2026 Orders'!X437</f>
        <v>0</v>
      </c>
      <c r="AC436" t="str">
        <f t="shared" si="12"/>
        <v/>
      </c>
      <c r="AD436" t="str">
        <f t="shared" si="13"/>
        <v/>
      </c>
    </row>
    <row r="437" spans="1:30" ht="33" hidden="1" customHeight="1" x14ac:dyDescent="0.3">
      <c r="A437">
        <f>'[1]2026 Orders'!A438</f>
        <v>46182</v>
      </c>
      <c r="B437" s="14" t="str">
        <f>'[1]2026 Orders'!B438</f>
        <v>Sudan</v>
      </c>
      <c r="C437" s="14" t="str">
        <f>'[1]2026 Orders'!C438</f>
        <v>A4716</v>
      </c>
      <c r="D437" s="14" t="str">
        <f>'[1]2026 Orders'!D438</f>
        <v>6/9/2026: Awaiting Proforma Approval</v>
      </c>
      <c r="E437" s="17" t="str" cm="1">
        <f t="array" ref="E437">IF(C437=0,"",
HYPERLINK(
"#'2026 Orders'!C"&amp;
MATCH(1,
('2026 Orders'!C:C=C437)*
('2026 Orders'!G:G=G437)*
('2026 Orders'!N:N=N437),
0),
"Open "&amp;C437
))</f>
        <v>Open A4716</v>
      </c>
      <c r="F437" s="14">
        <f>'[1]2026 Orders'!F438</f>
        <v>0</v>
      </c>
      <c r="G437" s="14" t="str">
        <f>'[1]2026 Orders'!G438</f>
        <v>MFSPLS-120-RE</v>
      </c>
      <c r="H437" s="14" t="str" cm="1">
        <f t="array" ref="H437">IFERROR(_xlfn.TEXTJOIN("-",,INDEX(_xlfn.TEXTSPLIT(TableGive[[#This Row],[SKU]],"-"),{1,2})),"")</f>
        <v>MFSPLS-120</v>
      </c>
      <c r="I437" s="15" t="str">
        <f>IFERROR(_xlfn.TEXTAFTER(TableGive[[#This Row],[SKU]],"-",-1),"")</f>
        <v>RE</v>
      </c>
      <c r="J437" s="14">
        <f>'[1]2026 Orders'!H438</f>
        <v>3395</v>
      </c>
      <c r="K437">
        <f>'[1]2026 Orders'!I438</f>
        <v>0</v>
      </c>
      <c r="L437">
        <f>'[1]2026 Orders'!J438</f>
        <v>0</v>
      </c>
      <c r="N437" s="10" t="str">
        <f>'[1]2026 Orders'!L438</f>
        <v>Out of Stock</v>
      </c>
      <c r="O437">
        <f>'[1]2026 Orders'!M438</f>
        <v>0</v>
      </c>
      <c r="P437" t="str">
        <f>'[1]2026 Orders'!N438</f>
        <v>NA</v>
      </c>
      <c r="Q437">
        <f>'[1]2026 Orders'!O438</f>
        <v>609788968344</v>
      </c>
      <c r="R437">
        <f>'[1]2026 Orders'!P438</f>
        <v>0</v>
      </c>
      <c r="S437">
        <f>'[1]2026 Orders'!Q438</f>
        <v>0</v>
      </c>
      <c r="T437">
        <f>'[1]2026 Orders'!R438</f>
        <v>0</v>
      </c>
      <c r="U437">
        <f>'[1]2026 Orders'!S438</f>
        <v>0</v>
      </c>
      <c r="V437">
        <f>'[1]2026 Orders'!T438</f>
        <v>0</v>
      </c>
      <c r="W437">
        <f>'[1]2026 Orders'!U438</f>
        <v>0</v>
      </c>
      <c r="X437">
        <f>'[1]2026 Orders'!V438</f>
        <v>0</v>
      </c>
      <c r="Y437">
        <f>'[1]2026 Orders'!W438</f>
        <v>0</v>
      </c>
      <c r="Z437">
        <f>'[1]2026 Orders'!X438</f>
        <v>0</v>
      </c>
      <c r="AC437" t="str">
        <f t="shared" si="12"/>
        <v>/3395</v>
      </c>
      <c r="AD437" t="e">
        <f t="shared" si="13"/>
        <v>#VALUE!</v>
      </c>
    </row>
    <row r="438" spans="1:30" ht="33" hidden="1" customHeight="1" x14ac:dyDescent="0.3">
      <c r="A438">
        <f>'[1]2026 Orders'!A439</f>
        <v>46182</v>
      </c>
      <c r="B438" s="14" t="str">
        <f>'[1]2026 Orders'!B439</f>
        <v>Sudan</v>
      </c>
      <c r="C438" s="14" t="str">
        <f>'[1]2026 Orders'!C439</f>
        <v>A4716</v>
      </c>
      <c r="D438" s="14" t="str">
        <f>'[1]2026 Orders'!D439</f>
        <v>6/10/2026: Proforma approved</v>
      </c>
      <c r="E438" s="17" t="str" cm="1">
        <f t="array" ref="E438">IF(C438=0,"",
HYPERLINK(
"#'2026 Orders'!C"&amp;
MATCH(1,
('2026 Orders'!C:C=C438)*
('2026 Orders'!G:G=G438)*
('2026 Orders'!N:N=N438),
0),
"Open "&amp;C438
))</f>
        <v>Open A4716</v>
      </c>
      <c r="F438" s="14">
        <f>'[1]2026 Orders'!F439</f>
        <v>0</v>
      </c>
      <c r="G438" s="14" t="str">
        <f>'[1]2026 Orders'!G439</f>
        <v>WFSPLS-180-RE</v>
      </c>
      <c r="H438" s="14" t="str" cm="1">
        <f t="array" ref="H438">IFERROR(_xlfn.TEXTJOIN("-",,INDEX(_xlfn.TEXTSPLIT(TableGive[[#This Row],[SKU]],"-"),{1,2})),"")</f>
        <v>WFSPLS-180</v>
      </c>
      <c r="I438" s="15" t="str">
        <f>IFERROR(_xlfn.TEXTAFTER(TableGive[[#This Row],[SKU]],"-",-1),"")</f>
        <v>RE</v>
      </c>
      <c r="J438" s="14">
        <f>'[1]2026 Orders'!H439</f>
        <v>1298</v>
      </c>
      <c r="K438">
        <f>'[1]2026 Orders'!I439</f>
        <v>0</v>
      </c>
      <c r="L438">
        <f>'[1]2026 Orders'!J439</f>
        <v>0</v>
      </c>
      <c r="N438" s="10" t="str">
        <f>'[1]2026 Orders'!L439</f>
        <v>Out of Stock</v>
      </c>
      <c r="O438">
        <f>'[1]2026 Orders'!M439</f>
        <v>0</v>
      </c>
      <c r="P438" t="str">
        <f>'[1]2026 Orders'!N439</f>
        <v>NA</v>
      </c>
      <c r="Q438">
        <f>'[1]2026 Orders'!O439</f>
        <v>609788968351</v>
      </c>
      <c r="R438">
        <f>'[1]2026 Orders'!P439</f>
        <v>0</v>
      </c>
      <c r="S438">
        <f>'[1]2026 Orders'!Q439</f>
        <v>0</v>
      </c>
      <c r="T438">
        <f>'[1]2026 Orders'!R439</f>
        <v>0</v>
      </c>
      <c r="U438">
        <f>'[1]2026 Orders'!S439</f>
        <v>0</v>
      </c>
      <c r="V438">
        <f>'[1]2026 Orders'!T439</f>
        <v>0</v>
      </c>
      <c r="W438">
        <f>'[1]2026 Orders'!U439</f>
        <v>0</v>
      </c>
      <c r="X438">
        <f>'[1]2026 Orders'!V439</f>
        <v>0</v>
      </c>
      <c r="Y438">
        <f>'[1]2026 Orders'!W439</f>
        <v>0</v>
      </c>
      <c r="Z438">
        <f>'[1]2026 Orders'!X439</f>
        <v>0</v>
      </c>
      <c r="AC438" t="str">
        <f t="shared" si="12"/>
        <v>/1298</v>
      </c>
      <c r="AD438" t="e">
        <f t="shared" si="13"/>
        <v>#VALUE!</v>
      </c>
    </row>
    <row r="439" spans="1:30" ht="33" hidden="1" customHeight="1" x14ac:dyDescent="0.3">
      <c r="A439">
        <f>'[1]2026 Orders'!A440</f>
        <v>46182</v>
      </c>
      <c r="B439" s="14" t="str">
        <f>'[1]2026 Orders'!B440</f>
        <v>Sudan</v>
      </c>
      <c r="C439" s="14" t="str">
        <f>'[1]2026 Orders'!C440</f>
        <v>A4716</v>
      </c>
      <c r="D439" s="14">
        <f>'[1]2026 Orders'!D440</f>
        <v>0</v>
      </c>
      <c r="E439" s="17" t="str" cm="1">
        <f t="array" ref="E439">IF(C439=0,"",
HYPERLINK(
"#'2026 Orders'!C"&amp;
MATCH(1,
('2026 Orders'!C:C=C439)*
('2026 Orders'!G:G=G439)*
('2026 Orders'!N:N=N439),
0),
"Open "&amp;C439
))</f>
        <v>Open A4716</v>
      </c>
      <c r="F439" s="14">
        <f>'[1]2026 Orders'!F440</f>
        <v>0</v>
      </c>
      <c r="G439" s="14" t="str">
        <f>'[1]2026 Orders'!G440</f>
        <v>PRECON-180-RE</v>
      </c>
      <c r="H439" s="14" t="str" cm="1">
        <f t="array" ref="H439">IFERROR(_xlfn.TEXTJOIN("-",,INDEX(_xlfn.TEXTSPLIT(TableGive[[#This Row],[SKU]],"-"),{1,2})),"")</f>
        <v>PRECON-180</v>
      </c>
      <c r="I439" s="15" t="str">
        <f>IFERROR(_xlfn.TEXTAFTER(TableGive[[#This Row],[SKU]],"-",-1),"")</f>
        <v>RE</v>
      </c>
      <c r="J439" s="14">
        <f>'[1]2026 Orders'!H440</f>
        <v>1048</v>
      </c>
      <c r="K439">
        <f>'[1]2026 Orders'!I440</f>
        <v>0</v>
      </c>
      <c r="L439">
        <f>'[1]2026 Orders'!J440</f>
        <v>0</v>
      </c>
      <c r="N439" s="10" t="str">
        <f>'[1]2026 Orders'!L440</f>
        <v>Out of Stock</v>
      </c>
      <c r="O439">
        <f>'[1]2026 Orders'!M440</f>
        <v>0</v>
      </c>
      <c r="P439" t="str">
        <f>'[1]2026 Orders'!N440</f>
        <v>NA</v>
      </c>
      <c r="Q439">
        <f>'[1]2026 Orders'!O440</f>
        <v>609788968375</v>
      </c>
      <c r="R439">
        <f>'[1]2026 Orders'!P440</f>
        <v>0</v>
      </c>
      <c r="S439">
        <f>'[1]2026 Orders'!Q440</f>
        <v>0</v>
      </c>
      <c r="T439">
        <f>'[1]2026 Orders'!R440</f>
        <v>0</v>
      </c>
      <c r="U439">
        <f>'[1]2026 Orders'!S440</f>
        <v>0</v>
      </c>
      <c r="V439">
        <f>'[1]2026 Orders'!T440</f>
        <v>0</v>
      </c>
      <c r="W439">
        <f>'[1]2026 Orders'!U440</f>
        <v>0</v>
      </c>
      <c r="X439">
        <f>'[1]2026 Orders'!V440</f>
        <v>0</v>
      </c>
      <c r="Y439">
        <f>'[1]2026 Orders'!W440</f>
        <v>0</v>
      </c>
      <c r="Z439">
        <f>'[1]2026 Orders'!X440</f>
        <v>0</v>
      </c>
      <c r="AC439" t="str">
        <f t="shared" si="12"/>
        <v>/1048</v>
      </c>
      <c r="AD439" t="e">
        <f t="shared" si="13"/>
        <v>#VALUE!</v>
      </c>
    </row>
    <row r="440" spans="1:30" ht="33" hidden="1" customHeight="1" x14ac:dyDescent="0.3">
      <c r="A440">
        <f>'[1]2026 Orders'!A441</f>
        <v>46182</v>
      </c>
      <c r="B440" s="14" t="str">
        <f>'[1]2026 Orders'!B441</f>
        <v>Sudan</v>
      </c>
      <c r="C440" s="14" t="str">
        <f>'[1]2026 Orders'!C441</f>
        <v>A4716</v>
      </c>
      <c r="D440" s="14">
        <f>'[1]2026 Orders'!D441</f>
        <v>0</v>
      </c>
      <c r="E440" s="17" t="str" cm="1">
        <f t="array" ref="E440">IF(C440=0,"",
HYPERLINK(
"#'2026 Orders'!C"&amp;
MATCH(1,
('2026 Orders'!C:C=C440)*
('2026 Orders'!G:G=G440)*
('2026 Orders'!N:N=N440),
0),
"Open "&amp;C440
))</f>
        <v>Open A4716</v>
      </c>
      <c r="F440" s="14">
        <f>'[1]2026 Orders'!F441</f>
        <v>0</v>
      </c>
      <c r="G440" s="14" t="str">
        <f>'[1]2026 Orders'!G441</f>
        <v>DHEA50-60-FD</v>
      </c>
      <c r="H440" s="14" t="str" cm="1">
        <f t="array" ref="H440">IFERROR(_xlfn.TEXTJOIN("-",,INDEX(_xlfn.TEXTSPLIT(TableGive[[#This Row],[SKU]],"-"),{1,2})),"")</f>
        <v>DHEA50-60</v>
      </c>
      <c r="I440" s="15" t="str">
        <f>IFERROR(_xlfn.TEXTAFTER(TableGive[[#This Row],[SKU]],"-",-1),"")</f>
        <v>FD</v>
      </c>
      <c r="J440" s="14">
        <f>'[1]2026 Orders'!H441</f>
        <v>3395</v>
      </c>
      <c r="K440">
        <f>'[1]2026 Orders'!I441</f>
        <v>0</v>
      </c>
      <c r="L440">
        <f>'[1]2026 Orders'!J441</f>
        <v>0</v>
      </c>
      <c r="N440" s="10" t="str">
        <f>'[1]2026 Orders'!L441</f>
        <v>Out of Stock</v>
      </c>
      <c r="O440">
        <f>'[1]2026 Orders'!M441</f>
        <v>0</v>
      </c>
      <c r="P440" t="str">
        <f>'[1]2026 Orders'!N441</f>
        <v>NA</v>
      </c>
      <c r="Q440">
        <f>'[1]2026 Orders'!O441</f>
        <v>609788968221</v>
      </c>
      <c r="R440">
        <f>'[1]2026 Orders'!P441</f>
        <v>0</v>
      </c>
      <c r="S440">
        <f>'[1]2026 Orders'!Q441</f>
        <v>0</v>
      </c>
      <c r="T440">
        <f>'[1]2026 Orders'!R441</f>
        <v>0</v>
      </c>
      <c r="U440">
        <f>'[1]2026 Orders'!S441</f>
        <v>0</v>
      </c>
      <c r="V440">
        <f>'[1]2026 Orders'!T441</f>
        <v>0</v>
      </c>
      <c r="W440">
        <f>'[1]2026 Orders'!U441</f>
        <v>0</v>
      </c>
      <c r="X440">
        <f>'[1]2026 Orders'!V441</f>
        <v>0</v>
      </c>
      <c r="Y440">
        <f>'[1]2026 Orders'!W441</f>
        <v>0</v>
      </c>
      <c r="Z440">
        <f>'[1]2026 Orders'!X441</f>
        <v>0</v>
      </c>
      <c r="AC440" t="str">
        <f t="shared" si="12"/>
        <v>/3395</v>
      </c>
      <c r="AD440" t="e">
        <f t="shared" si="13"/>
        <v>#VALUE!</v>
      </c>
    </row>
    <row r="441" spans="1:30" ht="33" hidden="1" customHeight="1" x14ac:dyDescent="0.3">
      <c r="A441">
        <f>'[1]2026 Orders'!A442</f>
        <v>46182</v>
      </c>
      <c r="B441" s="14" t="str">
        <f>'[1]2026 Orders'!B442</f>
        <v>Sudan</v>
      </c>
      <c r="C441" s="14" t="str">
        <f>'[1]2026 Orders'!C442</f>
        <v>A4716</v>
      </c>
      <c r="D441" s="14">
        <f>'[1]2026 Orders'!D442</f>
        <v>0</v>
      </c>
      <c r="E441" s="17" t="e" cm="1">
        <f t="array" ref="E441">IF(C441=0,"",
HYPERLINK(
"#'2026 Orders'!C"&amp;
MATCH(1,
('2026 Orders'!C:C=C441)*
('2026 Orders'!G:G=G441)*
('2026 Orders'!N:N=N441),
0),
"Open "&amp;C441
))</f>
        <v>#N/A</v>
      </c>
      <c r="F441" s="14">
        <f>'[1]2026 Orders'!F442</f>
        <v>0</v>
      </c>
      <c r="G441" s="14" t="str">
        <f>'[1]2026 Orders'!G442</f>
        <v>OVAMAX-120-RE</v>
      </c>
      <c r="H441" s="14" t="str" cm="1">
        <f t="array" ref="H441">IFERROR(_xlfn.TEXTJOIN("-",,INDEX(_xlfn.TEXTSPLIT(TableGive[[#This Row],[SKU]],"-"),{1,2})),"")</f>
        <v>OVAMAX-120</v>
      </c>
      <c r="I441" s="15" t="str">
        <f>IFERROR(_xlfn.TEXTAFTER(TableGive[[#This Row],[SKU]],"-",-1),"")</f>
        <v>RE</v>
      </c>
      <c r="J441" s="14">
        <f>'[1]2026 Orders'!H442</f>
        <v>1847</v>
      </c>
      <c r="K441">
        <f>'[1]2026 Orders'!I442</f>
        <v>0</v>
      </c>
      <c r="L441">
        <f>'[1]2026 Orders'!J442</f>
        <v>0</v>
      </c>
      <c r="N441" s="10">
        <f>'[1]2026 Orders'!L442</f>
        <v>0</v>
      </c>
      <c r="O441">
        <f>'[1]2026 Orders'!M442</f>
        <v>0</v>
      </c>
      <c r="P441" t="str">
        <f>'[1]2026 Orders'!N442</f>
        <v>NA</v>
      </c>
      <c r="Q441">
        <f>'[1]2026 Orders'!O442</f>
        <v>609788968399</v>
      </c>
      <c r="R441">
        <f>'[1]2026 Orders'!P442</f>
        <v>0</v>
      </c>
      <c r="S441">
        <f>'[1]2026 Orders'!Q442</f>
        <v>0</v>
      </c>
      <c r="T441">
        <f>'[1]2026 Orders'!R442</f>
        <v>0</v>
      </c>
      <c r="U441">
        <f>'[1]2026 Orders'!S442</f>
        <v>0</v>
      </c>
      <c r="V441">
        <f>'[1]2026 Orders'!T442</f>
        <v>0</v>
      </c>
      <c r="W441">
        <f>'[1]2026 Orders'!U442</f>
        <v>0</v>
      </c>
      <c r="X441">
        <f>'[1]2026 Orders'!V442</f>
        <v>0</v>
      </c>
      <c r="Y441">
        <f>'[1]2026 Orders'!W442</f>
        <v>0</v>
      </c>
      <c r="Z441">
        <f>'[1]2026 Orders'!X442</f>
        <v>0</v>
      </c>
      <c r="AC441" t="str">
        <f t="shared" si="12"/>
        <v>/1847</v>
      </c>
      <c r="AD441" t="e">
        <f t="shared" si="13"/>
        <v>#VALUE!</v>
      </c>
    </row>
    <row r="442" spans="1:30" ht="33" hidden="1" customHeight="1" x14ac:dyDescent="0.3">
      <c r="A442">
        <f>'[1]2026 Orders'!A443</f>
        <v>46182</v>
      </c>
      <c r="B442" s="14" t="str">
        <f>'[1]2026 Orders'!B443</f>
        <v>Sudan</v>
      </c>
      <c r="C442" s="14" t="str">
        <f>'[1]2026 Orders'!C443</f>
        <v>A4716</v>
      </c>
      <c r="D442" s="14">
        <f>'[1]2026 Orders'!D443</f>
        <v>0</v>
      </c>
      <c r="E442" s="17" t="str" cm="1">
        <f t="array" ref="E442">IF(C442=0,"",
HYPERLINK(
"#'2026 Orders'!C"&amp;
MATCH(1,
('2026 Orders'!C:C=C442)*
('2026 Orders'!G:G=G442)*
('2026 Orders'!N:N=N442),
0),
"Open "&amp;C442
))</f>
        <v>Open A4716</v>
      </c>
      <c r="F442" s="14">
        <f>'[1]2026 Orders'!F443</f>
        <v>0</v>
      </c>
      <c r="G442" s="14" t="str">
        <f>'[1]2026 Orders'!G443</f>
        <v>OSTEOPL-96-FD</v>
      </c>
      <c r="H442" s="14" t="str" cm="1">
        <f t="array" ref="H442">IFERROR(_xlfn.TEXTJOIN("-",,INDEX(_xlfn.TEXTSPLIT(TableGive[[#This Row],[SKU]],"-"),{1,2})),"")</f>
        <v>OSTEOPL-96</v>
      </c>
      <c r="I442" s="15" t="str">
        <f>IFERROR(_xlfn.TEXTAFTER(TableGive[[#This Row],[SKU]],"-",-1),"")</f>
        <v>FD</v>
      </c>
      <c r="J442" s="14">
        <f>'[1]2026 Orders'!H443</f>
        <v>1048</v>
      </c>
      <c r="K442">
        <f>'[1]2026 Orders'!I443</f>
        <v>0</v>
      </c>
      <c r="L442">
        <f>'[1]2026 Orders'!J443</f>
        <v>1048</v>
      </c>
      <c r="N442" s="10" t="str">
        <f>'[1]2026 Orders'!L443</f>
        <v>Rework</v>
      </c>
      <c r="O442">
        <f>'[1]2026 Orders'!M443</f>
        <v>0</v>
      </c>
      <c r="P442" t="str">
        <f>'[1]2026 Orders'!N443</f>
        <v>Y</v>
      </c>
      <c r="Q442" t="str">
        <f>'[1]2026 Orders'!O443</f>
        <v>609788968238</v>
      </c>
      <c r="R442">
        <f>'[1]2026 Orders'!P443</f>
        <v>0</v>
      </c>
      <c r="S442">
        <f>'[1]2026 Orders'!Q443</f>
        <v>0</v>
      </c>
      <c r="T442">
        <f>'[1]2026 Orders'!R443</f>
        <v>0</v>
      </c>
      <c r="U442">
        <f>'[1]2026 Orders'!S443</f>
        <v>0</v>
      </c>
      <c r="V442">
        <f>'[1]2026 Orders'!T443</f>
        <v>0</v>
      </c>
      <c r="W442">
        <f>'[1]2026 Orders'!U443</f>
        <v>0</v>
      </c>
      <c r="X442">
        <f>'[1]2026 Orders'!V443</f>
        <v>0</v>
      </c>
      <c r="Y442">
        <f>'[1]2026 Orders'!W443</f>
        <v>0</v>
      </c>
      <c r="Z442">
        <f>'[1]2026 Orders'!X443</f>
        <v>0</v>
      </c>
      <c r="AC442" t="str">
        <f t="shared" si="12"/>
        <v>/1048</v>
      </c>
      <c r="AD442" t="e">
        <f t="shared" si="13"/>
        <v>#VALUE!</v>
      </c>
    </row>
    <row r="443" spans="1:30" ht="33" hidden="1" customHeight="1" x14ac:dyDescent="0.3">
      <c r="A443">
        <f>'[1]2026 Orders'!A444</f>
        <v>46182</v>
      </c>
      <c r="B443" s="14" t="str">
        <f>'[1]2026 Orders'!B444</f>
        <v>Sudan</v>
      </c>
      <c r="C443" s="14" t="str">
        <f>'[1]2026 Orders'!C444</f>
        <v>A4716</v>
      </c>
      <c r="D443" s="14">
        <f>'[1]2026 Orders'!D444</f>
        <v>0</v>
      </c>
      <c r="E443" s="17" t="str" cm="1">
        <f t="array" ref="E443">IF(C443=0,"",
HYPERLINK(
"#'2026 Orders'!C"&amp;
MATCH(1,
('2026 Orders'!C:C=C443)*
('2026 Orders'!G:G=G443)*
('2026 Orders'!N:N=N443),
0),
"Open "&amp;C443
))</f>
        <v>Open A4716</v>
      </c>
      <c r="F443" s="14">
        <f>'[1]2026 Orders'!F444</f>
        <v>0</v>
      </c>
      <c r="G443" s="14" t="str">
        <f>'[1]2026 Orders'!G444</f>
        <v>PENAMAX-60-GE-CS-SU</v>
      </c>
      <c r="H443" s="14" t="str" cm="1">
        <f t="array" ref="H443">IFERROR(_xlfn.TEXTJOIN("-",,INDEX(_xlfn.TEXTSPLIT(TableGive[[#This Row],[SKU]],"-"),{1,2})),"")</f>
        <v>PENAMAX-60</v>
      </c>
      <c r="I443" s="15" t="str">
        <f>IFERROR(_xlfn.TEXTAFTER(TableGive[[#This Row],[SKU]],"-",-1),"")</f>
        <v>SU</v>
      </c>
      <c r="J443" s="14">
        <f>'[1]2026 Orders'!H444</f>
        <v>749</v>
      </c>
      <c r="K443">
        <f>'[1]2026 Orders'!I444</f>
        <v>0</v>
      </c>
      <c r="L443">
        <f>'[1]2026 Orders'!J444</f>
        <v>0</v>
      </c>
      <c r="N443" s="10" t="str">
        <f>'[1]2026 Orders'!L444</f>
        <v>Rework</v>
      </c>
      <c r="O443">
        <f>'[1]2026 Orders'!M444</f>
        <v>0</v>
      </c>
      <c r="P443" t="str">
        <f>'[1]2026 Orders'!N444</f>
        <v>Y</v>
      </c>
      <c r="Q443">
        <f>'[1]2026 Orders'!O444</f>
        <v>604776736875</v>
      </c>
      <c r="R443">
        <f>'[1]2026 Orders'!P444</f>
        <v>0</v>
      </c>
      <c r="S443">
        <f>'[1]2026 Orders'!Q444</f>
        <v>0</v>
      </c>
      <c r="T443">
        <f>'[1]2026 Orders'!R444</f>
        <v>0</v>
      </c>
      <c r="U443">
        <f>'[1]2026 Orders'!S444</f>
        <v>0</v>
      </c>
      <c r="V443">
        <f>'[1]2026 Orders'!T444</f>
        <v>0</v>
      </c>
      <c r="W443">
        <f>'[1]2026 Orders'!U444</f>
        <v>0</v>
      </c>
      <c r="X443">
        <f>'[1]2026 Orders'!V444</f>
        <v>0</v>
      </c>
      <c r="Y443">
        <f>'[1]2026 Orders'!W444</f>
        <v>0</v>
      </c>
      <c r="Z443">
        <f>'[1]2026 Orders'!X444</f>
        <v>0</v>
      </c>
      <c r="AC443" t="str">
        <f t="shared" si="12"/>
        <v>/749</v>
      </c>
      <c r="AD443" t="e">
        <f t="shared" si="13"/>
        <v>#VALUE!</v>
      </c>
    </row>
    <row r="444" spans="1:30" ht="33" hidden="1" customHeight="1" x14ac:dyDescent="0.3">
      <c r="A444">
        <f>'[1]2026 Orders'!A445</f>
        <v>46182</v>
      </c>
      <c r="B444" s="14" t="str">
        <f>'[1]2026 Orders'!B445</f>
        <v>Sudan</v>
      </c>
      <c r="C444" s="14" t="str">
        <f>'[1]2026 Orders'!C445</f>
        <v>A4716</v>
      </c>
      <c r="D444" s="14">
        <f>'[1]2026 Orders'!D445</f>
        <v>0</v>
      </c>
      <c r="E444" s="17" t="str" cm="1">
        <f t="array" ref="E444">IF(C444=0,"",
HYPERLINK(
"#'2026 Orders'!C"&amp;
MATCH(1,
('2026 Orders'!C:C=C444)*
('2026 Orders'!G:G=G444)*
('2026 Orders'!N:N=N444),
0),
"Open "&amp;C444
))</f>
        <v>Open A4716</v>
      </c>
      <c r="F444" s="14">
        <f>'[1]2026 Orders'!F445</f>
        <v>0</v>
      </c>
      <c r="G444" s="14" t="str">
        <f>'[1]2026 Orders'!G445</f>
        <v>COQ400-30-VE-CS-SU</v>
      </c>
      <c r="H444" s="14" t="str" cm="1">
        <f t="array" ref="H444">IFERROR(_xlfn.TEXTJOIN("-",,INDEX(_xlfn.TEXTSPLIT(TableGive[[#This Row],[SKU]],"-"),{1,2})),"")</f>
        <v>COQ400-30</v>
      </c>
      <c r="I444" s="15" t="str">
        <f>IFERROR(_xlfn.TEXTAFTER(TableGive[[#This Row],[SKU]],"-",-1),"")</f>
        <v>SU</v>
      </c>
      <c r="J444" s="14">
        <f>'[1]2026 Orders'!H445</f>
        <v>1800</v>
      </c>
      <c r="K444">
        <f>'[1]2026 Orders'!I445</f>
        <v>0</v>
      </c>
      <c r="L444">
        <f>'[1]2026 Orders'!J445</f>
        <v>1800</v>
      </c>
      <c r="N444" s="10" t="str">
        <f>'[1]2026 Orders'!L445</f>
        <v>Transit to Warehouse</v>
      </c>
      <c r="O444" t="str">
        <f>'[1]2026 Orders'!M445</f>
        <v>1800 will be available from A4808</v>
      </c>
      <c r="P444" t="str">
        <f>'[1]2026 Orders'!N445</f>
        <v>NA</v>
      </c>
      <c r="Q444">
        <f>'[1]2026 Orders'!O445</f>
        <v>609788968467</v>
      </c>
      <c r="R444">
        <f>'[1]2026 Orders'!P445</f>
        <v>0</v>
      </c>
      <c r="S444">
        <f>'[1]2026 Orders'!Q445</f>
        <v>0</v>
      </c>
      <c r="T444">
        <f>'[1]2026 Orders'!R445</f>
        <v>0</v>
      </c>
      <c r="U444">
        <f>'[1]2026 Orders'!S445</f>
        <v>0</v>
      </c>
      <c r="V444">
        <f>'[1]2026 Orders'!T445</f>
        <v>0</v>
      </c>
      <c r="W444">
        <f>'[1]2026 Orders'!U445</f>
        <v>0</v>
      </c>
      <c r="X444">
        <f>'[1]2026 Orders'!V445</f>
        <v>0</v>
      </c>
      <c r="Y444">
        <f>'[1]2026 Orders'!W445</f>
        <v>0</v>
      </c>
      <c r="Z444">
        <f>'[1]2026 Orders'!X445</f>
        <v>0</v>
      </c>
      <c r="AC444" t="str">
        <f t="shared" si="12"/>
        <v>/1800</v>
      </c>
      <c r="AD444" t="e">
        <f t="shared" si="13"/>
        <v>#VALUE!</v>
      </c>
    </row>
    <row r="445" spans="1:30" ht="33" hidden="1" customHeight="1" x14ac:dyDescent="0.3">
      <c r="A445">
        <f>'[1]2026 Orders'!A446</f>
        <v>46182</v>
      </c>
      <c r="B445" s="14" t="str">
        <f>'[1]2026 Orders'!B446</f>
        <v>Sudan</v>
      </c>
      <c r="C445" s="14" t="str">
        <f>'[1]2026 Orders'!C446</f>
        <v>A4716</v>
      </c>
      <c r="D445" s="14">
        <f>'[1]2026 Orders'!D446</f>
        <v>0</v>
      </c>
      <c r="E445" s="17" t="str" cm="1">
        <f t="array" ref="E445">IF(C445=0,"",
HYPERLINK(
"#'2026 Orders'!C"&amp;
MATCH(1,
('2026 Orders'!C:C=C445)*
('2026 Orders'!G:G=G445)*
('2026 Orders'!N:N=N445),
0),
"Open "&amp;C445
))</f>
        <v>Open A4716</v>
      </c>
      <c r="F445" s="14">
        <f>'[1]2026 Orders'!F446</f>
        <v>0</v>
      </c>
      <c r="G445" s="14" t="str">
        <f>'[1]2026 Orders'!G446</f>
        <v>COQ400-30-VE-CS-SU</v>
      </c>
      <c r="H445" s="14" t="str" cm="1">
        <f t="array" ref="H445">IFERROR(_xlfn.TEXTJOIN("-",,INDEX(_xlfn.TEXTSPLIT(TableGive[[#This Row],[SKU]],"-"),{1,2})),"")</f>
        <v>COQ400-30</v>
      </c>
      <c r="I445" s="15" t="str">
        <f>IFERROR(_xlfn.TEXTAFTER(TableGive[[#This Row],[SKU]],"-",-1),"")</f>
        <v>SU</v>
      </c>
      <c r="J445" s="14">
        <f>'[1]2026 Orders'!H446</f>
        <v>546</v>
      </c>
      <c r="K445">
        <f>'[1]2026 Orders'!I446</f>
        <v>0</v>
      </c>
      <c r="L445">
        <f>'[1]2026 Orders'!J446</f>
        <v>0</v>
      </c>
      <c r="N445" s="10" t="str">
        <f>'[1]2026 Orders'!L446</f>
        <v>Out of Stock</v>
      </c>
      <c r="O445">
        <f>'[1]2026 Orders'!M446</f>
        <v>0</v>
      </c>
      <c r="P445" t="str">
        <f>'[1]2026 Orders'!N446</f>
        <v>NA</v>
      </c>
      <c r="Q445">
        <f>'[1]2026 Orders'!O446</f>
        <v>609788968467</v>
      </c>
      <c r="R445">
        <f>'[1]2026 Orders'!P446</f>
        <v>0</v>
      </c>
      <c r="S445">
        <f>'[1]2026 Orders'!Q446</f>
        <v>0</v>
      </c>
      <c r="T445">
        <f>'[1]2026 Orders'!R446</f>
        <v>0</v>
      </c>
      <c r="U445">
        <f>'[1]2026 Orders'!S446</f>
        <v>0</v>
      </c>
      <c r="V445">
        <f>'[1]2026 Orders'!T446</f>
        <v>0</v>
      </c>
      <c r="W445">
        <f>'[1]2026 Orders'!U446</f>
        <v>0</v>
      </c>
      <c r="X445">
        <f>'[1]2026 Orders'!V446</f>
        <v>0</v>
      </c>
      <c r="Y445">
        <f>'[1]2026 Orders'!W446</f>
        <v>0</v>
      </c>
      <c r="Z445">
        <f>'[1]2026 Orders'!X446</f>
        <v>0</v>
      </c>
      <c r="AC445" t="str">
        <f t="shared" si="12"/>
        <v>/546</v>
      </c>
      <c r="AD445" t="e">
        <f t="shared" si="13"/>
        <v>#VALUE!</v>
      </c>
    </row>
    <row r="446" spans="1:30" ht="33" hidden="1" customHeight="1" x14ac:dyDescent="0.3">
      <c r="A446">
        <f>'[1]2026 Orders'!A447</f>
        <v>0</v>
      </c>
      <c r="B446" s="14">
        <f>'[1]2026 Orders'!B447</f>
        <v>0</v>
      </c>
      <c r="C446" s="14">
        <f>'[1]2026 Orders'!C447</f>
        <v>0</v>
      </c>
      <c r="D446" s="14">
        <f>'[1]2026 Orders'!D447</f>
        <v>0</v>
      </c>
      <c r="E446" s="17" t="str" cm="1">
        <f t="array" ref="E446">IF(C446=0,"",
HYPERLINK(
"#'2026 Orders'!C"&amp;
MATCH(1,
('2026 Orders'!C:C=C446)*
('2026 Orders'!G:G=G446)*
('2026 Orders'!N:N=N446),
0),
"Open "&amp;C446
))</f>
        <v/>
      </c>
      <c r="F446" s="14">
        <f>'[1]2026 Orders'!F447</f>
        <v>0</v>
      </c>
      <c r="G446" s="14">
        <f>'[1]2026 Orders'!G447</f>
        <v>0</v>
      </c>
      <c r="H446" s="14" t="str" cm="1">
        <f t="array" ref="H446">IFERROR(_xlfn.TEXTJOIN("-",,INDEX(_xlfn.TEXTSPLIT(TableGive[[#This Row],[SKU]],"-"),{1,2})),"")</f>
        <v/>
      </c>
      <c r="I446" s="15" t="str">
        <f>IFERROR(_xlfn.TEXTAFTER(TableGive[[#This Row],[SKU]],"-",-1),"")</f>
        <v/>
      </c>
      <c r="J446" s="14">
        <f>'[1]2026 Orders'!H447</f>
        <v>0</v>
      </c>
      <c r="K446">
        <f>'[1]2026 Orders'!I447</f>
        <v>0</v>
      </c>
      <c r="L446">
        <f>'[1]2026 Orders'!J447</f>
        <v>0</v>
      </c>
      <c r="N446" s="10">
        <f>'[1]2026 Orders'!L447</f>
        <v>0</v>
      </c>
      <c r="O446">
        <f>'[1]2026 Orders'!M447</f>
        <v>0</v>
      </c>
      <c r="P446">
        <f>'[1]2026 Orders'!N447</f>
        <v>0</v>
      </c>
      <c r="Q446">
        <f>'[1]2026 Orders'!O447</f>
        <v>0</v>
      </c>
      <c r="R446">
        <f>'[1]2026 Orders'!P447</f>
        <v>0</v>
      </c>
      <c r="S446">
        <f>'[1]2026 Orders'!Q447</f>
        <v>0</v>
      </c>
      <c r="T446">
        <f>'[1]2026 Orders'!R447</f>
        <v>0</v>
      </c>
      <c r="U446">
        <f>'[1]2026 Orders'!S447</f>
        <v>0</v>
      </c>
      <c r="V446">
        <f>'[1]2026 Orders'!T447</f>
        <v>0</v>
      </c>
      <c r="W446">
        <f>'[1]2026 Orders'!U447</f>
        <v>0</v>
      </c>
      <c r="X446">
        <f>'[1]2026 Orders'!V447</f>
        <v>0</v>
      </c>
      <c r="Y446">
        <f>'[1]2026 Orders'!W447</f>
        <v>0</v>
      </c>
      <c r="Z446">
        <f>'[1]2026 Orders'!X447</f>
        <v>0</v>
      </c>
      <c r="AC446" t="str">
        <f t="shared" si="12"/>
        <v/>
      </c>
      <c r="AD446" t="str">
        <f t="shared" si="13"/>
        <v/>
      </c>
    </row>
    <row r="447" spans="1:30" ht="33" hidden="1" customHeight="1" x14ac:dyDescent="0.3">
      <c r="A447">
        <f>'[1]2026 Orders'!A448</f>
        <v>46183</v>
      </c>
      <c r="B447" s="14" t="str">
        <f>'[1]2026 Orders'!B448</f>
        <v>Tanzania</v>
      </c>
      <c r="C447" s="14" t="str">
        <f>'[1]2026 Orders'!C448</f>
        <v>A4717</v>
      </c>
      <c r="D447" s="14" t="str">
        <f>'[1]2026 Orders'!D448</f>
        <v>6/10/2026: Awaiting Proforma Approval</v>
      </c>
      <c r="E447" s="17" t="str" cm="1">
        <f t="array" ref="E447">IF(C447=0,"",
HYPERLINK(
"#'2026 Orders'!C"&amp;
MATCH(1,
('2026 Orders'!C:C=C447)*
('2026 Orders'!G:G=G447)*
('2026 Orders'!N:N=N447),
0),
"Open "&amp;C447
))</f>
        <v>Open A4717</v>
      </c>
      <c r="F447" s="14">
        <f>'[1]2026 Orders'!F448</f>
        <v>0</v>
      </c>
      <c r="G447" s="14" t="str">
        <f>'[1]2026 Orders'!G448</f>
        <v>PROSTA-90-CS-TA</v>
      </c>
      <c r="H447" s="14" t="str" cm="1">
        <f t="array" ref="H447">IFERROR(_xlfn.TEXTJOIN("-",,INDEX(_xlfn.TEXTSPLIT(TableGive[[#This Row],[SKU]],"-"),{1,2})),"")</f>
        <v>PROSTA-90</v>
      </c>
      <c r="I447" s="15" t="str">
        <f>IFERROR(_xlfn.TEXTAFTER(TableGive[[#This Row],[SKU]],"-",-1),"")</f>
        <v>TA</v>
      </c>
      <c r="J447" s="14">
        <f>'[1]2026 Orders'!H448</f>
        <v>10</v>
      </c>
      <c r="K447">
        <f>'[1]2026 Orders'!I448</f>
        <v>0</v>
      </c>
      <c r="L447">
        <f>'[1]2026 Orders'!J448</f>
        <v>0</v>
      </c>
      <c r="N447" s="10" t="str">
        <f>'[1]2026 Orders'!L448</f>
        <v>Sales Action Needed</v>
      </c>
      <c r="O447">
        <f>'[1]2026 Orders'!M448</f>
        <v>0</v>
      </c>
      <c r="P447" t="str">
        <f>'[1]2026 Orders'!N448</f>
        <v>NA</v>
      </c>
      <c r="Q447">
        <f>'[1]2026 Orders'!O448</f>
        <v>810131195212</v>
      </c>
      <c r="R447">
        <f>'[1]2026 Orders'!P448</f>
        <v>0</v>
      </c>
      <c r="S447">
        <f>'[1]2026 Orders'!Q448</f>
        <v>0</v>
      </c>
      <c r="T447">
        <f>'[1]2026 Orders'!R448</f>
        <v>0</v>
      </c>
      <c r="U447">
        <f>'[1]2026 Orders'!S448</f>
        <v>0</v>
      </c>
      <c r="V447">
        <f>'[1]2026 Orders'!T448</f>
        <v>0</v>
      </c>
      <c r="W447">
        <f>'[1]2026 Orders'!U448</f>
        <v>0</v>
      </c>
      <c r="X447">
        <f>'[1]2026 Orders'!V448</f>
        <v>0</v>
      </c>
      <c r="Y447">
        <f>'[1]2026 Orders'!W448</f>
        <v>0</v>
      </c>
      <c r="Z447">
        <f>'[1]2026 Orders'!X448</f>
        <v>0</v>
      </c>
      <c r="AC447" t="str">
        <f t="shared" si="12"/>
        <v>/10</v>
      </c>
      <c r="AD447" t="e">
        <f t="shared" si="13"/>
        <v>#VALUE!</v>
      </c>
    </row>
    <row r="448" spans="1:30" ht="33" hidden="1" customHeight="1" x14ac:dyDescent="0.3">
      <c r="A448">
        <f>'[1]2026 Orders'!A449</f>
        <v>46183</v>
      </c>
      <c r="B448" s="14" t="str">
        <f>'[1]2026 Orders'!B449</f>
        <v>Tanzania</v>
      </c>
      <c r="C448" s="14" t="str">
        <f>'[1]2026 Orders'!C449</f>
        <v>A4717</v>
      </c>
      <c r="D448" s="14">
        <f>'[1]2026 Orders'!D449</f>
        <v>0</v>
      </c>
      <c r="E448" s="17" t="str" cm="1">
        <f t="array" ref="E448">IF(C448=0,"",
HYPERLINK(
"#'2026 Orders'!C"&amp;
MATCH(1,
('2026 Orders'!C:C=C448)*
('2026 Orders'!G:G=G448)*
('2026 Orders'!N:N=N448),
0),
"Open "&amp;C448
))</f>
        <v>Open A4717</v>
      </c>
      <c r="F448" s="14">
        <f>'[1]2026 Orders'!F449</f>
        <v>0</v>
      </c>
      <c r="G448" s="14" t="str">
        <f>'[1]2026 Orders'!G449</f>
        <v>METRIO-60-CS-TA</v>
      </c>
      <c r="H448" s="14" t="str" cm="1">
        <f t="array" ref="H448">IFERROR(_xlfn.TEXTJOIN("-",,INDEX(_xlfn.TEXTSPLIT(TableGive[[#This Row],[SKU]],"-"),{1,2})),"")</f>
        <v>METRIO-60</v>
      </c>
      <c r="I448" s="15" t="str">
        <f>IFERROR(_xlfn.TEXTAFTER(TableGive[[#This Row],[SKU]],"-",-1),"")</f>
        <v>TA</v>
      </c>
      <c r="J448" s="14">
        <f>'[1]2026 Orders'!H449</f>
        <v>10</v>
      </c>
      <c r="K448">
        <f>'[1]2026 Orders'!I449</f>
        <v>0</v>
      </c>
      <c r="L448">
        <f>'[1]2026 Orders'!J449</f>
        <v>0</v>
      </c>
      <c r="N448" s="10" t="str">
        <f>'[1]2026 Orders'!L449</f>
        <v>Sales Action Needed</v>
      </c>
      <c r="O448">
        <f>'[1]2026 Orders'!M449</f>
        <v>0</v>
      </c>
      <c r="P448" t="str">
        <f>'[1]2026 Orders'!N449</f>
        <v>NA</v>
      </c>
      <c r="Q448">
        <f>'[1]2026 Orders'!O449</f>
        <v>810131195182</v>
      </c>
      <c r="R448">
        <f>'[1]2026 Orders'!P449</f>
        <v>0</v>
      </c>
      <c r="S448">
        <f>'[1]2026 Orders'!Q449</f>
        <v>0</v>
      </c>
      <c r="T448">
        <f>'[1]2026 Orders'!R449</f>
        <v>0</v>
      </c>
      <c r="U448">
        <f>'[1]2026 Orders'!S449</f>
        <v>0</v>
      </c>
      <c r="V448">
        <f>'[1]2026 Orders'!T449</f>
        <v>0</v>
      </c>
      <c r="W448">
        <f>'[1]2026 Orders'!U449</f>
        <v>0</v>
      </c>
      <c r="X448">
        <f>'[1]2026 Orders'!V449</f>
        <v>0</v>
      </c>
      <c r="Y448">
        <f>'[1]2026 Orders'!W449</f>
        <v>0</v>
      </c>
      <c r="Z448">
        <f>'[1]2026 Orders'!X449</f>
        <v>0</v>
      </c>
      <c r="AC448" t="str">
        <f t="shared" si="12"/>
        <v>/10</v>
      </c>
      <c r="AD448" t="e">
        <f t="shared" si="13"/>
        <v>#VALUE!</v>
      </c>
    </row>
    <row r="449" spans="1:30" ht="33" hidden="1" customHeight="1" x14ac:dyDescent="0.3">
      <c r="A449">
        <f>'[1]2026 Orders'!A450</f>
        <v>46183</v>
      </c>
      <c r="B449" s="14" t="str">
        <f>'[1]2026 Orders'!B450</f>
        <v>Tanzania</v>
      </c>
      <c r="C449" s="14" t="str">
        <f>'[1]2026 Orders'!C450</f>
        <v>A4717</v>
      </c>
      <c r="D449" s="14">
        <f>'[1]2026 Orders'!D450</f>
        <v>0</v>
      </c>
      <c r="E449" s="17" t="str" cm="1">
        <f t="array" ref="E449">IF(C449=0,"",
HYPERLINK(
"#'2026 Orders'!C"&amp;
MATCH(1,
('2026 Orders'!C:C=C449)*
('2026 Orders'!G:G=G449)*
('2026 Orders'!N:N=N449),
0),
"Open "&amp;C449
))</f>
        <v>Open A4717</v>
      </c>
      <c r="F449" s="14">
        <f>'[1]2026 Orders'!F450</f>
        <v>0</v>
      </c>
      <c r="G449" s="14" t="str">
        <f>'[1]2026 Orders'!G450</f>
        <v>FIBRO-60-CS-TA</v>
      </c>
      <c r="H449" s="14" t="str" cm="1">
        <f t="array" ref="H449">IFERROR(_xlfn.TEXTJOIN("-",,INDEX(_xlfn.TEXTSPLIT(TableGive[[#This Row],[SKU]],"-"),{1,2})),"")</f>
        <v>FIBRO-60</v>
      </c>
      <c r="I449" s="15" t="str">
        <f>IFERROR(_xlfn.TEXTAFTER(TableGive[[#This Row],[SKU]],"-",-1),"")</f>
        <v>TA</v>
      </c>
      <c r="J449" s="14">
        <f>'[1]2026 Orders'!H450</f>
        <v>10</v>
      </c>
      <c r="K449">
        <f>'[1]2026 Orders'!I450</f>
        <v>0</v>
      </c>
      <c r="L449">
        <f>'[1]2026 Orders'!J450</f>
        <v>0</v>
      </c>
      <c r="N449" s="10" t="str">
        <f>'[1]2026 Orders'!L450</f>
        <v>Sales Action Needed</v>
      </c>
      <c r="O449">
        <f>'[1]2026 Orders'!M450</f>
        <v>0</v>
      </c>
      <c r="P449" t="str">
        <f>'[1]2026 Orders'!N450</f>
        <v>NA</v>
      </c>
      <c r="Q449">
        <f>'[1]2026 Orders'!O450</f>
        <v>810131195175</v>
      </c>
      <c r="R449">
        <f>'[1]2026 Orders'!P450</f>
        <v>0</v>
      </c>
      <c r="S449">
        <f>'[1]2026 Orders'!Q450</f>
        <v>0</v>
      </c>
      <c r="T449">
        <f>'[1]2026 Orders'!R450</f>
        <v>0</v>
      </c>
      <c r="U449">
        <f>'[1]2026 Orders'!S450</f>
        <v>0</v>
      </c>
      <c r="V449">
        <f>'[1]2026 Orders'!T450</f>
        <v>0</v>
      </c>
      <c r="W449">
        <f>'[1]2026 Orders'!U450</f>
        <v>0</v>
      </c>
      <c r="X449">
        <f>'[1]2026 Orders'!V450</f>
        <v>0</v>
      </c>
      <c r="Y449">
        <f>'[1]2026 Orders'!W450</f>
        <v>0</v>
      </c>
      <c r="Z449">
        <f>'[1]2026 Orders'!X450</f>
        <v>0</v>
      </c>
      <c r="AC449" t="str">
        <f t="shared" si="12"/>
        <v>/10</v>
      </c>
      <c r="AD449" t="e">
        <f t="shared" si="13"/>
        <v>#VALUE!</v>
      </c>
    </row>
    <row r="450" spans="1:30" ht="33" hidden="1" customHeight="1" x14ac:dyDescent="0.3">
      <c r="A450">
        <f>'[1]2026 Orders'!A451</f>
        <v>46183</v>
      </c>
      <c r="B450" s="14" t="str">
        <f>'[1]2026 Orders'!B451</f>
        <v>Tanzania</v>
      </c>
      <c r="C450" s="14" t="str">
        <f>'[1]2026 Orders'!C451</f>
        <v>A4717</v>
      </c>
      <c r="D450" s="14">
        <f>'[1]2026 Orders'!D451</f>
        <v>0</v>
      </c>
      <c r="E450" s="17" t="str" cm="1">
        <f t="array" ref="E450">IF(C450=0,"",
HYPERLINK(
"#'2026 Orders'!C"&amp;
MATCH(1,
('2026 Orders'!C:C=C450)*
('2026 Orders'!G:G=G450)*
('2026 Orders'!N:N=N450),
0),
"Open "&amp;C450
))</f>
        <v>Open A4717</v>
      </c>
      <c r="F450" s="14">
        <f>'[1]2026 Orders'!F451</f>
        <v>0</v>
      </c>
      <c r="G450" s="14" t="str">
        <f>'[1]2026 Orders'!G451</f>
        <v>UTIC-60-CS-TA</v>
      </c>
      <c r="H450" s="14" t="str" cm="1">
        <f t="array" ref="H450">IFERROR(_xlfn.TEXTJOIN("-",,INDEX(_xlfn.TEXTSPLIT(TableGive[[#This Row],[SKU]],"-"),{1,2})),"")</f>
        <v>UTIC-60</v>
      </c>
      <c r="I450" s="15" t="str">
        <f>IFERROR(_xlfn.TEXTAFTER(TableGive[[#This Row],[SKU]],"-",-1),"")</f>
        <v>TA</v>
      </c>
      <c r="J450" s="14">
        <f>'[1]2026 Orders'!H451</f>
        <v>10</v>
      </c>
      <c r="K450">
        <f>'[1]2026 Orders'!I451</f>
        <v>0</v>
      </c>
      <c r="L450">
        <f>'[1]2026 Orders'!J451</f>
        <v>0</v>
      </c>
      <c r="N450" s="10" t="str">
        <f>'[1]2026 Orders'!L451</f>
        <v>Sales Action Needed</v>
      </c>
      <c r="O450">
        <f>'[1]2026 Orders'!M451</f>
        <v>0</v>
      </c>
      <c r="P450" t="str">
        <f>'[1]2026 Orders'!N451</f>
        <v>NA</v>
      </c>
      <c r="Q450">
        <f>'[1]2026 Orders'!O451</f>
        <v>810131195243</v>
      </c>
      <c r="R450">
        <f>'[1]2026 Orders'!P451</f>
        <v>0</v>
      </c>
      <c r="S450">
        <f>'[1]2026 Orders'!Q451</f>
        <v>0</v>
      </c>
      <c r="T450">
        <f>'[1]2026 Orders'!R451</f>
        <v>0</v>
      </c>
      <c r="U450">
        <f>'[1]2026 Orders'!S451</f>
        <v>0</v>
      </c>
      <c r="V450">
        <f>'[1]2026 Orders'!T451</f>
        <v>0</v>
      </c>
      <c r="W450">
        <f>'[1]2026 Orders'!U451</f>
        <v>0</v>
      </c>
      <c r="X450">
        <f>'[1]2026 Orders'!V451</f>
        <v>0</v>
      </c>
      <c r="Y450">
        <f>'[1]2026 Orders'!W451</f>
        <v>0</v>
      </c>
      <c r="Z450">
        <f>'[1]2026 Orders'!X451</f>
        <v>0</v>
      </c>
      <c r="AC450" t="str">
        <f t="shared" si="12"/>
        <v>/10</v>
      </c>
      <c r="AD450" t="e">
        <f t="shared" si="13"/>
        <v>#VALUE!</v>
      </c>
    </row>
    <row r="451" spans="1:30" ht="33" hidden="1" customHeight="1" x14ac:dyDescent="0.3">
      <c r="A451">
        <f>'[1]2026 Orders'!A452</f>
        <v>46183</v>
      </c>
      <c r="B451" s="14" t="str">
        <f>'[1]2026 Orders'!B452</f>
        <v>Tanzania</v>
      </c>
      <c r="C451" s="14" t="str">
        <f>'[1]2026 Orders'!C452</f>
        <v>A4717</v>
      </c>
      <c r="D451" s="14">
        <f>'[1]2026 Orders'!D452</f>
        <v>0</v>
      </c>
      <c r="E451" s="17" t="str" cm="1">
        <f t="array" ref="E451">IF(C451=0,"",
HYPERLINK(
"#'2026 Orders'!C"&amp;
MATCH(1,
('2026 Orders'!C:C=C451)*
('2026 Orders'!G:G=G451)*
('2026 Orders'!N:N=N451),
0),
"Open "&amp;C451
))</f>
        <v>Open A4717</v>
      </c>
      <c r="F451" s="14">
        <f>'[1]2026 Orders'!F452</f>
        <v>0</v>
      </c>
      <c r="G451" s="14" t="str">
        <f>'[1]2026 Orders'!G452</f>
        <v>ROYALPL-30-CS-TA</v>
      </c>
      <c r="H451" s="14" t="str" cm="1">
        <f t="array" ref="H451">IFERROR(_xlfn.TEXTJOIN("-",,INDEX(_xlfn.TEXTSPLIT(TableGive[[#This Row],[SKU]],"-"),{1,2})),"")</f>
        <v>ROYALPL-30</v>
      </c>
      <c r="I451" s="15" t="str">
        <f>IFERROR(_xlfn.TEXTAFTER(TableGive[[#This Row],[SKU]],"-",-1),"")</f>
        <v>TA</v>
      </c>
      <c r="J451" s="14">
        <f>'[1]2026 Orders'!H452</f>
        <v>10</v>
      </c>
      <c r="K451">
        <f>'[1]2026 Orders'!I452</f>
        <v>0</v>
      </c>
      <c r="L451">
        <f>'[1]2026 Orders'!J452</f>
        <v>0</v>
      </c>
      <c r="N451" s="10" t="str">
        <f>'[1]2026 Orders'!L452</f>
        <v>Sales Action Needed</v>
      </c>
      <c r="O451">
        <f>'[1]2026 Orders'!M452</f>
        <v>0</v>
      </c>
      <c r="P451" t="str">
        <f>'[1]2026 Orders'!N452</f>
        <v>NA</v>
      </c>
      <c r="Q451">
        <f>'[1]2026 Orders'!O452</f>
        <v>810131195229</v>
      </c>
      <c r="R451">
        <f>'[1]2026 Orders'!P452</f>
        <v>0</v>
      </c>
      <c r="S451">
        <f>'[1]2026 Orders'!Q452</f>
        <v>0</v>
      </c>
      <c r="T451">
        <f>'[1]2026 Orders'!R452</f>
        <v>0</v>
      </c>
      <c r="U451">
        <f>'[1]2026 Orders'!S452</f>
        <v>0</v>
      </c>
      <c r="V451">
        <f>'[1]2026 Orders'!T452</f>
        <v>0</v>
      </c>
      <c r="W451">
        <f>'[1]2026 Orders'!U452</f>
        <v>0</v>
      </c>
      <c r="X451">
        <f>'[1]2026 Orders'!V452</f>
        <v>0</v>
      </c>
      <c r="Y451">
        <f>'[1]2026 Orders'!W452</f>
        <v>0</v>
      </c>
      <c r="Z451">
        <f>'[1]2026 Orders'!X452</f>
        <v>0</v>
      </c>
      <c r="AC451" t="str">
        <f t="shared" ref="AC451:AC514" si="14">IF(OR(B451="",B451=0),"",$AJ$2&amp;"/"&amp;J451)</f>
        <v>/10</v>
      </c>
      <c r="AD451" t="e">
        <f t="shared" ref="AD451:AD514" si="15">IF(OR(J451="",J451=0),"",$AK$2&amp;" -&gt; "&amp;I451)</f>
        <v>#VALUE!</v>
      </c>
    </row>
    <row r="452" spans="1:30" ht="33" hidden="1" customHeight="1" x14ac:dyDescent="0.3">
      <c r="A452">
        <f>'[1]2026 Orders'!A453</f>
        <v>46183</v>
      </c>
      <c r="B452" s="14" t="str">
        <f>'[1]2026 Orders'!B453</f>
        <v>Tanzania</v>
      </c>
      <c r="C452" s="14" t="str">
        <f>'[1]2026 Orders'!C453</f>
        <v>A4717</v>
      </c>
      <c r="D452" s="14">
        <f>'[1]2026 Orders'!D453</f>
        <v>0</v>
      </c>
      <c r="E452" s="17" t="str" cm="1">
        <f t="array" ref="E452">IF(C452=0,"",
HYPERLINK(
"#'2026 Orders'!C"&amp;
MATCH(1,
('2026 Orders'!C:C=C452)*
('2026 Orders'!G:G=G452)*
('2026 Orders'!N:N=N452),
0),
"Open "&amp;C452
))</f>
        <v>Open A4717</v>
      </c>
      <c r="F452" s="14">
        <f>'[1]2026 Orders'!F453</f>
        <v>0</v>
      </c>
      <c r="G452" s="14" t="str">
        <f>'[1]2026 Orders'!G453</f>
        <v>MOTILMX-60-CS-TA</v>
      </c>
      <c r="H452" s="14" t="str" cm="1">
        <f t="array" ref="H452">IFERROR(_xlfn.TEXTJOIN("-",,INDEX(_xlfn.TEXTSPLIT(TableGive[[#This Row],[SKU]],"-"),{1,2})),"")</f>
        <v>MOTILMX-60</v>
      </c>
      <c r="I452" s="15" t="str">
        <f>IFERROR(_xlfn.TEXTAFTER(TableGive[[#This Row],[SKU]],"-",-1),"")</f>
        <v>TA</v>
      </c>
      <c r="J452" s="14">
        <f>'[1]2026 Orders'!H453</f>
        <v>10</v>
      </c>
      <c r="K452">
        <f>'[1]2026 Orders'!I453</f>
        <v>0</v>
      </c>
      <c r="L452">
        <f>'[1]2026 Orders'!J453</f>
        <v>0</v>
      </c>
      <c r="N452" s="10" t="str">
        <f>'[1]2026 Orders'!L453</f>
        <v>Sales Action Needed</v>
      </c>
      <c r="O452">
        <f>'[1]2026 Orders'!M453</f>
        <v>0</v>
      </c>
      <c r="P452" t="str">
        <f>'[1]2026 Orders'!N453</f>
        <v>NA</v>
      </c>
      <c r="Q452">
        <f>'[1]2026 Orders'!O453</f>
        <v>810131195199</v>
      </c>
      <c r="R452">
        <f>'[1]2026 Orders'!P453</f>
        <v>0</v>
      </c>
      <c r="S452">
        <f>'[1]2026 Orders'!Q453</f>
        <v>0</v>
      </c>
      <c r="T452">
        <f>'[1]2026 Orders'!R453</f>
        <v>0</v>
      </c>
      <c r="U452">
        <f>'[1]2026 Orders'!S453</f>
        <v>0</v>
      </c>
      <c r="V452">
        <f>'[1]2026 Orders'!T453</f>
        <v>0</v>
      </c>
      <c r="W452">
        <f>'[1]2026 Orders'!U453</f>
        <v>0</v>
      </c>
      <c r="X452">
        <f>'[1]2026 Orders'!V453</f>
        <v>0</v>
      </c>
      <c r="Y452">
        <f>'[1]2026 Orders'!W453</f>
        <v>0</v>
      </c>
      <c r="Z452">
        <f>'[1]2026 Orders'!X453</f>
        <v>0</v>
      </c>
      <c r="AC452" t="str">
        <f t="shared" si="14"/>
        <v>/10</v>
      </c>
      <c r="AD452" t="e">
        <f t="shared" si="15"/>
        <v>#VALUE!</v>
      </c>
    </row>
    <row r="453" spans="1:30" ht="33" hidden="1" customHeight="1" x14ac:dyDescent="0.3">
      <c r="A453">
        <f>'[1]2026 Orders'!A454</f>
        <v>46183</v>
      </c>
      <c r="B453" s="14" t="str">
        <f>'[1]2026 Orders'!B454</f>
        <v>Tanzania</v>
      </c>
      <c r="C453" s="14" t="str">
        <f>'[1]2026 Orders'!C454</f>
        <v>A4717</v>
      </c>
      <c r="D453" s="14">
        <f>'[1]2026 Orders'!D454</f>
        <v>0</v>
      </c>
      <c r="E453" s="17" t="str" cm="1">
        <f t="array" ref="E453">IF(C453=0,"",
HYPERLINK(
"#'2026 Orders'!C"&amp;
MATCH(1,
('2026 Orders'!C:C=C453)*
('2026 Orders'!G:G=G453)*
('2026 Orders'!N:N=N453),
0),
"Open "&amp;C453
))</f>
        <v>Open A4717</v>
      </c>
      <c r="F453" s="14">
        <f>'[1]2026 Orders'!F454</f>
        <v>0</v>
      </c>
      <c r="G453" s="14" t="str">
        <f>'[1]2026 Orders'!G454</f>
        <v>POLYSIT-90-CS-TA</v>
      </c>
      <c r="H453" s="14" t="str" cm="1">
        <f t="array" ref="H453">IFERROR(_xlfn.TEXTJOIN("-",,INDEX(_xlfn.TEXTSPLIT(TableGive[[#This Row],[SKU]],"-"),{1,2})),"")</f>
        <v>POLYSIT-90</v>
      </c>
      <c r="I453" s="15" t="str">
        <f>IFERROR(_xlfn.TEXTAFTER(TableGive[[#This Row],[SKU]],"-",-1),"")</f>
        <v>TA</v>
      </c>
      <c r="J453" s="14">
        <f>'[1]2026 Orders'!H454</f>
        <v>10</v>
      </c>
      <c r="K453">
        <f>'[1]2026 Orders'!I454</f>
        <v>0</v>
      </c>
      <c r="L453">
        <f>'[1]2026 Orders'!J454</f>
        <v>0</v>
      </c>
      <c r="N453" s="10" t="str">
        <f>'[1]2026 Orders'!L454</f>
        <v>Sales Action Needed</v>
      </c>
      <c r="O453">
        <f>'[1]2026 Orders'!M454</f>
        <v>0</v>
      </c>
      <c r="P453" t="str">
        <f>'[1]2026 Orders'!N454</f>
        <v>NA</v>
      </c>
      <c r="Q453">
        <f>'[1]2026 Orders'!O454</f>
        <v>810131195205</v>
      </c>
      <c r="R453">
        <f>'[1]2026 Orders'!P454</f>
        <v>0</v>
      </c>
      <c r="S453">
        <f>'[1]2026 Orders'!Q454</f>
        <v>0</v>
      </c>
      <c r="T453">
        <f>'[1]2026 Orders'!R454</f>
        <v>0</v>
      </c>
      <c r="U453">
        <f>'[1]2026 Orders'!S454</f>
        <v>0</v>
      </c>
      <c r="V453">
        <f>'[1]2026 Orders'!T454</f>
        <v>0</v>
      </c>
      <c r="W453">
        <f>'[1]2026 Orders'!U454</f>
        <v>0</v>
      </c>
      <c r="X453">
        <f>'[1]2026 Orders'!V454</f>
        <v>0</v>
      </c>
      <c r="Y453">
        <f>'[1]2026 Orders'!W454</f>
        <v>0</v>
      </c>
      <c r="Z453">
        <f>'[1]2026 Orders'!X454</f>
        <v>0</v>
      </c>
      <c r="AC453" t="str">
        <f t="shared" si="14"/>
        <v>/10</v>
      </c>
      <c r="AD453" t="e">
        <f t="shared" si="15"/>
        <v>#VALUE!</v>
      </c>
    </row>
    <row r="454" spans="1:30" ht="33" hidden="1" customHeight="1" x14ac:dyDescent="0.3">
      <c r="A454">
        <f>'[1]2026 Orders'!A455</f>
        <v>46183</v>
      </c>
      <c r="B454" s="14" t="str">
        <f>'[1]2026 Orders'!B455</f>
        <v>Tanzania</v>
      </c>
      <c r="C454" s="14" t="str">
        <f>'[1]2026 Orders'!C455</f>
        <v>A4717</v>
      </c>
      <c r="D454" s="14">
        <f>'[1]2026 Orders'!D455</f>
        <v>0</v>
      </c>
      <c r="E454" s="17" t="str" cm="1">
        <f t="array" ref="E454">IF(C454=0,"",
HYPERLINK(
"#'2026 Orders'!C"&amp;
MATCH(1,
('2026 Orders'!C:C=C454)*
('2026 Orders'!G:G=G454)*
('2026 Orders'!N:N=N454),
0),
"Open "&amp;C454
))</f>
        <v>Open A4717</v>
      </c>
      <c r="F454" s="14">
        <f>'[1]2026 Orders'!F455</f>
        <v>0</v>
      </c>
      <c r="G454" s="14" t="str">
        <f>'[1]2026 Orders'!G455</f>
        <v>SPERMCT-60-CS-TA</v>
      </c>
      <c r="H454" s="14" t="str" cm="1">
        <f t="array" ref="H454">IFERROR(_xlfn.TEXTJOIN("-",,INDEX(_xlfn.TEXTSPLIT(TableGive[[#This Row],[SKU]],"-"),{1,2})),"")</f>
        <v>SPERMCT-60</v>
      </c>
      <c r="I454" s="15" t="str">
        <f>IFERROR(_xlfn.TEXTAFTER(TableGive[[#This Row],[SKU]],"-",-1),"")</f>
        <v>TA</v>
      </c>
      <c r="J454" s="14">
        <f>'[1]2026 Orders'!H455</f>
        <v>10</v>
      </c>
      <c r="K454">
        <f>'[1]2026 Orders'!I455</f>
        <v>0</v>
      </c>
      <c r="L454">
        <f>'[1]2026 Orders'!J455</f>
        <v>0</v>
      </c>
      <c r="N454" s="10" t="str">
        <f>'[1]2026 Orders'!L455</f>
        <v>Sales Action Needed</v>
      </c>
      <c r="O454">
        <f>'[1]2026 Orders'!M455</f>
        <v>0</v>
      </c>
      <c r="P454" t="str">
        <f>'[1]2026 Orders'!N455</f>
        <v>NA</v>
      </c>
      <c r="Q454">
        <f>'[1]2026 Orders'!O455</f>
        <v>810131195236</v>
      </c>
      <c r="R454">
        <f>'[1]2026 Orders'!P455</f>
        <v>0</v>
      </c>
      <c r="S454">
        <f>'[1]2026 Orders'!Q455</f>
        <v>0</v>
      </c>
      <c r="T454">
        <f>'[1]2026 Orders'!R455</f>
        <v>0</v>
      </c>
      <c r="U454">
        <f>'[1]2026 Orders'!S455</f>
        <v>0</v>
      </c>
      <c r="V454">
        <f>'[1]2026 Orders'!T455</f>
        <v>0</v>
      </c>
      <c r="W454">
        <f>'[1]2026 Orders'!U455</f>
        <v>0</v>
      </c>
      <c r="X454">
        <f>'[1]2026 Orders'!V455</f>
        <v>0</v>
      </c>
      <c r="Y454">
        <f>'[1]2026 Orders'!W455</f>
        <v>0</v>
      </c>
      <c r="Z454">
        <f>'[1]2026 Orders'!X455</f>
        <v>0</v>
      </c>
      <c r="AC454" t="str">
        <f t="shared" si="14"/>
        <v>/10</v>
      </c>
      <c r="AD454" t="e">
        <f t="shared" si="15"/>
        <v>#VALUE!</v>
      </c>
    </row>
    <row r="455" spans="1:30" ht="33" hidden="1" customHeight="1" x14ac:dyDescent="0.3">
      <c r="A455">
        <f>'[1]2026 Orders'!A456</f>
        <v>0</v>
      </c>
      <c r="B455" s="14">
        <f>'[1]2026 Orders'!B456</f>
        <v>0</v>
      </c>
      <c r="C455" s="14">
        <f>'[1]2026 Orders'!C456</f>
        <v>0</v>
      </c>
      <c r="D455" s="14">
        <f>'[1]2026 Orders'!D456</f>
        <v>0</v>
      </c>
      <c r="E455" s="17" t="str" cm="1">
        <f t="array" ref="E455">IF(C455=0,"",
HYPERLINK(
"#'2026 Orders'!C"&amp;
MATCH(1,
('2026 Orders'!C:C=C455)*
('2026 Orders'!G:G=G455)*
('2026 Orders'!N:N=N455),
0),
"Open "&amp;C455
))</f>
        <v/>
      </c>
      <c r="F455" s="14">
        <f>'[1]2026 Orders'!F456</f>
        <v>0</v>
      </c>
      <c r="G455" s="14">
        <f>'[1]2026 Orders'!G456</f>
        <v>0</v>
      </c>
      <c r="H455" s="14" t="str" cm="1">
        <f t="array" ref="H455">IFERROR(_xlfn.TEXTJOIN("-",,INDEX(_xlfn.TEXTSPLIT(TableGive[[#This Row],[SKU]],"-"),{1,2})),"")</f>
        <v/>
      </c>
      <c r="I455" s="15" t="str">
        <f>IFERROR(_xlfn.TEXTAFTER(TableGive[[#This Row],[SKU]],"-",-1),"")</f>
        <v/>
      </c>
      <c r="J455" s="14">
        <f>'[1]2026 Orders'!H456</f>
        <v>0</v>
      </c>
      <c r="K455">
        <f>'[1]2026 Orders'!I456</f>
        <v>0</v>
      </c>
      <c r="L455">
        <f>'[1]2026 Orders'!J456</f>
        <v>0</v>
      </c>
      <c r="N455" s="10">
        <f>'[1]2026 Orders'!L456</f>
        <v>0</v>
      </c>
      <c r="O455">
        <f>'[1]2026 Orders'!M456</f>
        <v>0</v>
      </c>
      <c r="P455">
        <f>'[1]2026 Orders'!N456</f>
        <v>0</v>
      </c>
      <c r="Q455">
        <f>'[1]2026 Orders'!O456</f>
        <v>0</v>
      </c>
      <c r="R455">
        <f>'[1]2026 Orders'!P456</f>
        <v>0</v>
      </c>
      <c r="S455">
        <f>'[1]2026 Orders'!Q456</f>
        <v>0</v>
      </c>
      <c r="T455">
        <f>'[1]2026 Orders'!R456</f>
        <v>0</v>
      </c>
      <c r="U455">
        <f>'[1]2026 Orders'!S456</f>
        <v>0</v>
      </c>
      <c r="V455">
        <f>'[1]2026 Orders'!T456</f>
        <v>0</v>
      </c>
      <c r="W455">
        <f>'[1]2026 Orders'!U456</f>
        <v>0</v>
      </c>
      <c r="X455">
        <f>'[1]2026 Orders'!V456</f>
        <v>0</v>
      </c>
      <c r="Y455">
        <f>'[1]2026 Orders'!W456</f>
        <v>0</v>
      </c>
      <c r="Z455">
        <f>'[1]2026 Orders'!X456</f>
        <v>0</v>
      </c>
      <c r="AC455" t="str">
        <f t="shared" si="14"/>
        <v/>
      </c>
      <c r="AD455" t="str">
        <f t="shared" si="15"/>
        <v/>
      </c>
    </row>
    <row r="456" spans="1:30" ht="33" hidden="1" customHeight="1" x14ac:dyDescent="0.3">
      <c r="A456">
        <f>'[1]2026 Orders'!A457</f>
        <v>46041</v>
      </c>
      <c r="B456" s="14" t="str">
        <f>'[1]2026 Orders'!B457</f>
        <v>Amazon FBA</v>
      </c>
      <c r="C456" s="14" t="str">
        <f>'[1]2026 Orders'!C457</f>
        <v>FBA 42</v>
      </c>
      <c r="D456" s="14">
        <f>'[1]2026 Orders'!D457</f>
        <v>0</v>
      </c>
      <c r="E456" s="17" t="str" cm="1">
        <f t="array" ref="E456">IF(C456=0,"",
HYPERLINK(
"#'2026 Orders'!C"&amp;
MATCH(1,
('2026 Orders'!C:C=C456)*
('2026 Orders'!G:G=G456)*
('2026 Orders'!N:N=N456),
0),
"Open "&amp;C456
))</f>
        <v>Open FBA 42</v>
      </c>
      <c r="F456" s="14" t="str">
        <f>'[1]2026 Orders'!F457</f>
        <v>1PK</v>
      </c>
      <c r="G456" s="14" t="str">
        <f>'[1]2026 Orders'!G457</f>
        <v>LARGINE-100-FD</v>
      </c>
      <c r="H456" s="14" t="str" cm="1">
        <f t="array" ref="H456">IFERROR(_xlfn.TEXTJOIN("-",,INDEX(_xlfn.TEXTSPLIT(TableGive[[#This Row],[SKU]],"-"),{1,2})),"")</f>
        <v>LARGINE-100</v>
      </c>
      <c r="I456" s="15" t="str">
        <f>IFERROR(_xlfn.TEXTAFTER(TableGive[[#This Row],[SKU]],"-",-1),"")</f>
        <v>FD</v>
      </c>
      <c r="J456" s="14">
        <f>'[1]2026 Orders'!H457</f>
        <v>120</v>
      </c>
      <c r="K456">
        <f>'[1]2026 Orders'!I457</f>
        <v>0</v>
      </c>
      <c r="L456">
        <f>'[1]2026 Orders'!J457</f>
        <v>0</v>
      </c>
      <c r="N456" s="10" t="str">
        <f>'[1]2026 Orders'!L457</f>
        <v>In Production</v>
      </c>
      <c r="O456">
        <f>'[1]2026 Orders'!M457</f>
        <v>0</v>
      </c>
      <c r="P456" t="str">
        <f>'[1]2026 Orders'!N457</f>
        <v>NA</v>
      </c>
      <c r="Q456">
        <f>'[1]2026 Orders'!O457</f>
        <v>609788968559</v>
      </c>
      <c r="R456">
        <f>'[1]2026 Orders'!P457</f>
        <v>2000</v>
      </c>
      <c r="S456">
        <f>'[1]2026 Orders'!Q457</f>
        <v>4998</v>
      </c>
      <c r="T456">
        <f>'[1]2026 Orders'!R457</f>
        <v>46198</v>
      </c>
      <c r="U456">
        <f>'[1]2026 Orders'!S457</f>
        <v>0</v>
      </c>
      <c r="V456">
        <f>'[1]2026 Orders'!T457</f>
        <v>0</v>
      </c>
      <c r="W456">
        <f>'[1]2026 Orders'!U457</f>
        <v>0</v>
      </c>
      <c r="X456">
        <f>'[1]2026 Orders'!V457</f>
        <v>0</v>
      </c>
      <c r="Y456">
        <f>'[1]2026 Orders'!W457</f>
        <v>0</v>
      </c>
      <c r="Z456">
        <f>'[1]2026 Orders'!X457</f>
        <v>0</v>
      </c>
      <c r="AC456" t="str">
        <f t="shared" si="14"/>
        <v>/120</v>
      </c>
      <c r="AD456" t="e">
        <f t="shared" si="15"/>
        <v>#VALUE!</v>
      </c>
    </row>
    <row r="457" spans="1:30" ht="33" hidden="1" customHeight="1" x14ac:dyDescent="0.3">
      <c r="A457">
        <f>'[1]2026 Orders'!A458</f>
        <v>46041</v>
      </c>
      <c r="B457" s="14" t="str">
        <f>'[1]2026 Orders'!B458</f>
        <v>Amazon FBA</v>
      </c>
      <c r="C457" s="14" t="str">
        <f>'[1]2026 Orders'!C458</f>
        <v>FBA 42</v>
      </c>
      <c r="D457" s="14">
        <f>'[1]2026 Orders'!D458</f>
        <v>0</v>
      </c>
      <c r="E457" s="17" t="str" cm="1">
        <f t="array" ref="E457">IF(C457=0,"",
HYPERLINK(
"#'2026 Orders'!C"&amp;
MATCH(1,
('2026 Orders'!C:C=C457)*
('2026 Orders'!G:G=G457)*
('2026 Orders'!N:N=N457),
0),
"Open "&amp;C457
))</f>
        <v>Open FBA 42</v>
      </c>
      <c r="F457" s="14" t="str">
        <f>'[1]2026 Orders'!F458</f>
        <v>2PK</v>
      </c>
      <c r="G457" s="14" t="str">
        <f>'[1]2026 Orders'!G458</f>
        <v>XTRAD5-60-FD</v>
      </c>
      <c r="H457" s="14" t="str" cm="1">
        <f t="array" ref="H457">IFERROR(_xlfn.TEXTJOIN("-",,INDEX(_xlfn.TEXTSPLIT(TableGive[[#This Row],[SKU]],"-"),{1,2})),"")</f>
        <v>XTRAD5-60</v>
      </c>
      <c r="I457" s="15" t="str">
        <f>IFERROR(_xlfn.TEXTAFTER(TableGive[[#This Row],[SKU]],"-",-1),"")</f>
        <v>FD</v>
      </c>
      <c r="J457" s="14">
        <f>'[1]2026 Orders'!H458</f>
        <v>96</v>
      </c>
      <c r="K457">
        <f>'[1]2026 Orders'!I458</f>
        <v>0</v>
      </c>
      <c r="L457">
        <f>'[1]2026 Orders'!J458</f>
        <v>0</v>
      </c>
      <c r="N457" s="10" t="str">
        <f>'[1]2026 Orders'!L458</f>
        <v>Production complete</v>
      </c>
      <c r="O457">
        <f>'[1]2026 Orders'!M458</f>
        <v>0</v>
      </c>
      <c r="P457" t="str">
        <f>'[1]2026 Orders'!N458</f>
        <v>NA</v>
      </c>
      <c r="Q457" t="str">
        <f>'[1]2026 Orders'!O458</f>
        <v>609788968030</v>
      </c>
      <c r="R457">
        <f>'[1]2026 Orders'!P458</f>
        <v>5000</v>
      </c>
      <c r="S457">
        <f>'[1]2026 Orders'!Q458</f>
        <v>4946</v>
      </c>
      <c r="T457">
        <f>'[1]2026 Orders'!R458</f>
        <v>46094</v>
      </c>
      <c r="U457" t="str">
        <f>'[1]2026 Orders'!S458</f>
        <v>Pending product release</v>
      </c>
      <c r="V457">
        <f>'[1]2026 Orders'!T458</f>
        <v>0</v>
      </c>
      <c r="W457">
        <f>'[1]2026 Orders'!U458</f>
        <v>0</v>
      </c>
      <c r="X457">
        <f>'[1]2026 Orders'!V458</f>
        <v>0</v>
      </c>
      <c r="Y457">
        <f>'[1]2026 Orders'!W458</f>
        <v>0</v>
      </c>
      <c r="Z457">
        <f>'[1]2026 Orders'!X458</f>
        <v>0</v>
      </c>
      <c r="AC457" t="str">
        <f t="shared" si="14"/>
        <v>/96</v>
      </c>
      <c r="AD457" t="e">
        <f t="shared" si="15"/>
        <v>#VALUE!</v>
      </c>
    </row>
    <row r="458" spans="1:30" ht="33" hidden="1" customHeight="1" x14ac:dyDescent="0.3">
      <c r="A458">
        <f>'[1]2026 Orders'!A459</f>
        <v>46118</v>
      </c>
      <c r="B458" s="14" t="str">
        <f>'[1]2026 Orders'!B459</f>
        <v>Amazon AWD</v>
      </c>
      <c r="C458" s="14" t="str">
        <f>'[1]2026 Orders'!C459</f>
        <v>AWD Backorder</v>
      </c>
      <c r="D458" s="14" t="str">
        <f>'[1]2026 Orders'!D459</f>
        <v>Advanced Thyroid 60ct (from AWD 11)</v>
      </c>
      <c r="E458" s="17" t="str" cm="1">
        <f t="array" ref="E458">IF(C458=0,"",
HYPERLINK(
"#'2026 Orders'!C"&amp;
MATCH(1,
('2026 Orders'!C:C=C458)*
('2026 Orders'!G:G=G458)*
('2026 Orders'!N:N=N458),
0),
"Open "&amp;C458
))</f>
        <v>Open AWD Backorder</v>
      </c>
      <c r="F458" s="14" t="str">
        <f>'[1]2026 Orders'!F459</f>
        <v>1PK</v>
      </c>
      <c r="G458" s="14" t="str">
        <f>'[1]2026 Orders'!G459</f>
        <v>ADVTH-60-FD</v>
      </c>
      <c r="H458" s="14" t="str" cm="1">
        <f t="array" ref="H458">IFERROR(_xlfn.TEXTJOIN("-",,INDEX(_xlfn.TEXTSPLIT(TableGive[[#This Row],[SKU]],"-"),{1,2})),"")</f>
        <v>ADVTH-60</v>
      </c>
      <c r="I458" s="15" t="str">
        <f>IFERROR(_xlfn.TEXTAFTER(TableGive[[#This Row],[SKU]],"-",-1),"")</f>
        <v>FD</v>
      </c>
      <c r="J458" s="14">
        <f>'[1]2026 Orders'!H459</f>
        <v>24</v>
      </c>
      <c r="K458">
        <f>'[1]2026 Orders'!I459</f>
        <v>0</v>
      </c>
      <c r="L458">
        <f>'[1]2026 Orders'!J459</f>
        <v>0</v>
      </c>
      <c r="N458" s="10" t="str">
        <f>'[1]2026 Orders'!L459</f>
        <v>Not Meet MOQ</v>
      </c>
      <c r="O458">
        <f>'[1]2026 Orders'!M459</f>
        <v>0</v>
      </c>
      <c r="P458">
        <f>'[1]2026 Orders'!N459</f>
        <v>0</v>
      </c>
      <c r="Q458">
        <f>'[1]2026 Orders'!O459</f>
        <v>0</v>
      </c>
      <c r="R458">
        <f>'[1]2026 Orders'!P459</f>
        <v>0</v>
      </c>
      <c r="S458">
        <f>'[1]2026 Orders'!Q459</f>
        <v>0</v>
      </c>
      <c r="T458">
        <f>'[1]2026 Orders'!R459</f>
        <v>0</v>
      </c>
      <c r="U458">
        <f>'[1]2026 Orders'!S459</f>
        <v>0</v>
      </c>
      <c r="V458">
        <f>'[1]2026 Orders'!T459</f>
        <v>0</v>
      </c>
      <c r="W458">
        <f>'[1]2026 Orders'!U459</f>
        <v>0</v>
      </c>
      <c r="X458">
        <f>'[1]2026 Orders'!V459</f>
        <v>0</v>
      </c>
      <c r="Y458">
        <f>'[1]2026 Orders'!W459</f>
        <v>0</v>
      </c>
      <c r="Z458">
        <f>'[1]2026 Orders'!X459</f>
        <v>0</v>
      </c>
      <c r="AC458" t="str">
        <f t="shared" si="14"/>
        <v>/24</v>
      </c>
      <c r="AD458" t="e">
        <f t="shared" si="15"/>
        <v>#VALUE!</v>
      </c>
    </row>
    <row r="459" spans="1:30" ht="33" hidden="1" customHeight="1" x14ac:dyDescent="0.3">
      <c r="A459">
        <f>'[1]2026 Orders'!A460</f>
        <v>46085</v>
      </c>
      <c r="B459" s="14" t="str">
        <f>'[1]2026 Orders'!B460</f>
        <v>Amazon AWD</v>
      </c>
      <c r="C459" s="14" t="str">
        <f>'[1]2026 Orders'!C460</f>
        <v>AWD 13</v>
      </c>
      <c r="D459" s="14" t="str">
        <f>'[1]2026 Orders'!D460</f>
        <v>WFS Plus 90ct</v>
      </c>
      <c r="E459" s="17" t="str" cm="1">
        <f t="array" ref="E459">IF(C459=0,"",
HYPERLINK(
"#'2026 Orders'!C"&amp;
MATCH(1,
('2026 Orders'!C:C=C459)*
('2026 Orders'!G:G=G459)*
('2026 Orders'!N:N=N459),
0),
"Open "&amp;C459
))</f>
        <v>Open AWD 13</v>
      </c>
      <c r="F459" s="14" t="str">
        <f>'[1]2026 Orders'!F460</f>
        <v>1PK                                    6/8/2026: moved from AWD Backorder.</v>
      </c>
      <c r="G459" s="14" t="str">
        <f>'[1]2026 Orders'!G460</f>
        <v>WFSPLS-90-FD</v>
      </c>
      <c r="H459" s="14" t="str" cm="1">
        <f t="array" ref="H459">IFERROR(_xlfn.TEXTJOIN("-",,INDEX(_xlfn.TEXTSPLIT(TableGive[[#This Row],[SKU]],"-"),{1,2})),"")</f>
        <v>WFSPLS-90</v>
      </c>
      <c r="I459" s="15" t="str">
        <f>IFERROR(_xlfn.TEXTAFTER(TableGive[[#This Row],[SKU]],"-",-1),"")</f>
        <v>FD</v>
      </c>
      <c r="J459" s="14">
        <f>'[1]2026 Orders'!H460</f>
        <v>240</v>
      </c>
      <c r="K459">
        <f>'[1]2026 Orders'!I460</f>
        <v>0</v>
      </c>
      <c r="L459">
        <f>'[1]2026 Orders'!J460</f>
        <v>240</v>
      </c>
      <c r="N459" s="10" t="str">
        <f>'[1]2026 Orders'!L460</f>
        <v>Available</v>
      </c>
      <c r="O459">
        <f>'[1]2026 Orders'!M460</f>
        <v>0</v>
      </c>
      <c r="P459" t="str">
        <f>'[1]2026 Orders'!N460</f>
        <v>NA</v>
      </c>
      <c r="Q459">
        <f>'[1]2026 Orders'!O460</f>
        <v>609788968108</v>
      </c>
      <c r="R459">
        <f>'[1]2026 Orders'!P460</f>
        <v>4000</v>
      </c>
      <c r="S459">
        <f>'[1]2026 Orders'!Q460</f>
        <v>4941</v>
      </c>
      <c r="T459" t="str">
        <f>'[1]2026 Orders'!R460</f>
        <v>Complete</v>
      </c>
      <c r="U459">
        <f>'[1]2026 Orders'!S460</f>
        <v>0</v>
      </c>
      <c r="V459">
        <f>'[1]2026 Orders'!T460</f>
        <v>0</v>
      </c>
      <c r="W459">
        <f>'[1]2026 Orders'!U460</f>
        <v>0</v>
      </c>
      <c r="X459">
        <f>'[1]2026 Orders'!V460</f>
        <v>0</v>
      </c>
      <c r="Y459">
        <f>'[1]2026 Orders'!W460</f>
        <v>0</v>
      </c>
      <c r="Z459" t="str">
        <f>'[1]2026 Orders'!X460</f>
        <v>Approved</v>
      </c>
      <c r="AC459" t="str">
        <f t="shared" si="14"/>
        <v>/240</v>
      </c>
      <c r="AD459" t="e">
        <f t="shared" si="15"/>
        <v>#VALUE!</v>
      </c>
    </row>
    <row r="460" spans="1:30" ht="33" hidden="1" customHeight="1" x14ac:dyDescent="0.3">
      <c r="A460">
        <f>'[1]2026 Orders'!A461</f>
        <v>46085</v>
      </c>
      <c r="B460" s="14" t="str">
        <f>'[1]2026 Orders'!B461</f>
        <v>Amazon AWD</v>
      </c>
      <c r="C460" s="14" t="str">
        <f>'[1]2026 Orders'!C461</f>
        <v>AWD 13</v>
      </c>
      <c r="D460" s="14" t="str">
        <f>'[1]2026 Orders'!D461</f>
        <v>MFS Plus 120ct</v>
      </c>
      <c r="E460" s="17" t="str" cm="1">
        <f t="array" ref="E460">IF(C460=0,"",
HYPERLINK(
"#'2026 Orders'!C"&amp;
MATCH(1,
('2026 Orders'!C:C=C460)*
('2026 Orders'!G:G=G460)*
('2026 Orders'!N:N=N460),
0),
"Open "&amp;C460
))</f>
        <v>Open AWD 13</v>
      </c>
      <c r="F460" s="14" t="str">
        <f>'[1]2026 Orders'!F461</f>
        <v>1PK                                 6/8/2026: Moved from AWD Backorder.</v>
      </c>
      <c r="G460" s="14" t="str">
        <f>'[1]2026 Orders'!G461</f>
        <v>MFSPLS-120-FD</v>
      </c>
      <c r="H460" s="14" t="str" cm="1">
        <f t="array" ref="H460">IFERROR(_xlfn.TEXTJOIN("-",,INDEX(_xlfn.TEXTSPLIT(TableGive[[#This Row],[SKU]],"-"),{1,2})),"")</f>
        <v>MFSPLS-120</v>
      </c>
      <c r="I460" s="15" t="str">
        <f>IFERROR(_xlfn.TEXTAFTER(TableGive[[#This Row],[SKU]],"-",-1),"")</f>
        <v>FD</v>
      </c>
      <c r="J460" s="14">
        <f>'[1]2026 Orders'!H461</f>
        <v>240</v>
      </c>
      <c r="K460">
        <f>'[1]2026 Orders'!I461</f>
        <v>0</v>
      </c>
      <c r="L460">
        <f>'[1]2026 Orders'!J461</f>
        <v>240</v>
      </c>
      <c r="N460" s="10" t="str">
        <f>'[1]2026 Orders'!L461</f>
        <v>Available</v>
      </c>
      <c r="O460">
        <f>'[1]2026 Orders'!M461</f>
        <v>0</v>
      </c>
      <c r="P460" t="str">
        <f>'[1]2026 Orders'!N461</f>
        <v>NA</v>
      </c>
      <c r="Q460">
        <f>'[1]2026 Orders'!O461</f>
        <v>609788968344</v>
      </c>
      <c r="R460">
        <f>'[1]2026 Orders'!P461</f>
        <v>7000</v>
      </c>
      <c r="S460">
        <f>'[1]2026 Orders'!Q461</f>
        <v>4935</v>
      </c>
      <c r="T460" t="str">
        <f>'[1]2026 Orders'!R461</f>
        <v>complete</v>
      </c>
      <c r="U460">
        <f>'[1]2026 Orders'!S461</f>
        <v>0</v>
      </c>
      <c r="V460">
        <f>'[1]2026 Orders'!T461</f>
        <v>0</v>
      </c>
      <c r="W460">
        <f>'[1]2026 Orders'!U461</f>
        <v>0</v>
      </c>
      <c r="X460">
        <f>'[1]2026 Orders'!V461</f>
        <v>0</v>
      </c>
      <c r="Y460">
        <f>'[1]2026 Orders'!W461</f>
        <v>0</v>
      </c>
      <c r="Z460">
        <f>'[1]2026 Orders'!X461</f>
        <v>0</v>
      </c>
      <c r="AC460" t="str">
        <f t="shared" si="14"/>
        <v>/240</v>
      </c>
      <c r="AD460" t="e">
        <f t="shared" si="15"/>
        <v>#VALUE!</v>
      </c>
    </row>
    <row r="461" spans="1:30" ht="33" hidden="1" customHeight="1" x14ac:dyDescent="0.3">
      <c r="A461">
        <f>'[1]2026 Orders'!A462</f>
        <v>46118</v>
      </c>
      <c r="B461" s="14" t="str">
        <f>'[1]2026 Orders'!B462</f>
        <v>Amazon AWD</v>
      </c>
      <c r="C461" s="14" t="str">
        <f>'[1]2026 Orders'!C462</f>
        <v>AWD 13</v>
      </c>
      <c r="D461" s="14" t="str">
        <f>'[1]2026 Orders'!D462</f>
        <v>Ovamax 120ct (from AWD 11)</v>
      </c>
      <c r="E461" s="17" t="str" cm="1">
        <f t="array" ref="E461">IF(C461=0,"",
HYPERLINK(
"#'2026 Orders'!C"&amp;
MATCH(1,
('2026 Orders'!C:C=C461)*
('2026 Orders'!G:G=G461)*
('2026 Orders'!N:N=N461),
0),
"Open "&amp;C461
))</f>
        <v>Open AWD 13</v>
      </c>
      <c r="F461" s="14" t="str">
        <f>'[1]2026 Orders'!F462</f>
        <v>1PK 
4/10/2026: qty decreased 600 -&gt; 240                                   6/8/2026: Moved from AWD Backorder.</v>
      </c>
      <c r="G461" s="14" t="str">
        <f>'[1]2026 Orders'!G462</f>
        <v>OVAMAX-120-FD</v>
      </c>
      <c r="H461" s="14" t="str" cm="1">
        <f t="array" ref="H461">IFERROR(_xlfn.TEXTJOIN("-",,INDEX(_xlfn.TEXTSPLIT(TableGive[[#This Row],[SKU]],"-"),{1,2})),"")</f>
        <v>OVAMAX-120</v>
      </c>
      <c r="I461" s="15" t="str">
        <f>IFERROR(_xlfn.TEXTAFTER(TableGive[[#This Row],[SKU]],"-",-1),"")</f>
        <v>FD</v>
      </c>
      <c r="J461" s="14">
        <f>'[1]2026 Orders'!H462</f>
        <v>240</v>
      </c>
      <c r="K461">
        <f>'[1]2026 Orders'!I462</f>
        <v>0</v>
      </c>
      <c r="L461">
        <f>'[1]2026 Orders'!J462</f>
        <v>240</v>
      </c>
      <c r="N461" s="10" t="str">
        <f>'[1]2026 Orders'!L462</f>
        <v>Available</v>
      </c>
      <c r="O461" t="str">
        <f>'[1]2026 Orders'!M462</f>
        <v>Lot :4949</v>
      </c>
      <c r="P461" t="str">
        <f>'[1]2026 Orders'!N462</f>
        <v>NA</v>
      </c>
      <c r="Q461">
        <f>'[1]2026 Orders'!O462</f>
        <v>810131199586</v>
      </c>
      <c r="R461">
        <f>'[1]2026 Orders'!P462</f>
        <v>4100</v>
      </c>
      <c r="S461">
        <f>'[1]2026 Orders'!Q462</f>
        <v>4949</v>
      </c>
      <c r="T461">
        <f>'[1]2026 Orders'!R462</f>
        <v>46132</v>
      </c>
      <c r="U461">
        <f>'[1]2026 Orders'!S462</f>
        <v>0</v>
      </c>
      <c r="V461">
        <f>'[1]2026 Orders'!T462</f>
        <v>0</v>
      </c>
      <c r="W461">
        <f>'[1]2026 Orders'!U462</f>
        <v>0</v>
      </c>
      <c r="X461">
        <f>'[1]2026 Orders'!V462</f>
        <v>0</v>
      </c>
      <c r="Y461">
        <f>'[1]2026 Orders'!W462</f>
        <v>0</v>
      </c>
      <c r="Z461">
        <f>'[1]2026 Orders'!X462</f>
        <v>0</v>
      </c>
      <c r="AC461" t="str">
        <f t="shared" si="14"/>
        <v>/240</v>
      </c>
      <c r="AD461" t="e">
        <f t="shared" si="15"/>
        <v>#VALUE!</v>
      </c>
    </row>
    <row r="462" spans="1:30" ht="33" hidden="1" customHeight="1" x14ac:dyDescent="0.3">
      <c r="A462">
        <f>'[1]2026 Orders'!A463</f>
        <v>46118</v>
      </c>
      <c r="B462" s="14" t="str">
        <f>'[1]2026 Orders'!B463</f>
        <v>Amazon AWD</v>
      </c>
      <c r="C462" s="14" t="str">
        <f>'[1]2026 Orders'!C463</f>
        <v>AWD 13</v>
      </c>
      <c r="D462" s="14" t="str">
        <f>'[1]2026 Orders'!D463</f>
        <v>MFS Plus 60ct (from AWD 11)</v>
      </c>
      <c r="E462" s="17" t="str" cm="1">
        <f t="array" ref="E462">IF(C462=0,"",
HYPERLINK(
"#'2026 Orders'!C"&amp;
MATCH(1,
('2026 Orders'!C:C=C462)*
('2026 Orders'!G:G=G462)*
('2026 Orders'!N:N=N462),
0),
"Open "&amp;C462
))</f>
        <v>Open AWD 13</v>
      </c>
      <c r="F462" s="14" t="str">
        <f>'[1]2026 Orders'!F463</f>
        <v>1PK 
4/10/2026: qty decreased 144 -&gt; 72                                          6/8/2026: Moved from AWD Backorder.</v>
      </c>
      <c r="G462" s="14" t="str">
        <f>'[1]2026 Orders'!G463</f>
        <v>MFSPLS-60-FD</v>
      </c>
      <c r="H462" s="14" t="str" cm="1">
        <f t="array" ref="H462">IFERROR(_xlfn.TEXTJOIN("-",,INDEX(_xlfn.TEXTSPLIT(TableGive[[#This Row],[SKU]],"-"),{1,2})),"")</f>
        <v>MFSPLS-60</v>
      </c>
      <c r="I462" s="15" t="str">
        <f>IFERROR(_xlfn.TEXTAFTER(TableGive[[#This Row],[SKU]],"-",-1),"")</f>
        <v>FD</v>
      </c>
      <c r="J462" s="14">
        <f>'[1]2026 Orders'!H463</f>
        <v>72</v>
      </c>
      <c r="K462">
        <f>'[1]2026 Orders'!I463</f>
        <v>0</v>
      </c>
      <c r="L462">
        <f>'[1]2026 Orders'!J463</f>
        <v>72</v>
      </c>
      <c r="N462" s="10" t="str">
        <f>'[1]2026 Orders'!L463</f>
        <v>Available</v>
      </c>
      <c r="O462" t="str">
        <f>'[1]2026 Orders'!M463</f>
        <v>168 Available With 3 LOTS</v>
      </c>
      <c r="P462" t="str">
        <f>'[1]2026 Orders'!N463</f>
        <v>NA</v>
      </c>
      <c r="Q462">
        <f>'[1]2026 Orders'!O463</f>
        <v>609788968092</v>
      </c>
      <c r="R462">
        <f>'[1]2026 Orders'!P463</f>
        <v>0</v>
      </c>
      <c r="S462">
        <f>'[1]2026 Orders'!Q463</f>
        <v>0</v>
      </c>
      <c r="T462">
        <f>'[1]2026 Orders'!R463</f>
        <v>0</v>
      </c>
      <c r="U462">
        <f>'[1]2026 Orders'!S463</f>
        <v>0</v>
      </c>
      <c r="V462">
        <f>'[1]2026 Orders'!T463</f>
        <v>0</v>
      </c>
      <c r="W462">
        <f>'[1]2026 Orders'!U463</f>
        <v>0</v>
      </c>
      <c r="X462">
        <f>'[1]2026 Orders'!V463</f>
        <v>0</v>
      </c>
      <c r="Y462">
        <f>'[1]2026 Orders'!W463</f>
        <v>0</v>
      </c>
      <c r="Z462">
        <f>'[1]2026 Orders'!X463</f>
        <v>0</v>
      </c>
      <c r="AC462" t="str">
        <f t="shared" si="14"/>
        <v>/72</v>
      </c>
      <c r="AD462" t="e">
        <f t="shared" si="15"/>
        <v>#VALUE!</v>
      </c>
    </row>
    <row r="463" spans="1:30" ht="33" hidden="1" customHeight="1" x14ac:dyDescent="0.3">
      <c r="A463">
        <f>'[1]2026 Orders'!A464</f>
        <v>46041</v>
      </c>
      <c r="B463" s="14" t="str">
        <f>'[1]2026 Orders'!B464</f>
        <v>Amazon FBA</v>
      </c>
      <c r="C463" s="14" t="str">
        <f>'[1]2026 Orders'!C464</f>
        <v>AWD 13</v>
      </c>
      <c r="D463" s="14">
        <f>'[1]2026 Orders'!D464</f>
        <v>0</v>
      </c>
      <c r="E463" s="17" t="str" cm="1">
        <f t="array" ref="E463">IF(C463=0,"",
HYPERLINK(
"#'2026 Orders'!C"&amp;
MATCH(1,
('2026 Orders'!C:C=C463)*
('2026 Orders'!G:G=G463)*
('2026 Orders'!N:N=N463),
0),
"Open "&amp;C463
))</f>
        <v>Open AWD 13</v>
      </c>
      <c r="F463" s="14" t="str">
        <f>'[1]2026 Orders'!F464</f>
        <v>1PK                                6/11/2026: Moved from FBA42</v>
      </c>
      <c r="G463" s="14" t="str">
        <f>'[1]2026 Orders'!G464</f>
        <v>MFSPLS-120-FD</v>
      </c>
      <c r="H463" s="14" t="str" cm="1">
        <f t="array" ref="H463">IFERROR(_xlfn.TEXTJOIN("-",,INDEX(_xlfn.TEXTSPLIT(TableGive[[#This Row],[SKU]],"-"),{1,2})),"")</f>
        <v>MFSPLS-120</v>
      </c>
      <c r="I463" s="15" t="str">
        <f>IFERROR(_xlfn.TEXTAFTER(TableGive[[#This Row],[SKU]],"-",-1),"")</f>
        <v>FD</v>
      </c>
      <c r="J463" s="14">
        <f>'[1]2026 Orders'!H464</f>
        <v>216</v>
      </c>
      <c r="K463">
        <f>'[1]2026 Orders'!I464</f>
        <v>0</v>
      </c>
      <c r="L463">
        <f>'[1]2026 Orders'!J464</f>
        <v>216</v>
      </c>
      <c r="N463" s="10" t="str">
        <f>'[1]2026 Orders'!L464</f>
        <v>Available</v>
      </c>
      <c r="O463">
        <f>'[1]2026 Orders'!M464</f>
        <v>0</v>
      </c>
      <c r="P463" t="str">
        <f>'[1]2026 Orders'!N464</f>
        <v>NA</v>
      </c>
      <c r="Q463">
        <f>'[1]2026 Orders'!O464</f>
        <v>609788968344</v>
      </c>
      <c r="R463">
        <f>'[1]2026 Orders'!P464</f>
        <v>7000</v>
      </c>
      <c r="S463">
        <f>'[1]2026 Orders'!Q464</f>
        <v>4935</v>
      </c>
      <c r="T463" t="str">
        <f>'[1]2026 Orders'!R464</f>
        <v>complete</v>
      </c>
      <c r="U463">
        <f>'[1]2026 Orders'!S464</f>
        <v>0</v>
      </c>
      <c r="V463">
        <f>'[1]2026 Orders'!T464</f>
        <v>0</v>
      </c>
      <c r="W463">
        <f>'[1]2026 Orders'!U464</f>
        <v>0</v>
      </c>
      <c r="X463">
        <f>'[1]2026 Orders'!V464</f>
        <v>0</v>
      </c>
      <c r="Y463">
        <f>'[1]2026 Orders'!W464</f>
        <v>0</v>
      </c>
      <c r="Z463">
        <f>'[1]2026 Orders'!X464</f>
        <v>0</v>
      </c>
      <c r="AC463" t="str">
        <f t="shared" si="14"/>
        <v>/216</v>
      </c>
      <c r="AD463" t="e">
        <f t="shared" si="15"/>
        <v>#VALUE!</v>
      </c>
    </row>
    <row r="464" spans="1:30" ht="33" hidden="1" customHeight="1" x14ac:dyDescent="0.3">
      <c r="A464">
        <f>'[1]2026 Orders'!A465</f>
        <v>46041</v>
      </c>
      <c r="B464" s="14" t="str">
        <f>'[1]2026 Orders'!B465</f>
        <v>Amazon FBA</v>
      </c>
      <c r="C464" s="14" t="str">
        <f>'[1]2026 Orders'!C465</f>
        <v>AWD 13</v>
      </c>
      <c r="D464" s="14">
        <f>'[1]2026 Orders'!D465</f>
        <v>0</v>
      </c>
      <c r="E464" s="17" t="str" cm="1">
        <f t="array" ref="E464">IF(C464=0,"",
HYPERLINK(
"#'2026 Orders'!C"&amp;
MATCH(1,
('2026 Orders'!C:C=C464)*
('2026 Orders'!G:G=G464)*
('2026 Orders'!N:N=N464),
0),
"Open "&amp;C464
))</f>
        <v>Open AWD 13</v>
      </c>
      <c r="F464" s="14" t="str">
        <f>'[1]2026 Orders'!F465</f>
        <v>1PK                                    6/11/2026: Moved from FBA42</v>
      </c>
      <c r="G464" s="14" t="str">
        <f>'[1]2026 Orders'!G465</f>
        <v>NMNH-60-FD</v>
      </c>
      <c r="H464" s="14" t="str" cm="1">
        <f t="array" ref="H464">IFERROR(_xlfn.TEXTJOIN("-",,INDEX(_xlfn.TEXTSPLIT(TableGive[[#This Row],[SKU]],"-"),{1,2})),"")</f>
        <v>NMNH-60</v>
      </c>
      <c r="I464" s="15" t="str">
        <f>IFERROR(_xlfn.TEXTAFTER(TableGive[[#This Row],[SKU]],"-",-1),"")</f>
        <v>FD</v>
      </c>
      <c r="J464" s="14">
        <f>'[1]2026 Orders'!H465</f>
        <v>120</v>
      </c>
      <c r="K464">
        <f>'[1]2026 Orders'!I465</f>
        <v>0</v>
      </c>
      <c r="L464">
        <f>'[1]2026 Orders'!J465</f>
        <v>120</v>
      </c>
      <c r="N464" s="10" t="str">
        <f>'[1]2026 Orders'!L465</f>
        <v>Available</v>
      </c>
      <c r="O464">
        <f>'[1]2026 Orders'!M465</f>
        <v>0</v>
      </c>
      <c r="P464" t="str">
        <f>'[1]2026 Orders'!N465</f>
        <v>NA</v>
      </c>
      <c r="Q464">
        <f>'[1]2026 Orders'!O465</f>
        <v>810131192990</v>
      </c>
      <c r="R464">
        <f>'[1]2026 Orders'!P465</f>
        <v>5000</v>
      </c>
      <c r="S464">
        <f>'[1]2026 Orders'!Q465</f>
        <v>4798</v>
      </c>
      <c r="T464">
        <f>'[1]2026 Orders'!R465</f>
        <v>46041</v>
      </c>
      <c r="U464">
        <f>'[1]2026 Orders'!S465</f>
        <v>0</v>
      </c>
      <c r="V464">
        <f>'[1]2026 Orders'!T465</f>
        <v>0</v>
      </c>
      <c r="W464">
        <f>'[1]2026 Orders'!U465</f>
        <v>0</v>
      </c>
      <c r="X464">
        <f>'[1]2026 Orders'!V465</f>
        <v>0</v>
      </c>
      <c r="Y464">
        <f>'[1]2026 Orders'!W465</f>
        <v>0</v>
      </c>
      <c r="Z464">
        <f>'[1]2026 Orders'!X465</f>
        <v>0</v>
      </c>
      <c r="AC464" t="str">
        <f t="shared" si="14"/>
        <v>/120</v>
      </c>
      <c r="AD464" t="e">
        <f t="shared" si="15"/>
        <v>#VALUE!</v>
      </c>
    </row>
    <row r="465" spans="1:30" ht="33" hidden="1" customHeight="1" x14ac:dyDescent="0.3">
      <c r="A465">
        <f>'[1]2026 Orders'!A466</f>
        <v>46041</v>
      </c>
      <c r="B465" s="14" t="str">
        <f>'[1]2026 Orders'!B466</f>
        <v>Amazon FBA</v>
      </c>
      <c r="C465" s="14" t="str">
        <f>'[1]2026 Orders'!C466</f>
        <v>AWD 13</v>
      </c>
      <c r="D465" s="14">
        <f>'[1]2026 Orders'!D466</f>
        <v>0</v>
      </c>
      <c r="E465" s="17" t="str" cm="1">
        <f t="array" ref="E465">IF(C465=0,"",
HYPERLINK(
"#'2026 Orders'!C"&amp;
MATCH(1,
('2026 Orders'!C:C=C465)*
('2026 Orders'!G:G=G465)*
('2026 Orders'!N:N=N465),
0),
"Open "&amp;C465
))</f>
        <v>Open AWD 13</v>
      </c>
      <c r="F465" s="14" t="str">
        <f>'[1]2026 Orders'!F466</f>
        <v>1PK                                    6/11/2026: Moved from FBA42</v>
      </c>
      <c r="G465" s="14" t="str">
        <f>'[1]2026 Orders'!G466</f>
        <v>FERTMX-90-FD</v>
      </c>
      <c r="H465" s="14" t="str" cm="1">
        <f t="array" ref="H465">IFERROR(_xlfn.TEXTJOIN("-",,INDEX(_xlfn.TEXTSPLIT(TableGive[[#This Row],[SKU]],"-"),{1,2})),"")</f>
        <v>FERTMX-90</v>
      </c>
      <c r="I465" s="15" t="str">
        <f>IFERROR(_xlfn.TEXTAFTER(TableGive[[#This Row],[SKU]],"-",-1),"")</f>
        <v>FD</v>
      </c>
      <c r="J465" s="14">
        <f>'[1]2026 Orders'!H466</f>
        <v>168</v>
      </c>
      <c r="K465">
        <f>'[1]2026 Orders'!I466</f>
        <v>0</v>
      </c>
      <c r="L465">
        <f>'[1]2026 Orders'!J466</f>
        <v>37</v>
      </c>
      <c r="N465" s="10" t="str">
        <f>'[1]2026 Orders'!L466</f>
        <v>Available</v>
      </c>
      <c r="O465" t="str">
        <f>'[1]2026 Orders'!M466</f>
        <v>120 shipped with AWD11 and left with 37 bottles lot 48091025</v>
      </c>
      <c r="P465" t="str">
        <f>'[1]2026 Orders'!N466</f>
        <v>NA</v>
      </c>
      <c r="Q465">
        <f>'[1]2026 Orders'!O466</f>
        <v>0</v>
      </c>
      <c r="R465">
        <f>'[1]2026 Orders'!P466</f>
        <v>0</v>
      </c>
      <c r="S465">
        <f>'[1]2026 Orders'!Q466</f>
        <v>0</v>
      </c>
      <c r="T465">
        <f>'[1]2026 Orders'!R466</f>
        <v>0</v>
      </c>
      <c r="U465">
        <f>'[1]2026 Orders'!S466</f>
        <v>0</v>
      </c>
      <c r="V465">
        <f>'[1]2026 Orders'!T466</f>
        <v>0</v>
      </c>
      <c r="W465">
        <f>'[1]2026 Orders'!U466</f>
        <v>0</v>
      </c>
      <c r="X465">
        <f>'[1]2026 Orders'!V466</f>
        <v>0</v>
      </c>
      <c r="Y465">
        <f>'[1]2026 Orders'!W466</f>
        <v>0</v>
      </c>
      <c r="Z465">
        <f>'[1]2026 Orders'!X466</f>
        <v>0</v>
      </c>
      <c r="AC465" t="str">
        <f t="shared" si="14"/>
        <v>/168</v>
      </c>
      <c r="AD465" t="e">
        <f t="shared" si="15"/>
        <v>#VALUE!</v>
      </c>
    </row>
    <row r="466" spans="1:30" ht="33" hidden="1" customHeight="1" x14ac:dyDescent="0.3">
      <c r="A466">
        <f>'[1]2026 Orders'!A467</f>
        <v>46041</v>
      </c>
      <c r="B466" s="14" t="str">
        <f>'[1]2026 Orders'!B467</f>
        <v>Amazon FBA</v>
      </c>
      <c r="C466" s="14" t="str">
        <f>'[1]2026 Orders'!C467</f>
        <v>AWD 13</v>
      </c>
      <c r="D466" s="14">
        <f>'[1]2026 Orders'!D467</f>
        <v>0</v>
      </c>
      <c r="E466" s="17" t="str" cm="1">
        <f t="array" ref="E466">IF(C466=0,"",
HYPERLINK(
"#'2026 Orders'!C"&amp;
MATCH(1,
('2026 Orders'!C:C=C466)*
('2026 Orders'!G:G=G466)*
('2026 Orders'!N:N=N466),
0),
"Open "&amp;C466
))</f>
        <v>Open AWD 13</v>
      </c>
      <c r="F466" s="14" t="str">
        <f>'[1]2026 Orders'!F467</f>
        <v>1PK                                    6/11/2026: Moved from FBA42</v>
      </c>
      <c r="G466" s="14" t="str">
        <f>'[1]2026 Orders'!G467</f>
        <v>PRECON-180-FD</v>
      </c>
      <c r="H466" s="14" t="str" cm="1">
        <f t="array" ref="H466">IFERROR(_xlfn.TEXTJOIN("-",,INDEX(_xlfn.TEXTSPLIT(TableGive[[#This Row],[SKU]],"-"),{1,2})),"")</f>
        <v>PRECON-180</v>
      </c>
      <c r="I466" s="15" t="str">
        <f>IFERROR(_xlfn.TEXTAFTER(TableGive[[#This Row],[SKU]],"-",-1),"")</f>
        <v>FD</v>
      </c>
      <c r="J466" s="14">
        <f>'[1]2026 Orders'!H467</f>
        <v>120</v>
      </c>
      <c r="K466">
        <f>'[1]2026 Orders'!I467</f>
        <v>0</v>
      </c>
      <c r="L466">
        <f>'[1]2026 Orders'!J467</f>
        <v>120</v>
      </c>
      <c r="N466" s="10" t="str">
        <f>'[1]2026 Orders'!L467</f>
        <v>Available</v>
      </c>
      <c r="O466" t="str">
        <f>'[1]2026 Orders'!M467</f>
        <v>46800725 Reserved</v>
      </c>
      <c r="P466" t="str">
        <f>'[1]2026 Orders'!N467</f>
        <v>NA</v>
      </c>
      <c r="Q466">
        <f>'[1]2026 Orders'!O467</f>
        <v>609788968375</v>
      </c>
      <c r="R466">
        <f>'[1]2026 Orders'!P467</f>
        <v>0</v>
      </c>
      <c r="S466">
        <f>'[1]2026 Orders'!Q467</f>
        <v>0</v>
      </c>
      <c r="T466">
        <f>'[1]2026 Orders'!R467</f>
        <v>0</v>
      </c>
      <c r="U466">
        <f>'[1]2026 Orders'!S467</f>
        <v>0</v>
      </c>
      <c r="V466">
        <f>'[1]2026 Orders'!T467</f>
        <v>0</v>
      </c>
      <c r="W466">
        <f>'[1]2026 Orders'!U467</f>
        <v>0</v>
      </c>
      <c r="X466">
        <f>'[1]2026 Orders'!V467</f>
        <v>0</v>
      </c>
      <c r="Y466">
        <f>'[1]2026 Orders'!W467</f>
        <v>0</v>
      </c>
      <c r="Z466">
        <f>'[1]2026 Orders'!X467</f>
        <v>0</v>
      </c>
      <c r="AC466" t="str">
        <f t="shared" si="14"/>
        <v>/120</v>
      </c>
      <c r="AD466" t="e">
        <f t="shared" si="15"/>
        <v>#VALUE!</v>
      </c>
    </row>
    <row r="467" spans="1:30" ht="33" hidden="1" customHeight="1" x14ac:dyDescent="0.3">
      <c r="A467">
        <f>'[1]2026 Orders'!A468</f>
        <v>46041</v>
      </c>
      <c r="B467" s="14" t="str">
        <f>'[1]2026 Orders'!B468</f>
        <v>Amazon FBA</v>
      </c>
      <c r="C467" s="14" t="str">
        <f>'[1]2026 Orders'!C468</f>
        <v>AWD 13</v>
      </c>
      <c r="D467" s="14">
        <f>'[1]2026 Orders'!D468</f>
        <v>0</v>
      </c>
      <c r="E467" s="17" t="str" cm="1">
        <f t="array" ref="E467">IF(C467=0,"",
HYPERLINK(
"#'2026 Orders'!C"&amp;
MATCH(1,
('2026 Orders'!C:C=C467)*
('2026 Orders'!G:G=G467)*
('2026 Orders'!N:N=N467),
0),
"Open "&amp;C467
))</f>
        <v>Open AWD 13</v>
      </c>
      <c r="F467" s="14" t="str">
        <f>'[1]2026 Orders'!F468</f>
        <v>1PK                                    6/11/2026: Moved from FBA42</v>
      </c>
      <c r="G467" s="14" t="str">
        <f>'[1]2026 Orders'!G468</f>
        <v>CAVIN-60-FD</v>
      </c>
      <c r="H467" s="14" t="str" cm="1">
        <f t="array" ref="H467">IFERROR(_xlfn.TEXTJOIN("-",,INDEX(_xlfn.TEXTSPLIT(TableGive[[#This Row],[SKU]],"-"),{1,2})),"")</f>
        <v>CAVIN-60</v>
      </c>
      <c r="I467" s="15" t="str">
        <f>IFERROR(_xlfn.TEXTAFTER(TableGive[[#This Row],[SKU]],"-",-1),"")</f>
        <v>FD</v>
      </c>
      <c r="J467" s="14">
        <f>'[1]2026 Orders'!H468</f>
        <v>48</v>
      </c>
      <c r="K467">
        <f>'[1]2026 Orders'!I468</f>
        <v>0</v>
      </c>
      <c r="L467">
        <f>'[1]2026 Orders'!J468</f>
        <v>48</v>
      </c>
      <c r="N467" s="10" t="str">
        <f>'[1]2026 Orders'!L468</f>
        <v>Available</v>
      </c>
      <c r="O467">
        <f>'[1]2026 Orders'!M468</f>
        <v>0</v>
      </c>
      <c r="P467" t="str">
        <f>'[1]2026 Orders'!N468</f>
        <v>NA</v>
      </c>
      <c r="Q467">
        <f>'[1]2026 Orders'!O468</f>
        <v>609788968597</v>
      </c>
      <c r="R467">
        <f>'[1]2026 Orders'!P468</f>
        <v>5000</v>
      </c>
      <c r="S467">
        <f>'[1]2026 Orders'!Q468</f>
        <v>4924</v>
      </c>
      <c r="T467">
        <f>'[1]2026 Orders'!R468</f>
        <v>46042</v>
      </c>
      <c r="U467">
        <f>'[1]2026 Orders'!S468</f>
        <v>0</v>
      </c>
      <c r="V467">
        <f>'[1]2026 Orders'!T468</f>
        <v>0</v>
      </c>
      <c r="W467">
        <f>'[1]2026 Orders'!U468</f>
        <v>0</v>
      </c>
      <c r="X467">
        <f>'[1]2026 Orders'!V468</f>
        <v>0</v>
      </c>
      <c r="Y467">
        <f>'[1]2026 Orders'!W468</f>
        <v>0</v>
      </c>
      <c r="Z467">
        <f>'[1]2026 Orders'!X468</f>
        <v>0</v>
      </c>
      <c r="AC467" t="str">
        <f t="shared" si="14"/>
        <v>/48</v>
      </c>
      <c r="AD467" t="e">
        <f t="shared" si="15"/>
        <v>#VALUE!</v>
      </c>
    </row>
    <row r="468" spans="1:30" ht="33" hidden="1" customHeight="1" x14ac:dyDescent="0.3">
      <c r="A468">
        <f>'[1]2026 Orders'!A469</f>
        <v>46041</v>
      </c>
      <c r="B468" s="14" t="str">
        <f>'[1]2026 Orders'!B469</f>
        <v>Amazon FBA</v>
      </c>
      <c r="C468" s="14" t="str">
        <f>'[1]2026 Orders'!C469</f>
        <v>AWD 13</v>
      </c>
      <c r="D468" s="14">
        <f>'[1]2026 Orders'!D469</f>
        <v>0</v>
      </c>
      <c r="E468" s="17" t="str" cm="1">
        <f t="array" ref="E468">IF(C468=0,"",
HYPERLINK(
"#'2026 Orders'!C"&amp;
MATCH(1,
('2026 Orders'!C:C=C468)*
('2026 Orders'!G:G=G468)*
('2026 Orders'!N:N=N468),
0),
"Open "&amp;C468
))</f>
        <v>Open AWD 13</v>
      </c>
      <c r="F468" s="14" t="str">
        <f>'[1]2026 Orders'!F469</f>
        <v>1PK                                    6/11/2026: Moved from FBA42</v>
      </c>
      <c r="G468" s="14" t="str">
        <f>'[1]2026 Orders'!G469</f>
        <v>MEMOUP-60-FD</v>
      </c>
      <c r="H468" s="14" t="str" cm="1">
        <f t="array" ref="H468">IFERROR(_xlfn.TEXTJOIN("-",,INDEX(_xlfn.TEXTSPLIT(TableGive[[#This Row],[SKU]],"-"),{1,2})),"")</f>
        <v>MEMOUP-60</v>
      </c>
      <c r="I468" s="15" t="str">
        <f>IFERROR(_xlfn.TEXTAFTER(TableGive[[#This Row],[SKU]],"-",-1),"")</f>
        <v>FD</v>
      </c>
      <c r="J468" s="14">
        <f>'[1]2026 Orders'!H469</f>
        <v>24</v>
      </c>
      <c r="K468">
        <f>'[1]2026 Orders'!I469</f>
        <v>0</v>
      </c>
      <c r="L468">
        <f>'[1]2026 Orders'!J469</f>
        <v>24</v>
      </c>
      <c r="N468" s="10" t="str">
        <f>'[1]2026 Orders'!L469</f>
        <v>Available</v>
      </c>
      <c r="O468">
        <f>'[1]2026 Orders'!M469</f>
        <v>0</v>
      </c>
      <c r="P468" t="str">
        <f>'[1]2026 Orders'!N469</f>
        <v>NA</v>
      </c>
      <c r="Q468">
        <f>'[1]2026 Orders'!O469</f>
        <v>810131199449</v>
      </c>
      <c r="R468">
        <f>'[1]2026 Orders'!P469</f>
        <v>0</v>
      </c>
      <c r="S468">
        <f>'[1]2026 Orders'!Q469</f>
        <v>0</v>
      </c>
      <c r="T468">
        <f>'[1]2026 Orders'!R469</f>
        <v>0</v>
      </c>
      <c r="U468">
        <f>'[1]2026 Orders'!S469</f>
        <v>0</v>
      </c>
      <c r="V468">
        <f>'[1]2026 Orders'!T469</f>
        <v>0</v>
      </c>
      <c r="W468">
        <f>'[1]2026 Orders'!U469</f>
        <v>0</v>
      </c>
      <c r="X468">
        <f>'[1]2026 Orders'!V469</f>
        <v>0</v>
      </c>
      <c r="Y468">
        <f>'[1]2026 Orders'!W469</f>
        <v>0</v>
      </c>
      <c r="Z468">
        <f>'[1]2026 Orders'!X469</f>
        <v>0</v>
      </c>
      <c r="AC468" t="str">
        <f t="shared" si="14"/>
        <v>/24</v>
      </c>
      <c r="AD468" t="e">
        <f t="shared" si="15"/>
        <v>#VALUE!</v>
      </c>
    </row>
    <row r="469" spans="1:30" ht="33" hidden="1" customHeight="1" x14ac:dyDescent="0.3">
      <c r="A469">
        <f>'[1]2026 Orders'!A470</f>
        <v>46041</v>
      </c>
      <c r="B469" s="14" t="str">
        <f>'[1]2026 Orders'!B470</f>
        <v>Amazon FBA</v>
      </c>
      <c r="C469" s="14" t="str">
        <f>'[1]2026 Orders'!C470</f>
        <v>AWD 13</v>
      </c>
      <c r="D469" s="14">
        <f>'[1]2026 Orders'!D470</f>
        <v>0</v>
      </c>
      <c r="E469" s="17" t="str" cm="1">
        <f t="array" ref="E469">IF(C469=0,"",
HYPERLINK(
"#'2026 Orders'!C"&amp;
MATCH(1,
('2026 Orders'!C:C=C469)*
('2026 Orders'!G:G=G469)*
('2026 Orders'!N:N=N469),
0),
"Open "&amp;C469
))</f>
        <v>Open AWD 13</v>
      </c>
      <c r="F469" s="14" t="str">
        <f>'[1]2026 Orders'!F470</f>
        <v>1PK                                    6/11/2026: Moved from FBA42</v>
      </c>
      <c r="G469" s="14" t="str">
        <f>'[1]2026 Orders'!G470</f>
        <v>GINKGO-60_FD</v>
      </c>
      <c r="H469" s="14" t="str" cm="1">
        <f t="array" ref="H469">IFERROR(_xlfn.TEXTJOIN("-",,INDEX(_xlfn.TEXTSPLIT(TableGive[[#This Row],[SKU]],"-"),{1,2})),"")</f>
        <v>GINKGO-60_FD</v>
      </c>
      <c r="I469" s="15" t="str">
        <f>IFERROR(_xlfn.TEXTAFTER(TableGive[[#This Row],[SKU]],"-",-1),"")</f>
        <v>60_FD</v>
      </c>
      <c r="J469" s="14">
        <f>'[1]2026 Orders'!H470</f>
        <v>48</v>
      </c>
      <c r="K469">
        <f>'[1]2026 Orders'!I470</f>
        <v>0</v>
      </c>
      <c r="L469">
        <f>'[1]2026 Orders'!J470</f>
        <v>48</v>
      </c>
      <c r="N469" s="10" t="str">
        <f>'[1]2026 Orders'!L470</f>
        <v>Available</v>
      </c>
      <c r="O469">
        <f>'[1]2026 Orders'!M470</f>
        <v>0</v>
      </c>
      <c r="P469" t="str">
        <f>'[1]2026 Orders'!N470</f>
        <v>NA</v>
      </c>
      <c r="Q469">
        <f>'[1]2026 Orders'!O470</f>
        <v>609788968146</v>
      </c>
      <c r="R469">
        <f>'[1]2026 Orders'!P470</f>
        <v>0</v>
      </c>
      <c r="S469">
        <f>'[1]2026 Orders'!Q470</f>
        <v>0</v>
      </c>
      <c r="T469">
        <f>'[1]2026 Orders'!R470</f>
        <v>0</v>
      </c>
      <c r="U469">
        <f>'[1]2026 Orders'!S470</f>
        <v>0</v>
      </c>
      <c r="V469">
        <f>'[1]2026 Orders'!T470</f>
        <v>0</v>
      </c>
      <c r="W469">
        <f>'[1]2026 Orders'!U470</f>
        <v>0</v>
      </c>
      <c r="X469">
        <f>'[1]2026 Orders'!V470</f>
        <v>0</v>
      </c>
      <c r="Y469">
        <f>'[1]2026 Orders'!W470</f>
        <v>0</v>
      </c>
      <c r="Z469">
        <f>'[1]2026 Orders'!X470</f>
        <v>0</v>
      </c>
      <c r="AC469" t="str">
        <f t="shared" si="14"/>
        <v>/48</v>
      </c>
      <c r="AD469" t="e">
        <f t="shared" si="15"/>
        <v>#VALUE!</v>
      </c>
    </row>
    <row r="470" spans="1:30" ht="33" hidden="1" customHeight="1" x14ac:dyDescent="0.3">
      <c r="A470">
        <f>'[1]2026 Orders'!A471</f>
        <v>0</v>
      </c>
      <c r="B470" s="14">
        <f>'[1]2026 Orders'!B471</f>
        <v>0</v>
      </c>
      <c r="C470" s="14">
        <f>'[1]2026 Orders'!C471</f>
        <v>0</v>
      </c>
      <c r="D470" s="14">
        <f>'[1]2026 Orders'!D471</f>
        <v>0</v>
      </c>
      <c r="E470" s="17" t="str" cm="1">
        <f t="array" ref="E470">IF(C470=0,"",
HYPERLINK(
"#'2026 Orders'!C"&amp;
MATCH(1,
('2026 Orders'!C:C=C470)*
('2026 Orders'!G:G=G470)*
('2026 Orders'!N:N=N470),
0),
"Open "&amp;C470
))</f>
        <v/>
      </c>
      <c r="F470" s="14">
        <f>'[1]2026 Orders'!F471</f>
        <v>0</v>
      </c>
      <c r="G470" s="14">
        <f>'[1]2026 Orders'!G471</f>
        <v>0</v>
      </c>
      <c r="H470" s="14" t="str" cm="1">
        <f t="array" ref="H470">IFERROR(_xlfn.TEXTJOIN("-",,INDEX(_xlfn.TEXTSPLIT(TableGive[[#This Row],[SKU]],"-"),{1,2})),"")</f>
        <v/>
      </c>
      <c r="I470" s="15" t="str">
        <f>IFERROR(_xlfn.TEXTAFTER(TableGive[[#This Row],[SKU]],"-",-1),"")</f>
        <v/>
      </c>
      <c r="J470" s="14">
        <f>'[1]2026 Orders'!H471</f>
        <v>0</v>
      </c>
      <c r="K470">
        <f>'[1]2026 Orders'!I471</f>
        <v>0</v>
      </c>
      <c r="L470">
        <f>'[1]2026 Orders'!J471</f>
        <v>0</v>
      </c>
      <c r="N470" s="10">
        <f>'[1]2026 Orders'!L471</f>
        <v>0</v>
      </c>
      <c r="O470">
        <f>'[1]2026 Orders'!M471</f>
        <v>0</v>
      </c>
      <c r="P470">
        <f>'[1]2026 Orders'!N471</f>
        <v>0</v>
      </c>
      <c r="Q470">
        <f>'[1]2026 Orders'!O471</f>
        <v>0</v>
      </c>
      <c r="R470">
        <f>'[1]2026 Orders'!P471</f>
        <v>0</v>
      </c>
      <c r="S470">
        <f>'[1]2026 Orders'!Q471</f>
        <v>0</v>
      </c>
      <c r="T470">
        <f>'[1]2026 Orders'!R471</f>
        <v>0</v>
      </c>
      <c r="U470">
        <f>'[1]2026 Orders'!S471</f>
        <v>0</v>
      </c>
      <c r="V470">
        <f>'[1]2026 Orders'!T471</f>
        <v>0</v>
      </c>
      <c r="W470">
        <f>'[1]2026 Orders'!U471</f>
        <v>0</v>
      </c>
      <c r="X470">
        <f>'[1]2026 Orders'!V471</f>
        <v>0</v>
      </c>
      <c r="Y470">
        <f>'[1]2026 Orders'!W471</f>
        <v>0</v>
      </c>
      <c r="Z470">
        <f>'[1]2026 Orders'!X471</f>
        <v>0</v>
      </c>
      <c r="AC470" t="str">
        <f t="shared" si="14"/>
        <v/>
      </c>
      <c r="AD470" t="str">
        <f t="shared" si="15"/>
        <v/>
      </c>
    </row>
    <row r="471" spans="1:30" ht="33" hidden="1" customHeight="1" x14ac:dyDescent="0.3">
      <c r="A471">
        <f>'[1]2026 Orders'!A472</f>
        <v>46085</v>
      </c>
      <c r="B471" s="14" t="str">
        <f>'[1]2026 Orders'!B472</f>
        <v>Amazon AWD</v>
      </c>
      <c r="C471" s="14" t="str">
        <f>'[1]2026 Orders'!C472</f>
        <v>AWD Backorder</v>
      </c>
      <c r="D471" s="14" t="str">
        <f>'[1]2026 Orders'!D472</f>
        <v>L-Arginine 1,000mg 100ct</v>
      </c>
      <c r="E471" s="17" t="str" cm="1">
        <f t="array" ref="E471">IF(C471=0,"",
HYPERLINK(
"#'2026 Orders'!C"&amp;
MATCH(1,
('2026 Orders'!C:C=C471)*
('2026 Orders'!G:G=G471)*
('2026 Orders'!N:N=N471),
0),
"Open "&amp;C471
))</f>
        <v>Open AWD Backorder</v>
      </c>
      <c r="F471" s="14" t="str">
        <f>'[1]2026 Orders'!F472</f>
        <v>1PK</v>
      </c>
      <c r="G471" s="14" t="str">
        <f>'[1]2026 Orders'!G472</f>
        <v>LARGIN-100-FD</v>
      </c>
      <c r="H471" s="14" t="str" cm="1">
        <f t="array" ref="H471">IFERROR(_xlfn.TEXTJOIN("-",,INDEX(_xlfn.TEXTSPLIT(TableGive[[#This Row],[SKU]],"-"),{1,2})),"")</f>
        <v>LARGIN-100</v>
      </c>
      <c r="I471" s="15" t="str">
        <f>IFERROR(_xlfn.TEXTAFTER(TableGive[[#This Row],[SKU]],"-",-1),"")</f>
        <v>FD</v>
      </c>
      <c r="J471" s="14">
        <f>'[1]2026 Orders'!H472</f>
        <v>120</v>
      </c>
      <c r="K471">
        <f>'[1]2026 Orders'!I472</f>
        <v>0</v>
      </c>
      <c r="L471">
        <f>'[1]2026 Orders'!J472</f>
        <v>0</v>
      </c>
      <c r="N471" s="10" t="str">
        <f>'[1]2026 Orders'!L472</f>
        <v>In Production</v>
      </c>
      <c r="O471">
        <f>'[1]2026 Orders'!M472</f>
        <v>0</v>
      </c>
      <c r="P471" t="str">
        <f>'[1]2026 Orders'!N472</f>
        <v>NA</v>
      </c>
      <c r="Q471">
        <f>'[1]2026 Orders'!O472</f>
        <v>609788968559</v>
      </c>
      <c r="R471">
        <f>'[1]2026 Orders'!P472</f>
        <v>2000</v>
      </c>
      <c r="S471">
        <f>'[1]2026 Orders'!Q472</f>
        <v>4998</v>
      </c>
      <c r="T471">
        <f>'[1]2026 Orders'!R472</f>
        <v>46198</v>
      </c>
      <c r="U471">
        <f>'[1]2026 Orders'!S472</f>
        <v>0</v>
      </c>
      <c r="V471">
        <f>'[1]2026 Orders'!T472</f>
        <v>0</v>
      </c>
      <c r="W471">
        <f>'[1]2026 Orders'!U472</f>
        <v>0</v>
      </c>
      <c r="X471">
        <f>'[1]2026 Orders'!V472</f>
        <v>0</v>
      </c>
      <c r="Y471">
        <f>'[1]2026 Orders'!W472</f>
        <v>0</v>
      </c>
      <c r="Z471">
        <f>'[1]2026 Orders'!X472</f>
        <v>0</v>
      </c>
      <c r="AC471" t="str">
        <f t="shared" si="14"/>
        <v>/120</v>
      </c>
      <c r="AD471" t="e">
        <f t="shared" si="15"/>
        <v>#VALUE!</v>
      </c>
    </row>
    <row r="472" spans="1:30" ht="33" hidden="1" customHeight="1" x14ac:dyDescent="0.3">
      <c r="A472">
        <f>'[1]2026 Orders'!A473</f>
        <v>46085</v>
      </c>
      <c r="B472" s="14" t="str">
        <f>'[1]2026 Orders'!B473</f>
        <v>Amazon AWD</v>
      </c>
      <c r="C472" s="14" t="str">
        <f>'[1]2026 Orders'!C473</f>
        <v>AWD Backorder</v>
      </c>
      <c r="D472" s="14" t="str">
        <f>'[1]2026 Orders'!D473</f>
        <v>PediaWell D-400 50mL</v>
      </c>
      <c r="E472" s="17" t="str" cm="1">
        <f t="array" ref="E472">IF(C472=0,"",
HYPERLINK(
"#'2026 Orders'!C"&amp;
MATCH(1,
('2026 Orders'!C:C=C472)*
('2026 Orders'!G:G=G472)*
('2026 Orders'!N:N=N472),
0),
"Open "&amp;C472
))</f>
        <v>Open AWD Backorder</v>
      </c>
      <c r="F472" s="14" t="str">
        <f>'[1]2026 Orders'!F473</f>
        <v>1PK</v>
      </c>
      <c r="G472" s="14" t="str">
        <f>'[1]2026 Orders'!G473</f>
        <v>PEDIAD4-50-FD</v>
      </c>
      <c r="H472" s="14" t="str" cm="1">
        <f t="array" ref="H472">IFERROR(_xlfn.TEXTJOIN("-",,INDEX(_xlfn.TEXTSPLIT(TableGive[[#This Row],[SKU]],"-"),{1,2})),"")</f>
        <v>PEDIAD4-50</v>
      </c>
      <c r="I472" s="15" t="str">
        <f>IFERROR(_xlfn.TEXTAFTER(TableGive[[#This Row],[SKU]],"-",-1),"")</f>
        <v>FD</v>
      </c>
      <c r="J472" s="14">
        <f>'[1]2026 Orders'!H473</f>
        <v>120</v>
      </c>
      <c r="K472">
        <f>'[1]2026 Orders'!I473</f>
        <v>0</v>
      </c>
      <c r="L472">
        <f>'[1]2026 Orders'!J473</f>
        <v>0</v>
      </c>
      <c r="N472" s="10" t="str">
        <f>'[1]2026 Orders'!L473</f>
        <v>PO submitted</v>
      </c>
      <c r="O472">
        <f>'[1]2026 Orders'!M473</f>
        <v>0</v>
      </c>
      <c r="P472" t="str">
        <f>'[1]2026 Orders'!N473</f>
        <v>NA</v>
      </c>
      <c r="Q472">
        <f>'[1]2026 Orders'!O473</f>
        <v>0</v>
      </c>
      <c r="R472">
        <f>'[1]2026 Orders'!P473</f>
        <v>5000</v>
      </c>
      <c r="S472">
        <f>'[1]2026 Orders'!Q473</f>
        <v>4979</v>
      </c>
      <c r="T472" t="str">
        <f>'[1]2026 Orders'!R473</f>
        <v>TBD</v>
      </c>
      <c r="U472" t="str">
        <f>'[1]2026 Orders'!S473</f>
        <v>Waiting for IFC to start production.</v>
      </c>
      <c r="V472">
        <f>'[1]2026 Orders'!T473</f>
        <v>0</v>
      </c>
      <c r="W472">
        <f>'[1]2026 Orders'!U473</f>
        <v>0</v>
      </c>
      <c r="X472">
        <f>'[1]2026 Orders'!V473</f>
        <v>0</v>
      </c>
      <c r="Y472">
        <f>'[1]2026 Orders'!W473</f>
        <v>0</v>
      </c>
      <c r="Z472">
        <f>'[1]2026 Orders'!X473</f>
        <v>0</v>
      </c>
      <c r="AC472" t="str">
        <f t="shared" si="14"/>
        <v>/120</v>
      </c>
      <c r="AD472" t="e">
        <f t="shared" si="15"/>
        <v>#VALUE!</v>
      </c>
    </row>
    <row r="473" spans="1:30" ht="33" hidden="1" customHeight="1" x14ac:dyDescent="0.3">
      <c r="A473">
        <f>'[1]2026 Orders'!A474</f>
        <v>46085</v>
      </c>
      <c r="B473" s="14" t="str">
        <f>'[1]2026 Orders'!B474</f>
        <v>Amazon AWD</v>
      </c>
      <c r="C473" s="14" t="str">
        <f>'[1]2026 Orders'!C474</f>
        <v>AWD Backorder</v>
      </c>
      <c r="D473" s="14" t="str">
        <f>'[1]2026 Orders'!D474</f>
        <v>PediaWell D-800 50mL</v>
      </c>
      <c r="E473" s="17" t="str" cm="1">
        <f t="array" ref="E473">IF(C473=0,"",
HYPERLINK(
"#'2026 Orders'!C"&amp;
MATCH(1,
('2026 Orders'!C:C=C473)*
('2026 Orders'!G:G=G473)*
('2026 Orders'!N:N=N473),
0),
"Open "&amp;C473
))</f>
        <v>Open AWD Backorder</v>
      </c>
      <c r="F473" s="14" t="str">
        <f>'[1]2026 Orders'!F474</f>
        <v>1PK</v>
      </c>
      <c r="G473" s="14" t="str">
        <f>'[1]2026 Orders'!G474</f>
        <v>PEDIAD8-50-FD</v>
      </c>
      <c r="H473" s="14" t="str" cm="1">
        <f t="array" ref="H473">IFERROR(_xlfn.TEXTJOIN("-",,INDEX(_xlfn.TEXTSPLIT(TableGive[[#This Row],[SKU]],"-"),{1,2})),"")</f>
        <v>PEDIAD8-50</v>
      </c>
      <c r="I473" s="15" t="str">
        <f>IFERROR(_xlfn.TEXTAFTER(TableGive[[#This Row],[SKU]],"-",-1),"")</f>
        <v>FD</v>
      </c>
      <c r="J473" s="14">
        <f>'[1]2026 Orders'!H474</f>
        <v>120</v>
      </c>
      <c r="K473">
        <f>'[1]2026 Orders'!I474</f>
        <v>0</v>
      </c>
      <c r="L473">
        <f>'[1]2026 Orders'!J474</f>
        <v>0</v>
      </c>
      <c r="N473" s="10" t="str">
        <f>'[1]2026 Orders'!L474</f>
        <v>Not Meet MOQ</v>
      </c>
      <c r="O473">
        <f>'[1]2026 Orders'!M474</f>
        <v>0</v>
      </c>
      <c r="P473" t="str">
        <f>'[1]2026 Orders'!N474</f>
        <v>NA</v>
      </c>
      <c r="Q473">
        <f>'[1]2026 Orders'!O474</f>
        <v>0</v>
      </c>
      <c r="R473">
        <f>'[1]2026 Orders'!P474</f>
        <v>0</v>
      </c>
      <c r="S473">
        <f>'[1]2026 Orders'!Q474</f>
        <v>0</v>
      </c>
      <c r="T473">
        <f>'[1]2026 Orders'!R474</f>
        <v>0</v>
      </c>
      <c r="U473">
        <f>'[1]2026 Orders'!S474</f>
        <v>0</v>
      </c>
      <c r="V473">
        <f>'[1]2026 Orders'!T474</f>
        <v>0</v>
      </c>
      <c r="W473">
        <f>'[1]2026 Orders'!U474</f>
        <v>0</v>
      </c>
      <c r="X473">
        <f>'[1]2026 Orders'!V474</f>
        <v>0</v>
      </c>
      <c r="Y473">
        <f>'[1]2026 Orders'!W474</f>
        <v>0</v>
      </c>
      <c r="Z473">
        <f>'[1]2026 Orders'!X474</f>
        <v>0</v>
      </c>
      <c r="AC473" t="str">
        <f t="shared" si="14"/>
        <v>/120</v>
      </c>
      <c r="AD473" t="e">
        <f t="shared" si="15"/>
        <v>#VALUE!</v>
      </c>
    </row>
    <row r="474" spans="1:30" ht="33" hidden="1" customHeight="1" x14ac:dyDescent="0.3">
      <c r="A474">
        <f>'[1]2026 Orders'!A475</f>
        <v>46118</v>
      </c>
      <c r="B474" s="14" t="str">
        <f>'[1]2026 Orders'!B475</f>
        <v>Amazon AWD</v>
      </c>
      <c r="C474" s="14" t="str">
        <f>'[1]2026 Orders'!C475</f>
        <v>AWD Backorder</v>
      </c>
      <c r="D474" s="14" t="str">
        <f>'[1]2026 Orders'!D475</f>
        <v>Fertilimax 90ct (from AWD 11)</v>
      </c>
      <c r="E474" s="17" t="str" cm="1">
        <f t="array" ref="E474">IF(C474=0,"",
HYPERLINK(
"#'2026 Orders'!C"&amp;
MATCH(1,
('2026 Orders'!C:C=C474)*
('2026 Orders'!G:G=G474)*
('2026 Orders'!N:N=N474),
0),
"Open "&amp;C474
))</f>
        <v>Open AWD Backorder</v>
      </c>
      <c r="F474" s="14" t="str">
        <f>'[1]2026 Orders'!F475</f>
        <v>1PK</v>
      </c>
      <c r="G474" s="14" t="str">
        <f>'[1]2026 Orders'!G475</f>
        <v>FERTMX-90-FD</v>
      </c>
      <c r="H474" s="14" t="str" cm="1">
        <f t="array" ref="H474">IFERROR(_xlfn.TEXTJOIN("-",,INDEX(_xlfn.TEXTSPLIT(TableGive[[#This Row],[SKU]],"-"),{1,2})),"")</f>
        <v>FERTMX-90</v>
      </c>
      <c r="I474" s="15" t="str">
        <f>IFERROR(_xlfn.TEXTAFTER(TableGive[[#This Row],[SKU]],"-",-1),"")</f>
        <v>FD</v>
      </c>
      <c r="J474" s="14">
        <f>'[1]2026 Orders'!H475</f>
        <v>120</v>
      </c>
      <c r="K474">
        <f>'[1]2026 Orders'!I475</f>
        <v>0</v>
      </c>
      <c r="L474">
        <f>'[1]2026 Orders'!J475</f>
        <v>0</v>
      </c>
      <c r="N474" s="10" t="str">
        <f>'[1]2026 Orders'!L475</f>
        <v>PO submitted</v>
      </c>
      <c r="O474">
        <f>'[1]2026 Orders'!M475</f>
        <v>0</v>
      </c>
      <c r="P474" t="str">
        <f>'[1]2026 Orders'!N475</f>
        <v>NA</v>
      </c>
      <c r="Q474">
        <f>'[1]2026 Orders'!O475</f>
        <v>0</v>
      </c>
      <c r="R474">
        <f>'[1]2026 Orders'!P475</f>
        <v>5000</v>
      </c>
      <c r="S474">
        <f>'[1]2026 Orders'!Q475</f>
        <v>5041</v>
      </c>
      <c r="T474" t="str">
        <f>'[1]2026 Orders'!R475</f>
        <v>TBD</v>
      </c>
      <c r="U474" t="str">
        <f>'[1]2026 Orders'!S475</f>
        <v>Waiting for vendor confirmation.</v>
      </c>
      <c r="V474">
        <f>'[1]2026 Orders'!T475</f>
        <v>0</v>
      </c>
      <c r="W474">
        <f>'[1]2026 Orders'!U475</f>
        <v>0</v>
      </c>
      <c r="X474">
        <f>'[1]2026 Orders'!V475</f>
        <v>0</v>
      </c>
      <c r="Y474">
        <f>'[1]2026 Orders'!W475</f>
        <v>0</v>
      </c>
      <c r="Z474">
        <f>'[1]2026 Orders'!X475</f>
        <v>0</v>
      </c>
      <c r="AC474" t="str">
        <f t="shared" si="14"/>
        <v>/120</v>
      </c>
      <c r="AD474" t="e">
        <f t="shared" si="15"/>
        <v>#VALUE!</v>
      </c>
    </row>
    <row r="475" spans="1:30" ht="33" hidden="1" customHeight="1" x14ac:dyDescent="0.3">
      <c r="A475">
        <f>'[1]2026 Orders'!A476</f>
        <v>46118</v>
      </c>
      <c r="B475" s="14" t="str">
        <f>'[1]2026 Orders'!B476</f>
        <v>Amazon AWD</v>
      </c>
      <c r="C475" s="14" t="str">
        <f>'[1]2026 Orders'!C476</f>
        <v>AWD Backorder</v>
      </c>
      <c r="D475" s="14" t="str">
        <f>'[1]2026 Orders'!D476</f>
        <v>Fertilimax 90ct (from AWD 11)</v>
      </c>
      <c r="E475" s="17" t="str" cm="1">
        <f t="array" ref="E475">IF(C475=0,"",
HYPERLINK(
"#'2026 Orders'!C"&amp;
MATCH(1,
('2026 Orders'!C:C=C475)*
('2026 Orders'!G:G=G475)*
('2026 Orders'!N:N=N475),
0),
"Open "&amp;C475
))</f>
        <v>Open AWD Backorder</v>
      </c>
      <c r="F475" s="14" t="str">
        <f>'[1]2026 Orders'!F476</f>
        <v>1PK</v>
      </c>
      <c r="G475" s="14" t="str">
        <f>'[1]2026 Orders'!G476</f>
        <v>FERTMX-90-FD</v>
      </c>
      <c r="H475" s="14" t="str" cm="1">
        <f t="array" ref="H475">IFERROR(_xlfn.TEXTJOIN("-",,INDEX(_xlfn.TEXTSPLIT(TableGive[[#This Row],[SKU]],"-"),{1,2})),"")</f>
        <v>FERTMX-90</v>
      </c>
      <c r="I475" s="15" t="str">
        <f>IFERROR(_xlfn.TEXTAFTER(TableGive[[#This Row],[SKU]],"-",-1),"")</f>
        <v>FD</v>
      </c>
      <c r="J475" s="14">
        <f>'[1]2026 Orders'!H476</f>
        <v>72</v>
      </c>
      <c r="K475">
        <f>'[1]2026 Orders'!I476</f>
        <v>0</v>
      </c>
      <c r="L475">
        <f>'[1]2026 Orders'!J476</f>
        <v>0</v>
      </c>
      <c r="N475" s="10" t="str">
        <f>'[1]2026 Orders'!L476</f>
        <v>PO submitted</v>
      </c>
      <c r="O475">
        <f>'[1]2026 Orders'!M476</f>
        <v>0</v>
      </c>
      <c r="P475">
        <f>'[1]2026 Orders'!N476</f>
        <v>0</v>
      </c>
      <c r="Q475">
        <f>'[1]2026 Orders'!O476</f>
        <v>0</v>
      </c>
      <c r="R475">
        <f>'[1]2026 Orders'!P476</f>
        <v>5000</v>
      </c>
      <c r="S475">
        <f>'[1]2026 Orders'!Q476</f>
        <v>5041</v>
      </c>
      <c r="T475" t="str">
        <f>'[1]2026 Orders'!R476</f>
        <v>TBD</v>
      </c>
      <c r="U475" t="str">
        <f>'[1]2026 Orders'!S476</f>
        <v>Waiting for vendor confirmation.</v>
      </c>
      <c r="V475">
        <f>'[1]2026 Orders'!T476</f>
        <v>0</v>
      </c>
      <c r="W475">
        <f>'[1]2026 Orders'!U476</f>
        <v>0</v>
      </c>
      <c r="X475">
        <f>'[1]2026 Orders'!V476</f>
        <v>0</v>
      </c>
      <c r="Y475">
        <f>'[1]2026 Orders'!W476</f>
        <v>0</v>
      </c>
      <c r="Z475">
        <f>'[1]2026 Orders'!X476</f>
        <v>0</v>
      </c>
      <c r="AC475" t="str">
        <f t="shared" si="14"/>
        <v>/72</v>
      </c>
      <c r="AD475" t="e">
        <f t="shared" si="15"/>
        <v>#VALUE!</v>
      </c>
    </row>
    <row r="476" spans="1:30" ht="33" hidden="1" customHeight="1" x14ac:dyDescent="0.3">
      <c r="A476">
        <f>'[1]2026 Orders'!A477</f>
        <v>46118</v>
      </c>
      <c r="B476" s="14" t="str">
        <f>'[1]2026 Orders'!B477</f>
        <v>Amazon AWD</v>
      </c>
      <c r="C476" s="14" t="str">
        <f>'[1]2026 Orders'!C477</f>
        <v>AWD Backorder</v>
      </c>
      <c r="D476" s="14" t="str">
        <f>'[1]2026 Orders'!D477</f>
        <v>Advanced Thyroid 60ct (from AWD 11)</v>
      </c>
      <c r="E476" s="17" t="str" cm="1">
        <f t="array" ref="E476">IF(C476=0,"",
HYPERLINK(
"#'2026 Orders'!C"&amp;
MATCH(1,
('2026 Orders'!C:C=C476)*
('2026 Orders'!G:G=G476)*
('2026 Orders'!N:N=N476),
0),
"Open "&amp;C476
))</f>
        <v>Open AWD Backorder</v>
      </c>
      <c r="F476" s="14" t="str">
        <f>'[1]2026 Orders'!F477</f>
        <v>1PK</v>
      </c>
      <c r="G476" s="14" t="str">
        <f>'[1]2026 Orders'!G477</f>
        <v>ADVTH-60-FD</v>
      </c>
      <c r="H476" s="14" t="str" cm="1">
        <f t="array" ref="H476">IFERROR(_xlfn.TEXTJOIN("-",,INDEX(_xlfn.TEXTSPLIT(TableGive[[#This Row],[SKU]],"-"),{1,2})),"")</f>
        <v>ADVTH-60</v>
      </c>
      <c r="I476" s="15" t="str">
        <f>IFERROR(_xlfn.TEXTAFTER(TableGive[[#This Row],[SKU]],"-",-1),"")</f>
        <v>FD</v>
      </c>
      <c r="J476" s="14">
        <f>'[1]2026 Orders'!H477</f>
        <v>24</v>
      </c>
      <c r="K476">
        <f>'[1]2026 Orders'!I477</f>
        <v>0</v>
      </c>
      <c r="L476">
        <f>'[1]2026 Orders'!J477</f>
        <v>0</v>
      </c>
      <c r="N476" s="10" t="str">
        <f>'[1]2026 Orders'!L477</f>
        <v>Not Meet MOQ</v>
      </c>
      <c r="O476">
        <f>'[1]2026 Orders'!M477</f>
        <v>0</v>
      </c>
      <c r="P476">
        <f>'[1]2026 Orders'!N477</f>
        <v>0</v>
      </c>
      <c r="Q476">
        <f>'[1]2026 Orders'!O477</f>
        <v>0</v>
      </c>
      <c r="R476">
        <f>'[1]2026 Orders'!P477</f>
        <v>0</v>
      </c>
      <c r="S476">
        <f>'[1]2026 Orders'!Q477</f>
        <v>0</v>
      </c>
      <c r="T476">
        <f>'[1]2026 Orders'!R477</f>
        <v>0</v>
      </c>
      <c r="U476">
        <f>'[1]2026 Orders'!S477</f>
        <v>0</v>
      </c>
      <c r="V476">
        <f>'[1]2026 Orders'!T477</f>
        <v>0</v>
      </c>
      <c r="W476">
        <f>'[1]2026 Orders'!U477</f>
        <v>0</v>
      </c>
      <c r="X476">
        <f>'[1]2026 Orders'!V477</f>
        <v>0</v>
      </c>
      <c r="Y476">
        <f>'[1]2026 Orders'!W477</f>
        <v>0</v>
      </c>
      <c r="Z476">
        <f>'[1]2026 Orders'!X477</f>
        <v>0</v>
      </c>
      <c r="AC476" t="str">
        <f t="shared" si="14"/>
        <v>/24</v>
      </c>
      <c r="AD476" t="e">
        <f t="shared" si="15"/>
        <v>#VALUE!</v>
      </c>
    </row>
    <row r="477" spans="1:30" ht="33" hidden="1" customHeight="1" x14ac:dyDescent="0.3">
      <c r="A477">
        <f>'[1]2026 Orders'!A478</f>
        <v>0</v>
      </c>
      <c r="B477" s="14">
        <f>'[1]2026 Orders'!B478</f>
        <v>0</v>
      </c>
      <c r="C477" s="14">
        <f>'[1]2026 Orders'!C478</f>
        <v>0</v>
      </c>
      <c r="D477" s="14">
        <f>'[1]2026 Orders'!D478</f>
        <v>0</v>
      </c>
      <c r="E477" s="17" t="str" cm="1">
        <f t="array" ref="E477">IF(C477=0,"",
HYPERLINK(
"#'2026 Orders'!C"&amp;
MATCH(1,
('2026 Orders'!C:C=C477)*
('2026 Orders'!G:G=G477)*
('2026 Orders'!N:N=N477),
0),
"Open "&amp;C477
))</f>
        <v/>
      </c>
      <c r="F477" s="14">
        <f>'[1]2026 Orders'!F478</f>
        <v>0</v>
      </c>
      <c r="G477" s="14">
        <f>'[1]2026 Orders'!G478</f>
        <v>0</v>
      </c>
      <c r="H477" s="14" t="str" cm="1">
        <f t="array" ref="H477">IFERROR(_xlfn.TEXTJOIN("-",,INDEX(_xlfn.TEXTSPLIT(TableGive[[#This Row],[SKU]],"-"),{1,2})),"")</f>
        <v/>
      </c>
      <c r="I477" s="15" t="str">
        <f>IFERROR(_xlfn.TEXTAFTER(TableGive[[#This Row],[SKU]],"-",-1),"")</f>
        <v/>
      </c>
      <c r="J477" s="14">
        <f>'[1]2026 Orders'!H478</f>
        <v>0</v>
      </c>
      <c r="K477">
        <f>'[1]2026 Orders'!I478</f>
        <v>0</v>
      </c>
      <c r="L477">
        <f>'[1]2026 Orders'!J478</f>
        <v>0</v>
      </c>
      <c r="N477" s="10">
        <f>'[1]2026 Orders'!L478</f>
        <v>0</v>
      </c>
      <c r="O477">
        <f>'[1]2026 Orders'!M478</f>
        <v>0</v>
      </c>
      <c r="P477">
        <f>'[1]2026 Orders'!N478</f>
        <v>0</v>
      </c>
      <c r="Q477">
        <f>'[1]2026 Orders'!O478</f>
        <v>0</v>
      </c>
      <c r="R477">
        <f>'[1]2026 Orders'!P478</f>
        <v>0</v>
      </c>
      <c r="S477">
        <f>'[1]2026 Orders'!Q478</f>
        <v>0</v>
      </c>
      <c r="T477">
        <f>'[1]2026 Orders'!R478</f>
        <v>0</v>
      </c>
      <c r="U477">
        <f>'[1]2026 Orders'!S478</f>
        <v>0</v>
      </c>
      <c r="V477">
        <f>'[1]2026 Orders'!T478</f>
        <v>0</v>
      </c>
      <c r="W477">
        <f>'[1]2026 Orders'!U478</f>
        <v>0</v>
      </c>
      <c r="X477">
        <f>'[1]2026 Orders'!V478</f>
        <v>0</v>
      </c>
      <c r="Y477">
        <f>'[1]2026 Orders'!W478</f>
        <v>0</v>
      </c>
      <c r="Z477">
        <f>'[1]2026 Orders'!X478</f>
        <v>0</v>
      </c>
      <c r="AC477" t="str">
        <f t="shared" si="14"/>
        <v/>
      </c>
      <c r="AD477" t="str">
        <f t="shared" si="15"/>
        <v/>
      </c>
    </row>
    <row r="478" spans="1:30" ht="33" hidden="1" customHeight="1" x14ac:dyDescent="0.3">
      <c r="A478">
        <f>'[1]2026 Orders'!A479</f>
        <v>0</v>
      </c>
      <c r="B478" s="14">
        <f>'[1]2026 Orders'!B479</f>
        <v>0</v>
      </c>
      <c r="C478" s="14">
        <f>'[1]2026 Orders'!C479</f>
        <v>0</v>
      </c>
      <c r="D478" s="14">
        <f>'[1]2026 Orders'!D479</f>
        <v>0</v>
      </c>
      <c r="E478" s="17" t="str" cm="1">
        <f t="array" ref="E478">IF(C478=0,"",
HYPERLINK(
"#'2026 Orders'!C"&amp;
MATCH(1,
('2026 Orders'!C:C=C478)*
('2026 Orders'!G:G=G478)*
('2026 Orders'!N:N=N478),
0),
"Open "&amp;C478
))</f>
        <v/>
      </c>
      <c r="F478" s="14">
        <f>'[1]2026 Orders'!F479</f>
        <v>0</v>
      </c>
      <c r="G478" s="14">
        <f>'[1]2026 Orders'!G479</f>
        <v>0</v>
      </c>
      <c r="H478" s="14" t="str" cm="1">
        <f t="array" ref="H478">IFERROR(_xlfn.TEXTJOIN("-",,INDEX(_xlfn.TEXTSPLIT(TableGive[[#This Row],[SKU]],"-"),{1,2})),"")</f>
        <v/>
      </c>
      <c r="I478" s="15" t="str">
        <f>IFERROR(_xlfn.TEXTAFTER(TableGive[[#This Row],[SKU]],"-",-1),"")</f>
        <v/>
      </c>
      <c r="J478" s="14">
        <f>'[1]2026 Orders'!H479</f>
        <v>0</v>
      </c>
      <c r="K478">
        <f>'[1]2026 Orders'!I479</f>
        <v>0</v>
      </c>
      <c r="L478">
        <f>'[1]2026 Orders'!J479</f>
        <v>0</v>
      </c>
      <c r="N478" s="10">
        <f>'[1]2026 Orders'!L479</f>
        <v>0</v>
      </c>
      <c r="O478">
        <f>'[1]2026 Orders'!M479</f>
        <v>0</v>
      </c>
      <c r="P478">
        <f>'[1]2026 Orders'!N479</f>
        <v>0</v>
      </c>
      <c r="Q478">
        <f>'[1]2026 Orders'!O479</f>
        <v>0</v>
      </c>
      <c r="R478">
        <f>'[1]2026 Orders'!P479</f>
        <v>0</v>
      </c>
      <c r="S478">
        <f>'[1]2026 Orders'!Q479</f>
        <v>0</v>
      </c>
      <c r="T478">
        <f>'[1]2026 Orders'!R479</f>
        <v>0</v>
      </c>
      <c r="U478">
        <f>'[1]2026 Orders'!S479</f>
        <v>0</v>
      </c>
      <c r="V478">
        <f>'[1]2026 Orders'!T479</f>
        <v>0</v>
      </c>
      <c r="W478">
        <f>'[1]2026 Orders'!U479</f>
        <v>0</v>
      </c>
      <c r="X478">
        <f>'[1]2026 Orders'!V479</f>
        <v>0</v>
      </c>
      <c r="Y478">
        <f>'[1]2026 Orders'!W479</f>
        <v>0</v>
      </c>
      <c r="Z478">
        <f>'[1]2026 Orders'!X479</f>
        <v>0</v>
      </c>
      <c r="AC478" t="str">
        <f t="shared" si="14"/>
        <v/>
      </c>
      <c r="AD478" t="str">
        <f t="shared" si="15"/>
        <v/>
      </c>
    </row>
    <row r="479" spans="1:30" ht="33" hidden="1" customHeight="1" x14ac:dyDescent="0.3">
      <c r="A479">
        <f>'[1]2026 Orders'!A480</f>
        <v>0</v>
      </c>
      <c r="B479" s="14">
        <f>'[1]2026 Orders'!B480</f>
        <v>0</v>
      </c>
      <c r="C479" s="14">
        <f>'[1]2026 Orders'!C480</f>
        <v>0</v>
      </c>
      <c r="D479" s="14">
        <f>'[1]2026 Orders'!D480</f>
        <v>0</v>
      </c>
      <c r="E479" s="17" t="str" cm="1">
        <f t="array" ref="E479">IF(C479=0,"",
HYPERLINK(
"#'2026 Orders'!C"&amp;
MATCH(1,
('2026 Orders'!C:C=C479)*
('2026 Orders'!G:G=G479)*
('2026 Orders'!N:N=N479),
0),
"Open "&amp;C479
))</f>
        <v/>
      </c>
      <c r="F479" s="14">
        <f>'[1]2026 Orders'!F480</f>
        <v>0</v>
      </c>
      <c r="G479" s="14">
        <f>'[1]2026 Orders'!G480</f>
        <v>0</v>
      </c>
      <c r="H479" s="14" t="str" cm="1">
        <f t="array" ref="H479">IFERROR(_xlfn.TEXTJOIN("-",,INDEX(_xlfn.TEXTSPLIT(TableGive[[#This Row],[SKU]],"-"),{1,2})),"")</f>
        <v/>
      </c>
      <c r="I479" s="15" t="str">
        <f>IFERROR(_xlfn.TEXTAFTER(TableGive[[#This Row],[SKU]],"-",-1),"")</f>
        <v/>
      </c>
      <c r="J479" s="14">
        <f>'[1]2026 Orders'!H480</f>
        <v>0</v>
      </c>
      <c r="K479">
        <f>'[1]2026 Orders'!I480</f>
        <v>0</v>
      </c>
      <c r="L479">
        <f>'[1]2026 Orders'!J480</f>
        <v>0</v>
      </c>
      <c r="N479" s="10">
        <f>'[1]2026 Orders'!L480</f>
        <v>0</v>
      </c>
      <c r="O479">
        <f>'[1]2026 Orders'!M480</f>
        <v>0</v>
      </c>
      <c r="P479">
        <f>'[1]2026 Orders'!N480</f>
        <v>0</v>
      </c>
      <c r="Q479">
        <f>'[1]2026 Orders'!O480</f>
        <v>0</v>
      </c>
      <c r="R479">
        <f>'[1]2026 Orders'!P480</f>
        <v>0</v>
      </c>
      <c r="S479">
        <f>'[1]2026 Orders'!Q480</f>
        <v>0</v>
      </c>
      <c r="T479">
        <f>'[1]2026 Orders'!R480</f>
        <v>0</v>
      </c>
      <c r="U479">
        <f>'[1]2026 Orders'!S480</f>
        <v>0</v>
      </c>
      <c r="V479">
        <f>'[1]2026 Orders'!T480</f>
        <v>0</v>
      </c>
      <c r="W479">
        <f>'[1]2026 Orders'!U480</f>
        <v>0</v>
      </c>
      <c r="X479">
        <f>'[1]2026 Orders'!V480</f>
        <v>0</v>
      </c>
      <c r="Y479">
        <f>'[1]2026 Orders'!W480</f>
        <v>0</v>
      </c>
      <c r="Z479">
        <f>'[1]2026 Orders'!X480</f>
        <v>0</v>
      </c>
      <c r="AC479" t="str">
        <f t="shared" si="14"/>
        <v/>
      </c>
      <c r="AD479" t="str">
        <f t="shared" si="15"/>
        <v/>
      </c>
    </row>
    <row r="480" spans="1:30" ht="33" hidden="1" customHeight="1" x14ac:dyDescent="0.3">
      <c r="A480">
        <f>'[1]2026 Orders'!A481</f>
        <v>0</v>
      </c>
      <c r="B480" s="14">
        <f>'[1]2026 Orders'!B481</f>
        <v>0</v>
      </c>
      <c r="C480" s="14">
        <f>'[1]2026 Orders'!C481</f>
        <v>0</v>
      </c>
      <c r="D480" s="14">
        <f>'[1]2026 Orders'!D481</f>
        <v>0</v>
      </c>
      <c r="E480" s="17" t="str" cm="1">
        <f t="array" ref="E480">IF(C480=0,"",
HYPERLINK(
"#'2026 Orders'!C"&amp;
MATCH(1,
('2026 Orders'!C:C=C480)*
('2026 Orders'!G:G=G480)*
('2026 Orders'!N:N=N480),
0),
"Open "&amp;C480
))</f>
        <v/>
      </c>
      <c r="F480" s="14">
        <f>'[1]2026 Orders'!F481</f>
        <v>0</v>
      </c>
      <c r="G480" s="14">
        <f>'[1]2026 Orders'!G481</f>
        <v>0</v>
      </c>
      <c r="H480" s="14" t="str" cm="1">
        <f t="array" ref="H480">IFERROR(_xlfn.TEXTJOIN("-",,INDEX(_xlfn.TEXTSPLIT(TableGive[[#This Row],[SKU]],"-"),{1,2})),"")</f>
        <v/>
      </c>
      <c r="I480" s="15" t="str">
        <f>IFERROR(_xlfn.TEXTAFTER(TableGive[[#This Row],[SKU]],"-",-1),"")</f>
        <v/>
      </c>
      <c r="J480" s="14">
        <f>'[1]2026 Orders'!H481</f>
        <v>0</v>
      </c>
      <c r="K480">
        <f>'[1]2026 Orders'!I481</f>
        <v>0</v>
      </c>
      <c r="L480">
        <f>'[1]2026 Orders'!J481</f>
        <v>0</v>
      </c>
      <c r="N480" s="10">
        <f>'[1]2026 Orders'!L481</f>
        <v>0</v>
      </c>
      <c r="O480">
        <f>'[1]2026 Orders'!M481</f>
        <v>0</v>
      </c>
      <c r="P480">
        <f>'[1]2026 Orders'!N481</f>
        <v>0</v>
      </c>
      <c r="Q480">
        <f>'[1]2026 Orders'!O481</f>
        <v>0</v>
      </c>
      <c r="R480">
        <f>'[1]2026 Orders'!P481</f>
        <v>0</v>
      </c>
      <c r="S480">
        <f>'[1]2026 Orders'!Q481</f>
        <v>0</v>
      </c>
      <c r="T480">
        <f>'[1]2026 Orders'!R481</f>
        <v>0</v>
      </c>
      <c r="U480">
        <f>'[1]2026 Orders'!S481</f>
        <v>0</v>
      </c>
      <c r="V480">
        <f>'[1]2026 Orders'!T481</f>
        <v>0</v>
      </c>
      <c r="W480">
        <f>'[1]2026 Orders'!U481</f>
        <v>0</v>
      </c>
      <c r="X480">
        <f>'[1]2026 Orders'!V481</f>
        <v>0</v>
      </c>
      <c r="Y480">
        <f>'[1]2026 Orders'!W481</f>
        <v>0</v>
      </c>
      <c r="Z480">
        <f>'[1]2026 Orders'!X481</f>
        <v>0</v>
      </c>
      <c r="AC480" t="str">
        <f t="shared" si="14"/>
        <v/>
      </c>
      <c r="AD480" t="str">
        <f t="shared" si="15"/>
        <v/>
      </c>
    </row>
    <row r="481" spans="1:30" ht="33" hidden="1" customHeight="1" x14ac:dyDescent="0.3">
      <c r="A481">
        <f>'[1]2026 Orders'!A482</f>
        <v>0</v>
      </c>
      <c r="B481" s="14">
        <f>'[1]2026 Orders'!B482</f>
        <v>0</v>
      </c>
      <c r="C481" s="14">
        <f>'[1]2026 Orders'!C482</f>
        <v>0</v>
      </c>
      <c r="D481" s="14">
        <f>'[1]2026 Orders'!D482</f>
        <v>0</v>
      </c>
      <c r="E481" s="17" t="str" cm="1">
        <f t="array" ref="E481">IF(C481=0,"",
HYPERLINK(
"#'2026 Orders'!C"&amp;
MATCH(1,
('2026 Orders'!C:C=C481)*
('2026 Orders'!G:G=G481)*
('2026 Orders'!N:N=N481),
0),
"Open "&amp;C481
))</f>
        <v/>
      </c>
      <c r="F481" s="14">
        <f>'[1]2026 Orders'!F482</f>
        <v>0</v>
      </c>
      <c r="G481" s="14">
        <f>'[1]2026 Orders'!G482</f>
        <v>0</v>
      </c>
      <c r="H481" s="14" t="str" cm="1">
        <f t="array" ref="H481">IFERROR(_xlfn.TEXTJOIN("-",,INDEX(_xlfn.TEXTSPLIT(TableGive[[#This Row],[SKU]],"-"),{1,2})),"")</f>
        <v/>
      </c>
      <c r="I481" s="15" t="str">
        <f>IFERROR(_xlfn.TEXTAFTER(TableGive[[#This Row],[SKU]],"-",-1),"")</f>
        <v/>
      </c>
      <c r="J481" s="14">
        <f>'[1]2026 Orders'!H482</f>
        <v>0</v>
      </c>
      <c r="K481">
        <f>'[1]2026 Orders'!I482</f>
        <v>0</v>
      </c>
      <c r="L481">
        <f>'[1]2026 Orders'!J482</f>
        <v>0</v>
      </c>
      <c r="N481" s="10">
        <f>'[1]2026 Orders'!L482</f>
        <v>0</v>
      </c>
      <c r="O481">
        <f>'[1]2026 Orders'!M482</f>
        <v>0</v>
      </c>
      <c r="P481">
        <f>'[1]2026 Orders'!N482</f>
        <v>0</v>
      </c>
      <c r="Q481">
        <f>'[1]2026 Orders'!O482</f>
        <v>0</v>
      </c>
      <c r="R481">
        <f>'[1]2026 Orders'!P482</f>
        <v>0</v>
      </c>
      <c r="S481">
        <f>'[1]2026 Orders'!Q482</f>
        <v>0</v>
      </c>
      <c r="T481">
        <f>'[1]2026 Orders'!R482</f>
        <v>0</v>
      </c>
      <c r="U481">
        <f>'[1]2026 Orders'!S482</f>
        <v>0</v>
      </c>
      <c r="V481">
        <f>'[1]2026 Orders'!T482</f>
        <v>0</v>
      </c>
      <c r="W481">
        <f>'[1]2026 Orders'!U482</f>
        <v>0</v>
      </c>
      <c r="X481">
        <f>'[1]2026 Orders'!V482</f>
        <v>0</v>
      </c>
      <c r="Y481">
        <f>'[1]2026 Orders'!W482</f>
        <v>0</v>
      </c>
      <c r="Z481">
        <f>'[1]2026 Orders'!X482</f>
        <v>0</v>
      </c>
      <c r="AC481" t="str">
        <f t="shared" si="14"/>
        <v/>
      </c>
      <c r="AD481" t="str">
        <f t="shared" si="15"/>
        <v/>
      </c>
    </row>
    <row r="482" spans="1:30" ht="33" hidden="1" customHeight="1" x14ac:dyDescent="0.3">
      <c r="A482">
        <f>'[1]2026 Orders'!A483</f>
        <v>0</v>
      </c>
      <c r="B482" s="14">
        <f>'[1]2026 Orders'!B483</f>
        <v>0</v>
      </c>
      <c r="C482" s="14">
        <f>'[1]2026 Orders'!C483</f>
        <v>0</v>
      </c>
      <c r="D482" s="14">
        <f>'[1]2026 Orders'!D483</f>
        <v>0</v>
      </c>
      <c r="E482" s="17" t="str" cm="1">
        <f t="array" ref="E482">IF(C482=0,"",
HYPERLINK(
"#'2026 Orders'!C"&amp;
MATCH(1,
('2026 Orders'!C:C=C482)*
('2026 Orders'!G:G=G482)*
('2026 Orders'!N:N=N482),
0),
"Open "&amp;C482
))</f>
        <v/>
      </c>
      <c r="F482" s="14">
        <f>'[1]2026 Orders'!F483</f>
        <v>0</v>
      </c>
      <c r="G482" s="14">
        <f>'[1]2026 Orders'!G483</f>
        <v>0</v>
      </c>
      <c r="H482" s="14" t="str" cm="1">
        <f t="array" ref="H482">IFERROR(_xlfn.TEXTJOIN("-",,INDEX(_xlfn.TEXTSPLIT(TableGive[[#This Row],[SKU]],"-"),{1,2})),"")</f>
        <v/>
      </c>
      <c r="I482" s="15" t="str">
        <f>IFERROR(_xlfn.TEXTAFTER(TableGive[[#This Row],[SKU]],"-",-1),"")</f>
        <v/>
      </c>
      <c r="J482" s="14">
        <f>'[1]2026 Orders'!H483</f>
        <v>0</v>
      </c>
      <c r="K482">
        <f>'[1]2026 Orders'!I483</f>
        <v>0</v>
      </c>
      <c r="L482">
        <f>'[1]2026 Orders'!J483</f>
        <v>0</v>
      </c>
      <c r="N482" s="10">
        <f>'[1]2026 Orders'!L483</f>
        <v>0</v>
      </c>
      <c r="O482">
        <f>'[1]2026 Orders'!M483</f>
        <v>0</v>
      </c>
      <c r="P482">
        <f>'[1]2026 Orders'!N483</f>
        <v>0</v>
      </c>
      <c r="Q482">
        <f>'[1]2026 Orders'!O483</f>
        <v>0</v>
      </c>
      <c r="R482">
        <f>'[1]2026 Orders'!P483</f>
        <v>0</v>
      </c>
      <c r="S482">
        <f>'[1]2026 Orders'!Q483</f>
        <v>0</v>
      </c>
      <c r="T482">
        <f>'[1]2026 Orders'!R483</f>
        <v>0</v>
      </c>
      <c r="U482">
        <f>'[1]2026 Orders'!S483</f>
        <v>0</v>
      </c>
      <c r="V482">
        <f>'[1]2026 Orders'!T483</f>
        <v>0</v>
      </c>
      <c r="W482">
        <f>'[1]2026 Orders'!U483</f>
        <v>0</v>
      </c>
      <c r="X482">
        <f>'[1]2026 Orders'!V483</f>
        <v>0</v>
      </c>
      <c r="Y482">
        <f>'[1]2026 Orders'!W483</f>
        <v>0</v>
      </c>
      <c r="Z482">
        <f>'[1]2026 Orders'!X483</f>
        <v>0</v>
      </c>
      <c r="AC482" t="str">
        <f t="shared" si="14"/>
        <v/>
      </c>
      <c r="AD482" t="str">
        <f t="shared" si="15"/>
        <v/>
      </c>
    </row>
    <row r="483" spans="1:30" ht="33" hidden="1" customHeight="1" x14ac:dyDescent="0.3">
      <c r="A483">
        <f>'[1]2026 Orders'!A484</f>
        <v>0</v>
      </c>
      <c r="B483" s="14">
        <f>'[1]2026 Orders'!B484</f>
        <v>0</v>
      </c>
      <c r="C483" s="14">
        <f>'[1]2026 Orders'!C484</f>
        <v>0</v>
      </c>
      <c r="D483" s="14">
        <f>'[1]2026 Orders'!D484</f>
        <v>0</v>
      </c>
      <c r="E483" s="17" t="str" cm="1">
        <f t="array" ref="E483">IF(C483=0,"",
HYPERLINK(
"#'2026 Orders'!C"&amp;
MATCH(1,
('2026 Orders'!C:C=C483)*
('2026 Orders'!G:G=G483)*
('2026 Orders'!N:N=N483),
0),
"Open "&amp;C483
))</f>
        <v/>
      </c>
      <c r="F483" s="14">
        <f>'[1]2026 Orders'!F484</f>
        <v>0</v>
      </c>
      <c r="G483" s="14">
        <f>'[1]2026 Orders'!G484</f>
        <v>0</v>
      </c>
      <c r="H483" s="14" t="str" cm="1">
        <f t="array" ref="H483">IFERROR(_xlfn.TEXTJOIN("-",,INDEX(_xlfn.TEXTSPLIT(TableGive[[#This Row],[SKU]],"-"),{1,2})),"")</f>
        <v/>
      </c>
      <c r="I483" s="15" t="str">
        <f>IFERROR(_xlfn.TEXTAFTER(TableGive[[#This Row],[SKU]],"-",-1),"")</f>
        <v/>
      </c>
      <c r="J483" s="14">
        <f>'[1]2026 Orders'!H484</f>
        <v>0</v>
      </c>
      <c r="K483">
        <f>'[1]2026 Orders'!I484</f>
        <v>0</v>
      </c>
      <c r="L483">
        <f>'[1]2026 Orders'!J484</f>
        <v>0</v>
      </c>
      <c r="N483" s="10">
        <f>'[1]2026 Orders'!L484</f>
        <v>0</v>
      </c>
      <c r="O483">
        <f>'[1]2026 Orders'!M484</f>
        <v>0</v>
      </c>
      <c r="P483">
        <f>'[1]2026 Orders'!N484</f>
        <v>0</v>
      </c>
      <c r="Q483">
        <f>'[1]2026 Orders'!O484</f>
        <v>0</v>
      </c>
      <c r="R483">
        <f>'[1]2026 Orders'!P484</f>
        <v>0</v>
      </c>
      <c r="S483">
        <f>'[1]2026 Orders'!Q484</f>
        <v>0</v>
      </c>
      <c r="T483">
        <f>'[1]2026 Orders'!R484</f>
        <v>0</v>
      </c>
      <c r="U483">
        <f>'[1]2026 Orders'!S484</f>
        <v>0</v>
      </c>
      <c r="V483">
        <f>'[1]2026 Orders'!T484</f>
        <v>0</v>
      </c>
      <c r="W483">
        <f>'[1]2026 Orders'!U484</f>
        <v>0</v>
      </c>
      <c r="X483">
        <f>'[1]2026 Orders'!V484</f>
        <v>0</v>
      </c>
      <c r="Y483">
        <f>'[1]2026 Orders'!W484</f>
        <v>0</v>
      </c>
      <c r="Z483">
        <f>'[1]2026 Orders'!X484</f>
        <v>0</v>
      </c>
      <c r="AC483" t="str">
        <f t="shared" si="14"/>
        <v/>
      </c>
      <c r="AD483" t="str">
        <f t="shared" si="15"/>
        <v/>
      </c>
    </row>
    <row r="484" spans="1:30" ht="33" hidden="1" customHeight="1" x14ac:dyDescent="0.3">
      <c r="A484">
        <f>'[1]2026 Orders'!A485</f>
        <v>0</v>
      </c>
      <c r="B484" s="14">
        <f>'[1]2026 Orders'!B485</f>
        <v>0</v>
      </c>
      <c r="C484" s="14">
        <f>'[1]2026 Orders'!C485</f>
        <v>0</v>
      </c>
      <c r="D484" s="14">
        <f>'[1]2026 Orders'!D485</f>
        <v>0</v>
      </c>
      <c r="E484" s="17" t="str" cm="1">
        <f t="array" ref="E484">IF(C484=0,"",
HYPERLINK(
"#'2026 Orders'!C"&amp;
MATCH(1,
('2026 Orders'!C:C=C484)*
('2026 Orders'!G:G=G484)*
('2026 Orders'!N:N=N484),
0),
"Open "&amp;C484
))</f>
        <v/>
      </c>
      <c r="F484" s="14">
        <f>'[1]2026 Orders'!F485</f>
        <v>0</v>
      </c>
      <c r="G484" s="14">
        <f>'[1]2026 Orders'!G485</f>
        <v>0</v>
      </c>
      <c r="H484" s="14" t="str" cm="1">
        <f t="array" ref="H484">IFERROR(_xlfn.TEXTJOIN("-",,INDEX(_xlfn.TEXTSPLIT(TableGive[[#This Row],[SKU]],"-"),{1,2})),"")</f>
        <v/>
      </c>
      <c r="I484" s="15" t="str">
        <f>IFERROR(_xlfn.TEXTAFTER(TableGive[[#This Row],[SKU]],"-",-1),"")</f>
        <v/>
      </c>
      <c r="J484" s="14">
        <f>'[1]2026 Orders'!H485</f>
        <v>0</v>
      </c>
      <c r="K484">
        <f>'[1]2026 Orders'!I485</f>
        <v>0</v>
      </c>
      <c r="L484">
        <f>'[1]2026 Orders'!J485</f>
        <v>0</v>
      </c>
      <c r="N484" s="10">
        <f>'[1]2026 Orders'!L485</f>
        <v>0</v>
      </c>
      <c r="O484">
        <f>'[1]2026 Orders'!M485</f>
        <v>0</v>
      </c>
      <c r="P484">
        <f>'[1]2026 Orders'!N485</f>
        <v>0</v>
      </c>
      <c r="Q484">
        <f>'[1]2026 Orders'!O485</f>
        <v>0</v>
      </c>
      <c r="R484">
        <f>'[1]2026 Orders'!P485</f>
        <v>0</v>
      </c>
      <c r="S484">
        <f>'[1]2026 Orders'!Q485</f>
        <v>0</v>
      </c>
      <c r="T484">
        <f>'[1]2026 Orders'!R485</f>
        <v>0</v>
      </c>
      <c r="U484">
        <f>'[1]2026 Orders'!S485</f>
        <v>0</v>
      </c>
      <c r="V484">
        <f>'[1]2026 Orders'!T485</f>
        <v>0</v>
      </c>
      <c r="W484">
        <f>'[1]2026 Orders'!U485</f>
        <v>0</v>
      </c>
      <c r="X484">
        <f>'[1]2026 Orders'!V485</f>
        <v>0</v>
      </c>
      <c r="Y484">
        <f>'[1]2026 Orders'!W485</f>
        <v>0</v>
      </c>
      <c r="Z484">
        <f>'[1]2026 Orders'!X485</f>
        <v>0</v>
      </c>
      <c r="AC484" t="str">
        <f t="shared" si="14"/>
        <v/>
      </c>
      <c r="AD484" t="str">
        <f t="shared" si="15"/>
        <v/>
      </c>
    </row>
    <row r="485" spans="1:30" ht="33" hidden="1" customHeight="1" x14ac:dyDescent="0.3">
      <c r="A485">
        <f>'[1]2026 Orders'!A486</f>
        <v>0</v>
      </c>
      <c r="B485" s="14">
        <f>'[1]2026 Orders'!B486</f>
        <v>0</v>
      </c>
      <c r="C485" s="14">
        <f>'[1]2026 Orders'!C486</f>
        <v>0</v>
      </c>
      <c r="D485" s="14">
        <f>'[1]2026 Orders'!D486</f>
        <v>0</v>
      </c>
      <c r="E485" s="17" t="str" cm="1">
        <f t="array" ref="E485">IF(C485=0,"",
HYPERLINK(
"#'2026 Orders'!C"&amp;
MATCH(1,
('2026 Orders'!C:C=C485)*
('2026 Orders'!G:G=G485)*
('2026 Orders'!N:N=N485),
0),
"Open "&amp;C485
))</f>
        <v/>
      </c>
      <c r="F485" s="14">
        <f>'[1]2026 Orders'!F486</f>
        <v>0</v>
      </c>
      <c r="G485" s="14">
        <f>'[1]2026 Orders'!G486</f>
        <v>0</v>
      </c>
      <c r="H485" s="14" t="str" cm="1">
        <f t="array" ref="H485">IFERROR(_xlfn.TEXTJOIN("-",,INDEX(_xlfn.TEXTSPLIT(TableGive[[#This Row],[SKU]],"-"),{1,2})),"")</f>
        <v/>
      </c>
      <c r="I485" s="15" t="str">
        <f>IFERROR(_xlfn.TEXTAFTER(TableGive[[#This Row],[SKU]],"-",-1),"")</f>
        <v/>
      </c>
      <c r="J485" s="14">
        <f>'[1]2026 Orders'!H486</f>
        <v>0</v>
      </c>
      <c r="K485">
        <f>'[1]2026 Orders'!I486</f>
        <v>0</v>
      </c>
      <c r="L485">
        <f>'[1]2026 Orders'!J486</f>
        <v>0</v>
      </c>
      <c r="N485" s="10">
        <f>'[1]2026 Orders'!L486</f>
        <v>0</v>
      </c>
      <c r="O485">
        <f>'[1]2026 Orders'!M486</f>
        <v>0</v>
      </c>
      <c r="P485">
        <f>'[1]2026 Orders'!N486</f>
        <v>0</v>
      </c>
      <c r="Q485">
        <f>'[1]2026 Orders'!O486</f>
        <v>0</v>
      </c>
      <c r="R485">
        <f>'[1]2026 Orders'!P486</f>
        <v>0</v>
      </c>
      <c r="S485">
        <f>'[1]2026 Orders'!Q486</f>
        <v>0</v>
      </c>
      <c r="T485">
        <f>'[1]2026 Orders'!R486</f>
        <v>0</v>
      </c>
      <c r="U485">
        <f>'[1]2026 Orders'!S486</f>
        <v>0</v>
      </c>
      <c r="V485">
        <f>'[1]2026 Orders'!T486</f>
        <v>0</v>
      </c>
      <c r="W485">
        <f>'[1]2026 Orders'!U486</f>
        <v>0</v>
      </c>
      <c r="X485">
        <f>'[1]2026 Orders'!V486</f>
        <v>0</v>
      </c>
      <c r="Y485">
        <f>'[1]2026 Orders'!W486</f>
        <v>0</v>
      </c>
      <c r="Z485">
        <f>'[1]2026 Orders'!X486</f>
        <v>0</v>
      </c>
      <c r="AC485" t="str">
        <f t="shared" si="14"/>
        <v/>
      </c>
      <c r="AD485" t="str">
        <f t="shared" si="15"/>
        <v/>
      </c>
    </row>
    <row r="486" spans="1:30" ht="33" hidden="1" customHeight="1" x14ac:dyDescent="0.3">
      <c r="A486">
        <f>'[1]2026 Orders'!A487</f>
        <v>0</v>
      </c>
      <c r="B486" s="14">
        <f>'[1]2026 Orders'!B487</f>
        <v>0</v>
      </c>
      <c r="C486" s="14">
        <f>'[1]2026 Orders'!C487</f>
        <v>0</v>
      </c>
      <c r="D486" s="14">
        <f>'[1]2026 Orders'!D487</f>
        <v>0</v>
      </c>
      <c r="E486" s="17" t="str" cm="1">
        <f t="array" ref="E486">IF(C486=0,"",
HYPERLINK(
"#'2026 Orders'!C"&amp;
MATCH(1,
('2026 Orders'!C:C=C486)*
('2026 Orders'!G:G=G486)*
('2026 Orders'!N:N=N486),
0),
"Open "&amp;C486
))</f>
        <v/>
      </c>
      <c r="F486" s="14">
        <f>'[1]2026 Orders'!F487</f>
        <v>0</v>
      </c>
      <c r="G486" s="14">
        <f>'[1]2026 Orders'!G487</f>
        <v>0</v>
      </c>
      <c r="H486" s="14" t="str" cm="1">
        <f t="array" ref="H486">IFERROR(_xlfn.TEXTJOIN("-",,INDEX(_xlfn.TEXTSPLIT(TableGive[[#This Row],[SKU]],"-"),{1,2})),"")</f>
        <v/>
      </c>
      <c r="I486" s="15" t="str">
        <f>IFERROR(_xlfn.TEXTAFTER(TableGive[[#This Row],[SKU]],"-",-1),"")</f>
        <v/>
      </c>
      <c r="J486" s="14">
        <f>'[1]2026 Orders'!H487</f>
        <v>0</v>
      </c>
      <c r="K486">
        <f>'[1]2026 Orders'!I487</f>
        <v>0</v>
      </c>
      <c r="L486">
        <f>'[1]2026 Orders'!J487</f>
        <v>0</v>
      </c>
      <c r="N486" s="10">
        <f>'[1]2026 Orders'!L487</f>
        <v>0</v>
      </c>
      <c r="O486">
        <f>'[1]2026 Orders'!M487</f>
        <v>0</v>
      </c>
      <c r="P486">
        <f>'[1]2026 Orders'!N487</f>
        <v>0</v>
      </c>
      <c r="Q486">
        <f>'[1]2026 Orders'!O487</f>
        <v>0</v>
      </c>
      <c r="R486">
        <f>'[1]2026 Orders'!P487</f>
        <v>0</v>
      </c>
      <c r="S486">
        <f>'[1]2026 Orders'!Q487</f>
        <v>0</v>
      </c>
      <c r="T486">
        <f>'[1]2026 Orders'!R487</f>
        <v>0</v>
      </c>
      <c r="U486">
        <f>'[1]2026 Orders'!S487</f>
        <v>0</v>
      </c>
      <c r="V486">
        <f>'[1]2026 Orders'!T487</f>
        <v>0</v>
      </c>
      <c r="W486">
        <f>'[1]2026 Orders'!U487</f>
        <v>0</v>
      </c>
      <c r="X486">
        <f>'[1]2026 Orders'!V487</f>
        <v>0</v>
      </c>
      <c r="Y486">
        <f>'[1]2026 Orders'!W487</f>
        <v>0</v>
      </c>
      <c r="Z486">
        <f>'[1]2026 Orders'!X487</f>
        <v>0</v>
      </c>
      <c r="AC486" t="str">
        <f t="shared" si="14"/>
        <v/>
      </c>
      <c r="AD486" t="str">
        <f t="shared" si="15"/>
        <v/>
      </c>
    </row>
    <row r="487" spans="1:30" ht="33" hidden="1" customHeight="1" x14ac:dyDescent="0.3">
      <c r="A487">
        <f>'[1]2026 Orders'!A488</f>
        <v>0</v>
      </c>
      <c r="B487" s="14">
        <f>'[1]2026 Orders'!B488</f>
        <v>0</v>
      </c>
      <c r="C487" s="14">
        <f>'[1]2026 Orders'!C488</f>
        <v>0</v>
      </c>
      <c r="D487" s="14">
        <f>'[1]2026 Orders'!D488</f>
        <v>0</v>
      </c>
      <c r="E487" s="17" t="str" cm="1">
        <f t="array" ref="E487">IF(C487=0,"",
HYPERLINK(
"#'2026 Orders'!C"&amp;
MATCH(1,
('2026 Orders'!C:C=C487)*
('2026 Orders'!G:G=G487)*
('2026 Orders'!N:N=N487),
0),
"Open "&amp;C487
))</f>
        <v/>
      </c>
      <c r="F487" s="14">
        <f>'[1]2026 Orders'!F488</f>
        <v>0</v>
      </c>
      <c r="G487" s="14">
        <f>'[1]2026 Orders'!G488</f>
        <v>0</v>
      </c>
      <c r="H487" s="14" t="str" cm="1">
        <f t="array" ref="H487">IFERROR(_xlfn.TEXTJOIN("-",,INDEX(_xlfn.TEXTSPLIT(TableGive[[#This Row],[SKU]],"-"),{1,2})),"")</f>
        <v/>
      </c>
      <c r="I487" s="15" t="str">
        <f>IFERROR(_xlfn.TEXTAFTER(TableGive[[#This Row],[SKU]],"-",-1),"")</f>
        <v/>
      </c>
      <c r="J487" s="14">
        <f>'[1]2026 Orders'!H488</f>
        <v>0</v>
      </c>
      <c r="K487">
        <f>'[1]2026 Orders'!I488</f>
        <v>0</v>
      </c>
      <c r="L487">
        <f>'[1]2026 Orders'!J488</f>
        <v>0</v>
      </c>
      <c r="N487" s="10">
        <f>'[1]2026 Orders'!L488</f>
        <v>0</v>
      </c>
      <c r="O487">
        <f>'[1]2026 Orders'!M488</f>
        <v>0</v>
      </c>
      <c r="P487">
        <f>'[1]2026 Orders'!N488</f>
        <v>0</v>
      </c>
      <c r="Q487">
        <f>'[1]2026 Orders'!O488</f>
        <v>0</v>
      </c>
      <c r="R487">
        <f>'[1]2026 Orders'!P488</f>
        <v>0</v>
      </c>
      <c r="S487">
        <f>'[1]2026 Orders'!Q488</f>
        <v>0</v>
      </c>
      <c r="T487">
        <f>'[1]2026 Orders'!R488</f>
        <v>0</v>
      </c>
      <c r="U487">
        <f>'[1]2026 Orders'!S488</f>
        <v>0</v>
      </c>
      <c r="V487">
        <f>'[1]2026 Orders'!T488</f>
        <v>0</v>
      </c>
      <c r="W487">
        <f>'[1]2026 Orders'!U488</f>
        <v>0</v>
      </c>
      <c r="X487">
        <f>'[1]2026 Orders'!V488</f>
        <v>0</v>
      </c>
      <c r="Y487">
        <f>'[1]2026 Orders'!W488</f>
        <v>0</v>
      </c>
      <c r="Z487">
        <f>'[1]2026 Orders'!X488</f>
        <v>0</v>
      </c>
      <c r="AC487" t="str">
        <f t="shared" si="14"/>
        <v/>
      </c>
      <c r="AD487" t="str">
        <f t="shared" si="15"/>
        <v/>
      </c>
    </row>
    <row r="488" spans="1:30" ht="33" hidden="1" customHeight="1" x14ac:dyDescent="0.3">
      <c r="A488">
        <f>'[1]2026 Orders'!A489</f>
        <v>0</v>
      </c>
      <c r="B488" s="14">
        <f>'[1]2026 Orders'!B489</f>
        <v>0</v>
      </c>
      <c r="C488" s="14">
        <f>'[1]2026 Orders'!C489</f>
        <v>0</v>
      </c>
      <c r="D488" s="14">
        <f>'[1]2026 Orders'!D489</f>
        <v>0</v>
      </c>
      <c r="E488" s="17" t="str" cm="1">
        <f t="array" ref="E488">IF(C488=0,"",
HYPERLINK(
"#'2026 Orders'!C"&amp;
MATCH(1,
('2026 Orders'!C:C=C488)*
('2026 Orders'!G:G=G488)*
('2026 Orders'!N:N=N488),
0),
"Open "&amp;C488
))</f>
        <v/>
      </c>
      <c r="F488" s="14">
        <f>'[1]2026 Orders'!F489</f>
        <v>0</v>
      </c>
      <c r="G488" s="14">
        <f>'[1]2026 Orders'!G489</f>
        <v>0</v>
      </c>
      <c r="H488" s="14" t="str" cm="1">
        <f t="array" ref="H488">IFERROR(_xlfn.TEXTJOIN("-",,INDEX(_xlfn.TEXTSPLIT(TableGive[[#This Row],[SKU]],"-"),{1,2})),"")</f>
        <v/>
      </c>
      <c r="I488" s="15" t="str">
        <f>IFERROR(_xlfn.TEXTAFTER(TableGive[[#This Row],[SKU]],"-",-1),"")</f>
        <v/>
      </c>
      <c r="J488" s="14">
        <f>'[1]2026 Orders'!H489</f>
        <v>0</v>
      </c>
      <c r="K488">
        <f>'[1]2026 Orders'!I489</f>
        <v>0</v>
      </c>
      <c r="L488">
        <f>'[1]2026 Orders'!J489</f>
        <v>0</v>
      </c>
      <c r="N488" s="10">
        <f>'[1]2026 Orders'!L489</f>
        <v>0</v>
      </c>
      <c r="O488">
        <f>'[1]2026 Orders'!M489</f>
        <v>0</v>
      </c>
      <c r="P488">
        <f>'[1]2026 Orders'!N489</f>
        <v>0</v>
      </c>
      <c r="Q488">
        <f>'[1]2026 Orders'!O489</f>
        <v>0</v>
      </c>
      <c r="R488">
        <f>'[1]2026 Orders'!P489</f>
        <v>0</v>
      </c>
      <c r="S488">
        <f>'[1]2026 Orders'!Q489</f>
        <v>0</v>
      </c>
      <c r="T488">
        <f>'[1]2026 Orders'!R489</f>
        <v>0</v>
      </c>
      <c r="U488">
        <f>'[1]2026 Orders'!S489</f>
        <v>0</v>
      </c>
      <c r="V488">
        <f>'[1]2026 Orders'!T489</f>
        <v>0</v>
      </c>
      <c r="W488">
        <f>'[1]2026 Orders'!U489</f>
        <v>0</v>
      </c>
      <c r="X488">
        <f>'[1]2026 Orders'!V489</f>
        <v>0</v>
      </c>
      <c r="Y488">
        <f>'[1]2026 Orders'!W489</f>
        <v>0</v>
      </c>
      <c r="Z488">
        <f>'[1]2026 Orders'!X489</f>
        <v>0</v>
      </c>
      <c r="AC488" t="str">
        <f t="shared" si="14"/>
        <v/>
      </c>
      <c r="AD488" t="str">
        <f t="shared" si="15"/>
        <v/>
      </c>
    </row>
    <row r="489" spans="1:30" ht="33" hidden="1" customHeight="1" x14ac:dyDescent="0.3">
      <c r="A489">
        <f>'[1]2026 Orders'!A490</f>
        <v>0</v>
      </c>
      <c r="B489" s="14">
        <f>'[1]2026 Orders'!B490</f>
        <v>0</v>
      </c>
      <c r="C489" s="14">
        <f>'[1]2026 Orders'!C490</f>
        <v>0</v>
      </c>
      <c r="D489" s="14">
        <f>'[1]2026 Orders'!D490</f>
        <v>0</v>
      </c>
      <c r="E489" s="17" t="str" cm="1">
        <f t="array" ref="E489">IF(C489=0,"",
HYPERLINK(
"#'2026 Orders'!C"&amp;
MATCH(1,
('2026 Orders'!C:C=C489)*
('2026 Orders'!G:G=G489)*
('2026 Orders'!N:N=N489),
0),
"Open "&amp;C489
))</f>
        <v/>
      </c>
      <c r="F489" s="14">
        <f>'[1]2026 Orders'!F490</f>
        <v>0</v>
      </c>
      <c r="G489" s="14">
        <f>'[1]2026 Orders'!G490</f>
        <v>0</v>
      </c>
      <c r="H489" s="14" t="str" cm="1">
        <f t="array" ref="H489">IFERROR(_xlfn.TEXTJOIN("-",,INDEX(_xlfn.TEXTSPLIT(TableGive[[#This Row],[SKU]],"-"),{1,2})),"")</f>
        <v/>
      </c>
      <c r="I489" s="15" t="str">
        <f>IFERROR(_xlfn.TEXTAFTER(TableGive[[#This Row],[SKU]],"-",-1),"")</f>
        <v/>
      </c>
      <c r="J489" s="14">
        <f>'[1]2026 Orders'!H490</f>
        <v>0</v>
      </c>
      <c r="K489">
        <f>'[1]2026 Orders'!I490</f>
        <v>0</v>
      </c>
      <c r="L489">
        <f>'[1]2026 Orders'!J490</f>
        <v>0</v>
      </c>
      <c r="N489" s="10">
        <f>'[1]2026 Orders'!L490</f>
        <v>0</v>
      </c>
      <c r="O489">
        <f>'[1]2026 Orders'!M490</f>
        <v>0</v>
      </c>
      <c r="P489">
        <f>'[1]2026 Orders'!N490</f>
        <v>0</v>
      </c>
      <c r="Q489">
        <f>'[1]2026 Orders'!O490</f>
        <v>0</v>
      </c>
      <c r="R489">
        <f>'[1]2026 Orders'!P490</f>
        <v>0</v>
      </c>
      <c r="S489">
        <f>'[1]2026 Orders'!Q490</f>
        <v>0</v>
      </c>
      <c r="T489">
        <f>'[1]2026 Orders'!R490</f>
        <v>0</v>
      </c>
      <c r="U489">
        <f>'[1]2026 Orders'!S490</f>
        <v>0</v>
      </c>
      <c r="V489">
        <f>'[1]2026 Orders'!T490</f>
        <v>0</v>
      </c>
      <c r="W489">
        <f>'[1]2026 Orders'!U490</f>
        <v>0</v>
      </c>
      <c r="X489">
        <f>'[1]2026 Orders'!V490</f>
        <v>0</v>
      </c>
      <c r="Y489">
        <f>'[1]2026 Orders'!W490</f>
        <v>0</v>
      </c>
      <c r="Z489">
        <f>'[1]2026 Orders'!X490</f>
        <v>0</v>
      </c>
      <c r="AC489" t="str">
        <f t="shared" si="14"/>
        <v/>
      </c>
      <c r="AD489" t="str">
        <f t="shared" si="15"/>
        <v/>
      </c>
    </row>
    <row r="490" spans="1:30" ht="33" hidden="1" customHeight="1" x14ac:dyDescent="0.3">
      <c r="A490">
        <f>'[1]2026 Orders'!A491</f>
        <v>0</v>
      </c>
      <c r="B490" s="14">
        <f>'[1]2026 Orders'!B491</f>
        <v>0</v>
      </c>
      <c r="C490" s="14">
        <f>'[1]2026 Orders'!C491</f>
        <v>0</v>
      </c>
      <c r="D490" s="14">
        <f>'[1]2026 Orders'!D491</f>
        <v>0</v>
      </c>
      <c r="E490" s="17" t="str" cm="1">
        <f t="array" ref="E490">IF(C490=0,"",
HYPERLINK(
"#'2026 Orders'!C"&amp;
MATCH(1,
('2026 Orders'!C:C=C490)*
('2026 Orders'!G:G=G490)*
('2026 Orders'!N:N=N490),
0),
"Open "&amp;C490
))</f>
        <v/>
      </c>
      <c r="F490" s="14">
        <f>'[1]2026 Orders'!F491</f>
        <v>0</v>
      </c>
      <c r="G490" s="14">
        <f>'[1]2026 Orders'!G491</f>
        <v>0</v>
      </c>
      <c r="H490" s="14" t="str" cm="1">
        <f t="array" ref="H490">IFERROR(_xlfn.TEXTJOIN("-",,INDEX(_xlfn.TEXTSPLIT(TableGive[[#This Row],[SKU]],"-"),{1,2})),"")</f>
        <v/>
      </c>
      <c r="I490" s="15" t="str">
        <f>IFERROR(_xlfn.TEXTAFTER(TableGive[[#This Row],[SKU]],"-",-1),"")</f>
        <v/>
      </c>
      <c r="J490" s="14">
        <f>'[1]2026 Orders'!H491</f>
        <v>0</v>
      </c>
      <c r="K490">
        <f>'[1]2026 Orders'!I491</f>
        <v>0</v>
      </c>
      <c r="L490">
        <f>'[1]2026 Orders'!J491</f>
        <v>0</v>
      </c>
      <c r="N490" s="10">
        <f>'[1]2026 Orders'!L491</f>
        <v>0</v>
      </c>
      <c r="O490">
        <f>'[1]2026 Orders'!M491</f>
        <v>0</v>
      </c>
      <c r="P490">
        <f>'[1]2026 Orders'!N491</f>
        <v>0</v>
      </c>
      <c r="Q490">
        <f>'[1]2026 Orders'!O491</f>
        <v>0</v>
      </c>
      <c r="R490">
        <f>'[1]2026 Orders'!P491</f>
        <v>0</v>
      </c>
      <c r="S490">
        <f>'[1]2026 Orders'!Q491</f>
        <v>0</v>
      </c>
      <c r="T490">
        <f>'[1]2026 Orders'!R491</f>
        <v>0</v>
      </c>
      <c r="U490">
        <f>'[1]2026 Orders'!S491</f>
        <v>0</v>
      </c>
      <c r="V490">
        <f>'[1]2026 Orders'!T491</f>
        <v>0</v>
      </c>
      <c r="W490">
        <f>'[1]2026 Orders'!U491</f>
        <v>0</v>
      </c>
      <c r="X490">
        <f>'[1]2026 Orders'!V491</f>
        <v>0</v>
      </c>
      <c r="Y490">
        <f>'[1]2026 Orders'!W491</f>
        <v>0</v>
      </c>
      <c r="Z490">
        <f>'[1]2026 Orders'!X491</f>
        <v>0</v>
      </c>
      <c r="AC490" t="str">
        <f t="shared" si="14"/>
        <v/>
      </c>
      <c r="AD490" t="str">
        <f t="shared" si="15"/>
        <v/>
      </c>
    </row>
    <row r="491" spans="1:30" ht="33" hidden="1" customHeight="1" x14ac:dyDescent="0.3">
      <c r="A491">
        <f>'[1]2026 Orders'!A492</f>
        <v>0</v>
      </c>
      <c r="B491" s="14">
        <f>'[1]2026 Orders'!B492</f>
        <v>0</v>
      </c>
      <c r="C491" s="14">
        <f>'[1]2026 Orders'!C492</f>
        <v>0</v>
      </c>
      <c r="D491" s="14">
        <f>'[1]2026 Orders'!D492</f>
        <v>0</v>
      </c>
      <c r="E491" s="17" t="str" cm="1">
        <f t="array" ref="E491">IF(C491=0,"",
HYPERLINK(
"#'2026 Orders'!C"&amp;
MATCH(1,
('2026 Orders'!C:C=C491)*
('2026 Orders'!G:G=G491)*
('2026 Orders'!N:N=N491),
0),
"Open "&amp;C491
))</f>
        <v/>
      </c>
      <c r="F491" s="14">
        <f>'[1]2026 Orders'!F492</f>
        <v>0</v>
      </c>
      <c r="G491" s="14">
        <f>'[1]2026 Orders'!G492</f>
        <v>0</v>
      </c>
      <c r="H491" s="14" t="str" cm="1">
        <f t="array" ref="H491">IFERROR(_xlfn.TEXTJOIN("-",,INDEX(_xlfn.TEXTSPLIT(TableGive[[#This Row],[SKU]],"-"),{1,2})),"")</f>
        <v/>
      </c>
      <c r="I491" s="15" t="str">
        <f>IFERROR(_xlfn.TEXTAFTER(TableGive[[#This Row],[SKU]],"-",-1),"")</f>
        <v/>
      </c>
      <c r="J491" s="14">
        <f>'[1]2026 Orders'!H492</f>
        <v>0</v>
      </c>
      <c r="K491">
        <f>'[1]2026 Orders'!I492</f>
        <v>0</v>
      </c>
      <c r="L491">
        <f>'[1]2026 Orders'!J492</f>
        <v>0</v>
      </c>
      <c r="N491" s="10">
        <f>'[1]2026 Orders'!L492</f>
        <v>0</v>
      </c>
      <c r="O491">
        <f>'[1]2026 Orders'!M492</f>
        <v>0</v>
      </c>
      <c r="P491">
        <f>'[1]2026 Orders'!N492</f>
        <v>0</v>
      </c>
      <c r="Q491">
        <f>'[1]2026 Orders'!O492</f>
        <v>0</v>
      </c>
      <c r="R491">
        <f>'[1]2026 Orders'!P492</f>
        <v>0</v>
      </c>
      <c r="S491">
        <f>'[1]2026 Orders'!Q492</f>
        <v>0</v>
      </c>
      <c r="T491">
        <f>'[1]2026 Orders'!R492</f>
        <v>0</v>
      </c>
      <c r="U491">
        <f>'[1]2026 Orders'!S492</f>
        <v>0</v>
      </c>
      <c r="V491">
        <f>'[1]2026 Orders'!T492</f>
        <v>0</v>
      </c>
      <c r="W491">
        <f>'[1]2026 Orders'!U492</f>
        <v>0</v>
      </c>
      <c r="X491">
        <f>'[1]2026 Orders'!V492</f>
        <v>0</v>
      </c>
      <c r="Y491">
        <f>'[1]2026 Orders'!W492</f>
        <v>0</v>
      </c>
      <c r="Z491">
        <f>'[1]2026 Orders'!X492</f>
        <v>0</v>
      </c>
      <c r="AC491" t="str">
        <f t="shared" si="14"/>
        <v/>
      </c>
      <c r="AD491" t="str">
        <f t="shared" si="15"/>
        <v/>
      </c>
    </row>
    <row r="492" spans="1:30" ht="33" hidden="1" customHeight="1" x14ac:dyDescent="0.3">
      <c r="A492">
        <f>'[1]2026 Orders'!A493</f>
        <v>0</v>
      </c>
      <c r="B492" s="14">
        <f>'[1]2026 Orders'!B493</f>
        <v>0</v>
      </c>
      <c r="C492" s="14">
        <f>'[1]2026 Orders'!C493</f>
        <v>0</v>
      </c>
      <c r="D492" s="14">
        <f>'[1]2026 Orders'!D493</f>
        <v>0</v>
      </c>
      <c r="E492" s="17" t="str" cm="1">
        <f t="array" ref="E492">IF(C492=0,"",
HYPERLINK(
"#'2026 Orders'!C"&amp;
MATCH(1,
('2026 Orders'!C:C=C492)*
('2026 Orders'!G:G=G492)*
('2026 Orders'!N:N=N492),
0),
"Open "&amp;C492
))</f>
        <v/>
      </c>
      <c r="F492" s="14">
        <f>'[1]2026 Orders'!F493</f>
        <v>0</v>
      </c>
      <c r="G492" s="14">
        <f>'[1]2026 Orders'!G493</f>
        <v>0</v>
      </c>
      <c r="H492" s="14" t="str" cm="1">
        <f t="array" ref="H492">IFERROR(_xlfn.TEXTJOIN("-",,INDEX(_xlfn.TEXTSPLIT(TableGive[[#This Row],[SKU]],"-"),{1,2})),"")</f>
        <v/>
      </c>
      <c r="I492" s="15" t="str">
        <f>IFERROR(_xlfn.TEXTAFTER(TableGive[[#This Row],[SKU]],"-",-1),"")</f>
        <v/>
      </c>
      <c r="J492" s="14">
        <f>'[1]2026 Orders'!H493</f>
        <v>0</v>
      </c>
      <c r="K492">
        <f>'[1]2026 Orders'!I493</f>
        <v>0</v>
      </c>
      <c r="L492">
        <f>'[1]2026 Orders'!J493</f>
        <v>0</v>
      </c>
      <c r="N492" s="10">
        <f>'[1]2026 Orders'!L493</f>
        <v>0</v>
      </c>
      <c r="O492">
        <f>'[1]2026 Orders'!M493</f>
        <v>0</v>
      </c>
      <c r="P492">
        <f>'[1]2026 Orders'!N493</f>
        <v>0</v>
      </c>
      <c r="Q492">
        <f>'[1]2026 Orders'!O493</f>
        <v>0</v>
      </c>
      <c r="R492">
        <f>'[1]2026 Orders'!P493</f>
        <v>0</v>
      </c>
      <c r="S492">
        <f>'[1]2026 Orders'!Q493</f>
        <v>0</v>
      </c>
      <c r="T492">
        <f>'[1]2026 Orders'!R493</f>
        <v>0</v>
      </c>
      <c r="U492">
        <f>'[1]2026 Orders'!S493</f>
        <v>0</v>
      </c>
      <c r="V492">
        <f>'[1]2026 Orders'!T493</f>
        <v>0</v>
      </c>
      <c r="W492">
        <f>'[1]2026 Orders'!U493</f>
        <v>0</v>
      </c>
      <c r="X492">
        <f>'[1]2026 Orders'!V493</f>
        <v>0</v>
      </c>
      <c r="Y492">
        <f>'[1]2026 Orders'!W493</f>
        <v>0</v>
      </c>
      <c r="Z492">
        <f>'[1]2026 Orders'!X493</f>
        <v>0</v>
      </c>
      <c r="AC492" t="str">
        <f t="shared" si="14"/>
        <v/>
      </c>
      <c r="AD492" t="str">
        <f t="shared" si="15"/>
        <v/>
      </c>
    </row>
    <row r="493" spans="1:30" ht="33" hidden="1" customHeight="1" x14ac:dyDescent="0.3">
      <c r="A493">
        <f>'[1]2026 Orders'!A494</f>
        <v>0</v>
      </c>
      <c r="B493" s="14">
        <f>'[1]2026 Orders'!B494</f>
        <v>0</v>
      </c>
      <c r="C493" s="14">
        <f>'[1]2026 Orders'!C494</f>
        <v>0</v>
      </c>
      <c r="D493" s="14">
        <f>'[1]2026 Orders'!D494</f>
        <v>0</v>
      </c>
      <c r="E493" s="17" t="str" cm="1">
        <f t="array" ref="E493">IF(C493=0,"",
HYPERLINK(
"#'2026 Orders'!C"&amp;
MATCH(1,
('2026 Orders'!C:C=C493)*
('2026 Orders'!G:G=G493)*
('2026 Orders'!N:N=N493),
0),
"Open "&amp;C493
))</f>
        <v/>
      </c>
      <c r="F493" s="14">
        <f>'[1]2026 Orders'!F494</f>
        <v>0</v>
      </c>
      <c r="G493" s="14">
        <f>'[1]2026 Orders'!G494</f>
        <v>0</v>
      </c>
      <c r="H493" s="14" t="str" cm="1">
        <f t="array" ref="H493">IFERROR(_xlfn.TEXTJOIN("-",,INDEX(_xlfn.TEXTSPLIT(TableGive[[#This Row],[SKU]],"-"),{1,2})),"")</f>
        <v/>
      </c>
      <c r="I493" s="15" t="str">
        <f>IFERROR(_xlfn.TEXTAFTER(TableGive[[#This Row],[SKU]],"-",-1),"")</f>
        <v/>
      </c>
      <c r="J493" s="14">
        <f>'[1]2026 Orders'!H494</f>
        <v>0</v>
      </c>
      <c r="K493">
        <f>'[1]2026 Orders'!I494</f>
        <v>0</v>
      </c>
      <c r="L493">
        <f>'[1]2026 Orders'!J494</f>
        <v>0</v>
      </c>
      <c r="N493" s="10">
        <f>'[1]2026 Orders'!L494</f>
        <v>0</v>
      </c>
      <c r="O493">
        <f>'[1]2026 Orders'!M494</f>
        <v>0</v>
      </c>
      <c r="P493">
        <f>'[1]2026 Orders'!N494</f>
        <v>0</v>
      </c>
      <c r="Q493">
        <f>'[1]2026 Orders'!O494</f>
        <v>0</v>
      </c>
      <c r="R493">
        <f>'[1]2026 Orders'!P494</f>
        <v>0</v>
      </c>
      <c r="S493">
        <f>'[1]2026 Orders'!Q494</f>
        <v>0</v>
      </c>
      <c r="T493">
        <f>'[1]2026 Orders'!R494</f>
        <v>0</v>
      </c>
      <c r="U493">
        <f>'[1]2026 Orders'!S494</f>
        <v>0</v>
      </c>
      <c r="V493">
        <f>'[1]2026 Orders'!T494</f>
        <v>0</v>
      </c>
      <c r="W493">
        <f>'[1]2026 Orders'!U494</f>
        <v>0</v>
      </c>
      <c r="X493">
        <f>'[1]2026 Orders'!V494</f>
        <v>0</v>
      </c>
      <c r="Y493">
        <f>'[1]2026 Orders'!W494</f>
        <v>0</v>
      </c>
      <c r="Z493">
        <f>'[1]2026 Orders'!X494</f>
        <v>0</v>
      </c>
      <c r="AC493" t="str">
        <f t="shared" si="14"/>
        <v/>
      </c>
      <c r="AD493" t="str">
        <f t="shared" si="15"/>
        <v/>
      </c>
    </row>
    <row r="494" spans="1:30" ht="33" hidden="1" customHeight="1" x14ac:dyDescent="0.3">
      <c r="A494">
        <f>'[1]2026 Orders'!A495</f>
        <v>0</v>
      </c>
      <c r="B494" s="14">
        <f>'[1]2026 Orders'!B495</f>
        <v>0</v>
      </c>
      <c r="C494" s="14">
        <f>'[1]2026 Orders'!C495</f>
        <v>0</v>
      </c>
      <c r="D494" s="14">
        <f>'[1]2026 Orders'!D495</f>
        <v>0</v>
      </c>
      <c r="E494" s="17" t="str" cm="1">
        <f t="array" ref="E494">IF(C494=0,"",
HYPERLINK(
"#'2026 Orders'!C"&amp;
MATCH(1,
('2026 Orders'!C:C=C494)*
('2026 Orders'!G:G=G494)*
('2026 Orders'!N:N=N494),
0),
"Open "&amp;C494
))</f>
        <v/>
      </c>
      <c r="F494" s="14">
        <f>'[1]2026 Orders'!F495</f>
        <v>0</v>
      </c>
      <c r="G494" s="14">
        <f>'[1]2026 Orders'!G495</f>
        <v>0</v>
      </c>
      <c r="H494" s="14" t="str" cm="1">
        <f t="array" ref="H494">IFERROR(_xlfn.TEXTJOIN("-",,INDEX(_xlfn.TEXTSPLIT(TableGive[[#This Row],[SKU]],"-"),{1,2})),"")</f>
        <v/>
      </c>
      <c r="I494" s="15" t="str">
        <f>IFERROR(_xlfn.TEXTAFTER(TableGive[[#This Row],[SKU]],"-",-1),"")</f>
        <v/>
      </c>
      <c r="J494" s="14">
        <f>'[1]2026 Orders'!H495</f>
        <v>0</v>
      </c>
      <c r="K494">
        <f>'[1]2026 Orders'!I495</f>
        <v>0</v>
      </c>
      <c r="L494">
        <f>'[1]2026 Orders'!J495</f>
        <v>0</v>
      </c>
      <c r="N494" s="10">
        <f>'[1]2026 Orders'!L495</f>
        <v>0</v>
      </c>
      <c r="O494">
        <f>'[1]2026 Orders'!M495</f>
        <v>0</v>
      </c>
      <c r="P494">
        <f>'[1]2026 Orders'!N495</f>
        <v>0</v>
      </c>
      <c r="Q494">
        <f>'[1]2026 Orders'!O495</f>
        <v>0</v>
      </c>
      <c r="R494">
        <f>'[1]2026 Orders'!P495</f>
        <v>0</v>
      </c>
      <c r="S494">
        <f>'[1]2026 Orders'!Q495</f>
        <v>0</v>
      </c>
      <c r="T494">
        <f>'[1]2026 Orders'!R495</f>
        <v>0</v>
      </c>
      <c r="U494">
        <f>'[1]2026 Orders'!S495</f>
        <v>0</v>
      </c>
      <c r="V494">
        <f>'[1]2026 Orders'!T495</f>
        <v>0</v>
      </c>
      <c r="W494">
        <f>'[1]2026 Orders'!U495</f>
        <v>0</v>
      </c>
      <c r="X494">
        <f>'[1]2026 Orders'!V495</f>
        <v>0</v>
      </c>
      <c r="Y494">
        <f>'[1]2026 Orders'!W495</f>
        <v>0</v>
      </c>
      <c r="Z494">
        <f>'[1]2026 Orders'!X495</f>
        <v>0</v>
      </c>
      <c r="AC494" t="str">
        <f t="shared" si="14"/>
        <v/>
      </c>
      <c r="AD494" t="str">
        <f t="shared" si="15"/>
        <v/>
      </c>
    </row>
    <row r="495" spans="1:30" ht="33" hidden="1" customHeight="1" x14ac:dyDescent="0.3">
      <c r="A495">
        <f>'[1]2026 Orders'!A496</f>
        <v>0</v>
      </c>
      <c r="B495" s="14">
        <f>'[1]2026 Orders'!B496</f>
        <v>0</v>
      </c>
      <c r="C495" s="14">
        <f>'[1]2026 Orders'!C496</f>
        <v>0</v>
      </c>
      <c r="D495" s="14">
        <f>'[1]2026 Orders'!D496</f>
        <v>0</v>
      </c>
      <c r="E495" s="17" t="str" cm="1">
        <f t="array" ref="E495">IF(C495=0,"",
HYPERLINK(
"#'2026 Orders'!C"&amp;
MATCH(1,
('2026 Orders'!C:C=C495)*
('2026 Orders'!G:G=G495)*
('2026 Orders'!N:N=N495),
0),
"Open "&amp;C495
))</f>
        <v/>
      </c>
      <c r="F495" s="14">
        <f>'[1]2026 Orders'!F496</f>
        <v>0</v>
      </c>
      <c r="G495" s="14">
        <f>'[1]2026 Orders'!G496</f>
        <v>0</v>
      </c>
      <c r="H495" s="14" t="str" cm="1">
        <f t="array" ref="H495">IFERROR(_xlfn.TEXTJOIN("-",,INDEX(_xlfn.TEXTSPLIT(TableGive[[#This Row],[SKU]],"-"),{1,2})),"")</f>
        <v/>
      </c>
      <c r="I495" s="15" t="str">
        <f>IFERROR(_xlfn.TEXTAFTER(TableGive[[#This Row],[SKU]],"-",-1),"")</f>
        <v/>
      </c>
      <c r="J495" s="14">
        <f>'[1]2026 Orders'!H496</f>
        <v>0</v>
      </c>
      <c r="K495">
        <f>'[1]2026 Orders'!I496</f>
        <v>0</v>
      </c>
      <c r="L495">
        <f>'[1]2026 Orders'!J496</f>
        <v>0</v>
      </c>
      <c r="N495" s="10">
        <f>'[1]2026 Orders'!L496</f>
        <v>0</v>
      </c>
      <c r="O495">
        <f>'[1]2026 Orders'!M496</f>
        <v>0</v>
      </c>
      <c r="P495">
        <f>'[1]2026 Orders'!N496</f>
        <v>0</v>
      </c>
      <c r="Q495">
        <f>'[1]2026 Orders'!O496</f>
        <v>0</v>
      </c>
      <c r="R495">
        <f>'[1]2026 Orders'!P496</f>
        <v>0</v>
      </c>
      <c r="S495">
        <f>'[1]2026 Orders'!Q496</f>
        <v>0</v>
      </c>
      <c r="T495">
        <f>'[1]2026 Orders'!R496</f>
        <v>0</v>
      </c>
      <c r="U495">
        <f>'[1]2026 Orders'!S496</f>
        <v>0</v>
      </c>
      <c r="V495">
        <f>'[1]2026 Orders'!T496</f>
        <v>0</v>
      </c>
      <c r="W495">
        <f>'[1]2026 Orders'!U496</f>
        <v>0</v>
      </c>
      <c r="X495">
        <f>'[1]2026 Orders'!V496</f>
        <v>0</v>
      </c>
      <c r="Y495">
        <f>'[1]2026 Orders'!W496</f>
        <v>0</v>
      </c>
      <c r="Z495">
        <f>'[1]2026 Orders'!X496</f>
        <v>0</v>
      </c>
      <c r="AC495" t="str">
        <f t="shared" si="14"/>
        <v/>
      </c>
      <c r="AD495" t="str">
        <f t="shared" si="15"/>
        <v/>
      </c>
    </row>
    <row r="496" spans="1:30" ht="33" hidden="1" customHeight="1" x14ac:dyDescent="0.3">
      <c r="A496">
        <f>'[1]2026 Orders'!A497</f>
        <v>0</v>
      </c>
      <c r="B496" s="14">
        <f>'[1]2026 Orders'!B497</f>
        <v>0</v>
      </c>
      <c r="C496" s="14">
        <f>'[1]2026 Orders'!C497</f>
        <v>0</v>
      </c>
      <c r="D496" s="14">
        <f>'[1]2026 Orders'!D497</f>
        <v>0</v>
      </c>
      <c r="E496" s="17" t="str" cm="1">
        <f t="array" ref="E496">IF(C496=0,"",
HYPERLINK(
"#'2026 Orders'!C"&amp;
MATCH(1,
('2026 Orders'!C:C=C496)*
('2026 Orders'!G:G=G496)*
('2026 Orders'!N:N=N496),
0),
"Open "&amp;C496
))</f>
        <v/>
      </c>
      <c r="F496" s="14">
        <f>'[1]2026 Orders'!F497</f>
        <v>0</v>
      </c>
      <c r="G496" s="14">
        <f>'[1]2026 Orders'!G497</f>
        <v>0</v>
      </c>
      <c r="H496" s="14" t="str" cm="1">
        <f t="array" ref="H496">IFERROR(_xlfn.TEXTJOIN("-",,INDEX(_xlfn.TEXTSPLIT(TableGive[[#This Row],[SKU]],"-"),{1,2})),"")</f>
        <v/>
      </c>
      <c r="I496" s="15" t="str">
        <f>IFERROR(_xlfn.TEXTAFTER(TableGive[[#This Row],[SKU]],"-",-1),"")</f>
        <v/>
      </c>
      <c r="J496" s="14">
        <f>'[1]2026 Orders'!H497</f>
        <v>0</v>
      </c>
      <c r="K496">
        <f>'[1]2026 Orders'!I497</f>
        <v>0</v>
      </c>
      <c r="L496">
        <f>'[1]2026 Orders'!J497</f>
        <v>0</v>
      </c>
      <c r="N496" s="10">
        <f>'[1]2026 Orders'!L497</f>
        <v>0</v>
      </c>
      <c r="O496">
        <f>'[1]2026 Orders'!M497</f>
        <v>0</v>
      </c>
      <c r="P496">
        <f>'[1]2026 Orders'!N497</f>
        <v>0</v>
      </c>
      <c r="Q496">
        <f>'[1]2026 Orders'!O497</f>
        <v>0</v>
      </c>
      <c r="R496">
        <f>'[1]2026 Orders'!P497</f>
        <v>0</v>
      </c>
      <c r="S496">
        <f>'[1]2026 Orders'!Q497</f>
        <v>0</v>
      </c>
      <c r="T496">
        <f>'[1]2026 Orders'!R497</f>
        <v>0</v>
      </c>
      <c r="U496">
        <f>'[1]2026 Orders'!S497</f>
        <v>0</v>
      </c>
      <c r="V496">
        <f>'[1]2026 Orders'!T497</f>
        <v>0</v>
      </c>
      <c r="W496">
        <f>'[1]2026 Orders'!U497</f>
        <v>0</v>
      </c>
      <c r="X496">
        <f>'[1]2026 Orders'!V497</f>
        <v>0</v>
      </c>
      <c r="Y496">
        <f>'[1]2026 Orders'!W497</f>
        <v>0</v>
      </c>
      <c r="Z496">
        <f>'[1]2026 Orders'!X497</f>
        <v>0</v>
      </c>
      <c r="AC496" t="str">
        <f t="shared" si="14"/>
        <v/>
      </c>
      <c r="AD496" t="str">
        <f t="shared" si="15"/>
        <v/>
      </c>
    </row>
    <row r="497" spans="1:30" ht="33" hidden="1" customHeight="1" x14ac:dyDescent="0.3">
      <c r="A497">
        <f>'[1]2026 Orders'!A498</f>
        <v>0</v>
      </c>
      <c r="B497" s="14">
        <f>'[1]2026 Orders'!B498</f>
        <v>0</v>
      </c>
      <c r="C497" s="14">
        <f>'[1]2026 Orders'!C498</f>
        <v>0</v>
      </c>
      <c r="D497" s="14">
        <f>'[1]2026 Orders'!D498</f>
        <v>0</v>
      </c>
      <c r="E497" s="17" t="str" cm="1">
        <f t="array" ref="E497">IF(C497=0,"",
HYPERLINK(
"#'2026 Orders'!C"&amp;
MATCH(1,
('2026 Orders'!C:C=C497)*
('2026 Orders'!G:G=G497)*
('2026 Orders'!N:N=N497),
0),
"Open "&amp;C497
))</f>
        <v/>
      </c>
      <c r="F497" s="14">
        <f>'[1]2026 Orders'!F498</f>
        <v>0</v>
      </c>
      <c r="G497" s="14">
        <f>'[1]2026 Orders'!G498</f>
        <v>0</v>
      </c>
      <c r="H497" s="14" t="str" cm="1">
        <f t="array" ref="H497">IFERROR(_xlfn.TEXTJOIN("-",,INDEX(_xlfn.TEXTSPLIT(TableGive[[#This Row],[SKU]],"-"),{1,2})),"")</f>
        <v/>
      </c>
      <c r="I497" s="15" t="str">
        <f>IFERROR(_xlfn.TEXTAFTER(TableGive[[#This Row],[SKU]],"-",-1),"")</f>
        <v/>
      </c>
      <c r="J497" s="14">
        <f>'[1]2026 Orders'!H498</f>
        <v>0</v>
      </c>
      <c r="K497">
        <f>'[1]2026 Orders'!I498</f>
        <v>0</v>
      </c>
      <c r="L497">
        <f>'[1]2026 Orders'!J498</f>
        <v>0</v>
      </c>
      <c r="N497" s="10">
        <f>'[1]2026 Orders'!L498</f>
        <v>0</v>
      </c>
      <c r="O497">
        <f>'[1]2026 Orders'!M498</f>
        <v>0</v>
      </c>
      <c r="P497">
        <f>'[1]2026 Orders'!N498</f>
        <v>0</v>
      </c>
      <c r="Q497">
        <f>'[1]2026 Orders'!O498</f>
        <v>0</v>
      </c>
      <c r="R497">
        <f>'[1]2026 Orders'!P498</f>
        <v>0</v>
      </c>
      <c r="S497">
        <f>'[1]2026 Orders'!Q498</f>
        <v>0</v>
      </c>
      <c r="T497">
        <f>'[1]2026 Orders'!R498</f>
        <v>0</v>
      </c>
      <c r="U497">
        <f>'[1]2026 Orders'!S498</f>
        <v>0</v>
      </c>
      <c r="V497">
        <f>'[1]2026 Orders'!T498</f>
        <v>0</v>
      </c>
      <c r="W497">
        <f>'[1]2026 Orders'!U498</f>
        <v>0</v>
      </c>
      <c r="X497">
        <f>'[1]2026 Orders'!V498</f>
        <v>0</v>
      </c>
      <c r="Y497">
        <f>'[1]2026 Orders'!W498</f>
        <v>0</v>
      </c>
      <c r="Z497">
        <f>'[1]2026 Orders'!X498</f>
        <v>0</v>
      </c>
      <c r="AC497" t="str">
        <f t="shared" si="14"/>
        <v/>
      </c>
      <c r="AD497" t="str">
        <f t="shared" si="15"/>
        <v/>
      </c>
    </row>
    <row r="498" spans="1:30" ht="33" hidden="1" customHeight="1" x14ac:dyDescent="0.3">
      <c r="A498">
        <f>'[1]2026 Orders'!A499</f>
        <v>0</v>
      </c>
      <c r="B498" s="14">
        <f>'[1]2026 Orders'!B499</f>
        <v>0</v>
      </c>
      <c r="C498" s="14">
        <f>'[1]2026 Orders'!C499</f>
        <v>0</v>
      </c>
      <c r="D498" s="14">
        <f>'[1]2026 Orders'!D499</f>
        <v>0</v>
      </c>
      <c r="E498" s="17" t="str" cm="1">
        <f t="array" ref="E498">IF(C498=0,"",
HYPERLINK(
"#'2026 Orders'!C"&amp;
MATCH(1,
('2026 Orders'!C:C=C498)*
('2026 Orders'!G:G=G498)*
('2026 Orders'!N:N=N498),
0),
"Open "&amp;C498
))</f>
        <v/>
      </c>
      <c r="F498" s="14">
        <f>'[1]2026 Orders'!F499</f>
        <v>0</v>
      </c>
      <c r="G498" s="14">
        <f>'[1]2026 Orders'!G499</f>
        <v>0</v>
      </c>
      <c r="H498" s="14" t="str" cm="1">
        <f t="array" ref="H498">IFERROR(_xlfn.TEXTJOIN("-",,INDEX(_xlfn.TEXTSPLIT(TableGive[[#This Row],[SKU]],"-"),{1,2})),"")</f>
        <v/>
      </c>
      <c r="I498" s="15" t="str">
        <f>IFERROR(_xlfn.TEXTAFTER(TableGive[[#This Row],[SKU]],"-",-1),"")</f>
        <v/>
      </c>
      <c r="J498" s="14">
        <f>'[1]2026 Orders'!H499</f>
        <v>0</v>
      </c>
      <c r="K498">
        <f>'[1]2026 Orders'!I499</f>
        <v>0</v>
      </c>
      <c r="L498">
        <f>'[1]2026 Orders'!J499</f>
        <v>0</v>
      </c>
      <c r="N498" s="10">
        <f>'[1]2026 Orders'!L499</f>
        <v>0</v>
      </c>
      <c r="O498">
        <f>'[1]2026 Orders'!M499</f>
        <v>0</v>
      </c>
      <c r="P498">
        <f>'[1]2026 Orders'!N499</f>
        <v>0</v>
      </c>
      <c r="Q498">
        <f>'[1]2026 Orders'!O499</f>
        <v>0</v>
      </c>
      <c r="R498">
        <f>'[1]2026 Orders'!P499</f>
        <v>0</v>
      </c>
      <c r="S498">
        <f>'[1]2026 Orders'!Q499</f>
        <v>0</v>
      </c>
      <c r="T498">
        <f>'[1]2026 Orders'!R499</f>
        <v>0</v>
      </c>
      <c r="U498">
        <f>'[1]2026 Orders'!S499</f>
        <v>0</v>
      </c>
      <c r="V498">
        <f>'[1]2026 Orders'!T499</f>
        <v>0</v>
      </c>
      <c r="W498">
        <f>'[1]2026 Orders'!U499</f>
        <v>0</v>
      </c>
      <c r="X498">
        <f>'[1]2026 Orders'!V499</f>
        <v>0</v>
      </c>
      <c r="Y498">
        <f>'[1]2026 Orders'!W499</f>
        <v>0</v>
      </c>
      <c r="Z498">
        <f>'[1]2026 Orders'!X499</f>
        <v>0</v>
      </c>
      <c r="AC498" t="str">
        <f t="shared" si="14"/>
        <v/>
      </c>
      <c r="AD498" t="str">
        <f t="shared" si="15"/>
        <v/>
      </c>
    </row>
    <row r="499" spans="1:30" ht="33" hidden="1" customHeight="1" x14ac:dyDescent="0.3">
      <c r="A499">
        <f>'[1]2026 Orders'!A500</f>
        <v>0</v>
      </c>
      <c r="B499" s="14">
        <f>'[1]2026 Orders'!B500</f>
        <v>0</v>
      </c>
      <c r="C499" s="14">
        <f>'[1]2026 Orders'!C500</f>
        <v>0</v>
      </c>
      <c r="D499" s="14">
        <f>'[1]2026 Orders'!D500</f>
        <v>0</v>
      </c>
      <c r="E499" s="17" t="str" cm="1">
        <f t="array" ref="E499">IF(C499=0,"",
HYPERLINK(
"#'2026 Orders'!C"&amp;
MATCH(1,
('2026 Orders'!C:C=C499)*
('2026 Orders'!G:G=G499)*
('2026 Orders'!N:N=N499),
0),
"Open "&amp;C499
))</f>
        <v/>
      </c>
      <c r="F499" s="14">
        <f>'[1]2026 Orders'!F500</f>
        <v>0</v>
      </c>
      <c r="G499" s="14">
        <f>'[1]2026 Orders'!G500</f>
        <v>0</v>
      </c>
      <c r="H499" s="14" t="str" cm="1">
        <f t="array" ref="H499">IFERROR(_xlfn.TEXTJOIN("-",,INDEX(_xlfn.TEXTSPLIT(TableGive[[#This Row],[SKU]],"-"),{1,2})),"")</f>
        <v/>
      </c>
      <c r="I499" s="15" t="str">
        <f>IFERROR(_xlfn.TEXTAFTER(TableGive[[#This Row],[SKU]],"-",-1),"")</f>
        <v/>
      </c>
      <c r="J499" s="14">
        <f>'[1]2026 Orders'!H500</f>
        <v>0</v>
      </c>
      <c r="K499">
        <f>'[1]2026 Orders'!I500</f>
        <v>0</v>
      </c>
      <c r="L499">
        <f>'[1]2026 Orders'!J500</f>
        <v>0</v>
      </c>
      <c r="N499" s="10">
        <f>'[1]2026 Orders'!L500</f>
        <v>0</v>
      </c>
      <c r="O499">
        <f>'[1]2026 Orders'!M500</f>
        <v>0</v>
      </c>
      <c r="P499">
        <f>'[1]2026 Orders'!N500</f>
        <v>0</v>
      </c>
      <c r="Q499">
        <f>'[1]2026 Orders'!O500</f>
        <v>0</v>
      </c>
      <c r="R499">
        <f>'[1]2026 Orders'!P500</f>
        <v>0</v>
      </c>
      <c r="S499">
        <f>'[1]2026 Orders'!Q500</f>
        <v>0</v>
      </c>
      <c r="T499">
        <f>'[1]2026 Orders'!R500</f>
        <v>0</v>
      </c>
      <c r="U499">
        <f>'[1]2026 Orders'!S500</f>
        <v>0</v>
      </c>
      <c r="V499">
        <f>'[1]2026 Orders'!T500</f>
        <v>0</v>
      </c>
      <c r="W499">
        <f>'[1]2026 Orders'!U500</f>
        <v>0</v>
      </c>
      <c r="X499">
        <f>'[1]2026 Orders'!V500</f>
        <v>0</v>
      </c>
      <c r="Y499">
        <f>'[1]2026 Orders'!W500</f>
        <v>0</v>
      </c>
      <c r="Z499">
        <f>'[1]2026 Orders'!X500</f>
        <v>0</v>
      </c>
      <c r="AC499" t="str">
        <f t="shared" si="14"/>
        <v/>
      </c>
      <c r="AD499" t="str">
        <f t="shared" si="15"/>
        <v/>
      </c>
    </row>
    <row r="500" spans="1:30" ht="33" hidden="1" customHeight="1" x14ac:dyDescent="0.3">
      <c r="A500">
        <f>'[1]2026 Orders'!A501</f>
        <v>0</v>
      </c>
      <c r="B500" s="14">
        <f>'[1]2026 Orders'!B501</f>
        <v>0</v>
      </c>
      <c r="C500" s="14">
        <f>'[1]2026 Orders'!C501</f>
        <v>0</v>
      </c>
      <c r="D500" s="14">
        <f>'[1]2026 Orders'!D501</f>
        <v>0</v>
      </c>
      <c r="E500" s="17" t="str" cm="1">
        <f t="array" ref="E500">IF(C500=0,"",
HYPERLINK(
"#'2026 Orders'!C"&amp;
MATCH(1,
('2026 Orders'!C:C=C500)*
('2026 Orders'!G:G=G500)*
('2026 Orders'!N:N=N500),
0),
"Open "&amp;C500
))</f>
        <v/>
      </c>
      <c r="F500" s="14">
        <f>'[1]2026 Orders'!F501</f>
        <v>0</v>
      </c>
      <c r="G500" s="14">
        <f>'[1]2026 Orders'!G501</f>
        <v>0</v>
      </c>
      <c r="H500" s="14" t="str" cm="1">
        <f t="array" ref="H500">IFERROR(_xlfn.TEXTJOIN("-",,INDEX(_xlfn.TEXTSPLIT(TableGive[[#This Row],[SKU]],"-"),{1,2})),"")</f>
        <v/>
      </c>
      <c r="I500" s="15" t="str">
        <f>IFERROR(_xlfn.TEXTAFTER(TableGive[[#This Row],[SKU]],"-",-1),"")</f>
        <v/>
      </c>
      <c r="J500" s="14">
        <f>'[1]2026 Orders'!H501</f>
        <v>0</v>
      </c>
      <c r="K500">
        <f>'[1]2026 Orders'!I501</f>
        <v>0</v>
      </c>
      <c r="L500">
        <f>'[1]2026 Orders'!J501</f>
        <v>0</v>
      </c>
      <c r="N500" s="10">
        <f>'[1]2026 Orders'!L501</f>
        <v>0</v>
      </c>
      <c r="O500">
        <f>'[1]2026 Orders'!M501</f>
        <v>0</v>
      </c>
      <c r="P500">
        <f>'[1]2026 Orders'!N501</f>
        <v>0</v>
      </c>
      <c r="Q500">
        <f>'[1]2026 Orders'!O501</f>
        <v>0</v>
      </c>
      <c r="R500">
        <f>'[1]2026 Orders'!P501</f>
        <v>0</v>
      </c>
      <c r="S500">
        <f>'[1]2026 Orders'!Q501</f>
        <v>0</v>
      </c>
      <c r="T500">
        <f>'[1]2026 Orders'!R501</f>
        <v>0</v>
      </c>
      <c r="U500">
        <f>'[1]2026 Orders'!S501</f>
        <v>0</v>
      </c>
      <c r="V500">
        <f>'[1]2026 Orders'!T501</f>
        <v>0</v>
      </c>
      <c r="W500">
        <f>'[1]2026 Orders'!U501</f>
        <v>0</v>
      </c>
      <c r="X500">
        <f>'[1]2026 Orders'!V501</f>
        <v>0</v>
      </c>
      <c r="Y500">
        <f>'[1]2026 Orders'!W501</f>
        <v>0</v>
      </c>
      <c r="Z500">
        <f>'[1]2026 Orders'!X501</f>
        <v>0</v>
      </c>
      <c r="AC500" t="str">
        <f t="shared" si="14"/>
        <v/>
      </c>
      <c r="AD500" t="str">
        <f t="shared" si="15"/>
        <v/>
      </c>
    </row>
    <row r="501" spans="1:30" ht="33" hidden="1" customHeight="1" x14ac:dyDescent="0.3">
      <c r="A501">
        <f>'[1]2026 Orders'!A502</f>
        <v>0</v>
      </c>
      <c r="B501" s="14">
        <f>'[1]2026 Orders'!B502</f>
        <v>0</v>
      </c>
      <c r="C501" s="14">
        <f>'[1]2026 Orders'!C502</f>
        <v>0</v>
      </c>
      <c r="D501" s="14">
        <f>'[1]2026 Orders'!D502</f>
        <v>0</v>
      </c>
      <c r="E501" s="17" t="str" cm="1">
        <f t="array" ref="E501">IF(C501=0,"",
HYPERLINK(
"#'2026 Orders'!C"&amp;
MATCH(1,
('2026 Orders'!C:C=C501)*
('2026 Orders'!G:G=G501)*
('2026 Orders'!N:N=N501),
0),
"Open "&amp;C501
))</f>
        <v/>
      </c>
      <c r="F501" s="14">
        <f>'[1]2026 Orders'!F502</f>
        <v>0</v>
      </c>
      <c r="G501" s="14">
        <f>'[1]2026 Orders'!G502</f>
        <v>0</v>
      </c>
      <c r="H501" s="14" t="str" cm="1">
        <f t="array" ref="H501">IFERROR(_xlfn.TEXTJOIN("-",,INDEX(_xlfn.TEXTSPLIT(TableGive[[#This Row],[SKU]],"-"),{1,2})),"")</f>
        <v/>
      </c>
      <c r="I501" s="15" t="str">
        <f>IFERROR(_xlfn.TEXTAFTER(TableGive[[#This Row],[SKU]],"-",-1),"")</f>
        <v/>
      </c>
      <c r="J501" s="14">
        <f>'[1]2026 Orders'!H502</f>
        <v>0</v>
      </c>
      <c r="K501">
        <f>'[1]2026 Orders'!I502</f>
        <v>0</v>
      </c>
      <c r="L501">
        <f>'[1]2026 Orders'!J502</f>
        <v>0</v>
      </c>
      <c r="N501" s="10">
        <f>'[1]2026 Orders'!L502</f>
        <v>0</v>
      </c>
      <c r="O501">
        <f>'[1]2026 Orders'!M502</f>
        <v>0</v>
      </c>
      <c r="P501">
        <f>'[1]2026 Orders'!N502</f>
        <v>0</v>
      </c>
      <c r="Q501">
        <f>'[1]2026 Orders'!O502</f>
        <v>0</v>
      </c>
      <c r="R501">
        <f>'[1]2026 Orders'!P502</f>
        <v>0</v>
      </c>
      <c r="S501">
        <f>'[1]2026 Orders'!Q502</f>
        <v>0</v>
      </c>
      <c r="T501">
        <f>'[1]2026 Orders'!R502</f>
        <v>0</v>
      </c>
      <c r="U501">
        <f>'[1]2026 Orders'!S502</f>
        <v>0</v>
      </c>
      <c r="V501">
        <f>'[1]2026 Orders'!T502</f>
        <v>0</v>
      </c>
      <c r="W501">
        <f>'[1]2026 Orders'!U502</f>
        <v>0</v>
      </c>
      <c r="X501">
        <f>'[1]2026 Orders'!V502</f>
        <v>0</v>
      </c>
      <c r="Y501">
        <f>'[1]2026 Orders'!W502</f>
        <v>0</v>
      </c>
      <c r="Z501">
        <f>'[1]2026 Orders'!X502</f>
        <v>0</v>
      </c>
      <c r="AC501" t="str">
        <f t="shared" si="14"/>
        <v/>
      </c>
      <c r="AD501" t="str">
        <f t="shared" si="15"/>
        <v/>
      </c>
    </row>
    <row r="502" spans="1:30" ht="33" hidden="1" customHeight="1" x14ac:dyDescent="0.3">
      <c r="A502">
        <f>'[1]2026 Orders'!A503</f>
        <v>0</v>
      </c>
      <c r="B502" s="14">
        <f>'[1]2026 Orders'!B503</f>
        <v>0</v>
      </c>
      <c r="C502" s="14">
        <f>'[1]2026 Orders'!C503</f>
        <v>0</v>
      </c>
      <c r="D502" s="14">
        <f>'[1]2026 Orders'!D503</f>
        <v>0</v>
      </c>
      <c r="E502" s="17" t="str" cm="1">
        <f t="array" ref="E502">IF(C502=0,"",
HYPERLINK(
"#'2026 Orders'!C"&amp;
MATCH(1,
('2026 Orders'!C:C=C502)*
('2026 Orders'!G:G=G502)*
('2026 Orders'!N:N=N502),
0),
"Open "&amp;C502
))</f>
        <v/>
      </c>
      <c r="F502" s="14">
        <f>'[1]2026 Orders'!F503</f>
        <v>0</v>
      </c>
      <c r="G502" s="14">
        <f>'[1]2026 Orders'!G503</f>
        <v>0</v>
      </c>
      <c r="H502" s="14" t="str" cm="1">
        <f t="array" ref="H502">IFERROR(_xlfn.TEXTJOIN("-",,INDEX(_xlfn.TEXTSPLIT(TableGive[[#This Row],[SKU]],"-"),{1,2})),"")</f>
        <v/>
      </c>
      <c r="I502" s="15" t="str">
        <f>IFERROR(_xlfn.TEXTAFTER(TableGive[[#This Row],[SKU]],"-",-1),"")</f>
        <v/>
      </c>
      <c r="J502" s="14">
        <f>'[1]2026 Orders'!H503</f>
        <v>0</v>
      </c>
      <c r="K502">
        <f>'[1]2026 Orders'!I503</f>
        <v>0</v>
      </c>
      <c r="L502">
        <f>'[1]2026 Orders'!J503</f>
        <v>0</v>
      </c>
      <c r="N502" s="10">
        <f>'[1]2026 Orders'!L503</f>
        <v>0</v>
      </c>
      <c r="O502">
        <f>'[1]2026 Orders'!M503</f>
        <v>0</v>
      </c>
      <c r="P502">
        <f>'[1]2026 Orders'!N503</f>
        <v>0</v>
      </c>
      <c r="Q502">
        <f>'[1]2026 Orders'!O503</f>
        <v>0</v>
      </c>
      <c r="R502">
        <f>'[1]2026 Orders'!P503</f>
        <v>0</v>
      </c>
      <c r="S502">
        <f>'[1]2026 Orders'!Q503</f>
        <v>0</v>
      </c>
      <c r="T502">
        <f>'[1]2026 Orders'!R503</f>
        <v>0</v>
      </c>
      <c r="U502">
        <f>'[1]2026 Orders'!S503</f>
        <v>0</v>
      </c>
      <c r="V502">
        <f>'[1]2026 Orders'!T503</f>
        <v>0</v>
      </c>
      <c r="W502">
        <f>'[1]2026 Orders'!U503</f>
        <v>0</v>
      </c>
      <c r="X502">
        <f>'[1]2026 Orders'!V503</f>
        <v>0</v>
      </c>
      <c r="Y502">
        <f>'[1]2026 Orders'!W503</f>
        <v>0</v>
      </c>
      <c r="Z502">
        <f>'[1]2026 Orders'!X503</f>
        <v>0</v>
      </c>
      <c r="AC502" t="str">
        <f t="shared" si="14"/>
        <v/>
      </c>
      <c r="AD502" t="str">
        <f t="shared" si="15"/>
        <v/>
      </c>
    </row>
    <row r="503" spans="1:30" ht="33" hidden="1" customHeight="1" x14ac:dyDescent="0.3">
      <c r="A503">
        <f>'[1]2026 Orders'!A504</f>
        <v>0</v>
      </c>
      <c r="B503" s="14">
        <f>'[1]2026 Orders'!B504</f>
        <v>0</v>
      </c>
      <c r="C503" s="14">
        <f>'[1]2026 Orders'!C504</f>
        <v>0</v>
      </c>
      <c r="D503" s="14">
        <f>'[1]2026 Orders'!D504</f>
        <v>0</v>
      </c>
      <c r="E503" s="17" t="str" cm="1">
        <f t="array" ref="E503">IF(C503=0,"",
HYPERLINK(
"#'2026 Orders'!C"&amp;
MATCH(1,
('2026 Orders'!C:C=C503)*
('2026 Orders'!G:G=G503)*
('2026 Orders'!N:N=N503),
0),
"Open "&amp;C503
))</f>
        <v/>
      </c>
      <c r="F503" s="14">
        <f>'[1]2026 Orders'!F504</f>
        <v>0</v>
      </c>
      <c r="G503" s="14">
        <f>'[1]2026 Orders'!G504</f>
        <v>0</v>
      </c>
      <c r="H503" s="14" t="str" cm="1">
        <f t="array" ref="H503">IFERROR(_xlfn.TEXTJOIN("-",,INDEX(_xlfn.TEXTSPLIT(TableGive[[#This Row],[SKU]],"-"),{1,2})),"")</f>
        <v/>
      </c>
      <c r="I503" s="15" t="str">
        <f>IFERROR(_xlfn.TEXTAFTER(TableGive[[#This Row],[SKU]],"-",-1),"")</f>
        <v/>
      </c>
      <c r="J503" s="14">
        <f>'[1]2026 Orders'!H504</f>
        <v>0</v>
      </c>
      <c r="K503">
        <f>'[1]2026 Orders'!I504</f>
        <v>0</v>
      </c>
      <c r="L503">
        <f>'[1]2026 Orders'!J504</f>
        <v>0</v>
      </c>
      <c r="N503" s="10">
        <f>'[1]2026 Orders'!L504</f>
        <v>0</v>
      </c>
      <c r="O503">
        <f>'[1]2026 Orders'!M504</f>
        <v>0</v>
      </c>
      <c r="P503">
        <f>'[1]2026 Orders'!N504</f>
        <v>0</v>
      </c>
      <c r="Q503">
        <f>'[1]2026 Orders'!O504</f>
        <v>0</v>
      </c>
      <c r="R503">
        <f>'[1]2026 Orders'!P504</f>
        <v>0</v>
      </c>
      <c r="S503">
        <f>'[1]2026 Orders'!Q504</f>
        <v>0</v>
      </c>
      <c r="T503">
        <f>'[1]2026 Orders'!R504</f>
        <v>0</v>
      </c>
      <c r="U503">
        <f>'[1]2026 Orders'!S504</f>
        <v>0</v>
      </c>
      <c r="V503">
        <f>'[1]2026 Orders'!T504</f>
        <v>0</v>
      </c>
      <c r="W503">
        <f>'[1]2026 Orders'!U504</f>
        <v>0</v>
      </c>
      <c r="X503">
        <f>'[1]2026 Orders'!V504</f>
        <v>0</v>
      </c>
      <c r="Y503">
        <f>'[1]2026 Orders'!W504</f>
        <v>0</v>
      </c>
      <c r="Z503">
        <f>'[1]2026 Orders'!X504</f>
        <v>0</v>
      </c>
      <c r="AC503" t="str">
        <f t="shared" si="14"/>
        <v/>
      </c>
      <c r="AD503" t="str">
        <f t="shared" si="15"/>
        <v/>
      </c>
    </row>
    <row r="504" spans="1:30" ht="33" hidden="1" customHeight="1" x14ac:dyDescent="0.3">
      <c r="A504">
        <f>'[1]2026 Orders'!A505</f>
        <v>0</v>
      </c>
      <c r="B504" s="14">
        <f>'[1]2026 Orders'!B505</f>
        <v>0</v>
      </c>
      <c r="C504" s="14">
        <f>'[1]2026 Orders'!C505</f>
        <v>0</v>
      </c>
      <c r="D504" s="14">
        <f>'[1]2026 Orders'!D505</f>
        <v>0</v>
      </c>
      <c r="E504" s="17" t="str" cm="1">
        <f t="array" ref="E504">IF(C504=0,"",
HYPERLINK(
"#'2026 Orders'!C"&amp;
MATCH(1,
('2026 Orders'!C:C=C504)*
('2026 Orders'!G:G=G504)*
('2026 Orders'!N:N=N504),
0),
"Open "&amp;C504
))</f>
        <v/>
      </c>
      <c r="F504" s="14">
        <f>'[1]2026 Orders'!F505</f>
        <v>0</v>
      </c>
      <c r="G504" s="14">
        <f>'[1]2026 Orders'!G505</f>
        <v>0</v>
      </c>
      <c r="H504" s="14" t="str" cm="1">
        <f t="array" ref="H504">IFERROR(_xlfn.TEXTJOIN("-",,INDEX(_xlfn.TEXTSPLIT(TableGive[[#This Row],[SKU]],"-"),{1,2})),"")</f>
        <v/>
      </c>
      <c r="I504" s="15" t="str">
        <f>IFERROR(_xlfn.TEXTAFTER(TableGive[[#This Row],[SKU]],"-",-1),"")</f>
        <v/>
      </c>
      <c r="J504" s="14">
        <f>'[1]2026 Orders'!H505</f>
        <v>0</v>
      </c>
      <c r="K504">
        <f>'[1]2026 Orders'!I505</f>
        <v>0</v>
      </c>
      <c r="L504">
        <f>'[1]2026 Orders'!J505</f>
        <v>0</v>
      </c>
      <c r="N504" s="10">
        <f>'[1]2026 Orders'!L505</f>
        <v>0</v>
      </c>
      <c r="O504">
        <f>'[1]2026 Orders'!M505</f>
        <v>0</v>
      </c>
      <c r="P504">
        <f>'[1]2026 Orders'!N505</f>
        <v>0</v>
      </c>
      <c r="Q504">
        <f>'[1]2026 Orders'!O505</f>
        <v>0</v>
      </c>
      <c r="R504">
        <f>'[1]2026 Orders'!P505</f>
        <v>0</v>
      </c>
      <c r="S504">
        <f>'[1]2026 Orders'!Q505</f>
        <v>0</v>
      </c>
      <c r="T504">
        <f>'[1]2026 Orders'!R505</f>
        <v>0</v>
      </c>
      <c r="U504">
        <f>'[1]2026 Orders'!S505</f>
        <v>0</v>
      </c>
      <c r="V504">
        <f>'[1]2026 Orders'!T505</f>
        <v>0</v>
      </c>
      <c r="W504">
        <f>'[1]2026 Orders'!U505</f>
        <v>0</v>
      </c>
      <c r="X504">
        <f>'[1]2026 Orders'!V505</f>
        <v>0</v>
      </c>
      <c r="Y504">
        <f>'[1]2026 Orders'!W505</f>
        <v>0</v>
      </c>
      <c r="Z504">
        <f>'[1]2026 Orders'!X505</f>
        <v>0</v>
      </c>
      <c r="AC504" t="str">
        <f t="shared" si="14"/>
        <v/>
      </c>
      <c r="AD504" t="str">
        <f t="shared" si="15"/>
        <v/>
      </c>
    </row>
    <row r="505" spans="1:30" ht="33" hidden="1" customHeight="1" x14ac:dyDescent="0.3">
      <c r="A505">
        <f>'[1]2026 Orders'!A506</f>
        <v>0</v>
      </c>
      <c r="B505" s="14">
        <f>'[1]2026 Orders'!B506</f>
        <v>0</v>
      </c>
      <c r="C505" s="14">
        <f>'[1]2026 Orders'!C506</f>
        <v>0</v>
      </c>
      <c r="D505" s="14">
        <f>'[1]2026 Orders'!D506</f>
        <v>0</v>
      </c>
      <c r="E505" s="17" t="str" cm="1">
        <f t="array" ref="E505">IF(C505=0,"",
HYPERLINK(
"#'2026 Orders'!C"&amp;
MATCH(1,
('2026 Orders'!C:C=C505)*
('2026 Orders'!G:G=G505)*
('2026 Orders'!N:N=N505),
0),
"Open "&amp;C505
))</f>
        <v/>
      </c>
      <c r="F505" s="14">
        <f>'[1]2026 Orders'!F506</f>
        <v>0</v>
      </c>
      <c r="G505" s="14">
        <f>'[1]2026 Orders'!G506</f>
        <v>0</v>
      </c>
      <c r="H505" s="14" t="str" cm="1">
        <f t="array" ref="H505">IFERROR(_xlfn.TEXTJOIN("-",,INDEX(_xlfn.TEXTSPLIT(TableGive[[#This Row],[SKU]],"-"),{1,2})),"")</f>
        <v/>
      </c>
      <c r="I505" s="15" t="str">
        <f>IFERROR(_xlfn.TEXTAFTER(TableGive[[#This Row],[SKU]],"-",-1),"")</f>
        <v/>
      </c>
      <c r="J505" s="14">
        <f>'[1]2026 Orders'!H506</f>
        <v>0</v>
      </c>
      <c r="K505">
        <f>'[1]2026 Orders'!I506</f>
        <v>0</v>
      </c>
      <c r="L505">
        <f>'[1]2026 Orders'!J506</f>
        <v>0</v>
      </c>
      <c r="N505" s="10">
        <f>'[1]2026 Orders'!L506</f>
        <v>0</v>
      </c>
      <c r="O505">
        <f>'[1]2026 Orders'!M506</f>
        <v>0</v>
      </c>
      <c r="P505">
        <f>'[1]2026 Orders'!N506</f>
        <v>0</v>
      </c>
      <c r="Q505">
        <f>'[1]2026 Orders'!O506</f>
        <v>0</v>
      </c>
      <c r="R505">
        <f>'[1]2026 Orders'!P506</f>
        <v>0</v>
      </c>
      <c r="S505">
        <f>'[1]2026 Orders'!Q506</f>
        <v>0</v>
      </c>
      <c r="T505">
        <f>'[1]2026 Orders'!R506</f>
        <v>0</v>
      </c>
      <c r="U505">
        <f>'[1]2026 Orders'!S506</f>
        <v>0</v>
      </c>
      <c r="V505">
        <f>'[1]2026 Orders'!T506</f>
        <v>0</v>
      </c>
      <c r="W505">
        <f>'[1]2026 Orders'!U506</f>
        <v>0</v>
      </c>
      <c r="X505">
        <f>'[1]2026 Orders'!V506</f>
        <v>0</v>
      </c>
      <c r="Y505">
        <f>'[1]2026 Orders'!W506</f>
        <v>0</v>
      </c>
      <c r="Z505">
        <f>'[1]2026 Orders'!X506</f>
        <v>0</v>
      </c>
      <c r="AC505" t="str">
        <f t="shared" si="14"/>
        <v/>
      </c>
      <c r="AD505" t="str">
        <f t="shared" si="15"/>
        <v/>
      </c>
    </row>
    <row r="506" spans="1:30" ht="33" hidden="1" customHeight="1" x14ac:dyDescent="0.3">
      <c r="A506">
        <f>'[1]2026 Orders'!A507</f>
        <v>0</v>
      </c>
      <c r="B506" s="14">
        <f>'[1]2026 Orders'!B507</f>
        <v>0</v>
      </c>
      <c r="C506" s="14">
        <f>'[1]2026 Orders'!C507</f>
        <v>0</v>
      </c>
      <c r="D506" s="14">
        <f>'[1]2026 Orders'!D507</f>
        <v>0</v>
      </c>
      <c r="E506" s="17" t="str" cm="1">
        <f t="array" ref="E506">IF(C506=0,"",
HYPERLINK(
"#'2026 Orders'!C"&amp;
MATCH(1,
('2026 Orders'!C:C=C506)*
('2026 Orders'!G:G=G506)*
('2026 Orders'!N:N=N506),
0),
"Open "&amp;C506
))</f>
        <v/>
      </c>
      <c r="F506" s="14">
        <f>'[1]2026 Orders'!F507</f>
        <v>0</v>
      </c>
      <c r="G506" s="14">
        <f>'[1]2026 Orders'!G507</f>
        <v>0</v>
      </c>
      <c r="H506" s="14" t="str" cm="1">
        <f t="array" ref="H506">IFERROR(_xlfn.TEXTJOIN("-",,INDEX(_xlfn.TEXTSPLIT(TableGive[[#This Row],[SKU]],"-"),{1,2})),"")</f>
        <v/>
      </c>
      <c r="I506" s="15" t="str">
        <f>IFERROR(_xlfn.TEXTAFTER(TableGive[[#This Row],[SKU]],"-",-1),"")</f>
        <v/>
      </c>
      <c r="J506" s="14">
        <f>'[1]2026 Orders'!H507</f>
        <v>0</v>
      </c>
      <c r="K506">
        <f>'[1]2026 Orders'!I507</f>
        <v>0</v>
      </c>
      <c r="L506">
        <f>'[1]2026 Orders'!J507</f>
        <v>0</v>
      </c>
      <c r="N506" s="10">
        <f>'[1]2026 Orders'!L507</f>
        <v>0</v>
      </c>
      <c r="O506">
        <f>'[1]2026 Orders'!M507</f>
        <v>0</v>
      </c>
      <c r="P506">
        <f>'[1]2026 Orders'!N507</f>
        <v>0</v>
      </c>
      <c r="Q506">
        <f>'[1]2026 Orders'!O507</f>
        <v>0</v>
      </c>
      <c r="R506">
        <f>'[1]2026 Orders'!P507</f>
        <v>0</v>
      </c>
      <c r="S506">
        <f>'[1]2026 Orders'!Q507</f>
        <v>0</v>
      </c>
      <c r="T506">
        <f>'[1]2026 Orders'!R507</f>
        <v>0</v>
      </c>
      <c r="U506">
        <f>'[1]2026 Orders'!S507</f>
        <v>0</v>
      </c>
      <c r="V506">
        <f>'[1]2026 Orders'!T507</f>
        <v>0</v>
      </c>
      <c r="W506">
        <f>'[1]2026 Orders'!U507</f>
        <v>0</v>
      </c>
      <c r="X506">
        <f>'[1]2026 Orders'!V507</f>
        <v>0</v>
      </c>
      <c r="Y506">
        <f>'[1]2026 Orders'!W507</f>
        <v>0</v>
      </c>
      <c r="Z506">
        <f>'[1]2026 Orders'!X507</f>
        <v>0</v>
      </c>
      <c r="AC506" t="str">
        <f t="shared" si="14"/>
        <v/>
      </c>
      <c r="AD506" t="str">
        <f t="shared" si="15"/>
        <v/>
      </c>
    </row>
    <row r="507" spans="1:30" ht="33" hidden="1" customHeight="1" x14ac:dyDescent="0.3">
      <c r="A507">
        <f>'[1]2026 Orders'!A508</f>
        <v>0</v>
      </c>
      <c r="B507" s="14">
        <f>'[1]2026 Orders'!B508</f>
        <v>0</v>
      </c>
      <c r="C507" s="14">
        <f>'[1]2026 Orders'!C508</f>
        <v>0</v>
      </c>
      <c r="D507" s="14">
        <f>'[1]2026 Orders'!D508</f>
        <v>0</v>
      </c>
      <c r="E507" s="17" t="str" cm="1">
        <f t="array" ref="E507">IF(C507=0,"",
HYPERLINK(
"#'2026 Orders'!C"&amp;
MATCH(1,
('2026 Orders'!C:C=C507)*
('2026 Orders'!G:G=G507)*
('2026 Orders'!N:N=N507),
0),
"Open "&amp;C507
))</f>
        <v/>
      </c>
      <c r="F507" s="14">
        <f>'[1]2026 Orders'!F508</f>
        <v>0</v>
      </c>
      <c r="G507" s="14">
        <f>'[1]2026 Orders'!G508</f>
        <v>0</v>
      </c>
      <c r="H507" s="14" t="str" cm="1">
        <f t="array" ref="H507">IFERROR(_xlfn.TEXTJOIN("-",,INDEX(_xlfn.TEXTSPLIT(TableGive[[#This Row],[SKU]],"-"),{1,2})),"")</f>
        <v/>
      </c>
      <c r="I507" s="15" t="str">
        <f>IFERROR(_xlfn.TEXTAFTER(TableGive[[#This Row],[SKU]],"-",-1),"")</f>
        <v/>
      </c>
      <c r="J507" s="14">
        <f>'[1]2026 Orders'!H508</f>
        <v>0</v>
      </c>
      <c r="K507">
        <f>'[1]2026 Orders'!I508</f>
        <v>0</v>
      </c>
      <c r="L507">
        <f>'[1]2026 Orders'!J508</f>
        <v>0</v>
      </c>
      <c r="N507" s="10">
        <f>'[1]2026 Orders'!L508</f>
        <v>0</v>
      </c>
      <c r="O507">
        <f>'[1]2026 Orders'!M508</f>
        <v>0</v>
      </c>
      <c r="P507">
        <f>'[1]2026 Orders'!N508</f>
        <v>0</v>
      </c>
      <c r="Q507">
        <f>'[1]2026 Orders'!O508</f>
        <v>0</v>
      </c>
      <c r="R507">
        <f>'[1]2026 Orders'!P508</f>
        <v>0</v>
      </c>
      <c r="S507">
        <f>'[1]2026 Orders'!Q508</f>
        <v>0</v>
      </c>
      <c r="T507">
        <f>'[1]2026 Orders'!R508</f>
        <v>0</v>
      </c>
      <c r="U507">
        <f>'[1]2026 Orders'!S508</f>
        <v>0</v>
      </c>
      <c r="V507">
        <f>'[1]2026 Orders'!T508</f>
        <v>0</v>
      </c>
      <c r="W507">
        <f>'[1]2026 Orders'!U508</f>
        <v>0</v>
      </c>
      <c r="X507">
        <f>'[1]2026 Orders'!V508</f>
        <v>0</v>
      </c>
      <c r="Y507">
        <f>'[1]2026 Orders'!W508</f>
        <v>0</v>
      </c>
      <c r="Z507">
        <f>'[1]2026 Orders'!X508</f>
        <v>0</v>
      </c>
      <c r="AC507" t="str">
        <f t="shared" si="14"/>
        <v/>
      </c>
      <c r="AD507" t="str">
        <f t="shared" si="15"/>
        <v/>
      </c>
    </row>
    <row r="508" spans="1:30" ht="33" hidden="1" customHeight="1" x14ac:dyDescent="0.3">
      <c r="A508">
        <f>'[1]2026 Orders'!A509</f>
        <v>0</v>
      </c>
      <c r="B508" s="14">
        <f>'[1]2026 Orders'!B509</f>
        <v>0</v>
      </c>
      <c r="C508" s="14">
        <f>'[1]2026 Orders'!C509</f>
        <v>0</v>
      </c>
      <c r="D508" s="14">
        <f>'[1]2026 Orders'!D509</f>
        <v>0</v>
      </c>
      <c r="E508" s="17" t="str" cm="1">
        <f t="array" ref="E508">IF(C508=0,"",
HYPERLINK(
"#'2026 Orders'!C"&amp;
MATCH(1,
('2026 Orders'!C:C=C508)*
('2026 Orders'!G:G=G508)*
('2026 Orders'!N:N=N508),
0),
"Open "&amp;C508
))</f>
        <v/>
      </c>
      <c r="F508" s="14">
        <f>'[1]2026 Orders'!F509</f>
        <v>0</v>
      </c>
      <c r="G508" s="14">
        <f>'[1]2026 Orders'!G509</f>
        <v>0</v>
      </c>
      <c r="H508" s="14" t="str" cm="1">
        <f t="array" ref="H508">IFERROR(_xlfn.TEXTJOIN("-",,INDEX(_xlfn.TEXTSPLIT(TableGive[[#This Row],[SKU]],"-"),{1,2})),"")</f>
        <v/>
      </c>
      <c r="I508" s="15" t="str">
        <f>IFERROR(_xlfn.TEXTAFTER(TableGive[[#This Row],[SKU]],"-",-1),"")</f>
        <v/>
      </c>
      <c r="J508" s="14">
        <f>'[1]2026 Orders'!H509</f>
        <v>0</v>
      </c>
      <c r="K508">
        <f>'[1]2026 Orders'!I509</f>
        <v>0</v>
      </c>
      <c r="L508">
        <f>'[1]2026 Orders'!J509</f>
        <v>0</v>
      </c>
      <c r="N508" s="10">
        <f>'[1]2026 Orders'!L509</f>
        <v>0</v>
      </c>
      <c r="O508">
        <f>'[1]2026 Orders'!M509</f>
        <v>0</v>
      </c>
      <c r="P508">
        <f>'[1]2026 Orders'!N509</f>
        <v>0</v>
      </c>
      <c r="Q508">
        <f>'[1]2026 Orders'!O509</f>
        <v>0</v>
      </c>
      <c r="R508">
        <f>'[1]2026 Orders'!P509</f>
        <v>0</v>
      </c>
      <c r="S508">
        <f>'[1]2026 Orders'!Q509</f>
        <v>0</v>
      </c>
      <c r="T508">
        <f>'[1]2026 Orders'!R509</f>
        <v>0</v>
      </c>
      <c r="U508">
        <f>'[1]2026 Orders'!S509</f>
        <v>0</v>
      </c>
      <c r="V508">
        <f>'[1]2026 Orders'!T509</f>
        <v>0</v>
      </c>
      <c r="W508">
        <f>'[1]2026 Orders'!U509</f>
        <v>0</v>
      </c>
      <c r="X508">
        <f>'[1]2026 Orders'!V509</f>
        <v>0</v>
      </c>
      <c r="Y508">
        <f>'[1]2026 Orders'!W509</f>
        <v>0</v>
      </c>
      <c r="Z508">
        <f>'[1]2026 Orders'!X509</f>
        <v>0</v>
      </c>
      <c r="AC508" t="str">
        <f t="shared" si="14"/>
        <v/>
      </c>
      <c r="AD508" t="str">
        <f t="shared" si="15"/>
        <v/>
      </c>
    </row>
    <row r="509" spans="1:30" ht="33" hidden="1" customHeight="1" x14ac:dyDescent="0.3">
      <c r="A509">
        <f>'[1]2026 Orders'!A510</f>
        <v>0</v>
      </c>
      <c r="B509" s="14">
        <f>'[1]2026 Orders'!B510</f>
        <v>0</v>
      </c>
      <c r="C509" s="14">
        <f>'[1]2026 Orders'!C510</f>
        <v>0</v>
      </c>
      <c r="D509" s="14">
        <f>'[1]2026 Orders'!D510</f>
        <v>0</v>
      </c>
      <c r="E509" s="17" t="str" cm="1">
        <f t="array" ref="E509">IF(C509=0,"",
HYPERLINK(
"#'2026 Orders'!C"&amp;
MATCH(1,
('2026 Orders'!C:C=C509)*
('2026 Orders'!G:G=G509)*
('2026 Orders'!N:N=N509),
0),
"Open "&amp;C509
))</f>
        <v/>
      </c>
      <c r="F509" s="14">
        <f>'[1]2026 Orders'!F510</f>
        <v>0</v>
      </c>
      <c r="G509" s="14">
        <f>'[1]2026 Orders'!G510</f>
        <v>0</v>
      </c>
      <c r="H509" s="14" t="str" cm="1">
        <f t="array" ref="H509">IFERROR(_xlfn.TEXTJOIN("-",,INDEX(_xlfn.TEXTSPLIT(TableGive[[#This Row],[SKU]],"-"),{1,2})),"")</f>
        <v/>
      </c>
      <c r="I509" s="15" t="str">
        <f>IFERROR(_xlfn.TEXTAFTER(TableGive[[#This Row],[SKU]],"-",-1),"")</f>
        <v/>
      </c>
      <c r="J509" s="14">
        <f>'[1]2026 Orders'!H510</f>
        <v>0</v>
      </c>
      <c r="K509">
        <f>'[1]2026 Orders'!I510</f>
        <v>0</v>
      </c>
      <c r="L509">
        <f>'[1]2026 Orders'!J510</f>
        <v>0</v>
      </c>
      <c r="N509" s="10">
        <f>'[1]2026 Orders'!L510</f>
        <v>0</v>
      </c>
      <c r="O509">
        <f>'[1]2026 Orders'!M510</f>
        <v>0</v>
      </c>
      <c r="P509">
        <f>'[1]2026 Orders'!N510</f>
        <v>0</v>
      </c>
      <c r="Q509">
        <f>'[1]2026 Orders'!O510</f>
        <v>0</v>
      </c>
      <c r="R509">
        <f>'[1]2026 Orders'!P510</f>
        <v>0</v>
      </c>
      <c r="S509">
        <f>'[1]2026 Orders'!Q510</f>
        <v>0</v>
      </c>
      <c r="T509">
        <f>'[1]2026 Orders'!R510</f>
        <v>0</v>
      </c>
      <c r="U509">
        <f>'[1]2026 Orders'!S510</f>
        <v>0</v>
      </c>
      <c r="V509">
        <f>'[1]2026 Orders'!T510</f>
        <v>0</v>
      </c>
      <c r="W509">
        <f>'[1]2026 Orders'!U510</f>
        <v>0</v>
      </c>
      <c r="X509">
        <f>'[1]2026 Orders'!V510</f>
        <v>0</v>
      </c>
      <c r="Y509">
        <f>'[1]2026 Orders'!W510</f>
        <v>0</v>
      </c>
      <c r="Z509">
        <f>'[1]2026 Orders'!X510</f>
        <v>0</v>
      </c>
      <c r="AC509" t="str">
        <f t="shared" si="14"/>
        <v/>
      </c>
      <c r="AD509" t="str">
        <f t="shared" si="15"/>
        <v/>
      </c>
    </row>
    <row r="510" spans="1:30" ht="33" hidden="1" customHeight="1" x14ac:dyDescent="0.3">
      <c r="A510">
        <f>'[1]2026 Orders'!A511</f>
        <v>0</v>
      </c>
      <c r="B510" s="14">
        <f>'[1]2026 Orders'!B511</f>
        <v>0</v>
      </c>
      <c r="C510" s="14">
        <f>'[1]2026 Orders'!C511</f>
        <v>0</v>
      </c>
      <c r="D510" s="14">
        <f>'[1]2026 Orders'!D511</f>
        <v>0</v>
      </c>
      <c r="E510" s="17" t="str" cm="1">
        <f t="array" ref="E510">IF(C510=0,"",
HYPERLINK(
"#'2026 Orders'!C"&amp;
MATCH(1,
('2026 Orders'!C:C=C510)*
('2026 Orders'!G:G=G510)*
('2026 Orders'!N:N=N510),
0),
"Open "&amp;C510
))</f>
        <v/>
      </c>
      <c r="F510" s="14">
        <f>'[1]2026 Orders'!F511</f>
        <v>0</v>
      </c>
      <c r="G510" s="14">
        <f>'[1]2026 Orders'!G511</f>
        <v>0</v>
      </c>
      <c r="H510" s="14" t="str" cm="1">
        <f t="array" ref="H510">IFERROR(_xlfn.TEXTJOIN("-",,INDEX(_xlfn.TEXTSPLIT(TableGive[[#This Row],[SKU]],"-"),{1,2})),"")</f>
        <v/>
      </c>
      <c r="I510" s="15" t="str">
        <f>IFERROR(_xlfn.TEXTAFTER(TableGive[[#This Row],[SKU]],"-",-1),"")</f>
        <v/>
      </c>
      <c r="J510" s="14">
        <f>'[1]2026 Orders'!H511</f>
        <v>0</v>
      </c>
      <c r="K510">
        <f>'[1]2026 Orders'!I511</f>
        <v>0</v>
      </c>
      <c r="L510">
        <f>'[1]2026 Orders'!J511</f>
        <v>0</v>
      </c>
      <c r="N510" s="10">
        <f>'[1]2026 Orders'!L511</f>
        <v>0</v>
      </c>
      <c r="O510">
        <f>'[1]2026 Orders'!M511</f>
        <v>0</v>
      </c>
      <c r="P510">
        <f>'[1]2026 Orders'!N511</f>
        <v>0</v>
      </c>
      <c r="Q510">
        <f>'[1]2026 Orders'!O511</f>
        <v>0</v>
      </c>
      <c r="R510">
        <f>'[1]2026 Orders'!P511</f>
        <v>0</v>
      </c>
      <c r="S510">
        <f>'[1]2026 Orders'!Q511</f>
        <v>0</v>
      </c>
      <c r="T510">
        <f>'[1]2026 Orders'!R511</f>
        <v>0</v>
      </c>
      <c r="U510">
        <f>'[1]2026 Orders'!S511</f>
        <v>0</v>
      </c>
      <c r="V510">
        <f>'[1]2026 Orders'!T511</f>
        <v>0</v>
      </c>
      <c r="W510">
        <f>'[1]2026 Orders'!U511</f>
        <v>0</v>
      </c>
      <c r="X510">
        <f>'[1]2026 Orders'!V511</f>
        <v>0</v>
      </c>
      <c r="Y510">
        <f>'[1]2026 Orders'!W511</f>
        <v>0</v>
      </c>
      <c r="Z510">
        <f>'[1]2026 Orders'!X511</f>
        <v>0</v>
      </c>
      <c r="AC510" t="str">
        <f t="shared" si="14"/>
        <v/>
      </c>
      <c r="AD510" t="str">
        <f t="shared" si="15"/>
        <v/>
      </c>
    </row>
    <row r="511" spans="1:30" ht="33" hidden="1" customHeight="1" x14ac:dyDescent="0.3">
      <c r="A511">
        <f>'[1]2026 Orders'!A512</f>
        <v>0</v>
      </c>
      <c r="B511" s="14">
        <f>'[1]2026 Orders'!B512</f>
        <v>0</v>
      </c>
      <c r="C511" s="14">
        <f>'[1]2026 Orders'!C512</f>
        <v>0</v>
      </c>
      <c r="D511" s="14">
        <f>'[1]2026 Orders'!D512</f>
        <v>0</v>
      </c>
      <c r="E511" s="17" t="str" cm="1">
        <f t="array" ref="E511">IF(C511=0,"",
HYPERLINK(
"#'2026 Orders'!C"&amp;
MATCH(1,
('2026 Orders'!C:C=C511)*
('2026 Orders'!G:G=G511)*
('2026 Orders'!N:N=N511),
0),
"Open "&amp;C511
))</f>
        <v/>
      </c>
      <c r="F511" s="14">
        <f>'[1]2026 Orders'!F512</f>
        <v>0</v>
      </c>
      <c r="G511" s="14">
        <f>'[1]2026 Orders'!G512</f>
        <v>0</v>
      </c>
      <c r="H511" s="14" t="str" cm="1">
        <f t="array" ref="H511">IFERROR(_xlfn.TEXTJOIN("-",,INDEX(_xlfn.TEXTSPLIT(TableGive[[#This Row],[SKU]],"-"),{1,2})),"")</f>
        <v/>
      </c>
      <c r="I511" s="15" t="str">
        <f>IFERROR(_xlfn.TEXTAFTER(TableGive[[#This Row],[SKU]],"-",-1),"")</f>
        <v/>
      </c>
      <c r="J511" s="14">
        <f>'[1]2026 Orders'!H512</f>
        <v>0</v>
      </c>
      <c r="K511">
        <f>'[1]2026 Orders'!I512</f>
        <v>0</v>
      </c>
      <c r="L511">
        <f>'[1]2026 Orders'!J512</f>
        <v>0</v>
      </c>
      <c r="N511" s="10">
        <f>'[1]2026 Orders'!L512</f>
        <v>0</v>
      </c>
      <c r="O511">
        <f>'[1]2026 Orders'!M512</f>
        <v>0</v>
      </c>
      <c r="P511">
        <f>'[1]2026 Orders'!N512</f>
        <v>0</v>
      </c>
      <c r="Q511">
        <f>'[1]2026 Orders'!O512</f>
        <v>0</v>
      </c>
      <c r="R511">
        <f>'[1]2026 Orders'!P512</f>
        <v>0</v>
      </c>
      <c r="S511">
        <f>'[1]2026 Orders'!Q512</f>
        <v>0</v>
      </c>
      <c r="T511">
        <f>'[1]2026 Orders'!R512</f>
        <v>0</v>
      </c>
      <c r="U511">
        <f>'[1]2026 Orders'!S512</f>
        <v>0</v>
      </c>
      <c r="V511">
        <f>'[1]2026 Orders'!T512</f>
        <v>0</v>
      </c>
      <c r="W511">
        <f>'[1]2026 Orders'!U512</f>
        <v>0</v>
      </c>
      <c r="X511">
        <f>'[1]2026 Orders'!V512</f>
        <v>0</v>
      </c>
      <c r="Y511">
        <f>'[1]2026 Orders'!W512</f>
        <v>0</v>
      </c>
      <c r="Z511">
        <f>'[1]2026 Orders'!X512</f>
        <v>0</v>
      </c>
      <c r="AC511" t="str">
        <f t="shared" si="14"/>
        <v/>
      </c>
      <c r="AD511" t="str">
        <f t="shared" si="15"/>
        <v/>
      </c>
    </row>
    <row r="512" spans="1:30" ht="33" hidden="1" customHeight="1" x14ac:dyDescent="0.3">
      <c r="A512">
        <f>'[1]2026 Orders'!A513</f>
        <v>0</v>
      </c>
      <c r="B512" s="14">
        <f>'[1]2026 Orders'!B513</f>
        <v>0</v>
      </c>
      <c r="C512" s="14">
        <f>'[1]2026 Orders'!C513</f>
        <v>0</v>
      </c>
      <c r="D512" s="14">
        <f>'[1]2026 Orders'!D513</f>
        <v>0</v>
      </c>
      <c r="E512" s="17" t="str" cm="1">
        <f t="array" ref="E512">IF(C512=0,"",
HYPERLINK(
"#'2026 Orders'!C"&amp;
MATCH(1,
('2026 Orders'!C:C=C512)*
('2026 Orders'!G:G=G512)*
('2026 Orders'!N:N=N512),
0),
"Open "&amp;C512
))</f>
        <v/>
      </c>
      <c r="F512" s="14">
        <f>'[1]2026 Orders'!F513</f>
        <v>0</v>
      </c>
      <c r="G512" s="14">
        <f>'[1]2026 Orders'!G513</f>
        <v>0</v>
      </c>
      <c r="H512" s="14" t="str" cm="1">
        <f t="array" ref="H512">IFERROR(_xlfn.TEXTJOIN("-",,INDEX(_xlfn.TEXTSPLIT(TableGive[[#This Row],[SKU]],"-"),{1,2})),"")</f>
        <v/>
      </c>
      <c r="I512" s="15" t="str">
        <f>IFERROR(_xlfn.TEXTAFTER(TableGive[[#This Row],[SKU]],"-",-1),"")</f>
        <v/>
      </c>
      <c r="J512" s="14">
        <f>'[1]2026 Orders'!H513</f>
        <v>0</v>
      </c>
      <c r="K512">
        <f>'[1]2026 Orders'!I513</f>
        <v>0</v>
      </c>
      <c r="L512">
        <f>'[1]2026 Orders'!J513</f>
        <v>0</v>
      </c>
      <c r="N512" s="10">
        <f>'[1]2026 Orders'!L513</f>
        <v>0</v>
      </c>
      <c r="O512">
        <f>'[1]2026 Orders'!M513</f>
        <v>0</v>
      </c>
      <c r="P512">
        <f>'[1]2026 Orders'!N513</f>
        <v>0</v>
      </c>
      <c r="Q512">
        <f>'[1]2026 Orders'!O513</f>
        <v>0</v>
      </c>
      <c r="R512">
        <f>'[1]2026 Orders'!P513</f>
        <v>0</v>
      </c>
      <c r="S512">
        <f>'[1]2026 Orders'!Q513</f>
        <v>0</v>
      </c>
      <c r="T512">
        <f>'[1]2026 Orders'!R513</f>
        <v>0</v>
      </c>
      <c r="U512">
        <f>'[1]2026 Orders'!S513</f>
        <v>0</v>
      </c>
      <c r="V512">
        <f>'[1]2026 Orders'!T513</f>
        <v>0</v>
      </c>
      <c r="W512">
        <f>'[1]2026 Orders'!U513</f>
        <v>0</v>
      </c>
      <c r="X512">
        <f>'[1]2026 Orders'!V513</f>
        <v>0</v>
      </c>
      <c r="Y512">
        <f>'[1]2026 Orders'!W513</f>
        <v>0</v>
      </c>
      <c r="Z512">
        <f>'[1]2026 Orders'!X513</f>
        <v>0</v>
      </c>
      <c r="AC512" t="str">
        <f t="shared" si="14"/>
        <v/>
      </c>
      <c r="AD512" t="str">
        <f t="shared" si="15"/>
        <v/>
      </c>
    </row>
    <row r="513" spans="1:30" ht="33" hidden="1" customHeight="1" x14ac:dyDescent="0.3">
      <c r="A513">
        <f>'[1]2026 Orders'!A514</f>
        <v>0</v>
      </c>
      <c r="B513" s="14">
        <f>'[1]2026 Orders'!B514</f>
        <v>0</v>
      </c>
      <c r="C513" s="14">
        <f>'[1]2026 Orders'!C514</f>
        <v>0</v>
      </c>
      <c r="D513" s="14">
        <f>'[1]2026 Orders'!D514</f>
        <v>0</v>
      </c>
      <c r="E513" s="17" t="str" cm="1">
        <f t="array" ref="E513">IF(C513=0,"",
HYPERLINK(
"#'2026 Orders'!C"&amp;
MATCH(1,
('2026 Orders'!C:C=C513)*
('2026 Orders'!G:G=G513)*
('2026 Orders'!N:N=N513),
0),
"Open "&amp;C513
))</f>
        <v/>
      </c>
      <c r="F513" s="14">
        <f>'[1]2026 Orders'!F514</f>
        <v>0</v>
      </c>
      <c r="G513" s="14">
        <f>'[1]2026 Orders'!G514</f>
        <v>0</v>
      </c>
      <c r="H513" s="14" t="str" cm="1">
        <f t="array" ref="H513">IFERROR(_xlfn.TEXTJOIN("-",,INDEX(_xlfn.TEXTSPLIT(TableGive[[#This Row],[SKU]],"-"),{1,2})),"")</f>
        <v/>
      </c>
      <c r="I513" s="15" t="str">
        <f>IFERROR(_xlfn.TEXTAFTER(TableGive[[#This Row],[SKU]],"-",-1),"")</f>
        <v/>
      </c>
      <c r="J513" s="14">
        <f>'[1]2026 Orders'!H514</f>
        <v>0</v>
      </c>
      <c r="K513">
        <f>'[1]2026 Orders'!I514</f>
        <v>0</v>
      </c>
      <c r="L513">
        <f>'[1]2026 Orders'!J514</f>
        <v>0</v>
      </c>
      <c r="N513" s="10">
        <f>'[1]2026 Orders'!L514</f>
        <v>0</v>
      </c>
      <c r="O513">
        <f>'[1]2026 Orders'!M514</f>
        <v>0</v>
      </c>
      <c r="P513">
        <f>'[1]2026 Orders'!N514</f>
        <v>0</v>
      </c>
      <c r="Q513">
        <f>'[1]2026 Orders'!O514</f>
        <v>0</v>
      </c>
      <c r="R513">
        <f>'[1]2026 Orders'!P514</f>
        <v>0</v>
      </c>
      <c r="S513">
        <f>'[1]2026 Orders'!Q514</f>
        <v>0</v>
      </c>
      <c r="T513">
        <f>'[1]2026 Orders'!R514</f>
        <v>0</v>
      </c>
      <c r="U513">
        <f>'[1]2026 Orders'!S514</f>
        <v>0</v>
      </c>
      <c r="V513">
        <f>'[1]2026 Orders'!T514</f>
        <v>0</v>
      </c>
      <c r="W513">
        <f>'[1]2026 Orders'!U514</f>
        <v>0</v>
      </c>
      <c r="X513">
        <f>'[1]2026 Orders'!V514</f>
        <v>0</v>
      </c>
      <c r="Y513">
        <f>'[1]2026 Orders'!W514</f>
        <v>0</v>
      </c>
      <c r="Z513">
        <f>'[1]2026 Orders'!X514</f>
        <v>0</v>
      </c>
      <c r="AC513" t="str">
        <f t="shared" si="14"/>
        <v/>
      </c>
      <c r="AD513" t="str">
        <f t="shared" si="15"/>
        <v/>
      </c>
    </row>
    <row r="514" spans="1:30" ht="33" hidden="1" customHeight="1" x14ac:dyDescent="0.3">
      <c r="A514">
        <f>'[1]2026 Orders'!A515</f>
        <v>0</v>
      </c>
      <c r="B514" s="14">
        <f>'[1]2026 Orders'!B515</f>
        <v>0</v>
      </c>
      <c r="C514" s="14">
        <f>'[1]2026 Orders'!C515</f>
        <v>0</v>
      </c>
      <c r="D514" s="14">
        <f>'[1]2026 Orders'!D515</f>
        <v>0</v>
      </c>
      <c r="E514" s="17" t="str" cm="1">
        <f t="array" ref="E514">IF(C514=0,"",
HYPERLINK(
"#'2026 Orders'!C"&amp;
MATCH(1,
('2026 Orders'!C:C=C514)*
('2026 Orders'!G:G=G514)*
('2026 Orders'!N:N=N514),
0),
"Open "&amp;C514
))</f>
        <v/>
      </c>
      <c r="F514" s="14">
        <f>'[1]2026 Orders'!F515</f>
        <v>0</v>
      </c>
      <c r="G514" s="14">
        <f>'[1]2026 Orders'!G515</f>
        <v>0</v>
      </c>
      <c r="H514" s="14" t="str" cm="1">
        <f t="array" ref="H514">IFERROR(_xlfn.TEXTJOIN("-",,INDEX(_xlfn.TEXTSPLIT(TableGive[[#This Row],[SKU]],"-"),{1,2})),"")</f>
        <v/>
      </c>
      <c r="I514" s="15" t="str">
        <f>IFERROR(_xlfn.TEXTAFTER(TableGive[[#This Row],[SKU]],"-",-1),"")</f>
        <v/>
      </c>
      <c r="J514" s="14">
        <f>'[1]2026 Orders'!H515</f>
        <v>0</v>
      </c>
      <c r="K514">
        <f>'[1]2026 Orders'!I515</f>
        <v>0</v>
      </c>
      <c r="L514">
        <f>'[1]2026 Orders'!J515</f>
        <v>0</v>
      </c>
      <c r="N514" s="10">
        <f>'[1]2026 Orders'!L515</f>
        <v>0</v>
      </c>
      <c r="O514">
        <f>'[1]2026 Orders'!M515</f>
        <v>0</v>
      </c>
      <c r="P514">
        <f>'[1]2026 Orders'!N515</f>
        <v>0</v>
      </c>
      <c r="Q514">
        <f>'[1]2026 Orders'!O515</f>
        <v>0</v>
      </c>
      <c r="R514">
        <f>'[1]2026 Orders'!P515</f>
        <v>0</v>
      </c>
      <c r="S514">
        <f>'[1]2026 Orders'!Q515</f>
        <v>0</v>
      </c>
      <c r="T514">
        <f>'[1]2026 Orders'!R515</f>
        <v>0</v>
      </c>
      <c r="U514">
        <f>'[1]2026 Orders'!S515</f>
        <v>0</v>
      </c>
      <c r="V514">
        <f>'[1]2026 Orders'!T515</f>
        <v>0</v>
      </c>
      <c r="W514">
        <f>'[1]2026 Orders'!U515</f>
        <v>0</v>
      </c>
      <c r="X514">
        <f>'[1]2026 Orders'!V515</f>
        <v>0</v>
      </c>
      <c r="Y514">
        <f>'[1]2026 Orders'!W515</f>
        <v>0</v>
      </c>
      <c r="Z514">
        <f>'[1]2026 Orders'!X515</f>
        <v>0</v>
      </c>
      <c r="AC514" t="str">
        <f t="shared" si="14"/>
        <v/>
      </c>
      <c r="AD514" t="str">
        <f t="shared" si="15"/>
        <v/>
      </c>
    </row>
    <row r="515" spans="1:30" ht="33" hidden="1" customHeight="1" x14ac:dyDescent="0.3">
      <c r="A515">
        <f>'[1]2026 Orders'!A516</f>
        <v>0</v>
      </c>
      <c r="B515" s="14">
        <f>'[1]2026 Orders'!B516</f>
        <v>0</v>
      </c>
      <c r="C515" s="14">
        <f>'[1]2026 Orders'!C516</f>
        <v>0</v>
      </c>
      <c r="D515" s="14">
        <f>'[1]2026 Orders'!D516</f>
        <v>0</v>
      </c>
      <c r="E515" s="17" t="str" cm="1">
        <f t="array" ref="E515">IF(C515=0,"",
HYPERLINK(
"#'2026 Orders'!C"&amp;
MATCH(1,
('2026 Orders'!C:C=C515)*
('2026 Orders'!G:G=G515)*
('2026 Orders'!N:N=N515),
0),
"Open "&amp;C515
))</f>
        <v/>
      </c>
      <c r="F515" s="14">
        <f>'[1]2026 Orders'!F516</f>
        <v>0</v>
      </c>
      <c r="G515" s="14">
        <f>'[1]2026 Orders'!G516</f>
        <v>0</v>
      </c>
      <c r="H515" s="14" t="str" cm="1">
        <f t="array" ref="H515">IFERROR(_xlfn.TEXTJOIN("-",,INDEX(_xlfn.TEXTSPLIT(TableGive[[#This Row],[SKU]],"-"),{1,2})),"")</f>
        <v/>
      </c>
      <c r="I515" s="15" t="str">
        <f>IFERROR(_xlfn.TEXTAFTER(TableGive[[#This Row],[SKU]],"-",-1),"")</f>
        <v/>
      </c>
      <c r="J515" s="14">
        <f>'[1]2026 Orders'!H516</f>
        <v>0</v>
      </c>
      <c r="K515">
        <f>'[1]2026 Orders'!I516</f>
        <v>0</v>
      </c>
      <c r="L515">
        <f>'[1]2026 Orders'!J516</f>
        <v>0</v>
      </c>
      <c r="N515" s="10">
        <f>'[1]2026 Orders'!L516</f>
        <v>0</v>
      </c>
      <c r="O515">
        <f>'[1]2026 Orders'!M516</f>
        <v>0</v>
      </c>
      <c r="P515">
        <f>'[1]2026 Orders'!N516</f>
        <v>0</v>
      </c>
      <c r="Q515">
        <f>'[1]2026 Orders'!O516</f>
        <v>0</v>
      </c>
      <c r="R515">
        <f>'[1]2026 Orders'!P516</f>
        <v>0</v>
      </c>
      <c r="S515">
        <f>'[1]2026 Orders'!Q516</f>
        <v>0</v>
      </c>
      <c r="T515">
        <f>'[1]2026 Orders'!R516</f>
        <v>0</v>
      </c>
      <c r="U515">
        <f>'[1]2026 Orders'!S516</f>
        <v>0</v>
      </c>
      <c r="V515">
        <f>'[1]2026 Orders'!T516</f>
        <v>0</v>
      </c>
      <c r="W515">
        <f>'[1]2026 Orders'!U516</f>
        <v>0</v>
      </c>
      <c r="X515">
        <f>'[1]2026 Orders'!V516</f>
        <v>0</v>
      </c>
      <c r="Y515">
        <f>'[1]2026 Orders'!W516</f>
        <v>0</v>
      </c>
      <c r="Z515">
        <f>'[1]2026 Orders'!X516</f>
        <v>0</v>
      </c>
      <c r="AC515" t="str">
        <f t="shared" ref="AC515:AC578" si="16">IF(OR(B515="",B515=0),"",$AJ$2&amp;"/"&amp;J515)</f>
        <v/>
      </c>
      <c r="AD515" t="str">
        <f t="shared" ref="AD515:AD578" si="17">IF(OR(J515="",J515=0),"",$AK$2&amp;" -&gt; "&amp;I515)</f>
        <v/>
      </c>
    </row>
    <row r="516" spans="1:30" ht="33" hidden="1" customHeight="1" x14ac:dyDescent="0.3">
      <c r="A516">
        <f>'[1]2026 Orders'!A517</f>
        <v>0</v>
      </c>
      <c r="B516" s="14">
        <f>'[1]2026 Orders'!B517</f>
        <v>0</v>
      </c>
      <c r="C516" s="14">
        <f>'[1]2026 Orders'!C517</f>
        <v>0</v>
      </c>
      <c r="D516" s="14">
        <f>'[1]2026 Orders'!D517</f>
        <v>0</v>
      </c>
      <c r="E516" s="17" t="str" cm="1">
        <f t="array" ref="E516">IF(C516=0,"",
HYPERLINK(
"#'2026 Orders'!C"&amp;
MATCH(1,
('2026 Orders'!C:C=C516)*
('2026 Orders'!G:G=G516)*
('2026 Orders'!N:N=N516),
0),
"Open "&amp;C516
))</f>
        <v/>
      </c>
      <c r="F516" s="14">
        <f>'[1]2026 Orders'!F517</f>
        <v>0</v>
      </c>
      <c r="G516" s="14">
        <f>'[1]2026 Orders'!G517</f>
        <v>0</v>
      </c>
      <c r="H516" s="14" t="str" cm="1">
        <f t="array" ref="H516">IFERROR(_xlfn.TEXTJOIN("-",,INDEX(_xlfn.TEXTSPLIT(TableGive[[#This Row],[SKU]],"-"),{1,2})),"")</f>
        <v/>
      </c>
      <c r="I516" s="15" t="str">
        <f>IFERROR(_xlfn.TEXTAFTER(TableGive[[#This Row],[SKU]],"-",-1),"")</f>
        <v/>
      </c>
      <c r="J516" s="14">
        <f>'[1]2026 Orders'!H517</f>
        <v>0</v>
      </c>
      <c r="K516">
        <f>'[1]2026 Orders'!I517</f>
        <v>0</v>
      </c>
      <c r="L516">
        <f>'[1]2026 Orders'!J517</f>
        <v>0</v>
      </c>
      <c r="N516" s="10">
        <f>'[1]2026 Orders'!L517</f>
        <v>0</v>
      </c>
      <c r="O516">
        <f>'[1]2026 Orders'!M517</f>
        <v>0</v>
      </c>
      <c r="P516">
        <f>'[1]2026 Orders'!N517</f>
        <v>0</v>
      </c>
      <c r="Q516">
        <f>'[1]2026 Orders'!O517</f>
        <v>0</v>
      </c>
      <c r="R516">
        <f>'[1]2026 Orders'!P517</f>
        <v>0</v>
      </c>
      <c r="S516">
        <f>'[1]2026 Orders'!Q517</f>
        <v>0</v>
      </c>
      <c r="T516">
        <f>'[1]2026 Orders'!R517</f>
        <v>0</v>
      </c>
      <c r="U516">
        <f>'[1]2026 Orders'!S517</f>
        <v>0</v>
      </c>
      <c r="V516">
        <f>'[1]2026 Orders'!T517</f>
        <v>0</v>
      </c>
      <c r="W516">
        <f>'[1]2026 Orders'!U517</f>
        <v>0</v>
      </c>
      <c r="X516">
        <f>'[1]2026 Orders'!V517</f>
        <v>0</v>
      </c>
      <c r="Y516">
        <f>'[1]2026 Orders'!W517</f>
        <v>0</v>
      </c>
      <c r="Z516">
        <f>'[1]2026 Orders'!X517</f>
        <v>0</v>
      </c>
      <c r="AC516" t="str">
        <f t="shared" si="16"/>
        <v/>
      </c>
      <c r="AD516" t="str">
        <f t="shared" si="17"/>
        <v/>
      </c>
    </row>
    <row r="517" spans="1:30" ht="33" hidden="1" customHeight="1" x14ac:dyDescent="0.3">
      <c r="A517">
        <f>'[1]2026 Orders'!A518</f>
        <v>0</v>
      </c>
      <c r="B517" s="14">
        <f>'[1]2026 Orders'!B518</f>
        <v>0</v>
      </c>
      <c r="C517" s="14">
        <f>'[1]2026 Orders'!C518</f>
        <v>0</v>
      </c>
      <c r="D517" s="14">
        <f>'[1]2026 Orders'!D518</f>
        <v>0</v>
      </c>
      <c r="E517" s="17" t="str" cm="1">
        <f t="array" ref="E517">IF(C517=0,"",
HYPERLINK(
"#'2026 Orders'!C"&amp;
MATCH(1,
('2026 Orders'!C:C=C517)*
('2026 Orders'!G:G=G517)*
('2026 Orders'!N:N=N517),
0),
"Open "&amp;C517
))</f>
        <v/>
      </c>
      <c r="F517" s="14">
        <f>'[1]2026 Orders'!F518</f>
        <v>0</v>
      </c>
      <c r="G517" s="14">
        <f>'[1]2026 Orders'!G518</f>
        <v>0</v>
      </c>
      <c r="H517" s="14" t="str" cm="1">
        <f t="array" ref="H517">IFERROR(_xlfn.TEXTJOIN("-",,INDEX(_xlfn.TEXTSPLIT(TableGive[[#This Row],[SKU]],"-"),{1,2})),"")</f>
        <v/>
      </c>
      <c r="I517" s="15" t="str">
        <f>IFERROR(_xlfn.TEXTAFTER(TableGive[[#This Row],[SKU]],"-",-1),"")</f>
        <v/>
      </c>
      <c r="J517" s="14">
        <f>'[1]2026 Orders'!H518</f>
        <v>0</v>
      </c>
      <c r="K517">
        <f>'[1]2026 Orders'!I518</f>
        <v>0</v>
      </c>
      <c r="L517">
        <f>'[1]2026 Orders'!J518</f>
        <v>0</v>
      </c>
      <c r="N517" s="10">
        <f>'[1]2026 Orders'!L518</f>
        <v>0</v>
      </c>
      <c r="O517">
        <f>'[1]2026 Orders'!M518</f>
        <v>0</v>
      </c>
      <c r="P517">
        <f>'[1]2026 Orders'!N518</f>
        <v>0</v>
      </c>
      <c r="Q517">
        <f>'[1]2026 Orders'!O518</f>
        <v>0</v>
      </c>
      <c r="R517">
        <f>'[1]2026 Orders'!P518</f>
        <v>0</v>
      </c>
      <c r="S517">
        <f>'[1]2026 Orders'!Q518</f>
        <v>0</v>
      </c>
      <c r="T517">
        <f>'[1]2026 Orders'!R518</f>
        <v>0</v>
      </c>
      <c r="U517">
        <f>'[1]2026 Orders'!S518</f>
        <v>0</v>
      </c>
      <c r="V517">
        <f>'[1]2026 Orders'!T518</f>
        <v>0</v>
      </c>
      <c r="W517">
        <f>'[1]2026 Orders'!U518</f>
        <v>0</v>
      </c>
      <c r="X517">
        <f>'[1]2026 Orders'!V518</f>
        <v>0</v>
      </c>
      <c r="Y517">
        <f>'[1]2026 Orders'!W518</f>
        <v>0</v>
      </c>
      <c r="Z517">
        <f>'[1]2026 Orders'!X518</f>
        <v>0</v>
      </c>
      <c r="AC517" t="str">
        <f t="shared" si="16"/>
        <v/>
      </c>
      <c r="AD517" t="str">
        <f t="shared" si="17"/>
        <v/>
      </c>
    </row>
    <row r="518" spans="1:30" ht="33" hidden="1" customHeight="1" x14ac:dyDescent="0.3">
      <c r="A518">
        <f>'[1]2026 Orders'!A519</f>
        <v>0</v>
      </c>
      <c r="B518" s="14">
        <f>'[1]2026 Orders'!B519</f>
        <v>0</v>
      </c>
      <c r="C518" s="14">
        <f>'[1]2026 Orders'!C519</f>
        <v>0</v>
      </c>
      <c r="D518" s="14">
        <f>'[1]2026 Orders'!D519</f>
        <v>0</v>
      </c>
      <c r="E518" s="17" t="str" cm="1">
        <f t="array" ref="E518">IF(C518=0,"",
HYPERLINK(
"#'2026 Orders'!C"&amp;
MATCH(1,
('2026 Orders'!C:C=C518)*
('2026 Orders'!G:G=G518)*
('2026 Orders'!N:N=N518),
0),
"Open "&amp;C518
))</f>
        <v/>
      </c>
      <c r="F518" s="14">
        <f>'[1]2026 Orders'!F519</f>
        <v>0</v>
      </c>
      <c r="G518" s="14">
        <f>'[1]2026 Orders'!G519</f>
        <v>0</v>
      </c>
      <c r="H518" s="14" t="str" cm="1">
        <f t="array" ref="H518">IFERROR(_xlfn.TEXTJOIN("-",,INDEX(_xlfn.TEXTSPLIT(TableGive[[#This Row],[SKU]],"-"),{1,2})),"")</f>
        <v/>
      </c>
      <c r="I518" s="15" t="str">
        <f>IFERROR(_xlfn.TEXTAFTER(TableGive[[#This Row],[SKU]],"-",-1),"")</f>
        <v/>
      </c>
      <c r="J518" s="14">
        <f>'[1]2026 Orders'!H519</f>
        <v>0</v>
      </c>
      <c r="K518">
        <f>'[1]2026 Orders'!I519</f>
        <v>0</v>
      </c>
      <c r="L518">
        <f>'[1]2026 Orders'!J519</f>
        <v>0</v>
      </c>
      <c r="N518" s="10">
        <f>'[1]2026 Orders'!L519</f>
        <v>0</v>
      </c>
      <c r="O518">
        <f>'[1]2026 Orders'!M519</f>
        <v>0</v>
      </c>
      <c r="P518">
        <f>'[1]2026 Orders'!N519</f>
        <v>0</v>
      </c>
      <c r="Q518">
        <f>'[1]2026 Orders'!O519</f>
        <v>0</v>
      </c>
      <c r="R518">
        <f>'[1]2026 Orders'!P519</f>
        <v>0</v>
      </c>
      <c r="S518">
        <f>'[1]2026 Orders'!Q519</f>
        <v>0</v>
      </c>
      <c r="T518">
        <f>'[1]2026 Orders'!R519</f>
        <v>0</v>
      </c>
      <c r="U518">
        <f>'[1]2026 Orders'!S519</f>
        <v>0</v>
      </c>
      <c r="V518">
        <f>'[1]2026 Orders'!T519</f>
        <v>0</v>
      </c>
      <c r="W518">
        <f>'[1]2026 Orders'!U519</f>
        <v>0</v>
      </c>
      <c r="X518">
        <f>'[1]2026 Orders'!V519</f>
        <v>0</v>
      </c>
      <c r="Y518">
        <f>'[1]2026 Orders'!W519</f>
        <v>0</v>
      </c>
      <c r="Z518">
        <f>'[1]2026 Orders'!X519</f>
        <v>0</v>
      </c>
      <c r="AC518" t="str">
        <f t="shared" si="16"/>
        <v/>
      </c>
      <c r="AD518" t="str">
        <f t="shared" si="17"/>
        <v/>
      </c>
    </row>
    <row r="519" spans="1:30" ht="33" hidden="1" customHeight="1" x14ac:dyDescent="0.3">
      <c r="A519">
        <f>'[1]2026 Orders'!A520</f>
        <v>0</v>
      </c>
      <c r="B519" s="14">
        <f>'[1]2026 Orders'!B520</f>
        <v>0</v>
      </c>
      <c r="C519" s="14">
        <f>'[1]2026 Orders'!C520</f>
        <v>0</v>
      </c>
      <c r="D519" s="14">
        <f>'[1]2026 Orders'!D520</f>
        <v>0</v>
      </c>
      <c r="E519" s="17" t="str" cm="1">
        <f t="array" ref="E519">IF(C519=0,"",
HYPERLINK(
"#'2026 Orders'!C"&amp;
MATCH(1,
('2026 Orders'!C:C=C519)*
('2026 Orders'!G:G=G519)*
('2026 Orders'!N:N=N519),
0),
"Open "&amp;C519
))</f>
        <v/>
      </c>
      <c r="F519" s="14">
        <f>'[1]2026 Orders'!F520</f>
        <v>0</v>
      </c>
      <c r="G519" s="14">
        <f>'[1]2026 Orders'!G520</f>
        <v>0</v>
      </c>
      <c r="H519" s="14" t="str" cm="1">
        <f t="array" ref="H519">IFERROR(_xlfn.TEXTJOIN("-",,INDEX(_xlfn.TEXTSPLIT(TableGive[[#This Row],[SKU]],"-"),{1,2})),"")</f>
        <v/>
      </c>
      <c r="I519" s="15" t="str">
        <f>IFERROR(_xlfn.TEXTAFTER(TableGive[[#This Row],[SKU]],"-",-1),"")</f>
        <v/>
      </c>
      <c r="J519" s="14">
        <f>'[1]2026 Orders'!H520</f>
        <v>0</v>
      </c>
      <c r="K519">
        <f>'[1]2026 Orders'!I520</f>
        <v>0</v>
      </c>
      <c r="L519">
        <f>'[1]2026 Orders'!J520</f>
        <v>0</v>
      </c>
      <c r="N519" s="10">
        <f>'[1]2026 Orders'!L520</f>
        <v>0</v>
      </c>
      <c r="O519">
        <f>'[1]2026 Orders'!M520</f>
        <v>0</v>
      </c>
      <c r="P519">
        <f>'[1]2026 Orders'!N520</f>
        <v>0</v>
      </c>
      <c r="Q519">
        <f>'[1]2026 Orders'!O520</f>
        <v>0</v>
      </c>
      <c r="R519">
        <f>'[1]2026 Orders'!P520</f>
        <v>0</v>
      </c>
      <c r="S519">
        <f>'[1]2026 Orders'!Q520</f>
        <v>0</v>
      </c>
      <c r="T519">
        <f>'[1]2026 Orders'!R520</f>
        <v>0</v>
      </c>
      <c r="U519">
        <f>'[1]2026 Orders'!S520</f>
        <v>0</v>
      </c>
      <c r="V519">
        <f>'[1]2026 Orders'!T520</f>
        <v>0</v>
      </c>
      <c r="W519">
        <f>'[1]2026 Orders'!U520</f>
        <v>0</v>
      </c>
      <c r="X519">
        <f>'[1]2026 Orders'!V520</f>
        <v>0</v>
      </c>
      <c r="Y519">
        <f>'[1]2026 Orders'!W520</f>
        <v>0</v>
      </c>
      <c r="Z519">
        <f>'[1]2026 Orders'!X520</f>
        <v>0</v>
      </c>
      <c r="AC519" t="str">
        <f t="shared" si="16"/>
        <v/>
      </c>
      <c r="AD519" t="str">
        <f t="shared" si="17"/>
        <v/>
      </c>
    </row>
    <row r="520" spans="1:30" ht="33" hidden="1" customHeight="1" x14ac:dyDescent="0.3">
      <c r="A520">
        <f>'[1]2026 Orders'!A521</f>
        <v>0</v>
      </c>
      <c r="B520" s="14">
        <f>'[1]2026 Orders'!B521</f>
        <v>0</v>
      </c>
      <c r="C520" s="14">
        <f>'[1]2026 Orders'!C521</f>
        <v>0</v>
      </c>
      <c r="D520" s="14">
        <f>'[1]2026 Orders'!D521</f>
        <v>0</v>
      </c>
      <c r="E520" s="17" t="str" cm="1">
        <f t="array" ref="E520">IF(C520=0,"",
HYPERLINK(
"#'2026 Orders'!C"&amp;
MATCH(1,
('2026 Orders'!C:C=C520)*
('2026 Orders'!G:G=G520)*
('2026 Orders'!N:N=N520),
0),
"Open "&amp;C520
))</f>
        <v/>
      </c>
      <c r="F520" s="14">
        <f>'[1]2026 Orders'!F521</f>
        <v>0</v>
      </c>
      <c r="G520" s="14">
        <f>'[1]2026 Orders'!G521</f>
        <v>0</v>
      </c>
      <c r="H520" s="14" t="str" cm="1">
        <f t="array" ref="H520">IFERROR(_xlfn.TEXTJOIN("-",,INDEX(_xlfn.TEXTSPLIT(TableGive[[#This Row],[SKU]],"-"),{1,2})),"")</f>
        <v/>
      </c>
      <c r="I520" s="15" t="str">
        <f>IFERROR(_xlfn.TEXTAFTER(TableGive[[#This Row],[SKU]],"-",-1),"")</f>
        <v/>
      </c>
      <c r="J520" s="14">
        <f>'[1]2026 Orders'!H521</f>
        <v>0</v>
      </c>
      <c r="K520">
        <f>'[1]2026 Orders'!I521</f>
        <v>0</v>
      </c>
      <c r="L520">
        <f>'[1]2026 Orders'!J521</f>
        <v>0</v>
      </c>
      <c r="N520" s="10">
        <f>'[1]2026 Orders'!L521</f>
        <v>0</v>
      </c>
      <c r="O520">
        <f>'[1]2026 Orders'!M521</f>
        <v>0</v>
      </c>
      <c r="P520">
        <f>'[1]2026 Orders'!N521</f>
        <v>0</v>
      </c>
      <c r="Q520">
        <f>'[1]2026 Orders'!O521</f>
        <v>0</v>
      </c>
      <c r="R520">
        <f>'[1]2026 Orders'!P521</f>
        <v>0</v>
      </c>
      <c r="S520">
        <f>'[1]2026 Orders'!Q521</f>
        <v>0</v>
      </c>
      <c r="T520">
        <f>'[1]2026 Orders'!R521</f>
        <v>0</v>
      </c>
      <c r="U520">
        <f>'[1]2026 Orders'!S521</f>
        <v>0</v>
      </c>
      <c r="V520">
        <f>'[1]2026 Orders'!T521</f>
        <v>0</v>
      </c>
      <c r="W520">
        <f>'[1]2026 Orders'!U521</f>
        <v>0</v>
      </c>
      <c r="X520">
        <f>'[1]2026 Orders'!V521</f>
        <v>0</v>
      </c>
      <c r="Y520">
        <f>'[1]2026 Orders'!W521</f>
        <v>0</v>
      </c>
      <c r="Z520">
        <f>'[1]2026 Orders'!X521</f>
        <v>0</v>
      </c>
      <c r="AC520" t="str">
        <f t="shared" si="16"/>
        <v/>
      </c>
      <c r="AD520" t="str">
        <f t="shared" si="17"/>
        <v/>
      </c>
    </row>
    <row r="521" spans="1:30" ht="33" hidden="1" customHeight="1" x14ac:dyDescent="0.3">
      <c r="A521">
        <f>'[1]2026 Orders'!A522</f>
        <v>0</v>
      </c>
      <c r="B521" s="14">
        <f>'[1]2026 Orders'!B522</f>
        <v>0</v>
      </c>
      <c r="C521" s="14">
        <f>'[1]2026 Orders'!C522</f>
        <v>0</v>
      </c>
      <c r="D521" s="14">
        <f>'[1]2026 Orders'!D522</f>
        <v>0</v>
      </c>
      <c r="E521" s="17" t="str" cm="1">
        <f t="array" ref="E521">IF(C521=0,"",
HYPERLINK(
"#'2026 Orders'!C"&amp;
MATCH(1,
('2026 Orders'!C:C=C521)*
('2026 Orders'!G:G=G521)*
('2026 Orders'!N:N=N521),
0),
"Open "&amp;C521
))</f>
        <v/>
      </c>
      <c r="F521" s="14">
        <f>'[1]2026 Orders'!F522</f>
        <v>0</v>
      </c>
      <c r="G521" s="14">
        <f>'[1]2026 Orders'!G522</f>
        <v>0</v>
      </c>
      <c r="H521" s="14" t="str" cm="1">
        <f t="array" ref="H521">IFERROR(_xlfn.TEXTJOIN("-",,INDEX(_xlfn.TEXTSPLIT(TableGive[[#This Row],[SKU]],"-"),{1,2})),"")</f>
        <v/>
      </c>
      <c r="I521" s="15" t="str">
        <f>IFERROR(_xlfn.TEXTAFTER(TableGive[[#This Row],[SKU]],"-",-1),"")</f>
        <v/>
      </c>
      <c r="J521" s="14">
        <f>'[1]2026 Orders'!H522</f>
        <v>0</v>
      </c>
      <c r="K521">
        <f>'[1]2026 Orders'!I522</f>
        <v>0</v>
      </c>
      <c r="L521">
        <f>'[1]2026 Orders'!J522</f>
        <v>0</v>
      </c>
      <c r="N521" s="10">
        <f>'[1]2026 Orders'!L522</f>
        <v>0</v>
      </c>
      <c r="O521">
        <f>'[1]2026 Orders'!M522</f>
        <v>0</v>
      </c>
      <c r="P521">
        <f>'[1]2026 Orders'!N522</f>
        <v>0</v>
      </c>
      <c r="Q521">
        <f>'[1]2026 Orders'!O522</f>
        <v>0</v>
      </c>
      <c r="R521">
        <f>'[1]2026 Orders'!P522</f>
        <v>0</v>
      </c>
      <c r="S521">
        <f>'[1]2026 Orders'!Q522</f>
        <v>0</v>
      </c>
      <c r="T521">
        <f>'[1]2026 Orders'!R522</f>
        <v>0</v>
      </c>
      <c r="U521">
        <f>'[1]2026 Orders'!S522</f>
        <v>0</v>
      </c>
      <c r="V521">
        <f>'[1]2026 Orders'!T522</f>
        <v>0</v>
      </c>
      <c r="W521">
        <f>'[1]2026 Orders'!U522</f>
        <v>0</v>
      </c>
      <c r="X521">
        <f>'[1]2026 Orders'!V522</f>
        <v>0</v>
      </c>
      <c r="Y521">
        <f>'[1]2026 Orders'!W522</f>
        <v>0</v>
      </c>
      <c r="Z521">
        <f>'[1]2026 Orders'!X522</f>
        <v>0</v>
      </c>
      <c r="AC521" t="str">
        <f t="shared" si="16"/>
        <v/>
      </c>
      <c r="AD521" t="str">
        <f t="shared" si="17"/>
        <v/>
      </c>
    </row>
    <row r="522" spans="1:30" ht="33" hidden="1" customHeight="1" x14ac:dyDescent="0.3">
      <c r="A522">
        <f>'[1]2026 Orders'!A523</f>
        <v>0</v>
      </c>
      <c r="B522" s="14">
        <f>'[1]2026 Orders'!B523</f>
        <v>0</v>
      </c>
      <c r="C522" s="14">
        <f>'[1]2026 Orders'!C523</f>
        <v>0</v>
      </c>
      <c r="D522" s="14">
        <f>'[1]2026 Orders'!D523</f>
        <v>0</v>
      </c>
      <c r="E522" s="17" t="str" cm="1">
        <f t="array" ref="E522">IF(C522=0,"",
HYPERLINK(
"#'2026 Orders'!C"&amp;
MATCH(1,
('2026 Orders'!C:C=C522)*
('2026 Orders'!G:G=G522)*
('2026 Orders'!N:N=N522),
0),
"Open "&amp;C522
))</f>
        <v/>
      </c>
      <c r="F522" s="14">
        <f>'[1]2026 Orders'!F523</f>
        <v>0</v>
      </c>
      <c r="G522" s="14">
        <f>'[1]2026 Orders'!G523</f>
        <v>0</v>
      </c>
      <c r="H522" s="14" t="str" cm="1">
        <f t="array" ref="H522">IFERROR(_xlfn.TEXTJOIN("-",,INDEX(_xlfn.TEXTSPLIT(TableGive[[#This Row],[SKU]],"-"),{1,2})),"")</f>
        <v/>
      </c>
      <c r="I522" s="15" t="str">
        <f>IFERROR(_xlfn.TEXTAFTER(TableGive[[#This Row],[SKU]],"-",-1),"")</f>
        <v/>
      </c>
      <c r="J522" s="14">
        <f>'[1]2026 Orders'!H523</f>
        <v>0</v>
      </c>
      <c r="K522">
        <f>'[1]2026 Orders'!I523</f>
        <v>0</v>
      </c>
      <c r="L522">
        <f>'[1]2026 Orders'!J523</f>
        <v>0</v>
      </c>
      <c r="N522" s="10">
        <f>'[1]2026 Orders'!L523</f>
        <v>0</v>
      </c>
      <c r="O522">
        <f>'[1]2026 Orders'!M523</f>
        <v>0</v>
      </c>
      <c r="P522">
        <f>'[1]2026 Orders'!N523</f>
        <v>0</v>
      </c>
      <c r="Q522">
        <f>'[1]2026 Orders'!O523</f>
        <v>0</v>
      </c>
      <c r="R522">
        <f>'[1]2026 Orders'!P523</f>
        <v>0</v>
      </c>
      <c r="S522">
        <f>'[1]2026 Orders'!Q523</f>
        <v>0</v>
      </c>
      <c r="T522">
        <f>'[1]2026 Orders'!R523</f>
        <v>0</v>
      </c>
      <c r="U522">
        <f>'[1]2026 Orders'!S523</f>
        <v>0</v>
      </c>
      <c r="V522">
        <f>'[1]2026 Orders'!T523</f>
        <v>0</v>
      </c>
      <c r="W522">
        <f>'[1]2026 Orders'!U523</f>
        <v>0</v>
      </c>
      <c r="X522">
        <f>'[1]2026 Orders'!V523</f>
        <v>0</v>
      </c>
      <c r="Y522">
        <f>'[1]2026 Orders'!W523</f>
        <v>0</v>
      </c>
      <c r="Z522">
        <f>'[1]2026 Orders'!X523</f>
        <v>0</v>
      </c>
      <c r="AC522" t="str">
        <f t="shared" si="16"/>
        <v/>
      </c>
      <c r="AD522" t="str">
        <f t="shared" si="17"/>
        <v/>
      </c>
    </row>
    <row r="523" spans="1:30" ht="33" hidden="1" customHeight="1" x14ac:dyDescent="0.3">
      <c r="A523">
        <f>'[1]2026 Orders'!A524</f>
        <v>0</v>
      </c>
      <c r="B523" s="14">
        <f>'[1]2026 Orders'!B524</f>
        <v>0</v>
      </c>
      <c r="C523" s="14">
        <f>'[1]2026 Orders'!C524</f>
        <v>0</v>
      </c>
      <c r="D523" s="14">
        <f>'[1]2026 Orders'!D524</f>
        <v>0</v>
      </c>
      <c r="E523" s="17" t="str" cm="1">
        <f t="array" ref="E523">IF(C523=0,"",
HYPERLINK(
"#'2026 Orders'!C"&amp;
MATCH(1,
('2026 Orders'!C:C=C523)*
('2026 Orders'!G:G=G523)*
('2026 Orders'!N:N=N523),
0),
"Open "&amp;C523
))</f>
        <v/>
      </c>
      <c r="F523" s="14">
        <f>'[1]2026 Orders'!F524</f>
        <v>0</v>
      </c>
      <c r="G523" s="14">
        <f>'[1]2026 Orders'!G524</f>
        <v>0</v>
      </c>
      <c r="H523" s="14" t="str" cm="1">
        <f t="array" ref="H523">IFERROR(_xlfn.TEXTJOIN("-",,INDEX(_xlfn.TEXTSPLIT(TableGive[[#This Row],[SKU]],"-"),{1,2})),"")</f>
        <v/>
      </c>
      <c r="I523" s="15" t="str">
        <f>IFERROR(_xlfn.TEXTAFTER(TableGive[[#This Row],[SKU]],"-",-1),"")</f>
        <v/>
      </c>
      <c r="J523" s="14">
        <f>'[1]2026 Orders'!H524</f>
        <v>0</v>
      </c>
      <c r="K523">
        <f>'[1]2026 Orders'!I524</f>
        <v>0</v>
      </c>
      <c r="L523">
        <f>'[1]2026 Orders'!J524</f>
        <v>0</v>
      </c>
      <c r="N523" s="10">
        <f>'[1]2026 Orders'!L524</f>
        <v>0</v>
      </c>
      <c r="O523">
        <f>'[1]2026 Orders'!M524</f>
        <v>0</v>
      </c>
      <c r="P523">
        <f>'[1]2026 Orders'!N524</f>
        <v>0</v>
      </c>
      <c r="Q523">
        <f>'[1]2026 Orders'!O524</f>
        <v>0</v>
      </c>
      <c r="R523">
        <f>'[1]2026 Orders'!P524</f>
        <v>0</v>
      </c>
      <c r="S523">
        <f>'[1]2026 Orders'!Q524</f>
        <v>0</v>
      </c>
      <c r="T523">
        <f>'[1]2026 Orders'!R524</f>
        <v>0</v>
      </c>
      <c r="U523">
        <f>'[1]2026 Orders'!S524</f>
        <v>0</v>
      </c>
      <c r="V523">
        <f>'[1]2026 Orders'!T524</f>
        <v>0</v>
      </c>
      <c r="W523">
        <f>'[1]2026 Orders'!U524</f>
        <v>0</v>
      </c>
      <c r="X523">
        <f>'[1]2026 Orders'!V524</f>
        <v>0</v>
      </c>
      <c r="Y523">
        <f>'[1]2026 Orders'!W524</f>
        <v>0</v>
      </c>
      <c r="Z523">
        <f>'[1]2026 Orders'!X524</f>
        <v>0</v>
      </c>
      <c r="AC523" t="str">
        <f t="shared" si="16"/>
        <v/>
      </c>
      <c r="AD523" t="str">
        <f t="shared" si="17"/>
        <v/>
      </c>
    </row>
    <row r="524" spans="1:30" ht="33" hidden="1" customHeight="1" x14ac:dyDescent="0.3">
      <c r="A524">
        <f>'[1]2026 Orders'!A525</f>
        <v>0</v>
      </c>
      <c r="B524" s="14">
        <f>'[1]2026 Orders'!B525</f>
        <v>0</v>
      </c>
      <c r="C524" s="14">
        <f>'[1]2026 Orders'!C525</f>
        <v>0</v>
      </c>
      <c r="D524" s="14">
        <f>'[1]2026 Orders'!D525</f>
        <v>0</v>
      </c>
      <c r="E524" s="17" t="str" cm="1">
        <f t="array" ref="E524">IF(C524=0,"",
HYPERLINK(
"#'2026 Orders'!C"&amp;
MATCH(1,
('2026 Orders'!C:C=C524)*
('2026 Orders'!G:G=G524)*
('2026 Orders'!N:N=N524),
0),
"Open "&amp;C524
))</f>
        <v/>
      </c>
      <c r="F524" s="14">
        <f>'[1]2026 Orders'!F525</f>
        <v>0</v>
      </c>
      <c r="G524" s="14">
        <f>'[1]2026 Orders'!G525</f>
        <v>0</v>
      </c>
      <c r="H524" s="14" t="str" cm="1">
        <f t="array" ref="H524">IFERROR(_xlfn.TEXTJOIN("-",,INDEX(_xlfn.TEXTSPLIT(TableGive[[#This Row],[SKU]],"-"),{1,2})),"")</f>
        <v/>
      </c>
      <c r="I524" s="15" t="str">
        <f>IFERROR(_xlfn.TEXTAFTER(TableGive[[#This Row],[SKU]],"-",-1),"")</f>
        <v/>
      </c>
      <c r="J524" s="14">
        <f>'[1]2026 Orders'!H525</f>
        <v>0</v>
      </c>
      <c r="K524">
        <f>'[1]2026 Orders'!I525</f>
        <v>0</v>
      </c>
      <c r="L524">
        <f>'[1]2026 Orders'!J525</f>
        <v>0</v>
      </c>
      <c r="N524" s="10">
        <f>'[1]2026 Orders'!L525</f>
        <v>0</v>
      </c>
      <c r="O524">
        <f>'[1]2026 Orders'!M525</f>
        <v>0</v>
      </c>
      <c r="P524">
        <f>'[1]2026 Orders'!N525</f>
        <v>0</v>
      </c>
      <c r="Q524">
        <f>'[1]2026 Orders'!O525</f>
        <v>0</v>
      </c>
      <c r="R524">
        <f>'[1]2026 Orders'!P525</f>
        <v>0</v>
      </c>
      <c r="S524">
        <f>'[1]2026 Orders'!Q525</f>
        <v>0</v>
      </c>
      <c r="T524">
        <f>'[1]2026 Orders'!R525</f>
        <v>0</v>
      </c>
      <c r="U524">
        <f>'[1]2026 Orders'!S525</f>
        <v>0</v>
      </c>
      <c r="V524">
        <f>'[1]2026 Orders'!T525</f>
        <v>0</v>
      </c>
      <c r="W524">
        <f>'[1]2026 Orders'!U525</f>
        <v>0</v>
      </c>
      <c r="X524">
        <f>'[1]2026 Orders'!V525</f>
        <v>0</v>
      </c>
      <c r="Y524">
        <f>'[1]2026 Orders'!W525</f>
        <v>0</v>
      </c>
      <c r="Z524">
        <f>'[1]2026 Orders'!X525</f>
        <v>0</v>
      </c>
      <c r="AC524" t="str">
        <f t="shared" si="16"/>
        <v/>
      </c>
      <c r="AD524" t="str">
        <f t="shared" si="17"/>
        <v/>
      </c>
    </row>
    <row r="525" spans="1:30" ht="33" hidden="1" customHeight="1" x14ac:dyDescent="0.3">
      <c r="A525">
        <f>'[1]2026 Orders'!A526</f>
        <v>0</v>
      </c>
      <c r="B525" s="14">
        <f>'[1]2026 Orders'!B526</f>
        <v>0</v>
      </c>
      <c r="C525" s="14">
        <f>'[1]2026 Orders'!C526</f>
        <v>0</v>
      </c>
      <c r="D525" s="14">
        <f>'[1]2026 Orders'!D526</f>
        <v>0</v>
      </c>
      <c r="E525" s="17" t="str" cm="1">
        <f t="array" ref="E525">IF(C525=0,"",
HYPERLINK(
"#'2026 Orders'!C"&amp;
MATCH(1,
('2026 Orders'!C:C=C525)*
('2026 Orders'!G:G=G525)*
('2026 Orders'!N:N=N525),
0),
"Open "&amp;C525
))</f>
        <v/>
      </c>
      <c r="F525" s="14">
        <f>'[1]2026 Orders'!F526</f>
        <v>0</v>
      </c>
      <c r="G525" s="14">
        <f>'[1]2026 Orders'!G526</f>
        <v>0</v>
      </c>
      <c r="H525" s="14" t="str" cm="1">
        <f t="array" ref="H525">IFERROR(_xlfn.TEXTJOIN("-",,INDEX(_xlfn.TEXTSPLIT(TableGive[[#This Row],[SKU]],"-"),{1,2})),"")</f>
        <v/>
      </c>
      <c r="I525" s="15" t="str">
        <f>IFERROR(_xlfn.TEXTAFTER(TableGive[[#This Row],[SKU]],"-",-1),"")</f>
        <v/>
      </c>
      <c r="J525" s="14">
        <f>'[1]2026 Orders'!H526</f>
        <v>0</v>
      </c>
      <c r="K525">
        <f>'[1]2026 Orders'!I526</f>
        <v>0</v>
      </c>
      <c r="L525">
        <f>'[1]2026 Orders'!J526</f>
        <v>0</v>
      </c>
      <c r="N525" s="10">
        <f>'[1]2026 Orders'!L526</f>
        <v>0</v>
      </c>
      <c r="O525">
        <f>'[1]2026 Orders'!M526</f>
        <v>0</v>
      </c>
      <c r="P525">
        <f>'[1]2026 Orders'!N526</f>
        <v>0</v>
      </c>
      <c r="Q525">
        <f>'[1]2026 Orders'!O526</f>
        <v>0</v>
      </c>
      <c r="R525">
        <f>'[1]2026 Orders'!P526</f>
        <v>0</v>
      </c>
      <c r="S525">
        <f>'[1]2026 Orders'!Q526</f>
        <v>0</v>
      </c>
      <c r="T525">
        <f>'[1]2026 Orders'!R526</f>
        <v>0</v>
      </c>
      <c r="U525">
        <f>'[1]2026 Orders'!S526</f>
        <v>0</v>
      </c>
      <c r="V525">
        <f>'[1]2026 Orders'!T526</f>
        <v>0</v>
      </c>
      <c r="W525">
        <f>'[1]2026 Orders'!U526</f>
        <v>0</v>
      </c>
      <c r="X525">
        <f>'[1]2026 Orders'!V526</f>
        <v>0</v>
      </c>
      <c r="Y525">
        <f>'[1]2026 Orders'!W526</f>
        <v>0</v>
      </c>
      <c r="Z525">
        <f>'[1]2026 Orders'!X526</f>
        <v>0</v>
      </c>
      <c r="AC525" t="str">
        <f t="shared" si="16"/>
        <v/>
      </c>
      <c r="AD525" t="str">
        <f t="shared" si="17"/>
        <v/>
      </c>
    </row>
    <row r="526" spans="1:30" ht="33" hidden="1" customHeight="1" x14ac:dyDescent="0.3">
      <c r="A526">
        <f>'[1]2026 Orders'!A527</f>
        <v>0</v>
      </c>
      <c r="B526" s="14">
        <f>'[1]2026 Orders'!B527</f>
        <v>0</v>
      </c>
      <c r="C526" s="14">
        <f>'[1]2026 Orders'!C527</f>
        <v>0</v>
      </c>
      <c r="D526" s="14">
        <f>'[1]2026 Orders'!D527</f>
        <v>0</v>
      </c>
      <c r="E526" s="17" t="str" cm="1">
        <f t="array" ref="E526">IF(C526=0,"",
HYPERLINK(
"#'2026 Orders'!C"&amp;
MATCH(1,
('2026 Orders'!C:C=C526)*
('2026 Orders'!G:G=G526)*
('2026 Orders'!N:N=N526),
0),
"Open "&amp;C526
))</f>
        <v/>
      </c>
      <c r="F526" s="14">
        <f>'[1]2026 Orders'!F527</f>
        <v>0</v>
      </c>
      <c r="G526" s="14">
        <f>'[1]2026 Orders'!G527</f>
        <v>0</v>
      </c>
      <c r="H526" s="14" t="str" cm="1">
        <f t="array" ref="H526">IFERROR(_xlfn.TEXTJOIN("-",,INDEX(_xlfn.TEXTSPLIT(TableGive[[#This Row],[SKU]],"-"),{1,2})),"")</f>
        <v/>
      </c>
      <c r="I526" s="15" t="str">
        <f>IFERROR(_xlfn.TEXTAFTER(TableGive[[#This Row],[SKU]],"-",-1),"")</f>
        <v/>
      </c>
      <c r="J526" s="14">
        <f>'[1]2026 Orders'!H527</f>
        <v>0</v>
      </c>
      <c r="K526">
        <f>'[1]2026 Orders'!I527</f>
        <v>0</v>
      </c>
      <c r="L526">
        <f>'[1]2026 Orders'!J527</f>
        <v>0</v>
      </c>
      <c r="N526" s="10">
        <f>'[1]2026 Orders'!L527</f>
        <v>0</v>
      </c>
      <c r="O526">
        <f>'[1]2026 Orders'!M527</f>
        <v>0</v>
      </c>
      <c r="P526">
        <f>'[1]2026 Orders'!N527</f>
        <v>0</v>
      </c>
      <c r="Q526">
        <f>'[1]2026 Orders'!O527</f>
        <v>0</v>
      </c>
      <c r="R526">
        <f>'[1]2026 Orders'!P527</f>
        <v>0</v>
      </c>
      <c r="S526">
        <f>'[1]2026 Orders'!Q527</f>
        <v>0</v>
      </c>
      <c r="T526">
        <f>'[1]2026 Orders'!R527</f>
        <v>0</v>
      </c>
      <c r="U526">
        <f>'[1]2026 Orders'!S527</f>
        <v>0</v>
      </c>
      <c r="V526">
        <f>'[1]2026 Orders'!T527</f>
        <v>0</v>
      </c>
      <c r="W526">
        <f>'[1]2026 Orders'!U527</f>
        <v>0</v>
      </c>
      <c r="X526">
        <f>'[1]2026 Orders'!V527</f>
        <v>0</v>
      </c>
      <c r="Y526">
        <f>'[1]2026 Orders'!W527</f>
        <v>0</v>
      </c>
      <c r="Z526">
        <f>'[1]2026 Orders'!X527</f>
        <v>0</v>
      </c>
      <c r="AC526" t="str">
        <f t="shared" si="16"/>
        <v/>
      </c>
      <c r="AD526" t="str">
        <f t="shared" si="17"/>
        <v/>
      </c>
    </row>
    <row r="527" spans="1:30" ht="33" hidden="1" customHeight="1" x14ac:dyDescent="0.3">
      <c r="A527">
        <f>'[1]2026 Orders'!A528</f>
        <v>0</v>
      </c>
      <c r="B527" s="14">
        <f>'[1]2026 Orders'!B528</f>
        <v>0</v>
      </c>
      <c r="C527" s="14">
        <f>'[1]2026 Orders'!C528</f>
        <v>0</v>
      </c>
      <c r="D527" s="14">
        <f>'[1]2026 Orders'!D528</f>
        <v>0</v>
      </c>
      <c r="E527" s="17" t="str" cm="1">
        <f t="array" ref="E527">IF(C527=0,"",
HYPERLINK(
"#'2026 Orders'!C"&amp;
MATCH(1,
('2026 Orders'!C:C=C527)*
('2026 Orders'!G:G=G527)*
('2026 Orders'!N:N=N527),
0),
"Open "&amp;C527
))</f>
        <v/>
      </c>
      <c r="F527" s="14">
        <f>'[1]2026 Orders'!F528</f>
        <v>0</v>
      </c>
      <c r="G527" s="14">
        <f>'[1]2026 Orders'!G528</f>
        <v>0</v>
      </c>
      <c r="H527" s="14" t="str" cm="1">
        <f t="array" ref="H527">IFERROR(_xlfn.TEXTJOIN("-",,INDEX(_xlfn.TEXTSPLIT(TableGive[[#This Row],[SKU]],"-"),{1,2})),"")</f>
        <v/>
      </c>
      <c r="I527" s="15" t="str">
        <f>IFERROR(_xlfn.TEXTAFTER(TableGive[[#This Row],[SKU]],"-",-1),"")</f>
        <v/>
      </c>
      <c r="J527" s="14">
        <f>'[1]2026 Orders'!H528</f>
        <v>0</v>
      </c>
      <c r="K527">
        <f>'[1]2026 Orders'!I528</f>
        <v>0</v>
      </c>
      <c r="L527">
        <f>'[1]2026 Orders'!J528</f>
        <v>0</v>
      </c>
      <c r="N527" s="10">
        <f>'[1]2026 Orders'!L528</f>
        <v>0</v>
      </c>
      <c r="O527">
        <f>'[1]2026 Orders'!M528</f>
        <v>0</v>
      </c>
      <c r="P527">
        <f>'[1]2026 Orders'!N528</f>
        <v>0</v>
      </c>
      <c r="Q527">
        <f>'[1]2026 Orders'!O528</f>
        <v>0</v>
      </c>
      <c r="R527">
        <f>'[1]2026 Orders'!P528</f>
        <v>0</v>
      </c>
      <c r="S527">
        <f>'[1]2026 Orders'!Q528</f>
        <v>0</v>
      </c>
      <c r="T527">
        <f>'[1]2026 Orders'!R528</f>
        <v>0</v>
      </c>
      <c r="U527">
        <f>'[1]2026 Orders'!S528</f>
        <v>0</v>
      </c>
      <c r="V527">
        <f>'[1]2026 Orders'!T528</f>
        <v>0</v>
      </c>
      <c r="W527">
        <f>'[1]2026 Orders'!U528</f>
        <v>0</v>
      </c>
      <c r="X527">
        <f>'[1]2026 Orders'!V528</f>
        <v>0</v>
      </c>
      <c r="Y527">
        <f>'[1]2026 Orders'!W528</f>
        <v>0</v>
      </c>
      <c r="Z527">
        <f>'[1]2026 Orders'!X528</f>
        <v>0</v>
      </c>
      <c r="AC527" t="str">
        <f t="shared" si="16"/>
        <v/>
      </c>
      <c r="AD527" t="str">
        <f t="shared" si="17"/>
        <v/>
      </c>
    </row>
    <row r="528" spans="1:30" ht="33" hidden="1" customHeight="1" x14ac:dyDescent="0.3">
      <c r="A528">
        <f>'[1]2026 Orders'!A529</f>
        <v>0</v>
      </c>
      <c r="B528" s="14">
        <f>'[1]2026 Orders'!B529</f>
        <v>0</v>
      </c>
      <c r="C528" s="14">
        <f>'[1]2026 Orders'!C529</f>
        <v>0</v>
      </c>
      <c r="D528" s="14">
        <f>'[1]2026 Orders'!D529</f>
        <v>0</v>
      </c>
      <c r="E528" s="17" t="str" cm="1">
        <f t="array" ref="E528">IF(C528=0,"",
HYPERLINK(
"#'2026 Orders'!C"&amp;
MATCH(1,
('2026 Orders'!C:C=C528)*
('2026 Orders'!G:G=G528)*
('2026 Orders'!N:N=N528),
0),
"Open "&amp;C528
))</f>
        <v/>
      </c>
      <c r="F528" s="14">
        <f>'[1]2026 Orders'!F529</f>
        <v>0</v>
      </c>
      <c r="G528" s="14">
        <f>'[1]2026 Orders'!G529</f>
        <v>0</v>
      </c>
      <c r="H528" s="14" t="str" cm="1">
        <f t="array" ref="H528">IFERROR(_xlfn.TEXTJOIN("-",,INDEX(_xlfn.TEXTSPLIT(TableGive[[#This Row],[SKU]],"-"),{1,2})),"")</f>
        <v/>
      </c>
      <c r="I528" s="15" t="str">
        <f>IFERROR(_xlfn.TEXTAFTER(TableGive[[#This Row],[SKU]],"-",-1),"")</f>
        <v/>
      </c>
      <c r="J528" s="14">
        <f>'[1]2026 Orders'!H529</f>
        <v>0</v>
      </c>
      <c r="K528">
        <f>'[1]2026 Orders'!I529</f>
        <v>0</v>
      </c>
      <c r="L528">
        <f>'[1]2026 Orders'!J529</f>
        <v>0</v>
      </c>
      <c r="N528" s="10">
        <f>'[1]2026 Orders'!L529</f>
        <v>0</v>
      </c>
      <c r="O528">
        <f>'[1]2026 Orders'!M529</f>
        <v>0</v>
      </c>
      <c r="P528">
        <f>'[1]2026 Orders'!N529</f>
        <v>0</v>
      </c>
      <c r="Q528">
        <f>'[1]2026 Orders'!O529</f>
        <v>0</v>
      </c>
      <c r="R528">
        <f>'[1]2026 Orders'!P529</f>
        <v>0</v>
      </c>
      <c r="S528">
        <f>'[1]2026 Orders'!Q529</f>
        <v>0</v>
      </c>
      <c r="T528">
        <f>'[1]2026 Orders'!R529</f>
        <v>0</v>
      </c>
      <c r="U528">
        <f>'[1]2026 Orders'!S529</f>
        <v>0</v>
      </c>
      <c r="V528">
        <f>'[1]2026 Orders'!T529</f>
        <v>0</v>
      </c>
      <c r="W528">
        <f>'[1]2026 Orders'!U529</f>
        <v>0</v>
      </c>
      <c r="X528">
        <f>'[1]2026 Orders'!V529</f>
        <v>0</v>
      </c>
      <c r="Y528">
        <f>'[1]2026 Orders'!W529</f>
        <v>0</v>
      </c>
      <c r="Z528">
        <f>'[1]2026 Orders'!X529</f>
        <v>0</v>
      </c>
      <c r="AC528" t="str">
        <f t="shared" si="16"/>
        <v/>
      </c>
      <c r="AD528" t="str">
        <f t="shared" si="17"/>
        <v/>
      </c>
    </row>
    <row r="529" spans="1:30" ht="33" hidden="1" customHeight="1" x14ac:dyDescent="0.3">
      <c r="A529">
        <f>'[1]2026 Orders'!A530</f>
        <v>0</v>
      </c>
      <c r="B529" s="14">
        <f>'[1]2026 Orders'!B530</f>
        <v>0</v>
      </c>
      <c r="C529" s="14">
        <f>'[1]2026 Orders'!C530</f>
        <v>0</v>
      </c>
      <c r="D529" s="14">
        <f>'[1]2026 Orders'!D530</f>
        <v>0</v>
      </c>
      <c r="E529" s="17" t="str" cm="1">
        <f t="array" ref="E529">IF(C529=0,"",
HYPERLINK(
"#'2026 Orders'!C"&amp;
MATCH(1,
('2026 Orders'!C:C=C529)*
('2026 Orders'!G:G=G529)*
('2026 Orders'!N:N=N529),
0),
"Open "&amp;C529
))</f>
        <v/>
      </c>
      <c r="F529" s="14">
        <f>'[1]2026 Orders'!F530</f>
        <v>0</v>
      </c>
      <c r="G529" s="14">
        <f>'[1]2026 Orders'!G530</f>
        <v>0</v>
      </c>
      <c r="H529" s="14" t="str" cm="1">
        <f t="array" ref="H529">IFERROR(_xlfn.TEXTJOIN("-",,INDEX(_xlfn.TEXTSPLIT(TableGive[[#This Row],[SKU]],"-"),{1,2})),"")</f>
        <v/>
      </c>
      <c r="I529" s="15" t="str">
        <f>IFERROR(_xlfn.TEXTAFTER(TableGive[[#This Row],[SKU]],"-",-1),"")</f>
        <v/>
      </c>
      <c r="J529" s="14">
        <f>'[1]2026 Orders'!H530</f>
        <v>0</v>
      </c>
      <c r="K529">
        <f>'[1]2026 Orders'!I530</f>
        <v>0</v>
      </c>
      <c r="L529">
        <f>'[1]2026 Orders'!J530</f>
        <v>0</v>
      </c>
      <c r="N529" s="10">
        <f>'[1]2026 Orders'!L530</f>
        <v>0</v>
      </c>
      <c r="O529">
        <f>'[1]2026 Orders'!M530</f>
        <v>0</v>
      </c>
      <c r="P529">
        <f>'[1]2026 Orders'!N530</f>
        <v>0</v>
      </c>
      <c r="Q529">
        <f>'[1]2026 Orders'!O530</f>
        <v>0</v>
      </c>
      <c r="R529">
        <f>'[1]2026 Orders'!P530</f>
        <v>0</v>
      </c>
      <c r="S529">
        <f>'[1]2026 Orders'!Q530</f>
        <v>0</v>
      </c>
      <c r="T529">
        <f>'[1]2026 Orders'!R530</f>
        <v>0</v>
      </c>
      <c r="U529">
        <f>'[1]2026 Orders'!S530</f>
        <v>0</v>
      </c>
      <c r="V529">
        <f>'[1]2026 Orders'!T530</f>
        <v>0</v>
      </c>
      <c r="W529">
        <f>'[1]2026 Orders'!U530</f>
        <v>0</v>
      </c>
      <c r="X529">
        <f>'[1]2026 Orders'!V530</f>
        <v>0</v>
      </c>
      <c r="Y529">
        <f>'[1]2026 Orders'!W530</f>
        <v>0</v>
      </c>
      <c r="Z529">
        <f>'[1]2026 Orders'!X530</f>
        <v>0</v>
      </c>
      <c r="AC529" t="str">
        <f t="shared" si="16"/>
        <v/>
      </c>
      <c r="AD529" t="str">
        <f t="shared" si="17"/>
        <v/>
      </c>
    </row>
    <row r="530" spans="1:30" ht="33" hidden="1" customHeight="1" x14ac:dyDescent="0.3">
      <c r="A530">
        <f>'[1]2026 Orders'!A531</f>
        <v>0</v>
      </c>
      <c r="B530" s="14">
        <f>'[1]2026 Orders'!B531</f>
        <v>0</v>
      </c>
      <c r="C530" s="14">
        <f>'[1]2026 Orders'!C531</f>
        <v>0</v>
      </c>
      <c r="D530" s="14">
        <f>'[1]2026 Orders'!D531</f>
        <v>0</v>
      </c>
      <c r="E530" s="17" t="str" cm="1">
        <f t="array" ref="E530">IF(C530=0,"",
HYPERLINK(
"#'2026 Orders'!C"&amp;
MATCH(1,
('2026 Orders'!C:C=C530)*
('2026 Orders'!G:G=G530)*
('2026 Orders'!N:N=N530),
0),
"Open "&amp;C530
))</f>
        <v/>
      </c>
      <c r="F530" s="14">
        <f>'[1]2026 Orders'!F531</f>
        <v>0</v>
      </c>
      <c r="G530" s="14">
        <f>'[1]2026 Orders'!G531</f>
        <v>0</v>
      </c>
      <c r="H530" s="14" t="str" cm="1">
        <f t="array" ref="H530">IFERROR(_xlfn.TEXTJOIN("-",,INDEX(_xlfn.TEXTSPLIT(TableGive[[#This Row],[SKU]],"-"),{1,2})),"")</f>
        <v/>
      </c>
      <c r="I530" s="15" t="str">
        <f>IFERROR(_xlfn.TEXTAFTER(TableGive[[#This Row],[SKU]],"-",-1),"")</f>
        <v/>
      </c>
      <c r="J530" s="14">
        <f>'[1]2026 Orders'!H531</f>
        <v>0</v>
      </c>
      <c r="K530">
        <f>'[1]2026 Orders'!I531</f>
        <v>0</v>
      </c>
      <c r="L530">
        <f>'[1]2026 Orders'!J531</f>
        <v>0</v>
      </c>
      <c r="N530" s="10">
        <f>'[1]2026 Orders'!L531</f>
        <v>0</v>
      </c>
      <c r="O530">
        <f>'[1]2026 Orders'!M531</f>
        <v>0</v>
      </c>
      <c r="P530">
        <f>'[1]2026 Orders'!N531</f>
        <v>0</v>
      </c>
      <c r="Q530">
        <f>'[1]2026 Orders'!O531</f>
        <v>0</v>
      </c>
      <c r="R530">
        <f>'[1]2026 Orders'!P531</f>
        <v>0</v>
      </c>
      <c r="S530">
        <f>'[1]2026 Orders'!Q531</f>
        <v>0</v>
      </c>
      <c r="T530">
        <f>'[1]2026 Orders'!R531</f>
        <v>0</v>
      </c>
      <c r="U530">
        <f>'[1]2026 Orders'!S531</f>
        <v>0</v>
      </c>
      <c r="V530">
        <f>'[1]2026 Orders'!T531</f>
        <v>0</v>
      </c>
      <c r="W530">
        <f>'[1]2026 Orders'!U531</f>
        <v>0</v>
      </c>
      <c r="X530">
        <f>'[1]2026 Orders'!V531</f>
        <v>0</v>
      </c>
      <c r="Y530">
        <f>'[1]2026 Orders'!W531</f>
        <v>0</v>
      </c>
      <c r="Z530">
        <f>'[1]2026 Orders'!X531</f>
        <v>0</v>
      </c>
      <c r="AC530" t="str">
        <f t="shared" si="16"/>
        <v/>
      </c>
      <c r="AD530" t="str">
        <f t="shared" si="17"/>
        <v/>
      </c>
    </row>
    <row r="531" spans="1:30" ht="33" hidden="1" customHeight="1" x14ac:dyDescent="0.3">
      <c r="A531">
        <f>'[1]2026 Orders'!A532</f>
        <v>0</v>
      </c>
      <c r="B531" s="14">
        <f>'[1]2026 Orders'!B532</f>
        <v>0</v>
      </c>
      <c r="C531" s="14">
        <f>'[1]2026 Orders'!C532</f>
        <v>0</v>
      </c>
      <c r="D531" s="14">
        <f>'[1]2026 Orders'!D532</f>
        <v>0</v>
      </c>
      <c r="E531" s="17" t="str" cm="1">
        <f t="array" ref="E531">IF(C531=0,"",
HYPERLINK(
"#'2026 Orders'!C"&amp;
MATCH(1,
('2026 Orders'!C:C=C531)*
('2026 Orders'!G:G=G531)*
('2026 Orders'!N:N=N531),
0),
"Open "&amp;C531
))</f>
        <v/>
      </c>
      <c r="F531" s="14">
        <f>'[1]2026 Orders'!F532</f>
        <v>0</v>
      </c>
      <c r="G531" s="14">
        <f>'[1]2026 Orders'!G532</f>
        <v>0</v>
      </c>
      <c r="H531" s="14" t="str" cm="1">
        <f t="array" ref="H531">IFERROR(_xlfn.TEXTJOIN("-",,INDEX(_xlfn.TEXTSPLIT(TableGive[[#This Row],[SKU]],"-"),{1,2})),"")</f>
        <v/>
      </c>
      <c r="I531" s="15" t="str">
        <f>IFERROR(_xlfn.TEXTAFTER(TableGive[[#This Row],[SKU]],"-",-1),"")</f>
        <v/>
      </c>
      <c r="J531" s="14">
        <f>'[1]2026 Orders'!H532</f>
        <v>0</v>
      </c>
      <c r="K531">
        <f>'[1]2026 Orders'!I532</f>
        <v>0</v>
      </c>
      <c r="L531">
        <f>'[1]2026 Orders'!J532</f>
        <v>0</v>
      </c>
      <c r="N531" s="10">
        <f>'[1]2026 Orders'!L532</f>
        <v>0</v>
      </c>
      <c r="O531">
        <f>'[1]2026 Orders'!M532</f>
        <v>0</v>
      </c>
      <c r="P531">
        <f>'[1]2026 Orders'!N532</f>
        <v>0</v>
      </c>
      <c r="Q531">
        <f>'[1]2026 Orders'!O532</f>
        <v>0</v>
      </c>
      <c r="R531">
        <f>'[1]2026 Orders'!P532</f>
        <v>0</v>
      </c>
      <c r="S531">
        <f>'[1]2026 Orders'!Q532</f>
        <v>0</v>
      </c>
      <c r="T531">
        <f>'[1]2026 Orders'!R532</f>
        <v>0</v>
      </c>
      <c r="U531">
        <f>'[1]2026 Orders'!S532</f>
        <v>0</v>
      </c>
      <c r="V531">
        <f>'[1]2026 Orders'!T532</f>
        <v>0</v>
      </c>
      <c r="W531">
        <f>'[1]2026 Orders'!U532</f>
        <v>0</v>
      </c>
      <c r="X531">
        <f>'[1]2026 Orders'!V532</f>
        <v>0</v>
      </c>
      <c r="Y531">
        <f>'[1]2026 Orders'!W532</f>
        <v>0</v>
      </c>
      <c r="Z531">
        <f>'[1]2026 Orders'!X532</f>
        <v>0</v>
      </c>
      <c r="AC531" t="str">
        <f t="shared" si="16"/>
        <v/>
      </c>
      <c r="AD531" t="str">
        <f t="shared" si="17"/>
        <v/>
      </c>
    </row>
    <row r="532" spans="1:30" ht="33" hidden="1" customHeight="1" x14ac:dyDescent="0.3">
      <c r="A532">
        <f>'[1]2026 Orders'!A533</f>
        <v>0</v>
      </c>
      <c r="B532" s="14">
        <f>'[1]2026 Orders'!B533</f>
        <v>0</v>
      </c>
      <c r="C532" s="14">
        <f>'[1]2026 Orders'!C533</f>
        <v>0</v>
      </c>
      <c r="D532" s="14">
        <f>'[1]2026 Orders'!D533</f>
        <v>0</v>
      </c>
      <c r="E532" s="17" t="str" cm="1">
        <f t="array" ref="E532">IF(C532=0,"",
HYPERLINK(
"#'2026 Orders'!C"&amp;
MATCH(1,
('2026 Orders'!C:C=C532)*
('2026 Orders'!G:G=G532)*
('2026 Orders'!N:N=N532),
0),
"Open "&amp;C532
))</f>
        <v/>
      </c>
      <c r="F532" s="14">
        <f>'[1]2026 Orders'!F533</f>
        <v>0</v>
      </c>
      <c r="G532" s="14">
        <f>'[1]2026 Orders'!G533</f>
        <v>0</v>
      </c>
      <c r="H532" s="14" t="str" cm="1">
        <f t="array" ref="H532">IFERROR(_xlfn.TEXTJOIN("-",,INDEX(_xlfn.TEXTSPLIT(TableGive[[#This Row],[SKU]],"-"),{1,2})),"")</f>
        <v/>
      </c>
      <c r="I532" s="15" t="str">
        <f>IFERROR(_xlfn.TEXTAFTER(TableGive[[#This Row],[SKU]],"-",-1),"")</f>
        <v/>
      </c>
      <c r="J532" s="14">
        <f>'[1]2026 Orders'!H533</f>
        <v>0</v>
      </c>
      <c r="K532">
        <f>'[1]2026 Orders'!I533</f>
        <v>0</v>
      </c>
      <c r="L532">
        <f>'[1]2026 Orders'!J533</f>
        <v>0</v>
      </c>
      <c r="N532" s="10">
        <f>'[1]2026 Orders'!L533</f>
        <v>0</v>
      </c>
      <c r="O532">
        <f>'[1]2026 Orders'!M533</f>
        <v>0</v>
      </c>
      <c r="P532">
        <f>'[1]2026 Orders'!N533</f>
        <v>0</v>
      </c>
      <c r="Q532">
        <f>'[1]2026 Orders'!O533</f>
        <v>0</v>
      </c>
      <c r="R532">
        <f>'[1]2026 Orders'!P533</f>
        <v>0</v>
      </c>
      <c r="S532">
        <f>'[1]2026 Orders'!Q533</f>
        <v>0</v>
      </c>
      <c r="T532">
        <f>'[1]2026 Orders'!R533</f>
        <v>0</v>
      </c>
      <c r="U532">
        <f>'[1]2026 Orders'!S533</f>
        <v>0</v>
      </c>
      <c r="V532">
        <f>'[1]2026 Orders'!T533</f>
        <v>0</v>
      </c>
      <c r="W532">
        <f>'[1]2026 Orders'!U533</f>
        <v>0</v>
      </c>
      <c r="X532">
        <f>'[1]2026 Orders'!V533</f>
        <v>0</v>
      </c>
      <c r="Y532">
        <f>'[1]2026 Orders'!W533</f>
        <v>0</v>
      </c>
      <c r="Z532">
        <f>'[1]2026 Orders'!X533</f>
        <v>0</v>
      </c>
      <c r="AC532" t="str">
        <f t="shared" si="16"/>
        <v/>
      </c>
      <c r="AD532" t="str">
        <f t="shared" si="17"/>
        <v/>
      </c>
    </row>
    <row r="533" spans="1:30" ht="33" hidden="1" customHeight="1" x14ac:dyDescent="0.3">
      <c r="A533">
        <f>'[1]2026 Orders'!A534</f>
        <v>0</v>
      </c>
      <c r="B533" s="14">
        <f>'[1]2026 Orders'!B534</f>
        <v>0</v>
      </c>
      <c r="C533" s="14">
        <f>'[1]2026 Orders'!C534</f>
        <v>0</v>
      </c>
      <c r="D533" s="14">
        <f>'[1]2026 Orders'!D534</f>
        <v>0</v>
      </c>
      <c r="E533" s="17" t="str" cm="1">
        <f t="array" ref="E533">IF(C533=0,"",
HYPERLINK(
"#'2026 Orders'!C"&amp;
MATCH(1,
('2026 Orders'!C:C=C533)*
('2026 Orders'!G:G=G533)*
('2026 Orders'!N:N=N533),
0),
"Open "&amp;C533
))</f>
        <v/>
      </c>
      <c r="F533" s="14">
        <f>'[1]2026 Orders'!F534</f>
        <v>0</v>
      </c>
      <c r="G533" s="14">
        <f>'[1]2026 Orders'!G534</f>
        <v>0</v>
      </c>
      <c r="H533" s="14" t="str" cm="1">
        <f t="array" ref="H533">IFERROR(_xlfn.TEXTJOIN("-",,INDEX(_xlfn.TEXTSPLIT(TableGive[[#This Row],[SKU]],"-"),{1,2})),"")</f>
        <v/>
      </c>
      <c r="I533" s="15" t="str">
        <f>IFERROR(_xlfn.TEXTAFTER(TableGive[[#This Row],[SKU]],"-",-1),"")</f>
        <v/>
      </c>
      <c r="J533" s="14">
        <f>'[1]2026 Orders'!H534</f>
        <v>0</v>
      </c>
      <c r="K533">
        <f>'[1]2026 Orders'!I534</f>
        <v>0</v>
      </c>
      <c r="L533">
        <f>'[1]2026 Orders'!J534</f>
        <v>0</v>
      </c>
      <c r="N533" s="10">
        <f>'[1]2026 Orders'!L534</f>
        <v>0</v>
      </c>
      <c r="O533">
        <f>'[1]2026 Orders'!M534</f>
        <v>0</v>
      </c>
      <c r="P533">
        <f>'[1]2026 Orders'!N534</f>
        <v>0</v>
      </c>
      <c r="Q533">
        <f>'[1]2026 Orders'!O534</f>
        <v>0</v>
      </c>
      <c r="R533">
        <f>'[1]2026 Orders'!P534</f>
        <v>0</v>
      </c>
      <c r="S533">
        <f>'[1]2026 Orders'!Q534</f>
        <v>0</v>
      </c>
      <c r="T533">
        <f>'[1]2026 Orders'!R534</f>
        <v>0</v>
      </c>
      <c r="U533">
        <f>'[1]2026 Orders'!S534</f>
        <v>0</v>
      </c>
      <c r="V533">
        <f>'[1]2026 Orders'!T534</f>
        <v>0</v>
      </c>
      <c r="W533">
        <f>'[1]2026 Orders'!U534</f>
        <v>0</v>
      </c>
      <c r="X533">
        <f>'[1]2026 Orders'!V534</f>
        <v>0</v>
      </c>
      <c r="Y533">
        <f>'[1]2026 Orders'!W534</f>
        <v>0</v>
      </c>
      <c r="Z533">
        <f>'[1]2026 Orders'!X534</f>
        <v>0</v>
      </c>
      <c r="AC533" t="str">
        <f t="shared" si="16"/>
        <v/>
      </c>
      <c r="AD533" t="str">
        <f t="shared" si="17"/>
        <v/>
      </c>
    </row>
    <row r="534" spans="1:30" ht="33" hidden="1" customHeight="1" x14ac:dyDescent="0.3">
      <c r="A534">
        <f>'[1]2026 Orders'!A535</f>
        <v>0</v>
      </c>
      <c r="B534" s="14">
        <f>'[1]2026 Orders'!B535</f>
        <v>0</v>
      </c>
      <c r="C534" s="14">
        <f>'[1]2026 Orders'!C535</f>
        <v>0</v>
      </c>
      <c r="D534" s="14">
        <f>'[1]2026 Orders'!D535</f>
        <v>0</v>
      </c>
      <c r="E534" s="17" t="str" cm="1">
        <f t="array" ref="E534">IF(C534=0,"",
HYPERLINK(
"#'2026 Orders'!C"&amp;
MATCH(1,
('2026 Orders'!C:C=C534)*
('2026 Orders'!G:G=G534)*
('2026 Orders'!N:N=N534),
0),
"Open "&amp;C534
))</f>
        <v/>
      </c>
      <c r="F534" s="14">
        <f>'[1]2026 Orders'!F535</f>
        <v>0</v>
      </c>
      <c r="G534" s="14">
        <f>'[1]2026 Orders'!G535</f>
        <v>0</v>
      </c>
      <c r="H534" s="14" t="str" cm="1">
        <f t="array" ref="H534">IFERROR(_xlfn.TEXTJOIN("-",,INDEX(_xlfn.TEXTSPLIT(TableGive[[#This Row],[SKU]],"-"),{1,2})),"")</f>
        <v/>
      </c>
      <c r="I534" s="15" t="str">
        <f>IFERROR(_xlfn.TEXTAFTER(TableGive[[#This Row],[SKU]],"-",-1),"")</f>
        <v/>
      </c>
      <c r="J534" s="14">
        <f>'[1]2026 Orders'!H535</f>
        <v>0</v>
      </c>
      <c r="K534">
        <f>'[1]2026 Orders'!I535</f>
        <v>0</v>
      </c>
      <c r="L534">
        <f>'[1]2026 Orders'!J535</f>
        <v>0</v>
      </c>
      <c r="N534" s="10">
        <f>'[1]2026 Orders'!L535</f>
        <v>0</v>
      </c>
      <c r="O534">
        <f>'[1]2026 Orders'!M535</f>
        <v>0</v>
      </c>
      <c r="P534">
        <f>'[1]2026 Orders'!N535</f>
        <v>0</v>
      </c>
      <c r="Q534">
        <f>'[1]2026 Orders'!O535</f>
        <v>0</v>
      </c>
      <c r="R534">
        <f>'[1]2026 Orders'!P535</f>
        <v>0</v>
      </c>
      <c r="S534">
        <f>'[1]2026 Orders'!Q535</f>
        <v>0</v>
      </c>
      <c r="T534">
        <f>'[1]2026 Orders'!R535</f>
        <v>0</v>
      </c>
      <c r="U534">
        <f>'[1]2026 Orders'!S535</f>
        <v>0</v>
      </c>
      <c r="V534">
        <f>'[1]2026 Orders'!T535</f>
        <v>0</v>
      </c>
      <c r="W534">
        <f>'[1]2026 Orders'!U535</f>
        <v>0</v>
      </c>
      <c r="X534">
        <f>'[1]2026 Orders'!V535</f>
        <v>0</v>
      </c>
      <c r="Y534">
        <f>'[1]2026 Orders'!W535</f>
        <v>0</v>
      </c>
      <c r="Z534">
        <f>'[1]2026 Orders'!X535</f>
        <v>0</v>
      </c>
      <c r="AC534" t="str">
        <f t="shared" si="16"/>
        <v/>
      </c>
      <c r="AD534" t="str">
        <f t="shared" si="17"/>
        <v/>
      </c>
    </row>
    <row r="535" spans="1:30" ht="33" hidden="1" customHeight="1" x14ac:dyDescent="0.3">
      <c r="A535">
        <f>'[1]2026 Orders'!A536</f>
        <v>0</v>
      </c>
      <c r="B535" s="14">
        <f>'[1]2026 Orders'!B536</f>
        <v>0</v>
      </c>
      <c r="C535" s="14">
        <f>'[1]2026 Orders'!C536</f>
        <v>0</v>
      </c>
      <c r="D535" s="14">
        <f>'[1]2026 Orders'!D536</f>
        <v>0</v>
      </c>
      <c r="E535" s="17" t="str" cm="1">
        <f t="array" ref="E535">IF(C535=0,"",
HYPERLINK(
"#'2026 Orders'!C"&amp;
MATCH(1,
('2026 Orders'!C:C=C535)*
('2026 Orders'!G:G=G535)*
('2026 Orders'!N:N=N535),
0),
"Open "&amp;C535
))</f>
        <v/>
      </c>
      <c r="F535" s="14">
        <f>'[1]2026 Orders'!F536</f>
        <v>0</v>
      </c>
      <c r="G535" s="14">
        <f>'[1]2026 Orders'!G536</f>
        <v>0</v>
      </c>
      <c r="H535" s="14" t="str" cm="1">
        <f t="array" ref="H535">IFERROR(_xlfn.TEXTJOIN("-",,INDEX(_xlfn.TEXTSPLIT(TableGive[[#This Row],[SKU]],"-"),{1,2})),"")</f>
        <v/>
      </c>
      <c r="I535" s="15" t="str">
        <f>IFERROR(_xlfn.TEXTAFTER(TableGive[[#This Row],[SKU]],"-",-1),"")</f>
        <v/>
      </c>
      <c r="J535" s="14">
        <f>'[1]2026 Orders'!H536</f>
        <v>0</v>
      </c>
      <c r="K535">
        <f>'[1]2026 Orders'!I536</f>
        <v>0</v>
      </c>
      <c r="L535">
        <f>'[1]2026 Orders'!J536</f>
        <v>0</v>
      </c>
      <c r="N535" s="10">
        <f>'[1]2026 Orders'!L536</f>
        <v>0</v>
      </c>
      <c r="O535">
        <f>'[1]2026 Orders'!M536</f>
        <v>0</v>
      </c>
      <c r="P535">
        <f>'[1]2026 Orders'!N536</f>
        <v>0</v>
      </c>
      <c r="Q535">
        <f>'[1]2026 Orders'!O536</f>
        <v>0</v>
      </c>
      <c r="R535">
        <f>'[1]2026 Orders'!P536</f>
        <v>0</v>
      </c>
      <c r="S535">
        <f>'[1]2026 Orders'!Q536</f>
        <v>0</v>
      </c>
      <c r="T535">
        <f>'[1]2026 Orders'!R536</f>
        <v>0</v>
      </c>
      <c r="U535">
        <f>'[1]2026 Orders'!S536</f>
        <v>0</v>
      </c>
      <c r="V535">
        <f>'[1]2026 Orders'!T536</f>
        <v>0</v>
      </c>
      <c r="W535">
        <f>'[1]2026 Orders'!U536</f>
        <v>0</v>
      </c>
      <c r="X535">
        <f>'[1]2026 Orders'!V536</f>
        <v>0</v>
      </c>
      <c r="Y535">
        <f>'[1]2026 Orders'!W536</f>
        <v>0</v>
      </c>
      <c r="Z535">
        <f>'[1]2026 Orders'!X536</f>
        <v>0</v>
      </c>
      <c r="AC535" t="str">
        <f t="shared" si="16"/>
        <v/>
      </c>
      <c r="AD535" t="str">
        <f t="shared" si="17"/>
        <v/>
      </c>
    </row>
    <row r="536" spans="1:30" ht="33" hidden="1" customHeight="1" x14ac:dyDescent="0.3">
      <c r="A536">
        <f>'[1]2026 Orders'!A537</f>
        <v>0</v>
      </c>
      <c r="B536" s="14">
        <f>'[1]2026 Orders'!B537</f>
        <v>0</v>
      </c>
      <c r="C536" s="14">
        <f>'[1]2026 Orders'!C537</f>
        <v>0</v>
      </c>
      <c r="D536" s="14">
        <f>'[1]2026 Orders'!D537</f>
        <v>0</v>
      </c>
      <c r="E536" s="17" t="str" cm="1">
        <f t="array" ref="E536">IF(C536=0,"",
HYPERLINK(
"#'2026 Orders'!C"&amp;
MATCH(1,
('2026 Orders'!C:C=C536)*
('2026 Orders'!G:G=G536)*
('2026 Orders'!N:N=N536),
0),
"Open "&amp;C536
))</f>
        <v/>
      </c>
      <c r="F536" s="14">
        <f>'[1]2026 Orders'!F537</f>
        <v>0</v>
      </c>
      <c r="G536" s="14">
        <f>'[1]2026 Orders'!G537</f>
        <v>0</v>
      </c>
      <c r="H536" s="14" t="str" cm="1">
        <f t="array" ref="H536">IFERROR(_xlfn.TEXTJOIN("-",,INDEX(_xlfn.TEXTSPLIT(TableGive[[#This Row],[SKU]],"-"),{1,2})),"")</f>
        <v/>
      </c>
      <c r="I536" s="15" t="str">
        <f>IFERROR(_xlfn.TEXTAFTER(TableGive[[#This Row],[SKU]],"-",-1),"")</f>
        <v/>
      </c>
      <c r="J536" s="14">
        <f>'[1]2026 Orders'!H537</f>
        <v>0</v>
      </c>
      <c r="K536">
        <f>'[1]2026 Orders'!I537</f>
        <v>0</v>
      </c>
      <c r="L536">
        <f>'[1]2026 Orders'!J537</f>
        <v>0</v>
      </c>
      <c r="N536" s="10">
        <f>'[1]2026 Orders'!L537</f>
        <v>0</v>
      </c>
      <c r="O536">
        <f>'[1]2026 Orders'!M537</f>
        <v>0</v>
      </c>
      <c r="P536">
        <f>'[1]2026 Orders'!N537</f>
        <v>0</v>
      </c>
      <c r="Q536">
        <f>'[1]2026 Orders'!O537</f>
        <v>0</v>
      </c>
      <c r="R536">
        <f>'[1]2026 Orders'!P537</f>
        <v>0</v>
      </c>
      <c r="S536">
        <f>'[1]2026 Orders'!Q537</f>
        <v>0</v>
      </c>
      <c r="T536">
        <f>'[1]2026 Orders'!R537</f>
        <v>0</v>
      </c>
      <c r="U536">
        <f>'[1]2026 Orders'!S537</f>
        <v>0</v>
      </c>
      <c r="V536">
        <f>'[1]2026 Orders'!T537</f>
        <v>0</v>
      </c>
      <c r="W536">
        <f>'[1]2026 Orders'!U537</f>
        <v>0</v>
      </c>
      <c r="X536">
        <f>'[1]2026 Orders'!V537</f>
        <v>0</v>
      </c>
      <c r="Y536">
        <f>'[1]2026 Orders'!W537</f>
        <v>0</v>
      </c>
      <c r="Z536">
        <f>'[1]2026 Orders'!X537</f>
        <v>0</v>
      </c>
      <c r="AC536" t="str">
        <f t="shared" si="16"/>
        <v/>
      </c>
      <c r="AD536" t="str">
        <f t="shared" si="17"/>
        <v/>
      </c>
    </row>
    <row r="537" spans="1:30" ht="33" hidden="1" customHeight="1" x14ac:dyDescent="0.3">
      <c r="A537">
        <f>'[1]2026 Orders'!A538</f>
        <v>0</v>
      </c>
      <c r="B537" s="14">
        <f>'[1]2026 Orders'!B538</f>
        <v>0</v>
      </c>
      <c r="C537" s="14">
        <f>'[1]2026 Orders'!C538</f>
        <v>0</v>
      </c>
      <c r="D537" s="14">
        <f>'[1]2026 Orders'!D538</f>
        <v>0</v>
      </c>
      <c r="E537" s="17" t="str" cm="1">
        <f t="array" ref="E537">IF(C537=0,"",
HYPERLINK(
"#'2026 Orders'!C"&amp;
MATCH(1,
('2026 Orders'!C:C=C537)*
('2026 Orders'!G:G=G537)*
('2026 Orders'!N:N=N537),
0),
"Open "&amp;C537
))</f>
        <v/>
      </c>
      <c r="F537" s="14">
        <f>'[1]2026 Orders'!F538</f>
        <v>0</v>
      </c>
      <c r="G537" s="14">
        <f>'[1]2026 Orders'!G538</f>
        <v>0</v>
      </c>
      <c r="H537" s="14" t="str" cm="1">
        <f t="array" ref="H537">IFERROR(_xlfn.TEXTJOIN("-",,INDEX(_xlfn.TEXTSPLIT(TableGive[[#This Row],[SKU]],"-"),{1,2})),"")</f>
        <v/>
      </c>
      <c r="I537" s="15" t="str">
        <f>IFERROR(_xlfn.TEXTAFTER(TableGive[[#This Row],[SKU]],"-",-1),"")</f>
        <v/>
      </c>
      <c r="J537" s="14">
        <f>'[1]2026 Orders'!H538</f>
        <v>0</v>
      </c>
      <c r="K537">
        <f>'[1]2026 Orders'!I538</f>
        <v>0</v>
      </c>
      <c r="L537">
        <f>'[1]2026 Orders'!J538</f>
        <v>0</v>
      </c>
      <c r="N537" s="10">
        <f>'[1]2026 Orders'!L538</f>
        <v>0</v>
      </c>
      <c r="O537">
        <f>'[1]2026 Orders'!M538</f>
        <v>0</v>
      </c>
      <c r="P537">
        <f>'[1]2026 Orders'!N538</f>
        <v>0</v>
      </c>
      <c r="Q537">
        <f>'[1]2026 Orders'!O538</f>
        <v>0</v>
      </c>
      <c r="R537">
        <f>'[1]2026 Orders'!P538</f>
        <v>0</v>
      </c>
      <c r="S537">
        <f>'[1]2026 Orders'!Q538</f>
        <v>0</v>
      </c>
      <c r="T537">
        <f>'[1]2026 Orders'!R538</f>
        <v>0</v>
      </c>
      <c r="U537">
        <f>'[1]2026 Orders'!S538</f>
        <v>0</v>
      </c>
      <c r="V537">
        <f>'[1]2026 Orders'!T538</f>
        <v>0</v>
      </c>
      <c r="W537">
        <f>'[1]2026 Orders'!U538</f>
        <v>0</v>
      </c>
      <c r="X537">
        <f>'[1]2026 Orders'!V538</f>
        <v>0</v>
      </c>
      <c r="Y537">
        <f>'[1]2026 Orders'!W538</f>
        <v>0</v>
      </c>
      <c r="Z537">
        <f>'[1]2026 Orders'!X538</f>
        <v>0</v>
      </c>
      <c r="AC537" t="str">
        <f t="shared" si="16"/>
        <v/>
      </c>
      <c r="AD537" t="str">
        <f t="shared" si="17"/>
        <v/>
      </c>
    </row>
    <row r="538" spans="1:30" ht="33" hidden="1" customHeight="1" x14ac:dyDescent="0.3">
      <c r="A538">
        <f>'[1]2026 Orders'!A539</f>
        <v>0</v>
      </c>
      <c r="B538" s="14">
        <f>'[1]2026 Orders'!B539</f>
        <v>0</v>
      </c>
      <c r="C538" s="14">
        <f>'[1]2026 Orders'!C539</f>
        <v>0</v>
      </c>
      <c r="D538" s="14">
        <f>'[1]2026 Orders'!D539</f>
        <v>0</v>
      </c>
      <c r="E538" s="17" t="str" cm="1">
        <f t="array" ref="E538">IF(C538=0,"",
HYPERLINK(
"#'2026 Orders'!C"&amp;
MATCH(1,
('2026 Orders'!C:C=C538)*
('2026 Orders'!G:G=G538)*
('2026 Orders'!N:N=N538),
0),
"Open "&amp;C538
))</f>
        <v/>
      </c>
      <c r="F538" s="14">
        <f>'[1]2026 Orders'!F539</f>
        <v>0</v>
      </c>
      <c r="G538" s="14">
        <f>'[1]2026 Orders'!G539</f>
        <v>0</v>
      </c>
      <c r="H538" s="14" t="str" cm="1">
        <f t="array" ref="H538">IFERROR(_xlfn.TEXTJOIN("-",,INDEX(_xlfn.TEXTSPLIT(TableGive[[#This Row],[SKU]],"-"),{1,2})),"")</f>
        <v/>
      </c>
      <c r="I538" s="15" t="str">
        <f>IFERROR(_xlfn.TEXTAFTER(TableGive[[#This Row],[SKU]],"-",-1),"")</f>
        <v/>
      </c>
      <c r="J538" s="14">
        <f>'[1]2026 Orders'!H539</f>
        <v>0</v>
      </c>
      <c r="K538">
        <f>'[1]2026 Orders'!I539</f>
        <v>0</v>
      </c>
      <c r="L538">
        <f>'[1]2026 Orders'!J539</f>
        <v>0</v>
      </c>
      <c r="N538" s="10">
        <f>'[1]2026 Orders'!L539</f>
        <v>0</v>
      </c>
      <c r="O538">
        <f>'[1]2026 Orders'!M539</f>
        <v>0</v>
      </c>
      <c r="P538">
        <f>'[1]2026 Orders'!N539</f>
        <v>0</v>
      </c>
      <c r="Q538">
        <f>'[1]2026 Orders'!O539</f>
        <v>0</v>
      </c>
      <c r="R538">
        <f>'[1]2026 Orders'!P539</f>
        <v>0</v>
      </c>
      <c r="S538">
        <f>'[1]2026 Orders'!Q539</f>
        <v>0</v>
      </c>
      <c r="T538">
        <f>'[1]2026 Orders'!R539</f>
        <v>0</v>
      </c>
      <c r="U538">
        <f>'[1]2026 Orders'!S539</f>
        <v>0</v>
      </c>
      <c r="V538">
        <f>'[1]2026 Orders'!T539</f>
        <v>0</v>
      </c>
      <c r="W538">
        <f>'[1]2026 Orders'!U539</f>
        <v>0</v>
      </c>
      <c r="X538">
        <f>'[1]2026 Orders'!V539</f>
        <v>0</v>
      </c>
      <c r="Y538">
        <f>'[1]2026 Orders'!W539</f>
        <v>0</v>
      </c>
      <c r="Z538">
        <f>'[1]2026 Orders'!X539</f>
        <v>0</v>
      </c>
      <c r="AC538" t="str">
        <f t="shared" si="16"/>
        <v/>
      </c>
      <c r="AD538" t="str">
        <f t="shared" si="17"/>
        <v/>
      </c>
    </row>
    <row r="539" spans="1:30" ht="33" hidden="1" customHeight="1" x14ac:dyDescent="0.3">
      <c r="A539">
        <f>'[1]2026 Orders'!A540</f>
        <v>0</v>
      </c>
      <c r="B539" s="14">
        <f>'[1]2026 Orders'!B540</f>
        <v>0</v>
      </c>
      <c r="C539" s="14">
        <f>'[1]2026 Orders'!C540</f>
        <v>0</v>
      </c>
      <c r="D539" s="14">
        <f>'[1]2026 Orders'!D540</f>
        <v>0</v>
      </c>
      <c r="E539" s="17" t="str" cm="1">
        <f t="array" ref="E539">IF(C539=0,"",
HYPERLINK(
"#'2026 Orders'!C"&amp;
MATCH(1,
('2026 Orders'!C:C=C539)*
('2026 Orders'!G:G=G539)*
('2026 Orders'!N:N=N539),
0),
"Open "&amp;C539
))</f>
        <v/>
      </c>
      <c r="F539" s="14">
        <f>'[1]2026 Orders'!F540</f>
        <v>0</v>
      </c>
      <c r="G539" s="14">
        <f>'[1]2026 Orders'!G540</f>
        <v>0</v>
      </c>
      <c r="H539" s="14" t="str" cm="1">
        <f t="array" ref="H539">IFERROR(_xlfn.TEXTJOIN("-",,INDEX(_xlfn.TEXTSPLIT(TableGive[[#This Row],[SKU]],"-"),{1,2})),"")</f>
        <v/>
      </c>
      <c r="I539" s="15" t="str">
        <f>IFERROR(_xlfn.TEXTAFTER(TableGive[[#This Row],[SKU]],"-",-1),"")</f>
        <v/>
      </c>
      <c r="J539" s="14">
        <f>'[1]2026 Orders'!H540</f>
        <v>0</v>
      </c>
      <c r="K539">
        <f>'[1]2026 Orders'!I540</f>
        <v>0</v>
      </c>
      <c r="L539">
        <f>'[1]2026 Orders'!J540</f>
        <v>0</v>
      </c>
      <c r="N539" s="10">
        <f>'[1]2026 Orders'!L540</f>
        <v>0</v>
      </c>
      <c r="O539">
        <f>'[1]2026 Orders'!M540</f>
        <v>0</v>
      </c>
      <c r="P539">
        <f>'[1]2026 Orders'!N540</f>
        <v>0</v>
      </c>
      <c r="Q539">
        <f>'[1]2026 Orders'!O540</f>
        <v>0</v>
      </c>
      <c r="R539">
        <f>'[1]2026 Orders'!P540</f>
        <v>0</v>
      </c>
      <c r="S539">
        <f>'[1]2026 Orders'!Q540</f>
        <v>0</v>
      </c>
      <c r="T539">
        <f>'[1]2026 Orders'!R540</f>
        <v>0</v>
      </c>
      <c r="U539">
        <f>'[1]2026 Orders'!S540</f>
        <v>0</v>
      </c>
      <c r="V539">
        <f>'[1]2026 Orders'!T540</f>
        <v>0</v>
      </c>
      <c r="W539">
        <f>'[1]2026 Orders'!U540</f>
        <v>0</v>
      </c>
      <c r="X539">
        <f>'[1]2026 Orders'!V540</f>
        <v>0</v>
      </c>
      <c r="Y539">
        <f>'[1]2026 Orders'!W540</f>
        <v>0</v>
      </c>
      <c r="Z539">
        <f>'[1]2026 Orders'!X540</f>
        <v>0</v>
      </c>
      <c r="AC539" t="str">
        <f t="shared" si="16"/>
        <v/>
      </c>
      <c r="AD539" t="str">
        <f t="shared" si="17"/>
        <v/>
      </c>
    </row>
    <row r="540" spans="1:30" ht="33" hidden="1" customHeight="1" x14ac:dyDescent="0.3">
      <c r="A540">
        <f>'[1]2026 Orders'!A541</f>
        <v>0</v>
      </c>
      <c r="B540" s="14">
        <f>'[1]2026 Orders'!B541</f>
        <v>0</v>
      </c>
      <c r="C540" s="14">
        <f>'[1]2026 Orders'!C541</f>
        <v>0</v>
      </c>
      <c r="D540" s="14">
        <f>'[1]2026 Orders'!D541</f>
        <v>0</v>
      </c>
      <c r="E540" s="17" t="str" cm="1">
        <f t="array" ref="E540">IF(C540=0,"",
HYPERLINK(
"#'2026 Orders'!C"&amp;
MATCH(1,
('2026 Orders'!C:C=C540)*
('2026 Orders'!G:G=G540)*
('2026 Orders'!N:N=N540),
0),
"Open "&amp;C540
))</f>
        <v/>
      </c>
      <c r="F540" s="14">
        <f>'[1]2026 Orders'!F541</f>
        <v>0</v>
      </c>
      <c r="G540" s="14">
        <f>'[1]2026 Orders'!G541</f>
        <v>0</v>
      </c>
      <c r="H540" s="14" t="str" cm="1">
        <f t="array" ref="H540">IFERROR(_xlfn.TEXTJOIN("-",,INDEX(_xlfn.TEXTSPLIT(TableGive[[#This Row],[SKU]],"-"),{1,2})),"")</f>
        <v/>
      </c>
      <c r="I540" s="15" t="str">
        <f>IFERROR(_xlfn.TEXTAFTER(TableGive[[#This Row],[SKU]],"-",-1),"")</f>
        <v/>
      </c>
      <c r="J540" s="14">
        <f>'[1]2026 Orders'!H541</f>
        <v>0</v>
      </c>
      <c r="K540">
        <f>'[1]2026 Orders'!I541</f>
        <v>0</v>
      </c>
      <c r="L540">
        <f>'[1]2026 Orders'!J541</f>
        <v>0</v>
      </c>
      <c r="N540" s="10">
        <f>'[1]2026 Orders'!L541</f>
        <v>0</v>
      </c>
      <c r="O540">
        <f>'[1]2026 Orders'!M541</f>
        <v>0</v>
      </c>
      <c r="P540">
        <f>'[1]2026 Orders'!N541</f>
        <v>0</v>
      </c>
      <c r="Q540">
        <f>'[1]2026 Orders'!O541</f>
        <v>0</v>
      </c>
      <c r="R540">
        <f>'[1]2026 Orders'!P541</f>
        <v>0</v>
      </c>
      <c r="S540">
        <f>'[1]2026 Orders'!Q541</f>
        <v>0</v>
      </c>
      <c r="T540">
        <f>'[1]2026 Orders'!R541</f>
        <v>0</v>
      </c>
      <c r="U540">
        <f>'[1]2026 Orders'!S541</f>
        <v>0</v>
      </c>
      <c r="V540">
        <f>'[1]2026 Orders'!T541</f>
        <v>0</v>
      </c>
      <c r="W540">
        <f>'[1]2026 Orders'!U541</f>
        <v>0</v>
      </c>
      <c r="X540">
        <f>'[1]2026 Orders'!V541</f>
        <v>0</v>
      </c>
      <c r="Y540">
        <f>'[1]2026 Orders'!W541</f>
        <v>0</v>
      </c>
      <c r="Z540">
        <f>'[1]2026 Orders'!X541</f>
        <v>0</v>
      </c>
      <c r="AC540" t="str">
        <f t="shared" si="16"/>
        <v/>
      </c>
      <c r="AD540" t="str">
        <f t="shared" si="17"/>
        <v/>
      </c>
    </row>
    <row r="541" spans="1:30" ht="33" hidden="1" customHeight="1" x14ac:dyDescent="0.3">
      <c r="A541">
        <f>'[1]2026 Orders'!A542</f>
        <v>0</v>
      </c>
      <c r="B541" s="14">
        <f>'[1]2026 Orders'!B542</f>
        <v>0</v>
      </c>
      <c r="C541" s="14">
        <f>'[1]2026 Orders'!C542</f>
        <v>0</v>
      </c>
      <c r="D541" s="14">
        <f>'[1]2026 Orders'!D542</f>
        <v>0</v>
      </c>
      <c r="E541" s="17" t="str" cm="1">
        <f t="array" ref="E541">IF(C541=0,"",
HYPERLINK(
"#'2026 Orders'!C"&amp;
MATCH(1,
('2026 Orders'!C:C=C541)*
('2026 Orders'!G:G=G541)*
('2026 Orders'!N:N=N541),
0),
"Open "&amp;C541
))</f>
        <v/>
      </c>
      <c r="F541" s="14">
        <f>'[1]2026 Orders'!F542</f>
        <v>0</v>
      </c>
      <c r="G541" s="14">
        <f>'[1]2026 Orders'!G542</f>
        <v>0</v>
      </c>
      <c r="H541" s="14" t="str" cm="1">
        <f t="array" ref="H541">IFERROR(_xlfn.TEXTJOIN("-",,INDEX(_xlfn.TEXTSPLIT(TableGive[[#This Row],[SKU]],"-"),{1,2})),"")</f>
        <v/>
      </c>
      <c r="I541" s="15" t="str">
        <f>IFERROR(_xlfn.TEXTAFTER(TableGive[[#This Row],[SKU]],"-",-1),"")</f>
        <v/>
      </c>
      <c r="J541" s="14">
        <f>'[1]2026 Orders'!H542</f>
        <v>0</v>
      </c>
      <c r="K541">
        <f>'[1]2026 Orders'!I542</f>
        <v>0</v>
      </c>
      <c r="L541">
        <f>'[1]2026 Orders'!J542</f>
        <v>0</v>
      </c>
      <c r="N541" s="10">
        <f>'[1]2026 Orders'!L542</f>
        <v>0</v>
      </c>
      <c r="O541">
        <f>'[1]2026 Orders'!M542</f>
        <v>0</v>
      </c>
      <c r="P541">
        <f>'[1]2026 Orders'!N542</f>
        <v>0</v>
      </c>
      <c r="Q541">
        <f>'[1]2026 Orders'!O542</f>
        <v>0</v>
      </c>
      <c r="R541">
        <f>'[1]2026 Orders'!P542</f>
        <v>0</v>
      </c>
      <c r="S541">
        <f>'[1]2026 Orders'!Q542</f>
        <v>0</v>
      </c>
      <c r="T541">
        <f>'[1]2026 Orders'!R542</f>
        <v>0</v>
      </c>
      <c r="U541">
        <f>'[1]2026 Orders'!S542</f>
        <v>0</v>
      </c>
      <c r="V541">
        <f>'[1]2026 Orders'!T542</f>
        <v>0</v>
      </c>
      <c r="W541">
        <f>'[1]2026 Orders'!U542</f>
        <v>0</v>
      </c>
      <c r="X541">
        <f>'[1]2026 Orders'!V542</f>
        <v>0</v>
      </c>
      <c r="Y541">
        <f>'[1]2026 Orders'!W542</f>
        <v>0</v>
      </c>
      <c r="Z541">
        <f>'[1]2026 Orders'!X542</f>
        <v>0</v>
      </c>
      <c r="AC541" t="str">
        <f t="shared" si="16"/>
        <v/>
      </c>
      <c r="AD541" t="str">
        <f t="shared" si="17"/>
        <v/>
      </c>
    </row>
    <row r="542" spans="1:30" ht="33" hidden="1" customHeight="1" x14ac:dyDescent="0.3">
      <c r="A542">
        <f>'[1]2026 Orders'!A543</f>
        <v>0</v>
      </c>
      <c r="B542" s="14">
        <f>'[1]2026 Orders'!B543</f>
        <v>0</v>
      </c>
      <c r="C542" s="14">
        <f>'[1]2026 Orders'!C543</f>
        <v>0</v>
      </c>
      <c r="D542" s="14">
        <f>'[1]2026 Orders'!D543</f>
        <v>0</v>
      </c>
      <c r="E542" s="17" t="str" cm="1">
        <f t="array" ref="E542">IF(C542=0,"",
HYPERLINK(
"#'2026 Orders'!C"&amp;
MATCH(1,
('2026 Orders'!C:C=C542)*
('2026 Orders'!G:G=G542)*
('2026 Orders'!N:N=N542),
0),
"Open "&amp;C542
))</f>
        <v/>
      </c>
      <c r="F542" s="14">
        <f>'[1]2026 Orders'!F543</f>
        <v>0</v>
      </c>
      <c r="G542" s="14">
        <f>'[1]2026 Orders'!G543</f>
        <v>0</v>
      </c>
      <c r="H542" s="14" t="str" cm="1">
        <f t="array" ref="H542">IFERROR(_xlfn.TEXTJOIN("-",,INDEX(_xlfn.TEXTSPLIT(TableGive[[#This Row],[SKU]],"-"),{1,2})),"")</f>
        <v/>
      </c>
      <c r="I542" s="15" t="str">
        <f>IFERROR(_xlfn.TEXTAFTER(TableGive[[#This Row],[SKU]],"-",-1),"")</f>
        <v/>
      </c>
      <c r="J542" s="14">
        <f>'[1]2026 Orders'!H543</f>
        <v>0</v>
      </c>
      <c r="K542">
        <f>'[1]2026 Orders'!I543</f>
        <v>0</v>
      </c>
      <c r="L542">
        <f>'[1]2026 Orders'!J543</f>
        <v>0</v>
      </c>
      <c r="N542" s="10">
        <f>'[1]2026 Orders'!L543</f>
        <v>0</v>
      </c>
      <c r="O542">
        <f>'[1]2026 Orders'!M543</f>
        <v>0</v>
      </c>
      <c r="P542">
        <f>'[1]2026 Orders'!N543</f>
        <v>0</v>
      </c>
      <c r="Q542">
        <f>'[1]2026 Orders'!O543</f>
        <v>0</v>
      </c>
      <c r="R542">
        <f>'[1]2026 Orders'!P543</f>
        <v>0</v>
      </c>
      <c r="S542">
        <f>'[1]2026 Orders'!Q543</f>
        <v>0</v>
      </c>
      <c r="T542">
        <f>'[1]2026 Orders'!R543</f>
        <v>0</v>
      </c>
      <c r="U542">
        <f>'[1]2026 Orders'!S543</f>
        <v>0</v>
      </c>
      <c r="V542">
        <f>'[1]2026 Orders'!T543</f>
        <v>0</v>
      </c>
      <c r="W542">
        <f>'[1]2026 Orders'!U543</f>
        <v>0</v>
      </c>
      <c r="X542">
        <f>'[1]2026 Orders'!V543</f>
        <v>0</v>
      </c>
      <c r="Y542">
        <f>'[1]2026 Orders'!W543</f>
        <v>0</v>
      </c>
      <c r="Z542">
        <f>'[1]2026 Orders'!X543</f>
        <v>0</v>
      </c>
      <c r="AC542" t="str">
        <f t="shared" si="16"/>
        <v/>
      </c>
      <c r="AD542" t="str">
        <f t="shared" si="17"/>
        <v/>
      </c>
    </row>
    <row r="543" spans="1:30" ht="33" hidden="1" customHeight="1" x14ac:dyDescent="0.3">
      <c r="A543">
        <f>'[1]2026 Orders'!A544</f>
        <v>0</v>
      </c>
      <c r="B543" s="14">
        <f>'[1]2026 Orders'!B544</f>
        <v>0</v>
      </c>
      <c r="C543" s="14">
        <f>'[1]2026 Orders'!C544</f>
        <v>0</v>
      </c>
      <c r="D543" s="14">
        <f>'[1]2026 Orders'!D544</f>
        <v>0</v>
      </c>
      <c r="E543" s="17" t="str" cm="1">
        <f t="array" ref="E543">IF(C543=0,"",
HYPERLINK(
"#'2026 Orders'!C"&amp;
MATCH(1,
('2026 Orders'!C:C=C543)*
('2026 Orders'!G:G=G543)*
('2026 Orders'!N:N=N543),
0),
"Open "&amp;C543
))</f>
        <v/>
      </c>
      <c r="F543" s="14">
        <f>'[1]2026 Orders'!F544</f>
        <v>0</v>
      </c>
      <c r="G543" s="14">
        <f>'[1]2026 Orders'!G544</f>
        <v>0</v>
      </c>
      <c r="H543" s="14" t="str" cm="1">
        <f t="array" ref="H543">IFERROR(_xlfn.TEXTJOIN("-",,INDEX(_xlfn.TEXTSPLIT(TableGive[[#This Row],[SKU]],"-"),{1,2})),"")</f>
        <v/>
      </c>
      <c r="I543" s="15" t="str">
        <f>IFERROR(_xlfn.TEXTAFTER(TableGive[[#This Row],[SKU]],"-",-1),"")</f>
        <v/>
      </c>
      <c r="J543" s="14">
        <f>'[1]2026 Orders'!H544</f>
        <v>0</v>
      </c>
      <c r="K543">
        <f>'[1]2026 Orders'!I544</f>
        <v>0</v>
      </c>
      <c r="L543">
        <f>'[1]2026 Orders'!J544</f>
        <v>0</v>
      </c>
      <c r="N543" s="10">
        <f>'[1]2026 Orders'!L544</f>
        <v>0</v>
      </c>
      <c r="O543">
        <f>'[1]2026 Orders'!M544</f>
        <v>0</v>
      </c>
      <c r="P543">
        <f>'[1]2026 Orders'!N544</f>
        <v>0</v>
      </c>
      <c r="Q543">
        <f>'[1]2026 Orders'!O544</f>
        <v>0</v>
      </c>
      <c r="R543">
        <f>'[1]2026 Orders'!P544</f>
        <v>0</v>
      </c>
      <c r="S543">
        <f>'[1]2026 Orders'!Q544</f>
        <v>0</v>
      </c>
      <c r="T543">
        <f>'[1]2026 Orders'!R544</f>
        <v>0</v>
      </c>
      <c r="U543">
        <f>'[1]2026 Orders'!S544</f>
        <v>0</v>
      </c>
      <c r="V543">
        <f>'[1]2026 Orders'!T544</f>
        <v>0</v>
      </c>
      <c r="W543">
        <f>'[1]2026 Orders'!U544</f>
        <v>0</v>
      </c>
      <c r="X543">
        <f>'[1]2026 Orders'!V544</f>
        <v>0</v>
      </c>
      <c r="Y543">
        <f>'[1]2026 Orders'!W544</f>
        <v>0</v>
      </c>
      <c r="Z543">
        <f>'[1]2026 Orders'!X544</f>
        <v>0</v>
      </c>
      <c r="AC543" t="str">
        <f t="shared" si="16"/>
        <v/>
      </c>
      <c r="AD543" t="str">
        <f t="shared" si="17"/>
        <v/>
      </c>
    </row>
    <row r="544" spans="1:30" ht="33" hidden="1" customHeight="1" x14ac:dyDescent="0.3">
      <c r="A544">
        <f>'[1]2026 Orders'!A545</f>
        <v>0</v>
      </c>
      <c r="B544" s="14">
        <f>'[1]2026 Orders'!B545</f>
        <v>0</v>
      </c>
      <c r="C544" s="14">
        <f>'[1]2026 Orders'!C545</f>
        <v>0</v>
      </c>
      <c r="D544" s="14">
        <f>'[1]2026 Orders'!D545</f>
        <v>0</v>
      </c>
      <c r="E544" s="17" t="str" cm="1">
        <f t="array" ref="E544">IF(C544=0,"",
HYPERLINK(
"#'2026 Orders'!C"&amp;
MATCH(1,
('2026 Orders'!C:C=C544)*
('2026 Orders'!G:G=G544)*
('2026 Orders'!N:N=N544),
0),
"Open "&amp;C544
))</f>
        <v/>
      </c>
      <c r="F544" s="14">
        <f>'[1]2026 Orders'!F545</f>
        <v>0</v>
      </c>
      <c r="G544" s="14">
        <f>'[1]2026 Orders'!G545</f>
        <v>0</v>
      </c>
      <c r="H544" s="14" t="str" cm="1">
        <f t="array" ref="H544">IFERROR(_xlfn.TEXTJOIN("-",,INDEX(_xlfn.TEXTSPLIT(TableGive[[#This Row],[SKU]],"-"),{1,2})),"")</f>
        <v/>
      </c>
      <c r="I544" s="15" t="str">
        <f>IFERROR(_xlfn.TEXTAFTER(TableGive[[#This Row],[SKU]],"-",-1),"")</f>
        <v/>
      </c>
      <c r="J544" s="14">
        <f>'[1]2026 Orders'!H545</f>
        <v>0</v>
      </c>
      <c r="K544">
        <f>'[1]2026 Orders'!I545</f>
        <v>0</v>
      </c>
      <c r="L544">
        <f>'[1]2026 Orders'!J545</f>
        <v>0</v>
      </c>
      <c r="N544" s="10">
        <f>'[1]2026 Orders'!L545</f>
        <v>0</v>
      </c>
      <c r="O544">
        <f>'[1]2026 Orders'!M545</f>
        <v>0</v>
      </c>
      <c r="P544">
        <f>'[1]2026 Orders'!N545</f>
        <v>0</v>
      </c>
      <c r="Q544">
        <f>'[1]2026 Orders'!O545</f>
        <v>0</v>
      </c>
      <c r="R544">
        <f>'[1]2026 Orders'!P545</f>
        <v>0</v>
      </c>
      <c r="S544">
        <f>'[1]2026 Orders'!Q545</f>
        <v>0</v>
      </c>
      <c r="T544">
        <f>'[1]2026 Orders'!R545</f>
        <v>0</v>
      </c>
      <c r="U544">
        <f>'[1]2026 Orders'!S545</f>
        <v>0</v>
      </c>
      <c r="V544">
        <f>'[1]2026 Orders'!T545</f>
        <v>0</v>
      </c>
      <c r="W544">
        <f>'[1]2026 Orders'!U545</f>
        <v>0</v>
      </c>
      <c r="X544">
        <f>'[1]2026 Orders'!V545</f>
        <v>0</v>
      </c>
      <c r="Y544">
        <f>'[1]2026 Orders'!W545</f>
        <v>0</v>
      </c>
      <c r="Z544">
        <f>'[1]2026 Orders'!X545</f>
        <v>0</v>
      </c>
      <c r="AC544" t="str">
        <f t="shared" si="16"/>
        <v/>
      </c>
      <c r="AD544" t="str">
        <f t="shared" si="17"/>
        <v/>
      </c>
    </row>
    <row r="545" spans="1:30" ht="33" hidden="1" customHeight="1" x14ac:dyDescent="0.3">
      <c r="A545">
        <f>'[1]2026 Orders'!A546</f>
        <v>0</v>
      </c>
      <c r="B545" s="14">
        <f>'[1]2026 Orders'!B546</f>
        <v>0</v>
      </c>
      <c r="C545" s="14">
        <f>'[1]2026 Orders'!C546</f>
        <v>0</v>
      </c>
      <c r="D545" s="14">
        <f>'[1]2026 Orders'!D546</f>
        <v>0</v>
      </c>
      <c r="E545" s="17" t="str" cm="1">
        <f t="array" ref="E545">IF(C545=0,"",
HYPERLINK(
"#'2026 Orders'!C"&amp;
MATCH(1,
('2026 Orders'!C:C=C545)*
('2026 Orders'!G:G=G545)*
('2026 Orders'!N:N=N545),
0),
"Open "&amp;C545
))</f>
        <v/>
      </c>
      <c r="F545" s="14">
        <f>'[1]2026 Orders'!F546</f>
        <v>0</v>
      </c>
      <c r="G545" s="14">
        <f>'[1]2026 Orders'!G546</f>
        <v>0</v>
      </c>
      <c r="H545" s="14" t="str" cm="1">
        <f t="array" ref="H545">IFERROR(_xlfn.TEXTJOIN("-",,INDEX(_xlfn.TEXTSPLIT(TableGive[[#This Row],[SKU]],"-"),{1,2})),"")</f>
        <v/>
      </c>
      <c r="I545" s="15" t="str">
        <f>IFERROR(_xlfn.TEXTAFTER(TableGive[[#This Row],[SKU]],"-",-1),"")</f>
        <v/>
      </c>
      <c r="J545" s="14">
        <f>'[1]2026 Orders'!H546</f>
        <v>0</v>
      </c>
      <c r="K545">
        <f>'[1]2026 Orders'!I546</f>
        <v>0</v>
      </c>
      <c r="L545">
        <f>'[1]2026 Orders'!J546</f>
        <v>0</v>
      </c>
      <c r="N545" s="10">
        <f>'[1]2026 Orders'!L546</f>
        <v>0</v>
      </c>
      <c r="O545">
        <f>'[1]2026 Orders'!M546</f>
        <v>0</v>
      </c>
      <c r="P545">
        <f>'[1]2026 Orders'!N546</f>
        <v>0</v>
      </c>
      <c r="Q545">
        <f>'[1]2026 Orders'!O546</f>
        <v>0</v>
      </c>
      <c r="R545">
        <f>'[1]2026 Orders'!P546</f>
        <v>0</v>
      </c>
      <c r="S545">
        <f>'[1]2026 Orders'!Q546</f>
        <v>0</v>
      </c>
      <c r="T545">
        <f>'[1]2026 Orders'!R546</f>
        <v>0</v>
      </c>
      <c r="U545">
        <f>'[1]2026 Orders'!S546</f>
        <v>0</v>
      </c>
      <c r="V545">
        <f>'[1]2026 Orders'!T546</f>
        <v>0</v>
      </c>
      <c r="W545">
        <f>'[1]2026 Orders'!U546</f>
        <v>0</v>
      </c>
      <c r="X545">
        <f>'[1]2026 Orders'!V546</f>
        <v>0</v>
      </c>
      <c r="Y545">
        <f>'[1]2026 Orders'!W546</f>
        <v>0</v>
      </c>
      <c r="Z545">
        <f>'[1]2026 Orders'!X546</f>
        <v>0</v>
      </c>
      <c r="AC545" t="str">
        <f t="shared" si="16"/>
        <v/>
      </c>
      <c r="AD545" t="str">
        <f t="shared" si="17"/>
        <v/>
      </c>
    </row>
    <row r="546" spans="1:30" ht="33" hidden="1" customHeight="1" x14ac:dyDescent="0.3">
      <c r="A546">
        <f>'[1]2026 Orders'!A547</f>
        <v>0</v>
      </c>
      <c r="B546" s="14">
        <f>'[1]2026 Orders'!B547</f>
        <v>0</v>
      </c>
      <c r="C546" s="14">
        <f>'[1]2026 Orders'!C547</f>
        <v>0</v>
      </c>
      <c r="D546" s="14">
        <f>'[1]2026 Orders'!D547</f>
        <v>0</v>
      </c>
      <c r="E546" s="17" t="str" cm="1">
        <f t="array" ref="E546">IF(C546=0,"",
HYPERLINK(
"#'2026 Orders'!C"&amp;
MATCH(1,
('2026 Orders'!C:C=C546)*
('2026 Orders'!G:G=G546)*
('2026 Orders'!N:N=N546),
0),
"Open "&amp;C546
))</f>
        <v/>
      </c>
      <c r="F546" s="14">
        <f>'[1]2026 Orders'!F547</f>
        <v>0</v>
      </c>
      <c r="G546" s="14">
        <f>'[1]2026 Orders'!G547</f>
        <v>0</v>
      </c>
      <c r="H546" s="14" t="str" cm="1">
        <f t="array" ref="H546">IFERROR(_xlfn.TEXTJOIN("-",,INDEX(_xlfn.TEXTSPLIT(TableGive[[#This Row],[SKU]],"-"),{1,2})),"")</f>
        <v/>
      </c>
      <c r="I546" s="15" t="str">
        <f>IFERROR(_xlfn.TEXTAFTER(TableGive[[#This Row],[SKU]],"-",-1),"")</f>
        <v/>
      </c>
      <c r="J546" s="14">
        <f>'[1]2026 Orders'!H547</f>
        <v>0</v>
      </c>
      <c r="K546">
        <f>'[1]2026 Orders'!I547</f>
        <v>0</v>
      </c>
      <c r="L546">
        <f>'[1]2026 Orders'!J547</f>
        <v>0</v>
      </c>
      <c r="N546" s="10">
        <f>'[1]2026 Orders'!L547</f>
        <v>0</v>
      </c>
      <c r="O546">
        <f>'[1]2026 Orders'!M547</f>
        <v>0</v>
      </c>
      <c r="P546">
        <f>'[1]2026 Orders'!N547</f>
        <v>0</v>
      </c>
      <c r="Q546">
        <f>'[1]2026 Orders'!O547</f>
        <v>0</v>
      </c>
      <c r="R546">
        <f>'[1]2026 Orders'!P547</f>
        <v>0</v>
      </c>
      <c r="S546">
        <f>'[1]2026 Orders'!Q547</f>
        <v>0</v>
      </c>
      <c r="T546">
        <f>'[1]2026 Orders'!R547</f>
        <v>0</v>
      </c>
      <c r="U546">
        <f>'[1]2026 Orders'!S547</f>
        <v>0</v>
      </c>
      <c r="V546">
        <f>'[1]2026 Orders'!T547</f>
        <v>0</v>
      </c>
      <c r="W546">
        <f>'[1]2026 Orders'!U547</f>
        <v>0</v>
      </c>
      <c r="X546">
        <f>'[1]2026 Orders'!V547</f>
        <v>0</v>
      </c>
      <c r="Y546">
        <f>'[1]2026 Orders'!W547</f>
        <v>0</v>
      </c>
      <c r="Z546">
        <f>'[1]2026 Orders'!X547</f>
        <v>0</v>
      </c>
      <c r="AC546" t="str">
        <f t="shared" si="16"/>
        <v/>
      </c>
      <c r="AD546" t="str">
        <f t="shared" si="17"/>
        <v/>
      </c>
    </row>
    <row r="547" spans="1:30" ht="33" hidden="1" customHeight="1" x14ac:dyDescent="0.3">
      <c r="A547">
        <f>'[1]2026 Orders'!A548</f>
        <v>0</v>
      </c>
      <c r="B547" s="14">
        <f>'[1]2026 Orders'!B548</f>
        <v>0</v>
      </c>
      <c r="C547" s="14">
        <f>'[1]2026 Orders'!C548</f>
        <v>0</v>
      </c>
      <c r="D547" s="14">
        <f>'[1]2026 Orders'!D548</f>
        <v>0</v>
      </c>
      <c r="E547" s="17" t="str" cm="1">
        <f t="array" ref="E547">IF(C547=0,"",
HYPERLINK(
"#'2026 Orders'!C"&amp;
MATCH(1,
('2026 Orders'!C:C=C547)*
('2026 Orders'!G:G=G547)*
('2026 Orders'!N:N=N547),
0),
"Open "&amp;C547
))</f>
        <v/>
      </c>
      <c r="F547" s="14">
        <f>'[1]2026 Orders'!F548</f>
        <v>0</v>
      </c>
      <c r="G547" s="14">
        <f>'[1]2026 Orders'!G548</f>
        <v>0</v>
      </c>
      <c r="H547" s="14" t="str" cm="1">
        <f t="array" ref="H547">IFERROR(_xlfn.TEXTJOIN("-",,INDEX(_xlfn.TEXTSPLIT(TableGive[[#This Row],[SKU]],"-"),{1,2})),"")</f>
        <v/>
      </c>
      <c r="I547" s="15" t="str">
        <f>IFERROR(_xlfn.TEXTAFTER(TableGive[[#This Row],[SKU]],"-",-1),"")</f>
        <v/>
      </c>
      <c r="J547" s="14">
        <f>'[1]2026 Orders'!H548</f>
        <v>0</v>
      </c>
      <c r="K547">
        <f>'[1]2026 Orders'!I548</f>
        <v>0</v>
      </c>
      <c r="L547">
        <f>'[1]2026 Orders'!J548</f>
        <v>0</v>
      </c>
      <c r="N547" s="10">
        <f>'[1]2026 Orders'!L548</f>
        <v>0</v>
      </c>
      <c r="O547">
        <f>'[1]2026 Orders'!M548</f>
        <v>0</v>
      </c>
      <c r="P547">
        <f>'[1]2026 Orders'!N548</f>
        <v>0</v>
      </c>
      <c r="Q547">
        <f>'[1]2026 Orders'!O548</f>
        <v>0</v>
      </c>
      <c r="R547">
        <f>'[1]2026 Orders'!P548</f>
        <v>0</v>
      </c>
      <c r="S547">
        <f>'[1]2026 Orders'!Q548</f>
        <v>0</v>
      </c>
      <c r="T547">
        <f>'[1]2026 Orders'!R548</f>
        <v>0</v>
      </c>
      <c r="U547">
        <f>'[1]2026 Orders'!S548</f>
        <v>0</v>
      </c>
      <c r="V547">
        <f>'[1]2026 Orders'!T548</f>
        <v>0</v>
      </c>
      <c r="W547">
        <f>'[1]2026 Orders'!U548</f>
        <v>0</v>
      </c>
      <c r="X547">
        <f>'[1]2026 Orders'!V548</f>
        <v>0</v>
      </c>
      <c r="Y547">
        <f>'[1]2026 Orders'!W548</f>
        <v>0</v>
      </c>
      <c r="Z547">
        <f>'[1]2026 Orders'!X548</f>
        <v>0</v>
      </c>
      <c r="AC547" t="str">
        <f t="shared" si="16"/>
        <v/>
      </c>
      <c r="AD547" t="str">
        <f t="shared" si="17"/>
        <v/>
      </c>
    </row>
    <row r="548" spans="1:30" ht="33" hidden="1" customHeight="1" x14ac:dyDescent="0.3">
      <c r="A548">
        <f>'[1]2026 Orders'!A549</f>
        <v>0</v>
      </c>
      <c r="B548" s="14">
        <f>'[1]2026 Orders'!B549</f>
        <v>0</v>
      </c>
      <c r="C548" s="14">
        <f>'[1]2026 Orders'!C549</f>
        <v>0</v>
      </c>
      <c r="D548" s="14">
        <f>'[1]2026 Orders'!D549</f>
        <v>0</v>
      </c>
      <c r="E548" s="17" t="str" cm="1">
        <f t="array" ref="E548">IF(C548=0,"",
HYPERLINK(
"#'2026 Orders'!C"&amp;
MATCH(1,
('2026 Orders'!C:C=C548)*
('2026 Orders'!G:G=G548)*
('2026 Orders'!N:N=N548),
0),
"Open "&amp;C548
))</f>
        <v/>
      </c>
      <c r="F548" s="14">
        <f>'[1]2026 Orders'!F549</f>
        <v>0</v>
      </c>
      <c r="G548" s="14">
        <f>'[1]2026 Orders'!G549</f>
        <v>0</v>
      </c>
      <c r="H548" s="14" t="str" cm="1">
        <f t="array" ref="H548">IFERROR(_xlfn.TEXTJOIN("-",,INDEX(_xlfn.TEXTSPLIT(TableGive[[#This Row],[SKU]],"-"),{1,2})),"")</f>
        <v/>
      </c>
      <c r="I548" s="15" t="str">
        <f>IFERROR(_xlfn.TEXTAFTER(TableGive[[#This Row],[SKU]],"-",-1),"")</f>
        <v/>
      </c>
      <c r="J548" s="14">
        <f>'[1]2026 Orders'!H549</f>
        <v>0</v>
      </c>
      <c r="K548">
        <f>'[1]2026 Orders'!I549</f>
        <v>0</v>
      </c>
      <c r="L548">
        <f>'[1]2026 Orders'!J549</f>
        <v>0</v>
      </c>
      <c r="N548" s="10">
        <f>'[1]2026 Orders'!L549</f>
        <v>0</v>
      </c>
      <c r="O548">
        <f>'[1]2026 Orders'!M549</f>
        <v>0</v>
      </c>
      <c r="P548">
        <f>'[1]2026 Orders'!N549</f>
        <v>0</v>
      </c>
      <c r="Q548">
        <f>'[1]2026 Orders'!O549</f>
        <v>0</v>
      </c>
      <c r="R548">
        <f>'[1]2026 Orders'!P549</f>
        <v>0</v>
      </c>
      <c r="S548">
        <f>'[1]2026 Orders'!Q549</f>
        <v>0</v>
      </c>
      <c r="T548">
        <f>'[1]2026 Orders'!R549</f>
        <v>0</v>
      </c>
      <c r="U548">
        <f>'[1]2026 Orders'!S549</f>
        <v>0</v>
      </c>
      <c r="V548">
        <f>'[1]2026 Orders'!T549</f>
        <v>0</v>
      </c>
      <c r="W548">
        <f>'[1]2026 Orders'!U549</f>
        <v>0</v>
      </c>
      <c r="X548">
        <f>'[1]2026 Orders'!V549</f>
        <v>0</v>
      </c>
      <c r="Y548">
        <f>'[1]2026 Orders'!W549</f>
        <v>0</v>
      </c>
      <c r="Z548">
        <f>'[1]2026 Orders'!X549</f>
        <v>0</v>
      </c>
      <c r="AC548" t="str">
        <f t="shared" si="16"/>
        <v/>
      </c>
      <c r="AD548" t="str">
        <f t="shared" si="17"/>
        <v/>
      </c>
    </row>
    <row r="549" spans="1:30" ht="33" hidden="1" customHeight="1" x14ac:dyDescent="0.3">
      <c r="A549">
        <f>'[1]2026 Orders'!A550</f>
        <v>0</v>
      </c>
      <c r="B549" s="14">
        <f>'[1]2026 Orders'!B550</f>
        <v>0</v>
      </c>
      <c r="C549" s="14">
        <f>'[1]2026 Orders'!C550</f>
        <v>0</v>
      </c>
      <c r="D549" s="14">
        <f>'[1]2026 Orders'!D550</f>
        <v>0</v>
      </c>
      <c r="E549" s="17" t="str" cm="1">
        <f t="array" ref="E549">IF(C549=0,"",
HYPERLINK(
"#'2026 Orders'!C"&amp;
MATCH(1,
('2026 Orders'!C:C=C549)*
('2026 Orders'!G:G=G549)*
('2026 Orders'!N:N=N549),
0),
"Open "&amp;C549
))</f>
        <v/>
      </c>
      <c r="F549" s="14">
        <f>'[1]2026 Orders'!F550</f>
        <v>0</v>
      </c>
      <c r="G549" s="14">
        <f>'[1]2026 Orders'!G550</f>
        <v>0</v>
      </c>
      <c r="H549" s="14" t="str" cm="1">
        <f t="array" ref="H549">IFERROR(_xlfn.TEXTJOIN("-",,INDEX(_xlfn.TEXTSPLIT(TableGive[[#This Row],[SKU]],"-"),{1,2})),"")</f>
        <v/>
      </c>
      <c r="I549" s="15" t="str">
        <f>IFERROR(_xlfn.TEXTAFTER(TableGive[[#This Row],[SKU]],"-",-1),"")</f>
        <v/>
      </c>
      <c r="J549" s="14">
        <f>'[1]2026 Orders'!H550</f>
        <v>0</v>
      </c>
      <c r="K549">
        <f>'[1]2026 Orders'!I550</f>
        <v>0</v>
      </c>
      <c r="L549">
        <f>'[1]2026 Orders'!J550</f>
        <v>0</v>
      </c>
      <c r="N549" s="10">
        <f>'[1]2026 Orders'!L550</f>
        <v>0</v>
      </c>
      <c r="O549">
        <f>'[1]2026 Orders'!M550</f>
        <v>0</v>
      </c>
      <c r="P549">
        <f>'[1]2026 Orders'!N550</f>
        <v>0</v>
      </c>
      <c r="Q549">
        <f>'[1]2026 Orders'!O550</f>
        <v>0</v>
      </c>
      <c r="R549">
        <f>'[1]2026 Orders'!P550</f>
        <v>0</v>
      </c>
      <c r="S549">
        <f>'[1]2026 Orders'!Q550</f>
        <v>0</v>
      </c>
      <c r="T549">
        <f>'[1]2026 Orders'!R550</f>
        <v>0</v>
      </c>
      <c r="U549">
        <f>'[1]2026 Orders'!S550</f>
        <v>0</v>
      </c>
      <c r="V549">
        <f>'[1]2026 Orders'!T550</f>
        <v>0</v>
      </c>
      <c r="W549">
        <f>'[1]2026 Orders'!U550</f>
        <v>0</v>
      </c>
      <c r="X549">
        <f>'[1]2026 Orders'!V550</f>
        <v>0</v>
      </c>
      <c r="Y549">
        <f>'[1]2026 Orders'!W550</f>
        <v>0</v>
      </c>
      <c r="Z549">
        <f>'[1]2026 Orders'!X550</f>
        <v>0</v>
      </c>
      <c r="AC549" t="str">
        <f t="shared" si="16"/>
        <v/>
      </c>
      <c r="AD549" t="str">
        <f t="shared" si="17"/>
        <v/>
      </c>
    </row>
    <row r="550" spans="1:30" ht="33" hidden="1" customHeight="1" x14ac:dyDescent="0.3">
      <c r="A550">
        <f>'[1]2026 Orders'!A551</f>
        <v>0</v>
      </c>
      <c r="B550" s="14">
        <f>'[1]2026 Orders'!B551</f>
        <v>0</v>
      </c>
      <c r="C550" s="14">
        <f>'[1]2026 Orders'!C551</f>
        <v>0</v>
      </c>
      <c r="D550" s="14">
        <f>'[1]2026 Orders'!D551</f>
        <v>0</v>
      </c>
      <c r="E550" s="17" t="str" cm="1">
        <f t="array" ref="E550">IF(C550=0,"",
HYPERLINK(
"#'2026 Orders'!C"&amp;
MATCH(1,
('2026 Orders'!C:C=C550)*
('2026 Orders'!G:G=G550)*
('2026 Orders'!N:N=N550),
0),
"Open "&amp;C550
))</f>
        <v/>
      </c>
      <c r="F550" s="14">
        <f>'[1]2026 Orders'!F551</f>
        <v>0</v>
      </c>
      <c r="G550" s="14">
        <f>'[1]2026 Orders'!G551</f>
        <v>0</v>
      </c>
      <c r="H550" s="14" t="str" cm="1">
        <f t="array" ref="H550">IFERROR(_xlfn.TEXTJOIN("-",,INDEX(_xlfn.TEXTSPLIT(TableGive[[#This Row],[SKU]],"-"),{1,2})),"")</f>
        <v/>
      </c>
      <c r="I550" s="15" t="str">
        <f>IFERROR(_xlfn.TEXTAFTER(TableGive[[#This Row],[SKU]],"-",-1),"")</f>
        <v/>
      </c>
      <c r="J550" s="14">
        <f>'[1]2026 Orders'!H551</f>
        <v>0</v>
      </c>
      <c r="K550">
        <f>'[1]2026 Orders'!I551</f>
        <v>0</v>
      </c>
      <c r="L550">
        <f>'[1]2026 Orders'!J551</f>
        <v>0</v>
      </c>
      <c r="N550" s="10">
        <f>'[1]2026 Orders'!L551</f>
        <v>0</v>
      </c>
      <c r="O550">
        <f>'[1]2026 Orders'!M551</f>
        <v>0</v>
      </c>
      <c r="P550">
        <f>'[1]2026 Orders'!N551</f>
        <v>0</v>
      </c>
      <c r="Q550">
        <f>'[1]2026 Orders'!O551</f>
        <v>0</v>
      </c>
      <c r="R550">
        <f>'[1]2026 Orders'!P551</f>
        <v>0</v>
      </c>
      <c r="S550">
        <f>'[1]2026 Orders'!Q551</f>
        <v>0</v>
      </c>
      <c r="T550">
        <f>'[1]2026 Orders'!R551</f>
        <v>0</v>
      </c>
      <c r="U550">
        <f>'[1]2026 Orders'!S551</f>
        <v>0</v>
      </c>
      <c r="V550">
        <f>'[1]2026 Orders'!T551</f>
        <v>0</v>
      </c>
      <c r="W550">
        <f>'[1]2026 Orders'!U551</f>
        <v>0</v>
      </c>
      <c r="X550">
        <f>'[1]2026 Orders'!V551</f>
        <v>0</v>
      </c>
      <c r="Y550">
        <f>'[1]2026 Orders'!W551</f>
        <v>0</v>
      </c>
      <c r="Z550">
        <f>'[1]2026 Orders'!X551</f>
        <v>0</v>
      </c>
      <c r="AC550" t="str">
        <f t="shared" si="16"/>
        <v/>
      </c>
      <c r="AD550" t="str">
        <f t="shared" si="17"/>
        <v/>
      </c>
    </row>
    <row r="551" spans="1:30" ht="33" hidden="1" customHeight="1" x14ac:dyDescent="0.3">
      <c r="A551">
        <f>'[1]2026 Orders'!A552</f>
        <v>0</v>
      </c>
      <c r="B551" s="14">
        <f>'[1]2026 Orders'!B552</f>
        <v>0</v>
      </c>
      <c r="C551" s="14">
        <f>'[1]2026 Orders'!C552</f>
        <v>0</v>
      </c>
      <c r="D551" s="14">
        <f>'[1]2026 Orders'!D552</f>
        <v>0</v>
      </c>
      <c r="E551" s="17" t="str" cm="1">
        <f t="array" ref="E551">IF(C551=0,"",
HYPERLINK(
"#'2026 Orders'!C"&amp;
MATCH(1,
('2026 Orders'!C:C=C551)*
('2026 Orders'!G:G=G551)*
('2026 Orders'!N:N=N551),
0),
"Open "&amp;C551
))</f>
        <v/>
      </c>
      <c r="F551" s="14">
        <f>'[1]2026 Orders'!F552</f>
        <v>0</v>
      </c>
      <c r="G551" s="14">
        <f>'[1]2026 Orders'!G552</f>
        <v>0</v>
      </c>
      <c r="H551" s="14" t="str" cm="1">
        <f t="array" ref="H551">IFERROR(_xlfn.TEXTJOIN("-",,INDEX(_xlfn.TEXTSPLIT(TableGive[[#This Row],[SKU]],"-"),{1,2})),"")</f>
        <v/>
      </c>
      <c r="I551" s="15" t="str">
        <f>IFERROR(_xlfn.TEXTAFTER(TableGive[[#This Row],[SKU]],"-",-1),"")</f>
        <v/>
      </c>
      <c r="J551" s="14">
        <f>'[1]2026 Orders'!H552</f>
        <v>0</v>
      </c>
      <c r="K551">
        <f>'[1]2026 Orders'!I552</f>
        <v>0</v>
      </c>
      <c r="L551">
        <f>'[1]2026 Orders'!J552</f>
        <v>0</v>
      </c>
      <c r="N551" s="10">
        <f>'[1]2026 Orders'!L552</f>
        <v>0</v>
      </c>
      <c r="O551">
        <f>'[1]2026 Orders'!M552</f>
        <v>0</v>
      </c>
      <c r="P551">
        <f>'[1]2026 Orders'!N552</f>
        <v>0</v>
      </c>
      <c r="Q551">
        <f>'[1]2026 Orders'!O552</f>
        <v>0</v>
      </c>
      <c r="R551">
        <f>'[1]2026 Orders'!P552</f>
        <v>0</v>
      </c>
      <c r="S551">
        <f>'[1]2026 Orders'!Q552</f>
        <v>0</v>
      </c>
      <c r="T551">
        <f>'[1]2026 Orders'!R552</f>
        <v>0</v>
      </c>
      <c r="U551">
        <f>'[1]2026 Orders'!S552</f>
        <v>0</v>
      </c>
      <c r="V551">
        <f>'[1]2026 Orders'!T552</f>
        <v>0</v>
      </c>
      <c r="W551">
        <f>'[1]2026 Orders'!U552</f>
        <v>0</v>
      </c>
      <c r="X551">
        <f>'[1]2026 Orders'!V552</f>
        <v>0</v>
      </c>
      <c r="Y551">
        <f>'[1]2026 Orders'!W552</f>
        <v>0</v>
      </c>
      <c r="Z551">
        <f>'[1]2026 Orders'!X552</f>
        <v>0</v>
      </c>
      <c r="AC551" t="str">
        <f t="shared" si="16"/>
        <v/>
      </c>
      <c r="AD551" t="str">
        <f t="shared" si="17"/>
        <v/>
      </c>
    </row>
    <row r="552" spans="1:30" ht="33" hidden="1" customHeight="1" x14ac:dyDescent="0.3">
      <c r="A552">
        <f>'[1]2026 Orders'!A553</f>
        <v>0</v>
      </c>
      <c r="B552" s="14">
        <f>'[1]2026 Orders'!B553</f>
        <v>0</v>
      </c>
      <c r="C552" s="14">
        <f>'[1]2026 Orders'!C553</f>
        <v>0</v>
      </c>
      <c r="D552" s="14">
        <f>'[1]2026 Orders'!D553</f>
        <v>0</v>
      </c>
      <c r="E552" s="17" t="str" cm="1">
        <f t="array" ref="E552">IF(C552=0,"",
HYPERLINK(
"#'2026 Orders'!C"&amp;
MATCH(1,
('2026 Orders'!C:C=C552)*
('2026 Orders'!G:G=G552)*
('2026 Orders'!N:N=N552),
0),
"Open "&amp;C552
))</f>
        <v/>
      </c>
      <c r="F552" s="14">
        <f>'[1]2026 Orders'!F553</f>
        <v>0</v>
      </c>
      <c r="G552" s="14">
        <f>'[1]2026 Orders'!G553</f>
        <v>0</v>
      </c>
      <c r="H552" s="14" t="str" cm="1">
        <f t="array" ref="H552">IFERROR(_xlfn.TEXTJOIN("-",,INDEX(_xlfn.TEXTSPLIT(TableGive[[#This Row],[SKU]],"-"),{1,2})),"")</f>
        <v/>
      </c>
      <c r="I552" s="15" t="str">
        <f>IFERROR(_xlfn.TEXTAFTER(TableGive[[#This Row],[SKU]],"-",-1),"")</f>
        <v/>
      </c>
      <c r="J552" s="14">
        <f>'[1]2026 Orders'!H553</f>
        <v>0</v>
      </c>
      <c r="K552">
        <f>'[1]2026 Orders'!I553</f>
        <v>0</v>
      </c>
      <c r="L552">
        <f>'[1]2026 Orders'!J553</f>
        <v>0</v>
      </c>
      <c r="N552" s="10">
        <f>'[1]2026 Orders'!L553</f>
        <v>0</v>
      </c>
      <c r="O552">
        <f>'[1]2026 Orders'!M553</f>
        <v>0</v>
      </c>
      <c r="P552">
        <f>'[1]2026 Orders'!N553</f>
        <v>0</v>
      </c>
      <c r="Q552">
        <f>'[1]2026 Orders'!O553</f>
        <v>0</v>
      </c>
      <c r="R552">
        <f>'[1]2026 Orders'!P553</f>
        <v>0</v>
      </c>
      <c r="S552">
        <f>'[1]2026 Orders'!Q553</f>
        <v>0</v>
      </c>
      <c r="T552">
        <f>'[1]2026 Orders'!R553</f>
        <v>0</v>
      </c>
      <c r="U552">
        <f>'[1]2026 Orders'!S553</f>
        <v>0</v>
      </c>
      <c r="V552">
        <f>'[1]2026 Orders'!T553</f>
        <v>0</v>
      </c>
      <c r="W552">
        <f>'[1]2026 Orders'!U553</f>
        <v>0</v>
      </c>
      <c r="X552">
        <f>'[1]2026 Orders'!V553</f>
        <v>0</v>
      </c>
      <c r="Y552">
        <f>'[1]2026 Orders'!W553</f>
        <v>0</v>
      </c>
      <c r="Z552">
        <f>'[1]2026 Orders'!X553</f>
        <v>0</v>
      </c>
      <c r="AC552" t="str">
        <f t="shared" si="16"/>
        <v/>
      </c>
      <c r="AD552" t="str">
        <f t="shared" si="17"/>
        <v/>
      </c>
    </row>
    <row r="553" spans="1:30" ht="33" hidden="1" customHeight="1" x14ac:dyDescent="0.3">
      <c r="A553">
        <f>'[1]2026 Orders'!A554</f>
        <v>0</v>
      </c>
      <c r="B553" s="14">
        <f>'[1]2026 Orders'!B554</f>
        <v>0</v>
      </c>
      <c r="C553" s="14">
        <f>'[1]2026 Orders'!C554</f>
        <v>0</v>
      </c>
      <c r="D553" s="14">
        <f>'[1]2026 Orders'!D554</f>
        <v>0</v>
      </c>
      <c r="E553" s="17" t="str" cm="1">
        <f t="array" ref="E553">IF(C553=0,"",
HYPERLINK(
"#'2026 Orders'!C"&amp;
MATCH(1,
('2026 Orders'!C:C=C553)*
('2026 Orders'!G:G=G553)*
('2026 Orders'!N:N=N553),
0),
"Open "&amp;C553
))</f>
        <v/>
      </c>
      <c r="F553" s="14">
        <f>'[1]2026 Orders'!F554</f>
        <v>0</v>
      </c>
      <c r="G553" s="14">
        <f>'[1]2026 Orders'!G554</f>
        <v>0</v>
      </c>
      <c r="H553" s="14" t="str" cm="1">
        <f t="array" ref="H553">IFERROR(_xlfn.TEXTJOIN("-",,INDEX(_xlfn.TEXTSPLIT(TableGive[[#This Row],[SKU]],"-"),{1,2})),"")</f>
        <v/>
      </c>
      <c r="I553" s="15" t="str">
        <f>IFERROR(_xlfn.TEXTAFTER(TableGive[[#This Row],[SKU]],"-",-1),"")</f>
        <v/>
      </c>
      <c r="J553" s="14">
        <f>'[1]2026 Orders'!H554</f>
        <v>0</v>
      </c>
      <c r="K553">
        <f>'[1]2026 Orders'!I554</f>
        <v>0</v>
      </c>
      <c r="L553">
        <f>'[1]2026 Orders'!J554</f>
        <v>0</v>
      </c>
      <c r="N553" s="10">
        <f>'[1]2026 Orders'!L554</f>
        <v>0</v>
      </c>
      <c r="O553">
        <f>'[1]2026 Orders'!M554</f>
        <v>0</v>
      </c>
      <c r="P553">
        <f>'[1]2026 Orders'!N554</f>
        <v>0</v>
      </c>
      <c r="Q553">
        <f>'[1]2026 Orders'!O554</f>
        <v>0</v>
      </c>
      <c r="R553">
        <f>'[1]2026 Orders'!P554</f>
        <v>0</v>
      </c>
      <c r="S553">
        <f>'[1]2026 Orders'!Q554</f>
        <v>0</v>
      </c>
      <c r="T553">
        <f>'[1]2026 Orders'!R554</f>
        <v>0</v>
      </c>
      <c r="U553">
        <f>'[1]2026 Orders'!S554</f>
        <v>0</v>
      </c>
      <c r="V553">
        <f>'[1]2026 Orders'!T554</f>
        <v>0</v>
      </c>
      <c r="W553">
        <f>'[1]2026 Orders'!U554</f>
        <v>0</v>
      </c>
      <c r="X553">
        <f>'[1]2026 Orders'!V554</f>
        <v>0</v>
      </c>
      <c r="Y553">
        <f>'[1]2026 Orders'!W554</f>
        <v>0</v>
      </c>
      <c r="Z553">
        <f>'[1]2026 Orders'!X554</f>
        <v>0</v>
      </c>
      <c r="AC553" t="str">
        <f t="shared" si="16"/>
        <v/>
      </c>
      <c r="AD553" t="str">
        <f t="shared" si="17"/>
        <v/>
      </c>
    </row>
    <row r="554" spans="1:30" ht="33" hidden="1" customHeight="1" x14ac:dyDescent="0.3">
      <c r="A554">
        <f>'[1]2026 Orders'!A555</f>
        <v>0</v>
      </c>
      <c r="B554" s="14">
        <f>'[1]2026 Orders'!B555</f>
        <v>0</v>
      </c>
      <c r="C554" s="14">
        <f>'[1]2026 Orders'!C555</f>
        <v>0</v>
      </c>
      <c r="D554" s="14">
        <f>'[1]2026 Orders'!D555</f>
        <v>0</v>
      </c>
      <c r="E554" s="17" t="str" cm="1">
        <f t="array" ref="E554">IF(C554=0,"",
HYPERLINK(
"#'2026 Orders'!C"&amp;
MATCH(1,
('2026 Orders'!C:C=C554)*
('2026 Orders'!G:G=G554)*
('2026 Orders'!N:N=N554),
0),
"Open "&amp;C554
))</f>
        <v/>
      </c>
      <c r="F554" s="14">
        <f>'[1]2026 Orders'!F555</f>
        <v>0</v>
      </c>
      <c r="G554" s="14">
        <f>'[1]2026 Orders'!G555</f>
        <v>0</v>
      </c>
      <c r="H554" s="14" t="str" cm="1">
        <f t="array" ref="H554">IFERROR(_xlfn.TEXTJOIN("-",,INDEX(_xlfn.TEXTSPLIT(TableGive[[#This Row],[SKU]],"-"),{1,2})),"")</f>
        <v/>
      </c>
      <c r="I554" s="15" t="str">
        <f>IFERROR(_xlfn.TEXTAFTER(TableGive[[#This Row],[SKU]],"-",-1),"")</f>
        <v/>
      </c>
      <c r="J554" s="14">
        <f>'[1]2026 Orders'!H555</f>
        <v>0</v>
      </c>
      <c r="K554">
        <f>'[1]2026 Orders'!I555</f>
        <v>0</v>
      </c>
      <c r="L554">
        <f>'[1]2026 Orders'!J555</f>
        <v>0</v>
      </c>
      <c r="N554" s="10">
        <f>'[1]2026 Orders'!L555</f>
        <v>0</v>
      </c>
      <c r="O554">
        <f>'[1]2026 Orders'!M555</f>
        <v>0</v>
      </c>
      <c r="P554">
        <f>'[1]2026 Orders'!N555</f>
        <v>0</v>
      </c>
      <c r="Q554">
        <f>'[1]2026 Orders'!O555</f>
        <v>0</v>
      </c>
      <c r="R554">
        <f>'[1]2026 Orders'!P555</f>
        <v>0</v>
      </c>
      <c r="S554">
        <f>'[1]2026 Orders'!Q555</f>
        <v>0</v>
      </c>
      <c r="T554">
        <f>'[1]2026 Orders'!R555</f>
        <v>0</v>
      </c>
      <c r="U554">
        <f>'[1]2026 Orders'!S555</f>
        <v>0</v>
      </c>
      <c r="V554">
        <f>'[1]2026 Orders'!T555</f>
        <v>0</v>
      </c>
      <c r="W554">
        <f>'[1]2026 Orders'!U555</f>
        <v>0</v>
      </c>
      <c r="X554">
        <f>'[1]2026 Orders'!V555</f>
        <v>0</v>
      </c>
      <c r="Y554">
        <f>'[1]2026 Orders'!W555</f>
        <v>0</v>
      </c>
      <c r="Z554">
        <f>'[1]2026 Orders'!X555</f>
        <v>0</v>
      </c>
      <c r="AC554" t="str">
        <f t="shared" si="16"/>
        <v/>
      </c>
      <c r="AD554" t="str">
        <f t="shared" si="17"/>
        <v/>
      </c>
    </row>
    <row r="555" spans="1:30" ht="33" hidden="1" customHeight="1" x14ac:dyDescent="0.3">
      <c r="A555">
        <f>'[1]2026 Orders'!A556</f>
        <v>0</v>
      </c>
      <c r="B555" s="14">
        <f>'[1]2026 Orders'!B556</f>
        <v>0</v>
      </c>
      <c r="C555" s="14">
        <f>'[1]2026 Orders'!C556</f>
        <v>0</v>
      </c>
      <c r="D555" s="14">
        <f>'[1]2026 Orders'!D556</f>
        <v>0</v>
      </c>
      <c r="E555" s="17" t="str" cm="1">
        <f t="array" ref="E555">IF(C555=0,"",
HYPERLINK(
"#'2026 Orders'!C"&amp;
MATCH(1,
('2026 Orders'!C:C=C555)*
('2026 Orders'!G:G=G555)*
('2026 Orders'!N:N=N555),
0),
"Open "&amp;C555
))</f>
        <v/>
      </c>
      <c r="F555" s="14">
        <f>'[1]2026 Orders'!F556</f>
        <v>0</v>
      </c>
      <c r="G555" s="14">
        <f>'[1]2026 Orders'!G556</f>
        <v>0</v>
      </c>
      <c r="H555" s="14" t="str" cm="1">
        <f t="array" ref="H555">IFERROR(_xlfn.TEXTJOIN("-",,INDEX(_xlfn.TEXTSPLIT(TableGive[[#This Row],[SKU]],"-"),{1,2})),"")</f>
        <v/>
      </c>
      <c r="I555" s="15" t="str">
        <f>IFERROR(_xlfn.TEXTAFTER(TableGive[[#This Row],[SKU]],"-",-1),"")</f>
        <v/>
      </c>
      <c r="J555" s="14">
        <f>'[1]2026 Orders'!H556</f>
        <v>0</v>
      </c>
      <c r="K555">
        <f>'[1]2026 Orders'!I556</f>
        <v>0</v>
      </c>
      <c r="L555">
        <f>'[1]2026 Orders'!J556</f>
        <v>0</v>
      </c>
      <c r="N555" s="10">
        <f>'[1]2026 Orders'!L556</f>
        <v>0</v>
      </c>
      <c r="O555">
        <f>'[1]2026 Orders'!M556</f>
        <v>0</v>
      </c>
      <c r="P555">
        <f>'[1]2026 Orders'!N556</f>
        <v>0</v>
      </c>
      <c r="Q555">
        <f>'[1]2026 Orders'!O556</f>
        <v>0</v>
      </c>
      <c r="R555">
        <f>'[1]2026 Orders'!P556</f>
        <v>0</v>
      </c>
      <c r="S555">
        <f>'[1]2026 Orders'!Q556</f>
        <v>0</v>
      </c>
      <c r="T555">
        <f>'[1]2026 Orders'!R556</f>
        <v>0</v>
      </c>
      <c r="U555">
        <f>'[1]2026 Orders'!S556</f>
        <v>0</v>
      </c>
      <c r="V555">
        <f>'[1]2026 Orders'!T556</f>
        <v>0</v>
      </c>
      <c r="W555">
        <f>'[1]2026 Orders'!U556</f>
        <v>0</v>
      </c>
      <c r="X555">
        <f>'[1]2026 Orders'!V556</f>
        <v>0</v>
      </c>
      <c r="Y555">
        <f>'[1]2026 Orders'!W556</f>
        <v>0</v>
      </c>
      <c r="Z555">
        <f>'[1]2026 Orders'!X556</f>
        <v>0</v>
      </c>
      <c r="AC555" t="str">
        <f t="shared" si="16"/>
        <v/>
      </c>
      <c r="AD555" t="str">
        <f t="shared" si="17"/>
        <v/>
      </c>
    </row>
    <row r="556" spans="1:30" ht="33" hidden="1" customHeight="1" x14ac:dyDescent="0.3">
      <c r="A556">
        <f>'[1]2026 Orders'!A557</f>
        <v>0</v>
      </c>
      <c r="B556" s="14">
        <f>'[1]2026 Orders'!B557</f>
        <v>0</v>
      </c>
      <c r="C556" s="14">
        <f>'[1]2026 Orders'!C557</f>
        <v>0</v>
      </c>
      <c r="D556" s="14">
        <f>'[1]2026 Orders'!D557</f>
        <v>0</v>
      </c>
      <c r="E556" s="17" t="str" cm="1">
        <f t="array" ref="E556">IF(C556=0,"",
HYPERLINK(
"#'2026 Orders'!C"&amp;
MATCH(1,
('2026 Orders'!C:C=C556)*
('2026 Orders'!G:G=G556)*
('2026 Orders'!N:N=N556),
0),
"Open "&amp;C556
))</f>
        <v/>
      </c>
      <c r="F556" s="14">
        <f>'[1]2026 Orders'!F557</f>
        <v>0</v>
      </c>
      <c r="G556" s="14">
        <f>'[1]2026 Orders'!G557</f>
        <v>0</v>
      </c>
      <c r="H556" s="14" t="str" cm="1">
        <f t="array" ref="H556">IFERROR(_xlfn.TEXTJOIN("-",,INDEX(_xlfn.TEXTSPLIT(TableGive[[#This Row],[SKU]],"-"),{1,2})),"")</f>
        <v/>
      </c>
      <c r="I556" s="15" t="str">
        <f>IFERROR(_xlfn.TEXTAFTER(TableGive[[#This Row],[SKU]],"-",-1),"")</f>
        <v/>
      </c>
      <c r="J556" s="14">
        <f>'[1]2026 Orders'!H557</f>
        <v>0</v>
      </c>
      <c r="K556">
        <f>'[1]2026 Orders'!I557</f>
        <v>0</v>
      </c>
      <c r="L556">
        <f>'[1]2026 Orders'!J557</f>
        <v>0</v>
      </c>
      <c r="N556" s="10">
        <f>'[1]2026 Orders'!L557</f>
        <v>0</v>
      </c>
      <c r="O556">
        <f>'[1]2026 Orders'!M557</f>
        <v>0</v>
      </c>
      <c r="P556">
        <f>'[1]2026 Orders'!N557</f>
        <v>0</v>
      </c>
      <c r="Q556">
        <f>'[1]2026 Orders'!O557</f>
        <v>0</v>
      </c>
      <c r="R556">
        <f>'[1]2026 Orders'!P557</f>
        <v>0</v>
      </c>
      <c r="S556">
        <f>'[1]2026 Orders'!Q557</f>
        <v>0</v>
      </c>
      <c r="T556">
        <f>'[1]2026 Orders'!R557</f>
        <v>0</v>
      </c>
      <c r="U556">
        <f>'[1]2026 Orders'!S557</f>
        <v>0</v>
      </c>
      <c r="V556">
        <f>'[1]2026 Orders'!T557</f>
        <v>0</v>
      </c>
      <c r="W556">
        <f>'[1]2026 Orders'!U557</f>
        <v>0</v>
      </c>
      <c r="X556">
        <f>'[1]2026 Orders'!V557</f>
        <v>0</v>
      </c>
      <c r="Y556">
        <f>'[1]2026 Orders'!W557</f>
        <v>0</v>
      </c>
      <c r="Z556">
        <f>'[1]2026 Orders'!X557</f>
        <v>0</v>
      </c>
      <c r="AC556" t="str">
        <f t="shared" si="16"/>
        <v/>
      </c>
      <c r="AD556" t="str">
        <f t="shared" si="17"/>
        <v/>
      </c>
    </row>
    <row r="557" spans="1:30" ht="33" hidden="1" customHeight="1" x14ac:dyDescent="0.3">
      <c r="A557">
        <f>'[1]2026 Orders'!A558</f>
        <v>0</v>
      </c>
      <c r="B557" s="14">
        <f>'[1]2026 Orders'!B558</f>
        <v>0</v>
      </c>
      <c r="C557" s="14">
        <f>'[1]2026 Orders'!C558</f>
        <v>0</v>
      </c>
      <c r="D557" s="14">
        <f>'[1]2026 Orders'!D558</f>
        <v>0</v>
      </c>
      <c r="E557" s="17" t="str" cm="1">
        <f t="array" ref="E557">IF(C557=0,"",
HYPERLINK(
"#'2026 Orders'!C"&amp;
MATCH(1,
('2026 Orders'!C:C=C557)*
('2026 Orders'!G:G=G557)*
('2026 Orders'!N:N=N557),
0),
"Open "&amp;C557
))</f>
        <v/>
      </c>
      <c r="F557" s="14">
        <f>'[1]2026 Orders'!F558</f>
        <v>0</v>
      </c>
      <c r="G557" s="14">
        <f>'[1]2026 Orders'!G558</f>
        <v>0</v>
      </c>
      <c r="H557" s="14" t="str" cm="1">
        <f t="array" ref="H557">IFERROR(_xlfn.TEXTJOIN("-",,INDEX(_xlfn.TEXTSPLIT(TableGive[[#This Row],[SKU]],"-"),{1,2})),"")</f>
        <v/>
      </c>
      <c r="I557" s="15" t="str">
        <f>IFERROR(_xlfn.TEXTAFTER(TableGive[[#This Row],[SKU]],"-",-1),"")</f>
        <v/>
      </c>
      <c r="J557" s="14">
        <f>'[1]2026 Orders'!H558</f>
        <v>0</v>
      </c>
      <c r="K557">
        <f>'[1]2026 Orders'!I558</f>
        <v>0</v>
      </c>
      <c r="L557">
        <f>'[1]2026 Orders'!J558</f>
        <v>0</v>
      </c>
      <c r="N557" s="10">
        <f>'[1]2026 Orders'!L558</f>
        <v>0</v>
      </c>
      <c r="O557">
        <f>'[1]2026 Orders'!M558</f>
        <v>0</v>
      </c>
      <c r="P557">
        <f>'[1]2026 Orders'!N558</f>
        <v>0</v>
      </c>
      <c r="Q557">
        <f>'[1]2026 Orders'!O558</f>
        <v>0</v>
      </c>
      <c r="R557">
        <f>'[1]2026 Orders'!P558</f>
        <v>0</v>
      </c>
      <c r="S557">
        <f>'[1]2026 Orders'!Q558</f>
        <v>0</v>
      </c>
      <c r="T557">
        <f>'[1]2026 Orders'!R558</f>
        <v>0</v>
      </c>
      <c r="U557">
        <f>'[1]2026 Orders'!S558</f>
        <v>0</v>
      </c>
      <c r="V557">
        <f>'[1]2026 Orders'!T558</f>
        <v>0</v>
      </c>
      <c r="W557">
        <f>'[1]2026 Orders'!U558</f>
        <v>0</v>
      </c>
      <c r="X557">
        <f>'[1]2026 Orders'!V558</f>
        <v>0</v>
      </c>
      <c r="Y557">
        <f>'[1]2026 Orders'!W558</f>
        <v>0</v>
      </c>
      <c r="Z557">
        <f>'[1]2026 Orders'!X558</f>
        <v>0</v>
      </c>
      <c r="AC557" t="str">
        <f t="shared" si="16"/>
        <v/>
      </c>
      <c r="AD557" t="str">
        <f t="shared" si="17"/>
        <v/>
      </c>
    </row>
    <row r="558" spans="1:30" ht="33" hidden="1" customHeight="1" x14ac:dyDescent="0.3">
      <c r="A558">
        <f>'[1]2026 Orders'!A559</f>
        <v>0</v>
      </c>
      <c r="B558" s="14">
        <f>'[1]2026 Orders'!B559</f>
        <v>0</v>
      </c>
      <c r="C558" s="14">
        <f>'[1]2026 Orders'!C559</f>
        <v>0</v>
      </c>
      <c r="D558" s="14">
        <f>'[1]2026 Orders'!D559</f>
        <v>0</v>
      </c>
      <c r="E558" s="17" t="str" cm="1">
        <f t="array" ref="E558">IF(C558=0,"",
HYPERLINK(
"#'2026 Orders'!C"&amp;
MATCH(1,
('2026 Orders'!C:C=C558)*
('2026 Orders'!G:G=G558)*
('2026 Orders'!N:N=N558),
0),
"Open "&amp;C558
))</f>
        <v/>
      </c>
      <c r="F558" s="14">
        <f>'[1]2026 Orders'!F559</f>
        <v>0</v>
      </c>
      <c r="G558" s="14">
        <f>'[1]2026 Orders'!G559</f>
        <v>0</v>
      </c>
      <c r="H558" s="14" t="str" cm="1">
        <f t="array" ref="H558">IFERROR(_xlfn.TEXTJOIN("-",,INDEX(_xlfn.TEXTSPLIT(TableGive[[#This Row],[SKU]],"-"),{1,2})),"")</f>
        <v/>
      </c>
      <c r="I558" s="15" t="str">
        <f>IFERROR(_xlfn.TEXTAFTER(TableGive[[#This Row],[SKU]],"-",-1),"")</f>
        <v/>
      </c>
      <c r="J558" s="14">
        <f>'[1]2026 Orders'!H559</f>
        <v>0</v>
      </c>
      <c r="K558">
        <f>'[1]2026 Orders'!I559</f>
        <v>0</v>
      </c>
      <c r="L558">
        <f>'[1]2026 Orders'!J559</f>
        <v>0</v>
      </c>
      <c r="N558" s="10">
        <f>'[1]2026 Orders'!L559</f>
        <v>0</v>
      </c>
      <c r="O558">
        <f>'[1]2026 Orders'!M559</f>
        <v>0</v>
      </c>
      <c r="P558">
        <f>'[1]2026 Orders'!N559</f>
        <v>0</v>
      </c>
      <c r="Q558">
        <f>'[1]2026 Orders'!O559</f>
        <v>0</v>
      </c>
      <c r="R558">
        <f>'[1]2026 Orders'!P559</f>
        <v>0</v>
      </c>
      <c r="S558">
        <f>'[1]2026 Orders'!Q559</f>
        <v>0</v>
      </c>
      <c r="T558">
        <f>'[1]2026 Orders'!R559</f>
        <v>0</v>
      </c>
      <c r="U558">
        <f>'[1]2026 Orders'!S559</f>
        <v>0</v>
      </c>
      <c r="V558">
        <f>'[1]2026 Orders'!T559</f>
        <v>0</v>
      </c>
      <c r="W558">
        <f>'[1]2026 Orders'!U559</f>
        <v>0</v>
      </c>
      <c r="X558">
        <f>'[1]2026 Orders'!V559</f>
        <v>0</v>
      </c>
      <c r="Y558">
        <f>'[1]2026 Orders'!W559</f>
        <v>0</v>
      </c>
      <c r="Z558">
        <f>'[1]2026 Orders'!X559</f>
        <v>0</v>
      </c>
      <c r="AC558" t="str">
        <f t="shared" si="16"/>
        <v/>
      </c>
      <c r="AD558" t="str">
        <f t="shared" si="17"/>
        <v/>
      </c>
    </row>
    <row r="559" spans="1:30" ht="33" hidden="1" customHeight="1" x14ac:dyDescent="0.3">
      <c r="A559">
        <f>'[1]2026 Orders'!A560</f>
        <v>0</v>
      </c>
      <c r="B559" s="14">
        <f>'[1]2026 Orders'!B560</f>
        <v>0</v>
      </c>
      <c r="C559" s="14">
        <f>'[1]2026 Orders'!C560</f>
        <v>0</v>
      </c>
      <c r="D559" s="14">
        <f>'[1]2026 Orders'!D560</f>
        <v>0</v>
      </c>
      <c r="E559" s="17" t="str" cm="1">
        <f t="array" ref="E559">IF(C559=0,"",
HYPERLINK(
"#'2026 Orders'!C"&amp;
MATCH(1,
('2026 Orders'!C:C=C559)*
('2026 Orders'!G:G=G559)*
('2026 Orders'!N:N=N559),
0),
"Open "&amp;C559
))</f>
        <v/>
      </c>
      <c r="F559" s="14">
        <f>'[1]2026 Orders'!F560</f>
        <v>0</v>
      </c>
      <c r="G559" s="14">
        <f>'[1]2026 Orders'!G560</f>
        <v>0</v>
      </c>
      <c r="H559" s="14" t="str" cm="1">
        <f t="array" ref="H559">IFERROR(_xlfn.TEXTJOIN("-",,INDEX(_xlfn.TEXTSPLIT(TableGive[[#This Row],[SKU]],"-"),{1,2})),"")</f>
        <v/>
      </c>
      <c r="I559" s="15" t="str">
        <f>IFERROR(_xlfn.TEXTAFTER(TableGive[[#This Row],[SKU]],"-",-1),"")</f>
        <v/>
      </c>
      <c r="J559" s="14">
        <f>'[1]2026 Orders'!H560</f>
        <v>0</v>
      </c>
      <c r="K559">
        <f>'[1]2026 Orders'!I560</f>
        <v>0</v>
      </c>
      <c r="L559">
        <f>'[1]2026 Orders'!J560</f>
        <v>0</v>
      </c>
      <c r="N559" s="10">
        <f>'[1]2026 Orders'!L560</f>
        <v>0</v>
      </c>
      <c r="O559">
        <f>'[1]2026 Orders'!M560</f>
        <v>0</v>
      </c>
      <c r="P559">
        <f>'[1]2026 Orders'!N560</f>
        <v>0</v>
      </c>
      <c r="Q559">
        <f>'[1]2026 Orders'!O560</f>
        <v>0</v>
      </c>
      <c r="R559">
        <f>'[1]2026 Orders'!P560</f>
        <v>0</v>
      </c>
      <c r="S559">
        <f>'[1]2026 Orders'!Q560</f>
        <v>0</v>
      </c>
      <c r="T559">
        <f>'[1]2026 Orders'!R560</f>
        <v>0</v>
      </c>
      <c r="U559">
        <f>'[1]2026 Orders'!S560</f>
        <v>0</v>
      </c>
      <c r="V559">
        <f>'[1]2026 Orders'!T560</f>
        <v>0</v>
      </c>
      <c r="W559">
        <f>'[1]2026 Orders'!U560</f>
        <v>0</v>
      </c>
      <c r="X559">
        <f>'[1]2026 Orders'!V560</f>
        <v>0</v>
      </c>
      <c r="Y559">
        <f>'[1]2026 Orders'!W560</f>
        <v>0</v>
      </c>
      <c r="Z559">
        <f>'[1]2026 Orders'!X560</f>
        <v>0</v>
      </c>
      <c r="AC559" t="str">
        <f t="shared" si="16"/>
        <v/>
      </c>
      <c r="AD559" t="str">
        <f t="shared" si="17"/>
        <v/>
      </c>
    </row>
    <row r="560" spans="1:30" ht="33" hidden="1" customHeight="1" x14ac:dyDescent="0.3">
      <c r="A560">
        <f>'[1]2026 Orders'!A561</f>
        <v>0</v>
      </c>
      <c r="B560" s="14">
        <f>'[1]2026 Orders'!B561</f>
        <v>0</v>
      </c>
      <c r="C560" s="14">
        <f>'[1]2026 Orders'!C561</f>
        <v>0</v>
      </c>
      <c r="D560" s="14">
        <f>'[1]2026 Orders'!D561</f>
        <v>0</v>
      </c>
      <c r="E560" s="17" t="str" cm="1">
        <f t="array" ref="E560">IF(C560=0,"",
HYPERLINK(
"#'2026 Orders'!C"&amp;
MATCH(1,
('2026 Orders'!C:C=C560)*
('2026 Orders'!G:G=G560)*
('2026 Orders'!N:N=N560),
0),
"Open "&amp;C560
))</f>
        <v/>
      </c>
      <c r="F560" s="14">
        <f>'[1]2026 Orders'!F561</f>
        <v>0</v>
      </c>
      <c r="G560" s="14">
        <f>'[1]2026 Orders'!G561</f>
        <v>0</v>
      </c>
      <c r="H560" s="14" t="str" cm="1">
        <f t="array" ref="H560">IFERROR(_xlfn.TEXTJOIN("-",,INDEX(_xlfn.TEXTSPLIT(TableGive[[#This Row],[SKU]],"-"),{1,2})),"")</f>
        <v/>
      </c>
      <c r="I560" s="15" t="str">
        <f>IFERROR(_xlfn.TEXTAFTER(TableGive[[#This Row],[SKU]],"-",-1),"")</f>
        <v/>
      </c>
      <c r="J560" s="14">
        <f>'[1]2026 Orders'!H561</f>
        <v>0</v>
      </c>
      <c r="K560">
        <f>'[1]2026 Orders'!I561</f>
        <v>0</v>
      </c>
      <c r="L560">
        <f>'[1]2026 Orders'!J561</f>
        <v>0</v>
      </c>
      <c r="N560" s="10">
        <f>'[1]2026 Orders'!L561</f>
        <v>0</v>
      </c>
      <c r="O560">
        <f>'[1]2026 Orders'!M561</f>
        <v>0</v>
      </c>
      <c r="P560">
        <f>'[1]2026 Orders'!N561</f>
        <v>0</v>
      </c>
      <c r="Q560">
        <f>'[1]2026 Orders'!O561</f>
        <v>0</v>
      </c>
      <c r="R560">
        <f>'[1]2026 Orders'!P561</f>
        <v>0</v>
      </c>
      <c r="S560">
        <f>'[1]2026 Orders'!Q561</f>
        <v>0</v>
      </c>
      <c r="T560">
        <f>'[1]2026 Orders'!R561</f>
        <v>0</v>
      </c>
      <c r="U560">
        <f>'[1]2026 Orders'!S561</f>
        <v>0</v>
      </c>
      <c r="V560">
        <f>'[1]2026 Orders'!T561</f>
        <v>0</v>
      </c>
      <c r="W560">
        <f>'[1]2026 Orders'!U561</f>
        <v>0</v>
      </c>
      <c r="X560">
        <f>'[1]2026 Orders'!V561</f>
        <v>0</v>
      </c>
      <c r="Y560">
        <f>'[1]2026 Orders'!W561</f>
        <v>0</v>
      </c>
      <c r="Z560">
        <f>'[1]2026 Orders'!X561</f>
        <v>0</v>
      </c>
      <c r="AC560" t="str">
        <f t="shared" si="16"/>
        <v/>
      </c>
      <c r="AD560" t="str">
        <f t="shared" si="17"/>
        <v/>
      </c>
    </row>
    <row r="561" spans="1:30" ht="33" hidden="1" customHeight="1" x14ac:dyDescent="0.3">
      <c r="A561">
        <f>'[1]2026 Orders'!A562</f>
        <v>0</v>
      </c>
      <c r="B561" s="14">
        <f>'[1]2026 Orders'!B562</f>
        <v>0</v>
      </c>
      <c r="C561" s="14">
        <f>'[1]2026 Orders'!C562</f>
        <v>0</v>
      </c>
      <c r="D561" s="14">
        <f>'[1]2026 Orders'!D562</f>
        <v>0</v>
      </c>
      <c r="E561" s="17" t="str" cm="1">
        <f t="array" ref="E561">IF(C561=0,"",
HYPERLINK(
"#'2026 Orders'!C"&amp;
MATCH(1,
('2026 Orders'!C:C=C561)*
('2026 Orders'!G:G=G561)*
('2026 Orders'!N:N=N561),
0),
"Open "&amp;C561
))</f>
        <v/>
      </c>
      <c r="F561" s="14">
        <f>'[1]2026 Orders'!F562</f>
        <v>0</v>
      </c>
      <c r="G561" s="14">
        <f>'[1]2026 Orders'!G562</f>
        <v>0</v>
      </c>
      <c r="H561" s="14" t="str" cm="1">
        <f t="array" ref="H561">IFERROR(_xlfn.TEXTJOIN("-",,INDEX(_xlfn.TEXTSPLIT(TableGive[[#This Row],[SKU]],"-"),{1,2})),"")</f>
        <v/>
      </c>
      <c r="I561" s="15" t="str">
        <f>IFERROR(_xlfn.TEXTAFTER(TableGive[[#This Row],[SKU]],"-",-1),"")</f>
        <v/>
      </c>
      <c r="J561" s="14">
        <f>'[1]2026 Orders'!H562</f>
        <v>0</v>
      </c>
      <c r="K561">
        <f>'[1]2026 Orders'!I562</f>
        <v>0</v>
      </c>
      <c r="L561">
        <f>'[1]2026 Orders'!J562</f>
        <v>0</v>
      </c>
      <c r="N561" s="10">
        <f>'[1]2026 Orders'!L562</f>
        <v>0</v>
      </c>
      <c r="O561">
        <f>'[1]2026 Orders'!M562</f>
        <v>0</v>
      </c>
      <c r="P561">
        <f>'[1]2026 Orders'!N562</f>
        <v>0</v>
      </c>
      <c r="Q561">
        <f>'[1]2026 Orders'!O562</f>
        <v>0</v>
      </c>
      <c r="R561">
        <f>'[1]2026 Orders'!P562</f>
        <v>0</v>
      </c>
      <c r="S561">
        <f>'[1]2026 Orders'!Q562</f>
        <v>0</v>
      </c>
      <c r="T561">
        <f>'[1]2026 Orders'!R562</f>
        <v>0</v>
      </c>
      <c r="U561">
        <f>'[1]2026 Orders'!S562</f>
        <v>0</v>
      </c>
      <c r="V561">
        <f>'[1]2026 Orders'!T562</f>
        <v>0</v>
      </c>
      <c r="W561">
        <f>'[1]2026 Orders'!U562</f>
        <v>0</v>
      </c>
      <c r="X561">
        <f>'[1]2026 Orders'!V562</f>
        <v>0</v>
      </c>
      <c r="Y561">
        <f>'[1]2026 Orders'!W562</f>
        <v>0</v>
      </c>
      <c r="Z561">
        <f>'[1]2026 Orders'!X562</f>
        <v>0</v>
      </c>
      <c r="AC561" t="str">
        <f t="shared" si="16"/>
        <v/>
      </c>
      <c r="AD561" t="str">
        <f t="shared" si="17"/>
        <v/>
      </c>
    </row>
    <row r="562" spans="1:30" ht="33" hidden="1" customHeight="1" x14ac:dyDescent="0.3">
      <c r="A562">
        <f>'[1]2026 Orders'!A563</f>
        <v>0</v>
      </c>
      <c r="B562" s="14">
        <f>'[1]2026 Orders'!B563</f>
        <v>0</v>
      </c>
      <c r="C562" s="14">
        <f>'[1]2026 Orders'!C563</f>
        <v>0</v>
      </c>
      <c r="D562" s="14">
        <f>'[1]2026 Orders'!D563</f>
        <v>0</v>
      </c>
      <c r="E562" s="17" t="str" cm="1">
        <f t="array" ref="E562">IF(C562=0,"",
HYPERLINK(
"#'2026 Orders'!C"&amp;
MATCH(1,
('2026 Orders'!C:C=C562)*
('2026 Orders'!G:G=G562)*
('2026 Orders'!N:N=N562),
0),
"Open "&amp;C562
))</f>
        <v/>
      </c>
      <c r="F562" s="14">
        <f>'[1]2026 Orders'!F563</f>
        <v>0</v>
      </c>
      <c r="G562" s="14">
        <f>'[1]2026 Orders'!G563</f>
        <v>0</v>
      </c>
      <c r="H562" s="14" t="str" cm="1">
        <f t="array" ref="H562">IFERROR(_xlfn.TEXTJOIN("-",,INDEX(_xlfn.TEXTSPLIT(TableGive[[#This Row],[SKU]],"-"),{1,2})),"")</f>
        <v/>
      </c>
      <c r="I562" s="15" t="str">
        <f>IFERROR(_xlfn.TEXTAFTER(TableGive[[#This Row],[SKU]],"-",-1),"")</f>
        <v/>
      </c>
      <c r="J562" s="14">
        <f>'[1]2026 Orders'!H563</f>
        <v>0</v>
      </c>
      <c r="K562">
        <f>'[1]2026 Orders'!I563</f>
        <v>0</v>
      </c>
      <c r="L562">
        <f>'[1]2026 Orders'!J563</f>
        <v>0</v>
      </c>
      <c r="N562" s="10">
        <f>'[1]2026 Orders'!L563</f>
        <v>0</v>
      </c>
      <c r="O562">
        <f>'[1]2026 Orders'!M563</f>
        <v>0</v>
      </c>
      <c r="P562">
        <f>'[1]2026 Orders'!N563</f>
        <v>0</v>
      </c>
      <c r="Q562">
        <f>'[1]2026 Orders'!O563</f>
        <v>0</v>
      </c>
      <c r="R562">
        <f>'[1]2026 Orders'!P563</f>
        <v>0</v>
      </c>
      <c r="S562">
        <f>'[1]2026 Orders'!Q563</f>
        <v>0</v>
      </c>
      <c r="T562">
        <f>'[1]2026 Orders'!R563</f>
        <v>0</v>
      </c>
      <c r="U562">
        <f>'[1]2026 Orders'!S563</f>
        <v>0</v>
      </c>
      <c r="V562">
        <f>'[1]2026 Orders'!T563</f>
        <v>0</v>
      </c>
      <c r="W562">
        <f>'[1]2026 Orders'!U563</f>
        <v>0</v>
      </c>
      <c r="X562">
        <f>'[1]2026 Orders'!V563</f>
        <v>0</v>
      </c>
      <c r="Y562">
        <f>'[1]2026 Orders'!W563</f>
        <v>0</v>
      </c>
      <c r="Z562">
        <f>'[1]2026 Orders'!X563</f>
        <v>0</v>
      </c>
      <c r="AC562" t="str">
        <f t="shared" si="16"/>
        <v/>
      </c>
      <c r="AD562" t="str">
        <f t="shared" si="17"/>
        <v/>
      </c>
    </row>
    <row r="563" spans="1:30" ht="33" hidden="1" customHeight="1" x14ac:dyDescent="0.3">
      <c r="A563">
        <f>'[1]2026 Orders'!A564</f>
        <v>0</v>
      </c>
      <c r="B563" s="14">
        <f>'[1]2026 Orders'!B564</f>
        <v>0</v>
      </c>
      <c r="C563" s="14">
        <f>'[1]2026 Orders'!C564</f>
        <v>0</v>
      </c>
      <c r="D563" s="14">
        <f>'[1]2026 Orders'!D564</f>
        <v>0</v>
      </c>
      <c r="E563" s="17" t="str" cm="1">
        <f t="array" ref="E563">IF(C563=0,"",
HYPERLINK(
"#'2026 Orders'!C"&amp;
MATCH(1,
('2026 Orders'!C:C=C563)*
('2026 Orders'!G:G=G563)*
('2026 Orders'!N:N=N563),
0),
"Open "&amp;C563
))</f>
        <v/>
      </c>
      <c r="F563" s="14">
        <f>'[1]2026 Orders'!F564</f>
        <v>0</v>
      </c>
      <c r="G563" s="14">
        <f>'[1]2026 Orders'!G564</f>
        <v>0</v>
      </c>
      <c r="H563" s="14" t="str" cm="1">
        <f t="array" ref="H563">IFERROR(_xlfn.TEXTJOIN("-",,INDEX(_xlfn.TEXTSPLIT(TableGive[[#This Row],[SKU]],"-"),{1,2})),"")</f>
        <v/>
      </c>
      <c r="I563" s="15" t="str">
        <f>IFERROR(_xlfn.TEXTAFTER(TableGive[[#This Row],[SKU]],"-",-1),"")</f>
        <v/>
      </c>
      <c r="J563" s="14">
        <f>'[1]2026 Orders'!H564</f>
        <v>0</v>
      </c>
      <c r="K563">
        <f>'[1]2026 Orders'!I564</f>
        <v>0</v>
      </c>
      <c r="L563">
        <f>'[1]2026 Orders'!J564</f>
        <v>0</v>
      </c>
      <c r="N563" s="10">
        <f>'[1]2026 Orders'!L564</f>
        <v>0</v>
      </c>
      <c r="O563">
        <f>'[1]2026 Orders'!M564</f>
        <v>0</v>
      </c>
      <c r="P563">
        <f>'[1]2026 Orders'!N564</f>
        <v>0</v>
      </c>
      <c r="Q563">
        <f>'[1]2026 Orders'!O564</f>
        <v>0</v>
      </c>
      <c r="R563">
        <f>'[1]2026 Orders'!P564</f>
        <v>0</v>
      </c>
      <c r="S563">
        <f>'[1]2026 Orders'!Q564</f>
        <v>0</v>
      </c>
      <c r="T563">
        <f>'[1]2026 Orders'!R564</f>
        <v>0</v>
      </c>
      <c r="U563">
        <f>'[1]2026 Orders'!S564</f>
        <v>0</v>
      </c>
      <c r="V563">
        <f>'[1]2026 Orders'!T564</f>
        <v>0</v>
      </c>
      <c r="W563">
        <f>'[1]2026 Orders'!U564</f>
        <v>0</v>
      </c>
      <c r="X563">
        <f>'[1]2026 Orders'!V564</f>
        <v>0</v>
      </c>
      <c r="Y563">
        <f>'[1]2026 Orders'!W564</f>
        <v>0</v>
      </c>
      <c r="Z563">
        <f>'[1]2026 Orders'!X564</f>
        <v>0</v>
      </c>
      <c r="AC563" t="str">
        <f t="shared" si="16"/>
        <v/>
      </c>
      <c r="AD563" t="str">
        <f t="shared" si="17"/>
        <v/>
      </c>
    </row>
    <row r="564" spans="1:30" ht="33" hidden="1" customHeight="1" x14ac:dyDescent="0.3">
      <c r="A564">
        <f>'[1]2026 Orders'!A565</f>
        <v>0</v>
      </c>
      <c r="B564" s="14">
        <f>'[1]2026 Orders'!B565</f>
        <v>0</v>
      </c>
      <c r="C564" s="14">
        <f>'[1]2026 Orders'!C565</f>
        <v>0</v>
      </c>
      <c r="D564" s="14">
        <f>'[1]2026 Orders'!D565</f>
        <v>0</v>
      </c>
      <c r="E564" s="17" t="str" cm="1">
        <f t="array" ref="E564">IF(C564=0,"",
HYPERLINK(
"#'2026 Orders'!C"&amp;
MATCH(1,
('2026 Orders'!C:C=C564)*
('2026 Orders'!G:G=G564)*
('2026 Orders'!N:N=N564),
0),
"Open "&amp;C564
))</f>
        <v/>
      </c>
      <c r="F564" s="14">
        <f>'[1]2026 Orders'!F565</f>
        <v>0</v>
      </c>
      <c r="G564" s="14">
        <f>'[1]2026 Orders'!G565</f>
        <v>0</v>
      </c>
      <c r="H564" s="14" t="str" cm="1">
        <f t="array" ref="H564">IFERROR(_xlfn.TEXTJOIN("-",,INDEX(_xlfn.TEXTSPLIT(TableGive[[#This Row],[SKU]],"-"),{1,2})),"")</f>
        <v/>
      </c>
      <c r="I564" s="15" t="str">
        <f>IFERROR(_xlfn.TEXTAFTER(TableGive[[#This Row],[SKU]],"-",-1),"")</f>
        <v/>
      </c>
      <c r="J564" s="14">
        <f>'[1]2026 Orders'!H565</f>
        <v>0</v>
      </c>
      <c r="K564">
        <f>'[1]2026 Orders'!I565</f>
        <v>0</v>
      </c>
      <c r="L564">
        <f>'[1]2026 Orders'!J565</f>
        <v>0</v>
      </c>
      <c r="N564" s="10">
        <f>'[1]2026 Orders'!L565</f>
        <v>0</v>
      </c>
      <c r="O564">
        <f>'[1]2026 Orders'!M565</f>
        <v>0</v>
      </c>
      <c r="P564">
        <f>'[1]2026 Orders'!N565</f>
        <v>0</v>
      </c>
      <c r="Q564">
        <f>'[1]2026 Orders'!O565</f>
        <v>0</v>
      </c>
      <c r="R564">
        <f>'[1]2026 Orders'!P565</f>
        <v>0</v>
      </c>
      <c r="S564">
        <f>'[1]2026 Orders'!Q565</f>
        <v>0</v>
      </c>
      <c r="T564">
        <f>'[1]2026 Orders'!R565</f>
        <v>0</v>
      </c>
      <c r="U564">
        <f>'[1]2026 Orders'!S565</f>
        <v>0</v>
      </c>
      <c r="V564">
        <f>'[1]2026 Orders'!T565</f>
        <v>0</v>
      </c>
      <c r="W564">
        <f>'[1]2026 Orders'!U565</f>
        <v>0</v>
      </c>
      <c r="X564">
        <f>'[1]2026 Orders'!V565</f>
        <v>0</v>
      </c>
      <c r="Y564">
        <f>'[1]2026 Orders'!W565</f>
        <v>0</v>
      </c>
      <c r="Z564">
        <f>'[1]2026 Orders'!X565</f>
        <v>0</v>
      </c>
      <c r="AC564" t="str">
        <f t="shared" si="16"/>
        <v/>
      </c>
      <c r="AD564" t="str">
        <f t="shared" si="17"/>
        <v/>
      </c>
    </row>
    <row r="565" spans="1:30" ht="33" hidden="1" customHeight="1" x14ac:dyDescent="0.3">
      <c r="A565">
        <f>'[1]2026 Orders'!A566</f>
        <v>0</v>
      </c>
      <c r="B565" s="14">
        <f>'[1]2026 Orders'!B566</f>
        <v>0</v>
      </c>
      <c r="C565" s="14">
        <f>'[1]2026 Orders'!C566</f>
        <v>0</v>
      </c>
      <c r="D565" s="14">
        <f>'[1]2026 Orders'!D566</f>
        <v>0</v>
      </c>
      <c r="E565" s="17" t="str" cm="1">
        <f t="array" ref="E565">IF(C565=0,"",
HYPERLINK(
"#'2026 Orders'!C"&amp;
MATCH(1,
('2026 Orders'!C:C=C565)*
('2026 Orders'!G:G=G565)*
('2026 Orders'!N:N=N565),
0),
"Open "&amp;C565
))</f>
        <v/>
      </c>
      <c r="F565" s="14">
        <f>'[1]2026 Orders'!F566</f>
        <v>0</v>
      </c>
      <c r="G565" s="14">
        <f>'[1]2026 Orders'!G566</f>
        <v>0</v>
      </c>
      <c r="H565" s="14" t="str" cm="1">
        <f t="array" ref="H565">IFERROR(_xlfn.TEXTJOIN("-",,INDEX(_xlfn.TEXTSPLIT(TableGive[[#This Row],[SKU]],"-"),{1,2})),"")</f>
        <v/>
      </c>
      <c r="I565" s="15" t="str">
        <f>IFERROR(_xlfn.TEXTAFTER(TableGive[[#This Row],[SKU]],"-",-1),"")</f>
        <v/>
      </c>
      <c r="J565" s="14">
        <f>'[1]2026 Orders'!H566</f>
        <v>0</v>
      </c>
      <c r="K565">
        <f>'[1]2026 Orders'!I566</f>
        <v>0</v>
      </c>
      <c r="L565">
        <f>'[1]2026 Orders'!J566</f>
        <v>0</v>
      </c>
      <c r="N565" s="10">
        <f>'[1]2026 Orders'!L566</f>
        <v>0</v>
      </c>
      <c r="O565">
        <f>'[1]2026 Orders'!M566</f>
        <v>0</v>
      </c>
      <c r="P565">
        <f>'[1]2026 Orders'!N566</f>
        <v>0</v>
      </c>
      <c r="Q565">
        <f>'[1]2026 Orders'!O566</f>
        <v>0</v>
      </c>
      <c r="R565">
        <f>'[1]2026 Orders'!P566</f>
        <v>0</v>
      </c>
      <c r="S565">
        <f>'[1]2026 Orders'!Q566</f>
        <v>0</v>
      </c>
      <c r="T565">
        <f>'[1]2026 Orders'!R566</f>
        <v>0</v>
      </c>
      <c r="U565">
        <f>'[1]2026 Orders'!S566</f>
        <v>0</v>
      </c>
      <c r="V565">
        <f>'[1]2026 Orders'!T566</f>
        <v>0</v>
      </c>
      <c r="W565">
        <f>'[1]2026 Orders'!U566</f>
        <v>0</v>
      </c>
      <c r="X565">
        <f>'[1]2026 Orders'!V566</f>
        <v>0</v>
      </c>
      <c r="Y565">
        <f>'[1]2026 Orders'!W566</f>
        <v>0</v>
      </c>
      <c r="Z565">
        <f>'[1]2026 Orders'!X566</f>
        <v>0</v>
      </c>
      <c r="AC565" t="str">
        <f t="shared" si="16"/>
        <v/>
      </c>
      <c r="AD565" t="str">
        <f t="shared" si="17"/>
        <v/>
      </c>
    </row>
    <row r="566" spans="1:30" ht="33" hidden="1" customHeight="1" x14ac:dyDescent="0.3">
      <c r="A566">
        <f>'[1]2026 Orders'!A567</f>
        <v>0</v>
      </c>
      <c r="B566" s="14">
        <f>'[1]2026 Orders'!B567</f>
        <v>0</v>
      </c>
      <c r="C566" s="14">
        <f>'[1]2026 Orders'!C567</f>
        <v>0</v>
      </c>
      <c r="D566" s="14">
        <f>'[1]2026 Orders'!D567</f>
        <v>0</v>
      </c>
      <c r="E566" s="17" t="str" cm="1">
        <f t="array" ref="E566">IF(C566=0,"",
HYPERLINK(
"#'2026 Orders'!C"&amp;
MATCH(1,
('2026 Orders'!C:C=C566)*
('2026 Orders'!G:G=G566)*
('2026 Orders'!N:N=N566),
0),
"Open "&amp;C566
))</f>
        <v/>
      </c>
      <c r="F566" s="14">
        <f>'[1]2026 Orders'!F567</f>
        <v>0</v>
      </c>
      <c r="G566" s="14">
        <f>'[1]2026 Orders'!G567</f>
        <v>0</v>
      </c>
      <c r="H566" s="14" t="str" cm="1">
        <f t="array" ref="H566">IFERROR(_xlfn.TEXTJOIN("-",,INDEX(_xlfn.TEXTSPLIT(TableGive[[#This Row],[SKU]],"-"),{1,2})),"")</f>
        <v/>
      </c>
      <c r="I566" s="15" t="str">
        <f>IFERROR(_xlfn.TEXTAFTER(TableGive[[#This Row],[SKU]],"-",-1),"")</f>
        <v/>
      </c>
      <c r="J566" s="14">
        <f>'[1]2026 Orders'!H567</f>
        <v>0</v>
      </c>
      <c r="K566">
        <f>'[1]2026 Orders'!I567</f>
        <v>0</v>
      </c>
      <c r="L566">
        <f>'[1]2026 Orders'!J567</f>
        <v>0</v>
      </c>
      <c r="N566" s="10">
        <f>'[1]2026 Orders'!L567</f>
        <v>0</v>
      </c>
      <c r="O566">
        <f>'[1]2026 Orders'!M567</f>
        <v>0</v>
      </c>
      <c r="P566">
        <f>'[1]2026 Orders'!N567</f>
        <v>0</v>
      </c>
      <c r="Q566">
        <f>'[1]2026 Orders'!O567</f>
        <v>0</v>
      </c>
      <c r="R566">
        <f>'[1]2026 Orders'!P567</f>
        <v>0</v>
      </c>
      <c r="S566">
        <f>'[1]2026 Orders'!Q567</f>
        <v>0</v>
      </c>
      <c r="T566">
        <f>'[1]2026 Orders'!R567</f>
        <v>0</v>
      </c>
      <c r="U566">
        <f>'[1]2026 Orders'!S567</f>
        <v>0</v>
      </c>
      <c r="V566">
        <f>'[1]2026 Orders'!T567</f>
        <v>0</v>
      </c>
      <c r="W566">
        <f>'[1]2026 Orders'!U567</f>
        <v>0</v>
      </c>
      <c r="X566">
        <f>'[1]2026 Orders'!V567</f>
        <v>0</v>
      </c>
      <c r="Y566">
        <f>'[1]2026 Orders'!W567</f>
        <v>0</v>
      </c>
      <c r="Z566">
        <f>'[1]2026 Orders'!X567</f>
        <v>0</v>
      </c>
      <c r="AC566" t="str">
        <f t="shared" si="16"/>
        <v/>
      </c>
      <c r="AD566" t="str">
        <f t="shared" si="17"/>
        <v/>
      </c>
    </row>
    <row r="567" spans="1:30" ht="33" hidden="1" customHeight="1" x14ac:dyDescent="0.3">
      <c r="A567">
        <f>'[1]2026 Orders'!A568</f>
        <v>0</v>
      </c>
      <c r="B567" s="14">
        <f>'[1]2026 Orders'!B568</f>
        <v>0</v>
      </c>
      <c r="C567" s="14">
        <f>'[1]2026 Orders'!C568</f>
        <v>0</v>
      </c>
      <c r="D567" s="14">
        <f>'[1]2026 Orders'!D568</f>
        <v>0</v>
      </c>
      <c r="E567" s="17" t="str" cm="1">
        <f t="array" ref="E567">IF(C567=0,"",
HYPERLINK(
"#'2026 Orders'!C"&amp;
MATCH(1,
('2026 Orders'!C:C=C567)*
('2026 Orders'!G:G=G567)*
('2026 Orders'!N:N=N567),
0),
"Open "&amp;C567
))</f>
        <v/>
      </c>
      <c r="F567" s="14">
        <f>'[1]2026 Orders'!F568</f>
        <v>0</v>
      </c>
      <c r="G567" s="14">
        <f>'[1]2026 Orders'!G568</f>
        <v>0</v>
      </c>
      <c r="H567" s="14" t="str" cm="1">
        <f t="array" ref="H567">IFERROR(_xlfn.TEXTJOIN("-",,INDEX(_xlfn.TEXTSPLIT(TableGive[[#This Row],[SKU]],"-"),{1,2})),"")</f>
        <v/>
      </c>
      <c r="I567" s="15" t="str">
        <f>IFERROR(_xlfn.TEXTAFTER(TableGive[[#This Row],[SKU]],"-",-1),"")</f>
        <v/>
      </c>
      <c r="J567" s="14">
        <f>'[1]2026 Orders'!H568</f>
        <v>0</v>
      </c>
      <c r="K567">
        <f>'[1]2026 Orders'!I568</f>
        <v>0</v>
      </c>
      <c r="L567">
        <f>'[1]2026 Orders'!J568</f>
        <v>0</v>
      </c>
      <c r="N567" s="10">
        <f>'[1]2026 Orders'!L568</f>
        <v>0</v>
      </c>
      <c r="O567">
        <f>'[1]2026 Orders'!M568</f>
        <v>0</v>
      </c>
      <c r="P567">
        <f>'[1]2026 Orders'!N568</f>
        <v>0</v>
      </c>
      <c r="Q567">
        <f>'[1]2026 Orders'!O568</f>
        <v>0</v>
      </c>
      <c r="R567">
        <f>'[1]2026 Orders'!P568</f>
        <v>0</v>
      </c>
      <c r="S567">
        <f>'[1]2026 Orders'!Q568</f>
        <v>0</v>
      </c>
      <c r="T567">
        <f>'[1]2026 Orders'!R568</f>
        <v>0</v>
      </c>
      <c r="U567">
        <f>'[1]2026 Orders'!S568</f>
        <v>0</v>
      </c>
      <c r="V567">
        <f>'[1]2026 Orders'!T568</f>
        <v>0</v>
      </c>
      <c r="W567">
        <f>'[1]2026 Orders'!U568</f>
        <v>0</v>
      </c>
      <c r="X567">
        <f>'[1]2026 Orders'!V568</f>
        <v>0</v>
      </c>
      <c r="Y567">
        <f>'[1]2026 Orders'!W568</f>
        <v>0</v>
      </c>
      <c r="Z567">
        <f>'[1]2026 Orders'!X568</f>
        <v>0</v>
      </c>
      <c r="AC567" t="str">
        <f t="shared" si="16"/>
        <v/>
      </c>
      <c r="AD567" t="str">
        <f t="shared" si="17"/>
        <v/>
      </c>
    </row>
    <row r="568" spans="1:30" ht="33" hidden="1" customHeight="1" x14ac:dyDescent="0.3">
      <c r="A568">
        <f>'[1]2026 Orders'!A569</f>
        <v>0</v>
      </c>
      <c r="B568" s="14">
        <f>'[1]2026 Orders'!B569</f>
        <v>0</v>
      </c>
      <c r="C568" s="14">
        <f>'[1]2026 Orders'!C569</f>
        <v>0</v>
      </c>
      <c r="D568" s="14">
        <f>'[1]2026 Orders'!D569</f>
        <v>0</v>
      </c>
      <c r="E568" s="17" t="str" cm="1">
        <f t="array" ref="E568">IF(C568=0,"",
HYPERLINK(
"#'2026 Orders'!C"&amp;
MATCH(1,
('2026 Orders'!C:C=C568)*
('2026 Orders'!G:G=G568)*
('2026 Orders'!N:N=N568),
0),
"Open "&amp;C568
))</f>
        <v/>
      </c>
      <c r="F568" s="14">
        <f>'[1]2026 Orders'!F569</f>
        <v>0</v>
      </c>
      <c r="G568" s="14">
        <f>'[1]2026 Orders'!G569</f>
        <v>0</v>
      </c>
      <c r="H568" s="14" t="str" cm="1">
        <f t="array" ref="H568">IFERROR(_xlfn.TEXTJOIN("-",,INDEX(_xlfn.TEXTSPLIT(TableGive[[#This Row],[SKU]],"-"),{1,2})),"")</f>
        <v/>
      </c>
      <c r="I568" s="15" t="str">
        <f>IFERROR(_xlfn.TEXTAFTER(TableGive[[#This Row],[SKU]],"-",-1),"")</f>
        <v/>
      </c>
      <c r="J568" s="14">
        <f>'[1]2026 Orders'!H569</f>
        <v>0</v>
      </c>
      <c r="K568">
        <f>'[1]2026 Orders'!I569</f>
        <v>0</v>
      </c>
      <c r="L568">
        <f>'[1]2026 Orders'!J569</f>
        <v>0</v>
      </c>
      <c r="N568" s="10">
        <f>'[1]2026 Orders'!L569</f>
        <v>0</v>
      </c>
      <c r="O568">
        <f>'[1]2026 Orders'!M569</f>
        <v>0</v>
      </c>
      <c r="P568">
        <f>'[1]2026 Orders'!N569</f>
        <v>0</v>
      </c>
      <c r="Q568">
        <f>'[1]2026 Orders'!O569</f>
        <v>0</v>
      </c>
      <c r="R568">
        <f>'[1]2026 Orders'!P569</f>
        <v>0</v>
      </c>
      <c r="S568">
        <f>'[1]2026 Orders'!Q569</f>
        <v>0</v>
      </c>
      <c r="T568">
        <f>'[1]2026 Orders'!R569</f>
        <v>0</v>
      </c>
      <c r="U568">
        <f>'[1]2026 Orders'!S569</f>
        <v>0</v>
      </c>
      <c r="V568">
        <f>'[1]2026 Orders'!T569</f>
        <v>0</v>
      </c>
      <c r="W568">
        <f>'[1]2026 Orders'!U569</f>
        <v>0</v>
      </c>
      <c r="X568">
        <f>'[1]2026 Orders'!V569</f>
        <v>0</v>
      </c>
      <c r="Y568">
        <f>'[1]2026 Orders'!W569</f>
        <v>0</v>
      </c>
      <c r="Z568">
        <f>'[1]2026 Orders'!X569</f>
        <v>0</v>
      </c>
      <c r="AC568" t="str">
        <f t="shared" si="16"/>
        <v/>
      </c>
      <c r="AD568" t="str">
        <f t="shared" si="17"/>
        <v/>
      </c>
    </row>
    <row r="569" spans="1:30" ht="33" hidden="1" customHeight="1" x14ac:dyDescent="0.3">
      <c r="A569">
        <f>'[1]2026 Orders'!A570</f>
        <v>0</v>
      </c>
      <c r="B569" s="14">
        <f>'[1]2026 Orders'!B570</f>
        <v>0</v>
      </c>
      <c r="C569" s="14">
        <f>'[1]2026 Orders'!C570</f>
        <v>0</v>
      </c>
      <c r="D569" s="14">
        <f>'[1]2026 Orders'!D570</f>
        <v>0</v>
      </c>
      <c r="E569" s="17" t="str" cm="1">
        <f t="array" ref="E569">IF(C569=0,"",
HYPERLINK(
"#'2026 Orders'!C"&amp;
MATCH(1,
('2026 Orders'!C:C=C569)*
('2026 Orders'!G:G=G569)*
('2026 Orders'!N:N=N569),
0),
"Open "&amp;C569
))</f>
        <v/>
      </c>
      <c r="F569" s="14">
        <f>'[1]2026 Orders'!F570</f>
        <v>0</v>
      </c>
      <c r="G569" s="14">
        <f>'[1]2026 Orders'!G570</f>
        <v>0</v>
      </c>
      <c r="H569" s="14" t="str" cm="1">
        <f t="array" ref="H569">IFERROR(_xlfn.TEXTJOIN("-",,INDEX(_xlfn.TEXTSPLIT(TableGive[[#This Row],[SKU]],"-"),{1,2})),"")</f>
        <v/>
      </c>
      <c r="I569" s="15" t="str">
        <f>IFERROR(_xlfn.TEXTAFTER(TableGive[[#This Row],[SKU]],"-",-1),"")</f>
        <v/>
      </c>
      <c r="J569" s="14">
        <f>'[1]2026 Orders'!H570</f>
        <v>0</v>
      </c>
      <c r="K569">
        <f>'[1]2026 Orders'!I570</f>
        <v>0</v>
      </c>
      <c r="L569">
        <f>'[1]2026 Orders'!J570</f>
        <v>0</v>
      </c>
      <c r="N569" s="10">
        <f>'[1]2026 Orders'!L570</f>
        <v>0</v>
      </c>
      <c r="O569">
        <f>'[1]2026 Orders'!M570</f>
        <v>0</v>
      </c>
      <c r="P569">
        <f>'[1]2026 Orders'!N570</f>
        <v>0</v>
      </c>
      <c r="Q569">
        <f>'[1]2026 Orders'!O570</f>
        <v>0</v>
      </c>
      <c r="R569">
        <f>'[1]2026 Orders'!P570</f>
        <v>0</v>
      </c>
      <c r="S569">
        <f>'[1]2026 Orders'!Q570</f>
        <v>0</v>
      </c>
      <c r="T569">
        <f>'[1]2026 Orders'!R570</f>
        <v>0</v>
      </c>
      <c r="U569">
        <f>'[1]2026 Orders'!S570</f>
        <v>0</v>
      </c>
      <c r="V569">
        <f>'[1]2026 Orders'!T570</f>
        <v>0</v>
      </c>
      <c r="W569">
        <f>'[1]2026 Orders'!U570</f>
        <v>0</v>
      </c>
      <c r="X569">
        <f>'[1]2026 Orders'!V570</f>
        <v>0</v>
      </c>
      <c r="Y569">
        <f>'[1]2026 Orders'!W570</f>
        <v>0</v>
      </c>
      <c r="Z569">
        <f>'[1]2026 Orders'!X570</f>
        <v>0</v>
      </c>
      <c r="AC569" t="str">
        <f t="shared" si="16"/>
        <v/>
      </c>
      <c r="AD569" t="str">
        <f t="shared" si="17"/>
        <v/>
      </c>
    </row>
    <row r="570" spans="1:30" ht="33" hidden="1" customHeight="1" x14ac:dyDescent="0.3">
      <c r="A570">
        <f>'[1]2026 Orders'!A571</f>
        <v>0</v>
      </c>
      <c r="B570" s="14">
        <f>'[1]2026 Orders'!B571</f>
        <v>0</v>
      </c>
      <c r="C570" s="14">
        <f>'[1]2026 Orders'!C571</f>
        <v>0</v>
      </c>
      <c r="D570" s="14">
        <f>'[1]2026 Orders'!D571</f>
        <v>0</v>
      </c>
      <c r="E570" s="17" t="str" cm="1">
        <f t="array" ref="E570">IF(C570=0,"",
HYPERLINK(
"#'2026 Orders'!C"&amp;
MATCH(1,
('2026 Orders'!C:C=C570)*
('2026 Orders'!G:G=G570)*
('2026 Orders'!N:N=N570),
0),
"Open "&amp;C570
))</f>
        <v/>
      </c>
      <c r="F570" s="14">
        <f>'[1]2026 Orders'!F571</f>
        <v>0</v>
      </c>
      <c r="G570" s="14">
        <f>'[1]2026 Orders'!G571</f>
        <v>0</v>
      </c>
      <c r="H570" s="14" t="str" cm="1">
        <f t="array" ref="H570">IFERROR(_xlfn.TEXTJOIN("-",,INDEX(_xlfn.TEXTSPLIT(TableGive[[#This Row],[SKU]],"-"),{1,2})),"")</f>
        <v/>
      </c>
      <c r="I570" s="15" t="str">
        <f>IFERROR(_xlfn.TEXTAFTER(TableGive[[#This Row],[SKU]],"-",-1),"")</f>
        <v/>
      </c>
      <c r="J570" s="14">
        <f>'[1]2026 Orders'!H571</f>
        <v>0</v>
      </c>
      <c r="K570">
        <f>'[1]2026 Orders'!I571</f>
        <v>0</v>
      </c>
      <c r="L570">
        <f>'[1]2026 Orders'!J571</f>
        <v>0</v>
      </c>
      <c r="N570" s="10">
        <f>'[1]2026 Orders'!L571</f>
        <v>0</v>
      </c>
      <c r="O570">
        <f>'[1]2026 Orders'!M571</f>
        <v>0</v>
      </c>
      <c r="P570">
        <f>'[1]2026 Orders'!N571</f>
        <v>0</v>
      </c>
      <c r="Q570">
        <f>'[1]2026 Orders'!O571</f>
        <v>0</v>
      </c>
      <c r="R570">
        <f>'[1]2026 Orders'!P571</f>
        <v>0</v>
      </c>
      <c r="S570">
        <f>'[1]2026 Orders'!Q571</f>
        <v>0</v>
      </c>
      <c r="T570">
        <f>'[1]2026 Orders'!R571</f>
        <v>0</v>
      </c>
      <c r="U570">
        <f>'[1]2026 Orders'!S571</f>
        <v>0</v>
      </c>
      <c r="V570">
        <f>'[1]2026 Orders'!T571</f>
        <v>0</v>
      </c>
      <c r="W570">
        <f>'[1]2026 Orders'!U571</f>
        <v>0</v>
      </c>
      <c r="X570">
        <f>'[1]2026 Orders'!V571</f>
        <v>0</v>
      </c>
      <c r="Y570">
        <f>'[1]2026 Orders'!W571</f>
        <v>0</v>
      </c>
      <c r="Z570">
        <f>'[1]2026 Orders'!X571</f>
        <v>0</v>
      </c>
      <c r="AC570" t="str">
        <f t="shared" si="16"/>
        <v/>
      </c>
      <c r="AD570" t="str">
        <f t="shared" si="17"/>
        <v/>
      </c>
    </row>
    <row r="571" spans="1:30" ht="33" hidden="1" customHeight="1" x14ac:dyDescent="0.3">
      <c r="A571">
        <f>'[1]2026 Orders'!A572</f>
        <v>0</v>
      </c>
      <c r="B571" s="14">
        <f>'[1]2026 Orders'!B572</f>
        <v>0</v>
      </c>
      <c r="C571" s="14">
        <f>'[1]2026 Orders'!C572</f>
        <v>0</v>
      </c>
      <c r="D571" s="14">
        <f>'[1]2026 Orders'!D572</f>
        <v>0</v>
      </c>
      <c r="E571" s="17" t="str" cm="1">
        <f t="array" ref="E571">IF(C571=0,"",
HYPERLINK(
"#'2026 Orders'!C"&amp;
MATCH(1,
('2026 Orders'!C:C=C571)*
('2026 Orders'!G:G=G571)*
('2026 Orders'!N:N=N571),
0),
"Open "&amp;C571
))</f>
        <v/>
      </c>
      <c r="F571" s="14">
        <f>'[1]2026 Orders'!F572</f>
        <v>0</v>
      </c>
      <c r="G571" s="14">
        <f>'[1]2026 Orders'!G572</f>
        <v>0</v>
      </c>
      <c r="H571" s="14" t="str" cm="1">
        <f t="array" ref="H571">IFERROR(_xlfn.TEXTJOIN("-",,INDEX(_xlfn.TEXTSPLIT(TableGive[[#This Row],[SKU]],"-"),{1,2})),"")</f>
        <v/>
      </c>
      <c r="I571" s="15" t="str">
        <f>IFERROR(_xlfn.TEXTAFTER(TableGive[[#This Row],[SKU]],"-",-1),"")</f>
        <v/>
      </c>
      <c r="J571" s="14">
        <f>'[1]2026 Orders'!H572</f>
        <v>0</v>
      </c>
      <c r="K571">
        <f>'[1]2026 Orders'!I572</f>
        <v>0</v>
      </c>
      <c r="L571">
        <f>'[1]2026 Orders'!J572</f>
        <v>0</v>
      </c>
      <c r="N571" s="10">
        <f>'[1]2026 Orders'!L572</f>
        <v>0</v>
      </c>
      <c r="O571">
        <f>'[1]2026 Orders'!M572</f>
        <v>0</v>
      </c>
      <c r="P571">
        <f>'[1]2026 Orders'!N572</f>
        <v>0</v>
      </c>
      <c r="Q571">
        <f>'[1]2026 Orders'!O572</f>
        <v>0</v>
      </c>
      <c r="R571">
        <f>'[1]2026 Orders'!P572</f>
        <v>0</v>
      </c>
      <c r="S571">
        <f>'[1]2026 Orders'!Q572</f>
        <v>0</v>
      </c>
      <c r="T571">
        <f>'[1]2026 Orders'!R572</f>
        <v>0</v>
      </c>
      <c r="U571">
        <f>'[1]2026 Orders'!S572</f>
        <v>0</v>
      </c>
      <c r="V571">
        <f>'[1]2026 Orders'!T572</f>
        <v>0</v>
      </c>
      <c r="W571">
        <f>'[1]2026 Orders'!U572</f>
        <v>0</v>
      </c>
      <c r="X571">
        <f>'[1]2026 Orders'!V572</f>
        <v>0</v>
      </c>
      <c r="Y571">
        <f>'[1]2026 Orders'!W572</f>
        <v>0</v>
      </c>
      <c r="Z571">
        <f>'[1]2026 Orders'!X572</f>
        <v>0</v>
      </c>
      <c r="AC571" t="str">
        <f t="shared" si="16"/>
        <v/>
      </c>
      <c r="AD571" t="str">
        <f t="shared" si="17"/>
        <v/>
      </c>
    </row>
    <row r="572" spans="1:30" ht="33" hidden="1" customHeight="1" x14ac:dyDescent="0.3">
      <c r="A572">
        <f>'[1]2026 Orders'!A573</f>
        <v>0</v>
      </c>
      <c r="B572" s="14">
        <f>'[1]2026 Orders'!B573</f>
        <v>0</v>
      </c>
      <c r="C572" s="14">
        <f>'[1]2026 Orders'!C573</f>
        <v>0</v>
      </c>
      <c r="D572" s="14">
        <f>'[1]2026 Orders'!D573</f>
        <v>0</v>
      </c>
      <c r="E572" s="17" t="str" cm="1">
        <f t="array" ref="E572">IF(C572=0,"",
HYPERLINK(
"#'2026 Orders'!C"&amp;
MATCH(1,
('2026 Orders'!C:C=C572)*
('2026 Orders'!G:G=G572)*
('2026 Orders'!N:N=N572),
0),
"Open "&amp;C572
))</f>
        <v/>
      </c>
      <c r="F572" s="14">
        <f>'[1]2026 Orders'!F573</f>
        <v>0</v>
      </c>
      <c r="G572" s="14">
        <f>'[1]2026 Orders'!G573</f>
        <v>0</v>
      </c>
      <c r="H572" s="14" t="str" cm="1">
        <f t="array" ref="H572">IFERROR(_xlfn.TEXTJOIN("-",,INDEX(_xlfn.TEXTSPLIT(TableGive[[#This Row],[SKU]],"-"),{1,2})),"")</f>
        <v/>
      </c>
      <c r="I572" s="15" t="str">
        <f>IFERROR(_xlfn.TEXTAFTER(TableGive[[#This Row],[SKU]],"-",-1),"")</f>
        <v/>
      </c>
      <c r="J572" s="14">
        <f>'[1]2026 Orders'!H573</f>
        <v>0</v>
      </c>
      <c r="K572">
        <f>'[1]2026 Orders'!I573</f>
        <v>0</v>
      </c>
      <c r="L572">
        <f>'[1]2026 Orders'!J573</f>
        <v>0</v>
      </c>
      <c r="N572" s="10">
        <f>'[1]2026 Orders'!L573</f>
        <v>0</v>
      </c>
      <c r="O572">
        <f>'[1]2026 Orders'!M573</f>
        <v>0</v>
      </c>
      <c r="P572">
        <f>'[1]2026 Orders'!N573</f>
        <v>0</v>
      </c>
      <c r="Q572">
        <f>'[1]2026 Orders'!O573</f>
        <v>0</v>
      </c>
      <c r="R572">
        <f>'[1]2026 Orders'!P573</f>
        <v>0</v>
      </c>
      <c r="S572">
        <f>'[1]2026 Orders'!Q573</f>
        <v>0</v>
      </c>
      <c r="T572">
        <f>'[1]2026 Orders'!R573</f>
        <v>0</v>
      </c>
      <c r="U572">
        <f>'[1]2026 Orders'!S573</f>
        <v>0</v>
      </c>
      <c r="V572">
        <f>'[1]2026 Orders'!T573</f>
        <v>0</v>
      </c>
      <c r="W572">
        <f>'[1]2026 Orders'!U573</f>
        <v>0</v>
      </c>
      <c r="X572">
        <f>'[1]2026 Orders'!V573</f>
        <v>0</v>
      </c>
      <c r="Y572">
        <f>'[1]2026 Orders'!W573</f>
        <v>0</v>
      </c>
      <c r="Z572">
        <f>'[1]2026 Orders'!X573</f>
        <v>0</v>
      </c>
      <c r="AC572" t="str">
        <f t="shared" si="16"/>
        <v/>
      </c>
      <c r="AD572" t="str">
        <f t="shared" si="17"/>
        <v/>
      </c>
    </row>
    <row r="573" spans="1:30" ht="33" hidden="1" customHeight="1" x14ac:dyDescent="0.3">
      <c r="A573">
        <f>'[1]2026 Orders'!A574</f>
        <v>0</v>
      </c>
      <c r="B573" s="14">
        <f>'[1]2026 Orders'!B574</f>
        <v>0</v>
      </c>
      <c r="C573" s="14">
        <f>'[1]2026 Orders'!C574</f>
        <v>0</v>
      </c>
      <c r="D573" s="14">
        <f>'[1]2026 Orders'!D574</f>
        <v>0</v>
      </c>
      <c r="E573" s="17" t="str" cm="1">
        <f t="array" ref="E573">IF(C573=0,"",
HYPERLINK(
"#'2026 Orders'!C"&amp;
MATCH(1,
('2026 Orders'!C:C=C573)*
('2026 Orders'!G:G=G573)*
('2026 Orders'!N:N=N573),
0),
"Open "&amp;C573
))</f>
        <v/>
      </c>
      <c r="F573" s="14">
        <f>'[1]2026 Orders'!F574</f>
        <v>0</v>
      </c>
      <c r="G573" s="14">
        <f>'[1]2026 Orders'!G574</f>
        <v>0</v>
      </c>
      <c r="H573" s="14" t="str" cm="1">
        <f t="array" ref="H573">IFERROR(_xlfn.TEXTJOIN("-",,INDEX(_xlfn.TEXTSPLIT(TableGive[[#This Row],[SKU]],"-"),{1,2})),"")</f>
        <v/>
      </c>
      <c r="I573" s="15" t="str">
        <f>IFERROR(_xlfn.TEXTAFTER(TableGive[[#This Row],[SKU]],"-",-1),"")</f>
        <v/>
      </c>
      <c r="J573" s="14">
        <f>'[1]2026 Orders'!H574</f>
        <v>0</v>
      </c>
      <c r="K573">
        <f>'[1]2026 Orders'!I574</f>
        <v>0</v>
      </c>
      <c r="L573">
        <f>'[1]2026 Orders'!J574</f>
        <v>0</v>
      </c>
      <c r="N573" s="10">
        <f>'[1]2026 Orders'!L574</f>
        <v>0</v>
      </c>
      <c r="O573">
        <f>'[1]2026 Orders'!M574</f>
        <v>0</v>
      </c>
      <c r="P573">
        <f>'[1]2026 Orders'!N574</f>
        <v>0</v>
      </c>
      <c r="Q573">
        <f>'[1]2026 Orders'!O574</f>
        <v>0</v>
      </c>
      <c r="R573">
        <f>'[1]2026 Orders'!P574</f>
        <v>0</v>
      </c>
      <c r="S573">
        <f>'[1]2026 Orders'!Q574</f>
        <v>0</v>
      </c>
      <c r="T573">
        <f>'[1]2026 Orders'!R574</f>
        <v>0</v>
      </c>
      <c r="U573">
        <f>'[1]2026 Orders'!S574</f>
        <v>0</v>
      </c>
      <c r="V573">
        <f>'[1]2026 Orders'!T574</f>
        <v>0</v>
      </c>
      <c r="W573">
        <f>'[1]2026 Orders'!U574</f>
        <v>0</v>
      </c>
      <c r="X573">
        <f>'[1]2026 Orders'!V574</f>
        <v>0</v>
      </c>
      <c r="Y573">
        <f>'[1]2026 Orders'!W574</f>
        <v>0</v>
      </c>
      <c r="Z573">
        <f>'[1]2026 Orders'!X574</f>
        <v>0</v>
      </c>
      <c r="AC573" t="str">
        <f t="shared" si="16"/>
        <v/>
      </c>
      <c r="AD573" t="str">
        <f t="shared" si="17"/>
        <v/>
      </c>
    </row>
    <row r="574" spans="1:30" ht="33" hidden="1" customHeight="1" x14ac:dyDescent="0.3">
      <c r="A574">
        <f>'[1]2026 Orders'!A575</f>
        <v>0</v>
      </c>
      <c r="B574" s="14">
        <f>'[1]2026 Orders'!B575</f>
        <v>0</v>
      </c>
      <c r="C574" s="14">
        <f>'[1]2026 Orders'!C575</f>
        <v>0</v>
      </c>
      <c r="D574" s="14">
        <f>'[1]2026 Orders'!D575</f>
        <v>0</v>
      </c>
      <c r="E574" s="17" t="str" cm="1">
        <f t="array" ref="E574">IF(C574=0,"",
HYPERLINK(
"#'2026 Orders'!C"&amp;
MATCH(1,
('2026 Orders'!C:C=C574)*
('2026 Orders'!G:G=G574)*
('2026 Orders'!N:N=N574),
0),
"Open "&amp;C574
))</f>
        <v/>
      </c>
      <c r="F574" s="14">
        <f>'[1]2026 Orders'!F575</f>
        <v>0</v>
      </c>
      <c r="G574" s="14">
        <f>'[1]2026 Orders'!G575</f>
        <v>0</v>
      </c>
      <c r="H574" s="14" t="str" cm="1">
        <f t="array" ref="H574">IFERROR(_xlfn.TEXTJOIN("-",,INDEX(_xlfn.TEXTSPLIT(TableGive[[#This Row],[SKU]],"-"),{1,2})),"")</f>
        <v/>
      </c>
      <c r="I574" s="15" t="str">
        <f>IFERROR(_xlfn.TEXTAFTER(TableGive[[#This Row],[SKU]],"-",-1),"")</f>
        <v/>
      </c>
      <c r="J574" s="14">
        <f>'[1]2026 Orders'!H575</f>
        <v>0</v>
      </c>
      <c r="K574">
        <f>'[1]2026 Orders'!I575</f>
        <v>0</v>
      </c>
      <c r="L574">
        <f>'[1]2026 Orders'!J575</f>
        <v>0</v>
      </c>
      <c r="N574" s="10">
        <f>'[1]2026 Orders'!L575</f>
        <v>0</v>
      </c>
      <c r="O574">
        <f>'[1]2026 Orders'!M575</f>
        <v>0</v>
      </c>
      <c r="P574">
        <f>'[1]2026 Orders'!N575</f>
        <v>0</v>
      </c>
      <c r="Q574">
        <f>'[1]2026 Orders'!O575</f>
        <v>0</v>
      </c>
      <c r="R574">
        <f>'[1]2026 Orders'!P575</f>
        <v>0</v>
      </c>
      <c r="S574">
        <f>'[1]2026 Orders'!Q575</f>
        <v>0</v>
      </c>
      <c r="T574">
        <f>'[1]2026 Orders'!R575</f>
        <v>0</v>
      </c>
      <c r="U574">
        <f>'[1]2026 Orders'!S575</f>
        <v>0</v>
      </c>
      <c r="V574">
        <f>'[1]2026 Orders'!T575</f>
        <v>0</v>
      </c>
      <c r="W574">
        <f>'[1]2026 Orders'!U575</f>
        <v>0</v>
      </c>
      <c r="X574">
        <f>'[1]2026 Orders'!V575</f>
        <v>0</v>
      </c>
      <c r="Y574">
        <f>'[1]2026 Orders'!W575</f>
        <v>0</v>
      </c>
      <c r="Z574">
        <f>'[1]2026 Orders'!X575</f>
        <v>0</v>
      </c>
      <c r="AC574" t="str">
        <f t="shared" si="16"/>
        <v/>
      </c>
      <c r="AD574" t="str">
        <f t="shared" si="17"/>
        <v/>
      </c>
    </row>
    <row r="575" spans="1:30" ht="33" hidden="1" customHeight="1" x14ac:dyDescent="0.3">
      <c r="A575">
        <f>'[1]2026 Orders'!A576</f>
        <v>0</v>
      </c>
      <c r="B575" s="14">
        <f>'[1]2026 Orders'!B576</f>
        <v>0</v>
      </c>
      <c r="C575" s="14">
        <f>'[1]2026 Orders'!C576</f>
        <v>0</v>
      </c>
      <c r="D575" s="14">
        <f>'[1]2026 Orders'!D576</f>
        <v>0</v>
      </c>
      <c r="E575" s="17" t="str" cm="1">
        <f t="array" ref="E575">IF(C575=0,"",
HYPERLINK(
"#'2026 Orders'!C"&amp;
MATCH(1,
('2026 Orders'!C:C=C575)*
('2026 Orders'!G:G=G575)*
('2026 Orders'!N:N=N575),
0),
"Open "&amp;C575
))</f>
        <v/>
      </c>
      <c r="F575" s="14">
        <f>'[1]2026 Orders'!F576</f>
        <v>0</v>
      </c>
      <c r="G575" s="14">
        <f>'[1]2026 Orders'!G576</f>
        <v>0</v>
      </c>
      <c r="H575" s="14" t="str" cm="1">
        <f t="array" ref="H575">IFERROR(_xlfn.TEXTJOIN("-",,INDEX(_xlfn.TEXTSPLIT(TableGive[[#This Row],[SKU]],"-"),{1,2})),"")</f>
        <v/>
      </c>
      <c r="I575" s="15" t="str">
        <f>IFERROR(_xlfn.TEXTAFTER(TableGive[[#This Row],[SKU]],"-",-1),"")</f>
        <v/>
      </c>
      <c r="J575" s="14">
        <f>'[1]2026 Orders'!H576</f>
        <v>0</v>
      </c>
      <c r="K575">
        <f>'[1]2026 Orders'!I576</f>
        <v>0</v>
      </c>
      <c r="L575">
        <f>'[1]2026 Orders'!J576</f>
        <v>0</v>
      </c>
      <c r="N575" s="10">
        <f>'[1]2026 Orders'!L576</f>
        <v>0</v>
      </c>
      <c r="O575">
        <f>'[1]2026 Orders'!M576</f>
        <v>0</v>
      </c>
      <c r="P575">
        <f>'[1]2026 Orders'!N576</f>
        <v>0</v>
      </c>
      <c r="Q575">
        <f>'[1]2026 Orders'!O576</f>
        <v>0</v>
      </c>
      <c r="R575">
        <f>'[1]2026 Orders'!P576</f>
        <v>0</v>
      </c>
      <c r="S575">
        <f>'[1]2026 Orders'!Q576</f>
        <v>0</v>
      </c>
      <c r="T575">
        <f>'[1]2026 Orders'!R576</f>
        <v>0</v>
      </c>
      <c r="U575">
        <f>'[1]2026 Orders'!S576</f>
        <v>0</v>
      </c>
      <c r="V575">
        <f>'[1]2026 Orders'!T576</f>
        <v>0</v>
      </c>
      <c r="W575">
        <f>'[1]2026 Orders'!U576</f>
        <v>0</v>
      </c>
      <c r="X575">
        <f>'[1]2026 Orders'!V576</f>
        <v>0</v>
      </c>
      <c r="Y575">
        <f>'[1]2026 Orders'!W576</f>
        <v>0</v>
      </c>
      <c r="Z575">
        <f>'[1]2026 Orders'!X576</f>
        <v>0</v>
      </c>
      <c r="AC575" t="str">
        <f t="shared" si="16"/>
        <v/>
      </c>
      <c r="AD575" t="str">
        <f t="shared" si="17"/>
        <v/>
      </c>
    </row>
    <row r="576" spans="1:30" ht="33" hidden="1" customHeight="1" x14ac:dyDescent="0.3">
      <c r="A576">
        <f>'[1]2026 Orders'!A577</f>
        <v>0</v>
      </c>
      <c r="B576" s="14">
        <f>'[1]2026 Orders'!B577</f>
        <v>0</v>
      </c>
      <c r="C576" s="14">
        <f>'[1]2026 Orders'!C577</f>
        <v>0</v>
      </c>
      <c r="D576" s="14">
        <f>'[1]2026 Orders'!D577</f>
        <v>0</v>
      </c>
      <c r="E576" s="17" t="str" cm="1">
        <f t="array" ref="E576">IF(C576=0,"",
HYPERLINK(
"#'2026 Orders'!C"&amp;
MATCH(1,
('2026 Orders'!C:C=C576)*
('2026 Orders'!G:G=G576)*
('2026 Orders'!N:N=N576),
0),
"Open "&amp;C576
))</f>
        <v/>
      </c>
      <c r="F576" s="14">
        <f>'[1]2026 Orders'!F577</f>
        <v>0</v>
      </c>
      <c r="G576" s="14">
        <f>'[1]2026 Orders'!G577</f>
        <v>0</v>
      </c>
      <c r="H576" s="14" t="str" cm="1">
        <f t="array" ref="H576">IFERROR(_xlfn.TEXTJOIN("-",,INDEX(_xlfn.TEXTSPLIT(TableGive[[#This Row],[SKU]],"-"),{1,2})),"")</f>
        <v/>
      </c>
      <c r="I576" s="15" t="str">
        <f>IFERROR(_xlfn.TEXTAFTER(TableGive[[#This Row],[SKU]],"-",-1),"")</f>
        <v/>
      </c>
      <c r="J576" s="14">
        <f>'[1]2026 Orders'!H577</f>
        <v>0</v>
      </c>
      <c r="K576">
        <f>'[1]2026 Orders'!I577</f>
        <v>0</v>
      </c>
      <c r="L576">
        <f>'[1]2026 Orders'!J577</f>
        <v>0</v>
      </c>
      <c r="N576" s="10">
        <f>'[1]2026 Orders'!L577</f>
        <v>0</v>
      </c>
      <c r="O576">
        <f>'[1]2026 Orders'!M577</f>
        <v>0</v>
      </c>
      <c r="P576">
        <f>'[1]2026 Orders'!N577</f>
        <v>0</v>
      </c>
      <c r="Q576">
        <f>'[1]2026 Orders'!O577</f>
        <v>0</v>
      </c>
      <c r="R576">
        <f>'[1]2026 Orders'!P577</f>
        <v>0</v>
      </c>
      <c r="S576">
        <f>'[1]2026 Orders'!Q577</f>
        <v>0</v>
      </c>
      <c r="T576">
        <f>'[1]2026 Orders'!R577</f>
        <v>0</v>
      </c>
      <c r="U576">
        <f>'[1]2026 Orders'!S577</f>
        <v>0</v>
      </c>
      <c r="V576">
        <f>'[1]2026 Orders'!T577</f>
        <v>0</v>
      </c>
      <c r="W576">
        <f>'[1]2026 Orders'!U577</f>
        <v>0</v>
      </c>
      <c r="X576">
        <f>'[1]2026 Orders'!V577</f>
        <v>0</v>
      </c>
      <c r="Y576">
        <f>'[1]2026 Orders'!W577</f>
        <v>0</v>
      </c>
      <c r="Z576">
        <f>'[1]2026 Orders'!X577</f>
        <v>0</v>
      </c>
      <c r="AC576" t="str">
        <f t="shared" si="16"/>
        <v/>
      </c>
      <c r="AD576" t="str">
        <f t="shared" si="17"/>
        <v/>
      </c>
    </row>
    <row r="577" spans="1:30" ht="33" hidden="1" customHeight="1" x14ac:dyDescent="0.3">
      <c r="A577">
        <f>'[1]2026 Orders'!A578</f>
        <v>0</v>
      </c>
      <c r="B577" s="14">
        <f>'[1]2026 Orders'!B578</f>
        <v>0</v>
      </c>
      <c r="C577" s="14">
        <f>'[1]2026 Orders'!C578</f>
        <v>0</v>
      </c>
      <c r="D577" s="14">
        <f>'[1]2026 Orders'!D578</f>
        <v>0</v>
      </c>
      <c r="E577" s="17" t="str" cm="1">
        <f t="array" ref="E577">IF(C577=0,"",
HYPERLINK(
"#'2026 Orders'!C"&amp;
MATCH(1,
('2026 Orders'!C:C=C577)*
('2026 Orders'!G:G=G577)*
('2026 Orders'!N:N=N577),
0),
"Open "&amp;C577
))</f>
        <v/>
      </c>
      <c r="F577" s="14">
        <f>'[1]2026 Orders'!F578</f>
        <v>0</v>
      </c>
      <c r="G577" s="14">
        <f>'[1]2026 Orders'!G578</f>
        <v>0</v>
      </c>
      <c r="H577" s="14" t="str" cm="1">
        <f t="array" ref="H577">IFERROR(_xlfn.TEXTJOIN("-",,INDEX(_xlfn.TEXTSPLIT(TableGive[[#This Row],[SKU]],"-"),{1,2})),"")</f>
        <v/>
      </c>
      <c r="I577" s="15" t="str">
        <f>IFERROR(_xlfn.TEXTAFTER(TableGive[[#This Row],[SKU]],"-",-1),"")</f>
        <v/>
      </c>
      <c r="J577" s="14">
        <f>'[1]2026 Orders'!H578</f>
        <v>0</v>
      </c>
      <c r="K577">
        <f>'[1]2026 Orders'!I578</f>
        <v>0</v>
      </c>
      <c r="L577">
        <f>'[1]2026 Orders'!J578</f>
        <v>0</v>
      </c>
      <c r="N577" s="10">
        <f>'[1]2026 Orders'!L578</f>
        <v>0</v>
      </c>
      <c r="O577">
        <f>'[1]2026 Orders'!M578</f>
        <v>0</v>
      </c>
      <c r="P577">
        <f>'[1]2026 Orders'!N578</f>
        <v>0</v>
      </c>
      <c r="Q577">
        <f>'[1]2026 Orders'!O578</f>
        <v>0</v>
      </c>
      <c r="R577">
        <f>'[1]2026 Orders'!P578</f>
        <v>0</v>
      </c>
      <c r="S577">
        <f>'[1]2026 Orders'!Q578</f>
        <v>0</v>
      </c>
      <c r="T577">
        <f>'[1]2026 Orders'!R578</f>
        <v>0</v>
      </c>
      <c r="U577">
        <f>'[1]2026 Orders'!S578</f>
        <v>0</v>
      </c>
      <c r="V577">
        <f>'[1]2026 Orders'!T578</f>
        <v>0</v>
      </c>
      <c r="W577">
        <f>'[1]2026 Orders'!U578</f>
        <v>0</v>
      </c>
      <c r="X577">
        <f>'[1]2026 Orders'!V578</f>
        <v>0</v>
      </c>
      <c r="Y577">
        <f>'[1]2026 Orders'!W578</f>
        <v>0</v>
      </c>
      <c r="Z577">
        <f>'[1]2026 Orders'!X578</f>
        <v>0</v>
      </c>
      <c r="AC577" t="str">
        <f t="shared" si="16"/>
        <v/>
      </c>
      <c r="AD577" t="str">
        <f t="shared" si="17"/>
        <v/>
      </c>
    </row>
    <row r="578" spans="1:30" ht="33" hidden="1" customHeight="1" x14ac:dyDescent="0.3">
      <c r="A578">
        <f>'[1]2026 Orders'!A579</f>
        <v>0</v>
      </c>
      <c r="B578" s="14">
        <f>'[1]2026 Orders'!B579</f>
        <v>0</v>
      </c>
      <c r="C578" s="14">
        <f>'[1]2026 Orders'!C579</f>
        <v>0</v>
      </c>
      <c r="D578" s="14">
        <f>'[1]2026 Orders'!D579</f>
        <v>0</v>
      </c>
      <c r="E578" s="17" t="str" cm="1">
        <f t="array" ref="E578">IF(C578=0,"",
HYPERLINK(
"#'2026 Orders'!C"&amp;
MATCH(1,
('2026 Orders'!C:C=C578)*
('2026 Orders'!G:G=G578)*
('2026 Orders'!N:N=N578),
0),
"Open "&amp;C578
))</f>
        <v/>
      </c>
      <c r="F578" s="14">
        <f>'[1]2026 Orders'!F579</f>
        <v>0</v>
      </c>
      <c r="G578" s="14">
        <f>'[1]2026 Orders'!G579</f>
        <v>0</v>
      </c>
      <c r="H578" s="14" t="str" cm="1">
        <f t="array" ref="H578">IFERROR(_xlfn.TEXTJOIN("-",,INDEX(_xlfn.TEXTSPLIT(TableGive[[#This Row],[SKU]],"-"),{1,2})),"")</f>
        <v/>
      </c>
      <c r="I578" s="15" t="str">
        <f>IFERROR(_xlfn.TEXTAFTER(TableGive[[#This Row],[SKU]],"-",-1),"")</f>
        <v/>
      </c>
      <c r="J578" s="14">
        <f>'[1]2026 Orders'!H579</f>
        <v>0</v>
      </c>
      <c r="K578">
        <f>'[1]2026 Orders'!I579</f>
        <v>0</v>
      </c>
      <c r="L578">
        <f>'[1]2026 Orders'!J579</f>
        <v>0</v>
      </c>
      <c r="N578" s="10">
        <f>'[1]2026 Orders'!L579</f>
        <v>0</v>
      </c>
      <c r="O578">
        <f>'[1]2026 Orders'!M579</f>
        <v>0</v>
      </c>
      <c r="P578">
        <f>'[1]2026 Orders'!N579</f>
        <v>0</v>
      </c>
      <c r="Q578">
        <f>'[1]2026 Orders'!O579</f>
        <v>0</v>
      </c>
      <c r="R578">
        <f>'[1]2026 Orders'!P579</f>
        <v>0</v>
      </c>
      <c r="S578">
        <f>'[1]2026 Orders'!Q579</f>
        <v>0</v>
      </c>
      <c r="T578">
        <f>'[1]2026 Orders'!R579</f>
        <v>0</v>
      </c>
      <c r="U578">
        <f>'[1]2026 Orders'!S579</f>
        <v>0</v>
      </c>
      <c r="V578">
        <f>'[1]2026 Orders'!T579</f>
        <v>0</v>
      </c>
      <c r="W578">
        <f>'[1]2026 Orders'!U579</f>
        <v>0</v>
      </c>
      <c r="X578">
        <f>'[1]2026 Orders'!V579</f>
        <v>0</v>
      </c>
      <c r="Y578">
        <f>'[1]2026 Orders'!W579</f>
        <v>0</v>
      </c>
      <c r="Z578">
        <f>'[1]2026 Orders'!X579</f>
        <v>0</v>
      </c>
      <c r="AC578" t="str">
        <f t="shared" si="16"/>
        <v/>
      </c>
      <c r="AD578" t="str">
        <f t="shared" si="17"/>
        <v/>
      </c>
    </row>
    <row r="579" spans="1:30" ht="33" hidden="1" customHeight="1" x14ac:dyDescent="0.3">
      <c r="A579">
        <f>'[1]2026 Orders'!A580</f>
        <v>0</v>
      </c>
      <c r="B579" s="14">
        <f>'[1]2026 Orders'!B580</f>
        <v>0</v>
      </c>
      <c r="C579" s="14">
        <f>'[1]2026 Orders'!C580</f>
        <v>0</v>
      </c>
      <c r="D579" s="14">
        <f>'[1]2026 Orders'!D580</f>
        <v>0</v>
      </c>
      <c r="E579" s="17" t="str" cm="1">
        <f t="array" ref="E579">IF(C579=0,"",
HYPERLINK(
"#'2026 Orders'!C"&amp;
MATCH(1,
('2026 Orders'!C:C=C579)*
('2026 Orders'!G:G=G579)*
('2026 Orders'!N:N=N579),
0),
"Open "&amp;C579
))</f>
        <v/>
      </c>
      <c r="F579" s="14">
        <f>'[1]2026 Orders'!F580</f>
        <v>0</v>
      </c>
      <c r="G579" s="14">
        <f>'[1]2026 Orders'!G580</f>
        <v>0</v>
      </c>
      <c r="H579" s="14" t="str" cm="1">
        <f t="array" ref="H579">IFERROR(_xlfn.TEXTJOIN("-",,INDEX(_xlfn.TEXTSPLIT(TableGive[[#This Row],[SKU]],"-"),{1,2})),"")</f>
        <v/>
      </c>
      <c r="I579" s="15" t="str">
        <f>IFERROR(_xlfn.TEXTAFTER(TableGive[[#This Row],[SKU]],"-",-1),"")</f>
        <v/>
      </c>
      <c r="J579" s="14">
        <f>'[1]2026 Orders'!H580</f>
        <v>0</v>
      </c>
      <c r="K579">
        <f>'[1]2026 Orders'!I580</f>
        <v>0</v>
      </c>
      <c r="L579">
        <f>'[1]2026 Orders'!J580</f>
        <v>0</v>
      </c>
      <c r="N579" s="10">
        <f>'[1]2026 Orders'!L580</f>
        <v>0</v>
      </c>
      <c r="O579">
        <f>'[1]2026 Orders'!M580</f>
        <v>0</v>
      </c>
      <c r="P579">
        <f>'[1]2026 Orders'!N580</f>
        <v>0</v>
      </c>
      <c r="Q579">
        <f>'[1]2026 Orders'!O580</f>
        <v>0</v>
      </c>
      <c r="R579">
        <f>'[1]2026 Orders'!P580</f>
        <v>0</v>
      </c>
      <c r="S579">
        <f>'[1]2026 Orders'!Q580</f>
        <v>0</v>
      </c>
      <c r="T579">
        <f>'[1]2026 Orders'!R580</f>
        <v>0</v>
      </c>
      <c r="U579">
        <f>'[1]2026 Orders'!S580</f>
        <v>0</v>
      </c>
      <c r="V579">
        <f>'[1]2026 Orders'!T580</f>
        <v>0</v>
      </c>
      <c r="W579">
        <f>'[1]2026 Orders'!U580</f>
        <v>0</v>
      </c>
      <c r="X579">
        <f>'[1]2026 Orders'!V580</f>
        <v>0</v>
      </c>
      <c r="Y579">
        <f>'[1]2026 Orders'!W580</f>
        <v>0</v>
      </c>
      <c r="Z579">
        <f>'[1]2026 Orders'!X580</f>
        <v>0</v>
      </c>
      <c r="AC579" t="str">
        <f t="shared" ref="AC579:AC642" si="18">IF(OR(B579="",B579=0),"",$AJ$2&amp;"/"&amp;J579)</f>
        <v/>
      </c>
      <c r="AD579" t="str">
        <f t="shared" ref="AD579:AD642" si="19">IF(OR(J579="",J579=0),"",$AK$2&amp;" -&gt; "&amp;I579)</f>
        <v/>
      </c>
    </row>
    <row r="580" spans="1:30" ht="33" hidden="1" customHeight="1" x14ac:dyDescent="0.3">
      <c r="A580">
        <f>'[1]2026 Orders'!A581</f>
        <v>0</v>
      </c>
      <c r="B580" s="14">
        <f>'[1]2026 Orders'!B581</f>
        <v>0</v>
      </c>
      <c r="C580" s="14">
        <f>'[1]2026 Orders'!C581</f>
        <v>0</v>
      </c>
      <c r="D580" s="14">
        <f>'[1]2026 Orders'!D581</f>
        <v>0</v>
      </c>
      <c r="E580" s="17" t="str" cm="1">
        <f t="array" ref="E580">IF(C580=0,"",
HYPERLINK(
"#'2026 Orders'!C"&amp;
MATCH(1,
('2026 Orders'!C:C=C580)*
('2026 Orders'!G:G=G580)*
('2026 Orders'!N:N=N580),
0),
"Open "&amp;C580
))</f>
        <v/>
      </c>
      <c r="F580" s="14">
        <f>'[1]2026 Orders'!F581</f>
        <v>0</v>
      </c>
      <c r="G580" s="14">
        <f>'[1]2026 Orders'!G581</f>
        <v>0</v>
      </c>
      <c r="H580" s="14" t="str" cm="1">
        <f t="array" ref="H580">IFERROR(_xlfn.TEXTJOIN("-",,INDEX(_xlfn.TEXTSPLIT(TableGive[[#This Row],[SKU]],"-"),{1,2})),"")</f>
        <v/>
      </c>
      <c r="I580" s="15" t="str">
        <f>IFERROR(_xlfn.TEXTAFTER(TableGive[[#This Row],[SKU]],"-",-1),"")</f>
        <v/>
      </c>
      <c r="J580" s="14">
        <f>'[1]2026 Orders'!H581</f>
        <v>0</v>
      </c>
      <c r="K580">
        <f>'[1]2026 Orders'!I581</f>
        <v>0</v>
      </c>
      <c r="L580">
        <f>'[1]2026 Orders'!J581</f>
        <v>0</v>
      </c>
      <c r="N580" s="10">
        <f>'[1]2026 Orders'!L581</f>
        <v>0</v>
      </c>
      <c r="O580">
        <f>'[1]2026 Orders'!M581</f>
        <v>0</v>
      </c>
      <c r="P580">
        <f>'[1]2026 Orders'!N581</f>
        <v>0</v>
      </c>
      <c r="Q580">
        <f>'[1]2026 Orders'!O581</f>
        <v>0</v>
      </c>
      <c r="R580">
        <f>'[1]2026 Orders'!P581</f>
        <v>0</v>
      </c>
      <c r="S580">
        <f>'[1]2026 Orders'!Q581</f>
        <v>0</v>
      </c>
      <c r="T580">
        <f>'[1]2026 Orders'!R581</f>
        <v>0</v>
      </c>
      <c r="U580">
        <f>'[1]2026 Orders'!S581</f>
        <v>0</v>
      </c>
      <c r="V580">
        <f>'[1]2026 Orders'!T581</f>
        <v>0</v>
      </c>
      <c r="W580">
        <f>'[1]2026 Orders'!U581</f>
        <v>0</v>
      </c>
      <c r="X580">
        <f>'[1]2026 Orders'!V581</f>
        <v>0</v>
      </c>
      <c r="Y580">
        <f>'[1]2026 Orders'!W581</f>
        <v>0</v>
      </c>
      <c r="Z580">
        <f>'[1]2026 Orders'!X581</f>
        <v>0</v>
      </c>
      <c r="AC580" t="str">
        <f t="shared" si="18"/>
        <v/>
      </c>
      <c r="AD580" t="str">
        <f t="shared" si="19"/>
        <v/>
      </c>
    </row>
    <row r="581" spans="1:30" ht="33" hidden="1" customHeight="1" x14ac:dyDescent="0.3">
      <c r="A581">
        <f>'[1]2026 Orders'!A582</f>
        <v>0</v>
      </c>
      <c r="B581" s="14">
        <f>'[1]2026 Orders'!B582</f>
        <v>0</v>
      </c>
      <c r="C581" s="14">
        <f>'[1]2026 Orders'!C582</f>
        <v>0</v>
      </c>
      <c r="D581" s="14">
        <f>'[1]2026 Orders'!D582</f>
        <v>0</v>
      </c>
      <c r="E581" s="17" t="str" cm="1">
        <f t="array" ref="E581">IF(C581=0,"",
HYPERLINK(
"#'2026 Orders'!C"&amp;
MATCH(1,
('2026 Orders'!C:C=C581)*
('2026 Orders'!G:G=G581)*
('2026 Orders'!N:N=N581),
0),
"Open "&amp;C581
))</f>
        <v/>
      </c>
      <c r="F581" s="14">
        <f>'[1]2026 Orders'!F582</f>
        <v>0</v>
      </c>
      <c r="G581" s="14">
        <f>'[1]2026 Orders'!G582</f>
        <v>0</v>
      </c>
      <c r="H581" s="14" t="str" cm="1">
        <f t="array" ref="H581">IFERROR(_xlfn.TEXTJOIN("-",,INDEX(_xlfn.TEXTSPLIT(TableGive[[#This Row],[SKU]],"-"),{1,2})),"")</f>
        <v/>
      </c>
      <c r="I581" s="15" t="str">
        <f>IFERROR(_xlfn.TEXTAFTER(TableGive[[#This Row],[SKU]],"-",-1),"")</f>
        <v/>
      </c>
      <c r="J581" s="14">
        <f>'[1]2026 Orders'!H582</f>
        <v>0</v>
      </c>
      <c r="K581">
        <f>'[1]2026 Orders'!I582</f>
        <v>0</v>
      </c>
      <c r="L581">
        <f>'[1]2026 Orders'!J582</f>
        <v>0</v>
      </c>
      <c r="N581" s="10">
        <f>'[1]2026 Orders'!L582</f>
        <v>0</v>
      </c>
      <c r="O581">
        <f>'[1]2026 Orders'!M582</f>
        <v>0</v>
      </c>
      <c r="P581">
        <f>'[1]2026 Orders'!N582</f>
        <v>0</v>
      </c>
      <c r="Q581">
        <f>'[1]2026 Orders'!O582</f>
        <v>0</v>
      </c>
      <c r="R581">
        <f>'[1]2026 Orders'!P582</f>
        <v>0</v>
      </c>
      <c r="S581">
        <f>'[1]2026 Orders'!Q582</f>
        <v>0</v>
      </c>
      <c r="T581">
        <f>'[1]2026 Orders'!R582</f>
        <v>0</v>
      </c>
      <c r="U581">
        <f>'[1]2026 Orders'!S582</f>
        <v>0</v>
      </c>
      <c r="V581">
        <f>'[1]2026 Orders'!T582</f>
        <v>0</v>
      </c>
      <c r="W581">
        <f>'[1]2026 Orders'!U582</f>
        <v>0</v>
      </c>
      <c r="X581">
        <f>'[1]2026 Orders'!V582</f>
        <v>0</v>
      </c>
      <c r="Y581">
        <f>'[1]2026 Orders'!W582</f>
        <v>0</v>
      </c>
      <c r="Z581">
        <f>'[1]2026 Orders'!X582</f>
        <v>0</v>
      </c>
      <c r="AC581" t="str">
        <f t="shared" si="18"/>
        <v/>
      </c>
      <c r="AD581" t="str">
        <f t="shared" si="19"/>
        <v/>
      </c>
    </row>
    <row r="582" spans="1:30" ht="33" hidden="1" customHeight="1" x14ac:dyDescent="0.3">
      <c r="A582">
        <f>'[1]2026 Orders'!A583</f>
        <v>0</v>
      </c>
      <c r="B582" s="14">
        <f>'[1]2026 Orders'!B583</f>
        <v>0</v>
      </c>
      <c r="C582" s="14">
        <f>'[1]2026 Orders'!C583</f>
        <v>0</v>
      </c>
      <c r="D582" s="14">
        <f>'[1]2026 Orders'!D583</f>
        <v>0</v>
      </c>
      <c r="E582" s="17" t="str" cm="1">
        <f t="array" ref="E582">IF(C582=0,"",
HYPERLINK(
"#'2026 Orders'!C"&amp;
MATCH(1,
('2026 Orders'!C:C=C582)*
('2026 Orders'!G:G=G582)*
('2026 Orders'!N:N=N582),
0),
"Open "&amp;C582
))</f>
        <v/>
      </c>
      <c r="F582" s="14">
        <f>'[1]2026 Orders'!F583</f>
        <v>0</v>
      </c>
      <c r="G582" s="14">
        <f>'[1]2026 Orders'!G583</f>
        <v>0</v>
      </c>
      <c r="H582" s="14" t="str" cm="1">
        <f t="array" ref="H582">IFERROR(_xlfn.TEXTJOIN("-",,INDEX(_xlfn.TEXTSPLIT(TableGive[[#This Row],[SKU]],"-"),{1,2})),"")</f>
        <v/>
      </c>
      <c r="I582" s="15" t="str">
        <f>IFERROR(_xlfn.TEXTAFTER(TableGive[[#This Row],[SKU]],"-",-1),"")</f>
        <v/>
      </c>
      <c r="J582" s="14">
        <f>'[1]2026 Orders'!H583</f>
        <v>0</v>
      </c>
      <c r="K582">
        <f>'[1]2026 Orders'!I583</f>
        <v>0</v>
      </c>
      <c r="L582">
        <f>'[1]2026 Orders'!J583</f>
        <v>0</v>
      </c>
      <c r="N582" s="10">
        <f>'[1]2026 Orders'!L583</f>
        <v>0</v>
      </c>
      <c r="O582">
        <f>'[1]2026 Orders'!M583</f>
        <v>0</v>
      </c>
      <c r="P582">
        <f>'[1]2026 Orders'!N583</f>
        <v>0</v>
      </c>
      <c r="Q582">
        <f>'[1]2026 Orders'!O583</f>
        <v>0</v>
      </c>
      <c r="R582">
        <f>'[1]2026 Orders'!P583</f>
        <v>0</v>
      </c>
      <c r="S582">
        <f>'[1]2026 Orders'!Q583</f>
        <v>0</v>
      </c>
      <c r="T582">
        <f>'[1]2026 Orders'!R583</f>
        <v>0</v>
      </c>
      <c r="U582">
        <f>'[1]2026 Orders'!S583</f>
        <v>0</v>
      </c>
      <c r="V582">
        <f>'[1]2026 Orders'!T583</f>
        <v>0</v>
      </c>
      <c r="W582">
        <f>'[1]2026 Orders'!U583</f>
        <v>0</v>
      </c>
      <c r="X582">
        <f>'[1]2026 Orders'!V583</f>
        <v>0</v>
      </c>
      <c r="Y582">
        <f>'[1]2026 Orders'!W583</f>
        <v>0</v>
      </c>
      <c r="Z582">
        <f>'[1]2026 Orders'!X583</f>
        <v>0</v>
      </c>
      <c r="AC582" t="str">
        <f t="shared" si="18"/>
        <v/>
      </c>
      <c r="AD582" t="str">
        <f t="shared" si="19"/>
        <v/>
      </c>
    </row>
    <row r="583" spans="1:30" ht="33" hidden="1" customHeight="1" x14ac:dyDescent="0.3">
      <c r="A583">
        <f>'[1]2026 Orders'!A584</f>
        <v>0</v>
      </c>
      <c r="B583" s="14">
        <f>'[1]2026 Orders'!B584</f>
        <v>0</v>
      </c>
      <c r="C583" s="14">
        <f>'[1]2026 Orders'!C584</f>
        <v>0</v>
      </c>
      <c r="D583" s="14">
        <f>'[1]2026 Orders'!D584</f>
        <v>0</v>
      </c>
      <c r="E583" s="17" t="str" cm="1">
        <f t="array" ref="E583">IF(C583=0,"",
HYPERLINK(
"#'2026 Orders'!C"&amp;
MATCH(1,
('2026 Orders'!C:C=C583)*
('2026 Orders'!G:G=G583)*
('2026 Orders'!N:N=N583),
0),
"Open "&amp;C583
))</f>
        <v/>
      </c>
      <c r="F583" s="14">
        <f>'[1]2026 Orders'!F584</f>
        <v>0</v>
      </c>
      <c r="G583" s="14">
        <f>'[1]2026 Orders'!G584</f>
        <v>0</v>
      </c>
      <c r="H583" s="14" t="str" cm="1">
        <f t="array" ref="H583">IFERROR(_xlfn.TEXTJOIN("-",,INDEX(_xlfn.TEXTSPLIT(TableGive[[#This Row],[SKU]],"-"),{1,2})),"")</f>
        <v/>
      </c>
      <c r="I583" s="15" t="str">
        <f>IFERROR(_xlfn.TEXTAFTER(TableGive[[#This Row],[SKU]],"-",-1),"")</f>
        <v/>
      </c>
      <c r="J583" s="14">
        <f>'[1]2026 Orders'!H584</f>
        <v>0</v>
      </c>
      <c r="K583">
        <f>'[1]2026 Orders'!I584</f>
        <v>0</v>
      </c>
      <c r="L583">
        <f>'[1]2026 Orders'!J584</f>
        <v>0</v>
      </c>
      <c r="N583" s="10">
        <f>'[1]2026 Orders'!L584</f>
        <v>0</v>
      </c>
      <c r="O583">
        <f>'[1]2026 Orders'!M584</f>
        <v>0</v>
      </c>
      <c r="P583">
        <f>'[1]2026 Orders'!N584</f>
        <v>0</v>
      </c>
      <c r="Q583">
        <f>'[1]2026 Orders'!O584</f>
        <v>0</v>
      </c>
      <c r="R583">
        <f>'[1]2026 Orders'!P584</f>
        <v>0</v>
      </c>
      <c r="S583">
        <f>'[1]2026 Orders'!Q584</f>
        <v>0</v>
      </c>
      <c r="T583">
        <f>'[1]2026 Orders'!R584</f>
        <v>0</v>
      </c>
      <c r="U583">
        <f>'[1]2026 Orders'!S584</f>
        <v>0</v>
      </c>
      <c r="V583">
        <f>'[1]2026 Orders'!T584</f>
        <v>0</v>
      </c>
      <c r="W583">
        <f>'[1]2026 Orders'!U584</f>
        <v>0</v>
      </c>
      <c r="X583">
        <f>'[1]2026 Orders'!V584</f>
        <v>0</v>
      </c>
      <c r="Y583">
        <f>'[1]2026 Orders'!W584</f>
        <v>0</v>
      </c>
      <c r="Z583">
        <f>'[1]2026 Orders'!X584</f>
        <v>0</v>
      </c>
      <c r="AC583" t="str">
        <f t="shared" si="18"/>
        <v/>
      </c>
      <c r="AD583" t="str">
        <f t="shared" si="19"/>
        <v/>
      </c>
    </row>
    <row r="584" spans="1:30" ht="33" hidden="1" customHeight="1" x14ac:dyDescent="0.3">
      <c r="A584">
        <f>'[1]2026 Orders'!A585</f>
        <v>0</v>
      </c>
      <c r="B584" s="14">
        <f>'[1]2026 Orders'!B585</f>
        <v>0</v>
      </c>
      <c r="C584" s="14">
        <f>'[1]2026 Orders'!C585</f>
        <v>0</v>
      </c>
      <c r="D584" s="14">
        <f>'[1]2026 Orders'!D585</f>
        <v>0</v>
      </c>
      <c r="E584" s="17" t="str" cm="1">
        <f t="array" ref="E584">IF(C584=0,"",
HYPERLINK(
"#'2026 Orders'!C"&amp;
MATCH(1,
('2026 Orders'!C:C=C584)*
('2026 Orders'!G:G=G584)*
('2026 Orders'!N:N=N584),
0),
"Open "&amp;C584
))</f>
        <v/>
      </c>
      <c r="F584" s="14">
        <f>'[1]2026 Orders'!F585</f>
        <v>0</v>
      </c>
      <c r="G584" s="14">
        <f>'[1]2026 Orders'!G585</f>
        <v>0</v>
      </c>
      <c r="H584" s="14" t="str" cm="1">
        <f t="array" ref="H584">IFERROR(_xlfn.TEXTJOIN("-",,INDEX(_xlfn.TEXTSPLIT(TableGive[[#This Row],[SKU]],"-"),{1,2})),"")</f>
        <v/>
      </c>
      <c r="I584" s="15" t="str">
        <f>IFERROR(_xlfn.TEXTAFTER(TableGive[[#This Row],[SKU]],"-",-1),"")</f>
        <v/>
      </c>
      <c r="J584" s="14">
        <f>'[1]2026 Orders'!H585</f>
        <v>0</v>
      </c>
      <c r="K584">
        <f>'[1]2026 Orders'!I585</f>
        <v>0</v>
      </c>
      <c r="L584">
        <f>'[1]2026 Orders'!J585</f>
        <v>0</v>
      </c>
      <c r="N584" s="10">
        <f>'[1]2026 Orders'!L585</f>
        <v>0</v>
      </c>
      <c r="O584">
        <f>'[1]2026 Orders'!M585</f>
        <v>0</v>
      </c>
      <c r="P584">
        <f>'[1]2026 Orders'!N585</f>
        <v>0</v>
      </c>
      <c r="Q584">
        <f>'[1]2026 Orders'!O585</f>
        <v>0</v>
      </c>
      <c r="R584">
        <f>'[1]2026 Orders'!P585</f>
        <v>0</v>
      </c>
      <c r="S584">
        <f>'[1]2026 Orders'!Q585</f>
        <v>0</v>
      </c>
      <c r="T584">
        <f>'[1]2026 Orders'!R585</f>
        <v>0</v>
      </c>
      <c r="U584">
        <f>'[1]2026 Orders'!S585</f>
        <v>0</v>
      </c>
      <c r="V584">
        <f>'[1]2026 Orders'!T585</f>
        <v>0</v>
      </c>
      <c r="W584">
        <f>'[1]2026 Orders'!U585</f>
        <v>0</v>
      </c>
      <c r="X584">
        <f>'[1]2026 Orders'!V585</f>
        <v>0</v>
      </c>
      <c r="Y584">
        <f>'[1]2026 Orders'!W585</f>
        <v>0</v>
      </c>
      <c r="Z584">
        <f>'[1]2026 Orders'!X585</f>
        <v>0</v>
      </c>
      <c r="AC584" t="str">
        <f t="shared" si="18"/>
        <v/>
      </c>
      <c r="AD584" t="str">
        <f t="shared" si="19"/>
        <v/>
      </c>
    </row>
    <row r="585" spans="1:30" ht="33" hidden="1" customHeight="1" x14ac:dyDescent="0.3">
      <c r="A585">
        <f>'[1]2026 Orders'!A586</f>
        <v>0</v>
      </c>
      <c r="B585" s="14">
        <f>'[1]2026 Orders'!B586</f>
        <v>0</v>
      </c>
      <c r="C585" s="14">
        <f>'[1]2026 Orders'!C586</f>
        <v>0</v>
      </c>
      <c r="D585" s="14">
        <f>'[1]2026 Orders'!D586</f>
        <v>0</v>
      </c>
      <c r="E585" s="17" t="str" cm="1">
        <f t="array" ref="E585">IF(C585=0,"",
HYPERLINK(
"#'2026 Orders'!C"&amp;
MATCH(1,
('2026 Orders'!C:C=C585)*
('2026 Orders'!G:G=G585)*
('2026 Orders'!N:N=N585),
0),
"Open "&amp;C585
))</f>
        <v/>
      </c>
      <c r="F585" s="14">
        <f>'[1]2026 Orders'!F586</f>
        <v>0</v>
      </c>
      <c r="G585" s="14">
        <f>'[1]2026 Orders'!G586</f>
        <v>0</v>
      </c>
      <c r="H585" s="14" t="str" cm="1">
        <f t="array" ref="H585">IFERROR(_xlfn.TEXTJOIN("-",,INDEX(_xlfn.TEXTSPLIT(TableGive[[#This Row],[SKU]],"-"),{1,2})),"")</f>
        <v/>
      </c>
      <c r="I585" s="15" t="str">
        <f>IFERROR(_xlfn.TEXTAFTER(TableGive[[#This Row],[SKU]],"-",-1),"")</f>
        <v/>
      </c>
      <c r="J585" s="14">
        <f>'[1]2026 Orders'!H586</f>
        <v>0</v>
      </c>
      <c r="K585">
        <f>'[1]2026 Orders'!I586</f>
        <v>0</v>
      </c>
      <c r="L585">
        <f>'[1]2026 Orders'!J586</f>
        <v>0</v>
      </c>
      <c r="N585" s="10">
        <f>'[1]2026 Orders'!L586</f>
        <v>0</v>
      </c>
      <c r="O585">
        <f>'[1]2026 Orders'!M586</f>
        <v>0</v>
      </c>
      <c r="P585">
        <f>'[1]2026 Orders'!N586</f>
        <v>0</v>
      </c>
      <c r="Q585">
        <f>'[1]2026 Orders'!O586</f>
        <v>0</v>
      </c>
      <c r="R585">
        <f>'[1]2026 Orders'!P586</f>
        <v>0</v>
      </c>
      <c r="S585">
        <f>'[1]2026 Orders'!Q586</f>
        <v>0</v>
      </c>
      <c r="T585">
        <f>'[1]2026 Orders'!R586</f>
        <v>0</v>
      </c>
      <c r="U585">
        <f>'[1]2026 Orders'!S586</f>
        <v>0</v>
      </c>
      <c r="V585">
        <f>'[1]2026 Orders'!T586</f>
        <v>0</v>
      </c>
      <c r="W585">
        <f>'[1]2026 Orders'!U586</f>
        <v>0</v>
      </c>
      <c r="X585">
        <f>'[1]2026 Orders'!V586</f>
        <v>0</v>
      </c>
      <c r="Y585">
        <f>'[1]2026 Orders'!W586</f>
        <v>0</v>
      </c>
      <c r="Z585">
        <f>'[1]2026 Orders'!X586</f>
        <v>0</v>
      </c>
      <c r="AC585" t="str">
        <f t="shared" si="18"/>
        <v/>
      </c>
      <c r="AD585" t="str">
        <f t="shared" si="19"/>
        <v/>
      </c>
    </row>
    <row r="586" spans="1:30" ht="33" hidden="1" customHeight="1" x14ac:dyDescent="0.3">
      <c r="A586">
        <f>'[1]2026 Orders'!A587</f>
        <v>0</v>
      </c>
      <c r="B586" s="14">
        <f>'[1]2026 Orders'!B587</f>
        <v>0</v>
      </c>
      <c r="C586" s="14">
        <f>'[1]2026 Orders'!C587</f>
        <v>0</v>
      </c>
      <c r="D586" s="14">
        <f>'[1]2026 Orders'!D587</f>
        <v>0</v>
      </c>
      <c r="E586" s="17" t="str" cm="1">
        <f t="array" ref="E586">IF(C586=0,"",
HYPERLINK(
"#'2026 Orders'!C"&amp;
MATCH(1,
('2026 Orders'!C:C=C586)*
('2026 Orders'!G:G=G586)*
('2026 Orders'!N:N=N586),
0),
"Open "&amp;C586
))</f>
        <v/>
      </c>
      <c r="F586" s="14">
        <f>'[1]2026 Orders'!F587</f>
        <v>0</v>
      </c>
      <c r="G586" s="14">
        <f>'[1]2026 Orders'!G587</f>
        <v>0</v>
      </c>
      <c r="H586" s="14" t="str" cm="1">
        <f t="array" ref="H586">IFERROR(_xlfn.TEXTJOIN("-",,INDEX(_xlfn.TEXTSPLIT(TableGive[[#This Row],[SKU]],"-"),{1,2})),"")</f>
        <v/>
      </c>
      <c r="I586" s="15" t="str">
        <f>IFERROR(_xlfn.TEXTAFTER(TableGive[[#This Row],[SKU]],"-",-1),"")</f>
        <v/>
      </c>
      <c r="J586" s="14">
        <f>'[1]2026 Orders'!H587</f>
        <v>0</v>
      </c>
      <c r="K586">
        <f>'[1]2026 Orders'!I587</f>
        <v>0</v>
      </c>
      <c r="L586">
        <f>'[1]2026 Orders'!J587</f>
        <v>0</v>
      </c>
      <c r="N586" s="10">
        <f>'[1]2026 Orders'!L587</f>
        <v>0</v>
      </c>
      <c r="O586">
        <f>'[1]2026 Orders'!M587</f>
        <v>0</v>
      </c>
      <c r="P586">
        <f>'[1]2026 Orders'!N587</f>
        <v>0</v>
      </c>
      <c r="Q586">
        <f>'[1]2026 Orders'!O587</f>
        <v>0</v>
      </c>
      <c r="R586">
        <f>'[1]2026 Orders'!P587</f>
        <v>0</v>
      </c>
      <c r="S586">
        <f>'[1]2026 Orders'!Q587</f>
        <v>0</v>
      </c>
      <c r="T586">
        <f>'[1]2026 Orders'!R587</f>
        <v>0</v>
      </c>
      <c r="U586">
        <f>'[1]2026 Orders'!S587</f>
        <v>0</v>
      </c>
      <c r="V586">
        <f>'[1]2026 Orders'!T587</f>
        <v>0</v>
      </c>
      <c r="W586">
        <f>'[1]2026 Orders'!U587</f>
        <v>0</v>
      </c>
      <c r="X586">
        <f>'[1]2026 Orders'!V587</f>
        <v>0</v>
      </c>
      <c r="Y586">
        <f>'[1]2026 Orders'!W587</f>
        <v>0</v>
      </c>
      <c r="Z586">
        <f>'[1]2026 Orders'!X587</f>
        <v>0</v>
      </c>
      <c r="AC586" t="str">
        <f t="shared" si="18"/>
        <v/>
      </c>
      <c r="AD586" t="str">
        <f t="shared" si="19"/>
        <v/>
      </c>
    </row>
    <row r="587" spans="1:30" ht="33" hidden="1" customHeight="1" x14ac:dyDescent="0.3">
      <c r="A587">
        <f>'[1]2026 Orders'!A588</f>
        <v>0</v>
      </c>
      <c r="B587" s="14">
        <f>'[1]2026 Orders'!B588</f>
        <v>0</v>
      </c>
      <c r="C587" s="14">
        <f>'[1]2026 Orders'!C588</f>
        <v>0</v>
      </c>
      <c r="D587" s="14">
        <f>'[1]2026 Orders'!D588</f>
        <v>0</v>
      </c>
      <c r="E587" s="17" t="str" cm="1">
        <f t="array" ref="E587">IF(C587=0,"",
HYPERLINK(
"#'2026 Orders'!C"&amp;
MATCH(1,
('2026 Orders'!C:C=C587)*
('2026 Orders'!G:G=G587)*
('2026 Orders'!N:N=N587),
0),
"Open "&amp;C587
))</f>
        <v/>
      </c>
      <c r="F587" s="14">
        <f>'[1]2026 Orders'!F588</f>
        <v>0</v>
      </c>
      <c r="G587" s="14">
        <f>'[1]2026 Orders'!G588</f>
        <v>0</v>
      </c>
      <c r="H587" s="14" t="str" cm="1">
        <f t="array" ref="H587">IFERROR(_xlfn.TEXTJOIN("-",,INDEX(_xlfn.TEXTSPLIT(TableGive[[#This Row],[SKU]],"-"),{1,2})),"")</f>
        <v/>
      </c>
      <c r="I587" s="15" t="str">
        <f>IFERROR(_xlfn.TEXTAFTER(TableGive[[#This Row],[SKU]],"-",-1),"")</f>
        <v/>
      </c>
      <c r="J587" s="14">
        <f>'[1]2026 Orders'!H588</f>
        <v>0</v>
      </c>
      <c r="K587">
        <f>'[1]2026 Orders'!I588</f>
        <v>0</v>
      </c>
      <c r="L587">
        <f>'[1]2026 Orders'!J588</f>
        <v>0</v>
      </c>
      <c r="N587" s="10">
        <f>'[1]2026 Orders'!L588</f>
        <v>0</v>
      </c>
      <c r="O587">
        <f>'[1]2026 Orders'!M588</f>
        <v>0</v>
      </c>
      <c r="P587">
        <f>'[1]2026 Orders'!N588</f>
        <v>0</v>
      </c>
      <c r="Q587">
        <f>'[1]2026 Orders'!O588</f>
        <v>0</v>
      </c>
      <c r="R587">
        <f>'[1]2026 Orders'!P588</f>
        <v>0</v>
      </c>
      <c r="S587">
        <f>'[1]2026 Orders'!Q588</f>
        <v>0</v>
      </c>
      <c r="T587">
        <f>'[1]2026 Orders'!R588</f>
        <v>0</v>
      </c>
      <c r="U587">
        <f>'[1]2026 Orders'!S588</f>
        <v>0</v>
      </c>
      <c r="V587">
        <f>'[1]2026 Orders'!T588</f>
        <v>0</v>
      </c>
      <c r="W587">
        <f>'[1]2026 Orders'!U588</f>
        <v>0</v>
      </c>
      <c r="X587">
        <f>'[1]2026 Orders'!V588</f>
        <v>0</v>
      </c>
      <c r="Y587">
        <f>'[1]2026 Orders'!W588</f>
        <v>0</v>
      </c>
      <c r="Z587">
        <f>'[1]2026 Orders'!X588</f>
        <v>0</v>
      </c>
      <c r="AC587" t="str">
        <f t="shared" si="18"/>
        <v/>
      </c>
      <c r="AD587" t="str">
        <f t="shared" si="19"/>
        <v/>
      </c>
    </row>
    <row r="588" spans="1:30" ht="33" hidden="1" customHeight="1" x14ac:dyDescent="0.3">
      <c r="A588">
        <f>'[1]2026 Orders'!A589</f>
        <v>0</v>
      </c>
      <c r="B588" s="14">
        <f>'[1]2026 Orders'!B589</f>
        <v>0</v>
      </c>
      <c r="C588" s="14">
        <f>'[1]2026 Orders'!C589</f>
        <v>0</v>
      </c>
      <c r="D588" s="14">
        <f>'[1]2026 Orders'!D589</f>
        <v>0</v>
      </c>
      <c r="E588" s="17" t="str" cm="1">
        <f t="array" ref="E588">IF(C588=0,"",
HYPERLINK(
"#'2026 Orders'!C"&amp;
MATCH(1,
('2026 Orders'!C:C=C588)*
('2026 Orders'!G:G=G588)*
('2026 Orders'!N:N=N588),
0),
"Open "&amp;C588
))</f>
        <v/>
      </c>
      <c r="F588" s="14">
        <f>'[1]2026 Orders'!F589</f>
        <v>0</v>
      </c>
      <c r="G588" s="14">
        <f>'[1]2026 Orders'!G589</f>
        <v>0</v>
      </c>
      <c r="H588" s="14" t="str" cm="1">
        <f t="array" ref="H588">IFERROR(_xlfn.TEXTJOIN("-",,INDEX(_xlfn.TEXTSPLIT(TableGive[[#This Row],[SKU]],"-"),{1,2})),"")</f>
        <v/>
      </c>
      <c r="I588" s="15" t="str">
        <f>IFERROR(_xlfn.TEXTAFTER(TableGive[[#This Row],[SKU]],"-",-1),"")</f>
        <v/>
      </c>
      <c r="J588" s="14">
        <f>'[1]2026 Orders'!H589</f>
        <v>0</v>
      </c>
      <c r="K588">
        <f>'[1]2026 Orders'!I589</f>
        <v>0</v>
      </c>
      <c r="L588">
        <f>'[1]2026 Orders'!J589</f>
        <v>0</v>
      </c>
      <c r="N588" s="10">
        <f>'[1]2026 Orders'!L589</f>
        <v>0</v>
      </c>
      <c r="O588">
        <f>'[1]2026 Orders'!M589</f>
        <v>0</v>
      </c>
      <c r="P588">
        <f>'[1]2026 Orders'!N589</f>
        <v>0</v>
      </c>
      <c r="Q588">
        <f>'[1]2026 Orders'!O589</f>
        <v>0</v>
      </c>
      <c r="R588">
        <f>'[1]2026 Orders'!P589</f>
        <v>0</v>
      </c>
      <c r="S588">
        <f>'[1]2026 Orders'!Q589</f>
        <v>0</v>
      </c>
      <c r="T588">
        <f>'[1]2026 Orders'!R589</f>
        <v>0</v>
      </c>
      <c r="U588">
        <f>'[1]2026 Orders'!S589</f>
        <v>0</v>
      </c>
      <c r="V588">
        <f>'[1]2026 Orders'!T589</f>
        <v>0</v>
      </c>
      <c r="W588">
        <f>'[1]2026 Orders'!U589</f>
        <v>0</v>
      </c>
      <c r="X588">
        <f>'[1]2026 Orders'!V589</f>
        <v>0</v>
      </c>
      <c r="Y588">
        <f>'[1]2026 Orders'!W589</f>
        <v>0</v>
      </c>
      <c r="Z588">
        <f>'[1]2026 Orders'!X589</f>
        <v>0</v>
      </c>
      <c r="AC588" t="str">
        <f t="shared" si="18"/>
        <v/>
      </c>
      <c r="AD588" t="str">
        <f t="shared" si="19"/>
        <v/>
      </c>
    </row>
    <row r="589" spans="1:30" ht="33" hidden="1" customHeight="1" x14ac:dyDescent="0.3">
      <c r="A589">
        <f>'[1]2026 Orders'!A590</f>
        <v>0</v>
      </c>
      <c r="B589" s="14">
        <f>'[1]2026 Orders'!B590</f>
        <v>0</v>
      </c>
      <c r="C589" s="14">
        <f>'[1]2026 Orders'!C590</f>
        <v>0</v>
      </c>
      <c r="D589" s="14">
        <f>'[1]2026 Orders'!D590</f>
        <v>0</v>
      </c>
      <c r="E589" s="17" t="str" cm="1">
        <f t="array" ref="E589">IF(C589=0,"",
HYPERLINK(
"#'2026 Orders'!C"&amp;
MATCH(1,
('2026 Orders'!C:C=C589)*
('2026 Orders'!G:G=G589)*
('2026 Orders'!N:N=N589),
0),
"Open "&amp;C589
))</f>
        <v/>
      </c>
      <c r="F589" s="14">
        <f>'[1]2026 Orders'!F590</f>
        <v>0</v>
      </c>
      <c r="G589" s="14">
        <f>'[1]2026 Orders'!G590</f>
        <v>0</v>
      </c>
      <c r="H589" s="14" t="str" cm="1">
        <f t="array" ref="H589">IFERROR(_xlfn.TEXTJOIN("-",,INDEX(_xlfn.TEXTSPLIT(TableGive[[#This Row],[SKU]],"-"),{1,2})),"")</f>
        <v/>
      </c>
      <c r="I589" s="15" t="str">
        <f>IFERROR(_xlfn.TEXTAFTER(TableGive[[#This Row],[SKU]],"-",-1),"")</f>
        <v/>
      </c>
      <c r="J589" s="14">
        <f>'[1]2026 Orders'!H590</f>
        <v>0</v>
      </c>
      <c r="K589">
        <f>'[1]2026 Orders'!I590</f>
        <v>0</v>
      </c>
      <c r="L589">
        <f>'[1]2026 Orders'!J590</f>
        <v>0</v>
      </c>
      <c r="N589" s="10">
        <f>'[1]2026 Orders'!L590</f>
        <v>0</v>
      </c>
      <c r="O589">
        <f>'[1]2026 Orders'!M590</f>
        <v>0</v>
      </c>
      <c r="P589">
        <f>'[1]2026 Orders'!N590</f>
        <v>0</v>
      </c>
      <c r="Q589">
        <f>'[1]2026 Orders'!O590</f>
        <v>0</v>
      </c>
      <c r="R589">
        <f>'[1]2026 Orders'!P590</f>
        <v>0</v>
      </c>
      <c r="S589">
        <f>'[1]2026 Orders'!Q590</f>
        <v>0</v>
      </c>
      <c r="T589">
        <f>'[1]2026 Orders'!R590</f>
        <v>0</v>
      </c>
      <c r="U589">
        <f>'[1]2026 Orders'!S590</f>
        <v>0</v>
      </c>
      <c r="V589">
        <f>'[1]2026 Orders'!T590</f>
        <v>0</v>
      </c>
      <c r="W589">
        <f>'[1]2026 Orders'!U590</f>
        <v>0</v>
      </c>
      <c r="X589">
        <f>'[1]2026 Orders'!V590</f>
        <v>0</v>
      </c>
      <c r="Y589">
        <f>'[1]2026 Orders'!W590</f>
        <v>0</v>
      </c>
      <c r="Z589">
        <f>'[1]2026 Orders'!X590</f>
        <v>0</v>
      </c>
      <c r="AC589" t="str">
        <f t="shared" si="18"/>
        <v/>
      </c>
      <c r="AD589" t="str">
        <f t="shared" si="19"/>
        <v/>
      </c>
    </row>
    <row r="590" spans="1:30" ht="33" hidden="1" customHeight="1" x14ac:dyDescent="0.3">
      <c r="A590">
        <f>'[1]2026 Orders'!A591</f>
        <v>0</v>
      </c>
      <c r="B590" s="14">
        <f>'[1]2026 Orders'!B591</f>
        <v>0</v>
      </c>
      <c r="C590" s="14">
        <f>'[1]2026 Orders'!C591</f>
        <v>0</v>
      </c>
      <c r="D590" s="14">
        <f>'[1]2026 Orders'!D591</f>
        <v>0</v>
      </c>
      <c r="E590" s="17" t="str" cm="1">
        <f t="array" ref="E590">IF(C590=0,"",
HYPERLINK(
"#'2026 Orders'!C"&amp;
MATCH(1,
('2026 Orders'!C:C=C590)*
('2026 Orders'!G:G=G590)*
('2026 Orders'!N:N=N590),
0),
"Open "&amp;C590
))</f>
        <v/>
      </c>
      <c r="F590" s="14">
        <f>'[1]2026 Orders'!F591</f>
        <v>0</v>
      </c>
      <c r="G590" s="14">
        <f>'[1]2026 Orders'!G591</f>
        <v>0</v>
      </c>
      <c r="H590" s="14" t="str" cm="1">
        <f t="array" ref="H590">IFERROR(_xlfn.TEXTJOIN("-",,INDEX(_xlfn.TEXTSPLIT(TableGive[[#This Row],[SKU]],"-"),{1,2})),"")</f>
        <v/>
      </c>
      <c r="I590" s="15" t="str">
        <f>IFERROR(_xlfn.TEXTAFTER(TableGive[[#This Row],[SKU]],"-",-1),"")</f>
        <v/>
      </c>
      <c r="J590" s="14">
        <f>'[1]2026 Orders'!H591</f>
        <v>0</v>
      </c>
      <c r="K590">
        <f>'[1]2026 Orders'!I591</f>
        <v>0</v>
      </c>
      <c r="L590">
        <f>'[1]2026 Orders'!J591</f>
        <v>0</v>
      </c>
      <c r="N590" s="10">
        <f>'[1]2026 Orders'!L591</f>
        <v>0</v>
      </c>
      <c r="O590">
        <f>'[1]2026 Orders'!M591</f>
        <v>0</v>
      </c>
      <c r="P590">
        <f>'[1]2026 Orders'!N591</f>
        <v>0</v>
      </c>
      <c r="Q590">
        <f>'[1]2026 Orders'!O591</f>
        <v>0</v>
      </c>
      <c r="R590">
        <f>'[1]2026 Orders'!P591</f>
        <v>0</v>
      </c>
      <c r="S590">
        <f>'[1]2026 Orders'!Q591</f>
        <v>0</v>
      </c>
      <c r="T590">
        <f>'[1]2026 Orders'!R591</f>
        <v>0</v>
      </c>
      <c r="U590">
        <f>'[1]2026 Orders'!S591</f>
        <v>0</v>
      </c>
      <c r="V590">
        <f>'[1]2026 Orders'!T591</f>
        <v>0</v>
      </c>
      <c r="W590">
        <f>'[1]2026 Orders'!U591</f>
        <v>0</v>
      </c>
      <c r="X590">
        <f>'[1]2026 Orders'!V591</f>
        <v>0</v>
      </c>
      <c r="Y590">
        <f>'[1]2026 Orders'!W591</f>
        <v>0</v>
      </c>
      <c r="Z590">
        <f>'[1]2026 Orders'!X591</f>
        <v>0</v>
      </c>
      <c r="AC590" t="str">
        <f t="shared" si="18"/>
        <v/>
      </c>
      <c r="AD590" t="str">
        <f t="shared" si="19"/>
        <v/>
      </c>
    </row>
    <row r="591" spans="1:30" ht="33" hidden="1" customHeight="1" x14ac:dyDescent="0.3">
      <c r="A591">
        <f>'[1]2026 Orders'!A592</f>
        <v>0</v>
      </c>
      <c r="B591" s="14">
        <f>'[1]2026 Orders'!B592</f>
        <v>0</v>
      </c>
      <c r="C591" s="14">
        <f>'[1]2026 Orders'!C592</f>
        <v>0</v>
      </c>
      <c r="D591" s="14">
        <f>'[1]2026 Orders'!D592</f>
        <v>0</v>
      </c>
      <c r="E591" s="17" t="str" cm="1">
        <f t="array" ref="E591">IF(C591=0,"",
HYPERLINK(
"#'2026 Orders'!C"&amp;
MATCH(1,
('2026 Orders'!C:C=C591)*
('2026 Orders'!G:G=G591)*
('2026 Orders'!N:N=N591),
0),
"Open "&amp;C591
))</f>
        <v/>
      </c>
      <c r="F591" s="14">
        <f>'[1]2026 Orders'!F592</f>
        <v>0</v>
      </c>
      <c r="G591" s="14">
        <f>'[1]2026 Orders'!G592</f>
        <v>0</v>
      </c>
      <c r="H591" s="14" t="str" cm="1">
        <f t="array" ref="H591">IFERROR(_xlfn.TEXTJOIN("-",,INDEX(_xlfn.TEXTSPLIT(TableGive[[#This Row],[SKU]],"-"),{1,2})),"")</f>
        <v/>
      </c>
      <c r="I591" s="15" t="str">
        <f>IFERROR(_xlfn.TEXTAFTER(TableGive[[#This Row],[SKU]],"-",-1),"")</f>
        <v/>
      </c>
      <c r="J591" s="14">
        <f>'[1]2026 Orders'!H592</f>
        <v>0</v>
      </c>
      <c r="K591">
        <f>'[1]2026 Orders'!I592</f>
        <v>0</v>
      </c>
      <c r="L591">
        <f>'[1]2026 Orders'!J592</f>
        <v>0</v>
      </c>
      <c r="N591" s="10">
        <f>'[1]2026 Orders'!L592</f>
        <v>0</v>
      </c>
      <c r="O591">
        <f>'[1]2026 Orders'!M592</f>
        <v>0</v>
      </c>
      <c r="P591">
        <f>'[1]2026 Orders'!N592</f>
        <v>0</v>
      </c>
      <c r="Q591">
        <f>'[1]2026 Orders'!O592</f>
        <v>0</v>
      </c>
      <c r="R591">
        <f>'[1]2026 Orders'!P592</f>
        <v>0</v>
      </c>
      <c r="S591">
        <f>'[1]2026 Orders'!Q592</f>
        <v>0</v>
      </c>
      <c r="T591">
        <f>'[1]2026 Orders'!R592</f>
        <v>0</v>
      </c>
      <c r="U591">
        <f>'[1]2026 Orders'!S592</f>
        <v>0</v>
      </c>
      <c r="V591">
        <f>'[1]2026 Orders'!T592</f>
        <v>0</v>
      </c>
      <c r="W591">
        <f>'[1]2026 Orders'!U592</f>
        <v>0</v>
      </c>
      <c r="X591">
        <f>'[1]2026 Orders'!V592</f>
        <v>0</v>
      </c>
      <c r="Y591">
        <f>'[1]2026 Orders'!W592</f>
        <v>0</v>
      </c>
      <c r="Z591">
        <f>'[1]2026 Orders'!X592</f>
        <v>0</v>
      </c>
      <c r="AC591" t="str">
        <f t="shared" si="18"/>
        <v/>
      </c>
      <c r="AD591" t="str">
        <f t="shared" si="19"/>
        <v/>
      </c>
    </row>
    <row r="592" spans="1:30" ht="33" hidden="1" customHeight="1" x14ac:dyDescent="0.3">
      <c r="A592">
        <f>'[1]2026 Orders'!A593</f>
        <v>0</v>
      </c>
      <c r="B592" s="14">
        <f>'[1]2026 Orders'!B593</f>
        <v>0</v>
      </c>
      <c r="C592" s="14">
        <f>'[1]2026 Orders'!C593</f>
        <v>0</v>
      </c>
      <c r="D592" s="14">
        <f>'[1]2026 Orders'!D593</f>
        <v>0</v>
      </c>
      <c r="E592" s="17" t="str" cm="1">
        <f t="array" ref="E592">IF(C592=0,"",
HYPERLINK(
"#'2026 Orders'!C"&amp;
MATCH(1,
('2026 Orders'!C:C=C592)*
('2026 Orders'!G:G=G592)*
('2026 Orders'!N:N=N592),
0),
"Open "&amp;C592
))</f>
        <v/>
      </c>
      <c r="F592" s="14">
        <f>'[1]2026 Orders'!F593</f>
        <v>0</v>
      </c>
      <c r="G592" s="14">
        <f>'[1]2026 Orders'!G593</f>
        <v>0</v>
      </c>
      <c r="H592" s="14" t="str" cm="1">
        <f t="array" ref="H592">IFERROR(_xlfn.TEXTJOIN("-",,INDEX(_xlfn.TEXTSPLIT(TableGive[[#This Row],[SKU]],"-"),{1,2})),"")</f>
        <v/>
      </c>
      <c r="I592" s="15" t="str">
        <f>IFERROR(_xlfn.TEXTAFTER(TableGive[[#This Row],[SKU]],"-",-1),"")</f>
        <v/>
      </c>
      <c r="J592" s="14">
        <f>'[1]2026 Orders'!H593</f>
        <v>0</v>
      </c>
      <c r="K592">
        <f>'[1]2026 Orders'!I593</f>
        <v>0</v>
      </c>
      <c r="L592">
        <f>'[1]2026 Orders'!J593</f>
        <v>0</v>
      </c>
      <c r="N592" s="10">
        <f>'[1]2026 Orders'!L593</f>
        <v>0</v>
      </c>
      <c r="O592">
        <f>'[1]2026 Orders'!M593</f>
        <v>0</v>
      </c>
      <c r="P592">
        <f>'[1]2026 Orders'!N593</f>
        <v>0</v>
      </c>
      <c r="Q592">
        <f>'[1]2026 Orders'!O593</f>
        <v>0</v>
      </c>
      <c r="R592">
        <f>'[1]2026 Orders'!P593</f>
        <v>0</v>
      </c>
      <c r="S592">
        <f>'[1]2026 Orders'!Q593</f>
        <v>0</v>
      </c>
      <c r="T592">
        <f>'[1]2026 Orders'!R593</f>
        <v>0</v>
      </c>
      <c r="U592">
        <f>'[1]2026 Orders'!S593</f>
        <v>0</v>
      </c>
      <c r="V592">
        <f>'[1]2026 Orders'!T593</f>
        <v>0</v>
      </c>
      <c r="W592">
        <f>'[1]2026 Orders'!U593</f>
        <v>0</v>
      </c>
      <c r="X592">
        <f>'[1]2026 Orders'!V593</f>
        <v>0</v>
      </c>
      <c r="Y592">
        <f>'[1]2026 Orders'!W593</f>
        <v>0</v>
      </c>
      <c r="Z592">
        <f>'[1]2026 Orders'!X593</f>
        <v>0</v>
      </c>
      <c r="AC592" t="str">
        <f t="shared" si="18"/>
        <v/>
      </c>
      <c r="AD592" t="str">
        <f t="shared" si="19"/>
        <v/>
      </c>
    </row>
    <row r="593" spans="1:30" ht="33" hidden="1" customHeight="1" x14ac:dyDescent="0.3">
      <c r="A593">
        <f>'[1]2026 Orders'!A594</f>
        <v>0</v>
      </c>
      <c r="B593" s="14">
        <f>'[1]2026 Orders'!B594</f>
        <v>0</v>
      </c>
      <c r="C593" s="14">
        <f>'[1]2026 Orders'!C594</f>
        <v>0</v>
      </c>
      <c r="D593" s="14">
        <f>'[1]2026 Orders'!D594</f>
        <v>0</v>
      </c>
      <c r="E593" s="17" t="str" cm="1">
        <f t="array" ref="E593">IF(C593=0,"",
HYPERLINK(
"#'2026 Orders'!C"&amp;
MATCH(1,
('2026 Orders'!C:C=C593)*
('2026 Orders'!G:G=G593)*
('2026 Orders'!N:N=N593),
0),
"Open "&amp;C593
))</f>
        <v/>
      </c>
      <c r="F593" s="14">
        <f>'[1]2026 Orders'!F594</f>
        <v>0</v>
      </c>
      <c r="G593" s="14">
        <f>'[1]2026 Orders'!G594</f>
        <v>0</v>
      </c>
      <c r="H593" s="14" t="str" cm="1">
        <f t="array" ref="H593">IFERROR(_xlfn.TEXTJOIN("-",,INDEX(_xlfn.TEXTSPLIT(TableGive[[#This Row],[SKU]],"-"),{1,2})),"")</f>
        <v/>
      </c>
      <c r="I593" s="15" t="str">
        <f>IFERROR(_xlfn.TEXTAFTER(TableGive[[#This Row],[SKU]],"-",-1),"")</f>
        <v/>
      </c>
      <c r="J593" s="14">
        <f>'[1]2026 Orders'!H594</f>
        <v>0</v>
      </c>
      <c r="K593">
        <f>'[1]2026 Orders'!I594</f>
        <v>0</v>
      </c>
      <c r="L593">
        <f>'[1]2026 Orders'!J594</f>
        <v>0</v>
      </c>
      <c r="N593" s="10">
        <f>'[1]2026 Orders'!L594</f>
        <v>0</v>
      </c>
      <c r="O593">
        <f>'[1]2026 Orders'!M594</f>
        <v>0</v>
      </c>
      <c r="P593">
        <f>'[1]2026 Orders'!N594</f>
        <v>0</v>
      </c>
      <c r="Q593">
        <f>'[1]2026 Orders'!O594</f>
        <v>0</v>
      </c>
      <c r="R593">
        <f>'[1]2026 Orders'!P594</f>
        <v>0</v>
      </c>
      <c r="S593">
        <f>'[1]2026 Orders'!Q594</f>
        <v>0</v>
      </c>
      <c r="T593">
        <f>'[1]2026 Orders'!R594</f>
        <v>0</v>
      </c>
      <c r="U593">
        <f>'[1]2026 Orders'!S594</f>
        <v>0</v>
      </c>
      <c r="V593">
        <f>'[1]2026 Orders'!T594</f>
        <v>0</v>
      </c>
      <c r="W593">
        <f>'[1]2026 Orders'!U594</f>
        <v>0</v>
      </c>
      <c r="X593">
        <f>'[1]2026 Orders'!V594</f>
        <v>0</v>
      </c>
      <c r="Y593">
        <f>'[1]2026 Orders'!W594</f>
        <v>0</v>
      </c>
      <c r="Z593">
        <f>'[1]2026 Orders'!X594</f>
        <v>0</v>
      </c>
      <c r="AC593" t="str">
        <f t="shared" si="18"/>
        <v/>
      </c>
      <c r="AD593" t="str">
        <f t="shared" si="19"/>
        <v/>
      </c>
    </row>
    <row r="594" spans="1:30" ht="33" hidden="1" customHeight="1" x14ac:dyDescent="0.3">
      <c r="A594">
        <f>'[1]2026 Orders'!A595</f>
        <v>0</v>
      </c>
      <c r="B594" s="14">
        <f>'[1]2026 Orders'!B595</f>
        <v>0</v>
      </c>
      <c r="C594" s="14">
        <f>'[1]2026 Orders'!C595</f>
        <v>0</v>
      </c>
      <c r="D594" s="14">
        <f>'[1]2026 Orders'!D595</f>
        <v>0</v>
      </c>
      <c r="E594" s="17" t="str" cm="1">
        <f t="array" ref="E594">IF(C594=0,"",
HYPERLINK(
"#'2026 Orders'!C"&amp;
MATCH(1,
('2026 Orders'!C:C=C594)*
('2026 Orders'!G:G=G594)*
('2026 Orders'!N:N=N594),
0),
"Open "&amp;C594
))</f>
        <v/>
      </c>
      <c r="F594" s="14">
        <f>'[1]2026 Orders'!F595</f>
        <v>0</v>
      </c>
      <c r="G594" s="14">
        <f>'[1]2026 Orders'!G595</f>
        <v>0</v>
      </c>
      <c r="H594" s="14" t="str" cm="1">
        <f t="array" ref="H594">IFERROR(_xlfn.TEXTJOIN("-",,INDEX(_xlfn.TEXTSPLIT(TableGive[[#This Row],[SKU]],"-"),{1,2})),"")</f>
        <v/>
      </c>
      <c r="I594" s="15" t="str">
        <f>IFERROR(_xlfn.TEXTAFTER(TableGive[[#This Row],[SKU]],"-",-1),"")</f>
        <v/>
      </c>
      <c r="J594" s="14">
        <f>'[1]2026 Orders'!H595</f>
        <v>0</v>
      </c>
      <c r="K594">
        <f>'[1]2026 Orders'!I595</f>
        <v>0</v>
      </c>
      <c r="L594">
        <f>'[1]2026 Orders'!J595</f>
        <v>0</v>
      </c>
      <c r="N594" s="10">
        <f>'[1]2026 Orders'!L595</f>
        <v>0</v>
      </c>
      <c r="O594">
        <f>'[1]2026 Orders'!M595</f>
        <v>0</v>
      </c>
      <c r="P594">
        <f>'[1]2026 Orders'!N595</f>
        <v>0</v>
      </c>
      <c r="Q594">
        <f>'[1]2026 Orders'!O595</f>
        <v>0</v>
      </c>
      <c r="R594">
        <f>'[1]2026 Orders'!P595</f>
        <v>0</v>
      </c>
      <c r="S594">
        <f>'[1]2026 Orders'!Q595</f>
        <v>0</v>
      </c>
      <c r="T594">
        <f>'[1]2026 Orders'!R595</f>
        <v>0</v>
      </c>
      <c r="U594">
        <f>'[1]2026 Orders'!S595</f>
        <v>0</v>
      </c>
      <c r="V594">
        <f>'[1]2026 Orders'!T595</f>
        <v>0</v>
      </c>
      <c r="W594">
        <f>'[1]2026 Orders'!U595</f>
        <v>0</v>
      </c>
      <c r="X594">
        <f>'[1]2026 Orders'!V595</f>
        <v>0</v>
      </c>
      <c r="Y594">
        <f>'[1]2026 Orders'!W595</f>
        <v>0</v>
      </c>
      <c r="Z594">
        <f>'[1]2026 Orders'!X595</f>
        <v>0</v>
      </c>
      <c r="AC594" t="str">
        <f t="shared" si="18"/>
        <v/>
      </c>
      <c r="AD594" t="str">
        <f t="shared" si="19"/>
        <v/>
      </c>
    </row>
    <row r="595" spans="1:30" ht="33" hidden="1" customHeight="1" x14ac:dyDescent="0.3">
      <c r="A595">
        <f>'[1]2026 Orders'!A596</f>
        <v>0</v>
      </c>
      <c r="B595" s="14">
        <f>'[1]2026 Orders'!B596</f>
        <v>0</v>
      </c>
      <c r="C595" s="14">
        <f>'[1]2026 Orders'!C596</f>
        <v>0</v>
      </c>
      <c r="D595" s="14">
        <f>'[1]2026 Orders'!D596</f>
        <v>0</v>
      </c>
      <c r="E595" s="17" t="str" cm="1">
        <f t="array" ref="E595">IF(C595=0,"",
HYPERLINK(
"#'2026 Orders'!C"&amp;
MATCH(1,
('2026 Orders'!C:C=C595)*
('2026 Orders'!G:G=G595)*
('2026 Orders'!N:N=N595),
0),
"Open "&amp;C595
))</f>
        <v/>
      </c>
      <c r="F595" s="14">
        <f>'[1]2026 Orders'!F596</f>
        <v>0</v>
      </c>
      <c r="G595" s="14">
        <f>'[1]2026 Orders'!G596</f>
        <v>0</v>
      </c>
      <c r="H595" s="14" t="str" cm="1">
        <f t="array" ref="H595">IFERROR(_xlfn.TEXTJOIN("-",,INDEX(_xlfn.TEXTSPLIT(TableGive[[#This Row],[SKU]],"-"),{1,2})),"")</f>
        <v/>
      </c>
      <c r="I595" s="15" t="str">
        <f>IFERROR(_xlfn.TEXTAFTER(TableGive[[#This Row],[SKU]],"-",-1),"")</f>
        <v/>
      </c>
      <c r="J595" s="14">
        <f>'[1]2026 Orders'!H596</f>
        <v>0</v>
      </c>
      <c r="K595">
        <f>'[1]2026 Orders'!I596</f>
        <v>0</v>
      </c>
      <c r="L595">
        <f>'[1]2026 Orders'!J596</f>
        <v>0</v>
      </c>
      <c r="N595" s="10">
        <f>'[1]2026 Orders'!L596</f>
        <v>0</v>
      </c>
      <c r="O595">
        <f>'[1]2026 Orders'!M596</f>
        <v>0</v>
      </c>
      <c r="P595">
        <f>'[1]2026 Orders'!N596</f>
        <v>0</v>
      </c>
      <c r="Q595">
        <f>'[1]2026 Orders'!O596</f>
        <v>0</v>
      </c>
      <c r="R595">
        <f>'[1]2026 Orders'!P596</f>
        <v>0</v>
      </c>
      <c r="S595">
        <f>'[1]2026 Orders'!Q596</f>
        <v>0</v>
      </c>
      <c r="T595">
        <f>'[1]2026 Orders'!R596</f>
        <v>0</v>
      </c>
      <c r="U595">
        <f>'[1]2026 Orders'!S596</f>
        <v>0</v>
      </c>
      <c r="V595">
        <f>'[1]2026 Orders'!T596</f>
        <v>0</v>
      </c>
      <c r="W595">
        <f>'[1]2026 Orders'!U596</f>
        <v>0</v>
      </c>
      <c r="X595">
        <f>'[1]2026 Orders'!V596</f>
        <v>0</v>
      </c>
      <c r="Y595">
        <f>'[1]2026 Orders'!W596</f>
        <v>0</v>
      </c>
      <c r="Z595">
        <f>'[1]2026 Orders'!X596</f>
        <v>0</v>
      </c>
      <c r="AC595" t="str">
        <f t="shared" si="18"/>
        <v/>
      </c>
      <c r="AD595" t="str">
        <f t="shared" si="19"/>
        <v/>
      </c>
    </row>
    <row r="596" spans="1:30" ht="33" hidden="1" customHeight="1" x14ac:dyDescent="0.3">
      <c r="A596">
        <f>'[1]2026 Orders'!A597</f>
        <v>0</v>
      </c>
      <c r="B596" s="14">
        <f>'[1]2026 Orders'!B597</f>
        <v>0</v>
      </c>
      <c r="C596" s="14">
        <f>'[1]2026 Orders'!C597</f>
        <v>0</v>
      </c>
      <c r="D596" s="14">
        <f>'[1]2026 Orders'!D597</f>
        <v>0</v>
      </c>
      <c r="E596" s="17" t="str" cm="1">
        <f t="array" ref="E596">IF(C596=0,"",
HYPERLINK(
"#'2026 Orders'!C"&amp;
MATCH(1,
('2026 Orders'!C:C=C596)*
('2026 Orders'!G:G=G596)*
('2026 Orders'!N:N=N596),
0),
"Open "&amp;C596
))</f>
        <v/>
      </c>
      <c r="F596" s="14">
        <f>'[1]2026 Orders'!F597</f>
        <v>0</v>
      </c>
      <c r="G596" s="14">
        <f>'[1]2026 Orders'!G597</f>
        <v>0</v>
      </c>
      <c r="H596" s="14" t="str" cm="1">
        <f t="array" ref="H596">IFERROR(_xlfn.TEXTJOIN("-",,INDEX(_xlfn.TEXTSPLIT(TableGive[[#This Row],[SKU]],"-"),{1,2})),"")</f>
        <v/>
      </c>
      <c r="I596" s="15" t="str">
        <f>IFERROR(_xlfn.TEXTAFTER(TableGive[[#This Row],[SKU]],"-",-1),"")</f>
        <v/>
      </c>
      <c r="J596" s="14">
        <f>'[1]2026 Orders'!H597</f>
        <v>0</v>
      </c>
      <c r="K596">
        <f>'[1]2026 Orders'!I597</f>
        <v>0</v>
      </c>
      <c r="L596">
        <f>'[1]2026 Orders'!J597</f>
        <v>0</v>
      </c>
      <c r="N596" s="10">
        <f>'[1]2026 Orders'!L597</f>
        <v>0</v>
      </c>
      <c r="O596">
        <f>'[1]2026 Orders'!M597</f>
        <v>0</v>
      </c>
      <c r="P596">
        <f>'[1]2026 Orders'!N597</f>
        <v>0</v>
      </c>
      <c r="Q596">
        <f>'[1]2026 Orders'!O597</f>
        <v>0</v>
      </c>
      <c r="R596">
        <f>'[1]2026 Orders'!P597</f>
        <v>0</v>
      </c>
      <c r="S596">
        <f>'[1]2026 Orders'!Q597</f>
        <v>0</v>
      </c>
      <c r="T596">
        <f>'[1]2026 Orders'!R597</f>
        <v>0</v>
      </c>
      <c r="U596">
        <f>'[1]2026 Orders'!S597</f>
        <v>0</v>
      </c>
      <c r="V596">
        <f>'[1]2026 Orders'!T597</f>
        <v>0</v>
      </c>
      <c r="W596">
        <f>'[1]2026 Orders'!U597</f>
        <v>0</v>
      </c>
      <c r="X596">
        <f>'[1]2026 Orders'!V597</f>
        <v>0</v>
      </c>
      <c r="Y596">
        <f>'[1]2026 Orders'!W597</f>
        <v>0</v>
      </c>
      <c r="Z596">
        <f>'[1]2026 Orders'!X597</f>
        <v>0</v>
      </c>
      <c r="AC596" t="str">
        <f t="shared" si="18"/>
        <v/>
      </c>
      <c r="AD596" t="str">
        <f t="shared" si="19"/>
        <v/>
      </c>
    </row>
    <row r="597" spans="1:30" ht="33" hidden="1" customHeight="1" x14ac:dyDescent="0.3">
      <c r="A597">
        <f>'[1]2026 Orders'!A598</f>
        <v>0</v>
      </c>
      <c r="B597" s="14">
        <f>'[1]2026 Orders'!B598</f>
        <v>0</v>
      </c>
      <c r="C597" s="14">
        <f>'[1]2026 Orders'!C598</f>
        <v>0</v>
      </c>
      <c r="D597" s="14">
        <f>'[1]2026 Orders'!D598</f>
        <v>0</v>
      </c>
      <c r="E597" s="17" t="str" cm="1">
        <f t="array" ref="E597">IF(C597=0,"",
HYPERLINK(
"#'2026 Orders'!C"&amp;
MATCH(1,
('2026 Orders'!C:C=C597)*
('2026 Orders'!G:G=G597)*
('2026 Orders'!N:N=N597),
0),
"Open "&amp;C597
))</f>
        <v/>
      </c>
      <c r="F597" s="14">
        <f>'[1]2026 Orders'!F598</f>
        <v>0</v>
      </c>
      <c r="G597" s="14">
        <f>'[1]2026 Orders'!G598</f>
        <v>0</v>
      </c>
      <c r="H597" s="14" t="str" cm="1">
        <f t="array" ref="H597">IFERROR(_xlfn.TEXTJOIN("-",,INDEX(_xlfn.TEXTSPLIT(TableGive[[#This Row],[SKU]],"-"),{1,2})),"")</f>
        <v/>
      </c>
      <c r="I597" s="15" t="str">
        <f>IFERROR(_xlfn.TEXTAFTER(TableGive[[#This Row],[SKU]],"-",-1),"")</f>
        <v/>
      </c>
      <c r="J597" s="14">
        <f>'[1]2026 Orders'!H598</f>
        <v>0</v>
      </c>
      <c r="K597">
        <f>'[1]2026 Orders'!I598</f>
        <v>0</v>
      </c>
      <c r="L597">
        <f>'[1]2026 Orders'!J598</f>
        <v>0</v>
      </c>
      <c r="N597" s="10">
        <f>'[1]2026 Orders'!L598</f>
        <v>0</v>
      </c>
      <c r="O597">
        <f>'[1]2026 Orders'!M598</f>
        <v>0</v>
      </c>
      <c r="P597">
        <f>'[1]2026 Orders'!N598</f>
        <v>0</v>
      </c>
      <c r="Q597">
        <f>'[1]2026 Orders'!O598</f>
        <v>0</v>
      </c>
      <c r="R597">
        <f>'[1]2026 Orders'!P598</f>
        <v>0</v>
      </c>
      <c r="S597">
        <f>'[1]2026 Orders'!Q598</f>
        <v>0</v>
      </c>
      <c r="T597">
        <f>'[1]2026 Orders'!R598</f>
        <v>0</v>
      </c>
      <c r="U597">
        <f>'[1]2026 Orders'!S598</f>
        <v>0</v>
      </c>
      <c r="V597">
        <f>'[1]2026 Orders'!T598</f>
        <v>0</v>
      </c>
      <c r="W597">
        <f>'[1]2026 Orders'!U598</f>
        <v>0</v>
      </c>
      <c r="X597">
        <f>'[1]2026 Orders'!V598</f>
        <v>0</v>
      </c>
      <c r="Y597">
        <f>'[1]2026 Orders'!W598</f>
        <v>0</v>
      </c>
      <c r="Z597">
        <f>'[1]2026 Orders'!X598</f>
        <v>0</v>
      </c>
      <c r="AC597" t="str">
        <f t="shared" si="18"/>
        <v/>
      </c>
      <c r="AD597" t="str">
        <f t="shared" si="19"/>
        <v/>
      </c>
    </row>
    <row r="598" spans="1:30" ht="33" hidden="1" customHeight="1" x14ac:dyDescent="0.3">
      <c r="A598">
        <f>'[1]2026 Orders'!A599</f>
        <v>0</v>
      </c>
      <c r="B598" s="14">
        <f>'[1]2026 Orders'!B599</f>
        <v>0</v>
      </c>
      <c r="C598" s="14">
        <f>'[1]2026 Orders'!C599</f>
        <v>0</v>
      </c>
      <c r="D598" s="14">
        <f>'[1]2026 Orders'!D599</f>
        <v>0</v>
      </c>
      <c r="E598" s="17" t="str" cm="1">
        <f t="array" ref="E598">IF(C598=0,"",
HYPERLINK(
"#'2026 Orders'!C"&amp;
MATCH(1,
('2026 Orders'!C:C=C598)*
('2026 Orders'!G:G=G598)*
('2026 Orders'!N:N=N598),
0),
"Open "&amp;C598
))</f>
        <v/>
      </c>
      <c r="F598" s="14">
        <f>'[1]2026 Orders'!F599</f>
        <v>0</v>
      </c>
      <c r="G598" s="14">
        <f>'[1]2026 Orders'!G599</f>
        <v>0</v>
      </c>
      <c r="H598" s="14" t="str" cm="1">
        <f t="array" ref="H598">IFERROR(_xlfn.TEXTJOIN("-",,INDEX(_xlfn.TEXTSPLIT(TableGive[[#This Row],[SKU]],"-"),{1,2})),"")</f>
        <v/>
      </c>
      <c r="I598" s="15" t="str">
        <f>IFERROR(_xlfn.TEXTAFTER(TableGive[[#This Row],[SKU]],"-",-1),"")</f>
        <v/>
      </c>
      <c r="J598" s="14">
        <f>'[1]2026 Orders'!H599</f>
        <v>0</v>
      </c>
      <c r="K598">
        <f>'[1]2026 Orders'!I599</f>
        <v>0</v>
      </c>
      <c r="L598">
        <f>'[1]2026 Orders'!J599</f>
        <v>0</v>
      </c>
      <c r="N598" s="10">
        <f>'[1]2026 Orders'!L599</f>
        <v>0</v>
      </c>
      <c r="O598">
        <f>'[1]2026 Orders'!M599</f>
        <v>0</v>
      </c>
      <c r="P598">
        <f>'[1]2026 Orders'!N599</f>
        <v>0</v>
      </c>
      <c r="Q598">
        <f>'[1]2026 Orders'!O599</f>
        <v>0</v>
      </c>
      <c r="R598">
        <f>'[1]2026 Orders'!P599</f>
        <v>0</v>
      </c>
      <c r="S598">
        <f>'[1]2026 Orders'!Q599</f>
        <v>0</v>
      </c>
      <c r="T598">
        <f>'[1]2026 Orders'!R599</f>
        <v>0</v>
      </c>
      <c r="U598">
        <f>'[1]2026 Orders'!S599</f>
        <v>0</v>
      </c>
      <c r="V598">
        <f>'[1]2026 Orders'!T599</f>
        <v>0</v>
      </c>
      <c r="W598">
        <f>'[1]2026 Orders'!U599</f>
        <v>0</v>
      </c>
      <c r="X598">
        <f>'[1]2026 Orders'!V599</f>
        <v>0</v>
      </c>
      <c r="Y598">
        <f>'[1]2026 Orders'!W599</f>
        <v>0</v>
      </c>
      <c r="Z598">
        <f>'[1]2026 Orders'!X599</f>
        <v>0</v>
      </c>
      <c r="AC598" t="str">
        <f t="shared" si="18"/>
        <v/>
      </c>
      <c r="AD598" t="str">
        <f t="shared" si="19"/>
        <v/>
      </c>
    </row>
    <row r="599" spans="1:30" ht="33" hidden="1" customHeight="1" x14ac:dyDescent="0.3">
      <c r="A599">
        <f>'[1]2026 Orders'!A600</f>
        <v>0</v>
      </c>
      <c r="B599" s="14">
        <f>'[1]2026 Orders'!B600</f>
        <v>0</v>
      </c>
      <c r="C599" s="14">
        <f>'[1]2026 Orders'!C600</f>
        <v>0</v>
      </c>
      <c r="D599" s="14">
        <f>'[1]2026 Orders'!D600</f>
        <v>0</v>
      </c>
      <c r="E599" s="17" t="str" cm="1">
        <f t="array" ref="E599">IF(C599=0,"",
HYPERLINK(
"#'2026 Orders'!C"&amp;
MATCH(1,
('2026 Orders'!C:C=C599)*
('2026 Orders'!G:G=G599)*
('2026 Orders'!N:N=N599),
0),
"Open "&amp;C599
))</f>
        <v/>
      </c>
      <c r="F599" s="14">
        <f>'[1]2026 Orders'!F600</f>
        <v>0</v>
      </c>
      <c r="G599" s="14">
        <f>'[1]2026 Orders'!G600</f>
        <v>0</v>
      </c>
      <c r="H599" s="14" t="str" cm="1">
        <f t="array" ref="H599">IFERROR(_xlfn.TEXTJOIN("-",,INDEX(_xlfn.TEXTSPLIT(TableGive[[#This Row],[SKU]],"-"),{1,2})),"")</f>
        <v/>
      </c>
      <c r="I599" s="15" t="str">
        <f>IFERROR(_xlfn.TEXTAFTER(TableGive[[#This Row],[SKU]],"-",-1),"")</f>
        <v/>
      </c>
      <c r="J599" s="14">
        <f>'[1]2026 Orders'!H600</f>
        <v>0</v>
      </c>
      <c r="K599">
        <f>'[1]2026 Orders'!I600</f>
        <v>0</v>
      </c>
      <c r="L599">
        <f>'[1]2026 Orders'!J600</f>
        <v>0</v>
      </c>
      <c r="N599" s="10">
        <f>'[1]2026 Orders'!L600</f>
        <v>0</v>
      </c>
      <c r="O599">
        <f>'[1]2026 Orders'!M600</f>
        <v>0</v>
      </c>
      <c r="P599">
        <f>'[1]2026 Orders'!N600</f>
        <v>0</v>
      </c>
      <c r="Q599">
        <f>'[1]2026 Orders'!O600</f>
        <v>0</v>
      </c>
      <c r="R599">
        <f>'[1]2026 Orders'!P600</f>
        <v>0</v>
      </c>
      <c r="S599">
        <f>'[1]2026 Orders'!Q600</f>
        <v>0</v>
      </c>
      <c r="T599">
        <f>'[1]2026 Orders'!R600</f>
        <v>0</v>
      </c>
      <c r="U599">
        <f>'[1]2026 Orders'!S600</f>
        <v>0</v>
      </c>
      <c r="V599">
        <f>'[1]2026 Orders'!T600</f>
        <v>0</v>
      </c>
      <c r="W599">
        <f>'[1]2026 Orders'!U600</f>
        <v>0</v>
      </c>
      <c r="X599">
        <f>'[1]2026 Orders'!V600</f>
        <v>0</v>
      </c>
      <c r="Y599">
        <f>'[1]2026 Orders'!W600</f>
        <v>0</v>
      </c>
      <c r="Z599">
        <f>'[1]2026 Orders'!X600</f>
        <v>0</v>
      </c>
      <c r="AC599" t="str">
        <f t="shared" si="18"/>
        <v/>
      </c>
      <c r="AD599" t="str">
        <f t="shared" si="19"/>
        <v/>
      </c>
    </row>
    <row r="600" spans="1:30" ht="33" hidden="1" customHeight="1" x14ac:dyDescent="0.3">
      <c r="A600">
        <f>'[1]2026 Orders'!A601</f>
        <v>0</v>
      </c>
      <c r="B600" s="14">
        <f>'[1]2026 Orders'!B601</f>
        <v>0</v>
      </c>
      <c r="C600" s="14">
        <f>'[1]2026 Orders'!C601</f>
        <v>0</v>
      </c>
      <c r="D600" s="14">
        <f>'[1]2026 Orders'!D601</f>
        <v>0</v>
      </c>
      <c r="E600" s="17" t="str" cm="1">
        <f t="array" ref="E600">IF(C600=0,"",
HYPERLINK(
"#'2026 Orders'!C"&amp;
MATCH(1,
('2026 Orders'!C:C=C600)*
('2026 Orders'!G:G=G600)*
('2026 Orders'!N:N=N600),
0),
"Open "&amp;C600
))</f>
        <v/>
      </c>
      <c r="F600" s="14">
        <f>'[1]2026 Orders'!F601</f>
        <v>0</v>
      </c>
      <c r="G600" s="14">
        <f>'[1]2026 Orders'!G601</f>
        <v>0</v>
      </c>
      <c r="H600" s="14" t="str" cm="1">
        <f t="array" ref="H600">IFERROR(_xlfn.TEXTJOIN("-",,INDEX(_xlfn.TEXTSPLIT(TableGive[[#This Row],[SKU]],"-"),{1,2})),"")</f>
        <v/>
      </c>
      <c r="I600" s="15" t="str">
        <f>IFERROR(_xlfn.TEXTAFTER(TableGive[[#This Row],[SKU]],"-",-1),"")</f>
        <v/>
      </c>
      <c r="J600" s="14">
        <f>'[1]2026 Orders'!H601</f>
        <v>0</v>
      </c>
      <c r="K600">
        <f>'[1]2026 Orders'!I601</f>
        <v>0</v>
      </c>
      <c r="L600">
        <f>'[1]2026 Orders'!J601</f>
        <v>0</v>
      </c>
      <c r="N600" s="10">
        <f>'[1]2026 Orders'!L601</f>
        <v>0</v>
      </c>
      <c r="O600">
        <f>'[1]2026 Orders'!M601</f>
        <v>0</v>
      </c>
      <c r="P600">
        <f>'[1]2026 Orders'!N601</f>
        <v>0</v>
      </c>
      <c r="Q600">
        <f>'[1]2026 Orders'!O601</f>
        <v>0</v>
      </c>
      <c r="R600">
        <f>'[1]2026 Orders'!P601</f>
        <v>0</v>
      </c>
      <c r="S600">
        <f>'[1]2026 Orders'!Q601</f>
        <v>0</v>
      </c>
      <c r="T600">
        <f>'[1]2026 Orders'!R601</f>
        <v>0</v>
      </c>
      <c r="U600">
        <f>'[1]2026 Orders'!S601</f>
        <v>0</v>
      </c>
      <c r="V600">
        <f>'[1]2026 Orders'!T601</f>
        <v>0</v>
      </c>
      <c r="W600">
        <f>'[1]2026 Orders'!U601</f>
        <v>0</v>
      </c>
      <c r="X600">
        <f>'[1]2026 Orders'!V601</f>
        <v>0</v>
      </c>
      <c r="Y600">
        <f>'[1]2026 Orders'!W601</f>
        <v>0</v>
      </c>
      <c r="Z600">
        <f>'[1]2026 Orders'!X601</f>
        <v>0</v>
      </c>
      <c r="AC600" t="str">
        <f t="shared" si="18"/>
        <v/>
      </c>
      <c r="AD600" t="str">
        <f t="shared" si="19"/>
        <v/>
      </c>
    </row>
    <row r="601" spans="1:30" ht="33" hidden="1" customHeight="1" x14ac:dyDescent="0.3">
      <c r="A601">
        <f>'[1]2026 Orders'!A602</f>
        <v>0</v>
      </c>
      <c r="B601" s="14">
        <f>'[1]2026 Orders'!B602</f>
        <v>0</v>
      </c>
      <c r="C601" s="14">
        <f>'[1]2026 Orders'!C602</f>
        <v>0</v>
      </c>
      <c r="D601" s="14">
        <f>'[1]2026 Orders'!D602</f>
        <v>0</v>
      </c>
      <c r="E601" s="17" t="str" cm="1">
        <f t="array" ref="E601">IF(C601=0,"",
HYPERLINK(
"#'2026 Orders'!C"&amp;
MATCH(1,
('2026 Orders'!C:C=C601)*
('2026 Orders'!G:G=G601)*
('2026 Orders'!N:N=N601),
0),
"Open "&amp;C601
))</f>
        <v/>
      </c>
      <c r="F601" s="14">
        <f>'[1]2026 Orders'!F602</f>
        <v>0</v>
      </c>
      <c r="G601" s="14">
        <f>'[1]2026 Orders'!G602</f>
        <v>0</v>
      </c>
      <c r="H601" s="14" t="str" cm="1">
        <f t="array" ref="H601">IFERROR(_xlfn.TEXTJOIN("-",,INDEX(_xlfn.TEXTSPLIT(TableGive[[#This Row],[SKU]],"-"),{1,2})),"")</f>
        <v/>
      </c>
      <c r="I601" s="15" t="str">
        <f>IFERROR(_xlfn.TEXTAFTER(TableGive[[#This Row],[SKU]],"-",-1),"")</f>
        <v/>
      </c>
      <c r="J601" s="14">
        <f>'[1]2026 Orders'!H602</f>
        <v>0</v>
      </c>
      <c r="K601">
        <f>'[1]2026 Orders'!I602</f>
        <v>0</v>
      </c>
      <c r="L601">
        <f>'[1]2026 Orders'!J602</f>
        <v>0</v>
      </c>
      <c r="N601" s="10">
        <f>'[1]2026 Orders'!L602</f>
        <v>0</v>
      </c>
      <c r="O601">
        <f>'[1]2026 Orders'!M602</f>
        <v>0</v>
      </c>
      <c r="P601">
        <f>'[1]2026 Orders'!N602</f>
        <v>0</v>
      </c>
      <c r="Q601">
        <f>'[1]2026 Orders'!O602</f>
        <v>0</v>
      </c>
      <c r="R601">
        <f>'[1]2026 Orders'!P602</f>
        <v>0</v>
      </c>
      <c r="S601">
        <f>'[1]2026 Orders'!Q602</f>
        <v>0</v>
      </c>
      <c r="T601">
        <f>'[1]2026 Orders'!R602</f>
        <v>0</v>
      </c>
      <c r="U601">
        <f>'[1]2026 Orders'!S602</f>
        <v>0</v>
      </c>
      <c r="V601">
        <f>'[1]2026 Orders'!T602</f>
        <v>0</v>
      </c>
      <c r="W601">
        <f>'[1]2026 Orders'!U602</f>
        <v>0</v>
      </c>
      <c r="X601">
        <f>'[1]2026 Orders'!V602</f>
        <v>0</v>
      </c>
      <c r="Y601">
        <f>'[1]2026 Orders'!W602</f>
        <v>0</v>
      </c>
      <c r="Z601">
        <f>'[1]2026 Orders'!X602</f>
        <v>0</v>
      </c>
      <c r="AC601" t="str">
        <f t="shared" si="18"/>
        <v/>
      </c>
      <c r="AD601" t="str">
        <f t="shared" si="19"/>
        <v/>
      </c>
    </row>
    <row r="602" spans="1:30" ht="33" hidden="1" customHeight="1" x14ac:dyDescent="0.3">
      <c r="A602">
        <f>'[1]2026 Orders'!A603</f>
        <v>0</v>
      </c>
      <c r="B602" s="14">
        <f>'[1]2026 Orders'!B603</f>
        <v>0</v>
      </c>
      <c r="C602" s="14">
        <f>'[1]2026 Orders'!C603</f>
        <v>0</v>
      </c>
      <c r="D602" s="14">
        <f>'[1]2026 Orders'!D603</f>
        <v>0</v>
      </c>
      <c r="E602" s="17" t="str" cm="1">
        <f t="array" ref="E602">IF(C602=0,"",
HYPERLINK(
"#'2026 Orders'!C"&amp;
MATCH(1,
('2026 Orders'!C:C=C602)*
('2026 Orders'!G:G=G602)*
('2026 Orders'!N:N=N602),
0),
"Open "&amp;C602
))</f>
        <v/>
      </c>
      <c r="F602" s="14">
        <f>'[1]2026 Orders'!F603</f>
        <v>0</v>
      </c>
      <c r="G602" s="14">
        <f>'[1]2026 Orders'!G603</f>
        <v>0</v>
      </c>
      <c r="H602" s="14" t="str" cm="1">
        <f t="array" ref="H602">IFERROR(_xlfn.TEXTJOIN("-",,INDEX(_xlfn.TEXTSPLIT(TableGive[[#This Row],[SKU]],"-"),{1,2})),"")</f>
        <v/>
      </c>
      <c r="I602" s="15" t="str">
        <f>IFERROR(_xlfn.TEXTAFTER(TableGive[[#This Row],[SKU]],"-",-1),"")</f>
        <v/>
      </c>
      <c r="J602" s="14">
        <f>'[1]2026 Orders'!H603</f>
        <v>0</v>
      </c>
      <c r="K602">
        <f>'[1]2026 Orders'!I603</f>
        <v>0</v>
      </c>
      <c r="L602">
        <f>'[1]2026 Orders'!J603</f>
        <v>0</v>
      </c>
      <c r="N602" s="10">
        <f>'[1]2026 Orders'!L603</f>
        <v>0</v>
      </c>
      <c r="O602">
        <f>'[1]2026 Orders'!M603</f>
        <v>0</v>
      </c>
      <c r="P602">
        <f>'[1]2026 Orders'!N603</f>
        <v>0</v>
      </c>
      <c r="Q602">
        <f>'[1]2026 Orders'!O603</f>
        <v>0</v>
      </c>
      <c r="R602">
        <f>'[1]2026 Orders'!P603</f>
        <v>0</v>
      </c>
      <c r="S602">
        <f>'[1]2026 Orders'!Q603</f>
        <v>0</v>
      </c>
      <c r="T602">
        <f>'[1]2026 Orders'!R603</f>
        <v>0</v>
      </c>
      <c r="U602">
        <f>'[1]2026 Orders'!S603</f>
        <v>0</v>
      </c>
      <c r="V602">
        <f>'[1]2026 Orders'!T603</f>
        <v>0</v>
      </c>
      <c r="W602">
        <f>'[1]2026 Orders'!U603</f>
        <v>0</v>
      </c>
      <c r="X602">
        <f>'[1]2026 Orders'!V603</f>
        <v>0</v>
      </c>
      <c r="Y602">
        <f>'[1]2026 Orders'!W603</f>
        <v>0</v>
      </c>
      <c r="Z602">
        <f>'[1]2026 Orders'!X603</f>
        <v>0</v>
      </c>
      <c r="AC602" t="str">
        <f t="shared" si="18"/>
        <v/>
      </c>
      <c r="AD602" t="str">
        <f t="shared" si="19"/>
        <v/>
      </c>
    </row>
    <row r="603" spans="1:30" ht="33" hidden="1" customHeight="1" x14ac:dyDescent="0.3">
      <c r="A603">
        <f>'[1]2026 Orders'!A604</f>
        <v>0</v>
      </c>
      <c r="B603" s="14">
        <f>'[1]2026 Orders'!B604</f>
        <v>0</v>
      </c>
      <c r="C603" s="14">
        <f>'[1]2026 Orders'!C604</f>
        <v>0</v>
      </c>
      <c r="D603" s="14">
        <f>'[1]2026 Orders'!D604</f>
        <v>0</v>
      </c>
      <c r="E603" s="17" t="str" cm="1">
        <f t="array" ref="E603">IF(C603=0,"",
HYPERLINK(
"#'2026 Orders'!C"&amp;
MATCH(1,
('2026 Orders'!C:C=C603)*
('2026 Orders'!G:G=G603)*
('2026 Orders'!N:N=N603),
0),
"Open "&amp;C603
))</f>
        <v/>
      </c>
      <c r="F603" s="14">
        <f>'[1]2026 Orders'!F604</f>
        <v>0</v>
      </c>
      <c r="G603" s="14">
        <f>'[1]2026 Orders'!G604</f>
        <v>0</v>
      </c>
      <c r="H603" s="14" t="str" cm="1">
        <f t="array" ref="H603">IFERROR(_xlfn.TEXTJOIN("-",,INDEX(_xlfn.TEXTSPLIT(TableGive[[#This Row],[SKU]],"-"),{1,2})),"")</f>
        <v/>
      </c>
      <c r="I603" s="15" t="str">
        <f>IFERROR(_xlfn.TEXTAFTER(TableGive[[#This Row],[SKU]],"-",-1),"")</f>
        <v/>
      </c>
      <c r="J603" s="14">
        <f>'[1]2026 Orders'!H604</f>
        <v>0</v>
      </c>
      <c r="K603">
        <f>'[1]2026 Orders'!I604</f>
        <v>0</v>
      </c>
      <c r="L603">
        <f>'[1]2026 Orders'!J604</f>
        <v>0</v>
      </c>
      <c r="N603" s="10">
        <f>'[1]2026 Orders'!L604</f>
        <v>0</v>
      </c>
      <c r="O603">
        <f>'[1]2026 Orders'!M604</f>
        <v>0</v>
      </c>
      <c r="P603">
        <f>'[1]2026 Orders'!N604</f>
        <v>0</v>
      </c>
      <c r="Q603">
        <f>'[1]2026 Orders'!O604</f>
        <v>0</v>
      </c>
      <c r="R603">
        <f>'[1]2026 Orders'!P604</f>
        <v>0</v>
      </c>
      <c r="S603">
        <f>'[1]2026 Orders'!Q604</f>
        <v>0</v>
      </c>
      <c r="T603">
        <f>'[1]2026 Orders'!R604</f>
        <v>0</v>
      </c>
      <c r="U603">
        <f>'[1]2026 Orders'!S604</f>
        <v>0</v>
      </c>
      <c r="V603">
        <f>'[1]2026 Orders'!T604</f>
        <v>0</v>
      </c>
      <c r="W603">
        <f>'[1]2026 Orders'!U604</f>
        <v>0</v>
      </c>
      <c r="X603">
        <f>'[1]2026 Orders'!V604</f>
        <v>0</v>
      </c>
      <c r="Y603">
        <f>'[1]2026 Orders'!W604</f>
        <v>0</v>
      </c>
      <c r="Z603">
        <f>'[1]2026 Orders'!X604</f>
        <v>0</v>
      </c>
      <c r="AC603" t="str">
        <f t="shared" si="18"/>
        <v/>
      </c>
      <c r="AD603" t="str">
        <f t="shared" si="19"/>
        <v/>
      </c>
    </row>
    <row r="604" spans="1:30" ht="33" hidden="1" customHeight="1" x14ac:dyDescent="0.3">
      <c r="A604">
        <f>'[1]2026 Orders'!A605</f>
        <v>0</v>
      </c>
      <c r="B604" s="14">
        <f>'[1]2026 Orders'!B605</f>
        <v>0</v>
      </c>
      <c r="C604" s="14">
        <f>'[1]2026 Orders'!C605</f>
        <v>0</v>
      </c>
      <c r="D604" s="14">
        <f>'[1]2026 Orders'!D605</f>
        <v>0</v>
      </c>
      <c r="E604" s="17" t="str" cm="1">
        <f t="array" ref="E604">IF(C604=0,"",
HYPERLINK(
"#'2026 Orders'!C"&amp;
MATCH(1,
('2026 Orders'!C:C=C604)*
('2026 Orders'!G:G=G604)*
('2026 Orders'!N:N=N604),
0),
"Open "&amp;C604
))</f>
        <v/>
      </c>
      <c r="F604" s="14">
        <f>'[1]2026 Orders'!F605</f>
        <v>0</v>
      </c>
      <c r="G604" s="14">
        <f>'[1]2026 Orders'!G605</f>
        <v>0</v>
      </c>
      <c r="H604" s="14" t="str" cm="1">
        <f t="array" ref="H604">IFERROR(_xlfn.TEXTJOIN("-",,INDEX(_xlfn.TEXTSPLIT(TableGive[[#This Row],[SKU]],"-"),{1,2})),"")</f>
        <v/>
      </c>
      <c r="I604" s="15" t="str">
        <f>IFERROR(_xlfn.TEXTAFTER(TableGive[[#This Row],[SKU]],"-",-1),"")</f>
        <v/>
      </c>
      <c r="J604" s="14">
        <f>'[1]2026 Orders'!H605</f>
        <v>0</v>
      </c>
      <c r="K604">
        <f>'[1]2026 Orders'!I605</f>
        <v>0</v>
      </c>
      <c r="L604">
        <f>'[1]2026 Orders'!J605</f>
        <v>0</v>
      </c>
      <c r="N604" s="10">
        <f>'[1]2026 Orders'!L605</f>
        <v>0</v>
      </c>
      <c r="O604">
        <f>'[1]2026 Orders'!M605</f>
        <v>0</v>
      </c>
      <c r="P604">
        <f>'[1]2026 Orders'!N605</f>
        <v>0</v>
      </c>
      <c r="Q604">
        <f>'[1]2026 Orders'!O605</f>
        <v>0</v>
      </c>
      <c r="R604">
        <f>'[1]2026 Orders'!P605</f>
        <v>0</v>
      </c>
      <c r="S604">
        <f>'[1]2026 Orders'!Q605</f>
        <v>0</v>
      </c>
      <c r="T604">
        <f>'[1]2026 Orders'!R605</f>
        <v>0</v>
      </c>
      <c r="U604">
        <f>'[1]2026 Orders'!S605</f>
        <v>0</v>
      </c>
      <c r="V604">
        <f>'[1]2026 Orders'!T605</f>
        <v>0</v>
      </c>
      <c r="W604">
        <f>'[1]2026 Orders'!U605</f>
        <v>0</v>
      </c>
      <c r="X604">
        <f>'[1]2026 Orders'!V605</f>
        <v>0</v>
      </c>
      <c r="Y604">
        <f>'[1]2026 Orders'!W605</f>
        <v>0</v>
      </c>
      <c r="Z604">
        <f>'[1]2026 Orders'!X605</f>
        <v>0</v>
      </c>
      <c r="AC604" t="str">
        <f t="shared" si="18"/>
        <v/>
      </c>
      <c r="AD604" t="str">
        <f t="shared" si="19"/>
        <v/>
      </c>
    </row>
    <row r="605" spans="1:30" ht="33" hidden="1" customHeight="1" x14ac:dyDescent="0.3">
      <c r="A605">
        <f>'[1]2026 Orders'!A606</f>
        <v>0</v>
      </c>
      <c r="B605" s="14">
        <f>'[1]2026 Orders'!B606</f>
        <v>0</v>
      </c>
      <c r="C605" s="14">
        <f>'[1]2026 Orders'!C606</f>
        <v>0</v>
      </c>
      <c r="D605" s="14">
        <f>'[1]2026 Orders'!D606</f>
        <v>0</v>
      </c>
      <c r="E605" s="17" t="str" cm="1">
        <f t="array" ref="E605">IF(C605=0,"",
HYPERLINK(
"#'2026 Orders'!C"&amp;
MATCH(1,
('2026 Orders'!C:C=C605)*
('2026 Orders'!G:G=G605)*
('2026 Orders'!N:N=N605),
0),
"Open "&amp;C605
))</f>
        <v/>
      </c>
      <c r="F605" s="14">
        <f>'[1]2026 Orders'!F606</f>
        <v>0</v>
      </c>
      <c r="G605" s="14">
        <f>'[1]2026 Orders'!G606</f>
        <v>0</v>
      </c>
      <c r="H605" s="14" t="str" cm="1">
        <f t="array" ref="H605">IFERROR(_xlfn.TEXTJOIN("-",,INDEX(_xlfn.TEXTSPLIT(TableGive[[#This Row],[SKU]],"-"),{1,2})),"")</f>
        <v/>
      </c>
      <c r="I605" s="15" t="str">
        <f>IFERROR(_xlfn.TEXTAFTER(TableGive[[#This Row],[SKU]],"-",-1),"")</f>
        <v/>
      </c>
      <c r="J605" s="14">
        <f>'[1]2026 Orders'!H606</f>
        <v>0</v>
      </c>
      <c r="K605">
        <f>'[1]2026 Orders'!I606</f>
        <v>0</v>
      </c>
      <c r="L605">
        <f>'[1]2026 Orders'!J606</f>
        <v>0</v>
      </c>
      <c r="N605" s="10">
        <f>'[1]2026 Orders'!L606</f>
        <v>0</v>
      </c>
      <c r="O605">
        <f>'[1]2026 Orders'!M606</f>
        <v>0</v>
      </c>
      <c r="P605">
        <f>'[1]2026 Orders'!N606</f>
        <v>0</v>
      </c>
      <c r="Q605">
        <f>'[1]2026 Orders'!O606</f>
        <v>0</v>
      </c>
      <c r="R605">
        <f>'[1]2026 Orders'!P606</f>
        <v>0</v>
      </c>
      <c r="S605">
        <f>'[1]2026 Orders'!Q606</f>
        <v>0</v>
      </c>
      <c r="T605">
        <f>'[1]2026 Orders'!R606</f>
        <v>0</v>
      </c>
      <c r="U605">
        <f>'[1]2026 Orders'!S606</f>
        <v>0</v>
      </c>
      <c r="V605">
        <f>'[1]2026 Orders'!T606</f>
        <v>0</v>
      </c>
      <c r="W605">
        <f>'[1]2026 Orders'!U606</f>
        <v>0</v>
      </c>
      <c r="X605">
        <f>'[1]2026 Orders'!V606</f>
        <v>0</v>
      </c>
      <c r="Y605">
        <f>'[1]2026 Orders'!W606</f>
        <v>0</v>
      </c>
      <c r="Z605">
        <f>'[1]2026 Orders'!X606</f>
        <v>0</v>
      </c>
      <c r="AC605" t="str">
        <f t="shared" si="18"/>
        <v/>
      </c>
      <c r="AD605" t="str">
        <f t="shared" si="19"/>
        <v/>
      </c>
    </row>
    <row r="606" spans="1:30" ht="33" hidden="1" customHeight="1" x14ac:dyDescent="0.3">
      <c r="A606">
        <f>'[1]2026 Orders'!A607</f>
        <v>0</v>
      </c>
      <c r="B606" s="14">
        <f>'[1]2026 Orders'!B607</f>
        <v>0</v>
      </c>
      <c r="C606" s="14">
        <f>'[1]2026 Orders'!C607</f>
        <v>0</v>
      </c>
      <c r="D606" s="14">
        <f>'[1]2026 Orders'!D607</f>
        <v>0</v>
      </c>
      <c r="E606" s="17" t="str" cm="1">
        <f t="array" ref="E606">IF(C606=0,"",
HYPERLINK(
"#'2026 Orders'!C"&amp;
MATCH(1,
('2026 Orders'!C:C=C606)*
('2026 Orders'!G:G=G606)*
('2026 Orders'!N:N=N606),
0),
"Open "&amp;C606
))</f>
        <v/>
      </c>
      <c r="F606" s="14">
        <f>'[1]2026 Orders'!F607</f>
        <v>0</v>
      </c>
      <c r="G606" s="14">
        <f>'[1]2026 Orders'!G607</f>
        <v>0</v>
      </c>
      <c r="H606" s="14" t="str" cm="1">
        <f t="array" ref="H606">IFERROR(_xlfn.TEXTJOIN("-",,INDEX(_xlfn.TEXTSPLIT(TableGive[[#This Row],[SKU]],"-"),{1,2})),"")</f>
        <v/>
      </c>
      <c r="I606" s="15" t="str">
        <f>IFERROR(_xlfn.TEXTAFTER(TableGive[[#This Row],[SKU]],"-",-1),"")</f>
        <v/>
      </c>
      <c r="J606" s="14">
        <f>'[1]2026 Orders'!H607</f>
        <v>0</v>
      </c>
      <c r="K606">
        <f>'[1]2026 Orders'!I607</f>
        <v>0</v>
      </c>
      <c r="L606">
        <f>'[1]2026 Orders'!J607</f>
        <v>0</v>
      </c>
      <c r="N606" s="10">
        <f>'[1]2026 Orders'!L607</f>
        <v>0</v>
      </c>
      <c r="O606">
        <f>'[1]2026 Orders'!M607</f>
        <v>0</v>
      </c>
      <c r="P606">
        <f>'[1]2026 Orders'!N607</f>
        <v>0</v>
      </c>
      <c r="Q606">
        <f>'[1]2026 Orders'!O607</f>
        <v>0</v>
      </c>
      <c r="R606">
        <f>'[1]2026 Orders'!P607</f>
        <v>0</v>
      </c>
      <c r="S606">
        <f>'[1]2026 Orders'!Q607</f>
        <v>0</v>
      </c>
      <c r="T606">
        <f>'[1]2026 Orders'!R607</f>
        <v>0</v>
      </c>
      <c r="U606">
        <f>'[1]2026 Orders'!S607</f>
        <v>0</v>
      </c>
      <c r="V606">
        <f>'[1]2026 Orders'!T607</f>
        <v>0</v>
      </c>
      <c r="W606">
        <f>'[1]2026 Orders'!U607</f>
        <v>0</v>
      </c>
      <c r="X606">
        <f>'[1]2026 Orders'!V607</f>
        <v>0</v>
      </c>
      <c r="Y606">
        <f>'[1]2026 Orders'!W607</f>
        <v>0</v>
      </c>
      <c r="Z606">
        <f>'[1]2026 Orders'!X607</f>
        <v>0</v>
      </c>
      <c r="AC606" t="str">
        <f t="shared" si="18"/>
        <v/>
      </c>
      <c r="AD606" t="str">
        <f t="shared" si="19"/>
        <v/>
      </c>
    </row>
    <row r="607" spans="1:30" ht="33" hidden="1" customHeight="1" x14ac:dyDescent="0.3">
      <c r="A607">
        <f>'[1]2026 Orders'!A608</f>
        <v>0</v>
      </c>
      <c r="B607" s="14">
        <f>'[1]2026 Orders'!B608</f>
        <v>0</v>
      </c>
      <c r="C607" s="14">
        <f>'[1]2026 Orders'!C608</f>
        <v>0</v>
      </c>
      <c r="D607" s="14">
        <f>'[1]2026 Orders'!D608</f>
        <v>0</v>
      </c>
      <c r="E607" s="17" t="str" cm="1">
        <f t="array" ref="E607">IF(C607=0,"",
HYPERLINK(
"#'2026 Orders'!C"&amp;
MATCH(1,
('2026 Orders'!C:C=C607)*
('2026 Orders'!G:G=G607)*
('2026 Orders'!N:N=N607),
0),
"Open "&amp;C607
))</f>
        <v/>
      </c>
      <c r="F607" s="14">
        <f>'[1]2026 Orders'!F608</f>
        <v>0</v>
      </c>
      <c r="G607" s="14">
        <f>'[1]2026 Orders'!G608</f>
        <v>0</v>
      </c>
      <c r="H607" s="14" t="str" cm="1">
        <f t="array" ref="H607">IFERROR(_xlfn.TEXTJOIN("-",,INDEX(_xlfn.TEXTSPLIT(TableGive[[#This Row],[SKU]],"-"),{1,2})),"")</f>
        <v/>
      </c>
      <c r="I607" s="15" t="str">
        <f>IFERROR(_xlfn.TEXTAFTER(TableGive[[#This Row],[SKU]],"-",-1),"")</f>
        <v/>
      </c>
      <c r="J607" s="14">
        <f>'[1]2026 Orders'!H608</f>
        <v>0</v>
      </c>
      <c r="K607">
        <f>'[1]2026 Orders'!I608</f>
        <v>0</v>
      </c>
      <c r="L607">
        <f>'[1]2026 Orders'!J608</f>
        <v>0</v>
      </c>
      <c r="N607" s="10">
        <f>'[1]2026 Orders'!L608</f>
        <v>0</v>
      </c>
      <c r="O607">
        <f>'[1]2026 Orders'!M608</f>
        <v>0</v>
      </c>
      <c r="P607">
        <f>'[1]2026 Orders'!N608</f>
        <v>0</v>
      </c>
      <c r="Q607">
        <f>'[1]2026 Orders'!O608</f>
        <v>0</v>
      </c>
      <c r="R607">
        <f>'[1]2026 Orders'!P608</f>
        <v>0</v>
      </c>
      <c r="S607">
        <f>'[1]2026 Orders'!Q608</f>
        <v>0</v>
      </c>
      <c r="T607">
        <f>'[1]2026 Orders'!R608</f>
        <v>0</v>
      </c>
      <c r="U607">
        <f>'[1]2026 Orders'!S608</f>
        <v>0</v>
      </c>
      <c r="V607">
        <f>'[1]2026 Orders'!T608</f>
        <v>0</v>
      </c>
      <c r="W607">
        <f>'[1]2026 Orders'!U608</f>
        <v>0</v>
      </c>
      <c r="X607">
        <f>'[1]2026 Orders'!V608</f>
        <v>0</v>
      </c>
      <c r="Y607">
        <f>'[1]2026 Orders'!W608</f>
        <v>0</v>
      </c>
      <c r="Z607">
        <f>'[1]2026 Orders'!X608</f>
        <v>0</v>
      </c>
      <c r="AC607" t="str">
        <f t="shared" si="18"/>
        <v/>
      </c>
      <c r="AD607" t="str">
        <f t="shared" si="19"/>
        <v/>
      </c>
    </row>
    <row r="608" spans="1:30" ht="33" hidden="1" customHeight="1" x14ac:dyDescent="0.3">
      <c r="A608">
        <f>'[1]2026 Orders'!A609</f>
        <v>0</v>
      </c>
      <c r="B608" s="14">
        <f>'[1]2026 Orders'!B609</f>
        <v>0</v>
      </c>
      <c r="C608" s="14">
        <f>'[1]2026 Orders'!C609</f>
        <v>0</v>
      </c>
      <c r="D608" s="14">
        <f>'[1]2026 Orders'!D609</f>
        <v>0</v>
      </c>
      <c r="E608" s="17" t="str" cm="1">
        <f t="array" ref="E608">IF(C608=0,"",
HYPERLINK(
"#'2026 Orders'!C"&amp;
MATCH(1,
('2026 Orders'!C:C=C608)*
('2026 Orders'!G:G=G608)*
('2026 Orders'!N:N=N608),
0),
"Open "&amp;C608
))</f>
        <v/>
      </c>
      <c r="F608" s="14">
        <f>'[1]2026 Orders'!F609</f>
        <v>0</v>
      </c>
      <c r="G608" s="14">
        <f>'[1]2026 Orders'!G609</f>
        <v>0</v>
      </c>
      <c r="H608" s="14" t="str" cm="1">
        <f t="array" ref="H608">IFERROR(_xlfn.TEXTJOIN("-",,INDEX(_xlfn.TEXTSPLIT(TableGive[[#This Row],[SKU]],"-"),{1,2})),"")</f>
        <v/>
      </c>
      <c r="I608" s="15" t="str">
        <f>IFERROR(_xlfn.TEXTAFTER(TableGive[[#This Row],[SKU]],"-",-1),"")</f>
        <v/>
      </c>
      <c r="J608" s="14">
        <f>'[1]2026 Orders'!H609</f>
        <v>0</v>
      </c>
      <c r="K608">
        <f>'[1]2026 Orders'!I609</f>
        <v>0</v>
      </c>
      <c r="L608">
        <f>'[1]2026 Orders'!J609</f>
        <v>0</v>
      </c>
      <c r="N608" s="10">
        <f>'[1]2026 Orders'!L609</f>
        <v>0</v>
      </c>
      <c r="O608">
        <f>'[1]2026 Orders'!M609</f>
        <v>0</v>
      </c>
      <c r="P608">
        <f>'[1]2026 Orders'!N609</f>
        <v>0</v>
      </c>
      <c r="Q608">
        <f>'[1]2026 Orders'!O609</f>
        <v>0</v>
      </c>
      <c r="R608">
        <f>'[1]2026 Orders'!P609</f>
        <v>0</v>
      </c>
      <c r="S608">
        <f>'[1]2026 Orders'!Q609</f>
        <v>0</v>
      </c>
      <c r="T608">
        <f>'[1]2026 Orders'!R609</f>
        <v>0</v>
      </c>
      <c r="U608">
        <f>'[1]2026 Orders'!S609</f>
        <v>0</v>
      </c>
      <c r="V608">
        <f>'[1]2026 Orders'!T609</f>
        <v>0</v>
      </c>
      <c r="W608">
        <f>'[1]2026 Orders'!U609</f>
        <v>0</v>
      </c>
      <c r="X608">
        <f>'[1]2026 Orders'!V609</f>
        <v>0</v>
      </c>
      <c r="Y608">
        <f>'[1]2026 Orders'!W609</f>
        <v>0</v>
      </c>
      <c r="Z608">
        <f>'[1]2026 Orders'!X609</f>
        <v>0</v>
      </c>
      <c r="AC608" t="str">
        <f t="shared" si="18"/>
        <v/>
      </c>
      <c r="AD608" t="str">
        <f t="shared" si="19"/>
        <v/>
      </c>
    </row>
    <row r="609" spans="1:30" ht="33" hidden="1" customHeight="1" x14ac:dyDescent="0.3">
      <c r="A609">
        <f>'[1]2026 Orders'!A610</f>
        <v>0</v>
      </c>
      <c r="B609" s="14">
        <f>'[1]2026 Orders'!B610</f>
        <v>0</v>
      </c>
      <c r="C609" s="14">
        <f>'[1]2026 Orders'!C610</f>
        <v>0</v>
      </c>
      <c r="D609" s="14">
        <f>'[1]2026 Orders'!D610</f>
        <v>0</v>
      </c>
      <c r="E609" s="17" t="str" cm="1">
        <f t="array" ref="E609">IF(C609=0,"",
HYPERLINK(
"#'2026 Orders'!C"&amp;
MATCH(1,
('2026 Orders'!C:C=C609)*
('2026 Orders'!G:G=G609)*
('2026 Orders'!N:N=N609),
0),
"Open "&amp;C609
))</f>
        <v/>
      </c>
      <c r="F609" s="14">
        <f>'[1]2026 Orders'!F610</f>
        <v>0</v>
      </c>
      <c r="G609" s="14">
        <f>'[1]2026 Orders'!G610</f>
        <v>0</v>
      </c>
      <c r="H609" s="14" t="str" cm="1">
        <f t="array" ref="H609">IFERROR(_xlfn.TEXTJOIN("-",,INDEX(_xlfn.TEXTSPLIT(TableGive[[#This Row],[SKU]],"-"),{1,2})),"")</f>
        <v/>
      </c>
      <c r="I609" s="15" t="str">
        <f>IFERROR(_xlfn.TEXTAFTER(TableGive[[#This Row],[SKU]],"-",-1),"")</f>
        <v/>
      </c>
      <c r="J609" s="14">
        <f>'[1]2026 Orders'!H610</f>
        <v>0</v>
      </c>
      <c r="K609">
        <f>'[1]2026 Orders'!I610</f>
        <v>0</v>
      </c>
      <c r="L609">
        <f>'[1]2026 Orders'!J610</f>
        <v>0</v>
      </c>
      <c r="N609" s="10">
        <f>'[1]2026 Orders'!L610</f>
        <v>0</v>
      </c>
      <c r="O609">
        <f>'[1]2026 Orders'!M610</f>
        <v>0</v>
      </c>
      <c r="P609">
        <f>'[1]2026 Orders'!N610</f>
        <v>0</v>
      </c>
      <c r="Q609">
        <f>'[1]2026 Orders'!O610</f>
        <v>0</v>
      </c>
      <c r="R609">
        <f>'[1]2026 Orders'!P610</f>
        <v>0</v>
      </c>
      <c r="S609">
        <f>'[1]2026 Orders'!Q610</f>
        <v>0</v>
      </c>
      <c r="T609">
        <f>'[1]2026 Orders'!R610</f>
        <v>0</v>
      </c>
      <c r="U609">
        <f>'[1]2026 Orders'!S610</f>
        <v>0</v>
      </c>
      <c r="V609">
        <f>'[1]2026 Orders'!T610</f>
        <v>0</v>
      </c>
      <c r="W609">
        <f>'[1]2026 Orders'!U610</f>
        <v>0</v>
      </c>
      <c r="X609">
        <f>'[1]2026 Orders'!V610</f>
        <v>0</v>
      </c>
      <c r="Y609">
        <f>'[1]2026 Orders'!W610</f>
        <v>0</v>
      </c>
      <c r="Z609">
        <f>'[1]2026 Orders'!X610</f>
        <v>0</v>
      </c>
      <c r="AC609" t="str">
        <f t="shared" si="18"/>
        <v/>
      </c>
      <c r="AD609" t="str">
        <f t="shared" si="19"/>
        <v/>
      </c>
    </row>
    <row r="610" spans="1:30" ht="33" hidden="1" customHeight="1" x14ac:dyDescent="0.3">
      <c r="A610">
        <f>'[1]2026 Orders'!A611</f>
        <v>0</v>
      </c>
      <c r="B610" s="14">
        <f>'[1]2026 Orders'!B611</f>
        <v>0</v>
      </c>
      <c r="C610" s="14">
        <f>'[1]2026 Orders'!C611</f>
        <v>0</v>
      </c>
      <c r="D610" s="14">
        <f>'[1]2026 Orders'!D611</f>
        <v>0</v>
      </c>
      <c r="E610" s="17" t="str" cm="1">
        <f t="array" ref="E610">IF(C610=0,"",
HYPERLINK(
"#'2026 Orders'!C"&amp;
MATCH(1,
('2026 Orders'!C:C=C610)*
('2026 Orders'!G:G=G610)*
('2026 Orders'!N:N=N610),
0),
"Open "&amp;C610
))</f>
        <v/>
      </c>
      <c r="F610" s="14">
        <f>'[1]2026 Orders'!F611</f>
        <v>0</v>
      </c>
      <c r="G610" s="14">
        <f>'[1]2026 Orders'!G611</f>
        <v>0</v>
      </c>
      <c r="H610" s="14" t="str" cm="1">
        <f t="array" ref="H610">IFERROR(_xlfn.TEXTJOIN("-",,INDEX(_xlfn.TEXTSPLIT(TableGive[[#This Row],[SKU]],"-"),{1,2})),"")</f>
        <v/>
      </c>
      <c r="I610" s="15" t="str">
        <f>IFERROR(_xlfn.TEXTAFTER(TableGive[[#This Row],[SKU]],"-",-1),"")</f>
        <v/>
      </c>
      <c r="J610" s="14">
        <f>'[1]2026 Orders'!H611</f>
        <v>0</v>
      </c>
      <c r="K610">
        <f>'[1]2026 Orders'!I611</f>
        <v>0</v>
      </c>
      <c r="L610">
        <f>'[1]2026 Orders'!J611</f>
        <v>0</v>
      </c>
      <c r="N610" s="10">
        <f>'[1]2026 Orders'!L611</f>
        <v>0</v>
      </c>
      <c r="O610">
        <f>'[1]2026 Orders'!M611</f>
        <v>0</v>
      </c>
      <c r="P610">
        <f>'[1]2026 Orders'!N611</f>
        <v>0</v>
      </c>
      <c r="Q610">
        <f>'[1]2026 Orders'!O611</f>
        <v>0</v>
      </c>
      <c r="R610">
        <f>'[1]2026 Orders'!P611</f>
        <v>0</v>
      </c>
      <c r="S610">
        <f>'[1]2026 Orders'!Q611</f>
        <v>0</v>
      </c>
      <c r="T610">
        <f>'[1]2026 Orders'!R611</f>
        <v>0</v>
      </c>
      <c r="U610">
        <f>'[1]2026 Orders'!S611</f>
        <v>0</v>
      </c>
      <c r="V610">
        <f>'[1]2026 Orders'!T611</f>
        <v>0</v>
      </c>
      <c r="W610">
        <f>'[1]2026 Orders'!U611</f>
        <v>0</v>
      </c>
      <c r="X610">
        <f>'[1]2026 Orders'!V611</f>
        <v>0</v>
      </c>
      <c r="Y610">
        <f>'[1]2026 Orders'!W611</f>
        <v>0</v>
      </c>
      <c r="Z610">
        <f>'[1]2026 Orders'!X611</f>
        <v>0</v>
      </c>
      <c r="AC610" t="str">
        <f t="shared" si="18"/>
        <v/>
      </c>
      <c r="AD610" t="str">
        <f t="shared" si="19"/>
        <v/>
      </c>
    </row>
    <row r="611" spans="1:30" ht="33" hidden="1" customHeight="1" x14ac:dyDescent="0.3">
      <c r="A611">
        <f>'[1]2026 Orders'!A612</f>
        <v>0</v>
      </c>
      <c r="B611" s="14">
        <f>'[1]2026 Orders'!B612</f>
        <v>0</v>
      </c>
      <c r="C611" s="14">
        <f>'[1]2026 Orders'!C612</f>
        <v>0</v>
      </c>
      <c r="D611" s="14">
        <f>'[1]2026 Orders'!D612</f>
        <v>0</v>
      </c>
      <c r="E611" s="17" t="str" cm="1">
        <f t="array" ref="E611">IF(C611=0,"",
HYPERLINK(
"#'2026 Orders'!C"&amp;
MATCH(1,
('2026 Orders'!C:C=C611)*
('2026 Orders'!G:G=G611)*
('2026 Orders'!N:N=N611),
0),
"Open "&amp;C611
))</f>
        <v/>
      </c>
      <c r="F611" s="14">
        <f>'[1]2026 Orders'!F612</f>
        <v>0</v>
      </c>
      <c r="G611" s="14">
        <f>'[1]2026 Orders'!G612</f>
        <v>0</v>
      </c>
      <c r="H611" s="14" t="str" cm="1">
        <f t="array" ref="H611">IFERROR(_xlfn.TEXTJOIN("-",,INDEX(_xlfn.TEXTSPLIT(TableGive[[#This Row],[SKU]],"-"),{1,2})),"")</f>
        <v/>
      </c>
      <c r="I611" s="15" t="str">
        <f>IFERROR(_xlfn.TEXTAFTER(TableGive[[#This Row],[SKU]],"-",-1),"")</f>
        <v/>
      </c>
      <c r="J611" s="14">
        <f>'[1]2026 Orders'!H612</f>
        <v>0</v>
      </c>
      <c r="K611">
        <f>'[1]2026 Orders'!I612</f>
        <v>0</v>
      </c>
      <c r="L611">
        <f>'[1]2026 Orders'!J612</f>
        <v>0</v>
      </c>
      <c r="N611" s="10">
        <f>'[1]2026 Orders'!L612</f>
        <v>0</v>
      </c>
      <c r="O611">
        <f>'[1]2026 Orders'!M612</f>
        <v>0</v>
      </c>
      <c r="P611">
        <f>'[1]2026 Orders'!N612</f>
        <v>0</v>
      </c>
      <c r="Q611">
        <f>'[1]2026 Orders'!O612</f>
        <v>0</v>
      </c>
      <c r="R611">
        <f>'[1]2026 Orders'!P612</f>
        <v>0</v>
      </c>
      <c r="S611">
        <f>'[1]2026 Orders'!Q612</f>
        <v>0</v>
      </c>
      <c r="T611">
        <f>'[1]2026 Orders'!R612</f>
        <v>0</v>
      </c>
      <c r="U611">
        <f>'[1]2026 Orders'!S612</f>
        <v>0</v>
      </c>
      <c r="V611">
        <f>'[1]2026 Orders'!T612</f>
        <v>0</v>
      </c>
      <c r="W611">
        <f>'[1]2026 Orders'!U612</f>
        <v>0</v>
      </c>
      <c r="X611">
        <f>'[1]2026 Orders'!V612</f>
        <v>0</v>
      </c>
      <c r="Y611">
        <f>'[1]2026 Orders'!W612</f>
        <v>0</v>
      </c>
      <c r="Z611">
        <f>'[1]2026 Orders'!X612</f>
        <v>0</v>
      </c>
      <c r="AC611" t="str">
        <f t="shared" si="18"/>
        <v/>
      </c>
      <c r="AD611" t="str">
        <f t="shared" si="19"/>
        <v/>
      </c>
    </row>
    <row r="612" spans="1:30" ht="33" hidden="1" customHeight="1" x14ac:dyDescent="0.3">
      <c r="A612">
        <f>'[1]2026 Orders'!A613</f>
        <v>0</v>
      </c>
      <c r="B612" s="14">
        <f>'[1]2026 Orders'!B613</f>
        <v>0</v>
      </c>
      <c r="C612" s="14">
        <f>'[1]2026 Orders'!C613</f>
        <v>0</v>
      </c>
      <c r="D612" s="14">
        <f>'[1]2026 Orders'!D613</f>
        <v>0</v>
      </c>
      <c r="E612" s="17" t="str" cm="1">
        <f t="array" ref="E612">IF(C612=0,"",
HYPERLINK(
"#'2026 Orders'!C"&amp;
MATCH(1,
('2026 Orders'!C:C=C612)*
('2026 Orders'!G:G=G612)*
('2026 Orders'!N:N=N612),
0),
"Open "&amp;C612
))</f>
        <v/>
      </c>
      <c r="F612" s="14">
        <f>'[1]2026 Orders'!F613</f>
        <v>0</v>
      </c>
      <c r="G612" s="14">
        <f>'[1]2026 Orders'!G613</f>
        <v>0</v>
      </c>
      <c r="H612" s="14" t="str" cm="1">
        <f t="array" ref="H612">IFERROR(_xlfn.TEXTJOIN("-",,INDEX(_xlfn.TEXTSPLIT(TableGive[[#This Row],[SKU]],"-"),{1,2})),"")</f>
        <v/>
      </c>
      <c r="I612" s="15" t="str">
        <f>IFERROR(_xlfn.TEXTAFTER(TableGive[[#This Row],[SKU]],"-",-1),"")</f>
        <v/>
      </c>
      <c r="J612" s="14">
        <f>'[1]2026 Orders'!H613</f>
        <v>0</v>
      </c>
      <c r="K612">
        <f>'[1]2026 Orders'!I613</f>
        <v>0</v>
      </c>
      <c r="L612">
        <f>'[1]2026 Orders'!J613</f>
        <v>0</v>
      </c>
      <c r="N612" s="10">
        <f>'[1]2026 Orders'!L613</f>
        <v>0</v>
      </c>
      <c r="O612">
        <f>'[1]2026 Orders'!M613</f>
        <v>0</v>
      </c>
      <c r="P612">
        <f>'[1]2026 Orders'!N613</f>
        <v>0</v>
      </c>
      <c r="Q612">
        <f>'[1]2026 Orders'!O613</f>
        <v>0</v>
      </c>
      <c r="R612">
        <f>'[1]2026 Orders'!P613</f>
        <v>0</v>
      </c>
      <c r="S612">
        <f>'[1]2026 Orders'!Q613</f>
        <v>0</v>
      </c>
      <c r="T612">
        <f>'[1]2026 Orders'!R613</f>
        <v>0</v>
      </c>
      <c r="U612">
        <f>'[1]2026 Orders'!S613</f>
        <v>0</v>
      </c>
      <c r="V612">
        <f>'[1]2026 Orders'!T613</f>
        <v>0</v>
      </c>
      <c r="W612">
        <f>'[1]2026 Orders'!U613</f>
        <v>0</v>
      </c>
      <c r="X612">
        <f>'[1]2026 Orders'!V613</f>
        <v>0</v>
      </c>
      <c r="Y612">
        <f>'[1]2026 Orders'!W613</f>
        <v>0</v>
      </c>
      <c r="Z612">
        <f>'[1]2026 Orders'!X613</f>
        <v>0</v>
      </c>
      <c r="AC612" t="str">
        <f t="shared" si="18"/>
        <v/>
      </c>
      <c r="AD612" t="str">
        <f t="shared" si="19"/>
        <v/>
      </c>
    </row>
    <row r="613" spans="1:30" ht="33" hidden="1" customHeight="1" x14ac:dyDescent="0.3">
      <c r="A613">
        <f>'[1]2026 Orders'!A614</f>
        <v>0</v>
      </c>
      <c r="B613" s="14">
        <f>'[1]2026 Orders'!B614</f>
        <v>0</v>
      </c>
      <c r="C613" s="14">
        <f>'[1]2026 Orders'!C614</f>
        <v>0</v>
      </c>
      <c r="D613" s="14">
        <f>'[1]2026 Orders'!D614</f>
        <v>0</v>
      </c>
      <c r="E613" s="17" t="str" cm="1">
        <f t="array" ref="E613">IF(C613=0,"",
HYPERLINK(
"#'2026 Orders'!C"&amp;
MATCH(1,
('2026 Orders'!C:C=C613)*
('2026 Orders'!G:G=G613)*
('2026 Orders'!N:N=N613),
0),
"Open "&amp;C613
))</f>
        <v/>
      </c>
      <c r="F613" s="14">
        <f>'[1]2026 Orders'!F614</f>
        <v>0</v>
      </c>
      <c r="G613" s="14">
        <f>'[1]2026 Orders'!G614</f>
        <v>0</v>
      </c>
      <c r="H613" s="14" t="str" cm="1">
        <f t="array" ref="H613">IFERROR(_xlfn.TEXTJOIN("-",,INDEX(_xlfn.TEXTSPLIT(TableGive[[#This Row],[SKU]],"-"),{1,2})),"")</f>
        <v/>
      </c>
      <c r="I613" s="15" t="str">
        <f>IFERROR(_xlfn.TEXTAFTER(TableGive[[#This Row],[SKU]],"-",-1),"")</f>
        <v/>
      </c>
      <c r="J613" s="14">
        <f>'[1]2026 Orders'!H614</f>
        <v>0</v>
      </c>
      <c r="K613">
        <f>'[1]2026 Orders'!I614</f>
        <v>0</v>
      </c>
      <c r="L613">
        <f>'[1]2026 Orders'!J614</f>
        <v>0</v>
      </c>
      <c r="N613" s="10">
        <f>'[1]2026 Orders'!L614</f>
        <v>0</v>
      </c>
      <c r="O613">
        <f>'[1]2026 Orders'!M614</f>
        <v>0</v>
      </c>
      <c r="P613">
        <f>'[1]2026 Orders'!N614</f>
        <v>0</v>
      </c>
      <c r="Q613">
        <f>'[1]2026 Orders'!O614</f>
        <v>0</v>
      </c>
      <c r="R613">
        <f>'[1]2026 Orders'!P614</f>
        <v>0</v>
      </c>
      <c r="S613">
        <f>'[1]2026 Orders'!Q614</f>
        <v>0</v>
      </c>
      <c r="T613">
        <f>'[1]2026 Orders'!R614</f>
        <v>0</v>
      </c>
      <c r="U613">
        <f>'[1]2026 Orders'!S614</f>
        <v>0</v>
      </c>
      <c r="V613">
        <f>'[1]2026 Orders'!T614</f>
        <v>0</v>
      </c>
      <c r="W613">
        <f>'[1]2026 Orders'!U614</f>
        <v>0</v>
      </c>
      <c r="X613">
        <f>'[1]2026 Orders'!V614</f>
        <v>0</v>
      </c>
      <c r="Y613">
        <f>'[1]2026 Orders'!W614</f>
        <v>0</v>
      </c>
      <c r="Z613">
        <f>'[1]2026 Orders'!X614</f>
        <v>0</v>
      </c>
      <c r="AC613" t="str">
        <f t="shared" si="18"/>
        <v/>
      </c>
      <c r="AD613" t="str">
        <f t="shared" si="19"/>
        <v/>
      </c>
    </row>
    <row r="614" spans="1:30" ht="33" hidden="1" customHeight="1" x14ac:dyDescent="0.3">
      <c r="A614">
        <f>'[1]2026 Orders'!A615</f>
        <v>0</v>
      </c>
      <c r="B614" s="14">
        <f>'[1]2026 Orders'!B615</f>
        <v>0</v>
      </c>
      <c r="C614" s="14">
        <f>'[1]2026 Orders'!C615</f>
        <v>0</v>
      </c>
      <c r="D614" s="14">
        <f>'[1]2026 Orders'!D615</f>
        <v>0</v>
      </c>
      <c r="E614" s="17" t="str" cm="1">
        <f t="array" ref="E614">IF(C614=0,"",
HYPERLINK(
"#'2026 Orders'!C"&amp;
MATCH(1,
('2026 Orders'!C:C=C614)*
('2026 Orders'!G:G=G614)*
('2026 Orders'!N:N=N614),
0),
"Open "&amp;C614
))</f>
        <v/>
      </c>
      <c r="F614" s="14">
        <f>'[1]2026 Orders'!F615</f>
        <v>0</v>
      </c>
      <c r="G614" s="14">
        <f>'[1]2026 Orders'!G615</f>
        <v>0</v>
      </c>
      <c r="H614" s="14" t="str" cm="1">
        <f t="array" ref="H614">IFERROR(_xlfn.TEXTJOIN("-",,INDEX(_xlfn.TEXTSPLIT(TableGive[[#This Row],[SKU]],"-"),{1,2})),"")</f>
        <v/>
      </c>
      <c r="I614" s="15" t="str">
        <f>IFERROR(_xlfn.TEXTAFTER(TableGive[[#This Row],[SKU]],"-",-1),"")</f>
        <v/>
      </c>
      <c r="J614" s="14">
        <f>'[1]2026 Orders'!H615</f>
        <v>0</v>
      </c>
      <c r="K614">
        <f>'[1]2026 Orders'!I615</f>
        <v>0</v>
      </c>
      <c r="L614">
        <f>'[1]2026 Orders'!J615</f>
        <v>0</v>
      </c>
      <c r="N614" s="10">
        <f>'[1]2026 Orders'!L615</f>
        <v>0</v>
      </c>
      <c r="O614">
        <f>'[1]2026 Orders'!M615</f>
        <v>0</v>
      </c>
      <c r="P614">
        <f>'[1]2026 Orders'!N615</f>
        <v>0</v>
      </c>
      <c r="Q614">
        <f>'[1]2026 Orders'!O615</f>
        <v>0</v>
      </c>
      <c r="R614">
        <f>'[1]2026 Orders'!P615</f>
        <v>0</v>
      </c>
      <c r="S614">
        <f>'[1]2026 Orders'!Q615</f>
        <v>0</v>
      </c>
      <c r="T614">
        <f>'[1]2026 Orders'!R615</f>
        <v>0</v>
      </c>
      <c r="U614">
        <f>'[1]2026 Orders'!S615</f>
        <v>0</v>
      </c>
      <c r="V614">
        <f>'[1]2026 Orders'!T615</f>
        <v>0</v>
      </c>
      <c r="W614">
        <f>'[1]2026 Orders'!U615</f>
        <v>0</v>
      </c>
      <c r="X614">
        <f>'[1]2026 Orders'!V615</f>
        <v>0</v>
      </c>
      <c r="Y614">
        <f>'[1]2026 Orders'!W615</f>
        <v>0</v>
      </c>
      <c r="Z614">
        <f>'[1]2026 Orders'!X615</f>
        <v>0</v>
      </c>
      <c r="AC614" t="str">
        <f t="shared" si="18"/>
        <v/>
      </c>
      <c r="AD614" t="str">
        <f t="shared" si="19"/>
        <v/>
      </c>
    </row>
    <row r="615" spans="1:30" ht="33" hidden="1" customHeight="1" x14ac:dyDescent="0.3">
      <c r="A615">
        <f>'[1]2026 Orders'!A616</f>
        <v>0</v>
      </c>
      <c r="B615" s="14">
        <f>'[1]2026 Orders'!B616</f>
        <v>0</v>
      </c>
      <c r="C615" s="14">
        <f>'[1]2026 Orders'!C616</f>
        <v>0</v>
      </c>
      <c r="D615" s="14">
        <f>'[1]2026 Orders'!D616</f>
        <v>0</v>
      </c>
      <c r="E615" s="17" t="str" cm="1">
        <f t="array" ref="E615">IF(C615=0,"",
HYPERLINK(
"#'2026 Orders'!C"&amp;
MATCH(1,
('2026 Orders'!C:C=C615)*
('2026 Orders'!G:G=G615)*
('2026 Orders'!N:N=N615),
0),
"Open "&amp;C615
))</f>
        <v/>
      </c>
      <c r="F615" s="14">
        <f>'[1]2026 Orders'!F616</f>
        <v>0</v>
      </c>
      <c r="G615" s="14">
        <f>'[1]2026 Orders'!G616</f>
        <v>0</v>
      </c>
      <c r="H615" s="14" t="str" cm="1">
        <f t="array" ref="H615">IFERROR(_xlfn.TEXTJOIN("-",,INDEX(_xlfn.TEXTSPLIT(TableGive[[#This Row],[SKU]],"-"),{1,2})),"")</f>
        <v/>
      </c>
      <c r="I615" s="15" t="str">
        <f>IFERROR(_xlfn.TEXTAFTER(TableGive[[#This Row],[SKU]],"-",-1),"")</f>
        <v/>
      </c>
      <c r="J615" s="14">
        <f>'[1]2026 Orders'!H616</f>
        <v>0</v>
      </c>
      <c r="K615">
        <f>'[1]2026 Orders'!I616</f>
        <v>0</v>
      </c>
      <c r="L615">
        <f>'[1]2026 Orders'!J616</f>
        <v>0</v>
      </c>
      <c r="N615" s="10">
        <f>'[1]2026 Orders'!L616</f>
        <v>0</v>
      </c>
      <c r="O615">
        <f>'[1]2026 Orders'!M616</f>
        <v>0</v>
      </c>
      <c r="P615">
        <f>'[1]2026 Orders'!N616</f>
        <v>0</v>
      </c>
      <c r="Q615">
        <f>'[1]2026 Orders'!O616</f>
        <v>0</v>
      </c>
      <c r="R615">
        <f>'[1]2026 Orders'!P616</f>
        <v>0</v>
      </c>
      <c r="S615">
        <f>'[1]2026 Orders'!Q616</f>
        <v>0</v>
      </c>
      <c r="T615">
        <f>'[1]2026 Orders'!R616</f>
        <v>0</v>
      </c>
      <c r="U615">
        <f>'[1]2026 Orders'!S616</f>
        <v>0</v>
      </c>
      <c r="V615">
        <f>'[1]2026 Orders'!T616</f>
        <v>0</v>
      </c>
      <c r="W615">
        <f>'[1]2026 Orders'!U616</f>
        <v>0</v>
      </c>
      <c r="X615">
        <f>'[1]2026 Orders'!V616</f>
        <v>0</v>
      </c>
      <c r="Y615">
        <f>'[1]2026 Orders'!W616</f>
        <v>0</v>
      </c>
      <c r="Z615">
        <f>'[1]2026 Orders'!X616</f>
        <v>0</v>
      </c>
      <c r="AC615" t="str">
        <f t="shared" si="18"/>
        <v/>
      </c>
      <c r="AD615" t="str">
        <f t="shared" si="19"/>
        <v/>
      </c>
    </row>
    <row r="616" spans="1:30" ht="33" hidden="1" customHeight="1" x14ac:dyDescent="0.3">
      <c r="A616">
        <f>'[1]2026 Orders'!A617</f>
        <v>0</v>
      </c>
      <c r="B616" s="14">
        <f>'[1]2026 Orders'!B617</f>
        <v>0</v>
      </c>
      <c r="C616" s="14">
        <f>'[1]2026 Orders'!C617</f>
        <v>0</v>
      </c>
      <c r="D616" s="14">
        <f>'[1]2026 Orders'!D617</f>
        <v>0</v>
      </c>
      <c r="E616" s="17" t="str" cm="1">
        <f t="array" ref="E616">IF(C616=0,"",
HYPERLINK(
"#'2026 Orders'!C"&amp;
MATCH(1,
('2026 Orders'!C:C=C616)*
('2026 Orders'!G:G=G616)*
('2026 Orders'!N:N=N616),
0),
"Open "&amp;C616
))</f>
        <v/>
      </c>
      <c r="F616" s="14">
        <f>'[1]2026 Orders'!F617</f>
        <v>0</v>
      </c>
      <c r="G616" s="14">
        <f>'[1]2026 Orders'!G617</f>
        <v>0</v>
      </c>
      <c r="H616" s="14" t="str" cm="1">
        <f t="array" ref="H616">IFERROR(_xlfn.TEXTJOIN("-",,INDEX(_xlfn.TEXTSPLIT(TableGive[[#This Row],[SKU]],"-"),{1,2})),"")</f>
        <v/>
      </c>
      <c r="I616" s="15" t="str">
        <f>IFERROR(_xlfn.TEXTAFTER(TableGive[[#This Row],[SKU]],"-",-1),"")</f>
        <v/>
      </c>
      <c r="J616" s="14">
        <f>'[1]2026 Orders'!H617</f>
        <v>0</v>
      </c>
      <c r="K616">
        <f>'[1]2026 Orders'!I617</f>
        <v>0</v>
      </c>
      <c r="L616">
        <f>'[1]2026 Orders'!J617</f>
        <v>0</v>
      </c>
      <c r="N616" s="10">
        <f>'[1]2026 Orders'!L617</f>
        <v>0</v>
      </c>
      <c r="O616">
        <f>'[1]2026 Orders'!M617</f>
        <v>0</v>
      </c>
      <c r="P616">
        <f>'[1]2026 Orders'!N617</f>
        <v>0</v>
      </c>
      <c r="Q616">
        <f>'[1]2026 Orders'!O617</f>
        <v>0</v>
      </c>
      <c r="R616">
        <f>'[1]2026 Orders'!P617</f>
        <v>0</v>
      </c>
      <c r="S616">
        <f>'[1]2026 Orders'!Q617</f>
        <v>0</v>
      </c>
      <c r="T616">
        <f>'[1]2026 Orders'!R617</f>
        <v>0</v>
      </c>
      <c r="U616">
        <f>'[1]2026 Orders'!S617</f>
        <v>0</v>
      </c>
      <c r="V616">
        <f>'[1]2026 Orders'!T617</f>
        <v>0</v>
      </c>
      <c r="W616">
        <f>'[1]2026 Orders'!U617</f>
        <v>0</v>
      </c>
      <c r="X616">
        <f>'[1]2026 Orders'!V617</f>
        <v>0</v>
      </c>
      <c r="Y616">
        <f>'[1]2026 Orders'!W617</f>
        <v>0</v>
      </c>
      <c r="Z616">
        <f>'[1]2026 Orders'!X617</f>
        <v>0</v>
      </c>
      <c r="AC616" t="str">
        <f t="shared" si="18"/>
        <v/>
      </c>
      <c r="AD616" t="str">
        <f t="shared" si="19"/>
        <v/>
      </c>
    </row>
    <row r="617" spans="1:30" ht="33" hidden="1" customHeight="1" x14ac:dyDescent="0.3">
      <c r="A617">
        <f>'[1]2026 Orders'!A618</f>
        <v>0</v>
      </c>
      <c r="B617" s="14">
        <f>'[1]2026 Orders'!B618</f>
        <v>0</v>
      </c>
      <c r="C617" s="14">
        <f>'[1]2026 Orders'!C618</f>
        <v>0</v>
      </c>
      <c r="D617" s="14">
        <f>'[1]2026 Orders'!D618</f>
        <v>0</v>
      </c>
      <c r="E617" s="17" t="str" cm="1">
        <f t="array" ref="E617">IF(C617=0,"",
HYPERLINK(
"#'2026 Orders'!C"&amp;
MATCH(1,
('2026 Orders'!C:C=C617)*
('2026 Orders'!G:G=G617)*
('2026 Orders'!N:N=N617),
0),
"Open "&amp;C617
))</f>
        <v/>
      </c>
      <c r="F617" s="14">
        <f>'[1]2026 Orders'!F618</f>
        <v>0</v>
      </c>
      <c r="G617" s="14">
        <f>'[1]2026 Orders'!G618</f>
        <v>0</v>
      </c>
      <c r="H617" s="14" t="str" cm="1">
        <f t="array" ref="H617">IFERROR(_xlfn.TEXTJOIN("-",,INDEX(_xlfn.TEXTSPLIT(TableGive[[#This Row],[SKU]],"-"),{1,2})),"")</f>
        <v/>
      </c>
      <c r="I617" s="15" t="str">
        <f>IFERROR(_xlfn.TEXTAFTER(TableGive[[#This Row],[SKU]],"-",-1),"")</f>
        <v/>
      </c>
      <c r="J617" s="14">
        <f>'[1]2026 Orders'!H618</f>
        <v>0</v>
      </c>
      <c r="K617">
        <f>'[1]2026 Orders'!I618</f>
        <v>0</v>
      </c>
      <c r="L617">
        <f>'[1]2026 Orders'!J618</f>
        <v>0</v>
      </c>
      <c r="N617" s="10">
        <f>'[1]2026 Orders'!L618</f>
        <v>0</v>
      </c>
      <c r="O617">
        <f>'[1]2026 Orders'!M618</f>
        <v>0</v>
      </c>
      <c r="P617">
        <f>'[1]2026 Orders'!N618</f>
        <v>0</v>
      </c>
      <c r="Q617">
        <f>'[1]2026 Orders'!O618</f>
        <v>0</v>
      </c>
      <c r="R617">
        <f>'[1]2026 Orders'!P618</f>
        <v>0</v>
      </c>
      <c r="S617">
        <f>'[1]2026 Orders'!Q618</f>
        <v>0</v>
      </c>
      <c r="T617">
        <f>'[1]2026 Orders'!R618</f>
        <v>0</v>
      </c>
      <c r="U617">
        <f>'[1]2026 Orders'!S618</f>
        <v>0</v>
      </c>
      <c r="V617">
        <f>'[1]2026 Orders'!T618</f>
        <v>0</v>
      </c>
      <c r="W617">
        <f>'[1]2026 Orders'!U618</f>
        <v>0</v>
      </c>
      <c r="X617">
        <f>'[1]2026 Orders'!V618</f>
        <v>0</v>
      </c>
      <c r="Y617">
        <f>'[1]2026 Orders'!W618</f>
        <v>0</v>
      </c>
      <c r="Z617">
        <f>'[1]2026 Orders'!X618</f>
        <v>0</v>
      </c>
      <c r="AC617" t="str">
        <f t="shared" si="18"/>
        <v/>
      </c>
      <c r="AD617" t="str">
        <f t="shared" si="19"/>
        <v/>
      </c>
    </row>
    <row r="618" spans="1:30" ht="33" hidden="1" customHeight="1" x14ac:dyDescent="0.3">
      <c r="A618">
        <f>'[1]2026 Orders'!A619</f>
        <v>0</v>
      </c>
      <c r="B618" s="14">
        <f>'[1]2026 Orders'!B619</f>
        <v>0</v>
      </c>
      <c r="C618" s="14">
        <f>'[1]2026 Orders'!C619</f>
        <v>0</v>
      </c>
      <c r="D618" s="14">
        <f>'[1]2026 Orders'!D619</f>
        <v>0</v>
      </c>
      <c r="E618" s="17" t="str" cm="1">
        <f t="array" ref="E618">IF(C618=0,"",
HYPERLINK(
"#'2026 Orders'!C"&amp;
MATCH(1,
('2026 Orders'!C:C=C618)*
('2026 Orders'!G:G=G618)*
('2026 Orders'!N:N=N618),
0),
"Open "&amp;C618
))</f>
        <v/>
      </c>
      <c r="F618" s="14">
        <f>'[1]2026 Orders'!F619</f>
        <v>0</v>
      </c>
      <c r="G618" s="14">
        <f>'[1]2026 Orders'!G619</f>
        <v>0</v>
      </c>
      <c r="H618" s="14" t="str" cm="1">
        <f t="array" ref="H618">IFERROR(_xlfn.TEXTJOIN("-",,INDEX(_xlfn.TEXTSPLIT(TableGive[[#This Row],[SKU]],"-"),{1,2})),"")</f>
        <v/>
      </c>
      <c r="I618" s="15" t="str">
        <f>IFERROR(_xlfn.TEXTAFTER(TableGive[[#This Row],[SKU]],"-",-1),"")</f>
        <v/>
      </c>
      <c r="J618" s="14">
        <f>'[1]2026 Orders'!H619</f>
        <v>0</v>
      </c>
      <c r="K618">
        <f>'[1]2026 Orders'!I619</f>
        <v>0</v>
      </c>
      <c r="L618">
        <f>'[1]2026 Orders'!J619</f>
        <v>0</v>
      </c>
      <c r="N618" s="10">
        <f>'[1]2026 Orders'!L619</f>
        <v>0</v>
      </c>
      <c r="O618">
        <f>'[1]2026 Orders'!M619</f>
        <v>0</v>
      </c>
      <c r="P618">
        <f>'[1]2026 Orders'!N619</f>
        <v>0</v>
      </c>
      <c r="Q618">
        <f>'[1]2026 Orders'!O619</f>
        <v>0</v>
      </c>
      <c r="R618">
        <f>'[1]2026 Orders'!P619</f>
        <v>0</v>
      </c>
      <c r="S618">
        <f>'[1]2026 Orders'!Q619</f>
        <v>0</v>
      </c>
      <c r="T618">
        <f>'[1]2026 Orders'!R619</f>
        <v>0</v>
      </c>
      <c r="U618">
        <f>'[1]2026 Orders'!S619</f>
        <v>0</v>
      </c>
      <c r="V618">
        <f>'[1]2026 Orders'!T619</f>
        <v>0</v>
      </c>
      <c r="W618">
        <f>'[1]2026 Orders'!U619</f>
        <v>0</v>
      </c>
      <c r="X618">
        <f>'[1]2026 Orders'!V619</f>
        <v>0</v>
      </c>
      <c r="Y618">
        <f>'[1]2026 Orders'!W619</f>
        <v>0</v>
      </c>
      <c r="Z618">
        <f>'[1]2026 Orders'!X619</f>
        <v>0</v>
      </c>
      <c r="AC618" t="str">
        <f t="shared" si="18"/>
        <v/>
      </c>
      <c r="AD618" t="str">
        <f t="shared" si="19"/>
        <v/>
      </c>
    </row>
    <row r="619" spans="1:30" ht="33" hidden="1" customHeight="1" x14ac:dyDescent="0.3">
      <c r="A619">
        <f>'[1]2026 Orders'!A620</f>
        <v>0</v>
      </c>
      <c r="B619" s="14">
        <f>'[1]2026 Orders'!B620</f>
        <v>0</v>
      </c>
      <c r="C619" s="14">
        <f>'[1]2026 Orders'!C620</f>
        <v>0</v>
      </c>
      <c r="D619" s="14">
        <f>'[1]2026 Orders'!D620</f>
        <v>0</v>
      </c>
      <c r="E619" s="17" t="str" cm="1">
        <f t="array" ref="E619">IF(C619=0,"",
HYPERLINK(
"#'2026 Orders'!C"&amp;
MATCH(1,
('2026 Orders'!C:C=C619)*
('2026 Orders'!G:G=G619)*
('2026 Orders'!N:N=N619),
0),
"Open "&amp;C619
))</f>
        <v/>
      </c>
      <c r="F619" s="14">
        <f>'[1]2026 Orders'!F620</f>
        <v>0</v>
      </c>
      <c r="G619" s="14">
        <f>'[1]2026 Orders'!G620</f>
        <v>0</v>
      </c>
      <c r="H619" s="14" t="str" cm="1">
        <f t="array" ref="H619">IFERROR(_xlfn.TEXTJOIN("-",,INDEX(_xlfn.TEXTSPLIT(TableGive[[#This Row],[SKU]],"-"),{1,2})),"")</f>
        <v/>
      </c>
      <c r="I619" s="15" t="str">
        <f>IFERROR(_xlfn.TEXTAFTER(TableGive[[#This Row],[SKU]],"-",-1),"")</f>
        <v/>
      </c>
      <c r="J619" s="14">
        <f>'[1]2026 Orders'!H620</f>
        <v>0</v>
      </c>
      <c r="K619">
        <f>'[1]2026 Orders'!I620</f>
        <v>0</v>
      </c>
      <c r="L619">
        <f>'[1]2026 Orders'!J620</f>
        <v>0</v>
      </c>
      <c r="N619" s="10">
        <f>'[1]2026 Orders'!L620</f>
        <v>0</v>
      </c>
      <c r="O619">
        <f>'[1]2026 Orders'!M620</f>
        <v>0</v>
      </c>
      <c r="P619">
        <f>'[1]2026 Orders'!N620</f>
        <v>0</v>
      </c>
      <c r="Q619">
        <f>'[1]2026 Orders'!O620</f>
        <v>0</v>
      </c>
      <c r="R619">
        <f>'[1]2026 Orders'!P620</f>
        <v>0</v>
      </c>
      <c r="S619">
        <f>'[1]2026 Orders'!Q620</f>
        <v>0</v>
      </c>
      <c r="T619">
        <f>'[1]2026 Orders'!R620</f>
        <v>0</v>
      </c>
      <c r="U619">
        <f>'[1]2026 Orders'!S620</f>
        <v>0</v>
      </c>
      <c r="V619">
        <f>'[1]2026 Orders'!T620</f>
        <v>0</v>
      </c>
      <c r="W619">
        <f>'[1]2026 Orders'!U620</f>
        <v>0</v>
      </c>
      <c r="X619">
        <f>'[1]2026 Orders'!V620</f>
        <v>0</v>
      </c>
      <c r="Y619">
        <f>'[1]2026 Orders'!W620</f>
        <v>0</v>
      </c>
      <c r="Z619">
        <f>'[1]2026 Orders'!X620</f>
        <v>0</v>
      </c>
      <c r="AC619" t="str">
        <f t="shared" si="18"/>
        <v/>
      </c>
      <c r="AD619" t="str">
        <f t="shared" si="19"/>
        <v/>
      </c>
    </row>
    <row r="620" spans="1:30" ht="33" hidden="1" customHeight="1" x14ac:dyDescent="0.3">
      <c r="A620">
        <f>'[1]2026 Orders'!A621</f>
        <v>0</v>
      </c>
      <c r="B620" s="14">
        <f>'[1]2026 Orders'!B621</f>
        <v>0</v>
      </c>
      <c r="C620" s="14">
        <f>'[1]2026 Orders'!C621</f>
        <v>0</v>
      </c>
      <c r="D620" s="14">
        <f>'[1]2026 Orders'!D621</f>
        <v>0</v>
      </c>
      <c r="E620" s="17" t="str" cm="1">
        <f t="array" ref="E620">IF(C620=0,"",
HYPERLINK(
"#'2026 Orders'!C"&amp;
MATCH(1,
('2026 Orders'!C:C=C620)*
('2026 Orders'!G:G=G620)*
('2026 Orders'!N:N=N620),
0),
"Open "&amp;C620
))</f>
        <v/>
      </c>
      <c r="F620" s="14">
        <f>'[1]2026 Orders'!F621</f>
        <v>0</v>
      </c>
      <c r="G620" s="14">
        <f>'[1]2026 Orders'!G621</f>
        <v>0</v>
      </c>
      <c r="H620" s="14" t="str" cm="1">
        <f t="array" ref="H620">IFERROR(_xlfn.TEXTJOIN("-",,INDEX(_xlfn.TEXTSPLIT(TableGive[[#This Row],[SKU]],"-"),{1,2})),"")</f>
        <v/>
      </c>
      <c r="I620" s="15" t="str">
        <f>IFERROR(_xlfn.TEXTAFTER(TableGive[[#This Row],[SKU]],"-",-1),"")</f>
        <v/>
      </c>
      <c r="J620" s="14">
        <f>'[1]2026 Orders'!H621</f>
        <v>0</v>
      </c>
      <c r="K620">
        <f>'[1]2026 Orders'!I621</f>
        <v>0</v>
      </c>
      <c r="L620">
        <f>'[1]2026 Orders'!J621</f>
        <v>0</v>
      </c>
      <c r="N620" s="10">
        <f>'[1]2026 Orders'!L621</f>
        <v>0</v>
      </c>
      <c r="O620">
        <f>'[1]2026 Orders'!M621</f>
        <v>0</v>
      </c>
      <c r="P620">
        <f>'[1]2026 Orders'!N621</f>
        <v>0</v>
      </c>
      <c r="Q620">
        <f>'[1]2026 Orders'!O621</f>
        <v>0</v>
      </c>
      <c r="R620">
        <f>'[1]2026 Orders'!P621</f>
        <v>0</v>
      </c>
      <c r="S620">
        <f>'[1]2026 Orders'!Q621</f>
        <v>0</v>
      </c>
      <c r="T620">
        <f>'[1]2026 Orders'!R621</f>
        <v>0</v>
      </c>
      <c r="U620">
        <f>'[1]2026 Orders'!S621</f>
        <v>0</v>
      </c>
      <c r="V620">
        <f>'[1]2026 Orders'!T621</f>
        <v>0</v>
      </c>
      <c r="W620">
        <f>'[1]2026 Orders'!U621</f>
        <v>0</v>
      </c>
      <c r="X620">
        <f>'[1]2026 Orders'!V621</f>
        <v>0</v>
      </c>
      <c r="Y620">
        <f>'[1]2026 Orders'!W621</f>
        <v>0</v>
      </c>
      <c r="Z620">
        <f>'[1]2026 Orders'!X621</f>
        <v>0</v>
      </c>
      <c r="AC620" t="str">
        <f t="shared" si="18"/>
        <v/>
      </c>
      <c r="AD620" t="str">
        <f t="shared" si="19"/>
        <v/>
      </c>
    </row>
    <row r="621" spans="1:30" ht="33" hidden="1" customHeight="1" x14ac:dyDescent="0.3">
      <c r="A621">
        <f>'[1]2026 Orders'!A622</f>
        <v>0</v>
      </c>
      <c r="B621" s="14">
        <f>'[1]2026 Orders'!B622</f>
        <v>0</v>
      </c>
      <c r="C621" s="14">
        <f>'[1]2026 Orders'!C622</f>
        <v>0</v>
      </c>
      <c r="D621" s="14">
        <f>'[1]2026 Orders'!D622</f>
        <v>0</v>
      </c>
      <c r="E621" s="17" t="str" cm="1">
        <f t="array" ref="E621">IF(C621=0,"",
HYPERLINK(
"#'2026 Orders'!C"&amp;
MATCH(1,
('2026 Orders'!C:C=C621)*
('2026 Orders'!G:G=G621)*
('2026 Orders'!N:N=N621),
0),
"Open "&amp;C621
))</f>
        <v/>
      </c>
      <c r="F621" s="14">
        <f>'[1]2026 Orders'!F622</f>
        <v>0</v>
      </c>
      <c r="G621" s="14">
        <f>'[1]2026 Orders'!G622</f>
        <v>0</v>
      </c>
      <c r="H621" s="14" t="str" cm="1">
        <f t="array" ref="H621">IFERROR(_xlfn.TEXTJOIN("-",,INDEX(_xlfn.TEXTSPLIT(TableGive[[#This Row],[SKU]],"-"),{1,2})),"")</f>
        <v/>
      </c>
      <c r="I621" s="15" t="str">
        <f>IFERROR(_xlfn.TEXTAFTER(TableGive[[#This Row],[SKU]],"-",-1),"")</f>
        <v/>
      </c>
      <c r="J621" s="14">
        <f>'[1]2026 Orders'!H622</f>
        <v>0</v>
      </c>
      <c r="K621">
        <f>'[1]2026 Orders'!I622</f>
        <v>0</v>
      </c>
      <c r="L621">
        <f>'[1]2026 Orders'!J622</f>
        <v>0</v>
      </c>
      <c r="N621" s="10">
        <f>'[1]2026 Orders'!L622</f>
        <v>0</v>
      </c>
      <c r="O621">
        <f>'[1]2026 Orders'!M622</f>
        <v>0</v>
      </c>
      <c r="P621">
        <f>'[1]2026 Orders'!N622</f>
        <v>0</v>
      </c>
      <c r="Q621">
        <f>'[1]2026 Orders'!O622</f>
        <v>0</v>
      </c>
      <c r="R621">
        <f>'[1]2026 Orders'!P622</f>
        <v>0</v>
      </c>
      <c r="S621">
        <f>'[1]2026 Orders'!Q622</f>
        <v>0</v>
      </c>
      <c r="T621">
        <f>'[1]2026 Orders'!R622</f>
        <v>0</v>
      </c>
      <c r="U621">
        <f>'[1]2026 Orders'!S622</f>
        <v>0</v>
      </c>
      <c r="V621">
        <f>'[1]2026 Orders'!T622</f>
        <v>0</v>
      </c>
      <c r="W621">
        <f>'[1]2026 Orders'!U622</f>
        <v>0</v>
      </c>
      <c r="X621">
        <f>'[1]2026 Orders'!V622</f>
        <v>0</v>
      </c>
      <c r="Y621">
        <f>'[1]2026 Orders'!W622</f>
        <v>0</v>
      </c>
      <c r="Z621">
        <f>'[1]2026 Orders'!X622</f>
        <v>0</v>
      </c>
      <c r="AC621" t="str">
        <f t="shared" si="18"/>
        <v/>
      </c>
      <c r="AD621" t="str">
        <f t="shared" si="19"/>
        <v/>
      </c>
    </row>
    <row r="622" spans="1:30" ht="33" hidden="1" customHeight="1" x14ac:dyDescent="0.3">
      <c r="A622">
        <f>'[1]2026 Orders'!A623</f>
        <v>0</v>
      </c>
      <c r="B622" s="14">
        <f>'[1]2026 Orders'!B623</f>
        <v>0</v>
      </c>
      <c r="C622" s="14">
        <f>'[1]2026 Orders'!C623</f>
        <v>0</v>
      </c>
      <c r="D622" s="14">
        <f>'[1]2026 Orders'!D623</f>
        <v>0</v>
      </c>
      <c r="E622" s="17" t="str" cm="1">
        <f t="array" ref="E622">IF(C622=0,"",
HYPERLINK(
"#'2026 Orders'!C"&amp;
MATCH(1,
('2026 Orders'!C:C=C622)*
('2026 Orders'!G:G=G622)*
('2026 Orders'!N:N=N622),
0),
"Open "&amp;C622
))</f>
        <v/>
      </c>
      <c r="F622" s="14">
        <f>'[1]2026 Orders'!F623</f>
        <v>0</v>
      </c>
      <c r="G622" s="14">
        <f>'[1]2026 Orders'!G623</f>
        <v>0</v>
      </c>
      <c r="H622" s="14" t="str" cm="1">
        <f t="array" ref="H622">IFERROR(_xlfn.TEXTJOIN("-",,INDEX(_xlfn.TEXTSPLIT(TableGive[[#This Row],[SKU]],"-"),{1,2})),"")</f>
        <v/>
      </c>
      <c r="I622" s="15" t="str">
        <f>IFERROR(_xlfn.TEXTAFTER(TableGive[[#This Row],[SKU]],"-",-1),"")</f>
        <v/>
      </c>
      <c r="J622" s="14">
        <f>'[1]2026 Orders'!H623</f>
        <v>0</v>
      </c>
      <c r="K622">
        <f>'[1]2026 Orders'!I623</f>
        <v>0</v>
      </c>
      <c r="L622">
        <f>'[1]2026 Orders'!J623</f>
        <v>0</v>
      </c>
      <c r="N622" s="10">
        <f>'[1]2026 Orders'!L623</f>
        <v>0</v>
      </c>
      <c r="O622">
        <f>'[1]2026 Orders'!M623</f>
        <v>0</v>
      </c>
      <c r="P622">
        <f>'[1]2026 Orders'!N623</f>
        <v>0</v>
      </c>
      <c r="Q622">
        <f>'[1]2026 Orders'!O623</f>
        <v>0</v>
      </c>
      <c r="R622">
        <f>'[1]2026 Orders'!P623</f>
        <v>0</v>
      </c>
      <c r="S622">
        <f>'[1]2026 Orders'!Q623</f>
        <v>0</v>
      </c>
      <c r="T622">
        <f>'[1]2026 Orders'!R623</f>
        <v>0</v>
      </c>
      <c r="U622">
        <f>'[1]2026 Orders'!S623</f>
        <v>0</v>
      </c>
      <c r="V622">
        <f>'[1]2026 Orders'!T623</f>
        <v>0</v>
      </c>
      <c r="W622">
        <f>'[1]2026 Orders'!U623</f>
        <v>0</v>
      </c>
      <c r="X622">
        <f>'[1]2026 Orders'!V623</f>
        <v>0</v>
      </c>
      <c r="Y622">
        <f>'[1]2026 Orders'!W623</f>
        <v>0</v>
      </c>
      <c r="Z622">
        <f>'[1]2026 Orders'!X623</f>
        <v>0</v>
      </c>
      <c r="AC622" t="str">
        <f t="shared" si="18"/>
        <v/>
      </c>
      <c r="AD622" t="str">
        <f t="shared" si="19"/>
        <v/>
      </c>
    </row>
    <row r="623" spans="1:30" ht="33" hidden="1" customHeight="1" x14ac:dyDescent="0.3">
      <c r="A623">
        <f>'[1]2026 Orders'!A624</f>
        <v>0</v>
      </c>
      <c r="B623" s="14">
        <f>'[1]2026 Orders'!B624</f>
        <v>0</v>
      </c>
      <c r="C623" s="14">
        <f>'[1]2026 Orders'!C624</f>
        <v>0</v>
      </c>
      <c r="D623" s="14">
        <f>'[1]2026 Orders'!D624</f>
        <v>0</v>
      </c>
      <c r="E623" s="17" t="str" cm="1">
        <f t="array" ref="E623">IF(C623=0,"",
HYPERLINK(
"#'2026 Orders'!C"&amp;
MATCH(1,
('2026 Orders'!C:C=C623)*
('2026 Orders'!G:G=G623)*
('2026 Orders'!N:N=N623),
0),
"Open "&amp;C623
))</f>
        <v/>
      </c>
      <c r="F623" s="14">
        <f>'[1]2026 Orders'!F624</f>
        <v>0</v>
      </c>
      <c r="G623" s="14">
        <f>'[1]2026 Orders'!G624</f>
        <v>0</v>
      </c>
      <c r="H623" s="14" t="str" cm="1">
        <f t="array" ref="H623">IFERROR(_xlfn.TEXTJOIN("-",,INDEX(_xlfn.TEXTSPLIT(TableGive[[#This Row],[SKU]],"-"),{1,2})),"")</f>
        <v/>
      </c>
      <c r="I623" s="15" t="str">
        <f>IFERROR(_xlfn.TEXTAFTER(TableGive[[#This Row],[SKU]],"-",-1),"")</f>
        <v/>
      </c>
      <c r="J623" s="14">
        <f>'[1]2026 Orders'!H624</f>
        <v>0</v>
      </c>
      <c r="K623">
        <f>'[1]2026 Orders'!I624</f>
        <v>0</v>
      </c>
      <c r="L623">
        <f>'[1]2026 Orders'!J624</f>
        <v>0</v>
      </c>
      <c r="N623" s="10">
        <f>'[1]2026 Orders'!L624</f>
        <v>0</v>
      </c>
      <c r="O623">
        <f>'[1]2026 Orders'!M624</f>
        <v>0</v>
      </c>
      <c r="P623">
        <f>'[1]2026 Orders'!N624</f>
        <v>0</v>
      </c>
      <c r="Q623">
        <f>'[1]2026 Orders'!O624</f>
        <v>0</v>
      </c>
      <c r="R623">
        <f>'[1]2026 Orders'!P624</f>
        <v>0</v>
      </c>
      <c r="S623">
        <f>'[1]2026 Orders'!Q624</f>
        <v>0</v>
      </c>
      <c r="T623">
        <f>'[1]2026 Orders'!R624</f>
        <v>0</v>
      </c>
      <c r="U623">
        <f>'[1]2026 Orders'!S624</f>
        <v>0</v>
      </c>
      <c r="V623">
        <f>'[1]2026 Orders'!T624</f>
        <v>0</v>
      </c>
      <c r="W623">
        <f>'[1]2026 Orders'!U624</f>
        <v>0</v>
      </c>
      <c r="X623">
        <f>'[1]2026 Orders'!V624</f>
        <v>0</v>
      </c>
      <c r="Y623">
        <f>'[1]2026 Orders'!W624</f>
        <v>0</v>
      </c>
      <c r="Z623">
        <f>'[1]2026 Orders'!X624</f>
        <v>0</v>
      </c>
      <c r="AC623" t="str">
        <f t="shared" si="18"/>
        <v/>
      </c>
      <c r="AD623" t="str">
        <f t="shared" si="19"/>
        <v/>
      </c>
    </row>
    <row r="624" spans="1:30" ht="33" hidden="1" customHeight="1" x14ac:dyDescent="0.3">
      <c r="A624">
        <f>'[1]2026 Orders'!A625</f>
        <v>0</v>
      </c>
      <c r="B624" s="14">
        <f>'[1]2026 Orders'!B625</f>
        <v>0</v>
      </c>
      <c r="C624" s="14">
        <f>'[1]2026 Orders'!C625</f>
        <v>0</v>
      </c>
      <c r="D624" s="14">
        <f>'[1]2026 Orders'!D625</f>
        <v>0</v>
      </c>
      <c r="E624" s="17" t="str" cm="1">
        <f t="array" ref="E624">IF(C624=0,"",
HYPERLINK(
"#'2026 Orders'!C"&amp;
MATCH(1,
('2026 Orders'!C:C=C624)*
('2026 Orders'!G:G=G624)*
('2026 Orders'!N:N=N624),
0),
"Open "&amp;C624
))</f>
        <v/>
      </c>
      <c r="F624" s="14">
        <f>'[1]2026 Orders'!F625</f>
        <v>0</v>
      </c>
      <c r="G624" s="14">
        <f>'[1]2026 Orders'!G625</f>
        <v>0</v>
      </c>
      <c r="H624" s="14" t="str" cm="1">
        <f t="array" ref="H624">IFERROR(_xlfn.TEXTJOIN("-",,INDEX(_xlfn.TEXTSPLIT(TableGive[[#This Row],[SKU]],"-"),{1,2})),"")</f>
        <v/>
      </c>
      <c r="I624" s="15" t="str">
        <f>IFERROR(_xlfn.TEXTAFTER(TableGive[[#This Row],[SKU]],"-",-1),"")</f>
        <v/>
      </c>
      <c r="J624" s="14">
        <f>'[1]2026 Orders'!H625</f>
        <v>0</v>
      </c>
      <c r="K624">
        <f>'[1]2026 Orders'!I625</f>
        <v>0</v>
      </c>
      <c r="L624">
        <f>'[1]2026 Orders'!J625</f>
        <v>0</v>
      </c>
      <c r="N624" s="10">
        <f>'[1]2026 Orders'!L625</f>
        <v>0</v>
      </c>
      <c r="O624">
        <f>'[1]2026 Orders'!M625</f>
        <v>0</v>
      </c>
      <c r="P624">
        <f>'[1]2026 Orders'!N625</f>
        <v>0</v>
      </c>
      <c r="Q624">
        <f>'[1]2026 Orders'!O625</f>
        <v>0</v>
      </c>
      <c r="R624">
        <f>'[1]2026 Orders'!P625</f>
        <v>0</v>
      </c>
      <c r="S624">
        <f>'[1]2026 Orders'!Q625</f>
        <v>0</v>
      </c>
      <c r="T624">
        <f>'[1]2026 Orders'!R625</f>
        <v>0</v>
      </c>
      <c r="U624">
        <f>'[1]2026 Orders'!S625</f>
        <v>0</v>
      </c>
      <c r="V624">
        <f>'[1]2026 Orders'!T625</f>
        <v>0</v>
      </c>
      <c r="W624">
        <f>'[1]2026 Orders'!U625</f>
        <v>0</v>
      </c>
      <c r="X624">
        <f>'[1]2026 Orders'!V625</f>
        <v>0</v>
      </c>
      <c r="Y624">
        <f>'[1]2026 Orders'!W625</f>
        <v>0</v>
      </c>
      <c r="Z624">
        <f>'[1]2026 Orders'!X625</f>
        <v>0</v>
      </c>
      <c r="AC624" t="str">
        <f t="shared" si="18"/>
        <v/>
      </c>
      <c r="AD624" t="str">
        <f t="shared" si="19"/>
        <v/>
      </c>
    </row>
    <row r="625" spans="1:30" ht="33" hidden="1" customHeight="1" x14ac:dyDescent="0.3">
      <c r="A625">
        <f>'[1]2026 Orders'!A626</f>
        <v>0</v>
      </c>
      <c r="B625" s="14">
        <f>'[1]2026 Orders'!B626</f>
        <v>0</v>
      </c>
      <c r="C625" s="14">
        <f>'[1]2026 Orders'!C626</f>
        <v>0</v>
      </c>
      <c r="D625" s="14">
        <f>'[1]2026 Orders'!D626</f>
        <v>0</v>
      </c>
      <c r="E625" s="17" t="str" cm="1">
        <f t="array" ref="E625">IF(C625=0,"",
HYPERLINK(
"#'2026 Orders'!C"&amp;
MATCH(1,
('2026 Orders'!C:C=C625)*
('2026 Orders'!G:G=G625)*
('2026 Orders'!N:N=N625),
0),
"Open "&amp;C625
))</f>
        <v/>
      </c>
      <c r="F625" s="14">
        <f>'[1]2026 Orders'!F626</f>
        <v>0</v>
      </c>
      <c r="G625" s="14">
        <f>'[1]2026 Orders'!G626</f>
        <v>0</v>
      </c>
      <c r="H625" s="14" t="str" cm="1">
        <f t="array" ref="H625">IFERROR(_xlfn.TEXTJOIN("-",,INDEX(_xlfn.TEXTSPLIT(TableGive[[#This Row],[SKU]],"-"),{1,2})),"")</f>
        <v/>
      </c>
      <c r="I625" s="15" t="str">
        <f>IFERROR(_xlfn.TEXTAFTER(TableGive[[#This Row],[SKU]],"-",-1),"")</f>
        <v/>
      </c>
      <c r="J625" s="14">
        <f>'[1]2026 Orders'!H626</f>
        <v>0</v>
      </c>
      <c r="K625">
        <f>'[1]2026 Orders'!I626</f>
        <v>0</v>
      </c>
      <c r="L625">
        <f>'[1]2026 Orders'!J626</f>
        <v>0</v>
      </c>
      <c r="N625" s="10">
        <f>'[1]2026 Orders'!L626</f>
        <v>0</v>
      </c>
      <c r="O625">
        <f>'[1]2026 Orders'!M626</f>
        <v>0</v>
      </c>
      <c r="P625">
        <f>'[1]2026 Orders'!N626</f>
        <v>0</v>
      </c>
      <c r="Q625">
        <f>'[1]2026 Orders'!O626</f>
        <v>0</v>
      </c>
      <c r="R625">
        <f>'[1]2026 Orders'!P626</f>
        <v>0</v>
      </c>
      <c r="S625">
        <f>'[1]2026 Orders'!Q626</f>
        <v>0</v>
      </c>
      <c r="T625">
        <f>'[1]2026 Orders'!R626</f>
        <v>0</v>
      </c>
      <c r="U625">
        <f>'[1]2026 Orders'!S626</f>
        <v>0</v>
      </c>
      <c r="V625">
        <f>'[1]2026 Orders'!T626</f>
        <v>0</v>
      </c>
      <c r="W625">
        <f>'[1]2026 Orders'!U626</f>
        <v>0</v>
      </c>
      <c r="X625">
        <f>'[1]2026 Orders'!V626</f>
        <v>0</v>
      </c>
      <c r="Y625">
        <f>'[1]2026 Orders'!W626</f>
        <v>0</v>
      </c>
      <c r="Z625">
        <f>'[1]2026 Orders'!X626</f>
        <v>0</v>
      </c>
      <c r="AC625" t="str">
        <f t="shared" si="18"/>
        <v/>
      </c>
      <c r="AD625" t="str">
        <f t="shared" si="19"/>
        <v/>
      </c>
    </row>
    <row r="626" spans="1:30" ht="33" hidden="1" customHeight="1" x14ac:dyDescent="0.3">
      <c r="A626">
        <f>'[1]2026 Orders'!A627</f>
        <v>0</v>
      </c>
      <c r="B626" s="14">
        <f>'[1]2026 Orders'!B627</f>
        <v>0</v>
      </c>
      <c r="C626" s="14">
        <f>'[1]2026 Orders'!C627</f>
        <v>0</v>
      </c>
      <c r="D626" s="14">
        <f>'[1]2026 Orders'!D627</f>
        <v>0</v>
      </c>
      <c r="E626" s="17" t="str" cm="1">
        <f t="array" ref="E626">IF(C626=0,"",
HYPERLINK(
"#'2026 Orders'!C"&amp;
MATCH(1,
('2026 Orders'!C:C=C626)*
('2026 Orders'!G:G=G626)*
('2026 Orders'!N:N=N626),
0),
"Open "&amp;C626
))</f>
        <v/>
      </c>
      <c r="F626" s="14">
        <f>'[1]2026 Orders'!F627</f>
        <v>0</v>
      </c>
      <c r="G626" s="14">
        <f>'[1]2026 Orders'!G627</f>
        <v>0</v>
      </c>
      <c r="H626" s="14" t="str" cm="1">
        <f t="array" ref="H626">IFERROR(_xlfn.TEXTJOIN("-",,INDEX(_xlfn.TEXTSPLIT(TableGive[[#This Row],[SKU]],"-"),{1,2})),"")</f>
        <v/>
      </c>
      <c r="I626" s="15" t="str">
        <f>IFERROR(_xlfn.TEXTAFTER(TableGive[[#This Row],[SKU]],"-",-1),"")</f>
        <v/>
      </c>
      <c r="J626" s="14">
        <f>'[1]2026 Orders'!H627</f>
        <v>0</v>
      </c>
      <c r="K626">
        <f>'[1]2026 Orders'!I627</f>
        <v>0</v>
      </c>
      <c r="L626">
        <f>'[1]2026 Orders'!J627</f>
        <v>0</v>
      </c>
      <c r="N626" s="10">
        <f>'[1]2026 Orders'!L627</f>
        <v>0</v>
      </c>
      <c r="O626">
        <f>'[1]2026 Orders'!M627</f>
        <v>0</v>
      </c>
      <c r="P626">
        <f>'[1]2026 Orders'!N627</f>
        <v>0</v>
      </c>
      <c r="Q626">
        <f>'[1]2026 Orders'!O627</f>
        <v>0</v>
      </c>
      <c r="R626">
        <f>'[1]2026 Orders'!P627</f>
        <v>0</v>
      </c>
      <c r="S626">
        <f>'[1]2026 Orders'!Q627</f>
        <v>0</v>
      </c>
      <c r="T626">
        <f>'[1]2026 Orders'!R627</f>
        <v>0</v>
      </c>
      <c r="U626">
        <f>'[1]2026 Orders'!S627</f>
        <v>0</v>
      </c>
      <c r="V626">
        <f>'[1]2026 Orders'!T627</f>
        <v>0</v>
      </c>
      <c r="W626">
        <f>'[1]2026 Orders'!U627</f>
        <v>0</v>
      </c>
      <c r="X626">
        <f>'[1]2026 Orders'!V627</f>
        <v>0</v>
      </c>
      <c r="Y626">
        <f>'[1]2026 Orders'!W627</f>
        <v>0</v>
      </c>
      <c r="Z626">
        <f>'[1]2026 Orders'!X627</f>
        <v>0</v>
      </c>
      <c r="AC626" t="str">
        <f t="shared" si="18"/>
        <v/>
      </c>
      <c r="AD626" t="str">
        <f t="shared" si="19"/>
        <v/>
      </c>
    </row>
    <row r="627" spans="1:30" ht="33" hidden="1" customHeight="1" x14ac:dyDescent="0.3">
      <c r="A627">
        <f>'[1]2026 Orders'!A628</f>
        <v>0</v>
      </c>
      <c r="B627" s="14">
        <f>'[1]2026 Orders'!B628</f>
        <v>0</v>
      </c>
      <c r="C627" s="14">
        <f>'[1]2026 Orders'!C628</f>
        <v>0</v>
      </c>
      <c r="D627" s="14">
        <f>'[1]2026 Orders'!D628</f>
        <v>0</v>
      </c>
      <c r="E627" s="17" t="str" cm="1">
        <f t="array" ref="E627">IF(C627=0,"",
HYPERLINK(
"#'2026 Orders'!C"&amp;
MATCH(1,
('2026 Orders'!C:C=C627)*
('2026 Orders'!G:G=G627)*
('2026 Orders'!N:N=N627),
0),
"Open "&amp;C627
))</f>
        <v/>
      </c>
      <c r="F627" s="14">
        <f>'[1]2026 Orders'!F628</f>
        <v>0</v>
      </c>
      <c r="G627" s="14">
        <f>'[1]2026 Orders'!G628</f>
        <v>0</v>
      </c>
      <c r="H627" s="14" t="str" cm="1">
        <f t="array" ref="H627">IFERROR(_xlfn.TEXTJOIN("-",,INDEX(_xlfn.TEXTSPLIT(TableGive[[#This Row],[SKU]],"-"),{1,2})),"")</f>
        <v/>
      </c>
      <c r="I627" s="15" t="str">
        <f>IFERROR(_xlfn.TEXTAFTER(TableGive[[#This Row],[SKU]],"-",-1),"")</f>
        <v/>
      </c>
      <c r="J627" s="14">
        <f>'[1]2026 Orders'!H628</f>
        <v>0</v>
      </c>
      <c r="K627">
        <f>'[1]2026 Orders'!I628</f>
        <v>0</v>
      </c>
      <c r="L627">
        <f>'[1]2026 Orders'!J628</f>
        <v>0</v>
      </c>
      <c r="N627" s="10">
        <f>'[1]2026 Orders'!L628</f>
        <v>0</v>
      </c>
      <c r="O627">
        <f>'[1]2026 Orders'!M628</f>
        <v>0</v>
      </c>
      <c r="P627">
        <f>'[1]2026 Orders'!N628</f>
        <v>0</v>
      </c>
      <c r="Q627">
        <f>'[1]2026 Orders'!O628</f>
        <v>0</v>
      </c>
      <c r="R627">
        <f>'[1]2026 Orders'!P628</f>
        <v>0</v>
      </c>
      <c r="S627">
        <f>'[1]2026 Orders'!Q628</f>
        <v>0</v>
      </c>
      <c r="T627">
        <f>'[1]2026 Orders'!R628</f>
        <v>0</v>
      </c>
      <c r="U627">
        <f>'[1]2026 Orders'!S628</f>
        <v>0</v>
      </c>
      <c r="V627">
        <f>'[1]2026 Orders'!T628</f>
        <v>0</v>
      </c>
      <c r="W627">
        <f>'[1]2026 Orders'!U628</f>
        <v>0</v>
      </c>
      <c r="X627">
        <f>'[1]2026 Orders'!V628</f>
        <v>0</v>
      </c>
      <c r="Y627">
        <f>'[1]2026 Orders'!W628</f>
        <v>0</v>
      </c>
      <c r="Z627">
        <f>'[1]2026 Orders'!X628</f>
        <v>0</v>
      </c>
      <c r="AC627" t="str">
        <f t="shared" si="18"/>
        <v/>
      </c>
      <c r="AD627" t="str">
        <f t="shared" si="19"/>
        <v/>
      </c>
    </row>
    <row r="628" spans="1:30" ht="33" hidden="1" customHeight="1" x14ac:dyDescent="0.3">
      <c r="A628">
        <f>'[1]2026 Orders'!A629</f>
        <v>0</v>
      </c>
      <c r="B628" s="14">
        <f>'[1]2026 Orders'!B629</f>
        <v>0</v>
      </c>
      <c r="C628" s="14">
        <f>'[1]2026 Orders'!C629</f>
        <v>0</v>
      </c>
      <c r="D628" s="14">
        <f>'[1]2026 Orders'!D629</f>
        <v>0</v>
      </c>
      <c r="E628" s="17" t="str" cm="1">
        <f t="array" ref="E628">IF(C628=0,"",
HYPERLINK(
"#'2026 Orders'!C"&amp;
MATCH(1,
('2026 Orders'!C:C=C628)*
('2026 Orders'!G:G=G628)*
('2026 Orders'!N:N=N628),
0),
"Open "&amp;C628
))</f>
        <v/>
      </c>
      <c r="F628" s="14">
        <f>'[1]2026 Orders'!F629</f>
        <v>0</v>
      </c>
      <c r="G628" s="14">
        <f>'[1]2026 Orders'!G629</f>
        <v>0</v>
      </c>
      <c r="H628" s="14" t="str" cm="1">
        <f t="array" ref="H628">IFERROR(_xlfn.TEXTJOIN("-",,INDEX(_xlfn.TEXTSPLIT(TableGive[[#This Row],[SKU]],"-"),{1,2})),"")</f>
        <v/>
      </c>
      <c r="I628" s="15" t="str">
        <f>IFERROR(_xlfn.TEXTAFTER(TableGive[[#This Row],[SKU]],"-",-1),"")</f>
        <v/>
      </c>
      <c r="J628" s="14">
        <f>'[1]2026 Orders'!H629</f>
        <v>0</v>
      </c>
      <c r="K628">
        <f>'[1]2026 Orders'!I629</f>
        <v>0</v>
      </c>
      <c r="L628">
        <f>'[1]2026 Orders'!J629</f>
        <v>0</v>
      </c>
      <c r="N628" s="10">
        <f>'[1]2026 Orders'!L629</f>
        <v>0</v>
      </c>
      <c r="O628">
        <f>'[1]2026 Orders'!M629</f>
        <v>0</v>
      </c>
      <c r="P628">
        <f>'[1]2026 Orders'!N629</f>
        <v>0</v>
      </c>
      <c r="Q628">
        <f>'[1]2026 Orders'!O629</f>
        <v>0</v>
      </c>
      <c r="R628">
        <f>'[1]2026 Orders'!P629</f>
        <v>0</v>
      </c>
      <c r="S628">
        <f>'[1]2026 Orders'!Q629</f>
        <v>0</v>
      </c>
      <c r="T628">
        <f>'[1]2026 Orders'!R629</f>
        <v>0</v>
      </c>
      <c r="U628">
        <f>'[1]2026 Orders'!S629</f>
        <v>0</v>
      </c>
      <c r="V628">
        <f>'[1]2026 Orders'!T629</f>
        <v>0</v>
      </c>
      <c r="W628">
        <f>'[1]2026 Orders'!U629</f>
        <v>0</v>
      </c>
      <c r="X628">
        <f>'[1]2026 Orders'!V629</f>
        <v>0</v>
      </c>
      <c r="Y628">
        <f>'[1]2026 Orders'!W629</f>
        <v>0</v>
      </c>
      <c r="Z628">
        <f>'[1]2026 Orders'!X629</f>
        <v>0</v>
      </c>
      <c r="AC628" t="str">
        <f t="shared" si="18"/>
        <v/>
      </c>
      <c r="AD628" t="str">
        <f t="shared" si="19"/>
        <v/>
      </c>
    </row>
    <row r="629" spans="1:30" ht="33" hidden="1" customHeight="1" x14ac:dyDescent="0.3">
      <c r="A629">
        <f>'[1]2026 Orders'!A630</f>
        <v>0</v>
      </c>
      <c r="B629" s="14">
        <f>'[1]2026 Orders'!B630</f>
        <v>0</v>
      </c>
      <c r="C629" s="14">
        <f>'[1]2026 Orders'!C630</f>
        <v>0</v>
      </c>
      <c r="D629" s="14">
        <f>'[1]2026 Orders'!D630</f>
        <v>0</v>
      </c>
      <c r="E629" s="17" t="str" cm="1">
        <f t="array" ref="E629">IF(C629=0,"",
HYPERLINK(
"#'2026 Orders'!C"&amp;
MATCH(1,
('2026 Orders'!C:C=C629)*
('2026 Orders'!G:G=G629)*
('2026 Orders'!N:N=N629),
0),
"Open "&amp;C629
))</f>
        <v/>
      </c>
      <c r="F629" s="14">
        <f>'[1]2026 Orders'!F630</f>
        <v>0</v>
      </c>
      <c r="G629" s="14">
        <f>'[1]2026 Orders'!G630</f>
        <v>0</v>
      </c>
      <c r="H629" s="14" t="str" cm="1">
        <f t="array" ref="H629">IFERROR(_xlfn.TEXTJOIN("-",,INDEX(_xlfn.TEXTSPLIT(TableGive[[#This Row],[SKU]],"-"),{1,2})),"")</f>
        <v/>
      </c>
      <c r="I629" s="15" t="str">
        <f>IFERROR(_xlfn.TEXTAFTER(TableGive[[#This Row],[SKU]],"-",-1),"")</f>
        <v/>
      </c>
      <c r="J629" s="14">
        <f>'[1]2026 Orders'!H630</f>
        <v>0</v>
      </c>
      <c r="K629">
        <f>'[1]2026 Orders'!I630</f>
        <v>0</v>
      </c>
      <c r="L629">
        <f>'[1]2026 Orders'!J630</f>
        <v>0</v>
      </c>
      <c r="N629" s="10">
        <f>'[1]2026 Orders'!L630</f>
        <v>0</v>
      </c>
      <c r="O629">
        <f>'[1]2026 Orders'!M630</f>
        <v>0</v>
      </c>
      <c r="P629">
        <f>'[1]2026 Orders'!N630</f>
        <v>0</v>
      </c>
      <c r="Q629">
        <f>'[1]2026 Orders'!O630</f>
        <v>0</v>
      </c>
      <c r="R629">
        <f>'[1]2026 Orders'!P630</f>
        <v>0</v>
      </c>
      <c r="S629">
        <f>'[1]2026 Orders'!Q630</f>
        <v>0</v>
      </c>
      <c r="T629">
        <f>'[1]2026 Orders'!R630</f>
        <v>0</v>
      </c>
      <c r="U629">
        <f>'[1]2026 Orders'!S630</f>
        <v>0</v>
      </c>
      <c r="V629">
        <f>'[1]2026 Orders'!T630</f>
        <v>0</v>
      </c>
      <c r="W629">
        <f>'[1]2026 Orders'!U630</f>
        <v>0</v>
      </c>
      <c r="X629">
        <f>'[1]2026 Orders'!V630</f>
        <v>0</v>
      </c>
      <c r="Y629">
        <f>'[1]2026 Orders'!W630</f>
        <v>0</v>
      </c>
      <c r="Z629">
        <f>'[1]2026 Orders'!X630</f>
        <v>0</v>
      </c>
      <c r="AC629" t="str">
        <f t="shared" si="18"/>
        <v/>
      </c>
      <c r="AD629" t="str">
        <f t="shared" si="19"/>
        <v/>
      </c>
    </row>
    <row r="630" spans="1:30" ht="33" hidden="1" customHeight="1" x14ac:dyDescent="0.3">
      <c r="A630">
        <f>'[1]2026 Orders'!A631</f>
        <v>0</v>
      </c>
      <c r="B630" s="14">
        <f>'[1]2026 Orders'!B631</f>
        <v>0</v>
      </c>
      <c r="C630" s="14">
        <f>'[1]2026 Orders'!C631</f>
        <v>0</v>
      </c>
      <c r="D630" s="14">
        <f>'[1]2026 Orders'!D631</f>
        <v>0</v>
      </c>
      <c r="E630" s="17" t="str" cm="1">
        <f t="array" ref="E630">IF(C630=0,"",
HYPERLINK(
"#'2026 Orders'!C"&amp;
MATCH(1,
('2026 Orders'!C:C=C630)*
('2026 Orders'!G:G=G630)*
('2026 Orders'!N:N=N630),
0),
"Open "&amp;C630
))</f>
        <v/>
      </c>
      <c r="F630" s="14">
        <f>'[1]2026 Orders'!F631</f>
        <v>0</v>
      </c>
      <c r="G630" s="14">
        <f>'[1]2026 Orders'!G631</f>
        <v>0</v>
      </c>
      <c r="H630" s="14" t="str" cm="1">
        <f t="array" ref="H630">IFERROR(_xlfn.TEXTJOIN("-",,INDEX(_xlfn.TEXTSPLIT(TableGive[[#This Row],[SKU]],"-"),{1,2})),"")</f>
        <v/>
      </c>
      <c r="I630" s="15" t="str">
        <f>IFERROR(_xlfn.TEXTAFTER(TableGive[[#This Row],[SKU]],"-",-1),"")</f>
        <v/>
      </c>
      <c r="J630" s="14">
        <f>'[1]2026 Orders'!H631</f>
        <v>0</v>
      </c>
      <c r="K630">
        <f>'[1]2026 Orders'!I631</f>
        <v>0</v>
      </c>
      <c r="L630">
        <f>'[1]2026 Orders'!J631</f>
        <v>0</v>
      </c>
      <c r="N630" s="10">
        <f>'[1]2026 Orders'!L631</f>
        <v>0</v>
      </c>
      <c r="O630">
        <f>'[1]2026 Orders'!M631</f>
        <v>0</v>
      </c>
      <c r="P630">
        <f>'[1]2026 Orders'!N631</f>
        <v>0</v>
      </c>
      <c r="Q630">
        <f>'[1]2026 Orders'!O631</f>
        <v>0</v>
      </c>
      <c r="R630">
        <f>'[1]2026 Orders'!P631</f>
        <v>0</v>
      </c>
      <c r="S630">
        <f>'[1]2026 Orders'!Q631</f>
        <v>0</v>
      </c>
      <c r="T630">
        <f>'[1]2026 Orders'!R631</f>
        <v>0</v>
      </c>
      <c r="U630">
        <f>'[1]2026 Orders'!S631</f>
        <v>0</v>
      </c>
      <c r="V630">
        <f>'[1]2026 Orders'!T631</f>
        <v>0</v>
      </c>
      <c r="W630">
        <f>'[1]2026 Orders'!U631</f>
        <v>0</v>
      </c>
      <c r="X630">
        <f>'[1]2026 Orders'!V631</f>
        <v>0</v>
      </c>
      <c r="Y630">
        <f>'[1]2026 Orders'!W631</f>
        <v>0</v>
      </c>
      <c r="Z630">
        <f>'[1]2026 Orders'!X631</f>
        <v>0</v>
      </c>
      <c r="AC630" t="str">
        <f t="shared" si="18"/>
        <v/>
      </c>
      <c r="AD630" t="str">
        <f t="shared" si="19"/>
        <v/>
      </c>
    </row>
    <row r="631" spans="1:30" ht="33" hidden="1" customHeight="1" x14ac:dyDescent="0.3">
      <c r="A631">
        <f>'[1]2026 Orders'!A632</f>
        <v>0</v>
      </c>
      <c r="B631" s="14">
        <f>'[1]2026 Orders'!B632</f>
        <v>0</v>
      </c>
      <c r="C631" s="14">
        <f>'[1]2026 Orders'!C632</f>
        <v>0</v>
      </c>
      <c r="D631" s="14">
        <f>'[1]2026 Orders'!D632</f>
        <v>0</v>
      </c>
      <c r="E631" s="17" t="str" cm="1">
        <f t="array" ref="E631">IF(C631=0,"",
HYPERLINK(
"#'2026 Orders'!C"&amp;
MATCH(1,
('2026 Orders'!C:C=C631)*
('2026 Orders'!G:G=G631)*
('2026 Orders'!N:N=N631),
0),
"Open "&amp;C631
))</f>
        <v/>
      </c>
      <c r="F631" s="14">
        <f>'[1]2026 Orders'!F632</f>
        <v>0</v>
      </c>
      <c r="G631" s="14">
        <f>'[1]2026 Orders'!G632</f>
        <v>0</v>
      </c>
      <c r="H631" s="14" t="str" cm="1">
        <f t="array" ref="H631">IFERROR(_xlfn.TEXTJOIN("-",,INDEX(_xlfn.TEXTSPLIT(TableGive[[#This Row],[SKU]],"-"),{1,2})),"")</f>
        <v/>
      </c>
      <c r="I631" s="15" t="str">
        <f>IFERROR(_xlfn.TEXTAFTER(TableGive[[#This Row],[SKU]],"-",-1),"")</f>
        <v/>
      </c>
      <c r="J631" s="14">
        <f>'[1]2026 Orders'!H632</f>
        <v>0</v>
      </c>
      <c r="K631">
        <f>'[1]2026 Orders'!I632</f>
        <v>0</v>
      </c>
      <c r="L631">
        <f>'[1]2026 Orders'!J632</f>
        <v>0</v>
      </c>
      <c r="N631" s="10">
        <f>'[1]2026 Orders'!L632</f>
        <v>0</v>
      </c>
      <c r="O631">
        <f>'[1]2026 Orders'!M632</f>
        <v>0</v>
      </c>
      <c r="P631">
        <f>'[1]2026 Orders'!N632</f>
        <v>0</v>
      </c>
      <c r="Q631">
        <f>'[1]2026 Orders'!O632</f>
        <v>0</v>
      </c>
      <c r="R631">
        <f>'[1]2026 Orders'!P632</f>
        <v>0</v>
      </c>
      <c r="S631">
        <f>'[1]2026 Orders'!Q632</f>
        <v>0</v>
      </c>
      <c r="T631">
        <f>'[1]2026 Orders'!R632</f>
        <v>0</v>
      </c>
      <c r="U631">
        <f>'[1]2026 Orders'!S632</f>
        <v>0</v>
      </c>
      <c r="V631">
        <f>'[1]2026 Orders'!T632</f>
        <v>0</v>
      </c>
      <c r="W631">
        <f>'[1]2026 Orders'!U632</f>
        <v>0</v>
      </c>
      <c r="X631">
        <f>'[1]2026 Orders'!V632</f>
        <v>0</v>
      </c>
      <c r="Y631">
        <f>'[1]2026 Orders'!W632</f>
        <v>0</v>
      </c>
      <c r="Z631">
        <f>'[1]2026 Orders'!X632</f>
        <v>0</v>
      </c>
      <c r="AC631" t="str">
        <f t="shared" si="18"/>
        <v/>
      </c>
      <c r="AD631" t="str">
        <f t="shared" si="19"/>
        <v/>
      </c>
    </row>
    <row r="632" spans="1:30" ht="33" hidden="1" customHeight="1" x14ac:dyDescent="0.3">
      <c r="A632">
        <f>'[1]2026 Orders'!A633</f>
        <v>0</v>
      </c>
      <c r="B632" s="14">
        <f>'[1]2026 Orders'!B633</f>
        <v>0</v>
      </c>
      <c r="C632" s="14">
        <f>'[1]2026 Orders'!C633</f>
        <v>0</v>
      </c>
      <c r="D632" s="14">
        <f>'[1]2026 Orders'!D633</f>
        <v>0</v>
      </c>
      <c r="E632" s="17" t="str" cm="1">
        <f t="array" ref="E632">IF(C632=0,"",
HYPERLINK(
"#'2026 Orders'!C"&amp;
MATCH(1,
('2026 Orders'!C:C=C632)*
('2026 Orders'!G:G=G632)*
('2026 Orders'!N:N=N632),
0),
"Open "&amp;C632
))</f>
        <v/>
      </c>
      <c r="F632" s="14">
        <f>'[1]2026 Orders'!F633</f>
        <v>0</v>
      </c>
      <c r="G632" s="14">
        <f>'[1]2026 Orders'!G633</f>
        <v>0</v>
      </c>
      <c r="H632" s="14" t="str" cm="1">
        <f t="array" ref="H632">IFERROR(_xlfn.TEXTJOIN("-",,INDEX(_xlfn.TEXTSPLIT(TableGive[[#This Row],[SKU]],"-"),{1,2})),"")</f>
        <v/>
      </c>
      <c r="I632" s="15" t="str">
        <f>IFERROR(_xlfn.TEXTAFTER(TableGive[[#This Row],[SKU]],"-",-1),"")</f>
        <v/>
      </c>
      <c r="J632" s="14">
        <f>'[1]2026 Orders'!H633</f>
        <v>0</v>
      </c>
      <c r="K632">
        <f>'[1]2026 Orders'!I633</f>
        <v>0</v>
      </c>
      <c r="L632">
        <f>'[1]2026 Orders'!J633</f>
        <v>0</v>
      </c>
      <c r="N632" s="10">
        <f>'[1]2026 Orders'!L633</f>
        <v>0</v>
      </c>
      <c r="O632">
        <f>'[1]2026 Orders'!M633</f>
        <v>0</v>
      </c>
      <c r="P632">
        <f>'[1]2026 Orders'!N633</f>
        <v>0</v>
      </c>
      <c r="Q632">
        <f>'[1]2026 Orders'!O633</f>
        <v>0</v>
      </c>
      <c r="R632">
        <f>'[1]2026 Orders'!P633</f>
        <v>0</v>
      </c>
      <c r="S632">
        <f>'[1]2026 Orders'!Q633</f>
        <v>0</v>
      </c>
      <c r="T632">
        <f>'[1]2026 Orders'!R633</f>
        <v>0</v>
      </c>
      <c r="U632">
        <f>'[1]2026 Orders'!S633</f>
        <v>0</v>
      </c>
      <c r="V632">
        <f>'[1]2026 Orders'!T633</f>
        <v>0</v>
      </c>
      <c r="W632">
        <f>'[1]2026 Orders'!U633</f>
        <v>0</v>
      </c>
      <c r="X632">
        <f>'[1]2026 Orders'!V633</f>
        <v>0</v>
      </c>
      <c r="Y632">
        <f>'[1]2026 Orders'!W633</f>
        <v>0</v>
      </c>
      <c r="Z632">
        <f>'[1]2026 Orders'!X633</f>
        <v>0</v>
      </c>
      <c r="AC632" t="str">
        <f t="shared" si="18"/>
        <v/>
      </c>
      <c r="AD632" t="str">
        <f t="shared" si="19"/>
        <v/>
      </c>
    </row>
    <row r="633" spans="1:30" ht="33" hidden="1" customHeight="1" x14ac:dyDescent="0.3">
      <c r="A633">
        <f>'[1]2026 Orders'!A634</f>
        <v>0</v>
      </c>
      <c r="B633" s="14">
        <f>'[1]2026 Orders'!B634</f>
        <v>0</v>
      </c>
      <c r="C633" s="14">
        <f>'[1]2026 Orders'!C634</f>
        <v>0</v>
      </c>
      <c r="D633" s="14">
        <f>'[1]2026 Orders'!D634</f>
        <v>0</v>
      </c>
      <c r="E633" s="17" t="str" cm="1">
        <f t="array" ref="E633">IF(C633=0,"",
HYPERLINK(
"#'2026 Orders'!C"&amp;
MATCH(1,
('2026 Orders'!C:C=C633)*
('2026 Orders'!G:G=G633)*
('2026 Orders'!N:N=N633),
0),
"Open "&amp;C633
))</f>
        <v/>
      </c>
      <c r="F633" s="14">
        <f>'[1]2026 Orders'!F634</f>
        <v>0</v>
      </c>
      <c r="G633" s="14">
        <f>'[1]2026 Orders'!G634</f>
        <v>0</v>
      </c>
      <c r="H633" s="14" t="str" cm="1">
        <f t="array" ref="H633">IFERROR(_xlfn.TEXTJOIN("-",,INDEX(_xlfn.TEXTSPLIT(TableGive[[#This Row],[SKU]],"-"),{1,2})),"")</f>
        <v/>
      </c>
      <c r="I633" s="15" t="str">
        <f>IFERROR(_xlfn.TEXTAFTER(TableGive[[#This Row],[SKU]],"-",-1),"")</f>
        <v/>
      </c>
      <c r="J633" s="14">
        <f>'[1]2026 Orders'!H634</f>
        <v>0</v>
      </c>
      <c r="K633">
        <f>'[1]2026 Orders'!I634</f>
        <v>0</v>
      </c>
      <c r="L633">
        <f>'[1]2026 Orders'!J634</f>
        <v>0</v>
      </c>
      <c r="N633" s="10">
        <f>'[1]2026 Orders'!L634</f>
        <v>0</v>
      </c>
      <c r="O633">
        <f>'[1]2026 Orders'!M634</f>
        <v>0</v>
      </c>
      <c r="P633">
        <f>'[1]2026 Orders'!N634</f>
        <v>0</v>
      </c>
      <c r="Q633">
        <f>'[1]2026 Orders'!O634</f>
        <v>0</v>
      </c>
      <c r="R633">
        <f>'[1]2026 Orders'!P634</f>
        <v>0</v>
      </c>
      <c r="S633">
        <f>'[1]2026 Orders'!Q634</f>
        <v>0</v>
      </c>
      <c r="T633">
        <f>'[1]2026 Orders'!R634</f>
        <v>0</v>
      </c>
      <c r="U633">
        <f>'[1]2026 Orders'!S634</f>
        <v>0</v>
      </c>
      <c r="V633">
        <f>'[1]2026 Orders'!T634</f>
        <v>0</v>
      </c>
      <c r="W633">
        <f>'[1]2026 Orders'!U634</f>
        <v>0</v>
      </c>
      <c r="X633">
        <f>'[1]2026 Orders'!V634</f>
        <v>0</v>
      </c>
      <c r="Y633">
        <f>'[1]2026 Orders'!W634</f>
        <v>0</v>
      </c>
      <c r="Z633">
        <f>'[1]2026 Orders'!X634</f>
        <v>0</v>
      </c>
      <c r="AC633" t="str">
        <f t="shared" si="18"/>
        <v/>
      </c>
      <c r="AD633" t="str">
        <f t="shared" si="19"/>
        <v/>
      </c>
    </row>
    <row r="634" spans="1:30" ht="33" hidden="1" customHeight="1" x14ac:dyDescent="0.3">
      <c r="A634">
        <f>'[1]2026 Orders'!A635</f>
        <v>0</v>
      </c>
      <c r="B634" s="14">
        <f>'[1]2026 Orders'!B635</f>
        <v>0</v>
      </c>
      <c r="C634" s="14">
        <f>'[1]2026 Orders'!C635</f>
        <v>0</v>
      </c>
      <c r="D634" s="14">
        <f>'[1]2026 Orders'!D635</f>
        <v>0</v>
      </c>
      <c r="E634" s="17" t="str" cm="1">
        <f t="array" ref="E634">IF(C634=0,"",
HYPERLINK(
"#'2026 Orders'!C"&amp;
MATCH(1,
('2026 Orders'!C:C=C634)*
('2026 Orders'!G:G=G634)*
('2026 Orders'!N:N=N634),
0),
"Open "&amp;C634
))</f>
        <v/>
      </c>
      <c r="F634" s="14">
        <f>'[1]2026 Orders'!F635</f>
        <v>0</v>
      </c>
      <c r="G634" s="14">
        <f>'[1]2026 Orders'!G635</f>
        <v>0</v>
      </c>
      <c r="H634" s="14" t="str" cm="1">
        <f t="array" ref="H634">IFERROR(_xlfn.TEXTJOIN("-",,INDEX(_xlfn.TEXTSPLIT(TableGive[[#This Row],[SKU]],"-"),{1,2})),"")</f>
        <v/>
      </c>
      <c r="I634" s="15" t="str">
        <f>IFERROR(_xlfn.TEXTAFTER(TableGive[[#This Row],[SKU]],"-",-1),"")</f>
        <v/>
      </c>
      <c r="J634" s="14">
        <f>'[1]2026 Orders'!H635</f>
        <v>0</v>
      </c>
      <c r="K634">
        <f>'[1]2026 Orders'!I635</f>
        <v>0</v>
      </c>
      <c r="L634">
        <f>'[1]2026 Orders'!J635</f>
        <v>0</v>
      </c>
      <c r="N634" s="10">
        <f>'[1]2026 Orders'!L635</f>
        <v>0</v>
      </c>
      <c r="O634">
        <f>'[1]2026 Orders'!M635</f>
        <v>0</v>
      </c>
      <c r="P634">
        <f>'[1]2026 Orders'!N635</f>
        <v>0</v>
      </c>
      <c r="Q634">
        <f>'[1]2026 Orders'!O635</f>
        <v>0</v>
      </c>
      <c r="R634">
        <f>'[1]2026 Orders'!P635</f>
        <v>0</v>
      </c>
      <c r="S634">
        <f>'[1]2026 Orders'!Q635</f>
        <v>0</v>
      </c>
      <c r="T634">
        <f>'[1]2026 Orders'!R635</f>
        <v>0</v>
      </c>
      <c r="U634">
        <f>'[1]2026 Orders'!S635</f>
        <v>0</v>
      </c>
      <c r="V634">
        <f>'[1]2026 Orders'!T635</f>
        <v>0</v>
      </c>
      <c r="W634">
        <f>'[1]2026 Orders'!U635</f>
        <v>0</v>
      </c>
      <c r="X634">
        <f>'[1]2026 Orders'!V635</f>
        <v>0</v>
      </c>
      <c r="Y634">
        <f>'[1]2026 Orders'!W635</f>
        <v>0</v>
      </c>
      <c r="Z634">
        <f>'[1]2026 Orders'!X635</f>
        <v>0</v>
      </c>
      <c r="AC634" t="str">
        <f t="shared" si="18"/>
        <v/>
      </c>
      <c r="AD634" t="str">
        <f t="shared" si="19"/>
        <v/>
      </c>
    </row>
    <row r="635" spans="1:30" ht="33" hidden="1" customHeight="1" x14ac:dyDescent="0.3">
      <c r="A635">
        <f>'[1]2026 Orders'!A636</f>
        <v>0</v>
      </c>
      <c r="B635" s="14">
        <f>'[1]2026 Orders'!B636</f>
        <v>0</v>
      </c>
      <c r="C635" s="14">
        <f>'[1]2026 Orders'!C636</f>
        <v>0</v>
      </c>
      <c r="D635" s="14">
        <f>'[1]2026 Orders'!D636</f>
        <v>0</v>
      </c>
      <c r="E635" s="17" t="str" cm="1">
        <f t="array" ref="E635">IF(C635=0,"",
HYPERLINK(
"#'2026 Orders'!C"&amp;
MATCH(1,
('2026 Orders'!C:C=C635)*
('2026 Orders'!G:G=G635)*
('2026 Orders'!N:N=N635),
0),
"Open "&amp;C635
))</f>
        <v/>
      </c>
      <c r="F635" s="14">
        <f>'[1]2026 Orders'!F636</f>
        <v>0</v>
      </c>
      <c r="G635" s="14">
        <f>'[1]2026 Orders'!G636</f>
        <v>0</v>
      </c>
      <c r="H635" s="14" t="str" cm="1">
        <f t="array" ref="H635">IFERROR(_xlfn.TEXTJOIN("-",,INDEX(_xlfn.TEXTSPLIT(TableGive[[#This Row],[SKU]],"-"),{1,2})),"")</f>
        <v/>
      </c>
      <c r="I635" s="15" t="str">
        <f>IFERROR(_xlfn.TEXTAFTER(TableGive[[#This Row],[SKU]],"-",-1),"")</f>
        <v/>
      </c>
      <c r="J635" s="14">
        <f>'[1]2026 Orders'!H636</f>
        <v>0</v>
      </c>
      <c r="K635">
        <f>'[1]2026 Orders'!I636</f>
        <v>0</v>
      </c>
      <c r="L635">
        <f>'[1]2026 Orders'!J636</f>
        <v>0</v>
      </c>
      <c r="N635" s="10">
        <f>'[1]2026 Orders'!L636</f>
        <v>0</v>
      </c>
      <c r="O635">
        <f>'[1]2026 Orders'!M636</f>
        <v>0</v>
      </c>
      <c r="P635">
        <f>'[1]2026 Orders'!N636</f>
        <v>0</v>
      </c>
      <c r="Q635">
        <f>'[1]2026 Orders'!O636</f>
        <v>0</v>
      </c>
      <c r="R635">
        <f>'[1]2026 Orders'!P636</f>
        <v>0</v>
      </c>
      <c r="S635">
        <f>'[1]2026 Orders'!Q636</f>
        <v>0</v>
      </c>
      <c r="T635">
        <f>'[1]2026 Orders'!R636</f>
        <v>0</v>
      </c>
      <c r="U635">
        <f>'[1]2026 Orders'!S636</f>
        <v>0</v>
      </c>
      <c r="V635">
        <f>'[1]2026 Orders'!T636</f>
        <v>0</v>
      </c>
      <c r="W635">
        <f>'[1]2026 Orders'!U636</f>
        <v>0</v>
      </c>
      <c r="X635">
        <f>'[1]2026 Orders'!V636</f>
        <v>0</v>
      </c>
      <c r="Y635">
        <f>'[1]2026 Orders'!W636</f>
        <v>0</v>
      </c>
      <c r="Z635">
        <f>'[1]2026 Orders'!X636</f>
        <v>0</v>
      </c>
      <c r="AC635" t="str">
        <f t="shared" si="18"/>
        <v/>
      </c>
      <c r="AD635" t="str">
        <f t="shared" si="19"/>
        <v/>
      </c>
    </row>
    <row r="636" spans="1:30" ht="33" hidden="1" customHeight="1" x14ac:dyDescent="0.3">
      <c r="A636">
        <f>'[1]2026 Orders'!A637</f>
        <v>0</v>
      </c>
      <c r="B636" s="14">
        <f>'[1]2026 Orders'!B637</f>
        <v>0</v>
      </c>
      <c r="C636" s="14">
        <f>'[1]2026 Orders'!C637</f>
        <v>0</v>
      </c>
      <c r="D636" s="14">
        <f>'[1]2026 Orders'!D637</f>
        <v>0</v>
      </c>
      <c r="E636" s="17" t="str" cm="1">
        <f t="array" ref="E636">IF(C636=0,"",
HYPERLINK(
"#'2026 Orders'!C"&amp;
MATCH(1,
('2026 Orders'!C:C=C636)*
('2026 Orders'!G:G=G636)*
('2026 Orders'!N:N=N636),
0),
"Open "&amp;C636
))</f>
        <v/>
      </c>
      <c r="F636" s="14">
        <f>'[1]2026 Orders'!F637</f>
        <v>0</v>
      </c>
      <c r="G636" s="14">
        <f>'[1]2026 Orders'!G637</f>
        <v>0</v>
      </c>
      <c r="H636" s="14" t="str" cm="1">
        <f t="array" ref="H636">IFERROR(_xlfn.TEXTJOIN("-",,INDEX(_xlfn.TEXTSPLIT(TableGive[[#This Row],[SKU]],"-"),{1,2})),"")</f>
        <v/>
      </c>
      <c r="I636" s="15" t="str">
        <f>IFERROR(_xlfn.TEXTAFTER(TableGive[[#This Row],[SKU]],"-",-1),"")</f>
        <v/>
      </c>
      <c r="J636" s="14">
        <f>'[1]2026 Orders'!H637</f>
        <v>0</v>
      </c>
      <c r="K636">
        <f>'[1]2026 Orders'!I637</f>
        <v>0</v>
      </c>
      <c r="L636">
        <f>'[1]2026 Orders'!J637</f>
        <v>0</v>
      </c>
      <c r="N636" s="10">
        <f>'[1]2026 Orders'!L637</f>
        <v>0</v>
      </c>
      <c r="O636">
        <f>'[1]2026 Orders'!M637</f>
        <v>0</v>
      </c>
      <c r="P636">
        <f>'[1]2026 Orders'!N637</f>
        <v>0</v>
      </c>
      <c r="Q636">
        <f>'[1]2026 Orders'!O637</f>
        <v>0</v>
      </c>
      <c r="R636">
        <f>'[1]2026 Orders'!P637</f>
        <v>0</v>
      </c>
      <c r="S636">
        <f>'[1]2026 Orders'!Q637</f>
        <v>0</v>
      </c>
      <c r="T636">
        <f>'[1]2026 Orders'!R637</f>
        <v>0</v>
      </c>
      <c r="U636">
        <f>'[1]2026 Orders'!S637</f>
        <v>0</v>
      </c>
      <c r="V636">
        <f>'[1]2026 Orders'!T637</f>
        <v>0</v>
      </c>
      <c r="W636">
        <f>'[1]2026 Orders'!U637</f>
        <v>0</v>
      </c>
      <c r="X636">
        <f>'[1]2026 Orders'!V637</f>
        <v>0</v>
      </c>
      <c r="Y636">
        <f>'[1]2026 Orders'!W637</f>
        <v>0</v>
      </c>
      <c r="Z636">
        <f>'[1]2026 Orders'!X637</f>
        <v>0</v>
      </c>
      <c r="AC636" t="str">
        <f t="shared" si="18"/>
        <v/>
      </c>
      <c r="AD636" t="str">
        <f t="shared" si="19"/>
        <v/>
      </c>
    </row>
    <row r="637" spans="1:30" ht="33" hidden="1" customHeight="1" x14ac:dyDescent="0.3">
      <c r="A637">
        <f>'[1]2026 Orders'!A638</f>
        <v>0</v>
      </c>
      <c r="B637" s="14">
        <f>'[1]2026 Orders'!B638</f>
        <v>0</v>
      </c>
      <c r="C637" s="14">
        <f>'[1]2026 Orders'!C638</f>
        <v>0</v>
      </c>
      <c r="D637" s="14">
        <f>'[1]2026 Orders'!D638</f>
        <v>0</v>
      </c>
      <c r="E637" s="17" t="str" cm="1">
        <f t="array" ref="E637">IF(C637=0,"",
HYPERLINK(
"#'2026 Orders'!C"&amp;
MATCH(1,
('2026 Orders'!C:C=C637)*
('2026 Orders'!G:G=G637)*
('2026 Orders'!N:N=N637),
0),
"Open "&amp;C637
))</f>
        <v/>
      </c>
      <c r="F637" s="14">
        <f>'[1]2026 Orders'!F638</f>
        <v>0</v>
      </c>
      <c r="G637" s="14">
        <f>'[1]2026 Orders'!G638</f>
        <v>0</v>
      </c>
      <c r="H637" s="14" t="str" cm="1">
        <f t="array" ref="H637">IFERROR(_xlfn.TEXTJOIN("-",,INDEX(_xlfn.TEXTSPLIT(TableGive[[#This Row],[SKU]],"-"),{1,2})),"")</f>
        <v/>
      </c>
      <c r="I637" s="15" t="str">
        <f>IFERROR(_xlfn.TEXTAFTER(TableGive[[#This Row],[SKU]],"-",-1),"")</f>
        <v/>
      </c>
      <c r="J637" s="14">
        <f>'[1]2026 Orders'!H638</f>
        <v>0</v>
      </c>
      <c r="K637">
        <f>'[1]2026 Orders'!I638</f>
        <v>0</v>
      </c>
      <c r="L637">
        <f>'[1]2026 Orders'!J638</f>
        <v>0</v>
      </c>
      <c r="N637" s="10">
        <f>'[1]2026 Orders'!L638</f>
        <v>0</v>
      </c>
      <c r="O637">
        <f>'[1]2026 Orders'!M638</f>
        <v>0</v>
      </c>
      <c r="P637">
        <f>'[1]2026 Orders'!N638</f>
        <v>0</v>
      </c>
      <c r="Q637">
        <f>'[1]2026 Orders'!O638</f>
        <v>0</v>
      </c>
      <c r="R637">
        <f>'[1]2026 Orders'!P638</f>
        <v>0</v>
      </c>
      <c r="S637">
        <f>'[1]2026 Orders'!Q638</f>
        <v>0</v>
      </c>
      <c r="T637">
        <f>'[1]2026 Orders'!R638</f>
        <v>0</v>
      </c>
      <c r="U637">
        <f>'[1]2026 Orders'!S638</f>
        <v>0</v>
      </c>
      <c r="V637">
        <f>'[1]2026 Orders'!T638</f>
        <v>0</v>
      </c>
      <c r="W637">
        <f>'[1]2026 Orders'!U638</f>
        <v>0</v>
      </c>
      <c r="X637">
        <f>'[1]2026 Orders'!V638</f>
        <v>0</v>
      </c>
      <c r="Y637">
        <f>'[1]2026 Orders'!W638</f>
        <v>0</v>
      </c>
      <c r="Z637">
        <f>'[1]2026 Orders'!X638</f>
        <v>0</v>
      </c>
      <c r="AC637" t="str">
        <f t="shared" si="18"/>
        <v/>
      </c>
      <c r="AD637" t="str">
        <f t="shared" si="19"/>
        <v/>
      </c>
    </row>
    <row r="638" spans="1:30" ht="33" hidden="1" customHeight="1" x14ac:dyDescent="0.3">
      <c r="A638">
        <f>'[1]2026 Orders'!A639</f>
        <v>0</v>
      </c>
      <c r="B638" s="14">
        <f>'[1]2026 Orders'!B639</f>
        <v>0</v>
      </c>
      <c r="C638" s="14">
        <f>'[1]2026 Orders'!C639</f>
        <v>0</v>
      </c>
      <c r="D638" s="14">
        <f>'[1]2026 Orders'!D639</f>
        <v>0</v>
      </c>
      <c r="E638" s="17" t="str" cm="1">
        <f t="array" ref="E638">IF(C638=0,"",
HYPERLINK(
"#'2026 Orders'!C"&amp;
MATCH(1,
('2026 Orders'!C:C=C638)*
('2026 Orders'!G:G=G638)*
('2026 Orders'!N:N=N638),
0),
"Open "&amp;C638
))</f>
        <v/>
      </c>
      <c r="F638" s="14">
        <f>'[1]2026 Orders'!F639</f>
        <v>0</v>
      </c>
      <c r="G638" s="14">
        <f>'[1]2026 Orders'!G639</f>
        <v>0</v>
      </c>
      <c r="H638" s="14" t="str" cm="1">
        <f t="array" ref="H638">IFERROR(_xlfn.TEXTJOIN("-",,INDEX(_xlfn.TEXTSPLIT(TableGive[[#This Row],[SKU]],"-"),{1,2})),"")</f>
        <v/>
      </c>
      <c r="I638" s="15" t="str">
        <f>IFERROR(_xlfn.TEXTAFTER(TableGive[[#This Row],[SKU]],"-",-1),"")</f>
        <v/>
      </c>
      <c r="J638" s="14">
        <f>'[1]2026 Orders'!H639</f>
        <v>0</v>
      </c>
      <c r="K638">
        <f>'[1]2026 Orders'!I639</f>
        <v>0</v>
      </c>
      <c r="L638">
        <f>'[1]2026 Orders'!J639</f>
        <v>0</v>
      </c>
      <c r="N638" s="10">
        <f>'[1]2026 Orders'!L639</f>
        <v>0</v>
      </c>
      <c r="O638">
        <f>'[1]2026 Orders'!M639</f>
        <v>0</v>
      </c>
      <c r="P638">
        <f>'[1]2026 Orders'!N639</f>
        <v>0</v>
      </c>
      <c r="Q638">
        <f>'[1]2026 Orders'!O639</f>
        <v>0</v>
      </c>
      <c r="R638">
        <f>'[1]2026 Orders'!P639</f>
        <v>0</v>
      </c>
      <c r="S638">
        <f>'[1]2026 Orders'!Q639</f>
        <v>0</v>
      </c>
      <c r="T638">
        <f>'[1]2026 Orders'!R639</f>
        <v>0</v>
      </c>
      <c r="U638">
        <f>'[1]2026 Orders'!S639</f>
        <v>0</v>
      </c>
      <c r="V638">
        <f>'[1]2026 Orders'!T639</f>
        <v>0</v>
      </c>
      <c r="W638">
        <f>'[1]2026 Orders'!U639</f>
        <v>0</v>
      </c>
      <c r="X638">
        <f>'[1]2026 Orders'!V639</f>
        <v>0</v>
      </c>
      <c r="Y638">
        <f>'[1]2026 Orders'!W639</f>
        <v>0</v>
      </c>
      <c r="Z638">
        <f>'[1]2026 Orders'!X639</f>
        <v>0</v>
      </c>
      <c r="AC638" t="str">
        <f t="shared" si="18"/>
        <v/>
      </c>
      <c r="AD638" t="str">
        <f t="shared" si="19"/>
        <v/>
      </c>
    </row>
    <row r="639" spans="1:30" ht="33" hidden="1" customHeight="1" x14ac:dyDescent="0.3">
      <c r="A639">
        <f>'[1]2026 Orders'!A640</f>
        <v>0</v>
      </c>
      <c r="B639" s="14">
        <f>'[1]2026 Orders'!B640</f>
        <v>0</v>
      </c>
      <c r="C639" s="14">
        <f>'[1]2026 Orders'!C640</f>
        <v>0</v>
      </c>
      <c r="D639" s="14">
        <f>'[1]2026 Orders'!D640</f>
        <v>0</v>
      </c>
      <c r="E639" s="17" t="str" cm="1">
        <f t="array" ref="E639">IF(C639=0,"",
HYPERLINK(
"#'2026 Orders'!C"&amp;
MATCH(1,
('2026 Orders'!C:C=C639)*
('2026 Orders'!G:G=G639)*
('2026 Orders'!N:N=N639),
0),
"Open "&amp;C639
))</f>
        <v/>
      </c>
      <c r="F639" s="14">
        <f>'[1]2026 Orders'!F640</f>
        <v>0</v>
      </c>
      <c r="G639" s="14">
        <f>'[1]2026 Orders'!G640</f>
        <v>0</v>
      </c>
      <c r="H639" s="14" t="str" cm="1">
        <f t="array" ref="H639">IFERROR(_xlfn.TEXTJOIN("-",,INDEX(_xlfn.TEXTSPLIT(TableGive[[#This Row],[SKU]],"-"),{1,2})),"")</f>
        <v/>
      </c>
      <c r="I639" s="15" t="str">
        <f>IFERROR(_xlfn.TEXTAFTER(TableGive[[#This Row],[SKU]],"-",-1),"")</f>
        <v/>
      </c>
      <c r="J639" s="14">
        <f>'[1]2026 Orders'!H640</f>
        <v>0</v>
      </c>
      <c r="K639">
        <f>'[1]2026 Orders'!I640</f>
        <v>0</v>
      </c>
      <c r="L639">
        <f>'[1]2026 Orders'!J640</f>
        <v>0</v>
      </c>
      <c r="N639" s="10">
        <f>'[1]2026 Orders'!L640</f>
        <v>0</v>
      </c>
      <c r="O639">
        <f>'[1]2026 Orders'!M640</f>
        <v>0</v>
      </c>
      <c r="P639">
        <f>'[1]2026 Orders'!N640</f>
        <v>0</v>
      </c>
      <c r="Q639">
        <f>'[1]2026 Orders'!O640</f>
        <v>0</v>
      </c>
      <c r="R639">
        <f>'[1]2026 Orders'!P640</f>
        <v>0</v>
      </c>
      <c r="S639">
        <f>'[1]2026 Orders'!Q640</f>
        <v>0</v>
      </c>
      <c r="T639">
        <f>'[1]2026 Orders'!R640</f>
        <v>0</v>
      </c>
      <c r="U639">
        <f>'[1]2026 Orders'!S640</f>
        <v>0</v>
      </c>
      <c r="V639">
        <f>'[1]2026 Orders'!T640</f>
        <v>0</v>
      </c>
      <c r="W639">
        <f>'[1]2026 Orders'!U640</f>
        <v>0</v>
      </c>
      <c r="X639">
        <f>'[1]2026 Orders'!V640</f>
        <v>0</v>
      </c>
      <c r="Y639">
        <f>'[1]2026 Orders'!W640</f>
        <v>0</v>
      </c>
      <c r="Z639">
        <f>'[1]2026 Orders'!X640</f>
        <v>0</v>
      </c>
      <c r="AC639" t="str">
        <f t="shared" si="18"/>
        <v/>
      </c>
      <c r="AD639" t="str">
        <f t="shared" si="19"/>
        <v/>
      </c>
    </row>
    <row r="640" spans="1:30" ht="33" hidden="1" customHeight="1" x14ac:dyDescent="0.3">
      <c r="A640">
        <f>'[1]2026 Orders'!A641</f>
        <v>0</v>
      </c>
      <c r="B640" s="14">
        <f>'[1]2026 Orders'!B641</f>
        <v>0</v>
      </c>
      <c r="C640" s="14">
        <f>'[1]2026 Orders'!C641</f>
        <v>0</v>
      </c>
      <c r="D640" s="14">
        <f>'[1]2026 Orders'!D641</f>
        <v>0</v>
      </c>
      <c r="E640" s="17" t="str" cm="1">
        <f t="array" ref="E640">IF(C640=0,"",
HYPERLINK(
"#'2026 Orders'!C"&amp;
MATCH(1,
('2026 Orders'!C:C=C640)*
('2026 Orders'!G:G=G640)*
('2026 Orders'!N:N=N640),
0),
"Open "&amp;C640
))</f>
        <v/>
      </c>
      <c r="F640" s="14">
        <f>'[1]2026 Orders'!F641</f>
        <v>0</v>
      </c>
      <c r="G640" s="14">
        <f>'[1]2026 Orders'!G641</f>
        <v>0</v>
      </c>
      <c r="H640" s="14" t="str" cm="1">
        <f t="array" ref="H640">IFERROR(_xlfn.TEXTJOIN("-",,INDEX(_xlfn.TEXTSPLIT(TableGive[[#This Row],[SKU]],"-"),{1,2})),"")</f>
        <v/>
      </c>
      <c r="I640" s="15" t="str">
        <f>IFERROR(_xlfn.TEXTAFTER(TableGive[[#This Row],[SKU]],"-",-1),"")</f>
        <v/>
      </c>
      <c r="J640" s="14">
        <f>'[1]2026 Orders'!H641</f>
        <v>0</v>
      </c>
      <c r="K640">
        <f>'[1]2026 Orders'!I641</f>
        <v>0</v>
      </c>
      <c r="L640">
        <f>'[1]2026 Orders'!J641</f>
        <v>0</v>
      </c>
      <c r="N640" s="10">
        <f>'[1]2026 Orders'!L641</f>
        <v>0</v>
      </c>
      <c r="O640">
        <f>'[1]2026 Orders'!M641</f>
        <v>0</v>
      </c>
      <c r="P640">
        <f>'[1]2026 Orders'!N641</f>
        <v>0</v>
      </c>
      <c r="Q640">
        <f>'[1]2026 Orders'!O641</f>
        <v>0</v>
      </c>
      <c r="R640">
        <f>'[1]2026 Orders'!P641</f>
        <v>0</v>
      </c>
      <c r="S640">
        <f>'[1]2026 Orders'!Q641</f>
        <v>0</v>
      </c>
      <c r="T640">
        <f>'[1]2026 Orders'!R641</f>
        <v>0</v>
      </c>
      <c r="U640">
        <f>'[1]2026 Orders'!S641</f>
        <v>0</v>
      </c>
      <c r="V640">
        <f>'[1]2026 Orders'!T641</f>
        <v>0</v>
      </c>
      <c r="W640">
        <f>'[1]2026 Orders'!U641</f>
        <v>0</v>
      </c>
      <c r="X640">
        <f>'[1]2026 Orders'!V641</f>
        <v>0</v>
      </c>
      <c r="Y640">
        <f>'[1]2026 Orders'!W641</f>
        <v>0</v>
      </c>
      <c r="Z640">
        <f>'[1]2026 Orders'!X641</f>
        <v>0</v>
      </c>
      <c r="AC640" t="str">
        <f t="shared" si="18"/>
        <v/>
      </c>
      <c r="AD640" t="str">
        <f t="shared" si="19"/>
        <v/>
      </c>
    </row>
    <row r="641" spans="1:30" ht="33" hidden="1" customHeight="1" x14ac:dyDescent="0.3">
      <c r="A641">
        <f>'[1]2026 Orders'!A642</f>
        <v>0</v>
      </c>
      <c r="B641" s="14">
        <f>'[1]2026 Orders'!B642</f>
        <v>0</v>
      </c>
      <c r="C641" s="14">
        <f>'[1]2026 Orders'!C642</f>
        <v>0</v>
      </c>
      <c r="D641" s="14">
        <f>'[1]2026 Orders'!D642</f>
        <v>0</v>
      </c>
      <c r="E641" s="17" t="str" cm="1">
        <f t="array" ref="E641">IF(C641=0,"",
HYPERLINK(
"#'2026 Orders'!C"&amp;
MATCH(1,
('2026 Orders'!C:C=C641)*
('2026 Orders'!G:G=G641)*
('2026 Orders'!N:N=N641),
0),
"Open "&amp;C641
))</f>
        <v/>
      </c>
      <c r="F641" s="14">
        <f>'[1]2026 Orders'!F642</f>
        <v>0</v>
      </c>
      <c r="G641" s="14">
        <f>'[1]2026 Orders'!G642</f>
        <v>0</v>
      </c>
      <c r="H641" s="14" t="str" cm="1">
        <f t="array" ref="H641">IFERROR(_xlfn.TEXTJOIN("-",,INDEX(_xlfn.TEXTSPLIT(TableGive[[#This Row],[SKU]],"-"),{1,2})),"")</f>
        <v/>
      </c>
      <c r="I641" s="15" t="str">
        <f>IFERROR(_xlfn.TEXTAFTER(TableGive[[#This Row],[SKU]],"-",-1),"")</f>
        <v/>
      </c>
      <c r="J641" s="14">
        <f>'[1]2026 Orders'!H642</f>
        <v>0</v>
      </c>
      <c r="K641">
        <f>'[1]2026 Orders'!I642</f>
        <v>0</v>
      </c>
      <c r="L641">
        <f>'[1]2026 Orders'!J642</f>
        <v>0</v>
      </c>
      <c r="N641" s="10">
        <f>'[1]2026 Orders'!L642</f>
        <v>0</v>
      </c>
      <c r="O641">
        <f>'[1]2026 Orders'!M642</f>
        <v>0</v>
      </c>
      <c r="P641">
        <f>'[1]2026 Orders'!N642</f>
        <v>0</v>
      </c>
      <c r="Q641">
        <f>'[1]2026 Orders'!O642</f>
        <v>0</v>
      </c>
      <c r="R641">
        <f>'[1]2026 Orders'!P642</f>
        <v>0</v>
      </c>
      <c r="S641">
        <f>'[1]2026 Orders'!Q642</f>
        <v>0</v>
      </c>
      <c r="T641">
        <f>'[1]2026 Orders'!R642</f>
        <v>0</v>
      </c>
      <c r="U641">
        <f>'[1]2026 Orders'!S642</f>
        <v>0</v>
      </c>
      <c r="V641">
        <f>'[1]2026 Orders'!T642</f>
        <v>0</v>
      </c>
      <c r="W641">
        <f>'[1]2026 Orders'!U642</f>
        <v>0</v>
      </c>
      <c r="X641">
        <f>'[1]2026 Orders'!V642</f>
        <v>0</v>
      </c>
      <c r="Y641">
        <f>'[1]2026 Orders'!W642</f>
        <v>0</v>
      </c>
      <c r="Z641">
        <f>'[1]2026 Orders'!X642</f>
        <v>0</v>
      </c>
      <c r="AC641" t="str">
        <f t="shared" si="18"/>
        <v/>
      </c>
      <c r="AD641" t="str">
        <f t="shared" si="19"/>
        <v/>
      </c>
    </row>
    <row r="642" spans="1:30" ht="33" hidden="1" customHeight="1" x14ac:dyDescent="0.3">
      <c r="A642">
        <f>'[1]2026 Orders'!A643</f>
        <v>0</v>
      </c>
      <c r="B642" s="14">
        <f>'[1]2026 Orders'!B643</f>
        <v>0</v>
      </c>
      <c r="C642" s="14">
        <f>'[1]2026 Orders'!C643</f>
        <v>0</v>
      </c>
      <c r="D642" s="14">
        <f>'[1]2026 Orders'!D643</f>
        <v>0</v>
      </c>
      <c r="E642" s="17" t="str" cm="1">
        <f t="array" ref="E642">IF(C642=0,"",
HYPERLINK(
"#'2026 Orders'!C"&amp;
MATCH(1,
('2026 Orders'!C:C=C642)*
('2026 Orders'!G:G=G642)*
('2026 Orders'!N:N=N642),
0),
"Open "&amp;C642
))</f>
        <v/>
      </c>
      <c r="F642" s="14">
        <f>'[1]2026 Orders'!F643</f>
        <v>0</v>
      </c>
      <c r="G642" s="14">
        <f>'[1]2026 Orders'!G643</f>
        <v>0</v>
      </c>
      <c r="H642" s="14" t="str" cm="1">
        <f t="array" ref="H642">IFERROR(_xlfn.TEXTJOIN("-",,INDEX(_xlfn.TEXTSPLIT(TableGive[[#This Row],[SKU]],"-"),{1,2})),"")</f>
        <v/>
      </c>
      <c r="I642" s="15" t="str">
        <f>IFERROR(_xlfn.TEXTAFTER(TableGive[[#This Row],[SKU]],"-",-1),"")</f>
        <v/>
      </c>
      <c r="J642" s="14">
        <f>'[1]2026 Orders'!H643</f>
        <v>0</v>
      </c>
      <c r="K642">
        <f>'[1]2026 Orders'!I643</f>
        <v>0</v>
      </c>
      <c r="L642">
        <f>'[1]2026 Orders'!J643</f>
        <v>0</v>
      </c>
      <c r="N642" s="10">
        <f>'[1]2026 Orders'!L643</f>
        <v>0</v>
      </c>
      <c r="O642">
        <f>'[1]2026 Orders'!M643</f>
        <v>0</v>
      </c>
      <c r="P642">
        <f>'[1]2026 Orders'!N643</f>
        <v>0</v>
      </c>
      <c r="Q642">
        <f>'[1]2026 Orders'!O643</f>
        <v>0</v>
      </c>
      <c r="R642">
        <f>'[1]2026 Orders'!P643</f>
        <v>0</v>
      </c>
      <c r="S642">
        <f>'[1]2026 Orders'!Q643</f>
        <v>0</v>
      </c>
      <c r="T642">
        <f>'[1]2026 Orders'!R643</f>
        <v>0</v>
      </c>
      <c r="U642">
        <f>'[1]2026 Orders'!S643</f>
        <v>0</v>
      </c>
      <c r="V642">
        <f>'[1]2026 Orders'!T643</f>
        <v>0</v>
      </c>
      <c r="W642">
        <f>'[1]2026 Orders'!U643</f>
        <v>0</v>
      </c>
      <c r="X642">
        <f>'[1]2026 Orders'!V643</f>
        <v>0</v>
      </c>
      <c r="Y642">
        <f>'[1]2026 Orders'!W643</f>
        <v>0</v>
      </c>
      <c r="Z642">
        <f>'[1]2026 Orders'!X643</f>
        <v>0</v>
      </c>
      <c r="AC642" t="str">
        <f t="shared" si="18"/>
        <v/>
      </c>
      <c r="AD642" t="str">
        <f t="shared" si="19"/>
        <v/>
      </c>
    </row>
    <row r="643" spans="1:30" ht="33" hidden="1" customHeight="1" x14ac:dyDescent="0.3">
      <c r="A643">
        <f>'[1]2026 Orders'!A644</f>
        <v>0</v>
      </c>
      <c r="B643" s="14">
        <f>'[1]2026 Orders'!B644</f>
        <v>0</v>
      </c>
      <c r="C643" s="14">
        <f>'[1]2026 Orders'!C644</f>
        <v>0</v>
      </c>
      <c r="D643" s="14">
        <f>'[1]2026 Orders'!D644</f>
        <v>0</v>
      </c>
      <c r="E643" s="17" t="str" cm="1">
        <f t="array" ref="E643">IF(C643=0,"",
HYPERLINK(
"#'2026 Orders'!C"&amp;
MATCH(1,
('2026 Orders'!C:C=C643)*
('2026 Orders'!G:G=G643)*
('2026 Orders'!N:N=N643),
0),
"Open "&amp;C643
))</f>
        <v/>
      </c>
      <c r="F643" s="14">
        <f>'[1]2026 Orders'!F644</f>
        <v>0</v>
      </c>
      <c r="G643" s="14">
        <f>'[1]2026 Orders'!G644</f>
        <v>0</v>
      </c>
      <c r="H643" s="14" t="str" cm="1">
        <f t="array" ref="H643">IFERROR(_xlfn.TEXTJOIN("-",,INDEX(_xlfn.TEXTSPLIT(TableGive[[#This Row],[SKU]],"-"),{1,2})),"")</f>
        <v/>
      </c>
      <c r="I643" s="15" t="str">
        <f>IFERROR(_xlfn.TEXTAFTER(TableGive[[#This Row],[SKU]],"-",-1),"")</f>
        <v/>
      </c>
      <c r="J643" s="14">
        <f>'[1]2026 Orders'!H644</f>
        <v>0</v>
      </c>
      <c r="K643">
        <f>'[1]2026 Orders'!I644</f>
        <v>0</v>
      </c>
      <c r="L643">
        <f>'[1]2026 Orders'!J644</f>
        <v>0</v>
      </c>
      <c r="N643" s="10">
        <f>'[1]2026 Orders'!L644</f>
        <v>0</v>
      </c>
      <c r="O643">
        <f>'[1]2026 Orders'!M644</f>
        <v>0</v>
      </c>
      <c r="P643">
        <f>'[1]2026 Orders'!N644</f>
        <v>0</v>
      </c>
      <c r="Q643">
        <f>'[1]2026 Orders'!O644</f>
        <v>0</v>
      </c>
      <c r="R643">
        <f>'[1]2026 Orders'!P644</f>
        <v>0</v>
      </c>
      <c r="S643">
        <f>'[1]2026 Orders'!Q644</f>
        <v>0</v>
      </c>
      <c r="T643">
        <f>'[1]2026 Orders'!R644</f>
        <v>0</v>
      </c>
      <c r="U643">
        <f>'[1]2026 Orders'!S644</f>
        <v>0</v>
      </c>
      <c r="V643">
        <f>'[1]2026 Orders'!T644</f>
        <v>0</v>
      </c>
      <c r="W643">
        <f>'[1]2026 Orders'!U644</f>
        <v>0</v>
      </c>
      <c r="X643">
        <f>'[1]2026 Orders'!V644</f>
        <v>0</v>
      </c>
      <c r="Y643">
        <f>'[1]2026 Orders'!W644</f>
        <v>0</v>
      </c>
      <c r="Z643">
        <f>'[1]2026 Orders'!X644</f>
        <v>0</v>
      </c>
      <c r="AC643" t="str">
        <f t="shared" ref="AC643:AC652" si="20">IF(OR(B643="",B643=0),"",$AJ$2&amp;"/"&amp;J643)</f>
        <v/>
      </c>
      <c r="AD643" t="str">
        <f t="shared" ref="AD643:AD652" si="21">IF(OR(J643="",J643=0),"",$AK$2&amp;" -&gt; "&amp;I643)</f>
        <v/>
      </c>
    </row>
    <row r="644" spans="1:30" ht="33" hidden="1" customHeight="1" x14ac:dyDescent="0.3">
      <c r="A644">
        <f>'[1]2026 Orders'!A645</f>
        <v>0</v>
      </c>
      <c r="B644" s="14">
        <f>'[1]2026 Orders'!B645</f>
        <v>0</v>
      </c>
      <c r="C644" s="14">
        <f>'[1]2026 Orders'!C645</f>
        <v>0</v>
      </c>
      <c r="D644" s="14">
        <f>'[1]2026 Orders'!D645</f>
        <v>0</v>
      </c>
      <c r="E644" s="17" t="str" cm="1">
        <f t="array" ref="E644">IF(C644=0,"",
HYPERLINK(
"#'2026 Orders'!C"&amp;
MATCH(1,
('2026 Orders'!C:C=C644)*
('2026 Orders'!G:G=G644)*
('2026 Orders'!N:N=N644),
0),
"Open "&amp;C644
))</f>
        <v/>
      </c>
      <c r="F644" s="14">
        <f>'[1]2026 Orders'!F645</f>
        <v>0</v>
      </c>
      <c r="G644" s="14">
        <f>'[1]2026 Orders'!G645</f>
        <v>0</v>
      </c>
      <c r="H644" s="14" t="str" cm="1">
        <f t="array" ref="H644">IFERROR(_xlfn.TEXTJOIN("-",,INDEX(_xlfn.TEXTSPLIT(TableGive[[#This Row],[SKU]],"-"),{1,2})),"")</f>
        <v/>
      </c>
      <c r="I644" s="15" t="str">
        <f>IFERROR(_xlfn.TEXTAFTER(TableGive[[#This Row],[SKU]],"-",-1),"")</f>
        <v/>
      </c>
      <c r="J644" s="14">
        <f>'[1]2026 Orders'!H645</f>
        <v>0</v>
      </c>
      <c r="K644">
        <f>'[1]2026 Orders'!I645</f>
        <v>0</v>
      </c>
      <c r="L644">
        <f>'[1]2026 Orders'!J645</f>
        <v>0</v>
      </c>
      <c r="N644" s="10">
        <f>'[1]2026 Orders'!L645</f>
        <v>0</v>
      </c>
      <c r="O644">
        <f>'[1]2026 Orders'!M645</f>
        <v>0</v>
      </c>
      <c r="P644">
        <f>'[1]2026 Orders'!N645</f>
        <v>0</v>
      </c>
      <c r="Q644">
        <f>'[1]2026 Orders'!O645</f>
        <v>0</v>
      </c>
      <c r="R644">
        <f>'[1]2026 Orders'!P645</f>
        <v>0</v>
      </c>
      <c r="S644">
        <f>'[1]2026 Orders'!Q645</f>
        <v>0</v>
      </c>
      <c r="T644">
        <f>'[1]2026 Orders'!R645</f>
        <v>0</v>
      </c>
      <c r="U644">
        <f>'[1]2026 Orders'!S645</f>
        <v>0</v>
      </c>
      <c r="V644">
        <f>'[1]2026 Orders'!T645</f>
        <v>0</v>
      </c>
      <c r="W644">
        <f>'[1]2026 Orders'!U645</f>
        <v>0</v>
      </c>
      <c r="X644">
        <f>'[1]2026 Orders'!V645</f>
        <v>0</v>
      </c>
      <c r="Y644">
        <f>'[1]2026 Orders'!W645</f>
        <v>0</v>
      </c>
      <c r="Z644">
        <f>'[1]2026 Orders'!X645</f>
        <v>0</v>
      </c>
      <c r="AC644" t="str">
        <f t="shared" si="20"/>
        <v/>
      </c>
      <c r="AD644" t="str">
        <f t="shared" si="21"/>
        <v/>
      </c>
    </row>
    <row r="645" spans="1:30" ht="33" hidden="1" customHeight="1" x14ac:dyDescent="0.3">
      <c r="A645">
        <f>'[1]2026 Orders'!A646</f>
        <v>0</v>
      </c>
      <c r="B645" s="14">
        <f>'[1]2026 Orders'!B646</f>
        <v>0</v>
      </c>
      <c r="C645" s="14">
        <f>'[1]2026 Orders'!C646</f>
        <v>0</v>
      </c>
      <c r="D645" s="14">
        <f>'[1]2026 Orders'!D646</f>
        <v>0</v>
      </c>
      <c r="E645" s="17" t="str" cm="1">
        <f t="array" ref="E645">IF(C645=0,"",
HYPERLINK(
"#'2026 Orders'!C"&amp;
MATCH(1,
('2026 Orders'!C:C=C645)*
('2026 Orders'!G:G=G645)*
('2026 Orders'!N:N=N645),
0),
"Open "&amp;C645
))</f>
        <v/>
      </c>
      <c r="F645" s="14">
        <f>'[1]2026 Orders'!F646</f>
        <v>0</v>
      </c>
      <c r="G645" s="14">
        <f>'[1]2026 Orders'!G646</f>
        <v>0</v>
      </c>
      <c r="H645" s="14" t="str" cm="1">
        <f t="array" ref="H645">IFERROR(_xlfn.TEXTJOIN("-",,INDEX(_xlfn.TEXTSPLIT(TableGive[[#This Row],[SKU]],"-"),{1,2})),"")</f>
        <v/>
      </c>
      <c r="I645" s="15" t="str">
        <f>IFERROR(_xlfn.TEXTAFTER(TableGive[[#This Row],[SKU]],"-",-1),"")</f>
        <v/>
      </c>
      <c r="J645" s="14">
        <f>'[1]2026 Orders'!H646</f>
        <v>0</v>
      </c>
      <c r="K645">
        <f>'[1]2026 Orders'!I646</f>
        <v>0</v>
      </c>
      <c r="L645">
        <f>'[1]2026 Orders'!J646</f>
        <v>0</v>
      </c>
      <c r="N645" s="10">
        <f>'[1]2026 Orders'!L646</f>
        <v>0</v>
      </c>
      <c r="O645">
        <f>'[1]2026 Orders'!M646</f>
        <v>0</v>
      </c>
      <c r="P645">
        <f>'[1]2026 Orders'!N646</f>
        <v>0</v>
      </c>
      <c r="Q645">
        <f>'[1]2026 Orders'!O646</f>
        <v>0</v>
      </c>
      <c r="R645">
        <f>'[1]2026 Orders'!P646</f>
        <v>0</v>
      </c>
      <c r="S645">
        <f>'[1]2026 Orders'!Q646</f>
        <v>0</v>
      </c>
      <c r="T645">
        <f>'[1]2026 Orders'!R646</f>
        <v>0</v>
      </c>
      <c r="U645">
        <f>'[1]2026 Orders'!S646</f>
        <v>0</v>
      </c>
      <c r="V645">
        <f>'[1]2026 Orders'!T646</f>
        <v>0</v>
      </c>
      <c r="W645">
        <f>'[1]2026 Orders'!U646</f>
        <v>0</v>
      </c>
      <c r="X645">
        <f>'[1]2026 Orders'!V646</f>
        <v>0</v>
      </c>
      <c r="Y645">
        <f>'[1]2026 Orders'!W646</f>
        <v>0</v>
      </c>
      <c r="Z645">
        <f>'[1]2026 Orders'!X646</f>
        <v>0</v>
      </c>
      <c r="AC645" t="str">
        <f t="shared" si="20"/>
        <v/>
      </c>
      <c r="AD645" t="str">
        <f t="shared" si="21"/>
        <v/>
      </c>
    </row>
    <row r="646" spans="1:30" ht="33" hidden="1" customHeight="1" x14ac:dyDescent="0.3">
      <c r="A646">
        <f>'[1]2026 Orders'!A647</f>
        <v>0</v>
      </c>
      <c r="B646" s="14">
        <f>'[1]2026 Orders'!B647</f>
        <v>0</v>
      </c>
      <c r="C646" s="14">
        <f>'[1]2026 Orders'!C647</f>
        <v>0</v>
      </c>
      <c r="D646" s="14">
        <f>'[1]2026 Orders'!D647</f>
        <v>0</v>
      </c>
      <c r="E646" s="17" t="str" cm="1">
        <f t="array" ref="E646">IF(C646=0,"",
HYPERLINK(
"#'2026 Orders'!C"&amp;
MATCH(1,
('2026 Orders'!C:C=C646)*
('2026 Orders'!G:G=G646)*
('2026 Orders'!N:N=N646),
0),
"Open "&amp;C646
))</f>
        <v/>
      </c>
      <c r="F646" s="14">
        <f>'[1]2026 Orders'!F647</f>
        <v>0</v>
      </c>
      <c r="G646" s="14">
        <f>'[1]2026 Orders'!G647</f>
        <v>0</v>
      </c>
      <c r="H646" s="14" t="str" cm="1">
        <f t="array" ref="H646">IFERROR(_xlfn.TEXTJOIN("-",,INDEX(_xlfn.TEXTSPLIT(TableGive[[#This Row],[SKU]],"-"),{1,2})),"")</f>
        <v/>
      </c>
      <c r="I646" s="15" t="str">
        <f>IFERROR(_xlfn.TEXTAFTER(TableGive[[#This Row],[SKU]],"-",-1),"")</f>
        <v/>
      </c>
      <c r="J646" s="14">
        <f>'[1]2026 Orders'!H647</f>
        <v>0</v>
      </c>
      <c r="K646">
        <f>'[1]2026 Orders'!I647</f>
        <v>0</v>
      </c>
      <c r="L646">
        <f>'[1]2026 Orders'!J647</f>
        <v>0</v>
      </c>
      <c r="N646" s="10">
        <f>'[1]2026 Orders'!L647</f>
        <v>0</v>
      </c>
      <c r="O646">
        <f>'[1]2026 Orders'!M647</f>
        <v>0</v>
      </c>
      <c r="P646">
        <f>'[1]2026 Orders'!N647</f>
        <v>0</v>
      </c>
      <c r="Q646">
        <f>'[1]2026 Orders'!O647</f>
        <v>0</v>
      </c>
      <c r="R646">
        <f>'[1]2026 Orders'!P647</f>
        <v>0</v>
      </c>
      <c r="S646">
        <f>'[1]2026 Orders'!Q647</f>
        <v>0</v>
      </c>
      <c r="T646">
        <f>'[1]2026 Orders'!R647</f>
        <v>0</v>
      </c>
      <c r="U646">
        <f>'[1]2026 Orders'!S647</f>
        <v>0</v>
      </c>
      <c r="V646">
        <f>'[1]2026 Orders'!T647</f>
        <v>0</v>
      </c>
      <c r="W646">
        <f>'[1]2026 Orders'!U647</f>
        <v>0</v>
      </c>
      <c r="X646">
        <f>'[1]2026 Orders'!V647</f>
        <v>0</v>
      </c>
      <c r="Y646">
        <f>'[1]2026 Orders'!W647</f>
        <v>0</v>
      </c>
      <c r="Z646">
        <f>'[1]2026 Orders'!X647</f>
        <v>0</v>
      </c>
      <c r="AC646" t="str">
        <f t="shared" si="20"/>
        <v/>
      </c>
      <c r="AD646" t="str">
        <f t="shared" si="21"/>
        <v/>
      </c>
    </row>
    <row r="647" spans="1:30" ht="33" hidden="1" customHeight="1" x14ac:dyDescent="0.3">
      <c r="A647">
        <f>'[1]2026 Orders'!A648</f>
        <v>0</v>
      </c>
      <c r="B647" s="14">
        <f>'[1]2026 Orders'!B648</f>
        <v>0</v>
      </c>
      <c r="C647" s="14">
        <f>'[1]2026 Orders'!C648</f>
        <v>0</v>
      </c>
      <c r="D647" s="14">
        <f>'[1]2026 Orders'!D648</f>
        <v>0</v>
      </c>
      <c r="E647" s="17" t="str" cm="1">
        <f t="array" ref="E647">IF(C647=0,"",
HYPERLINK(
"#'2026 Orders'!C"&amp;
MATCH(1,
('2026 Orders'!C:C=C647)*
('2026 Orders'!G:G=G647)*
('2026 Orders'!N:N=N647),
0),
"Open "&amp;C647
))</f>
        <v/>
      </c>
      <c r="F647" s="14">
        <f>'[1]2026 Orders'!F648</f>
        <v>0</v>
      </c>
      <c r="G647" s="14">
        <f>'[1]2026 Orders'!G648</f>
        <v>0</v>
      </c>
      <c r="H647" s="14" t="str" cm="1">
        <f t="array" ref="H647">IFERROR(_xlfn.TEXTJOIN("-",,INDEX(_xlfn.TEXTSPLIT(TableGive[[#This Row],[SKU]],"-"),{1,2})),"")</f>
        <v/>
      </c>
      <c r="I647" s="15" t="str">
        <f>IFERROR(_xlfn.TEXTAFTER(TableGive[[#This Row],[SKU]],"-",-1),"")</f>
        <v/>
      </c>
      <c r="J647" s="14">
        <f>'[1]2026 Orders'!H648</f>
        <v>0</v>
      </c>
      <c r="K647">
        <f>'[1]2026 Orders'!I648</f>
        <v>0</v>
      </c>
      <c r="L647">
        <f>'[1]2026 Orders'!J648</f>
        <v>0</v>
      </c>
      <c r="N647" s="10">
        <f>'[1]2026 Orders'!L648</f>
        <v>0</v>
      </c>
      <c r="O647">
        <f>'[1]2026 Orders'!M648</f>
        <v>0</v>
      </c>
      <c r="P647">
        <f>'[1]2026 Orders'!N648</f>
        <v>0</v>
      </c>
      <c r="Q647">
        <f>'[1]2026 Orders'!O648</f>
        <v>0</v>
      </c>
      <c r="R647">
        <f>'[1]2026 Orders'!P648</f>
        <v>0</v>
      </c>
      <c r="S647">
        <f>'[1]2026 Orders'!Q648</f>
        <v>0</v>
      </c>
      <c r="T647">
        <f>'[1]2026 Orders'!R648</f>
        <v>0</v>
      </c>
      <c r="U647">
        <f>'[1]2026 Orders'!S648</f>
        <v>0</v>
      </c>
      <c r="V647">
        <f>'[1]2026 Orders'!T648</f>
        <v>0</v>
      </c>
      <c r="W647">
        <f>'[1]2026 Orders'!U648</f>
        <v>0</v>
      </c>
      <c r="X647">
        <f>'[1]2026 Orders'!V648</f>
        <v>0</v>
      </c>
      <c r="Y647">
        <f>'[1]2026 Orders'!W648</f>
        <v>0</v>
      </c>
      <c r="Z647">
        <f>'[1]2026 Orders'!X648</f>
        <v>0</v>
      </c>
      <c r="AC647" t="str">
        <f t="shared" si="20"/>
        <v/>
      </c>
      <c r="AD647" t="str">
        <f t="shared" si="21"/>
        <v/>
      </c>
    </row>
    <row r="648" spans="1:30" ht="33" hidden="1" customHeight="1" x14ac:dyDescent="0.3">
      <c r="A648">
        <f>'[1]2026 Orders'!A649</f>
        <v>0</v>
      </c>
      <c r="B648" s="14">
        <f>'[1]2026 Orders'!B649</f>
        <v>0</v>
      </c>
      <c r="C648" s="14">
        <f>'[1]2026 Orders'!C649</f>
        <v>0</v>
      </c>
      <c r="D648" s="14">
        <f>'[1]2026 Orders'!D649</f>
        <v>0</v>
      </c>
      <c r="E648" s="17" t="str" cm="1">
        <f t="array" ref="E648">IF(C648=0,"",
HYPERLINK(
"#'2026 Orders'!C"&amp;
MATCH(1,
('2026 Orders'!C:C=C648)*
('2026 Orders'!G:G=G648)*
('2026 Orders'!N:N=N648),
0),
"Open "&amp;C648
))</f>
        <v/>
      </c>
      <c r="F648" s="14">
        <f>'[1]2026 Orders'!F649</f>
        <v>0</v>
      </c>
      <c r="G648" s="14">
        <f>'[1]2026 Orders'!G649</f>
        <v>0</v>
      </c>
      <c r="H648" s="14" t="str" cm="1">
        <f t="array" ref="H648">IFERROR(_xlfn.TEXTJOIN("-",,INDEX(_xlfn.TEXTSPLIT(TableGive[[#This Row],[SKU]],"-"),{1,2})),"")</f>
        <v/>
      </c>
      <c r="I648" s="15" t="str">
        <f>IFERROR(_xlfn.TEXTAFTER(TableGive[[#This Row],[SKU]],"-",-1),"")</f>
        <v/>
      </c>
      <c r="J648" s="14">
        <f>'[1]2026 Orders'!H649</f>
        <v>0</v>
      </c>
      <c r="K648">
        <f>'[1]2026 Orders'!I649</f>
        <v>0</v>
      </c>
      <c r="L648">
        <f>'[1]2026 Orders'!J649</f>
        <v>0</v>
      </c>
      <c r="N648" s="10">
        <f>'[1]2026 Orders'!L649</f>
        <v>0</v>
      </c>
      <c r="O648">
        <f>'[1]2026 Orders'!M649</f>
        <v>0</v>
      </c>
      <c r="P648">
        <f>'[1]2026 Orders'!N649</f>
        <v>0</v>
      </c>
      <c r="Q648">
        <f>'[1]2026 Orders'!O649</f>
        <v>0</v>
      </c>
      <c r="R648">
        <f>'[1]2026 Orders'!P649</f>
        <v>0</v>
      </c>
      <c r="S648">
        <f>'[1]2026 Orders'!Q649</f>
        <v>0</v>
      </c>
      <c r="T648">
        <f>'[1]2026 Orders'!R649</f>
        <v>0</v>
      </c>
      <c r="U648">
        <f>'[1]2026 Orders'!S649</f>
        <v>0</v>
      </c>
      <c r="V648">
        <f>'[1]2026 Orders'!T649</f>
        <v>0</v>
      </c>
      <c r="W648">
        <f>'[1]2026 Orders'!U649</f>
        <v>0</v>
      </c>
      <c r="X648">
        <f>'[1]2026 Orders'!V649</f>
        <v>0</v>
      </c>
      <c r="Y648">
        <f>'[1]2026 Orders'!W649</f>
        <v>0</v>
      </c>
      <c r="Z648">
        <f>'[1]2026 Orders'!X649</f>
        <v>0</v>
      </c>
      <c r="AC648" t="str">
        <f t="shared" si="20"/>
        <v/>
      </c>
      <c r="AD648" t="str">
        <f t="shared" si="21"/>
        <v/>
      </c>
    </row>
    <row r="649" spans="1:30" ht="33" hidden="1" customHeight="1" x14ac:dyDescent="0.3">
      <c r="A649">
        <f>'[1]2026 Orders'!A650</f>
        <v>0</v>
      </c>
      <c r="B649" s="14">
        <f>'[1]2026 Orders'!B650</f>
        <v>0</v>
      </c>
      <c r="C649" s="14">
        <f>'[1]2026 Orders'!C650</f>
        <v>0</v>
      </c>
      <c r="D649" s="14">
        <f>'[1]2026 Orders'!D650</f>
        <v>0</v>
      </c>
      <c r="E649" s="17" t="str" cm="1">
        <f t="array" ref="E649">IF(C649=0,"",
HYPERLINK(
"#'2026 Orders'!C"&amp;
MATCH(1,
('2026 Orders'!C:C=C649)*
('2026 Orders'!G:G=G649)*
('2026 Orders'!N:N=N649),
0),
"Open "&amp;C649
))</f>
        <v/>
      </c>
      <c r="F649" s="14">
        <f>'[1]2026 Orders'!F650</f>
        <v>0</v>
      </c>
      <c r="G649" s="14">
        <f>'[1]2026 Orders'!G650</f>
        <v>0</v>
      </c>
      <c r="H649" s="14" t="str" cm="1">
        <f t="array" ref="H649">IFERROR(_xlfn.TEXTJOIN("-",,INDEX(_xlfn.TEXTSPLIT(TableGive[[#This Row],[SKU]],"-"),{1,2})),"")</f>
        <v/>
      </c>
      <c r="I649" s="15" t="str">
        <f>IFERROR(_xlfn.TEXTAFTER(TableGive[[#This Row],[SKU]],"-",-1),"")</f>
        <v/>
      </c>
      <c r="J649" s="14">
        <f>'[1]2026 Orders'!H650</f>
        <v>0</v>
      </c>
      <c r="K649">
        <f>'[1]2026 Orders'!I650</f>
        <v>0</v>
      </c>
      <c r="L649">
        <f>'[1]2026 Orders'!J650</f>
        <v>0</v>
      </c>
      <c r="N649" s="10">
        <f>'[1]2026 Orders'!L650</f>
        <v>0</v>
      </c>
      <c r="O649">
        <f>'[1]2026 Orders'!M650</f>
        <v>0</v>
      </c>
      <c r="P649">
        <f>'[1]2026 Orders'!N650</f>
        <v>0</v>
      </c>
      <c r="Q649">
        <f>'[1]2026 Orders'!O650</f>
        <v>0</v>
      </c>
      <c r="R649">
        <f>'[1]2026 Orders'!P650</f>
        <v>0</v>
      </c>
      <c r="S649">
        <f>'[1]2026 Orders'!Q650</f>
        <v>0</v>
      </c>
      <c r="T649">
        <f>'[1]2026 Orders'!R650</f>
        <v>0</v>
      </c>
      <c r="U649">
        <f>'[1]2026 Orders'!S650</f>
        <v>0</v>
      </c>
      <c r="V649">
        <f>'[1]2026 Orders'!T650</f>
        <v>0</v>
      </c>
      <c r="W649">
        <f>'[1]2026 Orders'!U650</f>
        <v>0</v>
      </c>
      <c r="X649">
        <f>'[1]2026 Orders'!V650</f>
        <v>0</v>
      </c>
      <c r="Y649">
        <f>'[1]2026 Orders'!W650</f>
        <v>0</v>
      </c>
      <c r="Z649">
        <f>'[1]2026 Orders'!X650</f>
        <v>0</v>
      </c>
      <c r="AC649" t="str">
        <f t="shared" si="20"/>
        <v/>
      </c>
      <c r="AD649" t="str">
        <f t="shared" si="21"/>
        <v/>
      </c>
    </row>
    <row r="650" spans="1:30" ht="33" hidden="1" customHeight="1" x14ac:dyDescent="0.3">
      <c r="A650">
        <f>'[1]2026 Orders'!A651</f>
        <v>0</v>
      </c>
      <c r="B650" s="14">
        <f>'[1]2026 Orders'!B651</f>
        <v>0</v>
      </c>
      <c r="C650" s="14">
        <f>'[1]2026 Orders'!C651</f>
        <v>0</v>
      </c>
      <c r="D650" s="14">
        <f>'[1]2026 Orders'!D651</f>
        <v>0</v>
      </c>
      <c r="E650" s="17" t="str" cm="1">
        <f t="array" ref="E650">IF(C650=0,"",
HYPERLINK(
"#'2026 Orders'!C"&amp;
MATCH(1,
('2026 Orders'!C:C=C650)*
('2026 Orders'!G:G=G650)*
('2026 Orders'!N:N=N650),
0),
"Open "&amp;C650
))</f>
        <v/>
      </c>
      <c r="F650" s="14">
        <f>'[1]2026 Orders'!F651</f>
        <v>0</v>
      </c>
      <c r="G650" s="14">
        <f>'[1]2026 Orders'!G651</f>
        <v>0</v>
      </c>
      <c r="H650" s="14" t="str" cm="1">
        <f t="array" ref="H650">IFERROR(_xlfn.TEXTJOIN("-",,INDEX(_xlfn.TEXTSPLIT(TableGive[[#This Row],[SKU]],"-"),{1,2})),"")</f>
        <v/>
      </c>
      <c r="I650" s="15" t="str">
        <f>IFERROR(_xlfn.TEXTAFTER(TableGive[[#This Row],[SKU]],"-",-1),"")</f>
        <v/>
      </c>
      <c r="J650" s="14">
        <f>'[1]2026 Orders'!H651</f>
        <v>0</v>
      </c>
      <c r="K650">
        <f>'[1]2026 Orders'!I651</f>
        <v>0</v>
      </c>
      <c r="L650">
        <f>'[1]2026 Orders'!J651</f>
        <v>0</v>
      </c>
      <c r="N650" s="10">
        <f>'[1]2026 Orders'!L651</f>
        <v>0</v>
      </c>
      <c r="O650">
        <f>'[1]2026 Orders'!M651</f>
        <v>0</v>
      </c>
      <c r="P650">
        <f>'[1]2026 Orders'!N651</f>
        <v>0</v>
      </c>
      <c r="Q650">
        <f>'[1]2026 Orders'!O651</f>
        <v>0</v>
      </c>
      <c r="R650">
        <f>'[1]2026 Orders'!P651</f>
        <v>0</v>
      </c>
      <c r="S650">
        <f>'[1]2026 Orders'!Q651</f>
        <v>0</v>
      </c>
      <c r="T650">
        <f>'[1]2026 Orders'!R651</f>
        <v>0</v>
      </c>
      <c r="U650">
        <f>'[1]2026 Orders'!S651</f>
        <v>0</v>
      </c>
      <c r="V650">
        <f>'[1]2026 Orders'!T651</f>
        <v>0</v>
      </c>
      <c r="W650">
        <f>'[1]2026 Orders'!U651</f>
        <v>0</v>
      </c>
      <c r="X650">
        <f>'[1]2026 Orders'!V651</f>
        <v>0</v>
      </c>
      <c r="Y650">
        <f>'[1]2026 Orders'!W651</f>
        <v>0</v>
      </c>
      <c r="Z650">
        <f>'[1]2026 Orders'!X651</f>
        <v>0</v>
      </c>
      <c r="AC650" t="str">
        <f t="shared" si="20"/>
        <v/>
      </c>
      <c r="AD650" t="str">
        <f t="shared" si="21"/>
        <v/>
      </c>
    </row>
    <row r="651" spans="1:30" ht="33" hidden="1" customHeight="1" x14ac:dyDescent="0.3">
      <c r="A651">
        <f>'[1]2026 Orders'!A652</f>
        <v>0</v>
      </c>
      <c r="B651" s="14">
        <f>'[1]2026 Orders'!B652</f>
        <v>0</v>
      </c>
      <c r="C651" s="14">
        <f>'[1]2026 Orders'!C652</f>
        <v>0</v>
      </c>
      <c r="D651" s="14">
        <f>'[1]2026 Orders'!D652</f>
        <v>0</v>
      </c>
      <c r="E651" s="17" t="str" cm="1">
        <f t="array" ref="E651">IF(C651=0,"",
HYPERLINK(
"#'2026 Orders'!C"&amp;
MATCH(1,
('2026 Orders'!C:C=C651)*
('2026 Orders'!G:G=G651)*
('2026 Orders'!N:N=N651),
0),
"Open "&amp;C651
))</f>
        <v/>
      </c>
      <c r="F651" s="14">
        <f>'[1]2026 Orders'!F652</f>
        <v>0</v>
      </c>
      <c r="G651" s="14">
        <f>'[1]2026 Orders'!G652</f>
        <v>0</v>
      </c>
      <c r="H651" s="14" t="str" cm="1">
        <f t="array" ref="H651">IFERROR(_xlfn.TEXTJOIN("-",,INDEX(_xlfn.TEXTSPLIT(TableGive[[#This Row],[SKU]],"-"),{1,2})),"")</f>
        <v/>
      </c>
      <c r="I651" s="15" t="str">
        <f>IFERROR(_xlfn.TEXTAFTER(TableGive[[#This Row],[SKU]],"-",-1),"")</f>
        <v/>
      </c>
      <c r="J651" s="14">
        <f>'[1]2026 Orders'!H652</f>
        <v>0</v>
      </c>
      <c r="K651">
        <f>'[1]2026 Orders'!I652</f>
        <v>0</v>
      </c>
      <c r="L651">
        <f>'[1]2026 Orders'!J652</f>
        <v>0</v>
      </c>
      <c r="N651" s="10">
        <f>'[1]2026 Orders'!L652</f>
        <v>0</v>
      </c>
      <c r="O651">
        <f>'[1]2026 Orders'!M652</f>
        <v>0</v>
      </c>
      <c r="P651">
        <f>'[1]2026 Orders'!N652</f>
        <v>0</v>
      </c>
      <c r="Q651">
        <f>'[1]2026 Orders'!O652</f>
        <v>0</v>
      </c>
      <c r="R651">
        <f>'[1]2026 Orders'!P652</f>
        <v>0</v>
      </c>
      <c r="S651">
        <f>'[1]2026 Orders'!Q652</f>
        <v>0</v>
      </c>
      <c r="T651">
        <f>'[1]2026 Orders'!R652</f>
        <v>0</v>
      </c>
      <c r="U651">
        <f>'[1]2026 Orders'!S652</f>
        <v>0</v>
      </c>
      <c r="V651">
        <f>'[1]2026 Orders'!T652</f>
        <v>0</v>
      </c>
      <c r="W651">
        <f>'[1]2026 Orders'!U652</f>
        <v>0</v>
      </c>
      <c r="X651">
        <f>'[1]2026 Orders'!V652</f>
        <v>0</v>
      </c>
      <c r="Y651">
        <f>'[1]2026 Orders'!W652</f>
        <v>0</v>
      </c>
      <c r="Z651">
        <f>'[1]2026 Orders'!X652</f>
        <v>0</v>
      </c>
      <c r="AC651" t="str">
        <f t="shared" si="20"/>
        <v/>
      </c>
      <c r="AD651" t="str">
        <f t="shared" si="21"/>
        <v/>
      </c>
    </row>
    <row r="652" spans="1:30" ht="33" hidden="1" customHeight="1" x14ac:dyDescent="0.3">
      <c r="A652">
        <f>'[1]2026 Orders'!A653</f>
        <v>0</v>
      </c>
      <c r="B652" s="14">
        <f>'[1]2026 Orders'!B653</f>
        <v>0</v>
      </c>
      <c r="C652" s="14">
        <f>'[1]2026 Orders'!C653</f>
        <v>0</v>
      </c>
      <c r="D652" s="14">
        <f>'[1]2026 Orders'!D653</f>
        <v>0</v>
      </c>
      <c r="E652" s="17" t="str" cm="1">
        <f t="array" ref="E652">IF(C652=0,"",
HYPERLINK(
"#'2026 Orders'!C"&amp;
MATCH(1,
('2026 Orders'!C:C=C652)*
('2026 Orders'!G:G=G652)*
('2026 Orders'!N:N=N652),
0),
"Open "&amp;C652
))</f>
        <v/>
      </c>
      <c r="F652" s="14">
        <f>'[1]2026 Orders'!F653</f>
        <v>0</v>
      </c>
      <c r="G652" s="14">
        <f>'[1]2026 Orders'!G653</f>
        <v>0</v>
      </c>
      <c r="H652" s="14" t="str" cm="1">
        <f t="array" ref="H652">IFERROR(_xlfn.TEXTJOIN("-",,INDEX(_xlfn.TEXTSPLIT(TableGive[[#This Row],[SKU]],"-"),{1,2})),"")</f>
        <v/>
      </c>
      <c r="I652" s="15" t="str">
        <f>IFERROR(_xlfn.TEXTAFTER(TableGive[[#This Row],[SKU]],"-",-1),"")</f>
        <v/>
      </c>
      <c r="J652" s="14">
        <f>'[1]2026 Orders'!H653</f>
        <v>0</v>
      </c>
      <c r="K652">
        <f>'[1]2026 Orders'!I653</f>
        <v>0</v>
      </c>
      <c r="L652">
        <f>'[1]2026 Orders'!J653</f>
        <v>0</v>
      </c>
      <c r="N652" s="10">
        <f>'[1]2026 Orders'!L653</f>
        <v>0</v>
      </c>
      <c r="O652">
        <f>'[1]2026 Orders'!M653</f>
        <v>0</v>
      </c>
      <c r="P652">
        <f>'[1]2026 Orders'!N653</f>
        <v>0</v>
      </c>
      <c r="Q652">
        <f>'[1]2026 Orders'!O653</f>
        <v>0</v>
      </c>
      <c r="R652">
        <f>'[1]2026 Orders'!P653</f>
        <v>0</v>
      </c>
      <c r="S652">
        <f>'[1]2026 Orders'!Q653</f>
        <v>0</v>
      </c>
      <c r="T652">
        <f>'[1]2026 Orders'!R653</f>
        <v>0</v>
      </c>
      <c r="U652">
        <f>'[1]2026 Orders'!S653</f>
        <v>0</v>
      </c>
      <c r="V652">
        <f>'[1]2026 Orders'!T653</f>
        <v>0</v>
      </c>
      <c r="W652">
        <f>'[1]2026 Orders'!U653</f>
        <v>0</v>
      </c>
      <c r="X652">
        <f>'[1]2026 Orders'!V653</f>
        <v>0</v>
      </c>
      <c r="Y652">
        <f>'[1]2026 Orders'!W653</f>
        <v>0</v>
      </c>
      <c r="Z652">
        <f>'[1]2026 Orders'!X653</f>
        <v>0</v>
      </c>
      <c r="AC652" t="str">
        <f t="shared" si="20"/>
        <v/>
      </c>
      <c r="AD652" t="str">
        <f t="shared" si="21"/>
        <v/>
      </c>
    </row>
    <row r="653" spans="1:30" ht="33" customHeight="1" thickTop="1" x14ac:dyDescent="0.3">
      <c r="B653" s="10"/>
      <c r="C653" s="10"/>
      <c r="D653" s="10"/>
      <c r="E653" s="10"/>
      <c r="F653" s="10"/>
      <c r="G653" s="10"/>
      <c r="H653" s="10"/>
      <c r="I653" s="10"/>
      <c r="J653" s="10"/>
    </row>
    <row r="654" spans="1:30" ht="33" customHeight="1" x14ac:dyDescent="0.3">
      <c r="B654" s="10"/>
      <c r="C654" s="10"/>
      <c r="D654" s="10"/>
      <c r="E654" s="10"/>
      <c r="F654" s="10"/>
      <c r="G654" s="10"/>
      <c r="H654" s="10"/>
      <c r="I654" s="10"/>
      <c r="J654" s="10"/>
    </row>
    <row r="655" spans="1:30" ht="33" customHeight="1" x14ac:dyDescent="0.3">
      <c r="B655" s="10"/>
      <c r="C655" s="10"/>
      <c r="D655" s="10"/>
      <c r="E655" s="10"/>
      <c r="F655" s="10"/>
      <c r="G655" s="10"/>
      <c r="H655" s="10"/>
      <c r="I655" s="10"/>
      <c r="J655" s="10"/>
    </row>
    <row r="656" spans="1:30" ht="33" customHeight="1" x14ac:dyDescent="0.3">
      <c r="B656" s="10"/>
      <c r="C656" s="10"/>
      <c r="D656" s="10"/>
      <c r="E656" s="10"/>
      <c r="F656" s="10"/>
      <c r="G656" s="10"/>
      <c r="H656" s="10"/>
      <c r="I656" s="10"/>
      <c r="J656" s="10"/>
    </row>
    <row r="657" spans="2:10" ht="33" customHeight="1" x14ac:dyDescent="0.3">
      <c r="B657" s="10"/>
      <c r="C657" s="10"/>
      <c r="D657" s="10"/>
      <c r="E657" s="10"/>
      <c r="F657" s="10"/>
      <c r="G657" s="10"/>
      <c r="H657" s="10"/>
      <c r="I657" s="10"/>
      <c r="J657" s="10"/>
    </row>
    <row r="658" spans="2:10" ht="33" customHeight="1" x14ac:dyDescent="0.3">
      <c r="B658" s="10"/>
      <c r="C658" s="10"/>
      <c r="D658" s="10"/>
      <c r="E658" s="10"/>
      <c r="F658" s="10"/>
      <c r="G658" s="10"/>
      <c r="H658" s="10"/>
      <c r="I658" s="10"/>
      <c r="J658" s="10"/>
    </row>
    <row r="659" spans="2:10" ht="33" customHeight="1" x14ac:dyDescent="0.3">
      <c r="B659" s="10"/>
      <c r="C659" s="10"/>
      <c r="D659" s="10"/>
      <c r="E659" s="10"/>
      <c r="F659" s="10"/>
      <c r="G659" s="10"/>
      <c r="H659" s="10"/>
      <c r="I659" s="10"/>
      <c r="J659" s="10"/>
    </row>
    <row r="660" spans="2:10" ht="33" customHeight="1" x14ac:dyDescent="0.3">
      <c r="B660" s="10"/>
      <c r="C660" s="10"/>
      <c r="D660" s="10"/>
      <c r="E660" s="10"/>
      <c r="F660" s="10"/>
      <c r="G660" s="10"/>
      <c r="H660" s="10"/>
      <c r="I660" s="10"/>
      <c r="J660" s="10"/>
    </row>
    <row r="661" spans="2:10" ht="33" customHeight="1" x14ac:dyDescent="0.3">
      <c r="B661" s="10"/>
      <c r="C661" s="10"/>
      <c r="D661" s="10"/>
      <c r="E661" s="10"/>
      <c r="F661" s="10"/>
      <c r="G661" s="10"/>
      <c r="H661" s="10"/>
      <c r="I661" s="10"/>
      <c r="J661" s="10"/>
    </row>
    <row r="662" spans="2:10" ht="33" customHeight="1" x14ac:dyDescent="0.3">
      <c r="B662" s="10"/>
      <c r="C662" s="10"/>
      <c r="D662" s="10"/>
      <c r="E662" s="10"/>
      <c r="F662" s="10"/>
      <c r="G662" s="10"/>
      <c r="H662" s="10"/>
      <c r="I662" s="10"/>
      <c r="J662" s="10"/>
    </row>
    <row r="663" spans="2:10" ht="33" customHeight="1" x14ac:dyDescent="0.3">
      <c r="B663" s="10"/>
      <c r="C663" s="10"/>
      <c r="D663" s="10"/>
      <c r="E663" s="10"/>
      <c r="F663" s="10"/>
      <c r="G663" s="10"/>
      <c r="H663" s="10"/>
      <c r="I663" s="10"/>
      <c r="J663" s="10"/>
    </row>
    <row r="664" spans="2:10" ht="33" customHeight="1" x14ac:dyDescent="0.3">
      <c r="B664" s="10"/>
      <c r="C664" s="10"/>
      <c r="D664" s="10"/>
      <c r="E664" s="10"/>
      <c r="F664" s="10"/>
      <c r="G664" s="10"/>
      <c r="H664" s="10"/>
      <c r="I664" s="10"/>
      <c r="J664" s="10"/>
    </row>
    <row r="665" spans="2:10" ht="33" customHeight="1" x14ac:dyDescent="0.3">
      <c r="B665" s="10"/>
      <c r="C665" s="10"/>
      <c r="D665" s="10"/>
      <c r="E665" s="10"/>
      <c r="F665" s="10"/>
      <c r="G665" s="10"/>
      <c r="H665" s="10"/>
      <c r="I665" s="10"/>
      <c r="J665" s="10"/>
    </row>
    <row r="666" spans="2:10" ht="33" customHeight="1" x14ac:dyDescent="0.3">
      <c r="B666" s="10"/>
      <c r="C666" s="10"/>
      <c r="D666" s="10"/>
      <c r="E666" s="10"/>
      <c r="F666" s="10"/>
      <c r="G666" s="10"/>
      <c r="H666" s="10"/>
      <c r="I666" s="10"/>
      <c r="J666" s="10"/>
    </row>
    <row r="667" spans="2:10" ht="33" customHeight="1" x14ac:dyDescent="0.3">
      <c r="B667" s="10"/>
      <c r="C667" s="10"/>
      <c r="D667" s="10"/>
      <c r="E667" s="10"/>
      <c r="F667" s="10"/>
      <c r="G667" s="10"/>
      <c r="H667" s="10"/>
      <c r="I667" s="10"/>
      <c r="J667" s="10"/>
    </row>
    <row r="668" spans="2:10" ht="33" customHeight="1" x14ac:dyDescent="0.3">
      <c r="B668" s="10"/>
      <c r="C668" s="10"/>
      <c r="D668" s="10"/>
      <c r="E668" s="10"/>
      <c r="F668" s="10"/>
      <c r="G668" s="10"/>
      <c r="H668" s="10"/>
      <c r="I668" s="10"/>
      <c r="J668" s="10"/>
    </row>
    <row r="669" spans="2:10" ht="33" customHeight="1" x14ac:dyDescent="0.3">
      <c r="B669" s="10"/>
      <c r="C669" s="10"/>
      <c r="D669" s="10"/>
      <c r="E669" s="10"/>
      <c r="F669" s="10"/>
      <c r="G669" s="10"/>
      <c r="H669" s="10"/>
      <c r="I669" s="10"/>
      <c r="J669" s="10"/>
    </row>
    <row r="670" spans="2:10" ht="33" customHeight="1" x14ac:dyDescent="0.3">
      <c r="B670" s="10"/>
      <c r="C670" s="10"/>
      <c r="D670" s="10"/>
      <c r="E670" s="10"/>
      <c r="F670" s="10"/>
      <c r="G670" s="10"/>
      <c r="H670" s="10"/>
      <c r="I670" s="10"/>
      <c r="J670" s="10"/>
    </row>
    <row r="671" spans="2:10" ht="33" customHeight="1" x14ac:dyDescent="0.3">
      <c r="B671" s="10"/>
      <c r="C671" s="10"/>
      <c r="D671" s="10"/>
      <c r="E671" s="10"/>
      <c r="F671" s="10"/>
      <c r="G671" s="10"/>
      <c r="H671" s="10"/>
      <c r="I671" s="10"/>
      <c r="J671" s="10"/>
    </row>
    <row r="672" spans="2:10" ht="33" customHeight="1" x14ac:dyDescent="0.3">
      <c r="B672" s="10"/>
      <c r="C672" s="10"/>
      <c r="D672" s="10"/>
      <c r="E672" s="10"/>
      <c r="F672" s="10"/>
      <c r="G672" s="10"/>
      <c r="H672" s="10"/>
      <c r="I672" s="10"/>
      <c r="J672" s="10"/>
    </row>
    <row r="673" spans="2:10" ht="33" customHeight="1" x14ac:dyDescent="0.3">
      <c r="B673" s="10"/>
      <c r="C673" s="10"/>
      <c r="D673" s="10"/>
      <c r="E673" s="10"/>
      <c r="F673" s="10"/>
      <c r="G673" s="10"/>
      <c r="H673" s="10"/>
      <c r="I673" s="10"/>
      <c r="J673" s="10"/>
    </row>
    <row r="674" spans="2:10" ht="33" customHeight="1" x14ac:dyDescent="0.3">
      <c r="B674" s="10"/>
      <c r="C674" s="10"/>
      <c r="D674" s="10"/>
      <c r="E674" s="10"/>
      <c r="F674" s="10"/>
      <c r="G674" s="10"/>
      <c r="H674" s="10"/>
      <c r="I674" s="10"/>
      <c r="J674" s="10"/>
    </row>
    <row r="675" spans="2:10" ht="33" customHeight="1" x14ac:dyDescent="0.3">
      <c r="B675" s="10"/>
      <c r="C675" s="10"/>
      <c r="D675" s="10"/>
      <c r="E675" s="10"/>
      <c r="F675" s="10"/>
      <c r="G675" s="10"/>
      <c r="H675" s="10"/>
      <c r="I675" s="10"/>
      <c r="J675" s="10"/>
    </row>
    <row r="676" spans="2:10" ht="33" customHeight="1" x14ac:dyDescent="0.3">
      <c r="B676" s="10"/>
      <c r="C676" s="10"/>
      <c r="D676" s="10"/>
      <c r="E676" s="10"/>
      <c r="F676" s="10"/>
      <c r="G676" s="10"/>
      <c r="H676" s="10"/>
      <c r="I676" s="10"/>
      <c r="J676" s="10"/>
    </row>
    <row r="677" spans="2:10" ht="33" customHeight="1" x14ac:dyDescent="0.3">
      <c r="B677" s="10"/>
      <c r="C677" s="10"/>
      <c r="D677" s="10"/>
      <c r="E677" s="10"/>
      <c r="F677" s="10"/>
      <c r="G677" s="10"/>
      <c r="H677" s="10"/>
      <c r="I677" s="10"/>
      <c r="J677" s="10"/>
    </row>
    <row r="678" spans="2:10" ht="33" customHeight="1" x14ac:dyDescent="0.3">
      <c r="B678" s="10"/>
      <c r="C678" s="10"/>
      <c r="D678" s="10"/>
      <c r="E678" s="10"/>
      <c r="F678" s="10"/>
      <c r="G678" s="10"/>
      <c r="H678" s="10"/>
      <c r="I678" s="10"/>
      <c r="J678" s="10"/>
    </row>
    <row r="679" spans="2:10" ht="33" customHeight="1" x14ac:dyDescent="0.3">
      <c r="B679" s="10"/>
      <c r="C679" s="10"/>
      <c r="D679" s="10"/>
      <c r="E679" s="10"/>
      <c r="F679" s="10"/>
      <c r="G679" s="10"/>
      <c r="H679" s="10"/>
      <c r="I679" s="10"/>
      <c r="J679" s="10"/>
    </row>
    <row r="680" spans="2:10" ht="33" customHeight="1" x14ac:dyDescent="0.3">
      <c r="B680" s="10"/>
      <c r="C680" s="10"/>
      <c r="D680" s="10"/>
      <c r="E680" s="10"/>
      <c r="F680" s="10"/>
      <c r="G680" s="10"/>
      <c r="H680" s="10"/>
      <c r="I680" s="10"/>
      <c r="J680" s="10"/>
    </row>
    <row r="681" spans="2:10" ht="33" customHeight="1" x14ac:dyDescent="0.3">
      <c r="B681" s="10"/>
      <c r="C681" s="10"/>
      <c r="D681" s="10"/>
      <c r="E681" s="10"/>
      <c r="F681" s="10"/>
      <c r="G681" s="10"/>
      <c r="H681" s="10"/>
      <c r="I681" s="10"/>
      <c r="J681" s="10"/>
    </row>
    <row r="682" spans="2:10" ht="33" customHeight="1" x14ac:dyDescent="0.3">
      <c r="B682" s="10"/>
      <c r="C682" s="10"/>
      <c r="D682" s="10"/>
      <c r="E682" s="10"/>
      <c r="F682" s="10"/>
      <c r="G682" s="10"/>
      <c r="H682" s="10"/>
      <c r="I682" s="10"/>
      <c r="J682" s="10"/>
    </row>
    <row r="683" spans="2:10" ht="33" customHeight="1" x14ac:dyDescent="0.3">
      <c r="B683" s="10"/>
      <c r="C683" s="10"/>
      <c r="D683" s="10"/>
      <c r="E683" s="10"/>
      <c r="F683" s="10"/>
      <c r="G683" s="10"/>
      <c r="H683" s="10"/>
      <c r="I683" s="10"/>
      <c r="J683" s="10"/>
    </row>
    <row r="684" spans="2:10" ht="33" customHeight="1" x14ac:dyDescent="0.3"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2:10" ht="33" customHeight="1" x14ac:dyDescent="0.3">
      <c r="B685" s="10"/>
      <c r="C685" s="10"/>
      <c r="D685" s="10"/>
      <c r="E685" s="10"/>
      <c r="F685" s="10"/>
      <c r="G685" s="10"/>
      <c r="H685" s="10"/>
      <c r="I685" s="10"/>
      <c r="J685" s="10"/>
    </row>
    <row r="686" spans="2:10" ht="33" customHeight="1" x14ac:dyDescent="0.3">
      <c r="B686" s="10"/>
      <c r="C686" s="10"/>
      <c r="D686" s="10"/>
      <c r="E686" s="10"/>
      <c r="F686" s="10"/>
      <c r="G686" s="10"/>
      <c r="H686" s="10"/>
      <c r="I686" s="10"/>
      <c r="J686" s="10"/>
    </row>
    <row r="687" spans="2:10" ht="33" customHeight="1" x14ac:dyDescent="0.3">
      <c r="B687" s="10"/>
      <c r="C687" s="10"/>
      <c r="D687" s="10"/>
      <c r="E687" s="10"/>
      <c r="F687" s="10"/>
      <c r="G687" s="10"/>
      <c r="H687" s="10"/>
      <c r="I687" s="10"/>
      <c r="J687" s="10"/>
    </row>
    <row r="688" spans="2:10" ht="33" customHeight="1" x14ac:dyDescent="0.3">
      <c r="B688" s="10"/>
      <c r="C688" s="10"/>
      <c r="D688" s="10"/>
      <c r="E688" s="10"/>
      <c r="F688" s="10"/>
      <c r="G688" s="10"/>
      <c r="H688" s="10"/>
      <c r="I688" s="10"/>
      <c r="J688" s="10"/>
    </row>
    <row r="689" spans="2:10" ht="33" customHeight="1" x14ac:dyDescent="0.3">
      <c r="B689" s="10"/>
      <c r="C689" s="10"/>
      <c r="D689" s="10"/>
      <c r="E689" s="10"/>
      <c r="F689" s="10"/>
      <c r="G689" s="10"/>
      <c r="H689" s="10"/>
      <c r="I689" s="10"/>
      <c r="J689" s="10"/>
    </row>
    <row r="690" spans="2:10" ht="33" customHeight="1" x14ac:dyDescent="0.3">
      <c r="B690" s="10"/>
      <c r="C690" s="10"/>
      <c r="D690" s="10"/>
      <c r="E690" s="10"/>
      <c r="F690" s="10"/>
      <c r="G690" s="10"/>
      <c r="H690" s="10"/>
      <c r="I690" s="10"/>
      <c r="J690" s="10"/>
    </row>
    <row r="691" spans="2:10" ht="33" customHeight="1" x14ac:dyDescent="0.3">
      <c r="B691" s="10"/>
      <c r="C691" s="10"/>
      <c r="D691" s="10"/>
      <c r="E691" s="10"/>
      <c r="F691" s="10"/>
      <c r="G691" s="10"/>
      <c r="H691" s="10"/>
      <c r="I691" s="10"/>
      <c r="J691" s="10"/>
    </row>
    <row r="692" spans="2:10" ht="33" customHeight="1" x14ac:dyDescent="0.3">
      <c r="B692" s="10"/>
      <c r="C692" s="10"/>
      <c r="D692" s="10"/>
      <c r="E692" s="10"/>
      <c r="F692" s="10"/>
      <c r="G692" s="10"/>
      <c r="H692" s="10"/>
      <c r="I692" s="10"/>
      <c r="J692" s="10"/>
    </row>
    <row r="693" spans="2:10" ht="33" customHeight="1" x14ac:dyDescent="0.3">
      <c r="B693" s="10"/>
      <c r="C693" s="10"/>
      <c r="D693" s="10"/>
      <c r="E693" s="10"/>
      <c r="F693" s="10"/>
      <c r="G693" s="10"/>
      <c r="H693" s="10"/>
      <c r="I693" s="10"/>
      <c r="J693" s="10"/>
    </row>
    <row r="694" spans="2:10" ht="33" customHeight="1" x14ac:dyDescent="0.3">
      <c r="B694" s="10"/>
      <c r="C694" s="10"/>
      <c r="D694" s="10"/>
      <c r="E694" s="10"/>
      <c r="F694" s="10"/>
      <c r="G694" s="10"/>
      <c r="H694" s="10"/>
      <c r="I694" s="10"/>
      <c r="J694" s="10"/>
    </row>
    <row r="695" spans="2:10" ht="33" customHeight="1" x14ac:dyDescent="0.3">
      <c r="B695" s="10"/>
      <c r="C695" s="10"/>
      <c r="D695" s="10"/>
      <c r="E695" s="10"/>
      <c r="F695" s="10"/>
      <c r="G695" s="10"/>
      <c r="H695" s="10"/>
      <c r="I695" s="10"/>
      <c r="J695" s="10"/>
    </row>
    <row r="696" spans="2:10" ht="33" customHeight="1" x14ac:dyDescent="0.3">
      <c r="B696" s="10"/>
      <c r="C696" s="10"/>
      <c r="D696" s="10"/>
      <c r="E696" s="10"/>
      <c r="F696" s="10"/>
      <c r="G696" s="10"/>
      <c r="H696" s="10"/>
      <c r="I696" s="10"/>
      <c r="J696" s="10"/>
    </row>
    <row r="697" spans="2:10" ht="33" customHeight="1" x14ac:dyDescent="0.3">
      <c r="B697" s="10"/>
      <c r="C697" s="10"/>
      <c r="D697" s="10"/>
      <c r="E697" s="10"/>
      <c r="F697" s="10"/>
      <c r="G697" s="10"/>
      <c r="H697" s="10"/>
      <c r="I697" s="10"/>
      <c r="J697" s="10"/>
    </row>
    <row r="698" spans="2:10" ht="33" customHeight="1" x14ac:dyDescent="0.3">
      <c r="B698" s="10"/>
      <c r="C698" s="10"/>
      <c r="D698" s="10"/>
      <c r="E698" s="10"/>
      <c r="F698" s="10"/>
      <c r="G698" s="10"/>
      <c r="H698" s="10"/>
      <c r="I698" s="10"/>
      <c r="J698" s="10"/>
    </row>
    <row r="699" spans="2:10" ht="33" customHeight="1" x14ac:dyDescent="0.3">
      <c r="B699" s="10"/>
      <c r="C699" s="10"/>
      <c r="D699" s="10"/>
      <c r="E699" s="10"/>
      <c r="F699" s="10"/>
      <c r="G699" s="10"/>
      <c r="H699" s="10"/>
      <c r="I699" s="10"/>
      <c r="J699" s="10"/>
    </row>
    <row r="700" spans="2:10" ht="33" customHeight="1" x14ac:dyDescent="0.3">
      <c r="B700" s="10"/>
      <c r="C700" s="10"/>
      <c r="D700" s="10"/>
      <c r="E700" s="10"/>
      <c r="F700" s="10"/>
      <c r="G700" s="10"/>
      <c r="H700" s="10"/>
      <c r="I700" s="10"/>
      <c r="J700" s="10"/>
    </row>
    <row r="701" spans="2:10" ht="33" customHeight="1" x14ac:dyDescent="0.3">
      <c r="B701" s="10"/>
      <c r="C701" s="10"/>
      <c r="D701" s="10"/>
      <c r="E701" s="10"/>
      <c r="F701" s="10"/>
      <c r="G701" s="10"/>
      <c r="H701" s="10"/>
      <c r="I701" s="10"/>
      <c r="J701" s="10"/>
    </row>
    <row r="702" spans="2:10" ht="33" customHeight="1" x14ac:dyDescent="0.3">
      <c r="B702" s="10"/>
      <c r="C702" s="10"/>
      <c r="D702" s="10"/>
      <c r="E702" s="10"/>
      <c r="F702" s="10"/>
      <c r="G702" s="10"/>
      <c r="H702" s="10"/>
      <c r="I702" s="10"/>
      <c r="J702" s="10"/>
    </row>
    <row r="703" spans="2:10" ht="33" customHeight="1" x14ac:dyDescent="0.3">
      <c r="B703" s="10"/>
      <c r="C703" s="10"/>
      <c r="D703" s="10"/>
      <c r="E703" s="10"/>
      <c r="F703" s="10"/>
      <c r="G703" s="10"/>
      <c r="H703" s="10"/>
      <c r="I703" s="10"/>
      <c r="J703" s="10"/>
    </row>
    <row r="704" spans="2:10" ht="33" customHeight="1" x14ac:dyDescent="0.3">
      <c r="B704" s="10"/>
      <c r="C704" s="10"/>
      <c r="D704" s="10"/>
      <c r="E704" s="10"/>
      <c r="F704" s="10"/>
      <c r="G704" s="10"/>
      <c r="H704" s="10"/>
      <c r="I704" s="10"/>
      <c r="J704" s="10"/>
    </row>
    <row r="705" spans="2:10" ht="33" customHeight="1" x14ac:dyDescent="0.3">
      <c r="B705" s="10"/>
      <c r="C705" s="10"/>
      <c r="D705" s="10"/>
      <c r="E705" s="10"/>
      <c r="F705" s="10"/>
      <c r="G705" s="10"/>
      <c r="H705" s="10"/>
      <c r="I705" s="10"/>
      <c r="J705" s="10"/>
    </row>
    <row r="706" spans="2:10" ht="33" customHeight="1" x14ac:dyDescent="0.3">
      <c r="B706" s="10"/>
      <c r="C706" s="10"/>
      <c r="D706" s="10"/>
      <c r="E706" s="10"/>
      <c r="F706" s="10"/>
      <c r="G706" s="10"/>
      <c r="H706" s="10"/>
      <c r="I706" s="10"/>
      <c r="J706" s="10"/>
    </row>
    <row r="707" spans="2:10" ht="33" customHeight="1" x14ac:dyDescent="0.3">
      <c r="B707" s="10"/>
      <c r="C707" s="10"/>
      <c r="D707" s="10"/>
      <c r="E707" s="10"/>
      <c r="F707" s="10"/>
      <c r="G707" s="10"/>
      <c r="H707" s="10"/>
      <c r="I707" s="10"/>
      <c r="J707" s="10"/>
    </row>
    <row r="708" spans="2:10" ht="33" customHeight="1" x14ac:dyDescent="0.3">
      <c r="B708" s="10"/>
      <c r="C708" s="10"/>
      <c r="D708" s="10"/>
      <c r="E708" s="10"/>
      <c r="F708" s="10"/>
      <c r="G708" s="10"/>
      <c r="H708" s="10"/>
      <c r="I708" s="10"/>
      <c r="J708" s="10"/>
    </row>
    <row r="709" spans="2:10" ht="33" customHeight="1" x14ac:dyDescent="0.3">
      <c r="B709" s="10"/>
      <c r="C709" s="10"/>
      <c r="D709" s="10"/>
      <c r="E709" s="10"/>
      <c r="F709" s="10"/>
      <c r="G709" s="10"/>
      <c r="H709" s="10"/>
      <c r="I709" s="10"/>
      <c r="J709" s="10"/>
    </row>
    <row r="710" spans="2:10" ht="33" customHeight="1" x14ac:dyDescent="0.3">
      <c r="B710" s="10"/>
      <c r="C710" s="10"/>
      <c r="D710" s="10"/>
      <c r="E710" s="10"/>
      <c r="F710" s="10"/>
      <c r="G710" s="10"/>
      <c r="H710" s="10"/>
      <c r="I710" s="10"/>
      <c r="J710" s="10"/>
    </row>
    <row r="711" spans="2:10" ht="33" customHeight="1" x14ac:dyDescent="0.3">
      <c r="B711" s="10"/>
      <c r="C711" s="10"/>
      <c r="D711" s="10"/>
      <c r="E711" s="10"/>
      <c r="F711" s="10"/>
      <c r="G711" s="10"/>
      <c r="H711" s="10"/>
      <c r="I711" s="10"/>
      <c r="J711" s="10"/>
    </row>
    <row r="712" spans="2:10" ht="33" customHeight="1" x14ac:dyDescent="0.3">
      <c r="B712" s="10"/>
      <c r="C712" s="10"/>
      <c r="D712" s="10"/>
      <c r="E712" s="10"/>
      <c r="F712" s="10"/>
      <c r="G712" s="10"/>
      <c r="H712" s="10"/>
      <c r="I712" s="10"/>
      <c r="J712" s="10"/>
    </row>
    <row r="713" spans="2:10" ht="33" customHeight="1" x14ac:dyDescent="0.3">
      <c r="B713" s="10"/>
      <c r="C713" s="10"/>
      <c r="D713" s="10"/>
      <c r="E713" s="10"/>
      <c r="F713" s="10"/>
      <c r="G713" s="10"/>
      <c r="H713" s="10"/>
      <c r="I713" s="10"/>
      <c r="J713" s="10"/>
    </row>
    <row r="714" spans="2:10" ht="33" customHeight="1" x14ac:dyDescent="0.3">
      <c r="B714" s="10"/>
      <c r="C714" s="10"/>
      <c r="D714" s="10"/>
      <c r="E714" s="10"/>
      <c r="F714" s="10"/>
      <c r="G714" s="10"/>
      <c r="H714" s="10"/>
      <c r="I714" s="10"/>
      <c r="J714" s="10"/>
    </row>
    <row r="715" spans="2:10" ht="33" customHeight="1" x14ac:dyDescent="0.3">
      <c r="B715" s="10"/>
      <c r="C715" s="10"/>
      <c r="D715" s="10"/>
      <c r="E715" s="10"/>
      <c r="F715" s="10"/>
      <c r="G715" s="10"/>
      <c r="H715" s="10"/>
      <c r="I715" s="10"/>
      <c r="J715" s="10"/>
    </row>
    <row r="716" spans="2:10" ht="33" customHeight="1" x14ac:dyDescent="0.3">
      <c r="B716" s="10"/>
      <c r="C716" s="10"/>
      <c r="D716" s="10"/>
      <c r="E716" s="10"/>
      <c r="F716" s="10"/>
      <c r="G716" s="10"/>
      <c r="H716" s="10"/>
      <c r="I716" s="10"/>
      <c r="J716" s="10"/>
    </row>
    <row r="717" spans="2:10" ht="33" customHeight="1" x14ac:dyDescent="0.3">
      <c r="B717" s="10"/>
      <c r="C717" s="10"/>
      <c r="D717" s="10"/>
      <c r="E717" s="10"/>
      <c r="F717" s="10"/>
      <c r="G717" s="10"/>
      <c r="H717" s="10"/>
      <c r="I717" s="10"/>
      <c r="J717" s="10"/>
    </row>
    <row r="718" spans="2:10" ht="33" customHeight="1" x14ac:dyDescent="0.3">
      <c r="B718" s="10"/>
      <c r="C718" s="10"/>
      <c r="D718" s="10"/>
      <c r="E718" s="10"/>
      <c r="F718" s="10"/>
      <c r="G718" s="10"/>
      <c r="H718" s="10"/>
      <c r="I718" s="10"/>
      <c r="J718" s="10"/>
    </row>
    <row r="719" spans="2:10" ht="33" customHeight="1" x14ac:dyDescent="0.3">
      <c r="B719" s="10"/>
      <c r="C719" s="10"/>
      <c r="D719" s="10"/>
      <c r="E719" s="10"/>
      <c r="F719" s="10"/>
      <c r="G719" s="10"/>
      <c r="H719" s="10"/>
      <c r="I719" s="10"/>
      <c r="J719" s="10"/>
    </row>
    <row r="720" spans="2:10" ht="33" customHeight="1" x14ac:dyDescent="0.3">
      <c r="B720" s="10"/>
      <c r="C720" s="10"/>
      <c r="D720" s="10"/>
      <c r="E720" s="10"/>
      <c r="F720" s="10"/>
      <c r="G720" s="10"/>
      <c r="H720" s="10"/>
      <c r="I720" s="10"/>
      <c r="J720" s="10"/>
    </row>
    <row r="721" spans="2:10" ht="33" customHeight="1" x14ac:dyDescent="0.3">
      <c r="B721" s="10"/>
      <c r="C721" s="10"/>
      <c r="D721" s="10"/>
      <c r="E721" s="10"/>
      <c r="F721" s="10"/>
      <c r="G721" s="10"/>
      <c r="H721" s="10"/>
      <c r="I721" s="10"/>
      <c r="J721" s="10"/>
    </row>
    <row r="722" spans="2:10" ht="33" customHeight="1" x14ac:dyDescent="0.3">
      <c r="B722" s="10"/>
      <c r="C722" s="10"/>
      <c r="D722" s="10"/>
      <c r="E722" s="10"/>
      <c r="F722" s="10"/>
      <c r="G722" s="10"/>
      <c r="H722" s="10"/>
      <c r="I722" s="10"/>
      <c r="J722" s="10"/>
    </row>
    <row r="723" spans="2:10" ht="33" customHeight="1" x14ac:dyDescent="0.3">
      <c r="B723" s="10"/>
      <c r="C723" s="10"/>
      <c r="D723" s="10"/>
      <c r="E723" s="10"/>
      <c r="F723" s="10"/>
      <c r="G723" s="10"/>
      <c r="H723" s="10"/>
      <c r="I723" s="10"/>
      <c r="J723" s="10"/>
    </row>
    <row r="724" spans="2:10" ht="33" customHeight="1" x14ac:dyDescent="0.3">
      <c r="B724" s="10"/>
      <c r="C724" s="10"/>
      <c r="D724" s="10"/>
      <c r="E724" s="10"/>
      <c r="F724" s="10"/>
      <c r="G724" s="10"/>
      <c r="H724" s="10"/>
      <c r="I724" s="10"/>
      <c r="J724" s="10"/>
    </row>
    <row r="725" spans="2:10" ht="33" customHeight="1" x14ac:dyDescent="0.3">
      <c r="B725" s="10"/>
      <c r="C725" s="10"/>
      <c r="D725" s="10"/>
      <c r="E725" s="10"/>
      <c r="F725" s="10"/>
      <c r="G725" s="10"/>
      <c r="H725" s="10"/>
      <c r="I725" s="10"/>
      <c r="J725" s="10"/>
    </row>
    <row r="726" spans="2:10" ht="33" customHeight="1" x14ac:dyDescent="0.3">
      <c r="B726" s="10"/>
      <c r="C726" s="10"/>
      <c r="D726" s="10"/>
      <c r="E726" s="10"/>
      <c r="F726" s="10"/>
      <c r="G726" s="10"/>
      <c r="H726" s="10"/>
      <c r="I726" s="10"/>
      <c r="J726" s="10"/>
    </row>
    <row r="727" spans="2:10" ht="33" customHeight="1" x14ac:dyDescent="0.3">
      <c r="B727" s="10"/>
      <c r="C727" s="10"/>
      <c r="D727" s="10"/>
      <c r="E727" s="10"/>
      <c r="F727" s="10"/>
      <c r="G727" s="10"/>
      <c r="H727" s="10"/>
      <c r="I727" s="10"/>
      <c r="J727" s="10"/>
    </row>
    <row r="728" spans="2:10" ht="33" customHeight="1" x14ac:dyDescent="0.3">
      <c r="B728" s="10"/>
      <c r="C728" s="10"/>
      <c r="D728" s="10"/>
      <c r="E728" s="10"/>
      <c r="F728" s="10"/>
      <c r="G728" s="10"/>
      <c r="H728" s="10"/>
      <c r="I728" s="10"/>
      <c r="J728" s="10"/>
    </row>
    <row r="729" spans="2:10" ht="33" customHeight="1" x14ac:dyDescent="0.3">
      <c r="B729" s="10"/>
      <c r="C729" s="10"/>
      <c r="D729" s="10"/>
      <c r="E729" s="10"/>
      <c r="F729" s="10"/>
      <c r="G729" s="10"/>
      <c r="H729" s="10"/>
      <c r="I729" s="10"/>
      <c r="J729" s="10"/>
    </row>
    <row r="730" spans="2:10" ht="33" customHeight="1" x14ac:dyDescent="0.3">
      <c r="B730" s="10"/>
      <c r="C730" s="10"/>
      <c r="D730" s="10"/>
      <c r="E730" s="10"/>
      <c r="F730" s="10"/>
      <c r="G730" s="10"/>
      <c r="H730" s="10"/>
      <c r="I730" s="10"/>
      <c r="J730" s="10"/>
    </row>
    <row r="731" spans="2:10" ht="33" customHeight="1" x14ac:dyDescent="0.3">
      <c r="B731" s="10"/>
      <c r="C731" s="10"/>
      <c r="D731" s="10"/>
      <c r="E731" s="10"/>
      <c r="F731" s="10"/>
      <c r="G731" s="10"/>
      <c r="H731" s="10"/>
      <c r="I731" s="10"/>
      <c r="J731" s="10"/>
    </row>
    <row r="732" spans="2:10" ht="33" customHeight="1" x14ac:dyDescent="0.3">
      <c r="B732" s="10"/>
      <c r="C732" s="10"/>
      <c r="D732" s="10"/>
      <c r="E732" s="10"/>
      <c r="F732" s="10"/>
      <c r="G732" s="10"/>
      <c r="H732" s="10"/>
      <c r="I732" s="10"/>
      <c r="J732" s="10"/>
    </row>
    <row r="733" spans="2:10" ht="33" customHeight="1" x14ac:dyDescent="0.3">
      <c r="B733" s="10"/>
      <c r="C733" s="10"/>
      <c r="D733" s="10"/>
      <c r="E733" s="10"/>
      <c r="F733" s="10"/>
      <c r="G733" s="10"/>
      <c r="H733" s="10"/>
      <c r="I733" s="10"/>
      <c r="J733" s="10"/>
    </row>
    <row r="734" spans="2:10" ht="33" customHeight="1" x14ac:dyDescent="0.3">
      <c r="B734" s="10"/>
      <c r="C734" s="10"/>
      <c r="D734" s="10"/>
      <c r="E734" s="10"/>
      <c r="F734" s="10"/>
      <c r="G734" s="10"/>
      <c r="H734" s="10"/>
      <c r="I734" s="10"/>
      <c r="J734" s="10"/>
    </row>
    <row r="735" spans="2:10" ht="33" customHeight="1" x14ac:dyDescent="0.3">
      <c r="B735" s="10"/>
      <c r="C735" s="10"/>
      <c r="D735" s="10"/>
      <c r="E735" s="10"/>
      <c r="F735" s="10"/>
      <c r="G735" s="10"/>
      <c r="H735" s="10"/>
      <c r="I735" s="10"/>
      <c r="J735" s="10"/>
    </row>
    <row r="736" spans="2:10" ht="33" customHeight="1" x14ac:dyDescent="0.3">
      <c r="B736" s="10"/>
      <c r="C736" s="10"/>
      <c r="D736" s="10"/>
      <c r="E736" s="10"/>
      <c r="F736" s="10"/>
      <c r="G736" s="10"/>
      <c r="H736" s="10"/>
      <c r="I736" s="10"/>
      <c r="J736" s="10"/>
    </row>
    <row r="737" spans="2:10" ht="33" customHeight="1" x14ac:dyDescent="0.3">
      <c r="B737" s="10"/>
      <c r="C737" s="10"/>
      <c r="D737" s="10"/>
      <c r="E737" s="10"/>
      <c r="F737" s="10"/>
      <c r="G737" s="10"/>
      <c r="H737" s="10"/>
      <c r="I737" s="10"/>
      <c r="J737" s="10"/>
    </row>
    <row r="738" spans="2:10" ht="33" customHeight="1" x14ac:dyDescent="0.3">
      <c r="B738" s="10"/>
      <c r="C738" s="10"/>
      <c r="D738" s="10"/>
      <c r="E738" s="10"/>
      <c r="F738" s="10"/>
      <c r="G738" s="10"/>
      <c r="H738" s="10"/>
      <c r="I738" s="10"/>
      <c r="J738" s="10"/>
    </row>
    <row r="739" spans="2:10" ht="33" customHeight="1" x14ac:dyDescent="0.3">
      <c r="B739" s="10"/>
      <c r="C739" s="10"/>
      <c r="D739" s="10"/>
      <c r="E739" s="10"/>
      <c r="F739" s="10"/>
      <c r="G739" s="10"/>
      <c r="H739" s="10"/>
      <c r="I739" s="10"/>
      <c r="J739" s="10"/>
    </row>
    <row r="740" spans="2:10" ht="33" customHeight="1" x14ac:dyDescent="0.3">
      <c r="B740" s="10"/>
      <c r="C740" s="10"/>
      <c r="D740" s="10"/>
      <c r="E740" s="10"/>
      <c r="F740" s="10"/>
      <c r="G740" s="10"/>
      <c r="H740" s="10"/>
      <c r="I740" s="10"/>
      <c r="J740" s="10"/>
    </row>
    <row r="741" spans="2:10" ht="33" customHeight="1" x14ac:dyDescent="0.3"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2:10" ht="33" customHeight="1" x14ac:dyDescent="0.3">
      <c r="B742" s="10"/>
      <c r="C742" s="10"/>
      <c r="D742" s="10"/>
      <c r="E742" s="10"/>
      <c r="F742" s="10"/>
      <c r="G742" s="10"/>
      <c r="H742" s="10"/>
      <c r="I742" s="10"/>
      <c r="J742" s="10"/>
    </row>
    <row r="743" spans="2:10" ht="33" customHeight="1" x14ac:dyDescent="0.3">
      <c r="B743" s="10"/>
      <c r="C743" s="10"/>
      <c r="D743" s="10"/>
      <c r="E743" s="10"/>
      <c r="F743" s="10"/>
      <c r="G743" s="10"/>
      <c r="H743" s="10"/>
      <c r="I743" s="10"/>
      <c r="J743" s="10"/>
    </row>
    <row r="744" spans="2:10" ht="33" customHeight="1" x14ac:dyDescent="0.3">
      <c r="B744" s="10"/>
      <c r="C744" s="10"/>
      <c r="D744" s="10"/>
      <c r="E744" s="10"/>
      <c r="F744" s="10"/>
      <c r="G744" s="10"/>
      <c r="H744" s="10"/>
      <c r="I744" s="10"/>
      <c r="J744" s="10"/>
    </row>
    <row r="745" spans="2:10" ht="33" customHeight="1" x14ac:dyDescent="0.3">
      <c r="B745" s="10"/>
      <c r="C745" s="10"/>
      <c r="D745" s="10"/>
      <c r="E745" s="10"/>
      <c r="F745" s="10"/>
      <c r="G745" s="10"/>
      <c r="H745" s="10"/>
      <c r="I745" s="10"/>
      <c r="J745" s="10"/>
    </row>
    <row r="746" spans="2:10" ht="33" customHeight="1" x14ac:dyDescent="0.3">
      <c r="B746" s="10"/>
      <c r="C746" s="10"/>
      <c r="D746" s="10"/>
      <c r="E746" s="10"/>
      <c r="F746" s="10"/>
      <c r="G746" s="10"/>
      <c r="H746" s="10"/>
      <c r="I746" s="10"/>
      <c r="J746" s="10"/>
    </row>
    <row r="747" spans="2:10" ht="33" customHeight="1" x14ac:dyDescent="0.3">
      <c r="B747" s="10"/>
      <c r="C747" s="10"/>
      <c r="D747" s="10"/>
      <c r="E747" s="10"/>
      <c r="F747" s="10"/>
      <c r="G747" s="10"/>
      <c r="H747" s="10"/>
      <c r="I747" s="10"/>
      <c r="J747" s="10"/>
    </row>
    <row r="748" spans="2:10" ht="33" customHeight="1" x14ac:dyDescent="0.3">
      <c r="B748" s="10"/>
      <c r="C748" s="10"/>
      <c r="D748" s="10"/>
      <c r="F748" s="10"/>
      <c r="G748" s="10"/>
      <c r="H748" s="10"/>
      <c r="I748" s="10"/>
      <c r="J748" s="10"/>
    </row>
    <row r="749" spans="2:10" ht="33" customHeight="1" x14ac:dyDescent="0.3">
      <c r="B749" s="10"/>
      <c r="C749" s="10"/>
      <c r="D749" s="10"/>
      <c r="F749" s="10"/>
      <c r="G749" s="10"/>
      <c r="H749" s="10"/>
      <c r="I749" s="10"/>
      <c r="J749" s="10"/>
    </row>
    <row r="750" spans="2:10" ht="33" customHeight="1" x14ac:dyDescent="0.3">
      <c r="B750" s="10"/>
      <c r="C750" s="10"/>
      <c r="D750" s="10"/>
      <c r="F750" s="10"/>
      <c r="G750" s="10"/>
      <c r="H750" s="10"/>
      <c r="I750" s="10"/>
      <c r="J750" s="10"/>
    </row>
    <row r="751" spans="2:10" ht="33" customHeight="1" x14ac:dyDescent="0.3">
      <c r="B751" s="10"/>
      <c r="C751" s="10"/>
      <c r="D751" s="10"/>
      <c r="F751" s="10"/>
      <c r="G751" s="10"/>
      <c r="H751" s="10"/>
      <c r="I751" s="10"/>
      <c r="J751" s="10"/>
    </row>
    <row r="752" spans="2:10" ht="33" customHeight="1" x14ac:dyDescent="0.3">
      <c r="B752" s="10"/>
      <c r="C752" s="10"/>
      <c r="D752" s="10"/>
      <c r="F752" s="10"/>
      <c r="G752" s="10"/>
      <c r="H752" s="10"/>
      <c r="I752" s="10"/>
      <c r="J752" s="10"/>
    </row>
    <row r="753" spans="2:10" ht="33" customHeight="1" x14ac:dyDescent="0.3">
      <c r="B753" s="10"/>
      <c r="C753" s="10"/>
      <c r="D753" s="10"/>
      <c r="F753" s="10"/>
      <c r="G753" s="10"/>
      <c r="H753" s="10"/>
      <c r="I753" s="10"/>
      <c r="J753" s="10"/>
    </row>
    <row r="754" spans="2:10" ht="33" customHeight="1" x14ac:dyDescent="0.3">
      <c r="B754" s="10"/>
      <c r="C754" s="10"/>
      <c r="D754" s="10"/>
      <c r="F754" s="10"/>
      <c r="G754" s="10"/>
      <c r="H754" s="10"/>
      <c r="I754" s="10"/>
      <c r="J754" s="10"/>
    </row>
    <row r="755" spans="2:10" ht="33" customHeight="1" x14ac:dyDescent="0.3">
      <c r="B755" s="10"/>
      <c r="C755" s="10"/>
      <c r="D755" s="10"/>
      <c r="F755" s="10"/>
      <c r="G755" s="10"/>
      <c r="H755" s="10"/>
      <c r="I755" s="10"/>
      <c r="J755" s="10"/>
    </row>
    <row r="756" spans="2:10" ht="33" customHeight="1" x14ac:dyDescent="0.3">
      <c r="B756" s="10"/>
      <c r="C756" s="10"/>
      <c r="D756" s="10"/>
      <c r="F756" s="10"/>
      <c r="G756" s="10"/>
      <c r="H756" s="10"/>
      <c r="I756" s="10"/>
      <c r="J756" s="10"/>
    </row>
    <row r="757" spans="2:10" ht="33" customHeight="1" x14ac:dyDescent="0.3">
      <c r="B757" s="10"/>
      <c r="C757" s="10"/>
      <c r="D757" s="10"/>
      <c r="F757" s="10"/>
      <c r="G757" s="10"/>
      <c r="H757" s="10"/>
      <c r="I757" s="10"/>
      <c r="J757" s="10"/>
    </row>
    <row r="758" spans="2:10" ht="33" customHeight="1" x14ac:dyDescent="0.3">
      <c r="B758" s="10"/>
      <c r="C758" s="10"/>
      <c r="D758" s="10"/>
      <c r="F758" s="10"/>
      <c r="G758" s="10"/>
      <c r="H758" s="10"/>
      <c r="I758" s="10"/>
      <c r="J758" s="10"/>
    </row>
    <row r="759" spans="2:10" ht="33" customHeight="1" x14ac:dyDescent="0.3">
      <c r="B759" s="10"/>
      <c r="C759" s="10"/>
      <c r="D759" s="10"/>
      <c r="F759" s="10"/>
      <c r="G759" s="10"/>
      <c r="H759" s="10"/>
      <c r="I759" s="10"/>
      <c r="J759" s="10"/>
    </row>
    <row r="760" spans="2:10" ht="33" customHeight="1" x14ac:dyDescent="0.3">
      <c r="B760" s="10"/>
      <c r="C760" s="10"/>
      <c r="D760" s="10"/>
      <c r="F760" s="10"/>
      <c r="G760" s="10"/>
      <c r="H760" s="10"/>
      <c r="I760" s="10"/>
      <c r="J760" s="10"/>
    </row>
    <row r="761" spans="2:10" ht="33" customHeight="1" x14ac:dyDescent="0.3">
      <c r="B761" s="10"/>
      <c r="C761" s="10"/>
      <c r="D761" s="10"/>
      <c r="F761" s="10"/>
      <c r="G761" s="10"/>
      <c r="H761" s="10"/>
      <c r="I761" s="10"/>
      <c r="J761" s="10"/>
    </row>
    <row r="762" spans="2:10" ht="33" customHeight="1" x14ac:dyDescent="0.3">
      <c r="B762" s="10"/>
      <c r="C762" s="10"/>
      <c r="D762" s="10"/>
      <c r="F762" s="10"/>
      <c r="G762" s="10"/>
      <c r="H762" s="10"/>
      <c r="I762" s="10"/>
      <c r="J762" s="10"/>
    </row>
    <row r="763" spans="2:10" ht="33" customHeight="1" x14ac:dyDescent="0.3">
      <c r="B763" s="10"/>
      <c r="C763" s="10"/>
      <c r="D763" s="10"/>
      <c r="F763" s="10"/>
      <c r="G763" s="10"/>
      <c r="H763" s="10"/>
      <c r="I763" s="10"/>
      <c r="J763" s="10"/>
    </row>
    <row r="764" spans="2:10" ht="33" customHeight="1" x14ac:dyDescent="0.3">
      <c r="B764" s="10"/>
      <c r="C764" s="10"/>
      <c r="D764" s="10"/>
      <c r="F764" s="10"/>
      <c r="G764" s="10"/>
      <c r="H764" s="10"/>
      <c r="I764" s="10"/>
      <c r="J764" s="10"/>
    </row>
    <row r="765" spans="2:10" ht="33" customHeight="1" x14ac:dyDescent="0.3">
      <c r="B765" s="10"/>
      <c r="C765" s="10"/>
      <c r="D765" s="10"/>
      <c r="F765" s="10"/>
      <c r="G765" s="10"/>
      <c r="H765" s="10"/>
      <c r="I765" s="10"/>
      <c r="J765" s="10"/>
    </row>
    <row r="766" spans="2:10" ht="33" customHeight="1" x14ac:dyDescent="0.3">
      <c r="B766" s="10"/>
      <c r="C766" s="10"/>
      <c r="D766" s="10"/>
      <c r="F766" s="10"/>
      <c r="G766" s="10"/>
      <c r="H766" s="10"/>
      <c r="I766" s="10"/>
      <c r="J766" s="10"/>
    </row>
    <row r="767" spans="2:10" ht="33" customHeight="1" x14ac:dyDescent="0.3">
      <c r="B767" s="10"/>
      <c r="C767" s="10"/>
      <c r="D767" s="10"/>
      <c r="F767" s="10"/>
      <c r="G767" s="10"/>
      <c r="H767" s="10"/>
      <c r="I767" s="10"/>
      <c r="J767" s="10"/>
    </row>
    <row r="768" spans="2:10" ht="33" customHeight="1" x14ac:dyDescent="0.3">
      <c r="B768" s="10"/>
      <c r="C768" s="10"/>
      <c r="D768" s="10"/>
      <c r="F768" s="10"/>
      <c r="G768" s="10"/>
      <c r="H768" s="10"/>
      <c r="I768" s="10"/>
      <c r="J768" s="10"/>
    </row>
    <row r="769" spans="2:10" ht="33" customHeight="1" x14ac:dyDescent="0.3">
      <c r="B769" s="10"/>
      <c r="C769" s="10"/>
      <c r="D769" s="10"/>
      <c r="F769" s="10"/>
      <c r="G769" s="10"/>
      <c r="H769" s="10"/>
      <c r="I769" s="10"/>
      <c r="J769" s="10"/>
    </row>
    <row r="770" spans="2:10" ht="33" customHeight="1" x14ac:dyDescent="0.3">
      <c r="B770" s="10"/>
      <c r="C770" s="10"/>
      <c r="D770" s="10"/>
      <c r="F770" s="10"/>
      <c r="G770" s="10"/>
      <c r="H770" s="10"/>
      <c r="I770" s="10"/>
      <c r="J770" s="10"/>
    </row>
    <row r="771" spans="2:10" ht="33" customHeight="1" x14ac:dyDescent="0.3">
      <c r="B771" s="10"/>
      <c r="C771" s="10"/>
      <c r="D771" s="10"/>
      <c r="F771" s="10"/>
      <c r="G771" s="10"/>
      <c r="H771" s="10"/>
      <c r="I771" s="10"/>
      <c r="J771" s="10"/>
    </row>
    <row r="772" spans="2:10" ht="33" customHeight="1" x14ac:dyDescent="0.3">
      <c r="B772" s="10"/>
      <c r="C772" s="10"/>
      <c r="D772" s="10"/>
      <c r="F772" s="10"/>
      <c r="G772" s="10"/>
      <c r="H772" s="10"/>
      <c r="I772" s="10"/>
      <c r="J772" s="10"/>
    </row>
    <row r="773" spans="2:10" ht="33" customHeight="1" x14ac:dyDescent="0.3">
      <c r="B773" s="10"/>
      <c r="C773" s="10"/>
      <c r="D773" s="10"/>
      <c r="F773" s="10"/>
      <c r="G773" s="10"/>
      <c r="H773" s="10"/>
      <c r="I773" s="10"/>
      <c r="J773" s="10"/>
    </row>
    <row r="774" spans="2:10" ht="33" customHeight="1" x14ac:dyDescent="0.3">
      <c r="B774" s="10"/>
      <c r="C774" s="10"/>
      <c r="D774" s="10"/>
      <c r="F774" s="10"/>
      <c r="G774" s="10"/>
      <c r="H774" s="10"/>
      <c r="I774" s="10"/>
      <c r="J774" s="10"/>
    </row>
    <row r="775" spans="2:10" ht="33" customHeight="1" x14ac:dyDescent="0.3">
      <c r="B775" s="10"/>
      <c r="C775" s="10"/>
      <c r="D775" s="10"/>
      <c r="F775" s="10"/>
      <c r="G775" s="10"/>
      <c r="H775" s="10"/>
      <c r="I775" s="10"/>
      <c r="J775" s="10"/>
    </row>
    <row r="776" spans="2:10" ht="33" customHeight="1" x14ac:dyDescent="0.3">
      <c r="B776" s="10"/>
      <c r="C776" s="10"/>
      <c r="D776" s="10"/>
      <c r="F776" s="10"/>
      <c r="G776" s="10"/>
      <c r="H776" s="10"/>
      <c r="I776" s="10"/>
      <c r="J776" s="10"/>
    </row>
    <row r="777" spans="2:10" ht="33" customHeight="1" x14ac:dyDescent="0.3">
      <c r="B777" s="10"/>
      <c r="C777" s="10"/>
      <c r="D777" s="10"/>
      <c r="F777" s="10"/>
      <c r="G777" s="10"/>
      <c r="H777" s="10"/>
      <c r="I777" s="10"/>
      <c r="J777" s="10"/>
    </row>
    <row r="778" spans="2:10" ht="33" customHeight="1" x14ac:dyDescent="0.3">
      <c r="B778" s="10"/>
      <c r="C778" s="10"/>
      <c r="D778" s="10"/>
      <c r="F778" s="10"/>
      <c r="G778" s="10"/>
      <c r="H778" s="10"/>
      <c r="I778" s="10"/>
      <c r="J778" s="10"/>
    </row>
    <row r="779" spans="2:10" ht="33" customHeight="1" x14ac:dyDescent="0.3">
      <c r="B779" s="10"/>
      <c r="C779" s="10"/>
      <c r="D779" s="10"/>
      <c r="F779" s="10"/>
      <c r="G779" s="10"/>
      <c r="H779" s="10"/>
      <c r="I779" s="10"/>
      <c r="J779" s="10"/>
    </row>
    <row r="780" spans="2:10" ht="33" customHeight="1" x14ac:dyDescent="0.3">
      <c r="B780" s="10"/>
      <c r="C780" s="10"/>
      <c r="D780" s="10"/>
      <c r="F780" s="10"/>
      <c r="G780" s="10"/>
      <c r="H780" s="10"/>
      <c r="I780" s="10"/>
      <c r="J780" s="10"/>
    </row>
    <row r="781" spans="2:10" ht="33" customHeight="1" x14ac:dyDescent="0.3">
      <c r="B781" s="10"/>
      <c r="C781" s="10"/>
      <c r="D781" s="10"/>
      <c r="F781" s="10"/>
      <c r="G781" s="10"/>
      <c r="H781" s="10"/>
      <c r="I781" s="10"/>
      <c r="J781" s="10"/>
    </row>
    <row r="782" spans="2:10" ht="33" customHeight="1" x14ac:dyDescent="0.3">
      <c r="B782" s="10"/>
      <c r="C782" s="10"/>
      <c r="D782" s="10"/>
      <c r="F782" s="10"/>
      <c r="G782" s="10"/>
      <c r="H782" s="10"/>
      <c r="I782" s="10"/>
      <c r="J782" s="10"/>
    </row>
    <row r="783" spans="2:10" ht="33" customHeight="1" x14ac:dyDescent="0.3">
      <c r="B783" s="10"/>
      <c r="C783" s="10"/>
      <c r="D783" s="10"/>
      <c r="F783" s="10"/>
      <c r="G783" s="10"/>
      <c r="H783" s="10"/>
      <c r="I783" s="10"/>
      <c r="J783" s="10"/>
    </row>
    <row r="784" spans="2:10" ht="33" customHeight="1" x14ac:dyDescent="0.3">
      <c r="B784" s="10"/>
      <c r="C784" s="10"/>
      <c r="D784" s="10"/>
      <c r="F784" s="10"/>
      <c r="G784" s="10"/>
      <c r="H784" s="10"/>
      <c r="I784" s="10"/>
      <c r="J784" s="10"/>
    </row>
    <row r="785" spans="2:10" ht="33" customHeight="1" x14ac:dyDescent="0.3">
      <c r="B785" s="10"/>
      <c r="C785" s="10"/>
      <c r="D785" s="10"/>
      <c r="F785" s="10"/>
      <c r="G785" s="10"/>
      <c r="H785" s="10"/>
      <c r="I785" s="10"/>
      <c r="J785" s="10"/>
    </row>
    <row r="786" spans="2:10" ht="33" customHeight="1" x14ac:dyDescent="0.3">
      <c r="B786" s="10"/>
      <c r="C786" s="10"/>
      <c r="D786" s="10"/>
      <c r="F786" s="10"/>
      <c r="G786" s="10"/>
      <c r="H786" s="10"/>
      <c r="I786" s="10"/>
      <c r="J786" s="10"/>
    </row>
    <row r="787" spans="2:10" ht="33" customHeight="1" x14ac:dyDescent="0.3">
      <c r="B787" s="10"/>
      <c r="C787" s="10"/>
      <c r="D787" s="10"/>
      <c r="F787" s="10"/>
      <c r="G787" s="10"/>
      <c r="H787" s="10"/>
      <c r="I787" s="10"/>
      <c r="J787" s="10"/>
    </row>
    <row r="788" spans="2:10" ht="33" customHeight="1" x14ac:dyDescent="0.3">
      <c r="B788" s="10"/>
      <c r="C788" s="10"/>
      <c r="D788" s="10"/>
      <c r="F788" s="10"/>
      <c r="G788" s="10"/>
      <c r="H788" s="10"/>
      <c r="I788" s="10"/>
      <c r="J788" s="10"/>
    </row>
    <row r="789" spans="2:10" ht="33" customHeight="1" x14ac:dyDescent="0.3">
      <c r="B789" s="10"/>
      <c r="C789" s="10"/>
      <c r="D789" s="10"/>
      <c r="F789" s="10"/>
      <c r="G789" s="10"/>
      <c r="H789" s="10"/>
      <c r="I789" s="10"/>
      <c r="J789" s="10"/>
    </row>
    <row r="790" spans="2:10" ht="33" customHeight="1" x14ac:dyDescent="0.3">
      <c r="B790" s="10"/>
      <c r="C790" s="10"/>
      <c r="D790" s="10"/>
      <c r="F790" s="10"/>
      <c r="G790" s="10"/>
      <c r="H790" s="10"/>
      <c r="I790" s="10"/>
      <c r="J790" s="10"/>
    </row>
    <row r="791" spans="2:10" ht="33" customHeight="1" x14ac:dyDescent="0.3">
      <c r="B791" s="10"/>
      <c r="C791" s="10"/>
      <c r="D791" s="10"/>
      <c r="F791" s="10"/>
      <c r="G791" s="10"/>
      <c r="H791" s="10"/>
      <c r="I791" s="10"/>
      <c r="J791" s="10"/>
    </row>
    <row r="792" spans="2:10" ht="33" customHeight="1" x14ac:dyDescent="0.3">
      <c r="B792" s="10"/>
      <c r="C792" s="10"/>
      <c r="D792" s="10"/>
      <c r="F792" s="10"/>
      <c r="G792" s="10"/>
      <c r="H792" s="10"/>
      <c r="I792" s="10"/>
      <c r="J792" s="10"/>
    </row>
    <row r="793" spans="2:10" ht="33" customHeight="1" x14ac:dyDescent="0.3">
      <c r="B793" s="10"/>
      <c r="C793" s="10"/>
      <c r="D793" s="10"/>
      <c r="F793" s="10"/>
      <c r="G793" s="10"/>
      <c r="H793" s="10"/>
      <c r="I793" s="10"/>
      <c r="J793" s="10"/>
    </row>
    <row r="794" spans="2:10" ht="33" customHeight="1" x14ac:dyDescent="0.3">
      <c r="B794" s="10"/>
      <c r="C794" s="10"/>
      <c r="D794" s="10"/>
      <c r="F794" s="10"/>
      <c r="G794" s="10"/>
      <c r="H794" s="10"/>
      <c r="I794" s="10"/>
      <c r="J794" s="10"/>
    </row>
    <row r="795" spans="2:10" ht="33" customHeight="1" x14ac:dyDescent="0.3">
      <c r="B795" s="10"/>
      <c r="C795" s="10"/>
      <c r="D795" s="10"/>
      <c r="F795" s="10"/>
      <c r="G795" s="10"/>
      <c r="H795" s="10"/>
      <c r="I795" s="10"/>
      <c r="J795" s="10"/>
    </row>
    <row r="796" spans="2:10" ht="33" customHeight="1" x14ac:dyDescent="0.3">
      <c r="B796" s="10"/>
      <c r="C796" s="10"/>
      <c r="D796" s="10"/>
      <c r="F796" s="10"/>
      <c r="G796" s="10"/>
      <c r="H796" s="10"/>
      <c r="I796" s="10"/>
      <c r="J796" s="10"/>
    </row>
    <row r="797" spans="2:10" ht="33" customHeight="1" x14ac:dyDescent="0.3">
      <c r="B797" s="10"/>
      <c r="C797" s="10"/>
      <c r="D797" s="10"/>
      <c r="F797" s="10"/>
      <c r="G797" s="10"/>
      <c r="H797" s="10"/>
      <c r="I797" s="10"/>
      <c r="J797" s="10"/>
    </row>
    <row r="798" spans="2:10" ht="33" customHeight="1" x14ac:dyDescent="0.3">
      <c r="B798" s="10"/>
      <c r="C798" s="10"/>
      <c r="D798" s="10"/>
      <c r="F798" s="10"/>
      <c r="G798" s="10"/>
      <c r="H798" s="10"/>
      <c r="I798" s="10"/>
      <c r="J798" s="10"/>
    </row>
    <row r="799" spans="2:10" ht="33" customHeight="1" x14ac:dyDescent="0.3">
      <c r="B799" s="10"/>
      <c r="C799" s="10"/>
      <c r="D799" s="10"/>
      <c r="F799" s="10"/>
      <c r="G799" s="10"/>
      <c r="H799" s="10"/>
      <c r="I799" s="10"/>
      <c r="J799" s="10"/>
    </row>
    <row r="800" spans="2:10" ht="33" customHeight="1" x14ac:dyDescent="0.3">
      <c r="B800" s="10"/>
      <c r="C800" s="10"/>
      <c r="D800" s="10"/>
      <c r="F800" s="10"/>
      <c r="G800" s="10"/>
      <c r="H800" s="10"/>
      <c r="I800" s="10"/>
      <c r="J800" s="10"/>
    </row>
    <row r="801" spans="2:10" ht="33" customHeight="1" x14ac:dyDescent="0.3">
      <c r="B801" s="10"/>
      <c r="C801" s="10"/>
      <c r="D801" s="10"/>
      <c r="F801" s="10"/>
      <c r="G801" s="10"/>
      <c r="H801" s="10"/>
      <c r="I801" s="10"/>
      <c r="J801" s="10"/>
    </row>
    <row r="802" spans="2:10" ht="33" customHeight="1" x14ac:dyDescent="0.3">
      <c r="B802" s="10"/>
      <c r="C802" s="10"/>
      <c r="D802" s="10"/>
      <c r="F802" s="10"/>
      <c r="G802" s="10"/>
      <c r="H802" s="10"/>
      <c r="I802" s="10"/>
      <c r="J802" s="10"/>
    </row>
    <row r="803" spans="2:10" ht="33" customHeight="1" x14ac:dyDescent="0.3">
      <c r="B803" s="10"/>
      <c r="C803" s="10"/>
      <c r="D803" s="10"/>
      <c r="F803" s="10"/>
      <c r="G803" s="10"/>
      <c r="H803" s="10"/>
      <c r="I803" s="10"/>
      <c r="J803" s="10"/>
    </row>
    <row r="804" spans="2:10" ht="33" customHeight="1" x14ac:dyDescent="0.3">
      <c r="B804" s="10"/>
      <c r="C804" s="10"/>
      <c r="D804" s="10"/>
      <c r="F804" s="10"/>
      <c r="G804" s="10"/>
      <c r="H804" s="10"/>
      <c r="I804" s="10"/>
      <c r="J804" s="10"/>
    </row>
    <row r="805" spans="2:10" ht="33" customHeight="1" x14ac:dyDescent="0.3">
      <c r="B805" s="10"/>
      <c r="C805" s="10"/>
      <c r="D805" s="10"/>
      <c r="F805" s="10"/>
      <c r="G805" s="10"/>
      <c r="H805" s="10"/>
      <c r="I805" s="10"/>
      <c r="J805" s="10"/>
    </row>
    <row r="806" spans="2:10" ht="33" customHeight="1" x14ac:dyDescent="0.3">
      <c r="B806" s="10"/>
      <c r="C806" s="10"/>
      <c r="D806" s="10"/>
      <c r="F806" s="10"/>
      <c r="G806" s="10"/>
      <c r="H806" s="10"/>
      <c r="I806" s="10"/>
      <c r="J806" s="10"/>
    </row>
    <row r="807" spans="2:10" ht="33" customHeight="1" x14ac:dyDescent="0.3">
      <c r="B807" s="10"/>
      <c r="C807" s="10"/>
      <c r="D807" s="10"/>
      <c r="F807" s="10"/>
      <c r="G807" s="10"/>
      <c r="H807" s="10"/>
      <c r="I807" s="10"/>
      <c r="J807" s="10"/>
    </row>
    <row r="808" spans="2:10" ht="33" customHeight="1" x14ac:dyDescent="0.3">
      <c r="B808" s="10"/>
      <c r="C808" s="10"/>
      <c r="D808" s="10"/>
      <c r="F808" s="10"/>
      <c r="G808" s="10"/>
      <c r="H808" s="10"/>
      <c r="I808" s="10"/>
      <c r="J808" s="10"/>
    </row>
    <row r="809" spans="2:10" ht="33" customHeight="1" x14ac:dyDescent="0.3">
      <c r="B809" s="10"/>
      <c r="C809" s="10"/>
      <c r="D809" s="10"/>
      <c r="F809" s="10"/>
      <c r="G809" s="10"/>
      <c r="H809" s="10"/>
      <c r="I809" s="10"/>
      <c r="J809" s="10"/>
    </row>
    <row r="810" spans="2:10" ht="33" customHeight="1" x14ac:dyDescent="0.3">
      <c r="B810" s="10"/>
      <c r="C810" s="10"/>
      <c r="D810" s="10"/>
      <c r="F810" s="10"/>
      <c r="G810" s="10"/>
      <c r="H810" s="10"/>
      <c r="I810" s="10"/>
      <c r="J810" s="10"/>
    </row>
    <row r="811" spans="2:10" ht="33" customHeight="1" x14ac:dyDescent="0.3">
      <c r="B811" s="10"/>
      <c r="C811" s="10"/>
      <c r="D811" s="10"/>
      <c r="F811" s="10"/>
      <c r="G811" s="10"/>
      <c r="H811" s="10"/>
      <c r="I811" s="10"/>
      <c r="J811" s="10"/>
    </row>
    <row r="812" spans="2:10" ht="33" customHeight="1" x14ac:dyDescent="0.3">
      <c r="B812" s="10"/>
      <c r="C812" s="10"/>
      <c r="D812" s="10"/>
      <c r="F812" s="10"/>
      <c r="G812" s="10"/>
      <c r="H812" s="10"/>
      <c r="I812" s="10"/>
      <c r="J812" s="10"/>
    </row>
    <row r="813" spans="2:10" ht="33" customHeight="1" x14ac:dyDescent="0.3">
      <c r="B813" s="10"/>
      <c r="C813" s="10"/>
      <c r="D813" s="10"/>
      <c r="F813" s="10"/>
      <c r="G813" s="10"/>
      <c r="H813" s="10"/>
      <c r="I813" s="10"/>
      <c r="J813" s="10"/>
    </row>
    <row r="814" spans="2:10" ht="33" customHeight="1" x14ac:dyDescent="0.3">
      <c r="B814" s="10"/>
      <c r="C814" s="10"/>
      <c r="D814" s="10"/>
      <c r="F814" s="10"/>
      <c r="G814" s="10"/>
      <c r="H814" s="10"/>
      <c r="I814" s="10"/>
      <c r="J814" s="10"/>
    </row>
    <row r="815" spans="2:10" ht="33" customHeight="1" x14ac:dyDescent="0.3">
      <c r="B815" s="10"/>
      <c r="C815" s="10"/>
      <c r="D815" s="10"/>
      <c r="F815" s="10"/>
      <c r="G815" s="10"/>
      <c r="H815" s="10"/>
      <c r="I815" s="10"/>
      <c r="J815" s="10"/>
    </row>
    <row r="816" spans="2:10" ht="33" customHeight="1" x14ac:dyDescent="0.3">
      <c r="B816" s="10"/>
      <c r="C816" s="10"/>
      <c r="D816" s="10"/>
      <c r="F816" s="10"/>
      <c r="G816" s="10"/>
      <c r="H816" s="10"/>
      <c r="I816" s="10"/>
      <c r="J816" s="10"/>
    </row>
    <row r="817" spans="2:10" ht="33" customHeight="1" x14ac:dyDescent="0.3">
      <c r="B817" s="10"/>
      <c r="C817" s="10"/>
      <c r="D817" s="10"/>
      <c r="F817" s="10"/>
      <c r="G817" s="10"/>
      <c r="H817" s="10"/>
      <c r="I817" s="10"/>
      <c r="J817" s="10"/>
    </row>
    <row r="818" spans="2:10" ht="33" customHeight="1" x14ac:dyDescent="0.3">
      <c r="B818" s="10"/>
      <c r="C818" s="10"/>
      <c r="D818" s="10"/>
      <c r="F818" s="10"/>
      <c r="G818" s="10"/>
      <c r="H818" s="10"/>
      <c r="I818" s="10"/>
      <c r="J818" s="10"/>
    </row>
    <row r="819" spans="2:10" ht="33" customHeight="1" x14ac:dyDescent="0.3">
      <c r="B819" s="10"/>
      <c r="C819" s="10"/>
      <c r="D819" s="10"/>
      <c r="F819" s="10"/>
      <c r="G819" s="10"/>
      <c r="H819" s="10"/>
      <c r="I819" s="10"/>
      <c r="J819" s="10"/>
    </row>
    <row r="820" spans="2:10" ht="33" customHeight="1" x14ac:dyDescent="0.3">
      <c r="B820" s="10"/>
      <c r="C820" s="10"/>
      <c r="D820" s="10"/>
      <c r="F820" s="10"/>
      <c r="G820" s="10"/>
      <c r="H820" s="10"/>
      <c r="I820" s="10"/>
      <c r="J820" s="10"/>
    </row>
    <row r="821" spans="2:10" ht="33" customHeight="1" x14ac:dyDescent="0.3">
      <c r="B821" s="10"/>
      <c r="C821" s="10"/>
      <c r="D821" s="10"/>
      <c r="F821" s="10"/>
      <c r="G821" s="10"/>
      <c r="H821" s="10"/>
      <c r="I821" s="10"/>
      <c r="J821" s="10"/>
    </row>
    <row r="822" spans="2:10" ht="33" customHeight="1" x14ac:dyDescent="0.3">
      <c r="B822" s="10"/>
      <c r="C822" s="10"/>
      <c r="D822" s="10"/>
      <c r="F822" s="10"/>
      <c r="G822" s="10"/>
      <c r="H822" s="10"/>
      <c r="I822" s="10"/>
      <c r="J822" s="10"/>
    </row>
    <row r="823" spans="2:10" ht="33" customHeight="1" x14ac:dyDescent="0.3">
      <c r="B823" s="10"/>
      <c r="C823" s="10"/>
      <c r="D823" s="10"/>
      <c r="F823" s="10"/>
      <c r="G823" s="10"/>
      <c r="H823" s="10"/>
      <c r="I823" s="10"/>
      <c r="J823" s="10"/>
    </row>
    <row r="824" spans="2:10" ht="33" customHeight="1" x14ac:dyDescent="0.3">
      <c r="B824" s="10"/>
      <c r="C824" s="10"/>
      <c r="D824" s="10"/>
      <c r="F824" s="10"/>
      <c r="G824" s="10"/>
      <c r="H824" s="10"/>
      <c r="I824" s="10"/>
      <c r="J824" s="10"/>
    </row>
    <row r="825" spans="2:10" ht="33" customHeight="1" x14ac:dyDescent="0.3">
      <c r="B825" s="10"/>
      <c r="C825" s="10"/>
      <c r="D825" s="10"/>
      <c r="F825" s="10"/>
      <c r="G825" s="10"/>
      <c r="H825" s="10"/>
      <c r="I825" s="10"/>
      <c r="J825" s="10"/>
    </row>
    <row r="826" spans="2:10" ht="33" customHeight="1" x14ac:dyDescent="0.3">
      <c r="B826" s="10"/>
      <c r="C826" s="10"/>
      <c r="D826" s="10"/>
      <c r="F826" s="10"/>
      <c r="G826" s="10"/>
      <c r="H826" s="10"/>
      <c r="I826" s="10"/>
      <c r="J826" s="10"/>
    </row>
    <row r="827" spans="2:10" ht="33" customHeight="1" x14ac:dyDescent="0.3">
      <c r="B827" s="10"/>
      <c r="C827" s="10"/>
      <c r="D827" s="10"/>
      <c r="F827" s="10"/>
      <c r="G827" s="10"/>
      <c r="H827" s="10"/>
      <c r="I827" s="10"/>
      <c r="J827" s="10"/>
    </row>
    <row r="828" spans="2:10" ht="33" customHeight="1" x14ac:dyDescent="0.3">
      <c r="B828" s="10"/>
      <c r="C828" s="10"/>
      <c r="D828" s="10"/>
      <c r="F828" s="10"/>
      <c r="G828" s="10"/>
      <c r="H828" s="10"/>
      <c r="I828" s="10"/>
      <c r="J828" s="10"/>
    </row>
    <row r="829" spans="2:10" ht="33" customHeight="1" x14ac:dyDescent="0.3">
      <c r="B829" s="10"/>
      <c r="C829" s="10"/>
      <c r="D829" s="10"/>
      <c r="F829" s="10"/>
      <c r="G829" s="10"/>
      <c r="H829" s="10"/>
      <c r="I829" s="10"/>
      <c r="J829" s="10"/>
    </row>
    <row r="830" spans="2:10" ht="33" customHeight="1" x14ac:dyDescent="0.3">
      <c r="B830" s="10"/>
      <c r="C830" s="10"/>
      <c r="D830" s="10"/>
      <c r="F830" s="10"/>
      <c r="G830" s="10"/>
      <c r="H830" s="10"/>
      <c r="I830" s="10"/>
      <c r="J830" s="10"/>
    </row>
    <row r="831" spans="2:10" ht="33" customHeight="1" x14ac:dyDescent="0.3">
      <c r="B831" s="10"/>
      <c r="C831" s="10"/>
      <c r="D831" s="10"/>
      <c r="F831" s="10"/>
      <c r="G831" s="10"/>
      <c r="H831" s="10"/>
      <c r="I831" s="10"/>
      <c r="J831" s="10"/>
    </row>
    <row r="832" spans="2:10" ht="33" customHeight="1" x14ac:dyDescent="0.3">
      <c r="B832" s="10"/>
      <c r="C832" s="10"/>
      <c r="D832" s="10"/>
      <c r="F832" s="10"/>
      <c r="G832" s="10"/>
      <c r="H832" s="10"/>
      <c r="I832" s="10"/>
      <c r="J832" s="10"/>
    </row>
    <row r="833" spans="2:10" ht="33" customHeight="1" x14ac:dyDescent="0.3">
      <c r="B833" s="10"/>
      <c r="C833" s="10"/>
      <c r="D833" s="10"/>
      <c r="F833" s="10"/>
      <c r="G833" s="10"/>
      <c r="H833" s="10"/>
      <c r="I833" s="10"/>
      <c r="J833" s="10"/>
    </row>
    <row r="834" spans="2:10" ht="33" customHeight="1" x14ac:dyDescent="0.3">
      <c r="B834" s="10"/>
      <c r="C834" s="10"/>
      <c r="D834" s="10"/>
      <c r="F834" s="10"/>
      <c r="G834" s="10"/>
      <c r="H834" s="10"/>
      <c r="I834" s="10"/>
      <c r="J834" s="10"/>
    </row>
    <row r="835" spans="2:10" ht="33" customHeight="1" x14ac:dyDescent="0.3">
      <c r="B835" s="10"/>
      <c r="C835" s="10"/>
      <c r="D835" s="10"/>
      <c r="F835" s="10"/>
      <c r="G835" s="10"/>
      <c r="H835" s="10"/>
      <c r="I835" s="10"/>
      <c r="J835" s="10"/>
    </row>
    <row r="836" spans="2:10" ht="33" customHeight="1" x14ac:dyDescent="0.3">
      <c r="B836" s="10"/>
      <c r="C836" s="10"/>
      <c r="D836" s="10"/>
      <c r="F836" s="10"/>
      <c r="G836" s="10"/>
      <c r="H836" s="10"/>
      <c r="I836" s="10"/>
      <c r="J836" s="10"/>
    </row>
    <row r="837" spans="2:10" ht="33" customHeight="1" x14ac:dyDescent="0.3">
      <c r="B837" s="10"/>
      <c r="C837" s="10"/>
      <c r="D837" s="10"/>
      <c r="F837" s="10"/>
      <c r="G837" s="10"/>
      <c r="H837" s="10"/>
      <c r="I837" s="10"/>
      <c r="J837" s="10"/>
    </row>
    <row r="838" spans="2:10" ht="33" customHeight="1" x14ac:dyDescent="0.3">
      <c r="B838" s="10"/>
      <c r="C838" s="10"/>
      <c r="D838" s="10"/>
      <c r="F838" s="10"/>
      <c r="G838" s="10"/>
      <c r="H838" s="10"/>
      <c r="I838" s="10"/>
      <c r="J838" s="10"/>
    </row>
    <row r="839" spans="2:10" ht="33" customHeight="1" x14ac:dyDescent="0.3">
      <c r="B839" s="10"/>
      <c r="C839" s="10"/>
      <c r="D839" s="10"/>
      <c r="F839" s="10"/>
      <c r="G839" s="10"/>
      <c r="H839" s="10"/>
      <c r="I839" s="10"/>
      <c r="J839" s="10"/>
    </row>
    <row r="840" spans="2:10" ht="33" customHeight="1" x14ac:dyDescent="0.3">
      <c r="B840" s="10"/>
      <c r="C840" s="10"/>
      <c r="D840" s="10"/>
      <c r="F840" s="10"/>
      <c r="G840" s="10"/>
      <c r="H840" s="10"/>
      <c r="I840" s="10"/>
      <c r="J840" s="10"/>
    </row>
    <row r="841" spans="2:10" ht="33" customHeight="1" x14ac:dyDescent="0.3">
      <c r="B841" s="10"/>
      <c r="C841" s="10"/>
      <c r="D841" s="10"/>
      <c r="F841" s="10"/>
      <c r="G841" s="10"/>
      <c r="H841" s="10"/>
      <c r="I841" s="10"/>
      <c r="J841" s="10"/>
    </row>
    <row r="842" spans="2:10" ht="33" customHeight="1" x14ac:dyDescent="0.3">
      <c r="B842" s="10"/>
      <c r="C842" s="10"/>
      <c r="D842" s="10"/>
      <c r="F842" s="10"/>
      <c r="G842" s="10"/>
      <c r="H842" s="10"/>
      <c r="I842" s="10"/>
      <c r="J842" s="10"/>
    </row>
    <row r="843" spans="2:10" ht="33" customHeight="1" x14ac:dyDescent="0.3">
      <c r="B843" s="10"/>
      <c r="C843" s="10"/>
      <c r="D843" s="10"/>
      <c r="F843" s="10"/>
      <c r="G843" s="10"/>
      <c r="H843" s="10"/>
      <c r="I843" s="10"/>
      <c r="J843" s="10"/>
    </row>
    <row r="844" spans="2:10" ht="33" customHeight="1" x14ac:dyDescent="0.3">
      <c r="B844" s="10"/>
      <c r="C844" s="10"/>
      <c r="D844" s="10"/>
      <c r="F844" s="10"/>
      <c r="G844" s="10"/>
      <c r="H844" s="10"/>
      <c r="I844" s="10"/>
      <c r="J844" s="10"/>
    </row>
    <row r="845" spans="2:10" ht="33" customHeight="1" x14ac:dyDescent="0.3">
      <c r="B845" s="10"/>
      <c r="C845" s="10"/>
      <c r="D845" s="10"/>
      <c r="F845" s="10"/>
      <c r="G845" s="10"/>
      <c r="H845" s="10"/>
      <c r="I845" s="10"/>
      <c r="J845" s="10"/>
    </row>
    <row r="846" spans="2:10" ht="33" customHeight="1" x14ac:dyDescent="0.3">
      <c r="B846" s="10"/>
      <c r="C846" s="10"/>
      <c r="D846" s="10"/>
      <c r="F846" s="10"/>
      <c r="G846" s="10"/>
      <c r="H846" s="10"/>
      <c r="I846" s="10"/>
      <c r="J846" s="10"/>
    </row>
    <row r="847" spans="2:10" ht="33" customHeight="1" x14ac:dyDescent="0.3">
      <c r="B847" s="10"/>
      <c r="C847" s="10"/>
      <c r="D847" s="10"/>
      <c r="F847" s="10"/>
      <c r="G847" s="10"/>
      <c r="H847" s="10"/>
      <c r="I847" s="10"/>
      <c r="J847" s="10"/>
    </row>
    <row r="848" spans="2:10" ht="33" customHeight="1" x14ac:dyDescent="0.3">
      <c r="B848" s="10"/>
      <c r="C848" s="10"/>
      <c r="D848" s="10"/>
      <c r="F848" s="10"/>
      <c r="G848" s="10"/>
      <c r="H848" s="10"/>
      <c r="I848" s="10"/>
      <c r="J848" s="10"/>
    </row>
    <row r="849" spans="2:10" ht="33" customHeight="1" x14ac:dyDescent="0.3">
      <c r="B849" s="10"/>
      <c r="C849" s="10"/>
      <c r="D849" s="10"/>
      <c r="F849" s="10"/>
      <c r="G849" s="10"/>
      <c r="H849" s="10"/>
      <c r="I849" s="10"/>
      <c r="J849" s="10"/>
    </row>
    <row r="850" spans="2:10" ht="33" customHeight="1" x14ac:dyDescent="0.3">
      <c r="B850" s="10"/>
      <c r="C850" s="10"/>
      <c r="D850" s="10"/>
      <c r="F850" s="10"/>
      <c r="G850" s="10"/>
      <c r="H850" s="10"/>
      <c r="I850" s="10"/>
      <c r="J850" s="10"/>
    </row>
    <row r="851" spans="2:10" ht="33" customHeight="1" x14ac:dyDescent="0.3">
      <c r="B851" s="10"/>
      <c r="C851" s="10"/>
      <c r="D851" s="10"/>
      <c r="F851" s="10"/>
      <c r="G851" s="10"/>
      <c r="H851" s="10"/>
      <c r="I851" s="10"/>
      <c r="J851" s="10"/>
    </row>
    <row r="852" spans="2:10" ht="33" customHeight="1" x14ac:dyDescent="0.3">
      <c r="B852" s="10"/>
      <c r="C852" s="10"/>
      <c r="D852" s="10"/>
      <c r="F852" s="10"/>
      <c r="G852" s="10"/>
      <c r="H852" s="10"/>
      <c r="I852" s="10"/>
      <c r="J852" s="10"/>
    </row>
    <row r="853" spans="2:10" ht="33" customHeight="1" x14ac:dyDescent="0.3">
      <c r="B853" s="10"/>
      <c r="C853" s="10"/>
      <c r="D853" s="10"/>
      <c r="F853" s="10"/>
      <c r="G853" s="10"/>
      <c r="H853" s="10"/>
      <c r="I853" s="10"/>
      <c r="J853" s="10"/>
    </row>
    <row r="854" spans="2:10" ht="33" customHeight="1" x14ac:dyDescent="0.3">
      <c r="B854" s="10"/>
      <c r="C854" s="10"/>
      <c r="D854" s="10"/>
      <c r="F854" s="10"/>
      <c r="G854" s="10"/>
      <c r="H854" s="10"/>
      <c r="I854" s="10"/>
      <c r="J854" s="10"/>
    </row>
    <row r="855" spans="2:10" ht="33" customHeight="1" x14ac:dyDescent="0.3">
      <c r="B855" s="10"/>
      <c r="C855" s="10"/>
      <c r="D855" s="10"/>
      <c r="F855" s="10"/>
      <c r="G855" s="10"/>
      <c r="H855" s="10"/>
      <c r="I855" s="10"/>
      <c r="J855" s="10"/>
    </row>
    <row r="856" spans="2:10" ht="33" customHeight="1" x14ac:dyDescent="0.3">
      <c r="B856" s="10"/>
      <c r="C856" s="10"/>
      <c r="D856" s="10"/>
      <c r="F856" s="10"/>
      <c r="G856" s="10"/>
      <c r="H856" s="10"/>
      <c r="I856" s="10"/>
      <c r="J856" s="10"/>
    </row>
    <row r="857" spans="2:10" ht="33" customHeight="1" x14ac:dyDescent="0.3">
      <c r="B857" s="10"/>
      <c r="C857" s="10"/>
      <c r="D857" s="10"/>
      <c r="F857" s="10"/>
      <c r="G857" s="10"/>
      <c r="H857" s="10"/>
      <c r="I857" s="10"/>
      <c r="J857" s="10"/>
    </row>
    <row r="858" spans="2:10" ht="33" customHeight="1" x14ac:dyDescent="0.3">
      <c r="B858" s="10"/>
      <c r="C858" s="10"/>
      <c r="D858" s="10"/>
      <c r="F858" s="10"/>
      <c r="G858" s="10"/>
      <c r="H858" s="10"/>
      <c r="I858" s="10"/>
      <c r="J858" s="10"/>
    </row>
    <row r="859" spans="2:10" ht="33" customHeight="1" x14ac:dyDescent="0.3">
      <c r="B859" s="10"/>
      <c r="C859" s="10"/>
      <c r="D859" s="10"/>
      <c r="F859" s="10"/>
      <c r="G859" s="10"/>
      <c r="H859" s="10"/>
      <c r="I859" s="10"/>
      <c r="J859" s="10"/>
    </row>
    <row r="860" spans="2:10" ht="33" customHeight="1" x14ac:dyDescent="0.3">
      <c r="B860" s="10"/>
      <c r="C860" s="10"/>
      <c r="D860" s="10"/>
      <c r="F860" s="10"/>
      <c r="G860" s="10"/>
      <c r="H860" s="10"/>
      <c r="I860" s="10"/>
      <c r="J860" s="10"/>
    </row>
    <row r="861" spans="2:10" ht="33" customHeight="1" x14ac:dyDescent="0.3">
      <c r="B861" s="10"/>
      <c r="C861" s="10"/>
      <c r="D861" s="10"/>
      <c r="F861" s="10"/>
      <c r="G861" s="10"/>
      <c r="H861" s="10"/>
      <c r="I861" s="10"/>
      <c r="J861" s="10"/>
    </row>
    <row r="862" spans="2:10" ht="33" customHeight="1" x14ac:dyDescent="0.3">
      <c r="B862" s="10"/>
      <c r="C862" s="10"/>
      <c r="D862" s="10"/>
      <c r="F862" s="10"/>
      <c r="G862" s="10"/>
      <c r="H862" s="10"/>
      <c r="I862" s="10"/>
      <c r="J862" s="10"/>
    </row>
    <row r="863" spans="2:10" ht="33" customHeight="1" x14ac:dyDescent="0.3">
      <c r="B863" s="10"/>
      <c r="C863" s="10"/>
      <c r="D863" s="10"/>
      <c r="F863" s="10"/>
      <c r="G863" s="10"/>
      <c r="H863" s="10"/>
      <c r="I863" s="10"/>
      <c r="J863" s="10"/>
    </row>
    <row r="864" spans="2:10" ht="33" customHeight="1" x14ac:dyDescent="0.3">
      <c r="B864" s="10"/>
      <c r="C864" s="10"/>
      <c r="D864" s="10"/>
      <c r="F864" s="10"/>
      <c r="G864" s="10"/>
      <c r="H864" s="10"/>
      <c r="I864" s="10"/>
      <c r="J864" s="10"/>
    </row>
    <row r="865" spans="2:10" ht="33" customHeight="1" x14ac:dyDescent="0.3">
      <c r="B865" s="10"/>
      <c r="C865" s="10"/>
      <c r="D865" s="10"/>
      <c r="F865" s="10"/>
      <c r="G865" s="10"/>
      <c r="H865" s="10"/>
      <c r="I865" s="10"/>
      <c r="J865" s="10"/>
    </row>
    <row r="866" spans="2:10" ht="33" customHeight="1" x14ac:dyDescent="0.3">
      <c r="B866" s="10"/>
      <c r="C866" s="10"/>
      <c r="D866" s="10"/>
      <c r="F866" s="10"/>
      <c r="G866" s="10"/>
      <c r="H866" s="10"/>
      <c r="I866" s="10"/>
      <c r="J866" s="10"/>
    </row>
    <row r="867" spans="2:10" ht="33" customHeight="1" x14ac:dyDescent="0.3">
      <c r="B867" s="10"/>
      <c r="C867" s="10"/>
      <c r="D867" s="10"/>
      <c r="F867" s="10"/>
      <c r="G867" s="10"/>
      <c r="H867" s="10"/>
      <c r="I867" s="10"/>
      <c r="J867" s="10"/>
    </row>
    <row r="868" spans="2:10" ht="33" customHeight="1" x14ac:dyDescent="0.3">
      <c r="B868" s="10"/>
      <c r="C868" s="10"/>
      <c r="D868" s="10"/>
      <c r="F868" s="10"/>
      <c r="G868" s="10"/>
      <c r="H868" s="10"/>
      <c r="I868" s="10"/>
      <c r="J868" s="10"/>
    </row>
    <row r="869" spans="2:10" ht="33" customHeight="1" x14ac:dyDescent="0.3">
      <c r="B869" s="10"/>
      <c r="C869" s="10"/>
      <c r="D869" s="10"/>
      <c r="F869" s="10"/>
      <c r="G869" s="10"/>
      <c r="H869" s="10"/>
      <c r="I869" s="10"/>
      <c r="J869" s="10"/>
    </row>
    <row r="870" spans="2:10" ht="33" customHeight="1" x14ac:dyDescent="0.3">
      <c r="B870" s="10"/>
      <c r="C870" s="10"/>
      <c r="D870" s="10"/>
      <c r="F870" s="10"/>
      <c r="G870" s="10"/>
      <c r="H870" s="10"/>
      <c r="I870" s="10"/>
      <c r="J870" s="10"/>
    </row>
    <row r="871" spans="2:10" ht="33" customHeight="1" x14ac:dyDescent="0.3">
      <c r="B871" s="10"/>
      <c r="C871" s="10"/>
      <c r="D871" s="10"/>
      <c r="F871" s="10"/>
      <c r="G871" s="10"/>
      <c r="H871" s="10"/>
      <c r="I871" s="10"/>
      <c r="J871" s="10"/>
    </row>
    <row r="872" spans="2:10" ht="33" customHeight="1" x14ac:dyDescent="0.3">
      <c r="B872" s="10"/>
      <c r="C872" s="10"/>
      <c r="D872" s="10"/>
      <c r="F872" s="10"/>
      <c r="G872" s="10"/>
      <c r="H872" s="10"/>
      <c r="I872" s="10"/>
      <c r="J872" s="10"/>
    </row>
    <row r="873" spans="2:10" ht="33" customHeight="1" x14ac:dyDescent="0.3">
      <c r="B873" s="10"/>
      <c r="C873" s="10"/>
      <c r="D873" s="10"/>
      <c r="F873" s="10"/>
      <c r="G873" s="10"/>
      <c r="H873" s="10"/>
      <c r="I873" s="10"/>
      <c r="J873" s="10"/>
    </row>
    <row r="874" spans="2:10" ht="33" customHeight="1" x14ac:dyDescent="0.3">
      <c r="B874" s="10"/>
      <c r="C874" s="10"/>
      <c r="D874" s="10"/>
      <c r="F874" s="10"/>
      <c r="G874" s="10"/>
      <c r="H874" s="10"/>
      <c r="I874" s="10"/>
      <c r="J874" s="10"/>
    </row>
    <row r="875" spans="2:10" ht="33" customHeight="1" x14ac:dyDescent="0.3">
      <c r="B875" s="10"/>
      <c r="C875" s="10"/>
      <c r="D875" s="10"/>
      <c r="F875" s="10"/>
      <c r="G875" s="10"/>
      <c r="H875" s="10"/>
      <c r="I875" s="10"/>
      <c r="J875" s="10"/>
    </row>
    <row r="876" spans="2:10" ht="33" customHeight="1" x14ac:dyDescent="0.3">
      <c r="B876" s="10"/>
      <c r="C876" s="10"/>
      <c r="D876" s="10"/>
      <c r="F876" s="10"/>
      <c r="G876" s="10"/>
      <c r="H876" s="10"/>
      <c r="I876" s="10"/>
      <c r="J876" s="10"/>
    </row>
    <row r="877" spans="2:10" ht="33" customHeight="1" x14ac:dyDescent="0.3">
      <c r="B877" s="10"/>
      <c r="C877" s="10"/>
      <c r="D877" s="10"/>
      <c r="F877" s="10"/>
      <c r="G877" s="10"/>
      <c r="H877" s="10"/>
      <c r="I877" s="10"/>
      <c r="J877" s="10"/>
    </row>
    <row r="878" spans="2:10" ht="33" customHeight="1" x14ac:dyDescent="0.3">
      <c r="B878" s="10"/>
      <c r="C878" s="10"/>
      <c r="D878" s="10"/>
      <c r="F878" s="10"/>
      <c r="G878" s="10"/>
      <c r="H878" s="10"/>
      <c r="I878" s="10"/>
      <c r="J878" s="10"/>
    </row>
    <row r="879" spans="2:10" ht="33" customHeight="1" x14ac:dyDescent="0.3">
      <c r="B879" s="10"/>
      <c r="C879" s="10"/>
      <c r="D879" s="10"/>
      <c r="F879" s="10"/>
      <c r="G879" s="10"/>
      <c r="H879" s="10"/>
      <c r="I879" s="10"/>
      <c r="J879" s="10"/>
    </row>
    <row r="880" spans="2:10" ht="33" customHeight="1" x14ac:dyDescent="0.3">
      <c r="B880" s="10"/>
      <c r="C880" s="10"/>
      <c r="D880" s="10"/>
      <c r="F880" s="10"/>
      <c r="G880" s="10"/>
      <c r="H880" s="10"/>
      <c r="I880" s="10"/>
      <c r="J880" s="10"/>
    </row>
    <row r="881" spans="2:10" ht="33" customHeight="1" x14ac:dyDescent="0.3">
      <c r="B881" s="10"/>
      <c r="C881" s="10"/>
      <c r="D881" s="10"/>
      <c r="F881" s="10"/>
      <c r="G881" s="10"/>
      <c r="H881" s="10"/>
      <c r="I881" s="10"/>
      <c r="J881" s="10"/>
    </row>
    <row r="882" spans="2:10" ht="33" customHeight="1" x14ac:dyDescent="0.3">
      <c r="B882" s="10"/>
      <c r="C882" s="10"/>
      <c r="D882" s="10"/>
      <c r="F882" s="10"/>
      <c r="G882" s="10"/>
      <c r="H882" s="10"/>
      <c r="I882" s="10"/>
      <c r="J882" s="10"/>
    </row>
    <row r="883" spans="2:10" ht="33" customHeight="1" x14ac:dyDescent="0.3">
      <c r="B883" s="10"/>
      <c r="C883" s="10"/>
      <c r="D883" s="10"/>
      <c r="F883" s="10"/>
      <c r="G883" s="10"/>
      <c r="H883" s="10"/>
      <c r="I883" s="10"/>
      <c r="J883" s="10"/>
    </row>
    <row r="884" spans="2:10" ht="33" customHeight="1" x14ac:dyDescent="0.3">
      <c r="B884" s="10"/>
      <c r="C884" s="10"/>
      <c r="D884" s="10"/>
      <c r="F884" s="10"/>
      <c r="G884" s="10"/>
      <c r="H884" s="10"/>
      <c r="I884" s="10"/>
      <c r="J884" s="10"/>
    </row>
    <row r="885" spans="2:10" ht="33" customHeight="1" x14ac:dyDescent="0.3">
      <c r="B885" s="10"/>
      <c r="C885" s="10"/>
      <c r="D885" s="10"/>
      <c r="F885" s="10"/>
      <c r="G885" s="10"/>
      <c r="H885" s="10"/>
      <c r="I885" s="10"/>
      <c r="J885" s="10"/>
    </row>
    <row r="886" spans="2:10" ht="33" customHeight="1" x14ac:dyDescent="0.3">
      <c r="B886" s="10"/>
      <c r="C886" s="10"/>
      <c r="D886" s="10"/>
      <c r="F886" s="10"/>
      <c r="G886" s="10"/>
      <c r="H886" s="10"/>
      <c r="I886" s="10"/>
      <c r="J886" s="10"/>
    </row>
    <row r="887" spans="2:10" ht="33" customHeight="1" x14ac:dyDescent="0.3">
      <c r="B887" s="10"/>
      <c r="C887" s="10"/>
      <c r="D887" s="10"/>
      <c r="F887" s="10"/>
      <c r="G887" s="10"/>
      <c r="H887" s="10"/>
      <c r="I887" s="10"/>
      <c r="J887" s="10"/>
    </row>
    <row r="888" spans="2:10" ht="33" customHeight="1" x14ac:dyDescent="0.3">
      <c r="B888" s="10"/>
      <c r="C888" s="10"/>
      <c r="D888" s="10"/>
      <c r="F888" s="10"/>
      <c r="G888" s="10"/>
      <c r="H888" s="10"/>
      <c r="I888" s="10"/>
      <c r="J888" s="10"/>
    </row>
    <row r="889" spans="2:10" ht="33" customHeight="1" x14ac:dyDescent="0.3">
      <c r="B889" s="10"/>
      <c r="C889" s="10"/>
      <c r="D889" s="10"/>
      <c r="F889" s="10"/>
      <c r="G889" s="10"/>
      <c r="H889" s="10"/>
      <c r="I889" s="10"/>
      <c r="J889" s="10"/>
    </row>
    <row r="890" spans="2:10" ht="33" customHeight="1" x14ac:dyDescent="0.3">
      <c r="B890" s="10"/>
      <c r="C890" s="10"/>
      <c r="D890" s="10"/>
      <c r="F890" s="10"/>
      <c r="G890" s="10"/>
      <c r="H890" s="10"/>
      <c r="I890" s="10"/>
      <c r="J890" s="10"/>
    </row>
    <row r="891" spans="2:10" ht="33" customHeight="1" x14ac:dyDescent="0.3">
      <c r="B891" s="10"/>
      <c r="C891" s="10"/>
      <c r="D891" s="10"/>
      <c r="F891" s="10"/>
      <c r="G891" s="10"/>
      <c r="H891" s="10"/>
      <c r="I891" s="10"/>
      <c r="J891" s="10"/>
    </row>
    <row r="892" spans="2:10" ht="33" customHeight="1" x14ac:dyDescent="0.3">
      <c r="B892" s="10"/>
      <c r="C892" s="10"/>
      <c r="D892" s="10"/>
      <c r="F892" s="10"/>
      <c r="G892" s="10"/>
      <c r="H892" s="10"/>
      <c r="I892" s="10"/>
      <c r="J892" s="10"/>
    </row>
    <row r="893" spans="2:10" ht="33" customHeight="1" x14ac:dyDescent="0.3">
      <c r="B893" s="10"/>
      <c r="C893" s="10"/>
      <c r="D893" s="10"/>
      <c r="F893" s="10"/>
      <c r="G893" s="10"/>
      <c r="H893" s="10"/>
      <c r="I893" s="10"/>
      <c r="J893" s="10"/>
    </row>
    <row r="894" spans="2:10" ht="33" customHeight="1" x14ac:dyDescent="0.3">
      <c r="B894" s="10"/>
      <c r="C894" s="10"/>
      <c r="D894" s="10"/>
      <c r="F894" s="10"/>
      <c r="G894" s="10"/>
      <c r="H894" s="10"/>
      <c r="I894" s="10"/>
      <c r="J894" s="10"/>
    </row>
    <row r="895" spans="2:10" ht="33" customHeight="1" x14ac:dyDescent="0.3">
      <c r="B895" s="10"/>
      <c r="C895" s="10"/>
      <c r="D895" s="10"/>
      <c r="F895" s="10"/>
      <c r="G895" s="10"/>
      <c r="H895" s="10"/>
      <c r="I895" s="10"/>
      <c r="J895" s="10"/>
    </row>
    <row r="896" spans="2:10" ht="33" customHeight="1" x14ac:dyDescent="0.3">
      <c r="B896" s="10"/>
      <c r="C896" s="10"/>
      <c r="D896" s="10"/>
      <c r="F896" s="10"/>
      <c r="G896" s="10"/>
      <c r="H896" s="10"/>
      <c r="I896" s="10"/>
      <c r="J896" s="10"/>
    </row>
    <row r="897" spans="2:10" ht="33" customHeight="1" x14ac:dyDescent="0.3">
      <c r="B897" s="10"/>
      <c r="C897" s="10"/>
      <c r="D897" s="10"/>
      <c r="F897" s="10"/>
      <c r="G897" s="10"/>
      <c r="H897" s="10"/>
      <c r="I897" s="10"/>
      <c r="J897" s="10"/>
    </row>
    <row r="898" spans="2:10" ht="33" customHeight="1" x14ac:dyDescent="0.3">
      <c r="B898" s="10"/>
      <c r="C898" s="10"/>
      <c r="D898" s="10"/>
      <c r="F898" s="10"/>
      <c r="G898" s="10"/>
      <c r="H898" s="10"/>
      <c r="I898" s="10"/>
      <c r="J898" s="10"/>
    </row>
    <row r="899" spans="2:10" ht="33" customHeight="1" x14ac:dyDescent="0.3">
      <c r="B899" s="10"/>
      <c r="C899" s="10"/>
      <c r="D899" s="10"/>
      <c r="F899" s="10"/>
      <c r="G899" s="10"/>
      <c r="H899" s="10"/>
      <c r="I899" s="10"/>
      <c r="J899" s="10"/>
    </row>
    <row r="900" spans="2:10" ht="33" customHeight="1" x14ac:dyDescent="0.3">
      <c r="B900" s="10"/>
      <c r="C900" s="10"/>
      <c r="D900" s="10"/>
      <c r="F900" s="10"/>
      <c r="G900" s="10"/>
      <c r="H900" s="10"/>
      <c r="I900" s="10"/>
      <c r="J900" s="10"/>
    </row>
    <row r="901" spans="2:10" ht="33" customHeight="1" x14ac:dyDescent="0.3">
      <c r="B901" s="10"/>
      <c r="C901" s="10"/>
      <c r="D901" s="10"/>
      <c r="F901" s="10"/>
      <c r="G901" s="10"/>
      <c r="H901" s="10"/>
      <c r="I901" s="10"/>
      <c r="J901" s="10"/>
    </row>
    <row r="902" spans="2:10" ht="33" customHeight="1" x14ac:dyDescent="0.3">
      <c r="B902" s="10"/>
      <c r="C902" s="10"/>
      <c r="D902" s="10"/>
      <c r="F902" s="10"/>
      <c r="G902" s="10"/>
      <c r="H902" s="10"/>
      <c r="I902" s="10"/>
      <c r="J902" s="10"/>
    </row>
    <row r="903" spans="2:10" ht="33" customHeight="1" x14ac:dyDescent="0.3">
      <c r="B903" s="10"/>
      <c r="C903" s="10"/>
      <c r="D903" s="10"/>
      <c r="F903" s="10"/>
      <c r="G903" s="10"/>
      <c r="H903" s="10"/>
      <c r="I903" s="10"/>
      <c r="J903" s="10"/>
    </row>
    <row r="904" spans="2:10" ht="33" customHeight="1" x14ac:dyDescent="0.3">
      <c r="B904" s="10"/>
      <c r="C904" s="10"/>
      <c r="D904" s="10"/>
      <c r="F904" s="10"/>
      <c r="G904" s="10"/>
      <c r="H904" s="10"/>
      <c r="I904" s="10"/>
      <c r="J904" s="10"/>
    </row>
    <row r="905" spans="2:10" ht="33" customHeight="1" x14ac:dyDescent="0.3">
      <c r="B905" s="10"/>
      <c r="C905" s="10"/>
      <c r="D905" s="10"/>
      <c r="F905" s="10"/>
      <c r="G905" s="10"/>
      <c r="H905" s="10"/>
      <c r="I905" s="10"/>
      <c r="J905" s="10"/>
    </row>
    <row r="906" spans="2:10" ht="33" customHeight="1" x14ac:dyDescent="0.3">
      <c r="B906" s="10"/>
      <c r="C906" s="10"/>
      <c r="D906" s="10"/>
      <c r="F906" s="10"/>
      <c r="G906" s="10"/>
      <c r="H906" s="10"/>
      <c r="I906" s="10"/>
      <c r="J906" s="10"/>
    </row>
    <row r="907" spans="2:10" ht="33" customHeight="1" x14ac:dyDescent="0.3">
      <c r="B907" s="10"/>
      <c r="C907" s="10"/>
      <c r="D907" s="10"/>
      <c r="F907" s="10"/>
      <c r="G907" s="10"/>
      <c r="H907" s="10"/>
      <c r="I907" s="10"/>
      <c r="J907" s="10"/>
    </row>
    <row r="908" spans="2:10" ht="33" customHeight="1" x14ac:dyDescent="0.3">
      <c r="B908" s="10"/>
      <c r="C908" s="10"/>
      <c r="D908" s="10"/>
      <c r="F908" s="10"/>
      <c r="G908" s="10"/>
      <c r="H908" s="10"/>
      <c r="I908" s="10"/>
      <c r="J908" s="10"/>
    </row>
    <row r="909" spans="2:10" ht="33" customHeight="1" x14ac:dyDescent="0.3">
      <c r="B909" s="10"/>
      <c r="C909" s="10"/>
      <c r="D909" s="10"/>
      <c r="F909" s="10"/>
      <c r="G909" s="10"/>
      <c r="H909" s="10"/>
      <c r="I909" s="10"/>
      <c r="J909" s="10"/>
    </row>
    <row r="910" spans="2:10" ht="33" customHeight="1" x14ac:dyDescent="0.3">
      <c r="B910" s="10"/>
      <c r="C910" s="10"/>
      <c r="D910" s="10"/>
      <c r="F910" s="10"/>
      <c r="G910" s="10"/>
      <c r="H910" s="10"/>
      <c r="I910" s="10"/>
      <c r="J910" s="10"/>
    </row>
    <row r="911" spans="2:10" ht="33" customHeight="1" x14ac:dyDescent="0.3">
      <c r="B911" s="10"/>
      <c r="C911" s="10"/>
      <c r="D911" s="10"/>
      <c r="F911" s="10"/>
      <c r="G911" s="10"/>
      <c r="H911" s="10"/>
      <c r="I911" s="10"/>
      <c r="J911" s="10"/>
    </row>
    <row r="912" spans="2:10" ht="33" customHeight="1" x14ac:dyDescent="0.3">
      <c r="B912" s="10"/>
      <c r="C912" s="10"/>
      <c r="D912" s="10"/>
      <c r="F912" s="10"/>
      <c r="G912" s="10"/>
      <c r="H912" s="10"/>
      <c r="I912" s="10"/>
      <c r="J912" s="10"/>
    </row>
    <row r="913" spans="2:10" ht="33" customHeight="1" x14ac:dyDescent="0.3">
      <c r="B913" s="10"/>
      <c r="C913" s="10"/>
      <c r="D913" s="10"/>
      <c r="F913" s="10"/>
      <c r="G913" s="10"/>
      <c r="H913" s="10"/>
      <c r="I913" s="10"/>
      <c r="J913" s="10"/>
    </row>
    <row r="914" spans="2:10" ht="33" customHeight="1" x14ac:dyDescent="0.3">
      <c r="B914" s="10"/>
      <c r="C914" s="10"/>
      <c r="D914" s="10"/>
      <c r="F914" s="10"/>
      <c r="G914" s="10"/>
      <c r="H914" s="10"/>
      <c r="I914" s="10"/>
      <c r="J914" s="10"/>
    </row>
    <row r="915" spans="2:10" ht="33" customHeight="1" x14ac:dyDescent="0.3">
      <c r="B915" s="10"/>
      <c r="C915" s="10"/>
      <c r="D915" s="10"/>
      <c r="F915" s="10"/>
      <c r="G915" s="10"/>
      <c r="H915" s="10"/>
      <c r="I915" s="10"/>
      <c r="J915" s="10"/>
    </row>
    <row r="916" spans="2:10" ht="33" customHeight="1" x14ac:dyDescent="0.3">
      <c r="B916" s="10"/>
      <c r="C916" s="10"/>
      <c r="D916" s="10"/>
      <c r="F916" s="10"/>
      <c r="G916" s="10"/>
      <c r="H916" s="10"/>
      <c r="I916" s="10"/>
      <c r="J916" s="10"/>
    </row>
    <row r="917" spans="2:10" ht="33" customHeight="1" x14ac:dyDescent="0.3">
      <c r="B917" s="10"/>
      <c r="C917" s="10"/>
      <c r="D917" s="10"/>
      <c r="F917" s="10"/>
      <c r="G917" s="10"/>
      <c r="H917" s="10"/>
      <c r="I917" s="10"/>
      <c r="J917" s="10"/>
    </row>
    <row r="918" spans="2:10" ht="33" customHeight="1" x14ac:dyDescent="0.3">
      <c r="B918" s="10"/>
      <c r="C918" s="10"/>
      <c r="D918" s="10"/>
      <c r="F918" s="10"/>
      <c r="G918" s="10"/>
      <c r="H918" s="10"/>
      <c r="I918" s="10"/>
      <c r="J918" s="10"/>
    </row>
    <row r="919" spans="2:10" ht="33" customHeight="1" x14ac:dyDescent="0.3">
      <c r="B919" s="10"/>
      <c r="C919" s="10"/>
      <c r="D919" s="10"/>
      <c r="F919" s="10"/>
      <c r="G919" s="10"/>
      <c r="H919" s="10"/>
      <c r="I919" s="10"/>
      <c r="J919" s="10"/>
    </row>
    <row r="920" spans="2:10" ht="33" customHeight="1" x14ac:dyDescent="0.3">
      <c r="B920" s="10"/>
      <c r="C920" s="10"/>
      <c r="D920" s="10"/>
      <c r="F920" s="10"/>
      <c r="G920" s="10"/>
      <c r="H920" s="10"/>
      <c r="I920" s="10"/>
      <c r="J920" s="10"/>
    </row>
    <row r="921" spans="2:10" ht="33" customHeight="1" x14ac:dyDescent="0.3">
      <c r="B921" s="10"/>
      <c r="C921" s="10"/>
      <c r="D921" s="10"/>
      <c r="F921" s="10"/>
      <c r="G921" s="10"/>
      <c r="H921" s="10"/>
      <c r="I921" s="10"/>
      <c r="J921" s="10"/>
    </row>
    <row r="922" spans="2:10" ht="33" customHeight="1" x14ac:dyDescent="0.3">
      <c r="B922" s="10"/>
      <c r="C922" s="10"/>
      <c r="D922" s="10"/>
      <c r="F922" s="10"/>
      <c r="G922" s="10"/>
      <c r="H922" s="10"/>
      <c r="I922" s="10"/>
      <c r="J922" s="10"/>
    </row>
    <row r="923" spans="2:10" ht="33" customHeight="1" x14ac:dyDescent="0.3">
      <c r="B923" s="10"/>
      <c r="C923" s="10"/>
      <c r="D923" s="10"/>
      <c r="F923" s="10"/>
      <c r="G923" s="10"/>
      <c r="H923" s="10"/>
      <c r="I923" s="10"/>
      <c r="J923" s="10"/>
    </row>
    <row r="924" spans="2:10" ht="33" customHeight="1" x14ac:dyDescent="0.3">
      <c r="B924" s="10"/>
      <c r="C924" s="10"/>
      <c r="D924" s="10"/>
      <c r="F924" s="10"/>
      <c r="G924" s="10"/>
      <c r="H924" s="10"/>
      <c r="I924" s="10"/>
      <c r="J924" s="10"/>
    </row>
    <row r="925" spans="2:10" ht="33" customHeight="1" x14ac:dyDescent="0.3">
      <c r="B925" s="10"/>
      <c r="C925" s="10"/>
      <c r="D925" s="10"/>
      <c r="F925" s="10"/>
      <c r="G925" s="10"/>
      <c r="H925" s="10"/>
      <c r="I925" s="10"/>
      <c r="J925" s="10"/>
    </row>
    <row r="926" spans="2:10" ht="33" customHeight="1" x14ac:dyDescent="0.3">
      <c r="B926" s="10"/>
      <c r="C926" s="10"/>
      <c r="D926" s="10"/>
      <c r="F926" s="10"/>
      <c r="G926" s="10"/>
      <c r="H926" s="10"/>
      <c r="I926" s="10"/>
      <c r="J926" s="10"/>
    </row>
    <row r="927" spans="2:10" ht="33" customHeight="1" x14ac:dyDescent="0.3">
      <c r="B927" s="10"/>
      <c r="C927" s="10"/>
      <c r="D927" s="10"/>
      <c r="F927" s="10"/>
      <c r="G927" s="10"/>
      <c r="H927" s="10"/>
      <c r="I927" s="10"/>
      <c r="J927" s="10"/>
    </row>
    <row r="928" spans="2:10" ht="33" customHeight="1" x14ac:dyDescent="0.3">
      <c r="B928" s="10"/>
      <c r="C928" s="10"/>
      <c r="D928" s="10"/>
      <c r="F928" s="10"/>
      <c r="G928" s="10"/>
      <c r="H928" s="10"/>
      <c r="I928" s="10"/>
      <c r="J928" s="10"/>
    </row>
    <row r="929" spans="2:10" ht="33" customHeight="1" x14ac:dyDescent="0.3">
      <c r="B929" s="10"/>
      <c r="C929" s="10"/>
      <c r="D929" s="10"/>
      <c r="F929" s="10"/>
      <c r="G929" s="10"/>
      <c r="H929" s="10"/>
      <c r="I929" s="10"/>
      <c r="J929" s="10"/>
    </row>
    <row r="930" spans="2:10" ht="33" customHeight="1" x14ac:dyDescent="0.3">
      <c r="B930" s="10"/>
      <c r="C930" s="10"/>
      <c r="D930" s="10"/>
      <c r="F930" s="10"/>
      <c r="G930" s="10"/>
      <c r="H930" s="10"/>
      <c r="I930" s="10"/>
      <c r="J930" s="10"/>
    </row>
    <row r="931" spans="2:10" ht="33" customHeight="1" x14ac:dyDescent="0.3">
      <c r="B931" s="10"/>
      <c r="C931" s="10"/>
      <c r="D931" s="10"/>
      <c r="F931" s="10"/>
      <c r="G931" s="10"/>
      <c r="H931" s="10"/>
      <c r="I931" s="10"/>
      <c r="J931" s="10"/>
    </row>
    <row r="932" spans="2:10" ht="33" customHeight="1" x14ac:dyDescent="0.3">
      <c r="B932" s="10"/>
      <c r="C932" s="10"/>
      <c r="D932" s="10"/>
      <c r="F932" s="10"/>
      <c r="G932" s="10"/>
      <c r="H932" s="10"/>
      <c r="I932" s="10"/>
      <c r="J932" s="10"/>
    </row>
    <row r="933" spans="2:10" ht="33" customHeight="1" x14ac:dyDescent="0.3">
      <c r="B933" s="10"/>
      <c r="C933" s="10"/>
      <c r="D933" s="10"/>
      <c r="F933" s="10"/>
      <c r="G933" s="10"/>
      <c r="H933" s="10"/>
      <c r="I933" s="10"/>
      <c r="J933" s="10"/>
    </row>
    <row r="934" spans="2:10" ht="33" customHeight="1" x14ac:dyDescent="0.3">
      <c r="B934" s="10"/>
      <c r="C934" s="10"/>
      <c r="D934" s="10"/>
      <c r="F934" s="10"/>
      <c r="G934" s="10"/>
      <c r="H934" s="10"/>
      <c r="I934" s="10"/>
      <c r="J934" s="10"/>
    </row>
    <row r="935" spans="2:10" ht="33" customHeight="1" x14ac:dyDescent="0.3">
      <c r="B935" s="10"/>
      <c r="C935" s="10"/>
      <c r="D935" s="10"/>
      <c r="F935" s="10"/>
      <c r="G935" s="10"/>
      <c r="H935" s="10"/>
      <c r="I935" s="10"/>
      <c r="J935" s="10"/>
    </row>
    <row r="936" spans="2:10" ht="33" customHeight="1" x14ac:dyDescent="0.3">
      <c r="B936" s="10"/>
      <c r="C936" s="10"/>
      <c r="D936" s="10"/>
      <c r="F936" s="10"/>
      <c r="G936" s="10"/>
      <c r="H936" s="10"/>
      <c r="I936" s="10"/>
      <c r="J936" s="10"/>
    </row>
    <row r="937" spans="2:10" ht="33" customHeight="1" x14ac:dyDescent="0.3">
      <c r="B937" s="10"/>
      <c r="C937" s="10"/>
      <c r="D937" s="10"/>
      <c r="F937" s="10"/>
      <c r="G937" s="10"/>
      <c r="H937" s="10"/>
      <c r="I937" s="10"/>
      <c r="J937" s="10"/>
    </row>
    <row r="938" spans="2:10" ht="33" customHeight="1" x14ac:dyDescent="0.3">
      <c r="B938" s="10"/>
      <c r="C938" s="10"/>
      <c r="D938" s="10"/>
      <c r="F938" s="10"/>
      <c r="G938" s="10"/>
      <c r="H938" s="10"/>
      <c r="I938" s="10"/>
      <c r="J938" s="10"/>
    </row>
    <row r="939" spans="2:10" ht="33" customHeight="1" x14ac:dyDescent="0.3">
      <c r="B939" s="10"/>
      <c r="C939" s="10"/>
      <c r="D939" s="10"/>
      <c r="F939" s="10"/>
      <c r="G939" s="10"/>
      <c r="H939" s="10"/>
      <c r="I939" s="10"/>
      <c r="J939" s="10"/>
    </row>
    <row r="940" spans="2:10" ht="33" customHeight="1" x14ac:dyDescent="0.3">
      <c r="B940" s="10"/>
      <c r="C940" s="10"/>
      <c r="D940" s="10"/>
      <c r="F940" s="10"/>
      <c r="G940" s="10"/>
      <c r="H940" s="10"/>
      <c r="I940" s="10"/>
      <c r="J940" s="10"/>
    </row>
    <row r="941" spans="2:10" ht="33" customHeight="1" x14ac:dyDescent="0.3">
      <c r="B941" s="10"/>
      <c r="C941" s="10"/>
      <c r="D941" s="10"/>
      <c r="F941" s="10"/>
      <c r="G941" s="10"/>
      <c r="H941" s="10"/>
      <c r="I941" s="10"/>
      <c r="J941" s="10"/>
    </row>
    <row r="942" spans="2:10" ht="33" customHeight="1" x14ac:dyDescent="0.3">
      <c r="B942" s="10"/>
      <c r="C942" s="10"/>
      <c r="D942" s="10"/>
      <c r="F942" s="10"/>
      <c r="G942" s="10"/>
      <c r="H942" s="10"/>
      <c r="I942" s="10"/>
      <c r="J942" s="10"/>
    </row>
    <row r="943" spans="2:10" ht="33" customHeight="1" x14ac:dyDescent="0.3">
      <c r="B943" s="10"/>
      <c r="C943" s="10"/>
      <c r="D943" s="10"/>
      <c r="F943" s="10"/>
      <c r="G943" s="10"/>
      <c r="H943" s="10"/>
      <c r="I943" s="10"/>
      <c r="J943" s="10"/>
    </row>
    <row r="944" spans="2:10" ht="33" customHeight="1" x14ac:dyDescent="0.3">
      <c r="B944" s="10"/>
      <c r="C944" s="10"/>
      <c r="D944" s="10"/>
      <c r="F944" s="10"/>
      <c r="G944" s="10"/>
      <c r="H944" s="10"/>
      <c r="I944" s="10"/>
      <c r="J944" s="10"/>
    </row>
    <row r="945" spans="2:10" ht="33" customHeight="1" x14ac:dyDescent="0.3">
      <c r="B945" s="10"/>
      <c r="C945" s="10"/>
      <c r="D945" s="10"/>
      <c r="F945" s="10"/>
      <c r="G945" s="10"/>
      <c r="H945" s="10"/>
      <c r="I945" s="10"/>
      <c r="J945" s="10"/>
    </row>
    <row r="946" spans="2:10" ht="33" customHeight="1" x14ac:dyDescent="0.3">
      <c r="B946" s="10"/>
      <c r="C946" s="10"/>
      <c r="D946" s="10"/>
      <c r="F946" s="10"/>
      <c r="G946" s="10"/>
      <c r="H946" s="10"/>
      <c r="I946" s="10"/>
      <c r="J946" s="10"/>
    </row>
    <row r="947" spans="2:10" ht="33" customHeight="1" x14ac:dyDescent="0.3">
      <c r="B947" s="10"/>
      <c r="C947" s="10"/>
      <c r="D947" s="10"/>
      <c r="F947" s="10"/>
      <c r="G947" s="10"/>
      <c r="H947" s="10"/>
      <c r="I947" s="10"/>
      <c r="J947" s="10"/>
    </row>
    <row r="948" spans="2:10" ht="33" customHeight="1" x14ac:dyDescent="0.3">
      <c r="B948" s="10"/>
      <c r="C948" s="10"/>
      <c r="D948" s="10"/>
      <c r="F948" s="10"/>
      <c r="G948" s="10"/>
      <c r="H948" s="10"/>
      <c r="I948" s="10"/>
      <c r="J948" s="10"/>
    </row>
    <row r="949" spans="2:10" ht="33" customHeight="1" x14ac:dyDescent="0.3">
      <c r="B949" s="10"/>
      <c r="C949" s="10"/>
      <c r="D949" s="10"/>
      <c r="F949" s="10"/>
      <c r="G949" s="10"/>
      <c r="H949" s="10"/>
      <c r="I949" s="10"/>
      <c r="J949" s="10"/>
    </row>
    <row r="950" spans="2:10" ht="33" customHeight="1" x14ac:dyDescent="0.3">
      <c r="B950" s="10"/>
      <c r="C950" s="10"/>
      <c r="D950" s="10"/>
      <c r="F950" s="10"/>
      <c r="G950" s="10"/>
      <c r="H950" s="10"/>
      <c r="I950" s="10"/>
      <c r="J950" s="10"/>
    </row>
    <row r="951" spans="2:10" ht="33" customHeight="1" x14ac:dyDescent="0.3">
      <c r="B951" s="10"/>
      <c r="C951" s="10"/>
      <c r="D951" s="10"/>
      <c r="F951" s="10"/>
      <c r="G951" s="10"/>
      <c r="H951" s="10"/>
      <c r="I951" s="10"/>
      <c r="J951" s="10"/>
    </row>
    <row r="952" spans="2:10" ht="33" customHeight="1" x14ac:dyDescent="0.3">
      <c r="B952" s="10"/>
      <c r="C952" s="10"/>
      <c r="D952" s="10"/>
      <c r="F952" s="10"/>
      <c r="G952" s="10"/>
      <c r="H952" s="10"/>
      <c r="I952" s="10"/>
      <c r="J952" s="10"/>
    </row>
    <row r="953" spans="2:10" ht="33" customHeight="1" x14ac:dyDescent="0.3">
      <c r="B953" s="10"/>
      <c r="C953" s="10"/>
      <c r="D953" s="10"/>
      <c r="F953" s="10"/>
      <c r="G953" s="10"/>
      <c r="H953" s="10"/>
      <c r="I953" s="10"/>
      <c r="J953" s="10"/>
    </row>
    <row r="954" spans="2:10" ht="33" customHeight="1" x14ac:dyDescent="0.3">
      <c r="B954" s="10"/>
      <c r="C954" s="10"/>
      <c r="D954" s="10"/>
      <c r="F954" s="10"/>
      <c r="G954" s="10"/>
      <c r="H954" s="10"/>
      <c r="I954" s="10"/>
      <c r="J954" s="10"/>
    </row>
    <row r="955" spans="2:10" ht="33" customHeight="1" x14ac:dyDescent="0.3">
      <c r="B955" s="10"/>
      <c r="C955" s="10"/>
      <c r="D955" s="10"/>
      <c r="F955" s="10"/>
      <c r="G955" s="10"/>
      <c r="H955" s="10"/>
      <c r="I955" s="10"/>
      <c r="J955" s="10"/>
    </row>
    <row r="956" spans="2:10" ht="33" customHeight="1" x14ac:dyDescent="0.3">
      <c r="B956" s="10"/>
      <c r="C956" s="10"/>
      <c r="D956" s="10"/>
      <c r="F956" s="10"/>
      <c r="G956" s="10"/>
      <c r="H956" s="10"/>
      <c r="I956" s="10"/>
      <c r="J956" s="10"/>
    </row>
    <row r="957" spans="2:10" ht="33" customHeight="1" x14ac:dyDescent="0.3">
      <c r="B957" s="10"/>
      <c r="C957" s="10"/>
      <c r="D957" s="10"/>
      <c r="F957" s="10"/>
      <c r="G957" s="10"/>
      <c r="H957" s="10"/>
      <c r="I957" s="10"/>
      <c r="J957" s="10"/>
    </row>
    <row r="958" spans="2:10" ht="33" customHeight="1" x14ac:dyDescent="0.3">
      <c r="B958" s="10"/>
      <c r="C958" s="10"/>
      <c r="D958" s="10"/>
      <c r="F958" s="10"/>
      <c r="G958" s="10"/>
      <c r="H958" s="10"/>
      <c r="I958" s="10"/>
      <c r="J958" s="10"/>
    </row>
    <row r="959" spans="2:10" ht="33" customHeight="1" x14ac:dyDescent="0.3">
      <c r="B959" s="10"/>
      <c r="C959" s="10"/>
      <c r="D959" s="10"/>
      <c r="F959" s="10"/>
      <c r="G959" s="10"/>
      <c r="H959" s="10"/>
      <c r="I959" s="10"/>
      <c r="J959" s="10"/>
    </row>
    <row r="960" spans="2:10" ht="33" customHeight="1" x14ac:dyDescent="0.3">
      <c r="B960" s="10"/>
      <c r="C960" s="10"/>
      <c r="D960" s="10"/>
      <c r="F960" s="10"/>
      <c r="G960" s="10"/>
      <c r="H960" s="10"/>
      <c r="I960" s="10"/>
      <c r="J960" s="10"/>
    </row>
    <row r="961" spans="2:10" ht="33" customHeight="1" x14ac:dyDescent="0.3">
      <c r="B961" s="10"/>
      <c r="C961" s="10"/>
      <c r="D961" s="10"/>
      <c r="F961" s="10"/>
      <c r="G961" s="10"/>
      <c r="H961" s="10"/>
      <c r="I961" s="10"/>
      <c r="J961" s="10"/>
    </row>
    <row r="962" spans="2:10" ht="33" customHeight="1" x14ac:dyDescent="0.3">
      <c r="B962" s="10"/>
      <c r="C962" s="10"/>
      <c r="D962" s="10"/>
      <c r="F962" s="10"/>
      <c r="G962" s="10"/>
      <c r="H962" s="10"/>
      <c r="I962" s="10"/>
      <c r="J962" s="10"/>
    </row>
    <row r="963" spans="2:10" ht="33" customHeight="1" x14ac:dyDescent="0.3">
      <c r="B963" s="10"/>
      <c r="C963" s="10"/>
      <c r="D963" s="10"/>
      <c r="F963" s="10"/>
      <c r="G963" s="10"/>
      <c r="H963" s="10"/>
      <c r="I963" s="10"/>
      <c r="J963" s="10"/>
    </row>
    <row r="964" spans="2:10" ht="33" customHeight="1" x14ac:dyDescent="0.3">
      <c r="B964" s="10"/>
      <c r="C964" s="10"/>
      <c r="D964" s="10"/>
      <c r="F964" s="10"/>
      <c r="G964" s="10"/>
      <c r="H964" s="10"/>
      <c r="I964" s="10"/>
      <c r="J964" s="10"/>
    </row>
    <row r="965" spans="2:10" ht="33" customHeight="1" x14ac:dyDescent="0.3">
      <c r="B965" s="10"/>
      <c r="C965" s="10"/>
      <c r="D965" s="10"/>
      <c r="F965" s="10"/>
      <c r="G965" s="10"/>
      <c r="H965" s="10"/>
      <c r="I965" s="10"/>
      <c r="J965" s="10"/>
    </row>
    <row r="966" spans="2:10" ht="33" customHeight="1" x14ac:dyDescent="0.3">
      <c r="B966" s="10"/>
      <c r="C966" s="10"/>
      <c r="D966" s="10"/>
      <c r="F966" s="10"/>
      <c r="G966" s="10"/>
      <c r="H966" s="10"/>
      <c r="I966" s="10"/>
      <c r="J966" s="10"/>
    </row>
    <row r="967" spans="2:10" ht="33" customHeight="1" x14ac:dyDescent="0.3">
      <c r="B967" s="10"/>
      <c r="C967" s="10"/>
      <c r="D967" s="10"/>
      <c r="F967" s="10"/>
      <c r="G967" s="10"/>
      <c r="H967" s="10"/>
      <c r="I967" s="10"/>
      <c r="J967" s="10"/>
    </row>
    <row r="968" spans="2:10" ht="33" customHeight="1" x14ac:dyDescent="0.3">
      <c r="B968" s="10"/>
      <c r="C968" s="10"/>
      <c r="D968" s="10"/>
      <c r="F968" s="10"/>
      <c r="G968" s="10"/>
      <c r="H968" s="10"/>
      <c r="I968" s="10"/>
      <c r="J968" s="10"/>
    </row>
    <row r="969" spans="2:10" ht="33" customHeight="1" x14ac:dyDescent="0.3">
      <c r="B969" s="10"/>
      <c r="C969" s="10"/>
      <c r="D969" s="10"/>
      <c r="F969" s="10"/>
      <c r="G969" s="10"/>
      <c r="H969" s="10"/>
      <c r="I969" s="10"/>
      <c r="J969" s="10"/>
    </row>
    <row r="970" spans="2:10" ht="33" customHeight="1" x14ac:dyDescent="0.3">
      <c r="B970" s="10"/>
      <c r="C970" s="10"/>
      <c r="D970" s="10"/>
      <c r="F970" s="10"/>
      <c r="G970" s="10"/>
      <c r="H970" s="10"/>
      <c r="I970" s="10"/>
      <c r="J970" s="10"/>
    </row>
    <row r="971" spans="2:10" ht="33" customHeight="1" x14ac:dyDescent="0.3">
      <c r="B971" s="10"/>
      <c r="C971" s="10"/>
      <c r="D971" s="10"/>
      <c r="F971" s="10"/>
      <c r="G971" s="10"/>
      <c r="H971" s="10"/>
      <c r="I971" s="10"/>
      <c r="J971" s="10"/>
    </row>
    <row r="972" spans="2:10" ht="33" customHeight="1" x14ac:dyDescent="0.3">
      <c r="B972" s="10"/>
      <c r="C972" s="10"/>
      <c r="D972" s="10"/>
      <c r="F972" s="10"/>
      <c r="G972" s="10"/>
      <c r="H972" s="10"/>
      <c r="I972" s="10"/>
      <c r="J972" s="10"/>
    </row>
    <row r="973" spans="2:10" ht="33" customHeight="1" x14ac:dyDescent="0.3">
      <c r="B973" s="10"/>
      <c r="C973" s="10"/>
      <c r="D973" s="10"/>
      <c r="F973" s="10"/>
      <c r="G973" s="10"/>
      <c r="H973" s="10"/>
      <c r="I973" s="10"/>
      <c r="J973" s="10"/>
    </row>
    <row r="974" spans="2:10" ht="33" customHeight="1" x14ac:dyDescent="0.3">
      <c r="B974" s="10"/>
      <c r="C974" s="10"/>
      <c r="D974" s="10"/>
      <c r="F974" s="10"/>
      <c r="G974" s="10"/>
      <c r="H974" s="10"/>
      <c r="I974" s="10"/>
      <c r="J974" s="10"/>
    </row>
    <row r="975" spans="2:10" ht="33" customHeight="1" x14ac:dyDescent="0.3">
      <c r="B975" s="10"/>
      <c r="C975" s="10"/>
      <c r="D975" s="10"/>
      <c r="F975" s="10"/>
      <c r="G975" s="10"/>
      <c r="H975" s="10"/>
      <c r="I975" s="10"/>
      <c r="J975" s="10"/>
    </row>
    <row r="976" spans="2:10" ht="33" customHeight="1" x14ac:dyDescent="0.3">
      <c r="B976" s="10"/>
      <c r="C976" s="10"/>
      <c r="D976" s="10"/>
      <c r="F976" s="10"/>
      <c r="G976" s="10"/>
      <c r="H976" s="10"/>
      <c r="I976" s="10"/>
      <c r="J976" s="10"/>
    </row>
    <row r="977" spans="2:10" ht="33" customHeight="1" x14ac:dyDescent="0.3">
      <c r="B977" s="10"/>
      <c r="C977" s="10"/>
      <c r="D977" s="10"/>
      <c r="F977" s="10"/>
      <c r="G977" s="10"/>
      <c r="H977" s="10"/>
      <c r="I977" s="10"/>
      <c r="J977" s="10"/>
    </row>
    <row r="978" spans="2:10" ht="33" customHeight="1" x14ac:dyDescent="0.3">
      <c r="B978" s="10"/>
      <c r="C978" s="10"/>
      <c r="D978" s="10"/>
      <c r="F978" s="10"/>
      <c r="G978" s="10"/>
      <c r="H978" s="10"/>
      <c r="I978" s="10"/>
      <c r="J978" s="10"/>
    </row>
    <row r="979" spans="2:10" ht="33" customHeight="1" x14ac:dyDescent="0.3">
      <c r="B979" s="10"/>
      <c r="C979" s="10"/>
      <c r="D979" s="10"/>
      <c r="F979" s="10"/>
      <c r="G979" s="10"/>
      <c r="H979" s="10"/>
      <c r="I979" s="10"/>
      <c r="J979" s="10"/>
    </row>
    <row r="980" spans="2:10" ht="33" customHeight="1" x14ac:dyDescent="0.3">
      <c r="B980" s="10"/>
      <c r="C980" s="10"/>
      <c r="D980" s="10"/>
      <c r="F980" s="10"/>
      <c r="G980" s="10"/>
      <c r="H980" s="10"/>
      <c r="I980" s="10"/>
      <c r="J980" s="10"/>
    </row>
    <row r="981" spans="2:10" ht="33" customHeight="1" x14ac:dyDescent="0.3">
      <c r="B981" s="10"/>
      <c r="C981" s="10"/>
      <c r="D981" s="10"/>
      <c r="F981" s="10"/>
      <c r="G981" s="10"/>
      <c r="H981" s="10"/>
      <c r="I981" s="10"/>
      <c r="J981" s="10"/>
    </row>
    <row r="982" spans="2:10" ht="33" customHeight="1" x14ac:dyDescent="0.3">
      <c r="B982" s="10"/>
      <c r="C982" s="10"/>
      <c r="D982" s="10"/>
      <c r="F982" s="10"/>
      <c r="G982" s="10"/>
      <c r="H982" s="10"/>
      <c r="I982" s="10"/>
      <c r="J982" s="10"/>
    </row>
    <row r="983" spans="2:10" ht="33" customHeight="1" x14ac:dyDescent="0.3">
      <c r="B983" s="10"/>
      <c r="C983" s="10"/>
      <c r="D983" s="10"/>
      <c r="F983" s="10"/>
      <c r="G983" s="10"/>
      <c r="H983" s="10"/>
      <c r="I983" s="10"/>
      <c r="J983" s="10"/>
    </row>
    <row r="984" spans="2:10" ht="33" customHeight="1" x14ac:dyDescent="0.3">
      <c r="B984" s="10"/>
      <c r="C984" s="10"/>
      <c r="D984" s="10"/>
      <c r="F984" s="10"/>
      <c r="G984" s="10"/>
      <c r="H984" s="10"/>
      <c r="I984" s="10"/>
      <c r="J984" s="10"/>
    </row>
    <row r="985" spans="2:10" ht="33" customHeight="1" x14ac:dyDescent="0.3">
      <c r="B985" s="10"/>
      <c r="C985" s="10"/>
      <c r="D985" s="10"/>
      <c r="F985" s="10"/>
      <c r="G985" s="10"/>
      <c r="H985" s="10"/>
      <c r="I985" s="10"/>
      <c r="J985" s="10"/>
    </row>
    <row r="986" spans="2:10" ht="33" customHeight="1" x14ac:dyDescent="0.3">
      <c r="B986" s="10"/>
      <c r="C986" s="10"/>
      <c r="D986" s="10"/>
      <c r="F986" s="10"/>
      <c r="G986" s="10"/>
      <c r="H986" s="10"/>
      <c r="I986" s="10"/>
      <c r="J986" s="10"/>
    </row>
    <row r="987" spans="2:10" ht="33" customHeight="1" x14ac:dyDescent="0.3">
      <c r="B987" s="10"/>
      <c r="C987" s="10"/>
      <c r="D987" s="10"/>
      <c r="F987" s="10"/>
      <c r="G987" s="10"/>
      <c r="H987" s="10"/>
      <c r="I987" s="10"/>
      <c r="J987" s="10"/>
    </row>
    <row r="988" spans="2:10" ht="33" customHeight="1" x14ac:dyDescent="0.3">
      <c r="B988" s="10"/>
      <c r="C988" s="10"/>
      <c r="D988" s="10"/>
      <c r="F988" s="10"/>
      <c r="G988" s="10"/>
      <c r="H988" s="10"/>
      <c r="I988" s="10"/>
      <c r="J988" s="10"/>
    </row>
    <row r="989" spans="2:10" ht="33" customHeight="1" x14ac:dyDescent="0.3">
      <c r="B989" s="10"/>
      <c r="C989" s="10"/>
      <c r="D989" s="10"/>
      <c r="F989" s="10"/>
      <c r="G989" s="10"/>
      <c r="H989" s="10"/>
      <c r="I989" s="10"/>
      <c r="J989" s="10"/>
    </row>
    <row r="990" spans="2:10" ht="33" customHeight="1" x14ac:dyDescent="0.3">
      <c r="B990" s="10"/>
      <c r="C990" s="10"/>
      <c r="D990" s="10"/>
      <c r="F990" s="10"/>
      <c r="G990" s="10"/>
      <c r="H990" s="10"/>
      <c r="I990" s="10"/>
      <c r="J990" s="10"/>
    </row>
    <row r="991" spans="2:10" ht="33" customHeight="1" x14ac:dyDescent="0.3">
      <c r="B991" s="10"/>
      <c r="C991" s="10"/>
      <c r="D991" s="10"/>
      <c r="F991" s="10"/>
      <c r="G991" s="10"/>
      <c r="H991" s="10"/>
      <c r="I991" s="10"/>
      <c r="J991" s="10"/>
    </row>
    <row r="992" spans="2:10" ht="33" customHeight="1" x14ac:dyDescent="0.3">
      <c r="B992" s="10"/>
      <c r="C992" s="10"/>
      <c r="D992" s="10"/>
      <c r="F992" s="10"/>
      <c r="G992" s="10"/>
      <c r="H992" s="10"/>
      <c r="I992" s="10"/>
      <c r="J992" s="10"/>
    </row>
    <row r="993" spans="2:10" ht="33" customHeight="1" x14ac:dyDescent="0.3">
      <c r="B993" s="10"/>
      <c r="C993" s="10"/>
      <c r="D993" s="10"/>
      <c r="F993" s="10"/>
      <c r="G993" s="10"/>
      <c r="H993" s="10"/>
      <c r="I993" s="10"/>
      <c r="J993" s="10"/>
    </row>
    <row r="994" spans="2:10" ht="33" customHeight="1" x14ac:dyDescent="0.3">
      <c r="B994" s="10"/>
      <c r="C994" s="10"/>
      <c r="D994" s="10"/>
      <c r="F994" s="10"/>
      <c r="G994" s="10"/>
      <c r="H994" s="10"/>
      <c r="I994" s="10"/>
      <c r="J994" s="10"/>
    </row>
    <row r="995" spans="2:10" ht="33" customHeight="1" x14ac:dyDescent="0.3">
      <c r="B995" s="10"/>
      <c r="C995" s="10"/>
      <c r="D995" s="10"/>
      <c r="F995" s="10"/>
      <c r="G995" s="10"/>
      <c r="H995" s="10"/>
      <c r="I995" s="10"/>
      <c r="J995" s="10"/>
    </row>
    <row r="996" spans="2:10" ht="33" customHeight="1" x14ac:dyDescent="0.3">
      <c r="B996" s="10"/>
      <c r="C996" s="10"/>
      <c r="D996" s="10"/>
      <c r="F996" s="10"/>
      <c r="G996" s="10"/>
      <c r="H996" s="10"/>
      <c r="I996" s="10"/>
      <c r="J996" s="10"/>
    </row>
    <row r="997" spans="2:10" ht="33" customHeight="1" x14ac:dyDescent="0.3">
      <c r="B997" s="10"/>
      <c r="C997" s="10"/>
      <c r="D997" s="10"/>
      <c r="F997" s="10"/>
      <c r="G997" s="10"/>
      <c r="H997" s="10"/>
      <c r="I997" s="10"/>
      <c r="J997" s="10"/>
    </row>
    <row r="998" spans="2:10" ht="33" customHeight="1" x14ac:dyDescent="0.3">
      <c r="B998" s="10"/>
      <c r="C998" s="10"/>
      <c r="D998" s="10"/>
      <c r="F998" s="10"/>
      <c r="G998" s="10"/>
      <c r="H998" s="10"/>
      <c r="I998" s="10"/>
      <c r="J998" s="10"/>
    </row>
    <row r="999" spans="2:10" ht="33" customHeight="1" x14ac:dyDescent="0.3">
      <c r="B999" s="10"/>
      <c r="C999" s="10"/>
      <c r="D999" s="10"/>
      <c r="F999" s="10"/>
      <c r="G999" s="10"/>
      <c r="H999" s="10"/>
      <c r="I999" s="10"/>
      <c r="J999" s="10"/>
    </row>
    <row r="1000" spans="2:10" ht="33" customHeight="1" x14ac:dyDescent="0.3">
      <c r="B1000" s="10"/>
      <c r="C1000" s="10"/>
      <c r="D1000" s="10"/>
      <c r="F1000" s="10"/>
      <c r="G1000" s="10"/>
      <c r="H1000" s="10"/>
      <c r="I1000" s="10"/>
      <c r="J1000" s="10"/>
    </row>
    <row r="1001" spans="2:10" ht="33" customHeight="1" x14ac:dyDescent="0.3">
      <c r="B1001" s="10"/>
      <c r="C1001" s="10"/>
      <c r="D1001" s="10"/>
      <c r="F1001" s="10"/>
      <c r="G1001" s="10"/>
      <c r="H1001" s="10"/>
      <c r="I1001" s="10"/>
      <c r="J1001" s="10"/>
    </row>
    <row r="1002" spans="2:10" ht="33" customHeight="1" x14ac:dyDescent="0.3">
      <c r="B1002" s="10"/>
      <c r="C1002" s="10"/>
      <c r="D1002" s="10"/>
      <c r="F1002" s="10"/>
      <c r="G1002" s="10"/>
      <c r="H1002" s="10"/>
      <c r="I1002" s="10"/>
      <c r="J1002" s="10"/>
    </row>
    <row r="1003" spans="2:10" ht="33" customHeight="1" x14ac:dyDescent="0.3">
      <c r="B1003" s="10"/>
      <c r="C1003" s="10"/>
      <c r="D1003" s="10"/>
      <c r="F1003" s="10"/>
      <c r="G1003" s="10"/>
      <c r="H1003" s="10"/>
      <c r="I1003" s="10"/>
      <c r="J1003" s="10"/>
    </row>
    <row r="1004" spans="2:10" ht="33" customHeight="1" x14ac:dyDescent="0.3">
      <c r="B1004" s="10"/>
      <c r="C1004" s="10"/>
      <c r="D1004" s="10"/>
      <c r="F1004" s="10"/>
      <c r="G1004" s="10"/>
      <c r="H1004" s="10"/>
      <c r="I1004" s="10"/>
      <c r="J1004" s="10"/>
    </row>
    <row r="1005" spans="2:10" ht="33" customHeight="1" x14ac:dyDescent="0.3">
      <c r="B1005" s="10"/>
      <c r="C1005" s="10"/>
      <c r="D1005" s="10"/>
      <c r="F1005" s="10"/>
      <c r="G1005" s="10"/>
      <c r="H1005" s="10"/>
      <c r="I1005" s="10"/>
      <c r="J1005" s="10"/>
    </row>
    <row r="1006" spans="2:10" ht="33" customHeight="1" x14ac:dyDescent="0.3">
      <c r="B1006" s="10"/>
      <c r="C1006" s="10"/>
      <c r="D1006" s="10"/>
      <c r="F1006" s="10"/>
      <c r="G1006" s="10"/>
      <c r="H1006" s="10"/>
      <c r="I1006" s="10"/>
      <c r="J1006" s="10"/>
    </row>
    <row r="1007" spans="2:10" ht="33" customHeight="1" x14ac:dyDescent="0.3">
      <c r="B1007" s="10"/>
      <c r="C1007" s="10"/>
      <c r="D1007" s="10"/>
      <c r="F1007" s="10"/>
      <c r="G1007" s="10"/>
      <c r="H1007" s="10"/>
      <c r="I1007" s="10"/>
      <c r="J1007" s="10"/>
    </row>
    <row r="1008" spans="2:10" ht="33" customHeight="1" x14ac:dyDescent="0.3">
      <c r="B1008" s="10"/>
      <c r="C1008" s="10"/>
      <c r="D1008" s="10"/>
      <c r="F1008" s="10"/>
      <c r="G1008" s="10"/>
      <c r="H1008" s="10"/>
      <c r="I1008" s="10"/>
      <c r="J1008" s="10"/>
    </row>
    <row r="1009" spans="2:10" ht="33" customHeight="1" x14ac:dyDescent="0.3">
      <c r="B1009" s="10"/>
      <c r="C1009" s="10"/>
      <c r="D1009" s="10"/>
      <c r="F1009" s="10"/>
      <c r="G1009" s="10"/>
      <c r="H1009" s="10"/>
      <c r="I1009" s="10"/>
      <c r="J1009" s="10"/>
    </row>
    <row r="1010" spans="2:10" ht="33" customHeight="1" x14ac:dyDescent="0.3">
      <c r="B1010" s="10"/>
      <c r="C1010" s="10"/>
      <c r="D1010" s="10"/>
      <c r="F1010" s="10"/>
      <c r="G1010" s="10"/>
      <c r="H1010" s="10"/>
      <c r="I1010" s="10"/>
      <c r="J1010" s="10"/>
    </row>
    <row r="1011" spans="2:10" ht="33" customHeight="1" x14ac:dyDescent="0.3">
      <c r="B1011" s="10"/>
      <c r="C1011" s="10"/>
      <c r="D1011" s="10"/>
      <c r="F1011" s="10"/>
      <c r="G1011" s="10"/>
      <c r="H1011" s="10"/>
      <c r="I1011" s="10"/>
      <c r="J1011" s="10"/>
    </row>
    <row r="1012" spans="2:10" ht="33" customHeight="1" x14ac:dyDescent="0.3">
      <c r="B1012" s="10"/>
      <c r="C1012" s="10"/>
      <c r="D1012" s="10"/>
      <c r="F1012" s="10"/>
      <c r="G1012" s="10"/>
      <c r="H1012" s="10"/>
      <c r="I1012" s="10"/>
      <c r="J1012" s="10"/>
    </row>
    <row r="1013" spans="2:10" ht="33" customHeight="1" x14ac:dyDescent="0.3">
      <c r="B1013" s="10"/>
      <c r="C1013" s="10"/>
      <c r="D1013" s="10"/>
      <c r="F1013" s="10"/>
      <c r="G1013" s="10"/>
      <c r="H1013" s="10"/>
      <c r="I1013" s="10"/>
      <c r="J1013" s="10"/>
    </row>
    <row r="1014" spans="2:10" ht="33" customHeight="1" x14ac:dyDescent="0.3">
      <c r="B1014" s="10"/>
      <c r="C1014" s="10"/>
      <c r="D1014" s="10"/>
      <c r="F1014" s="10"/>
      <c r="G1014" s="10"/>
      <c r="H1014" s="10"/>
      <c r="I1014" s="10"/>
      <c r="J1014" s="10"/>
    </row>
    <row r="1015" spans="2:10" ht="33" customHeight="1" x14ac:dyDescent="0.3">
      <c r="B1015" s="10"/>
      <c r="C1015" s="10"/>
      <c r="D1015" s="10"/>
      <c r="F1015" s="10"/>
      <c r="G1015" s="10"/>
      <c r="H1015" s="10"/>
      <c r="I1015" s="10"/>
      <c r="J1015" s="10"/>
    </row>
    <row r="1016" spans="2:10" ht="33" customHeight="1" x14ac:dyDescent="0.3">
      <c r="B1016" s="10"/>
      <c r="C1016" s="10"/>
      <c r="D1016" s="10"/>
      <c r="F1016" s="10"/>
      <c r="G1016" s="10"/>
      <c r="H1016" s="10"/>
      <c r="I1016" s="10"/>
      <c r="J1016" s="10"/>
    </row>
    <row r="1017" spans="2:10" ht="33" customHeight="1" x14ac:dyDescent="0.3">
      <c r="B1017" s="10"/>
      <c r="C1017" s="10"/>
      <c r="D1017" s="10"/>
      <c r="F1017" s="10"/>
      <c r="G1017" s="10"/>
      <c r="H1017" s="10"/>
      <c r="I1017" s="10"/>
      <c r="J1017" s="10"/>
    </row>
    <row r="1018" spans="2:10" ht="33" customHeight="1" x14ac:dyDescent="0.3">
      <c r="B1018" s="10"/>
      <c r="C1018" s="10"/>
      <c r="D1018" s="10"/>
      <c r="F1018" s="10"/>
      <c r="G1018" s="10"/>
      <c r="H1018" s="10"/>
      <c r="I1018" s="10"/>
      <c r="J1018" s="10"/>
    </row>
    <row r="1019" spans="2:10" ht="33" customHeight="1" x14ac:dyDescent="0.3">
      <c r="B1019" s="10"/>
      <c r="C1019" s="10"/>
      <c r="D1019" s="10"/>
      <c r="F1019" s="10"/>
      <c r="G1019" s="10"/>
      <c r="H1019" s="10"/>
      <c r="I1019" s="10"/>
      <c r="J1019" s="10"/>
    </row>
    <row r="1020" spans="2:10" ht="33" customHeight="1" x14ac:dyDescent="0.3">
      <c r="B1020" s="10"/>
      <c r="C1020" s="10"/>
      <c r="D1020" s="10"/>
      <c r="F1020" s="10"/>
      <c r="G1020" s="10"/>
      <c r="H1020" s="10"/>
      <c r="I1020" s="10"/>
      <c r="J1020" s="10"/>
    </row>
    <row r="1021" spans="2:10" ht="33" customHeight="1" x14ac:dyDescent="0.3">
      <c r="B1021" s="10"/>
      <c r="C1021" s="10"/>
      <c r="D1021" s="10"/>
      <c r="F1021" s="10"/>
      <c r="G1021" s="10"/>
      <c r="H1021" s="10"/>
      <c r="I1021" s="10"/>
      <c r="J1021" s="10"/>
    </row>
    <row r="1022" spans="2:10" ht="33" customHeight="1" x14ac:dyDescent="0.3">
      <c r="B1022" s="10"/>
      <c r="C1022" s="10"/>
      <c r="D1022" s="10"/>
      <c r="F1022" s="10"/>
      <c r="G1022" s="10"/>
      <c r="H1022" s="10"/>
      <c r="I1022" s="10"/>
      <c r="J1022" s="10"/>
    </row>
    <row r="1023" spans="2:10" ht="33" customHeight="1" x14ac:dyDescent="0.3">
      <c r="B1023" s="10"/>
      <c r="C1023" s="10"/>
      <c r="D1023" s="10"/>
      <c r="F1023" s="10"/>
      <c r="G1023" s="10"/>
      <c r="H1023" s="10"/>
      <c r="I1023" s="10"/>
      <c r="J1023" s="10"/>
    </row>
    <row r="1024" spans="2:10" ht="33" customHeight="1" x14ac:dyDescent="0.3">
      <c r="B1024" s="10"/>
      <c r="C1024" s="10"/>
      <c r="D1024" s="10"/>
      <c r="F1024" s="10"/>
      <c r="G1024" s="10"/>
      <c r="H1024" s="10"/>
      <c r="I1024" s="10"/>
      <c r="J1024" s="10"/>
    </row>
    <row r="1025" spans="2:10" ht="33" customHeight="1" x14ac:dyDescent="0.3">
      <c r="B1025" s="10"/>
      <c r="C1025" s="10"/>
      <c r="D1025" s="10"/>
      <c r="F1025" s="10"/>
      <c r="G1025" s="10"/>
      <c r="H1025" s="10"/>
      <c r="I1025" s="10"/>
      <c r="J1025" s="10"/>
    </row>
    <row r="1026" spans="2:10" ht="33" customHeight="1" x14ac:dyDescent="0.3">
      <c r="B1026" s="10"/>
      <c r="C1026" s="10"/>
      <c r="D1026" s="10"/>
      <c r="F1026" s="10"/>
      <c r="G1026" s="10"/>
      <c r="H1026" s="10"/>
      <c r="I1026" s="10"/>
      <c r="J1026" s="10"/>
    </row>
    <row r="1027" spans="2:10" ht="33" customHeight="1" x14ac:dyDescent="0.3">
      <c r="B1027" s="10"/>
      <c r="C1027" s="10"/>
      <c r="D1027" s="10"/>
      <c r="F1027" s="10"/>
      <c r="G1027" s="10"/>
      <c r="H1027" s="10"/>
      <c r="I1027" s="10"/>
      <c r="J1027" s="10"/>
    </row>
    <row r="1028" spans="2:10" ht="33" customHeight="1" x14ac:dyDescent="0.3">
      <c r="B1028" s="10"/>
      <c r="C1028" s="10"/>
      <c r="D1028" s="10"/>
      <c r="F1028" s="10"/>
      <c r="G1028" s="10"/>
      <c r="H1028" s="10"/>
      <c r="I1028" s="10"/>
      <c r="J1028" s="10"/>
    </row>
    <row r="1029" spans="2:10" ht="33" customHeight="1" x14ac:dyDescent="0.3">
      <c r="B1029" s="10"/>
      <c r="C1029" s="10"/>
      <c r="D1029" s="10"/>
      <c r="F1029" s="10"/>
      <c r="G1029" s="10"/>
      <c r="H1029" s="10"/>
      <c r="I1029" s="10"/>
      <c r="J1029" s="10"/>
    </row>
    <row r="1030" spans="2:10" ht="33" customHeight="1" x14ac:dyDescent="0.3">
      <c r="B1030" s="10"/>
      <c r="C1030" s="10"/>
      <c r="D1030" s="10"/>
      <c r="F1030" s="10"/>
      <c r="G1030" s="10"/>
      <c r="H1030" s="10"/>
      <c r="I1030" s="10"/>
      <c r="J1030" s="10"/>
    </row>
    <row r="1031" spans="2:10" ht="33" customHeight="1" x14ac:dyDescent="0.3">
      <c r="B1031" s="10"/>
      <c r="C1031" s="10"/>
      <c r="D1031" s="10"/>
      <c r="F1031" s="10"/>
      <c r="G1031" s="10"/>
      <c r="H1031" s="10"/>
      <c r="I1031" s="10"/>
      <c r="J1031" s="10"/>
    </row>
    <row r="1032" spans="2:10" ht="33" customHeight="1" x14ac:dyDescent="0.3">
      <c r="B1032" s="10"/>
      <c r="C1032" s="10"/>
      <c r="D1032" s="10"/>
      <c r="F1032" s="10"/>
      <c r="G1032" s="10"/>
      <c r="H1032" s="10"/>
      <c r="I1032" s="10"/>
      <c r="J1032" s="10"/>
    </row>
    <row r="1033" spans="2:10" ht="33" customHeight="1" x14ac:dyDescent="0.3">
      <c r="B1033" s="10"/>
      <c r="C1033" s="10"/>
      <c r="D1033" s="10"/>
      <c r="F1033" s="10"/>
      <c r="G1033" s="10"/>
      <c r="H1033" s="10"/>
      <c r="I1033" s="10"/>
      <c r="J1033" s="10"/>
    </row>
    <row r="1034" spans="2:10" ht="33" customHeight="1" x14ac:dyDescent="0.3">
      <c r="B1034" s="10"/>
      <c r="C1034" s="10"/>
      <c r="D1034" s="10"/>
      <c r="F1034" s="10"/>
      <c r="G1034" s="10"/>
      <c r="H1034" s="10"/>
      <c r="I1034" s="10"/>
      <c r="J1034" s="10"/>
    </row>
    <row r="1035" spans="2:10" ht="33" customHeight="1" x14ac:dyDescent="0.3">
      <c r="B1035" s="10"/>
      <c r="C1035" s="10"/>
      <c r="D1035" s="10"/>
      <c r="F1035" s="10"/>
      <c r="G1035" s="10"/>
      <c r="H1035" s="10"/>
      <c r="I1035" s="10"/>
      <c r="J1035" s="10"/>
    </row>
    <row r="1036" spans="2:10" ht="33" customHeight="1" x14ac:dyDescent="0.3">
      <c r="B1036" s="10"/>
      <c r="C1036" s="10"/>
      <c r="D1036" s="10"/>
      <c r="F1036" s="10"/>
      <c r="G1036" s="10"/>
      <c r="H1036" s="10"/>
      <c r="I1036" s="10"/>
      <c r="J1036" s="10"/>
    </row>
    <row r="1037" spans="2:10" ht="33" customHeight="1" x14ac:dyDescent="0.3">
      <c r="B1037" s="10"/>
      <c r="C1037" s="10"/>
      <c r="D1037" s="10"/>
      <c r="F1037" s="10"/>
      <c r="G1037" s="10"/>
      <c r="H1037" s="10"/>
      <c r="I1037" s="10"/>
      <c r="J1037" s="10"/>
    </row>
    <row r="1038" spans="2:10" ht="33" customHeight="1" x14ac:dyDescent="0.3">
      <c r="B1038" s="10"/>
      <c r="C1038" s="10"/>
      <c r="D1038" s="10"/>
      <c r="F1038" s="10"/>
      <c r="G1038" s="10"/>
      <c r="H1038" s="10"/>
      <c r="I1038" s="10"/>
      <c r="J1038" s="10"/>
    </row>
    <row r="1039" spans="2:10" ht="33" customHeight="1" x14ac:dyDescent="0.3">
      <c r="B1039" s="10"/>
      <c r="C1039" s="10"/>
      <c r="D1039" s="10"/>
      <c r="F1039" s="10"/>
      <c r="G1039" s="10"/>
      <c r="H1039" s="10"/>
      <c r="I1039" s="10"/>
      <c r="J1039" s="10"/>
    </row>
    <row r="1040" spans="2:10" ht="33" customHeight="1" x14ac:dyDescent="0.3">
      <c r="B1040" s="10"/>
      <c r="C1040" s="10"/>
      <c r="D1040" s="10"/>
      <c r="F1040" s="10"/>
      <c r="G1040" s="10"/>
      <c r="H1040" s="10"/>
      <c r="I1040" s="10"/>
      <c r="J1040" s="10"/>
    </row>
    <row r="1041" spans="2:10" ht="33" customHeight="1" x14ac:dyDescent="0.3">
      <c r="B1041" s="10"/>
      <c r="C1041" s="10"/>
      <c r="D1041" s="10"/>
      <c r="F1041" s="10"/>
      <c r="G1041" s="10"/>
      <c r="H1041" s="10"/>
      <c r="I1041" s="10"/>
      <c r="J1041" s="10"/>
    </row>
    <row r="1042" spans="2:10" ht="33" customHeight="1" x14ac:dyDescent="0.3">
      <c r="B1042" s="10"/>
      <c r="C1042" s="10"/>
      <c r="D1042" s="10"/>
      <c r="F1042" s="10"/>
      <c r="G1042" s="10"/>
      <c r="H1042" s="10"/>
      <c r="I1042" s="10"/>
      <c r="J1042" s="10"/>
    </row>
    <row r="1043" spans="2:10" ht="33" customHeight="1" x14ac:dyDescent="0.3">
      <c r="B1043" s="10"/>
      <c r="C1043" s="10"/>
      <c r="D1043" s="10"/>
      <c r="F1043" s="10"/>
      <c r="G1043" s="10"/>
      <c r="H1043" s="10"/>
      <c r="I1043" s="10"/>
      <c r="J1043" s="10"/>
    </row>
    <row r="1044" spans="2:10" ht="33" customHeight="1" x14ac:dyDescent="0.3">
      <c r="B1044" s="10"/>
      <c r="C1044" s="10"/>
      <c r="D1044" s="10"/>
      <c r="F1044" s="10"/>
      <c r="G1044" s="10"/>
      <c r="H1044" s="10"/>
      <c r="I1044" s="10"/>
      <c r="J1044" s="10"/>
    </row>
    <row r="1045" spans="2:10" ht="33" customHeight="1" x14ac:dyDescent="0.3">
      <c r="B1045" s="10"/>
      <c r="C1045" s="10"/>
      <c r="D1045" s="10"/>
      <c r="F1045" s="10"/>
      <c r="G1045" s="10"/>
      <c r="H1045" s="10"/>
      <c r="I1045" s="10"/>
      <c r="J1045" s="10"/>
    </row>
    <row r="1046" spans="2:10" ht="33" customHeight="1" x14ac:dyDescent="0.3">
      <c r="B1046" s="10"/>
      <c r="C1046" s="10"/>
      <c r="D1046" s="10"/>
      <c r="F1046" s="10"/>
      <c r="G1046" s="10"/>
      <c r="H1046" s="10"/>
      <c r="I1046" s="10"/>
      <c r="J1046" s="10"/>
    </row>
    <row r="1047" spans="2:10" ht="33" customHeight="1" x14ac:dyDescent="0.3">
      <c r="B1047" s="10"/>
      <c r="C1047" s="10"/>
      <c r="D1047" s="10"/>
      <c r="F1047" s="10"/>
      <c r="G1047" s="10"/>
      <c r="H1047" s="10"/>
      <c r="I1047" s="10"/>
      <c r="J1047" s="10"/>
    </row>
    <row r="1048" spans="2:10" ht="33" customHeight="1" x14ac:dyDescent="0.3">
      <c r="B1048" s="10"/>
      <c r="C1048" s="10"/>
      <c r="D1048" s="10"/>
      <c r="F1048" s="10"/>
      <c r="G1048" s="10"/>
      <c r="H1048" s="10"/>
      <c r="I1048" s="10"/>
      <c r="J1048" s="10"/>
    </row>
    <row r="1049" spans="2:10" ht="33" customHeight="1" x14ac:dyDescent="0.3">
      <c r="B1049" s="10"/>
      <c r="C1049" s="10"/>
      <c r="D1049" s="10"/>
      <c r="F1049" s="10"/>
      <c r="G1049" s="10"/>
      <c r="H1049" s="10"/>
      <c r="I1049" s="10"/>
      <c r="J1049" s="10"/>
    </row>
    <row r="1050" spans="2:10" ht="33" customHeight="1" x14ac:dyDescent="0.3">
      <c r="B1050" s="10"/>
      <c r="C1050" s="10"/>
      <c r="D1050" s="10"/>
      <c r="F1050" s="10"/>
      <c r="G1050" s="10"/>
      <c r="H1050" s="10"/>
      <c r="I1050" s="10"/>
      <c r="J1050" s="10"/>
    </row>
    <row r="1051" spans="2:10" ht="33" customHeight="1" x14ac:dyDescent="0.3">
      <c r="B1051" s="10"/>
      <c r="C1051" s="10"/>
      <c r="D1051" s="10"/>
      <c r="F1051" s="10"/>
      <c r="G1051" s="10"/>
      <c r="H1051" s="10"/>
      <c r="I1051" s="10"/>
      <c r="J1051" s="10"/>
    </row>
    <row r="1052" spans="2:10" ht="33" customHeight="1" x14ac:dyDescent="0.3">
      <c r="B1052" s="10"/>
      <c r="C1052" s="10"/>
      <c r="D1052" s="10"/>
      <c r="F1052" s="10"/>
      <c r="G1052" s="10"/>
      <c r="H1052" s="10"/>
      <c r="I1052" s="10"/>
      <c r="J1052" s="10"/>
    </row>
    <row r="1053" spans="2:10" ht="33" customHeight="1" x14ac:dyDescent="0.3">
      <c r="B1053" s="10"/>
      <c r="C1053" s="10"/>
      <c r="D1053" s="10"/>
      <c r="F1053" s="10"/>
      <c r="G1053" s="10"/>
      <c r="H1053" s="10"/>
      <c r="I1053" s="10"/>
      <c r="J1053" s="10"/>
    </row>
    <row r="1054" spans="2:10" ht="33" customHeight="1" x14ac:dyDescent="0.3">
      <c r="B1054" s="10"/>
      <c r="C1054" s="10"/>
      <c r="D1054" s="10"/>
      <c r="F1054" s="10"/>
      <c r="G1054" s="10"/>
      <c r="H1054" s="10"/>
      <c r="I1054" s="10"/>
      <c r="J1054" s="10"/>
    </row>
    <row r="1055" spans="2:10" ht="33" customHeight="1" x14ac:dyDescent="0.3">
      <c r="B1055" s="10"/>
      <c r="C1055" s="10"/>
      <c r="D1055" s="10"/>
      <c r="F1055" s="10"/>
      <c r="G1055" s="10"/>
      <c r="H1055" s="10"/>
      <c r="I1055" s="10"/>
      <c r="J1055" s="10"/>
    </row>
    <row r="1056" spans="2:10" ht="33" customHeight="1" x14ac:dyDescent="0.3">
      <c r="B1056" s="10"/>
      <c r="C1056" s="10"/>
      <c r="D1056" s="10"/>
      <c r="F1056" s="10"/>
      <c r="G1056" s="10"/>
      <c r="H1056" s="10"/>
      <c r="I1056" s="10"/>
      <c r="J1056" s="10"/>
    </row>
    <row r="1057" spans="2:10" ht="33" customHeight="1" x14ac:dyDescent="0.3">
      <c r="B1057" s="10"/>
      <c r="C1057" s="10"/>
      <c r="D1057" s="10"/>
      <c r="F1057" s="10"/>
      <c r="G1057" s="10"/>
      <c r="H1057" s="10"/>
      <c r="I1057" s="10"/>
      <c r="J1057" s="10"/>
    </row>
    <row r="1058" spans="2:10" ht="33" customHeight="1" x14ac:dyDescent="0.3">
      <c r="B1058" s="10"/>
      <c r="C1058" s="10"/>
      <c r="D1058" s="10"/>
      <c r="F1058" s="10"/>
      <c r="G1058" s="10"/>
      <c r="H1058" s="10"/>
      <c r="I1058" s="10"/>
      <c r="J1058" s="10"/>
    </row>
    <row r="1059" spans="2:10" ht="33" customHeight="1" x14ac:dyDescent="0.3">
      <c r="B1059" s="10"/>
      <c r="C1059" s="10"/>
      <c r="D1059" s="10"/>
      <c r="F1059" s="10"/>
      <c r="G1059" s="10"/>
      <c r="H1059" s="10"/>
      <c r="I1059" s="10"/>
      <c r="J1059" s="10"/>
    </row>
    <row r="1060" spans="2:10" ht="33" customHeight="1" x14ac:dyDescent="0.3">
      <c r="B1060" s="10"/>
      <c r="C1060" s="10"/>
      <c r="D1060" s="10"/>
      <c r="F1060" s="10"/>
      <c r="G1060" s="10"/>
      <c r="H1060" s="10"/>
      <c r="I1060" s="10"/>
      <c r="J1060" s="10"/>
    </row>
    <row r="1061" spans="2:10" ht="33" customHeight="1" x14ac:dyDescent="0.3">
      <c r="B1061" s="10"/>
      <c r="C1061" s="10"/>
      <c r="D1061" s="10"/>
      <c r="F1061" s="10"/>
      <c r="G1061" s="10"/>
      <c r="H1061" s="10"/>
      <c r="I1061" s="10"/>
      <c r="J1061" s="10"/>
    </row>
    <row r="1062" spans="2:10" ht="33" customHeight="1" x14ac:dyDescent="0.3">
      <c r="B1062" s="10"/>
      <c r="C1062" s="10"/>
      <c r="D1062" s="10"/>
      <c r="F1062" s="10"/>
      <c r="G1062" s="10"/>
      <c r="H1062" s="10"/>
      <c r="I1062" s="10"/>
      <c r="J1062" s="10"/>
    </row>
    <row r="1063" spans="2:10" ht="33" customHeight="1" x14ac:dyDescent="0.3">
      <c r="B1063" s="10"/>
      <c r="C1063" s="10"/>
      <c r="D1063" s="10"/>
      <c r="F1063" s="10"/>
      <c r="G1063" s="10"/>
      <c r="H1063" s="10"/>
      <c r="I1063" s="10"/>
      <c r="J1063" s="10"/>
    </row>
    <row r="1064" spans="2:10" ht="33" customHeight="1" x14ac:dyDescent="0.3">
      <c r="B1064" s="10"/>
      <c r="C1064" s="10"/>
      <c r="D1064" s="10"/>
      <c r="F1064" s="10"/>
      <c r="G1064" s="10"/>
      <c r="H1064" s="10"/>
      <c r="I1064" s="10"/>
      <c r="J1064" s="10"/>
    </row>
    <row r="1065" spans="2:10" ht="33" customHeight="1" x14ac:dyDescent="0.3">
      <c r="B1065" s="10"/>
      <c r="C1065" s="10"/>
      <c r="D1065" s="10"/>
      <c r="F1065" s="10"/>
      <c r="G1065" s="10"/>
      <c r="H1065" s="10"/>
      <c r="I1065" s="10"/>
      <c r="J1065" s="10"/>
    </row>
    <row r="1066" spans="2:10" ht="33" customHeight="1" x14ac:dyDescent="0.3">
      <c r="B1066" s="10"/>
      <c r="C1066" s="10"/>
      <c r="D1066" s="10"/>
      <c r="F1066" s="10"/>
      <c r="G1066" s="10"/>
      <c r="H1066" s="10"/>
      <c r="I1066" s="10"/>
      <c r="J1066" s="10"/>
    </row>
    <row r="1067" spans="2:10" ht="33" customHeight="1" x14ac:dyDescent="0.3">
      <c r="B1067" s="10"/>
      <c r="C1067" s="10"/>
      <c r="D1067" s="10"/>
      <c r="F1067" s="10"/>
      <c r="G1067" s="10"/>
      <c r="H1067" s="10"/>
      <c r="I1067" s="10"/>
      <c r="J1067" s="10"/>
    </row>
    <row r="1068" spans="2:10" ht="33" customHeight="1" x14ac:dyDescent="0.3">
      <c r="B1068" s="10"/>
      <c r="C1068" s="10"/>
      <c r="D1068" s="10"/>
      <c r="F1068" s="10"/>
      <c r="G1068" s="10"/>
      <c r="H1068" s="10"/>
      <c r="I1068" s="10"/>
      <c r="J1068" s="10"/>
    </row>
    <row r="1069" spans="2:10" ht="33" customHeight="1" x14ac:dyDescent="0.3">
      <c r="B1069" s="10"/>
      <c r="C1069" s="10"/>
      <c r="D1069" s="10"/>
      <c r="F1069" s="10"/>
      <c r="G1069" s="10"/>
      <c r="H1069" s="10"/>
      <c r="I1069" s="10"/>
      <c r="J1069" s="10"/>
    </row>
    <row r="1070" spans="2:10" ht="33" customHeight="1" x14ac:dyDescent="0.3">
      <c r="B1070" s="10"/>
      <c r="C1070" s="10"/>
      <c r="D1070" s="10"/>
      <c r="F1070" s="10"/>
      <c r="G1070" s="10"/>
      <c r="H1070" s="10"/>
      <c r="I1070" s="10"/>
      <c r="J1070" s="10"/>
    </row>
    <row r="1071" spans="2:10" ht="33" customHeight="1" x14ac:dyDescent="0.3">
      <c r="B1071" s="10"/>
      <c r="C1071" s="10"/>
      <c r="D1071" s="10"/>
      <c r="F1071" s="10"/>
      <c r="G1071" s="10"/>
      <c r="H1071" s="10"/>
      <c r="I1071" s="10"/>
      <c r="J1071" s="10"/>
    </row>
    <row r="1072" spans="2:10" ht="33" customHeight="1" x14ac:dyDescent="0.3">
      <c r="B1072" s="10"/>
      <c r="C1072" s="10"/>
      <c r="D1072" s="10"/>
      <c r="F1072" s="10"/>
      <c r="G1072" s="10"/>
      <c r="H1072" s="10"/>
      <c r="I1072" s="10"/>
      <c r="J1072" s="10"/>
    </row>
    <row r="1073" spans="2:10" ht="33" customHeight="1" x14ac:dyDescent="0.3">
      <c r="B1073" s="10"/>
      <c r="C1073" s="10"/>
      <c r="D1073" s="10"/>
      <c r="F1073" s="10"/>
      <c r="G1073" s="10"/>
      <c r="H1073" s="10"/>
      <c r="I1073" s="10"/>
      <c r="J1073" s="10"/>
    </row>
    <row r="1074" spans="2:10" ht="33" customHeight="1" x14ac:dyDescent="0.3">
      <c r="B1074" s="10"/>
      <c r="C1074" s="10"/>
      <c r="D1074" s="10"/>
      <c r="F1074" s="10"/>
      <c r="G1074" s="10"/>
      <c r="H1074" s="10"/>
      <c r="I1074" s="10"/>
      <c r="J1074" s="10"/>
    </row>
    <row r="1075" spans="2:10" ht="33" customHeight="1" x14ac:dyDescent="0.3">
      <c r="B1075" s="10"/>
      <c r="C1075" s="10"/>
      <c r="D1075" s="10"/>
      <c r="F1075" s="10"/>
      <c r="G1075" s="10"/>
      <c r="H1075" s="10"/>
      <c r="I1075" s="10"/>
      <c r="J1075" s="10"/>
    </row>
    <row r="1076" spans="2:10" ht="33" customHeight="1" x14ac:dyDescent="0.3">
      <c r="B1076" s="10"/>
      <c r="C1076" s="10"/>
      <c r="D1076" s="10"/>
      <c r="F1076" s="10"/>
      <c r="G1076" s="10"/>
      <c r="H1076" s="10"/>
      <c r="I1076" s="10"/>
      <c r="J1076" s="10"/>
    </row>
    <row r="1077" spans="2:10" ht="33" customHeight="1" x14ac:dyDescent="0.3">
      <c r="B1077" s="10"/>
      <c r="C1077" s="10"/>
      <c r="D1077" s="10"/>
      <c r="F1077" s="10"/>
      <c r="G1077" s="10"/>
      <c r="H1077" s="10"/>
      <c r="I1077" s="10"/>
      <c r="J1077" s="10"/>
    </row>
    <row r="1078" spans="2:10" ht="33" customHeight="1" x14ac:dyDescent="0.3">
      <c r="B1078" s="10"/>
      <c r="C1078" s="10"/>
      <c r="D1078" s="10"/>
      <c r="F1078" s="10"/>
      <c r="G1078" s="10"/>
      <c r="H1078" s="10"/>
      <c r="I1078" s="10"/>
      <c r="J1078" s="10"/>
    </row>
    <row r="1079" spans="2:10" ht="33" customHeight="1" x14ac:dyDescent="0.3">
      <c r="B1079" s="10"/>
      <c r="C1079" s="10"/>
      <c r="D1079" s="10"/>
      <c r="F1079" s="10"/>
      <c r="G1079" s="10"/>
      <c r="H1079" s="10"/>
      <c r="I1079" s="10"/>
      <c r="J1079" s="10"/>
    </row>
    <row r="1080" spans="2:10" ht="33" customHeight="1" x14ac:dyDescent="0.3">
      <c r="B1080" s="10"/>
      <c r="C1080" s="10"/>
      <c r="D1080" s="10"/>
      <c r="F1080" s="10"/>
      <c r="G1080" s="10"/>
      <c r="H1080" s="10"/>
      <c r="I1080" s="10"/>
      <c r="J1080" s="10"/>
    </row>
    <row r="1081" spans="2:10" ht="33" customHeight="1" x14ac:dyDescent="0.3">
      <c r="B1081" s="10"/>
      <c r="C1081" s="10"/>
      <c r="D1081" s="10"/>
      <c r="F1081" s="10"/>
      <c r="G1081" s="10"/>
      <c r="H1081" s="10"/>
      <c r="I1081" s="10"/>
      <c r="J1081" s="10"/>
    </row>
    <row r="1082" spans="2:10" ht="33" customHeight="1" x14ac:dyDescent="0.3">
      <c r="B1082" s="10"/>
      <c r="C1082" s="10"/>
      <c r="D1082" s="10"/>
      <c r="F1082" s="10"/>
      <c r="G1082" s="10"/>
      <c r="H1082" s="10"/>
      <c r="I1082" s="10"/>
      <c r="J1082" s="10"/>
    </row>
    <row r="1083" spans="2:10" ht="33" customHeight="1" x14ac:dyDescent="0.3">
      <c r="B1083" s="10"/>
      <c r="C1083" s="10"/>
      <c r="D1083" s="10"/>
      <c r="F1083" s="10"/>
      <c r="G1083" s="10"/>
      <c r="H1083" s="10"/>
      <c r="I1083" s="10"/>
      <c r="J1083" s="10"/>
    </row>
    <row r="1084" spans="2:10" ht="33" customHeight="1" x14ac:dyDescent="0.3">
      <c r="B1084" s="10"/>
      <c r="C1084" s="10"/>
      <c r="D1084" s="10"/>
      <c r="F1084" s="10"/>
      <c r="G1084" s="10"/>
      <c r="H1084" s="10"/>
      <c r="I1084" s="10"/>
      <c r="J1084" s="10"/>
    </row>
    <row r="1085" spans="2:10" ht="33" customHeight="1" x14ac:dyDescent="0.3">
      <c r="B1085" s="10"/>
      <c r="C1085" s="10"/>
      <c r="D1085" s="10"/>
      <c r="F1085" s="10"/>
      <c r="G1085" s="10"/>
      <c r="H1085" s="10"/>
      <c r="I1085" s="10"/>
      <c r="J1085" s="10"/>
    </row>
    <row r="1086" spans="2:10" ht="33" customHeight="1" x14ac:dyDescent="0.3">
      <c r="B1086" s="10"/>
      <c r="C1086" s="10"/>
      <c r="D1086" s="10"/>
      <c r="F1086" s="10"/>
      <c r="G1086" s="10"/>
      <c r="H1086" s="10"/>
      <c r="I1086" s="10"/>
      <c r="J1086" s="10"/>
    </row>
    <row r="1087" spans="2:10" ht="33" customHeight="1" x14ac:dyDescent="0.3">
      <c r="B1087" s="10"/>
      <c r="C1087" s="10"/>
      <c r="D1087" s="10"/>
      <c r="F1087" s="10"/>
      <c r="G1087" s="10"/>
      <c r="H1087" s="10"/>
      <c r="I1087" s="10"/>
      <c r="J1087" s="10"/>
    </row>
    <row r="1088" spans="2:10" ht="33" customHeight="1" x14ac:dyDescent="0.3">
      <c r="B1088" s="10"/>
      <c r="C1088" s="10"/>
      <c r="D1088" s="10"/>
      <c r="F1088" s="10"/>
      <c r="G1088" s="10"/>
      <c r="H1088" s="10"/>
      <c r="I1088" s="10"/>
      <c r="J1088" s="10"/>
    </row>
    <row r="1089" spans="2:10" ht="33" customHeight="1" x14ac:dyDescent="0.3">
      <c r="B1089" s="10"/>
      <c r="C1089" s="10"/>
      <c r="D1089" s="10"/>
      <c r="F1089" s="10"/>
      <c r="G1089" s="10"/>
      <c r="H1089" s="10"/>
      <c r="I1089" s="10"/>
      <c r="J1089" s="10"/>
    </row>
    <row r="1090" spans="2:10" ht="33" customHeight="1" x14ac:dyDescent="0.3">
      <c r="B1090" s="10"/>
      <c r="C1090" s="10"/>
      <c r="D1090" s="10"/>
      <c r="F1090" s="10"/>
      <c r="G1090" s="10"/>
      <c r="H1090" s="10"/>
      <c r="I1090" s="10"/>
      <c r="J1090" s="10"/>
    </row>
    <row r="1091" spans="2:10" ht="33" customHeight="1" x14ac:dyDescent="0.3">
      <c r="B1091" s="10"/>
      <c r="C1091" s="10"/>
      <c r="D1091" s="10"/>
      <c r="F1091" s="10"/>
      <c r="G1091" s="10"/>
      <c r="H1091" s="10"/>
      <c r="I1091" s="10"/>
      <c r="J1091" s="10"/>
    </row>
    <row r="1092" spans="2:10" ht="33" customHeight="1" x14ac:dyDescent="0.3">
      <c r="B1092" s="10"/>
      <c r="C1092" s="10"/>
      <c r="D1092" s="10"/>
      <c r="F1092" s="10"/>
      <c r="G1092" s="10"/>
      <c r="H1092" s="10"/>
      <c r="I1092" s="10"/>
      <c r="J1092" s="10"/>
    </row>
    <row r="1093" spans="2:10" ht="33" customHeight="1" x14ac:dyDescent="0.3">
      <c r="B1093" s="10"/>
      <c r="C1093" s="10"/>
      <c r="D1093" s="10"/>
      <c r="F1093" s="10"/>
      <c r="G1093" s="10"/>
      <c r="H1093" s="10"/>
      <c r="I1093" s="10"/>
      <c r="J1093" s="10"/>
    </row>
    <row r="1094" spans="2:10" ht="33" customHeight="1" x14ac:dyDescent="0.3">
      <c r="B1094" s="10"/>
      <c r="C1094" s="10"/>
      <c r="D1094" s="10"/>
      <c r="F1094" s="10"/>
      <c r="G1094" s="10"/>
      <c r="H1094" s="10"/>
      <c r="I1094" s="10"/>
      <c r="J1094" s="10"/>
    </row>
    <row r="1095" spans="2:10" ht="33" customHeight="1" x14ac:dyDescent="0.3">
      <c r="B1095" s="10"/>
      <c r="C1095" s="10"/>
      <c r="D1095" s="10"/>
      <c r="F1095" s="10"/>
      <c r="G1095" s="10"/>
      <c r="H1095" s="10"/>
      <c r="I1095" s="10"/>
      <c r="J1095" s="10"/>
    </row>
    <row r="1096" spans="2:10" ht="33" customHeight="1" x14ac:dyDescent="0.3">
      <c r="B1096" s="10"/>
      <c r="C1096" s="10"/>
      <c r="D1096" s="10"/>
      <c r="F1096" s="10"/>
      <c r="G1096" s="10"/>
      <c r="H1096" s="10"/>
      <c r="I1096" s="10"/>
      <c r="J1096" s="10"/>
    </row>
    <row r="1097" spans="2:10" ht="33" customHeight="1" x14ac:dyDescent="0.3">
      <c r="B1097" s="10"/>
      <c r="C1097" s="10"/>
      <c r="D1097" s="10"/>
      <c r="F1097" s="10"/>
      <c r="G1097" s="10"/>
      <c r="H1097" s="10"/>
      <c r="I1097" s="10"/>
      <c r="J1097" s="10"/>
    </row>
    <row r="1098" spans="2:10" ht="33" customHeight="1" x14ac:dyDescent="0.3">
      <c r="B1098" s="10"/>
      <c r="C1098" s="10"/>
      <c r="D1098" s="10"/>
      <c r="F1098" s="10"/>
      <c r="G1098" s="10"/>
      <c r="H1098" s="10"/>
      <c r="I1098" s="10"/>
      <c r="J1098" s="10"/>
    </row>
    <row r="1099" spans="2:10" ht="33" customHeight="1" x14ac:dyDescent="0.3">
      <c r="B1099" s="10"/>
      <c r="C1099" s="10"/>
      <c r="D1099" s="10"/>
      <c r="F1099" s="10"/>
      <c r="G1099" s="10"/>
      <c r="H1099" s="10"/>
      <c r="I1099" s="10"/>
      <c r="J1099" s="10"/>
    </row>
    <row r="1100" spans="2:10" ht="33" customHeight="1" x14ac:dyDescent="0.3">
      <c r="B1100" s="10"/>
      <c r="C1100" s="10"/>
      <c r="D1100" s="10"/>
      <c r="F1100" s="10"/>
      <c r="G1100" s="10"/>
      <c r="H1100" s="10"/>
      <c r="I1100" s="10"/>
      <c r="J1100" s="10"/>
    </row>
    <row r="1101" spans="2:10" ht="33" customHeight="1" x14ac:dyDescent="0.3">
      <c r="B1101" s="10"/>
      <c r="C1101" s="10"/>
      <c r="D1101" s="10"/>
      <c r="F1101" s="10"/>
      <c r="G1101" s="10"/>
      <c r="H1101" s="10"/>
      <c r="I1101" s="10"/>
      <c r="J1101" s="10"/>
    </row>
    <row r="1102" spans="2:10" ht="33" customHeight="1" x14ac:dyDescent="0.3">
      <c r="B1102" s="10"/>
      <c r="C1102" s="10"/>
      <c r="D1102" s="10"/>
      <c r="F1102" s="10"/>
      <c r="G1102" s="10"/>
      <c r="H1102" s="10"/>
      <c r="I1102" s="10"/>
      <c r="J1102" s="10"/>
    </row>
    <row r="1103" spans="2:10" ht="33" customHeight="1" x14ac:dyDescent="0.3">
      <c r="B1103" s="10"/>
      <c r="C1103" s="10"/>
      <c r="D1103" s="10"/>
      <c r="F1103" s="10"/>
      <c r="G1103" s="10"/>
      <c r="H1103" s="10"/>
      <c r="I1103" s="10"/>
      <c r="J1103" s="10"/>
    </row>
    <row r="1104" spans="2:10" ht="33" customHeight="1" x14ac:dyDescent="0.3">
      <c r="B1104" s="10"/>
      <c r="C1104" s="10"/>
      <c r="D1104" s="10"/>
      <c r="F1104" s="10"/>
      <c r="G1104" s="10"/>
      <c r="H1104" s="10"/>
      <c r="I1104" s="10"/>
      <c r="J1104" s="10"/>
    </row>
    <row r="1105" spans="2:10" ht="33" customHeight="1" x14ac:dyDescent="0.3">
      <c r="B1105" s="10"/>
      <c r="C1105" s="10"/>
      <c r="D1105" s="10"/>
      <c r="F1105" s="10"/>
      <c r="G1105" s="10"/>
      <c r="H1105" s="10"/>
      <c r="I1105" s="10"/>
      <c r="J1105" s="10"/>
    </row>
    <row r="1106" spans="2:10" ht="33" customHeight="1" x14ac:dyDescent="0.3">
      <c r="B1106" s="10"/>
      <c r="C1106" s="10"/>
      <c r="D1106" s="10"/>
      <c r="F1106" s="10"/>
      <c r="G1106" s="10"/>
      <c r="H1106" s="10"/>
      <c r="I1106" s="10"/>
      <c r="J1106" s="10"/>
    </row>
    <row r="1107" spans="2:10" ht="33" customHeight="1" x14ac:dyDescent="0.3">
      <c r="B1107" s="10"/>
      <c r="C1107" s="10"/>
      <c r="D1107" s="10"/>
      <c r="F1107" s="10"/>
      <c r="G1107" s="10"/>
      <c r="H1107" s="10"/>
      <c r="I1107" s="10"/>
      <c r="J1107" s="10"/>
    </row>
    <row r="1108" spans="2:10" ht="33" customHeight="1" x14ac:dyDescent="0.3">
      <c r="B1108" s="10"/>
      <c r="C1108" s="10"/>
      <c r="D1108" s="10"/>
      <c r="F1108" s="10"/>
      <c r="G1108" s="10"/>
      <c r="H1108" s="10"/>
      <c r="I1108" s="10"/>
      <c r="J1108" s="10"/>
    </row>
    <row r="1109" spans="2:10" ht="33" customHeight="1" x14ac:dyDescent="0.3">
      <c r="B1109" s="10"/>
      <c r="C1109" s="10"/>
      <c r="D1109" s="10"/>
      <c r="F1109" s="10"/>
      <c r="G1109" s="10"/>
      <c r="H1109" s="10"/>
      <c r="I1109" s="10"/>
      <c r="J1109" s="10"/>
    </row>
    <row r="1110" spans="2:10" ht="33" customHeight="1" x14ac:dyDescent="0.3">
      <c r="B1110" s="10"/>
      <c r="C1110" s="10"/>
      <c r="D1110" s="10"/>
      <c r="F1110" s="10"/>
      <c r="G1110" s="10"/>
      <c r="H1110" s="10"/>
      <c r="I1110" s="10"/>
      <c r="J1110" s="10"/>
    </row>
    <row r="1111" spans="2:10" ht="33" customHeight="1" x14ac:dyDescent="0.3">
      <c r="B1111" s="10"/>
      <c r="C1111" s="10"/>
      <c r="D1111" s="10"/>
      <c r="F1111" s="10"/>
      <c r="G1111" s="10"/>
      <c r="H1111" s="10"/>
      <c r="I1111" s="10"/>
      <c r="J1111" s="10"/>
    </row>
    <row r="1112" spans="2:10" ht="33" customHeight="1" x14ac:dyDescent="0.3">
      <c r="B1112" s="10"/>
      <c r="C1112" s="10"/>
      <c r="D1112" s="10"/>
      <c r="F1112" s="10"/>
      <c r="G1112" s="10"/>
      <c r="H1112" s="10"/>
      <c r="I1112" s="10"/>
      <c r="J1112" s="10"/>
    </row>
    <row r="1113" spans="2:10" ht="33" customHeight="1" x14ac:dyDescent="0.3">
      <c r="B1113" s="10"/>
      <c r="C1113" s="10"/>
      <c r="D1113" s="10"/>
      <c r="F1113" s="10"/>
      <c r="G1113" s="10"/>
      <c r="H1113" s="10"/>
      <c r="I1113" s="10"/>
      <c r="J1113" s="10"/>
    </row>
    <row r="1114" spans="2:10" ht="33" customHeight="1" x14ac:dyDescent="0.3">
      <c r="B1114" s="10"/>
      <c r="C1114" s="10"/>
      <c r="D1114" s="10"/>
      <c r="F1114" s="10"/>
      <c r="G1114" s="10"/>
      <c r="H1114" s="10"/>
      <c r="I1114" s="10"/>
      <c r="J1114" s="10"/>
    </row>
    <row r="1115" spans="2:10" ht="33" customHeight="1" x14ac:dyDescent="0.3">
      <c r="B1115" s="10"/>
      <c r="C1115" s="10"/>
      <c r="D1115" s="10"/>
      <c r="F1115" s="10"/>
      <c r="G1115" s="10"/>
      <c r="H1115" s="10"/>
      <c r="I1115" s="10"/>
      <c r="J1115" s="10"/>
    </row>
    <row r="1116" spans="2:10" ht="33" customHeight="1" x14ac:dyDescent="0.3">
      <c r="B1116" s="10"/>
      <c r="C1116" s="10"/>
      <c r="D1116" s="10"/>
      <c r="F1116" s="10"/>
      <c r="G1116" s="10"/>
      <c r="H1116" s="10"/>
      <c r="I1116" s="10"/>
      <c r="J1116" s="10"/>
    </row>
    <row r="1117" spans="2:10" ht="33" customHeight="1" x14ac:dyDescent="0.3">
      <c r="B1117" s="10"/>
      <c r="C1117" s="10"/>
      <c r="D1117" s="10"/>
      <c r="F1117" s="10"/>
      <c r="G1117" s="10"/>
      <c r="H1117" s="10"/>
      <c r="I1117" s="10"/>
      <c r="J1117" s="10"/>
    </row>
    <row r="1118" spans="2:10" ht="33" customHeight="1" x14ac:dyDescent="0.3">
      <c r="B1118" s="10"/>
      <c r="C1118" s="10"/>
      <c r="D1118" s="10"/>
      <c r="F1118" s="10"/>
      <c r="G1118" s="10"/>
      <c r="H1118" s="10"/>
      <c r="I1118" s="10"/>
      <c r="J1118" s="10"/>
    </row>
    <row r="1119" spans="2:10" ht="33" customHeight="1" x14ac:dyDescent="0.3">
      <c r="B1119" s="10"/>
      <c r="C1119" s="10"/>
      <c r="D1119" s="10"/>
      <c r="F1119" s="10"/>
      <c r="G1119" s="10"/>
      <c r="H1119" s="10"/>
      <c r="I1119" s="10"/>
      <c r="J1119" s="10"/>
    </row>
    <row r="1120" spans="2:10" ht="33" customHeight="1" x14ac:dyDescent="0.3">
      <c r="B1120" s="10"/>
      <c r="C1120" s="10"/>
      <c r="D1120" s="10"/>
      <c r="F1120" s="10"/>
      <c r="G1120" s="10"/>
      <c r="H1120" s="10"/>
      <c r="I1120" s="10"/>
      <c r="J1120" s="10"/>
    </row>
    <row r="1121" spans="2:10" ht="33" customHeight="1" x14ac:dyDescent="0.3">
      <c r="B1121" s="10"/>
      <c r="C1121" s="10"/>
      <c r="D1121" s="10"/>
      <c r="F1121" s="10"/>
      <c r="G1121" s="10"/>
      <c r="H1121" s="10"/>
      <c r="I1121" s="10"/>
      <c r="J1121" s="10"/>
    </row>
    <row r="1122" spans="2:10" ht="33" customHeight="1" x14ac:dyDescent="0.3">
      <c r="B1122" s="10"/>
      <c r="C1122" s="10"/>
      <c r="D1122" s="10"/>
      <c r="F1122" s="10"/>
      <c r="G1122" s="10"/>
      <c r="H1122" s="10"/>
      <c r="I1122" s="10"/>
      <c r="J1122" s="10"/>
    </row>
    <row r="1123" spans="2:10" ht="33" customHeight="1" x14ac:dyDescent="0.3">
      <c r="B1123" s="10"/>
      <c r="C1123" s="10"/>
      <c r="D1123" s="10"/>
      <c r="F1123" s="10"/>
      <c r="G1123" s="10"/>
      <c r="H1123" s="10"/>
      <c r="I1123" s="10"/>
      <c r="J1123" s="10"/>
    </row>
    <row r="1124" spans="2:10" ht="33" customHeight="1" x14ac:dyDescent="0.3">
      <c r="B1124" s="10"/>
      <c r="C1124" s="10"/>
      <c r="D1124" s="10"/>
      <c r="F1124" s="10"/>
      <c r="G1124" s="10"/>
      <c r="H1124" s="10"/>
      <c r="I1124" s="10"/>
      <c r="J1124" s="10"/>
    </row>
    <row r="1125" spans="2:10" ht="33" customHeight="1" x14ac:dyDescent="0.3">
      <c r="B1125" s="10"/>
      <c r="C1125" s="10"/>
      <c r="D1125" s="10"/>
      <c r="F1125" s="10"/>
      <c r="G1125" s="10"/>
      <c r="H1125" s="10"/>
      <c r="I1125" s="10"/>
      <c r="J1125" s="10"/>
    </row>
    <row r="1126" spans="2:10" ht="33" customHeight="1" x14ac:dyDescent="0.3">
      <c r="B1126" s="10"/>
      <c r="C1126" s="10"/>
      <c r="D1126" s="10"/>
      <c r="F1126" s="10"/>
      <c r="G1126" s="10"/>
      <c r="H1126" s="10"/>
      <c r="I1126" s="10"/>
      <c r="J1126" s="10"/>
    </row>
    <row r="1127" spans="2:10" ht="33" customHeight="1" x14ac:dyDescent="0.3">
      <c r="B1127" s="10"/>
      <c r="C1127" s="10"/>
      <c r="D1127" s="10"/>
      <c r="F1127" s="10"/>
      <c r="G1127" s="10"/>
      <c r="H1127" s="10"/>
      <c r="I1127" s="10"/>
      <c r="J1127" s="10"/>
    </row>
    <row r="1128" spans="2:10" ht="33" customHeight="1" x14ac:dyDescent="0.3">
      <c r="B1128" s="10"/>
      <c r="C1128" s="10"/>
      <c r="D1128" s="10"/>
      <c r="F1128" s="10"/>
      <c r="G1128" s="10"/>
      <c r="H1128" s="10"/>
      <c r="I1128" s="10"/>
      <c r="J1128" s="10"/>
    </row>
    <row r="1129" spans="2:10" ht="33" customHeight="1" x14ac:dyDescent="0.3">
      <c r="B1129" s="10"/>
      <c r="C1129" s="10"/>
      <c r="D1129" s="10"/>
      <c r="F1129" s="10"/>
      <c r="G1129" s="10"/>
      <c r="H1129" s="10"/>
      <c r="I1129" s="10"/>
      <c r="J1129" s="10"/>
    </row>
    <row r="1130" spans="2:10" ht="33" customHeight="1" x14ac:dyDescent="0.3">
      <c r="B1130" s="10"/>
      <c r="C1130" s="10"/>
      <c r="D1130" s="10"/>
      <c r="F1130" s="10"/>
      <c r="G1130" s="10"/>
      <c r="H1130" s="10"/>
      <c r="I1130" s="10"/>
      <c r="J1130" s="10"/>
    </row>
    <row r="1131" spans="2:10" ht="33" customHeight="1" x14ac:dyDescent="0.3">
      <c r="B1131" s="10"/>
      <c r="C1131" s="10"/>
      <c r="D1131" s="10"/>
      <c r="F1131" s="10"/>
      <c r="G1131" s="10"/>
      <c r="H1131" s="10"/>
      <c r="I1131" s="10"/>
      <c r="J1131" s="10"/>
    </row>
    <row r="1132" spans="2:10" ht="33" customHeight="1" x14ac:dyDescent="0.3">
      <c r="B1132" s="10"/>
      <c r="C1132" s="10"/>
      <c r="D1132" s="10"/>
      <c r="F1132" s="10"/>
      <c r="G1132" s="10"/>
      <c r="H1132" s="10"/>
      <c r="I1132" s="10"/>
      <c r="J1132" s="10"/>
    </row>
    <row r="1133" spans="2:10" ht="33" customHeight="1" x14ac:dyDescent="0.3">
      <c r="B1133" s="10"/>
      <c r="C1133" s="10"/>
      <c r="D1133" s="10"/>
      <c r="F1133" s="10"/>
      <c r="G1133" s="10"/>
      <c r="H1133" s="10"/>
      <c r="I1133" s="10"/>
      <c r="J1133" s="10"/>
    </row>
    <row r="1134" spans="2:10" ht="33" customHeight="1" x14ac:dyDescent="0.3">
      <c r="B1134" s="10"/>
      <c r="C1134" s="10"/>
      <c r="D1134" s="10"/>
      <c r="F1134" s="10"/>
      <c r="G1134" s="10"/>
      <c r="H1134" s="10"/>
      <c r="I1134" s="10"/>
      <c r="J1134" s="10"/>
    </row>
    <row r="1135" spans="2:10" ht="33" customHeight="1" x14ac:dyDescent="0.3">
      <c r="B1135" s="10"/>
      <c r="C1135" s="10"/>
      <c r="D1135" s="10"/>
      <c r="F1135" s="10"/>
      <c r="G1135" s="10"/>
      <c r="H1135" s="10"/>
      <c r="I1135" s="10"/>
      <c r="J1135" s="10"/>
    </row>
    <row r="1136" spans="2:10" ht="33" customHeight="1" x14ac:dyDescent="0.3">
      <c r="B1136" s="10"/>
      <c r="C1136" s="10"/>
      <c r="D1136" s="10"/>
      <c r="F1136" s="10"/>
      <c r="G1136" s="10"/>
      <c r="H1136" s="10"/>
      <c r="I1136" s="10"/>
      <c r="J1136" s="10"/>
    </row>
    <row r="1137" spans="2:10" ht="33" customHeight="1" x14ac:dyDescent="0.3">
      <c r="B1137" s="10"/>
      <c r="C1137" s="10"/>
      <c r="D1137" s="10"/>
      <c r="F1137" s="10"/>
      <c r="G1137" s="10"/>
      <c r="H1137" s="10"/>
      <c r="I1137" s="10"/>
      <c r="J1137" s="10"/>
    </row>
    <row r="1138" spans="2:10" ht="33" customHeight="1" x14ac:dyDescent="0.3">
      <c r="B1138" s="10"/>
      <c r="C1138" s="10"/>
      <c r="D1138" s="10"/>
      <c r="F1138" s="10"/>
      <c r="G1138" s="10"/>
      <c r="H1138" s="10"/>
      <c r="I1138" s="10"/>
      <c r="J1138" s="10"/>
    </row>
    <row r="1139" spans="2:10" ht="33" customHeight="1" x14ac:dyDescent="0.3">
      <c r="B1139" s="10"/>
      <c r="C1139" s="10"/>
      <c r="D1139" s="10"/>
      <c r="F1139" s="10"/>
      <c r="G1139" s="10"/>
      <c r="H1139" s="10"/>
      <c r="I1139" s="10"/>
      <c r="J1139" s="10"/>
    </row>
    <row r="1140" spans="2:10" ht="33" customHeight="1" x14ac:dyDescent="0.3">
      <c r="B1140" s="10"/>
      <c r="C1140" s="10"/>
      <c r="D1140" s="10"/>
      <c r="F1140" s="10"/>
      <c r="G1140" s="10"/>
      <c r="H1140" s="10"/>
      <c r="I1140" s="10"/>
      <c r="J1140" s="10"/>
    </row>
    <row r="1141" spans="2:10" ht="33" customHeight="1" x14ac:dyDescent="0.3">
      <c r="B1141" s="10"/>
      <c r="C1141" s="10"/>
      <c r="D1141" s="10"/>
      <c r="F1141" s="10"/>
      <c r="G1141" s="10"/>
      <c r="H1141" s="10"/>
      <c r="I1141" s="10"/>
      <c r="J1141" s="10"/>
    </row>
    <row r="1142" spans="2:10" ht="33" customHeight="1" x14ac:dyDescent="0.3">
      <c r="B1142" s="10"/>
      <c r="C1142" s="10"/>
      <c r="D1142" s="10"/>
      <c r="F1142" s="10"/>
      <c r="G1142" s="10"/>
      <c r="H1142" s="10"/>
      <c r="I1142" s="10"/>
      <c r="J1142" s="10"/>
    </row>
    <row r="1143" spans="2:10" ht="33" customHeight="1" x14ac:dyDescent="0.3">
      <c r="B1143" s="10"/>
      <c r="C1143" s="10"/>
      <c r="D1143" s="10"/>
      <c r="F1143" s="10"/>
      <c r="G1143" s="10"/>
      <c r="H1143" s="10"/>
      <c r="I1143" s="10"/>
      <c r="J1143" s="10"/>
    </row>
    <row r="1144" spans="2:10" ht="33" customHeight="1" x14ac:dyDescent="0.3">
      <c r="B1144" s="10"/>
      <c r="C1144" s="10"/>
      <c r="D1144" s="10"/>
      <c r="F1144" s="10"/>
      <c r="G1144" s="10"/>
      <c r="H1144" s="10"/>
      <c r="I1144" s="10"/>
      <c r="J1144" s="10"/>
    </row>
    <row r="1145" spans="2:10" ht="33" customHeight="1" x14ac:dyDescent="0.3">
      <c r="B1145" s="10"/>
      <c r="C1145" s="10"/>
      <c r="D1145" s="10"/>
      <c r="F1145" s="10"/>
      <c r="G1145" s="10"/>
      <c r="H1145" s="10"/>
      <c r="I1145" s="10"/>
      <c r="J1145" s="10"/>
    </row>
    <row r="1146" spans="2:10" ht="33" customHeight="1" x14ac:dyDescent="0.3">
      <c r="B1146" s="10"/>
      <c r="C1146" s="10"/>
      <c r="D1146" s="10"/>
      <c r="F1146" s="10"/>
      <c r="G1146" s="10"/>
      <c r="H1146" s="10"/>
      <c r="I1146" s="10"/>
      <c r="J1146" s="10"/>
    </row>
    <row r="1147" spans="2:10" ht="33" customHeight="1" x14ac:dyDescent="0.3">
      <c r="B1147" s="10"/>
      <c r="C1147" s="10"/>
      <c r="D1147" s="10"/>
      <c r="F1147" s="10"/>
      <c r="G1147" s="10"/>
      <c r="H1147" s="10"/>
      <c r="I1147" s="10"/>
      <c r="J1147" s="10"/>
    </row>
    <row r="1148" spans="2:10" ht="33" customHeight="1" x14ac:dyDescent="0.3">
      <c r="B1148" s="10"/>
      <c r="C1148" s="10"/>
      <c r="D1148" s="10"/>
      <c r="F1148" s="10"/>
      <c r="G1148" s="10"/>
      <c r="H1148" s="10"/>
      <c r="I1148" s="10"/>
      <c r="J1148" s="10"/>
    </row>
    <row r="1149" spans="2:10" ht="33" customHeight="1" x14ac:dyDescent="0.3">
      <c r="B1149" s="10"/>
      <c r="C1149" s="10"/>
      <c r="D1149" s="10"/>
      <c r="F1149" s="10"/>
      <c r="G1149" s="10"/>
      <c r="H1149" s="10"/>
      <c r="I1149" s="10"/>
      <c r="J1149" s="10"/>
    </row>
    <row r="1150" spans="2:10" ht="33" customHeight="1" x14ac:dyDescent="0.3">
      <c r="B1150" s="10"/>
      <c r="C1150" s="10"/>
      <c r="D1150" s="10"/>
      <c r="F1150" s="10"/>
      <c r="G1150" s="10"/>
      <c r="H1150" s="10"/>
      <c r="I1150" s="10"/>
      <c r="J1150" s="10"/>
    </row>
    <row r="1151" spans="2:10" ht="33" customHeight="1" x14ac:dyDescent="0.3">
      <c r="B1151" s="10"/>
      <c r="C1151" s="10"/>
      <c r="D1151" s="10"/>
      <c r="F1151" s="10"/>
      <c r="G1151" s="10"/>
      <c r="H1151" s="10"/>
      <c r="I1151" s="10"/>
      <c r="J1151" s="10"/>
    </row>
    <row r="1152" spans="2:10" ht="33" customHeight="1" x14ac:dyDescent="0.3">
      <c r="B1152" s="10"/>
      <c r="C1152" s="10"/>
      <c r="D1152" s="10"/>
      <c r="F1152" s="10"/>
      <c r="G1152" s="10"/>
      <c r="H1152" s="10"/>
      <c r="I1152" s="10"/>
      <c r="J1152" s="10"/>
    </row>
    <row r="1153" spans="2:10" ht="33" customHeight="1" x14ac:dyDescent="0.3">
      <c r="B1153" s="10"/>
      <c r="C1153" s="10"/>
      <c r="D1153" s="10"/>
      <c r="F1153" s="10"/>
      <c r="G1153" s="10"/>
      <c r="H1153" s="10"/>
      <c r="I1153" s="10"/>
      <c r="J1153" s="10"/>
    </row>
    <row r="1154" spans="2:10" ht="33" customHeight="1" x14ac:dyDescent="0.3">
      <c r="B1154" s="10"/>
      <c r="C1154" s="10"/>
      <c r="D1154" s="10"/>
      <c r="F1154" s="10"/>
      <c r="G1154" s="10"/>
      <c r="H1154" s="10"/>
      <c r="I1154" s="10"/>
      <c r="J1154" s="10"/>
    </row>
    <row r="1155" spans="2:10" ht="33" customHeight="1" x14ac:dyDescent="0.3">
      <c r="B1155" s="10"/>
      <c r="C1155" s="10"/>
      <c r="D1155" s="10"/>
      <c r="F1155" s="10"/>
      <c r="G1155" s="10"/>
      <c r="H1155" s="10"/>
      <c r="I1155" s="10"/>
      <c r="J1155" s="10"/>
    </row>
    <row r="1156" spans="2:10" ht="33" customHeight="1" x14ac:dyDescent="0.3">
      <c r="B1156" s="10"/>
      <c r="C1156" s="10"/>
      <c r="D1156" s="10"/>
      <c r="F1156" s="10"/>
      <c r="G1156" s="10"/>
      <c r="H1156" s="10"/>
      <c r="I1156" s="10"/>
      <c r="J1156" s="10"/>
    </row>
    <row r="1157" spans="2:10" ht="33" customHeight="1" x14ac:dyDescent="0.3">
      <c r="B1157" s="10"/>
      <c r="C1157" s="10"/>
      <c r="D1157" s="10"/>
      <c r="F1157" s="10"/>
      <c r="G1157" s="10"/>
      <c r="H1157" s="10"/>
      <c r="I1157" s="10"/>
      <c r="J1157" s="10"/>
    </row>
    <row r="1158" spans="2:10" ht="33" customHeight="1" x14ac:dyDescent="0.3">
      <c r="B1158" s="10"/>
      <c r="C1158" s="10"/>
      <c r="D1158" s="10"/>
      <c r="F1158" s="10"/>
      <c r="G1158" s="10"/>
      <c r="H1158" s="10"/>
      <c r="I1158" s="10"/>
      <c r="J1158" s="10"/>
    </row>
    <row r="1159" spans="2:10" ht="33" customHeight="1" x14ac:dyDescent="0.3">
      <c r="B1159" s="10"/>
      <c r="C1159" s="10"/>
      <c r="D1159" s="10"/>
      <c r="F1159" s="10"/>
      <c r="G1159" s="10"/>
      <c r="H1159" s="10"/>
      <c r="I1159" s="10"/>
      <c r="J1159" s="10"/>
    </row>
    <row r="1160" spans="2:10" ht="33" customHeight="1" x14ac:dyDescent="0.3">
      <c r="B1160" s="10"/>
      <c r="C1160" s="10"/>
      <c r="D1160" s="10"/>
      <c r="F1160" s="10"/>
      <c r="G1160" s="10"/>
      <c r="H1160" s="10"/>
      <c r="I1160" s="10"/>
      <c r="J1160" s="10"/>
    </row>
    <row r="1161" spans="2:10" ht="33" customHeight="1" x14ac:dyDescent="0.3">
      <c r="B1161" s="10"/>
      <c r="C1161" s="10"/>
      <c r="D1161" s="10"/>
      <c r="F1161" s="10"/>
      <c r="G1161" s="10"/>
      <c r="H1161" s="10"/>
      <c r="I1161" s="10"/>
      <c r="J1161" s="10"/>
    </row>
    <row r="1162" spans="2:10" ht="33" customHeight="1" x14ac:dyDescent="0.3">
      <c r="B1162" s="10"/>
      <c r="C1162" s="10"/>
      <c r="D1162" s="10"/>
      <c r="F1162" s="10"/>
      <c r="G1162" s="10"/>
      <c r="H1162" s="10"/>
      <c r="I1162" s="10"/>
      <c r="J1162" s="10"/>
    </row>
    <row r="1163" spans="2:10" ht="33" customHeight="1" x14ac:dyDescent="0.3">
      <c r="B1163" s="10"/>
      <c r="C1163" s="10"/>
      <c r="D1163" s="10"/>
      <c r="F1163" s="10"/>
      <c r="G1163" s="10"/>
      <c r="H1163" s="10"/>
      <c r="I1163" s="10"/>
      <c r="J1163" s="10"/>
    </row>
    <row r="1164" spans="2:10" ht="33" customHeight="1" x14ac:dyDescent="0.3">
      <c r="B1164" s="10"/>
      <c r="C1164" s="10"/>
      <c r="D1164" s="10"/>
      <c r="F1164" s="10"/>
      <c r="G1164" s="10"/>
      <c r="H1164" s="10"/>
      <c r="I1164" s="10"/>
      <c r="J1164" s="10"/>
    </row>
  </sheetData>
  <mergeCells count="3">
    <mergeCell ref="AG1:AJ1"/>
    <mergeCell ref="B1:AD1"/>
    <mergeCell ref="AL1:AM2"/>
  </mergeCells>
  <conditionalFormatting sqref="N2:N652">
    <cfRule type="containsText" dxfId="64" priority="54" operator="containsText" text="PO Drafted">
      <formula>NOT(ISERROR(SEARCH("PO Drafted",N2)))</formula>
    </cfRule>
    <cfRule type="containsText" dxfId="63" priority="55" operator="containsText" text="Production Complete">
      <formula>NOT(ISERROR(SEARCH("Production Complete",N2)))</formula>
    </cfRule>
    <cfRule type="containsText" dxfId="62" priority="56" operator="containsText" text="ON HOLD">
      <formula>NOT(ISERROR(SEARCH("ON HOLD",N2)))</formula>
    </cfRule>
    <cfRule type="containsText" dxfId="61" priority="66" operator="containsText" text="D/W Sent">
      <formula>NOT(ISERROR(SEARCH("D/W Sent",N2)))</formula>
    </cfRule>
    <cfRule type="containsText" dxfId="60" priority="76" operator="containsText" text="Picked">
      <formula>NOT(ISERROR(SEARCH("Picked",N2)))</formula>
    </cfRule>
    <cfRule type="containsText" dxfId="59" priority="77" operator="containsText" text="Rework">
      <formula>NOT(ISERROR(SEARCH("Rework",N2)))</formula>
    </cfRule>
    <cfRule type="containsText" dxfId="58" priority="78" operator="containsText" text="In Production">
      <formula>NOT(ISERROR(SEARCH("In Production",N2)))</formula>
    </cfRule>
    <cfRule type="containsText" dxfId="57" priority="79" operator="containsText" text="Out of stock">
      <formula>NOT(ISERROR(SEARCH("Out of stock",N2)))</formula>
    </cfRule>
    <cfRule type="containsText" dxfId="56" priority="80" operator="containsText" text="Not Meet MOQ">
      <formula>NOT(ISERROR(SEARCH("Not Meet MOQ",N2)))</formula>
    </cfRule>
    <cfRule type="containsText" dxfId="55" priority="81" operator="containsText" text="Available">
      <formula>NOT(ISERROR(SEARCH("Available",N2)))</formula>
    </cfRule>
    <cfRule type="containsText" dxfId="54" priority="82" operator="containsText" text="Pending Picking">
      <formula>NOT(ISERROR(SEARCH("Pending Picking",N2)))</formula>
    </cfRule>
    <cfRule type="containsText" dxfId="53" priority="83" operator="containsText" text="PO Submitted">
      <formula>NOT(ISERROR(SEARCH("PO Submitted",N2)))</formula>
    </cfRule>
    <cfRule type="containsText" dxfId="52" priority="84" operator="containsText" text="Transit to Warehouse">
      <formula>NOT(ISERROR(SEARCH("Transit to Warehouse",N2)))</formula>
    </cfRule>
  </conditionalFormatting>
  <conditionalFormatting sqref="N2:AD652 B2:L652">
    <cfRule type="expression" dxfId="51" priority="65">
      <formula>AND(LEN(B2)&gt;0,NOT(ISERROR(B2)),B2&lt;&gt;0)</formula>
    </cfRule>
    <cfRule type="cellIs" dxfId="50" priority="68" operator="equal">
      <formula>0</formula>
    </cfRule>
  </conditionalFormatting>
  <conditionalFormatting sqref="N2:AD652 E2:E652 H2:L652">
    <cfRule type="containsBlanks" dxfId="49" priority="67">
      <formula>LEN(TRIM(E2))=0</formula>
    </cfRule>
  </conditionalFormatting>
  <conditionalFormatting sqref="AC3:AC652">
    <cfRule type="expression" dxfId="48" priority="59" stopIfTrue="1">
      <formula>AND( AC3&lt;&gt;"", VALUE(LEFT(AC3,FIND("/",AC3)-1)) &gt;= VALUE(MID(AC3,FIND("/",AC3)+1,999)) )</formula>
    </cfRule>
    <cfRule type="expression" dxfId="47" priority="62" stopIfTrue="1">
      <formula>AND(   AC3&lt;&gt;"",   --_xlfn.TEXTBEFORE(AC3,"/") &lt; 0.4 * --_xlfn.TEXTAFTER(AC3,"/") )</formula>
    </cfRule>
    <cfRule type="expression" dxfId="46" priority="64" stopIfTrue="1">
      <formula>IF(AC3&lt;&gt;"","TRUE","FALSE")</formula>
    </cfRule>
  </conditionalFormatting>
  <conditionalFormatting sqref="AD3:AD652">
    <cfRule type="expression" dxfId="45" priority="5" stopIfTrue="1">
      <formula>$AK$2 =I3</formula>
    </cfRule>
    <cfRule type="expression" dxfId="44" priority="6" stopIfTrue="1">
      <formula>AND(I3&lt;&gt;"",$AK$2&lt;&gt;I3)</formula>
    </cfRule>
  </conditionalFormatting>
  <dataValidations count="1">
    <dataValidation allowBlank="1" showInputMessage="1" showErrorMessage="1" sqref="O2:Z2 A1:A2 B2:L2" xr:uid="{5B1303CC-ADD4-4D53-B1BF-0DABF6C4F8CA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2E4151B1-0B4D-4DA4-ACEF-1ED2D7C5ADDE}">
          <x14:formula1>
            <xm:f>'SKU''S'!$A:$A</xm:f>
          </x14:formula1>
          <xm:sqref>AH2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E9E4-6DD8-4815-8598-E7830ECCCDF1}">
  <dimension ref="B1:W839"/>
  <sheetViews>
    <sheetView tabSelected="1" topLeftCell="B1" workbookViewId="0">
      <pane ySplit="1" topLeftCell="A17" activePane="bottomLeft" state="frozen"/>
      <selection pane="bottomLeft" activeCell="G19" sqref="G19"/>
    </sheetView>
  </sheetViews>
  <sheetFormatPr defaultRowHeight="33" customHeight="1" x14ac:dyDescent="0.3"/>
  <cols>
    <col min="1" max="1" width="0" hidden="1" customWidth="1"/>
    <col min="2" max="2" width="13.33203125" style="12" bestFit="1" customWidth="1"/>
    <col min="3" max="3" width="15.109375" style="12" bestFit="1" customWidth="1"/>
    <col min="4" max="5" width="30.6640625" style="12" hidden="1" customWidth="1"/>
    <col min="6" max="6" width="0.109375" style="12" customWidth="1"/>
    <col min="7" max="7" width="34.5546875" style="12" customWidth="1"/>
    <col min="8" max="8" width="16.33203125" style="12" hidden="1" customWidth="1"/>
    <col min="9" max="9" width="13" style="13" hidden="1" customWidth="1"/>
    <col min="10" max="10" width="13.33203125" style="12" customWidth="1"/>
    <col min="11" max="11" width="11.44140625" hidden="1" customWidth="1"/>
    <col min="12" max="13" width="12.44140625" hidden="1" customWidth="1"/>
    <col min="14" max="14" width="25.33203125" style="10" customWidth="1"/>
    <col min="17" max="19" width="11" customWidth="1"/>
  </cols>
  <sheetData>
    <row r="1" spans="2:23" ht="38.4" customHeight="1" thickTop="1" thickBot="1" x14ac:dyDescent="0.4"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Q1" s="47" t="s">
        <v>36</v>
      </c>
      <c r="R1" s="48"/>
      <c r="S1" s="49"/>
      <c r="T1" s="50"/>
      <c r="U1" s="48"/>
      <c r="V1" s="48"/>
      <c r="W1" s="49"/>
    </row>
    <row r="2" spans="2:23" ht="33" customHeight="1" thickTop="1" x14ac:dyDescent="0.3">
      <c r="B2" s="14" t="s">
        <v>410</v>
      </c>
      <c r="C2" s="14" t="s">
        <v>411</v>
      </c>
      <c r="D2" s="14">
        <v>0</v>
      </c>
      <c r="E2" s="14" t="s">
        <v>412</v>
      </c>
      <c r="F2" s="14">
        <v>0</v>
      </c>
      <c r="G2" s="14" t="s">
        <v>384</v>
      </c>
      <c r="H2" s="14" t="s">
        <v>413</v>
      </c>
      <c r="I2" s="15" t="s">
        <v>414</v>
      </c>
      <c r="J2" s="14">
        <v>200</v>
      </c>
      <c r="K2" t="s">
        <v>415</v>
      </c>
      <c r="L2">
        <v>0</v>
      </c>
      <c r="M2">
        <v>200</v>
      </c>
      <c r="N2" s="10" t="s">
        <v>416</v>
      </c>
    </row>
    <row r="3" spans="2:23" ht="33" customHeight="1" x14ac:dyDescent="0.3"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 t="s">
        <v>417</v>
      </c>
      <c r="I3" s="15" t="s">
        <v>417</v>
      </c>
      <c r="J3" s="14">
        <v>0</v>
      </c>
      <c r="K3">
        <v>0</v>
      </c>
      <c r="L3">
        <v>0</v>
      </c>
      <c r="M3">
        <v>0</v>
      </c>
      <c r="N3" s="10">
        <v>0</v>
      </c>
    </row>
    <row r="4" spans="2:23" ht="33" customHeight="1" x14ac:dyDescent="0.3">
      <c r="B4" s="14" t="s">
        <v>410</v>
      </c>
      <c r="C4" s="14" t="s">
        <v>418</v>
      </c>
      <c r="D4" s="14">
        <v>0</v>
      </c>
      <c r="E4" s="14" t="s">
        <v>419</v>
      </c>
      <c r="F4" s="14">
        <v>0</v>
      </c>
      <c r="G4" s="14" t="s">
        <v>388</v>
      </c>
      <c r="H4" s="14" t="s">
        <v>420</v>
      </c>
      <c r="I4" s="15" t="s">
        <v>414</v>
      </c>
      <c r="J4" s="14">
        <v>200</v>
      </c>
      <c r="K4" t="s">
        <v>421</v>
      </c>
      <c r="L4">
        <v>200</v>
      </c>
      <c r="M4">
        <v>0</v>
      </c>
      <c r="N4" s="10" t="s">
        <v>416</v>
      </c>
    </row>
    <row r="5" spans="2:23" ht="33" customHeight="1" x14ac:dyDescent="0.3"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 t="s">
        <v>417</v>
      </c>
      <c r="I5" s="15" t="s">
        <v>417</v>
      </c>
      <c r="J5" s="14">
        <v>0</v>
      </c>
      <c r="K5">
        <v>0</v>
      </c>
      <c r="L5">
        <v>0</v>
      </c>
      <c r="M5">
        <v>0</v>
      </c>
      <c r="N5" s="10">
        <v>0</v>
      </c>
    </row>
    <row r="6" spans="2:23" ht="33" customHeight="1" x14ac:dyDescent="0.3">
      <c r="B6" s="14" t="s">
        <v>422</v>
      </c>
      <c r="C6" s="14" t="s">
        <v>423</v>
      </c>
      <c r="D6" s="14" t="s">
        <v>424</v>
      </c>
      <c r="E6" s="14" t="s">
        <v>425</v>
      </c>
      <c r="F6" s="14" t="s">
        <v>426</v>
      </c>
      <c r="G6" s="14" t="s">
        <v>355</v>
      </c>
      <c r="H6" s="14" t="s">
        <v>427</v>
      </c>
      <c r="I6" s="15" t="s">
        <v>414</v>
      </c>
      <c r="J6" s="14">
        <v>1054</v>
      </c>
      <c r="K6" t="s">
        <v>428</v>
      </c>
      <c r="L6">
        <v>1054</v>
      </c>
      <c r="M6">
        <v>0</v>
      </c>
      <c r="N6" s="10" t="s">
        <v>416</v>
      </c>
    </row>
    <row r="7" spans="2:23" ht="33" customHeight="1" x14ac:dyDescent="0.3"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 t="s">
        <v>417</v>
      </c>
      <c r="I7" s="15" t="s">
        <v>417</v>
      </c>
      <c r="J7" s="14">
        <v>0</v>
      </c>
      <c r="K7">
        <v>0</v>
      </c>
      <c r="L7">
        <v>0</v>
      </c>
      <c r="M7">
        <v>0</v>
      </c>
      <c r="N7" s="10">
        <v>0</v>
      </c>
    </row>
    <row r="8" spans="2:23" ht="33" customHeight="1" x14ac:dyDescent="0.3">
      <c r="B8" s="14" t="s">
        <v>430</v>
      </c>
      <c r="C8" s="14" t="s">
        <v>431</v>
      </c>
      <c r="D8" s="14" t="s">
        <v>432</v>
      </c>
      <c r="E8" s="14" t="s">
        <v>433</v>
      </c>
      <c r="F8" s="14" t="s">
        <v>434</v>
      </c>
      <c r="G8" s="14" t="s">
        <v>270</v>
      </c>
      <c r="H8" s="14" t="s">
        <v>435</v>
      </c>
      <c r="I8" s="15" t="s">
        <v>414</v>
      </c>
      <c r="J8" s="14">
        <v>500</v>
      </c>
      <c r="K8" t="s">
        <v>436</v>
      </c>
      <c r="L8">
        <v>0</v>
      </c>
      <c r="M8">
        <v>500</v>
      </c>
      <c r="N8" s="10" t="s">
        <v>437</v>
      </c>
    </row>
    <row r="9" spans="2:23" ht="33" customHeight="1" x14ac:dyDescent="0.3"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 t="s">
        <v>417</v>
      </c>
      <c r="I9" s="15" t="s">
        <v>417</v>
      </c>
      <c r="J9" s="14">
        <v>0</v>
      </c>
      <c r="K9">
        <v>0</v>
      </c>
      <c r="L9">
        <v>0</v>
      </c>
      <c r="M9">
        <v>0</v>
      </c>
      <c r="N9" s="10">
        <v>0</v>
      </c>
    </row>
    <row r="10" spans="2:23" ht="33" customHeight="1" x14ac:dyDescent="0.3">
      <c r="B10" s="14" t="s">
        <v>438</v>
      </c>
      <c r="C10" s="14" t="s">
        <v>439</v>
      </c>
      <c r="D10" s="14">
        <v>0</v>
      </c>
      <c r="E10" s="14" t="s">
        <v>440</v>
      </c>
      <c r="F10" s="14">
        <v>0</v>
      </c>
      <c r="G10" s="14" t="s">
        <v>220</v>
      </c>
      <c r="H10" s="14" t="s">
        <v>441</v>
      </c>
      <c r="I10" s="15" t="s">
        <v>414</v>
      </c>
      <c r="J10" s="14">
        <v>96</v>
      </c>
      <c r="K10" t="s">
        <v>442</v>
      </c>
      <c r="L10">
        <v>96</v>
      </c>
      <c r="M10">
        <v>0</v>
      </c>
      <c r="N10" s="10" t="s">
        <v>443</v>
      </c>
    </row>
    <row r="11" spans="2:23" ht="33" customHeight="1" x14ac:dyDescent="0.3">
      <c r="B11" s="14" t="s">
        <v>438</v>
      </c>
      <c r="C11" s="14" t="s">
        <v>439</v>
      </c>
      <c r="D11" s="14">
        <v>0</v>
      </c>
      <c r="E11" s="14">
        <v>0</v>
      </c>
      <c r="F11" s="14" t="s">
        <v>444</v>
      </c>
      <c r="G11" s="14" t="s">
        <v>39</v>
      </c>
      <c r="H11" s="14" t="s">
        <v>445</v>
      </c>
      <c r="I11" s="15" t="s">
        <v>414</v>
      </c>
      <c r="J11" s="14">
        <v>120</v>
      </c>
      <c r="K11" t="s">
        <v>446</v>
      </c>
      <c r="L11">
        <v>120</v>
      </c>
      <c r="M11">
        <v>0</v>
      </c>
      <c r="N11" s="10" t="s">
        <v>447</v>
      </c>
    </row>
    <row r="12" spans="2:23" ht="33" customHeight="1" x14ac:dyDescent="0.3">
      <c r="B12" s="14" t="s">
        <v>438</v>
      </c>
      <c r="C12" s="14" t="s">
        <v>439</v>
      </c>
      <c r="D12" s="14">
        <v>0</v>
      </c>
      <c r="E12" s="14">
        <v>0</v>
      </c>
      <c r="F12" s="14" t="s">
        <v>448</v>
      </c>
      <c r="G12" s="14" t="s">
        <v>42</v>
      </c>
      <c r="H12" s="14" t="s">
        <v>449</v>
      </c>
      <c r="I12" s="15" t="s">
        <v>450</v>
      </c>
      <c r="J12" s="14">
        <v>288</v>
      </c>
      <c r="K12" t="s">
        <v>451</v>
      </c>
      <c r="L12">
        <v>0</v>
      </c>
      <c r="M12">
        <v>288</v>
      </c>
      <c r="N12" s="10" t="s">
        <v>452</v>
      </c>
    </row>
    <row r="13" spans="2:23" ht="33" customHeight="1" x14ac:dyDescent="0.3">
      <c r="B13" s="14" t="s">
        <v>438</v>
      </c>
      <c r="C13" s="14" t="s">
        <v>439</v>
      </c>
      <c r="D13" s="14">
        <v>0</v>
      </c>
      <c r="E13" s="14">
        <v>0</v>
      </c>
      <c r="F13" s="14">
        <v>0</v>
      </c>
      <c r="G13" s="14" t="s">
        <v>196</v>
      </c>
      <c r="H13" s="14" t="s">
        <v>453</v>
      </c>
      <c r="I13" s="15" t="s">
        <v>414</v>
      </c>
      <c r="J13" s="14">
        <v>120</v>
      </c>
      <c r="K13" t="s">
        <v>454</v>
      </c>
      <c r="L13">
        <v>120</v>
      </c>
      <c r="M13">
        <v>0</v>
      </c>
      <c r="N13" s="10" t="s">
        <v>443</v>
      </c>
    </row>
    <row r="14" spans="2:23" ht="33" customHeight="1" x14ac:dyDescent="0.3">
      <c r="B14" s="14" t="s">
        <v>438</v>
      </c>
      <c r="C14" s="14" t="s">
        <v>439</v>
      </c>
      <c r="D14" s="14">
        <v>0</v>
      </c>
      <c r="E14" s="14">
        <v>0</v>
      </c>
      <c r="F14" s="14">
        <v>0</v>
      </c>
      <c r="G14" s="14" t="s">
        <v>373</v>
      </c>
      <c r="H14" s="14" t="s">
        <v>455</v>
      </c>
      <c r="I14" s="15" t="s">
        <v>414</v>
      </c>
      <c r="J14" s="14">
        <v>96</v>
      </c>
      <c r="K14" t="s">
        <v>456</v>
      </c>
      <c r="L14">
        <v>96</v>
      </c>
      <c r="M14">
        <v>0</v>
      </c>
      <c r="N14" s="10" t="s">
        <v>443</v>
      </c>
    </row>
    <row r="15" spans="2:23" ht="33" customHeight="1" x14ac:dyDescent="0.3">
      <c r="B15" s="14" t="s">
        <v>438</v>
      </c>
      <c r="C15" s="14" t="s">
        <v>439</v>
      </c>
      <c r="D15" s="14">
        <v>0</v>
      </c>
      <c r="E15" s="14">
        <v>0</v>
      </c>
      <c r="F15" s="14">
        <v>0</v>
      </c>
      <c r="G15" s="14" t="s">
        <v>207</v>
      </c>
      <c r="H15" s="14" t="s">
        <v>457</v>
      </c>
      <c r="I15" s="15" t="s">
        <v>414</v>
      </c>
      <c r="J15" s="14">
        <v>24</v>
      </c>
      <c r="K15" t="s">
        <v>458</v>
      </c>
      <c r="L15">
        <v>24</v>
      </c>
      <c r="M15">
        <v>0</v>
      </c>
      <c r="N15" s="10" t="s">
        <v>443</v>
      </c>
    </row>
    <row r="16" spans="2:23" ht="33" customHeight="1" x14ac:dyDescent="0.3">
      <c r="B16" s="14" t="s">
        <v>438</v>
      </c>
      <c r="C16" s="14" t="s">
        <v>439</v>
      </c>
      <c r="D16" s="14">
        <v>0</v>
      </c>
      <c r="E16" s="14">
        <v>0</v>
      </c>
      <c r="F16" s="14" t="s">
        <v>459</v>
      </c>
      <c r="G16" s="14" t="s">
        <v>144</v>
      </c>
      <c r="H16" s="14" t="s">
        <v>460</v>
      </c>
      <c r="I16" s="15" t="s">
        <v>414</v>
      </c>
      <c r="J16" s="14">
        <v>192</v>
      </c>
      <c r="K16" t="s">
        <v>461</v>
      </c>
      <c r="L16">
        <v>0</v>
      </c>
      <c r="M16">
        <v>192</v>
      </c>
      <c r="N16" s="10" t="s">
        <v>462</v>
      </c>
    </row>
    <row r="17" spans="2:14" ht="33" customHeight="1" x14ac:dyDescent="0.3">
      <c r="B17" s="14" t="s">
        <v>438</v>
      </c>
      <c r="C17" s="14" t="s">
        <v>439</v>
      </c>
      <c r="D17" s="14">
        <v>0</v>
      </c>
      <c r="E17" s="14">
        <v>0</v>
      </c>
      <c r="F17" s="14">
        <v>0</v>
      </c>
      <c r="G17" s="14" t="s">
        <v>39</v>
      </c>
      <c r="H17" s="14" t="s">
        <v>445</v>
      </c>
      <c r="I17" s="15" t="s">
        <v>414</v>
      </c>
      <c r="J17" s="14">
        <v>48</v>
      </c>
      <c r="K17" t="s">
        <v>446</v>
      </c>
      <c r="L17">
        <v>0</v>
      </c>
      <c r="M17">
        <v>48</v>
      </c>
      <c r="N17" s="10" t="s">
        <v>443</v>
      </c>
    </row>
    <row r="18" spans="2:14" ht="33" customHeight="1" x14ac:dyDescent="0.3">
      <c r="B18" s="14" t="s">
        <v>438</v>
      </c>
      <c r="C18" s="14" t="s">
        <v>439</v>
      </c>
      <c r="D18" s="14">
        <v>0</v>
      </c>
      <c r="E18" s="14">
        <v>0</v>
      </c>
      <c r="F18" s="14">
        <v>0</v>
      </c>
      <c r="G18" s="14" t="s">
        <v>42</v>
      </c>
      <c r="H18" s="14" t="s">
        <v>449</v>
      </c>
      <c r="I18" s="15" t="s">
        <v>450</v>
      </c>
      <c r="J18" s="14">
        <v>40</v>
      </c>
      <c r="K18" t="s">
        <v>451</v>
      </c>
      <c r="L18">
        <v>40</v>
      </c>
      <c r="M18">
        <v>0</v>
      </c>
      <c r="N18" s="10" t="s">
        <v>443</v>
      </c>
    </row>
    <row r="19" spans="2:14" ht="33" customHeight="1" x14ac:dyDescent="0.3">
      <c r="B19" s="14" t="s">
        <v>438</v>
      </c>
      <c r="C19" s="14" t="s">
        <v>439</v>
      </c>
      <c r="D19" s="14">
        <v>0</v>
      </c>
      <c r="E19" s="14">
        <v>0</v>
      </c>
      <c r="F19" s="14" t="s">
        <v>463</v>
      </c>
      <c r="G19" s="14" t="s">
        <v>42</v>
      </c>
      <c r="H19" s="14" t="s">
        <v>449</v>
      </c>
      <c r="I19" s="15" t="s">
        <v>450</v>
      </c>
      <c r="J19" s="14">
        <v>200</v>
      </c>
      <c r="K19" t="s">
        <v>451</v>
      </c>
      <c r="L19">
        <v>0</v>
      </c>
      <c r="M19">
        <v>200</v>
      </c>
      <c r="N19" s="10" t="s">
        <v>452</v>
      </c>
    </row>
    <row r="20" spans="2:14" ht="33" customHeight="1" x14ac:dyDescent="0.3">
      <c r="B20" s="14" t="s">
        <v>438</v>
      </c>
      <c r="C20" s="14" t="s">
        <v>439</v>
      </c>
      <c r="D20" s="14" t="s">
        <v>464</v>
      </c>
      <c r="E20" s="14">
        <v>0</v>
      </c>
      <c r="F20" s="14">
        <v>0</v>
      </c>
      <c r="G20" s="14" t="s">
        <v>161</v>
      </c>
      <c r="H20" s="14" t="s">
        <v>465</v>
      </c>
      <c r="I20" s="15" t="s">
        <v>414</v>
      </c>
      <c r="J20" s="14">
        <v>96</v>
      </c>
      <c r="K20" t="s">
        <v>466</v>
      </c>
      <c r="L20">
        <v>96</v>
      </c>
      <c r="M20">
        <v>0</v>
      </c>
      <c r="N20" s="10" t="s">
        <v>443</v>
      </c>
    </row>
    <row r="21" spans="2:14" ht="33" customHeight="1" x14ac:dyDescent="0.3">
      <c r="B21" s="14" t="s">
        <v>438</v>
      </c>
      <c r="C21" s="14" t="s">
        <v>439</v>
      </c>
      <c r="D21" s="14">
        <v>0</v>
      </c>
      <c r="E21" s="14">
        <v>0</v>
      </c>
      <c r="F21" s="14" t="s">
        <v>467</v>
      </c>
      <c r="G21" s="14" t="s">
        <v>34</v>
      </c>
      <c r="H21" s="14" t="s">
        <v>468</v>
      </c>
      <c r="I21" s="15" t="s">
        <v>414</v>
      </c>
      <c r="J21" s="14">
        <v>72</v>
      </c>
      <c r="K21" t="s">
        <v>469</v>
      </c>
      <c r="L21">
        <v>0</v>
      </c>
      <c r="M21">
        <v>72</v>
      </c>
      <c r="N21" s="10" t="s">
        <v>462</v>
      </c>
    </row>
    <row r="22" spans="2:14" ht="33" customHeight="1" x14ac:dyDescent="0.3">
      <c r="B22" s="14" t="s">
        <v>438</v>
      </c>
      <c r="C22" s="14" t="s">
        <v>439</v>
      </c>
      <c r="D22" s="14">
        <v>0</v>
      </c>
      <c r="E22" s="14">
        <v>0</v>
      </c>
      <c r="F22" s="14" t="s">
        <v>470</v>
      </c>
      <c r="G22" s="14" t="s">
        <v>373</v>
      </c>
      <c r="H22" s="14" t="s">
        <v>455</v>
      </c>
      <c r="I22" s="15" t="s">
        <v>414</v>
      </c>
      <c r="J22" s="14">
        <v>48</v>
      </c>
      <c r="K22" t="s">
        <v>456</v>
      </c>
      <c r="L22">
        <v>48</v>
      </c>
      <c r="M22">
        <v>0</v>
      </c>
      <c r="N22" s="10" t="s">
        <v>443</v>
      </c>
    </row>
    <row r="23" spans="2:14" ht="33" customHeight="1" x14ac:dyDescent="0.3">
      <c r="B23" s="14" t="s">
        <v>438</v>
      </c>
      <c r="C23" s="14" t="s">
        <v>439</v>
      </c>
      <c r="D23" s="14">
        <v>0</v>
      </c>
      <c r="E23" s="14">
        <v>0</v>
      </c>
      <c r="F23" s="14">
        <v>0</v>
      </c>
      <c r="G23" s="14" t="s">
        <v>186</v>
      </c>
      <c r="H23" s="14" t="s">
        <v>471</v>
      </c>
      <c r="I23" s="15" t="s">
        <v>414</v>
      </c>
      <c r="J23" s="14">
        <v>50</v>
      </c>
      <c r="K23" t="s">
        <v>472</v>
      </c>
      <c r="L23">
        <v>0</v>
      </c>
      <c r="M23">
        <v>50</v>
      </c>
      <c r="N23" s="10" t="s">
        <v>462</v>
      </c>
    </row>
    <row r="24" spans="2:14" ht="33" customHeight="1" x14ac:dyDescent="0.3"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 t="s">
        <v>417</v>
      </c>
      <c r="I24" s="15" t="s">
        <v>417</v>
      </c>
      <c r="J24" s="14">
        <v>0</v>
      </c>
      <c r="K24">
        <v>0</v>
      </c>
      <c r="L24">
        <v>0</v>
      </c>
      <c r="M24">
        <v>0</v>
      </c>
      <c r="N24" s="10">
        <v>0</v>
      </c>
    </row>
    <row r="25" spans="2:14" ht="33" customHeight="1" x14ac:dyDescent="0.3">
      <c r="B25" s="14" t="s">
        <v>473</v>
      </c>
      <c r="C25" s="14" t="s">
        <v>474</v>
      </c>
      <c r="D25" s="14" t="s">
        <v>475</v>
      </c>
      <c r="E25" s="14" t="s">
        <v>476</v>
      </c>
      <c r="F25" s="14">
        <v>0</v>
      </c>
      <c r="G25" s="14" t="s">
        <v>125</v>
      </c>
      <c r="H25" s="14" t="s">
        <v>477</v>
      </c>
      <c r="I25" s="15" t="s">
        <v>414</v>
      </c>
      <c r="J25" s="14">
        <v>1</v>
      </c>
      <c r="K25" t="s">
        <v>478</v>
      </c>
      <c r="L25">
        <v>1</v>
      </c>
      <c r="M25">
        <v>0</v>
      </c>
      <c r="N25" s="10" t="s">
        <v>416</v>
      </c>
    </row>
    <row r="26" spans="2:14" ht="33" customHeight="1" x14ac:dyDescent="0.3">
      <c r="B26" s="14" t="s">
        <v>473</v>
      </c>
      <c r="C26" s="14" t="s">
        <v>474</v>
      </c>
      <c r="D26" s="14">
        <v>0</v>
      </c>
      <c r="E26" s="14">
        <v>0</v>
      </c>
      <c r="F26" s="14">
        <v>0</v>
      </c>
      <c r="G26" s="14" t="s">
        <v>107</v>
      </c>
      <c r="H26" s="14" t="s">
        <v>479</v>
      </c>
      <c r="I26" s="15" t="s">
        <v>414</v>
      </c>
      <c r="J26" s="14">
        <v>1</v>
      </c>
      <c r="K26" t="s">
        <v>480</v>
      </c>
      <c r="L26">
        <v>1</v>
      </c>
      <c r="M26">
        <v>0</v>
      </c>
      <c r="N26" s="10" t="s">
        <v>416</v>
      </c>
    </row>
    <row r="27" spans="2:14" ht="33" customHeight="1" x14ac:dyDescent="0.3">
      <c r="B27" s="14" t="s">
        <v>473</v>
      </c>
      <c r="C27" s="14" t="s">
        <v>474</v>
      </c>
      <c r="D27" s="14">
        <v>0</v>
      </c>
      <c r="E27" s="14">
        <v>0</v>
      </c>
      <c r="F27" s="14">
        <v>0</v>
      </c>
      <c r="G27" s="14" t="s">
        <v>406</v>
      </c>
      <c r="H27" s="14" t="s">
        <v>481</v>
      </c>
      <c r="I27" s="15" t="s">
        <v>414</v>
      </c>
      <c r="J27" s="14">
        <v>1</v>
      </c>
      <c r="K27" t="s">
        <v>482</v>
      </c>
      <c r="L27">
        <v>1</v>
      </c>
      <c r="M27">
        <v>0</v>
      </c>
      <c r="N27" s="10" t="s">
        <v>416</v>
      </c>
    </row>
    <row r="28" spans="2:14" ht="33" customHeight="1" x14ac:dyDescent="0.3">
      <c r="B28" s="14" t="s">
        <v>473</v>
      </c>
      <c r="C28" s="14" t="s">
        <v>474</v>
      </c>
      <c r="D28" s="14">
        <v>0</v>
      </c>
      <c r="E28" s="14">
        <v>0</v>
      </c>
      <c r="F28" s="14">
        <v>0</v>
      </c>
      <c r="G28" s="14" t="s">
        <v>178</v>
      </c>
      <c r="H28" s="14" t="s">
        <v>483</v>
      </c>
      <c r="I28" s="15" t="s">
        <v>414</v>
      </c>
      <c r="J28" s="14">
        <v>1</v>
      </c>
      <c r="K28" t="s">
        <v>484</v>
      </c>
      <c r="L28">
        <v>1</v>
      </c>
      <c r="M28">
        <v>0</v>
      </c>
      <c r="N28" s="10" t="s">
        <v>416</v>
      </c>
    </row>
    <row r="29" spans="2:14" ht="33" customHeight="1" x14ac:dyDescent="0.3">
      <c r="B29" s="14" t="s">
        <v>473</v>
      </c>
      <c r="C29" s="14" t="s">
        <v>474</v>
      </c>
      <c r="D29" s="14">
        <v>0</v>
      </c>
      <c r="E29" s="14">
        <v>0</v>
      </c>
      <c r="F29" s="14">
        <v>0</v>
      </c>
      <c r="G29" s="14" t="s">
        <v>161</v>
      </c>
      <c r="H29" s="14" t="s">
        <v>465</v>
      </c>
      <c r="I29" s="15" t="s">
        <v>414</v>
      </c>
      <c r="J29" s="14">
        <v>1</v>
      </c>
      <c r="K29" t="s">
        <v>466</v>
      </c>
      <c r="L29">
        <v>1</v>
      </c>
      <c r="M29">
        <v>0</v>
      </c>
      <c r="N29" s="10" t="s">
        <v>416</v>
      </c>
    </row>
    <row r="30" spans="2:14" ht="33" customHeight="1" x14ac:dyDescent="0.3">
      <c r="B30" s="14" t="s">
        <v>473</v>
      </c>
      <c r="C30" s="14" t="s">
        <v>474</v>
      </c>
      <c r="D30" s="14">
        <v>0</v>
      </c>
      <c r="E30" s="14">
        <v>0</v>
      </c>
      <c r="F30" s="14">
        <v>0</v>
      </c>
      <c r="G30" s="14" t="s">
        <v>42</v>
      </c>
      <c r="H30" s="14" t="s">
        <v>449</v>
      </c>
      <c r="I30" s="15" t="s">
        <v>450</v>
      </c>
      <c r="J30" s="14">
        <v>1</v>
      </c>
      <c r="K30" t="s">
        <v>451</v>
      </c>
      <c r="L30">
        <v>1</v>
      </c>
      <c r="M30">
        <v>0</v>
      </c>
      <c r="N30" s="10" t="s">
        <v>416</v>
      </c>
    </row>
    <row r="31" spans="2:14" ht="33" customHeight="1" x14ac:dyDescent="0.3">
      <c r="B31" s="14" t="s">
        <v>473</v>
      </c>
      <c r="C31" s="14" t="s">
        <v>474</v>
      </c>
      <c r="D31" s="14">
        <v>0</v>
      </c>
      <c r="E31" s="14">
        <v>0</v>
      </c>
      <c r="F31" s="14">
        <v>0</v>
      </c>
      <c r="G31" s="14" t="s">
        <v>144</v>
      </c>
      <c r="H31" s="14" t="s">
        <v>460</v>
      </c>
      <c r="I31" s="15" t="s">
        <v>414</v>
      </c>
      <c r="J31" s="14">
        <v>1</v>
      </c>
      <c r="K31" t="s">
        <v>461</v>
      </c>
      <c r="L31">
        <v>1</v>
      </c>
      <c r="M31">
        <v>0</v>
      </c>
      <c r="N31" s="10" t="s">
        <v>416</v>
      </c>
    </row>
    <row r="32" spans="2:14" ht="33" customHeight="1" x14ac:dyDescent="0.3">
      <c r="B32" s="14" t="s">
        <v>473</v>
      </c>
      <c r="C32" s="14" t="s">
        <v>474</v>
      </c>
      <c r="D32" s="14">
        <v>0</v>
      </c>
      <c r="E32" s="14">
        <v>0</v>
      </c>
      <c r="F32" s="14" t="s">
        <v>485</v>
      </c>
      <c r="G32" s="14" t="s">
        <v>290</v>
      </c>
      <c r="H32" s="14" t="s">
        <v>486</v>
      </c>
      <c r="I32" s="15" t="s">
        <v>414</v>
      </c>
      <c r="J32" s="14">
        <v>3</v>
      </c>
      <c r="K32" t="s">
        <v>487</v>
      </c>
      <c r="L32">
        <v>3</v>
      </c>
      <c r="M32">
        <v>0</v>
      </c>
      <c r="N32" s="10" t="s">
        <v>416</v>
      </c>
    </row>
    <row r="33" spans="2:14" ht="33" customHeight="1" x14ac:dyDescent="0.3"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 t="s">
        <v>417</v>
      </c>
      <c r="I33" s="15" t="s">
        <v>417</v>
      </c>
      <c r="J33" s="14">
        <v>0</v>
      </c>
      <c r="K33">
        <v>0</v>
      </c>
      <c r="L33">
        <v>0</v>
      </c>
      <c r="M33">
        <v>0</v>
      </c>
      <c r="N33" s="10">
        <v>0</v>
      </c>
    </row>
    <row r="34" spans="2:14" ht="33" customHeight="1" x14ac:dyDescent="0.3">
      <c r="B34" s="14" t="s">
        <v>410</v>
      </c>
      <c r="C34" s="14" t="s">
        <v>488</v>
      </c>
      <c r="D34" s="14">
        <v>0</v>
      </c>
      <c r="E34" s="14" t="s">
        <v>489</v>
      </c>
      <c r="F34" s="14" t="s">
        <v>490</v>
      </c>
      <c r="G34" s="14" t="s">
        <v>143</v>
      </c>
      <c r="H34" s="14" t="s">
        <v>491</v>
      </c>
      <c r="I34" s="15" t="s">
        <v>492</v>
      </c>
      <c r="J34" s="14">
        <v>1100</v>
      </c>
      <c r="K34" t="s">
        <v>493</v>
      </c>
      <c r="L34">
        <v>1100</v>
      </c>
      <c r="M34">
        <v>0</v>
      </c>
      <c r="N34" s="10" t="s">
        <v>416</v>
      </c>
    </row>
    <row r="35" spans="2:14" ht="33" customHeight="1" x14ac:dyDescent="0.3"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 t="s">
        <v>417</v>
      </c>
      <c r="I35" s="15" t="s">
        <v>417</v>
      </c>
      <c r="J35" s="14">
        <v>0</v>
      </c>
      <c r="K35">
        <v>0</v>
      </c>
      <c r="L35">
        <v>0</v>
      </c>
      <c r="M35">
        <v>0</v>
      </c>
      <c r="N35" s="10">
        <v>0</v>
      </c>
    </row>
    <row r="36" spans="2:14" ht="33" customHeight="1" x14ac:dyDescent="0.3">
      <c r="B36" s="14" t="s">
        <v>494</v>
      </c>
      <c r="C36" s="14" t="s">
        <v>495</v>
      </c>
      <c r="D36" s="14" t="s">
        <v>496</v>
      </c>
      <c r="E36" s="14" t="s">
        <v>497</v>
      </c>
      <c r="F36" s="14">
        <v>0</v>
      </c>
      <c r="G36" s="14" t="s">
        <v>498</v>
      </c>
      <c r="H36" s="14" t="s">
        <v>499</v>
      </c>
      <c r="I36" s="15" t="s">
        <v>500</v>
      </c>
      <c r="J36" s="14">
        <v>420</v>
      </c>
      <c r="K36" t="s">
        <v>501</v>
      </c>
      <c r="L36">
        <v>0</v>
      </c>
      <c r="M36">
        <v>420</v>
      </c>
      <c r="N36" s="10" t="s">
        <v>502</v>
      </c>
    </row>
    <row r="37" spans="2:14" ht="33" customHeight="1" x14ac:dyDescent="0.3">
      <c r="B37" s="14" t="s">
        <v>494</v>
      </c>
      <c r="C37" s="14" t="s">
        <v>495</v>
      </c>
      <c r="D37" s="14">
        <v>0</v>
      </c>
      <c r="E37" s="14">
        <v>0</v>
      </c>
      <c r="F37" s="14">
        <v>0</v>
      </c>
      <c r="G37" s="14" t="s">
        <v>503</v>
      </c>
      <c r="H37" s="14" t="s">
        <v>504</v>
      </c>
      <c r="I37" s="15" t="s">
        <v>505</v>
      </c>
      <c r="J37" s="14">
        <v>345</v>
      </c>
      <c r="K37" t="s">
        <v>506</v>
      </c>
      <c r="L37">
        <v>0</v>
      </c>
      <c r="M37">
        <v>345</v>
      </c>
      <c r="N37" s="10" t="s">
        <v>502</v>
      </c>
    </row>
    <row r="38" spans="2:14" ht="33" customHeight="1" x14ac:dyDescent="0.3">
      <c r="B38" s="14" t="s">
        <v>494</v>
      </c>
      <c r="C38" s="14" t="s">
        <v>495</v>
      </c>
      <c r="D38" s="14">
        <v>0</v>
      </c>
      <c r="E38" s="14">
        <v>0</v>
      </c>
      <c r="F38" s="14">
        <v>0</v>
      </c>
      <c r="G38" s="14" t="s">
        <v>507</v>
      </c>
      <c r="H38" s="14" t="s">
        <v>508</v>
      </c>
      <c r="I38" s="15" t="s">
        <v>505</v>
      </c>
      <c r="J38" s="14">
        <v>300</v>
      </c>
      <c r="K38" t="s">
        <v>509</v>
      </c>
      <c r="L38">
        <v>0</v>
      </c>
      <c r="M38">
        <v>300</v>
      </c>
      <c r="N38" s="10" t="s">
        <v>502</v>
      </c>
    </row>
    <row r="39" spans="2:14" ht="33" customHeight="1" x14ac:dyDescent="0.3">
      <c r="B39" s="14" t="s">
        <v>494</v>
      </c>
      <c r="C39" s="14" t="s">
        <v>495</v>
      </c>
      <c r="D39" s="14">
        <v>0</v>
      </c>
      <c r="E39" s="14">
        <v>0</v>
      </c>
      <c r="F39" s="14">
        <v>0</v>
      </c>
      <c r="G39" s="14" t="s">
        <v>510</v>
      </c>
      <c r="H39" s="14" t="s">
        <v>511</v>
      </c>
      <c r="I39" s="15" t="s">
        <v>505</v>
      </c>
      <c r="J39" s="14">
        <v>300</v>
      </c>
      <c r="K39" t="s">
        <v>512</v>
      </c>
      <c r="L39">
        <v>0</v>
      </c>
      <c r="M39">
        <v>300</v>
      </c>
      <c r="N39" s="10" t="s">
        <v>502</v>
      </c>
    </row>
    <row r="40" spans="2:14" ht="33" customHeight="1" x14ac:dyDescent="0.3"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 t="s">
        <v>417</v>
      </c>
      <c r="I40" s="15" t="s">
        <v>417</v>
      </c>
      <c r="J40" s="14">
        <v>0</v>
      </c>
      <c r="K40">
        <v>0</v>
      </c>
      <c r="L40">
        <v>0</v>
      </c>
      <c r="M40">
        <v>0</v>
      </c>
      <c r="N40" s="10">
        <v>0</v>
      </c>
    </row>
    <row r="41" spans="2:14" ht="33" customHeight="1" x14ac:dyDescent="0.3">
      <c r="B41" s="14" t="s">
        <v>513</v>
      </c>
      <c r="C41" s="14" t="s">
        <v>514</v>
      </c>
      <c r="D41" s="14" t="s">
        <v>515</v>
      </c>
      <c r="E41" s="14" t="s">
        <v>516</v>
      </c>
      <c r="F41" s="14" t="s">
        <v>517</v>
      </c>
      <c r="G41" s="14" t="s">
        <v>406</v>
      </c>
      <c r="H41" s="14" t="s">
        <v>481</v>
      </c>
      <c r="I41" s="15" t="s">
        <v>414</v>
      </c>
      <c r="J41" s="14">
        <v>817</v>
      </c>
      <c r="K41" t="s">
        <v>482</v>
      </c>
      <c r="L41">
        <v>817</v>
      </c>
      <c r="M41">
        <v>0</v>
      </c>
      <c r="N41" s="10" t="s">
        <v>462</v>
      </c>
    </row>
    <row r="42" spans="2:14" ht="33" customHeight="1" x14ac:dyDescent="0.3">
      <c r="B42" s="14" t="s">
        <v>513</v>
      </c>
      <c r="C42" s="14" t="s">
        <v>514</v>
      </c>
      <c r="D42" s="14" t="s">
        <v>518</v>
      </c>
      <c r="E42" s="14">
        <v>0</v>
      </c>
      <c r="F42" s="14" t="s">
        <v>519</v>
      </c>
      <c r="G42" s="14" t="s">
        <v>39</v>
      </c>
      <c r="H42" s="14" t="s">
        <v>445</v>
      </c>
      <c r="I42" s="15" t="s">
        <v>414</v>
      </c>
      <c r="J42" s="14">
        <v>77</v>
      </c>
      <c r="K42" t="s">
        <v>446</v>
      </c>
      <c r="L42">
        <v>77</v>
      </c>
      <c r="M42">
        <v>0</v>
      </c>
      <c r="N42" s="10" t="s">
        <v>443</v>
      </c>
    </row>
    <row r="43" spans="2:14" ht="33" customHeight="1" x14ac:dyDescent="0.3">
      <c r="B43" s="14" t="s">
        <v>513</v>
      </c>
      <c r="C43" s="14" t="s">
        <v>514</v>
      </c>
      <c r="D43" s="14" t="s">
        <v>518</v>
      </c>
      <c r="E43" s="14">
        <v>0</v>
      </c>
      <c r="F43" s="14" t="s">
        <v>520</v>
      </c>
      <c r="G43" s="14" t="s">
        <v>144</v>
      </c>
      <c r="H43" s="14" t="s">
        <v>460</v>
      </c>
      <c r="I43" s="15" t="s">
        <v>414</v>
      </c>
      <c r="J43" s="14">
        <v>480</v>
      </c>
      <c r="K43" t="s">
        <v>461</v>
      </c>
      <c r="L43">
        <v>0</v>
      </c>
      <c r="M43">
        <v>480</v>
      </c>
      <c r="N43" s="10" t="s">
        <v>443</v>
      </c>
    </row>
    <row r="44" spans="2:14" ht="33" customHeight="1" x14ac:dyDescent="0.3">
      <c r="B44" s="14" t="s">
        <v>513</v>
      </c>
      <c r="C44" s="14" t="s">
        <v>514</v>
      </c>
      <c r="D44" s="14" t="s">
        <v>518</v>
      </c>
      <c r="E44" s="14">
        <v>0</v>
      </c>
      <c r="F44" s="14" t="s">
        <v>521</v>
      </c>
      <c r="G44" s="14" t="s">
        <v>42</v>
      </c>
      <c r="H44" s="14" t="s">
        <v>449</v>
      </c>
      <c r="I44" s="15" t="s">
        <v>450</v>
      </c>
      <c r="J44" s="14">
        <v>528</v>
      </c>
      <c r="K44" t="s">
        <v>451</v>
      </c>
      <c r="L44">
        <v>528</v>
      </c>
      <c r="M44">
        <v>0</v>
      </c>
      <c r="N44" s="10" t="s">
        <v>452</v>
      </c>
    </row>
    <row r="45" spans="2:14" ht="33" customHeight="1" x14ac:dyDescent="0.3">
      <c r="B45" s="14" t="s">
        <v>513</v>
      </c>
      <c r="C45" s="14" t="s">
        <v>514</v>
      </c>
      <c r="D45" s="14">
        <v>0</v>
      </c>
      <c r="E45" s="14">
        <v>0</v>
      </c>
      <c r="F45" s="14">
        <v>0</v>
      </c>
      <c r="G45" s="14" t="s">
        <v>42</v>
      </c>
      <c r="H45" s="14" t="s">
        <v>449</v>
      </c>
      <c r="I45" s="15" t="s">
        <v>450</v>
      </c>
      <c r="J45" s="14">
        <v>192</v>
      </c>
      <c r="K45" t="s">
        <v>451</v>
      </c>
      <c r="L45">
        <v>192</v>
      </c>
      <c r="M45">
        <v>0</v>
      </c>
      <c r="N45" s="10" t="s">
        <v>443</v>
      </c>
    </row>
    <row r="46" spans="2:14" ht="33" customHeight="1" x14ac:dyDescent="0.3">
      <c r="B46" s="14" t="s">
        <v>513</v>
      </c>
      <c r="C46" s="14" t="s">
        <v>514</v>
      </c>
      <c r="D46" s="14">
        <v>0</v>
      </c>
      <c r="E46" s="14">
        <v>0</v>
      </c>
      <c r="F46" s="14" t="s">
        <v>522</v>
      </c>
      <c r="G46" s="14" t="s">
        <v>34</v>
      </c>
      <c r="H46" s="14" t="s">
        <v>468</v>
      </c>
      <c r="I46" s="15" t="s">
        <v>414</v>
      </c>
      <c r="J46" s="14">
        <v>120</v>
      </c>
      <c r="K46" t="s">
        <v>523</v>
      </c>
      <c r="L46">
        <v>120</v>
      </c>
      <c r="M46">
        <v>0</v>
      </c>
      <c r="N46" s="10" t="s">
        <v>462</v>
      </c>
    </row>
    <row r="47" spans="2:14" ht="33" customHeight="1" x14ac:dyDescent="0.3">
      <c r="B47" s="14" t="s">
        <v>513</v>
      </c>
      <c r="C47" s="14" t="s">
        <v>514</v>
      </c>
      <c r="D47" s="14" t="s">
        <v>518</v>
      </c>
      <c r="E47" s="14">
        <v>0</v>
      </c>
      <c r="F47" s="14" t="s">
        <v>524</v>
      </c>
      <c r="G47" s="14" t="s">
        <v>161</v>
      </c>
      <c r="H47" s="14" t="s">
        <v>465</v>
      </c>
      <c r="I47" s="15" t="s">
        <v>414</v>
      </c>
      <c r="J47" s="14">
        <v>205</v>
      </c>
      <c r="K47" t="s">
        <v>466</v>
      </c>
      <c r="L47">
        <v>205</v>
      </c>
      <c r="M47">
        <v>0</v>
      </c>
      <c r="N47" s="10" t="s">
        <v>443</v>
      </c>
    </row>
    <row r="48" spans="2:14" ht="33" customHeight="1" x14ac:dyDescent="0.3">
      <c r="B48" s="14" t="s">
        <v>513</v>
      </c>
      <c r="C48" s="14" t="s">
        <v>514</v>
      </c>
      <c r="D48" s="14" t="s">
        <v>518</v>
      </c>
      <c r="E48" s="14">
        <v>0</v>
      </c>
      <c r="F48" s="14" t="s">
        <v>525</v>
      </c>
      <c r="G48" s="14" t="s">
        <v>186</v>
      </c>
      <c r="H48" s="14" t="s">
        <v>471</v>
      </c>
      <c r="I48" s="15" t="s">
        <v>414</v>
      </c>
      <c r="J48" s="14">
        <v>245</v>
      </c>
      <c r="K48" t="s">
        <v>472</v>
      </c>
      <c r="L48">
        <v>245</v>
      </c>
      <c r="M48">
        <v>0</v>
      </c>
      <c r="N48" s="10" t="s">
        <v>462</v>
      </c>
    </row>
    <row r="49" spans="2:14" ht="33" customHeight="1" x14ac:dyDescent="0.3">
      <c r="B49" s="14" t="s">
        <v>513</v>
      </c>
      <c r="C49" s="14" t="s">
        <v>514</v>
      </c>
      <c r="D49" s="14">
        <v>0</v>
      </c>
      <c r="E49" s="14">
        <v>0</v>
      </c>
      <c r="F49" s="14" t="s">
        <v>526</v>
      </c>
      <c r="G49" s="14" t="s">
        <v>373</v>
      </c>
      <c r="H49" s="14" t="s">
        <v>455</v>
      </c>
      <c r="I49" s="15" t="s">
        <v>414</v>
      </c>
      <c r="J49" s="14">
        <v>484</v>
      </c>
      <c r="K49" t="s">
        <v>456</v>
      </c>
      <c r="L49">
        <v>484</v>
      </c>
      <c r="M49">
        <v>0</v>
      </c>
      <c r="N49" s="10" t="s">
        <v>443</v>
      </c>
    </row>
    <row r="50" spans="2:14" ht="33" customHeight="1" x14ac:dyDescent="0.3">
      <c r="B50" s="14" t="s">
        <v>513</v>
      </c>
      <c r="C50" s="14" t="s">
        <v>514</v>
      </c>
      <c r="D50" s="14">
        <v>0</v>
      </c>
      <c r="E50" s="14">
        <v>0</v>
      </c>
      <c r="F50" s="14" t="s">
        <v>527</v>
      </c>
      <c r="G50" s="14" t="s">
        <v>125</v>
      </c>
      <c r="H50" s="14" t="s">
        <v>477</v>
      </c>
      <c r="I50" s="15" t="s">
        <v>414</v>
      </c>
      <c r="J50" s="14">
        <v>34</v>
      </c>
      <c r="K50" t="s">
        <v>478</v>
      </c>
      <c r="L50">
        <v>34</v>
      </c>
      <c r="M50">
        <v>0</v>
      </c>
      <c r="N50" s="10" t="s">
        <v>443</v>
      </c>
    </row>
    <row r="51" spans="2:14" ht="33" customHeight="1" x14ac:dyDescent="0.3"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 t="s">
        <v>417</v>
      </c>
      <c r="I51" s="15" t="s">
        <v>417</v>
      </c>
      <c r="J51" s="14">
        <v>0</v>
      </c>
      <c r="K51">
        <v>0</v>
      </c>
      <c r="L51">
        <v>0</v>
      </c>
      <c r="M51">
        <v>0</v>
      </c>
      <c r="N51" s="10">
        <v>0</v>
      </c>
    </row>
    <row r="52" spans="2:14" ht="33" customHeight="1" x14ac:dyDescent="0.3">
      <c r="B52" s="14" t="s">
        <v>438</v>
      </c>
      <c r="C52" s="14" t="s">
        <v>528</v>
      </c>
      <c r="D52" s="14">
        <v>0</v>
      </c>
      <c r="E52" s="14" t="s">
        <v>529</v>
      </c>
      <c r="F52" s="14" t="s">
        <v>467</v>
      </c>
      <c r="G52" s="14" t="s">
        <v>406</v>
      </c>
      <c r="H52" s="14" t="s">
        <v>481</v>
      </c>
      <c r="I52" s="15" t="s">
        <v>414</v>
      </c>
      <c r="J52" s="14">
        <v>240</v>
      </c>
      <c r="K52" t="s">
        <v>482</v>
      </c>
      <c r="L52">
        <v>0</v>
      </c>
      <c r="M52">
        <v>240</v>
      </c>
      <c r="N52" s="10" t="s">
        <v>452</v>
      </c>
    </row>
    <row r="53" spans="2:14" ht="33" customHeight="1" x14ac:dyDescent="0.3">
      <c r="B53" s="14" t="s">
        <v>438</v>
      </c>
      <c r="C53" s="14" t="s">
        <v>528</v>
      </c>
      <c r="D53" s="14">
        <v>0</v>
      </c>
      <c r="E53" s="14">
        <v>0</v>
      </c>
      <c r="F53" s="14">
        <v>0</v>
      </c>
      <c r="G53" s="14" t="s">
        <v>196</v>
      </c>
      <c r="H53" s="14" t="s">
        <v>453</v>
      </c>
      <c r="I53" s="15" t="s">
        <v>414</v>
      </c>
      <c r="J53" s="14">
        <v>72</v>
      </c>
      <c r="K53" t="s">
        <v>454</v>
      </c>
      <c r="L53">
        <v>72</v>
      </c>
      <c r="M53">
        <v>0</v>
      </c>
      <c r="N53" s="10" t="s">
        <v>443</v>
      </c>
    </row>
    <row r="54" spans="2:14" ht="33" customHeight="1" x14ac:dyDescent="0.3"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 t="s">
        <v>417</v>
      </c>
      <c r="I54" s="15" t="s">
        <v>417</v>
      </c>
      <c r="J54" s="14">
        <v>0</v>
      </c>
      <c r="K54">
        <v>0</v>
      </c>
      <c r="L54">
        <v>0</v>
      </c>
      <c r="M54">
        <v>0</v>
      </c>
      <c r="N54" s="10">
        <v>0</v>
      </c>
    </row>
    <row r="55" spans="2:14" ht="33" customHeight="1" x14ac:dyDescent="0.3">
      <c r="B55" s="14" t="s">
        <v>530</v>
      </c>
      <c r="C55" s="14" t="s">
        <v>531</v>
      </c>
      <c r="D55" s="14" t="s">
        <v>532</v>
      </c>
      <c r="E55" s="14" t="s">
        <v>533</v>
      </c>
      <c r="F55" s="14" t="s">
        <v>534</v>
      </c>
      <c r="G55" s="14" t="s">
        <v>535</v>
      </c>
      <c r="H55" s="14" t="s">
        <v>536</v>
      </c>
      <c r="I55" s="15" t="s">
        <v>537</v>
      </c>
      <c r="J55" s="14">
        <v>424</v>
      </c>
      <c r="K55" t="s">
        <v>538</v>
      </c>
      <c r="L55">
        <v>424</v>
      </c>
      <c r="M55">
        <v>0</v>
      </c>
      <c r="N55" s="10" t="s">
        <v>416</v>
      </c>
    </row>
    <row r="56" spans="2:14" ht="33" customHeight="1" x14ac:dyDescent="0.3"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 t="s">
        <v>417</v>
      </c>
      <c r="I56" s="15" t="s">
        <v>417</v>
      </c>
      <c r="J56" s="14">
        <v>0</v>
      </c>
      <c r="K56">
        <v>0</v>
      </c>
      <c r="L56">
        <v>0</v>
      </c>
      <c r="M56">
        <v>0</v>
      </c>
      <c r="N56" s="10">
        <v>0</v>
      </c>
    </row>
    <row r="57" spans="2:14" ht="33" customHeight="1" x14ac:dyDescent="0.3">
      <c r="B57" s="14" t="s">
        <v>539</v>
      </c>
      <c r="C57" s="14" t="s">
        <v>540</v>
      </c>
      <c r="D57" s="14" t="s">
        <v>541</v>
      </c>
      <c r="E57" s="14" t="s">
        <v>542</v>
      </c>
      <c r="F57" s="14" t="s">
        <v>543</v>
      </c>
      <c r="G57" s="14" t="s">
        <v>544</v>
      </c>
      <c r="H57" s="14" t="s">
        <v>545</v>
      </c>
      <c r="I57" s="15" t="s">
        <v>546</v>
      </c>
      <c r="J57" s="14">
        <v>1476</v>
      </c>
      <c r="K57" t="s">
        <v>547</v>
      </c>
      <c r="L57">
        <v>1476</v>
      </c>
      <c r="M57">
        <v>0</v>
      </c>
      <c r="N57" s="10" t="s">
        <v>548</v>
      </c>
    </row>
    <row r="58" spans="2:14" ht="33" customHeight="1" x14ac:dyDescent="0.3"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 t="s">
        <v>417</v>
      </c>
      <c r="I58" s="15" t="s">
        <v>417</v>
      </c>
      <c r="J58" s="14">
        <v>0</v>
      </c>
      <c r="K58">
        <v>0</v>
      </c>
      <c r="L58">
        <v>0</v>
      </c>
      <c r="M58">
        <v>0</v>
      </c>
      <c r="N58" s="10">
        <v>0</v>
      </c>
    </row>
    <row r="59" spans="2:14" ht="33" customHeight="1" x14ac:dyDescent="0.3">
      <c r="B59" s="14" t="s">
        <v>410</v>
      </c>
      <c r="C59" s="14" t="s">
        <v>549</v>
      </c>
      <c r="D59" s="14">
        <v>0</v>
      </c>
      <c r="E59" s="14" t="s">
        <v>550</v>
      </c>
      <c r="F59" s="14" t="s">
        <v>551</v>
      </c>
      <c r="G59" s="14" t="s">
        <v>396</v>
      </c>
      <c r="H59" s="14" t="s">
        <v>552</v>
      </c>
      <c r="I59" s="15" t="s">
        <v>414</v>
      </c>
      <c r="J59" s="14">
        <v>240</v>
      </c>
      <c r="K59" t="s">
        <v>553</v>
      </c>
      <c r="L59">
        <v>240</v>
      </c>
      <c r="M59">
        <v>0</v>
      </c>
      <c r="N59" s="10" t="s">
        <v>416</v>
      </c>
    </row>
    <row r="60" spans="2:14" ht="33" customHeight="1" x14ac:dyDescent="0.3"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 t="s">
        <v>417</v>
      </c>
      <c r="I60" s="15" t="s">
        <v>417</v>
      </c>
      <c r="J60" s="14">
        <v>0</v>
      </c>
      <c r="K60">
        <v>0</v>
      </c>
      <c r="L60">
        <v>0</v>
      </c>
      <c r="M60">
        <v>0</v>
      </c>
      <c r="N60" s="10">
        <v>0</v>
      </c>
    </row>
    <row r="61" spans="2:14" ht="33" customHeight="1" x14ac:dyDescent="0.3">
      <c r="B61" s="14" t="s">
        <v>554</v>
      </c>
      <c r="C61" s="14" t="s">
        <v>555</v>
      </c>
      <c r="D61" s="14" t="s">
        <v>556</v>
      </c>
      <c r="E61" s="14" t="s">
        <v>557</v>
      </c>
      <c r="F61" s="14" t="s">
        <v>558</v>
      </c>
      <c r="G61" s="14" t="s">
        <v>258</v>
      </c>
      <c r="H61" s="14" t="s">
        <v>559</v>
      </c>
      <c r="I61" s="15" t="s">
        <v>414</v>
      </c>
      <c r="J61" s="14">
        <v>3240</v>
      </c>
      <c r="K61" t="s">
        <v>560</v>
      </c>
      <c r="L61">
        <v>3240</v>
      </c>
      <c r="M61">
        <v>0</v>
      </c>
      <c r="N61" s="10" t="s">
        <v>437</v>
      </c>
    </row>
    <row r="62" spans="2:14" ht="33" customHeight="1" x14ac:dyDescent="0.3">
      <c r="B62" s="14" t="s">
        <v>554</v>
      </c>
      <c r="C62" s="14" t="s">
        <v>555</v>
      </c>
      <c r="D62" s="14" t="s">
        <v>561</v>
      </c>
      <c r="E62" s="14">
        <v>0</v>
      </c>
      <c r="F62" s="14" t="s">
        <v>558</v>
      </c>
      <c r="G62" s="14" t="s">
        <v>265</v>
      </c>
      <c r="H62" s="14" t="s">
        <v>562</v>
      </c>
      <c r="I62" s="15" t="s">
        <v>414</v>
      </c>
      <c r="J62" s="14">
        <v>6960</v>
      </c>
      <c r="K62" t="s">
        <v>563</v>
      </c>
      <c r="L62">
        <v>6960</v>
      </c>
      <c r="M62">
        <v>0</v>
      </c>
      <c r="N62" s="10" t="s">
        <v>437</v>
      </c>
    </row>
    <row r="63" spans="2:14" ht="33" customHeight="1" x14ac:dyDescent="0.3">
      <c r="B63" s="14" t="s">
        <v>554</v>
      </c>
      <c r="C63" s="14" t="s">
        <v>555</v>
      </c>
      <c r="D63" s="14" t="s">
        <v>564</v>
      </c>
      <c r="E63" s="14">
        <v>0</v>
      </c>
      <c r="F63" s="14" t="s">
        <v>565</v>
      </c>
      <c r="G63" s="14" t="s">
        <v>566</v>
      </c>
      <c r="H63" s="14" t="s">
        <v>567</v>
      </c>
      <c r="I63" s="15" t="s">
        <v>568</v>
      </c>
      <c r="J63" s="14">
        <v>3000</v>
      </c>
      <c r="K63" t="s">
        <v>569</v>
      </c>
      <c r="L63">
        <v>3000</v>
      </c>
      <c r="M63">
        <v>0</v>
      </c>
      <c r="N63" s="10" t="s">
        <v>437</v>
      </c>
    </row>
    <row r="64" spans="2:14" ht="33" customHeight="1" x14ac:dyDescent="0.3">
      <c r="B64" s="14" t="s">
        <v>554</v>
      </c>
      <c r="C64" s="14" t="s">
        <v>555</v>
      </c>
      <c r="D64" s="14" t="s">
        <v>570</v>
      </c>
      <c r="E64" s="14">
        <v>0</v>
      </c>
      <c r="F64" s="14" t="s">
        <v>565</v>
      </c>
      <c r="G64" s="14" t="s">
        <v>204</v>
      </c>
      <c r="H64" s="14" t="s">
        <v>571</v>
      </c>
      <c r="I64" s="15" t="s">
        <v>450</v>
      </c>
      <c r="J64" s="14">
        <v>8520</v>
      </c>
      <c r="K64" t="s">
        <v>572</v>
      </c>
      <c r="L64">
        <v>8520</v>
      </c>
      <c r="M64">
        <v>0</v>
      </c>
      <c r="N64" s="10" t="s">
        <v>437</v>
      </c>
    </row>
    <row r="65" spans="2:14" ht="33" customHeight="1" x14ac:dyDescent="0.3">
      <c r="B65" s="14" t="s">
        <v>554</v>
      </c>
      <c r="C65" s="14" t="s">
        <v>555</v>
      </c>
      <c r="D65" s="14" t="s">
        <v>573</v>
      </c>
      <c r="E65" s="14">
        <v>0</v>
      </c>
      <c r="F65" s="14" t="s">
        <v>565</v>
      </c>
      <c r="G65" s="14" t="s">
        <v>218</v>
      </c>
      <c r="H65" s="14" t="s">
        <v>441</v>
      </c>
      <c r="I65" s="15" t="s">
        <v>450</v>
      </c>
      <c r="J65" s="14">
        <v>1200</v>
      </c>
      <c r="K65" t="s">
        <v>574</v>
      </c>
      <c r="L65">
        <v>1200</v>
      </c>
      <c r="M65">
        <v>0</v>
      </c>
      <c r="N65" s="10" t="s">
        <v>437</v>
      </c>
    </row>
    <row r="66" spans="2:14" ht="33" customHeight="1" x14ac:dyDescent="0.3"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 t="s">
        <v>417</v>
      </c>
      <c r="I66" s="15" t="s">
        <v>417</v>
      </c>
      <c r="J66" s="14">
        <v>0</v>
      </c>
      <c r="K66">
        <v>0</v>
      </c>
      <c r="L66">
        <v>0</v>
      </c>
      <c r="M66">
        <v>0</v>
      </c>
      <c r="N66" s="10">
        <v>0</v>
      </c>
    </row>
    <row r="67" spans="2:14" ht="33" customHeight="1" x14ac:dyDescent="0.3">
      <c r="B67" s="14" t="s">
        <v>554</v>
      </c>
      <c r="C67" s="14" t="s">
        <v>575</v>
      </c>
      <c r="D67" s="14" t="s">
        <v>576</v>
      </c>
      <c r="E67" s="14" t="s">
        <v>577</v>
      </c>
      <c r="F67" s="14" t="s">
        <v>578</v>
      </c>
      <c r="G67" s="14" t="s">
        <v>579</v>
      </c>
      <c r="H67" s="14" t="s">
        <v>580</v>
      </c>
      <c r="I67" s="15" t="s">
        <v>568</v>
      </c>
      <c r="J67" s="14">
        <v>18960</v>
      </c>
      <c r="K67" t="s">
        <v>581</v>
      </c>
      <c r="L67">
        <v>18960</v>
      </c>
      <c r="M67">
        <v>0</v>
      </c>
      <c r="N67" s="10" t="s">
        <v>437</v>
      </c>
    </row>
    <row r="68" spans="2:14" ht="33" customHeight="1" x14ac:dyDescent="0.3">
      <c r="B68" s="14" t="s">
        <v>554</v>
      </c>
      <c r="C68" s="14" t="s">
        <v>575</v>
      </c>
      <c r="D68" s="14" t="s">
        <v>582</v>
      </c>
      <c r="E68" s="14">
        <v>0</v>
      </c>
      <c r="F68" s="14" t="s">
        <v>565</v>
      </c>
      <c r="G68" s="14" t="s">
        <v>583</v>
      </c>
      <c r="H68" s="14" t="s">
        <v>584</v>
      </c>
      <c r="I68" s="15" t="s">
        <v>568</v>
      </c>
      <c r="J68" s="14">
        <v>24672</v>
      </c>
      <c r="K68" t="s">
        <v>585</v>
      </c>
      <c r="L68">
        <v>24672</v>
      </c>
      <c r="M68">
        <v>0</v>
      </c>
      <c r="N68" s="10" t="s">
        <v>437</v>
      </c>
    </row>
    <row r="69" spans="2:14" ht="33" customHeight="1" x14ac:dyDescent="0.3"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 t="s">
        <v>417</v>
      </c>
      <c r="I69" s="15" t="s">
        <v>417</v>
      </c>
      <c r="J69" s="14">
        <v>0</v>
      </c>
      <c r="K69">
        <v>0</v>
      </c>
      <c r="L69">
        <v>0</v>
      </c>
      <c r="M69">
        <v>0</v>
      </c>
      <c r="N69" s="10">
        <v>0</v>
      </c>
    </row>
    <row r="70" spans="2:14" ht="33" customHeight="1" x14ac:dyDescent="0.3">
      <c r="B70" s="14" t="s">
        <v>554</v>
      </c>
      <c r="C70" s="14" t="s">
        <v>586</v>
      </c>
      <c r="D70" s="14" t="s">
        <v>587</v>
      </c>
      <c r="E70" s="14" t="s">
        <v>588</v>
      </c>
      <c r="F70" s="14" t="s">
        <v>589</v>
      </c>
      <c r="G70" s="14" t="s">
        <v>106</v>
      </c>
      <c r="H70" s="14" t="s">
        <v>479</v>
      </c>
      <c r="I70" s="15" t="s">
        <v>450</v>
      </c>
      <c r="J70" s="14">
        <v>8880</v>
      </c>
      <c r="K70" t="s">
        <v>590</v>
      </c>
      <c r="L70">
        <v>8880</v>
      </c>
      <c r="M70">
        <v>0</v>
      </c>
      <c r="N70" s="10" t="s">
        <v>437</v>
      </c>
    </row>
    <row r="71" spans="2:14" ht="33" customHeight="1" x14ac:dyDescent="0.3">
      <c r="B71" s="14" t="s">
        <v>554</v>
      </c>
      <c r="C71" s="14" t="s">
        <v>586</v>
      </c>
      <c r="D71" s="14">
        <v>0</v>
      </c>
      <c r="E71" s="14">
        <v>0</v>
      </c>
      <c r="F71" s="14" t="s">
        <v>591</v>
      </c>
      <c r="G71" s="14" t="s">
        <v>592</v>
      </c>
      <c r="H71" s="14" t="s">
        <v>477</v>
      </c>
      <c r="I71" s="15" t="s">
        <v>568</v>
      </c>
      <c r="J71" s="14">
        <v>30000</v>
      </c>
      <c r="K71" t="s">
        <v>593</v>
      </c>
      <c r="L71">
        <v>30000</v>
      </c>
      <c r="M71">
        <v>0</v>
      </c>
      <c r="N71" s="10" t="s">
        <v>437</v>
      </c>
    </row>
    <row r="72" spans="2:14" ht="33" customHeight="1" x14ac:dyDescent="0.3"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 t="s">
        <v>417</v>
      </c>
      <c r="I72" s="15" t="s">
        <v>417</v>
      </c>
      <c r="J72" s="14">
        <v>0</v>
      </c>
      <c r="K72">
        <v>0</v>
      </c>
      <c r="L72">
        <v>0</v>
      </c>
      <c r="M72">
        <v>0</v>
      </c>
      <c r="N72" s="10">
        <v>0</v>
      </c>
    </row>
    <row r="73" spans="2:14" ht="33" customHeight="1" x14ac:dyDescent="0.3">
      <c r="B73" s="14" t="s">
        <v>554</v>
      </c>
      <c r="C73" s="14" t="s">
        <v>594</v>
      </c>
      <c r="D73" s="14" t="s">
        <v>595</v>
      </c>
      <c r="E73" s="14" t="s">
        <v>596</v>
      </c>
      <c r="F73" s="14" t="s">
        <v>597</v>
      </c>
      <c r="G73" s="14" t="s">
        <v>598</v>
      </c>
      <c r="H73" s="14" t="s">
        <v>599</v>
      </c>
      <c r="I73" s="15" t="s">
        <v>568</v>
      </c>
      <c r="J73" s="14">
        <v>2808</v>
      </c>
      <c r="K73" t="s">
        <v>600</v>
      </c>
      <c r="L73">
        <v>2208</v>
      </c>
      <c r="M73">
        <v>0</v>
      </c>
      <c r="N73" s="10" t="s">
        <v>437</v>
      </c>
    </row>
    <row r="74" spans="2:14" ht="33" customHeight="1" x14ac:dyDescent="0.3">
      <c r="B74" s="14" t="s">
        <v>554</v>
      </c>
      <c r="C74" s="14" t="s">
        <v>594</v>
      </c>
      <c r="D74" s="14" t="s">
        <v>601</v>
      </c>
      <c r="E74" s="14">
        <v>0</v>
      </c>
      <c r="F74" s="14" t="s">
        <v>602</v>
      </c>
      <c r="G74" s="14" t="s">
        <v>265</v>
      </c>
      <c r="H74" s="14" t="s">
        <v>562</v>
      </c>
      <c r="I74" s="15" t="s">
        <v>414</v>
      </c>
      <c r="J74" s="14">
        <v>4800</v>
      </c>
      <c r="K74" t="s">
        <v>563</v>
      </c>
      <c r="L74">
        <v>4800</v>
      </c>
      <c r="M74">
        <v>0</v>
      </c>
      <c r="N74" s="10" t="s">
        <v>437</v>
      </c>
    </row>
    <row r="75" spans="2:14" ht="33" customHeight="1" x14ac:dyDescent="0.3">
      <c r="B75" s="14" t="s">
        <v>554</v>
      </c>
      <c r="C75" s="14" t="s">
        <v>594</v>
      </c>
      <c r="D75" s="14" t="s">
        <v>603</v>
      </c>
      <c r="E75" s="14">
        <v>0</v>
      </c>
      <c r="F75" s="14" t="s">
        <v>604</v>
      </c>
      <c r="G75" s="14" t="s">
        <v>106</v>
      </c>
      <c r="H75" s="14" t="s">
        <v>479</v>
      </c>
      <c r="I75" s="15" t="s">
        <v>450</v>
      </c>
      <c r="J75" s="14">
        <v>5280</v>
      </c>
      <c r="K75" t="s">
        <v>590</v>
      </c>
      <c r="L75">
        <v>5280</v>
      </c>
      <c r="M75">
        <v>0</v>
      </c>
      <c r="N75" s="10" t="s">
        <v>437</v>
      </c>
    </row>
    <row r="76" spans="2:14" ht="33" customHeight="1" x14ac:dyDescent="0.3">
      <c r="B76" s="14" t="s">
        <v>554</v>
      </c>
      <c r="C76" s="14" t="s">
        <v>594</v>
      </c>
      <c r="D76" s="14" t="s">
        <v>605</v>
      </c>
      <c r="E76" s="14">
        <v>0</v>
      </c>
      <c r="F76" s="14" t="s">
        <v>606</v>
      </c>
      <c r="G76" s="14" t="s">
        <v>583</v>
      </c>
      <c r="H76" s="14" t="s">
        <v>584</v>
      </c>
      <c r="I76" s="15" t="s">
        <v>568</v>
      </c>
      <c r="J76" s="14">
        <v>5208</v>
      </c>
      <c r="K76" t="s">
        <v>585</v>
      </c>
      <c r="L76">
        <v>5208</v>
      </c>
      <c r="M76">
        <v>0</v>
      </c>
      <c r="N76" s="10" t="s">
        <v>437</v>
      </c>
    </row>
    <row r="77" spans="2:14" ht="33" customHeight="1" x14ac:dyDescent="0.3"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 t="s">
        <v>417</v>
      </c>
      <c r="I77" s="15" t="s">
        <v>417</v>
      </c>
      <c r="J77" s="14">
        <v>0</v>
      </c>
      <c r="K77">
        <v>0</v>
      </c>
      <c r="L77">
        <v>0</v>
      </c>
      <c r="M77">
        <v>0</v>
      </c>
      <c r="N77" s="10">
        <v>0</v>
      </c>
    </row>
    <row r="78" spans="2:14" ht="33" customHeight="1" x14ac:dyDescent="0.3">
      <c r="B78" s="14" t="s">
        <v>554</v>
      </c>
      <c r="C78" s="14" t="s">
        <v>607</v>
      </c>
      <c r="D78" s="14" t="s">
        <v>608</v>
      </c>
      <c r="E78" s="14" t="s">
        <v>609</v>
      </c>
      <c r="F78" s="14" t="s">
        <v>610</v>
      </c>
      <c r="G78" s="14" t="s">
        <v>268</v>
      </c>
      <c r="H78" s="14" t="s">
        <v>611</v>
      </c>
      <c r="I78" s="15" t="s">
        <v>414</v>
      </c>
      <c r="J78" s="14">
        <v>7968</v>
      </c>
      <c r="K78" t="s">
        <v>612</v>
      </c>
      <c r="L78">
        <v>7968</v>
      </c>
      <c r="M78">
        <v>0</v>
      </c>
      <c r="N78" s="10" t="s">
        <v>437</v>
      </c>
    </row>
    <row r="79" spans="2:14" ht="33" customHeight="1" x14ac:dyDescent="0.3">
      <c r="B79" s="14" t="s">
        <v>554</v>
      </c>
      <c r="C79" s="14" t="s">
        <v>607</v>
      </c>
      <c r="D79" s="14" t="s">
        <v>613</v>
      </c>
      <c r="E79" s="14">
        <v>0</v>
      </c>
      <c r="F79" s="14" t="s">
        <v>614</v>
      </c>
      <c r="G79" s="14" t="s">
        <v>268</v>
      </c>
      <c r="H79" s="14" t="s">
        <v>611</v>
      </c>
      <c r="I79" s="15" t="s">
        <v>414</v>
      </c>
      <c r="J79" s="14">
        <v>1329</v>
      </c>
      <c r="K79">
        <v>0</v>
      </c>
      <c r="L79">
        <v>1329</v>
      </c>
      <c r="M79">
        <v>0</v>
      </c>
      <c r="N79" s="10" t="s">
        <v>437</v>
      </c>
    </row>
    <row r="80" spans="2:14" ht="33" customHeight="1" x14ac:dyDescent="0.3">
      <c r="B80" s="14" t="s">
        <v>554</v>
      </c>
      <c r="C80" s="14" t="s">
        <v>607</v>
      </c>
      <c r="D80" s="14" t="s">
        <v>615</v>
      </c>
      <c r="E80" s="14">
        <v>0</v>
      </c>
      <c r="F80" s="14" t="s">
        <v>616</v>
      </c>
      <c r="G80" s="14" t="s">
        <v>289</v>
      </c>
      <c r="H80" s="14" t="s">
        <v>617</v>
      </c>
      <c r="I80" s="15" t="s">
        <v>414</v>
      </c>
      <c r="J80" s="14">
        <v>4507</v>
      </c>
      <c r="K80" t="s">
        <v>618</v>
      </c>
      <c r="L80">
        <v>4507</v>
      </c>
      <c r="M80">
        <v>0</v>
      </c>
      <c r="N80" s="10" t="s">
        <v>437</v>
      </c>
    </row>
    <row r="81" spans="2:14" ht="33" customHeight="1" x14ac:dyDescent="0.3">
      <c r="B81" s="14" t="s">
        <v>554</v>
      </c>
      <c r="C81" s="14" t="s">
        <v>607</v>
      </c>
      <c r="D81" s="14" t="s">
        <v>619</v>
      </c>
      <c r="E81" s="14">
        <v>0</v>
      </c>
      <c r="F81" s="14" t="s">
        <v>620</v>
      </c>
      <c r="G81" s="14" t="s">
        <v>289</v>
      </c>
      <c r="H81" s="14" t="s">
        <v>617</v>
      </c>
      <c r="I81" s="15" t="s">
        <v>414</v>
      </c>
      <c r="J81" s="14">
        <v>1142</v>
      </c>
      <c r="K81" t="s">
        <v>618</v>
      </c>
      <c r="L81">
        <v>1142</v>
      </c>
      <c r="M81">
        <v>0</v>
      </c>
      <c r="N81" s="10" t="s">
        <v>437</v>
      </c>
    </row>
    <row r="82" spans="2:14" ht="33" customHeight="1" x14ac:dyDescent="0.3">
      <c r="B82" s="14" t="s">
        <v>554</v>
      </c>
      <c r="C82" s="14" t="s">
        <v>607</v>
      </c>
      <c r="D82" s="14" t="s">
        <v>621</v>
      </c>
      <c r="E82" s="14">
        <v>0</v>
      </c>
      <c r="F82" s="14" t="s">
        <v>622</v>
      </c>
      <c r="G82" s="14" t="s">
        <v>371</v>
      </c>
      <c r="H82" s="14" t="s">
        <v>623</v>
      </c>
      <c r="I82" s="15" t="s">
        <v>568</v>
      </c>
      <c r="J82" s="14">
        <v>6250</v>
      </c>
      <c r="K82" t="s">
        <v>624</v>
      </c>
      <c r="L82">
        <v>0</v>
      </c>
      <c r="M82">
        <v>6250</v>
      </c>
      <c r="N82" s="10" t="s">
        <v>437</v>
      </c>
    </row>
    <row r="83" spans="2:14" ht="33" customHeight="1" x14ac:dyDescent="0.3">
      <c r="B83" s="14" t="s">
        <v>554</v>
      </c>
      <c r="C83" s="14" t="s">
        <v>607</v>
      </c>
      <c r="D83" s="14" t="s">
        <v>625</v>
      </c>
      <c r="E83" s="14">
        <v>0</v>
      </c>
      <c r="F83" s="14" t="s">
        <v>622</v>
      </c>
      <c r="G83" s="14" t="s">
        <v>626</v>
      </c>
      <c r="H83" s="14" t="s">
        <v>455</v>
      </c>
      <c r="I83" s="15" t="s">
        <v>568</v>
      </c>
      <c r="J83" s="14">
        <v>12250</v>
      </c>
      <c r="K83" t="s">
        <v>627</v>
      </c>
      <c r="L83">
        <v>0</v>
      </c>
      <c r="M83">
        <v>12250</v>
      </c>
      <c r="N83" s="10" t="s">
        <v>437</v>
      </c>
    </row>
    <row r="84" spans="2:14" ht="33" customHeight="1" x14ac:dyDescent="0.3">
      <c r="B84" s="14" t="s">
        <v>554</v>
      </c>
      <c r="C84" s="14" t="s">
        <v>607</v>
      </c>
      <c r="D84" s="14" t="s">
        <v>628</v>
      </c>
      <c r="E84" s="14">
        <v>0</v>
      </c>
      <c r="F84" s="14" t="s">
        <v>629</v>
      </c>
      <c r="G84" s="14" t="s">
        <v>630</v>
      </c>
      <c r="H84" s="14" t="s">
        <v>631</v>
      </c>
      <c r="I84" s="15" t="s">
        <v>414</v>
      </c>
      <c r="J84" s="14">
        <v>4872</v>
      </c>
      <c r="K84" t="s">
        <v>632</v>
      </c>
      <c r="L84">
        <v>4872</v>
      </c>
      <c r="M84">
        <v>0</v>
      </c>
      <c r="N84" s="10" t="s">
        <v>437</v>
      </c>
    </row>
    <row r="85" spans="2:14" ht="33" customHeight="1" x14ac:dyDescent="0.3">
      <c r="B85" s="14" t="s">
        <v>554</v>
      </c>
      <c r="C85" s="14" t="s">
        <v>607</v>
      </c>
      <c r="D85" s="14" t="s">
        <v>633</v>
      </c>
      <c r="E85" s="14">
        <v>0</v>
      </c>
      <c r="F85" s="14" t="s">
        <v>622</v>
      </c>
      <c r="G85" s="14" t="s">
        <v>389</v>
      </c>
      <c r="H85" s="14" t="s">
        <v>634</v>
      </c>
      <c r="I85" s="15" t="s">
        <v>414</v>
      </c>
      <c r="J85" s="14">
        <v>4500</v>
      </c>
      <c r="K85" t="s">
        <v>635</v>
      </c>
      <c r="L85">
        <v>0</v>
      </c>
      <c r="M85">
        <v>4500</v>
      </c>
      <c r="N85" s="10" t="s">
        <v>437</v>
      </c>
    </row>
    <row r="86" spans="2:14" ht="33" customHeight="1" x14ac:dyDescent="0.3"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 t="s">
        <v>417</v>
      </c>
      <c r="I86" s="15" t="s">
        <v>417</v>
      </c>
      <c r="J86" s="14">
        <v>0</v>
      </c>
      <c r="K86">
        <v>0</v>
      </c>
      <c r="L86">
        <v>0</v>
      </c>
      <c r="M86">
        <v>0</v>
      </c>
      <c r="N86" s="10">
        <v>0</v>
      </c>
    </row>
    <row r="87" spans="2:14" ht="33" customHeight="1" x14ac:dyDescent="0.3">
      <c r="B87" s="14" t="s">
        <v>554</v>
      </c>
      <c r="C87" s="14" t="s">
        <v>636</v>
      </c>
      <c r="D87" s="14" t="s">
        <v>637</v>
      </c>
      <c r="E87" s="14" t="s">
        <v>638</v>
      </c>
      <c r="F87" s="14">
        <v>0</v>
      </c>
      <c r="G87" s="14" t="s">
        <v>639</v>
      </c>
      <c r="H87" s="14" t="s">
        <v>640</v>
      </c>
      <c r="I87" s="15" t="s">
        <v>414</v>
      </c>
      <c r="J87" s="14">
        <v>720</v>
      </c>
      <c r="K87" t="s">
        <v>641</v>
      </c>
      <c r="L87">
        <v>720</v>
      </c>
      <c r="M87">
        <v>0</v>
      </c>
      <c r="N87" s="10" t="s">
        <v>437</v>
      </c>
    </row>
    <row r="88" spans="2:14" ht="33" customHeight="1" x14ac:dyDescent="0.3">
      <c r="B88" s="14" t="s">
        <v>554</v>
      </c>
      <c r="C88" s="14" t="s">
        <v>636</v>
      </c>
      <c r="D88" s="14" t="s">
        <v>642</v>
      </c>
      <c r="E88" s="14">
        <v>0</v>
      </c>
      <c r="F88" s="14">
        <v>0</v>
      </c>
      <c r="G88" s="14" t="s">
        <v>402</v>
      </c>
      <c r="H88" s="14" t="s">
        <v>643</v>
      </c>
      <c r="I88" s="15" t="s">
        <v>414</v>
      </c>
      <c r="J88" s="14">
        <v>2200</v>
      </c>
      <c r="K88" t="s">
        <v>644</v>
      </c>
      <c r="L88">
        <v>2200</v>
      </c>
      <c r="M88">
        <v>0</v>
      </c>
      <c r="N88" s="10" t="s">
        <v>437</v>
      </c>
    </row>
    <row r="89" spans="2:14" ht="33" customHeight="1" x14ac:dyDescent="0.3">
      <c r="B89" s="14" t="s">
        <v>554</v>
      </c>
      <c r="C89" s="14" t="s">
        <v>636</v>
      </c>
      <c r="D89" s="14" t="s">
        <v>645</v>
      </c>
      <c r="E89" s="14">
        <v>0</v>
      </c>
      <c r="F89" s="14">
        <v>0</v>
      </c>
      <c r="G89" s="14" t="s">
        <v>43</v>
      </c>
      <c r="H89" s="14" t="s">
        <v>646</v>
      </c>
      <c r="I89" s="15" t="s">
        <v>414</v>
      </c>
      <c r="J89" s="14">
        <v>550</v>
      </c>
      <c r="K89" t="s">
        <v>647</v>
      </c>
      <c r="L89">
        <v>550</v>
      </c>
      <c r="M89">
        <v>0</v>
      </c>
      <c r="N89" s="10" t="s">
        <v>437</v>
      </c>
    </row>
    <row r="90" spans="2:14" ht="33" customHeight="1" x14ac:dyDescent="0.3">
      <c r="B90" s="14" t="s">
        <v>554</v>
      </c>
      <c r="C90" s="14" t="s">
        <v>636</v>
      </c>
      <c r="D90" s="14">
        <v>0</v>
      </c>
      <c r="E90" s="14">
        <v>0</v>
      </c>
      <c r="F90" s="14" t="s">
        <v>648</v>
      </c>
      <c r="G90" s="14" t="s">
        <v>342</v>
      </c>
      <c r="H90" s="14" t="s">
        <v>649</v>
      </c>
      <c r="I90" s="15" t="s">
        <v>414</v>
      </c>
      <c r="J90" s="14">
        <v>6000</v>
      </c>
      <c r="K90" t="s">
        <v>650</v>
      </c>
      <c r="L90">
        <v>6000</v>
      </c>
      <c r="M90">
        <v>0</v>
      </c>
      <c r="N90" s="10" t="s">
        <v>437</v>
      </c>
    </row>
    <row r="91" spans="2:14" ht="33" customHeight="1" x14ac:dyDescent="0.3">
      <c r="B91" s="14" t="s">
        <v>554</v>
      </c>
      <c r="C91" s="14" t="s">
        <v>636</v>
      </c>
      <c r="D91" s="14" t="s">
        <v>651</v>
      </c>
      <c r="E91" s="14">
        <v>0</v>
      </c>
      <c r="F91" s="14" t="s">
        <v>652</v>
      </c>
      <c r="G91" s="14" t="s">
        <v>371</v>
      </c>
      <c r="H91" s="14" t="s">
        <v>623</v>
      </c>
      <c r="I91" s="15" t="s">
        <v>568</v>
      </c>
      <c r="J91" s="14">
        <v>529</v>
      </c>
      <c r="K91" t="s">
        <v>624</v>
      </c>
      <c r="L91">
        <v>529</v>
      </c>
      <c r="M91">
        <v>0</v>
      </c>
      <c r="N91" s="10" t="s">
        <v>437</v>
      </c>
    </row>
    <row r="92" spans="2:14" ht="33" customHeight="1" x14ac:dyDescent="0.3">
      <c r="B92" s="14" t="s">
        <v>554</v>
      </c>
      <c r="C92" s="14" t="s">
        <v>636</v>
      </c>
      <c r="D92" s="14">
        <v>0</v>
      </c>
      <c r="E92" s="14">
        <v>0</v>
      </c>
      <c r="F92" s="14" t="s">
        <v>653</v>
      </c>
      <c r="G92" s="14" t="s">
        <v>371</v>
      </c>
      <c r="H92" s="14" t="s">
        <v>623</v>
      </c>
      <c r="I92" s="15" t="s">
        <v>568</v>
      </c>
      <c r="J92" s="14">
        <v>4158</v>
      </c>
      <c r="K92" t="s">
        <v>624</v>
      </c>
      <c r="L92">
        <v>4158</v>
      </c>
      <c r="M92">
        <v>0</v>
      </c>
      <c r="N92" s="10" t="s">
        <v>437</v>
      </c>
    </row>
    <row r="93" spans="2:14" ht="33" customHeight="1" x14ac:dyDescent="0.3">
      <c r="B93" s="14" t="s">
        <v>554</v>
      </c>
      <c r="C93" s="14" t="s">
        <v>636</v>
      </c>
      <c r="D93" s="14">
        <v>0</v>
      </c>
      <c r="E93" s="14">
        <v>0</v>
      </c>
      <c r="F93" s="14" t="s">
        <v>654</v>
      </c>
      <c r="G93" s="14" t="s">
        <v>371</v>
      </c>
      <c r="H93" s="14" t="s">
        <v>623</v>
      </c>
      <c r="I93" s="15" t="s">
        <v>568</v>
      </c>
      <c r="J93" s="14">
        <v>953</v>
      </c>
      <c r="K93" t="s">
        <v>627</v>
      </c>
      <c r="L93">
        <v>953</v>
      </c>
      <c r="M93">
        <v>0</v>
      </c>
      <c r="N93" s="10" t="s">
        <v>437</v>
      </c>
    </row>
    <row r="94" spans="2:14" ht="33" customHeight="1" x14ac:dyDescent="0.3">
      <c r="B94" s="14" t="s">
        <v>554</v>
      </c>
      <c r="C94" s="14" t="s">
        <v>636</v>
      </c>
      <c r="D94" s="14" t="s">
        <v>655</v>
      </c>
      <c r="E94" s="14">
        <v>0</v>
      </c>
      <c r="F94" s="14" t="s">
        <v>656</v>
      </c>
      <c r="G94" s="14" t="s">
        <v>294</v>
      </c>
      <c r="H94" s="14" t="s">
        <v>657</v>
      </c>
      <c r="I94" s="15" t="s">
        <v>414</v>
      </c>
      <c r="J94" s="14">
        <v>860</v>
      </c>
      <c r="K94" t="s">
        <v>658</v>
      </c>
      <c r="L94">
        <v>860</v>
      </c>
      <c r="M94">
        <v>0</v>
      </c>
      <c r="N94" s="10" t="s">
        <v>437</v>
      </c>
    </row>
    <row r="95" spans="2:14" ht="33" customHeight="1" x14ac:dyDescent="0.3">
      <c r="B95" s="14" t="s">
        <v>554</v>
      </c>
      <c r="C95" s="14" t="s">
        <v>636</v>
      </c>
      <c r="D95" s="14">
        <v>0</v>
      </c>
      <c r="E95" s="14">
        <v>0</v>
      </c>
      <c r="F95" s="14" t="s">
        <v>659</v>
      </c>
      <c r="G95" s="14" t="s">
        <v>290</v>
      </c>
      <c r="H95" s="14" t="s">
        <v>486</v>
      </c>
      <c r="I95" s="15" t="s">
        <v>414</v>
      </c>
      <c r="J95" s="14">
        <v>2200</v>
      </c>
      <c r="K95" t="s">
        <v>487</v>
      </c>
      <c r="L95">
        <v>2200</v>
      </c>
      <c r="M95">
        <v>0</v>
      </c>
      <c r="N95" s="10" t="s">
        <v>437</v>
      </c>
    </row>
    <row r="96" spans="2:14" ht="33" customHeight="1" x14ac:dyDescent="0.3">
      <c r="B96" s="14" t="s">
        <v>554</v>
      </c>
      <c r="C96" s="14" t="s">
        <v>636</v>
      </c>
      <c r="D96" s="14">
        <v>0</v>
      </c>
      <c r="E96" s="14">
        <v>0</v>
      </c>
      <c r="F96" s="14" t="s">
        <v>660</v>
      </c>
      <c r="G96" s="14" t="s">
        <v>661</v>
      </c>
      <c r="H96" s="14" t="s">
        <v>662</v>
      </c>
      <c r="I96" s="15" t="s">
        <v>414</v>
      </c>
      <c r="J96" s="14">
        <v>1451</v>
      </c>
      <c r="K96">
        <v>0</v>
      </c>
      <c r="L96">
        <v>1453</v>
      </c>
      <c r="M96">
        <v>0</v>
      </c>
      <c r="N96" s="10" t="s">
        <v>437</v>
      </c>
    </row>
    <row r="97" spans="2:14" ht="33" customHeight="1" x14ac:dyDescent="0.3">
      <c r="B97" s="14" t="s">
        <v>554</v>
      </c>
      <c r="C97" s="14" t="s">
        <v>636</v>
      </c>
      <c r="D97" s="14">
        <v>0</v>
      </c>
      <c r="E97" s="14">
        <v>0</v>
      </c>
      <c r="F97" s="14" t="s">
        <v>663</v>
      </c>
      <c r="G97" s="14" t="s">
        <v>661</v>
      </c>
      <c r="H97" s="14" t="s">
        <v>662</v>
      </c>
      <c r="I97" s="15" t="s">
        <v>414</v>
      </c>
      <c r="J97" s="14">
        <v>860</v>
      </c>
      <c r="K97">
        <v>0</v>
      </c>
      <c r="L97">
        <v>860</v>
      </c>
      <c r="M97">
        <v>0</v>
      </c>
      <c r="N97" s="10" t="s">
        <v>437</v>
      </c>
    </row>
    <row r="98" spans="2:14" ht="33" customHeight="1" x14ac:dyDescent="0.3">
      <c r="B98" s="14" t="s">
        <v>554</v>
      </c>
      <c r="C98" s="14" t="s">
        <v>636</v>
      </c>
      <c r="D98" s="14">
        <v>0</v>
      </c>
      <c r="E98" s="14">
        <v>0</v>
      </c>
      <c r="F98" s="14" t="s">
        <v>664</v>
      </c>
      <c r="G98" s="14" t="s">
        <v>303</v>
      </c>
      <c r="H98" s="14" t="s">
        <v>665</v>
      </c>
      <c r="I98" s="15" t="s">
        <v>414</v>
      </c>
      <c r="J98" s="14">
        <v>1001</v>
      </c>
      <c r="K98">
        <v>0</v>
      </c>
      <c r="L98">
        <v>0</v>
      </c>
      <c r="M98">
        <v>0</v>
      </c>
      <c r="N98" s="10" t="s">
        <v>437</v>
      </c>
    </row>
    <row r="99" spans="2:14" ht="33" customHeight="1" x14ac:dyDescent="0.3"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 t="s">
        <v>417</v>
      </c>
      <c r="I99" s="15" t="s">
        <v>417</v>
      </c>
      <c r="J99" s="14">
        <v>0</v>
      </c>
      <c r="K99">
        <v>0</v>
      </c>
      <c r="L99">
        <v>0</v>
      </c>
      <c r="M99">
        <v>0</v>
      </c>
      <c r="N99" s="10">
        <v>0</v>
      </c>
    </row>
    <row r="100" spans="2:14" ht="33" customHeight="1" x14ac:dyDescent="0.3">
      <c r="B100" s="14" t="s">
        <v>554</v>
      </c>
      <c r="C100" s="14" t="s">
        <v>666</v>
      </c>
      <c r="D100" s="14">
        <v>0</v>
      </c>
      <c r="E100" s="14" t="s">
        <v>667</v>
      </c>
      <c r="F100" s="14" t="s">
        <v>668</v>
      </c>
      <c r="G100" s="14" t="s">
        <v>669</v>
      </c>
      <c r="H100" s="14" t="s">
        <v>670</v>
      </c>
      <c r="I100" s="15" t="s">
        <v>568</v>
      </c>
      <c r="J100" s="14">
        <v>5000</v>
      </c>
      <c r="K100" t="s">
        <v>671</v>
      </c>
      <c r="L100">
        <v>0</v>
      </c>
      <c r="M100">
        <v>5000</v>
      </c>
      <c r="N100" s="10" t="s">
        <v>437</v>
      </c>
    </row>
    <row r="101" spans="2:14" ht="33" customHeight="1" x14ac:dyDescent="0.3">
      <c r="B101" s="14" t="s">
        <v>554</v>
      </c>
      <c r="C101" s="14" t="s">
        <v>666</v>
      </c>
      <c r="D101" s="14">
        <v>0</v>
      </c>
      <c r="E101" s="14">
        <v>0</v>
      </c>
      <c r="F101" s="14" t="s">
        <v>672</v>
      </c>
      <c r="G101" s="14" t="s">
        <v>639</v>
      </c>
      <c r="H101" s="14" t="s">
        <v>640</v>
      </c>
      <c r="I101" s="15" t="s">
        <v>414</v>
      </c>
      <c r="J101" s="14">
        <v>1480</v>
      </c>
      <c r="K101" t="s">
        <v>641</v>
      </c>
      <c r="L101">
        <v>0</v>
      </c>
      <c r="M101">
        <v>1480</v>
      </c>
      <c r="N101" s="10" t="s">
        <v>437</v>
      </c>
    </row>
    <row r="102" spans="2:14" ht="33" customHeight="1" x14ac:dyDescent="0.3"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 t="s">
        <v>417</v>
      </c>
      <c r="I102" s="15" t="s">
        <v>417</v>
      </c>
      <c r="J102" s="14">
        <v>0</v>
      </c>
      <c r="K102">
        <v>0</v>
      </c>
      <c r="L102">
        <v>0</v>
      </c>
      <c r="M102">
        <v>0</v>
      </c>
      <c r="N102" s="10">
        <v>0</v>
      </c>
    </row>
    <row r="103" spans="2:14" ht="33" customHeight="1" x14ac:dyDescent="0.3">
      <c r="B103" s="14" t="s">
        <v>673</v>
      </c>
      <c r="C103" s="14" t="s">
        <v>674</v>
      </c>
      <c r="D103" s="14" t="s">
        <v>675</v>
      </c>
      <c r="E103" s="14" t="s">
        <v>676</v>
      </c>
      <c r="F103" s="14">
        <v>0</v>
      </c>
      <c r="G103" s="14" t="s">
        <v>299</v>
      </c>
      <c r="H103" s="14" t="s">
        <v>677</v>
      </c>
      <c r="I103" s="15" t="s">
        <v>414</v>
      </c>
      <c r="J103" s="14">
        <v>96</v>
      </c>
      <c r="K103" t="s">
        <v>678</v>
      </c>
      <c r="L103">
        <v>96</v>
      </c>
      <c r="M103">
        <v>0</v>
      </c>
      <c r="N103" s="10" t="s">
        <v>416</v>
      </c>
    </row>
    <row r="104" spans="2:14" ht="33" customHeight="1" x14ac:dyDescent="0.3">
      <c r="B104" s="14" t="s">
        <v>673</v>
      </c>
      <c r="C104" s="14" t="s">
        <v>674</v>
      </c>
      <c r="D104" s="14">
        <v>0</v>
      </c>
      <c r="E104" s="14">
        <v>0</v>
      </c>
      <c r="F104" s="14">
        <v>0</v>
      </c>
      <c r="G104" s="14" t="s">
        <v>342</v>
      </c>
      <c r="H104" s="14" t="s">
        <v>649</v>
      </c>
      <c r="I104" s="15" t="s">
        <v>414</v>
      </c>
      <c r="J104" s="14">
        <v>48</v>
      </c>
      <c r="K104" t="s">
        <v>650</v>
      </c>
      <c r="L104">
        <v>48</v>
      </c>
      <c r="M104">
        <v>0</v>
      </c>
      <c r="N104" s="10" t="s">
        <v>416</v>
      </c>
    </row>
    <row r="105" spans="2:14" ht="33" customHeight="1" x14ac:dyDescent="0.3">
      <c r="B105" s="14" t="s">
        <v>673</v>
      </c>
      <c r="C105" s="14" t="s">
        <v>674</v>
      </c>
      <c r="D105" s="14">
        <v>0</v>
      </c>
      <c r="E105" s="14">
        <v>0</v>
      </c>
      <c r="F105" s="14">
        <v>0</v>
      </c>
      <c r="G105" s="14" t="s">
        <v>207</v>
      </c>
      <c r="H105" s="14" t="s">
        <v>457</v>
      </c>
      <c r="I105" s="15" t="s">
        <v>414</v>
      </c>
      <c r="J105" s="14">
        <v>48</v>
      </c>
      <c r="K105" t="s">
        <v>458</v>
      </c>
      <c r="L105">
        <v>48</v>
      </c>
      <c r="M105">
        <v>0</v>
      </c>
      <c r="N105" s="10" t="s">
        <v>416</v>
      </c>
    </row>
    <row r="106" spans="2:14" ht="33" customHeight="1" x14ac:dyDescent="0.3">
      <c r="B106" s="14" t="s">
        <v>673</v>
      </c>
      <c r="C106" s="14" t="s">
        <v>674</v>
      </c>
      <c r="D106" s="14">
        <v>0</v>
      </c>
      <c r="E106" s="14">
        <v>0</v>
      </c>
      <c r="F106" s="14">
        <v>0</v>
      </c>
      <c r="G106" s="14" t="s">
        <v>390</v>
      </c>
      <c r="H106" s="14" t="s">
        <v>679</v>
      </c>
      <c r="I106" s="15" t="s">
        <v>414</v>
      </c>
      <c r="J106" s="14">
        <v>120</v>
      </c>
      <c r="K106" t="s">
        <v>680</v>
      </c>
      <c r="L106">
        <v>120</v>
      </c>
      <c r="M106">
        <v>0</v>
      </c>
      <c r="N106" s="10" t="s">
        <v>416</v>
      </c>
    </row>
    <row r="107" spans="2:14" ht="33" customHeight="1" x14ac:dyDescent="0.3">
      <c r="B107" s="14" t="s">
        <v>673</v>
      </c>
      <c r="C107" s="14" t="s">
        <v>674</v>
      </c>
      <c r="D107" s="14">
        <v>0</v>
      </c>
      <c r="E107" s="14">
        <v>0</v>
      </c>
      <c r="F107" s="14">
        <v>0</v>
      </c>
      <c r="G107" s="14" t="s">
        <v>125</v>
      </c>
      <c r="H107" s="14" t="s">
        <v>477</v>
      </c>
      <c r="I107" s="15" t="s">
        <v>414</v>
      </c>
      <c r="J107" s="14">
        <v>24</v>
      </c>
      <c r="K107" t="s">
        <v>478</v>
      </c>
      <c r="L107">
        <v>24</v>
      </c>
      <c r="M107">
        <v>0</v>
      </c>
      <c r="N107" s="10" t="s">
        <v>416</v>
      </c>
    </row>
    <row r="108" spans="2:14" ht="33" customHeight="1" x14ac:dyDescent="0.3">
      <c r="B108" s="14" t="s">
        <v>673</v>
      </c>
      <c r="C108" s="14" t="s">
        <v>674</v>
      </c>
      <c r="D108" s="14">
        <v>0</v>
      </c>
      <c r="E108" s="14">
        <v>0</v>
      </c>
      <c r="F108" s="14">
        <v>0</v>
      </c>
      <c r="G108" s="14" t="s">
        <v>406</v>
      </c>
      <c r="H108" s="14" t="s">
        <v>481</v>
      </c>
      <c r="I108" s="15" t="s">
        <v>414</v>
      </c>
      <c r="J108" s="14">
        <v>48</v>
      </c>
      <c r="K108" t="s">
        <v>482</v>
      </c>
      <c r="L108">
        <v>48</v>
      </c>
      <c r="M108">
        <v>0</v>
      </c>
      <c r="N108" s="10" t="s">
        <v>416</v>
      </c>
    </row>
    <row r="109" spans="2:14" ht="33" customHeight="1" x14ac:dyDescent="0.3">
      <c r="B109" s="14" t="s">
        <v>673</v>
      </c>
      <c r="C109" s="14" t="s">
        <v>674</v>
      </c>
      <c r="D109" s="14">
        <v>0</v>
      </c>
      <c r="E109" s="14">
        <v>0</v>
      </c>
      <c r="F109" s="14">
        <v>0</v>
      </c>
      <c r="G109" s="14" t="s">
        <v>71</v>
      </c>
      <c r="H109" s="14" t="s">
        <v>599</v>
      </c>
      <c r="I109" s="15" t="s">
        <v>414</v>
      </c>
      <c r="J109" s="14">
        <v>48</v>
      </c>
      <c r="K109" t="s">
        <v>681</v>
      </c>
      <c r="L109">
        <v>48</v>
      </c>
      <c r="M109">
        <v>0</v>
      </c>
      <c r="N109" s="10" t="s">
        <v>416</v>
      </c>
    </row>
    <row r="110" spans="2:14" ht="33" customHeight="1" x14ac:dyDescent="0.3">
      <c r="B110" s="14" t="s">
        <v>673</v>
      </c>
      <c r="C110" s="14" t="s">
        <v>674</v>
      </c>
      <c r="D110" s="14">
        <v>0</v>
      </c>
      <c r="E110" s="14">
        <v>0</v>
      </c>
      <c r="F110" s="14">
        <v>0</v>
      </c>
      <c r="G110" s="14" t="s">
        <v>331</v>
      </c>
      <c r="H110" s="14" t="s">
        <v>682</v>
      </c>
      <c r="I110" s="15" t="s">
        <v>414</v>
      </c>
      <c r="J110" s="14">
        <v>48</v>
      </c>
      <c r="K110" t="s">
        <v>523</v>
      </c>
      <c r="L110">
        <v>48</v>
      </c>
      <c r="M110">
        <v>0</v>
      </c>
      <c r="N110" s="10" t="s">
        <v>416</v>
      </c>
    </row>
    <row r="111" spans="2:14" ht="33" customHeight="1" x14ac:dyDescent="0.3">
      <c r="B111" s="14" t="s">
        <v>673</v>
      </c>
      <c r="C111" s="14" t="s">
        <v>674</v>
      </c>
      <c r="D111" s="14">
        <v>0</v>
      </c>
      <c r="E111" s="14">
        <v>0</v>
      </c>
      <c r="F111" s="14">
        <v>0</v>
      </c>
      <c r="G111" s="14" t="s">
        <v>34</v>
      </c>
      <c r="H111" s="14" t="s">
        <v>468</v>
      </c>
      <c r="I111" s="15" t="s">
        <v>414</v>
      </c>
      <c r="J111" s="14">
        <v>48</v>
      </c>
      <c r="K111" t="s">
        <v>469</v>
      </c>
      <c r="L111">
        <v>48</v>
      </c>
      <c r="M111">
        <v>0</v>
      </c>
      <c r="N111" s="10" t="s">
        <v>416</v>
      </c>
    </row>
    <row r="112" spans="2:14" ht="33" customHeight="1" x14ac:dyDescent="0.3">
      <c r="B112" s="14" t="s">
        <v>673</v>
      </c>
      <c r="C112" s="14" t="s">
        <v>674</v>
      </c>
      <c r="D112" s="14">
        <v>0</v>
      </c>
      <c r="E112" s="14">
        <v>0</v>
      </c>
      <c r="F112" s="14">
        <v>0</v>
      </c>
      <c r="G112" s="14" t="s">
        <v>39</v>
      </c>
      <c r="H112" s="14" t="s">
        <v>445</v>
      </c>
      <c r="I112" s="15" t="s">
        <v>414</v>
      </c>
      <c r="J112" s="14">
        <v>48</v>
      </c>
      <c r="K112" t="s">
        <v>446</v>
      </c>
      <c r="L112">
        <v>48</v>
      </c>
      <c r="M112">
        <v>0</v>
      </c>
      <c r="N112" s="10" t="s">
        <v>416</v>
      </c>
    </row>
    <row r="113" spans="2:14" ht="33" customHeight="1" x14ac:dyDescent="0.3">
      <c r="B113" s="14" t="s">
        <v>673</v>
      </c>
      <c r="C113" s="14" t="s">
        <v>674</v>
      </c>
      <c r="D113" s="14">
        <v>0</v>
      </c>
      <c r="E113" s="14">
        <v>0</v>
      </c>
      <c r="F113" s="14">
        <v>0</v>
      </c>
      <c r="G113" s="14" t="s">
        <v>220</v>
      </c>
      <c r="H113" s="14" t="s">
        <v>441</v>
      </c>
      <c r="I113" s="15" t="s">
        <v>414</v>
      </c>
      <c r="J113" s="14">
        <v>24</v>
      </c>
      <c r="K113" t="s">
        <v>442</v>
      </c>
      <c r="L113">
        <v>24</v>
      </c>
      <c r="M113">
        <v>0</v>
      </c>
      <c r="N113" s="10" t="s">
        <v>416</v>
      </c>
    </row>
    <row r="114" spans="2:14" ht="33" customHeight="1" x14ac:dyDescent="0.3">
      <c r="B114" s="14" t="s">
        <v>673</v>
      </c>
      <c r="C114" s="14" t="s">
        <v>674</v>
      </c>
      <c r="D114" s="14">
        <v>0</v>
      </c>
      <c r="E114" s="14">
        <v>0</v>
      </c>
      <c r="F114" s="14">
        <v>0</v>
      </c>
      <c r="G114" s="14" t="s">
        <v>144</v>
      </c>
      <c r="H114" s="14" t="s">
        <v>460</v>
      </c>
      <c r="I114" s="15" t="s">
        <v>414</v>
      </c>
      <c r="J114" s="14">
        <v>48</v>
      </c>
      <c r="K114" t="s">
        <v>683</v>
      </c>
      <c r="L114">
        <v>48</v>
      </c>
      <c r="M114">
        <v>0</v>
      </c>
      <c r="N114" s="10" t="s">
        <v>416</v>
      </c>
    </row>
    <row r="115" spans="2:14" ht="33" customHeight="1" x14ac:dyDescent="0.3">
      <c r="B115" s="14" t="s">
        <v>673</v>
      </c>
      <c r="C115" s="14" t="s">
        <v>674</v>
      </c>
      <c r="D115" s="14">
        <v>0</v>
      </c>
      <c r="E115" s="14">
        <v>0</v>
      </c>
      <c r="F115" s="14">
        <v>49241225</v>
      </c>
      <c r="G115" s="14" t="s">
        <v>260</v>
      </c>
      <c r="H115" s="14" t="s">
        <v>684</v>
      </c>
      <c r="I115" s="15" t="s">
        <v>414</v>
      </c>
      <c r="J115" s="14">
        <v>48</v>
      </c>
      <c r="K115" t="s">
        <v>685</v>
      </c>
      <c r="L115">
        <v>48</v>
      </c>
      <c r="M115">
        <v>0</v>
      </c>
      <c r="N115" s="10" t="s">
        <v>416</v>
      </c>
    </row>
    <row r="116" spans="2:14" ht="33" customHeight="1" x14ac:dyDescent="0.3">
      <c r="B116" s="14" t="s">
        <v>673</v>
      </c>
      <c r="C116" s="14" t="s">
        <v>674</v>
      </c>
      <c r="D116" s="14">
        <v>0</v>
      </c>
      <c r="E116" s="14">
        <v>0</v>
      </c>
      <c r="F116" s="14">
        <v>0</v>
      </c>
      <c r="G116" s="14" t="s">
        <v>42</v>
      </c>
      <c r="H116" s="14" t="s">
        <v>449</v>
      </c>
      <c r="I116" s="15" t="s">
        <v>450</v>
      </c>
      <c r="J116" s="14">
        <v>48</v>
      </c>
      <c r="K116" t="s">
        <v>451</v>
      </c>
      <c r="L116">
        <v>48</v>
      </c>
      <c r="M116">
        <v>0</v>
      </c>
      <c r="N116" s="10" t="s">
        <v>416</v>
      </c>
    </row>
    <row r="117" spans="2:14" ht="33" customHeight="1" x14ac:dyDescent="0.3">
      <c r="B117" s="14" t="s">
        <v>673</v>
      </c>
      <c r="C117" s="14" t="s">
        <v>674</v>
      </c>
      <c r="D117" s="14">
        <v>0</v>
      </c>
      <c r="E117" s="14">
        <v>0</v>
      </c>
      <c r="F117" s="14">
        <v>0</v>
      </c>
      <c r="G117" s="14" t="s">
        <v>366</v>
      </c>
      <c r="H117" s="14" t="s">
        <v>686</v>
      </c>
      <c r="I117" s="15" t="s">
        <v>414</v>
      </c>
      <c r="J117" s="14">
        <v>120</v>
      </c>
      <c r="K117" t="s">
        <v>687</v>
      </c>
      <c r="L117">
        <v>120</v>
      </c>
      <c r="M117">
        <v>0</v>
      </c>
      <c r="N117" s="10" t="s">
        <v>416</v>
      </c>
    </row>
    <row r="118" spans="2:14" ht="33" customHeight="1" x14ac:dyDescent="0.3">
      <c r="B118" s="14" t="s">
        <v>673</v>
      </c>
      <c r="C118" s="14" t="s">
        <v>674</v>
      </c>
      <c r="D118" s="14">
        <v>0</v>
      </c>
      <c r="E118" s="14">
        <v>0</v>
      </c>
      <c r="F118" s="14">
        <v>0</v>
      </c>
      <c r="G118" s="14" t="s">
        <v>196</v>
      </c>
      <c r="H118" s="14" t="s">
        <v>453</v>
      </c>
      <c r="I118" s="15" t="s">
        <v>414</v>
      </c>
      <c r="J118" s="14">
        <v>48</v>
      </c>
      <c r="K118" t="s">
        <v>454</v>
      </c>
      <c r="L118">
        <v>48</v>
      </c>
      <c r="M118">
        <v>0</v>
      </c>
      <c r="N118" s="10" t="s">
        <v>416</v>
      </c>
    </row>
    <row r="119" spans="2:14" ht="33" customHeight="1" x14ac:dyDescent="0.3">
      <c r="B119" s="14" t="s">
        <v>673</v>
      </c>
      <c r="C119" s="14" t="s">
        <v>674</v>
      </c>
      <c r="D119" s="14">
        <v>0</v>
      </c>
      <c r="E119" s="14">
        <v>0</v>
      </c>
      <c r="F119" s="14">
        <v>0</v>
      </c>
      <c r="G119" s="14" t="s">
        <v>186</v>
      </c>
      <c r="H119" s="14" t="s">
        <v>471</v>
      </c>
      <c r="I119" s="15" t="s">
        <v>414</v>
      </c>
      <c r="J119" s="14">
        <v>48</v>
      </c>
      <c r="K119" t="s">
        <v>472</v>
      </c>
      <c r="L119">
        <v>48</v>
      </c>
      <c r="M119">
        <v>0</v>
      </c>
      <c r="N119" s="10" t="s">
        <v>416</v>
      </c>
    </row>
    <row r="120" spans="2:14" ht="33" customHeight="1" x14ac:dyDescent="0.3">
      <c r="B120" s="14" t="s">
        <v>673</v>
      </c>
      <c r="C120" s="14" t="s">
        <v>674</v>
      </c>
      <c r="D120" s="14">
        <v>0</v>
      </c>
      <c r="E120" s="14">
        <v>0</v>
      </c>
      <c r="F120" s="14">
        <v>0</v>
      </c>
      <c r="G120" s="14" t="s">
        <v>161</v>
      </c>
      <c r="H120" s="14" t="s">
        <v>465</v>
      </c>
      <c r="I120" s="15" t="s">
        <v>414</v>
      </c>
      <c r="J120" s="14">
        <v>24</v>
      </c>
      <c r="K120" t="s">
        <v>466</v>
      </c>
      <c r="L120">
        <v>24</v>
      </c>
      <c r="M120">
        <v>0</v>
      </c>
      <c r="N120" s="10" t="s">
        <v>416</v>
      </c>
    </row>
    <row r="121" spans="2:14" ht="33" customHeight="1" x14ac:dyDescent="0.3"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 t="s">
        <v>417</v>
      </c>
      <c r="I121" s="15" t="s">
        <v>417</v>
      </c>
      <c r="J121" s="14">
        <v>0</v>
      </c>
      <c r="K121">
        <v>0</v>
      </c>
      <c r="L121">
        <v>0</v>
      </c>
      <c r="M121">
        <v>0</v>
      </c>
      <c r="N121" s="10">
        <v>0</v>
      </c>
    </row>
    <row r="122" spans="2:14" ht="33" customHeight="1" x14ac:dyDescent="0.3">
      <c r="B122" s="14" t="s">
        <v>422</v>
      </c>
      <c r="C122" s="14" t="s">
        <v>688</v>
      </c>
      <c r="D122" s="14">
        <v>0</v>
      </c>
      <c r="E122" s="14" t="s">
        <v>689</v>
      </c>
      <c r="F122" s="14">
        <v>0</v>
      </c>
      <c r="G122" s="14" t="s">
        <v>322</v>
      </c>
      <c r="H122" s="14" t="s">
        <v>690</v>
      </c>
      <c r="I122" s="15" t="s">
        <v>414</v>
      </c>
      <c r="J122" s="14">
        <v>417</v>
      </c>
      <c r="K122" t="s">
        <v>691</v>
      </c>
      <c r="L122">
        <v>0</v>
      </c>
      <c r="M122">
        <v>417</v>
      </c>
      <c r="N122" s="10" t="s">
        <v>462</v>
      </c>
    </row>
    <row r="123" spans="2:14" ht="33" customHeight="1" x14ac:dyDescent="0.3">
      <c r="B123" s="14" t="s">
        <v>422</v>
      </c>
      <c r="C123" s="14" t="s">
        <v>688</v>
      </c>
      <c r="D123" s="14">
        <v>0</v>
      </c>
      <c r="E123" s="14">
        <v>0</v>
      </c>
      <c r="F123" s="14">
        <v>0</v>
      </c>
      <c r="G123" s="14" t="s">
        <v>270</v>
      </c>
      <c r="H123" s="14" t="s">
        <v>435</v>
      </c>
      <c r="I123" s="15" t="s">
        <v>414</v>
      </c>
      <c r="J123" s="14">
        <v>600</v>
      </c>
      <c r="K123" t="s">
        <v>692</v>
      </c>
      <c r="L123">
        <v>0</v>
      </c>
      <c r="M123">
        <v>1320</v>
      </c>
      <c r="N123" s="10" t="s">
        <v>693</v>
      </c>
    </row>
    <row r="124" spans="2:14" ht="33" customHeight="1" x14ac:dyDescent="0.3">
      <c r="B124" s="14" t="s">
        <v>422</v>
      </c>
      <c r="C124" s="14" t="s">
        <v>688</v>
      </c>
      <c r="D124" s="14">
        <v>0</v>
      </c>
      <c r="E124" s="14">
        <v>0</v>
      </c>
      <c r="F124" s="14" t="s">
        <v>694</v>
      </c>
      <c r="G124" s="14" t="s">
        <v>270</v>
      </c>
      <c r="H124" s="14" t="s">
        <v>435</v>
      </c>
      <c r="I124" s="15" t="s">
        <v>414</v>
      </c>
      <c r="J124" s="14">
        <v>720</v>
      </c>
      <c r="K124" t="s">
        <v>692</v>
      </c>
      <c r="L124">
        <v>720</v>
      </c>
      <c r="M124">
        <v>0</v>
      </c>
      <c r="N124" s="10" t="s">
        <v>693</v>
      </c>
    </row>
    <row r="125" spans="2:14" ht="33" customHeight="1" x14ac:dyDescent="0.3">
      <c r="B125" s="14" t="s">
        <v>422</v>
      </c>
      <c r="C125" s="14" t="s">
        <v>688</v>
      </c>
      <c r="D125" s="14">
        <v>0</v>
      </c>
      <c r="E125" s="14">
        <v>0</v>
      </c>
      <c r="F125" s="14">
        <v>0</v>
      </c>
      <c r="G125" s="14" t="s">
        <v>695</v>
      </c>
      <c r="H125" s="14" t="s">
        <v>696</v>
      </c>
      <c r="I125" s="15" t="s">
        <v>414</v>
      </c>
      <c r="J125" s="14">
        <v>1350</v>
      </c>
      <c r="K125" t="s">
        <v>697</v>
      </c>
      <c r="L125">
        <v>0</v>
      </c>
      <c r="M125">
        <v>1350</v>
      </c>
      <c r="N125" s="10" t="s">
        <v>452</v>
      </c>
    </row>
    <row r="126" spans="2:14" ht="33" customHeight="1" x14ac:dyDescent="0.3">
      <c r="B126" s="14" t="s">
        <v>422</v>
      </c>
      <c r="C126" s="14" t="s">
        <v>688</v>
      </c>
      <c r="D126" s="14">
        <v>0</v>
      </c>
      <c r="E126" s="14">
        <v>0</v>
      </c>
      <c r="F126" s="14">
        <v>0</v>
      </c>
      <c r="G126" s="14" t="s">
        <v>349</v>
      </c>
      <c r="H126" s="14" t="s">
        <v>698</v>
      </c>
      <c r="I126" s="15" t="s">
        <v>414</v>
      </c>
      <c r="J126" s="14">
        <v>619</v>
      </c>
      <c r="K126" t="s">
        <v>699</v>
      </c>
      <c r="L126">
        <v>0</v>
      </c>
      <c r="M126">
        <v>619</v>
      </c>
      <c r="N126" s="10" t="s">
        <v>462</v>
      </c>
    </row>
    <row r="127" spans="2:14" ht="33" customHeight="1" x14ac:dyDescent="0.3">
      <c r="B127" s="14" t="s">
        <v>422</v>
      </c>
      <c r="C127" s="14" t="s">
        <v>688</v>
      </c>
      <c r="D127" s="14">
        <v>0</v>
      </c>
      <c r="E127" s="14">
        <v>0</v>
      </c>
      <c r="F127" s="14">
        <v>0</v>
      </c>
      <c r="G127" s="14" t="s">
        <v>396</v>
      </c>
      <c r="H127" s="14" t="s">
        <v>552</v>
      </c>
      <c r="I127" s="15" t="s">
        <v>414</v>
      </c>
      <c r="J127" s="14">
        <v>1050</v>
      </c>
      <c r="K127" t="s">
        <v>553</v>
      </c>
      <c r="L127">
        <v>0</v>
      </c>
      <c r="M127">
        <v>1050</v>
      </c>
      <c r="N127" s="10" t="s">
        <v>447</v>
      </c>
    </row>
    <row r="128" spans="2:14" ht="33" customHeight="1" x14ac:dyDescent="0.3">
      <c r="B128" s="14" t="s">
        <v>422</v>
      </c>
      <c r="C128" s="14" t="s">
        <v>688</v>
      </c>
      <c r="D128" s="14">
        <v>0</v>
      </c>
      <c r="E128" s="14">
        <v>0</v>
      </c>
      <c r="F128" s="14">
        <v>0</v>
      </c>
      <c r="G128" s="14" t="s">
        <v>350</v>
      </c>
      <c r="H128" s="14" t="s">
        <v>700</v>
      </c>
      <c r="I128" s="15" t="s">
        <v>414</v>
      </c>
      <c r="J128" s="14">
        <v>1050</v>
      </c>
      <c r="K128" t="s">
        <v>701</v>
      </c>
      <c r="L128">
        <v>0</v>
      </c>
      <c r="M128">
        <v>1050</v>
      </c>
      <c r="N128" s="10" t="s">
        <v>462</v>
      </c>
    </row>
    <row r="129" spans="2:14" ht="33" customHeight="1" x14ac:dyDescent="0.3">
      <c r="B129" s="14" t="s">
        <v>422</v>
      </c>
      <c r="C129" s="14" t="s">
        <v>688</v>
      </c>
      <c r="D129" s="14">
        <v>0</v>
      </c>
      <c r="E129" s="14">
        <v>0</v>
      </c>
      <c r="F129" s="14" t="s">
        <v>702</v>
      </c>
      <c r="G129" s="14" t="s">
        <v>293</v>
      </c>
      <c r="H129" s="14" t="s">
        <v>703</v>
      </c>
      <c r="I129" s="15" t="s">
        <v>704</v>
      </c>
      <c r="J129" s="14">
        <v>2000</v>
      </c>
      <c r="K129" t="s">
        <v>705</v>
      </c>
      <c r="L129">
        <v>0</v>
      </c>
      <c r="M129">
        <v>2000</v>
      </c>
      <c r="N129" s="10" t="s">
        <v>447</v>
      </c>
    </row>
    <row r="130" spans="2:14" ht="33" customHeight="1" x14ac:dyDescent="0.3">
      <c r="B130" s="14" t="s">
        <v>422</v>
      </c>
      <c r="C130" s="14" t="s">
        <v>688</v>
      </c>
      <c r="D130" s="14">
        <v>0</v>
      </c>
      <c r="E130" s="14">
        <v>0</v>
      </c>
      <c r="F130" s="14" t="s">
        <v>706</v>
      </c>
      <c r="G130" s="14" t="s">
        <v>176</v>
      </c>
      <c r="H130" s="14" t="s">
        <v>483</v>
      </c>
      <c r="I130" s="15" t="s">
        <v>450</v>
      </c>
      <c r="J130" s="14">
        <v>490</v>
      </c>
      <c r="K130" t="s">
        <v>707</v>
      </c>
      <c r="L130">
        <v>0</v>
      </c>
      <c r="M130">
        <v>0</v>
      </c>
      <c r="N130" s="10" t="s">
        <v>462</v>
      </c>
    </row>
    <row r="131" spans="2:14" ht="33" customHeight="1" x14ac:dyDescent="0.3">
      <c r="B131" s="14" t="s">
        <v>422</v>
      </c>
      <c r="C131" s="14" t="s">
        <v>688</v>
      </c>
      <c r="D131" s="14">
        <v>0</v>
      </c>
      <c r="E131" s="14">
        <v>0</v>
      </c>
      <c r="F131" s="14" t="s">
        <v>708</v>
      </c>
      <c r="G131" s="14" t="s">
        <v>214</v>
      </c>
      <c r="H131" s="14" t="s">
        <v>709</v>
      </c>
      <c r="I131" s="15" t="s">
        <v>414</v>
      </c>
      <c r="J131" s="14">
        <v>1485</v>
      </c>
      <c r="K131" t="s">
        <v>710</v>
      </c>
      <c r="L131">
        <v>0</v>
      </c>
      <c r="M131">
        <v>1485</v>
      </c>
      <c r="N131" s="10" t="s">
        <v>711</v>
      </c>
    </row>
    <row r="132" spans="2:14" ht="33" customHeight="1" x14ac:dyDescent="0.3">
      <c r="B132" s="14" t="s">
        <v>422</v>
      </c>
      <c r="C132" s="14" t="s">
        <v>688</v>
      </c>
      <c r="D132" s="14">
        <v>0</v>
      </c>
      <c r="E132" s="14">
        <v>0</v>
      </c>
      <c r="F132" s="14" t="s">
        <v>712</v>
      </c>
      <c r="G132" s="14" t="s">
        <v>359</v>
      </c>
      <c r="H132" s="14" t="s">
        <v>713</v>
      </c>
      <c r="I132" s="15" t="s">
        <v>704</v>
      </c>
      <c r="J132" s="14">
        <v>1500</v>
      </c>
      <c r="K132" t="s">
        <v>714</v>
      </c>
      <c r="L132">
        <v>0</v>
      </c>
      <c r="M132">
        <v>1500</v>
      </c>
      <c r="N132" s="10" t="s">
        <v>462</v>
      </c>
    </row>
    <row r="133" spans="2:14" ht="33" customHeight="1" x14ac:dyDescent="0.3">
      <c r="B133" s="14" t="s">
        <v>422</v>
      </c>
      <c r="C133" s="14" t="s">
        <v>688</v>
      </c>
      <c r="D133" s="14">
        <v>0</v>
      </c>
      <c r="E133" s="14">
        <v>0</v>
      </c>
      <c r="F133" s="14" t="s">
        <v>715</v>
      </c>
      <c r="G133" s="14" t="s">
        <v>287</v>
      </c>
      <c r="H133" s="14" t="s">
        <v>670</v>
      </c>
      <c r="I133" s="15" t="s">
        <v>414</v>
      </c>
      <c r="J133" s="14">
        <v>1207</v>
      </c>
      <c r="K133" t="s">
        <v>716</v>
      </c>
      <c r="L133">
        <v>0</v>
      </c>
      <c r="M133">
        <v>1207</v>
      </c>
      <c r="N133" s="10" t="s">
        <v>502</v>
      </c>
    </row>
    <row r="134" spans="2:14" ht="33" customHeight="1" x14ac:dyDescent="0.3"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 t="s">
        <v>417</v>
      </c>
      <c r="I134" s="15" t="s">
        <v>417</v>
      </c>
      <c r="J134" s="14">
        <v>0</v>
      </c>
      <c r="K134">
        <v>0</v>
      </c>
      <c r="L134">
        <v>0</v>
      </c>
      <c r="M134">
        <v>0</v>
      </c>
      <c r="N134" s="10">
        <v>0</v>
      </c>
    </row>
    <row r="135" spans="2:14" ht="33" customHeight="1" x14ac:dyDescent="0.3">
      <c r="B135" s="14" t="s">
        <v>438</v>
      </c>
      <c r="C135" s="14" t="s">
        <v>717</v>
      </c>
      <c r="D135" s="14" t="s">
        <v>718</v>
      </c>
      <c r="E135" s="14" t="s">
        <v>719</v>
      </c>
      <c r="F135" s="14" t="s">
        <v>720</v>
      </c>
      <c r="G135" s="14" t="s">
        <v>406</v>
      </c>
      <c r="H135" s="14" t="s">
        <v>481</v>
      </c>
      <c r="I135" s="15" t="s">
        <v>414</v>
      </c>
      <c r="J135" s="14">
        <v>240</v>
      </c>
      <c r="K135" t="s">
        <v>482</v>
      </c>
      <c r="L135">
        <v>240</v>
      </c>
      <c r="M135">
        <v>0</v>
      </c>
      <c r="N135" s="10" t="s">
        <v>462</v>
      </c>
    </row>
    <row r="136" spans="2:14" ht="33" customHeight="1" x14ac:dyDescent="0.3">
      <c r="B136" s="14" t="s">
        <v>438</v>
      </c>
      <c r="C136" s="14" t="s">
        <v>717</v>
      </c>
      <c r="D136" s="14">
        <v>0</v>
      </c>
      <c r="E136" s="14">
        <v>0</v>
      </c>
      <c r="F136" s="14" t="s">
        <v>721</v>
      </c>
      <c r="G136" s="14" t="s">
        <v>42</v>
      </c>
      <c r="H136" s="14" t="s">
        <v>449</v>
      </c>
      <c r="I136" s="15" t="s">
        <v>450</v>
      </c>
      <c r="J136" s="14">
        <v>8</v>
      </c>
      <c r="K136" t="s">
        <v>451</v>
      </c>
      <c r="L136">
        <v>8</v>
      </c>
      <c r="M136">
        <v>0</v>
      </c>
      <c r="N136" s="10" t="s">
        <v>452</v>
      </c>
    </row>
    <row r="137" spans="2:14" ht="33" customHeight="1" x14ac:dyDescent="0.3">
      <c r="B137" s="14" t="s">
        <v>438</v>
      </c>
      <c r="C137" s="14" t="s">
        <v>717</v>
      </c>
      <c r="D137" s="14">
        <v>0</v>
      </c>
      <c r="E137" s="14">
        <v>0</v>
      </c>
      <c r="F137" s="14" t="s">
        <v>722</v>
      </c>
      <c r="G137" s="14" t="s">
        <v>42</v>
      </c>
      <c r="H137" s="14" t="s">
        <v>449</v>
      </c>
      <c r="I137" s="15" t="s">
        <v>450</v>
      </c>
      <c r="J137" s="14">
        <v>192</v>
      </c>
      <c r="K137" t="s">
        <v>451</v>
      </c>
      <c r="L137">
        <v>192</v>
      </c>
      <c r="M137">
        <v>0</v>
      </c>
      <c r="N137" s="10" t="s">
        <v>452</v>
      </c>
    </row>
    <row r="138" spans="2:14" ht="33" customHeight="1" x14ac:dyDescent="0.3">
      <c r="B138" s="14" t="s">
        <v>438</v>
      </c>
      <c r="C138" s="14" t="s">
        <v>717</v>
      </c>
      <c r="D138" s="14">
        <v>0</v>
      </c>
      <c r="E138" s="14">
        <v>0</v>
      </c>
      <c r="F138" s="14" t="s">
        <v>467</v>
      </c>
      <c r="G138" s="14" t="s">
        <v>34</v>
      </c>
      <c r="H138" s="14" t="s">
        <v>468</v>
      </c>
      <c r="I138" s="15" t="s">
        <v>414</v>
      </c>
      <c r="J138" s="14">
        <v>30</v>
      </c>
      <c r="K138" t="s">
        <v>469</v>
      </c>
      <c r="L138">
        <v>0</v>
      </c>
      <c r="M138">
        <v>30</v>
      </c>
      <c r="N138" s="10" t="s">
        <v>462</v>
      </c>
    </row>
    <row r="139" spans="2:14" ht="33" customHeight="1" x14ac:dyDescent="0.3">
      <c r="B139" s="14" t="s">
        <v>438</v>
      </c>
      <c r="C139" s="14" t="s">
        <v>717</v>
      </c>
      <c r="D139" s="14">
        <v>0</v>
      </c>
      <c r="E139" s="14">
        <v>0</v>
      </c>
      <c r="F139" s="14" t="s">
        <v>723</v>
      </c>
      <c r="G139" s="14" t="s">
        <v>144</v>
      </c>
      <c r="H139" s="14" t="s">
        <v>460</v>
      </c>
      <c r="I139" s="15" t="s">
        <v>414</v>
      </c>
      <c r="J139" s="14">
        <v>200</v>
      </c>
      <c r="K139" t="s">
        <v>461</v>
      </c>
      <c r="L139">
        <v>0</v>
      </c>
      <c r="M139">
        <v>200</v>
      </c>
      <c r="N139" s="10" t="s">
        <v>462</v>
      </c>
    </row>
    <row r="140" spans="2:14" ht="33" customHeight="1" x14ac:dyDescent="0.3">
      <c r="B140" s="14" t="s">
        <v>438</v>
      </c>
      <c r="C140" s="14" t="s">
        <v>717</v>
      </c>
      <c r="D140" s="14">
        <v>0</v>
      </c>
      <c r="E140" s="14">
        <v>0</v>
      </c>
      <c r="F140" s="14">
        <v>0</v>
      </c>
      <c r="G140" s="14" t="s">
        <v>39</v>
      </c>
      <c r="H140" s="14" t="s">
        <v>445</v>
      </c>
      <c r="I140" s="15" t="s">
        <v>414</v>
      </c>
      <c r="J140" s="14">
        <v>30</v>
      </c>
      <c r="K140" t="s">
        <v>446</v>
      </c>
      <c r="L140">
        <v>30</v>
      </c>
      <c r="M140">
        <v>0</v>
      </c>
      <c r="N140" s="10" t="s">
        <v>443</v>
      </c>
    </row>
    <row r="141" spans="2:14" ht="33" customHeight="1" x14ac:dyDescent="0.3">
      <c r="B141" s="14" t="s">
        <v>438</v>
      </c>
      <c r="C141" s="14" t="s">
        <v>717</v>
      </c>
      <c r="D141" s="14">
        <v>0</v>
      </c>
      <c r="E141" s="14">
        <v>0</v>
      </c>
      <c r="F141" s="14">
        <v>0</v>
      </c>
      <c r="G141" s="14" t="s">
        <v>373</v>
      </c>
      <c r="H141" s="14" t="s">
        <v>455</v>
      </c>
      <c r="I141" s="15" t="s">
        <v>414</v>
      </c>
      <c r="J141" s="14">
        <v>60</v>
      </c>
      <c r="K141" t="s">
        <v>456</v>
      </c>
      <c r="L141">
        <v>60</v>
      </c>
      <c r="M141">
        <v>0</v>
      </c>
      <c r="N141" s="10" t="s">
        <v>443</v>
      </c>
    </row>
    <row r="142" spans="2:14" ht="33" customHeight="1" x14ac:dyDescent="0.3">
      <c r="B142" s="14" t="s">
        <v>438</v>
      </c>
      <c r="C142" s="14" t="s">
        <v>717</v>
      </c>
      <c r="D142" s="14">
        <v>0</v>
      </c>
      <c r="E142" s="14">
        <v>0</v>
      </c>
      <c r="F142" s="14">
        <v>0</v>
      </c>
      <c r="G142" s="14" t="s">
        <v>186</v>
      </c>
      <c r="H142" s="14" t="s">
        <v>471</v>
      </c>
      <c r="I142" s="15" t="s">
        <v>414</v>
      </c>
      <c r="J142" s="14">
        <v>50</v>
      </c>
      <c r="K142" t="s">
        <v>472</v>
      </c>
      <c r="L142">
        <v>50</v>
      </c>
      <c r="M142">
        <v>0</v>
      </c>
      <c r="N142" s="10" t="s">
        <v>443</v>
      </c>
    </row>
    <row r="143" spans="2:14" ht="33" customHeight="1" x14ac:dyDescent="0.3">
      <c r="B143" s="14" t="s">
        <v>438</v>
      </c>
      <c r="C143" s="14" t="s">
        <v>717</v>
      </c>
      <c r="D143" s="14">
        <v>0</v>
      </c>
      <c r="E143" s="14">
        <v>0</v>
      </c>
      <c r="F143" s="14">
        <v>0</v>
      </c>
      <c r="G143" s="14" t="s">
        <v>161</v>
      </c>
      <c r="H143" s="14" t="s">
        <v>465</v>
      </c>
      <c r="I143" s="15" t="s">
        <v>414</v>
      </c>
      <c r="J143" s="14">
        <v>100</v>
      </c>
      <c r="K143" t="s">
        <v>466</v>
      </c>
      <c r="L143">
        <v>100</v>
      </c>
      <c r="M143">
        <v>0</v>
      </c>
      <c r="N143" s="10" t="s">
        <v>443</v>
      </c>
    </row>
    <row r="144" spans="2:14" ht="33" customHeight="1" x14ac:dyDescent="0.3"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 t="s">
        <v>417</v>
      </c>
      <c r="I144" s="15" t="s">
        <v>417</v>
      </c>
      <c r="J144" s="14">
        <v>0</v>
      </c>
      <c r="K144">
        <v>0</v>
      </c>
      <c r="L144">
        <v>0</v>
      </c>
      <c r="M144">
        <v>0</v>
      </c>
      <c r="N144" s="10">
        <v>0</v>
      </c>
    </row>
    <row r="145" spans="2:14" ht="33" customHeight="1" x14ac:dyDescent="0.3">
      <c r="B145" s="14" t="s">
        <v>513</v>
      </c>
      <c r="C145" s="14" t="s">
        <v>724</v>
      </c>
      <c r="D145" s="14">
        <v>0</v>
      </c>
      <c r="E145" s="14" t="s">
        <v>725</v>
      </c>
      <c r="F145" s="14" t="s">
        <v>726</v>
      </c>
      <c r="G145" s="14" t="s">
        <v>42</v>
      </c>
      <c r="H145" s="14" t="s">
        <v>449</v>
      </c>
      <c r="I145" s="15" t="s">
        <v>450</v>
      </c>
      <c r="J145" s="14">
        <v>288</v>
      </c>
      <c r="K145" t="s">
        <v>451</v>
      </c>
      <c r="L145">
        <v>288</v>
      </c>
      <c r="M145">
        <v>0</v>
      </c>
      <c r="N145" s="10" t="s">
        <v>452</v>
      </c>
    </row>
    <row r="146" spans="2:14" ht="33" customHeight="1" x14ac:dyDescent="0.3">
      <c r="B146" s="14" t="s">
        <v>513</v>
      </c>
      <c r="C146" s="14" t="s">
        <v>724</v>
      </c>
      <c r="D146" s="14">
        <v>0</v>
      </c>
      <c r="E146" s="14">
        <v>0</v>
      </c>
      <c r="F146" s="14" t="s">
        <v>727</v>
      </c>
      <c r="G146" s="14" t="s">
        <v>406</v>
      </c>
      <c r="H146" s="14" t="s">
        <v>481</v>
      </c>
      <c r="I146" s="15" t="s">
        <v>414</v>
      </c>
      <c r="J146" s="14">
        <v>1008</v>
      </c>
      <c r="K146" t="s">
        <v>482</v>
      </c>
      <c r="L146">
        <v>1008</v>
      </c>
      <c r="M146">
        <v>0</v>
      </c>
      <c r="N146" s="10" t="s">
        <v>452</v>
      </c>
    </row>
    <row r="147" spans="2:14" ht="33" customHeight="1" x14ac:dyDescent="0.3">
      <c r="B147" s="14" t="s">
        <v>513</v>
      </c>
      <c r="C147" s="14" t="s">
        <v>724</v>
      </c>
      <c r="D147" s="14">
        <v>0</v>
      </c>
      <c r="E147" s="14">
        <v>0</v>
      </c>
      <c r="F147" s="14">
        <v>0</v>
      </c>
      <c r="G147" s="14" t="s">
        <v>144</v>
      </c>
      <c r="H147" s="14" t="s">
        <v>460</v>
      </c>
      <c r="I147" s="15" t="s">
        <v>414</v>
      </c>
      <c r="J147" s="14">
        <v>288</v>
      </c>
      <c r="K147" t="s">
        <v>461</v>
      </c>
      <c r="L147">
        <v>288</v>
      </c>
      <c r="M147">
        <v>0</v>
      </c>
      <c r="N147" s="10" t="s">
        <v>443</v>
      </c>
    </row>
    <row r="148" spans="2:14" ht="33" customHeight="1" x14ac:dyDescent="0.3">
      <c r="B148" s="14" t="s">
        <v>513</v>
      </c>
      <c r="C148" s="14" t="s">
        <v>724</v>
      </c>
      <c r="D148" s="14">
        <v>0</v>
      </c>
      <c r="E148" s="14">
        <v>0</v>
      </c>
      <c r="F148" s="14" t="s">
        <v>728</v>
      </c>
      <c r="G148" s="14" t="s">
        <v>39</v>
      </c>
      <c r="H148" s="14" t="s">
        <v>445</v>
      </c>
      <c r="I148" s="15" t="s">
        <v>414</v>
      </c>
      <c r="J148" s="14">
        <v>120</v>
      </c>
      <c r="K148" t="s">
        <v>446</v>
      </c>
      <c r="L148">
        <v>120</v>
      </c>
      <c r="M148">
        <v>0</v>
      </c>
      <c r="N148" s="10" t="s">
        <v>447</v>
      </c>
    </row>
    <row r="149" spans="2:14" ht="33" customHeight="1" x14ac:dyDescent="0.3">
      <c r="B149" s="14" t="s">
        <v>513</v>
      </c>
      <c r="C149" s="14" t="s">
        <v>724</v>
      </c>
      <c r="D149" s="14">
        <v>0</v>
      </c>
      <c r="E149" s="14">
        <v>0</v>
      </c>
      <c r="F149" s="14" t="s">
        <v>729</v>
      </c>
      <c r="G149" s="14" t="s">
        <v>373</v>
      </c>
      <c r="H149" s="14" t="s">
        <v>455</v>
      </c>
      <c r="I149" s="15" t="s">
        <v>414</v>
      </c>
      <c r="J149" s="14">
        <v>87</v>
      </c>
      <c r="K149" t="s">
        <v>456</v>
      </c>
      <c r="L149">
        <v>87</v>
      </c>
      <c r="M149">
        <v>0</v>
      </c>
      <c r="N149" s="10" t="s">
        <v>443</v>
      </c>
    </row>
    <row r="150" spans="2:14" ht="33" customHeight="1" x14ac:dyDescent="0.3">
      <c r="B150" s="14" t="s">
        <v>513</v>
      </c>
      <c r="C150" s="14" t="s">
        <v>724</v>
      </c>
      <c r="D150" s="14">
        <v>0</v>
      </c>
      <c r="E150" s="14">
        <v>0</v>
      </c>
      <c r="F150" s="14" t="s">
        <v>730</v>
      </c>
      <c r="G150" s="14" t="s">
        <v>375</v>
      </c>
      <c r="H150" s="14" t="s">
        <v>455</v>
      </c>
      <c r="I150" s="15" t="s">
        <v>414</v>
      </c>
      <c r="J150" s="14">
        <v>200</v>
      </c>
      <c r="K150" t="s">
        <v>731</v>
      </c>
      <c r="L150">
        <v>0</v>
      </c>
      <c r="M150">
        <v>200</v>
      </c>
      <c r="N150" s="10" t="s">
        <v>732</v>
      </c>
    </row>
    <row r="151" spans="2:14" ht="33" customHeight="1" x14ac:dyDescent="0.3">
      <c r="B151" s="14" t="s">
        <v>513</v>
      </c>
      <c r="C151" s="14" t="s">
        <v>724</v>
      </c>
      <c r="D151" s="14">
        <v>0</v>
      </c>
      <c r="E151" s="14">
        <v>0</v>
      </c>
      <c r="F151" s="14" t="s">
        <v>728</v>
      </c>
      <c r="G151" s="14" t="s">
        <v>186</v>
      </c>
      <c r="H151" s="14" t="s">
        <v>471</v>
      </c>
      <c r="I151" s="15" t="s">
        <v>414</v>
      </c>
      <c r="J151" s="14">
        <v>165</v>
      </c>
      <c r="K151" t="s">
        <v>472</v>
      </c>
      <c r="L151">
        <v>165</v>
      </c>
      <c r="M151">
        <v>0</v>
      </c>
      <c r="N151" s="10" t="s">
        <v>462</v>
      </c>
    </row>
    <row r="152" spans="2:14" ht="33" customHeight="1" x14ac:dyDescent="0.3">
      <c r="B152" s="14" t="s">
        <v>513</v>
      </c>
      <c r="C152" s="14" t="s">
        <v>724</v>
      </c>
      <c r="D152" s="14">
        <v>0</v>
      </c>
      <c r="E152" s="14">
        <v>0</v>
      </c>
      <c r="F152" s="14">
        <v>0</v>
      </c>
      <c r="G152" s="14" t="s">
        <v>186</v>
      </c>
      <c r="H152" s="14" t="s">
        <v>471</v>
      </c>
      <c r="I152" s="15" t="s">
        <v>414</v>
      </c>
      <c r="J152" s="14">
        <v>37</v>
      </c>
      <c r="K152" t="s">
        <v>472</v>
      </c>
      <c r="L152">
        <v>37</v>
      </c>
      <c r="M152">
        <v>0</v>
      </c>
      <c r="N152" s="10" t="s">
        <v>443</v>
      </c>
    </row>
    <row r="153" spans="2:14" ht="33" customHeight="1" x14ac:dyDescent="0.3">
      <c r="B153" s="14" t="s">
        <v>513</v>
      </c>
      <c r="C153" s="14" t="s">
        <v>724</v>
      </c>
      <c r="D153" s="14">
        <v>0</v>
      </c>
      <c r="E153" s="14">
        <v>0</v>
      </c>
      <c r="F153" s="14">
        <v>0</v>
      </c>
      <c r="G153" s="14" t="s">
        <v>161</v>
      </c>
      <c r="H153" s="14" t="s">
        <v>465</v>
      </c>
      <c r="I153" s="15" t="s">
        <v>414</v>
      </c>
      <c r="J153" s="14">
        <v>202</v>
      </c>
      <c r="K153" t="s">
        <v>466</v>
      </c>
      <c r="L153">
        <v>202</v>
      </c>
      <c r="M153">
        <v>0</v>
      </c>
      <c r="N153" s="10" t="s">
        <v>443</v>
      </c>
    </row>
    <row r="154" spans="2:14" ht="33" customHeight="1" x14ac:dyDescent="0.3"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 t="s">
        <v>417</v>
      </c>
      <c r="I154" s="15" t="s">
        <v>417</v>
      </c>
      <c r="J154" s="14">
        <v>0</v>
      </c>
      <c r="K154">
        <v>0</v>
      </c>
      <c r="L154">
        <v>0</v>
      </c>
      <c r="M154">
        <v>0</v>
      </c>
      <c r="N154" s="10">
        <v>0</v>
      </c>
    </row>
    <row r="155" spans="2:14" ht="33" customHeight="1" x14ac:dyDescent="0.3">
      <c r="B155" s="14" t="s">
        <v>733</v>
      </c>
      <c r="C155" s="14" t="s">
        <v>734</v>
      </c>
      <c r="D155" s="14">
        <v>0</v>
      </c>
      <c r="E155" s="14" t="s">
        <v>735</v>
      </c>
      <c r="F155" s="14" t="s">
        <v>736</v>
      </c>
      <c r="G155" s="14" t="s">
        <v>180</v>
      </c>
      <c r="H155" s="14" t="s">
        <v>483</v>
      </c>
      <c r="I155" s="15" t="s">
        <v>737</v>
      </c>
      <c r="J155" s="14">
        <v>1050</v>
      </c>
      <c r="K155" t="s">
        <v>738</v>
      </c>
      <c r="L155">
        <v>0</v>
      </c>
      <c r="M155">
        <v>1050</v>
      </c>
      <c r="N155" s="10" t="s">
        <v>462</v>
      </c>
    </row>
    <row r="156" spans="2:14" ht="33" customHeight="1" x14ac:dyDescent="0.3">
      <c r="B156" s="14"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 t="s">
        <v>417</v>
      </c>
      <c r="I156" s="15" t="s">
        <v>417</v>
      </c>
      <c r="J156" s="14">
        <v>0</v>
      </c>
      <c r="K156">
        <v>0</v>
      </c>
      <c r="L156">
        <v>0</v>
      </c>
      <c r="M156">
        <v>0</v>
      </c>
      <c r="N156" s="10">
        <v>0</v>
      </c>
    </row>
    <row r="157" spans="2:14" ht="33" customHeight="1" x14ac:dyDescent="0.3">
      <c r="B157" s="14" t="s">
        <v>739</v>
      </c>
      <c r="C157" s="14" t="s">
        <v>740</v>
      </c>
      <c r="D157" s="14">
        <v>0</v>
      </c>
      <c r="E157" s="14" t="s">
        <v>741</v>
      </c>
      <c r="F157" s="14" t="s">
        <v>742</v>
      </c>
      <c r="G157" s="14" t="s">
        <v>743</v>
      </c>
      <c r="H157" s="14" t="s">
        <v>744</v>
      </c>
      <c r="I157" s="15" t="s">
        <v>414</v>
      </c>
      <c r="J157" s="14">
        <v>1800</v>
      </c>
      <c r="K157" t="s">
        <v>745</v>
      </c>
      <c r="L157">
        <v>0</v>
      </c>
      <c r="M157">
        <v>1800</v>
      </c>
      <c r="N157" s="10" t="s">
        <v>452</v>
      </c>
    </row>
    <row r="158" spans="2:14" ht="33" customHeight="1" x14ac:dyDescent="0.3">
      <c r="B158" s="14" t="s">
        <v>739</v>
      </c>
      <c r="C158" s="14" t="s">
        <v>740</v>
      </c>
      <c r="D158" s="14">
        <v>0</v>
      </c>
      <c r="E158" s="14">
        <v>0</v>
      </c>
      <c r="F158" s="14">
        <v>0</v>
      </c>
      <c r="G158" s="14" t="s">
        <v>746</v>
      </c>
      <c r="H158" s="14" t="s">
        <v>747</v>
      </c>
      <c r="I158" s="15" t="s">
        <v>414</v>
      </c>
      <c r="J158" s="14">
        <v>1500</v>
      </c>
      <c r="K158" t="s">
        <v>748</v>
      </c>
      <c r="L158">
        <v>0</v>
      </c>
      <c r="M158">
        <v>1500</v>
      </c>
      <c r="N158" s="10" t="s">
        <v>452</v>
      </c>
    </row>
    <row r="159" spans="2:14" ht="33" customHeight="1" x14ac:dyDescent="0.3">
      <c r="B159" s="14" t="s">
        <v>739</v>
      </c>
      <c r="C159" s="14" t="s">
        <v>740</v>
      </c>
      <c r="D159" s="14">
        <v>0</v>
      </c>
      <c r="E159" s="14">
        <v>0</v>
      </c>
      <c r="F159" s="14" t="s">
        <v>749</v>
      </c>
      <c r="G159" s="14" t="s">
        <v>695</v>
      </c>
      <c r="H159" s="14" t="s">
        <v>696</v>
      </c>
      <c r="I159" s="15" t="s">
        <v>414</v>
      </c>
      <c r="J159" s="14">
        <v>500</v>
      </c>
      <c r="K159" t="s">
        <v>697</v>
      </c>
      <c r="L159">
        <v>0</v>
      </c>
      <c r="M159">
        <v>500</v>
      </c>
      <c r="N159" s="10" t="s">
        <v>452</v>
      </c>
    </row>
    <row r="160" spans="2:14" ht="33" customHeight="1" x14ac:dyDescent="0.3">
      <c r="B160" s="14" t="s">
        <v>739</v>
      </c>
      <c r="C160" s="14" t="s">
        <v>740</v>
      </c>
      <c r="D160" s="14">
        <v>0</v>
      </c>
      <c r="E160" s="14">
        <v>0</v>
      </c>
      <c r="F160" s="14">
        <v>0</v>
      </c>
      <c r="G160" s="14" t="s">
        <v>750</v>
      </c>
      <c r="H160" s="14" t="s">
        <v>751</v>
      </c>
      <c r="I160" s="15" t="s">
        <v>414</v>
      </c>
      <c r="J160" s="14">
        <v>1500</v>
      </c>
      <c r="K160" t="s">
        <v>752</v>
      </c>
      <c r="L160">
        <v>0</v>
      </c>
      <c r="M160">
        <v>1500</v>
      </c>
      <c r="N160" s="10" t="s">
        <v>452</v>
      </c>
    </row>
    <row r="161" spans="2:14" ht="33" customHeight="1" x14ac:dyDescent="0.3"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 t="s">
        <v>417</v>
      </c>
      <c r="I161" s="15" t="s">
        <v>417</v>
      </c>
      <c r="J161" s="14">
        <v>0</v>
      </c>
      <c r="K161">
        <v>0</v>
      </c>
      <c r="L161">
        <v>0</v>
      </c>
      <c r="M161">
        <v>0</v>
      </c>
      <c r="N161" s="10">
        <v>0</v>
      </c>
    </row>
    <row r="162" spans="2:14" ht="33" customHeight="1" x14ac:dyDescent="0.3">
      <c r="B162" s="14" t="s">
        <v>753</v>
      </c>
      <c r="C162" s="14" t="s">
        <v>754</v>
      </c>
      <c r="D162" s="14">
        <v>0</v>
      </c>
      <c r="E162" s="14" t="s">
        <v>755</v>
      </c>
      <c r="F162" s="14">
        <v>0</v>
      </c>
      <c r="G162" s="14" t="s">
        <v>406</v>
      </c>
      <c r="H162" s="14" t="s">
        <v>481</v>
      </c>
      <c r="I162" s="15" t="s">
        <v>414</v>
      </c>
      <c r="J162" s="14">
        <v>300</v>
      </c>
      <c r="K162" t="s">
        <v>482</v>
      </c>
      <c r="L162">
        <v>0</v>
      </c>
      <c r="M162">
        <v>300</v>
      </c>
      <c r="N162" s="10" t="s">
        <v>416</v>
      </c>
    </row>
    <row r="163" spans="2:14" ht="33" customHeight="1" x14ac:dyDescent="0.3">
      <c r="B163" s="14" t="s">
        <v>753</v>
      </c>
      <c r="C163" s="14" t="s">
        <v>754</v>
      </c>
      <c r="D163" s="14">
        <v>0</v>
      </c>
      <c r="E163" s="14">
        <v>0</v>
      </c>
      <c r="F163" s="14">
        <v>0</v>
      </c>
      <c r="G163" s="14" t="s">
        <v>144</v>
      </c>
      <c r="H163" s="14" t="s">
        <v>460</v>
      </c>
      <c r="I163" s="15" t="s">
        <v>414</v>
      </c>
      <c r="J163" s="14">
        <v>300</v>
      </c>
      <c r="K163" t="s">
        <v>461</v>
      </c>
      <c r="L163">
        <v>300</v>
      </c>
      <c r="M163">
        <v>0</v>
      </c>
      <c r="N163" s="10" t="s">
        <v>416</v>
      </c>
    </row>
    <row r="164" spans="2:14" ht="33" customHeight="1" x14ac:dyDescent="0.3">
      <c r="B164" s="14" t="s">
        <v>753</v>
      </c>
      <c r="C164" s="14" t="s">
        <v>754</v>
      </c>
      <c r="D164" s="14">
        <v>0</v>
      </c>
      <c r="E164" s="14">
        <v>0</v>
      </c>
      <c r="F164" s="14" t="s">
        <v>756</v>
      </c>
      <c r="G164" s="14" t="s">
        <v>42</v>
      </c>
      <c r="H164" s="14" t="s">
        <v>449</v>
      </c>
      <c r="I164" s="15" t="s">
        <v>450</v>
      </c>
      <c r="J164" s="14">
        <v>300</v>
      </c>
      <c r="K164" t="s">
        <v>757</v>
      </c>
      <c r="L164">
        <v>300</v>
      </c>
      <c r="M164">
        <v>0</v>
      </c>
      <c r="N164" s="10" t="s">
        <v>416</v>
      </c>
    </row>
    <row r="165" spans="2:14" ht="33" customHeight="1" x14ac:dyDescent="0.3">
      <c r="B165" s="14" t="s">
        <v>753</v>
      </c>
      <c r="C165" s="14" t="s">
        <v>754</v>
      </c>
      <c r="D165" s="14">
        <v>0</v>
      </c>
      <c r="E165" s="14">
        <v>0</v>
      </c>
      <c r="F165" s="14">
        <v>0</v>
      </c>
      <c r="G165" s="14" t="s">
        <v>186</v>
      </c>
      <c r="H165" s="14" t="s">
        <v>471</v>
      </c>
      <c r="I165" s="15" t="s">
        <v>414</v>
      </c>
      <c r="J165" s="14">
        <v>100</v>
      </c>
      <c r="K165" t="s">
        <v>472</v>
      </c>
      <c r="L165">
        <v>100</v>
      </c>
      <c r="M165">
        <v>0</v>
      </c>
      <c r="N165" s="10" t="s">
        <v>416</v>
      </c>
    </row>
    <row r="166" spans="2:14" ht="33" customHeight="1" x14ac:dyDescent="0.3">
      <c r="B166" s="14" t="s">
        <v>753</v>
      </c>
      <c r="C166" s="14" t="s">
        <v>754</v>
      </c>
      <c r="D166" s="14">
        <v>0</v>
      </c>
      <c r="E166" s="14">
        <v>0</v>
      </c>
      <c r="F166" s="14">
        <v>0</v>
      </c>
      <c r="G166" s="14" t="s">
        <v>71</v>
      </c>
      <c r="H166" s="14" t="s">
        <v>599</v>
      </c>
      <c r="I166" s="15" t="s">
        <v>414</v>
      </c>
      <c r="J166" s="14">
        <v>100</v>
      </c>
      <c r="K166" t="s">
        <v>758</v>
      </c>
      <c r="L166">
        <v>100</v>
      </c>
      <c r="M166">
        <v>0</v>
      </c>
      <c r="N166" s="10" t="s">
        <v>416</v>
      </c>
    </row>
    <row r="167" spans="2:14" ht="33" customHeight="1" x14ac:dyDescent="0.3">
      <c r="B167" s="14" t="s">
        <v>753</v>
      </c>
      <c r="C167" s="14" t="s">
        <v>754</v>
      </c>
      <c r="D167" s="14">
        <v>0</v>
      </c>
      <c r="E167" s="14">
        <v>0</v>
      </c>
      <c r="F167" s="14">
        <v>0</v>
      </c>
      <c r="G167" s="14" t="s">
        <v>544</v>
      </c>
      <c r="H167" s="14" t="s">
        <v>545</v>
      </c>
      <c r="I167" s="15" t="s">
        <v>546</v>
      </c>
      <c r="J167" s="14">
        <v>400</v>
      </c>
      <c r="K167" t="s">
        <v>547</v>
      </c>
      <c r="L167">
        <v>0</v>
      </c>
      <c r="M167">
        <v>400</v>
      </c>
      <c r="N167" s="10" t="s">
        <v>416</v>
      </c>
    </row>
    <row r="168" spans="2:14" ht="33" customHeight="1" x14ac:dyDescent="0.3">
      <c r="B168" s="14" t="s">
        <v>753</v>
      </c>
      <c r="C168" s="14" t="s">
        <v>754</v>
      </c>
      <c r="D168" s="14" t="s">
        <v>759</v>
      </c>
      <c r="E168" s="14">
        <v>0</v>
      </c>
      <c r="F168" s="14">
        <v>0</v>
      </c>
      <c r="G168" s="14" t="s">
        <v>34</v>
      </c>
      <c r="H168" s="14" t="s">
        <v>468</v>
      </c>
      <c r="I168" s="15" t="s">
        <v>414</v>
      </c>
      <c r="J168" s="14">
        <v>300</v>
      </c>
      <c r="K168" t="s">
        <v>469</v>
      </c>
      <c r="L168">
        <v>300</v>
      </c>
      <c r="M168">
        <v>0</v>
      </c>
      <c r="N168" s="10" t="s">
        <v>416</v>
      </c>
    </row>
    <row r="169" spans="2:14" ht="33" customHeight="1" x14ac:dyDescent="0.3">
      <c r="B169" s="14" t="s">
        <v>753</v>
      </c>
      <c r="C169" s="14" t="s">
        <v>754</v>
      </c>
      <c r="D169" s="14">
        <v>0</v>
      </c>
      <c r="E169" s="14">
        <v>0</v>
      </c>
      <c r="F169" s="14">
        <v>0</v>
      </c>
      <c r="G169" s="14" t="s">
        <v>161</v>
      </c>
      <c r="H169" s="14" t="s">
        <v>465</v>
      </c>
      <c r="I169" s="15" t="s">
        <v>414</v>
      </c>
      <c r="J169" s="14">
        <v>100</v>
      </c>
      <c r="K169" t="s">
        <v>466</v>
      </c>
      <c r="L169">
        <v>100</v>
      </c>
      <c r="M169">
        <v>0</v>
      </c>
      <c r="N169" s="10" t="s">
        <v>416</v>
      </c>
    </row>
    <row r="170" spans="2:14" ht="33" customHeight="1" x14ac:dyDescent="0.3">
      <c r="B170" s="14" t="s">
        <v>753</v>
      </c>
      <c r="C170" s="14" t="s">
        <v>754</v>
      </c>
      <c r="D170" s="14">
        <v>0</v>
      </c>
      <c r="E170" s="14">
        <v>0</v>
      </c>
      <c r="F170" s="14">
        <v>0</v>
      </c>
      <c r="G170" s="14" t="s">
        <v>125</v>
      </c>
      <c r="H170" s="14" t="s">
        <v>477</v>
      </c>
      <c r="I170" s="15" t="s">
        <v>414</v>
      </c>
      <c r="J170" s="14">
        <v>250</v>
      </c>
      <c r="K170" t="s">
        <v>478</v>
      </c>
      <c r="L170">
        <v>250</v>
      </c>
      <c r="M170">
        <v>0</v>
      </c>
      <c r="N170" s="10" t="s">
        <v>416</v>
      </c>
    </row>
    <row r="171" spans="2:14" ht="33" customHeight="1" x14ac:dyDescent="0.3">
      <c r="B171" s="14" t="s">
        <v>753</v>
      </c>
      <c r="C171" s="14" t="s">
        <v>754</v>
      </c>
      <c r="D171" s="14">
        <v>0</v>
      </c>
      <c r="E171" s="14">
        <v>0</v>
      </c>
      <c r="F171" s="14">
        <v>0</v>
      </c>
      <c r="G171" s="14" t="s">
        <v>39</v>
      </c>
      <c r="H171" s="14" t="s">
        <v>445</v>
      </c>
      <c r="I171" s="15" t="s">
        <v>414</v>
      </c>
      <c r="J171" s="14">
        <v>50</v>
      </c>
      <c r="K171" t="s">
        <v>446</v>
      </c>
      <c r="L171">
        <v>0</v>
      </c>
      <c r="M171">
        <v>50</v>
      </c>
      <c r="N171" s="10" t="s">
        <v>416</v>
      </c>
    </row>
    <row r="172" spans="2:14" ht="33" customHeight="1" x14ac:dyDescent="0.3"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 t="s">
        <v>417</v>
      </c>
      <c r="I172" s="15" t="s">
        <v>417</v>
      </c>
      <c r="J172" s="14">
        <v>0</v>
      </c>
      <c r="K172">
        <v>0</v>
      </c>
      <c r="L172">
        <v>0</v>
      </c>
      <c r="M172">
        <v>0</v>
      </c>
      <c r="N172" s="10">
        <v>0</v>
      </c>
    </row>
    <row r="173" spans="2:14" ht="33" customHeight="1" x14ac:dyDescent="0.3">
      <c r="B173" s="14" t="s">
        <v>410</v>
      </c>
      <c r="C173" s="14" t="s">
        <v>760</v>
      </c>
      <c r="D173" s="14">
        <v>0</v>
      </c>
      <c r="E173" s="14" t="s">
        <v>761</v>
      </c>
      <c r="F173" s="14">
        <v>0</v>
      </c>
      <c r="G173" s="14" t="s">
        <v>355</v>
      </c>
      <c r="H173" s="14" t="s">
        <v>427</v>
      </c>
      <c r="I173" s="15" t="s">
        <v>414</v>
      </c>
      <c r="J173" s="14">
        <v>100</v>
      </c>
      <c r="K173" t="s">
        <v>428</v>
      </c>
      <c r="L173">
        <v>100</v>
      </c>
      <c r="M173">
        <v>0</v>
      </c>
      <c r="N173" s="10" t="s">
        <v>416</v>
      </c>
    </row>
    <row r="174" spans="2:14" ht="33" customHeight="1" x14ac:dyDescent="0.3"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 t="s">
        <v>417</v>
      </c>
      <c r="I174" s="15" t="s">
        <v>417</v>
      </c>
      <c r="J174" s="14">
        <v>0</v>
      </c>
      <c r="K174">
        <v>0</v>
      </c>
      <c r="L174">
        <v>0</v>
      </c>
      <c r="M174">
        <v>0</v>
      </c>
      <c r="N174" s="10">
        <v>0</v>
      </c>
    </row>
    <row r="175" spans="2:14" ht="33" customHeight="1" x14ac:dyDescent="0.3">
      <c r="B175" s="14" t="s">
        <v>739</v>
      </c>
      <c r="C175" s="14" t="s">
        <v>762</v>
      </c>
      <c r="D175" s="14">
        <v>0</v>
      </c>
      <c r="E175" s="14" t="s">
        <v>763</v>
      </c>
      <c r="F175" s="14">
        <v>0</v>
      </c>
      <c r="G175" s="14" t="s">
        <v>764</v>
      </c>
      <c r="H175" s="14" t="s">
        <v>744</v>
      </c>
      <c r="I175" s="15" t="s">
        <v>765</v>
      </c>
      <c r="J175" s="14">
        <v>10</v>
      </c>
      <c r="K175" t="s">
        <v>766</v>
      </c>
      <c r="L175">
        <v>0</v>
      </c>
      <c r="M175">
        <v>5</v>
      </c>
      <c r="N175" s="10" t="s">
        <v>452</v>
      </c>
    </row>
    <row r="176" spans="2:14" ht="33" customHeight="1" x14ac:dyDescent="0.3"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 t="s">
        <v>417</v>
      </c>
      <c r="I176" s="15" t="s">
        <v>417</v>
      </c>
      <c r="J176" s="14">
        <v>0</v>
      </c>
      <c r="K176">
        <v>0</v>
      </c>
      <c r="L176">
        <v>0</v>
      </c>
      <c r="M176">
        <v>0</v>
      </c>
      <c r="N176" s="10">
        <v>0</v>
      </c>
    </row>
    <row r="177" spans="2:14" ht="33" customHeight="1" x14ac:dyDescent="0.3">
      <c r="B177" s="14" t="s">
        <v>554</v>
      </c>
      <c r="C177" s="14" t="s">
        <v>767</v>
      </c>
      <c r="D177" s="14" t="s">
        <v>768</v>
      </c>
      <c r="E177" s="14" t="s">
        <v>769</v>
      </c>
      <c r="F177" s="14" t="s">
        <v>770</v>
      </c>
      <c r="G177" s="14" t="s">
        <v>361</v>
      </c>
      <c r="H177" s="14" t="s">
        <v>771</v>
      </c>
      <c r="I177" s="15" t="s">
        <v>568</v>
      </c>
      <c r="J177" s="14">
        <v>62962</v>
      </c>
      <c r="K177" t="s">
        <v>772</v>
      </c>
      <c r="L177">
        <v>0</v>
      </c>
      <c r="M177">
        <v>62962</v>
      </c>
      <c r="N177" s="10" t="s">
        <v>437</v>
      </c>
    </row>
    <row r="178" spans="2:14" ht="33" customHeight="1" x14ac:dyDescent="0.3">
      <c r="B178" s="14" t="s">
        <v>554</v>
      </c>
      <c r="C178" s="14" t="s">
        <v>767</v>
      </c>
      <c r="D178" s="14" t="s">
        <v>768</v>
      </c>
      <c r="E178" s="14">
        <v>0</v>
      </c>
      <c r="F178" s="14" t="s">
        <v>773</v>
      </c>
      <c r="G178" s="14" t="s">
        <v>401</v>
      </c>
      <c r="H178" s="14" t="s">
        <v>774</v>
      </c>
      <c r="I178" s="15" t="s">
        <v>568</v>
      </c>
      <c r="J178" s="14">
        <v>50000</v>
      </c>
      <c r="K178" t="s">
        <v>775</v>
      </c>
      <c r="L178">
        <v>0</v>
      </c>
      <c r="M178">
        <v>50000</v>
      </c>
      <c r="N178" s="10" t="s">
        <v>437</v>
      </c>
    </row>
    <row r="179" spans="2:14" ht="33" customHeight="1" x14ac:dyDescent="0.3"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 t="s">
        <v>417</v>
      </c>
      <c r="I179" s="15" t="s">
        <v>417</v>
      </c>
      <c r="J179" s="14">
        <v>0</v>
      </c>
      <c r="K179">
        <v>0</v>
      </c>
      <c r="L179">
        <v>0</v>
      </c>
      <c r="M179">
        <v>0</v>
      </c>
      <c r="N179" s="10">
        <v>0</v>
      </c>
    </row>
    <row r="180" spans="2:14" ht="33" customHeight="1" x14ac:dyDescent="0.3">
      <c r="B180" s="14" t="s">
        <v>673</v>
      </c>
      <c r="C180" s="14" t="s">
        <v>776</v>
      </c>
      <c r="D180" s="14" t="s">
        <v>675</v>
      </c>
      <c r="E180" s="14" t="s">
        <v>777</v>
      </c>
      <c r="F180" s="14">
        <v>0</v>
      </c>
      <c r="G180" s="14" t="s">
        <v>342</v>
      </c>
      <c r="H180" s="14" t="s">
        <v>649</v>
      </c>
      <c r="I180" s="15" t="s">
        <v>414</v>
      </c>
      <c r="J180" s="14">
        <v>40</v>
      </c>
      <c r="K180" t="s">
        <v>650</v>
      </c>
      <c r="L180">
        <v>40</v>
      </c>
      <c r="M180">
        <v>0</v>
      </c>
      <c r="N180" s="10" t="s">
        <v>416</v>
      </c>
    </row>
    <row r="181" spans="2:14" ht="33" customHeight="1" x14ac:dyDescent="0.3">
      <c r="B181" s="14" t="s">
        <v>673</v>
      </c>
      <c r="C181" s="14" t="s">
        <v>776</v>
      </c>
      <c r="D181" s="14">
        <v>0</v>
      </c>
      <c r="E181" s="14">
        <v>0</v>
      </c>
      <c r="F181" s="14">
        <v>0</v>
      </c>
      <c r="G181" s="14" t="s">
        <v>390</v>
      </c>
      <c r="H181" s="14" t="s">
        <v>679</v>
      </c>
      <c r="I181" s="15" t="s">
        <v>414</v>
      </c>
      <c r="J181" s="14">
        <v>1200</v>
      </c>
      <c r="K181" t="s">
        <v>680</v>
      </c>
      <c r="L181">
        <v>1200</v>
      </c>
      <c r="M181">
        <v>0</v>
      </c>
      <c r="N181" s="10" t="s">
        <v>416</v>
      </c>
    </row>
    <row r="182" spans="2:14" ht="33" customHeight="1" x14ac:dyDescent="0.3">
      <c r="B182" s="14" t="s">
        <v>673</v>
      </c>
      <c r="C182" s="14" t="s">
        <v>776</v>
      </c>
      <c r="D182" s="14">
        <v>0</v>
      </c>
      <c r="E182" s="14">
        <v>0</v>
      </c>
      <c r="F182" s="14">
        <v>0</v>
      </c>
      <c r="G182" s="14" t="s">
        <v>125</v>
      </c>
      <c r="H182" s="14" t="s">
        <v>477</v>
      </c>
      <c r="I182" s="15" t="s">
        <v>414</v>
      </c>
      <c r="J182" s="14">
        <v>100</v>
      </c>
      <c r="K182" t="s">
        <v>478</v>
      </c>
      <c r="L182">
        <v>100</v>
      </c>
      <c r="M182">
        <v>0</v>
      </c>
      <c r="N182" s="10" t="s">
        <v>416</v>
      </c>
    </row>
    <row r="183" spans="2:14" ht="33" customHeight="1" x14ac:dyDescent="0.3">
      <c r="B183" s="14" t="s">
        <v>673</v>
      </c>
      <c r="C183" s="14" t="s">
        <v>776</v>
      </c>
      <c r="D183" s="14">
        <v>0</v>
      </c>
      <c r="E183" s="14">
        <v>0</v>
      </c>
      <c r="F183" s="14">
        <v>0</v>
      </c>
      <c r="G183" s="14" t="s">
        <v>406</v>
      </c>
      <c r="H183" s="14" t="s">
        <v>481</v>
      </c>
      <c r="I183" s="15" t="s">
        <v>414</v>
      </c>
      <c r="J183" s="14">
        <v>80</v>
      </c>
      <c r="K183" t="s">
        <v>482</v>
      </c>
      <c r="L183">
        <v>80</v>
      </c>
      <c r="M183">
        <v>0</v>
      </c>
      <c r="N183" s="10" t="s">
        <v>416</v>
      </c>
    </row>
    <row r="184" spans="2:14" ht="33" customHeight="1" x14ac:dyDescent="0.3">
      <c r="B184" s="14" t="s">
        <v>673</v>
      </c>
      <c r="C184" s="14" t="s">
        <v>776</v>
      </c>
      <c r="D184" s="14">
        <v>0</v>
      </c>
      <c r="E184" s="14">
        <v>0</v>
      </c>
      <c r="F184" s="14">
        <v>0</v>
      </c>
      <c r="G184" s="14" t="s">
        <v>71</v>
      </c>
      <c r="H184" s="14" t="s">
        <v>599</v>
      </c>
      <c r="I184" s="15" t="s">
        <v>414</v>
      </c>
      <c r="J184" s="14">
        <v>60</v>
      </c>
      <c r="K184" t="s">
        <v>681</v>
      </c>
      <c r="L184">
        <v>60</v>
      </c>
      <c r="M184">
        <v>0</v>
      </c>
      <c r="N184" s="10" t="s">
        <v>416</v>
      </c>
    </row>
    <row r="185" spans="2:14" ht="33" customHeight="1" x14ac:dyDescent="0.3">
      <c r="B185" s="14" t="s">
        <v>673</v>
      </c>
      <c r="C185" s="14" t="s">
        <v>776</v>
      </c>
      <c r="D185" s="14">
        <v>0</v>
      </c>
      <c r="E185" s="14">
        <v>0</v>
      </c>
      <c r="F185" s="14">
        <v>0</v>
      </c>
      <c r="G185" s="14" t="s">
        <v>34</v>
      </c>
      <c r="H185" s="14" t="s">
        <v>468</v>
      </c>
      <c r="I185" s="15" t="s">
        <v>414</v>
      </c>
      <c r="J185" s="14">
        <v>60</v>
      </c>
      <c r="K185" t="s">
        <v>469</v>
      </c>
      <c r="L185">
        <v>60</v>
      </c>
      <c r="M185">
        <v>0</v>
      </c>
      <c r="N185" s="10" t="s">
        <v>416</v>
      </c>
    </row>
    <row r="186" spans="2:14" ht="33" customHeight="1" x14ac:dyDescent="0.3">
      <c r="B186" s="14" t="s">
        <v>673</v>
      </c>
      <c r="C186" s="14" t="s">
        <v>776</v>
      </c>
      <c r="D186" s="14">
        <v>0</v>
      </c>
      <c r="E186" s="14">
        <v>0</v>
      </c>
      <c r="F186" s="14">
        <v>0</v>
      </c>
      <c r="G186" s="14" t="s">
        <v>220</v>
      </c>
      <c r="H186" s="14" t="s">
        <v>441</v>
      </c>
      <c r="I186" s="15" t="s">
        <v>414</v>
      </c>
      <c r="J186" s="14">
        <v>50</v>
      </c>
      <c r="K186" t="s">
        <v>442</v>
      </c>
      <c r="L186">
        <v>50</v>
      </c>
      <c r="M186">
        <v>0</v>
      </c>
      <c r="N186" s="10" t="s">
        <v>416</v>
      </c>
    </row>
    <row r="187" spans="2:14" ht="33" customHeight="1" x14ac:dyDescent="0.3">
      <c r="B187" s="14" t="s">
        <v>673</v>
      </c>
      <c r="C187" s="14" t="s">
        <v>776</v>
      </c>
      <c r="D187" s="14">
        <v>0</v>
      </c>
      <c r="E187" s="14">
        <v>0</v>
      </c>
      <c r="F187" s="14">
        <v>49241225</v>
      </c>
      <c r="G187" s="14" t="s">
        <v>260</v>
      </c>
      <c r="H187" s="14" t="s">
        <v>684</v>
      </c>
      <c r="I187" s="15" t="s">
        <v>414</v>
      </c>
      <c r="J187" s="14">
        <v>46</v>
      </c>
      <c r="K187" t="s">
        <v>685</v>
      </c>
      <c r="L187">
        <v>46</v>
      </c>
      <c r="M187">
        <v>0</v>
      </c>
      <c r="N187" s="10" t="s">
        <v>416</v>
      </c>
    </row>
    <row r="188" spans="2:14" ht="33" customHeight="1" x14ac:dyDescent="0.3">
      <c r="B188" s="14" t="s">
        <v>673</v>
      </c>
      <c r="C188" s="14" t="s">
        <v>776</v>
      </c>
      <c r="D188" s="14">
        <v>0</v>
      </c>
      <c r="E188" s="14">
        <v>0</v>
      </c>
      <c r="F188" s="14">
        <v>0</v>
      </c>
      <c r="G188" s="14" t="s">
        <v>260</v>
      </c>
      <c r="H188" s="14" t="s">
        <v>684</v>
      </c>
      <c r="I188" s="15" t="s">
        <v>414</v>
      </c>
      <c r="J188" s="14">
        <v>12</v>
      </c>
      <c r="K188" t="s">
        <v>685</v>
      </c>
      <c r="L188">
        <v>12</v>
      </c>
      <c r="M188">
        <v>0</v>
      </c>
      <c r="N188" s="10" t="s">
        <v>416</v>
      </c>
    </row>
    <row r="189" spans="2:14" ht="33" customHeight="1" x14ac:dyDescent="0.3">
      <c r="B189" s="14" t="s">
        <v>673</v>
      </c>
      <c r="C189" s="14" t="s">
        <v>776</v>
      </c>
      <c r="D189" s="14">
        <v>0</v>
      </c>
      <c r="E189" s="14">
        <v>0</v>
      </c>
      <c r="F189" s="14">
        <v>0</v>
      </c>
      <c r="G189" s="14" t="s">
        <v>366</v>
      </c>
      <c r="H189" s="14" t="s">
        <v>686</v>
      </c>
      <c r="I189" s="15" t="s">
        <v>414</v>
      </c>
      <c r="J189" s="14">
        <v>60</v>
      </c>
      <c r="K189" t="s">
        <v>778</v>
      </c>
      <c r="L189">
        <v>60</v>
      </c>
      <c r="M189">
        <v>0</v>
      </c>
      <c r="N189" s="10" t="s">
        <v>416</v>
      </c>
    </row>
    <row r="190" spans="2:14" ht="33" customHeight="1" x14ac:dyDescent="0.3"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 t="s">
        <v>417</v>
      </c>
      <c r="I190" s="15" t="s">
        <v>417</v>
      </c>
      <c r="J190" s="14">
        <v>0</v>
      </c>
      <c r="K190">
        <v>0</v>
      </c>
      <c r="L190">
        <v>0</v>
      </c>
      <c r="M190">
        <v>0</v>
      </c>
      <c r="N190" s="10">
        <v>0</v>
      </c>
    </row>
    <row r="191" spans="2:14" ht="33" customHeight="1" x14ac:dyDescent="0.3">
      <c r="B191" s="14" t="s">
        <v>673</v>
      </c>
      <c r="C191" s="14" t="s">
        <v>779</v>
      </c>
      <c r="D191" s="14" t="s">
        <v>675</v>
      </c>
      <c r="E191" s="14" t="s">
        <v>777</v>
      </c>
      <c r="F191" s="14">
        <v>0</v>
      </c>
      <c r="G191" s="14" t="s">
        <v>299</v>
      </c>
      <c r="H191" s="14" t="s">
        <v>677</v>
      </c>
      <c r="I191" s="15" t="s">
        <v>414</v>
      </c>
      <c r="J191" s="14">
        <v>40</v>
      </c>
      <c r="K191" t="s">
        <v>678</v>
      </c>
      <c r="L191">
        <v>40</v>
      </c>
      <c r="M191">
        <v>0</v>
      </c>
      <c r="N191" s="10" t="s">
        <v>416</v>
      </c>
    </row>
    <row r="192" spans="2:14" ht="33" customHeight="1" x14ac:dyDescent="0.3">
      <c r="B192" s="14" t="s">
        <v>673</v>
      </c>
      <c r="C192" s="14" t="s">
        <v>779</v>
      </c>
      <c r="D192" s="14">
        <v>0</v>
      </c>
      <c r="E192" s="14">
        <v>0</v>
      </c>
      <c r="F192" s="14">
        <v>0</v>
      </c>
      <c r="G192" s="14" t="s">
        <v>342</v>
      </c>
      <c r="H192" s="14" t="s">
        <v>649</v>
      </c>
      <c r="I192" s="15" t="s">
        <v>414</v>
      </c>
      <c r="J192" s="14">
        <v>50</v>
      </c>
      <c r="K192" t="s">
        <v>650</v>
      </c>
      <c r="L192">
        <v>50</v>
      </c>
      <c r="M192">
        <v>0</v>
      </c>
      <c r="N192" s="10" t="s">
        <v>416</v>
      </c>
    </row>
    <row r="193" spans="2:14" ht="33" customHeight="1" x14ac:dyDescent="0.3">
      <c r="B193" s="14" t="s">
        <v>673</v>
      </c>
      <c r="C193" s="14" t="s">
        <v>779</v>
      </c>
      <c r="D193" s="14">
        <v>0</v>
      </c>
      <c r="E193" s="14">
        <v>0</v>
      </c>
      <c r="F193" s="14">
        <v>0</v>
      </c>
      <c r="G193" s="14" t="s">
        <v>207</v>
      </c>
      <c r="H193" s="14" t="s">
        <v>457</v>
      </c>
      <c r="I193" s="15" t="s">
        <v>414</v>
      </c>
      <c r="J193" s="14">
        <v>40</v>
      </c>
      <c r="K193" t="s">
        <v>458</v>
      </c>
      <c r="L193">
        <v>40</v>
      </c>
      <c r="M193">
        <v>0</v>
      </c>
      <c r="N193" s="10" t="s">
        <v>416</v>
      </c>
    </row>
    <row r="194" spans="2:14" ht="33" customHeight="1" x14ac:dyDescent="0.3">
      <c r="B194" s="14" t="s">
        <v>673</v>
      </c>
      <c r="C194" s="14" t="s">
        <v>779</v>
      </c>
      <c r="D194" s="14">
        <v>0</v>
      </c>
      <c r="E194" s="14">
        <v>0</v>
      </c>
      <c r="F194" s="14">
        <v>0</v>
      </c>
      <c r="G194" s="14" t="s">
        <v>390</v>
      </c>
      <c r="H194" s="14" t="s">
        <v>679</v>
      </c>
      <c r="I194" s="15" t="s">
        <v>414</v>
      </c>
      <c r="J194" s="14">
        <v>600</v>
      </c>
      <c r="K194" t="s">
        <v>680</v>
      </c>
      <c r="L194">
        <v>600</v>
      </c>
      <c r="M194">
        <v>0</v>
      </c>
      <c r="N194" s="10" t="s">
        <v>416</v>
      </c>
    </row>
    <row r="195" spans="2:14" ht="33" customHeight="1" x14ac:dyDescent="0.3">
      <c r="B195" s="14" t="s">
        <v>673</v>
      </c>
      <c r="C195" s="14" t="s">
        <v>779</v>
      </c>
      <c r="D195" s="14">
        <v>0</v>
      </c>
      <c r="E195" s="14">
        <v>0</v>
      </c>
      <c r="F195" s="14">
        <v>0</v>
      </c>
      <c r="G195" s="14" t="s">
        <v>125</v>
      </c>
      <c r="H195" s="14" t="s">
        <v>477</v>
      </c>
      <c r="I195" s="15" t="s">
        <v>414</v>
      </c>
      <c r="J195" s="14">
        <v>20</v>
      </c>
      <c r="K195" t="s">
        <v>478</v>
      </c>
      <c r="L195">
        <v>20</v>
      </c>
      <c r="M195">
        <v>0</v>
      </c>
      <c r="N195" s="10" t="s">
        <v>416</v>
      </c>
    </row>
    <row r="196" spans="2:14" ht="33" customHeight="1" x14ac:dyDescent="0.3">
      <c r="B196" s="14" t="s">
        <v>673</v>
      </c>
      <c r="C196" s="14" t="s">
        <v>779</v>
      </c>
      <c r="D196" s="14">
        <v>0</v>
      </c>
      <c r="E196" s="14">
        <v>0</v>
      </c>
      <c r="F196" s="14">
        <v>0</v>
      </c>
      <c r="G196" s="14" t="s">
        <v>406</v>
      </c>
      <c r="H196" s="14" t="s">
        <v>481</v>
      </c>
      <c r="I196" s="15" t="s">
        <v>414</v>
      </c>
      <c r="J196" s="14">
        <v>40</v>
      </c>
      <c r="K196" t="s">
        <v>482</v>
      </c>
      <c r="L196">
        <v>40</v>
      </c>
      <c r="M196">
        <v>0</v>
      </c>
      <c r="N196" s="10" t="s">
        <v>416</v>
      </c>
    </row>
    <row r="197" spans="2:14" ht="33" customHeight="1" x14ac:dyDescent="0.3">
      <c r="B197" s="14" t="s">
        <v>673</v>
      </c>
      <c r="C197" s="14" t="s">
        <v>779</v>
      </c>
      <c r="D197" s="14">
        <v>0</v>
      </c>
      <c r="E197" s="14">
        <v>0</v>
      </c>
      <c r="F197" s="14">
        <v>0</v>
      </c>
      <c r="G197" s="14" t="s">
        <v>71</v>
      </c>
      <c r="H197" s="14" t="s">
        <v>599</v>
      </c>
      <c r="I197" s="15" t="s">
        <v>414</v>
      </c>
      <c r="J197" s="14">
        <v>40</v>
      </c>
      <c r="K197" t="s">
        <v>681</v>
      </c>
      <c r="L197">
        <v>40</v>
      </c>
      <c r="M197">
        <v>0</v>
      </c>
      <c r="N197" s="10" t="s">
        <v>416</v>
      </c>
    </row>
    <row r="198" spans="2:14" ht="33" customHeight="1" x14ac:dyDescent="0.3">
      <c r="B198" s="14" t="s">
        <v>673</v>
      </c>
      <c r="C198" s="14" t="s">
        <v>779</v>
      </c>
      <c r="D198" s="14">
        <v>0</v>
      </c>
      <c r="E198" s="14">
        <v>0</v>
      </c>
      <c r="F198" s="14">
        <v>0</v>
      </c>
      <c r="G198" s="14" t="s">
        <v>331</v>
      </c>
      <c r="H198" s="14" t="s">
        <v>682</v>
      </c>
      <c r="I198" s="15" t="s">
        <v>414</v>
      </c>
      <c r="J198" s="14">
        <v>50</v>
      </c>
      <c r="K198" t="s">
        <v>523</v>
      </c>
      <c r="L198">
        <v>50</v>
      </c>
      <c r="M198">
        <v>0</v>
      </c>
      <c r="N198" s="10" t="s">
        <v>416</v>
      </c>
    </row>
    <row r="199" spans="2:14" ht="33" customHeight="1" x14ac:dyDescent="0.3">
      <c r="B199" s="14" t="s">
        <v>673</v>
      </c>
      <c r="C199" s="14" t="s">
        <v>779</v>
      </c>
      <c r="D199" s="14">
        <v>0</v>
      </c>
      <c r="E199" s="14">
        <v>0</v>
      </c>
      <c r="F199" s="14">
        <v>0</v>
      </c>
      <c r="G199" s="14" t="s">
        <v>34</v>
      </c>
      <c r="H199" s="14" t="s">
        <v>468</v>
      </c>
      <c r="I199" s="15" t="s">
        <v>414</v>
      </c>
      <c r="J199" s="14">
        <v>50</v>
      </c>
      <c r="K199" t="s">
        <v>469</v>
      </c>
      <c r="L199">
        <v>50</v>
      </c>
      <c r="M199">
        <v>0</v>
      </c>
      <c r="N199" s="10" t="s">
        <v>416</v>
      </c>
    </row>
    <row r="200" spans="2:14" ht="33" customHeight="1" x14ac:dyDescent="0.3">
      <c r="B200" s="14" t="s">
        <v>673</v>
      </c>
      <c r="C200" s="14" t="s">
        <v>779</v>
      </c>
      <c r="D200" s="14">
        <v>0</v>
      </c>
      <c r="E200" s="14">
        <v>0</v>
      </c>
      <c r="F200" s="14">
        <v>0</v>
      </c>
      <c r="G200" s="14" t="s">
        <v>39</v>
      </c>
      <c r="H200" s="14" t="s">
        <v>445</v>
      </c>
      <c r="I200" s="15" t="s">
        <v>414</v>
      </c>
      <c r="J200" s="14">
        <v>40</v>
      </c>
      <c r="K200" t="s">
        <v>446</v>
      </c>
      <c r="L200">
        <v>40</v>
      </c>
      <c r="M200">
        <v>0</v>
      </c>
      <c r="N200" s="10" t="s">
        <v>416</v>
      </c>
    </row>
    <row r="201" spans="2:14" ht="33" customHeight="1" x14ac:dyDescent="0.3">
      <c r="B201" s="14" t="s">
        <v>673</v>
      </c>
      <c r="C201" s="14" t="s">
        <v>779</v>
      </c>
      <c r="D201" s="14">
        <v>0</v>
      </c>
      <c r="E201" s="14">
        <v>0</v>
      </c>
      <c r="F201" s="14">
        <v>0</v>
      </c>
      <c r="G201" s="14" t="s">
        <v>220</v>
      </c>
      <c r="H201" s="14" t="s">
        <v>441</v>
      </c>
      <c r="I201" s="15" t="s">
        <v>414</v>
      </c>
      <c r="J201" s="14">
        <v>20</v>
      </c>
      <c r="K201" t="s">
        <v>442</v>
      </c>
      <c r="L201">
        <v>20</v>
      </c>
      <c r="M201">
        <v>0</v>
      </c>
      <c r="N201" s="10" t="s">
        <v>416</v>
      </c>
    </row>
    <row r="202" spans="2:14" ht="33" customHeight="1" x14ac:dyDescent="0.3">
      <c r="B202" s="14" t="s">
        <v>673</v>
      </c>
      <c r="C202" s="14" t="s">
        <v>779</v>
      </c>
      <c r="D202" s="14">
        <v>0</v>
      </c>
      <c r="E202" s="14">
        <v>0</v>
      </c>
      <c r="F202" s="14">
        <v>0</v>
      </c>
      <c r="G202" s="14" t="s">
        <v>144</v>
      </c>
      <c r="H202" s="14" t="s">
        <v>460</v>
      </c>
      <c r="I202" s="15" t="s">
        <v>414</v>
      </c>
      <c r="J202" s="14">
        <v>40</v>
      </c>
      <c r="K202" t="s">
        <v>461</v>
      </c>
      <c r="L202">
        <v>40</v>
      </c>
      <c r="M202">
        <v>0</v>
      </c>
      <c r="N202" s="10" t="s">
        <v>416</v>
      </c>
    </row>
    <row r="203" spans="2:14" ht="33" customHeight="1" x14ac:dyDescent="0.3">
      <c r="B203" s="14" t="s">
        <v>673</v>
      </c>
      <c r="C203" s="14" t="s">
        <v>779</v>
      </c>
      <c r="D203" s="14">
        <v>0</v>
      </c>
      <c r="E203" s="14">
        <v>0</v>
      </c>
      <c r="F203" s="14">
        <v>49241225</v>
      </c>
      <c r="G203" s="14" t="s">
        <v>260</v>
      </c>
      <c r="H203" s="14" t="s">
        <v>684</v>
      </c>
      <c r="I203" s="15" t="s">
        <v>414</v>
      </c>
      <c r="J203" s="14">
        <v>40</v>
      </c>
      <c r="K203" t="s">
        <v>685</v>
      </c>
      <c r="L203">
        <v>0</v>
      </c>
      <c r="M203">
        <v>40</v>
      </c>
      <c r="N203" s="10" t="s">
        <v>416</v>
      </c>
    </row>
    <row r="204" spans="2:14" ht="33" customHeight="1" x14ac:dyDescent="0.3">
      <c r="B204" s="14" t="s">
        <v>673</v>
      </c>
      <c r="C204" s="14" t="s">
        <v>779</v>
      </c>
      <c r="D204" s="14">
        <v>0</v>
      </c>
      <c r="E204" s="14">
        <v>0</v>
      </c>
      <c r="F204" s="14">
        <v>0</v>
      </c>
      <c r="G204" s="14" t="s">
        <v>42</v>
      </c>
      <c r="H204" s="14" t="s">
        <v>449</v>
      </c>
      <c r="I204" s="15" t="s">
        <v>450</v>
      </c>
      <c r="J204" s="14">
        <v>40</v>
      </c>
      <c r="K204" t="s">
        <v>451</v>
      </c>
      <c r="L204">
        <v>40</v>
      </c>
      <c r="M204">
        <v>0</v>
      </c>
      <c r="N204" s="10" t="s">
        <v>416</v>
      </c>
    </row>
    <row r="205" spans="2:14" ht="33" customHeight="1" x14ac:dyDescent="0.3">
      <c r="B205" s="14" t="s">
        <v>673</v>
      </c>
      <c r="C205" s="14" t="s">
        <v>779</v>
      </c>
      <c r="D205" s="14">
        <v>0</v>
      </c>
      <c r="E205" s="14">
        <v>0</v>
      </c>
      <c r="F205" s="14">
        <v>0</v>
      </c>
      <c r="G205" s="14" t="s">
        <v>366</v>
      </c>
      <c r="H205" s="14" t="s">
        <v>686</v>
      </c>
      <c r="I205" s="15" t="s">
        <v>414</v>
      </c>
      <c r="J205" s="14">
        <v>120</v>
      </c>
      <c r="K205" t="s">
        <v>778</v>
      </c>
      <c r="L205">
        <v>120</v>
      </c>
      <c r="M205">
        <v>0</v>
      </c>
      <c r="N205" s="10" t="s">
        <v>416</v>
      </c>
    </row>
    <row r="206" spans="2:14" ht="33" customHeight="1" x14ac:dyDescent="0.3">
      <c r="B206" s="14" t="s">
        <v>673</v>
      </c>
      <c r="C206" s="14" t="s">
        <v>779</v>
      </c>
      <c r="D206" s="14">
        <v>0</v>
      </c>
      <c r="E206" s="14">
        <v>0</v>
      </c>
      <c r="F206" s="14">
        <v>0</v>
      </c>
      <c r="G206" s="14" t="s">
        <v>196</v>
      </c>
      <c r="H206" s="14" t="s">
        <v>453</v>
      </c>
      <c r="I206" s="15" t="s">
        <v>414</v>
      </c>
      <c r="J206" s="14">
        <v>40</v>
      </c>
      <c r="K206" t="s">
        <v>454</v>
      </c>
      <c r="L206">
        <v>40</v>
      </c>
      <c r="M206">
        <v>0</v>
      </c>
      <c r="N206" s="10" t="s">
        <v>416</v>
      </c>
    </row>
    <row r="207" spans="2:14" ht="33" customHeight="1" x14ac:dyDescent="0.3">
      <c r="B207" s="14" t="s">
        <v>673</v>
      </c>
      <c r="C207" s="14" t="s">
        <v>779</v>
      </c>
      <c r="D207" s="14">
        <v>0</v>
      </c>
      <c r="E207" s="14">
        <v>0</v>
      </c>
      <c r="F207" s="14">
        <v>0</v>
      </c>
      <c r="G207" s="14" t="s">
        <v>186</v>
      </c>
      <c r="H207" s="14" t="s">
        <v>471</v>
      </c>
      <c r="I207" s="15" t="s">
        <v>414</v>
      </c>
      <c r="J207" s="14">
        <v>40</v>
      </c>
      <c r="K207" t="s">
        <v>472</v>
      </c>
      <c r="L207">
        <v>40</v>
      </c>
      <c r="M207">
        <v>0</v>
      </c>
      <c r="N207" s="10" t="s">
        <v>416</v>
      </c>
    </row>
    <row r="208" spans="2:14" ht="33" customHeight="1" x14ac:dyDescent="0.3">
      <c r="B208" s="14" t="s">
        <v>673</v>
      </c>
      <c r="C208" s="14" t="s">
        <v>779</v>
      </c>
      <c r="D208" s="14">
        <v>0</v>
      </c>
      <c r="E208" s="14">
        <v>0</v>
      </c>
      <c r="F208" s="14">
        <v>0</v>
      </c>
      <c r="G208" s="14" t="s">
        <v>161</v>
      </c>
      <c r="H208" s="14" t="s">
        <v>465</v>
      </c>
      <c r="I208" s="15" t="s">
        <v>414</v>
      </c>
      <c r="J208" s="14">
        <v>20</v>
      </c>
      <c r="K208" t="s">
        <v>466</v>
      </c>
      <c r="L208">
        <v>20</v>
      </c>
      <c r="M208">
        <v>0</v>
      </c>
      <c r="N208" s="10" t="s">
        <v>416</v>
      </c>
    </row>
    <row r="209" spans="2:14" ht="33" customHeight="1" x14ac:dyDescent="0.3"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 t="s">
        <v>417</v>
      </c>
      <c r="I209" s="15" t="s">
        <v>417</v>
      </c>
      <c r="J209" s="14">
        <v>0</v>
      </c>
      <c r="K209">
        <v>0</v>
      </c>
      <c r="L209">
        <v>0</v>
      </c>
      <c r="M209">
        <v>0</v>
      </c>
      <c r="N209" s="10">
        <v>0</v>
      </c>
    </row>
    <row r="210" spans="2:14" ht="33" customHeight="1" x14ac:dyDescent="0.3">
      <c r="B210" s="14" t="s">
        <v>780</v>
      </c>
      <c r="C210" s="14" t="s">
        <v>781</v>
      </c>
      <c r="D210" s="14">
        <v>0</v>
      </c>
      <c r="E210" s="14" t="s">
        <v>782</v>
      </c>
      <c r="F210" s="14" t="s">
        <v>783</v>
      </c>
      <c r="G210" s="14" t="s">
        <v>320</v>
      </c>
      <c r="H210" s="14" t="s">
        <v>784</v>
      </c>
      <c r="I210" s="15" t="s">
        <v>785</v>
      </c>
      <c r="J210" s="14">
        <v>239</v>
      </c>
      <c r="K210" t="s">
        <v>786</v>
      </c>
      <c r="L210">
        <v>0</v>
      </c>
      <c r="M210">
        <v>239</v>
      </c>
      <c r="N210" s="10" t="s">
        <v>462</v>
      </c>
    </row>
    <row r="211" spans="2:14" ht="33" customHeight="1" x14ac:dyDescent="0.3">
      <c r="B211" s="14">
        <v>0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 t="s">
        <v>417</v>
      </c>
      <c r="I211" s="15" t="s">
        <v>417</v>
      </c>
      <c r="J211" s="14">
        <v>0</v>
      </c>
      <c r="K211">
        <v>0</v>
      </c>
      <c r="L211">
        <v>0</v>
      </c>
      <c r="M211">
        <v>0</v>
      </c>
      <c r="N211" s="10">
        <v>0</v>
      </c>
    </row>
    <row r="212" spans="2:14" ht="33" customHeight="1" x14ac:dyDescent="0.3">
      <c r="B212" s="14" t="s">
        <v>787</v>
      </c>
      <c r="C212" s="14" t="s">
        <v>788</v>
      </c>
      <c r="D212" s="14" t="s">
        <v>789</v>
      </c>
      <c r="E212" s="14" t="s">
        <v>790</v>
      </c>
      <c r="F212" s="14" t="s">
        <v>791</v>
      </c>
      <c r="G212" s="14" t="s">
        <v>53</v>
      </c>
      <c r="H212" s="14" t="s">
        <v>449</v>
      </c>
      <c r="I212" s="15" t="s">
        <v>792</v>
      </c>
      <c r="J212" s="14">
        <v>216</v>
      </c>
      <c r="K212" t="s">
        <v>793</v>
      </c>
      <c r="L212">
        <v>216</v>
      </c>
      <c r="M212">
        <v>0</v>
      </c>
      <c r="N212" s="10" t="s">
        <v>416</v>
      </c>
    </row>
    <row r="213" spans="2:14" ht="33" customHeight="1" x14ac:dyDescent="0.3">
      <c r="B213" s="14" t="s">
        <v>787</v>
      </c>
      <c r="C213" s="14" t="s">
        <v>788</v>
      </c>
      <c r="D213" s="14">
        <v>0</v>
      </c>
      <c r="E213" s="14">
        <v>0</v>
      </c>
      <c r="F213" s="14">
        <v>0</v>
      </c>
      <c r="G213" s="14" t="s">
        <v>98</v>
      </c>
      <c r="H213" s="14" t="s">
        <v>481</v>
      </c>
      <c r="I213" s="15" t="s">
        <v>792</v>
      </c>
      <c r="J213" s="14">
        <v>120</v>
      </c>
      <c r="K213" t="s">
        <v>794</v>
      </c>
      <c r="L213">
        <v>120</v>
      </c>
      <c r="M213">
        <v>0</v>
      </c>
      <c r="N213" s="10" t="s">
        <v>416</v>
      </c>
    </row>
    <row r="214" spans="2:14" ht="33" customHeight="1" x14ac:dyDescent="0.3">
      <c r="B214" s="14" t="s">
        <v>787</v>
      </c>
      <c r="C214" s="14" t="s">
        <v>788</v>
      </c>
      <c r="D214" s="14">
        <v>0</v>
      </c>
      <c r="E214" s="14">
        <v>0</v>
      </c>
      <c r="F214" s="14" t="s">
        <v>791</v>
      </c>
      <c r="G214" s="14" t="s">
        <v>133</v>
      </c>
      <c r="H214" s="14" t="s">
        <v>477</v>
      </c>
      <c r="I214" s="15" t="s">
        <v>792</v>
      </c>
      <c r="J214" s="14">
        <v>96</v>
      </c>
      <c r="K214" t="s">
        <v>795</v>
      </c>
      <c r="L214">
        <v>96</v>
      </c>
      <c r="M214">
        <v>0</v>
      </c>
      <c r="N214" s="10" t="s">
        <v>416</v>
      </c>
    </row>
    <row r="215" spans="2:14" ht="33" customHeight="1" x14ac:dyDescent="0.3">
      <c r="B215" s="14" t="s">
        <v>787</v>
      </c>
      <c r="C215" s="14" t="s">
        <v>788</v>
      </c>
      <c r="D215" s="14">
        <v>0</v>
      </c>
      <c r="E215" s="14">
        <v>0</v>
      </c>
      <c r="F215" s="14" t="s">
        <v>796</v>
      </c>
      <c r="G215" s="14" t="s">
        <v>147</v>
      </c>
      <c r="H215" s="14" t="s">
        <v>460</v>
      </c>
      <c r="I215" s="15" t="s">
        <v>792</v>
      </c>
      <c r="J215" s="14">
        <v>120</v>
      </c>
      <c r="K215" t="s">
        <v>797</v>
      </c>
      <c r="L215">
        <v>120</v>
      </c>
      <c r="M215">
        <v>0</v>
      </c>
      <c r="N215" s="10" t="s">
        <v>416</v>
      </c>
    </row>
    <row r="216" spans="2:14" ht="33" customHeight="1" x14ac:dyDescent="0.3">
      <c r="B216" s="14" t="s">
        <v>787</v>
      </c>
      <c r="C216" s="14" t="s">
        <v>788</v>
      </c>
      <c r="D216" s="14">
        <v>0</v>
      </c>
      <c r="E216" s="14">
        <v>0</v>
      </c>
      <c r="F216" s="14" t="s">
        <v>796</v>
      </c>
      <c r="G216" s="14" t="s">
        <v>242</v>
      </c>
      <c r="H216" s="14" t="s">
        <v>445</v>
      </c>
      <c r="I216" s="15" t="s">
        <v>792</v>
      </c>
      <c r="J216" s="14">
        <v>120</v>
      </c>
      <c r="K216" t="s">
        <v>798</v>
      </c>
      <c r="L216">
        <v>120</v>
      </c>
      <c r="M216">
        <v>0</v>
      </c>
      <c r="N216" s="10" t="s">
        <v>416</v>
      </c>
    </row>
    <row r="217" spans="2:14" ht="33" customHeight="1" x14ac:dyDescent="0.3">
      <c r="B217" s="14" t="s">
        <v>787</v>
      </c>
      <c r="C217" s="14" t="s">
        <v>788</v>
      </c>
      <c r="D217" s="14">
        <v>0</v>
      </c>
      <c r="E217" s="14">
        <v>0</v>
      </c>
      <c r="F217" s="14" t="s">
        <v>799</v>
      </c>
      <c r="G217" s="14" t="s">
        <v>74</v>
      </c>
      <c r="H217" s="14" t="s">
        <v>800</v>
      </c>
      <c r="I217" s="15" t="s">
        <v>792</v>
      </c>
      <c r="J217" s="14">
        <v>72</v>
      </c>
      <c r="K217" t="s">
        <v>801</v>
      </c>
      <c r="L217">
        <v>72</v>
      </c>
      <c r="M217">
        <v>0</v>
      </c>
      <c r="N217" s="10" t="s">
        <v>416</v>
      </c>
    </row>
    <row r="218" spans="2:14" ht="33" customHeight="1" x14ac:dyDescent="0.3"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 t="s">
        <v>417</v>
      </c>
      <c r="I218" s="15" t="s">
        <v>417</v>
      </c>
      <c r="J218" s="14">
        <v>0</v>
      </c>
      <c r="K218">
        <v>0</v>
      </c>
      <c r="L218">
        <v>0</v>
      </c>
      <c r="M218">
        <v>0</v>
      </c>
      <c r="N218" s="10">
        <v>0</v>
      </c>
    </row>
    <row r="219" spans="2:14" ht="33" customHeight="1" x14ac:dyDescent="0.3">
      <c r="B219" s="14" t="s">
        <v>802</v>
      </c>
      <c r="C219" s="14" t="s">
        <v>803</v>
      </c>
      <c r="D219" s="14" t="s">
        <v>804</v>
      </c>
      <c r="E219" s="14" t="s">
        <v>805</v>
      </c>
      <c r="F219" s="14">
        <v>0</v>
      </c>
      <c r="G219" s="14" t="s">
        <v>59</v>
      </c>
      <c r="H219" s="14" t="s">
        <v>449</v>
      </c>
      <c r="I219" s="15" t="s">
        <v>806</v>
      </c>
      <c r="J219" s="14">
        <v>500</v>
      </c>
      <c r="K219" t="s">
        <v>807</v>
      </c>
      <c r="L219">
        <v>500</v>
      </c>
      <c r="M219">
        <v>0</v>
      </c>
      <c r="N219" s="10" t="s">
        <v>416</v>
      </c>
    </row>
    <row r="220" spans="2:14" ht="33" customHeight="1" x14ac:dyDescent="0.3">
      <c r="B220" s="14" t="s">
        <v>802</v>
      </c>
      <c r="C220" s="14" t="s">
        <v>803</v>
      </c>
      <c r="D220" s="14" t="s">
        <v>808</v>
      </c>
      <c r="E220" s="14">
        <v>0</v>
      </c>
      <c r="F220" s="14">
        <v>0</v>
      </c>
      <c r="G220" s="14" t="s">
        <v>80</v>
      </c>
      <c r="H220" s="14" t="s">
        <v>567</v>
      </c>
      <c r="I220" s="15" t="s">
        <v>806</v>
      </c>
      <c r="J220" s="14">
        <v>300</v>
      </c>
      <c r="K220" t="s">
        <v>809</v>
      </c>
      <c r="L220">
        <v>300</v>
      </c>
      <c r="M220">
        <v>0</v>
      </c>
      <c r="N220" s="10" t="s">
        <v>416</v>
      </c>
    </row>
    <row r="221" spans="2:14" ht="33" customHeight="1" x14ac:dyDescent="0.3">
      <c r="B221" s="14" t="s">
        <v>802</v>
      </c>
      <c r="C221" s="14" t="s">
        <v>803</v>
      </c>
      <c r="D221" s="14" t="s">
        <v>810</v>
      </c>
      <c r="E221" s="14">
        <v>0</v>
      </c>
      <c r="F221" s="14">
        <v>0</v>
      </c>
      <c r="G221" s="14" t="s">
        <v>105</v>
      </c>
      <c r="H221" s="14" t="s">
        <v>481</v>
      </c>
      <c r="I221" s="15" t="s">
        <v>806</v>
      </c>
      <c r="J221" s="14">
        <v>800</v>
      </c>
      <c r="K221" t="s">
        <v>811</v>
      </c>
      <c r="L221">
        <v>800</v>
      </c>
      <c r="M221">
        <v>0</v>
      </c>
      <c r="N221" s="10" t="s">
        <v>416</v>
      </c>
    </row>
    <row r="222" spans="2:14" ht="33" customHeight="1" x14ac:dyDescent="0.3">
      <c r="B222" s="14" t="s">
        <v>802</v>
      </c>
      <c r="C222" s="14" t="s">
        <v>803</v>
      </c>
      <c r="D222" s="14">
        <v>0</v>
      </c>
      <c r="E222" s="14">
        <v>0</v>
      </c>
      <c r="F222" s="14">
        <v>0</v>
      </c>
      <c r="G222" s="14" t="s">
        <v>146</v>
      </c>
      <c r="H222" s="14" t="s">
        <v>460</v>
      </c>
      <c r="I222" s="15" t="s">
        <v>806</v>
      </c>
      <c r="J222" s="14">
        <v>500</v>
      </c>
      <c r="K222" t="s">
        <v>812</v>
      </c>
      <c r="L222">
        <v>500</v>
      </c>
      <c r="M222">
        <v>0</v>
      </c>
      <c r="N222" s="10" t="s">
        <v>416</v>
      </c>
    </row>
    <row r="223" spans="2:14" ht="33" customHeight="1" x14ac:dyDescent="0.3">
      <c r="B223" s="14" t="s">
        <v>802</v>
      </c>
      <c r="C223" s="14" t="s">
        <v>803</v>
      </c>
      <c r="D223" s="14">
        <v>0</v>
      </c>
      <c r="E223" s="14">
        <v>0</v>
      </c>
      <c r="F223" s="14">
        <v>0</v>
      </c>
      <c r="G223" s="14" t="s">
        <v>287</v>
      </c>
      <c r="H223" s="14" t="s">
        <v>670</v>
      </c>
      <c r="I223" s="15" t="s">
        <v>414</v>
      </c>
      <c r="J223" s="14">
        <v>300</v>
      </c>
      <c r="K223" t="s">
        <v>716</v>
      </c>
      <c r="L223">
        <v>0</v>
      </c>
      <c r="M223">
        <v>300</v>
      </c>
      <c r="N223" s="10" t="s">
        <v>416</v>
      </c>
    </row>
    <row r="224" spans="2:14" ht="33" customHeight="1" x14ac:dyDescent="0.3">
      <c r="B224" s="14">
        <v>0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 t="s">
        <v>417</v>
      </c>
      <c r="I224" s="15" t="s">
        <v>417</v>
      </c>
      <c r="J224" s="14">
        <v>0</v>
      </c>
      <c r="K224">
        <v>0</v>
      </c>
      <c r="L224">
        <v>0</v>
      </c>
      <c r="M224">
        <v>0</v>
      </c>
      <c r="N224" s="10">
        <v>0</v>
      </c>
    </row>
    <row r="225" spans="2:14" ht="33" customHeight="1" x14ac:dyDescent="0.3">
      <c r="B225" s="14" t="s">
        <v>802</v>
      </c>
      <c r="C225" s="14" t="s">
        <v>813</v>
      </c>
      <c r="D225" s="14">
        <v>0</v>
      </c>
      <c r="E225" s="14" t="s">
        <v>814</v>
      </c>
      <c r="F225" s="14" t="s">
        <v>815</v>
      </c>
      <c r="G225" s="14" t="s">
        <v>40</v>
      </c>
      <c r="H225" s="14" t="s">
        <v>483</v>
      </c>
      <c r="I225" s="15" t="s">
        <v>806</v>
      </c>
      <c r="J225" s="14">
        <v>300</v>
      </c>
      <c r="K225" t="s">
        <v>816</v>
      </c>
      <c r="L225">
        <v>0</v>
      </c>
      <c r="M225">
        <v>0</v>
      </c>
      <c r="N225" s="10" t="s">
        <v>462</v>
      </c>
    </row>
    <row r="226" spans="2:14" ht="33" customHeight="1" x14ac:dyDescent="0.3"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 t="s">
        <v>417</v>
      </c>
      <c r="I226" s="15" t="s">
        <v>417</v>
      </c>
      <c r="J226" s="14">
        <v>0</v>
      </c>
      <c r="K226">
        <v>0</v>
      </c>
      <c r="L226">
        <v>0</v>
      </c>
      <c r="M226">
        <v>0</v>
      </c>
      <c r="N226" s="10">
        <v>0</v>
      </c>
    </row>
    <row r="227" spans="2:14" ht="33" customHeight="1" x14ac:dyDescent="0.3">
      <c r="B227" s="14" t="s">
        <v>430</v>
      </c>
      <c r="C227" s="14" t="s">
        <v>817</v>
      </c>
      <c r="D227" s="14">
        <v>0</v>
      </c>
      <c r="E227" s="14" t="s">
        <v>818</v>
      </c>
      <c r="F227" s="14" t="s">
        <v>819</v>
      </c>
      <c r="G227" s="14" t="s">
        <v>262</v>
      </c>
      <c r="H227" s="14" t="s">
        <v>820</v>
      </c>
      <c r="I227" s="15" t="s">
        <v>821</v>
      </c>
      <c r="J227" s="14">
        <v>1</v>
      </c>
      <c r="K227" t="s">
        <v>822</v>
      </c>
      <c r="L227">
        <v>1</v>
      </c>
      <c r="M227">
        <v>0</v>
      </c>
      <c r="N227" s="10" t="s">
        <v>416</v>
      </c>
    </row>
    <row r="228" spans="2:14" ht="33" customHeight="1" x14ac:dyDescent="0.3">
      <c r="B228" s="14">
        <v>0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 t="s">
        <v>417</v>
      </c>
      <c r="I228" s="15" t="s">
        <v>417</v>
      </c>
      <c r="J228" s="14">
        <v>0</v>
      </c>
      <c r="K228">
        <v>0</v>
      </c>
      <c r="L228">
        <v>0</v>
      </c>
      <c r="M228">
        <v>0</v>
      </c>
      <c r="N228" s="10">
        <v>0</v>
      </c>
    </row>
    <row r="229" spans="2:14" ht="33" customHeight="1" x14ac:dyDescent="0.3">
      <c r="B229" s="14" t="s">
        <v>430</v>
      </c>
      <c r="C229" s="14" t="s">
        <v>823</v>
      </c>
      <c r="D229" s="14" t="s">
        <v>824</v>
      </c>
      <c r="E229" s="14" t="s">
        <v>825</v>
      </c>
      <c r="F229" s="14" t="s">
        <v>826</v>
      </c>
      <c r="G229" s="14" t="s">
        <v>827</v>
      </c>
      <c r="H229" s="14" t="s">
        <v>435</v>
      </c>
      <c r="I229" s="15" t="s">
        <v>821</v>
      </c>
      <c r="J229" s="14">
        <v>5</v>
      </c>
      <c r="K229" t="s">
        <v>766</v>
      </c>
      <c r="L229">
        <v>5</v>
      </c>
      <c r="M229">
        <v>0</v>
      </c>
      <c r="N229" s="10" t="s">
        <v>429</v>
      </c>
    </row>
    <row r="230" spans="2:14" ht="33" customHeight="1" x14ac:dyDescent="0.3">
      <c r="B230" s="14">
        <v>0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 t="s">
        <v>417</v>
      </c>
      <c r="I230" s="15" t="s">
        <v>417</v>
      </c>
      <c r="J230" s="14">
        <v>0</v>
      </c>
      <c r="K230">
        <v>0</v>
      </c>
      <c r="L230">
        <v>0</v>
      </c>
      <c r="M230">
        <v>0</v>
      </c>
      <c r="N230" s="10">
        <v>0</v>
      </c>
    </row>
    <row r="231" spans="2:14" ht="33" customHeight="1" x14ac:dyDescent="0.3">
      <c r="B231" s="14" t="s">
        <v>554</v>
      </c>
      <c r="C231" s="14" t="s">
        <v>828</v>
      </c>
      <c r="D231" s="14">
        <v>0</v>
      </c>
      <c r="E231" s="14" t="s">
        <v>829</v>
      </c>
      <c r="F231" s="14">
        <v>0</v>
      </c>
      <c r="G231" s="14" t="s">
        <v>661</v>
      </c>
      <c r="H231" s="14" t="s">
        <v>662</v>
      </c>
      <c r="I231" s="15" t="s">
        <v>414</v>
      </c>
      <c r="J231" s="14">
        <v>4000</v>
      </c>
      <c r="K231" t="s">
        <v>830</v>
      </c>
      <c r="L231">
        <v>4000</v>
      </c>
      <c r="M231">
        <v>0</v>
      </c>
      <c r="N231" s="10" t="s">
        <v>437</v>
      </c>
    </row>
    <row r="232" spans="2:14" ht="33" customHeight="1" x14ac:dyDescent="0.3">
      <c r="B232" s="14">
        <v>0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 t="s">
        <v>417</v>
      </c>
      <c r="I232" s="15" t="s">
        <v>417</v>
      </c>
      <c r="J232" s="14">
        <v>0</v>
      </c>
      <c r="K232">
        <v>0</v>
      </c>
      <c r="L232">
        <v>0</v>
      </c>
      <c r="M232">
        <v>0</v>
      </c>
      <c r="N232" s="10">
        <v>0</v>
      </c>
    </row>
    <row r="233" spans="2:14" ht="33" customHeight="1" x14ac:dyDescent="0.3">
      <c r="B233" s="14" t="s">
        <v>831</v>
      </c>
      <c r="C233" s="14" t="s">
        <v>832</v>
      </c>
      <c r="D233" s="14">
        <v>0</v>
      </c>
      <c r="E233" s="14" t="s">
        <v>833</v>
      </c>
      <c r="F233" s="14" t="s">
        <v>834</v>
      </c>
      <c r="G233" s="14" t="s">
        <v>34</v>
      </c>
      <c r="H233" s="14" t="s">
        <v>468</v>
      </c>
      <c r="I233" s="15" t="s">
        <v>414</v>
      </c>
      <c r="J233" s="14">
        <v>1320</v>
      </c>
      <c r="K233" t="s">
        <v>469</v>
      </c>
      <c r="L233">
        <v>0</v>
      </c>
      <c r="M233">
        <v>1320</v>
      </c>
      <c r="N233" s="10" t="s">
        <v>462</v>
      </c>
    </row>
    <row r="234" spans="2:14" ht="33" customHeight="1" x14ac:dyDescent="0.3"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 t="s">
        <v>417</v>
      </c>
      <c r="I234" s="15" t="s">
        <v>417</v>
      </c>
      <c r="J234" s="14">
        <v>0</v>
      </c>
      <c r="K234">
        <v>0</v>
      </c>
      <c r="L234">
        <v>0</v>
      </c>
      <c r="M234">
        <v>0</v>
      </c>
      <c r="N234" s="10">
        <v>0</v>
      </c>
    </row>
    <row r="235" spans="2:14" ht="33" customHeight="1" x14ac:dyDescent="0.3">
      <c r="B235" s="14" t="s">
        <v>835</v>
      </c>
      <c r="C235" s="14" t="s">
        <v>836</v>
      </c>
      <c r="D235" s="14">
        <v>0</v>
      </c>
      <c r="E235" s="14" t="s">
        <v>837</v>
      </c>
      <c r="F235" s="14" t="s">
        <v>838</v>
      </c>
      <c r="G235" s="14" t="s">
        <v>839</v>
      </c>
      <c r="H235" s="14" t="s">
        <v>481</v>
      </c>
      <c r="I235" s="15" t="s">
        <v>840</v>
      </c>
      <c r="J235" s="14">
        <v>1008</v>
      </c>
      <c r="K235" t="s">
        <v>841</v>
      </c>
      <c r="L235">
        <v>1008</v>
      </c>
      <c r="M235">
        <v>0</v>
      </c>
      <c r="N235" s="10" t="s">
        <v>416</v>
      </c>
    </row>
    <row r="236" spans="2:14" ht="33" customHeight="1" x14ac:dyDescent="0.3">
      <c r="B236" s="14" t="s">
        <v>835</v>
      </c>
      <c r="C236" s="14" t="s">
        <v>836</v>
      </c>
      <c r="D236" s="14">
        <v>0</v>
      </c>
      <c r="E236" s="14">
        <v>0</v>
      </c>
      <c r="F236" s="14">
        <v>0</v>
      </c>
      <c r="G236" s="14" t="s">
        <v>839</v>
      </c>
      <c r="H236" s="14" t="s">
        <v>481</v>
      </c>
      <c r="I236" s="15" t="s">
        <v>840</v>
      </c>
      <c r="J236" s="14">
        <v>598</v>
      </c>
      <c r="K236" t="s">
        <v>841</v>
      </c>
      <c r="L236">
        <v>598</v>
      </c>
      <c r="M236">
        <v>0</v>
      </c>
      <c r="N236" s="10" t="s">
        <v>416</v>
      </c>
    </row>
    <row r="237" spans="2:14" ht="33" customHeight="1" x14ac:dyDescent="0.3">
      <c r="B237" s="14" t="s">
        <v>835</v>
      </c>
      <c r="C237" s="14" t="s">
        <v>836</v>
      </c>
      <c r="D237" s="14">
        <v>0</v>
      </c>
      <c r="E237" s="14">
        <v>0</v>
      </c>
      <c r="F237" s="14">
        <v>0</v>
      </c>
      <c r="G237" s="14" t="s">
        <v>842</v>
      </c>
      <c r="H237" s="14" t="s">
        <v>477</v>
      </c>
      <c r="I237" s="15" t="s">
        <v>840</v>
      </c>
      <c r="J237" s="14">
        <v>2200</v>
      </c>
      <c r="K237" t="s">
        <v>843</v>
      </c>
      <c r="L237">
        <v>2200</v>
      </c>
      <c r="M237">
        <v>0</v>
      </c>
      <c r="N237" s="10" t="s">
        <v>416</v>
      </c>
    </row>
    <row r="238" spans="2:14" ht="33" customHeight="1" x14ac:dyDescent="0.3"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 t="s">
        <v>417</v>
      </c>
      <c r="I238" s="15" t="s">
        <v>417</v>
      </c>
      <c r="J238" s="14">
        <v>0</v>
      </c>
      <c r="K238">
        <v>0</v>
      </c>
      <c r="L238">
        <v>0</v>
      </c>
      <c r="M238">
        <v>0</v>
      </c>
      <c r="N238" s="10">
        <v>0</v>
      </c>
    </row>
    <row r="239" spans="2:14" ht="33" customHeight="1" x14ac:dyDescent="0.3">
      <c r="B239" s="14" t="s">
        <v>835</v>
      </c>
      <c r="C239" s="14" t="s">
        <v>844</v>
      </c>
      <c r="D239" s="14">
        <v>0</v>
      </c>
      <c r="E239" s="14" t="s">
        <v>845</v>
      </c>
      <c r="F239" s="14" t="s">
        <v>846</v>
      </c>
      <c r="G239" s="14" t="s">
        <v>839</v>
      </c>
      <c r="H239" s="14" t="s">
        <v>481</v>
      </c>
      <c r="I239" s="15" t="s">
        <v>840</v>
      </c>
      <c r="J239" s="14">
        <v>44</v>
      </c>
      <c r="K239" t="s">
        <v>841</v>
      </c>
      <c r="L239">
        <v>0</v>
      </c>
      <c r="M239">
        <v>0</v>
      </c>
      <c r="N239" s="10" t="s">
        <v>462</v>
      </c>
    </row>
    <row r="240" spans="2:14" ht="33" customHeight="1" x14ac:dyDescent="0.3">
      <c r="B240" s="14">
        <v>0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 t="s">
        <v>417</v>
      </c>
      <c r="I240" s="15" t="s">
        <v>417</v>
      </c>
      <c r="J240" s="14">
        <v>0</v>
      </c>
      <c r="K240">
        <v>0</v>
      </c>
      <c r="L240">
        <v>0</v>
      </c>
      <c r="M240">
        <v>0</v>
      </c>
      <c r="N240" s="10">
        <v>0</v>
      </c>
    </row>
    <row r="241" spans="2:14" ht="33" customHeight="1" x14ac:dyDescent="0.3">
      <c r="B241" s="14" t="s">
        <v>847</v>
      </c>
      <c r="C241" s="14" t="s">
        <v>848</v>
      </c>
      <c r="D241" s="14" t="s">
        <v>849</v>
      </c>
      <c r="E241" s="14" t="s">
        <v>850</v>
      </c>
      <c r="F241" s="14">
        <v>0</v>
      </c>
      <c r="G241" s="14" t="s">
        <v>39</v>
      </c>
      <c r="H241" s="14" t="s">
        <v>445</v>
      </c>
      <c r="I241" s="15" t="s">
        <v>414</v>
      </c>
      <c r="J241" s="14">
        <v>48</v>
      </c>
      <c r="K241" t="s">
        <v>446</v>
      </c>
      <c r="L241">
        <v>48</v>
      </c>
      <c r="M241">
        <v>0</v>
      </c>
      <c r="N241" s="10" t="s">
        <v>416</v>
      </c>
    </row>
    <row r="242" spans="2:14" ht="33" customHeight="1" x14ac:dyDescent="0.3">
      <c r="B242" s="14" t="s">
        <v>847</v>
      </c>
      <c r="C242" s="14" t="s">
        <v>848</v>
      </c>
      <c r="D242" s="14">
        <v>0</v>
      </c>
      <c r="E242" s="14">
        <v>0</v>
      </c>
      <c r="F242" s="14">
        <v>0</v>
      </c>
      <c r="G242" s="14" t="s">
        <v>270</v>
      </c>
      <c r="H242" s="14" t="s">
        <v>435</v>
      </c>
      <c r="I242" s="15" t="s">
        <v>414</v>
      </c>
      <c r="J242" s="14">
        <v>72</v>
      </c>
      <c r="K242" t="s">
        <v>436</v>
      </c>
      <c r="L242">
        <v>72</v>
      </c>
      <c r="M242">
        <v>0</v>
      </c>
      <c r="N242" s="10" t="s">
        <v>416</v>
      </c>
    </row>
    <row r="243" spans="2:14" ht="33" customHeight="1" x14ac:dyDescent="0.3">
      <c r="B243" s="14" t="s">
        <v>847</v>
      </c>
      <c r="C243" s="14" t="s">
        <v>848</v>
      </c>
      <c r="D243" s="14">
        <v>0</v>
      </c>
      <c r="E243" s="14">
        <v>0</v>
      </c>
      <c r="F243" s="14">
        <v>0</v>
      </c>
      <c r="G243" s="14" t="s">
        <v>304</v>
      </c>
      <c r="H243" s="14" t="s">
        <v>584</v>
      </c>
      <c r="I243" s="15" t="s">
        <v>414</v>
      </c>
      <c r="J243" s="14">
        <v>120</v>
      </c>
      <c r="K243" t="s">
        <v>851</v>
      </c>
      <c r="L243">
        <v>120</v>
      </c>
      <c r="M243">
        <v>0</v>
      </c>
      <c r="N243" s="10" t="s">
        <v>416</v>
      </c>
    </row>
    <row r="244" spans="2:14" ht="33" customHeight="1" x14ac:dyDescent="0.3">
      <c r="B244" s="14" t="s">
        <v>847</v>
      </c>
      <c r="C244" s="14" t="s">
        <v>848</v>
      </c>
      <c r="D244" s="14">
        <v>0</v>
      </c>
      <c r="E244" s="14">
        <v>0</v>
      </c>
      <c r="F244" s="14">
        <v>0</v>
      </c>
      <c r="G244" s="14" t="s">
        <v>304</v>
      </c>
      <c r="H244" s="14" t="s">
        <v>584</v>
      </c>
      <c r="I244" s="15" t="s">
        <v>414</v>
      </c>
      <c r="J244" s="14">
        <v>24</v>
      </c>
      <c r="K244" t="s">
        <v>851</v>
      </c>
      <c r="L244">
        <v>24</v>
      </c>
      <c r="M244">
        <v>0</v>
      </c>
      <c r="N244" s="10" t="s">
        <v>416</v>
      </c>
    </row>
    <row r="245" spans="2:14" ht="33" customHeight="1" x14ac:dyDescent="0.3">
      <c r="B245" s="14" t="s">
        <v>847</v>
      </c>
      <c r="C245" s="14" t="s">
        <v>848</v>
      </c>
      <c r="D245" s="14">
        <v>0</v>
      </c>
      <c r="E245" s="14">
        <v>0</v>
      </c>
      <c r="F245" s="14">
        <v>0</v>
      </c>
      <c r="G245" s="14" t="s">
        <v>373</v>
      </c>
      <c r="H245" s="14" t="s">
        <v>455</v>
      </c>
      <c r="I245" s="15" t="s">
        <v>414</v>
      </c>
      <c r="J245" s="14">
        <v>144</v>
      </c>
      <c r="K245" t="s">
        <v>456</v>
      </c>
      <c r="L245">
        <v>144</v>
      </c>
      <c r="M245">
        <v>0</v>
      </c>
      <c r="N245" s="10" t="s">
        <v>416</v>
      </c>
    </row>
    <row r="246" spans="2:14" ht="33" customHeight="1" x14ac:dyDescent="0.3">
      <c r="B246" s="14" t="s">
        <v>847</v>
      </c>
      <c r="C246" s="14" t="s">
        <v>848</v>
      </c>
      <c r="D246" s="14">
        <v>0</v>
      </c>
      <c r="E246" s="14">
        <v>0</v>
      </c>
      <c r="F246" s="14">
        <v>0</v>
      </c>
      <c r="G246" s="14" t="s">
        <v>196</v>
      </c>
      <c r="H246" s="14" t="s">
        <v>453</v>
      </c>
      <c r="I246" s="15" t="s">
        <v>414</v>
      </c>
      <c r="J246" s="14">
        <v>72</v>
      </c>
      <c r="K246" t="s">
        <v>454</v>
      </c>
      <c r="L246">
        <v>72</v>
      </c>
      <c r="M246">
        <v>0</v>
      </c>
      <c r="N246" s="10" t="s">
        <v>416</v>
      </c>
    </row>
    <row r="247" spans="2:14" ht="33" customHeight="1" x14ac:dyDescent="0.3">
      <c r="B247" s="14" t="s">
        <v>847</v>
      </c>
      <c r="C247" s="14" t="s">
        <v>848</v>
      </c>
      <c r="D247" s="14">
        <v>0</v>
      </c>
      <c r="E247" s="14">
        <v>0</v>
      </c>
      <c r="F247" s="14" t="s">
        <v>852</v>
      </c>
      <c r="G247" s="14" t="s">
        <v>331</v>
      </c>
      <c r="H247" s="14" t="s">
        <v>682</v>
      </c>
      <c r="I247" s="15" t="s">
        <v>414</v>
      </c>
      <c r="J247" s="14">
        <v>160</v>
      </c>
      <c r="K247" t="s">
        <v>523</v>
      </c>
      <c r="L247">
        <v>160</v>
      </c>
      <c r="M247">
        <v>0</v>
      </c>
      <c r="N247" s="10" t="s">
        <v>416</v>
      </c>
    </row>
    <row r="248" spans="2:14" ht="33" customHeight="1" x14ac:dyDescent="0.3">
      <c r="B248" s="14" t="s">
        <v>847</v>
      </c>
      <c r="C248" s="14" t="s">
        <v>848</v>
      </c>
      <c r="D248" s="14">
        <v>0</v>
      </c>
      <c r="E248" s="14">
        <v>0</v>
      </c>
      <c r="F248" s="14" t="s">
        <v>852</v>
      </c>
      <c r="G248" s="14" t="s">
        <v>331</v>
      </c>
      <c r="H248" s="14" t="s">
        <v>682</v>
      </c>
      <c r="I248" s="15" t="s">
        <v>414</v>
      </c>
      <c r="J248" s="14">
        <v>240</v>
      </c>
      <c r="K248" t="s">
        <v>523</v>
      </c>
      <c r="L248">
        <v>240</v>
      </c>
      <c r="M248">
        <v>0</v>
      </c>
      <c r="N248" s="10" t="s">
        <v>416</v>
      </c>
    </row>
    <row r="249" spans="2:14" ht="33" customHeight="1" x14ac:dyDescent="0.3">
      <c r="B249" s="14" t="s">
        <v>847</v>
      </c>
      <c r="C249" s="14" t="s">
        <v>848</v>
      </c>
      <c r="D249" s="14">
        <v>0</v>
      </c>
      <c r="E249" s="14">
        <v>0</v>
      </c>
      <c r="F249" s="14">
        <v>0</v>
      </c>
      <c r="G249" s="14" t="s">
        <v>284</v>
      </c>
      <c r="H249" s="14" t="s">
        <v>853</v>
      </c>
      <c r="I249" s="15" t="s">
        <v>414</v>
      </c>
      <c r="J249" s="14">
        <v>168</v>
      </c>
      <c r="K249" t="s">
        <v>854</v>
      </c>
      <c r="L249">
        <v>168</v>
      </c>
      <c r="M249">
        <v>0</v>
      </c>
      <c r="N249" s="10" t="s">
        <v>416</v>
      </c>
    </row>
    <row r="250" spans="2:14" ht="33" customHeight="1" x14ac:dyDescent="0.3">
      <c r="B250" s="14" t="s">
        <v>847</v>
      </c>
      <c r="C250" s="14" t="s">
        <v>848</v>
      </c>
      <c r="D250" s="14">
        <v>0</v>
      </c>
      <c r="E250" s="14">
        <v>0</v>
      </c>
      <c r="F250" s="14">
        <v>0</v>
      </c>
      <c r="G250" s="14" t="s">
        <v>246</v>
      </c>
      <c r="H250" s="14" t="s">
        <v>855</v>
      </c>
      <c r="I250" s="15" t="s">
        <v>414</v>
      </c>
      <c r="J250" s="14">
        <v>96</v>
      </c>
      <c r="K250" t="s">
        <v>856</v>
      </c>
      <c r="L250">
        <v>96</v>
      </c>
      <c r="M250">
        <v>0</v>
      </c>
      <c r="N250" s="10" t="s">
        <v>416</v>
      </c>
    </row>
    <row r="251" spans="2:14" ht="33" customHeight="1" x14ac:dyDescent="0.3">
      <c r="B251" s="14" t="s">
        <v>847</v>
      </c>
      <c r="C251" s="14" t="s">
        <v>848</v>
      </c>
      <c r="D251" s="14">
        <v>0</v>
      </c>
      <c r="E251" s="14">
        <v>0</v>
      </c>
      <c r="F251" s="14">
        <v>0</v>
      </c>
      <c r="G251" s="14" t="s">
        <v>186</v>
      </c>
      <c r="H251" s="14" t="s">
        <v>471</v>
      </c>
      <c r="I251" s="15" t="s">
        <v>414</v>
      </c>
      <c r="J251" s="14">
        <v>72</v>
      </c>
      <c r="K251" t="s">
        <v>472</v>
      </c>
      <c r="L251">
        <v>72</v>
      </c>
      <c r="M251">
        <v>0</v>
      </c>
      <c r="N251" s="10" t="s">
        <v>416</v>
      </c>
    </row>
    <row r="252" spans="2:14" ht="33" customHeight="1" x14ac:dyDescent="0.3">
      <c r="B252" s="14" t="s">
        <v>847</v>
      </c>
      <c r="C252" s="14" t="s">
        <v>848</v>
      </c>
      <c r="D252" s="14">
        <v>0</v>
      </c>
      <c r="E252" s="14">
        <v>0</v>
      </c>
      <c r="F252" s="14">
        <v>0</v>
      </c>
      <c r="G252" s="14" t="s">
        <v>342</v>
      </c>
      <c r="H252" s="14" t="s">
        <v>649</v>
      </c>
      <c r="I252" s="15" t="s">
        <v>414</v>
      </c>
      <c r="J252" s="14">
        <v>120</v>
      </c>
      <c r="K252" t="s">
        <v>650</v>
      </c>
      <c r="L252">
        <v>120</v>
      </c>
      <c r="M252">
        <v>0</v>
      </c>
      <c r="N252" s="10" t="s">
        <v>416</v>
      </c>
    </row>
    <row r="253" spans="2:14" ht="33" customHeight="1" x14ac:dyDescent="0.3">
      <c r="B253" s="14" t="s">
        <v>847</v>
      </c>
      <c r="C253" s="14" t="s">
        <v>848</v>
      </c>
      <c r="D253" s="14">
        <v>0</v>
      </c>
      <c r="E253" s="14">
        <v>0</v>
      </c>
      <c r="F253" s="14">
        <v>0</v>
      </c>
      <c r="G253" s="14" t="s">
        <v>299</v>
      </c>
      <c r="H253" s="14" t="s">
        <v>677</v>
      </c>
      <c r="I253" s="15" t="s">
        <v>414</v>
      </c>
      <c r="J253" s="14">
        <v>96</v>
      </c>
      <c r="K253" t="s">
        <v>678</v>
      </c>
      <c r="L253">
        <v>96</v>
      </c>
      <c r="M253">
        <v>0</v>
      </c>
      <c r="N253" s="10" t="s">
        <v>416</v>
      </c>
    </row>
    <row r="254" spans="2:14" ht="33" customHeight="1" x14ac:dyDescent="0.3">
      <c r="B254" s="14" t="s">
        <v>847</v>
      </c>
      <c r="C254" s="14" t="s">
        <v>848</v>
      </c>
      <c r="D254" s="14">
        <v>0</v>
      </c>
      <c r="E254" s="14">
        <v>0</v>
      </c>
      <c r="F254" s="14" t="s">
        <v>857</v>
      </c>
      <c r="G254" s="14" t="s">
        <v>268</v>
      </c>
      <c r="H254" s="14" t="s">
        <v>611</v>
      </c>
      <c r="I254" s="15" t="s">
        <v>414</v>
      </c>
      <c r="J254" s="14">
        <v>140</v>
      </c>
      <c r="K254" t="s">
        <v>858</v>
      </c>
      <c r="L254">
        <v>140</v>
      </c>
      <c r="M254">
        <v>0</v>
      </c>
      <c r="N254" s="10" t="s">
        <v>416</v>
      </c>
    </row>
    <row r="255" spans="2:14" ht="33" customHeight="1" x14ac:dyDescent="0.3">
      <c r="B255" s="14" t="s">
        <v>847</v>
      </c>
      <c r="C255" s="14" t="s">
        <v>848</v>
      </c>
      <c r="D255" s="14">
        <v>0</v>
      </c>
      <c r="E255" s="14">
        <v>0</v>
      </c>
      <c r="F255" s="14" t="s">
        <v>859</v>
      </c>
      <c r="G255" s="14" t="s">
        <v>406</v>
      </c>
      <c r="H255" s="14" t="s">
        <v>481</v>
      </c>
      <c r="I255" s="15" t="s">
        <v>414</v>
      </c>
      <c r="J255" s="14">
        <v>216</v>
      </c>
      <c r="K255" t="s">
        <v>482</v>
      </c>
      <c r="L255">
        <v>216</v>
      </c>
      <c r="M255">
        <v>0</v>
      </c>
      <c r="N255" s="10" t="s">
        <v>416</v>
      </c>
    </row>
    <row r="256" spans="2:14" ht="33" customHeight="1" x14ac:dyDescent="0.3">
      <c r="B256" s="14">
        <v>0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 t="s">
        <v>417</v>
      </c>
      <c r="I256" s="15" t="s">
        <v>417</v>
      </c>
      <c r="J256" s="14">
        <v>0</v>
      </c>
      <c r="K256">
        <v>0</v>
      </c>
      <c r="L256">
        <v>0</v>
      </c>
      <c r="M256">
        <v>0</v>
      </c>
      <c r="N256" s="10">
        <v>0</v>
      </c>
    </row>
    <row r="257" spans="2:14" ht="33" customHeight="1" x14ac:dyDescent="0.3">
      <c r="B257" s="14" t="s">
        <v>847</v>
      </c>
      <c r="C257" s="14" t="s">
        <v>860</v>
      </c>
      <c r="D257" s="14">
        <v>0</v>
      </c>
      <c r="E257" s="14" t="s">
        <v>861</v>
      </c>
      <c r="F257" s="14">
        <v>0</v>
      </c>
      <c r="G257" s="14" t="s">
        <v>85</v>
      </c>
      <c r="H257" s="14" t="s">
        <v>536</v>
      </c>
      <c r="I257" s="15" t="s">
        <v>414</v>
      </c>
      <c r="J257" s="14">
        <v>288</v>
      </c>
      <c r="K257" t="s">
        <v>862</v>
      </c>
      <c r="L257">
        <v>0</v>
      </c>
      <c r="M257">
        <v>288</v>
      </c>
      <c r="N257" s="10" t="s">
        <v>693</v>
      </c>
    </row>
    <row r="258" spans="2:14" ht="33" customHeight="1" x14ac:dyDescent="0.3">
      <c r="B258" s="14" t="s">
        <v>847</v>
      </c>
      <c r="C258" s="14" t="s">
        <v>860</v>
      </c>
      <c r="D258" s="14">
        <v>0</v>
      </c>
      <c r="E258" s="14">
        <v>0</v>
      </c>
      <c r="F258" s="14">
        <v>0</v>
      </c>
      <c r="G258" s="14" t="s">
        <v>750</v>
      </c>
      <c r="H258" s="14" t="s">
        <v>751</v>
      </c>
      <c r="I258" s="15" t="s">
        <v>414</v>
      </c>
      <c r="J258" s="14">
        <v>144</v>
      </c>
      <c r="K258" t="s">
        <v>752</v>
      </c>
      <c r="L258">
        <v>0</v>
      </c>
      <c r="M258">
        <v>144</v>
      </c>
      <c r="N258" s="10" t="s">
        <v>452</v>
      </c>
    </row>
    <row r="259" spans="2:14" ht="33" customHeight="1" x14ac:dyDescent="0.3">
      <c r="B259" s="14" t="s">
        <v>847</v>
      </c>
      <c r="C259" s="14" t="s">
        <v>860</v>
      </c>
      <c r="D259" s="14">
        <v>0</v>
      </c>
      <c r="E259" s="14">
        <v>0</v>
      </c>
      <c r="F259" s="14">
        <v>0</v>
      </c>
      <c r="G259" s="14" t="s">
        <v>746</v>
      </c>
      <c r="H259" s="14" t="s">
        <v>747</v>
      </c>
      <c r="I259" s="15" t="s">
        <v>414</v>
      </c>
      <c r="J259" s="14">
        <v>216</v>
      </c>
      <c r="K259" t="s">
        <v>748</v>
      </c>
      <c r="L259">
        <v>0</v>
      </c>
      <c r="M259">
        <v>216</v>
      </c>
      <c r="N259" s="10" t="s">
        <v>452</v>
      </c>
    </row>
    <row r="260" spans="2:14" ht="33" customHeight="1" x14ac:dyDescent="0.3">
      <c r="B260" s="14" t="s">
        <v>847</v>
      </c>
      <c r="C260" s="14" t="s">
        <v>860</v>
      </c>
      <c r="D260" s="14">
        <v>0</v>
      </c>
      <c r="E260" s="14">
        <v>0</v>
      </c>
      <c r="F260" s="14" t="s">
        <v>863</v>
      </c>
      <c r="G260" s="14" t="s">
        <v>289</v>
      </c>
      <c r="H260" s="14" t="s">
        <v>617</v>
      </c>
      <c r="I260" s="15" t="s">
        <v>414</v>
      </c>
      <c r="J260" s="14">
        <v>105</v>
      </c>
      <c r="K260" t="s">
        <v>864</v>
      </c>
      <c r="L260">
        <v>0</v>
      </c>
      <c r="M260">
        <v>105</v>
      </c>
      <c r="N260" s="10" t="s">
        <v>693</v>
      </c>
    </row>
    <row r="261" spans="2:14" ht="33" customHeight="1" x14ac:dyDescent="0.3">
      <c r="B261" s="14" t="s">
        <v>847</v>
      </c>
      <c r="C261" s="14" t="s">
        <v>860</v>
      </c>
      <c r="D261" s="14">
        <v>0</v>
      </c>
      <c r="E261" s="14">
        <v>0</v>
      </c>
      <c r="F261" s="14">
        <v>0</v>
      </c>
      <c r="G261" s="14" t="s">
        <v>382</v>
      </c>
      <c r="H261" s="14" t="s">
        <v>865</v>
      </c>
      <c r="I261" s="15" t="s">
        <v>414</v>
      </c>
      <c r="J261" s="14">
        <v>432</v>
      </c>
      <c r="K261" t="s">
        <v>866</v>
      </c>
      <c r="L261">
        <v>0</v>
      </c>
      <c r="M261">
        <v>432</v>
      </c>
      <c r="N261" s="10" t="s">
        <v>693</v>
      </c>
    </row>
    <row r="262" spans="2:14" ht="33" customHeight="1" x14ac:dyDescent="0.3">
      <c r="B262" s="14" t="s">
        <v>847</v>
      </c>
      <c r="C262" s="14" t="s">
        <v>860</v>
      </c>
      <c r="D262" s="14">
        <v>0</v>
      </c>
      <c r="E262" s="14">
        <v>0</v>
      </c>
      <c r="F262" s="14">
        <v>0</v>
      </c>
      <c r="G262" s="14" t="s">
        <v>867</v>
      </c>
      <c r="H262" s="14" t="s">
        <v>868</v>
      </c>
      <c r="I262" s="15" t="s">
        <v>414</v>
      </c>
      <c r="J262" s="14">
        <v>72</v>
      </c>
      <c r="K262" t="s">
        <v>869</v>
      </c>
      <c r="L262">
        <v>0</v>
      </c>
      <c r="M262">
        <v>72</v>
      </c>
      <c r="N262" s="10" t="s">
        <v>693</v>
      </c>
    </row>
    <row r="263" spans="2:14" ht="33" customHeight="1" x14ac:dyDescent="0.3">
      <c r="B263" s="14" t="s">
        <v>847</v>
      </c>
      <c r="C263" s="14" t="s">
        <v>860</v>
      </c>
      <c r="D263" s="14">
        <v>0</v>
      </c>
      <c r="E263" s="14">
        <v>0</v>
      </c>
      <c r="F263" s="14">
        <v>0</v>
      </c>
      <c r="G263" s="14" t="s">
        <v>870</v>
      </c>
      <c r="H263" s="14" t="s">
        <v>871</v>
      </c>
      <c r="I263" s="15" t="s">
        <v>414</v>
      </c>
      <c r="J263" s="14">
        <v>120</v>
      </c>
      <c r="K263" t="s">
        <v>872</v>
      </c>
      <c r="L263">
        <v>120</v>
      </c>
      <c r="M263">
        <v>0</v>
      </c>
      <c r="N263" s="10" t="s">
        <v>693</v>
      </c>
    </row>
    <row r="264" spans="2:14" ht="33" customHeight="1" x14ac:dyDescent="0.3"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 t="s">
        <v>417</v>
      </c>
      <c r="I264" s="15" t="s">
        <v>417</v>
      </c>
      <c r="J264" s="14">
        <v>0</v>
      </c>
      <c r="K264">
        <v>0</v>
      </c>
      <c r="L264">
        <v>0</v>
      </c>
      <c r="M264">
        <v>0</v>
      </c>
      <c r="N264" s="10">
        <v>0</v>
      </c>
    </row>
    <row r="265" spans="2:14" ht="33" customHeight="1" x14ac:dyDescent="0.3">
      <c r="B265" s="14" t="s">
        <v>410</v>
      </c>
      <c r="C265" s="14" t="s">
        <v>873</v>
      </c>
      <c r="D265" s="14" t="s">
        <v>874</v>
      </c>
      <c r="E265" s="14" t="s">
        <v>875</v>
      </c>
      <c r="F265" s="14">
        <v>0</v>
      </c>
      <c r="G265" s="14" t="s">
        <v>161</v>
      </c>
      <c r="H265" s="14" t="s">
        <v>465</v>
      </c>
      <c r="I265" s="15" t="s">
        <v>414</v>
      </c>
      <c r="J265" s="14">
        <v>100</v>
      </c>
      <c r="K265" t="s">
        <v>466</v>
      </c>
      <c r="L265">
        <v>100</v>
      </c>
      <c r="M265">
        <v>0</v>
      </c>
      <c r="N265" s="10" t="s">
        <v>443</v>
      </c>
    </row>
    <row r="266" spans="2:14" ht="33" customHeight="1" x14ac:dyDescent="0.3">
      <c r="B266" s="14" t="s">
        <v>410</v>
      </c>
      <c r="C266" s="14" t="s">
        <v>873</v>
      </c>
      <c r="D266" s="14">
        <v>0</v>
      </c>
      <c r="E266" s="14">
        <v>0</v>
      </c>
      <c r="F266" s="14">
        <v>0</v>
      </c>
      <c r="G266" s="14" t="s">
        <v>349</v>
      </c>
      <c r="H266" s="14" t="s">
        <v>698</v>
      </c>
      <c r="I266" s="15" t="s">
        <v>414</v>
      </c>
      <c r="J266" s="14">
        <v>100</v>
      </c>
      <c r="K266" t="s">
        <v>699</v>
      </c>
      <c r="L266">
        <v>0</v>
      </c>
      <c r="M266">
        <v>100</v>
      </c>
      <c r="N266" s="10" t="s">
        <v>462</v>
      </c>
    </row>
    <row r="267" spans="2:14" ht="33" customHeight="1" x14ac:dyDescent="0.3">
      <c r="B267" s="14" t="s">
        <v>410</v>
      </c>
      <c r="C267" s="14" t="s">
        <v>873</v>
      </c>
      <c r="D267" s="14">
        <v>0</v>
      </c>
      <c r="E267" s="14">
        <v>0</v>
      </c>
      <c r="F267" s="14">
        <v>0</v>
      </c>
      <c r="G267" s="14" t="s">
        <v>370</v>
      </c>
      <c r="H267" s="14" t="s">
        <v>623</v>
      </c>
      <c r="I267" s="15" t="s">
        <v>414</v>
      </c>
      <c r="J267" s="14">
        <v>100</v>
      </c>
      <c r="K267" t="s">
        <v>876</v>
      </c>
      <c r="L267">
        <v>100</v>
      </c>
      <c r="M267">
        <v>0</v>
      </c>
      <c r="N267" s="10" t="s">
        <v>443</v>
      </c>
    </row>
    <row r="268" spans="2:14" ht="33" customHeight="1" x14ac:dyDescent="0.3"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 t="s">
        <v>417</v>
      </c>
      <c r="I268" s="15" t="s">
        <v>417</v>
      </c>
      <c r="J268" s="14">
        <v>0</v>
      </c>
      <c r="K268">
        <v>0</v>
      </c>
      <c r="L268">
        <v>0</v>
      </c>
      <c r="M268">
        <v>0</v>
      </c>
      <c r="N268" s="10">
        <v>0</v>
      </c>
    </row>
    <row r="269" spans="2:14" ht="33" customHeight="1" x14ac:dyDescent="0.3">
      <c r="B269" s="14" t="s">
        <v>410</v>
      </c>
      <c r="C269" s="14" t="s">
        <v>877</v>
      </c>
      <c r="D269" s="14">
        <v>0</v>
      </c>
      <c r="E269" s="14" t="s">
        <v>875</v>
      </c>
      <c r="F269" s="14">
        <v>0</v>
      </c>
      <c r="G269" s="14" t="s">
        <v>42</v>
      </c>
      <c r="H269" s="14" t="s">
        <v>449</v>
      </c>
      <c r="I269" s="15" t="s">
        <v>450</v>
      </c>
      <c r="J269" s="14">
        <v>76</v>
      </c>
      <c r="K269" t="s">
        <v>451</v>
      </c>
      <c r="L269">
        <v>76</v>
      </c>
      <c r="M269">
        <v>0</v>
      </c>
      <c r="N269" s="10" t="s">
        <v>443</v>
      </c>
    </row>
    <row r="270" spans="2:14" ht="33" customHeight="1" x14ac:dyDescent="0.3">
      <c r="B270" s="14" t="s">
        <v>410</v>
      </c>
      <c r="C270" s="14" t="s">
        <v>877</v>
      </c>
      <c r="D270" s="14">
        <v>0</v>
      </c>
      <c r="E270" s="14">
        <v>0</v>
      </c>
      <c r="F270" s="14">
        <v>0</v>
      </c>
      <c r="G270" s="14" t="s">
        <v>42</v>
      </c>
      <c r="H270" s="14" t="s">
        <v>449</v>
      </c>
      <c r="I270" s="15" t="s">
        <v>450</v>
      </c>
      <c r="J270" s="14">
        <v>34</v>
      </c>
      <c r="K270" t="s">
        <v>451</v>
      </c>
      <c r="L270">
        <v>34</v>
      </c>
      <c r="M270">
        <v>0</v>
      </c>
      <c r="N270" s="10" t="s">
        <v>443</v>
      </c>
    </row>
    <row r="271" spans="2:14" ht="33" customHeight="1" x14ac:dyDescent="0.3">
      <c r="B271" s="14" t="s">
        <v>410</v>
      </c>
      <c r="C271" s="14" t="s">
        <v>877</v>
      </c>
      <c r="D271" s="14">
        <v>0</v>
      </c>
      <c r="E271" s="14">
        <v>0</v>
      </c>
      <c r="F271" s="14">
        <v>0</v>
      </c>
      <c r="G271" s="14" t="s">
        <v>77</v>
      </c>
      <c r="H271" s="14" t="s">
        <v>567</v>
      </c>
      <c r="I271" s="15" t="s">
        <v>414</v>
      </c>
      <c r="J271" s="14">
        <v>110</v>
      </c>
      <c r="K271" t="s">
        <v>878</v>
      </c>
      <c r="L271">
        <v>110</v>
      </c>
      <c r="M271">
        <v>0</v>
      </c>
      <c r="N271" s="10" t="s">
        <v>443</v>
      </c>
    </row>
    <row r="272" spans="2:14" ht="33" customHeight="1" x14ac:dyDescent="0.3">
      <c r="B272" s="14" t="s">
        <v>410</v>
      </c>
      <c r="C272" s="14" t="s">
        <v>877</v>
      </c>
      <c r="D272" s="14">
        <v>0</v>
      </c>
      <c r="E272" s="14">
        <v>0</v>
      </c>
      <c r="F272" s="14">
        <v>0</v>
      </c>
      <c r="G272" s="14" t="s">
        <v>97</v>
      </c>
      <c r="H272" s="14" t="s">
        <v>481</v>
      </c>
      <c r="I272" s="15" t="s">
        <v>492</v>
      </c>
      <c r="J272" s="14">
        <v>550</v>
      </c>
      <c r="K272" t="s">
        <v>879</v>
      </c>
      <c r="L272">
        <v>0</v>
      </c>
      <c r="M272">
        <v>550</v>
      </c>
      <c r="N272" s="10" t="s">
        <v>452</v>
      </c>
    </row>
    <row r="273" spans="2:14" ht="33" customHeight="1" x14ac:dyDescent="0.3">
      <c r="B273" s="14" t="s">
        <v>410</v>
      </c>
      <c r="C273" s="14" t="s">
        <v>877</v>
      </c>
      <c r="D273" s="14">
        <v>0</v>
      </c>
      <c r="E273" s="14">
        <v>0</v>
      </c>
      <c r="F273" s="14">
        <v>0</v>
      </c>
      <c r="G273" s="14" t="s">
        <v>143</v>
      </c>
      <c r="H273" s="14" t="s">
        <v>491</v>
      </c>
      <c r="I273" s="15" t="s">
        <v>492</v>
      </c>
      <c r="J273" s="14">
        <v>1650</v>
      </c>
      <c r="K273" t="s">
        <v>493</v>
      </c>
      <c r="L273">
        <v>1650</v>
      </c>
      <c r="M273">
        <v>0</v>
      </c>
      <c r="N273" s="10" t="s">
        <v>443</v>
      </c>
    </row>
    <row r="274" spans="2:14" ht="33" customHeight="1" x14ac:dyDescent="0.3">
      <c r="B274" s="14" t="s">
        <v>410</v>
      </c>
      <c r="C274" s="14" t="s">
        <v>877</v>
      </c>
      <c r="D274" s="14">
        <v>0</v>
      </c>
      <c r="E274" s="14">
        <v>0</v>
      </c>
      <c r="F274" s="14">
        <v>0</v>
      </c>
      <c r="G274" s="14" t="s">
        <v>186</v>
      </c>
      <c r="H274" s="14" t="s">
        <v>471</v>
      </c>
      <c r="I274" s="15" t="s">
        <v>414</v>
      </c>
      <c r="J274" s="14">
        <v>330</v>
      </c>
      <c r="K274" t="s">
        <v>880</v>
      </c>
      <c r="L274">
        <v>330</v>
      </c>
      <c r="M274">
        <v>0</v>
      </c>
      <c r="N274" s="10" t="s">
        <v>443</v>
      </c>
    </row>
    <row r="275" spans="2:14" ht="33" customHeight="1" x14ac:dyDescent="0.3">
      <c r="B275" s="14" t="s">
        <v>410</v>
      </c>
      <c r="C275" s="14" t="s">
        <v>877</v>
      </c>
      <c r="D275" s="14">
        <v>0</v>
      </c>
      <c r="E275" s="14">
        <v>0</v>
      </c>
      <c r="F275" s="14">
        <v>0</v>
      </c>
      <c r="G275" s="14" t="s">
        <v>220</v>
      </c>
      <c r="H275" s="14" t="s">
        <v>441</v>
      </c>
      <c r="I275" s="15" t="s">
        <v>414</v>
      </c>
      <c r="J275" s="14">
        <v>110</v>
      </c>
      <c r="K275" t="s">
        <v>442</v>
      </c>
      <c r="L275">
        <v>110</v>
      </c>
      <c r="M275">
        <v>0</v>
      </c>
      <c r="N275" s="10" t="s">
        <v>443</v>
      </c>
    </row>
    <row r="276" spans="2:14" ht="33" customHeight="1" x14ac:dyDescent="0.3">
      <c r="B276" s="14" t="s">
        <v>410</v>
      </c>
      <c r="C276" s="14" t="s">
        <v>877</v>
      </c>
      <c r="D276" s="14">
        <v>0</v>
      </c>
      <c r="E276" s="14">
        <v>0</v>
      </c>
      <c r="F276" s="14" t="s">
        <v>444</v>
      </c>
      <c r="G276" s="14" t="s">
        <v>39</v>
      </c>
      <c r="H276" s="14" t="s">
        <v>445</v>
      </c>
      <c r="I276" s="15" t="s">
        <v>414</v>
      </c>
      <c r="J276" s="14">
        <v>110</v>
      </c>
      <c r="K276" t="s">
        <v>446</v>
      </c>
      <c r="L276">
        <v>110</v>
      </c>
      <c r="M276">
        <v>0</v>
      </c>
      <c r="N276" s="10" t="s">
        <v>447</v>
      </c>
    </row>
    <row r="277" spans="2:14" ht="33" customHeight="1" x14ac:dyDescent="0.3">
      <c r="B277" s="14" t="s">
        <v>410</v>
      </c>
      <c r="C277" s="14" t="s">
        <v>877</v>
      </c>
      <c r="D277" s="14">
        <v>0</v>
      </c>
      <c r="E277" s="14">
        <v>0</v>
      </c>
      <c r="F277" s="14">
        <v>0</v>
      </c>
      <c r="G277" s="14" t="s">
        <v>402</v>
      </c>
      <c r="H277" s="14" t="s">
        <v>643</v>
      </c>
      <c r="I277" s="15" t="s">
        <v>414</v>
      </c>
      <c r="J277" s="14">
        <v>100</v>
      </c>
      <c r="K277" t="s">
        <v>881</v>
      </c>
      <c r="L277">
        <v>100</v>
      </c>
      <c r="M277">
        <v>0</v>
      </c>
      <c r="N277" s="10" t="s">
        <v>443</v>
      </c>
    </row>
    <row r="278" spans="2:14" ht="33" customHeight="1" x14ac:dyDescent="0.3"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 t="s">
        <v>417</v>
      </c>
      <c r="I278" s="15" t="s">
        <v>417</v>
      </c>
      <c r="J278" s="14">
        <v>0</v>
      </c>
      <c r="K278">
        <v>0</v>
      </c>
      <c r="L278">
        <v>0</v>
      </c>
      <c r="M278">
        <v>0</v>
      </c>
      <c r="N278" s="10">
        <v>0</v>
      </c>
    </row>
    <row r="279" spans="2:14" ht="33" customHeight="1" x14ac:dyDescent="0.3">
      <c r="B279" s="14" t="s">
        <v>410</v>
      </c>
      <c r="C279" s="14" t="s">
        <v>882</v>
      </c>
      <c r="D279" s="14">
        <v>0</v>
      </c>
      <c r="E279" s="14" t="s">
        <v>883</v>
      </c>
      <c r="F279" s="14" t="s">
        <v>884</v>
      </c>
      <c r="G279" s="14" t="s">
        <v>331</v>
      </c>
      <c r="H279" s="14" t="s">
        <v>682</v>
      </c>
      <c r="I279" s="15" t="s">
        <v>414</v>
      </c>
      <c r="J279" s="14">
        <v>300</v>
      </c>
      <c r="K279" t="s">
        <v>523</v>
      </c>
      <c r="L279">
        <v>300</v>
      </c>
      <c r="M279">
        <v>0</v>
      </c>
      <c r="N279" s="10" t="s">
        <v>416</v>
      </c>
    </row>
    <row r="280" spans="2:14" ht="33" customHeight="1" x14ac:dyDescent="0.3">
      <c r="B280" s="14" t="s">
        <v>410</v>
      </c>
      <c r="C280" s="14" t="s">
        <v>882</v>
      </c>
      <c r="D280" s="14">
        <v>0</v>
      </c>
      <c r="E280" s="14">
        <v>0</v>
      </c>
      <c r="F280" s="14" t="s">
        <v>884</v>
      </c>
      <c r="G280" s="14" t="s">
        <v>380</v>
      </c>
      <c r="H280" s="14" t="s">
        <v>885</v>
      </c>
      <c r="I280" s="15" t="s">
        <v>414</v>
      </c>
      <c r="J280" s="14">
        <v>500</v>
      </c>
      <c r="K280" t="s">
        <v>886</v>
      </c>
      <c r="L280">
        <v>500</v>
      </c>
      <c r="M280">
        <v>0</v>
      </c>
      <c r="N280" s="10" t="s">
        <v>416</v>
      </c>
    </row>
    <row r="281" spans="2:14" ht="33" customHeight="1" x14ac:dyDescent="0.3"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 t="s">
        <v>417</v>
      </c>
      <c r="I281" s="15" t="s">
        <v>417</v>
      </c>
      <c r="J281" s="14">
        <v>0</v>
      </c>
      <c r="K281">
        <v>0</v>
      </c>
      <c r="L281">
        <v>0</v>
      </c>
      <c r="M281">
        <v>0</v>
      </c>
      <c r="N281" s="10">
        <v>0</v>
      </c>
    </row>
    <row r="282" spans="2:14" ht="33" customHeight="1" x14ac:dyDescent="0.3">
      <c r="B282" s="14" t="s">
        <v>430</v>
      </c>
      <c r="C282" s="14" t="s">
        <v>887</v>
      </c>
      <c r="D282" s="14" t="s">
        <v>888</v>
      </c>
      <c r="E282" s="14" t="s">
        <v>889</v>
      </c>
      <c r="F282" s="14" t="s">
        <v>890</v>
      </c>
      <c r="G282" s="14" t="s">
        <v>137</v>
      </c>
      <c r="H282" s="14" t="s">
        <v>460</v>
      </c>
      <c r="I282" s="15" t="s">
        <v>821</v>
      </c>
      <c r="J282" s="14">
        <v>223</v>
      </c>
      <c r="K282" t="s">
        <v>891</v>
      </c>
      <c r="L282">
        <v>223</v>
      </c>
      <c r="M282">
        <v>0</v>
      </c>
      <c r="N282" s="10" t="s">
        <v>443</v>
      </c>
    </row>
    <row r="283" spans="2:14" ht="33" customHeight="1" x14ac:dyDescent="0.3">
      <c r="B283" s="14" t="s">
        <v>430</v>
      </c>
      <c r="C283" s="14" t="s">
        <v>887</v>
      </c>
      <c r="D283" s="14">
        <v>0</v>
      </c>
      <c r="E283" s="14">
        <v>0</v>
      </c>
      <c r="F283" s="14" t="s">
        <v>890</v>
      </c>
      <c r="G283" s="14" t="s">
        <v>137</v>
      </c>
      <c r="H283" s="14" t="s">
        <v>460</v>
      </c>
      <c r="I283" s="15" t="s">
        <v>821</v>
      </c>
      <c r="J283" s="14">
        <v>1977</v>
      </c>
      <c r="K283" t="s">
        <v>891</v>
      </c>
      <c r="L283">
        <v>0</v>
      </c>
      <c r="M283">
        <v>1977</v>
      </c>
      <c r="N283" s="10" t="s">
        <v>452</v>
      </c>
    </row>
    <row r="284" spans="2:14" ht="33" customHeight="1" x14ac:dyDescent="0.3">
      <c r="B284" s="14" t="s">
        <v>430</v>
      </c>
      <c r="C284" s="14" t="s">
        <v>887</v>
      </c>
      <c r="D284" s="14">
        <v>0</v>
      </c>
      <c r="E284" s="14">
        <v>0</v>
      </c>
      <c r="F284" s="14" t="s">
        <v>890</v>
      </c>
      <c r="G284" s="14" t="s">
        <v>129</v>
      </c>
      <c r="H284" s="14" t="s">
        <v>477</v>
      </c>
      <c r="I284" s="15" t="s">
        <v>821</v>
      </c>
      <c r="J284" s="14">
        <v>2100</v>
      </c>
      <c r="K284" t="s">
        <v>892</v>
      </c>
      <c r="L284">
        <v>0</v>
      </c>
      <c r="M284">
        <v>2100</v>
      </c>
      <c r="N284" s="10" t="s">
        <v>462</v>
      </c>
    </row>
    <row r="285" spans="2:14" ht="33" customHeight="1" x14ac:dyDescent="0.3">
      <c r="B285" s="14" t="s">
        <v>430</v>
      </c>
      <c r="C285" s="14" t="s">
        <v>887</v>
      </c>
      <c r="D285" s="14">
        <v>0</v>
      </c>
      <c r="E285" s="14">
        <v>0</v>
      </c>
      <c r="F285" s="14" t="s">
        <v>893</v>
      </c>
      <c r="G285" s="14" t="s">
        <v>266</v>
      </c>
      <c r="H285" s="14" t="s">
        <v>562</v>
      </c>
      <c r="I285" s="15" t="s">
        <v>821</v>
      </c>
      <c r="J285" s="14">
        <v>399</v>
      </c>
      <c r="K285" t="s">
        <v>894</v>
      </c>
      <c r="L285">
        <v>399</v>
      </c>
      <c r="M285">
        <v>0</v>
      </c>
      <c r="N285" s="10" t="s">
        <v>443</v>
      </c>
    </row>
    <row r="286" spans="2:14" ht="33" customHeight="1" x14ac:dyDescent="0.3">
      <c r="B286" s="14" t="s">
        <v>430</v>
      </c>
      <c r="C286" s="14" t="s">
        <v>887</v>
      </c>
      <c r="D286" s="14">
        <v>0</v>
      </c>
      <c r="E286" s="14">
        <v>0</v>
      </c>
      <c r="F286" s="14" t="s">
        <v>895</v>
      </c>
      <c r="G286" s="14" t="s">
        <v>266</v>
      </c>
      <c r="H286" s="14" t="s">
        <v>562</v>
      </c>
      <c r="I286" s="15" t="s">
        <v>821</v>
      </c>
      <c r="J286" s="14">
        <v>301</v>
      </c>
      <c r="K286" t="s">
        <v>894</v>
      </c>
      <c r="L286">
        <v>301</v>
      </c>
      <c r="M286">
        <v>0</v>
      </c>
      <c r="N286" s="10" t="s">
        <v>443</v>
      </c>
    </row>
    <row r="287" spans="2:14" ht="33" customHeight="1" x14ac:dyDescent="0.3">
      <c r="B287" s="14" t="s">
        <v>430</v>
      </c>
      <c r="C287" s="14" t="s">
        <v>887</v>
      </c>
      <c r="D287" s="14">
        <v>0</v>
      </c>
      <c r="E287" s="14">
        <v>0</v>
      </c>
      <c r="F287" s="14">
        <v>0</v>
      </c>
      <c r="G287" s="14" t="s">
        <v>340</v>
      </c>
      <c r="H287" s="14" t="s">
        <v>468</v>
      </c>
      <c r="I287" s="15" t="s">
        <v>821</v>
      </c>
      <c r="J287" s="14">
        <v>1000</v>
      </c>
      <c r="K287" t="s">
        <v>896</v>
      </c>
      <c r="L287">
        <v>0</v>
      </c>
      <c r="M287">
        <v>1000</v>
      </c>
      <c r="N287" s="10" t="s">
        <v>462</v>
      </c>
    </row>
    <row r="288" spans="2:14" ht="33" customHeight="1" x14ac:dyDescent="0.3">
      <c r="B288" s="14" t="s">
        <v>430</v>
      </c>
      <c r="C288" s="14" t="s">
        <v>887</v>
      </c>
      <c r="D288" s="14">
        <v>0</v>
      </c>
      <c r="E288" s="14">
        <v>0</v>
      </c>
      <c r="F288" s="14" t="s">
        <v>897</v>
      </c>
      <c r="G288" s="14" t="s">
        <v>357</v>
      </c>
      <c r="H288" s="14" t="s">
        <v>713</v>
      </c>
      <c r="I288" s="15" t="s">
        <v>414</v>
      </c>
      <c r="J288" s="14">
        <v>1500</v>
      </c>
      <c r="K288" t="s">
        <v>898</v>
      </c>
      <c r="L288">
        <v>0</v>
      </c>
      <c r="M288">
        <v>1000</v>
      </c>
      <c r="N288" s="10" t="s">
        <v>452</v>
      </c>
    </row>
    <row r="289" spans="2:14" ht="33" customHeight="1" x14ac:dyDescent="0.3">
      <c r="B289" s="14" t="s">
        <v>430</v>
      </c>
      <c r="C289" s="14" t="s">
        <v>887</v>
      </c>
      <c r="D289" s="14">
        <v>0</v>
      </c>
      <c r="E289" s="14">
        <v>0</v>
      </c>
      <c r="F289" s="14" t="s">
        <v>899</v>
      </c>
      <c r="G289" s="14" t="s">
        <v>366</v>
      </c>
      <c r="H289" s="14" t="s">
        <v>686</v>
      </c>
      <c r="I289" s="15" t="s">
        <v>414</v>
      </c>
      <c r="J289" s="14">
        <v>300</v>
      </c>
      <c r="K289" t="s">
        <v>778</v>
      </c>
      <c r="L289">
        <v>300</v>
      </c>
      <c r="M289">
        <v>0</v>
      </c>
      <c r="N289" s="10" t="s">
        <v>443</v>
      </c>
    </row>
    <row r="290" spans="2:14" ht="33" customHeight="1" x14ac:dyDescent="0.3">
      <c r="B290" s="14" t="s">
        <v>900</v>
      </c>
      <c r="C290" s="14" t="s">
        <v>887</v>
      </c>
      <c r="D290" s="14">
        <v>0</v>
      </c>
      <c r="E290" s="14">
        <v>0</v>
      </c>
      <c r="F290" s="14" t="s">
        <v>901</v>
      </c>
      <c r="G290" s="14" t="s">
        <v>300</v>
      </c>
      <c r="H290" s="14" t="s">
        <v>677</v>
      </c>
      <c r="I290" s="15" t="s">
        <v>821</v>
      </c>
      <c r="J290" s="14">
        <v>500</v>
      </c>
      <c r="K290" t="s">
        <v>902</v>
      </c>
      <c r="L290">
        <v>500</v>
      </c>
      <c r="M290">
        <v>0</v>
      </c>
      <c r="N290" s="10" t="s">
        <v>903</v>
      </c>
    </row>
    <row r="291" spans="2:14" ht="33" customHeight="1" x14ac:dyDescent="0.3"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 t="s">
        <v>417</v>
      </c>
      <c r="I291" s="15" t="s">
        <v>417</v>
      </c>
      <c r="J291" s="14">
        <v>0</v>
      </c>
      <c r="K291">
        <v>0</v>
      </c>
      <c r="L291">
        <v>0</v>
      </c>
      <c r="M291">
        <v>0</v>
      </c>
      <c r="N291" s="10">
        <v>0</v>
      </c>
    </row>
    <row r="292" spans="2:14" ht="33" customHeight="1" x14ac:dyDescent="0.3">
      <c r="B292" s="14" t="s">
        <v>530</v>
      </c>
      <c r="C292" s="14" t="s">
        <v>904</v>
      </c>
      <c r="D292" s="14">
        <v>0</v>
      </c>
      <c r="E292" s="14" t="s">
        <v>905</v>
      </c>
      <c r="F292" s="14">
        <v>0</v>
      </c>
      <c r="G292" s="14" t="s">
        <v>906</v>
      </c>
      <c r="H292" s="14" t="s">
        <v>460</v>
      </c>
      <c r="I292" s="15" t="s">
        <v>537</v>
      </c>
      <c r="J292" s="14">
        <v>552</v>
      </c>
      <c r="K292" t="s">
        <v>907</v>
      </c>
      <c r="L292">
        <v>552</v>
      </c>
      <c r="M292">
        <v>0</v>
      </c>
      <c r="N292" s="10" t="s">
        <v>416</v>
      </c>
    </row>
    <row r="293" spans="2:14" ht="33" customHeight="1" x14ac:dyDescent="0.3">
      <c r="B293" s="14" t="s">
        <v>530</v>
      </c>
      <c r="C293" s="14" t="s">
        <v>904</v>
      </c>
      <c r="D293" s="14">
        <v>0</v>
      </c>
      <c r="E293" s="14">
        <v>0</v>
      </c>
      <c r="F293" s="14">
        <v>0</v>
      </c>
      <c r="G293" s="14" t="s">
        <v>908</v>
      </c>
      <c r="H293" s="14" t="s">
        <v>567</v>
      </c>
      <c r="I293" s="15" t="s">
        <v>537</v>
      </c>
      <c r="J293" s="14">
        <v>144</v>
      </c>
      <c r="K293" t="s">
        <v>909</v>
      </c>
      <c r="L293">
        <v>144</v>
      </c>
      <c r="M293">
        <v>0</v>
      </c>
      <c r="N293" s="10" t="s">
        <v>416</v>
      </c>
    </row>
    <row r="294" spans="2:14" ht="33" customHeight="1" x14ac:dyDescent="0.3">
      <c r="B294" s="14" t="s">
        <v>530</v>
      </c>
      <c r="C294" s="14" t="s">
        <v>904</v>
      </c>
      <c r="D294" s="14">
        <v>0</v>
      </c>
      <c r="E294" s="14">
        <v>0</v>
      </c>
      <c r="F294" s="14">
        <v>0</v>
      </c>
      <c r="G294" s="14" t="s">
        <v>910</v>
      </c>
      <c r="H294" s="14" t="s">
        <v>584</v>
      </c>
      <c r="I294" s="15" t="s">
        <v>537</v>
      </c>
      <c r="J294" s="14">
        <v>72</v>
      </c>
      <c r="K294" t="s">
        <v>911</v>
      </c>
      <c r="L294">
        <v>72</v>
      </c>
      <c r="M294">
        <v>0</v>
      </c>
      <c r="N294" s="10" t="s">
        <v>416</v>
      </c>
    </row>
    <row r="295" spans="2:14" ht="33" customHeight="1" x14ac:dyDescent="0.3">
      <c r="B295" s="14" t="s">
        <v>530</v>
      </c>
      <c r="C295" s="14" t="s">
        <v>904</v>
      </c>
      <c r="D295" s="14">
        <v>0</v>
      </c>
      <c r="E295" s="14">
        <v>0</v>
      </c>
      <c r="F295" s="14">
        <v>0</v>
      </c>
      <c r="G295" s="14" t="s">
        <v>912</v>
      </c>
      <c r="H295" s="14" t="s">
        <v>913</v>
      </c>
      <c r="I295" s="15" t="s">
        <v>414</v>
      </c>
      <c r="J295" s="14">
        <v>48</v>
      </c>
      <c r="K295" t="s">
        <v>914</v>
      </c>
      <c r="L295">
        <v>48</v>
      </c>
      <c r="M295">
        <v>0</v>
      </c>
      <c r="N295" s="10" t="s">
        <v>416</v>
      </c>
    </row>
    <row r="296" spans="2:14" ht="33" customHeight="1" x14ac:dyDescent="0.3"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 t="s">
        <v>417</v>
      </c>
      <c r="I296" s="15" t="s">
        <v>417</v>
      </c>
      <c r="J296" s="14">
        <v>0</v>
      </c>
      <c r="K296">
        <v>0</v>
      </c>
      <c r="L296">
        <v>0</v>
      </c>
      <c r="M296">
        <v>0</v>
      </c>
      <c r="N296" s="10">
        <v>0</v>
      </c>
    </row>
    <row r="297" spans="2:14" ht="33" customHeight="1" x14ac:dyDescent="0.3">
      <c r="B297" s="14" t="s">
        <v>530</v>
      </c>
      <c r="C297" s="14" t="s">
        <v>915</v>
      </c>
      <c r="D297" s="14">
        <v>0</v>
      </c>
      <c r="E297" s="14" t="s">
        <v>916</v>
      </c>
      <c r="F297" s="14">
        <v>0</v>
      </c>
      <c r="G297" s="14" t="s">
        <v>917</v>
      </c>
      <c r="H297" s="14" t="s">
        <v>599</v>
      </c>
      <c r="I297" s="15" t="s">
        <v>537</v>
      </c>
      <c r="J297" s="14">
        <v>48</v>
      </c>
      <c r="K297" t="s">
        <v>918</v>
      </c>
      <c r="L297">
        <v>48</v>
      </c>
      <c r="M297">
        <v>0</v>
      </c>
      <c r="N297" s="10" t="s">
        <v>416</v>
      </c>
    </row>
    <row r="298" spans="2:14" ht="33" customHeight="1" x14ac:dyDescent="0.3">
      <c r="B298" s="14" t="s">
        <v>530</v>
      </c>
      <c r="C298" s="14" t="s">
        <v>915</v>
      </c>
      <c r="D298" s="14">
        <v>0</v>
      </c>
      <c r="E298" s="14">
        <v>0</v>
      </c>
      <c r="F298" s="14">
        <v>0</v>
      </c>
      <c r="G298" s="14" t="s">
        <v>919</v>
      </c>
      <c r="H298" s="14" t="s">
        <v>679</v>
      </c>
      <c r="I298" s="15" t="s">
        <v>537</v>
      </c>
      <c r="J298" s="14">
        <v>96</v>
      </c>
      <c r="K298" t="s">
        <v>920</v>
      </c>
      <c r="L298">
        <v>96</v>
      </c>
      <c r="M298">
        <v>0</v>
      </c>
      <c r="N298" s="10" t="s">
        <v>416</v>
      </c>
    </row>
    <row r="299" spans="2:14" ht="33" customHeight="1" x14ac:dyDescent="0.3">
      <c r="B299" s="14" t="s">
        <v>530</v>
      </c>
      <c r="C299" s="14" t="s">
        <v>915</v>
      </c>
      <c r="D299" s="14">
        <v>0</v>
      </c>
      <c r="E299" s="14">
        <v>0</v>
      </c>
      <c r="F299" s="14">
        <v>0</v>
      </c>
      <c r="G299" s="14" t="s">
        <v>921</v>
      </c>
      <c r="H299" s="14" t="s">
        <v>465</v>
      </c>
      <c r="I299" s="15" t="s">
        <v>537</v>
      </c>
      <c r="J299" s="14">
        <v>228</v>
      </c>
      <c r="K299" t="s">
        <v>922</v>
      </c>
      <c r="L299">
        <v>228</v>
      </c>
      <c r="M299">
        <v>0</v>
      </c>
      <c r="N299" s="10" t="s">
        <v>416</v>
      </c>
    </row>
    <row r="300" spans="2:14" ht="33" customHeight="1" x14ac:dyDescent="0.3"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 t="s">
        <v>417</v>
      </c>
      <c r="I300" s="15" t="s">
        <v>417</v>
      </c>
      <c r="J300" s="14">
        <v>0</v>
      </c>
      <c r="K300">
        <v>0</v>
      </c>
      <c r="L300">
        <v>0</v>
      </c>
      <c r="M300">
        <v>0</v>
      </c>
      <c r="N300" s="10">
        <v>0</v>
      </c>
    </row>
    <row r="301" spans="2:14" ht="33" customHeight="1" x14ac:dyDescent="0.3">
      <c r="B301" s="14" t="s">
        <v>530</v>
      </c>
      <c r="C301" s="14" t="s">
        <v>923</v>
      </c>
      <c r="D301" s="14">
        <v>0</v>
      </c>
      <c r="E301" s="14" t="s">
        <v>924</v>
      </c>
      <c r="F301" s="14" t="s">
        <v>925</v>
      </c>
      <c r="G301" s="14" t="s">
        <v>535</v>
      </c>
      <c r="H301" s="14" t="s">
        <v>536</v>
      </c>
      <c r="I301" s="15" t="s">
        <v>537</v>
      </c>
      <c r="J301" s="14">
        <v>600</v>
      </c>
      <c r="K301" t="s">
        <v>538</v>
      </c>
      <c r="L301">
        <v>600</v>
      </c>
      <c r="M301">
        <v>0</v>
      </c>
      <c r="N301" s="10" t="s">
        <v>416</v>
      </c>
    </row>
    <row r="302" spans="2:14" ht="33" customHeight="1" x14ac:dyDescent="0.3">
      <c r="B302" s="14" t="s">
        <v>530</v>
      </c>
      <c r="C302" s="14" t="s">
        <v>923</v>
      </c>
      <c r="D302" s="14">
        <v>0</v>
      </c>
      <c r="E302" s="14">
        <v>0</v>
      </c>
      <c r="F302" s="14">
        <v>0</v>
      </c>
      <c r="G302" s="14" t="s">
        <v>917</v>
      </c>
      <c r="H302" s="14" t="s">
        <v>599</v>
      </c>
      <c r="I302" s="15" t="s">
        <v>537</v>
      </c>
      <c r="J302" s="14">
        <v>24</v>
      </c>
      <c r="K302" t="s">
        <v>918</v>
      </c>
      <c r="L302">
        <v>24</v>
      </c>
      <c r="M302">
        <v>0</v>
      </c>
      <c r="N302" s="10" t="s">
        <v>416</v>
      </c>
    </row>
    <row r="303" spans="2:14" ht="33" customHeight="1" x14ac:dyDescent="0.3">
      <c r="B303" s="14" t="s">
        <v>530</v>
      </c>
      <c r="C303" s="14" t="s">
        <v>923</v>
      </c>
      <c r="D303" s="14">
        <v>0</v>
      </c>
      <c r="E303" s="14">
        <v>0</v>
      </c>
      <c r="F303" s="14">
        <v>0</v>
      </c>
      <c r="G303" s="14" t="s">
        <v>919</v>
      </c>
      <c r="H303" s="14" t="s">
        <v>679</v>
      </c>
      <c r="I303" s="15" t="s">
        <v>537</v>
      </c>
      <c r="J303" s="14">
        <v>96</v>
      </c>
      <c r="K303" t="s">
        <v>920</v>
      </c>
      <c r="L303">
        <v>96</v>
      </c>
      <c r="M303">
        <v>0</v>
      </c>
      <c r="N303" s="10" t="s">
        <v>416</v>
      </c>
    </row>
    <row r="304" spans="2:14" ht="33" customHeight="1" x14ac:dyDescent="0.3">
      <c r="B304" s="14" t="s">
        <v>530</v>
      </c>
      <c r="C304" s="14" t="s">
        <v>923</v>
      </c>
      <c r="D304" s="14">
        <v>0</v>
      </c>
      <c r="E304" s="14">
        <v>0</v>
      </c>
      <c r="F304" s="14">
        <v>0</v>
      </c>
      <c r="G304" s="14" t="s">
        <v>921</v>
      </c>
      <c r="H304" s="14" t="s">
        <v>465</v>
      </c>
      <c r="I304" s="15" t="s">
        <v>537</v>
      </c>
      <c r="J304" s="14">
        <v>228</v>
      </c>
      <c r="K304" t="s">
        <v>922</v>
      </c>
      <c r="L304">
        <v>228</v>
      </c>
      <c r="M304">
        <v>0</v>
      </c>
      <c r="N304" s="10" t="s">
        <v>416</v>
      </c>
    </row>
    <row r="305" spans="2:14" ht="33" customHeight="1" x14ac:dyDescent="0.3"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 t="s">
        <v>417</v>
      </c>
      <c r="I305" s="15" t="s">
        <v>417</v>
      </c>
      <c r="J305" s="14">
        <v>0</v>
      </c>
      <c r="K305">
        <v>0</v>
      </c>
      <c r="L305">
        <v>0</v>
      </c>
      <c r="M305">
        <v>0</v>
      </c>
      <c r="N305" s="10">
        <v>0</v>
      </c>
    </row>
    <row r="306" spans="2:14" ht="33" customHeight="1" x14ac:dyDescent="0.3">
      <c r="B306" s="14" t="s">
        <v>926</v>
      </c>
      <c r="C306" s="14" t="s">
        <v>927</v>
      </c>
      <c r="D306" s="14">
        <v>0</v>
      </c>
      <c r="E306" s="14" t="s">
        <v>928</v>
      </c>
      <c r="F306" s="14" t="s">
        <v>929</v>
      </c>
      <c r="G306" s="14" t="s">
        <v>930</v>
      </c>
      <c r="H306" s="14" t="s">
        <v>931</v>
      </c>
      <c r="I306" s="15" t="s">
        <v>932</v>
      </c>
      <c r="J306" s="14">
        <v>528</v>
      </c>
      <c r="K306" t="s">
        <v>933</v>
      </c>
      <c r="L306">
        <v>528</v>
      </c>
      <c r="M306">
        <v>0</v>
      </c>
      <c r="N306" s="10" t="s">
        <v>903</v>
      </c>
    </row>
    <row r="307" spans="2:14" ht="33" customHeight="1" x14ac:dyDescent="0.3">
      <c r="B307" s="14" t="s">
        <v>926</v>
      </c>
      <c r="C307" s="14" t="s">
        <v>927</v>
      </c>
      <c r="D307" s="14">
        <v>0</v>
      </c>
      <c r="E307" s="14">
        <v>0</v>
      </c>
      <c r="F307" s="14" t="s">
        <v>934</v>
      </c>
      <c r="G307" s="14" t="s">
        <v>535</v>
      </c>
      <c r="H307" s="14" t="s">
        <v>536</v>
      </c>
      <c r="I307" s="15" t="s">
        <v>537</v>
      </c>
      <c r="J307" s="14">
        <v>576</v>
      </c>
      <c r="K307" t="s">
        <v>538</v>
      </c>
      <c r="L307">
        <v>576</v>
      </c>
      <c r="M307">
        <v>0</v>
      </c>
      <c r="N307" s="10" t="s">
        <v>443</v>
      </c>
    </row>
    <row r="308" spans="2:14" ht="33" customHeight="1" x14ac:dyDescent="0.3">
      <c r="B308" s="14" t="s">
        <v>926</v>
      </c>
      <c r="C308" s="14" t="s">
        <v>927</v>
      </c>
      <c r="D308" s="14">
        <v>0</v>
      </c>
      <c r="E308" s="14">
        <v>0</v>
      </c>
      <c r="F308" s="14">
        <v>0</v>
      </c>
      <c r="G308" s="14" t="s">
        <v>935</v>
      </c>
      <c r="H308" s="14" t="s">
        <v>477</v>
      </c>
      <c r="I308" s="15" t="s">
        <v>537</v>
      </c>
      <c r="J308" s="14">
        <v>120</v>
      </c>
      <c r="K308" t="s">
        <v>936</v>
      </c>
      <c r="L308">
        <v>120</v>
      </c>
      <c r="M308">
        <v>0</v>
      </c>
      <c r="N308" s="10" t="s">
        <v>443</v>
      </c>
    </row>
    <row r="309" spans="2:14" ht="33" customHeight="1" x14ac:dyDescent="0.3"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 t="s">
        <v>417</v>
      </c>
      <c r="I309" s="15" t="s">
        <v>417</v>
      </c>
      <c r="J309" s="14">
        <v>0</v>
      </c>
      <c r="K309">
        <v>0</v>
      </c>
      <c r="L309">
        <v>0</v>
      </c>
      <c r="M309">
        <v>0</v>
      </c>
      <c r="N309" s="10">
        <v>0</v>
      </c>
    </row>
    <row r="310" spans="2:14" ht="33" customHeight="1" x14ac:dyDescent="0.3">
      <c r="B310" s="14" t="s">
        <v>410</v>
      </c>
      <c r="C310" s="14" t="s">
        <v>937</v>
      </c>
      <c r="D310" s="14" t="s">
        <v>938</v>
      </c>
      <c r="E310" s="14" t="s">
        <v>939</v>
      </c>
      <c r="F310" s="14">
        <v>0</v>
      </c>
      <c r="G310" s="14" t="s">
        <v>366</v>
      </c>
      <c r="H310" s="14" t="s">
        <v>686</v>
      </c>
      <c r="I310" s="15" t="s">
        <v>414</v>
      </c>
      <c r="J310" s="14">
        <v>192</v>
      </c>
      <c r="K310" t="s">
        <v>778</v>
      </c>
      <c r="L310">
        <v>192</v>
      </c>
      <c r="M310">
        <v>0</v>
      </c>
      <c r="N310" s="10" t="s">
        <v>416</v>
      </c>
    </row>
    <row r="311" spans="2:14" ht="33" customHeight="1" x14ac:dyDescent="0.3"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 t="s">
        <v>417</v>
      </c>
      <c r="I311" s="15" t="s">
        <v>417</v>
      </c>
      <c r="J311" s="14">
        <v>0</v>
      </c>
      <c r="K311">
        <v>0</v>
      </c>
      <c r="L311">
        <v>0</v>
      </c>
      <c r="M311">
        <v>0</v>
      </c>
      <c r="N311" s="10">
        <v>0</v>
      </c>
    </row>
    <row r="312" spans="2:14" ht="33" customHeight="1" x14ac:dyDescent="0.3">
      <c r="B312" s="14" t="s">
        <v>733</v>
      </c>
      <c r="C312" s="14" t="s">
        <v>940</v>
      </c>
      <c r="D312" s="14" t="s">
        <v>941</v>
      </c>
      <c r="E312" s="14" t="s">
        <v>942</v>
      </c>
      <c r="F312" s="14" t="s">
        <v>943</v>
      </c>
      <c r="G312" s="14" t="s">
        <v>944</v>
      </c>
      <c r="H312" s="14" t="s">
        <v>481</v>
      </c>
      <c r="I312" s="15" t="s">
        <v>737</v>
      </c>
      <c r="J312" s="14">
        <v>1057</v>
      </c>
      <c r="K312" t="s">
        <v>945</v>
      </c>
      <c r="L312">
        <v>1057</v>
      </c>
      <c r="M312">
        <v>0</v>
      </c>
      <c r="N312" s="10" t="s">
        <v>443</v>
      </c>
    </row>
    <row r="313" spans="2:14" ht="33" customHeight="1" x14ac:dyDescent="0.3">
      <c r="B313" s="14" t="s">
        <v>733</v>
      </c>
      <c r="C313" s="14" t="s">
        <v>940</v>
      </c>
      <c r="D313" s="14" t="s">
        <v>518</v>
      </c>
      <c r="E313" s="14">
        <v>0</v>
      </c>
      <c r="F313" s="14" t="s">
        <v>946</v>
      </c>
      <c r="G313" s="14" t="s">
        <v>947</v>
      </c>
      <c r="H313" s="14" t="s">
        <v>445</v>
      </c>
      <c r="I313" s="15" t="s">
        <v>737</v>
      </c>
      <c r="J313" s="14">
        <v>2100</v>
      </c>
      <c r="K313" t="s">
        <v>948</v>
      </c>
      <c r="L313">
        <v>2100</v>
      </c>
      <c r="M313">
        <v>0</v>
      </c>
      <c r="N313" s="10" t="s">
        <v>443</v>
      </c>
    </row>
    <row r="314" spans="2:14" ht="33" customHeight="1" x14ac:dyDescent="0.3">
      <c r="B314" s="14" t="s">
        <v>733</v>
      </c>
      <c r="C314" s="14" t="s">
        <v>940</v>
      </c>
      <c r="D314" s="14" t="s">
        <v>518</v>
      </c>
      <c r="E314" s="14">
        <v>0</v>
      </c>
      <c r="F314" s="14" t="s">
        <v>949</v>
      </c>
      <c r="G314" s="14" t="s">
        <v>950</v>
      </c>
      <c r="H314" s="14" t="s">
        <v>460</v>
      </c>
      <c r="I314" s="15" t="s">
        <v>737</v>
      </c>
      <c r="J314" s="14">
        <v>570</v>
      </c>
      <c r="K314" t="s">
        <v>951</v>
      </c>
      <c r="L314">
        <v>570</v>
      </c>
      <c r="M314">
        <v>0</v>
      </c>
      <c r="N314" s="10" t="s">
        <v>443</v>
      </c>
    </row>
    <row r="315" spans="2:14" ht="33" customHeight="1" x14ac:dyDescent="0.3">
      <c r="B315" s="14" t="s">
        <v>733</v>
      </c>
      <c r="C315" s="14" t="s">
        <v>940</v>
      </c>
      <c r="D315" s="14" t="s">
        <v>518</v>
      </c>
      <c r="E315" s="14">
        <v>0</v>
      </c>
      <c r="F315" s="14" t="s">
        <v>949</v>
      </c>
      <c r="G315" s="14" t="s">
        <v>950</v>
      </c>
      <c r="H315" s="14" t="s">
        <v>460</v>
      </c>
      <c r="I315" s="15" t="s">
        <v>737</v>
      </c>
      <c r="J315" s="14">
        <v>3750</v>
      </c>
      <c r="K315" t="s">
        <v>951</v>
      </c>
      <c r="L315">
        <v>3750</v>
      </c>
      <c r="M315">
        <v>0</v>
      </c>
      <c r="N315" s="10" t="s">
        <v>443</v>
      </c>
    </row>
    <row r="316" spans="2:14" ht="33" customHeight="1" x14ac:dyDescent="0.3">
      <c r="B316" s="14" t="s">
        <v>733</v>
      </c>
      <c r="C316" s="14" t="s">
        <v>940</v>
      </c>
      <c r="D316" s="14" t="s">
        <v>518</v>
      </c>
      <c r="E316" s="14">
        <v>0</v>
      </c>
      <c r="F316" s="14" t="s">
        <v>952</v>
      </c>
      <c r="G316" s="14" t="s">
        <v>407</v>
      </c>
      <c r="H316" s="14" t="s">
        <v>471</v>
      </c>
      <c r="I316" s="15" t="s">
        <v>737</v>
      </c>
      <c r="J316" s="14">
        <v>516</v>
      </c>
      <c r="K316" t="s">
        <v>953</v>
      </c>
      <c r="L316">
        <v>516</v>
      </c>
      <c r="M316">
        <v>0</v>
      </c>
      <c r="N316" s="10" t="s">
        <v>443</v>
      </c>
    </row>
    <row r="317" spans="2:14" ht="33" customHeight="1" x14ac:dyDescent="0.3">
      <c r="B317" s="14" t="s">
        <v>733</v>
      </c>
      <c r="C317" s="14" t="s">
        <v>940</v>
      </c>
      <c r="D317" s="14">
        <v>0</v>
      </c>
      <c r="E317" s="14">
        <v>0</v>
      </c>
      <c r="F317" s="14" t="s">
        <v>954</v>
      </c>
      <c r="G317" s="14" t="s">
        <v>407</v>
      </c>
      <c r="H317" s="14" t="s">
        <v>471</v>
      </c>
      <c r="I317" s="15" t="s">
        <v>737</v>
      </c>
      <c r="J317" s="14">
        <v>261</v>
      </c>
      <c r="K317" t="s">
        <v>953</v>
      </c>
      <c r="L317">
        <v>261</v>
      </c>
      <c r="M317">
        <v>0</v>
      </c>
      <c r="N317" s="10" t="s">
        <v>443</v>
      </c>
    </row>
    <row r="318" spans="2:14" ht="33" customHeight="1" x14ac:dyDescent="0.3">
      <c r="B318" s="14" t="s">
        <v>733</v>
      </c>
      <c r="C318" s="14" t="s">
        <v>940</v>
      </c>
      <c r="D318" s="14" t="s">
        <v>518</v>
      </c>
      <c r="E318" s="14">
        <v>0</v>
      </c>
      <c r="F318" s="14">
        <v>0</v>
      </c>
      <c r="G318" s="14" t="s">
        <v>955</v>
      </c>
      <c r="H318" s="14" t="s">
        <v>477</v>
      </c>
      <c r="I318" s="15" t="s">
        <v>737</v>
      </c>
      <c r="J318" s="14">
        <v>1680</v>
      </c>
      <c r="K318" t="s">
        <v>956</v>
      </c>
      <c r="L318">
        <v>1680</v>
      </c>
      <c r="M318">
        <v>0</v>
      </c>
      <c r="N318" s="10" t="s">
        <v>443</v>
      </c>
    </row>
    <row r="319" spans="2:14" ht="33" customHeight="1" x14ac:dyDescent="0.3">
      <c r="B319" s="14" t="s">
        <v>733</v>
      </c>
      <c r="C319" s="14" t="s">
        <v>940</v>
      </c>
      <c r="D319" s="14" t="s">
        <v>957</v>
      </c>
      <c r="E319" s="14">
        <v>0</v>
      </c>
      <c r="F319" s="14" t="s">
        <v>946</v>
      </c>
      <c r="G319" s="14" t="s">
        <v>254</v>
      </c>
      <c r="H319" s="14" t="s">
        <v>855</v>
      </c>
      <c r="I319" s="15" t="s">
        <v>958</v>
      </c>
      <c r="J319" s="14">
        <v>840</v>
      </c>
      <c r="K319" t="s">
        <v>959</v>
      </c>
      <c r="L319">
        <v>840</v>
      </c>
      <c r="M319">
        <v>0</v>
      </c>
      <c r="N319" s="10" t="s">
        <v>443</v>
      </c>
    </row>
    <row r="320" spans="2:14" ht="33" customHeight="1" x14ac:dyDescent="0.3">
      <c r="B320" s="14" t="s">
        <v>733</v>
      </c>
      <c r="C320" s="14" t="s">
        <v>940</v>
      </c>
      <c r="D320" s="14" t="s">
        <v>518</v>
      </c>
      <c r="E320" s="14">
        <v>0</v>
      </c>
      <c r="F320" s="14" t="s">
        <v>960</v>
      </c>
      <c r="G320" s="14" t="s">
        <v>961</v>
      </c>
      <c r="H320" s="14" t="s">
        <v>479</v>
      </c>
      <c r="I320" s="15" t="s">
        <v>737</v>
      </c>
      <c r="J320" s="14">
        <v>840</v>
      </c>
      <c r="K320" t="s">
        <v>962</v>
      </c>
      <c r="L320">
        <v>840</v>
      </c>
      <c r="M320">
        <v>0</v>
      </c>
      <c r="N320" s="10" t="s">
        <v>443</v>
      </c>
    </row>
    <row r="321" spans="2:14" ht="33" customHeight="1" x14ac:dyDescent="0.3">
      <c r="B321" s="14" t="s">
        <v>733</v>
      </c>
      <c r="C321" s="14" t="s">
        <v>940</v>
      </c>
      <c r="D321" s="14" t="s">
        <v>518</v>
      </c>
      <c r="E321" s="14">
        <v>0</v>
      </c>
      <c r="F321" s="14" t="s">
        <v>963</v>
      </c>
      <c r="G321" s="14" t="s">
        <v>964</v>
      </c>
      <c r="H321" s="14" t="s">
        <v>623</v>
      </c>
      <c r="I321" s="15" t="s">
        <v>737</v>
      </c>
      <c r="J321" s="14">
        <v>1050</v>
      </c>
      <c r="K321" t="s">
        <v>965</v>
      </c>
      <c r="L321">
        <v>1050</v>
      </c>
      <c r="M321">
        <v>0</v>
      </c>
      <c r="N321" s="10" t="s">
        <v>443</v>
      </c>
    </row>
    <row r="322" spans="2:14" ht="33" customHeight="1" x14ac:dyDescent="0.3">
      <c r="B322" s="14" t="s">
        <v>733</v>
      </c>
      <c r="C322" s="14" t="s">
        <v>940</v>
      </c>
      <c r="D322" s="14">
        <v>0</v>
      </c>
      <c r="E322" s="14">
        <v>0</v>
      </c>
      <c r="F322" s="14" t="s">
        <v>966</v>
      </c>
      <c r="G322" s="14" t="s">
        <v>967</v>
      </c>
      <c r="H322" s="14" t="s">
        <v>640</v>
      </c>
      <c r="I322" s="15" t="s">
        <v>737</v>
      </c>
      <c r="J322" s="14">
        <v>1050</v>
      </c>
      <c r="K322" t="s">
        <v>968</v>
      </c>
      <c r="L322">
        <v>1050</v>
      </c>
      <c r="M322">
        <v>0</v>
      </c>
      <c r="N322" s="10" t="s">
        <v>903</v>
      </c>
    </row>
    <row r="323" spans="2:14" ht="33" customHeight="1" x14ac:dyDescent="0.3"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 t="s">
        <v>417</v>
      </c>
      <c r="I323" s="15" t="s">
        <v>417</v>
      </c>
      <c r="J323" s="14">
        <v>0</v>
      </c>
      <c r="K323">
        <v>0</v>
      </c>
      <c r="L323">
        <v>0</v>
      </c>
      <c r="M323">
        <v>0</v>
      </c>
      <c r="N323" s="10">
        <v>0</v>
      </c>
    </row>
    <row r="324" spans="2:14" ht="33" customHeight="1" x14ac:dyDescent="0.3">
      <c r="B324" s="14" t="s">
        <v>733</v>
      </c>
      <c r="C324" s="14" t="s">
        <v>969</v>
      </c>
      <c r="D324" s="14">
        <v>0</v>
      </c>
      <c r="E324" s="14" t="s">
        <v>970</v>
      </c>
      <c r="F324" s="14" t="s">
        <v>971</v>
      </c>
      <c r="G324" s="14" t="s">
        <v>944</v>
      </c>
      <c r="H324" s="14" t="s">
        <v>481</v>
      </c>
      <c r="I324" s="15" t="s">
        <v>737</v>
      </c>
      <c r="J324" s="14">
        <v>2093</v>
      </c>
      <c r="K324" t="s">
        <v>972</v>
      </c>
      <c r="L324">
        <v>0</v>
      </c>
      <c r="M324">
        <v>2093</v>
      </c>
      <c r="N324" s="10" t="s">
        <v>462</v>
      </c>
    </row>
    <row r="325" spans="2:14" ht="33" customHeight="1" x14ac:dyDescent="0.3">
      <c r="B325" s="14">
        <v>0</v>
      </c>
      <c r="C325" s="14">
        <v>0</v>
      </c>
      <c r="D325" s="14">
        <v>0</v>
      </c>
      <c r="E325" s="14">
        <v>0</v>
      </c>
      <c r="F325" s="14">
        <v>0</v>
      </c>
      <c r="G325" s="14">
        <v>0</v>
      </c>
      <c r="H325" s="14" t="s">
        <v>417</v>
      </c>
      <c r="I325" s="15" t="s">
        <v>417</v>
      </c>
      <c r="J325" s="14">
        <v>0</v>
      </c>
      <c r="K325">
        <v>0</v>
      </c>
      <c r="L325">
        <v>0</v>
      </c>
      <c r="M325">
        <v>0</v>
      </c>
      <c r="N325" s="10">
        <v>0</v>
      </c>
    </row>
    <row r="326" spans="2:14" ht="33" customHeight="1" x14ac:dyDescent="0.3">
      <c r="B326" s="14" t="s">
        <v>739</v>
      </c>
      <c r="C326" s="14" t="s">
        <v>973</v>
      </c>
      <c r="D326" s="14" t="s">
        <v>974</v>
      </c>
      <c r="E326" s="14" t="s">
        <v>975</v>
      </c>
      <c r="F326" s="14" t="s">
        <v>976</v>
      </c>
      <c r="G326" s="14" t="s">
        <v>977</v>
      </c>
      <c r="H326" s="14" t="s">
        <v>978</v>
      </c>
      <c r="I326" s="15" t="s">
        <v>979</v>
      </c>
      <c r="J326" s="14">
        <v>277</v>
      </c>
      <c r="K326" t="s">
        <v>980</v>
      </c>
      <c r="L326">
        <v>277</v>
      </c>
      <c r="M326">
        <v>0</v>
      </c>
      <c r="N326" s="10" t="s">
        <v>903</v>
      </c>
    </row>
    <row r="327" spans="2:14" ht="33" customHeight="1" x14ac:dyDescent="0.3">
      <c r="B327" s="14" t="s">
        <v>739</v>
      </c>
      <c r="C327" s="14" t="s">
        <v>973</v>
      </c>
      <c r="D327" s="14" t="s">
        <v>981</v>
      </c>
      <c r="E327" s="14">
        <v>0</v>
      </c>
      <c r="F327" s="14" t="s">
        <v>982</v>
      </c>
      <c r="G327" s="14" t="s">
        <v>983</v>
      </c>
      <c r="H327" s="14" t="s">
        <v>677</v>
      </c>
      <c r="I327" s="15" t="s">
        <v>765</v>
      </c>
      <c r="J327" s="14">
        <v>1290</v>
      </c>
      <c r="K327" t="s">
        <v>984</v>
      </c>
      <c r="L327">
        <v>1290</v>
      </c>
      <c r="M327">
        <v>0</v>
      </c>
      <c r="N327" s="10" t="s">
        <v>443</v>
      </c>
    </row>
    <row r="328" spans="2:14" ht="33" customHeight="1" x14ac:dyDescent="0.3">
      <c r="B328" s="14" t="s">
        <v>739</v>
      </c>
      <c r="C328" s="14" t="s">
        <v>973</v>
      </c>
      <c r="D328" s="14">
        <v>0</v>
      </c>
      <c r="E328" s="14">
        <v>0</v>
      </c>
      <c r="F328" s="14" t="s">
        <v>985</v>
      </c>
      <c r="G328" s="14" t="s">
        <v>986</v>
      </c>
      <c r="H328" s="14" t="s">
        <v>468</v>
      </c>
      <c r="I328" s="15" t="s">
        <v>765</v>
      </c>
      <c r="J328" s="14">
        <v>270</v>
      </c>
      <c r="K328" t="s">
        <v>987</v>
      </c>
      <c r="L328">
        <v>0</v>
      </c>
      <c r="M328">
        <v>0</v>
      </c>
      <c r="N328" s="10" t="s">
        <v>462</v>
      </c>
    </row>
    <row r="329" spans="2:14" ht="33" customHeight="1" x14ac:dyDescent="0.3">
      <c r="B329" s="14" t="s">
        <v>739</v>
      </c>
      <c r="C329" s="14" t="s">
        <v>973</v>
      </c>
      <c r="D329" s="14">
        <v>0</v>
      </c>
      <c r="E329" s="14">
        <v>0</v>
      </c>
      <c r="F329" s="14" t="s">
        <v>988</v>
      </c>
      <c r="G329" s="14" t="s">
        <v>989</v>
      </c>
      <c r="H329" s="14" t="s">
        <v>445</v>
      </c>
      <c r="I329" s="15" t="s">
        <v>765</v>
      </c>
      <c r="J329" s="14">
        <v>282</v>
      </c>
      <c r="K329" t="s">
        <v>990</v>
      </c>
      <c r="L329">
        <v>0</v>
      </c>
      <c r="M329">
        <v>282</v>
      </c>
      <c r="N329" s="10" t="s">
        <v>991</v>
      </c>
    </row>
    <row r="330" spans="2:14" ht="33" customHeight="1" x14ac:dyDescent="0.3">
      <c r="B330" s="14" t="s">
        <v>739</v>
      </c>
      <c r="C330" s="14" t="s">
        <v>973</v>
      </c>
      <c r="D330" s="14">
        <v>0</v>
      </c>
      <c r="E330" s="14">
        <v>0</v>
      </c>
      <c r="F330" s="14" t="s">
        <v>988</v>
      </c>
      <c r="G330" s="14" t="s">
        <v>989</v>
      </c>
      <c r="H330" s="14" t="s">
        <v>445</v>
      </c>
      <c r="I330" s="15" t="s">
        <v>765</v>
      </c>
      <c r="J330" s="14">
        <v>354</v>
      </c>
      <c r="K330" t="s">
        <v>990</v>
      </c>
      <c r="L330">
        <v>354</v>
      </c>
      <c r="M330">
        <v>0</v>
      </c>
      <c r="N330" s="10" t="s">
        <v>443</v>
      </c>
    </row>
    <row r="331" spans="2:14" ht="33" customHeight="1" x14ac:dyDescent="0.3">
      <c r="B331" s="14" t="s">
        <v>739</v>
      </c>
      <c r="C331" s="14" t="s">
        <v>973</v>
      </c>
      <c r="D331" s="14">
        <v>0</v>
      </c>
      <c r="E331" s="14">
        <v>0</v>
      </c>
      <c r="F331" s="14" t="s">
        <v>992</v>
      </c>
      <c r="G331" s="14" t="s">
        <v>993</v>
      </c>
      <c r="H331" s="14" t="s">
        <v>481</v>
      </c>
      <c r="I331" s="15" t="s">
        <v>765</v>
      </c>
      <c r="J331" s="14">
        <v>780</v>
      </c>
      <c r="K331" t="s">
        <v>994</v>
      </c>
      <c r="L331">
        <v>0</v>
      </c>
      <c r="M331">
        <v>0</v>
      </c>
      <c r="N331" s="10" t="s">
        <v>452</v>
      </c>
    </row>
    <row r="332" spans="2:14" ht="33" customHeight="1" x14ac:dyDescent="0.3">
      <c r="B332" s="14" t="s">
        <v>739</v>
      </c>
      <c r="C332" s="14" t="s">
        <v>973</v>
      </c>
      <c r="D332" s="14">
        <v>0</v>
      </c>
      <c r="E332" s="14">
        <v>0</v>
      </c>
      <c r="F332" s="14" t="s">
        <v>995</v>
      </c>
      <c r="G332" s="14" t="s">
        <v>272</v>
      </c>
      <c r="H332" s="14" t="s">
        <v>996</v>
      </c>
      <c r="I332" s="15" t="s">
        <v>414</v>
      </c>
      <c r="J332" s="14">
        <v>1351</v>
      </c>
      <c r="K332" t="s">
        <v>997</v>
      </c>
      <c r="L332">
        <v>1351</v>
      </c>
      <c r="M332">
        <v>0</v>
      </c>
      <c r="N332" s="10" t="s">
        <v>903</v>
      </c>
    </row>
    <row r="333" spans="2:14" ht="33" customHeight="1" x14ac:dyDescent="0.3">
      <c r="B333" s="14" t="s">
        <v>739</v>
      </c>
      <c r="C333" s="14" t="s">
        <v>973</v>
      </c>
      <c r="D333" s="14">
        <v>0</v>
      </c>
      <c r="E333" s="14">
        <v>0</v>
      </c>
      <c r="F333" s="14" t="s">
        <v>998</v>
      </c>
      <c r="G333" s="14" t="s">
        <v>912</v>
      </c>
      <c r="H333" s="14" t="s">
        <v>913</v>
      </c>
      <c r="I333" s="15" t="s">
        <v>414</v>
      </c>
      <c r="J333" s="14">
        <v>1125</v>
      </c>
      <c r="K333" t="s">
        <v>999</v>
      </c>
      <c r="L333">
        <v>0</v>
      </c>
      <c r="M333">
        <v>0</v>
      </c>
      <c r="N333" s="10" t="s">
        <v>693</v>
      </c>
    </row>
    <row r="334" spans="2:14" ht="33" customHeight="1" x14ac:dyDescent="0.3">
      <c r="B334" s="14" t="s">
        <v>739</v>
      </c>
      <c r="C334" s="14" t="s">
        <v>973</v>
      </c>
      <c r="D334" s="14">
        <v>0</v>
      </c>
      <c r="E334" s="14">
        <v>0</v>
      </c>
      <c r="F334" s="14" t="s">
        <v>1000</v>
      </c>
      <c r="G334" s="14" t="s">
        <v>746</v>
      </c>
      <c r="H334" s="14" t="s">
        <v>747</v>
      </c>
      <c r="I334" s="15" t="s">
        <v>414</v>
      </c>
      <c r="J334" s="14">
        <v>2100</v>
      </c>
      <c r="K334" t="s">
        <v>748</v>
      </c>
      <c r="L334">
        <v>0</v>
      </c>
      <c r="M334">
        <v>0</v>
      </c>
      <c r="N334" s="10" t="s">
        <v>452</v>
      </c>
    </row>
    <row r="335" spans="2:14" ht="33" customHeight="1" x14ac:dyDescent="0.3">
      <c r="B335" s="14" t="s">
        <v>739</v>
      </c>
      <c r="C335" s="14" t="s">
        <v>973</v>
      </c>
      <c r="D335" s="14">
        <v>0</v>
      </c>
      <c r="E335" s="14">
        <v>0</v>
      </c>
      <c r="F335" s="14" t="s">
        <v>1001</v>
      </c>
      <c r="G335" s="14" t="s">
        <v>357</v>
      </c>
      <c r="H335" s="14" t="s">
        <v>713</v>
      </c>
      <c r="I335" s="15" t="s">
        <v>414</v>
      </c>
      <c r="J335" s="14">
        <v>504</v>
      </c>
      <c r="K335" t="s">
        <v>1002</v>
      </c>
      <c r="L335">
        <v>0</v>
      </c>
      <c r="M335">
        <v>480</v>
      </c>
      <c r="N335" s="10" t="s">
        <v>462</v>
      </c>
    </row>
    <row r="336" spans="2:14" ht="33" customHeight="1" x14ac:dyDescent="0.3">
      <c r="B336" s="14" t="s">
        <v>739</v>
      </c>
      <c r="C336" s="14" t="s">
        <v>973</v>
      </c>
      <c r="D336" s="14">
        <v>0</v>
      </c>
      <c r="E336" s="14">
        <v>0</v>
      </c>
      <c r="F336" s="14" t="s">
        <v>1003</v>
      </c>
      <c r="G336" s="14" t="s">
        <v>639</v>
      </c>
      <c r="H336" s="14" t="s">
        <v>640</v>
      </c>
      <c r="I336" s="15" t="s">
        <v>414</v>
      </c>
      <c r="J336" s="14">
        <v>378</v>
      </c>
      <c r="K336" t="s">
        <v>641</v>
      </c>
      <c r="L336">
        <v>378</v>
      </c>
      <c r="M336">
        <v>0</v>
      </c>
      <c r="N336" s="10" t="s">
        <v>903</v>
      </c>
    </row>
    <row r="337" spans="2:14" ht="33" customHeight="1" x14ac:dyDescent="0.3">
      <c r="B337" s="14" t="s">
        <v>739</v>
      </c>
      <c r="C337" s="14" t="s">
        <v>973</v>
      </c>
      <c r="D337" s="14">
        <v>0</v>
      </c>
      <c r="E337" s="14">
        <v>0</v>
      </c>
      <c r="F337" s="14" t="s">
        <v>1004</v>
      </c>
      <c r="G337" s="14" t="s">
        <v>77</v>
      </c>
      <c r="H337" s="14" t="s">
        <v>567</v>
      </c>
      <c r="I337" s="15" t="s">
        <v>414</v>
      </c>
      <c r="J337" s="14">
        <v>63</v>
      </c>
      <c r="K337" t="s">
        <v>878</v>
      </c>
      <c r="L337">
        <v>63</v>
      </c>
      <c r="M337">
        <v>0</v>
      </c>
      <c r="N337" s="10" t="s">
        <v>903</v>
      </c>
    </row>
    <row r="338" spans="2:14" ht="33" customHeight="1" x14ac:dyDescent="0.3">
      <c r="B338" s="14" t="s">
        <v>739</v>
      </c>
      <c r="C338" s="14" t="s">
        <v>973</v>
      </c>
      <c r="D338" s="14">
        <v>0</v>
      </c>
      <c r="E338" s="14">
        <v>0</v>
      </c>
      <c r="F338" s="14" t="s">
        <v>1005</v>
      </c>
      <c r="G338" s="14" t="s">
        <v>316</v>
      </c>
      <c r="H338" s="14" t="s">
        <v>1006</v>
      </c>
      <c r="I338" s="15" t="s">
        <v>414</v>
      </c>
      <c r="J338" s="14">
        <v>126</v>
      </c>
      <c r="K338" t="s">
        <v>1007</v>
      </c>
      <c r="L338">
        <v>126</v>
      </c>
      <c r="M338">
        <v>0</v>
      </c>
      <c r="N338" s="10" t="s">
        <v>903</v>
      </c>
    </row>
    <row r="339" spans="2:14" ht="33" customHeight="1" x14ac:dyDescent="0.3">
      <c r="B339" s="14" t="s">
        <v>739</v>
      </c>
      <c r="C339" s="14" t="s">
        <v>973</v>
      </c>
      <c r="D339" s="14">
        <v>0</v>
      </c>
      <c r="E339" s="14">
        <v>0</v>
      </c>
      <c r="F339" s="14" t="s">
        <v>1008</v>
      </c>
      <c r="G339" s="14" t="s">
        <v>1009</v>
      </c>
      <c r="H339" s="14" t="s">
        <v>599</v>
      </c>
      <c r="I339" s="15" t="s">
        <v>765</v>
      </c>
      <c r="J339" s="14">
        <v>12</v>
      </c>
      <c r="K339" t="s">
        <v>1010</v>
      </c>
      <c r="L339">
        <v>12</v>
      </c>
      <c r="M339">
        <v>0</v>
      </c>
      <c r="N339" s="10" t="s">
        <v>903</v>
      </c>
    </row>
    <row r="340" spans="2:14" ht="33" customHeight="1" x14ac:dyDescent="0.3">
      <c r="B340" s="14" t="s">
        <v>739</v>
      </c>
      <c r="C340" s="14" t="s">
        <v>973</v>
      </c>
      <c r="D340" s="14">
        <v>0</v>
      </c>
      <c r="E340" s="14">
        <v>0</v>
      </c>
      <c r="F340" s="14" t="s">
        <v>1008</v>
      </c>
      <c r="G340" s="14" t="s">
        <v>1011</v>
      </c>
      <c r="H340" s="14" t="s">
        <v>460</v>
      </c>
      <c r="I340" s="15" t="s">
        <v>765</v>
      </c>
      <c r="J340" s="14">
        <v>18</v>
      </c>
      <c r="K340" t="s">
        <v>1012</v>
      </c>
      <c r="L340">
        <v>18</v>
      </c>
      <c r="M340">
        <v>0</v>
      </c>
      <c r="N340" s="10" t="s">
        <v>903</v>
      </c>
    </row>
    <row r="341" spans="2:14" ht="33" customHeight="1" x14ac:dyDescent="0.3">
      <c r="B341" s="14" t="s">
        <v>739</v>
      </c>
      <c r="C341" s="14" t="s">
        <v>973</v>
      </c>
      <c r="D341" s="14">
        <v>0</v>
      </c>
      <c r="E341" s="14">
        <v>0</v>
      </c>
      <c r="F341" s="14" t="s">
        <v>1008</v>
      </c>
      <c r="G341" s="14" t="s">
        <v>1013</v>
      </c>
      <c r="H341" s="14" t="s">
        <v>471</v>
      </c>
      <c r="I341" s="15" t="s">
        <v>765</v>
      </c>
      <c r="J341" s="14">
        <v>24</v>
      </c>
      <c r="K341" t="s">
        <v>1014</v>
      </c>
      <c r="L341">
        <v>0</v>
      </c>
      <c r="M341">
        <v>0</v>
      </c>
      <c r="N341" s="10" t="s">
        <v>462</v>
      </c>
    </row>
    <row r="342" spans="2:14" ht="33" customHeight="1" x14ac:dyDescent="0.3">
      <c r="B342" s="14" t="s">
        <v>739</v>
      </c>
      <c r="C342" s="14" t="s">
        <v>973</v>
      </c>
      <c r="D342" s="14">
        <v>0</v>
      </c>
      <c r="E342" s="14">
        <v>0</v>
      </c>
      <c r="F342" s="14" t="s">
        <v>1008</v>
      </c>
      <c r="G342" s="14" t="s">
        <v>1015</v>
      </c>
      <c r="H342" s="14" t="s">
        <v>455</v>
      </c>
      <c r="I342" s="15" t="s">
        <v>765</v>
      </c>
      <c r="J342" s="14">
        <v>12</v>
      </c>
      <c r="K342" t="s">
        <v>1016</v>
      </c>
      <c r="L342">
        <v>12</v>
      </c>
      <c r="M342">
        <v>0</v>
      </c>
      <c r="N342" s="10" t="s">
        <v>903</v>
      </c>
    </row>
    <row r="343" spans="2:14" ht="33" customHeight="1" x14ac:dyDescent="0.3">
      <c r="B343" s="14" t="s">
        <v>739</v>
      </c>
      <c r="C343" s="14" t="s">
        <v>973</v>
      </c>
      <c r="D343" s="14">
        <v>0</v>
      </c>
      <c r="E343" s="14">
        <v>0</v>
      </c>
      <c r="F343" s="14" t="s">
        <v>1008</v>
      </c>
      <c r="G343" s="14" t="s">
        <v>1017</v>
      </c>
      <c r="H343" s="14" t="s">
        <v>1018</v>
      </c>
      <c r="I343" s="15" t="s">
        <v>765</v>
      </c>
      <c r="J343" s="14">
        <v>9</v>
      </c>
      <c r="K343" t="s">
        <v>1019</v>
      </c>
      <c r="L343">
        <v>9</v>
      </c>
      <c r="M343">
        <v>0</v>
      </c>
      <c r="N343" s="10" t="s">
        <v>903</v>
      </c>
    </row>
    <row r="344" spans="2:14" ht="33" customHeight="1" x14ac:dyDescent="0.3">
      <c r="B344" s="14" t="s">
        <v>739</v>
      </c>
      <c r="C344" s="14" t="s">
        <v>973</v>
      </c>
      <c r="D344" s="14">
        <v>0</v>
      </c>
      <c r="E344" s="14">
        <v>0</v>
      </c>
      <c r="F344" s="14" t="s">
        <v>1008</v>
      </c>
      <c r="G344" s="14" t="s">
        <v>263</v>
      </c>
      <c r="H344" s="14" t="s">
        <v>1020</v>
      </c>
      <c r="I344" s="15" t="s">
        <v>414</v>
      </c>
      <c r="J344" s="14">
        <v>12</v>
      </c>
      <c r="K344" t="s">
        <v>1021</v>
      </c>
      <c r="L344">
        <v>12</v>
      </c>
      <c r="M344">
        <v>0</v>
      </c>
      <c r="N344" s="10" t="s">
        <v>903</v>
      </c>
    </row>
    <row r="345" spans="2:14" ht="33" customHeight="1" x14ac:dyDescent="0.3"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 t="s">
        <v>417</v>
      </c>
      <c r="I345" s="15" t="s">
        <v>417</v>
      </c>
      <c r="J345" s="14">
        <v>0</v>
      </c>
      <c r="K345">
        <v>0</v>
      </c>
      <c r="L345">
        <v>0</v>
      </c>
      <c r="M345">
        <v>0</v>
      </c>
      <c r="N345" s="10">
        <v>0</v>
      </c>
    </row>
    <row r="346" spans="2:14" ht="33" customHeight="1" x14ac:dyDescent="0.3">
      <c r="B346" s="14" t="s">
        <v>473</v>
      </c>
      <c r="C346" s="14" t="s">
        <v>1022</v>
      </c>
      <c r="D346" s="14" t="s">
        <v>1023</v>
      </c>
      <c r="E346" s="14" t="s">
        <v>1024</v>
      </c>
      <c r="F346" s="14" t="s">
        <v>1025</v>
      </c>
      <c r="G346" s="14" t="s">
        <v>362</v>
      </c>
      <c r="H346" s="14" t="s">
        <v>1026</v>
      </c>
      <c r="I346" s="15" t="s">
        <v>1027</v>
      </c>
      <c r="J346" s="14">
        <v>13464</v>
      </c>
      <c r="K346" t="s">
        <v>1028</v>
      </c>
      <c r="L346">
        <v>13464</v>
      </c>
      <c r="M346">
        <v>0</v>
      </c>
      <c r="N346" s="10" t="s">
        <v>991</v>
      </c>
    </row>
    <row r="347" spans="2:14" ht="33" customHeight="1" x14ac:dyDescent="0.3">
      <c r="B347" s="14" t="s">
        <v>473</v>
      </c>
      <c r="C347" s="14" t="s">
        <v>1022</v>
      </c>
      <c r="D347" s="14" t="s">
        <v>1029</v>
      </c>
      <c r="E347" s="14">
        <v>0</v>
      </c>
      <c r="F347" s="14" t="s">
        <v>1030</v>
      </c>
      <c r="G347" s="14" t="s">
        <v>360</v>
      </c>
      <c r="H347" s="14" t="s">
        <v>713</v>
      </c>
      <c r="I347" s="15" t="s">
        <v>1027</v>
      </c>
      <c r="J347" s="14">
        <v>4496</v>
      </c>
      <c r="K347" t="s">
        <v>1031</v>
      </c>
      <c r="L347">
        <v>4496</v>
      </c>
      <c r="M347">
        <v>0</v>
      </c>
      <c r="N347" s="10" t="s">
        <v>991</v>
      </c>
    </row>
    <row r="348" spans="2:14" ht="33" customHeight="1" x14ac:dyDescent="0.3">
      <c r="B348" s="14">
        <v>0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 t="s">
        <v>417</v>
      </c>
      <c r="I348" s="15" t="s">
        <v>417</v>
      </c>
      <c r="J348" s="14">
        <v>0</v>
      </c>
      <c r="K348">
        <v>0</v>
      </c>
      <c r="L348">
        <v>0</v>
      </c>
      <c r="M348">
        <v>0</v>
      </c>
      <c r="N348" s="10">
        <v>0</v>
      </c>
    </row>
    <row r="349" spans="2:14" ht="33" customHeight="1" x14ac:dyDescent="0.3">
      <c r="B349" s="14" t="s">
        <v>1032</v>
      </c>
      <c r="C349" s="14" t="s">
        <v>1033</v>
      </c>
      <c r="D349" s="14" t="s">
        <v>1034</v>
      </c>
      <c r="E349" s="14" t="s">
        <v>1035</v>
      </c>
      <c r="F349" s="14" t="s">
        <v>1036</v>
      </c>
      <c r="G349" s="14" t="s">
        <v>94</v>
      </c>
      <c r="H349" s="14" t="s">
        <v>481</v>
      </c>
      <c r="I349" s="15" t="s">
        <v>1037</v>
      </c>
      <c r="J349" s="14">
        <v>330</v>
      </c>
      <c r="K349" t="s">
        <v>1038</v>
      </c>
      <c r="L349">
        <v>330</v>
      </c>
      <c r="M349">
        <v>0</v>
      </c>
      <c r="N349" s="10" t="s">
        <v>443</v>
      </c>
    </row>
    <row r="350" spans="2:14" ht="33" customHeight="1" x14ac:dyDescent="0.3">
      <c r="B350" s="14" t="s">
        <v>1032</v>
      </c>
      <c r="C350" s="14" t="s">
        <v>1033</v>
      </c>
      <c r="D350" s="14">
        <v>0</v>
      </c>
      <c r="E350" s="14">
        <v>0</v>
      </c>
      <c r="F350" s="14" t="s">
        <v>1039</v>
      </c>
      <c r="G350" s="14" t="s">
        <v>122</v>
      </c>
      <c r="H350" s="14" t="s">
        <v>477</v>
      </c>
      <c r="I350" s="15" t="s">
        <v>1037</v>
      </c>
      <c r="J350" s="14">
        <v>330</v>
      </c>
      <c r="K350" t="s">
        <v>1040</v>
      </c>
      <c r="L350">
        <v>330</v>
      </c>
      <c r="M350">
        <v>0</v>
      </c>
      <c r="N350" s="10" t="s">
        <v>416</v>
      </c>
    </row>
    <row r="351" spans="2:14" ht="33" customHeight="1" x14ac:dyDescent="0.3">
      <c r="B351" s="14" t="s">
        <v>1032</v>
      </c>
      <c r="C351" s="14" t="s">
        <v>1033</v>
      </c>
      <c r="D351" s="14">
        <v>0</v>
      </c>
      <c r="E351" s="14">
        <v>0</v>
      </c>
      <c r="F351" s="14" t="s">
        <v>1041</v>
      </c>
      <c r="G351" s="14" t="s">
        <v>219</v>
      </c>
      <c r="H351" s="14" t="s">
        <v>441</v>
      </c>
      <c r="I351" s="15" t="s">
        <v>1037</v>
      </c>
      <c r="J351" s="14">
        <v>220</v>
      </c>
      <c r="K351" t="s">
        <v>1042</v>
      </c>
      <c r="L351">
        <v>220</v>
      </c>
      <c r="M351">
        <v>0</v>
      </c>
      <c r="N351" s="10" t="s">
        <v>416</v>
      </c>
    </row>
    <row r="352" spans="2:14" ht="33" customHeight="1" x14ac:dyDescent="0.3">
      <c r="B352" s="14" t="s">
        <v>1032</v>
      </c>
      <c r="C352" s="14" t="s">
        <v>1033</v>
      </c>
      <c r="D352" s="14">
        <v>0</v>
      </c>
      <c r="E352" s="14">
        <v>0</v>
      </c>
      <c r="F352" s="14" t="s">
        <v>1043</v>
      </c>
      <c r="G352" s="14" t="s">
        <v>232</v>
      </c>
      <c r="H352" s="14" t="s">
        <v>445</v>
      </c>
      <c r="I352" s="15" t="s">
        <v>1037</v>
      </c>
      <c r="J352" s="14">
        <v>350</v>
      </c>
      <c r="K352" t="s">
        <v>1044</v>
      </c>
      <c r="L352">
        <v>350</v>
      </c>
      <c r="M352">
        <v>0</v>
      </c>
      <c r="N352" s="10" t="s">
        <v>416</v>
      </c>
    </row>
    <row r="353" spans="2:14" ht="33" customHeight="1" x14ac:dyDescent="0.3">
      <c r="B353" s="14" t="s">
        <v>1032</v>
      </c>
      <c r="C353" s="14" t="s">
        <v>1033</v>
      </c>
      <c r="D353" s="14">
        <v>0</v>
      </c>
      <c r="E353" s="14">
        <v>0</v>
      </c>
      <c r="F353" s="14" t="s">
        <v>1045</v>
      </c>
      <c r="G353" s="14" t="s">
        <v>142</v>
      </c>
      <c r="H353" s="14" t="s">
        <v>460</v>
      </c>
      <c r="I353" s="15" t="s">
        <v>1037</v>
      </c>
      <c r="J353" s="14">
        <v>385</v>
      </c>
      <c r="K353" t="s">
        <v>1046</v>
      </c>
      <c r="L353">
        <v>385</v>
      </c>
      <c r="M353">
        <v>0</v>
      </c>
      <c r="N353" s="10" t="s">
        <v>416</v>
      </c>
    </row>
    <row r="354" spans="2:14" ht="33" customHeight="1" x14ac:dyDescent="0.3">
      <c r="B354" s="14" t="s">
        <v>1032</v>
      </c>
      <c r="C354" s="14" t="s">
        <v>1033</v>
      </c>
      <c r="D354" s="14">
        <v>0</v>
      </c>
      <c r="E354" s="14">
        <v>0</v>
      </c>
      <c r="F354" s="14" t="s">
        <v>1047</v>
      </c>
      <c r="G354" s="14" t="s">
        <v>188</v>
      </c>
      <c r="H354" s="14" t="s">
        <v>471</v>
      </c>
      <c r="I354" s="15" t="s">
        <v>1037</v>
      </c>
      <c r="J354" s="14">
        <v>161</v>
      </c>
      <c r="K354" t="s">
        <v>1048</v>
      </c>
      <c r="L354">
        <v>161</v>
      </c>
      <c r="M354">
        <v>0</v>
      </c>
      <c r="N354" s="10" t="s">
        <v>903</v>
      </c>
    </row>
    <row r="355" spans="2:14" ht="33" customHeight="1" x14ac:dyDescent="0.3"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 t="s">
        <v>417</v>
      </c>
      <c r="I355" s="15" t="s">
        <v>417</v>
      </c>
      <c r="J355" s="14">
        <v>0</v>
      </c>
      <c r="K355">
        <v>0</v>
      </c>
      <c r="L355">
        <v>0</v>
      </c>
      <c r="M355">
        <v>0</v>
      </c>
      <c r="N355" s="10">
        <v>0</v>
      </c>
    </row>
    <row r="356" spans="2:14" ht="33" customHeight="1" x14ac:dyDescent="0.3">
      <c r="B356" s="14" t="s">
        <v>554</v>
      </c>
      <c r="C356" s="14" t="s">
        <v>1049</v>
      </c>
      <c r="D356" s="14" t="s">
        <v>1050</v>
      </c>
      <c r="E356" s="14" t="s">
        <v>1051</v>
      </c>
      <c r="F356" s="14" t="s">
        <v>1052</v>
      </c>
      <c r="G356" s="14" t="s">
        <v>268</v>
      </c>
      <c r="H356" s="14" t="s">
        <v>611</v>
      </c>
      <c r="I356" s="15" t="s">
        <v>414</v>
      </c>
      <c r="J356" s="14">
        <v>30</v>
      </c>
      <c r="K356" t="s">
        <v>858</v>
      </c>
      <c r="L356">
        <v>30</v>
      </c>
      <c r="M356">
        <v>0</v>
      </c>
      <c r="N356" s="10" t="s">
        <v>903</v>
      </c>
    </row>
    <row r="357" spans="2:14" ht="33" customHeight="1" x14ac:dyDescent="0.3">
      <c r="B357" s="14" t="s">
        <v>554</v>
      </c>
      <c r="C357" s="14" t="s">
        <v>1049</v>
      </c>
      <c r="D357" s="14" t="s">
        <v>1053</v>
      </c>
      <c r="E357" s="14">
        <v>0</v>
      </c>
      <c r="F357" s="14" t="s">
        <v>1054</v>
      </c>
      <c r="G357" s="14" t="s">
        <v>289</v>
      </c>
      <c r="H357" s="14" t="s">
        <v>617</v>
      </c>
      <c r="I357" s="15" t="s">
        <v>414</v>
      </c>
      <c r="J357" s="14">
        <v>30</v>
      </c>
      <c r="K357" t="s">
        <v>864</v>
      </c>
      <c r="L357">
        <v>30</v>
      </c>
      <c r="M357">
        <v>0</v>
      </c>
      <c r="N357" s="10" t="s">
        <v>903</v>
      </c>
    </row>
    <row r="358" spans="2:14" ht="33" customHeight="1" x14ac:dyDescent="0.3">
      <c r="B358" s="14">
        <v>0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  <c r="H358" s="14" t="s">
        <v>417</v>
      </c>
      <c r="I358" s="15" t="s">
        <v>417</v>
      </c>
      <c r="J358" s="14">
        <v>0</v>
      </c>
      <c r="K358">
        <v>0</v>
      </c>
      <c r="L358">
        <v>0</v>
      </c>
      <c r="M358">
        <v>0</v>
      </c>
      <c r="N358" s="10">
        <v>0</v>
      </c>
    </row>
    <row r="359" spans="2:14" ht="33" customHeight="1" x14ac:dyDescent="0.3">
      <c r="B359" s="14" t="s">
        <v>802</v>
      </c>
      <c r="C359" s="14" t="s">
        <v>1055</v>
      </c>
      <c r="D359" s="14" t="s">
        <v>1056</v>
      </c>
      <c r="E359" s="14" t="s">
        <v>1057</v>
      </c>
      <c r="F359" s="14">
        <v>0</v>
      </c>
      <c r="G359" s="14" t="s">
        <v>59</v>
      </c>
      <c r="H359" s="14" t="s">
        <v>449</v>
      </c>
      <c r="I359" s="15" t="s">
        <v>806</v>
      </c>
      <c r="J359" s="14">
        <v>1000</v>
      </c>
      <c r="K359" t="s">
        <v>1058</v>
      </c>
      <c r="L359">
        <v>0</v>
      </c>
      <c r="M359">
        <v>1000</v>
      </c>
      <c r="N359" s="10" t="s">
        <v>452</v>
      </c>
    </row>
    <row r="360" spans="2:14" ht="33" customHeight="1" x14ac:dyDescent="0.3">
      <c r="B360" s="14" t="s">
        <v>802</v>
      </c>
      <c r="C360" s="14" t="s">
        <v>1055</v>
      </c>
      <c r="D360" s="14" t="s">
        <v>1059</v>
      </c>
      <c r="E360" s="14">
        <v>0</v>
      </c>
      <c r="F360" s="14">
        <v>0</v>
      </c>
      <c r="G360" s="14" t="s">
        <v>69</v>
      </c>
      <c r="H360" s="14" t="s">
        <v>599</v>
      </c>
      <c r="I360" s="15" t="s">
        <v>806</v>
      </c>
      <c r="J360" s="14">
        <v>300</v>
      </c>
      <c r="K360" t="s">
        <v>1060</v>
      </c>
      <c r="L360">
        <v>300</v>
      </c>
      <c r="M360">
        <v>0</v>
      </c>
      <c r="N360" s="10" t="s">
        <v>903</v>
      </c>
    </row>
    <row r="361" spans="2:14" ht="33" customHeight="1" x14ac:dyDescent="0.3">
      <c r="B361" s="14" t="s">
        <v>802</v>
      </c>
      <c r="C361" s="14" t="s">
        <v>1055</v>
      </c>
      <c r="D361" s="14">
        <v>0</v>
      </c>
      <c r="E361" s="14">
        <v>0</v>
      </c>
      <c r="F361" s="14">
        <v>0</v>
      </c>
      <c r="G361" s="14" t="s">
        <v>132</v>
      </c>
      <c r="H361" s="14" t="s">
        <v>477</v>
      </c>
      <c r="I361" s="15" t="s">
        <v>806</v>
      </c>
      <c r="J361" s="14">
        <v>1500</v>
      </c>
      <c r="K361" t="s">
        <v>1061</v>
      </c>
      <c r="L361">
        <v>1500</v>
      </c>
      <c r="M361">
        <v>0</v>
      </c>
      <c r="N361" s="10" t="s">
        <v>443</v>
      </c>
    </row>
    <row r="362" spans="2:14" ht="33" customHeight="1" x14ac:dyDescent="0.3">
      <c r="B362" s="14" t="s">
        <v>802</v>
      </c>
      <c r="C362" s="14" t="s">
        <v>1055</v>
      </c>
      <c r="D362" s="14">
        <v>0</v>
      </c>
      <c r="E362" s="14">
        <v>0</v>
      </c>
      <c r="F362" s="14">
        <v>0</v>
      </c>
      <c r="G362" s="14" t="s">
        <v>146</v>
      </c>
      <c r="H362" s="14" t="s">
        <v>460</v>
      </c>
      <c r="I362" s="15" t="s">
        <v>806</v>
      </c>
      <c r="J362" s="14">
        <v>1500</v>
      </c>
      <c r="K362" t="s">
        <v>812</v>
      </c>
      <c r="L362">
        <v>1500</v>
      </c>
      <c r="M362">
        <v>0</v>
      </c>
      <c r="N362" s="10" t="s">
        <v>462</v>
      </c>
    </row>
    <row r="363" spans="2:14" ht="33" customHeight="1" x14ac:dyDescent="0.3">
      <c r="B363" s="14" t="s">
        <v>802</v>
      </c>
      <c r="C363" s="14" t="s">
        <v>1055</v>
      </c>
      <c r="D363" s="14">
        <v>0</v>
      </c>
      <c r="E363" s="14">
        <v>0</v>
      </c>
      <c r="F363" s="14">
        <v>0</v>
      </c>
      <c r="G363" s="14" t="s">
        <v>40</v>
      </c>
      <c r="H363" s="14" t="s">
        <v>483</v>
      </c>
      <c r="I363" s="15" t="s">
        <v>806</v>
      </c>
      <c r="J363" s="14">
        <v>300</v>
      </c>
      <c r="K363" t="s">
        <v>816</v>
      </c>
      <c r="L363">
        <v>0</v>
      </c>
      <c r="M363">
        <v>300</v>
      </c>
      <c r="N363" s="10" t="s">
        <v>462</v>
      </c>
    </row>
    <row r="364" spans="2:14" ht="33" customHeight="1" x14ac:dyDescent="0.3">
      <c r="B364" s="14" t="s">
        <v>802</v>
      </c>
      <c r="C364" s="14" t="s">
        <v>1055</v>
      </c>
      <c r="D364" s="14">
        <v>0</v>
      </c>
      <c r="E364" s="14">
        <v>0</v>
      </c>
      <c r="F364" s="14">
        <v>0</v>
      </c>
      <c r="G364" s="14" t="s">
        <v>161</v>
      </c>
      <c r="H364" s="14" t="s">
        <v>465</v>
      </c>
      <c r="I364" s="15" t="s">
        <v>414</v>
      </c>
      <c r="J364" s="14">
        <v>800</v>
      </c>
      <c r="K364" t="s">
        <v>466</v>
      </c>
      <c r="L364">
        <v>800</v>
      </c>
      <c r="M364">
        <v>0</v>
      </c>
      <c r="N364" s="10" t="s">
        <v>903</v>
      </c>
    </row>
    <row r="365" spans="2:14" ht="33" customHeight="1" x14ac:dyDescent="0.3">
      <c r="B365" s="14" t="s">
        <v>802</v>
      </c>
      <c r="C365" s="14" t="s">
        <v>1055</v>
      </c>
      <c r="D365" s="14">
        <v>0</v>
      </c>
      <c r="E365" s="14">
        <v>0</v>
      </c>
      <c r="F365" s="14">
        <v>0</v>
      </c>
      <c r="G365" s="14" t="s">
        <v>41</v>
      </c>
      <c r="H365" s="14" t="s">
        <v>445</v>
      </c>
      <c r="I365" s="15" t="s">
        <v>806</v>
      </c>
      <c r="J365" s="14">
        <v>500</v>
      </c>
      <c r="K365" t="s">
        <v>1062</v>
      </c>
      <c r="L365">
        <v>0</v>
      </c>
      <c r="M365">
        <v>500</v>
      </c>
      <c r="N365" s="10" t="s">
        <v>447</v>
      </c>
    </row>
    <row r="366" spans="2:14" ht="33" customHeight="1" x14ac:dyDescent="0.3">
      <c r="B366" s="14" t="s">
        <v>802</v>
      </c>
      <c r="C366" s="14" t="s">
        <v>1055</v>
      </c>
      <c r="D366" s="14">
        <v>0</v>
      </c>
      <c r="E366" s="14">
        <v>0</v>
      </c>
      <c r="F366" s="14">
        <v>0</v>
      </c>
      <c r="G366" s="14" t="s">
        <v>223</v>
      </c>
      <c r="H366" s="14" t="s">
        <v>441</v>
      </c>
      <c r="I366" s="15" t="s">
        <v>806</v>
      </c>
      <c r="J366" s="14">
        <v>200</v>
      </c>
      <c r="K366" t="s">
        <v>1063</v>
      </c>
      <c r="L366">
        <v>200</v>
      </c>
      <c r="M366">
        <v>0</v>
      </c>
      <c r="N366" s="10" t="s">
        <v>903</v>
      </c>
    </row>
    <row r="367" spans="2:14" ht="33" customHeight="1" x14ac:dyDescent="0.3">
      <c r="B367" s="14" t="s">
        <v>802</v>
      </c>
      <c r="C367" s="14" t="s">
        <v>1055</v>
      </c>
      <c r="D367" s="14">
        <v>0</v>
      </c>
      <c r="E367" s="14">
        <v>0</v>
      </c>
      <c r="F367" s="14">
        <v>0</v>
      </c>
      <c r="G367" s="14" t="s">
        <v>1064</v>
      </c>
      <c r="H367" s="14" t="s">
        <v>1065</v>
      </c>
      <c r="I367" s="15" t="s">
        <v>1066</v>
      </c>
      <c r="J367" s="14">
        <v>1000</v>
      </c>
      <c r="K367" t="s">
        <v>1067</v>
      </c>
      <c r="L367">
        <v>0</v>
      </c>
      <c r="M367">
        <v>1000</v>
      </c>
      <c r="N367" s="10" t="s">
        <v>693</v>
      </c>
    </row>
    <row r="368" spans="2:14" ht="33" customHeight="1" x14ac:dyDescent="0.3">
      <c r="B368" s="14" t="s">
        <v>802</v>
      </c>
      <c r="C368" s="14" t="s">
        <v>1055</v>
      </c>
      <c r="D368" s="14">
        <v>0</v>
      </c>
      <c r="E368" s="14">
        <v>0</v>
      </c>
      <c r="F368" s="14">
        <v>0</v>
      </c>
      <c r="G368" s="14" t="s">
        <v>287</v>
      </c>
      <c r="H368" s="14" t="s">
        <v>670</v>
      </c>
      <c r="I368" s="15" t="s">
        <v>414</v>
      </c>
      <c r="J368" s="14">
        <v>800</v>
      </c>
      <c r="K368" t="s">
        <v>716</v>
      </c>
      <c r="L368">
        <v>779</v>
      </c>
      <c r="M368">
        <v>21</v>
      </c>
      <c r="N368" s="10" t="s">
        <v>903</v>
      </c>
    </row>
    <row r="369" spans="2:14" ht="33" customHeight="1" x14ac:dyDescent="0.3">
      <c r="B369" s="14" t="s">
        <v>802</v>
      </c>
      <c r="C369" s="14" t="s">
        <v>1055</v>
      </c>
      <c r="D369" s="14">
        <v>0</v>
      </c>
      <c r="E369" s="14">
        <v>0</v>
      </c>
      <c r="F369" s="14">
        <v>0</v>
      </c>
      <c r="G369" s="14" t="s">
        <v>299</v>
      </c>
      <c r="H369" s="14" t="s">
        <v>677</v>
      </c>
      <c r="I369" s="15" t="s">
        <v>414</v>
      </c>
      <c r="J369" s="14">
        <v>300</v>
      </c>
      <c r="K369" t="s">
        <v>678</v>
      </c>
      <c r="L369">
        <v>300</v>
      </c>
      <c r="M369">
        <v>0</v>
      </c>
      <c r="N369" s="10" t="s">
        <v>903</v>
      </c>
    </row>
    <row r="370" spans="2:14" ht="33" customHeight="1" x14ac:dyDescent="0.3">
      <c r="B370" s="14" t="s">
        <v>802</v>
      </c>
      <c r="C370" s="14" t="s">
        <v>1055</v>
      </c>
      <c r="D370" s="14">
        <v>0</v>
      </c>
      <c r="E370" s="14">
        <v>0</v>
      </c>
      <c r="F370" s="14">
        <v>0</v>
      </c>
      <c r="G370" s="14" t="s">
        <v>1068</v>
      </c>
      <c r="H370" s="14" t="s">
        <v>640</v>
      </c>
      <c r="I370" s="15" t="s">
        <v>1069</v>
      </c>
      <c r="J370" s="14">
        <v>500</v>
      </c>
      <c r="K370" t="s">
        <v>1070</v>
      </c>
      <c r="L370">
        <v>0</v>
      </c>
      <c r="M370">
        <v>500</v>
      </c>
      <c r="N370" s="10" t="s">
        <v>903</v>
      </c>
    </row>
    <row r="371" spans="2:14" ht="33" customHeight="1" x14ac:dyDescent="0.3">
      <c r="B371" s="14" t="s">
        <v>802</v>
      </c>
      <c r="C371" s="14" t="s">
        <v>1055</v>
      </c>
      <c r="D371" s="14">
        <v>0</v>
      </c>
      <c r="E371" s="14">
        <v>0</v>
      </c>
      <c r="F371" s="14" t="s">
        <v>1071</v>
      </c>
      <c r="G371" s="14" t="s">
        <v>44</v>
      </c>
      <c r="H371" s="14" t="s">
        <v>646</v>
      </c>
      <c r="I371" s="15" t="s">
        <v>806</v>
      </c>
      <c r="J371" s="14">
        <v>500</v>
      </c>
      <c r="K371" t="s">
        <v>1072</v>
      </c>
      <c r="L371">
        <v>500</v>
      </c>
      <c r="M371">
        <v>0</v>
      </c>
      <c r="N371" s="10" t="s">
        <v>1073</v>
      </c>
    </row>
    <row r="372" spans="2:14" ht="33" customHeight="1" x14ac:dyDescent="0.3">
      <c r="B372" s="14">
        <v>0</v>
      </c>
      <c r="C372" s="14">
        <v>0</v>
      </c>
      <c r="D372" s="14">
        <v>0</v>
      </c>
      <c r="E372" s="14">
        <v>0</v>
      </c>
      <c r="F372" s="14">
        <v>0</v>
      </c>
      <c r="G372" s="14">
        <v>0</v>
      </c>
      <c r="H372" s="14" t="s">
        <v>417</v>
      </c>
      <c r="I372" s="15" t="s">
        <v>417</v>
      </c>
      <c r="J372" s="14">
        <v>0</v>
      </c>
      <c r="K372">
        <v>0</v>
      </c>
      <c r="L372">
        <v>0</v>
      </c>
      <c r="M372">
        <v>0</v>
      </c>
      <c r="N372" s="10">
        <v>0</v>
      </c>
    </row>
    <row r="373" spans="2:14" ht="33" customHeight="1" x14ac:dyDescent="0.3">
      <c r="B373" s="14" t="s">
        <v>835</v>
      </c>
      <c r="C373" s="14" t="s">
        <v>1074</v>
      </c>
      <c r="D373" s="14" t="s">
        <v>1075</v>
      </c>
      <c r="E373" s="14" t="s">
        <v>1076</v>
      </c>
      <c r="F373" s="14">
        <v>0</v>
      </c>
      <c r="G373" s="14" t="s">
        <v>1077</v>
      </c>
      <c r="H373" s="14" t="s">
        <v>696</v>
      </c>
      <c r="I373" s="15" t="s">
        <v>840</v>
      </c>
      <c r="J373" s="14">
        <v>2000</v>
      </c>
      <c r="K373" t="s">
        <v>1078</v>
      </c>
      <c r="L373">
        <v>0</v>
      </c>
      <c r="M373">
        <v>2000</v>
      </c>
      <c r="N373" s="10" t="s">
        <v>452</v>
      </c>
    </row>
    <row r="374" spans="2:14" ht="33" customHeight="1" x14ac:dyDescent="0.3">
      <c r="B374" s="14">
        <v>0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 t="s">
        <v>417</v>
      </c>
      <c r="I374" s="15" t="s">
        <v>417</v>
      </c>
      <c r="J374" s="14">
        <v>0</v>
      </c>
      <c r="K374">
        <v>0</v>
      </c>
      <c r="L374">
        <v>0</v>
      </c>
      <c r="M374">
        <v>0</v>
      </c>
      <c r="N374" s="10">
        <v>0</v>
      </c>
    </row>
    <row r="375" spans="2:14" ht="33" customHeight="1" x14ac:dyDescent="0.3">
      <c r="B375" s="14" t="s">
        <v>554</v>
      </c>
      <c r="C375" s="14" t="s">
        <v>1079</v>
      </c>
      <c r="D375" s="14" t="s">
        <v>1080</v>
      </c>
      <c r="E375" s="14" t="s">
        <v>1081</v>
      </c>
      <c r="F375" s="14" t="s">
        <v>1082</v>
      </c>
      <c r="G375" s="14" t="s">
        <v>90</v>
      </c>
      <c r="H375" s="14" t="s">
        <v>481</v>
      </c>
      <c r="I375" s="15" t="s">
        <v>450</v>
      </c>
      <c r="J375" s="14">
        <v>5</v>
      </c>
      <c r="K375" t="s">
        <v>1083</v>
      </c>
      <c r="L375">
        <v>5</v>
      </c>
      <c r="M375">
        <v>0</v>
      </c>
      <c r="N375" s="10" t="s">
        <v>416</v>
      </c>
    </row>
    <row r="376" spans="2:14" ht="33" customHeight="1" x14ac:dyDescent="0.3">
      <c r="B376" s="14" t="s">
        <v>554</v>
      </c>
      <c r="C376" s="14" t="s">
        <v>1079</v>
      </c>
      <c r="D376" s="14">
        <v>0</v>
      </c>
      <c r="E376" s="14">
        <v>0</v>
      </c>
      <c r="F376" s="14" t="s">
        <v>1084</v>
      </c>
      <c r="G376" s="14" t="s">
        <v>106</v>
      </c>
      <c r="H376" s="14" t="s">
        <v>479</v>
      </c>
      <c r="I376" s="15" t="s">
        <v>450</v>
      </c>
      <c r="J376" s="14">
        <v>3</v>
      </c>
      <c r="K376" t="s">
        <v>590</v>
      </c>
      <c r="L376">
        <v>3</v>
      </c>
      <c r="M376">
        <v>0</v>
      </c>
      <c r="N376" s="10" t="s">
        <v>416</v>
      </c>
    </row>
    <row r="377" spans="2:14" ht="33" customHeight="1" x14ac:dyDescent="0.3">
      <c r="B377" s="14">
        <v>0</v>
      </c>
      <c r="C377" s="14">
        <v>0</v>
      </c>
      <c r="D377" s="14">
        <v>0</v>
      </c>
      <c r="E377" s="14">
        <v>0</v>
      </c>
      <c r="F377" s="14">
        <v>0</v>
      </c>
      <c r="G377" s="14">
        <v>0</v>
      </c>
      <c r="H377" s="14" t="s">
        <v>417</v>
      </c>
      <c r="I377" s="15" t="s">
        <v>417</v>
      </c>
      <c r="J377" s="14">
        <v>0</v>
      </c>
      <c r="K377">
        <v>0</v>
      </c>
      <c r="L377">
        <v>0</v>
      </c>
      <c r="M377">
        <v>0</v>
      </c>
      <c r="N377" s="10">
        <v>0</v>
      </c>
    </row>
    <row r="378" spans="2:14" ht="33" customHeight="1" x14ac:dyDescent="0.3">
      <c r="B378" s="14" t="s">
        <v>539</v>
      </c>
      <c r="C378" s="14" t="s">
        <v>1085</v>
      </c>
      <c r="D378" s="14" t="s">
        <v>1086</v>
      </c>
      <c r="E378" s="14" t="s">
        <v>1076</v>
      </c>
      <c r="F378" s="14">
        <v>0</v>
      </c>
      <c r="G378" s="14" t="s">
        <v>90</v>
      </c>
      <c r="H378" s="14" t="s">
        <v>481</v>
      </c>
      <c r="I378" s="15" t="s">
        <v>450</v>
      </c>
      <c r="J378" s="14">
        <v>3245</v>
      </c>
      <c r="K378" t="s">
        <v>1083</v>
      </c>
      <c r="L378">
        <v>0</v>
      </c>
      <c r="M378">
        <v>3245</v>
      </c>
      <c r="N378" s="10" t="s">
        <v>462</v>
      </c>
    </row>
    <row r="379" spans="2:14" ht="33" customHeight="1" x14ac:dyDescent="0.3">
      <c r="B379" s="14" t="s">
        <v>539</v>
      </c>
      <c r="C379" s="14" t="s">
        <v>1085</v>
      </c>
      <c r="D379" s="14">
        <v>0</v>
      </c>
      <c r="E379" s="14">
        <v>0</v>
      </c>
      <c r="F379" s="14">
        <v>0</v>
      </c>
      <c r="G379" s="14" t="s">
        <v>233</v>
      </c>
      <c r="H379" s="14" t="s">
        <v>445</v>
      </c>
      <c r="I379" s="15" t="s">
        <v>450</v>
      </c>
      <c r="J379" s="14">
        <v>1248</v>
      </c>
      <c r="K379" t="s">
        <v>1087</v>
      </c>
      <c r="L379">
        <v>0</v>
      </c>
      <c r="M379">
        <v>1248</v>
      </c>
      <c r="N379" s="10" t="s">
        <v>447</v>
      </c>
    </row>
    <row r="380" spans="2:14" ht="33" customHeight="1" x14ac:dyDescent="0.3">
      <c r="B380" s="14" t="s">
        <v>539</v>
      </c>
      <c r="C380" s="14" t="s">
        <v>1085</v>
      </c>
      <c r="D380" s="14">
        <v>0</v>
      </c>
      <c r="E380" s="14">
        <v>0</v>
      </c>
      <c r="F380" s="14">
        <v>0</v>
      </c>
      <c r="G380" s="14" t="s">
        <v>185</v>
      </c>
      <c r="H380" s="14" t="s">
        <v>471</v>
      </c>
      <c r="I380" s="15" t="s">
        <v>450</v>
      </c>
      <c r="J380" s="14">
        <v>998</v>
      </c>
      <c r="K380" t="s">
        <v>1088</v>
      </c>
      <c r="L380">
        <v>0</v>
      </c>
      <c r="M380">
        <v>998</v>
      </c>
      <c r="N380" s="10" t="s">
        <v>462</v>
      </c>
    </row>
    <row r="381" spans="2:14" ht="33" customHeight="1" x14ac:dyDescent="0.3">
      <c r="B381" s="14" t="s">
        <v>539</v>
      </c>
      <c r="C381" s="14" t="s">
        <v>1085</v>
      </c>
      <c r="D381" s="14">
        <v>0</v>
      </c>
      <c r="E381" s="14">
        <v>0</v>
      </c>
      <c r="F381" s="14">
        <v>0</v>
      </c>
      <c r="G381" s="14" t="s">
        <v>299</v>
      </c>
      <c r="H381" s="14" t="s">
        <v>677</v>
      </c>
      <c r="I381" s="15" t="s">
        <v>414</v>
      </c>
      <c r="J381" s="14">
        <v>998</v>
      </c>
      <c r="K381" t="s">
        <v>678</v>
      </c>
      <c r="L381">
        <v>998</v>
      </c>
      <c r="M381">
        <v>0</v>
      </c>
      <c r="N381" s="10" t="s">
        <v>903</v>
      </c>
    </row>
    <row r="382" spans="2:14" ht="33" customHeight="1" x14ac:dyDescent="0.3">
      <c r="B382" s="14" t="s">
        <v>539</v>
      </c>
      <c r="C382" s="14" t="s">
        <v>1085</v>
      </c>
      <c r="D382" s="14">
        <v>0</v>
      </c>
      <c r="E382" s="14">
        <v>0</v>
      </c>
      <c r="F382" s="14">
        <v>0</v>
      </c>
      <c r="G382" s="14" t="s">
        <v>34</v>
      </c>
      <c r="H382" s="14" t="s">
        <v>468</v>
      </c>
      <c r="I382" s="15" t="s">
        <v>414</v>
      </c>
      <c r="J382" s="14">
        <v>3245</v>
      </c>
      <c r="K382" t="s">
        <v>469</v>
      </c>
      <c r="L382">
        <v>0</v>
      </c>
      <c r="M382">
        <v>3245</v>
      </c>
      <c r="N382" s="10" t="s">
        <v>462</v>
      </c>
    </row>
    <row r="383" spans="2:14" ht="33" customHeight="1" x14ac:dyDescent="0.3">
      <c r="B383" s="14" t="s">
        <v>539</v>
      </c>
      <c r="C383" s="14" t="s">
        <v>1085</v>
      </c>
      <c r="D383" s="14">
        <v>0</v>
      </c>
      <c r="E383" s="14">
        <v>0</v>
      </c>
      <c r="F383" s="14" t="s">
        <v>1089</v>
      </c>
      <c r="G383" s="14" t="s">
        <v>544</v>
      </c>
      <c r="H383" s="14" t="s">
        <v>545</v>
      </c>
      <c r="I383" s="15" t="s">
        <v>546</v>
      </c>
      <c r="J383" s="14">
        <v>2246</v>
      </c>
      <c r="K383" t="s">
        <v>547</v>
      </c>
      <c r="L383">
        <v>0</v>
      </c>
      <c r="M383">
        <v>2422</v>
      </c>
      <c r="N383" s="10" t="s">
        <v>548</v>
      </c>
    </row>
    <row r="384" spans="2:14" ht="33" customHeight="1" x14ac:dyDescent="0.3">
      <c r="B384" s="14" t="s">
        <v>539</v>
      </c>
      <c r="C384" s="14" t="s">
        <v>1085</v>
      </c>
      <c r="D384" s="14">
        <v>0</v>
      </c>
      <c r="E384" s="14">
        <v>0</v>
      </c>
      <c r="F384" s="14">
        <v>0</v>
      </c>
      <c r="G384" s="14" t="s">
        <v>139</v>
      </c>
      <c r="H384" s="14" t="s">
        <v>460</v>
      </c>
      <c r="I384" s="15" t="s">
        <v>450</v>
      </c>
      <c r="J384" s="14">
        <v>1758</v>
      </c>
      <c r="K384" t="s">
        <v>1090</v>
      </c>
      <c r="L384">
        <v>0</v>
      </c>
      <c r="M384">
        <v>1758</v>
      </c>
      <c r="N384" s="10" t="s">
        <v>462</v>
      </c>
    </row>
    <row r="385" spans="2:14" ht="33" customHeight="1" x14ac:dyDescent="0.3">
      <c r="B385" s="14">
        <v>0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 t="s">
        <v>417</v>
      </c>
      <c r="I385" s="15" t="s">
        <v>417</v>
      </c>
      <c r="J385" s="14">
        <v>0</v>
      </c>
      <c r="K385">
        <v>0</v>
      </c>
      <c r="L385">
        <v>0</v>
      </c>
      <c r="M385">
        <v>0</v>
      </c>
      <c r="N385" s="10">
        <v>0</v>
      </c>
    </row>
    <row r="386" spans="2:14" ht="33" customHeight="1" x14ac:dyDescent="0.3">
      <c r="B386" s="14" t="s">
        <v>1091</v>
      </c>
      <c r="C386" s="14" t="s">
        <v>1092</v>
      </c>
      <c r="D386" s="14" t="s">
        <v>1093</v>
      </c>
      <c r="E386" s="14" t="s">
        <v>1094</v>
      </c>
      <c r="F386" s="14" t="s">
        <v>1095</v>
      </c>
      <c r="G386" s="14" t="s">
        <v>42</v>
      </c>
      <c r="H386" s="14" t="s">
        <v>449</v>
      </c>
      <c r="I386" s="15" t="s">
        <v>450</v>
      </c>
      <c r="J386" s="14">
        <v>488</v>
      </c>
      <c r="K386" t="s">
        <v>451</v>
      </c>
      <c r="L386">
        <v>488</v>
      </c>
      <c r="M386">
        <v>0</v>
      </c>
      <c r="N386" s="10" t="s">
        <v>416</v>
      </c>
    </row>
    <row r="387" spans="2:14" ht="33" customHeight="1" x14ac:dyDescent="0.3">
      <c r="B387" s="14">
        <v>0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 t="s">
        <v>417</v>
      </c>
      <c r="I387" s="15" t="s">
        <v>417</v>
      </c>
      <c r="J387" s="14">
        <v>0</v>
      </c>
      <c r="K387">
        <v>0</v>
      </c>
      <c r="L387">
        <v>0</v>
      </c>
      <c r="M387">
        <v>0</v>
      </c>
      <c r="N387" s="10">
        <v>0</v>
      </c>
    </row>
    <row r="388" spans="2:14" ht="33" customHeight="1" x14ac:dyDescent="0.3">
      <c r="B388" s="14" t="s">
        <v>1091</v>
      </c>
      <c r="C388" s="14" t="s">
        <v>1096</v>
      </c>
      <c r="D388" s="14" t="s">
        <v>1097</v>
      </c>
      <c r="E388" s="14" t="s">
        <v>1076</v>
      </c>
      <c r="F388" s="14">
        <v>0</v>
      </c>
      <c r="G388" s="14" t="s">
        <v>71</v>
      </c>
      <c r="H388" s="14" t="s">
        <v>599</v>
      </c>
      <c r="I388" s="15" t="s">
        <v>414</v>
      </c>
      <c r="J388" s="14">
        <v>168</v>
      </c>
      <c r="K388" t="s">
        <v>681</v>
      </c>
      <c r="L388">
        <v>168</v>
      </c>
      <c r="M388">
        <v>0</v>
      </c>
      <c r="N388" s="10" t="s">
        <v>903</v>
      </c>
    </row>
    <row r="389" spans="2:14" ht="33" customHeight="1" x14ac:dyDescent="0.3">
      <c r="B389" s="14" t="s">
        <v>1091</v>
      </c>
      <c r="C389" s="14" t="s">
        <v>1096</v>
      </c>
      <c r="D389" s="14">
        <v>0</v>
      </c>
      <c r="E389" s="14">
        <v>0</v>
      </c>
      <c r="F389" s="14">
        <v>0</v>
      </c>
      <c r="G389" s="14" t="s">
        <v>39</v>
      </c>
      <c r="H389" s="14" t="s">
        <v>445</v>
      </c>
      <c r="I389" s="15" t="s">
        <v>414</v>
      </c>
      <c r="J389" s="14">
        <v>120</v>
      </c>
      <c r="K389" t="s">
        <v>446</v>
      </c>
      <c r="L389">
        <v>0</v>
      </c>
      <c r="M389">
        <v>120</v>
      </c>
      <c r="N389" s="10" t="s">
        <v>447</v>
      </c>
    </row>
    <row r="390" spans="2:14" ht="33" customHeight="1" x14ac:dyDescent="0.3">
      <c r="B390" s="14" t="s">
        <v>1091</v>
      </c>
      <c r="C390" s="14" t="s">
        <v>1096</v>
      </c>
      <c r="D390" s="14">
        <v>0</v>
      </c>
      <c r="E390" s="14">
        <v>0</v>
      </c>
      <c r="F390" s="14">
        <v>0</v>
      </c>
      <c r="G390" s="14" t="s">
        <v>220</v>
      </c>
      <c r="H390" s="14" t="s">
        <v>441</v>
      </c>
      <c r="I390" s="15" t="s">
        <v>414</v>
      </c>
      <c r="J390" s="14">
        <v>24</v>
      </c>
      <c r="K390" t="s">
        <v>442</v>
      </c>
      <c r="L390">
        <v>24</v>
      </c>
      <c r="M390">
        <v>0</v>
      </c>
      <c r="N390" s="10" t="s">
        <v>903</v>
      </c>
    </row>
    <row r="391" spans="2:14" ht="33" customHeight="1" x14ac:dyDescent="0.3">
      <c r="B391" s="14" t="s">
        <v>1091</v>
      </c>
      <c r="C391" s="14" t="s">
        <v>1096</v>
      </c>
      <c r="D391" s="14">
        <v>0</v>
      </c>
      <c r="E391" s="14">
        <v>0</v>
      </c>
      <c r="F391" s="14">
        <v>0</v>
      </c>
      <c r="G391" s="14" t="s">
        <v>144</v>
      </c>
      <c r="H391" s="14" t="s">
        <v>460</v>
      </c>
      <c r="I391" s="15" t="s">
        <v>414</v>
      </c>
      <c r="J391" s="14">
        <v>312</v>
      </c>
      <c r="K391" t="s">
        <v>461</v>
      </c>
      <c r="L391">
        <v>312</v>
      </c>
      <c r="M391">
        <v>312</v>
      </c>
      <c r="N391" s="10" t="s">
        <v>462</v>
      </c>
    </row>
    <row r="392" spans="2:14" ht="33" customHeight="1" x14ac:dyDescent="0.3">
      <c r="B392" s="14" t="s">
        <v>1091</v>
      </c>
      <c r="C392" s="14" t="s">
        <v>1096</v>
      </c>
      <c r="D392" s="14">
        <v>0</v>
      </c>
      <c r="E392" s="14">
        <v>0</v>
      </c>
      <c r="F392" s="14">
        <v>0</v>
      </c>
      <c r="G392" s="14" t="s">
        <v>42</v>
      </c>
      <c r="H392" s="14" t="s">
        <v>449</v>
      </c>
      <c r="I392" s="15" t="s">
        <v>450</v>
      </c>
      <c r="J392" s="14">
        <v>480</v>
      </c>
      <c r="K392" t="s">
        <v>451</v>
      </c>
      <c r="L392">
        <v>0</v>
      </c>
      <c r="M392">
        <v>480</v>
      </c>
      <c r="N392" s="10" t="s">
        <v>452</v>
      </c>
    </row>
    <row r="393" spans="2:14" ht="33" customHeight="1" x14ac:dyDescent="0.3">
      <c r="B393" s="14" t="s">
        <v>1091</v>
      </c>
      <c r="C393" s="14" t="s">
        <v>1096</v>
      </c>
      <c r="D393" s="14">
        <v>0</v>
      </c>
      <c r="E393" s="14">
        <v>0</v>
      </c>
      <c r="F393" s="14">
        <v>0</v>
      </c>
      <c r="G393" s="14" t="s">
        <v>196</v>
      </c>
      <c r="H393" s="14" t="s">
        <v>453</v>
      </c>
      <c r="I393" s="15" t="s">
        <v>414</v>
      </c>
      <c r="J393" s="14">
        <v>24</v>
      </c>
      <c r="K393" t="s">
        <v>454</v>
      </c>
      <c r="L393">
        <v>24</v>
      </c>
      <c r="M393">
        <v>0</v>
      </c>
      <c r="N393" s="10" t="s">
        <v>903</v>
      </c>
    </row>
    <row r="394" spans="2:14" ht="33" customHeight="1" x14ac:dyDescent="0.3">
      <c r="B394" s="14" t="s">
        <v>1091</v>
      </c>
      <c r="C394" s="14" t="s">
        <v>1096</v>
      </c>
      <c r="D394" s="14">
        <v>0</v>
      </c>
      <c r="E394" s="14">
        <v>0</v>
      </c>
      <c r="F394" s="14">
        <v>0</v>
      </c>
      <c r="G394" s="14" t="s">
        <v>178</v>
      </c>
      <c r="H394" s="14" t="s">
        <v>483</v>
      </c>
      <c r="I394" s="15" t="s">
        <v>414</v>
      </c>
      <c r="J394" s="14">
        <v>24</v>
      </c>
      <c r="K394" t="s">
        <v>1098</v>
      </c>
      <c r="L394">
        <v>0</v>
      </c>
      <c r="M394">
        <v>24</v>
      </c>
      <c r="N394" s="10" t="s">
        <v>462</v>
      </c>
    </row>
    <row r="395" spans="2:14" ht="33" customHeight="1" x14ac:dyDescent="0.3">
      <c r="B395" s="14" t="s">
        <v>1091</v>
      </c>
      <c r="C395" s="14" t="s">
        <v>1096</v>
      </c>
      <c r="D395" s="14">
        <v>0</v>
      </c>
      <c r="E395" s="14">
        <v>0</v>
      </c>
      <c r="F395" s="14">
        <v>0</v>
      </c>
      <c r="G395" s="14" t="s">
        <v>77</v>
      </c>
      <c r="H395" s="14" t="s">
        <v>567</v>
      </c>
      <c r="I395" s="15" t="s">
        <v>414</v>
      </c>
      <c r="J395" s="14">
        <v>24</v>
      </c>
      <c r="K395" t="s">
        <v>878</v>
      </c>
      <c r="L395">
        <v>24</v>
      </c>
      <c r="M395">
        <v>0</v>
      </c>
      <c r="N395" s="10" t="s">
        <v>903</v>
      </c>
    </row>
    <row r="396" spans="2:14" ht="33" customHeight="1" x14ac:dyDescent="0.3">
      <c r="B396" s="14">
        <v>0</v>
      </c>
      <c r="C396" s="14">
        <v>0</v>
      </c>
      <c r="D396" s="14">
        <v>0</v>
      </c>
      <c r="E396" s="14">
        <v>0</v>
      </c>
      <c r="F396" s="14">
        <v>0</v>
      </c>
      <c r="G396" s="14">
        <v>0</v>
      </c>
      <c r="H396" s="14" t="s">
        <v>417</v>
      </c>
      <c r="I396" s="15" t="s">
        <v>417</v>
      </c>
      <c r="J396" s="14">
        <v>0</v>
      </c>
      <c r="K396">
        <v>0</v>
      </c>
      <c r="L396">
        <v>0</v>
      </c>
      <c r="M396">
        <v>0</v>
      </c>
      <c r="N396" s="10">
        <v>0</v>
      </c>
    </row>
    <row r="397" spans="2:14" ht="33" customHeight="1" x14ac:dyDescent="0.3">
      <c r="B397" s="14" t="s">
        <v>530</v>
      </c>
      <c r="C397" s="14" t="s">
        <v>1099</v>
      </c>
      <c r="D397" s="14" t="s">
        <v>1100</v>
      </c>
      <c r="E397" s="14" t="s">
        <v>1101</v>
      </c>
      <c r="F397" s="14" t="s">
        <v>925</v>
      </c>
      <c r="G397" s="14" t="s">
        <v>535</v>
      </c>
      <c r="H397" s="14" t="s">
        <v>536</v>
      </c>
      <c r="I397" s="15" t="s">
        <v>537</v>
      </c>
      <c r="J397" s="14">
        <v>1000</v>
      </c>
      <c r="K397" t="s">
        <v>538</v>
      </c>
      <c r="L397">
        <v>0</v>
      </c>
      <c r="M397">
        <v>1000</v>
      </c>
      <c r="N397" s="10" t="s">
        <v>452</v>
      </c>
    </row>
    <row r="398" spans="2:14" ht="33" customHeight="1" x14ac:dyDescent="0.3">
      <c r="B398" s="14">
        <v>0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  <c r="H398" s="14" t="s">
        <v>417</v>
      </c>
      <c r="I398" s="15" t="s">
        <v>417</v>
      </c>
      <c r="J398" s="14">
        <v>0</v>
      </c>
      <c r="K398">
        <v>0</v>
      </c>
      <c r="L398">
        <v>0</v>
      </c>
      <c r="M398">
        <v>0</v>
      </c>
      <c r="N398" s="10">
        <v>0</v>
      </c>
    </row>
    <row r="399" spans="2:14" ht="33" customHeight="1" x14ac:dyDescent="0.3">
      <c r="B399" s="14" t="s">
        <v>673</v>
      </c>
      <c r="C399" s="14" t="s">
        <v>1102</v>
      </c>
      <c r="D399" s="14" t="s">
        <v>1103</v>
      </c>
      <c r="E399" s="14" t="s">
        <v>1076</v>
      </c>
      <c r="F399" s="14">
        <v>0</v>
      </c>
      <c r="G399" s="14" t="s">
        <v>207</v>
      </c>
      <c r="H399" s="14" t="s">
        <v>457</v>
      </c>
      <c r="I399" s="15" t="s">
        <v>414</v>
      </c>
      <c r="J399" s="14">
        <v>72</v>
      </c>
      <c r="K399" t="s">
        <v>458</v>
      </c>
      <c r="L399">
        <v>72</v>
      </c>
      <c r="M399">
        <v>0</v>
      </c>
      <c r="N399" s="10" t="s">
        <v>903</v>
      </c>
    </row>
    <row r="400" spans="2:14" ht="33" customHeight="1" x14ac:dyDescent="0.3">
      <c r="B400" s="14" t="s">
        <v>673</v>
      </c>
      <c r="C400" s="14" t="s">
        <v>1102</v>
      </c>
      <c r="D400" s="14">
        <v>0</v>
      </c>
      <c r="E400" s="14">
        <v>0</v>
      </c>
      <c r="F400" s="14">
        <v>0</v>
      </c>
      <c r="G400" s="14" t="s">
        <v>390</v>
      </c>
      <c r="H400" s="14" t="s">
        <v>679</v>
      </c>
      <c r="I400" s="15" t="s">
        <v>414</v>
      </c>
      <c r="J400" s="14">
        <v>1440</v>
      </c>
      <c r="K400" t="s">
        <v>680</v>
      </c>
      <c r="L400">
        <v>0</v>
      </c>
      <c r="M400">
        <v>1440</v>
      </c>
      <c r="N400" s="10" t="s">
        <v>1104</v>
      </c>
    </row>
    <row r="401" spans="2:14" ht="33" customHeight="1" x14ac:dyDescent="0.3">
      <c r="B401" s="14" t="s">
        <v>673</v>
      </c>
      <c r="C401" s="14" t="s">
        <v>1102</v>
      </c>
      <c r="D401" s="14">
        <v>0</v>
      </c>
      <c r="E401" s="14">
        <v>0</v>
      </c>
      <c r="F401" s="14">
        <v>0</v>
      </c>
      <c r="G401" s="14" t="s">
        <v>406</v>
      </c>
      <c r="H401" s="14" t="s">
        <v>481</v>
      </c>
      <c r="I401" s="15" t="s">
        <v>414</v>
      </c>
      <c r="J401" s="14">
        <v>96</v>
      </c>
      <c r="K401" t="s">
        <v>482</v>
      </c>
      <c r="L401">
        <v>0</v>
      </c>
      <c r="M401">
        <v>96</v>
      </c>
      <c r="N401" s="10" t="s">
        <v>462</v>
      </c>
    </row>
    <row r="402" spans="2:14" ht="33" customHeight="1" x14ac:dyDescent="0.3">
      <c r="B402" s="14" t="s">
        <v>673</v>
      </c>
      <c r="C402" s="14" t="s">
        <v>1102</v>
      </c>
      <c r="D402" s="14">
        <v>0</v>
      </c>
      <c r="E402" s="14">
        <v>0</v>
      </c>
      <c r="F402" s="14">
        <v>0</v>
      </c>
      <c r="G402" s="14" t="s">
        <v>34</v>
      </c>
      <c r="H402" s="14" t="s">
        <v>468</v>
      </c>
      <c r="I402" s="15" t="s">
        <v>414</v>
      </c>
      <c r="J402" s="14">
        <v>120</v>
      </c>
      <c r="K402" t="s">
        <v>469</v>
      </c>
      <c r="L402">
        <v>0</v>
      </c>
      <c r="M402">
        <v>120</v>
      </c>
      <c r="N402" s="10" t="s">
        <v>462</v>
      </c>
    </row>
    <row r="403" spans="2:14" ht="33" customHeight="1" x14ac:dyDescent="0.3">
      <c r="B403" s="14" t="s">
        <v>673</v>
      </c>
      <c r="C403" s="14" t="s">
        <v>1102</v>
      </c>
      <c r="D403" s="14">
        <v>0</v>
      </c>
      <c r="E403" s="14">
        <v>0</v>
      </c>
      <c r="F403" s="14">
        <v>0</v>
      </c>
      <c r="G403" s="14" t="s">
        <v>260</v>
      </c>
      <c r="H403" s="14" t="s">
        <v>684</v>
      </c>
      <c r="I403" s="15" t="s">
        <v>414</v>
      </c>
      <c r="J403" s="14">
        <v>96</v>
      </c>
      <c r="K403" t="s">
        <v>685</v>
      </c>
      <c r="L403">
        <v>96</v>
      </c>
      <c r="M403">
        <v>0</v>
      </c>
      <c r="N403" s="10" t="s">
        <v>903</v>
      </c>
    </row>
    <row r="404" spans="2:14" ht="33" customHeight="1" x14ac:dyDescent="0.3">
      <c r="B404" s="14">
        <v>0</v>
      </c>
      <c r="C404" s="14">
        <v>0</v>
      </c>
      <c r="D404" s="14">
        <v>0</v>
      </c>
      <c r="E404" s="14">
        <v>0</v>
      </c>
      <c r="F404" s="14">
        <v>0</v>
      </c>
      <c r="G404" s="14">
        <v>0</v>
      </c>
      <c r="H404" s="14" t="s">
        <v>417</v>
      </c>
      <c r="I404" s="15" t="s">
        <v>417</v>
      </c>
      <c r="J404" s="14">
        <v>0</v>
      </c>
      <c r="K404">
        <v>0</v>
      </c>
      <c r="L404">
        <v>0</v>
      </c>
      <c r="M404">
        <v>0</v>
      </c>
      <c r="N404" s="10">
        <v>0</v>
      </c>
    </row>
    <row r="405" spans="2:14" ht="33" customHeight="1" x14ac:dyDescent="0.3">
      <c r="B405" s="14" t="s">
        <v>1105</v>
      </c>
      <c r="C405" s="14" t="s">
        <v>1106</v>
      </c>
      <c r="D405" s="14" t="s">
        <v>1107</v>
      </c>
      <c r="E405" s="14" t="s">
        <v>1108</v>
      </c>
      <c r="F405" s="14">
        <v>0</v>
      </c>
      <c r="G405" s="14" t="s">
        <v>126</v>
      </c>
      <c r="H405" s="14" t="s">
        <v>477</v>
      </c>
      <c r="I405" s="15" t="s">
        <v>1109</v>
      </c>
      <c r="J405" s="14">
        <v>500</v>
      </c>
      <c r="K405" t="s">
        <v>1110</v>
      </c>
      <c r="L405">
        <v>500</v>
      </c>
      <c r="M405">
        <v>0</v>
      </c>
      <c r="N405" s="10" t="s">
        <v>416</v>
      </c>
    </row>
    <row r="406" spans="2:14" ht="33" customHeight="1" x14ac:dyDescent="0.3">
      <c r="B406" s="14">
        <v>0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  <c r="H406" s="14" t="s">
        <v>417</v>
      </c>
      <c r="I406" s="15" t="s">
        <v>417</v>
      </c>
      <c r="J406" s="14">
        <v>0</v>
      </c>
      <c r="K406">
        <v>0</v>
      </c>
      <c r="L406">
        <v>0</v>
      </c>
      <c r="M406">
        <v>0</v>
      </c>
      <c r="N406" s="10">
        <v>0</v>
      </c>
    </row>
    <row r="407" spans="2:14" ht="33" customHeight="1" x14ac:dyDescent="0.3">
      <c r="B407" s="14" t="s">
        <v>1111</v>
      </c>
      <c r="C407" s="14" t="s">
        <v>1112</v>
      </c>
      <c r="D407" s="14" t="s">
        <v>1113</v>
      </c>
      <c r="E407" s="14" t="s">
        <v>1076</v>
      </c>
      <c r="F407" s="14">
        <v>0</v>
      </c>
      <c r="G407" s="14" t="s">
        <v>237</v>
      </c>
      <c r="H407" s="14" t="s">
        <v>445</v>
      </c>
      <c r="I407" s="15" t="s">
        <v>1114</v>
      </c>
      <c r="J407" s="14">
        <v>48</v>
      </c>
      <c r="K407" t="s">
        <v>1115</v>
      </c>
      <c r="L407">
        <v>0</v>
      </c>
      <c r="M407">
        <v>48</v>
      </c>
      <c r="N407" s="10" t="s">
        <v>447</v>
      </c>
    </row>
    <row r="408" spans="2:14" ht="33" customHeight="1" x14ac:dyDescent="0.3">
      <c r="B408" s="14" t="s">
        <v>1111</v>
      </c>
      <c r="C408" s="14" t="s">
        <v>1112</v>
      </c>
      <c r="D408" s="14" t="s">
        <v>1116</v>
      </c>
      <c r="E408" s="14">
        <v>0</v>
      </c>
      <c r="F408" s="14">
        <v>0</v>
      </c>
      <c r="G408" s="14" t="s">
        <v>194</v>
      </c>
      <c r="H408" s="14" t="s">
        <v>471</v>
      </c>
      <c r="I408" s="15" t="s">
        <v>1114</v>
      </c>
      <c r="J408" s="14">
        <v>120</v>
      </c>
      <c r="K408" t="s">
        <v>1117</v>
      </c>
      <c r="L408">
        <v>0</v>
      </c>
      <c r="M408">
        <v>120</v>
      </c>
      <c r="N408" s="10" t="s">
        <v>462</v>
      </c>
    </row>
    <row r="409" spans="2:14" ht="33" customHeight="1" x14ac:dyDescent="0.3">
      <c r="B409" s="14" t="s">
        <v>1111</v>
      </c>
      <c r="C409" s="14" t="s">
        <v>1112</v>
      </c>
      <c r="D409" s="14">
        <v>0</v>
      </c>
      <c r="E409" s="14">
        <v>0</v>
      </c>
      <c r="F409" s="14">
        <v>0</v>
      </c>
      <c r="G409" s="14" t="s">
        <v>52</v>
      </c>
      <c r="H409" s="14" t="s">
        <v>449</v>
      </c>
      <c r="I409" s="15" t="s">
        <v>1114</v>
      </c>
      <c r="J409" s="14">
        <v>240</v>
      </c>
      <c r="K409" t="s">
        <v>1118</v>
      </c>
      <c r="L409">
        <v>0</v>
      </c>
      <c r="M409">
        <v>240</v>
      </c>
      <c r="N409" s="10" t="s">
        <v>452</v>
      </c>
    </row>
    <row r="410" spans="2:14" ht="33" customHeight="1" x14ac:dyDescent="0.3">
      <c r="B410" s="14" t="s">
        <v>1111</v>
      </c>
      <c r="C410" s="14" t="s">
        <v>1112</v>
      </c>
      <c r="D410" s="14">
        <v>0</v>
      </c>
      <c r="E410" s="14">
        <v>0</v>
      </c>
      <c r="F410" s="14">
        <v>0</v>
      </c>
      <c r="G410" s="14" t="s">
        <v>153</v>
      </c>
      <c r="H410" s="14" t="s">
        <v>1119</v>
      </c>
      <c r="I410" s="15" t="s">
        <v>1114</v>
      </c>
      <c r="J410" s="14">
        <v>240</v>
      </c>
      <c r="K410" t="s">
        <v>1120</v>
      </c>
      <c r="L410">
        <v>0</v>
      </c>
      <c r="M410">
        <v>240</v>
      </c>
      <c r="N410" s="10" t="s">
        <v>693</v>
      </c>
    </row>
    <row r="411" spans="2:14" ht="33" customHeight="1" x14ac:dyDescent="0.3">
      <c r="B411" s="14" t="s">
        <v>1111</v>
      </c>
      <c r="C411" s="14" t="s">
        <v>1112</v>
      </c>
      <c r="D411" s="14">
        <v>0</v>
      </c>
      <c r="E411" s="14">
        <v>0</v>
      </c>
      <c r="F411" s="14">
        <v>0</v>
      </c>
      <c r="G411" s="14" t="s">
        <v>377</v>
      </c>
      <c r="H411" s="14" t="s">
        <v>455</v>
      </c>
      <c r="I411" s="15" t="s">
        <v>1114</v>
      </c>
      <c r="J411" s="14">
        <v>120</v>
      </c>
      <c r="K411" t="s">
        <v>1121</v>
      </c>
      <c r="L411">
        <v>120</v>
      </c>
      <c r="M411">
        <v>0</v>
      </c>
      <c r="N411" s="10" t="s">
        <v>903</v>
      </c>
    </row>
    <row r="412" spans="2:14" ht="33" customHeight="1" x14ac:dyDescent="0.3">
      <c r="B412" s="14">
        <v>0</v>
      </c>
      <c r="C412" s="14">
        <v>0</v>
      </c>
      <c r="D412" s="14">
        <v>0</v>
      </c>
      <c r="E412" s="14">
        <v>0</v>
      </c>
      <c r="F412" s="14">
        <v>0</v>
      </c>
      <c r="G412" s="14">
        <v>0</v>
      </c>
      <c r="H412" s="14" t="s">
        <v>417</v>
      </c>
      <c r="I412" s="15" t="s">
        <v>417</v>
      </c>
      <c r="J412" s="14">
        <v>0</v>
      </c>
      <c r="K412">
        <v>0</v>
      </c>
      <c r="L412">
        <v>0</v>
      </c>
      <c r="M412">
        <v>0</v>
      </c>
      <c r="N412" s="10">
        <v>0</v>
      </c>
    </row>
    <row r="413" spans="2:14" ht="33" customHeight="1" x14ac:dyDescent="0.3">
      <c r="B413" s="14" t="s">
        <v>422</v>
      </c>
      <c r="C413" s="14" t="s">
        <v>1122</v>
      </c>
      <c r="D413" s="14" t="s">
        <v>1123</v>
      </c>
      <c r="E413" s="14" t="s">
        <v>1101</v>
      </c>
      <c r="F413" s="14">
        <v>0</v>
      </c>
      <c r="G413" s="14" t="s">
        <v>373</v>
      </c>
      <c r="H413" s="14" t="s">
        <v>455</v>
      </c>
      <c r="I413" s="15" t="s">
        <v>414</v>
      </c>
      <c r="J413" s="14">
        <v>1008</v>
      </c>
      <c r="K413" t="s">
        <v>456</v>
      </c>
      <c r="L413">
        <v>696</v>
      </c>
      <c r="M413">
        <v>312</v>
      </c>
      <c r="N413" s="10" t="s">
        <v>502</v>
      </c>
    </row>
    <row r="414" spans="2:14" ht="33" customHeight="1" x14ac:dyDescent="0.3">
      <c r="B414" s="14" t="s">
        <v>422</v>
      </c>
      <c r="C414" s="14" t="s">
        <v>1122</v>
      </c>
      <c r="D414" s="14" t="s">
        <v>1124</v>
      </c>
      <c r="E414" s="14">
        <v>0</v>
      </c>
      <c r="F414" s="14">
        <v>0</v>
      </c>
      <c r="G414" s="14" t="s">
        <v>90</v>
      </c>
      <c r="H414" s="14" t="s">
        <v>481</v>
      </c>
      <c r="I414" s="15" t="s">
        <v>450</v>
      </c>
      <c r="J414" s="14">
        <v>1512</v>
      </c>
      <c r="K414" t="s">
        <v>1083</v>
      </c>
      <c r="L414">
        <v>0</v>
      </c>
      <c r="M414">
        <v>1512</v>
      </c>
      <c r="N414" s="10" t="s">
        <v>991</v>
      </c>
    </row>
    <row r="415" spans="2:14" ht="33" customHeight="1" x14ac:dyDescent="0.3">
      <c r="B415" s="14" t="s">
        <v>422</v>
      </c>
      <c r="C415" s="14" t="s">
        <v>1122</v>
      </c>
      <c r="D415" s="14">
        <v>0</v>
      </c>
      <c r="E415" s="14">
        <v>0</v>
      </c>
      <c r="F415" s="14">
        <v>0</v>
      </c>
      <c r="G415" s="14" t="s">
        <v>359</v>
      </c>
      <c r="H415" s="14" t="s">
        <v>713</v>
      </c>
      <c r="I415" s="15" t="s">
        <v>704</v>
      </c>
      <c r="J415" s="14">
        <v>2160</v>
      </c>
      <c r="K415" t="s">
        <v>714</v>
      </c>
      <c r="L415">
        <v>0</v>
      </c>
      <c r="M415">
        <v>2160</v>
      </c>
      <c r="N415" s="10" t="s">
        <v>991</v>
      </c>
    </row>
    <row r="416" spans="2:14" ht="33" customHeight="1" x14ac:dyDescent="0.3">
      <c r="B416" s="14" t="s">
        <v>422</v>
      </c>
      <c r="C416" s="14" t="s">
        <v>1122</v>
      </c>
      <c r="D416" s="14">
        <v>0</v>
      </c>
      <c r="E416" s="14">
        <v>0</v>
      </c>
      <c r="F416" s="14">
        <v>0</v>
      </c>
      <c r="G416" s="14" t="s">
        <v>150</v>
      </c>
      <c r="H416" s="14" t="s">
        <v>1119</v>
      </c>
      <c r="I416" s="15" t="s">
        <v>704</v>
      </c>
      <c r="J416" s="14">
        <v>1512</v>
      </c>
      <c r="K416" t="s">
        <v>1125</v>
      </c>
      <c r="L416">
        <v>0</v>
      </c>
      <c r="M416">
        <v>1512</v>
      </c>
      <c r="N416" s="10" t="s">
        <v>991</v>
      </c>
    </row>
    <row r="417" spans="2:14" ht="33" customHeight="1" x14ac:dyDescent="0.3">
      <c r="B417" s="14" t="s">
        <v>422</v>
      </c>
      <c r="C417" s="14" t="s">
        <v>1122</v>
      </c>
      <c r="D417" s="14">
        <v>0</v>
      </c>
      <c r="E417" s="14">
        <v>0</v>
      </c>
      <c r="F417" s="14">
        <v>0</v>
      </c>
      <c r="G417" s="14" t="s">
        <v>695</v>
      </c>
      <c r="H417" s="14" t="s">
        <v>696</v>
      </c>
      <c r="I417" s="15" t="s">
        <v>414</v>
      </c>
      <c r="J417" s="14">
        <v>1008</v>
      </c>
      <c r="K417" t="s">
        <v>697</v>
      </c>
      <c r="L417">
        <v>0</v>
      </c>
      <c r="M417">
        <v>1008</v>
      </c>
      <c r="N417" s="10" t="s">
        <v>991</v>
      </c>
    </row>
    <row r="418" spans="2:14" ht="33" customHeight="1" x14ac:dyDescent="0.3">
      <c r="B418" s="14" t="s">
        <v>422</v>
      </c>
      <c r="C418" s="14" t="s">
        <v>1122</v>
      </c>
      <c r="D418" s="14">
        <v>0</v>
      </c>
      <c r="E418" s="14">
        <v>0</v>
      </c>
      <c r="F418" s="14">
        <v>0</v>
      </c>
      <c r="G418" s="14" t="s">
        <v>176</v>
      </c>
      <c r="H418" s="14" t="s">
        <v>483</v>
      </c>
      <c r="I418" s="15" t="s">
        <v>450</v>
      </c>
      <c r="J418" s="14">
        <v>1008</v>
      </c>
      <c r="K418" t="s">
        <v>707</v>
      </c>
      <c r="L418">
        <v>0</v>
      </c>
      <c r="M418">
        <v>1008</v>
      </c>
      <c r="N418" s="10" t="s">
        <v>991</v>
      </c>
    </row>
    <row r="419" spans="2:14" ht="33" customHeight="1" x14ac:dyDescent="0.3">
      <c r="B419" s="14" t="s">
        <v>422</v>
      </c>
      <c r="C419" s="14" t="s">
        <v>1122</v>
      </c>
      <c r="D419" s="14">
        <v>0</v>
      </c>
      <c r="E419" s="14">
        <v>0</v>
      </c>
      <c r="F419" s="14">
        <v>0</v>
      </c>
      <c r="G419" s="14" t="s">
        <v>390</v>
      </c>
      <c r="H419" s="14" t="s">
        <v>679</v>
      </c>
      <c r="I419" s="15" t="s">
        <v>414</v>
      </c>
      <c r="J419" s="14">
        <v>2016</v>
      </c>
      <c r="K419" t="s">
        <v>680</v>
      </c>
      <c r="L419">
        <v>164</v>
      </c>
      <c r="M419">
        <v>1852</v>
      </c>
      <c r="N419" s="10" t="s">
        <v>991</v>
      </c>
    </row>
    <row r="420" spans="2:14" ht="33" customHeight="1" x14ac:dyDescent="0.3">
      <c r="B420" s="14" t="s">
        <v>422</v>
      </c>
      <c r="C420" s="14" t="s">
        <v>1122</v>
      </c>
      <c r="D420" s="14">
        <v>0</v>
      </c>
      <c r="E420" s="14">
        <v>0</v>
      </c>
      <c r="F420" s="14">
        <v>0</v>
      </c>
      <c r="G420" s="14" t="s">
        <v>1126</v>
      </c>
      <c r="H420" s="14" t="s">
        <v>552</v>
      </c>
      <c r="I420" s="15" t="s">
        <v>1069</v>
      </c>
      <c r="J420" s="14">
        <v>1008</v>
      </c>
      <c r="K420" t="s">
        <v>553</v>
      </c>
      <c r="L420">
        <v>0</v>
      </c>
      <c r="M420">
        <v>1008</v>
      </c>
      <c r="N420" s="10" t="s">
        <v>991</v>
      </c>
    </row>
    <row r="421" spans="2:14" ht="33" customHeight="1" x14ac:dyDescent="0.3">
      <c r="B421" s="14" t="s">
        <v>422</v>
      </c>
      <c r="C421" s="14" t="s">
        <v>1122</v>
      </c>
      <c r="D421" s="14">
        <v>0</v>
      </c>
      <c r="E421" s="14">
        <v>0</v>
      </c>
      <c r="F421" s="14">
        <v>0</v>
      </c>
      <c r="G421" s="14" t="s">
        <v>397</v>
      </c>
      <c r="H421" s="14" t="s">
        <v>1127</v>
      </c>
      <c r="I421" s="15" t="s">
        <v>414</v>
      </c>
      <c r="J421" s="14">
        <v>1008</v>
      </c>
      <c r="K421" t="s">
        <v>1128</v>
      </c>
      <c r="L421">
        <v>0</v>
      </c>
      <c r="M421">
        <v>1008</v>
      </c>
      <c r="N421" s="10" t="s">
        <v>991</v>
      </c>
    </row>
    <row r="422" spans="2:14" ht="33" customHeight="1" x14ac:dyDescent="0.3">
      <c r="B422" s="14">
        <v>0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 t="s">
        <v>417</v>
      </c>
      <c r="I422" s="15" t="s">
        <v>417</v>
      </c>
      <c r="J422" s="14">
        <v>0</v>
      </c>
      <c r="K422">
        <v>0</v>
      </c>
      <c r="L422">
        <v>0</v>
      </c>
      <c r="M422">
        <v>0</v>
      </c>
      <c r="N422" s="10">
        <v>0</v>
      </c>
    </row>
    <row r="423" spans="2:14" ht="33" customHeight="1" x14ac:dyDescent="0.3">
      <c r="B423" s="14" t="s">
        <v>1032</v>
      </c>
      <c r="C423" s="14" t="s">
        <v>1129</v>
      </c>
      <c r="D423" s="14" t="s">
        <v>1123</v>
      </c>
      <c r="E423" s="14" t="s">
        <v>1076</v>
      </c>
      <c r="F423" s="14">
        <v>0</v>
      </c>
      <c r="G423" s="14" t="s">
        <v>290</v>
      </c>
      <c r="H423" s="14" t="s">
        <v>486</v>
      </c>
      <c r="I423" s="15" t="s">
        <v>414</v>
      </c>
      <c r="J423" s="14">
        <v>400</v>
      </c>
      <c r="K423" t="s">
        <v>487</v>
      </c>
      <c r="L423">
        <v>400</v>
      </c>
      <c r="M423">
        <v>0</v>
      </c>
      <c r="N423" s="10" t="s">
        <v>903</v>
      </c>
    </row>
    <row r="424" spans="2:14" ht="33" customHeight="1" x14ac:dyDescent="0.3">
      <c r="B424" s="14" t="s">
        <v>1032</v>
      </c>
      <c r="C424" s="14" t="s">
        <v>1129</v>
      </c>
      <c r="D424" s="14" t="s">
        <v>1124</v>
      </c>
      <c r="E424" s="14">
        <v>0</v>
      </c>
      <c r="F424" s="14" t="s">
        <v>1130</v>
      </c>
      <c r="G424" s="14" t="s">
        <v>304</v>
      </c>
      <c r="H424" s="14" t="s">
        <v>584</v>
      </c>
      <c r="I424" s="15" t="s">
        <v>414</v>
      </c>
      <c r="J424" s="14">
        <v>300</v>
      </c>
      <c r="K424" t="s">
        <v>851</v>
      </c>
      <c r="L424">
        <v>300</v>
      </c>
      <c r="M424">
        <v>0</v>
      </c>
      <c r="N424" s="10" t="s">
        <v>903</v>
      </c>
    </row>
    <row r="425" spans="2:14" ht="33" customHeight="1" x14ac:dyDescent="0.3">
      <c r="B425" s="14">
        <v>0</v>
      </c>
      <c r="C425" s="14">
        <v>0</v>
      </c>
      <c r="D425" s="14">
        <v>0</v>
      </c>
      <c r="E425" s="14">
        <v>0</v>
      </c>
      <c r="F425" s="14">
        <v>0</v>
      </c>
      <c r="G425" s="14">
        <v>0</v>
      </c>
      <c r="H425" s="14" t="s">
        <v>417</v>
      </c>
      <c r="I425" s="15" t="s">
        <v>417</v>
      </c>
      <c r="J425" s="14">
        <v>0</v>
      </c>
      <c r="K425">
        <v>0</v>
      </c>
      <c r="L425">
        <v>0</v>
      </c>
      <c r="M425">
        <v>0</v>
      </c>
      <c r="N425" s="10">
        <v>0</v>
      </c>
    </row>
    <row r="426" spans="2:14" ht="33" customHeight="1" x14ac:dyDescent="0.3">
      <c r="B426" s="14" t="s">
        <v>835</v>
      </c>
      <c r="C426" s="14" t="s">
        <v>1131</v>
      </c>
      <c r="D426" s="14" t="s">
        <v>1132</v>
      </c>
      <c r="E426" s="14" t="s">
        <v>1133</v>
      </c>
      <c r="F426" s="14">
        <v>0</v>
      </c>
      <c r="G426" s="14" t="s">
        <v>1134</v>
      </c>
      <c r="H426" s="14" t="s">
        <v>441</v>
      </c>
      <c r="I426" s="15" t="s">
        <v>840</v>
      </c>
      <c r="J426" s="14">
        <v>1100</v>
      </c>
      <c r="K426">
        <v>0</v>
      </c>
      <c r="L426">
        <v>0</v>
      </c>
      <c r="M426">
        <v>0</v>
      </c>
      <c r="N426" s="10" t="s">
        <v>429</v>
      </c>
    </row>
    <row r="427" spans="2:14" ht="33" customHeight="1" x14ac:dyDescent="0.3">
      <c r="B427" s="14" t="s">
        <v>835</v>
      </c>
      <c r="C427" s="14" t="s">
        <v>1131</v>
      </c>
      <c r="D427" s="14" t="s">
        <v>1135</v>
      </c>
      <c r="E427" s="14">
        <v>0</v>
      </c>
      <c r="F427" s="14">
        <v>0</v>
      </c>
      <c r="G427" s="14" t="s">
        <v>409</v>
      </c>
      <c r="H427" s="14" t="s">
        <v>445</v>
      </c>
      <c r="I427" s="15" t="s">
        <v>840</v>
      </c>
      <c r="J427" s="14">
        <v>550</v>
      </c>
      <c r="K427">
        <v>0</v>
      </c>
      <c r="L427">
        <v>0</v>
      </c>
      <c r="M427">
        <v>0</v>
      </c>
      <c r="N427" s="10" t="s">
        <v>429</v>
      </c>
    </row>
    <row r="428" spans="2:14" ht="33" customHeight="1" x14ac:dyDescent="0.3">
      <c r="B428" s="14" t="s">
        <v>835</v>
      </c>
      <c r="C428" s="14" t="s">
        <v>1131</v>
      </c>
      <c r="D428" s="14" t="s">
        <v>1136</v>
      </c>
      <c r="E428" s="14">
        <v>0</v>
      </c>
      <c r="F428" s="14">
        <v>0</v>
      </c>
      <c r="G428" s="14" t="s">
        <v>1137</v>
      </c>
      <c r="H428" s="14" t="s">
        <v>567</v>
      </c>
      <c r="I428" s="15" t="s">
        <v>840</v>
      </c>
      <c r="J428" s="14">
        <v>550</v>
      </c>
      <c r="K428">
        <v>0</v>
      </c>
      <c r="L428">
        <v>0</v>
      </c>
      <c r="M428">
        <v>0</v>
      </c>
      <c r="N428" s="10" t="s">
        <v>429</v>
      </c>
    </row>
    <row r="429" spans="2:14" ht="33" customHeight="1" x14ac:dyDescent="0.3">
      <c r="B429" s="14" t="s">
        <v>835</v>
      </c>
      <c r="C429" s="14" t="s">
        <v>1131</v>
      </c>
      <c r="D429" s="14">
        <v>0</v>
      </c>
      <c r="E429" s="14">
        <v>0</v>
      </c>
      <c r="F429" s="14" t="s">
        <v>1138</v>
      </c>
      <c r="G429" s="14" t="s">
        <v>326</v>
      </c>
      <c r="H429" s="14" t="s">
        <v>1139</v>
      </c>
      <c r="I429" s="15" t="s">
        <v>840</v>
      </c>
      <c r="J429" s="14">
        <v>126</v>
      </c>
      <c r="K429">
        <v>0</v>
      </c>
      <c r="L429">
        <v>0</v>
      </c>
      <c r="M429">
        <v>0</v>
      </c>
      <c r="N429" s="10" t="s">
        <v>429</v>
      </c>
    </row>
    <row r="430" spans="2:14" ht="33" customHeight="1" x14ac:dyDescent="0.3">
      <c r="B430" s="14" t="s">
        <v>835</v>
      </c>
      <c r="C430" s="14" t="s">
        <v>1131</v>
      </c>
      <c r="D430" s="14">
        <v>0</v>
      </c>
      <c r="E430" s="14">
        <v>0</v>
      </c>
      <c r="F430" s="14" t="s">
        <v>1140</v>
      </c>
      <c r="G430" s="14" t="s">
        <v>271</v>
      </c>
      <c r="H430" s="14" t="s">
        <v>435</v>
      </c>
      <c r="I430" s="15" t="s">
        <v>840</v>
      </c>
      <c r="J430" s="14">
        <v>720</v>
      </c>
      <c r="K430">
        <v>0</v>
      </c>
      <c r="L430">
        <v>0</v>
      </c>
      <c r="M430">
        <v>0</v>
      </c>
      <c r="N430" s="10" t="s">
        <v>429</v>
      </c>
    </row>
    <row r="431" spans="2:14" ht="33" customHeight="1" x14ac:dyDescent="0.3">
      <c r="B431" s="14">
        <v>0</v>
      </c>
      <c r="C431" s="14">
        <v>0</v>
      </c>
      <c r="D431" s="14">
        <v>0</v>
      </c>
      <c r="E431" s="14">
        <v>0</v>
      </c>
      <c r="F431" s="14">
        <v>0</v>
      </c>
      <c r="G431" s="14">
        <v>0</v>
      </c>
      <c r="H431" s="14" t="s">
        <v>417</v>
      </c>
      <c r="I431" s="15" t="s">
        <v>417</v>
      </c>
      <c r="J431" s="14">
        <v>0</v>
      </c>
      <c r="K431">
        <v>0</v>
      </c>
      <c r="L431">
        <v>0</v>
      </c>
      <c r="M431">
        <v>0</v>
      </c>
      <c r="N431" s="10">
        <v>0</v>
      </c>
    </row>
    <row r="432" spans="2:14" ht="33" customHeight="1" x14ac:dyDescent="0.3">
      <c r="B432" s="14" t="s">
        <v>835</v>
      </c>
      <c r="C432" s="14" t="s">
        <v>1141</v>
      </c>
      <c r="D432" s="14" t="s">
        <v>1132</v>
      </c>
      <c r="E432" s="14" t="s">
        <v>1133</v>
      </c>
      <c r="F432" s="14">
        <v>0</v>
      </c>
      <c r="G432" s="14" t="s">
        <v>1142</v>
      </c>
      <c r="H432" s="14" t="s">
        <v>709</v>
      </c>
      <c r="I432" s="15" t="s">
        <v>840</v>
      </c>
      <c r="J432" s="14">
        <v>1000</v>
      </c>
      <c r="K432">
        <v>0</v>
      </c>
      <c r="L432">
        <v>0</v>
      </c>
      <c r="M432">
        <v>0</v>
      </c>
      <c r="N432" s="10" t="s">
        <v>429</v>
      </c>
    </row>
    <row r="433" spans="2:14" ht="33" customHeight="1" x14ac:dyDescent="0.3">
      <c r="B433" s="14" t="s">
        <v>835</v>
      </c>
      <c r="C433" s="14" t="s">
        <v>1141</v>
      </c>
      <c r="D433" s="14" t="s">
        <v>1135</v>
      </c>
      <c r="E433" s="14">
        <v>0</v>
      </c>
      <c r="F433" s="14">
        <v>0</v>
      </c>
      <c r="G433" s="14" t="s">
        <v>1143</v>
      </c>
      <c r="H433" s="14" t="s">
        <v>1119</v>
      </c>
      <c r="I433" s="15" t="s">
        <v>840</v>
      </c>
      <c r="J433" s="14">
        <v>1500</v>
      </c>
      <c r="K433">
        <v>0</v>
      </c>
      <c r="L433">
        <v>0</v>
      </c>
      <c r="M433">
        <v>0</v>
      </c>
      <c r="N433" s="10" t="s">
        <v>429</v>
      </c>
    </row>
    <row r="434" spans="2:14" ht="33" customHeight="1" x14ac:dyDescent="0.3">
      <c r="B434" s="14" t="s">
        <v>835</v>
      </c>
      <c r="C434" s="14" t="s">
        <v>1141</v>
      </c>
      <c r="D434" s="14" t="s">
        <v>1136</v>
      </c>
      <c r="E434" s="14">
        <v>0</v>
      </c>
      <c r="F434" s="14">
        <v>0</v>
      </c>
      <c r="G434" s="14" t="s">
        <v>1144</v>
      </c>
      <c r="H434" s="14" t="s">
        <v>453</v>
      </c>
      <c r="I434" s="15" t="s">
        <v>840</v>
      </c>
      <c r="J434" s="14">
        <v>1500</v>
      </c>
      <c r="K434">
        <v>0</v>
      </c>
      <c r="L434">
        <v>0</v>
      </c>
      <c r="M434">
        <v>0</v>
      </c>
      <c r="N434" s="10" t="s">
        <v>429</v>
      </c>
    </row>
    <row r="435" spans="2:14" ht="33" customHeight="1" x14ac:dyDescent="0.3">
      <c r="B435" s="14">
        <v>0</v>
      </c>
      <c r="C435" s="14">
        <v>0</v>
      </c>
      <c r="D435" s="14">
        <v>0</v>
      </c>
      <c r="E435" s="14">
        <v>0</v>
      </c>
      <c r="F435" s="14">
        <v>0</v>
      </c>
      <c r="G435" s="14">
        <v>0</v>
      </c>
      <c r="H435" s="14" t="s">
        <v>417</v>
      </c>
      <c r="I435" s="15" t="s">
        <v>417</v>
      </c>
      <c r="J435" s="14">
        <v>0</v>
      </c>
      <c r="K435">
        <v>0</v>
      </c>
      <c r="L435">
        <v>0</v>
      </c>
      <c r="M435">
        <v>0</v>
      </c>
      <c r="N435" s="10">
        <v>0</v>
      </c>
    </row>
    <row r="436" spans="2:14" ht="33" customHeight="1" x14ac:dyDescent="0.3">
      <c r="B436" s="14" t="s">
        <v>539</v>
      </c>
      <c r="C436" s="14" t="s">
        <v>1145</v>
      </c>
      <c r="D436" s="14" t="s">
        <v>1146</v>
      </c>
      <c r="E436" s="14" t="s">
        <v>1101</v>
      </c>
      <c r="F436" s="14">
        <v>0</v>
      </c>
      <c r="G436" s="14" t="s">
        <v>90</v>
      </c>
      <c r="H436" s="14" t="s">
        <v>481</v>
      </c>
      <c r="I436" s="15" t="s">
        <v>450</v>
      </c>
      <c r="J436" s="14">
        <v>3395</v>
      </c>
      <c r="K436">
        <v>0</v>
      </c>
      <c r="L436">
        <v>0</v>
      </c>
      <c r="M436">
        <v>3395</v>
      </c>
      <c r="N436" s="10" t="s">
        <v>991</v>
      </c>
    </row>
    <row r="437" spans="2:14" ht="33" customHeight="1" x14ac:dyDescent="0.3">
      <c r="B437" s="14" t="s">
        <v>539</v>
      </c>
      <c r="C437" s="14" t="s">
        <v>1145</v>
      </c>
      <c r="D437" s="14" t="s">
        <v>1147</v>
      </c>
      <c r="E437" s="14">
        <v>0</v>
      </c>
      <c r="F437" s="14">
        <v>0</v>
      </c>
      <c r="G437" s="14" t="s">
        <v>233</v>
      </c>
      <c r="H437" s="14" t="s">
        <v>445</v>
      </c>
      <c r="I437" s="15" t="s">
        <v>450</v>
      </c>
      <c r="J437" s="14">
        <v>1298</v>
      </c>
      <c r="K437">
        <v>0</v>
      </c>
      <c r="L437">
        <v>0</v>
      </c>
      <c r="M437">
        <v>1298</v>
      </c>
      <c r="N437" s="10" t="s">
        <v>991</v>
      </c>
    </row>
    <row r="438" spans="2:14" ht="33" customHeight="1" x14ac:dyDescent="0.3">
      <c r="B438" s="14" t="s">
        <v>539</v>
      </c>
      <c r="C438" s="14" t="s">
        <v>1145</v>
      </c>
      <c r="D438" s="14">
        <v>0</v>
      </c>
      <c r="E438" s="14">
        <v>0</v>
      </c>
      <c r="F438" s="14">
        <v>0</v>
      </c>
      <c r="G438" s="14" t="s">
        <v>185</v>
      </c>
      <c r="H438" s="14" t="s">
        <v>471</v>
      </c>
      <c r="I438" s="15" t="s">
        <v>450</v>
      </c>
      <c r="J438" s="14">
        <v>1048</v>
      </c>
      <c r="K438">
        <v>0</v>
      </c>
      <c r="L438">
        <v>0</v>
      </c>
      <c r="M438">
        <v>1048</v>
      </c>
      <c r="N438" s="10" t="s">
        <v>991</v>
      </c>
    </row>
    <row r="439" spans="2:14" ht="33" customHeight="1" x14ac:dyDescent="0.3">
      <c r="B439" s="14" t="s">
        <v>539</v>
      </c>
      <c r="C439" s="14" t="s">
        <v>1145</v>
      </c>
      <c r="D439" s="14">
        <v>0</v>
      </c>
      <c r="E439" s="14">
        <v>0</v>
      </c>
      <c r="F439" s="14">
        <v>0</v>
      </c>
      <c r="G439" s="14" t="s">
        <v>34</v>
      </c>
      <c r="H439" s="14" t="s">
        <v>468</v>
      </c>
      <c r="I439" s="15" t="s">
        <v>414</v>
      </c>
      <c r="J439" s="14">
        <v>3395</v>
      </c>
      <c r="K439">
        <v>0</v>
      </c>
      <c r="L439">
        <v>0</v>
      </c>
      <c r="M439">
        <v>3395</v>
      </c>
      <c r="N439" s="10" t="s">
        <v>991</v>
      </c>
    </row>
    <row r="440" spans="2:14" ht="33" customHeight="1" x14ac:dyDescent="0.3">
      <c r="B440" s="14" t="s">
        <v>539</v>
      </c>
      <c r="C440" s="14" t="s">
        <v>1145</v>
      </c>
      <c r="D440" s="14">
        <v>0</v>
      </c>
      <c r="E440" s="14">
        <v>0</v>
      </c>
      <c r="F440" s="14">
        <v>0</v>
      </c>
      <c r="G440" s="14" t="s">
        <v>139</v>
      </c>
      <c r="H440" s="14" t="s">
        <v>460</v>
      </c>
      <c r="I440" s="15" t="s">
        <v>450</v>
      </c>
      <c r="J440" s="14">
        <v>1847</v>
      </c>
      <c r="K440">
        <v>0</v>
      </c>
      <c r="L440">
        <v>0</v>
      </c>
      <c r="M440">
        <v>0</v>
      </c>
      <c r="N440" s="10" t="s">
        <v>447</v>
      </c>
    </row>
    <row r="441" spans="2:14" ht="33" customHeight="1" x14ac:dyDescent="0.3">
      <c r="B441" s="14" t="s">
        <v>539</v>
      </c>
      <c r="C441" s="14" t="s">
        <v>1145</v>
      </c>
      <c r="D441" s="14">
        <v>0</v>
      </c>
      <c r="E441" s="14">
        <v>0</v>
      </c>
      <c r="F441" s="14">
        <v>0</v>
      </c>
      <c r="G441" s="14" t="s">
        <v>299</v>
      </c>
      <c r="H441" s="14" t="s">
        <v>677</v>
      </c>
      <c r="I441" s="15" t="s">
        <v>414</v>
      </c>
      <c r="J441" s="14">
        <v>1048</v>
      </c>
      <c r="K441">
        <v>0</v>
      </c>
      <c r="L441">
        <v>1048</v>
      </c>
      <c r="M441">
        <v>0</v>
      </c>
      <c r="N441" s="10" t="s">
        <v>903</v>
      </c>
    </row>
    <row r="442" spans="2:14" ht="33" customHeight="1" x14ac:dyDescent="0.3">
      <c r="B442" s="14" t="s">
        <v>539</v>
      </c>
      <c r="C442" s="14" t="s">
        <v>1145</v>
      </c>
      <c r="D442" s="14">
        <v>0</v>
      </c>
      <c r="E442" s="14">
        <v>0</v>
      </c>
      <c r="F442" s="14">
        <v>0</v>
      </c>
      <c r="G442" s="14" t="s">
        <v>1148</v>
      </c>
      <c r="H442" s="14" t="s">
        <v>465</v>
      </c>
      <c r="I442" s="15" t="s">
        <v>546</v>
      </c>
      <c r="J442" s="14">
        <v>749</v>
      </c>
      <c r="K442">
        <v>0</v>
      </c>
      <c r="L442">
        <v>0</v>
      </c>
      <c r="M442">
        <v>0</v>
      </c>
      <c r="N442" s="10" t="s">
        <v>903</v>
      </c>
    </row>
    <row r="443" spans="2:14" ht="33" customHeight="1" x14ac:dyDescent="0.3">
      <c r="B443" s="14" t="s">
        <v>539</v>
      </c>
      <c r="C443" s="14" t="s">
        <v>1145</v>
      </c>
      <c r="D443" s="14">
        <v>0</v>
      </c>
      <c r="E443" s="14">
        <v>0</v>
      </c>
      <c r="F443" s="14">
        <v>0</v>
      </c>
      <c r="G443" s="14" t="s">
        <v>544</v>
      </c>
      <c r="H443" s="14" t="s">
        <v>545</v>
      </c>
      <c r="I443" s="15" t="s">
        <v>546</v>
      </c>
      <c r="J443" s="14">
        <v>1800</v>
      </c>
      <c r="K443">
        <v>0</v>
      </c>
      <c r="L443">
        <v>1800</v>
      </c>
      <c r="M443">
        <v>0</v>
      </c>
      <c r="N443" s="10" t="s">
        <v>548</v>
      </c>
    </row>
    <row r="444" spans="2:14" ht="33" customHeight="1" x14ac:dyDescent="0.3">
      <c r="B444" s="14" t="s">
        <v>539</v>
      </c>
      <c r="C444" s="14" t="s">
        <v>1145</v>
      </c>
      <c r="D444" s="14">
        <v>0</v>
      </c>
      <c r="E444" s="14">
        <v>0</v>
      </c>
      <c r="F444" s="14">
        <v>0</v>
      </c>
      <c r="G444" s="14" t="s">
        <v>544</v>
      </c>
      <c r="H444" s="14" t="s">
        <v>545</v>
      </c>
      <c r="I444" s="15" t="s">
        <v>546</v>
      </c>
      <c r="J444" s="14">
        <v>546</v>
      </c>
      <c r="K444">
        <v>0</v>
      </c>
      <c r="L444">
        <v>0</v>
      </c>
      <c r="M444">
        <v>546</v>
      </c>
      <c r="N444" s="10" t="s">
        <v>991</v>
      </c>
    </row>
    <row r="445" spans="2:14" ht="33" customHeight="1" x14ac:dyDescent="0.3">
      <c r="B445" s="14">
        <v>0</v>
      </c>
      <c r="C445" s="14">
        <v>0</v>
      </c>
      <c r="D445" s="14">
        <v>0</v>
      </c>
      <c r="E445" s="14">
        <v>0</v>
      </c>
      <c r="F445" s="14">
        <v>0</v>
      </c>
      <c r="G445" s="14">
        <v>0</v>
      </c>
      <c r="H445" s="14" t="s">
        <v>417</v>
      </c>
      <c r="I445" s="15" t="s">
        <v>417</v>
      </c>
      <c r="J445" s="14">
        <v>0</v>
      </c>
      <c r="K445">
        <v>0</v>
      </c>
      <c r="L445">
        <v>0</v>
      </c>
      <c r="M445">
        <v>0</v>
      </c>
      <c r="N445" s="10">
        <v>0</v>
      </c>
    </row>
    <row r="446" spans="2:14" ht="33" customHeight="1" x14ac:dyDescent="0.3">
      <c r="B446" s="14" t="s">
        <v>1111</v>
      </c>
      <c r="C446" s="14" t="s">
        <v>1149</v>
      </c>
      <c r="D446" s="14" t="s">
        <v>1150</v>
      </c>
      <c r="E446" s="14" t="s">
        <v>1151</v>
      </c>
      <c r="F446" s="14">
        <v>0</v>
      </c>
      <c r="G446" s="14" t="s">
        <v>1152</v>
      </c>
      <c r="H446" s="14" t="s">
        <v>457</v>
      </c>
      <c r="I446" s="15" t="s">
        <v>1114</v>
      </c>
      <c r="J446" s="14">
        <v>10</v>
      </c>
      <c r="K446">
        <v>0</v>
      </c>
      <c r="L446">
        <v>0</v>
      </c>
      <c r="M446">
        <v>0</v>
      </c>
      <c r="N446" s="10" t="s">
        <v>429</v>
      </c>
    </row>
    <row r="447" spans="2:14" ht="33" customHeight="1" x14ac:dyDescent="0.3">
      <c r="B447" s="14" t="s">
        <v>1111</v>
      </c>
      <c r="C447" s="14" t="s">
        <v>1149</v>
      </c>
      <c r="D447" s="14">
        <v>0</v>
      </c>
      <c r="E447" s="14">
        <v>0</v>
      </c>
      <c r="F447" s="14">
        <v>0</v>
      </c>
      <c r="G447" s="14" t="s">
        <v>1153</v>
      </c>
      <c r="H447" s="14" t="s">
        <v>567</v>
      </c>
      <c r="I447" s="15" t="s">
        <v>1114</v>
      </c>
      <c r="J447" s="14">
        <v>10</v>
      </c>
      <c r="K447">
        <v>0</v>
      </c>
      <c r="L447">
        <v>0</v>
      </c>
      <c r="M447">
        <v>0</v>
      </c>
      <c r="N447" s="10" t="s">
        <v>429</v>
      </c>
    </row>
    <row r="448" spans="2:14" ht="33" customHeight="1" x14ac:dyDescent="0.3">
      <c r="B448" s="14" t="s">
        <v>1111</v>
      </c>
      <c r="C448" s="14" t="s">
        <v>1149</v>
      </c>
      <c r="D448" s="14">
        <v>0</v>
      </c>
      <c r="E448" s="14">
        <v>0</v>
      </c>
      <c r="F448" s="14">
        <v>0</v>
      </c>
      <c r="G448" s="14" t="s">
        <v>1154</v>
      </c>
      <c r="H448" s="14" t="s">
        <v>599</v>
      </c>
      <c r="I448" s="15" t="s">
        <v>1114</v>
      </c>
      <c r="J448" s="14">
        <v>10</v>
      </c>
      <c r="K448">
        <v>0</v>
      </c>
      <c r="L448">
        <v>0</v>
      </c>
      <c r="M448">
        <v>0</v>
      </c>
      <c r="N448" s="10" t="s">
        <v>429</v>
      </c>
    </row>
    <row r="449" spans="2:14" ht="33" customHeight="1" x14ac:dyDescent="0.3">
      <c r="B449" s="14" t="s">
        <v>1111</v>
      </c>
      <c r="C449" s="14" t="s">
        <v>1149</v>
      </c>
      <c r="D449" s="14">
        <v>0</v>
      </c>
      <c r="E449" s="14">
        <v>0</v>
      </c>
      <c r="F449" s="14">
        <v>0</v>
      </c>
      <c r="G449" s="14" t="s">
        <v>1155</v>
      </c>
      <c r="H449" s="14" t="s">
        <v>640</v>
      </c>
      <c r="I449" s="15" t="s">
        <v>1114</v>
      </c>
      <c r="J449" s="14">
        <v>10</v>
      </c>
      <c r="K449">
        <v>0</v>
      </c>
      <c r="L449">
        <v>0</v>
      </c>
      <c r="M449">
        <v>0</v>
      </c>
      <c r="N449" s="10" t="s">
        <v>429</v>
      </c>
    </row>
    <row r="450" spans="2:14" ht="33" customHeight="1" x14ac:dyDescent="0.3">
      <c r="B450" s="14" t="s">
        <v>1111</v>
      </c>
      <c r="C450" s="14" t="s">
        <v>1149</v>
      </c>
      <c r="D450" s="14">
        <v>0</v>
      </c>
      <c r="E450" s="14">
        <v>0</v>
      </c>
      <c r="F450" s="14">
        <v>0</v>
      </c>
      <c r="G450" s="14" t="s">
        <v>1156</v>
      </c>
      <c r="H450" s="14" t="s">
        <v>709</v>
      </c>
      <c r="I450" s="15" t="s">
        <v>1114</v>
      </c>
      <c r="J450" s="14">
        <v>10</v>
      </c>
      <c r="K450">
        <v>0</v>
      </c>
      <c r="L450">
        <v>0</v>
      </c>
      <c r="M450">
        <v>0</v>
      </c>
      <c r="N450" s="10" t="s">
        <v>429</v>
      </c>
    </row>
    <row r="451" spans="2:14" ht="33" customHeight="1" x14ac:dyDescent="0.3">
      <c r="B451" s="14" t="s">
        <v>1111</v>
      </c>
      <c r="C451" s="14" t="s">
        <v>1149</v>
      </c>
      <c r="D451" s="14">
        <v>0</v>
      </c>
      <c r="E451" s="14">
        <v>0</v>
      </c>
      <c r="F451" s="14">
        <v>0</v>
      </c>
      <c r="G451" s="14" t="s">
        <v>1157</v>
      </c>
      <c r="H451" s="14" t="s">
        <v>477</v>
      </c>
      <c r="I451" s="15" t="s">
        <v>1114</v>
      </c>
      <c r="J451" s="14">
        <v>10</v>
      </c>
      <c r="K451">
        <v>0</v>
      </c>
      <c r="L451">
        <v>0</v>
      </c>
      <c r="M451">
        <v>0</v>
      </c>
      <c r="N451" s="10" t="s">
        <v>429</v>
      </c>
    </row>
    <row r="452" spans="2:14" ht="33" customHeight="1" x14ac:dyDescent="0.3">
      <c r="B452" s="14" t="s">
        <v>1111</v>
      </c>
      <c r="C452" s="14" t="s">
        <v>1149</v>
      </c>
      <c r="D452" s="14">
        <v>0</v>
      </c>
      <c r="E452" s="14">
        <v>0</v>
      </c>
      <c r="F452" s="14">
        <v>0</v>
      </c>
      <c r="G452" s="14" t="s">
        <v>1158</v>
      </c>
      <c r="H452" s="14" t="s">
        <v>483</v>
      </c>
      <c r="I452" s="15" t="s">
        <v>1114</v>
      </c>
      <c r="J452" s="14">
        <v>10</v>
      </c>
      <c r="K452">
        <v>0</v>
      </c>
      <c r="L452">
        <v>0</v>
      </c>
      <c r="M452">
        <v>0</v>
      </c>
      <c r="N452" s="10" t="s">
        <v>429</v>
      </c>
    </row>
    <row r="453" spans="2:14" ht="33" customHeight="1" x14ac:dyDescent="0.3">
      <c r="B453" s="14" t="s">
        <v>1111</v>
      </c>
      <c r="C453" s="14" t="s">
        <v>1149</v>
      </c>
      <c r="D453" s="14">
        <v>0</v>
      </c>
      <c r="E453" s="14">
        <v>0</v>
      </c>
      <c r="F453" s="14">
        <v>0</v>
      </c>
      <c r="G453" s="14" t="s">
        <v>1159</v>
      </c>
      <c r="H453" s="14" t="s">
        <v>441</v>
      </c>
      <c r="I453" s="15" t="s">
        <v>1114</v>
      </c>
      <c r="J453" s="14">
        <v>10</v>
      </c>
      <c r="K453">
        <v>0</v>
      </c>
      <c r="L453">
        <v>0</v>
      </c>
      <c r="M453">
        <v>0</v>
      </c>
      <c r="N453" s="10" t="s">
        <v>429</v>
      </c>
    </row>
    <row r="454" spans="2:14" ht="33" customHeight="1" x14ac:dyDescent="0.3">
      <c r="B454" s="14">
        <v>0</v>
      </c>
      <c r="C454" s="14">
        <v>0</v>
      </c>
      <c r="D454" s="14">
        <v>0</v>
      </c>
      <c r="E454" s="14">
        <v>0</v>
      </c>
      <c r="F454" s="14">
        <v>0</v>
      </c>
      <c r="G454" s="14">
        <v>0</v>
      </c>
      <c r="H454" s="14" t="s">
        <v>417</v>
      </c>
      <c r="I454" s="15" t="s">
        <v>417</v>
      </c>
      <c r="J454" s="14">
        <v>0</v>
      </c>
      <c r="K454">
        <v>0</v>
      </c>
      <c r="L454">
        <v>0</v>
      </c>
      <c r="M454">
        <v>0</v>
      </c>
      <c r="N454" s="10">
        <v>0</v>
      </c>
    </row>
    <row r="455" spans="2:14" ht="33" customHeight="1" x14ac:dyDescent="0.3">
      <c r="B455" s="14" t="s">
        <v>1160</v>
      </c>
      <c r="C455" s="14" t="s">
        <v>1161</v>
      </c>
      <c r="D455" s="14">
        <v>0</v>
      </c>
      <c r="E455" s="14" t="s">
        <v>1162</v>
      </c>
      <c r="F455" s="14" t="s">
        <v>1163</v>
      </c>
      <c r="G455" s="14" t="s">
        <v>1164</v>
      </c>
      <c r="H455" s="14" t="s">
        <v>1165</v>
      </c>
      <c r="I455" s="15" t="s">
        <v>414</v>
      </c>
      <c r="J455" s="14">
        <v>120</v>
      </c>
      <c r="K455">
        <v>0</v>
      </c>
      <c r="L455">
        <v>0</v>
      </c>
      <c r="M455">
        <v>120</v>
      </c>
      <c r="N455" s="10" t="s">
        <v>462</v>
      </c>
    </row>
    <row r="456" spans="2:14" ht="33" customHeight="1" x14ac:dyDescent="0.3">
      <c r="B456" s="14" t="s">
        <v>1160</v>
      </c>
      <c r="C456" s="14" t="s">
        <v>1161</v>
      </c>
      <c r="D456" s="14">
        <v>0</v>
      </c>
      <c r="E456" s="14">
        <v>0</v>
      </c>
      <c r="F456" s="14" t="s">
        <v>1166</v>
      </c>
      <c r="G456" s="14" t="s">
        <v>389</v>
      </c>
      <c r="H456" s="14" t="s">
        <v>634</v>
      </c>
      <c r="I456" s="15" t="s">
        <v>414</v>
      </c>
      <c r="J456" s="14">
        <v>96</v>
      </c>
      <c r="K456">
        <v>0</v>
      </c>
      <c r="L456">
        <v>0</v>
      </c>
      <c r="M456">
        <v>96</v>
      </c>
      <c r="N456" s="10" t="s">
        <v>732</v>
      </c>
    </row>
    <row r="457" spans="2:14" ht="33" customHeight="1" x14ac:dyDescent="0.3">
      <c r="B457" s="14">
        <v>0</v>
      </c>
      <c r="C457" s="14">
        <v>0</v>
      </c>
      <c r="D457" s="14">
        <v>0</v>
      </c>
      <c r="E457" s="14">
        <v>0</v>
      </c>
      <c r="F457" s="14">
        <v>0</v>
      </c>
      <c r="G457" s="14">
        <v>0</v>
      </c>
      <c r="H457" s="14" t="s">
        <v>417</v>
      </c>
      <c r="I457" s="15" t="s">
        <v>417</v>
      </c>
      <c r="J457" s="14">
        <v>0</v>
      </c>
      <c r="K457">
        <v>0</v>
      </c>
      <c r="L457">
        <v>0</v>
      </c>
      <c r="M457">
        <v>0</v>
      </c>
      <c r="N457" s="10">
        <v>0</v>
      </c>
    </row>
    <row r="458" spans="2:14" ht="33" customHeight="1" x14ac:dyDescent="0.3">
      <c r="B458" s="14" t="s">
        <v>1167</v>
      </c>
      <c r="C458" s="14" t="s">
        <v>1168</v>
      </c>
      <c r="D458" s="14" t="s">
        <v>1169</v>
      </c>
      <c r="E458" s="14" t="s">
        <v>1170</v>
      </c>
      <c r="F458" s="14" t="s">
        <v>1171</v>
      </c>
      <c r="G458" s="14" t="s">
        <v>246</v>
      </c>
      <c r="H458" s="14" t="s">
        <v>855</v>
      </c>
      <c r="I458" s="15" t="s">
        <v>414</v>
      </c>
      <c r="J458" s="14">
        <v>240</v>
      </c>
      <c r="K458">
        <v>0</v>
      </c>
      <c r="L458">
        <v>240</v>
      </c>
      <c r="M458">
        <v>0</v>
      </c>
      <c r="N458" s="10" t="s">
        <v>502</v>
      </c>
    </row>
    <row r="459" spans="2:14" ht="33" customHeight="1" x14ac:dyDescent="0.3">
      <c r="B459" s="14" t="s">
        <v>1167</v>
      </c>
      <c r="C459" s="14" t="s">
        <v>1168</v>
      </c>
      <c r="D459" s="14" t="s">
        <v>1172</v>
      </c>
      <c r="E459" s="14">
        <v>0</v>
      </c>
      <c r="F459" s="14" t="s">
        <v>1173</v>
      </c>
      <c r="G459" s="14" t="s">
        <v>406</v>
      </c>
      <c r="H459" s="14" t="s">
        <v>481</v>
      </c>
      <c r="I459" s="15" t="s">
        <v>414</v>
      </c>
      <c r="J459" s="14">
        <v>240</v>
      </c>
      <c r="K459">
        <v>0</v>
      </c>
      <c r="L459">
        <v>240</v>
      </c>
      <c r="M459">
        <v>0</v>
      </c>
      <c r="N459" s="10" t="s">
        <v>502</v>
      </c>
    </row>
    <row r="460" spans="2:14" ht="33" customHeight="1" x14ac:dyDescent="0.3">
      <c r="B460" s="14" t="s">
        <v>1167</v>
      </c>
      <c r="C460" s="14" t="s">
        <v>1168</v>
      </c>
      <c r="D460" s="14" t="s">
        <v>1174</v>
      </c>
      <c r="E460" s="14">
        <v>0</v>
      </c>
      <c r="F460" s="14" t="s">
        <v>1175</v>
      </c>
      <c r="G460" s="14" t="s">
        <v>144</v>
      </c>
      <c r="H460" s="14" t="s">
        <v>460</v>
      </c>
      <c r="I460" s="15" t="s">
        <v>414</v>
      </c>
      <c r="J460" s="14">
        <v>240</v>
      </c>
      <c r="K460">
        <v>0</v>
      </c>
      <c r="L460">
        <v>240</v>
      </c>
      <c r="M460">
        <v>0</v>
      </c>
      <c r="N460" s="10" t="s">
        <v>502</v>
      </c>
    </row>
    <row r="461" spans="2:14" ht="33" customHeight="1" x14ac:dyDescent="0.3">
      <c r="B461" s="14" t="s">
        <v>1167</v>
      </c>
      <c r="C461" s="14" t="s">
        <v>1168</v>
      </c>
      <c r="D461" s="14" t="s">
        <v>1176</v>
      </c>
      <c r="E461" s="14">
        <v>0</v>
      </c>
      <c r="F461" s="14" t="s">
        <v>1177</v>
      </c>
      <c r="G461" s="14" t="s">
        <v>107</v>
      </c>
      <c r="H461" s="14" t="s">
        <v>479</v>
      </c>
      <c r="I461" s="15" t="s">
        <v>414</v>
      </c>
      <c r="J461" s="14">
        <v>72</v>
      </c>
      <c r="K461">
        <v>0</v>
      </c>
      <c r="L461">
        <v>72</v>
      </c>
      <c r="M461">
        <v>0</v>
      </c>
      <c r="N461" s="10" t="s">
        <v>502</v>
      </c>
    </row>
    <row r="462" spans="2:14" ht="33" customHeight="1" x14ac:dyDescent="0.3">
      <c r="B462" s="14" t="s">
        <v>1160</v>
      </c>
      <c r="C462" s="14" t="s">
        <v>1168</v>
      </c>
      <c r="D462" s="14">
        <v>0</v>
      </c>
      <c r="E462" s="14">
        <v>0</v>
      </c>
      <c r="F462" s="14" t="s">
        <v>1178</v>
      </c>
      <c r="G462" s="14" t="s">
        <v>406</v>
      </c>
      <c r="H462" s="14" t="s">
        <v>481</v>
      </c>
      <c r="I462" s="15" t="s">
        <v>414</v>
      </c>
      <c r="J462" s="14">
        <v>216</v>
      </c>
      <c r="K462">
        <v>0</v>
      </c>
      <c r="L462">
        <v>216</v>
      </c>
      <c r="M462">
        <v>0</v>
      </c>
      <c r="N462" s="10" t="s">
        <v>502</v>
      </c>
    </row>
    <row r="463" spans="2:14" ht="33" customHeight="1" x14ac:dyDescent="0.3">
      <c r="B463" s="14" t="s">
        <v>1160</v>
      </c>
      <c r="C463" s="14" t="s">
        <v>1168</v>
      </c>
      <c r="D463" s="14">
        <v>0</v>
      </c>
      <c r="E463" s="14">
        <v>0</v>
      </c>
      <c r="F463" s="14" t="s">
        <v>1179</v>
      </c>
      <c r="G463" s="14" t="s">
        <v>290</v>
      </c>
      <c r="H463" s="14" t="s">
        <v>486</v>
      </c>
      <c r="I463" s="15" t="s">
        <v>414</v>
      </c>
      <c r="J463" s="14">
        <v>120</v>
      </c>
      <c r="K463">
        <v>0</v>
      </c>
      <c r="L463">
        <v>120</v>
      </c>
      <c r="M463">
        <v>0</v>
      </c>
      <c r="N463" s="10" t="s">
        <v>502</v>
      </c>
    </row>
    <row r="464" spans="2:14" ht="33" customHeight="1" x14ac:dyDescent="0.3">
      <c r="B464" s="14" t="s">
        <v>1160</v>
      </c>
      <c r="C464" s="14" t="s">
        <v>1168</v>
      </c>
      <c r="D464" s="14">
        <v>0</v>
      </c>
      <c r="E464" s="14">
        <v>0</v>
      </c>
      <c r="F464" s="14" t="s">
        <v>1179</v>
      </c>
      <c r="G464" s="14" t="s">
        <v>48</v>
      </c>
      <c r="H464" s="14" t="s">
        <v>449</v>
      </c>
      <c r="I464" s="15" t="s">
        <v>414</v>
      </c>
      <c r="J464" s="14">
        <v>168</v>
      </c>
      <c r="K464">
        <v>0</v>
      </c>
      <c r="L464">
        <v>37</v>
      </c>
      <c r="M464">
        <v>0</v>
      </c>
      <c r="N464" s="10" t="s">
        <v>502</v>
      </c>
    </row>
    <row r="465" spans="2:14" ht="33" customHeight="1" x14ac:dyDescent="0.3">
      <c r="B465" s="14" t="s">
        <v>1160</v>
      </c>
      <c r="C465" s="14" t="s">
        <v>1168</v>
      </c>
      <c r="D465" s="14">
        <v>0</v>
      </c>
      <c r="E465" s="14">
        <v>0</v>
      </c>
      <c r="F465" s="14" t="s">
        <v>1179</v>
      </c>
      <c r="G465" s="14" t="s">
        <v>186</v>
      </c>
      <c r="H465" s="14" t="s">
        <v>471</v>
      </c>
      <c r="I465" s="15" t="s">
        <v>414</v>
      </c>
      <c r="J465" s="14">
        <v>120</v>
      </c>
      <c r="K465">
        <v>0</v>
      </c>
      <c r="L465">
        <v>120</v>
      </c>
      <c r="M465">
        <v>0</v>
      </c>
      <c r="N465" s="10" t="s">
        <v>502</v>
      </c>
    </row>
    <row r="466" spans="2:14" ht="33" customHeight="1" x14ac:dyDescent="0.3">
      <c r="B466" s="14" t="s">
        <v>1160</v>
      </c>
      <c r="C466" s="14" t="s">
        <v>1168</v>
      </c>
      <c r="D466" s="14">
        <v>0</v>
      </c>
      <c r="E466" s="14">
        <v>0</v>
      </c>
      <c r="F466" s="14" t="s">
        <v>1179</v>
      </c>
      <c r="G466" s="14" t="s">
        <v>260</v>
      </c>
      <c r="H466" s="14" t="s">
        <v>684</v>
      </c>
      <c r="I466" s="15" t="s">
        <v>414</v>
      </c>
      <c r="J466" s="14">
        <v>48</v>
      </c>
      <c r="K466">
        <v>0</v>
      </c>
      <c r="L466">
        <v>48</v>
      </c>
      <c r="M466">
        <v>0</v>
      </c>
      <c r="N466" s="10" t="s">
        <v>502</v>
      </c>
    </row>
    <row r="467" spans="2:14" ht="33" customHeight="1" x14ac:dyDescent="0.3">
      <c r="B467" s="14" t="s">
        <v>1160</v>
      </c>
      <c r="C467" s="14" t="s">
        <v>1168</v>
      </c>
      <c r="D467" s="14">
        <v>0</v>
      </c>
      <c r="E467" s="14">
        <v>0</v>
      </c>
      <c r="F467" s="14" t="s">
        <v>1179</v>
      </c>
      <c r="G467" s="14" t="s">
        <v>289</v>
      </c>
      <c r="H467" s="14" t="s">
        <v>617</v>
      </c>
      <c r="I467" s="15" t="s">
        <v>414</v>
      </c>
      <c r="J467" s="14">
        <v>24</v>
      </c>
      <c r="K467">
        <v>0</v>
      </c>
      <c r="L467">
        <v>24</v>
      </c>
      <c r="M467">
        <v>0</v>
      </c>
      <c r="N467" s="10" t="s">
        <v>502</v>
      </c>
    </row>
    <row r="468" spans="2:14" ht="33" customHeight="1" x14ac:dyDescent="0.3">
      <c r="B468" s="14" t="s">
        <v>1160</v>
      </c>
      <c r="C468" s="14" t="s">
        <v>1168</v>
      </c>
      <c r="D468" s="14">
        <v>0</v>
      </c>
      <c r="E468" s="14">
        <v>0</v>
      </c>
      <c r="F468" s="14" t="s">
        <v>1179</v>
      </c>
      <c r="G468" s="14" t="s">
        <v>1180</v>
      </c>
      <c r="H468" s="14" t="s">
        <v>1180</v>
      </c>
      <c r="I468" s="15" t="s">
        <v>1181</v>
      </c>
      <c r="J468" s="14">
        <v>48</v>
      </c>
      <c r="K468">
        <v>0</v>
      </c>
      <c r="L468">
        <v>48</v>
      </c>
      <c r="M468">
        <v>0</v>
      </c>
      <c r="N468" s="10" t="s">
        <v>502</v>
      </c>
    </row>
    <row r="469" spans="2:14" ht="33" customHeight="1" x14ac:dyDescent="0.3">
      <c r="B469" s="14">
        <v>0</v>
      </c>
      <c r="C469" s="14">
        <v>0</v>
      </c>
      <c r="D469" s="14">
        <v>0</v>
      </c>
      <c r="E469" s="14">
        <v>0</v>
      </c>
      <c r="F469" s="14">
        <v>0</v>
      </c>
      <c r="G469" s="14">
        <v>0</v>
      </c>
      <c r="H469" s="14" t="s">
        <v>417</v>
      </c>
      <c r="I469" s="15" t="s">
        <v>417</v>
      </c>
      <c r="J469" s="14">
        <v>0</v>
      </c>
      <c r="K469">
        <v>0</v>
      </c>
      <c r="L469">
        <v>0</v>
      </c>
      <c r="M469">
        <v>0</v>
      </c>
      <c r="N469" s="10">
        <v>0</v>
      </c>
    </row>
    <row r="470" spans="2:14" ht="33" customHeight="1" x14ac:dyDescent="0.3">
      <c r="B470" s="14" t="s">
        <v>1167</v>
      </c>
      <c r="C470" s="14" t="s">
        <v>1182</v>
      </c>
      <c r="D470" s="14" t="s">
        <v>1183</v>
      </c>
      <c r="E470" s="14">
        <v>0</v>
      </c>
      <c r="F470" s="14" t="s">
        <v>1163</v>
      </c>
      <c r="G470" s="14" t="s">
        <v>349</v>
      </c>
      <c r="H470" s="14" t="s">
        <v>698</v>
      </c>
      <c r="I470" s="15" t="s">
        <v>414</v>
      </c>
      <c r="J470" s="14">
        <v>120</v>
      </c>
      <c r="K470">
        <v>0</v>
      </c>
      <c r="L470">
        <v>0</v>
      </c>
      <c r="M470">
        <v>120</v>
      </c>
      <c r="N470" s="10" t="s">
        <v>462</v>
      </c>
    </row>
    <row r="471" spans="2:14" ht="33" customHeight="1" x14ac:dyDescent="0.3">
      <c r="B471" s="14" t="s">
        <v>1167</v>
      </c>
      <c r="C471" s="14" t="s">
        <v>1182</v>
      </c>
      <c r="D471" s="14" t="s">
        <v>1184</v>
      </c>
      <c r="E471" s="14">
        <v>0</v>
      </c>
      <c r="F471" s="14" t="s">
        <v>1163</v>
      </c>
      <c r="G471" s="14" t="s">
        <v>695</v>
      </c>
      <c r="H471" s="14" t="s">
        <v>696</v>
      </c>
      <c r="I471" s="15" t="s">
        <v>414</v>
      </c>
      <c r="J471" s="14">
        <v>120</v>
      </c>
      <c r="K471">
        <v>0</v>
      </c>
      <c r="L471">
        <v>0</v>
      </c>
      <c r="M471">
        <v>120</v>
      </c>
      <c r="N471" s="10" t="s">
        <v>452</v>
      </c>
    </row>
    <row r="472" spans="2:14" ht="33" customHeight="1" x14ac:dyDescent="0.3">
      <c r="B472" s="14" t="s">
        <v>1167</v>
      </c>
      <c r="C472" s="14" t="s">
        <v>1182</v>
      </c>
      <c r="D472" s="14" t="s">
        <v>1185</v>
      </c>
      <c r="E472" s="14">
        <v>0</v>
      </c>
      <c r="F472" s="14" t="s">
        <v>1163</v>
      </c>
      <c r="G472" s="14" t="s">
        <v>1186</v>
      </c>
      <c r="H472" s="14" t="s">
        <v>1187</v>
      </c>
      <c r="I472" s="15" t="s">
        <v>414</v>
      </c>
      <c r="J472" s="14">
        <v>120</v>
      </c>
      <c r="K472">
        <v>0</v>
      </c>
      <c r="L472">
        <v>0</v>
      </c>
      <c r="M472">
        <v>120</v>
      </c>
      <c r="N472" s="10" t="s">
        <v>693</v>
      </c>
    </row>
    <row r="473" spans="2:14" ht="33" customHeight="1" x14ac:dyDescent="0.3">
      <c r="B473" s="14" t="s">
        <v>1167</v>
      </c>
      <c r="C473" s="14" t="s">
        <v>1182</v>
      </c>
      <c r="D473" s="14" t="s">
        <v>1188</v>
      </c>
      <c r="E473" s="14">
        <v>0</v>
      </c>
      <c r="F473" s="14" t="s">
        <v>1163</v>
      </c>
      <c r="G473" s="14" t="s">
        <v>48</v>
      </c>
      <c r="H473" s="14" t="s">
        <v>449</v>
      </c>
      <c r="I473" s="15" t="s">
        <v>414</v>
      </c>
      <c r="J473" s="14">
        <v>120</v>
      </c>
      <c r="K473">
        <v>0</v>
      </c>
      <c r="L473">
        <v>0</v>
      </c>
      <c r="M473">
        <v>120</v>
      </c>
      <c r="N473" s="10" t="s">
        <v>452</v>
      </c>
    </row>
    <row r="474" spans="2:14" ht="33" customHeight="1" x14ac:dyDescent="0.3">
      <c r="B474" s="14" t="s">
        <v>1167</v>
      </c>
      <c r="C474" s="14" t="s">
        <v>1182</v>
      </c>
      <c r="D474" s="14" t="s">
        <v>1188</v>
      </c>
      <c r="E474" s="14">
        <v>0</v>
      </c>
      <c r="F474" s="14" t="s">
        <v>1163</v>
      </c>
      <c r="G474" s="14" t="s">
        <v>48</v>
      </c>
      <c r="H474" s="14" t="s">
        <v>449</v>
      </c>
      <c r="I474" s="15" t="s">
        <v>414</v>
      </c>
      <c r="J474" s="14">
        <v>72</v>
      </c>
      <c r="K474">
        <v>0</v>
      </c>
      <c r="L474">
        <v>0</v>
      </c>
      <c r="M474">
        <v>72</v>
      </c>
      <c r="N474" s="10" t="s">
        <v>452</v>
      </c>
    </row>
    <row r="475" spans="2:14" ht="33" customHeight="1" x14ac:dyDescent="0.3">
      <c r="B475" s="14" t="s">
        <v>1167</v>
      </c>
      <c r="C475" s="14" t="s">
        <v>1182</v>
      </c>
      <c r="D475" s="14" t="s">
        <v>1189</v>
      </c>
      <c r="E475" s="14">
        <v>0</v>
      </c>
      <c r="F475" s="14" t="s">
        <v>1163</v>
      </c>
      <c r="G475" s="14" t="s">
        <v>258</v>
      </c>
      <c r="H475" s="14" t="s">
        <v>559</v>
      </c>
      <c r="I475" s="15" t="s">
        <v>414</v>
      </c>
      <c r="J475" s="14">
        <v>24</v>
      </c>
      <c r="K475">
        <v>0</v>
      </c>
      <c r="L475">
        <v>0</v>
      </c>
      <c r="M475">
        <v>24</v>
      </c>
      <c r="N475" s="10" t="s">
        <v>693</v>
      </c>
    </row>
    <row r="476" spans="2:14" ht="33" customHeight="1" x14ac:dyDescent="0.3">
      <c r="B476" s="14">
        <v>0</v>
      </c>
      <c r="C476" s="14">
        <v>0</v>
      </c>
      <c r="D476" s="14">
        <v>0</v>
      </c>
      <c r="E476" s="14">
        <v>0</v>
      </c>
      <c r="F476" s="14">
        <v>0</v>
      </c>
      <c r="G476" s="14">
        <v>0</v>
      </c>
      <c r="H476" s="14" t="s">
        <v>417</v>
      </c>
      <c r="I476" s="15" t="s">
        <v>417</v>
      </c>
      <c r="J476" s="14">
        <v>0</v>
      </c>
      <c r="K476">
        <v>0</v>
      </c>
      <c r="L476">
        <v>0</v>
      </c>
      <c r="M476">
        <v>0</v>
      </c>
      <c r="N476" s="10">
        <v>0</v>
      </c>
    </row>
    <row r="477" spans="2:14" ht="33" customHeight="1" x14ac:dyDescent="0.3">
      <c r="B477" s="14">
        <v>0</v>
      </c>
      <c r="C477" s="14">
        <v>0</v>
      </c>
      <c r="D477" s="14">
        <v>0</v>
      </c>
      <c r="E477" s="14">
        <v>0</v>
      </c>
      <c r="F477" s="14">
        <v>0</v>
      </c>
      <c r="G477" s="14">
        <v>0</v>
      </c>
      <c r="H477" s="14" t="s">
        <v>417</v>
      </c>
      <c r="I477" s="15" t="s">
        <v>417</v>
      </c>
      <c r="J477" s="14">
        <v>0</v>
      </c>
      <c r="K477">
        <v>0</v>
      </c>
      <c r="L477">
        <v>0</v>
      </c>
      <c r="M477">
        <v>0</v>
      </c>
      <c r="N477" s="10">
        <v>0</v>
      </c>
    </row>
    <row r="478" spans="2:14" ht="33" customHeight="1" x14ac:dyDescent="0.3">
      <c r="B478" s="14">
        <v>0</v>
      </c>
      <c r="C478" s="14">
        <v>0</v>
      </c>
      <c r="D478" s="14">
        <v>0</v>
      </c>
      <c r="E478" s="14">
        <v>0</v>
      </c>
      <c r="F478" s="14">
        <v>0</v>
      </c>
      <c r="G478" s="14">
        <v>0</v>
      </c>
      <c r="H478" s="14" t="s">
        <v>417</v>
      </c>
      <c r="I478" s="15" t="s">
        <v>417</v>
      </c>
      <c r="J478" s="14">
        <v>0</v>
      </c>
      <c r="K478">
        <v>0</v>
      </c>
      <c r="L478">
        <v>0</v>
      </c>
      <c r="M478">
        <v>0</v>
      </c>
      <c r="N478" s="10">
        <v>0</v>
      </c>
    </row>
    <row r="479" spans="2:14" ht="33" customHeight="1" x14ac:dyDescent="0.3">
      <c r="B479" s="14">
        <v>0</v>
      </c>
      <c r="C479" s="14">
        <v>0</v>
      </c>
      <c r="D479" s="14">
        <v>0</v>
      </c>
      <c r="E479" s="14">
        <v>0</v>
      </c>
      <c r="F479" s="14">
        <v>0</v>
      </c>
      <c r="G479" s="14">
        <v>0</v>
      </c>
      <c r="H479" s="14" t="s">
        <v>417</v>
      </c>
      <c r="I479" s="15" t="s">
        <v>417</v>
      </c>
      <c r="J479" s="14">
        <v>0</v>
      </c>
      <c r="K479">
        <v>0</v>
      </c>
      <c r="L479">
        <v>0</v>
      </c>
      <c r="M479">
        <v>0</v>
      </c>
      <c r="N479" s="10">
        <v>0</v>
      </c>
    </row>
    <row r="480" spans="2:14" ht="33" customHeight="1" x14ac:dyDescent="0.3">
      <c r="B480" s="14">
        <v>0</v>
      </c>
      <c r="C480" s="14">
        <v>0</v>
      </c>
      <c r="D480" s="14">
        <v>0</v>
      </c>
      <c r="E480" s="14">
        <v>0</v>
      </c>
      <c r="F480" s="14">
        <v>0</v>
      </c>
      <c r="G480" s="14">
        <v>0</v>
      </c>
      <c r="H480" s="14" t="s">
        <v>417</v>
      </c>
      <c r="I480" s="15" t="s">
        <v>417</v>
      </c>
      <c r="J480" s="14">
        <v>0</v>
      </c>
      <c r="K480">
        <v>0</v>
      </c>
      <c r="L480">
        <v>0</v>
      </c>
      <c r="M480">
        <v>0</v>
      </c>
      <c r="N480" s="10">
        <v>0</v>
      </c>
    </row>
    <row r="481" spans="2:14" ht="33" customHeight="1" x14ac:dyDescent="0.3">
      <c r="B481" s="14">
        <v>0</v>
      </c>
      <c r="C481" s="14">
        <v>0</v>
      </c>
      <c r="D481" s="14">
        <v>0</v>
      </c>
      <c r="E481" s="14">
        <v>0</v>
      </c>
      <c r="F481" s="14">
        <v>0</v>
      </c>
      <c r="G481" s="14">
        <v>0</v>
      </c>
      <c r="H481" s="14" t="s">
        <v>417</v>
      </c>
      <c r="I481" s="15" t="s">
        <v>417</v>
      </c>
      <c r="J481" s="14">
        <v>0</v>
      </c>
      <c r="K481">
        <v>0</v>
      </c>
      <c r="L481">
        <v>0</v>
      </c>
      <c r="M481">
        <v>0</v>
      </c>
      <c r="N481" s="10">
        <v>0</v>
      </c>
    </row>
    <row r="482" spans="2:14" ht="33" customHeight="1" x14ac:dyDescent="0.3">
      <c r="B482" s="14">
        <v>0</v>
      </c>
      <c r="C482" s="14">
        <v>0</v>
      </c>
      <c r="D482" s="14">
        <v>0</v>
      </c>
      <c r="E482" s="14">
        <v>0</v>
      </c>
      <c r="F482" s="14">
        <v>0</v>
      </c>
      <c r="G482" s="14">
        <v>0</v>
      </c>
      <c r="H482" s="14" t="s">
        <v>417</v>
      </c>
      <c r="I482" s="15" t="s">
        <v>417</v>
      </c>
      <c r="J482" s="14">
        <v>0</v>
      </c>
      <c r="K482">
        <v>0</v>
      </c>
      <c r="L482">
        <v>0</v>
      </c>
      <c r="M482">
        <v>0</v>
      </c>
      <c r="N482" s="10">
        <v>0</v>
      </c>
    </row>
    <row r="483" spans="2:14" ht="33" customHeight="1" x14ac:dyDescent="0.3">
      <c r="B483" s="14">
        <v>0</v>
      </c>
      <c r="C483" s="14">
        <v>0</v>
      </c>
      <c r="D483" s="14">
        <v>0</v>
      </c>
      <c r="E483" s="14">
        <v>0</v>
      </c>
      <c r="F483" s="14">
        <v>0</v>
      </c>
      <c r="G483" s="14">
        <v>0</v>
      </c>
      <c r="H483" s="14" t="s">
        <v>417</v>
      </c>
      <c r="I483" s="15" t="s">
        <v>417</v>
      </c>
      <c r="J483" s="14">
        <v>0</v>
      </c>
      <c r="K483">
        <v>0</v>
      </c>
      <c r="L483">
        <v>0</v>
      </c>
      <c r="M483">
        <v>0</v>
      </c>
      <c r="N483" s="10">
        <v>0</v>
      </c>
    </row>
    <row r="484" spans="2:14" ht="33" customHeight="1" x14ac:dyDescent="0.3">
      <c r="B484" s="14">
        <v>0</v>
      </c>
      <c r="C484" s="14">
        <v>0</v>
      </c>
      <c r="D484" s="14">
        <v>0</v>
      </c>
      <c r="E484" s="14">
        <v>0</v>
      </c>
      <c r="F484" s="14">
        <v>0</v>
      </c>
      <c r="G484" s="14">
        <v>0</v>
      </c>
      <c r="H484" s="14" t="s">
        <v>417</v>
      </c>
      <c r="I484" s="15" t="s">
        <v>417</v>
      </c>
      <c r="J484" s="14">
        <v>0</v>
      </c>
      <c r="K484">
        <v>0</v>
      </c>
      <c r="L484">
        <v>0</v>
      </c>
      <c r="M484">
        <v>0</v>
      </c>
      <c r="N484" s="10">
        <v>0</v>
      </c>
    </row>
    <row r="485" spans="2:14" ht="33" customHeight="1" x14ac:dyDescent="0.3">
      <c r="B485" s="14">
        <v>0</v>
      </c>
      <c r="C485" s="14">
        <v>0</v>
      </c>
      <c r="D485" s="14">
        <v>0</v>
      </c>
      <c r="E485" s="14">
        <v>0</v>
      </c>
      <c r="F485" s="14">
        <v>0</v>
      </c>
      <c r="G485" s="14">
        <v>0</v>
      </c>
      <c r="H485" s="14" t="s">
        <v>417</v>
      </c>
      <c r="I485" s="15" t="s">
        <v>417</v>
      </c>
      <c r="J485" s="14">
        <v>0</v>
      </c>
      <c r="K485">
        <v>0</v>
      </c>
      <c r="L485">
        <v>0</v>
      </c>
      <c r="M485">
        <v>0</v>
      </c>
      <c r="N485" s="10">
        <v>0</v>
      </c>
    </row>
    <row r="486" spans="2:14" ht="33" customHeight="1" x14ac:dyDescent="0.3">
      <c r="B486" s="14">
        <v>0</v>
      </c>
      <c r="C486" s="14">
        <v>0</v>
      </c>
      <c r="D486" s="14">
        <v>0</v>
      </c>
      <c r="E486" s="14">
        <v>0</v>
      </c>
      <c r="F486" s="14">
        <v>0</v>
      </c>
      <c r="G486" s="14">
        <v>0</v>
      </c>
      <c r="H486" s="14" t="s">
        <v>417</v>
      </c>
      <c r="I486" s="15" t="s">
        <v>417</v>
      </c>
      <c r="J486" s="14">
        <v>0</v>
      </c>
      <c r="K486">
        <v>0</v>
      </c>
      <c r="L486">
        <v>0</v>
      </c>
      <c r="M486">
        <v>0</v>
      </c>
      <c r="N486" s="10">
        <v>0</v>
      </c>
    </row>
    <row r="487" spans="2:14" ht="33" customHeight="1" x14ac:dyDescent="0.3">
      <c r="B487" s="14">
        <v>0</v>
      </c>
      <c r="C487" s="14">
        <v>0</v>
      </c>
      <c r="D487" s="14">
        <v>0</v>
      </c>
      <c r="E487" s="14">
        <v>0</v>
      </c>
      <c r="F487" s="14">
        <v>0</v>
      </c>
      <c r="G487" s="14">
        <v>0</v>
      </c>
      <c r="H487" s="14" t="s">
        <v>417</v>
      </c>
      <c r="I487" s="15" t="s">
        <v>417</v>
      </c>
      <c r="J487" s="14">
        <v>0</v>
      </c>
      <c r="K487">
        <v>0</v>
      </c>
      <c r="L487">
        <v>0</v>
      </c>
      <c r="M487">
        <v>0</v>
      </c>
      <c r="N487" s="10">
        <v>0</v>
      </c>
    </row>
    <row r="488" spans="2:14" ht="33" customHeight="1" x14ac:dyDescent="0.3">
      <c r="B488" s="14">
        <v>0</v>
      </c>
      <c r="C488" s="14">
        <v>0</v>
      </c>
      <c r="D488" s="14">
        <v>0</v>
      </c>
      <c r="E488" s="14">
        <v>0</v>
      </c>
      <c r="F488" s="14">
        <v>0</v>
      </c>
      <c r="G488" s="14">
        <v>0</v>
      </c>
      <c r="H488" s="14" t="s">
        <v>417</v>
      </c>
      <c r="I488" s="15" t="s">
        <v>417</v>
      </c>
      <c r="J488" s="14">
        <v>0</v>
      </c>
      <c r="K488">
        <v>0</v>
      </c>
      <c r="L488">
        <v>0</v>
      </c>
      <c r="M488">
        <v>0</v>
      </c>
      <c r="N488" s="10">
        <v>0</v>
      </c>
    </row>
    <row r="489" spans="2:14" ht="33" customHeight="1" x14ac:dyDescent="0.3">
      <c r="B489" s="14">
        <v>0</v>
      </c>
      <c r="C489" s="14">
        <v>0</v>
      </c>
      <c r="D489" s="14">
        <v>0</v>
      </c>
      <c r="E489" s="14">
        <v>0</v>
      </c>
      <c r="F489" s="14">
        <v>0</v>
      </c>
      <c r="G489" s="14">
        <v>0</v>
      </c>
      <c r="H489" s="14" t="s">
        <v>417</v>
      </c>
      <c r="I489" s="15" t="s">
        <v>417</v>
      </c>
      <c r="J489" s="14">
        <v>0</v>
      </c>
      <c r="K489">
        <v>0</v>
      </c>
      <c r="L489">
        <v>0</v>
      </c>
      <c r="M489">
        <v>0</v>
      </c>
      <c r="N489" s="10">
        <v>0</v>
      </c>
    </row>
    <row r="490" spans="2:14" ht="33" customHeight="1" x14ac:dyDescent="0.3">
      <c r="B490" s="14">
        <v>0</v>
      </c>
      <c r="C490" s="14">
        <v>0</v>
      </c>
      <c r="D490" s="14">
        <v>0</v>
      </c>
      <c r="E490" s="14">
        <v>0</v>
      </c>
      <c r="F490" s="14">
        <v>0</v>
      </c>
      <c r="G490" s="14">
        <v>0</v>
      </c>
      <c r="H490" s="14" t="s">
        <v>417</v>
      </c>
      <c r="I490" s="15" t="s">
        <v>417</v>
      </c>
      <c r="J490" s="14">
        <v>0</v>
      </c>
      <c r="K490">
        <v>0</v>
      </c>
      <c r="L490">
        <v>0</v>
      </c>
      <c r="M490">
        <v>0</v>
      </c>
      <c r="N490" s="10">
        <v>0</v>
      </c>
    </row>
    <row r="491" spans="2:14" ht="33" customHeight="1" x14ac:dyDescent="0.3">
      <c r="B491" s="14">
        <v>0</v>
      </c>
      <c r="C491" s="14">
        <v>0</v>
      </c>
      <c r="D491" s="14">
        <v>0</v>
      </c>
      <c r="E491" s="14">
        <v>0</v>
      </c>
      <c r="F491" s="14">
        <v>0</v>
      </c>
      <c r="G491" s="14">
        <v>0</v>
      </c>
      <c r="H491" s="14" t="s">
        <v>417</v>
      </c>
      <c r="I491" s="15" t="s">
        <v>417</v>
      </c>
      <c r="J491" s="14">
        <v>0</v>
      </c>
      <c r="K491">
        <v>0</v>
      </c>
      <c r="L491">
        <v>0</v>
      </c>
      <c r="M491">
        <v>0</v>
      </c>
      <c r="N491" s="10">
        <v>0</v>
      </c>
    </row>
    <row r="492" spans="2:14" ht="33" customHeight="1" x14ac:dyDescent="0.3">
      <c r="B492" s="14">
        <v>0</v>
      </c>
      <c r="C492" s="14">
        <v>0</v>
      </c>
      <c r="D492" s="14">
        <v>0</v>
      </c>
      <c r="E492" s="14">
        <v>0</v>
      </c>
      <c r="F492" s="14">
        <v>0</v>
      </c>
      <c r="G492" s="14">
        <v>0</v>
      </c>
      <c r="H492" s="14" t="s">
        <v>417</v>
      </c>
      <c r="I492" s="15" t="s">
        <v>417</v>
      </c>
      <c r="J492" s="14">
        <v>0</v>
      </c>
      <c r="K492">
        <v>0</v>
      </c>
      <c r="L492">
        <v>0</v>
      </c>
      <c r="M492">
        <v>0</v>
      </c>
      <c r="N492" s="10">
        <v>0</v>
      </c>
    </row>
    <row r="493" spans="2:14" ht="33" customHeight="1" x14ac:dyDescent="0.3">
      <c r="B493" s="14">
        <v>0</v>
      </c>
      <c r="C493" s="14">
        <v>0</v>
      </c>
      <c r="D493" s="14">
        <v>0</v>
      </c>
      <c r="E493" s="14">
        <v>0</v>
      </c>
      <c r="F493" s="14">
        <v>0</v>
      </c>
      <c r="G493" s="14">
        <v>0</v>
      </c>
      <c r="H493" s="14" t="s">
        <v>417</v>
      </c>
      <c r="I493" s="15" t="s">
        <v>417</v>
      </c>
      <c r="J493" s="14">
        <v>0</v>
      </c>
      <c r="K493">
        <v>0</v>
      </c>
      <c r="L493">
        <v>0</v>
      </c>
      <c r="M493">
        <v>0</v>
      </c>
      <c r="N493" s="10">
        <v>0</v>
      </c>
    </row>
    <row r="494" spans="2:14" ht="33" customHeight="1" x14ac:dyDescent="0.3">
      <c r="B494" s="14">
        <v>0</v>
      </c>
      <c r="C494" s="14">
        <v>0</v>
      </c>
      <c r="D494" s="14">
        <v>0</v>
      </c>
      <c r="E494" s="14">
        <v>0</v>
      </c>
      <c r="F494" s="14">
        <v>0</v>
      </c>
      <c r="G494" s="14">
        <v>0</v>
      </c>
      <c r="H494" s="14" t="s">
        <v>417</v>
      </c>
      <c r="I494" s="15" t="s">
        <v>417</v>
      </c>
      <c r="J494" s="14">
        <v>0</v>
      </c>
      <c r="K494">
        <v>0</v>
      </c>
      <c r="L494">
        <v>0</v>
      </c>
      <c r="M494">
        <v>0</v>
      </c>
      <c r="N494" s="10">
        <v>0</v>
      </c>
    </row>
    <row r="495" spans="2:14" ht="33" customHeight="1" x14ac:dyDescent="0.3">
      <c r="B495" s="14">
        <v>0</v>
      </c>
      <c r="C495" s="14">
        <v>0</v>
      </c>
      <c r="D495" s="14">
        <v>0</v>
      </c>
      <c r="E495" s="14">
        <v>0</v>
      </c>
      <c r="F495" s="14">
        <v>0</v>
      </c>
      <c r="G495" s="14">
        <v>0</v>
      </c>
      <c r="H495" s="14" t="s">
        <v>417</v>
      </c>
      <c r="I495" s="15" t="s">
        <v>417</v>
      </c>
      <c r="J495" s="14">
        <v>0</v>
      </c>
      <c r="K495">
        <v>0</v>
      </c>
      <c r="L495">
        <v>0</v>
      </c>
      <c r="M495">
        <v>0</v>
      </c>
      <c r="N495" s="10">
        <v>0</v>
      </c>
    </row>
    <row r="496" spans="2:14" ht="33" customHeight="1" x14ac:dyDescent="0.3">
      <c r="B496" s="14">
        <v>0</v>
      </c>
      <c r="C496" s="14">
        <v>0</v>
      </c>
      <c r="D496" s="14">
        <v>0</v>
      </c>
      <c r="E496" s="14">
        <v>0</v>
      </c>
      <c r="F496" s="14">
        <v>0</v>
      </c>
      <c r="G496" s="14">
        <v>0</v>
      </c>
      <c r="H496" s="14" t="s">
        <v>417</v>
      </c>
      <c r="I496" s="15" t="s">
        <v>417</v>
      </c>
      <c r="J496" s="14">
        <v>0</v>
      </c>
      <c r="K496">
        <v>0</v>
      </c>
      <c r="L496">
        <v>0</v>
      </c>
      <c r="M496">
        <v>0</v>
      </c>
      <c r="N496" s="10">
        <v>0</v>
      </c>
    </row>
    <row r="497" spans="2:14" ht="33" customHeight="1" x14ac:dyDescent="0.3">
      <c r="B497" s="14">
        <v>0</v>
      </c>
      <c r="C497" s="14">
        <v>0</v>
      </c>
      <c r="D497" s="14">
        <v>0</v>
      </c>
      <c r="E497" s="14">
        <v>0</v>
      </c>
      <c r="F497" s="14">
        <v>0</v>
      </c>
      <c r="G497" s="14">
        <v>0</v>
      </c>
      <c r="H497" s="14" t="s">
        <v>417</v>
      </c>
      <c r="I497" s="15" t="s">
        <v>417</v>
      </c>
      <c r="J497" s="14">
        <v>0</v>
      </c>
      <c r="K497">
        <v>0</v>
      </c>
      <c r="L497">
        <v>0</v>
      </c>
      <c r="M497">
        <v>0</v>
      </c>
      <c r="N497" s="10">
        <v>0</v>
      </c>
    </row>
    <row r="498" spans="2:14" ht="33" customHeight="1" x14ac:dyDescent="0.3">
      <c r="B498" s="14">
        <v>0</v>
      </c>
      <c r="C498" s="14">
        <v>0</v>
      </c>
      <c r="D498" s="14">
        <v>0</v>
      </c>
      <c r="E498" s="14">
        <v>0</v>
      </c>
      <c r="F498" s="14">
        <v>0</v>
      </c>
      <c r="G498" s="14">
        <v>0</v>
      </c>
      <c r="H498" s="14" t="s">
        <v>417</v>
      </c>
      <c r="I498" s="15" t="s">
        <v>417</v>
      </c>
      <c r="J498" s="14">
        <v>0</v>
      </c>
      <c r="K498">
        <v>0</v>
      </c>
      <c r="L498">
        <v>0</v>
      </c>
      <c r="M498">
        <v>0</v>
      </c>
      <c r="N498" s="10">
        <v>0</v>
      </c>
    </row>
    <row r="499" spans="2:14" ht="33" customHeight="1" x14ac:dyDescent="0.3">
      <c r="B499" s="14">
        <v>0</v>
      </c>
      <c r="C499" s="14">
        <v>0</v>
      </c>
      <c r="D499" s="14">
        <v>0</v>
      </c>
      <c r="E499" s="14">
        <v>0</v>
      </c>
      <c r="F499" s="14">
        <v>0</v>
      </c>
      <c r="G499" s="14">
        <v>0</v>
      </c>
      <c r="H499" s="14" t="s">
        <v>417</v>
      </c>
      <c r="I499" s="15" t="s">
        <v>417</v>
      </c>
      <c r="J499" s="14">
        <v>0</v>
      </c>
      <c r="K499">
        <v>0</v>
      </c>
      <c r="L499">
        <v>0</v>
      </c>
      <c r="M499">
        <v>0</v>
      </c>
      <c r="N499" s="10">
        <v>0</v>
      </c>
    </row>
    <row r="500" spans="2:14" ht="33" customHeight="1" x14ac:dyDescent="0.3">
      <c r="B500" s="14">
        <v>0</v>
      </c>
      <c r="C500" s="14">
        <v>0</v>
      </c>
      <c r="D500" s="14">
        <v>0</v>
      </c>
      <c r="E500" s="14">
        <v>0</v>
      </c>
      <c r="F500" s="14">
        <v>0</v>
      </c>
      <c r="G500" s="14">
        <v>0</v>
      </c>
      <c r="H500" s="14" t="s">
        <v>417</v>
      </c>
      <c r="I500" s="15" t="s">
        <v>417</v>
      </c>
      <c r="J500" s="14">
        <v>0</v>
      </c>
      <c r="K500">
        <v>0</v>
      </c>
      <c r="L500">
        <v>0</v>
      </c>
      <c r="M500">
        <v>0</v>
      </c>
      <c r="N500" s="10">
        <v>0</v>
      </c>
    </row>
    <row r="501" spans="2:14" ht="33" customHeight="1" x14ac:dyDescent="0.3">
      <c r="B501" s="14">
        <v>0</v>
      </c>
      <c r="C501" s="14">
        <v>0</v>
      </c>
      <c r="D501" s="14">
        <v>0</v>
      </c>
      <c r="E501" s="14">
        <v>0</v>
      </c>
      <c r="F501" s="14">
        <v>0</v>
      </c>
      <c r="G501" s="14">
        <v>0</v>
      </c>
      <c r="H501" s="14" t="s">
        <v>417</v>
      </c>
      <c r="I501" s="15" t="s">
        <v>417</v>
      </c>
      <c r="J501" s="14">
        <v>0</v>
      </c>
      <c r="K501">
        <v>0</v>
      </c>
      <c r="L501">
        <v>0</v>
      </c>
      <c r="M501">
        <v>0</v>
      </c>
      <c r="N501" s="10">
        <v>0</v>
      </c>
    </row>
    <row r="502" spans="2:14" ht="33" customHeight="1" x14ac:dyDescent="0.3">
      <c r="B502" s="14">
        <v>0</v>
      </c>
      <c r="C502" s="14">
        <v>0</v>
      </c>
      <c r="D502" s="14">
        <v>0</v>
      </c>
      <c r="E502" s="14">
        <v>0</v>
      </c>
      <c r="F502" s="14">
        <v>0</v>
      </c>
      <c r="G502" s="14">
        <v>0</v>
      </c>
      <c r="H502" s="14" t="s">
        <v>417</v>
      </c>
      <c r="I502" s="15" t="s">
        <v>417</v>
      </c>
      <c r="J502" s="14">
        <v>0</v>
      </c>
      <c r="K502">
        <v>0</v>
      </c>
      <c r="L502">
        <v>0</v>
      </c>
      <c r="M502">
        <v>0</v>
      </c>
      <c r="N502" s="10">
        <v>0</v>
      </c>
    </row>
    <row r="503" spans="2:14" ht="33" customHeight="1" x14ac:dyDescent="0.3">
      <c r="B503" s="14">
        <v>0</v>
      </c>
      <c r="C503" s="14">
        <v>0</v>
      </c>
      <c r="D503" s="14">
        <v>0</v>
      </c>
      <c r="E503" s="14">
        <v>0</v>
      </c>
      <c r="F503" s="14">
        <v>0</v>
      </c>
      <c r="G503" s="14">
        <v>0</v>
      </c>
      <c r="H503" s="14" t="s">
        <v>417</v>
      </c>
      <c r="I503" s="15" t="s">
        <v>417</v>
      </c>
      <c r="J503" s="14">
        <v>0</v>
      </c>
      <c r="K503">
        <v>0</v>
      </c>
      <c r="L503">
        <v>0</v>
      </c>
      <c r="M503">
        <v>0</v>
      </c>
      <c r="N503" s="10">
        <v>0</v>
      </c>
    </row>
    <row r="504" spans="2:14" ht="33" customHeight="1" x14ac:dyDescent="0.3">
      <c r="B504" s="14">
        <v>0</v>
      </c>
      <c r="C504" s="14">
        <v>0</v>
      </c>
      <c r="D504" s="14">
        <v>0</v>
      </c>
      <c r="E504" s="14">
        <v>0</v>
      </c>
      <c r="F504" s="14">
        <v>0</v>
      </c>
      <c r="G504" s="14">
        <v>0</v>
      </c>
      <c r="H504" s="14" t="s">
        <v>417</v>
      </c>
      <c r="I504" s="15" t="s">
        <v>417</v>
      </c>
      <c r="J504" s="14">
        <v>0</v>
      </c>
      <c r="K504">
        <v>0</v>
      </c>
      <c r="L504">
        <v>0</v>
      </c>
      <c r="M504">
        <v>0</v>
      </c>
      <c r="N504" s="10">
        <v>0</v>
      </c>
    </row>
    <row r="505" spans="2:14" ht="33" customHeight="1" x14ac:dyDescent="0.3">
      <c r="B505" s="14">
        <v>0</v>
      </c>
      <c r="C505" s="14">
        <v>0</v>
      </c>
      <c r="D505" s="14">
        <v>0</v>
      </c>
      <c r="E505" s="14">
        <v>0</v>
      </c>
      <c r="F505" s="14">
        <v>0</v>
      </c>
      <c r="G505" s="14">
        <v>0</v>
      </c>
      <c r="H505" s="14" t="s">
        <v>417</v>
      </c>
      <c r="I505" s="15" t="s">
        <v>417</v>
      </c>
      <c r="J505" s="14">
        <v>0</v>
      </c>
      <c r="K505">
        <v>0</v>
      </c>
      <c r="L505">
        <v>0</v>
      </c>
      <c r="M505">
        <v>0</v>
      </c>
      <c r="N505" s="10">
        <v>0</v>
      </c>
    </row>
    <row r="506" spans="2:14" ht="33" customHeight="1" x14ac:dyDescent="0.3">
      <c r="B506" s="14">
        <v>0</v>
      </c>
      <c r="C506" s="14">
        <v>0</v>
      </c>
      <c r="D506" s="14">
        <v>0</v>
      </c>
      <c r="E506" s="14">
        <v>0</v>
      </c>
      <c r="F506" s="14">
        <v>0</v>
      </c>
      <c r="G506" s="14">
        <v>0</v>
      </c>
      <c r="H506" s="14" t="s">
        <v>417</v>
      </c>
      <c r="I506" s="15" t="s">
        <v>417</v>
      </c>
      <c r="J506" s="14">
        <v>0</v>
      </c>
      <c r="K506">
        <v>0</v>
      </c>
      <c r="L506">
        <v>0</v>
      </c>
      <c r="M506">
        <v>0</v>
      </c>
      <c r="N506" s="10">
        <v>0</v>
      </c>
    </row>
    <row r="507" spans="2:14" ht="33" customHeight="1" x14ac:dyDescent="0.3">
      <c r="B507" s="14">
        <v>0</v>
      </c>
      <c r="C507" s="14">
        <v>0</v>
      </c>
      <c r="D507" s="14">
        <v>0</v>
      </c>
      <c r="E507" s="14">
        <v>0</v>
      </c>
      <c r="F507" s="14">
        <v>0</v>
      </c>
      <c r="G507" s="14">
        <v>0</v>
      </c>
      <c r="H507" s="14" t="s">
        <v>417</v>
      </c>
      <c r="I507" s="15" t="s">
        <v>417</v>
      </c>
      <c r="J507" s="14">
        <v>0</v>
      </c>
      <c r="K507">
        <v>0</v>
      </c>
      <c r="L507">
        <v>0</v>
      </c>
      <c r="M507">
        <v>0</v>
      </c>
      <c r="N507" s="10">
        <v>0</v>
      </c>
    </row>
    <row r="508" spans="2:14" ht="33" customHeight="1" x14ac:dyDescent="0.3">
      <c r="B508" s="14">
        <v>0</v>
      </c>
      <c r="C508" s="14">
        <v>0</v>
      </c>
      <c r="D508" s="14">
        <v>0</v>
      </c>
      <c r="E508" s="14">
        <v>0</v>
      </c>
      <c r="F508" s="14">
        <v>0</v>
      </c>
      <c r="G508" s="14">
        <v>0</v>
      </c>
      <c r="H508" s="14" t="s">
        <v>417</v>
      </c>
      <c r="I508" s="15" t="s">
        <v>417</v>
      </c>
      <c r="J508" s="14">
        <v>0</v>
      </c>
      <c r="K508">
        <v>0</v>
      </c>
      <c r="L508">
        <v>0</v>
      </c>
      <c r="M508">
        <v>0</v>
      </c>
      <c r="N508" s="10">
        <v>0</v>
      </c>
    </row>
    <row r="509" spans="2:14" ht="33" customHeight="1" x14ac:dyDescent="0.3">
      <c r="B509" s="14">
        <v>0</v>
      </c>
      <c r="C509" s="14">
        <v>0</v>
      </c>
      <c r="D509" s="14">
        <v>0</v>
      </c>
      <c r="E509" s="14">
        <v>0</v>
      </c>
      <c r="F509" s="14">
        <v>0</v>
      </c>
      <c r="G509" s="14">
        <v>0</v>
      </c>
      <c r="H509" s="14" t="s">
        <v>417</v>
      </c>
      <c r="I509" s="15" t="s">
        <v>417</v>
      </c>
      <c r="J509" s="14">
        <v>0</v>
      </c>
      <c r="K509">
        <v>0</v>
      </c>
      <c r="L509">
        <v>0</v>
      </c>
      <c r="M509">
        <v>0</v>
      </c>
      <c r="N509" s="10">
        <v>0</v>
      </c>
    </row>
    <row r="510" spans="2:14" ht="33" customHeight="1" x14ac:dyDescent="0.3">
      <c r="B510" s="14">
        <v>0</v>
      </c>
      <c r="C510" s="14">
        <v>0</v>
      </c>
      <c r="D510" s="14">
        <v>0</v>
      </c>
      <c r="E510" s="14">
        <v>0</v>
      </c>
      <c r="F510" s="14">
        <v>0</v>
      </c>
      <c r="G510" s="14">
        <v>0</v>
      </c>
      <c r="H510" s="14" t="s">
        <v>417</v>
      </c>
      <c r="I510" s="15" t="s">
        <v>417</v>
      </c>
      <c r="J510" s="14">
        <v>0</v>
      </c>
      <c r="K510">
        <v>0</v>
      </c>
      <c r="L510">
        <v>0</v>
      </c>
      <c r="M510">
        <v>0</v>
      </c>
      <c r="N510" s="10">
        <v>0</v>
      </c>
    </row>
    <row r="511" spans="2:14" ht="33" customHeight="1" x14ac:dyDescent="0.3">
      <c r="B511" s="14">
        <v>0</v>
      </c>
      <c r="C511" s="14">
        <v>0</v>
      </c>
      <c r="D511" s="14">
        <v>0</v>
      </c>
      <c r="E511" s="14">
        <v>0</v>
      </c>
      <c r="F511" s="14">
        <v>0</v>
      </c>
      <c r="G511" s="14">
        <v>0</v>
      </c>
      <c r="H511" s="14" t="s">
        <v>417</v>
      </c>
      <c r="I511" s="15" t="s">
        <v>417</v>
      </c>
      <c r="J511" s="14">
        <v>0</v>
      </c>
      <c r="K511">
        <v>0</v>
      </c>
      <c r="L511">
        <v>0</v>
      </c>
      <c r="M511">
        <v>0</v>
      </c>
      <c r="N511" s="10">
        <v>0</v>
      </c>
    </row>
    <row r="512" spans="2:14" ht="33" customHeight="1" x14ac:dyDescent="0.3">
      <c r="B512" s="14">
        <v>0</v>
      </c>
      <c r="C512" s="14">
        <v>0</v>
      </c>
      <c r="D512" s="14">
        <v>0</v>
      </c>
      <c r="E512" s="14">
        <v>0</v>
      </c>
      <c r="F512" s="14">
        <v>0</v>
      </c>
      <c r="G512" s="14">
        <v>0</v>
      </c>
      <c r="H512" s="14" t="s">
        <v>417</v>
      </c>
      <c r="I512" s="15" t="s">
        <v>417</v>
      </c>
      <c r="J512" s="14">
        <v>0</v>
      </c>
      <c r="K512">
        <v>0</v>
      </c>
      <c r="L512">
        <v>0</v>
      </c>
      <c r="M512">
        <v>0</v>
      </c>
      <c r="N512" s="10">
        <v>0</v>
      </c>
    </row>
    <row r="513" spans="2:14" ht="33" customHeight="1" x14ac:dyDescent="0.3">
      <c r="B513" s="14">
        <v>0</v>
      </c>
      <c r="C513" s="14">
        <v>0</v>
      </c>
      <c r="D513" s="14">
        <v>0</v>
      </c>
      <c r="E513" s="14">
        <v>0</v>
      </c>
      <c r="F513" s="14">
        <v>0</v>
      </c>
      <c r="G513" s="14">
        <v>0</v>
      </c>
      <c r="H513" s="14" t="s">
        <v>417</v>
      </c>
      <c r="I513" s="15" t="s">
        <v>417</v>
      </c>
      <c r="J513" s="14">
        <v>0</v>
      </c>
      <c r="K513">
        <v>0</v>
      </c>
      <c r="L513">
        <v>0</v>
      </c>
      <c r="M513">
        <v>0</v>
      </c>
      <c r="N513" s="10">
        <v>0</v>
      </c>
    </row>
    <row r="514" spans="2:14" ht="33" customHeight="1" x14ac:dyDescent="0.3">
      <c r="B514" s="14">
        <v>0</v>
      </c>
      <c r="C514" s="14">
        <v>0</v>
      </c>
      <c r="D514" s="14">
        <v>0</v>
      </c>
      <c r="E514" s="14">
        <v>0</v>
      </c>
      <c r="F514" s="14">
        <v>0</v>
      </c>
      <c r="G514" s="14">
        <v>0</v>
      </c>
      <c r="H514" s="14" t="s">
        <v>417</v>
      </c>
      <c r="I514" s="15" t="s">
        <v>417</v>
      </c>
      <c r="J514" s="14">
        <v>0</v>
      </c>
      <c r="K514">
        <v>0</v>
      </c>
      <c r="L514">
        <v>0</v>
      </c>
      <c r="M514">
        <v>0</v>
      </c>
      <c r="N514" s="10">
        <v>0</v>
      </c>
    </row>
    <row r="515" spans="2:14" ht="33" customHeight="1" x14ac:dyDescent="0.3">
      <c r="B515" s="14">
        <v>0</v>
      </c>
      <c r="C515" s="14">
        <v>0</v>
      </c>
      <c r="D515" s="14">
        <v>0</v>
      </c>
      <c r="E515" s="14">
        <v>0</v>
      </c>
      <c r="F515" s="14">
        <v>0</v>
      </c>
      <c r="G515" s="14">
        <v>0</v>
      </c>
      <c r="H515" s="14" t="s">
        <v>417</v>
      </c>
      <c r="I515" s="15" t="s">
        <v>417</v>
      </c>
      <c r="J515" s="14">
        <v>0</v>
      </c>
      <c r="K515">
        <v>0</v>
      </c>
      <c r="L515">
        <v>0</v>
      </c>
      <c r="M515">
        <v>0</v>
      </c>
      <c r="N515" s="10">
        <v>0</v>
      </c>
    </row>
    <row r="516" spans="2:14" ht="33" customHeight="1" x14ac:dyDescent="0.3">
      <c r="B516" s="14">
        <v>0</v>
      </c>
      <c r="C516" s="14">
        <v>0</v>
      </c>
      <c r="D516" s="14">
        <v>0</v>
      </c>
      <c r="E516" s="14">
        <v>0</v>
      </c>
      <c r="F516" s="14">
        <v>0</v>
      </c>
      <c r="G516" s="14">
        <v>0</v>
      </c>
      <c r="H516" s="14" t="s">
        <v>417</v>
      </c>
      <c r="I516" s="15" t="s">
        <v>417</v>
      </c>
      <c r="J516" s="14">
        <v>0</v>
      </c>
      <c r="K516">
        <v>0</v>
      </c>
      <c r="L516">
        <v>0</v>
      </c>
      <c r="M516">
        <v>0</v>
      </c>
      <c r="N516" s="10">
        <v>0</v>
      </c>
    </row>
    <row r="517" spans="2:14" ht="33" customHeight="1" x14ac:dyDescent="0.3">
      <c r="B517" s="14">
        <v>0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 t="s">
        <v>417</v>
      </c>
      <c r="I517" s="15" t="s">
        <v>417</v>
      </c>
      <c r="J517" s="14">
        <v>0</v>
      </c>
      <c r="K517">
        <v>0</v>
      </c>
      <c r="L517">
        <v>0</v>
      </c>
      <c r="M517">
        <v>0</v>
      </c>
      <c r="N517" s="10">
        <v>0</v>
      </c>
    </row>
    <row r="518" spans="2:14" ht="33" customHeight="1" x14ac:dyDescent="0.3">
      <c r="B518" s="14">
        <v>0</v>
      </c>
      <c r="C518" s="14">
        <v>0</v>
      </c>
      <c r="D518" s="14">
        <v>0</v>
      </c>
      <c r="E518" s="14">
        <v>0</v>
      </c>
      <c r="F518" s="14">
        <v>0</v>
      </c>
      <c r="G518" s="14">
        <v>0</v>
      </c>
      <c r="H518" s="14" t="s">
        <v>417</v>
      </c>
      <c r="I518" s="15" t="s">
        <v>417</v>
      </c>
      <c r="J518" s="14">
        <v>0</v>
      </c>
      <c r="K518">
        <v>0</v>
      </c>
      <c r="L518">
        <v>0</v>
      </c>
      <c r="M518">
        <v>0</v>
      </c>
      <c r="N518" s="10">
        <v>0</v>
      </c>
    </row>
    <row r="519" spans="2:14" ht="33" customHeight="1" x14ac:dyDescent="0.3">
      <c r="B519" s="14">
        <v>0</v>
      </c>
      <c r="C519" s="14">
        <v>0</v>
      </c>
      <c r="D519" s="14">
        <v>0</v>
      </c>
      <c r="E519" s="14">
        <v>0</v>
      </c>
      <c r="F519" s="14">
        <v>0</v>
      </c>
      <c r="G519" s="14">
        <v>0</v>
      </c>
      <c r="H519" s="14" t="s">
        <v>417</v>
      </c>
      <c r="I519" s="15" t="s">
        <v>417</v>
      </c>
      <c r="J519" s="14">
        <v>0</v>
      </c>
      <c r="K519">
        <v>0</v>
      </c>
      <c r="L519">
        <v>0</v>
      </c>
      <c r="M519">
        <v>0</v>
      </c>
      <c r="N519" s="10">
        <v>0</v>
      </c>
    </row>
    <row r="520" spans="2:14" ht="33" customHeight="1" x14ac:dyDescent="0.3">
      <c r="B520" s="14">
        <v>0</v>
      </c>
      <c r="C520" s="14">
        <v>0</v>
      </c>
      <c r="D520" s="14">
        <v>0</v>
      </c>
      <c r="E520" s="14">
        <v>0</v>
      </c>
      <c r="F520" s="14">
        <v>0</v>
      </c>
      <c r="G520" s="14">
        <v>0</v>
      </c>
      <c r="H520" s="14" t="s">
        <v>417</v>
      </c>
      <c r="I520" s="15" t="s">
        <v>417</v>
      </c>
      <c r="J520" s="14">
        <v>0</v>
      </c>
      <c r="K520">
        <v>0</v>
      </c>
      <c r="L520">
        <v>0</v>
      </c>
      <c r="M520">
        <v>0</v>
      </c>
      <c r="N520" s="10">
        <v>0</v>
      </c>
    </row>
    <row r="521" spans="2:14" ht="33" customHeight="1" x14ac:dyDescent="0.3">
      <c r="B521" s="14">
        <v>0</v>
      </c>
      <c r="C521" s="14">
        <v>0</v>
      </c>
      <c r="D521" s="14">
        <v>0</v>
      </c>
      <c r="E521" s="14">
        <v>0</v>
      </c>
      <c r="F521" s="14">
        <v>0</v>
      </c>
      <c r="G521" s="14">
        <v>0</v>
      </c>
      <c r="H521" s="14" t="s">
        <v>417</v>
      </c>
      <c r="I521" s="15" t="s">
        <v>417</v>
      </c>
      <c r="J521" s="14">
        <v>0</v>
      </c>
      <c r="K521">
        <v>0</v>
      </c>
      <c r="L521">
        <v>0</v>
      </c>
      <c r="M521">
        <v>0</v>
      </c>
      <c r="N521" s="10">
        <v>0</v>
      </c>
    </row>
    <row r="522" spans="2:14" ht="33" customHeight="1" x14ac:dyDescent="0.3">
      <c r="B522" s="14">
        <v>0</v>
      </c>
      <c r="C522" s="14">
        <v>0</v>
      </c>
      <c r="D522" s="14">
        <v>0</v>
      </c>
      <c r="E522" s="14">
        <v>0</v>
      </c>
      <c r="F522" s="14">
        <v>0</v>
      </c>
      <c r="G522" s="14">
        <v>0</v>
      </c>
      <c r="H522" s="14" t="s">
        <v>417</v>
      </c>
      <c r="I522" s="15" t="s">
        <v>417</v>
      </c>
      <c r="J522" s="14">
        <v>0</v>
      </c>
      <c r="K522">
        <v>0</v>
      </c>
      <c r="L522">
        <v>0</v>
      </c>
      <c r="M522">
        <v>0</v>
      </c>
      <c r="N522" s="10">
        <v>0</v>
      </c>
    </row>
    <row r="523" spans="2:14" ht="33" customHeight="1" x14ac:dyDescent="0.3">
      <c r="B523" s="14">
        <v>0</v>
      </c>
      <c r="C523" s="14">
        <v>0</v>
      </c>
      <c r="D523" s="14">
        <v>0</v>
      </c>
      <c r="E523" s="14">
        <v>0</v>
      </c>
      <c r="F523" s="14">
        <v>0</v>
      </c>
      <c r="G523" s="14">
        <v>0</v>
      </c>
      <c r="H523" s="14" t="s">
        <v>417</v>
      </c>
      <c r="I523" s="15" t="s">
        <v>417</v>
      </c>
      <c r="J523" s="14">
        <v>0</v>
      </c>
      <c r="K523">
        <v>0</v>
      </c>
      <c r="L523">
        <v>0</v>
      </c>
      <c r="M523">
        <v>0</v>
      </c>
      <c r="N523" s="10">
        <v>0</v>
      </c>
    </row>
    <row r="524" spans="2:14" ht="33" customHeight="1" x14ac:dyDescent="0.3">
      <c r="B524" s="14">
        <v>0</v>
      </c>
      <c r="C524" s="14">
        <v>0</v>
      </c>
      <c r="D524" s="14">
        <v>0</v>
      </c>
      <c r="E524" s="14">
        <v>0</v>
      </c>
      <c r="F524" s="14">
        <v>0</v>
      </c>
      <c r="G524" s="14">
        <v>0</v>
      </c>
      <c r="H524" s="14" t="s">
        <v>417</v>
      </c>
      <c r="I524" s="15" t="s">
        <v>417</v>
      </c>
      <c r="J524" s="14">
        <v>0</v>
      </c>
      <c r="K524">
        <v>0</v>
      </c>
      <c r="L524">
        <v>0</v>
      </c>
      <c r="M524">
        <v>0</v>
      </c>
      <c r="N524" s="10">
        <v>0</v>
      </c>
    </row>
    <row r="525" spans="2:14" ht="33" customHeight="1" x14ac:dyDescent="0.3">
      <c r="B525" s="14">
        <v>0</v>
      </c>
      <c r="C525" s="14">
        <v>0</v>
      </c>
      <c r="D525" s="14">
        <v>0</v>
      </c>
      <c r="E525" s="14">
        <v>0</v>
      </c>
      <c r="F525" s="14">
        <v>0</v>
      </c>
      <c r="G525" s="14">
        <v>0</v>
      </c>
      <c r="H525" s="14" t="s">
        <v>417</v>
      </c>
      <c r="I525" s="15" t="s">
        <v>417</v>
      </c>
      <c r="J525" s="14">
        <v>0</v>
      </c>
      <c r="K525">
        <v>0</v>
      </c>
      <c r="L525">
        <v>0</v>
      </c>
      <c r="M525">
        <v>0</v>
      </c>
      <c r="N525" s="10">
        <v>0</v>
      </c>
    </row>
    <row r="526" spans="2:14" ht="33" customHeight="1" x14ac:dyDescent="0.3">
      <c r="B526" s="14">
        <v>0</v>
      </c>
      <c r="C526" s="14">
        <v>0</v>
      </c>
      <c r="D526" s="14">
        <v>0</v>
      </c>
      <c r="E526" s="14">
        <v>0</v>
      </c>
      <c r="F526" s="14">
        <v>0</v>
      </c>
      <c r="G526" s="14">
        <v>0</v>
      </c>
      <c r="H526" s="14" t="s">
        <v>417</v>
      </c>
      <c r="I526" s="15" t="s">
        <v>417</v>
      </c>
      <c r="J526" s="14">
        <v>0</v>
      </c>
      <c r="K526">
        <v>0</v>
      </c>
      <c r="L526">
        <v>0</v>
      </c>
      <c r="M526">
        <v>0</v>
      </c>
      <c r="N526" s="10">
        <v>0</v>
      </c>
    </row>
    <row r="527" spans="2:14" ht="33" customHeight="1" x14ac:dyDescent="0.3">
      <c r="B527" s="14">
        <v>0</v>
      </c>
      <c r="C527" s="14">
        <v>0</v>
      </c>
      <c r="D527" s="14">
        <v>0</v>
      </c>
      <c r="E527" s="14">
        <v>0</v>
      </c>
      <c r="F527" s="14">
        <v>0</v>
      </c>
      <c r="G527" s="14">
        <v>0</v>
      </c>
      <c r="H527" s="14" t="s">
        <v>417</v>
      </c>
      <c r="I527" s="15" t="s">
        <v>417</v>
      </c>
      <c r="J527" s="14">
        <v>0</v>
      </c>
      <c r="K527">
        <v>0</v>
      </c>
      <c r="L527">
        <v>0</v>
      </c>
      <c r="M527">
        <v>0</v>
      </c>
      <c r="N527" s="10">
        <v>0</v>
      </c>
    </row>
    <row r="528" spans="2:14" ht="33" customHeight="1" x14ac:dyDescent="0.3">
      <c r="B528" s="14">
        <v>0</v>
      </c>
      <c r="C528" s="14">
        <v>0</v>
      </c>
      <c r="D528" s="14">
        <v>0</v>
      </c>
      <c r="E528" s="14">
        <v>0</v>
      </c>
      <c r="F528" s="14">
        <v>0</v>
      </c>
      <c r="G528" s="14">
        <v>0</v>
      </c>
      <c r="H528" s="14" t="s">
        <v>417</v>
      </c>
      <c r="I528" s="15" t="s">
        <v>417</v>
      </c>
      <c r="J528" s="14">
        <v>0</v>
      </c>
      <c r="K528">
        <v>0</v>
      </c>
      <c r="L528">
        <v>0</v>
      </c>
      <c r="M528">
        <v>0</v>
      </c>
      <c r="N528" s="10">
        <v>0</v>
      </c>
    </row>
    <row r="529" spans="2:14" ht="33" customHeight="1" x14ac:dyDescent="0.3">
      <c r="B529" s="14">
        <v>0</v>
      </c>
      <c r="C529" s="14">
        <v>0</v>
      </c>
      <c r="D529" s="14">
        <v>0</v>
      </c>
      <c r="E529" s="14">
        <v>0</v>
      </c>
      <c r="F529" s="14">
        <v>0</v>
      </c>
      <c r="G529" s="14">
        <v>0</v>
      </c>
      <c r="H529" s="14" t="s">
        <v>417</v>
      </c>
      <c r="I529" s="15" t="s">
        <v>417</v>
      </c>
      <c r="J529" s="14">
        <v>0</v>
      </c>
      <c r="K529">
        <v>0</v>
      </c>
      <c r="L529">
        <v>0</v>
      </c>
      <c r="M529">
        <v>0</v>
      </c>
      <c r="N529" s="10">
        <v>0</v>
      </c>
    </row>
    <row r="530" spans="2:14" ht="33" customHeight="1" x14ac:dyDescent="0.3">
      <c r="B530" s="14">
        <v>0</v>
      </c>
      <c r="C530" s="14">
        <v>0</v>
      </c>
      <c r="D530" s="14">
        <v>0</v>
      </c>
      <c r="E530" s="14">
        <v>0</v>
      </c>
      <c r="F530" s="14">
        <v>0</v>
      </c>
      <c r="G530" s="14">
        <v>0</v>
      </c>
      <c r="H530" s="14" t="s">
        <v>417</v>
      </c>
      <c r="I530" s="15" t="s">
        <v>417</v>
      </c>
      <c r="J530" s="14">
        <v>0</v>
      </c>
      <c r="K530">
        <v>0</v>
      </c>
      <c r="L530">
        <v>0</v>
      </c>
      <c r="M530">
        <v>0</v>
      </c>
      <c r="N530" s="10">
        <v>0</v>
      </c>
    </row>
    <row r="531" spans="2:14" ht="33" customHeight="1" x14ac:dyDescent="0.3">
      <c r="B531" s="14">
        <v>0</v>
      </c>
      <c r="C531" s="14">
        <v>0</v>
      </c>
      <c r="D531" s="14">
        <v>0</v>
      </c>
      <c r="E531" s="14">
        <v>0</v>
      </c>
      <c r="F531" s="14">
        <v>0</v>
      </c>
      <c r="G531" s="14">
        <v>0</v>
      </c>
      <c r="H531" s="14" t="s">
        <v>417</v>
      </c>
      <c r="I531" s="15" t="s">
        <v>417</v>
      </c>
      <c r="J531" s="14">
        <v>0</v>
      </c>
      <c r="K531">
        <v>0</v>
      </c>
      <c r="L531">
        <v>0</v>
      </c>
      <c r="M531">
        <v>0</v>
      </c>
      <c r="N531" s="10">
        <v>0</v>
      </c>
    </row>
    <row r="532" spans="2:14" ht="33" customHeight="1" x14ac:dyDescent="0.3">
      <c r="B532" s="14">
        <v>0</v>
      </c>
      <c r="C532" s="14">
        <v>0</v>
      </c>
      <c r="D532" s="14">
        <v>0</v>
      </c>
      <c r="E532" s="14">
        <v>0</v>
      </c>
      <c r="F532" s="14">
        <v>0</v>
      </c>
      <c r="G532" s="14">
        <v>0</v>
      </c>
      <c r="H532" s="14" t="s">
        <v>417</v>
      </c>
      <c r="I532" s="15" t="s">
        <v>417</v>
      </c>
      <c r="J532" s="14">
        <v>0</v>
      </c>
      <c r="K532">
        <v>0</v>
      </c>
      <c r="L532">
        <v>0</v>
      </c>
      <c r="M532">
        <v>0</v>
      </c>
      <c r="N532" s="10">
        <v>0</v>
      </c>
    </row>
    <row r="533" spans="2:14" ht="33" customHeight="1" x14ac:dyDescent="0.3">
      <c r="B533" s="14">
        <v>0</v>
      </c>
      <c r="C533" s="14">
        <v>0</v>
      </c>
      <c r="D533" s="14">
        <v>0</v>
      </c>
      <c r="E533" s="14">
        <v>0</v>
      </c>
      <c r="F533" s="14">
        <v>0</v>
      </c>
      <c r="G533" s="14">
        <v>0</v>
      </c>
      <c r="H533" s="14" t="s">
        <v>417</v>
      </c>
      <c r="I533" s="15" t="s">
        <v>417</v>
      </c>
      <c r="J533" s="14">
        <v>0</v>
      </c>
      <c r="K533">
        <v>0</v>
      </c>
      <c r="L533">
        <v>0</v>
      </c>
      <c r="M533">
        <v>0</v>
      </c>
      <c r="N533" s="10">
        <v>0</v>
      </c>
    </row>
    <row r="534" spans="2:14" ht="33" customHeight="1" x14ac:dyDescent="0.3">
      <c r="B534" s="14">
        <v>0</v>
      </c>
      <c r="C534" s="14">
        <v>0</v>
      </c>
      <c r="D534" s="14">
        <v>0</v>
      </c>
      <c r="E534" s="14">
        <v>0</v>
      </c>
      <c r="F534" s="14">
        <v>0</v>
      </c>
      <c r="G534" s="14">
        <v>0</v>
      </c>
      <c r="H534" s="14" t="s">
        <v>417</v>
      </c>
      <c r="I534" s="15" t="s">
        <v>417</v>
      </c>
      <c r="J534" s="14">
        <v>0</v>
      </c>
      <c r="K534">
        <v>0</v>
      </c>
      <c r="L534">
        <v>0</v>
      </c>
      <c r="M534">
        <v>0</v>
      </c>
      <c r="N534" s="10">
        <v>0</v>
      </c>
    </row>
    <row r="535" spans="2:14" ht="33" customHeight="1" x14ac:dyDescent="0.3">
      <c r="B535" s="14">
        <v>0</v>
      </c>
      <c r="C535" s="14">
        <v>0</v>
      </c>
      <c r="D535" s="14">
        <v>0</v>
      </c>
      <c r="E535" s="14">
        <v>0</v>
      </c>
      <c r="F535" s="14">
        <v>0</v>
      </c>
      <c r="G535" s="14">
        <v>0</v>
      </c>
      <c r="H535" s="14" t="s">
        <v>417</v>
      </c>
      <c r="I535" s="15" t="s">
        <v>417</v>
      </c>
      <c r="J535" s="14">
        <v>0</v>
      </c>
      <c r="K535">
        <v>0</v>
      </c>
      <c r="L535">
        <v>0</v>
      </c>
      <c r="M535">
        <v>0</v>
      </c>
      <c r="N535" s="10">
        <v>0</v>
      </c>
    </row>
    <row r="536" spans="2:14" ht="33" customHeight="1" x14ac:dyDescent="0.3">
      <c r="B536" s="14">
        <v>0</v>
      </c>
      <c r="C536" s="14">
        <v>0</v>
      </c>
      <c r="D536" s="14">
        <v>0</v>
      </c>
      <c r="E536" s="14">
        <v>0</v>
      </c>
      <c r="F536" s="14">
        <v>0</v>
      </c>
      <c r="G536" s="14">
        <v>0</v>
      </c>
      <c r="H536" s="14" t="s">
        <v>417</v>
      </c>
      <c r="I536" s="15" t="s">
        <v>417</v>
      </c>
      <c r="J536" s="14">
        <v>0</v>
      </c>
      <c r="K536">
        <v>0</v>
      </c>
      <c r="L536">
        <v>0</v>
      </c>
      <c r="M536">
        <v>0</v>
      </c>
      <c r="N536" s="10">
        <v>0</v>
      </c>
    </row>
    <row r="537" spans="2:14" ht="33" customHeight="1" x14ac:dyDescent="0.3">
      <c r="B537" s="14">
        <v>0</v>
      </c>
      <c r="C537" s="14">
        <v>0</v>
      </c>
      <c r="D537" s="14">
        <v>0</v>
      </c>
      <c r="E537" s="14">
        <v>0</v>
      </c>
      <c r="F537" s="14">
        <v>0</v>
      </c>
      <c r="G537" s="14">
        <v>0</v>
      </c>
      <c r="H537" s="14" t="s">
        <v>417</v>
      </c>
      <c r="I537" s="15" t="s">
        <v>417</v>
      </c>
      <c r="J537" s="14">
        <v>0</v>
      </c>
      <c r="K537">
        <v>0</v>
      </c>
      <c r="L537">
        <v>0</v>
      </c>
      <c r="M537">
        <v>0</v>
      </c>
      <c r="N537" s="10">
        <v>0</v>
      </c>
    </row>
    <row r="538" spans="2:14" ht="33" customHeight="1" x14ac:dyDescent="0.3">
      <c r="B538" s="14">
        <v>0</v>
      </c>
      <c r="C538" s="14">
        <v>0</v>
      </c>
      <c r="D538" s="14">
        <v>0</v>
      </c>
      <c r="E538" s="14">
        <v>0</v>
      </c>
      <c r="F538" s="14">
        <v>0</v>
      </c>
      <c r="G538" s="14">
        <v>0</v>
      </c>
      <c r="H538" s="14" t="s">
        <v>417</v>
      </c>
      <c r="I538" s="15" t="s">
        <v>417</v>
      </c>
      <c r="J538" s="14">
        <v>0</v>
      </c>
      <c r="K538">
        <v>0</v>
      </c>
      <c r="L538">
        <v>0</v>
      </c>
      <c r="M538">
        <v>0</v>
      </c>
      <c r="N538" s="10">
        <v>0</v>
      </c>
    </row>
    <row r="539" spans="2:14" ht="33" customHeight="1" x14ac:dyDescent="0.3">
      <c r="B539" s="14">
        <v>0</v>
      </c>
      <c r="C539" s="14">
        <v>0</v>
      </c>
      <c r="D539" s="14">
        <v>0</v>
      </c>
      <c r="E539" s="14">
        <v>0</v>
      </c>
      <c r="F539" s="14">
        <v>0</v>
      </c>
      <c r="G539" s="14">
        <v>0</v>
      </c>
      <c r="H539" s="14" t="s">
        <v>417</v>
      </c>
      <c r="I539" s="15" t="s">
        <v>417</v>
      </c>
      <c r="J539" s="14">
        <v>0</v>
      </c>
      <c r="K539">
        <v>0</v>
      </c>
      <c r="L539">
        <v>0</v>
      </c>
      <c r="M539">
        <v>0</v>
      </c>
      <c r="N539" s="10">
        <v>0</v>
      </c>
    </row>
    <row r="540" spans="2:14" ht="33" customHeight="1" x14ac:dyDescent="0.3">
      <c r="B540" s="14">
        <v>0</v>
      </c>
      <c r="C540" s="14">
        <v>0</v>
      </c>
      <c r="D540" s="14">
        <v>0</v>
      </c>
      <c r="E540" s="14">
        <v>0</v>
      </c>
      <c r="F540" s="14">
        <v>0</v>
      </c>
      <c r="G540" s="14">
        <v>0</v>
      </c>
      <c r="H540" s="14" t="s">
        <v>417</v>
      </c>
      <c r="I540" s="15" t="s">
        <v>417</v>
      </c>
      <c r="J540" s="14">
        <v>0</v>
      </c>
      <c r="K540">
        <v>0</v>
      </c>
      <c r="L540">
        <v>0</v>
      </c>
      <c r="M540">
        <v>0</v>
      </c>
      <c r="N540" s="10">
        <v>0</v>
      </c>
    </row>
    <row r="541" spans="2:14" ht="33" customHeight="1" x14ac:dyDescent="0.3">
      <c r="B541" s="14">
        <v>0</v>
      </c>
      <c r="C541" s="14">
        <v>0</v>
      </c>
      <c r="D541" s="14">
        <v>0</v>
      </c>
      <c r="E541" s="14">
        <v>0</v>
      </c>
      <c r="F541" s="14">
        <v>0</v>
      </c>
      <c r="G541" s="14">
        <v>0</v>
      </c>
      <c r="H541" s="14" t="s">
        <v>417</v>
      </c>
      <c r="I541" s="15" t="s">
        <v>417</v>
      </c>
      <c r="J541" s="14">
        <v>0</v>
      </c>
      <c r="K541">
        <v>0</v>
      </c>
      <c r="L541">
        <v>0</v>
      </c>
      <c r="M541">
        <v>0</v>
      </c>
      <c r="N541" s="10">
        <v>0</v>
      </c>
    </row>
    <row r="542" spans="2:14" ht="33" customHeight="1" x14ac:dyDescent="0.3">
      <c r="B542" s="14">
        <v>0</v>
      </c>
      <c r="C542" s="14">
        <v>0</v>
      </c>
      <c r="D542" s="14">
        <v>0</v>
      </c>
      <c r="E542" s="14">
        <v>0</v>
      </c>
      <c r="F542" s="14">
        <v>0</v>
      </c>
      <c r="G542" s="14">
        <v>0</v>
      </c>
      <c r="H542" s="14" t="s">
        <v>417</v>
      </c>
      <c r="I542" s="15" t="s">
        <v>417</v>
      </c>
      <c r="J542" s="14">
        <v>0</v>
      </c>
      <c r="K542">
        <v>0</v>
      </c>
      <c r="L542">
        <v>0</v>
      </c>
      <c r="M542">
        <v>0</v>
      </c>
      <c r="N542" s="10">
        <v>0</v>
      </c>
    </row>
    <row r="543" spans="2:14" ht="33" customHeight="1" x14ac:dyDescent="0.3">
      <c r="B543" s="14">
        <v>0</v>
      </c>
      <c r="C543" s="14">
        <v>0</v>
      </c>
      <c r="D543" s="14">
        <v>0</v>
      </c>
      <c r="E543" s="14">
        <v>0</v>
      </c>
      <c r="F543" s="14">
        <v>0</v>
      </c>
      <c r="G543" s="14">
        <v>0</v>
      </c>
      <c r="H543" s="14" t="s">
        <v>417</v>
      </c>
      <c r="I543" s="15" t="s">
        <v>417</v>
      </c>
      <c r="J543" s="14">
        <v>0</v>
      </c>
      <c r="K543">
        <v>0</v>
      </c>
      <c r="L543">
        <v>0</v>
      </c>
      <c r="M543">
        <v>0</v>
      </c>
      <c r="N543" s="10">
        <v>0</v>
      </c>
    </row>
    <row r="544" spans="2:14" ht="33" customHeight="1" x14ac:dyDescent="0.3">
      <c r="B544" s="14">
        <v>0</v>
      </c>
      <c r="C544" s="14">
        <v>0</v>
      </c>
      <c r="D544" s="14">
        <v>0</v>
      </c>
      <c r="E544" s="14">
        <v>0</v>
      </c>
      <c r="F544" s="14">
        <v>0</v>
      </c>
      <c r="G544" s="14">
        <v>0</v>
      </c>
      <c r="H544" s="14" t="s">
        <v>417</v>
      </c>
      <c r="I544" s="15" t="s">
        <v>417</v>
      </c>
      <c r="J544" s="14">
        <v>0</v>
      </c>
      <c r="K544">
        <v>0</v>
      </c>
      <c r="L544">
        <v>0</v>
      </c>
      <c r="M544">
        <v>0</v>
      </c>
      <c r="N544" s="10">
        <v>0</v>
      </c>
    </row>
    <row r="545" spans="2:14" ht="33" customHeight="1" x14ac:dyDescent="0.3">
      <c r="B545" s="14">
        <v>0</v>
      </c>
      <c r="C545" s="14">
        <v>0</v>
      </c>
      <c r="D545" s="14">
        <v>0</v>
      </c>
      <c r="E545" s="14">
        <v>0</v>
      </c>
      <c r="F545" s="14">
        <v>0</v>
      </c>
      <c r="G545" s="14">
        <v>0</v>
      </c>
      <c r="H545" s="14" t="s">
        <v>417</v>
      </c>
      <c r="I545" s="15" t="s">
        <v>417</v>
      </c>
      <c r="J545" s="14">
        <v>0</v>
      </c>
      <c r="K545">
        <v>0</v>
      </c>
      <c r="L545">
        <v>0</v>
      </c>
      <c r="M545">
        <v>0</v>
      </c>
      <c r="N545" s="10">
        <v>0</v>
      </c>
    </row>
    <row r="546" spans="2:14" ht="33" customHeight="1" x14ac:dyDescent="0.3">
      <c r="B546" s="14">
        <v>0</v>
      </c>
      <c r="C546" s="14">
        <v>0</v>
      </c>
      <c r="D546" s="14">
        <v>0</v>
      </c>
      <c r="E546" s="14">
        <v>0</v>
      </c>
      <c r="F546" s="14">
        <v>0</v>
      </c>
      <c r="G546" s="14">
        <v>0</v>
      </c>
      <c r="H546" s="14" t="s">
        <v>417</v>
      </c>
      <c r="I546" s="15" t="s">
        <v>417</v>
      </c>
      <c r="J546" s="14">
        <v>0</v>
      </c>
      <c r="K546">
        <v>0</v>
      </c>
      <c r="L546">
        <v>0</v>
      </c>
      <c r="M546">
        <v>0</v>
      </c>
      <c r="N546" s="10">
        <v>0</v>
      </c>
    </row>
    <row r="547" spans="2:14" ht="33" customHeight="1" x14ac:dyDescent="0.3">
      <c r="B547" s="14">
        <v>0</v>
      </c>
      <c r="C547" s="14">
        <v>0</v>
      </c>
      <c r="D547" s="14">
        <v>0</v>
      </c>
      <c r="E547" s="14">
        <v>0</v>
      </c>
      <c r="F547" s="14">
        <v>0</v>
      </c>
      <c r="G547" s="14">
        <v>0</v>
      </c>
      <c r="H547" s="14" t="s">
        <v>417</v>
      </c>
      <c r="I547" s="15" t="s">
        <v>417</v>
      </c>
      <c r="J547" s="14">
        <v>0</v>
      </c>
      <c r="K547">
        <v>0</v>
      </c>
      <c r="L547">
        <v>0</v>
      </c>
      <c r="M547">
        <v>0</v>
      </c>
      <c r="N547" s="10">
        <v>0</v>
      </c>
    </row>
    <row r="548" spans="2:14" ht="33" customHeight="1" x14ac:dyDescent="0.3">
      <c r="B548" s="14">
        <v>0</v>
      </c>
      <c r="C548" s="14">
        <v>0</v>
      </c>
      <c r="D548" s="14">
        <v>0</v>
      </c>
      <c r="E548" s="14">
        <v>0</v>
      </c>
      <c r="F548" s="14">
        <v>0</v>
      </c>
      <c r="G548" s="14">
        <v>0</v>
      </c>
      <c r="H548" s="14" t="s">
        <v>417</v>
      </c>
      <c r="I548" s="15" t="s">
        <v>417</v>
      </c>
      <c r="J548" s="14">
        <v>0</v>
      </c>
      <c r="K548">
        <v>0</v>
      </c>
      <c r="L548">
        <v>0</v>
      </c>
      <c r="M548">
        <v>0</v>
      </c>
      <c r="N548" s="10">
        <v>0</v>
      </c>
    </row>
    <row r="549" spans="2:14" ht="33" customHeight="1" x14ac:dyDescent="0.3">
      <c r="B549" s="14">
        <v>0</v>
      </c>
      <c r="C549" s="14">
        <v>0</v>
      </c>
      <c r="D549" s="14">
        <v>0</v>
      </c>
      <c r="E549" s="14">
        <v>0</v>
      </c>
      <c r="F549" s="14">
        <v>0</v>
      </c>
      <c r="G549" s="14">
        <v>0</v>
      </c>
      <c r="H549" s="14" t="s">
        <v>417</v>
      </c>
      <c r="I549" s="15" t="s">
        <v>417</v>
      </c>
      <c r="J549" s="14">
        <v>0</v>
      </c>
      <c r="K549">
        <v>0</v>
      </c>
      <c r="L549">
        <v>0</v>
      </c>
      <c r="M549">
        <v>0</v>
      </c>
      <c r="N549" s="10">
        <v>0</v>
      </c>
    </row>
    <row r="550" spans="2:14" ht="33" customHeight="1" x14ac:dyDescent="0.3">
      <c r="B550" s="14">
        <v>0</v>
      </c>
      <c r="C550" s="14">
        <v>0</v>
      </c>
      <c r="D550" s="14">
        <v>0</v>
      </c>
      <c r="E550" s="14">
        <v>0</v>
      </c>
      <c r="F550" s="14">
        <v>0</v>
      </c>
      <c r="G550" s="14">
        <v>0</v>
      </c>
      <c r="H550" s="14" t="s">
        <v>417</v>
      </c>
      <c r="I550" s="15" t="s">
        <v>417</v>
      </c>
      <c r="J550" s="14">
        <v>0</v>
      </c>
      <c r="K550">
        <v>0</v>
      </c>
      <c r="L550">
        <v>0</v>
      </c>
      <c r="M550">
        <v>0</v>
      </c>
      <c r="N550" s="10">
        <v>0</v>
      </c>
    </row>
    <row r="551" spans="2:14" ht="33" customHeight="1" x14ac:dyDescent="0.3">
      <c r="B551" s="14">
        <v>0</v>
      </c>
      <c r="C551" s="14">
        <v>0</v>
      </c>
      <c r="D551" s="14">
        <v>0</v>
      </c>
      <c r="E551" s="14">
        <v>0</v>
      </c>
      <c r="F551" s="14">
        <v>0</v>
      </c>
      <c r="G551" s="14">
        <v>0</v>
      </c>
      <c r="H551" s="14" t="s">
        <v>417</v>
      </c>
      <c r="I551" s="15" t="s">
        <v>417</v>
      </c>
      <c r="J551" s="14">
        <v>0</v>
      </c>
      <c r="K551">
        <v>0</v>
      </c>
      <c r="L551">
        <v>0</v>
      </c>
      <c r="M551">
        <v>0</v>
      </c>
      <c r="N551" s="10">
        <v>0</v>
      </c>
    </row>
    <row r="552" spans="2:14" ht="33" customHeight="1" x14ac:dyDescent="0.3">
      <c r="B552" s="14">
        <v>0</v>
      </c>
      <c r="C552" s="14">
        <v>0</v>
      </c>
      <c r="D552" s="14">
        <v>0</v>
      </c>
      <c r="E552" s="14">
        <v>0</v>
      </c>
      <c r="F552" s="14">
        <v>0</v>
      </c>
      <c r="G552" s="14">
        <v>0</v>
      </c>
      <c r="H552" s="14" t="s">
        <v>417</v>
      </c>
      <c r="I552" s="15" t="s">
        <v>417</v>
      </c>
      <c r="J552" s="14">
        <v>0</v>
      </c>
      <c r="K552">
        <v>0</v>
      </c>
      <c r="L552">
        <v>0</v>
      </c>
      <c r="M552">
        <v>0</v>
      </c>
      <c r="N552" s="10">
        <v>0</v>
      </c>
    </row>
    <row r="553" spans="2:14" ht="33" customHeight="1" x14ac:dyDescent="0.3">
      <c r="B553" s="14">
        <v>0</v>
      </c>
      <c r="C553" s="14">
        <v>0</v>
      </c>
      <c r="D553" s="14">
        <v>0</v>
      </c>
      <c r="E553" s="14">
        <v>0</v>
      </c>
      <c r="F553" s="14">
        <v>0</v>
      </c>
      <c r="G553" s="14">
        <v>0</v>
      </c>
      <c r="H553" s="14" t="s">
        <v>417</v>
      </c>
      <c r="I553" s="15" t="s">
        <v>417</v>
      </c>
      <c r="J553" s="14">
        <v>0</v>
      </c>
      <c r="K553">
        <v>0</v>
      </c>
      <c r="L553">
        <v>0</v>
      </c>
      <c r="M553">
        <v>0</v>
      </c>
      <c r="N553" s="10">
        <v>0</v>
      </c>
    </row>
    <row r="554" spans="2:14" ht="33" customHeight="1" x14ac:dyDescent="0.3">
      <c r="B554" s="14">
        <v>0</v>
      </c>
      <c r="C554" s="14">
        <v>0</v>
      </c>
      <c r="D554" s="14">
        <v>0</v>
      </c>
      <c r="E554" s="14">
        <v>0</v>
      </c>
      <c r="F554" s="14">
        <v>0</v>
      </c>
      <c r="G554" s="14">
        <v>0</v>
      </c>
      <c r="H554" s="14" t="s">
        <v>417</v>
      </c>
      <c r="I554" s="15" t="s">
        <v>417</v>
      </c>
      <c r="J554" s="14">
        <v>0</v>
      </c>
      <c r="K554">
        <v>0</v>
      </c>
      <c r="L554">
        <v>0</v>
      </c>
      <c r="M554">
        <v>0</v>
      </c>
      <c r="N554" s="10">
        <v>0</v>
      </c>
    </row>
    <row r="555" spans="2:14" ht="33" customHeight="1" x14ac:dyDescent="0.3">
      <c r="B555" s="14">
        <v>0</v>
      </c>
      <c r="C555" s="14">
        <v>0</v>
      </c>
      <c r="D555" s="14">
        <v>0</v>
      </c>
      <c r="E555" s="14">
        <v>0</v>
      </c>
      <c r="F555" s="14">
        <v>0</v>
      </c>
      <c r="G555" s="14">
        <v>0</v>
      </c>
      <c r="H555" s="14" t="s">
        <v>417</v>
      </c>
      <c r="I555" s="15" t="s">
        <v>417</v>
      </c>
      <c r="J555" s="14">
        <v>0</v>
      </c>
      <c r="K555">
        <v>0</v>
      </c>
      <c r="L555">
        <v>0</v>
      </c>
      <c r="M555">
        <v>0</v>
      </c>
      <c r="N555" s="10">
        <v>0</v>
      </c>
    </row>
    <row r="556" spans="2:14" ht="33" customHeight="1" x14ac:dyDescent="0.3">
      <c r="B556" s="14">
        <v>0</v>
      </c>
      <c r="C556" s="14">
        <v>0</v>
      </c>
      <c r="D556" s="14">
        <v>0</v>
      </c>
      <c r="E556" s="14">
        <v>0</v>
      </c>
      <c r="F556" s="14">
        <v>0</v>
      </c>
      <c r="G556" s="14">
        <v>0</v>
      </c>
      <c r="H556" s="14" t="s">
        <v>417</v>
      </c>
      <c r="I556" s="15" t="s">
        <v>417</v>
      </c>
      <c r="J556" s="14">
        <v>0</v>
      </c>
      <c r="K556">
        <v>0</v>
      </c>
      <c r="L556">
        <v>0</v>
      </c>
      <c r="M556">
        <v>0</v>
      </c>
      <c r="N556" s="10">
        <v>0</v>
      </c>
    </row>
    <row r="557" spans="2:14" ht="33" customHeight="1" x14ac:dyDescent="0.3">
      <c r="B557" s="14">
        <v>0</v>
      </c>
      <c r="C557" s="14">
        <v>0</v>
      </c>
      <c r="D557" s="14">
        <v>0</v>
      </c>
      <c r="E557" s="14">
        <v>0</v>
      </c>
      <c r="F557" s="14">
        <v>0</v>
      </c>
      <c r="G557" s="14">
        <v>0</v>
      </c>
      <c r="H557" s="14" t="s">
        <v>417</v>
      </c>
      <c r="I557" s="15" t="s">
        <v>417</v>
      </c>
      <c r="J557" s="14">
        <v>0</v>
      </c>
      <c r="K557">
        <v>0</v>
      </c>
      <c r="L557">
        <v>0</v>
      </c>
      <c r="M557">
        <v>0</v>
      </c>
      <c r="N557" s="10">
        <v>0</v>
      </c>
    </row>
    <row r="558" spans="2:14" ht="33" customHeight="1" x14ac:dyDescent="0.3">
      <c r="B558" s="14">
        <v>0</v>
      </c>
      <c r="C558" s="14">
        <v>0</v>
      </c>
      <c r="D558" s="14">
        <v>0</v>
      </c>
      <c r="E558" s="14">
        <v>0</v>
      </c>
      <c r="F558" s="14">
        <v>0</v>
      </c>
      <c r="G558" s="14">
        <v>0</v>
      </c>
      <c r="H558" s="14" t="s">
        <v>417</v>
      </c>
      <c r="I558" s="15" t="s">
        <v>417</v>
      </c>
      <c r="J558" s="14">
        <v>0</v>
      </c>
      <c r="K558">
        <v>0</v>
      </c>
      <c r="L558">
        <v>0</v>
      </c>
      <c r="M558">
        <v>0</v>
      </c>
      <c r="N558" s="10">
        <v>0</v>
      </c>
    </row>
    <row r="559" spans="2:14" ht="33" customHeight="1" x14ac:dyDescent="0.3">
      <c r="B559" s="14">
        <v>0</v>
      </c>
      <c r="C559" s="14">
        <v>0</v>
      </c>
      <c r="D559" s="14">
        <v>0</v>
      </c>
      <c r="E559" s="14">
        <v>0</v>
      </c>
      <c r="F559" s="14">
        <v>0</v>
      </c>
      <c r="G559" s="14">
        <v>0</v>
      </c>
      <c r="H559" s="14" t="s">
        <v>417</v>
      </c>
      <c r="I559" s="15" t="s">
        <v>417</v>
      </c>
      <c r="J559" s="14">
        <v>0</v>
      </c>
      <c r="K559">
        <v>0</v>
      </c>
      <c r="L559">
        <v>0</v>
      </c>
      <c r="M559">
        <v>0</v>
      </c>
      <c r="N559" s="10">
        <v>0</v>
      </c>
    </row>
    <row r="560" spans="2:14" ht="33" customHeight="1" x14ac:dyDescent="0.3">
      <c r="B560" s="14">
        <v>0</v>
      </c>
      <c r="C560" s="14">
        <v>0</v>
      </c>
      <c r="D560" s="14">
        <v>0</v>
      </c>
      <c r="E560" s="14">
        <v>0</v>
      </c>
      <c r="F560" s="14">
        <v>0</v>
      </c>
      <c r="G560" s="14">
        <v>0</v>
      </c>
      <c r="H560" s="14" t="s">
        <v>417</v>
      </c>
      <c r="I560" s="15" t="s">
        <v>417</v>
      </c>
      <c r="J560" s="14">
        <v>0</v>
      </c>
      <c r="K560">
        <v>0</v>
      </c>
      <c r="L560">
        <v>0</v>
      </c>
      <c r="M560">
        <v>0</v>
      </c>
      <c r="N560" s="10">
        <v>0</v>
      </c>
    </row>
    <row r="561" spans="2:14" ht="33" customHeight="1" x14ac:dyDescent="0.3">
      <c r="B561" s="14">
        <v>0</v>
      </c>
      <c r="C561" s="14">
        <v>0</v>
      </c>
      <c r="D561" s="14">
        <v>0</v>
      </c>
      <c r="E561" s="14">
        <v>0</v>
      </c>
      <c r="F561" s="14">
        <v>0</v>
      </c>
      <c r="G561" s="14">
        <v>0</v>
      </c>
      <c r="H561" s="14" t="s">
        <v>417</v>
      </c>
      <c r="I561" s="15" t="s">
        <v>417</v>
      </c>
      <c r="J561" s="14">
        <v>0</v>
      </c>
      <c r="K561">
        <v>0</v>
      </c>
      <c r="L561">
        <v>0</v>
      </c>
      <c r="M561">
        <v>0</v>
      </c>
      <c r="N561" s="10">
        <v>0</v>
      </c>
    </row>
    <row r="562" spans="2:14" ht="33" customHeight="1" x14ac:dyDescent="0.3">
      <c r="B562" s="14">
        <v>0</v>
      </c>
      <c r="C562" s="14">
        <v>0</v>
      </c>
      <c r="D562" s="14">
        <v>0</v>
      </c>
      <c r="E562" s="14">
        <v>0</v>
      </c>
      <c r="F562" s="14">
        <v>0</v>
      </c>
      <c r="G562" s="14">
        <v>0</v>
      </c>
      <c r="H562" s="14" t="s">
        <v>417</v>
      </c>
      <c r="I562" s="15" t="s">
        <v>417</v>
      </c>
      <c r="J562" s="14">
        <v>0</v>
      </c>
      <c r="K562">
        <v>0</v>
      </c>
      <c r="L562">
        <v>0</v>
      </c>
      <c r="M562">
        <v>0</v>
      </c>
      <c r="N562" s="10">
        <v>0</v>
      </c>
    </row>
    <row r="563" spans="2:14" ht="33" customHeight="1" x14ac:dyDescent="0.3">
      <c r="B563" s="14">
        <v>0</v>
      </c>
      <c r="C563" s="14">
        <v>0</v>
      </c>
      <c r="D563" s="14">
        <v>0</v>
      </c>
      <c r="E563" s="14">
        <v>0</v>
      </c>
      <c r="F563" s="14">
        <v>0</v>
      </c>
      <c r="G563" s="14">
        <v>0</v>
      </c>
      <c r="H563" s="14" t="s">
        <v>417</v>
      </c>
      <c r="I563" s="15" t="s">
        <v>417</v>
      </c>
      <c r="J563" s="14">
        <v>0</v>
      </c>
      <c r="K563">
        <v>0</v>
      </c>
      <c r="L563">
        <v>0</v>
      </c>
      <c r="M563">
        <v>0</v>
      </c>
      <c r="N563" s="10">
        <v>0</v>
      </c>
    </row>
    <row r="564" spans="2:14" ht="33" customHeight="1" x14ac:dyDescent="0.3">
      <c r="B564" s="14">
        <v>0</v>
      </c>
      <c r="C564" s="14">
        <v>0</v>
      </c>
      <c r="D564" s="14">
        <v>0</v>
      </c>
      <c r="E564" s="14">
        <v>0</v>
      </c>
      <c r="F564" s="14">
        <v>0</v>
      </c>
      <c r="G564" s="14">
        <v>0</v>
      </c>
      <c r="H564" s="14" t="s">
        <v>417</v>
      </c>
      <c r="I564" s="15" t="s">
        <v>417</v>
      </c>
      <c r="J564" s="14">
        <v>0</v>
      </c>
      <c r="K564">
        <v>0</v>
      </c>
      <c r="L564">
        <v>0</v>
      </c>
      <c r="M564">
        <v>0</v>
      </c>
      <c r="N564" s="10">
        <v>0</v>
      </c>
    </row>
    <row r="565" spans="2:14" ht="33" customHeight="1" x14ac:dyDescent="0.3">
      <c r="B565" s="14">
        <v>0</v>
      </c>
      <c r="C565" s="14">
        <v>0</v>
      </c>
      <c r="D565" s="14">
        <v>0</v>
      </c>
      <c r="E565" s="14">
        <v>0</v>
      </c>
      <c r="F565" s="14">
        <v>0</v>
      </c>
      <c r="G565" s="14">
        <v>0</v>
      </c>
      <c r="H565" s="14" t="s">
        <v>417</v>
      </c>
      <c r="I565" s="15" t="s">
        <v>417</v>
      </c>
      <c r="J565" s="14">
        <v>0</v>
      </c>
      <c r="K565">
        <v>0</v>
      </c>
      <c r="L565">
        <v>0</v>
      </c>
      <c r="M565">
        <v>0</v>
      </c>
      <c r="N565" s="10">
        <v>0</v>
      </c>
    </row>
    <row r="566" spans="2:14" ht="33" customHeight="1" x14ac:dyDescent="0.3">
      <c r="B566" s="14">
        <v>0</v>
      </c>
      <c r="C566" s="14">
        <v>0</v>
      </c>
      <c r="D566" s="14">
        <v>0</v>
      </c>
      <c r="E566" s="14">
        <v>0</v>
      </c>
      <c r="F566" s="14">
        <v>0</v>
      </c>
      <c r="G566" s="14">
        <v>0</v>
      </c>
      <c r="H566" s="14" t="s">
        <v>417</v>
      </c>
      <c r="I566" s="15" t="s">
        <v>417</v>
      </c>
      <c r="J566" s="14">
        <v>0</v>
      </c>
      <c r="K566">
        <v>0</v>
      </c>
      <c r="L566">
        <v>0</v>
      </c>
      <c r="M566">
        <v>0</v>
      </c>
      <c r="N566" s="10">
        <v>0</v>
      </c>
    </row>
    <row r="567" spans="2:14" ht="33" customHeight="1" x14ac:dyDescent="0.3">
      <c r="B567" s="14">
        <v>0</v>
      </c>
      <c r="C567" s="14">
        <v>0</v>
      </c>
      <c r="D567" s="14">
        <v>0</v>
      </c>
      <c r="E567" s="14">
        <v>0</v>
      </c>
      <c r="F567" s="14">
        <v>0</v>
      </c>
      <c r="G567" s="14">
        <v>0</v>
      </c>
      <c r="H567" s="14" t="s">
        <v>417</v>
      </c>
      <c r="I567" s="15" t="s">
        <v>417</v>
      </c>
      <c r="J567" s="14">
        <v>0</v>
      </c>
      <c r="K567">
        <v>0</v>
      </c>
      <c r="L567">
        <v>0</v>
      </c>
      <c r="M567">
        <v>0</v>
      </c>
      <c r="N567" s="10">
        <v>0</v>
      </c>
    </row>
    <row r="568" spans="2:14" ht="33" customHeight="1" x14ac:dyDescent="0.3">
      <c r="B568" s="14">
        <v>0</v>
      </c>
      <c r="C568" s="14">
        <v>0</v>
      </c>
      <c r="D568" s="14">
        <v>0</v>
      </c>
      <c r="E568" s="14">
        <v>0</v>
      </c>
      <c r="F568" s="14">
        <v>0</v>
      </c>
      <c r="G568" s="14">
        <v>0</v>
      </c>
      <c r="H568" s="14" t="s">
        <v>417</v>
      </c>
      <c r="I568" s="15" t="s">
        <v>417</v>
      </c>
      <c r="J568" s="14">
        <v>0</v>
      </c>
      <c r="K568">
        <v>0</v>
      </c>
      <c r="L568">
        <v>0</v>
      </c>
      <c r="M568">
        <v>0</v>
      </c>
      <c r="N568" s="10">
        <v>0</v>
      </c>
    </row>
    <row r="569" spans="2:14" ht="33" customHeight="1" x14ac:dyDescent="0.3">
      <c r="B569" s="14">
        <v>0</v>
      </c>
      <c r="C569" s="14">
        <v>0</v>
      </c>
      <c r="D569" s="14">
        <v>0</v>
      </c>
      <c r="E569" s="14">
        <v>0</v>
      </c>
      <c r="F569" s="14">
        <v>0</v>
      </c>
      <c r="G569" s="14">
        <v>0</v>
      </c>
      <c r="H569" s="14" t="s">
        <v>417</v>
      </c>
      <c r="I569" s="15" t="s">
        <v>417</v>
      </c>
      <c r="J569" s="14">
        <v>0</v>
      </c>
      <c r="K569">
        <v>0</v>
      </c>
      <c r="L569">
        <v>0</v>
      </c>
      <c r="M569">
        <v>0</v>
      </c>
      <c r="N569" s="10">
        <v>0</v>
      </c>
    </row>
    <row r="570" spans="2:14" ht="33" customHeight="1" x14ac:dyDescent="0.3">
      <c r="B570" s="14">
        <v>0</v>
      </c>
      <c r="C570" s="14">
        <v>0</v>
      </c>
      <c r="D570" s="14">
        <v>0</v>
      </c>
      <c r="E570" s="14">
        <v>0</v>
      </c>
      <c r="F570" s="14">
        <v>0</v>
      </c>
      <c r="G570" s="14">
        <v>0</v>
      </c>
      <c r="H570" s="14" t="s">
        <v>417</v>
      </c>
      <c r="I570" s="15" t="s">
        <v>417</v>
      </c>
      <c r="J570" s="14">
        <v>0</v>
      </c>
      <c r="K570">
        <v>0</v>
      </c>
      <c r="L570">
        <v>0</v>
      </c>
      <c r="M570">
        <v>0</v>
      </c>
      <c r="N570" s="10">
        <v>0</v>
      </c>
    </row>
    <row r="571" spans="2:14" ht="33" customHeight="1" x14ac:dyDescent="0.3">
      <c r="B571" s="14">
        <v>0</v>
      </c>
      <c r="C571" s="14">
        <v>0</v>
      </c>
      <c r="D571" s="14">
        <v>0</v>
      </c>
      <c r="E571" s="14">
        <v>0</v>
      </c>
      <c r="F571" s="14">
        <v>0</v>
      </c>
      <c r="G571" s="14">
        <v>0</v>
      </c>
      <c r="H571" s="14" t="s">
        <v>417</v>
      </c>
      <c r="I571" s="15" t="s">
        <v>417</v>
      </c>
      <c r="J571" s="14">
        <v>0</v>
      </c>
      <c r="K571">
        <v>0</v>
      </c>
      <c r="L571">
        <v>0</v>
      </c>
      <c r="M571">
        <v>0</v>
      </c>
      <c r="N571" s="10">
        <v>0</v>
      </c>
    </row>
    <row r="572" spans="2:14" ht="33" customHeight="1" x14ac:dyDescent="0.3">
      <c r="B572" s="14">
        <v>0</v>
      </c>
      <c r="C572" s="14">
        <v>0</v>
      </c>
      <c r="D572" s="14">
        <v>0</v>
      </c>
      <c r="E572" s="14">
        <v>0</v>
      </c>
      <c r="F572" s="14">
        <v>0</v>
      </c>
      <c r="G572" s="14">
        <v>0</v>
      </c>
      <c r="H572" s="14" t="s">
        <v>417</v>
      </c>
      <c r="I572" s="15" t="s">
        <v>417</v>
      </c>
      <c r="J572" s="14">
        <v>0</v>
      </c>
      <c r="K572">
        <v>0</v>
      </c>
      <c r="L572">
        <v>0</v>
      </c>
      <c r="M572">
        <v>0</v>
      </c>
      <c r="N572" s="10">
        <v>0</v>
      </c>
    </row>
    <row r="573" spans="2:14" ht="33" customHeight="1" x14ac:dyDescent="0.3">
      <c r="B573" s="14">
        <v>0</v>
      </c>
      <c r="C573" s="14">
        <v>0</v>
      </c>
      <c r="D573" s="14">
        <v>0</v>
      </c>
      <c r="E573" s="14">
        <v>0</v>
      </c>
      <c r="F573" s="14">
        <v>0</v>
      </c>
      <c r="G573" s="14">
        <v>0</v>
      </c>
      <c r="H573" s="14" t="s">
        <v>417</v>
      </c>
      <c r="I573" s="15" t="s">
        <v>417</v>
      </c>
      <c r="J573" s="14">
        <v>0</v>
      </c>
      <c r="K573">
        <v>0</v>
      </c>
      <c r="L573">
        <v>0</v>
      </c>
      <c r="M573">
        <v>0</v>
      </c>
      <c r="N573" s="10">
        <v>0</v>
      </c>
    </row>
    <row r="574" spans="2:14" ht="33" customHeight="1" x14ac:dyDescent="0.3">
      <c r="B574" s="14">
        <v>0</v>
      </c>
      <c r="C574" s="14">
        <v>0</v>
      </c>
      <c r="D574" s="14">
        <v>0</v>
      </c>
      <c r="E574" s="14">
        <v>0</v>
      </c>
      <c r="F574" s="14">
        <v>0</v>
      </c>
      <c r="G574" s="14">
        <v>0</v>
      </c>
      <c r="H574" s="14" t="s">
        <v>417</v>
      </c>
      <c r="I574" s="15" t="s">
        <v>417</v>
      </c>
      <c r="J574" s="14">
        <v>0</v>
      </c>
      <c r="K574">
        <v>0</v>
      </c>
      <c r="L574">
        <v>0</v>
      </c>
      <c r="M574">
        <v>0</v>
      </c>
      <c r="N574" s="10">
        <v>0</v>
      </c>
    </row>
    <row r="575" spans="2:14" ht="33" customHeight="1" x14ac:dyDescent="0.3">
      <c r="B575" s="14">
        <v>0</v>
      </c>
      <c r="C575" s="14">
        <v>0</v>
      </c>
      <c r="D575" s="14">
        <v>0</v>
      </c>
      <c r="E575" s="14">
        <v>0</v>
      </c>
      <c r="F575" s="14">
        <v>0</v>
      </c>
      <c r="G575" s="14">
        <v>0</v>
      </c>
      <c r="H575" s="14" t="s">
        <v>417</v>
      </c>
      <c r="I575" s="15" t="s">
        <v>417</v>
      </c>
      <c r="J575" s="14">
        <v>0</v>
      </c>
      <c r="K575">
        <v>0</v>
      </c>
      <c r="L575">
        <v>0</v>
      </c>
      <c r="M575">
        <v>0</v>
      </c>
      <c r="N575" s="10">
        <v>0</v>
      </c>
    </row>
    <row r="576" spans="2:14" ht="33" customHeight="1" x14ac:dyDescent="0.3">
      <c r="B576" s="14">
        <v>0</v>
      </c>
      <c r="C576" s="14">
        <v>0</v>
      </c>
      <c r="D576" s="14">
        <v>0</v>
      </c>
      <c r="E576" s="14">
        <v>0</v>
      </c>
      <c r="F576" s="14">
        <v>0</v>
      </c>
      <c r="G576" s="14">
        <v>0</v>
      </c>
      <c r="H576" s="14" t="s">
        <v>417</v>
      </c>
      <c r="I576" s="15" t="s">
        <v>417</v>
      </c>
      <c r="J576" s="14">
        <v>0</v>
      </c>
      <c r="K576">
        <v>0</v>
      </c>
      <c r="L576">
        <v>0</v>
      </c>
      <c r="M576">
        <v>0</v>
      </c>
      <c r="N576" s="10">
        <v>0</v>
      </c>
    </row>
    <row r="577" spans="2:14" ht="33" customHeight="1" x14ac:dyDescent="0.3">
      <c r="B577" s="14">
        <v>0</v>
      </c>
      <c r="C577" s="14">
        <v>0</v>
      </c>
      <c r="D577" s="14">
        <v>0</v>
      </c>
      <c r="E577" s="14">
        <v>0</v>
      </c>
      <c r="F577" s="14">
        <v>0</v>
      </c>
      <c r="G577" s="14">
        <v>0</v>
      </c>
      <c r="H577" s="14" t="s">
        <v>417</v>
      </c>
      <c r="I577" s="15" t="s">
        <v>417</v>
      </c>
      <c r="J577" s="14">
        <v>0</v>
      </c>
      <c r="K577">
        <v>0</v>
      </c>
      <c r="L577">
        <v>0</v>
      </c>
      <c r="M577">
        <v>0</v>
      </c>
      <c r="N577" s="10">
        <v>0</v>
      </c>
    </row>
    <row r="578" spans="2:14" ht="33" customHeight="1" x14ac:dyDescent="0.3">
      <c r="B578" s="14">
        <v>0</v>
      </c>
      <c r="C578" s="14">
        <v>0</v>
      </c>
      <c r="D578" s="14">
        <v>0</v>
      </c>
      <c r="E578" s="14">
        <v>0</v>
      </c>
      <c r="F578" s="14">
        <v>0</v>
      </c>
      <c r="G578" s="14">
        <v>0</v>
      </c>
      <c r="H578" s="14" t="s">
        <v>417</v>
      </c>
      <c r="I578" s="15" t="s">
        <v>417</v>
      </c>
      <c r="J578" s="14">
        <v>0</v>
      </c>
      <c r="K578">
        <v>0</v>
      </c>
      <c r="L578">
        <v>0</v>
      </c>
      <c r="M578">
        <v>0</v>
      </c>
      <c r="N578" s="10">
        <v>0</v>
      </c>
    </row>
    <row r="579" spans="2:14" ht="33" customHeight="1" x14ac:dyDescent="0.3">
      <c r="B579" s="14">
        <v>0</v>
      </c>
      <c r="C579" s="14">
        <v>0</v>
      </c>
      <c r="D579" s="14">
        <v>0</v>
      </c>
      <c r="E579" s="14">
        <v>0</v>
      </c>
      <c r="F579" s="14">
        <v>0</v>
      </c>
      <c r="G579" s="14">
        <v>0</v>
      </c>
      <c r="H579" s="14" t="s">
        <v>417</v>
      </c>
      <c r="I579" s="15" t="s">
        <v>417</v>
      </c>
      <c r="J579" s="14">
        <v>0</v>
      </c>
      <c r="K579">
        <v>0</v>
      </c>
      <c r="L579">
        <v>0</v>
      </c>
      <c r="M579">
        <v>0</v>
      </c>
      <c r="N579" s="10">
        <v>0</v>
      </c>
    </row>
    <row r="580" spans="2:14" ht="33" customHeight="1" x14ac:dyDescent="0.3">
      <c r="B580" s="14">
        <v>0</v>
      </c>
      <c r="C580" s="14">
        <v>0</v>
      </c>
      <c r="D580" s="14">
        <v>0</v>
      </c>
      <c r="E580" s="14">
        <v>0</v>
      </c>
      <c r="F580" s="14">
        <v>0</v>
      </c>
      <c r="G580" s="14">
        <v>0</v>
      </c>
      <c r="H580" s="14" t="s">
        <v>417</v>
      </c>
      <c r="I580" s="15" t="s">
        <v>417</v>
      </c>
      <c r="J580" s="14">
        <v>0</v>
      </c>
      <c r="K580">
        <v>0</v>
      </c>
      <c r="L580">
        <v>0</v>
      </c>
      <c r="M580">
        <v>0</v>
      </c>
      <c r="N580" s="10">
        <v>0</v>
      </c>
    </row>
    <row r="581" spans="2:14" ht="33" customHeight="1" x14ac:dyDescent="0.3">
      <c r="B581" s="14">
        <v>0</v>
      </c>
      <c r="C581" s="14">
        <v>0</v>
      </c>
      <c r="D581" s="14">
        <v>0</v>
      </c>
      <c r="E581" s="14">
        <v>0</v>
      </c>
      <c r="F581" s="14">
        <v>0</v>
      </c>
      <c r="G581" s="14">
        <v>0</v>
      </c>
      <c r="H581" s="14" t="s">
        <v>417</v>
      </c>
      <c r="I581" s="15" t="s">
        <v>417</v>
      </c>
      <c r="J581" s="14">
        <v>0</v>
      </c>
      <c r="K581">
        <v>0</v>
      </c>
      <c r="L581">
        <v>0</v>
      </c>
      <c r="M581">
        <v>0</v>
      </c>
      <c r="N581" s="10">
        <v>0</v>
      </c>
    </row>
    <row r="582" spans="2:14" ht="33" customHeight="1" x14ac:dyDescent="0.3">
      <c r="B582" s="14">
        <v>0</v>
      </c>
      <c r="C582" s="14">
        <v>0</v>
      </c>
      <c r="D582" s="14">
        <v>0</v>
      </c>
      <c r="E582" s="14">
        <v>0</v>
      </c>
      <c r="F582" s="14">
        <v>0</v>
      </c>
      <c r="G582" s="14">
        <v>0</v>
      </c>
      <c r="H582" s="14" t="s">
        <v>417</v>
      </c>
      <c r="I582" s="15" t="s">
        <v>417</v>
      </c>
      <c r="J582" s="14">
        <v>0</v>
      </c>
      <c r="K582">
        <v>0</v>
      </c>
      <c r="L582">
        <v>0</v>
      </c>
      <c r="M582">
        <v>0</v>
      </c>
      <c r="N582" s="10">
        <v>0</v>
      </c>
    </row>
    <row r="583" spans="2:14" ht="33" customHeight="1" x14ac:dyDescent="0.3">
      <c r="B583" s="14">
        <v>0</v>
      </c>
      <c r="C583" s="14">
        <v>0</v>
      </c>
      <c r="D583" s="14">
        <v>0</v>
      </c>
      <c r="E583" s="14">
        <v>0</v>
      </c>
      <c r="F583" s="14">
        <v>0</v>
      </c>
      <c r="G583" s="14">
        <v>0</v>
      </c>
      <c r="H583" s="14" t="s">
        <v>417</v>
      </c>
      <c r="I583" s="15" t="s">
        <v>417</v>
      </c>
      <c r="J583" s="14">
        <v>0</v>
      </c>
      <c r="K583">
        <v>0</v>
      </c>
      <c r="L583">
        <v>0</v>
      </c>
      <c r="M583">
        <v>0</v>
      </c>
      <c r="N583" s="10">
        <v>0</v>
      </c>
    </row>
    <row r="584" spans="2:14" ht="33" customHeight="1" x14ac:dyDescent="0.3">
      <c r="B584" s="14">
        <v>0</v>
      </c>
      <c r="C584" s="14">
        <v>0</v>
      </c>
      <c r="D584" s="14">
        <v>0</v>
      </c>
      <c r="E584" s="14">
        <v>0</v>
      </c>
      <c r="F584" s="14">
        <v>0</v>
      </c>
      <c r="G584" s="14">
        <v>0</v>
      </c>
      <c r="H584" s="14" t="s">
        <v>417</v>
      </c>
      <c r="I584" s="15" t="s">
        <v>417</v>
      </c>
      <c r="J584" s="14">
        <v>0</v>
      </c>
      <c r="K584">
        <v>0</v>
      </c>
      <c r="L584">
        <v>0</v>
      </c>
      <c r="M584">
        <v>0</v>
      </c>
      <c r="N584" s="10">
        <v>0</v>
      </c>
    </row>
    <row r="585" spans="2:14" ht="33" customHeight="1" x14ac:dyDescent="0.3">
      <c r="B585" s="14">
        <v>0</v>
      </c>
      <c r="C585" s="14">
        <v>0</v>
      </c>
      <c r="D585" s="14">
        <v>0</v>
      </c>
      <c r="E585" s="14">
        <v>0</v>
      </c>
      <c r="F585" s="14">
        <v>0</v>
      </c>
      <c r="G585" s="14">
        <v>0</v>
      </c>
      <c r="H585" s="14" t="s">
        <v>417</v>
      </c>
      <c r="I585" s="15" t="s">
        <v>417</v>
      </c>
      <c r="J585" s="14">
        <v>0</v>
      </c>
      <c r="K585">
        <v>0</v>
      </c>
      <c r="L585">
        <v>0</v>
      </c>
      <c r="M585">
        <v>0</v>
      </c>
      <c r="N585" s="10">
        <v>0</v>
      </c>
    </row>
    <row r="586" spans="2:14" ht="33" customHeight="1" x14ac:dyDescent="0.3">
      <c r="B586" s="14">
        <v>0</v>
      </c>
      <c r="C586" s="14">
        <v>0</v>
      </c>
      <c r="D586" s="14">
        <v>0</v>
      </c>
      <c r="E586" s="14">
        <v>0</v>
      </c>
      <c r="F586" s="14">
        <v>0</v>
      </c>
      <c r="G586" s="14">
        <v>0</v>
      </c>
      <c r="H586" s="14" t="s">
        <v>417</v>
      </c>
      <c r="I586" s="15" t="s">
        <v>417</v>
      </c>
      <c r="J586" s="14">
        <v>0</v>
      </c>
      <c r="K586">
        <v>0</v>
      </c>
      <c r="L586">
        <v>0</v>
      </c>
      <c r="M586">
        <v>0</v>
      </c>
      <c r="N586" s="10">
        <v>0</v>
      </c>
    </row>
    <row r="587" spans="2:14" ht="33" customHeight="1" x14ac:dyDescent="0.3">
      <c r="B587" s="14">
        <v>0</v>
      </c>
      <c r="C587" s="14">
        <v>0</v>
      </c>
      <c r="D587" s="14">
        <v>0</v>
      </c>
      <c r="E587" s="14">
        <v>0</v>
      </c>
      <c r="F587" s="14">
        <v>0</v>
      </c>
      <c r="G587" s="14">
        <v>0</v>
      </c>
      <c r="H587" s="14" t="s">
        <v>417</v>
      </c>
      <c r="I587" s="15" t="s">
        <v>417</v>
      </c>
      <c r="J587" s="14">
        <v>0</v>
      </c>
      <c r="K587">
        <v>0</v>
      </c>
      <c r="L587">
        <v>0</v>
      </c>
      <c r="M587">
        <v>0</v>
      </c>
      <c r="N587" s="10">
        <v>0</v>
      </c>
    </row>
    <row r="588" spans="2:14" ht="33" customHeight="1" x14ac:dyDescent="0.3">
      <c r="B588" s="14">
        <v>0</v>
      </c>
      <c r="C588" s="14">
        <v>0</v>
      </c>
      <c r="D588" s="14">
        <v>0</v>
      </c>
      <c r="E588" s="14">
        <v>0</v>
      </c>
      <c r="F588" s="14">
        <v>0</v>
      </c>
      <c r="G588" s="14">
        <v>0</v>
      </c>
      <c r="H588" s="14" t="s">
        <v>417</v>
      </c>
      <c r="I588" s="15" t="s">
        <v>417</v>
      </c>
      <c r="J588" s="14">
        <v>0</v>
      </c>
      <c r="K588">
        <v>0</v>
      </c>
      <c r="L588">
        <v>0</v>
      </c>
      <c r="M588">
        <v>0</v>
      </c>
      <c r="N588" s="10">
        <v>0</v>
      </c>
    </row>
    <row r="589" spans="2:14" ht="33" customHeight="1" x14ac:dyDescent="0.3">
      <c r="B589" s="14">
        <v>0</v>
      </c>
      <c r="C589" s="14">
        <v>0</v>
      </c>
      <c r="D589" s="14">
        <v>0</v>
      </c>
      <c r="E589" s="14">
        <v>0</v>
      </c>
      <c r="F589" s="14">
        <v>0</v>
      </c>
      <c r="G589" s="14">
        <v>0</v>
      </c>
      <c r="H589" s="14" t="s">
        <v>417</v>
      </c>
      <c r="I589" s="15" t="s">
        <v>417</v>
      </c>
      <c r="J589" s="14">
        <v>0</v>
      </c>
      <c r="K589">
        <v>0</v>
      </c>
      <c r="L589">
        <v>0</v>
      </c>
      <c r="M589">
        <v>0</v>
      </c>
      <c r="N589" s="10">
        <v>0</v>
      </c>
    </row>
    <row r="590" spans="2:14" ht="33" customHeight="1" x14ac:dyDescent="0.3">
      <c r="B590" s="14">
        <v>0</v>
      </c>
      <c r="C590" s="14">
        <v>0</v>
      </c>
      <c r="D590" s="14">
        <v>0</v>
      </c>
      <c r="E590" s="14">
        <v>0</v>
      </c>
      <c r="F590" s="14">
        <v>0</v>
      </c>
      <c r="G590" s="14">
        <v>0</v>
      </c>
      <c r="H590" s="14" t="s">
        <v>417</v>
      </c>
      <c r="I590" s="15" t="s">
        <v>417</v>
      </c>
      <c r="J590" s="14">
        <v>0</v>
      </c>
      <c r="K590">
        <v>0</v>
      </c>
      <c r="L590">
        <v>0</v>
      </c>
      <c r="M590">
        <v>0</v>
      </c>
      <c r="N590" s="10">
        <v>0</v>
      </c>
    </row>
    <row r="591" spans="2:14" ht="33" customHeight="1" x14ac:dyDescent="0.3">
      <c r="B591" s="14">
        <v>0</v>
      </c>
      <c r="C591" s="14">
        <v>0</v>
      </c>
      <c r="D591" s="14">
        <v>0</v>
      </c>
      <c r="E591" s="14">
        <v>0</v>
      </c>
      <c r="F591" s="14">
        <v>0</v>
      </c>
      <c r="G591" s="14">
        <v>0</v>
      </c>
      <c r="H591" s="14" t="s">
        <v>417</v>
      </c>
      <c r="I591" s="15" t="s">
        <v>417</v>
      </c>
      <c r="J591" s="14">
        <v>0</v>
      </c>
      <c r="K591">
        <v>0</v>
      </c>
      <c r="L591">
        <v>0</v>
      </c>
      <c r="M591">
        <v>0</v>
      </c>
      <c r="N591" s="10">
        <v>0</v>
      </c>
    </row>
    <row r="592" spans="2:14" ht="33" customHeight="1" x14ac:dyDescent="0.3">
      <c r="B592" s="14">
        <v>0</v>
      </c>
      <c r="C592" s="14">
        <v>0</v>
      </c>
      <c r="D592" s="14">
        <v>0</v>
      </c>
      <c r="E592" s="14">
        <v>0</v>
      </c>
      <c r="F592" s="14">
        <v>0</v>
      </c>
      <c r="G592" s="14">
        <v>0</v>
      </c>
      <c r="H592" s="14" t="s">
        <v>417</v>
      </c>
      <c r="I592" s="15" t="s">
        <v>417</v>
      </c>
      <c r="J592" s="14">
        <v>0</v>
      </c>
      <c r="K592">
        <v>0</v>
      </c>
      <c r="L592">
        <v>0</v>
      </c>
      <c r="M592">
        <v>0</v>
      </c>
      <c r="N592" s="10">
        <v>0</v>
      </c>
    </row>
    <row r="593" spans="2:14" ht="33" customHeight="1" x14ac:dyDescent="0.3">
      <c r="B593" s="14">
        <v>0</v>
      </c>
      <c r="C593" s="14">
        <v>0</v>
      </c>
      <c r="D593" s="14">
        <v>0</v>
      </c>
      <c r="E593" s="14">
        <v>0</v>
      </c>
      <c r="F593" s="14">
        <v>0</v>
      </c>
      <c r="G593" s="14">
        <v>0</v>
      </c>
      <c r="H593" s="14" t="s">
        <v>417</v>
      </c>
      <c r="I593" s="15" t="s">
        <v>417</v>
      </c>
      <c r="J593" s="14">
        <v>0</v>
      </c>
      <c r="K593">
        <v>0</v>
      </c>
      <c r="L593">
        <v>0</v>
      </c>
      <c r="M593">
        <v>0</v>
      </c>
      <c r="N593" s="10">
        <v>0</v>
      </c>
    </row>
    <row r="594" spans="2:14" ht="33" customHeight="1" x14ac:dyDescent="0.3">
      <c r="B594" s="14">
        <v>0</v>
      </c>
      <c r="C594" s="14">
        <v>0</v>
      </c>
      <c r="D594" s="14">
        <v>0</v>
      </c>
      <c r="E594" s="14">
        <v>0</v>
      </c>
      <c r="F594" s="14">
        <v>0</v>
      </c>
      <c r="G594" s="14">
        <v>0</v>
      </c>
      <c r="H594" s="14" t="s">
        <v>417</v>
      </c>
      <c r="I594" s="15" t="s">
        <v>417</v>
      </c>
      <c r="J594" s="14">
        <v>0</v>
      </c>
      <c r="K594">
        <v>0</v>
      </c>
      <c r="L594">
        <v>0</v>
      </c>
      <c r="M594">
        <v>0</v>
      </c>
      <c r="N594" s="10">
        <v>0</v>
      </c>
    </row>
    <row r="595" spans="2:14" ht="33" customHeight="1" x14ac:dyDescent="0.3">
      <c r="B595" s="14">
        <v>0</v>
      </c>
      <c r="C595" s="14">
        <v>0</v>
      </c>
      <c r="D595" s="14">
        <v>0</v>
      </c>
      <c r="E595" s="14">
        <v>0</v>
      </c>
      <c r="F595" s="14">
        <v>0</v>
      </c>
      <c r="G595" s="14">
        <v>0</v>
      </c>
      <c r="H595" s="14" t="s">
        <v>417</v>
      </c>
      <c r="I595" s="15" t="s">
        <v>417</v>
      </c>
      <c r="J595" s="14">
        <v>0</v>
      </c>
      <c r="K595">
        <v>0</v>
      </c>
      <c r="L595">
        <v>0</v>
      </c>
      <c r="M595">
        <v>0</v>
      </c>
      <c r="N595" s="10">
        <v>0</v>
      </c>
    </row>
    <row r="596" spans="2:14" ht="33" customHeight="1" x14ac:dyDescent="0.3">
      <c r="B596" s="14">
        <v>0</v>
      </c>
      <c r="C596" s="14">
        <v>0</v>
      </c>
      <c r="D596" s="14">
        <v>0</v>
      </c>
      <c r="E596" s="14">
        <v>0</v>
      </c>
      <c r="F596" s="14">
        <v>0</v>
      </c>
      <c r="G596" s="14">
        <v>0</v>
      </c>
      <c r="H596" s="14" t="s">
        <v>417</v>
      </c>
      <c r="I596" s="15" t="s">
        <v>417</v>
      </c>
      <c r="J596" s="14">
        <v>0</v>
      </c>
      <c r="K596">
        <v>0</v>
      </c>
      <c r="L596">
        <v>0</v>
      </c>
      <c r="M596">
        <v>0</v>
      </c>
      <c r="N596" s="10">
        <v>0</v>
      </c>
    </row>
    <row r="597" spans="2:14" ht="33" customHeight="1" x14ac:dyDescent="0.3">
      <c r="B597" s="14">
        <v>0</v>
      </c>
      <c r="C597" s="14">
        <v>0</v>
      </c>
      <c r="D597" s="14">
        <v>0</v>
      </c>
      <c r="E597" s="14">
        <v>0</v>
      </c>
      <c r="F597" s="14">
        <v>0</v>
      </c>
      <c r="G597" s="14">
        <v>0</v>
      </c>
      <c r="H597" s="14" t="s">
        <v>417</v>
      </c>
      <c r="I597" s="15" t="s">
        <v>417</v>
      </c>
      <c r="J597" s="14">
        <v>0</v>
      </c>
      <c r="K597">
        <v>0</v>
      </c>
      <c r="L597">
        <v>0</v>
      </c>
      <c r="M597">
        <v>0</v>
      </c>
      <c r="N597" s="10">
        <v>0</v>
      </c>
    </row>
    <row r="598" spans="2:14" ht="33" customHeight="1" x14ac:dyDescent="0.3">
      <c r="B598" s="14">
        <v>0</v>
      </c>
      <c r="C598" s="14">
        <v>0</v>
      </c>
      <c r="D598" s="14">
        <v>0</v>
      </c>
      <c r="E598" s="14">
        <v>0</v>
      </c>
      <c r="F598" s="14">
        <v>0</v>
      </c>
      <c r="G598" s="14">
        <v>0</v>
      </c>
      <c r="H598" s="14" t="s">
        <v>417</v>
      </c>
      <c r="I598" s="15" t="s">
        <v>417</v>
      </c>
      <c r="J598" s="14">
        <v>0</v>
      </c>
      <c r="K598">
        <v>0</v>
      </c>
      <c r="L598">
        <v>0</v>
      </c>
      <c r="M598">
        <v>0</v>
      </c>
      <c r="N598" s="10">
        <v>0</v>
      </c>
    </row>
    <row r="599" spans="2:14" ht="33" customHeight="1" x14ac:dyDescent="0.3">
      <c r="B599" s="14">
        <v>0</v>
      </c>
      <c r="C599" s="14">
        <v>0</v>
      </c>
      <c r="D599" s="14">
        <v>0</v>
      </c>
      <c r="E599" s="14">
        <v>0</v>
      </c>
      <c r="F599" s="14">
        <v>0</v>
      </c>
      <c r="G599" s="14">
        <v>0</v>
      </c>
      <c r="H599" s="14" t="s">
        <v>417</v>
      </c>
      <c r="I599" s="15" t="s">
        <v>417</v>
      </c>
      <c r="J599" s="14">
        <v>0</v>
      </c>
      <c r="K599">
        <v>0</v>
      </c>
      <c r="L599">
        <v>0</v>
      </c>
      <c r="M599">
        <v>0</v>
      </c>
      <c r="N599" s="10">
        <v>0</v>
      </c>
    </row>
    <row r="600" spans="2:14" ht="33" customHeight="1" x14ac:dyDescent="0.3">
      <c r="B600" s="14">
        <v>0</v>
      </c>
      <c r="C600" s="14">
        <v>0</v>
      </c>
      <c r="D600" s="14">
        <v>0</v>
      </c>
      <c r="E600" s="14">
        <v>0</v>
      </c>
      <c r="F600" s="14">
        <v>0</v>
      </c>
      <c r="G600" s="14">
        <v>0</v>
      </c>
      <c r="H600" s="14" t="s">
        <v>417</v>
      </c>
      <c r="I600" s="15" t="s">
        <v>417</v>
      </c>
      <c r="J600" s="14">
        <v>0</v>
      </c>
      <c r="K600">
        <v>0</v>
      </c>
      <c r="L600">
        <v>0</v>
      </c>
      <c r="M600">
        <v>0</v>
      </c>
      <c r="N600" s="10">
        <v>0</v>
      </c>
    </row>
    <row r="601" spans="2:14" ht="33" customHeight="1" x14ac:dyDescent="0.3">
      <c r="B601" s="14">
        <v>0</v>
      </c>
      <c r="C601" s="14">
        <v>0</v>
      </c>
      <c r="D601" s="14">
        <v>0</v>
      </c>
      <c r="E601" s="14">
        <v>0</v>
      </c>
      <c r="F601" s="14">
        <v>0</v>
      </c>
      <c r="G601" s="14">
        <v>0</v>
      </c>
      <c r="H601" s="14" t="s">
        <v>417</v>
      </c>
      <c r="I601" s="15" t="s">
        <v>417</v>
      </c>
      <c r="J601" s="14">
        <v>0</v>
      </c>
      <c r="K601">
        <v>0</v>
      </c>
      <c r="L601">
        <v>0</v>
      </c>
      <c r="M601">
        <v>0</v>
      </c>
      <c r="N601" s="10">
        <v>0</v>
      </c>
    </row>
    <row r="602" spans="2:14" ht="33" customHeight="1" x14ac:dyDescent="0.3">
      <c r="B602" s="14">
        <v>0</v>
      </c>
      <c r="C602" s="14">
        <v>0</v>
      </c>
      <c r="D602" s="14">
        <v>0</v>
      </c>
      <c r="E602" s="14">
        <v>0</v>
      </c>
      <c r="F602" s="14">
        <v>0</v>
      </c>
      <c r="G602" s="14">
        <v>0</v>
      </c>
      <c r="H602" s="14" t="s">
        <v>417</v>
      </c>
      <c r="I602" s="15" t="s">
        <v>417</v>
      </c>
      <c r="J602" s="14">
        <v>0</v>
      </c>
      <c r="K602">
        <v>0</v>
      </c>
      <c r="L602">
        <v>0</v>
      </c>
      <c r="M602">
        <v>0</v>
      </c>
      <c r="N602" s="10">
        <v>0</v>
      </c>
    </row>
    <row r="603" spans="2:14" ht="33" customHeight="1" x14ac:dyDescent="0.3">
      <c r="B603" s="14">
        <v>0</v>
      </c>
      <c r="C603" s="14">
        <v>0</v>
      </c>
      <c r="D603" s="14">
        <v>0</v>
      </c>
      <c r="E603" s="14">
        <v>0</v>
      </c>
      <c r="F603" s="14">
        <v>0</v>
      </c>
      <c r="G603" s="14">
        <v>0</v>
      </c>
      <c r="H603" s="14" t="s">
        <v>417</v>
      </c>
      <c r="I603" s="15" t="s">
        <v>417</v>
      </c>
      <c r="J603" s="14">
        <v>0</v>
      </c>
      <c r="K603">
        <v>0</v>
      </c>
      <c r="L603">
        <v>0</v>
      </c>
      <c r="M603">
        <v>0</v>
      </c>
      <c r="N603" s="10">
        <v>0</v>
      </c>
    </row>
    <row r="604" spans="2:14" ht="33" customHeight="1" x14ac:dyDescent="0.3">
      <c r="B604" s="14">
        <v>0</v>
      </c>
      <c r="C604" s="14">
        <v>0</v>
      </c>
      <c r="D604" s="14">
        <v>0</v>
      </c>
      <c r="E604" s="14">
        <v>0</v>
      </c>
      <c r="F604" s="14">
        <v>0</v>
      </c>
      <c r="G604" s="14">
        <v>0</v>
      </c>
      <c r="H604" s="14" t="s">
        <v>417</v>
      </c>
      <c r="I604" s="15" t="s">
        <v>417</v>
      </c>
      <c r="J604" s="14">
        <v>0</v>
      </c>
      <c r="K604">
        <v>0</v>
      </c>
      <c r="L604">
        <v>0</v>
      </c>
      <c r="M604">
        <v>0</v>
      </c>
      <c r="N604" s="10">
        <v>0</v>
      </c>
    </row>
    <row r="605" spans="2:14" ht="33" customHeight="1" x14ac:dyDescent="0.3">
      <c r="B605" s="14">
        <v>0</v>
      </c>
      <c r="C605" s="14">
        <v>0</v>
      </c>
      <c r="D605" s="14">
        <v>0</v>
      </c>
      <c r="E605" s="14">
        <v>0</v>
      </c>
      <c r="F605" s="14">
        <v>0</v>
      </c>
      <c r="G605" s="14">
        <v>0</v>
      </c>
      <c r="H605" s="14" t="s">
        <v>417</v>
      </c>
      <c r="I605" s="15" t="s">
        <v>417</v>
      </c>
      <c r="J605" s="14">
        <v>0</v>
      </c>
      <c r="K605">
        <v>0</v>
      </c>
      <c r="L605">
        <v>0</v>
      </c>
      <c r="M605">
        <v>0</v>
      </c>
      <c r="N605" s="10">
        <v>0</v>
      </c>
    </row>
    <row r="606" spans="2:14" ht="33" customHeight="1" x14ac:dyDescent="0.3">
      <c r="B606" s="14">
        <v>0</v>
      </c>
      <c r="C606" s="14">
        <v>0</v>
      </c>
      <c r="D606" s="14">
        <v>0</v>
      </c>
      <c r="E606" s="14">
        <v>0</v>
      </c>
      <c r="F606" s="14">
        <v>0</v>
      </c>
      <c r="G606" s="14">
        <v>0</v>
      </c>
      <c r="H606" s="14" t="s">
        <v>417</v>
      </c>
      <c r="I606" s="15" t="s">
        <v>417</v>
      </c>
      <c r="J606" s="14">
        <v>0</v>
      </c>
      <c r="K606">
        <v>0</v>
      </c>
      <c r="L606">
        <v>0</v>
      </c>
      <c r="M606">
        <v>0</v>
      </c>
      <c r="N606" s="10">
        <v>0</v>
      </c>
    </row>
    <row r="607" spans="2:14" ht="33" customHeight="1" x14ac:dyDescent="0.3">
      <c r="B607" s="14">
        <v>0</v>
      </c>
      <c r="C607" s="14">
        <v>0</v>
      </c>
      <c r="D607" s="14">
        <v>0</v>
      </c>
      <c r="E607" s="14">
        <v>0</v>
      </c>
      <c r="F607" s="14">
        <v>0</v>
      </c>
      <c r="G607" s="14">
        <v>0</v>
      </c>
      <c r="H607" s="14" t="s">
        <v>417</v>
      </c>
      <c r="I607" s="15" t="s">
        <v>417</v>
      </c>
      <c r="J607" s="14">
        <v>0</v>
      </c>
      <c r="K607">
        <v>0</v>
      </c>
      <c r="L607">
        <v>0</v>
      </c>
      <c r="M607">
        <v>0</v>
      </c>
      <c r="N607" s="10">
        <v>0</v>
      </c>
    </row>
    <row r="608" spans="2:14" ht="33" customHeight="1" x14ac:dyDescent="0.3">
      <c r="B608" s="14">
        <v>0</v>
      </c>
      <c r="C608" s="14">
        <v>0</v>
      </c>
      <c r="D608" s="14">
        <v>0</v>
      </c>
      <c r="E608" s="14">
        <v>0</v>
      </c>
      <c r="F608" s="14">
        <v>0</v>
      </c>
      <c r="G608" s="14">
        <v>0</v>
      </c>
      <c r="H608" s="14" t="s">
        <v>417</v>
      </c>
      <c r="I608" s="15" t="s">
        <v>417</v>
      </c>
      <c r="J608" s="14">
        <v>0</v>
      </c>
      <c r="K608">
        <v>0</v>
      </c>
      <c r="L608">
        <v>0</v>
      </c>
      <c r="M608">
        <v>0</v>
      </c>
      <c r="N608" s="10">
        <v>0</v>
      </c>
    </row>
    <row r="609" spans="2:14" ht="33" customHeight="1" x14ac:dyDescent="0.3">
      <c r="B609" s="14">
        <v>0</v>
      </c>
      <c r="C609" s="14">
        <v>0</v>
      </c>
      <c r="D609" s="14">
        <v>0</v>
      </c>
      <c r="E609" s="14">
        <v>0</v>
      </c>
      <c r="F609" s="14">
        <v>0</v>
      </c>
      <c r="G609" s="14">
        <v>0</v>
      </c>
      <c r="H609" s="14" t="s">
        <v>417</v>
      </c>
      <c r="I609" s="15" t="s">
        <v>417</v>
      </c>
      <c r="J609" s="14">
        <v>0</v>
      </c>
      <c r="K609">
        <v>0</v>
      </c>
      <c r="L609">
        <v>0</v>
      </c>
      <c r="M609">
        <v>0</v>
      </c>
      <c r="N609" s="10">
        <v>0</v>
      </c>
    </row>
    <row r="610" spans="2:14" ht="33" customHeight="1" x14ac:dyDescent="0.3">
      <c r="B610" s="14">
        <v>0</v>
      </c>
      <c r="C610" s="14">
        <v>0</v>
      </c>
      <c r="D610" s="14">
        <v>0</v>
      </c>
      <c r="E610" s="14">
        <v>0</v>
      </c>
      <c r="F610" s="14">
        <v>0</v>
      </c>
      <c r="G610" s="14">
        <v>0</v>
      </c>
      <c r="H610" s="14" t="s">
        <v>417</v>
      </c>
      <c r="I610" s="15" t="s">
        <v>417</v>
      </c>
      <c r="J610" s="14">
        <v>0</v>
      </c>
      <c r="K610">
        <v>0</v>
      </c>
      <c r="L610">
        <v>0</v>
      </c>
      <c r="M610">
        <v>0</v>
      </c>
      <c r="N610" s="10">
        <v>0</v>
      </c>
    </row>
    <row r="611" spans="2:14" ht="33" customHeight="1" x14ac:dyDescent="0.3">
      <c r="B611" s="14">
        <v>0</v>
      </c>
      <c r="C611" s="14">
        <v>0</v>
      </c>
      <c r="D611" s="14">
        <v>0</v>
      </c>
      <c r="E611" s="14">
        <v>0</v>
      </c>
      <c r="F611" s="14">
        <v>0</v>
      </c>
      <c r="G611" s="14">
        <v>0</v>
      </c>
      <c r="H611" s="14" t="s">
        <v>417</v>
      </c>
      <c r="I611" s="15" t="s">
        <v>417</v>
      </c>
      <c r="J611" s="14">
        <v>0</v>
      </c>
      <c r="K611">
        <v>0</v>
      </c>
      <c r="L611">
        <v>0</v>
      </c>
      <c r="M611">
        <v>0</v>
      </c>
      <c r="N611" s="10">
        <v>0</v>
      </c>
    </row>
    <row r="612" spans="2:14" ht="33" customHeight="1" x14ac:dyDescent="0.3">
      <c r="B612" s="14">
        <v>0</v>
      </c>
      <c r="C612" s="14">
        <v>0</v>
      </c>
      <c r="D612" s="14">
        <v>0</v>
      </c>
      <c r="E612" s="14">
        <v>0</v>
      </c>
      <c r="F612" s="14">
        <v>0</v>
      </c>
      <c r="G612" s="14">
        <v>0</v>
      </c>
      <c r="H612" s="14" t="s">
        <v>417</v>
      </c>
      <c r="I612" s="15" t="s">
        <v>417</v>
      </c>
      <c r="J612" s="14">
        <v>0</v>
      </c>
      <c r="K612">
        <v>0</v>
      </c>
      <c r="L612">
        <v>0</v>
      </c>
      <c r="M612">
        <v>0</v>
      </c>
      <c r="N612" s="10">
        <v>0</v>
      </c>
    </row>
    <row r="613" spans="2:14" ht="33" customHeight="1" x14ac:dyDescent="0.3">
      <c r="B613" s="14">
        <v>0</v>
      </c>
      <c r="C613" s="14">
        <v>0</v>
      </c>
      <c r="D613" s="14">
        <v>0</v>
      </c>
      <c r="E613" s="14">
        <v>0</v>
      </c>
      <c r="F613" s="14">
        <v>0</v>
      </c>
      <c r="G613" s="14">
        <v>0</v>
      </c>
      <c r="H613" s="14" t="s">
        <v>417</v>
      </c>
      <c r="I613" s="15" t="s">
        <v>417</v>
      </c>
      <c r="J613" s="14">
        <v>0</v>
      </c>
      <c r="K613">
        <v>0</v>
      </c>
      <c r="L613">
        <v>0</v>
      </c>
      <c r="M613">
        <v>0</v>
      </c>
      <c r="N613" s="10">
        <v>0</v>
      </c>
    </row>
    <row r="614" spans="2:14" ht="33" customHeight="1" x14ac:dyDescent="0.3">
      <c r="B614" s="14">
        <v>0</v>
      </c>
      <c r="C614" s="14">
        <v>0</v>
      </c>
      <c r="D614" s="14">
        <v>0</v>
      </c>
      <c r="E614" s="14">
        <v>0</v>
      </c>
      <c r="F614" s="14">
        <v>0</v>
      </c>
      <c r="G614" s="14">
        <v>0</v>
      </c>
      <c r="H614" s="14" t="s">
        <v>417</v>
      </c>
      <c r="I614" s="15" t="s">
        <v>417</v>
      </c>
      <c r="J614" s="14">
        <v>0</v>
      </c>
      <c r="K614">
        <v>0</v>
      </c>
      <c r="L614">
        <v>0</v>
      </c>
      <c r="M614">
        <v>0</v>
      </c>
      <c r="N614" s="10">
        <v>0</v>
      </c>
    </row>
    <row r="615" spans="2:14" ht="33" customHeight="1" x14ac:dyDescent="0.3">
      <c r="B615" s="14">
        <v>0</v>
      </c>
      <c r="C615" s="14">
        <v>0</v>
      </c>
      <c r="D615" s="14">
        <v>0</v>
      </c>
      <c r="E615" s="14">
        <v>0</v>
      </c>
      <c r="F615" s="14">
        <v>0</v>
      </c>
      <c r="G615" s="14">
        <v>0</v>
      </c>
      <c r="H615" s="14" t="s">
        <v>417</v>
      </c>
      <c r="I615" s="15" t="s">
        <v>417</v>
      </c>
      <c r="J615" s="14">
        <v>0</v>
      </c>
      <c r="K615">
        <v>0</v>
      </c>
      <c r="L615">
        <v>0</v>
      </c>
      <c r="M615">
        <v>0</v>
      </c>
      <c r="N615" s="10">
        <v>0</v>
      </c>
    </row>
    <row r="616" spans="2:14" ht="33" customHeight="1" x14ac:dyDescent="0.3">
      <c r="B616" s="14">
        <v>0</v>
      </c>
      <c r="C616" s="14">
        <v>0</v>
      </c>
      <c r="D616" s="14">
        <v>0</v>
      </c>
      <c r="E616" s="14">
        <v>0</v>
      </c>
      <c r="F616" s="14">
        <v>0</v>
      </c>
      <c r="G616" s="14">
        <v>0</v>
      </c>
      <c r="H616" s="14" t="s">
        <v>417</v>
      </c>
      <c r="I616" s="15" t="s">
        <v>417</v>
      </c>
      <c r="J616" s="14">
        <v>0</v>
      </c>
      <c r="K616">
        <v>0</v>
      </c>
      <c r="L616">
        <v>0</v>
      </c>
      <c r="M616">
        <v>0</v>
      </c>
      <c r="N616" s="10">
        <v>0</v>
      </c>
    </row>
    <row r="617" spans="2:14" ht="33" customHeight="1" x14ac:dyDescent="0.3">
      <c r="B617" s="14">
        <v>0</v>
      </c>
      <c r="C617" s="14">
        <v>0</v>
      </c>
      <c r="D617" s="14">
        <v>0</v>
      </c>
      <c r="E617" s="14">
        <v>0</v>
      </c>
      <c r="F617" s="14">
        <v>0</v>
      </c>
      <c r="G617" s="14">
        <v>0</v>
      </c>
      <c r="H617" s="14" t="s">
        <v>417</v>
      </c>
      <c r="I617" s="15" t="s">
        <v>417</v>
      </c>
      <c r="J617" s="14">
        <v>0</v>
      </c>
      <c r="K617">
        <v>0</v>
      </c>
      <c r="L617">
        <v>0</v>
      </c>
      <c r="M617">
        <v>0</v>
      </c>
      <c r="N617" s="10">
        <v>0</v>
      </c>
    </row>
    <row r="618" spans="2:14" ht="33" customHeight="1" x14ac:dyDescent="0.3">
      <c r="B618" s="14">
        <v>0</v>
      </c>
      <c r="C618" s="14">
        <v>0</v>
      </c>
      <c r="D618" s="14">
        <v>0</v>
      </c>
      <c r="E618" s="14">
        <v>0</v>
      </c>
      <c r="F618" s="14">
        <v>0</v>
      </c>
      <c r="G618" s="14">
        <v>0</v>
      </c>
      <c r="H618" s="14" t="s">
        <v>417</v>
      </c>
      <c r="I618" s="15" t="s">
        <v>417</v>
      </c>
      <c r="J618" s="14">
        <v>0</v>
      </c>
      <c r="K618">
        <v>0</v>
      </c>
      <c r="L618">
        <v>0</v>
      </c>
      <c r="M618">
        <v>0</v>
      </c>
      <c r="N618" s="10">
        <v>0</v>
      </c>
    </row>
    <row r="619" spans="2:14" ht="33" customHeight="1" x14ac:dyDescent="0.3">
      <c r="B619" s="14">
        <v>0</v>
      </c>
      <c r="C619" s="14">
        <v>0</v>
      </c>
      <c r="D619" s="14">
        <v>0</v>
      </c>
      <c r="E619" s="14">
        <v>0</v>
      </c>
      <c r="F619" s="14">
        <v>0</v>
      </c>
      <c r="G619" s="14">
        <v>0</v>
      </c>
      <c r="H619" s="14" t="s">
        <v>417</v>
      </c>
      <c r="I619" s="15" t="s">
        <v>417</v>
      </c>
      <c r="J619" s="14">
        <v>0</v>
      </c>
      <c r="K619">
        <v>0</v>
      </c>
      <c r="L619">
        <v>0</v>
      </c>
      <c r="M619">
        <v>0</v>
      </c>
      <c r="N619" s="10">
        <v>0</v>
      </c>
    </row>
    <row r="620" spans="2:14" ht="33" customHeight="1" x14ac:dyDescent="0.3">
      <c r="B620" s="14">
        <v>0</v>
      </c>
      <c r="C620" s="14">
        <v>0</v>
      </c>
      <c r="D620" s="14">
        <v>0</v>
      </c>
      <c r="E620" s="14">
        <v>0</v>
      </c>
      <c r="F620" s="14">
        <v>0</v>
      </c>
      <c r="G620" s="14">
        <v>0</v>
      </c>
      <c r="H620" s="14" t="s">
        <v>417</v>
      </c>
      <c r="I620" s="15" t="s">
        <v>417</v>
      </c>
      <c r="J620" s="14">
        <v>0</v>
      </c>
      <c r="K620">
        <v>0</v>
      </c>
      <c r="L620">
        <v>0</v>
      </c>
      <c r="M620">
        <v>0</v>
      </c>
      <c r="N620" s="10">
        <v>0</v>
      </c>
    </row>
    <row r="621" spans="2:14" ht="33" customHeight="1" x14ac:dyDescent="0.3">
      <c r="B621" s="14">
        <v>0</v>
      </c>
      <c r="C621" s="14">
        <v>0</v>
      </c>
      <c r="D621" s="14">
        <v>0</v>
      </c>
      <c r="E621" s="14">
        <v>0</v>
      </c>
      <c r="F621" s="14">
        <v>0</v>
      </c>
      <c r="G621" s="14">
        <v>0</v>
      </c>
      <c r="H621" s="14" t="s">
        <v>417</v>
      </c>
      <c r="I621" s="15" t="s">
        <v>417</v>
      </c>
      <c r="J621" s="14">
        <v>0</v>
      </c>
      <c r="K621">
        <v>0</v>
      </c>
      <c r="L621">
        <v>0</v>
      </c>
      <c r="M621">
        <v>0</v>
      </c>
      <c r="N621" s="10">
        <v>0</v>
      </c>
    </row>
    <row r="622" spans="2:14" ht="33" customHeight="1" x14ac:dyDescent="0.3">
      <c r="B622" s="14">
        <v>0</v>
      </c>
      <c r="C622" s="14">
        <v>0</v>
      </c>
      <c r="D622" s="14">
        <v>0</v>
      </c>
      <c r="E622" s="14">
        <v>0</v>
      </c>
      <c r="F622" s="14">
        <v>0</v>
      </c>
      <c r="G622" s="14">
        <v>0</v>
      </c>
      <c r="H622" s="14" t="s">
        <v>417</v>
      </c>
      <c r="I622" s="15" t="s">
        <v>417</v>
      </c>
      <c r="J622" s="14">
        <v>0</v>
      </c>
      <c r="K622">
        <v>0</v>
      </c>
      <c r="L622">
        <v>0</v>
      </c>
      <c r="M622">
        <v>0</v>
      </c>
      <c r="N622" s="10">
        <v>0</v>
      </c>
    </row>
    <row r="623" spans="2:14" ht="33" customHeight="1" x14ac:dyDescent="0.3">
      <c r="B623" s="14">
        <v>0</v>
      </c>
      <c r="C623" s="14">
        <v>0</v>
      </c>
      <c r="D623" s="14">
        <v>0</v>
      </c>
      <c r="E623" s="14">
        <v>0</v>
      </c>
      <c r="F623" s="14">
        <v>0</v>
      </c>
      <c r="G623" s="14">
        <v>0</v>
      </c>
      <c r="H623" s="14" t="s">
        <v>417</v>
      </c>
      <c r="I623" s="15" t="s">
        <v>417</v>
      </c>
      <c r="J623" s="14">
        <v>0</v>
      </c>
      <c r="K623">
        <v>0</v>
      </c>
      <c r="L623">
        <v>0</v>
      </c>
      <c r="M623">
        <v>0</v>
      </c>
      <c r="N623" s="10">
        <v>0</v>
      </c>
    </row>
    <row r="624" spans="2:14" ht="33" customHeight="1" x14ac:dyDescent="0.3">
      <c r="B624" s="14">
        <v>0</v>
      </c>
      <c r="C624" s="14">
        <v>0</v>
      </c>
      <c r="D624" s="14">
        <v>0</v>
      </c>
      <c r="E624" s="14">
        <v>0</v>
      </c>
      <c r="F624" s="14">
        <v>0</v>
      </c>
      <c r="G624" s="14">
        <v>0</v>
      </c>
      <c r="H624" s="14" t="s">
        <v>417</v>
      </c>
      <c r="I624" s="15" t="s">
        <v>417</v>
      </c>
      <c r="J624" s="14">
        <v>0</v>
      </c>
      <c r="K624">
        <v>0</v>
      </c>
      <c r="L624">
        <v>0</v>
      </c>
      <c r="M624">
        <v>0</v>
      </c>
      <c r="N624" s="10">
        <v>0</v>
      </c>
    </row>
    <row r="625" spans="2:14" ht="33" customHeight="1" x14ac:dyDescent="0.3">
      <c r="B625" s="14">
        <v>0</v>
      </c>
      <c r="C625" s="14">
        <v>0</v>
      </c>
      <c r="D625" s="14">
        <v>0</v>
      </c>
      <c r="E625" s="14">
        <v>0</v>
      </c>
      <c r="F625" s="14">
        <v>0</v>
      </c>
      <c r="G625" s="14">
        <v>0</v>
      </c>
      <c r="H625" s="14" t="s">
        <v>417</v>
      </c>
      <c r="I625" s="15" t="s">
        <v>417</v>
      </c>
      <c r="J625" s="14">
        <v>0</v>
      </c>
      <c r="K625">
        <v>0</v>
      </c>
      <c r="L625">
        <v>0</v>
      </c>
      <c r="M625">
        <v>0</v>
      </c>
      <c r="N625" s="10">
        <v>0</v>
      </c>
    </row>
    <row r="626" spans="2:14" ht="33" customHeight="1" x14ac:dyDescent="0.3">
      <c r="B626" s="14">
        <v>0</v>
      </c>
      <c r="C626" s="14">
        <v>0</v>
      </c>
      <c r="D626" s="14">
        <v>0</v>
      </c>
      <c r="E626" s="14">
        <v>0</v>
      </c>
      <c r="F626" s="14">
        <v>0</v>
      </c>
      <c r="G626" s="14">
        <v>0</v>
      </c>
      <c r="H626" s="14" t="s">
        <v>417</v>
      </c>
      <c r="I626" s="15" t="s">
        <v>417</v>
      </c>
      <c r="J626" s="14">
        <v>0</v>
      </c>
      <c r="K626">
        <v>0</v>
      </c>
      <c r="L626">
        <v>0</v>
      </c>
      <c r="M626">
        <v>0</v>
      </c>
      <c r="N626" s="10">
        <v>0</v>
      </c>
    </row>
    <row r="627" spans="2:14" ht="33" customHeight="1" x14ac:dyDescent="0.3">
      <c r="B627" s="14">
        <v>0</v>
      </c>
      <c r="C627" s="14">
        <v>0</v>
      </c>
      <c r="D627" s="14">
        <v>0</v>
      </c>
      <c r="E627" s="14">
        <v>0</v>
      </c>
      <c r="F627" s="14">
        <v>0</v>
      </c>
      <c r="G627" s="14">
        <v>0</v>
      </c>
      <c r="H627" s="14" t="s">
        <v>417</v>
      </c>
      <c r="I627" s="15" t="s">
        <v>417</v>
      </c>
      <c r="J627" s="14">
        <v>0</v>
      </c>
      <c r="K627">
        <v>0</v>
      </c>
      <c r="L627">
        <v>0</v>
      </c>
      <c r="M627">
        <v>0</v>
      </c>
      <c r="N627" s="10">
        <v>0</v>
      </c>
    </row>
    <row r="628" spans="2:14" ht="33" customHeight="1" x14ac:dyDescent="0.3">
      <c r="B628" s="14">
        <v>0</v>
      </c>
      <c r="C628" s="14">
        <v>0</v>
      </c>
      <c r="D628" s="14">
        <v>0</v>
      </c>
      <c r="E628" s="14">
        <v>0</v>
      </c>
      <c r="F628" s="14">
        <v>0</v>
      </c>
      <c r="G628" s="14">
        <v>0</v>
      </c>
      <c r="H628" s="14" t="s">
        <v>417</v>
      </c>
      <c r="I628" s="15" t="s">
        <v>417</v>
      </c>
      <c r="J628" s="14">
        <v>0</v>
      </c>
      <c r="K628">
        <v>0</v>
      </c>
      <c r="L628">
        <v>0</v>
      </c>
      <c r="M628">
        <v>0</v>
      </c>
      <c r="N628" s="10">
        <v>0</v>
      </c>
    </row>
    <row r="629" spans="2:14" ht="33" customHeight="1" x14ac:dyDescent="0.3">
      <c r="B629" s="14">
        <v>0</v>
      </c>
      <c r="C629" s="14">
        <v>0</v>
      </c>
      <c r="D629" s="14">
        <v>0</v>
      </c>
      <c r="E629" s="14">
        <v>0</v>
      </c>
      <c r="F629" s="14">
        <v>0</v>
      </c>
      <c r="G629" s="14">
        <v>0</v>
      </c>
      <c r="H629" s="14" t="s">
        <v>417</v>
      </c>
      <c r="I629" s="15" t="s">
        <v>417</v>
      </c>
      <c r="J629" s="14">
        <v>0</v>
      </c>
      <c r="K629">
        <v>0</v>
      </c>
      <c r="L629">
        <v>0</v>
      </c>
      <c r="M629">
        <v>0</v>
      </c>
      <c r="N629" s="10">
        <v>0</v>
      </c>
    </row>
    <row r="630" spans="2:14" ht="33" customHeight="1" x14ac:dyDescent="0.3">
      <c r="B630" s="14">
        <v>0</v>
      </c>
      <c r="C630" s="14">
        <v>0</v>
      </c>
      <c r="D630" s="14">
        <v>0</v>
      </c>
      <c r="E630" s="14">
        <v>0</v>
      </c>
      <c r="F630" s="14">
        <v>0</v>
      </c>
      <c r="G630" s="14">
        <v>0</v>
      </c>
      <c r="H630" s="14" t="s">
        <v>417</v>
      </c>
      <c r="I630" s="15" t="s">
        <v>417</v>
      </c>
      <c r="J630" s="14">
        <v>0</v>
      </c>
      <c r="K630">
        <v>0</v>
      </c>
      <c r="L630">
        <v>0</v>
      </c>
      <c r="M630">
        <v>0</v>
      </c>
      <c r="N630" s="10">
        <v>0</v>
      </c>
    </row>
    <row r="631" spans="2:14" ht="33" customHeight="1" x14ac:dyDescent="0.3">
      <c r="B631" s="14">
        <v>0</v>
      </c>
      <c r="C631" s="14">
        <v>0</v>
      </c>
      <c r="D631" s="14">
        <v>0</v>
      </c>
      <c r="E631" s="14">
        <v>0</v>
      </c>
      <c r="F631" s="14">
        <v>0</v>
      </c>
      <c r="G631" s="14">
        <v>0</v>
      </c>
      <c r="H631" s="14" t="s">
        <v>417</v>
      </c>
      <c r="I631" s="15" t="s">
        <v>417</v>
      </c>
      <c r="J631" s="14">
        <v>0</v>
      </c>
      <c r="K631">
        <v>0</v>
      </c>
      <c r="L631">
        <v>0</v>
      </c>
      <c r="M631">
        <v>0</v>
      </c>
      <c r="N631" s="10">
        <v>0</v>
      </c>
    </row>
    <row r="632" spans="2:14" ht="33" customHeight="1" x14ac:dyDescent="0.3">
      <c r="B632" s="14">
        <v>0</v>
      </c>
      <c r="C632" s="14">
        <v>0</v>
      </c>
      <c r="D632" s="14">
        <v>0</v>
      </c>
      <c r="E632" s="14">
        <v>0</v>
      </c>
      <c r="F632" s="14">
        <v>0</v>
      </c>
      <c r="G632" s="14">
        <v>0</v>
      </c>
      <c r="H632" s="14" t="s">
        <v>417</v>
      </c>
      <c r="I632" s="15" t="s">
        <v>417</v>
      </c>
      <c r="J632" s="14">
        <v>0</v>
      </c>
      <c r="K632">
        <v>0</v>
      </c>
      <c r="L632">
        <v>0</v>
      </c>
      <c r="M632">
        <v>0</v>
      </c>
      <c r="N632" s="10">
        <v>0</v>
      </c>
    </row>
    <row r="633" spans="2:14" ht="33" customHeight="1" x14ac:dyDescent="0.3">
      <c r="B633" s="14">
        <v>0</v>
      </c>
      <c r="C633" s="14">
        <v>0</v>
      </c>
      <c r="D633" s="14">
        <v>0</v>
      </c>
      <c r="E633" s="14">
        <v>0</v>
      </c>
      <c r="F633" s="14">
        <v>0</v>
      </c>
      <c r="G633" s="14">
        <v>0</v>
      </c>
      <c r="H633" s="14" t="s">
        <v>417</v>
      </c>
      <c r="I633" s="15" t="s">
        <v>417</v>
      </c>
      <c r="J633" s="14">
        <v>0</v>
      </c>
      <c r="K633">
        <v>0</v>
      </c>
      <c r="L633">
        <v>0</v>
      </c>
      <c r="M633">
        <v>0</v>
      </c>
      <c r="N633" s="10">
        <v>0</v>
      </c>
    </row>
    <row r="634" spans="2:14" ht="33" customHeight="1" x14ac:dyDescent="0.3">
      <c r="B634" s="14">
        <v>0</v>
      </c>
      <c r="C634" s="14">
        <v>0</v>
      </c>
      <c r="D634" s="14">
        <v>0</v>
      </c>
      <c r="E634" s="14">
        <v>0</v>
      </c>
      <c r="F634" s="14">
        <v>0</v>
      </c>
      <c r="G634" s="14">
        <v>0</v>
      </c>
      <c r="H634" s="14" t="s">
        <v>417</v>
      </c>
      <c r="I634" s="15" t="s">
        <v>417</v>
      </c>
      <c r="J634" s="14">
        <v>0</v>
      </c>
      <c r="K634">
        <v>0</v>
      </c>
      <c r="L634">
        <v>0</v>
      </c>
      <c r="M634">
        <v>0</v>
      </c>
      <c r="N634" s="10">
        <v>0</v>
      </c>
    </row>
    <row r="635" spans="2:14" ht="33" customHeight="1" x14ac:dyDescent="0.3">
      <c r="B635" s="14">
        <v>0</v>
      </c>
      <c r="C635" s="14">
        <v>0</v>
      </c>
      <c r="D635" s="14">
        <v>0</v>
      </c>
      <c r="E635" s="14">
        <v>0</v>
      </c>
      <c r="F635" s="14">
        <v>0</v>
      </c>
      <c r="G635" s="14">
        <v>0</v>
      </c>
      <c r="H635" s="14" t="s">
        <v>417</v>
      </c>
      <c r="I635" s="15" t="s">
        <v>417</v>
      </c>
      <c r="J635" s="14">
        <v>0</v>
      </c>
      <c r="K635">
        <v>0</v>
      </c>
      <c r="L635">
        <v>0</v>
      </c>
      <c r="M635">
        <v>0</v>
      </c>
      <c r="N635" s="10">
        <v>0</v>
      </c>
    </row>
    <row r="636" spans="2:14" ht="33" customHeight="1" x14ac:dyDescent="0.3">
      <c r="B636" s="14">
        <v>0</v>
      </c>
      <c r="C636" s="14">
        <v>0</v>
      </c>
      <c r="D636" s="14">
        <v>0</v>
      </c>
      <c r="E636" s="14">
        <v>0</v>
      </c>
      <c r="F636" s="14">
        <v>0</v>
      </c>
      <c r="G636" s="14">
        <v>0</v>
      </c>
      <c r="H636" s="14" t="s">
        <v>417</v>
      </c>
      <c r="I636" s="15" t="s">
        <v>417</v>
      </c>
      <c r="J636" s="14">
        <v>0</v>
      </c>
      <c r="K636">
        <v>0</v>
      </c>
      <c r="L636">
        <v>0</v>
      </c>
      <c r="M636">
        <v>0</v>
      </c>
      <c r="N636" s="10">
        <v>0</v>
      </c>
    </row>
    <row r="637" spans="2:14" ht="33" customHeight="1" x14ac:dyDescent="0.3">
      <c r="B637" s="14">
        <v>0</v>
      </c>
      <c r="C637" s="14">
        <v>0</v>
      </c>
      <c r="D637" s="14">
        <v>0</v>
      </c>
      <c r="E637" s="14">
        <v>0</v>
      </c>
      <c r="F637" s="14">
        <v>0</v>
      </c>
      <c r="G637" s="14">
        <v>0</v>
      </c>
      <c r="H637" s="14" t="s">
        <v>417</v>
      </c>
      <c r="I637" s="15" t="s">
        <v>417</v>
      </c>
      <c r="J637" s="14">
        <v>0</v>
      </c>
      <c r="K637">
        <v>0</v>
      </c>
      <c r="L637">
        <v>0</v>
      </c>
      <c r="M637">
        <v>0</v>
      </c>
      <c r="N637" s="10">
        <v>0</v>
      </c>
    </row>
    <row r="638" spans="2:14" ht="33" customHeight="1" x14ac:dyDescent="0.3">
      <c r="B638" s="14">
        <v>0</v>
      </c>
      <c r="C638" s="14">
        <v>0</v>
      </c>
      <c r="D638" s="14">
        <v>0</v>
      </c>
      <c r="E638" s="14">
        <v>0</v>
      </c>
      <c r="F638" s="14">
        <v>0</v>
      </c>
      <c r="G638" s="14">
        <v>0</v>
      </c>
      <c r="H638" s="14" t="s">
        <v>417</v>
      </c>
      <c r="I638" s="15" t="s">
        <v>417</v>
      </c>
      <c r="J638" s="14">
        <v>0</v>
      </c>
      <c r="K638">
        <v>0</v>
      </c>
      <c r="L638">
        <v>0</v>
      </c>
      <c r="M638">
        <v>0</v>
      </c>
      <c r="N638" s="10">
        <v>0</v>
      </c>
    </row>
    <row r="639" spans="2:14" ht="33" customHeight="1" x14ac:dyDescent="0.3">
      <c r="B639" s="14">
        <v>0</v>
      </c>
      <c r="C639" s="14">
        <v>0</v>
      </c>
      <c r="D639" s="14">
        <v>0</v>
      </c>
      <c r="E639" s="14">
        <v>0</v>
      </c>
      <c r="F639" s="14">
        <v>0</v>
      </c>
      <c r="G639" s="14">
        <v>0</v>
      </c>
      <c r="H639" s="14" t="s">
        <v>417</v>
      </c>
      <c r="I639" s="15" t="s">
        <v>417</v>
      </c>
      <c r="J639" s="14">
        <v>0</v>
      </c>
      <c r="K639">
        <v>0</v>
      </c>
      <c r="L639">
        <v>0</v>
      </c>
      <c r="M639">
        <v>0</v>
      </c>
      <c r="N639" s="10">
        <v>0</v>
      </c>
    </row>
    <row r="640" spans="2:14" ht="33" customHeight="1" x14ac:dyDescent="0.3">
      <c r="B640" s="14">
        <v>0</v>
      </c>
      <c r="C640" s="14">
        <v>0</v>
      </c>
      <c r="D640" s="14">
        <v>0</v>
      </c>
      <c r="E640" s="14">
        <v>0</v>
      </c>
      <c r="F640" s="14">
        <v>0</v>
      </c>
      <c r="G640" s="14">
        <v>0</v>
      </c>
      <c r="H640" s="14" t="s">
        <v>417</v>
      </c>
      <c r="I640" s="15" t="s">
        <v>417</v>
      </c>
      <c r="J640" s="14">
        <v>0</v>
      </c>
      <c r="K640">
        <v>0</v>
      </c>
      <c r="L640">
        <v>0</v>
      </c>
      <c r="M640">
        <v>0</v>
      </c>
      <c r="N640" s="10">
        <v>0</v>
      </c>
    </row>
    <row r="641" spans="2:14" ht="33" customHeight="1" x14ac:dyDescent="0.3">
      <c r="B641" s="14">
        <v>0</v>
      </c>
      <c r="C641" s="14">
        <v>0</v>
      </c>
      <c r="D641" s="14">
        <v>0</v>
      </c>
      <c r="E641" s="14">
        <v>0</v>
      </c>
      <c r="F641" s="14">
        <v>0</v>
      </c>
      <c r="G641" s="14">
        <v>0</v>
      </c>
      <c r="H641" s="14" t="s">
        <v>417</v>
      </c>
      <c r="I641" s="15" t="s">
        <v>417</v>
      </c>
      <c r="J641" s="14">
        <v>0</v>
      </c>
      <c r="K641">
        <v>0</v>
      </c>
      <c r="L641">
        <v>0</v>
      </c>
      <c r="M641">
        <v>0</v>
      </c>
      <c r="N641" s="10">
        <v>0</v>
      </c>
    </row>
    <row r="642" spans="2:14" ht="33" customHeight="1" x14ac:dyDescent="0.3">
      <c r="B642" s="14">
        <v>0</v>
      </c>
      <c r="C642" s="14">
        <v>0</v>
      </c>
      <c r="D642" s="14">
        <v>0</v>
      </c>
      <c r="E642" s="14">
        <v>0</v>
      </c>
      <c r="F642" s="14">
        <v>0</v>
      </c>
      <c r="G642" s="14">
        <v>0</v>
      </c>
      <c r="H642" s="14" t="s">
        <v>417</v>
      </c>
      <c r="I642" s="15" t="s">
        <v>417</v>
      </c>
      <c r="J642" s="14">
        <v>0</v>
      </c>
      <c r="K642">
        <v>0</v>
      </c>
      <c r="L642">
        <v>0</v>
      </c>
      <c r="M642">
        <v>0</v>
      </c>
      <c r="N642" s="10">
        <v>0</v>
      </c>
    </row>
    <row r="643" spans="2:14" ht="33" customHeight="1" x14ac:dyDescent="0.3">
      <c r="B643" s="14">
        <v>0</v>
      </c>
      <c r="C643" s="14">
        <v>0</v>
      </c>
      <c r="D643" s="14">
        <v>0</v>
      </c>
      <c r="E643" s="14">
        <v>0</v>
      </c>
      <c r="F643" s="14">
        <v>0</v>
      </c>
      <c r="G643" s="14">
        <v>0</v>
      </c>
      <c r="H643" s="14" t="s">
        <v>417</v>
      </c>
      <c r="I643" s="15" t="s">
        <v>417</v>
      </c>
      <c r="J643" s="14">
        <v>0</v>
      </c>
      <c r="K643">
        <v>0</v>
      </c>
      <c r="L643">
        <v>0</v>
      </c>
      <c r="M643">
        <v>0</v>
      </c>
      <c r="N643" s="10">
        <v>0</v>
      </c>
    </row>
    <row r="644" spans="2:14" ht="33" customHeight="1" x14ac:dyDescent="0.3">
      <c r="B644" s="14">
        <v>0</v>
      </c>
      <c r="C644" s="14">
        <v>0</v>
      </c>
      <c r="D644" s="14">
        <v>0</v>
      </c>
      <c r="E644" s="14">
        <v>0</v>
      </c>
      <c r="F644" s="14">
        <v>0</v>
      </c>
      <c r="G644" s="14">
        <v>0</v>
      </c>
      <c r="H644" s="14" t="s">
        <v>417</v>
      </c>
      <c r="I644" s="15" t="s">
        <v>417</v>
      </c>
      <c r="J644" s="14">
        <v>0</v>
      </c>
      <c r="K644">
        <v>0</v>
      </c>
      <c r="L644">
        <v>0</v>
      </c>
      <c r="M644">
        <v>0</v>
      </c>
      <c r="N644" s="10">
        <v>0</v>
      </c>
    </row>
    <row r="645" spans="2:14" ht="33" customHeight="1" x14ac:dyDescent="0.3">
      <c r="B645" s="14">
        <v>0</v>
      </c>
      <c r="C645" s="14">
        <v>0</v>
      </c>
      <c r="D645" s="14">
        <v>0</v>
      </c>
      <c r="E645" s="14">
        <v>0</v>
      </c>
      <c r="F645" s="14">
        <v>0</v>
      </c>
      <c r="G645" s="14">
        <v>0</v>
      </c>
      <c r="H645" s="14" t="s">
        <v>417</v>
      </c>
      <c r="I645" s="15" t="s">
        <v>417</v>
      </c>
      <c r="J645" s="14">
        <v>0</v>
      </c>
      <c r="K645">
        <v>0</v>
      </c>
      <c r="L645">
        <v>0</v>
      </c>
      <c r="M645">
        <v>0</v>
      </c>
      <c r="N645" s="10">
        <v>0</v>
      </c>
    </row>
    <row r="646" spans="2:14" ht="33" customHeight="1" x14ac:dyDescent="0.3">
      <c r="B646" s="14">
        <v>0</v>
      </c>
      <c r="C646" s="14">
        <v>0</v>
      </c>
      <c r="D646" s="14">
        <v>0</v>
      </c>
      <c r="E646" s="14">
        <v>0</v>
      </c>
      <c r="F646" s="14">
        <v>0</v>
      </c>
      <c r="G646" s="14">
        <v>0</v>
      </c>
      <c r="H646" s="14" t="s">
        <v>417</v>
      </c>
      <c r="I646" s="15" t="s">
        <v>417</v>
      </c>
      <c r="J646" s="14">
        <v>0</v>
      </c>
      <c r="K646">
        <v>0</v>
      </c>
      <c r="L646">
        <v>0</v>
      </c>
      <c r="M646">
        <v>0</v>
      </c>
      <c r="N646" s="10">
        <v>0</v>
      </c>
    </row>
    <row r="647" spans="2:14" ht="33" customHeight="1" x14ac:dyDescent="0.3">
      <c r="B647" s="14">
        <v>0</v>
      </c>
      <c r="C647" s="14">
        <v>0</v>
      </c>
      <c r="D647" s="14">
        <v>0</v>
      </c>
      <c r="E647" s="14">
        <v>0</v>
      </c>
      <c r="F647" s="14">
        <v>0</v>
      </c>
      <c r="G647" s="14">
        <v>0</v>
      </c>
      <c r="H647" s="14" t="s">
        <v>417</v>
      </c>
      <c r="I647" s="15" t="s">
        <v>417</v>
      </c>
      <c r="J647" s="14">
        <v>0</v>
      </c>
      <c r="K647">
        <v>0</v>
      </c>
      <c r="L647">
        <v>0</v>
      </c>
      <c r="M647">
        <v>0</v>
      </c>
      <c r="N647" s="10">
        <v>0</v>
      </c>
    </row>
    <row r="648" spans="2:14" ht="33" customHeight="1" x14ac:dyDescent="0.3">
      <c r="B648" s="14">
        <v>0</v>
      </c>
      <c r="C648" s="14">
        <v>0</v>
      </c>
      <c r="D648" s="14">
        <v>0</v>
      </c>
      <c r="E648" s="14">
        <v>0</v>
      </c>
      <c r="F648" s="14">
        <v>0</v>
      </c>
      <c r="G648" s="14">
        <v>0</v>
      </c>
      <c r="H648" s="14" t="s">
        <v>417</v>
      </c>
      <c r="I648" s="15" t="s">
        <v>417</v>
      </c>
      <c r="J648" s="14">
        <v>0</v>
      </c>
      <c r="K648">
        <v>0</v>
      </c>
      <c r="L648">
        <v>0</v>
      </c>
      <c r="M648">
        <v>0</v>
      </c>
      <c r="N648" s="10">
        <v>0</v>
      </c>
    </row>
    <row r="649" spans="2:14" ht="33" customHeight="1" x14ac:dyDescent="0.3">
      <c r="B649" s="14">
        <v>0</v>
      </c>
      <c r="C649" s="14">
        <v>0</v>
      </c>
      <c r="D649" s="14">
        <v>0</v>
      </c>
      <c r="E649" s="14">
        <v>0</v>
      </c>
      <c r="F649" s="14">
        <v>0</v>
      </c>
      <c r="G649" s="14">
        <v>0</v>
      </c>
      <c r="H649" s="14" t="s">
        <v>417</v>
      </c>
      <c r="I649" s="15" t="s">
        <v>417</v>
      </c>
      <c r="J649" s="14">
        <v>0</v>
      </c>
      <c r="K649">
        <v>0</v>
      </c>
      <c r="L649">
        <v>0</v>
      </c>
      <c r="M649">
        <v>0</v>
      </c>
      <c r="N649" s="10">
        <v>0</v>
      </c>
    </row>
    <row r="650" spans="2:14" ht="33" customHeight="1" x14ac:dyDescent="0.3">
      <c r="B650" s="14">
        <v>0</v>
      </c>
      <c r="C650" s="14">
        <v>0</v>
      </c>
      <c r="D650" s="14">
        <v>0</v>
      </c>
      <c r="E650" s="14">
        <v>0</v>
      </c>
      <c r="F650" s="14">
        <v>0</v>
      </c>
      <c r="G650" s="14">
        <v>0</v>
      </c>
      <c r="H650" s="14" t="s">
        <v>417</v>
      </c>
      <c r="I650" s="15" t="s">
        <v>417</v>
      </c>
      <c r="J650" s="14">
        <v>0</v>
      </c>
      <c r="K650">
        <v>0</v>
      </c>
      <c r="L650">
        <v>0</v>
      </c>
      <c r="M650">
        <v>0</v>
      </c>
      <c r="N650" s="10">
        <v>0</v>
      </c>
    </row>
    <row r="651" spans="2:14" ht="33" customHeight="1" x14ac:dyDescent="0.3">
      <c r="B651" s="14">
        <v>0</v>
      </c>
      <c r="C651" s="14">
        <v>0</v>
      </c>
      <c r="D651" s="14">
        <v>0</v>
      </c>
      <c r="E651" s="14">
        <v>0</v>
      </c>
      <c r="F651" s="14">
        <v>0</v>
      </c>
      <c r="G651" s="14">
        <v>0</v>
      </c>
      <c r="H651" s="14" t="s">
        <v>417</v>
      </c>
      <c r="I651" s="15" t="s">
        <v>417</v>
      </c>
      <c r="J651" s="14">
        <v>0</v>
      </c>
      <c r="K651">
        <v>0</v>
      </c>
      <c r="L651">
        <v>0</v>
      </c>
      <c r="M651">
        <v>0</v>
      </c>
      <c r="N651" s="10">
        <v>0</v>
      </c>
    </row>
    <row r="652" spans="2:14" ht="33" customHeight="1" x14ac:dyDescent="0.3">
      <c r="B652" s="12">
        <v>0</v>
      </c>
      <c r="C652" s="12">
        <v>0</v>
      </c>
      <c r="D652" s="12">
        <v>0</v>
      </c>
      <c r="E652" s="12">
        <v>0</v>
      </c>
      <c r="F652" s="12">
        <v>0</v>
      </c>
      <c r="G652" s="12">
        <v>0</v>
      </c>
      <c r="J652" s="12">
        <v>0</v>
      </c>
      <c r="K652">
        <v>0</v>
      </c>
      <c r="L652">
        <v>0</v>
      </c>
      <c r="M652">
        <v>0</v>
      </c>
      <c r="N652" s="10">
        <v>0</v>
      </c>
    </row>
    <row r="653" spans="2:14" ht="33" customHeight="1" x14ac:dyDescent="0.3">
      <c r="B653" s="12">
        <v>0</v>
      </c>
      <c r="C653" s="12">
        <v>0</v>
      </c>
      <c r="D653" s="12">
        <v>0</v>
      </c>
      <c r="E653" s="12">
        <v>0</v>
      </c>
      <c r="F653" s="12">
        <v>0</v>
      </c>
      <c r="G653" s="12">
        <v>0</v>
      </c>
      <c r="J653" s="12">
        <v>0</v>
      </c>
      <c r="K653">
        <v>0</v>
      </c>
      <c r="L653">
        <v>0</v>
      </c>
      <c r="M653">
        <v>0</v>
      </c>
      <c r="N653" s="10">
        <v>0</v>
      </c>
    </row>
    <row r="654" spans="2:14" ht="33" customHeight="1" x14ac:dyDescent="0.3">
      <c r="B654" s="12">
        <v>0</v>
      </c>
      <c r="C654" s="12">
        <v>0</v>
      </c>
      <c r="D654" s="12">
        <v>0</v>
      </c>
      <c r="E654" s="12">
        <v>0</v>
      </c>
      <c r="F654" s="12">
        <v>0</v>
      </c>
      <c r="G654" s="12">
        <v>0</v>
      </c>
      <c r="J654" s="12">
        <v>0</v>
      </c>
      <c r="K654">
        <v>0</v>
      </c>
      <c r="L654">
        <v>0</v>
      </c>
      <c r="M654">
        <v>0</v>
      </c>
      <c r="N654" s="10">
        <v>0</v>
      </c>
    </row>
    <row r="655" spans="2:14" ht="33" customHeight="1" x14ac:dyDescent="0.3">
      <c r="B655" s="12">
        <v>0</v>
      </c>
      <c r="C655" s="12">
        <v>0</v>
      </c>
      <c r="D655" s="12">
        <v>0</v>
      </c>
      <c r="E655" s="12">
        <v>0</v>
      </c>
      <c r="F655" s="12">
        <v>0</v>
      </c>
      <c r="G655" s="12">
        <v>0</v>
      </c>
      <c r="J655" s="12">
        <v>0</v>
      </c>
      <c r="K655">
        <v>0</v>
      </c>
      <c r="L655">
        <v>0</v>
      </c>
      <c r="M655">
        <v>0</v>
      </c>
      <c r="N655" s="10">
        <v>0</v>
      </c>
    </row>
    <row r="656" spans="2:14" ht="33" customHeight="1" x14ac:dyDescent="0.3">
      <c r="B656" s="12">
        <v>0</v>
      </c>
      <c r="C656" s="12">
        <v>0</v>
      </c>
      <c r="D656" s="12">
        <v>0</v>
      </c>
      <c r="E656" s="12">
        <v>0</v>
      </c>
      <c r="F656" s="12">
        <v>0</v>
      </c>
      <c r="G656" s="12">
        <v>0</v>
      </c>
      <c r="J656" s="12">
        <v>0</v>
      </c>
      <c r="K656">
        <v>0</v>
      </c>
      <c r="L656">
        <v>0</v>
      </c>
      <c r="M656">
        <v>0</v>
      </c>
      <c r="N656" s="10">
        <v>0</v>
      </c>
    </row>
    <row r="657" spans="2:14" ht="33" customHeight="1" x14ac:dyDescent="0.3">
      <c r="B657" s="12">
        <v>0</v>
      </c>
      <c r="C657" s="12">
        <v>0</v>
      </c>
      <c r="D657" s="12">
        <v>0</v>
      </c>
      <c r="E657" s="12">
        <v>0</v>
      </c>
      <c r="F657" s="12">
        <v>0</v>
      </c>
      <c r="G657" s="12">
        <v>0</v>
      </c>
      <c r="J657" s="12">
        <v>0</v>
      </c>
      <c r="K657">
        <v>0</v>
      </c>
      <c r="L657">
        <v>0</v>
      </c>
      <c r="M657">
        <v>0</v>
      </c>
      <c r="N657" s="10">
        <v>0</v>
      </c>
    </row>
    <row r="658" spans="2:14" ht="33" customHeight="1" x14ac:dyDescent="0.3">
      <c r="B658" s="12">
        <v>0</v>
      </c>
      <c r="C658" s="12">
        <v>0</v>
      </c>
      <c r="D658" s="12">
        <v>0</v>
      </c>
      <c r="E658" s="12">
        <v>0</v>
      </c>
      <c r="F658" s="12">
        <v>0</v>
      </c>
      <c r="G658" s="12">
        <v>0</v>
      </c>
      <c r="J658" s="12">
        <v>0</v>
      </c>
      <c r="K658">
        <v>0</v>
      </c>
      <c r="L658">
        <v>0</v>
      </c>
      <c r="M658">
        <v>0</v>
      </c>
      <c r="N658" s="10">
        <v>0</v>
      </c>
    </row>
    <row r="659" spans="2:14" ht="33" customHeight="1" x14ac:dyDescent="0.3">
      <c r="B659" s="12">
        <v>0</v>
      </c>
      <c r="C659" s="12">
        <v>0</v>
      </c>
      <c r="D659" s="12">
        <v>0</v>
      </c>
      <c r="E659" s="12">
        <v>0</v>
      </c>
      <c r="F659" s="12">
        <v>0</v>
      </c>
      <c r="G659" s="12">
        <v>0</v>
      </c>
      <c r="J659" s="12">
        <v>0</v>
      </c>
      <c r="K659">
        <v>0</v>
      </c>
      <c r="L659">
        <v>0</v>
      </c>
      <c r="M659">
        <v>0</v>
      </c>
      <c r="N659" s="10">
        <v>0</v>
      </c>
    </row>
    <row r="660" spans="2:14" ht="33" customHeight="1" x14ac:dyDescent="0.3">
      <c r="B660" s="12">
        <v>0</v>
      </c>
      <c r="C660" s="12">
        <v>0</v>
      </c>
      <c r="D660" s="12">
        <v>0</v>
      </c>
      <c r="E660" s="12">
        <v>0</v>
      </c>
      <c r="F660" s="12">
        <v>0</v>
      </c>
      <c r="G660" s="12">
        <v>0</v>
      </c>
      <c r="J660" s="12">
        <v>0</v>
      </c>
      <c r="K660">
        <v>0</v>
      </c>
      <c r="L660">
        <v>0</v>
      </c>
      <c r="M660">
        <v>0</v>
      </c>
      <c r="N660" s="10">
        <v>0</v>
      </c>
    </row>
    <row r="661" spans="2:14" ht="33" customHeight="1" x14ac:dyDescent="0.3">
      <c r="B661" s="12">
        <v>0</v>
      </c>
      <c r="C661" s="12">
        <v>0</v>
      </c>
      <c r="D661" s="12">
        <v>0</v>
      </c>
      <c r="E661" s="12">
        <v>0</v>
      </c>
      <c r="F661" s="12">
        <v>0</v>
      </c>
      <c r="G661" s="12">
        <v>0</v>
      </c>
      <c r="J661" s="12">
        <v>0</v>
      </c>
      <c r="K661">
        <v>0</v>
      </c>
      <c r="L661">
        <v>0</v>
      </c>
      <c r="M661">
        <v>0</v>
      </c>
      <c r="N661" s="10">
        <v>0</v>
      </c>
    </row>
    <row r="662" spans="2:14" ht="33" customHeight="1" x14ac:dyDescent="0.3">
      <c r="B662" s="12">
        <v>0</v>
      </c>
      <c r="C662" s="12">
        <v>0</v>
      </c>
      <c r="D662" s="12">
        <v>0</v>
      </c>
      <c r="E662" s="12">
        <v>0</v>
      </c>
      <c r="F662" s="12">
        <v>0</v>
      </c>
      <c r="G662" s="12">
        <v>0</v>
      </c>
      <c r="J662" s="12">
        <v>0</v>
      </c>
      <c r="K662">
        <v>0</v>
      </c>
      <c r="L662">
        <v>0</v>
      </c>
      <c r="M662">
        <v>0</v>
      </c>
      <c r="N662" s="10">
        <v>0</v>
      </c>
    </row>
    <row r="663" spans="2:14" ht="33" customHeight="1" x14ac:dyDescent="0.3">
      <c r="B663" s="12">
        <v>0</v>
      </c>
      <c r="C663" s="12">
        <v>0</v>
      </c>
      <c r="D663" s="12">
        <v>0</v>
      </c>
      <c r="E663" s="12">
        <v>0</v>
      </c>
      <c r="F663" s="12">
        <v>0</v>
      </c>
      <c r="G663" s="12">
        <v>0</v>
      </c>
      <c r="J663" s="12">
        <v>0</v>
      </c>
      <c r="K663">
        <v>0</v>
      </c>
      <c r="L663">
        <v>0</v>
      </c>
      <c r="M663">
        <v>0</v>
      </c>
      <c r="N663" s="10">
        <v>0</v>
      </c>
    </row>
    <row r="664" spans="2:14" ht="33" customHeight="1" x14ac:dyDescent="0.3">
      <c r="B664" s="12">
        <v>0</v>
      </c>
      <c r="C664" s="12">
        <v>0</v>
      </c>
      <c r="D664" s="12">
        <v>0</v>
      </c>
      <c r="E664" s="12">
        <v>0</v>
      </c>
      <c r="F664" s="12">
        <v>0</v>
      </c>
      <c r="G664" s="12">
        <v>0</v>
      </c>
      <c r="J664" s="12">
        <v>0</v>
      </c>
      <c r="K664">
        <v>0</v>
      </c>
      <c r="L664">
        <v>0</v>
      </c>
      <c r="M664">
        <v>0</v>
      </c>
      <c r="N664" s="10">
        <v>0</v>
      </c>
    </row>
    <row r="665" spans="2:14" ht="33" customHeight="1" x14ac:dyDescent="0.3">
      <c r="B665" s="12">
        <v>0</v>
      </c>
      <c r="C665" s="12">
        <v>0</v>
      </c>
      <c r="D665" s="12">
        <v>0</v>
      </c>
      <c r="E665" s="12">
        <v>0</v>
      </c>
      <c r="F665" s="12">
        <v>0</v>
      </c>
      <c r="G665" s="12">
        <v>0</v>
      </c>
      <c r="J665" s="12">
        <v>0</v>
      </c>
      <c r="K665">
        <v>0</v>
      </c>
      <c r="L665">
        <v>0</v>
      </c>
      <c r="M665">
        <v>0</v>
      </c>
      <c r="N665" s="10">
        <v>0</v>
      </c>
    </row>
    <row r="666" spans="2:14" ht="33" customHeight="1" x14ac:dyDescent="0.3">
      <c r="B666" s="12">
        <v>0</v>
      </c>
      <c r="C666" s="12">
        <v>0</v>
      </c>
      <c r="D666" s="12">
        <v>0</v>
      </c>
      <c r="E666" s="12">
        <v>0</v>
      </c>
      <c r="F666" s="12">
        <v>0</v>
      </c>
      <c r="G666" s="12">
        <v>0</v>
      </c>
      <c r="J666" s="12">
        <v>0</v>
      </c>
      <c r="K666">
        <v>0</v>
      </c>
      <c r="L666">
        <v>0</v>
      </c>
      <c r="M666">
        <v>0</v>
      </c>
      <c r="N666" s="10">
        <v>0</v>
      </c>
    </row>
    <row r="667" spans="2:14" ht="33" customHeight="1" x14ac:dyDescent="0.3">
      <c r="B667" s="12">
        <v>0</v>
      </c>
      <c r="C667" s="12">
        <v>0</v>
      </c>
      <c r="D667" s="12">
        <v>0</v>
      </c>
      <c r="E667" s="12">
        <v>0</v>
      </c>
      <c r="F667" s="12">
        <v>0</v>
      </c>
      <c r="G667" s="12">
        <v>0</v>
      </c>
      <c r="J667" s="12">
        <v>0</v>
      </c>
      <c r="K667">
        <v>0</v>
      </c>
      <c r="L667">
        <v>0</v>
      </c>
      <c r="M667">
        <v>0</v>
      </c>
      <c r="N667" s="10">
        <v>0</v>
      </c>
    </row>
    <row r="668" spans="2:14" ht="33" customHeight="1" x14ac:dyDescent="0.3">
      <c r="B668" s="12">
        <v>0</v>
      </c>
      <c r="C668" s="12">
        <v>0</v>
      </c>
      <c r="D668" s="12">
        <v>0</v>
      </c>
      <c r="E668" s="12">
        <v>0</v>
      </c>
      <c r="F668" s="12">
        <v>0</v>
      </c>
      <c r="G668" s="12">
        <v>0</v>
      </c>
      <c r="J668" s="12">
        <v>0</v>
      </c>
      <c r="K668">
        <v>0</v>
      </c>
      <c r="L668">
        <v>0</v>
      </c>
      <c r="M668">
        <v>0</v>
      </c>
      <c r="N668" s="10">
        <v>0</v>
      </c>
    </row>
    <row r="669" spans="2:14" ht="33" customHeight="1" x14ac:dyDescent="0.3">
      <c r="B669" s="12">
        <v>0</v>
      </c>
      <c r="C669" s="12">
        <v>0</v>
      </c>
      <c r="D669" s="12">
        <v>0</v>
      </c>
      <c r="E669" s="12">
        <v>0</v>
      </c>
      <c r="F669" s="12">
        <v>0</v>
      </c>
      <c r="G669" s="12">
        <v>0</v>
      </c>
      <c r="J669" s="12">
        <v>0</v>
      </c>
      <c r="K669">
        <v>0</v>
      </c>
      <c r="L669">
        <v>0</v>
      </c>
      <c r="M669">
        <v>0</v>
      </c>
      <c r="N669" s="10">
        <v>0</v>
      </c>
    </row>
    <row r="670" spans="2:14" ht="33" customHeight="1" x14ac:dyDescent="0.3">
      <c r="B670" s="12">
        <v>0</v>
      </c>
      <c r="C670" s="12">
        <v>0</v>
      </c>
      <c r="D670" s="12">
        <v>0</v>
      </c>
      <c r="E670" s="12">
        <v>0</v>
      </c>
      <c r="F670" s="12">
        <v>0</v>
      </c>
      <c r="G670" s="12">
        <v>0</v>
      </c>
      <c r="J670" s="12">
        <v>0</v>
      </c>
      <c r="K670">
        <v>0</v>
      </c>
      <c r="L670">
        <v>0</v>
      </c>
      <c r="M670">
        <v>0</v>
      </c>
      <c r="N670" s="10">
        <v>0</v>
      </c>
    </row>
    <row r="671" spans="2:14" ht="33" customHeight="1" x14ac:dyDescent="0.3">
      <c r="B671" s="12">
        <v>0</v>
      </c>
      <c r="C671" s="12">
        <v>0</v>
      </c>
      <c r="D671" s="12">
        <v>0</v>
      </c>
      <c r="E671" s="12">
        <v>0</v>
      </c>
      <c r="F671" s="12">
        <v>0</v>
      </c>
      <c r="G671" s="12">
        <v>0</v>
      </c>
      <c r="J671" s="12">
        <v>0</v>
      </c>
      <c r="K671">
        <v>0</v>
      </c>
      <c r="L671">
        <v>0</v>
      </c>
      <c r="M671">
        <v>0</v>
      </c>
      <c r="N671" s="10">
        <v>0</v>
      </c>
    </row>
    <row r="672" spans="2:14" ht="33" customHeight="1" x14ac:dyDescent="0.3">
      <c r="B672" s="12">
        <v>0</v>
      </c>
      <c r="C672" s="12">
        <v>0</v>
      </c>
      <c r="D672" s="12">
        <v>0</v>
      </c>
      <c r="E672" s="12">
        <v>0</v>
      </c>
      <c r="F672" s="12">
        <v>0</v>
      </c>
      <c r="G672" s="12">
        <v>0</v>
      </c>
      <c r="J672" s="12">
        <v>0</v>
      </c>
      <c r="K672">
        <v>0</v>
      </c>
      <c r="L672">
        <v>0</v>
      </c>
      <c r="M672">
        <v>0</v>
      </c>
      <c r="N672" s="10">
        <v>0</v>
      </c>
    </row>
    <row r="673" spans="2:14" ht="33" customHeight="1" x14ac:dyDescent="0.3">
      <c r="B673" s="12">
        <v>0</v>
      </c>
      <c r="C673" s="12">
        <v>0</v>
      </c>
      <c r="D673" s="12">
        <v>0</v>
      </c>
      <c r="E673" s="12">
        <v>0</v>
      </c>
      <c r="F673" s="12">
        <v>0</v>
      </c>
      <c r="G673" s="12">
        <v>0</v>
      </c>
      <c r="J673" s="12">
        <v>0</v>
      </c>
      <c r="K673">
        <v>0</v>
      </c>
      <c r="L673">
        <v>0</v>
      </c>
      <c r="M673">
        <v>0</v>
      </c>
      <c r="N673" s="10">
        <v>0</v>
      </c>
    </row>
    <row r="674" spans="2:14" ht="33" customHeight="1" x14ac:dyDescent="0.3">
      <c r="B674" s="12">
        <v>0</v>
      </c>
      <c r="C674" s="12">
        <v>0</v>
      </c>
      <c r="D674" s="12">
        <v>0</v>
      </c>
      <c r="E674" s="12">
        <v>0</v>
      </c>
      <c r="F674" s="12">
        <v>0</v>
      </c>
      <c r="G674" s="12">
        <v>0</v>
      </c>
      <c r="J674" s="12">
        <v>0</v>
      </c>
      <c r="K674">
        <v>0</v>
      </c>
      <c r="L674">
        <v>0</v>
      </c>
      <c r="M674">
        <v>0</v>
      </c>
      <c r="N674" s="10">
        <v>0</v>
      </c>
    </row>
    <row r="675" spans="2:14" ht="33" customHeight="1" x14ac:dyDescent="0.3">
      <c r="B675" s="12">
        <v>0</v>
      </c>
      <c r="C675" s="12">
        <v>0</v>
      </c>
      <c r="D675" s="12">
        <v>0</v>
      </c>
      <c r="E675" s="12">
        <v>0</v>
      </c>
      <c r="F675" s="12">
        <v>0</v>
      </c>
      <c r="G675" s="12">
        <v>0</v>
      </c>
      <c r="J675" s="12">
        <v>0</v>
      </c>
      <c r="K675">
        <v>0</v>
      </c>
      <c r="L675">
        <v>0</v>
      </c>
      <c r="M675">
        <v>0</v>
      </c>
      <c r="N675" s="10">
        <v>0</v>
      </c>
    </row>
    <row r="676" spans="2:14" ht="33" customHeight="1" x14ac:dyDescent="0.3">
      <c r="B676" s="12">
        <v>0</v>
      </c>
      <c r="C676" s="12">
        <v>0</v>
      </c>
      <c r="D676" s="12">
        <v>0</v>
      </c>
      <c r="E676" s="12">
        <v>0</v>
      </c>
      <c r="F676" s="12">
        <v>0</v>
      </c>
      <c r="G676" s="12">
        <v>0</v>
      </c>
      <c r="J676" s="12">
        <v>0</v>
      </c>
      <c r="K676">
        <v>0</v>
      </c>
      <c r="L676">
        <v>0</v>
      </c>
      <c r="M676">
        <v>0</v>
      </c>
      <c r="N676" s="10">
        <v>0</v>
      </c>
    </row>
    <row r="677" spans="2:14" ht="33" customHeight="1" x14ac:dyDescent="0.3">
      <c r="B677" s="12">
        <v>0</v>
      </c>
      <c r="C677" s="12">
        <v>0</v>
      </c>
      <c r="D677" s="12">
        <v>0</v>
      </c>
      <c r="E677" s="12">
        <v>0</v>
      </c>
      <c r="F677" s="12">
        <v>0</v>
      </c>
      <c r="G677" s="12">
        <v>0</v>
      </c>
      <c r="J677" s="12">
        <v>0</v>
      </c>
      <c r="K677">
        <v>0</v>
      </c>
      <c r="L677">
        <v>0</v>
      </c>
      <c r="M677">
        <v>0</v>
      </c>
      <c r="N677" s="10">
        <v>0</v>
      </c>
    </row>
    <row r="678" spans="2:14" ht="33" customHeight="1" x14ac:dyDescent="0.3">
      <c r="B678" s="12">
        <v>0</v>
      </c>
      <c r="C678" s="12">
        <v>0</v>
      </c>
      <c r="D678" s="12">
        <v>0</v>
      </c>
      <c r="E678" s="12">
        <v>0</v>
      </c>
      <c r="F678" s="12">
        <v>0</v>
      </c>
      <c r="G678" s="12">
        <v>0</v>
      </c>
      <c r="J678" s="12">
        <v>0</v>
      </c>
      <c r="K678">
        <v>0</v>
      </c>
      <c r="L678">
        <v>0</v>
      </c>
      <c r="M678">
        <v>0</v>
      </c>
      <c r="N678" s="10">
        <v>0</v>
      </c>
    </row>
    <row r="679" spans="2:14" ht="33" customHeight="1" x14ac:dyDescent="0.3">
      <c r="B679" s="12">
        <v>0</v>
      </c>
      <c r="C679" s="12">
        <v>0</v>
      </c>
      <c r="D679" s="12">
        <v>0</v>
      </c>
      <c r="E679" s="12">
        <v>0</v>
      </c>
      <c r="F679" s="12">
        <v>0</v>
      </c>
      <c r="G679" s="12">
        <v>0</v>
      </c>
      <c r="J679" s="12">
        <v>0</v>
      </c>
      <c r="K679">
        <v>0</v>
      </c>
      <c r="L679">
        <v>0</v>
      </c>
      <c r="M679">
        <v>0</v>
      </c>
      <c r="N679" s="10">
        <v>0</v>
      </c>
    </row>
    <row r="680" spans="2:14" ht="33" customHeight="1" x14ac:dyDescent="0.3">
      <c r="B680" s="12">
        <v>0</v>
      </c>
      <c r="C680" s="12">
        <v>0</v>
      </c>
      <c r="D680" s="12">
        <v>0</v>
      </c>
      <c r="E680" s="12">
        <v>0</v>
      </c>
      <c r="F680" s="12">
        <v>0</v>
      </c>
      <c r="G680" s="12">
        <v>0</v>
      </c>
      <c r="J680" s="12">
        <v>0</v>
      </c>
      <c r="K680">
        <v>0</v>
      </c>
      <c r="L680">
        <v>0</v>
      </c>
      <c r="M680">
        <v>0</v>
      </c>
      <c r="N680" s="10">
        <v>0</v>
      </c>
    </row>
    <row r="681" spans="2:14" ht="33" customHeight="1" x14ac:dyDescent="0.3">
      <c r="B681" s="12">
        <v>0</v>
      </c>
      <c r="C681" s="12">
        <v>0</v>
      </c>
      <c r="D681" s="12">
        <v>0</v>
      </c>
      <c r="E681" s="12">
        <v>0</v>
      </c>
      <c r="F681" s="12">
        <v>0</v>
      </c>
      <c r="G681" s="12">
        <v>0</v>
      </c>
      <c r="J681" s="12">
        <v>0</v>
      </c>
      <c r="K681">
        <v>0</v>
      </c>
      <c r="L681">
        <v>0</v>
      </c>
      <c r="M681">
        <v>0</v>
      </c>
      <c r="N681" s="10">
        <v>0</v>
      </c>
    </row>
    <row r="682" spans="2:14" ht="33" customHeight="1" x14ac:dyDescent="0.3">
      <c r="B682" s="12">
        <v>0</v>
      </c>
      <c r="C682" s="12">
        <v>0</v>
      </c>
      <c r="D682" s="12">
        <v>0</v>
      </c>
      <c r="E682" s="12">
        <v>0</v>
      </c>
      <c r="F682" s="12">
        <v>0</v>
      </c>
      <c r="G682" s="12">
        <v>0</v>
      </c>
      <c r="J682" s="12">
        <v>0</v>
      </c>
      <c r="K682">
        <v>0</v>
      </c>
      <c r="L682">
        <v>0</v>
      </c>
      <c r="M682">
        <v>0</v>
      </c>
      <c r="N682" s="10">
        <v>0</v>
      </c>
    </row>
    <row r="683" spans="2:14" ht="33" customHeight="1" x14ac:dyDescent="0.3">
      <c r="B683" s="12">
        <v>0</v>
      </c>
      <c r="C683" s="12">
        <v>0</v>
      </c>
      <c r="D683" s="12">
        <v>0</v>
      </c>
      <c r="E683" s="12">
        <v>0</v>
      </c>
      <c r="F683" s="12">
        <v>0</v>
      </c>
      <c r="G683" s="12">
        <v>0</v>
      </c>
      <c r="J683" s="12">
        <v>0</v>
      </c>
      <c r="K683">
        <v>0</v>
      </c>
      <c r="L683">
        <v>0</v>
      </c>
      <c r="M683">
        <v>0</v>
      </c>
      <c r="N683" s="10">
        <v>0</v>
      </c>
    </row>
    <row r="684" spans="2:14" ht="33" customHeight="1" x14ac:dyDescent="0.3">
      <c r="B684" s="12">
        <v>0</v>
      </c>
      <c r="C684" s="12">
        <v>0</v>
      </c>
      <c r="D684" s="12">
        <v>0</v>
      </c>
      <c r="E684" s="12">
        <v>0</v>
      </c>
      <c r="F684" s="12">
        <v>0</v>
      </c>
      <c r="G684" s="12">
        <v>0</v>
      </c>
      <c r="J684" s="12">
        <v>0</v>
      </c>
      <c r="K684">
        <v>0</v>
      </c>
      <c r="L684">
        <v>0</v>
      </c>
      <c r="M684">
        <v>0</v>
      </c>
      <c r="N684" s="10">
        <v>0</v>
      </c>
    </row>
    <row r="685" spans="2:14" ht="33" customHeight="1" x14ac:dyDescent="0.3">
      <c r="B685" s="12">
        <v>0</v>
      </c>
      <c r="C685" s="12">
        <v>0</v>
      </c>
      <c r="D685" s="12">
        <v>0</v>
      </c>
      <c r="E685" s="12">
        <v>0</v>
      </c>
      <c r="F685" s="12">
        <v>0</v>
      </c>
      <c r="G685" s="12">
        <v>0</v>
      </c>
      <c r="J685" s="12">
        <v>0</v>
      </c>
      <c r="K685">
        <v>0</v>
      </c>
      <c r="L685">
        <v>0</v>
      </c>
      <c r="M685">
        <v>0</v>
      </c>
      <c r="N685" s="10">
        <v>0</v>
      </c>
    </row>
    <row r="686" spans="2:14" ht="33" customHeight="1" x14ac:dyDescent="0.3">
      <c r="B686" s="12">
        <v>0</v>
      </c>
      <c r="C686" s="12">
        <v>0</v>
      </c>
      <c r="D686" s="12">
        <v>0</v>
      </c>
      <c r="E686" s="12">
        <v>0</v>
      </c>
      <c r="F686" s="12">
        <v>0</v>
      </c>
      <c r="G686" s="12">
        <v>0</v>
      </c>
      <c r="J686" s="12">
        <v>0</v>
      </c>
      <c r="K686">
        <v>0</v>
      </c>
      <c r="L686">
        <v>0</v>
      </c>
      <c r="M686">
        <v>0</v>
      </c>
      <c r="N686" s="10">
        <v>0</v>
      </c>
    </row>
    <row r="687" spans="2:14" ht="33" customHeight="1" x14ac:dyDescent="0.3">
      <c r="B687" s="12">
        <v>0</v>
      </c>
      <c r="C687" s="12">
        <v>0</v>
      </c>
      <c r="D687" s="12">
        <v>0</v>
      </c>
      <c r="E687" s="12">
        <v>0</v>
      </c>
      <c r="F687" s="12">
        <v>0</v>
      </c>
      <c r="G687" s="12">
        <v>0</v>
      </c>
      <c r="J687" s="12">
        <v>0</v>
      </c>
      <c r="K687">
        <v>0</v>
      </c>
      <c r="L687">
        <v>0</v>
      </c>
      <c r="M687">
        <v>0</v>
      </c>
      <c r="N687" s="10">
        <v>0</v>
      </c>
    </row>
    <row r="688" spans="2:14" ht="33" customHeight="1" x14ac:dyDescent="0.3">
      <c r="B688" s="12">
        <v>0</v>
      </c>
      <c r="C688" s="12">
        <v>0</v>
      </c>
      <c r="D688" s="12">
        <v>0</v>
      </c>
      <c r="E688" s="12">
        <v>0</v>
      </c>
      <c r="F688" s="12">
        <v>0</v>
      </c>
      <c r="G688" s="12">
        <v>0</v>
      </c>
      <c r="J688" s="12">
        <v>0</v>
      </c>
      <c r="K688">
        <v>0</v>
      </c>
      <c r="L688">
        <v>0</v>
      </c>
      <c r="M688">
        <v>0</v>
      </c>
      <c r="N688" s="10">
        <v>0</v>
      </c>
    </row>
    <row r="689" spans="2:14" ht="33" customHeight="1" x14ac:dyDescent="0.3">
      <c r="B689" s="12">
        <v>0</v>
      </c>
      <c r="C689" s="12">
        <v>0</v>
      </c>
      <c r="D689" s="12">
        <v>0</v>
      </c>
      <c r="E689" s="12">
        <v>0</v>
      </c>
      <c r="F689" s="12">
        <v>0</v>
      </c>
      <c r="G689" s="12">
        <v>0</v>
      </c>
      <c r="J689" s="12">
        <v>0</v>
      </c>
      <c r="K689">
        <v>0</v>
      </c>
      <c r="L689">
        <v>0</v>
      </c>
      <c r="M689">
        <v>0</v>
      </c>
      <c r="N689" s="10">
        <v>0</v>
      </c>
    </row>
    <row r="690" spans="2:14" ht="33" customHeight="1" x14ac:dyDescent="0.3">
      <c r="B690" s="12">
        <v>0</v>
      </c>
      <c r="C690" s="12">
        <v>0</v>
      </c>
      <c r="D690" s="12">
        <v>0</v>
      </c>
      <c r="E690" s="12">
        <v>0</v>
      </c>
      <c r="F690" s="12">
        <v>0</v>
      </c>
      <c r="G690" s="12">
        <v>0</v>
      </c>
      <c r="J690" s="12">
        <v>0</v>
      </c>
      <c r="K690">
        <v>0</v>
      </c>
      <c r="L690">
        <v>0</v>
      </c>
      <c r="M690">
        <v>0</v>
      </c>
      <c r="N690" s="10">
        <v>0</v>
      </c>
    </row>
    <row r="691" spans="2:14" ht="33" customHeight="1" x14ac:dyDescent="0.3">
      <c r="B691" s="12">
        <v>0</v>
      </c>
      <c r="C691" s="12">
        <v>0</v>
      </c>
      <c r="D691" s="12">
        <v>0</v>
      </c>
      <c r="E691" s="12">
        <v>0</v>
      </c>
      <c r="F691" s="12">
        <v>0</v>
      </c>
      <c r="G691" s="12">
        <v>0</v>
      </c>
      <c r="J691" s="12">
        <v>0</v>
      </c>
      <c r="K691">
        <v>0</v>
      </c>
      <c r="L691">
        <v>0</v>
      </c>
      <c r="M691">
        <v>0</v>
      </c>
      <c r="N691" s="10">
        <v>0</v>
      </c>
    </row>
    <row r="692" spans="2:14" ht="33" customHeight="1" x14ac:dyDescent="0.3">
      <c r="B692" s="12">
        <v>0</v>
      </c>
      <c r="C692" s="12">
        <v>0</v>
      </c>
      <c r="D692" s="12">
        <v>0</v>
      </c>
      <c r="E692" s="12">
        <v>0</v>
      </c>
      <c r="F692" s="12">
        <v>0</v>
      </c>
      <c r="G692" s="12">
        <v>0</v>
      </c>
      <c r="J692" s="12">
        <v>0</v>
      </c>
      <c r="K692">
        <v>0</v>
      </c>
      <c r="L692">
        <v>0</v>
      </c>
      <c r="M692">
        <v>0</v>
      </c>
      <c r="N692" s="10">
        <v>0</v>
      </c>
    </row>
    <row r="693" spans="2:14" ht="33" customHeight="1" x14ac:dyDescent="0.3">
      <c r="B693" s="12">
        <v>0</v>
      </c>
      <c r="C693" s="12">
        <v>0</v>
      </c>
      <c r="D693" s="12">
        <v>0</v>
      </c>
      <c r="E693" s="12">
        <v>0</v>
      </c>
      <c r="F693" s="12">
        <v>0</v>
      </c>
      <c r="G693" s="12">
        <v>0</v>
      </c>
      <c r="J693" s="12">
        <v>0</v>
      </c>
      <c r="K693">
        <v>0</v>
      </c>
      <c r="L693">
        <v>0</v>
      </c>
      <c r="M693">
        <v>0</v>
      </c>
      <c r="N693" s="10">
        <v>0</v>
      </c>
    </row>
    <row r="694" spans="2:14" ht="33" customHeight="1" x14ac:dyDescent="0.3">
      <c r="B694" s="12">
        <v>0</v>
      </c>
      <c r="C694" s="12">
        <v>0</v>
      </c>
      <c r="D694" s="12">
        <v>0</v>
      </c>
      <c r="E694" s="12">
        <v>0</v>
      </c>
      <c r="F694" s="12">
        <v>0</v>
      </c>
      <c r="G694" s="12">
        <v>0</v>
      </c>
      <c r="J694" s="12">
        <v>0</v>
      </c>
      <c r="K694">
        <v>0</v>
      </c>
      <c r="L694">
        <v>0</v>
      </c>
      <c r="M694">
        <v>0</v>
      </c>
      <c r="N694" s="10">
        <v>0</v>
      </c>
    </row>
    <row r="695" spans="2:14" ht="33" customHeight="1" x14ac:dyDescent="0.3">
      <c r="B695" s="12">
        <v>0</v>
      </c>
      <c r="C695" s="12">
        <v>0</v>
      </c>
      <c r="D695" s="12">
        <v>0</v>
      </c>
      <c r="E695" s="12">
        <v>0</v>
      </c>
      <c r="F695" s="12">
        <v>0</v>
      </c>
      <c r="G695" s="12">
        <v>0</v>
      </c>
      <c r="J695" s="12">
        <v>0</v>
      </c>
      <c r="K695">
        <v>0</v>
      </c>
      <c r="L695">
        <v>0</v>
      </c>
      <c r="M695">
        <v>0</v>
      </c>
      <c r="N695" s="10">
        <v>0</v>
      </c>
    </row>
    <row r="696" spans="2:14" ht="33" customHeight="1" x14ac:dyDescent="0.3">
      <c r="B696" s="12">
        <v>0</v>
      </c>
      <c r="C696" s="12">
        <v>0</v>
      </c>
      <c r="D696" s="12">
        <v>0</v>
      </c>
      <c r="E696" s="12">
        <v>0</v>
      </c>
      <c r="F696" s="12">
        <v>0</v>
      </c>
      <c r="G696" s="12">
        <v>0</v>
      </c>
      <c r="J696" s="12">
        <v>0</v>
      </c>
      <c r="K696">
        <v>0</v>
      </c>
      <c r="L696">
        <v>0</v>
      </c>
      <c r="M696">
        <v>0</v>
      </c>
      <c r="N696" s="10">
        <v>0</v>
      </c>
    </row>
    <row r="697" spans="2:14" ht="33" customHeight="1" x14ac:dyDescent="0.3">
      <c r="B697" s="12">
        <v>0</v>
      </c>
      <c r="C697" s="12">
        <v>0</v>
      </c>
      <c r="D697" s="12">
        <v>0</v>
      </c>
      <c r="E697" s="12">
        <v>0</v>
      </c>
      <c r="F697" s="12">
        <v>0</v>
      </c>
      <c r="G697" s="12">
        <v>0</v>
      </c>
      <c r="J697" s="12">
        <v>0</v>
      </c>
      <c r="K697">
        <v>0</v>
      </c>
      <c r="L697">
        <v>0</v>
      </c>
      <c r="M697">
        <v>0</v>
      </c>
      <c r="N697" s="10">
        <v>0</v>
      </c>
    </row>
    <row r="698" spans="2:14" ht="33" customHeight="1" x14ac:dyDescent="0.3">
      <c r="B698" s="12">
        <v>0</v>
      </c>
      <c r="C698" s="12">
        <v>0</v>
      </c>
      <c r="D698" s="12">
        <v>0</v>
      </c>
      <c r="E698" s="12">
        <v>0</v>
      </c>
      <c r="F698" s="12">
        <v>0</v>
      </c>
      <c r="G698" s="12">
        <v>0</v>
      </c>
      <c r="J698" s="12">
        <v>0</v>
      </c>
      <c r="K698">
        <v>0</v>
      </c>
      <c r="L698">
        <v>0</v>
      </c>
      <c r="M698">
        <v>0</v>
      </c>
      <c r="N698" s="10">
        <v>0</v>
      </c>
    </row>
    <row r="699" spans="2:14" ht="33" customHeight="1" x14ac:dyDescent="0.3">
      <c r="B699" s="12">
        <v>0</v>
      </c>
      <c r="C699" s="12">
        <v>0</v>
      </c>
      <c r="D699" s="12">
        <v>0</v>
      </c>
      <c r="E699" s="12">
        <v>0</v>
      </c>
      <c r="F699" s="12">
        <v>0</v>
      </c>
      <c r="G699" s="12">
        <v>0</v>
      </c>
      <c r="J699" s="12">
        <v>0</v>
      </c>
      <c r="K699">
        <v>0</v>
      </c>
      <c r="L699">
        <v>0</v>
      </c>
      <c r="M699">
        <v>0</v>
      </c>
      <c r="N699" s="10">
        <v>0</v>
      </c>
    </row>
    <row r="700" spans="2:14" ht="33" customHeight="1" x14ac:dyDescent="0.3">
      <c r="B700" s="12">
        <v>0</v>
      </c>
      <c r="C700" s="12">
        <v>0</v>
      </c>
      <c r="D700" s="12">
        <v>0</v>
      </c>
      <c r="E700" s="12">
        <v>0</v>
      </c>
      <c r="F700" s="12">
        <v>0</v>
      </c>
      <c r="G700" s="12">
        <v>0</v>
      </c>
      <c r="J700" s="12">
        <v>0</v>
      </c>
      <c r="K700">
        <v>0</v>
      </c>
      <c r="L700">
        <v>0</v>
      </c>
      <c r="M700">
        <v>0</v>
      </c>
      <c r="N700" s="10">
        <v>0</v>
      </c>
    </row>
    <row r="701" spans="2:14" ht="33" customHeight="1" x14ac:dyDescent="0.3">
      <c r="B701" s="12">
        <v>0</v>
      </c>
      <c r="C701" s="12">
        <v>0</v>
      </c>
      <c r="D701" s="12">
        <v>0</v>
      </c>
      <c r="E701" s="12">
        <v>0</v>
      </c>
      <c r="F701" s="12">
        <v>0</v>
      </c>
      <c r="G701" s="12">
        <v>0</v>
      </c>
      <c r="J701" s="12">
        <v>0</v>
      </c>
      <c r="K701">
        <v>0</v>
      </c>
      <c r="L701">
        <v>0</v>
      </c>
      <c r="M701">
        <v>0</v>
      </c>
      <c r="N701" s="10">
        <v>0</v>
      </c>
    </row>
    <row r="702" spans="2:14" ht="33" customHeight="1" x14ac:dyDescent="0.3">
      <c r="B702" s="12">
        <v>0</v>
      </c>
      <c r="C702" s="12">
        <v>0</v>
      </c>
      <c r="D702" s="12">
        <v>0</v>
      </c>
      <c r="E702" s="12">
        <v>0</v>
      </c>
      <c r="F702" s="12">
        <v>0</v>
      </c>
      <c r="G702" s="12">
        <v>0</v>
      </c>
      <c r="J702" s="12">
        <v>0</v>
      </c>
      <c r="K702">
        <v>0</v>
      </c>
      <c r="L702">
        <v>0</v>
      </c>
      <c r="M702">
        <v>0</v>
      </c>
      <c r="N702" s="10">
        <v>0</v>
      </c>
    </row>
    <row r="703" spans="2:14" ht="33" customHeight="1" x14ac:dyDescent="0.3">
      <c r="B703" s="12">
        <v>0</v>
      </c>
      <c r="C703" s="12">
        <v>0</v>
      </c>
      <c r="D703" s="12">
        <v>0</v>
      </c>
      <c r="E703" s="12">
        <v>0</v>
      </c>
      <c r="F703" s="12">
        <v>0</v>
      </c>
      <c r="G703" s="12">
        <v>0</v>
      </c>
      <c r="J703" s="12">
        <v>0</v>
      </c>
      <c r="K703">
        <v>0</v>
      </c>
      <c r="L703">
        <v>0</v>
      </c>
      <c r="M703">
        <v>0</v>
      </c>
      <c r="N703" s="10">
        <v>0</v>
      </c>
    </row>
    <row r="704" spans="2:14" ht="33" customHeight="1" x14ac:dyDescent="0.3">
      <c r="B704" s="12">
        <v>0</v>
      </c>
      <c r="C704" s="12">
        <v>0</v>
      </c>
      <c r="D704" s="12">
        <v>0</v>
      </c>
      <c r="E704" s="12">
        <v>0</v>
      </c>
      <c r="F704" s="12">
        <v>0</v>
      </c>
      <c r="G704" s="12">
        <v>0</v>
      </c>
      <c r="J704" s="12">
        <v>0</v>
      </c>
      <c r="K704">
        <v>0</v>
      </c>
      <c r="L704">
        <v>0</v>
      </c>
      <c r="M704">
        <v>0</v>
      </c>
      <c r="N704" s="10">
        <v>0</v>
      </c>
    </row>
    <row r="705" spans="2:14" ht="33" customHeight="1" x14ac:dyDescent="0.3">
      <c r="B705" s="12">
        <v>0</v>
      </c>
      <c r="C705" s="12">
        <v>0</v>
      </c>
      <c r="D705" s="12">
        <v>0</v>
      </c>
      <c r="E705" s="12">
        <v>0</v>
      </c>
      <c r="F705" s="12">
        <v>0</v>
      </c>
      <c r="G705" s="12">
        <v>0</v>
      </c>
      <c r="J705" s="12">
        <v>0</v>
      </c>
      <c r="K705">
        <v>0</v>
      </c>
      <c r="L705">
        <v>0</v>
      </c>
      <c r="M705">
        <v>0</v>
      </c>
      <c r="N705" s="10">
        <v>0</v>
      </c>
    </row>
    <row r="706" spans="2:14" ht="33" customHeight="1" x14ac:dyDescent="0.3">
      <c r="B706" s="12">
        <v>0</v>
      </c>
      <c r="C706" s="12">
        <v>0</v>
      </c>
      <c r="D706" s="12">
        <v>0</v>
      </c>
      <c r="E706" s="12">
        <v>0</v>
      </c>
      <c r="F706" s="12">
        <v>0</v>
      </c>
      <c r="G706" s="12">
        <v>0</v>
      </c>
      <c r="J706" s="12">
        <v>0</v>
      </c>
      <c r="K706">
        <v>0</v>
      </c>
      <c r="L706">
        <v>0</v>
      </c>
      <c r="M706">
        <v>0</v>
      </c>
      <c r="N706" s="10">
        <v>0</v>
      </c>
    </row>
    <row r="707" spans="2:14" ht="33" customHeight="1" x14ac:dyDescent="0.3">
      <c r="B707" s="12">
        <v>0</v>
      </c>
      <c r="C707" s="12">
        <v>0</v>
      </c>
      <c r="D707" s="12">
        <v>0</v>
      </c>
      <c r="E707" s="12">
        <v>0</v>
      </c>
      <c r="F707" s="12">
        <v>0</v>
      </c>
      <c r="G707" s="12">
        <v>0</v>
      </c>
      <c r="J707" s="12">
        <v>0</v>
      </c>
      <c r="K707">
        <v>0</v>
      </c>
      <c r="L707">
        <v>0</v>
      </c>
      <c r="M707">
        <v>0</v>
      </c>
      <c r="N707" s="10">
        <v>0</v>
      </c>
    </row>
    <row r="708" spans="2:14" ht="33" customHeight="1" x14ac:dyDescent="0.3">
      <c r="B708" s="12">
        <v>0</v>
      </c>
      <c r="C708" s="12">
        <v>0</v>
      </c>
      <c r="D708" s="12">
        <v>0</v>
      </c>
      <c r="E708" s="12">
        <v>0</v>
      </c>
      <c r="F708" s="12">
        <v>0</v>
      </c>
      <c r="G708" s="12">
        <v>0</v>
      </c>
      <c r="J708" s="12">
        <v>0</v>
      </c>
      <c r="K708">
        <v>0</v>
      </c>
      <c r="L708">
        <v>0</v>
      </c>
      <c r="M708">
        <v>0</v>
      </c>
      <c r="N708" s="10">
        <v>0</v>
      </c>
    </row>
    <row r="709" spans="2:14" ht="33" customHeight="1" x14ac:dyDescent="0.3">
      <c r="B709" s="12">
        <v>0</v>
      </c>
      <c r="C709" s="12">
        <v>0</v>
      </c>
      <c r="D709" s="12">
        <v>0</v>
      </c>
      <c r="E709" s="12">
        <v>0</v>
      </c>
      <c r="F709" s="12">
        <v>0</v>
      </c>
      <c r="G709" s="12">
        <v>0</v>
      </c>
      <c r="J709" s="12">
        <v>0</v>
      </c>
      <c r="K709">
        <v>0</v>
      </c>
      <c r="L709">
        <v>0</v>
      </c>
      <c r="M709">
        <v>0</v>
      </c>
      <c r="N709" s="10">
        <v>0</v>
      </c>
    </row>
    <row r="710" spans="2:14" ht="33" customHeight="1" x14ac:dyDescent="0.3">
      <c r="B710" s="12">
        <v>0</v>
      </c>
      <c r="C710" s="12">
        <v>0</v>
      </c>
      <c r="D710" s="12">
        <v>0</v>
      </c>
      <c r="E710" s="12">
        <v>0</v>
      </c>
      <c r="F710" s="12">
        <v>0</v>
      </c>
      <c r="G710" s="12">
        <v>0</v>
      </c>
      <c r="J710" s="12">
        <v>0</v>
      </c>
      <c r="K710">
        <v>0</v>
      </c>
      <c r="L710">
        <v>0</v>
      </c>
      <c r="M710">
        <v>0</v>
      </c>
      <c r="N710" s="10">
        <v>0</v>
      </c>
    </row>
    <row r="711" spans="2:14" ht="33" customHeight="1" x14ac:dyDescent="0.3">
      <c r="B711" s="12">
        <v>0</v>
      </c>
      <c r="C711" s="12">
        <v>0</v>
      </c>
      <c r="D711" s="12">
        <v>0</v>
      </c>
      <c r="E711" s="12">
        <v>0</v>
      </c>
      <c r="F711" s="12">
        <v>0</v>
      </c>
      <c r="G711" s="12">
        <v>0</v>
      </c>
      <c r="J711" s="12">
        <v>0</v>
      </c>
      <c r="K711">
        <v>0</v>
      </c>
      <c r="L711">
        <v>0</v>
      </c>
      <c r="M711">
        <v>0</v>
      </c>
      <c r="N711" s="10">
        <v>0</v>
      </c>
    </row>
    <row r="712" spans="2:14" ht="33" customHeight="1" x14ac:dyDescent="0.3">
      <c r="B712" s="12">
        <v>0</v>
      </c>
      <c r="C712" s="12">
        <v>0</v>
      </c>
      <c r="D712" s="12">
        <v>0</v>
      </c>
      <c r="E712" s="12">
        <v>0</v>
      </c>
      <c r="F712" s="12">
        <v>0</v>
      </c>
      <c r="G712" s="12">
        <v>0</v>
      </c>
      <c r="J712" s="12">
        <v>0</v>
      </c>
      <c r="K712">
        <v>0</v>
      </c>
      <c r="L712">
        <v>0</v>
      </c>
      <c r="M712">
        <v>0</v>
      </c>
      <c r="N712" s="10">
        <v>0</v>
      </c>
    </row>
    <row r="713" spans="2:14" ht="33" customHeight="1" x14ac:dyDescent="0.3">
      <c r="B713" s="12">
        <v>0</v>
      </c>
      <c r="C713" s="12">
        <v>0</v>
      </c>
      <c r="D713" s="12">
        <v>0</v>
      </c>
      <c r="E713" s="12">
        <v>0</v>
      </c>
      <c r="F713" s="12">
        <v>0</v>
      </c>
      <c r="G713" s="12">
        <v>0</v>
      </c>
      <c r="J713" s="12">
        <v>0</v>
      </c>
      <c r="K713">
        <v>0</v>
      </c>
      <c r="L713">
        <v>0</v>
      </c>
      <c r="M713">
        <v>0</v>
      </c>
      <c r="N713" s="10">
        <v>0</v>
      </c>
    </row>
    <row r="714" spans="2:14" ht="33" customHeight="1" x14ac:dyDescent="0.3">
      <c r="B714" s="12">
        <v>0</v>
      </c>
      <c r="C714" s="12">
        <v>0</v>
      </c>
      <c r="D714" s="12">
        <v>0</v>
      </c>
      <c r="E714" s="12">
        <v>0</v>
      </c>
      <c r="F714" s="12">
        <v>0</v>
      </c>
      <c r="G714" s="12">
        <v>0</v>
      </c>
      <c r="J714" s="12">
        <v>0</v>
      </c>
      <c r="K714">
        <v>0</v>
      </c>
      <c r="L714">
        <v>0</v>
      </c>
      <c r="M714">
        <v>0</v>
      </c>
      <c r="N714" s="10">
        <v>0</v>
      </c>
    </row>
    <row r="715" spans="2:14" ht="33" customHeight="1" x14ac:dyDescent="0.3">
      <c r="B715" s="12">
        <v>0</v>
      </c>
      <c r="C715" s="12">
        <v>0</v>
      </c>
      <c r="D715" s="12">
        <v>0</v>
      </c>
      <c r="E715" s="12">
        <v>0</v>
      </c>
      <c r="F715" s="12">
        <v>0</v>
      </c>
      <c r="G715" s="12">
        <v>0</v>
      </c>
      <c r="J715" s="12">
        <v>0</v>
      </c>
      <c r="K715">
        <v>0</v>
      </c>
      <c r="L715">
        <v>0</v>
      </c>
      <c r="M715">
        <v>0</v>
      </c>
      <c r="N715" s="10">
        <v>0</v>
      </c>
    </row>
    <row r="716" spans="2:14" ht="33" customHeight="1" x14ac:dyDescent="0.3">
      <c r="B716" s="12">
        <v>0</v>
      </c>
      <c r="C716" s="12">
        <v>0</v>
      </c>
      <c r="D716" s="12">
        <v>0</v>
      </c>
      <c r="E716" s="12">
        <v>0</v>
      </c>
      <c r="F716" s="12">
        <v>0</v>
      </c>
      <c r="G716" s="12">
        <v>0</v>
      </c>
      <c r="J716" s="12">
        <v>0</v>
      </c>
      <c r="K716">
        <v>0</v>
      </c>
      <c r="L716">
        <v>0</v>
      </c>
      <c r="M716">
        <v>0</v>
      </c>
      <c r="N716" s="10">
        <v>0</v>
      </c>
    </row>
    <row r="717" spans="2:14" ht="33" customHeight="1" x14ac:dyDescent="0.3">
      <c r="B717" s="12">
        <v>0</v>
      </c>
      <c r="C717" s="12">
        <v>0</v>
      </c>
      <c r="D717" s="12">
        <v>0</v>
      </c>
      <c r="E717" s="12">
        <v>0</v>
      </c>
      <c r="F717" s="12">
        <v>0</v>
      </c>
      <c r="G717" s="12">
        <v>0</v>
      </c>
      <c r="J717" s="12">
        <v>0</v>
      </c>
      <c r="K717">
        <v>0</v>
      </c>
      <c r="L717">
        <v>0</v>
      </c>
      <c r="M717">
        <v>0</v>
      </c>
      <c r="N717" s="10">
        <v>0</v>
      </c>
    </row>
    <row r="718" spans="2:14" ht="33" customHeight="1" x14ac:dyDescent="0.3">
      <c r="B718" s="12">
        <v>0</v>
      </c>
      <c r="C718" s="12">
        <v>0</v>
      </c>
      <c r="D718" s="12">
        <v>0</v>
      </c>
      <c r="E718" s="12">
        <v>0</v>
      </c>
      <c r="F718" s="12">
        <v>0</v>
      </c>
      <c r="G718" s="12">
        <v>0</v>
      </c>
      <c r="J718" s="12">
        <v>0</v>
      </c>
      <c r="K718">
        <v>0</v>
      </c>
      <c r="L718">
        <v>0</v>
      </c>
      <c r="M718">
        <v>0</v>
      </c>
      <c r="N718" s="10">
        <v>0</v>
      </c>
    </row>
    <row r="719" spans="2:14" ht="33" customHeight="1" x14ac:dyDescent="0.3">
      <c r="B719" s="12">
        <v>0</v>
      </c>
      <c r="C719" s="12">
        <v>0</v>
      </c>
      <c r="D719" s="12">
        <v>0</v>
      </c>
      <c r="E719" s="12">
        <v>0</v>
      </c>
      <c r="F719" s="12">
        <v>0</v>
      </c>
      <c r="G719" s="12">
        <v>0</v>
      </c>
      <c r="J719" s="12">
        <v>0</v>
      </c>
      <c r="K719">
        <v>0</v>
      </c>
      <c r="L719">
        <v>0</v>
      </c>
      <c r="M719">
        <v>0</v>
      </c>
      <c r="N719" s="10">
        <v>0</v>
      </c>
    </row>
    <row r="720" spans="2:14" ht="33" customHeight="1" x14ac:dyDescent="0.3">
      <c r="B720" s="12">
        <v>0</v>
      </c>
      <c r="C720" s="12">
        <v>0</v>
      </c>
      <c r="D720" s="12">
        <v>0</v>
      </c>
      <c r="E720" s="12">
        <v>0</v>
      </c>
      <c r="F720" s="12">
        <v>0</v>
      </c>
      <c r="G720" s="12">
        <v>0</v>
      </c>
      <c r="J720" s="12">
        <v>0</v>
      </c>
      <c r="K720">
        <v>0</v>
      </c>
      <c r="L720">
        <v>0</v>
      </c>
      <c r="M720">
        <v>0</v>
      </c>
      <c r="N720" s="10">
        <v>0</v>
      </c>
    </row>
    <row r="721" spans="2:14" ht="33" customHeight="1" x14ac:dyDescent="0.3">
      <c r="B721" s="12">
        <v>0</v>
      </c>
      <c r="C721" s="12">
        <v>0</v>
      </c>
      <c r="D721" s="12">
        <v>0</v>
      </c>
      <c r="E721" s="12">
        <v>0</v>
      </c>
      <c r="F721" s="12">
        <v>0</v>
      </c>
      <c r="G721" s="12">
        <v>0</v>
      </c>
      <c r="J721" s="12">
        <v>0</v>
      </c>
      <c r="K721">
        <v>0</v>
      </c>
      <c r="L721">
        <v>0</v>
      </c>
      <c r="M721">
        <v>0</v>
      </c>
      <c r="N721" s="10">
        <v>0</v>
      </c>
    </row>
    <row r="722" spans="2:14" ht="33" customHeight="1" x14ac:dyDescent="0.3">
      <c r="B722" s="12">
        <v>0</v>
      </c>
      <c r="C722" s="12">
        <v>0</v>
      </c>
      <c r="D722" s="12">
        <v>0</v>
      </c>
      <c r="E722" s="12">
        <v>0</v>
      </c>
      <c r="F722" s="12">
        <v>0</v>
      </c>
      <c r="G722" s="12">
        <v>0</v>
      </c>
      <c r="J722" s="12">
        <v>0</v>
      </c>
      <c r="K722">
        <v>0</v>
      </c>
      <c r="L722">
        <v>0</v>
      </c>
      <c r="M722">
        <v>0</v>
      </c>
      <c r="N722" s="10">
        <v>0</v>
      </c>
    </row>
    <row r="723" spans="2:14" ht="33" customHeight="1" x14ac:dyDescent="0.3">
      <c r="B723" s="12">
        <v>0</v>
      </c>
      <c r="C723" s="12">
        <v>0</v>
      </c>
      <c r="D723" s="12">
        <v>0</v>
      </c>
      <c r="E723" s="12">
        <v>0</v>
      </c>
      <c r="F723" s="12">
        <v>0</v>
      </c>
      <c r="G723" s="12">
        <v>0</v>
      </c>
      <c r="J723" s="12">
        <v>0</v>
      </c>
      <c r="K723">
        <v>0</v>
      </c>
      <c r="L723">
        <v>0</v>
      </c>
      <c r="M723">
        <v>0</v>
      </c>
      <c r="N723" s="10">
        <v>0</v>
      </c>
    </row>
    <row r="724" spans="2:14" ht="33" customHeight="1" x14ac:dyDescent="0.3">
      <c r="B724" s="12">
        <v>0</v>
      </c>
      <c r="C724" s="12">
        <v>0</v>
      </c>
      <c r="D724" s="12">
        <v>0</v>
      </c>
      <c r="E724" s="12">
        <v>0</v>
      </c>
      <c r="F724" s="12">
        <v>0</v>
      </c>
      <c r="G724" s="12">
        <v>0</v>
      </c>
      <c r="J724" s="12">
        <v>0</v>
      </c>
      <c r="K724">
        <v>0</v>
      </c>
      <c r="L724">
        <v>0</v>
      </c>
      <c r="M724">
        <v>0</v>
      </c>
      <c r="N724" s="10">
        <v>0</v>
      </c>
    </row>
    <row r="725" spans="2:14" ht="33" customHeight="1" x14ac:dyDescent="0.3">
      <c r="B725" s="12">
        <v>0</v>
      </c>
      <c r="C725" s="12">
        <v>0</v>
      </c>
      <c r="D725" s="12">
        <v>0</v>
      </c>
      <c r="E725" s="12">
        <v>0</v>
      </c>
      <c r="F725" s="12">
        <v>0</v>
      </c>
      <c r="G725" s="12">
        <v>0</v>
      </c>
      <c r="J725" s="12">
        <v>0</v>
      </c>
      <c r="K725">
        <v>0</v>
      </c>
      <c r="L725">
        <v>0</v>
      </c>
      <c r="M725">
        <v>0</v>
      </c>
      <c r="N725" s="10">
        <v>0</v>
      </c>
    </row>
    <row r="726" spans="2:14" ht="33" customHeight="1" x14ac:dyDescent="0.3">
      <c r="B726" s="12">
        <v>0</v>
      </c>
      <c r="C726" s="12">
        <v>0</v>
      </c>
      <c r="D726" s="12">
        <v>0</v>
      </c>
      <c r="E726" s="12">
        <v>0</v>
      </c>
      <c r="F726" s="12">
        <v>0</v>
      </c>
      <c r="G726" s="12">
        <v>0</v>
      </c>
      <c r="J726" s="12">
        <v>0</v>
      </c>
      <c r="K726">
        <v>0</v>
      </c>
      <c r="L726">
        <v>0</v>
      </c>
      <c r="M726">
        <v>0</v>
      </c>
      <c r="N726" s="10">
        <v>0</v>
      </c>
    </row>
    <row r="727" spans="2:14" ht="33" customHeight="1" x14ac:dyDescent="0.3">
      <c r="B727" s="12">
        <v>0</v>
      </c>
      <c r="C727" s="12">
        <v>0</v>
      </c>
      <c r="D727" s="12">
        <v>0</v>
      </c>
      <c r="E727" s="12">
        <v>0</v>
      </c>
      <c r="F727" s="12">
        <v>0</v>
      </c>
      <c r="G727" s="12">
        <v>0</v>
      </c>
      <c r="J727" s="12">
        <v>0</v>
      </c>
      <c r="K727">
        <v>0</v>
      </c>
      <c r="L727">
        <v>0</v>
      </c>
      <c r="M727">
        <v>0</v>
      </c>
      <c r="N727" s="10">
        <v>0</v>
      </c>
    </row>
    <row r="728" spans="2:14" ht="33" customHeight="1" x14ac:dyDescent="0.3">
      <c r="B728" s="12">
        <v>0</v>
      </c>
      <c r="C728" s="12">
        <v>0</v>
      </c>
      <c r="D728" s="12">
        <v>0</v>
      </c>
      <c r="E728" s="12">
        <v>0</v>
      </c>
      <c r="F728" s="12">
        <v>0</v>
      </c>
      <c r="G728" s="12">
        <v>0</v>
      </c>
      <c r="J728" s="12">
        <v>0</v>
      </c>
      <c r="K728">
        <v>0</v>
      </c>
      <c r="L728">
        <v>0</v>
      </c>
      <c r="M728">
        <v>0</v>
      </c>
      <c r="N728" s="10">
        <v>0</v>
      </c>
    </row>
    <row r="729" spans="2:14" ht="33" customHeight="1" x14ac:dyDescent="0.3">
      <c r="B729" s="12">
        <v>0</v>
      </c>
      <c r="C729" s="12">
        <v>0</v>
      </c>
      <c r="D729" s="12">
        <v>0</v>
      </c>
      <c r="E729" s="12">
        <v>0</v>
      </c>
      <c r="F729" s="12">
        <v>0</v>
      </c>
      <c r="G729" s="12">
        <v>0</v>
      </c>
      <c r="J729" s="12">
        <v>0</v>
      </c>
      <c r="K729">
        <v>0</v>
      </c>
      <c r="L729">
        <v>0</v>
      </c>
      <c r="M729">
        <v>0</v>
      </c>
      <c r="N729" s="10">
        <v>0</v>
      </c>
    </row>
    <row r="730" spans="2:14" ht="33" customHeight="1" x14ac:dyDescent="0.3">
      <c r="B730" s="12">
        <v>0</v>
      </c>
      <c r="C730" s="12">
        <v>0</v>
      </c>
      <c r="D730" s="12">
        <v>0</v>
      </c>
      <c r="E730" s="12">
        <v>0</v>
      </c>
      <c r="F730" s="12">
        <v>0</v>
      </c>
      <c r="G730" s="12">
        <v>0</v>
      </c>
      <c r="J730" s="12">
        <v>0</v>
      </c>
      <c r="K730">
        <v>0</v>
      </c>
      <c r="L730">
        <v>0</v>
      </c>
      <c r="M730">
        <v>0</v>
      </c>
      <c r="N730" s="10">
        <v>0</v>
      </c>
    </row>
    <row r="731" spans="2:14" ht="33" customHeight="1" x14ac:dyDescent="0.3">
      <c r="B731" s="12">
        <v>0</v>
      </c>
      <c r="C731" s="12">
        <v>0</v>
      </c>
      <c r="D731" s="12">
        <v>0</v>
      </c>
      <c r="E731" s="12">
        <v>0</v>
      </c>
      <c r="F731" s="12">
        <v>0</v>
      </c>
      <c r="G731" s="12">
        <v>0</v>
      </c>
      <c r="J731" s="12">
        <v>0</v>
      </c>
      <c r="K731">
        <v>0</v>
      </c>
      <c r="L731">
        <v>0</v>
      </c>
      <c r="M731">
        <v>0</v>
      </c>
      <c r="N731" s="10">
        <v>0</v>
      </c>
    </row>
    <row r="732" spans="2:14" ht="33" customHeight="1" x14ac:dyDescent="0.3">
      <c r="B732" s="12">
        <v>0</v>
      </c>
      <c r="C732" s="12">
        <v>0</v>
      </c>
      <c r="D732" s="12">
        <v>0</v>
      </c>
      <c r="E732" s="12">
        <v>0</v>
      </c>
      <c r="F732" s="12">
        <v>0</v>
      </c>
      <c r="G732" s="12">
        <v>0</v>
      </c>
      <c r="J732" s="12">
        <v>0</v>
      </c>
      <c r="K732">
        <v>0</v>
      </c>
      <c r="L732">
        <v>0</v>
      </c>
      <c r="M732">
        <v>0</v>
      </c>
      <c r="N732" s="10">
        <v>0</v>
      </c>
    </row>
    <row r="733" spans="2:14" ht="33" customHeight="1" x14ac:dyDescent="0.3">
      <c r="B733" s="12">
        <v>0</v>
      </c>
      <c r="C733" s="12">
        <v>0</v>
      </c>
      <c r="D733" s="12">
        <v>0</v>
      </c>
      <c r="E733" s="12">
        <v>0</v>
      </c>
      <c r="F733" s="12">
        <v>0</v>
      </c>
      <c r="G733" s="12">
        <v>0</v>
      </c>
      <c r="J733" s="12">
        <v>0</v>
      </c>
      <c r="K733">
        <v>0</v>
      </c>
      <c r="L733">
        <v>0</v>
      </c>
      <c r="M733">
        <v>0</v>
      </c>
      <c r="N733" s="10">
        <v>0</v>
      </c>
    </row>
    <row r="734" spans="2:14" ht="33" customHeight="1" x14ac:dyDescent="0.3">
      <c r="B734" s="12">
        <v>0</v>
      </c>
      <c r="C734" s="12">
        <v>0</v>
      </c>
      <c r="D734" s="12">
        <v>0</v>
      </c>
      <c r="E734" s="12">
        <v>0</v>
      </c>
      <c r="F734" s="12">
        <v>0</v>
      </c>
      <c r="G734" s="12">
        <v>0</v>
      </c>
      <c r="J734" s="12">
        <v>0</v>
      </c>
      <c r="K734">
        <v>0</v>
      </c>
      <c r="L734">
        <v>0</v>
      </c>
      <c r="M734">
        <v>0</v>
      </c>
      <c r="N734" s="10">
        <v>0</v>
      </c>
    </row>
    <row r="735" spans="2:14" ht="33" customHeight="1" x14ac:dyDescent="0.3">
      <c r="B735" s="12">
        <v>0</v>
      </c>
      <c r="C735" s="12">
        <v>0</v>
      </c>
      <c r="D735" s="12">
        <v>0</v>
      </c>
      <c r="E735" s="12">
        <v>0</v>
      </c>
      <c r="F735" s="12">
        <v>0</v>
      </c>
      <c r="G735" s="12">
        <v>0</v>
      </c>
      <c r="J735" s="12">
        <v>0</v>
      </c>
      <c r="K735">
        <v>0</v>
      </c>
      <c r="L735">
        <v>0</v>
      </c>
      <c r="M735">
        <v>0</v>
      </c>
      <c r="N735" s="10">
        <v>0</v>
      </c>
    </row>
    <row r="736" spans="2:14" ht="33" customHeight="1" x14ac:dyDescent="0.3">
      <c r="B736" s="12">
        <v>0</v>
      </c>
      <c r="C736" s="12">
        <v>0</v>
      </c>
      <c r="D736" s="12">
        <v>0</v>
      </c>
      <c r="E736" s="12">
        <v>0</v>
      </c>
      <c r="F736" s="12">
        <v>0</v>
      </c>
      <c r="G736" s="12">
        <v>0</v>
      </c>
      <c r="J736" s="12">
        <v>0</v>
      </c>
      <c r="K736">
        <v>0</v>
      </c>
      <c r="L736">
        <v>0</v>
      </c>
      <c r="M736">
        <v>0</v>
      </c>
      <c r="N736" s="10">
        <v>0</v>
      </c>
    </row>
    <row r="737" spans="2:14" ht="33" customHeight="1" x14ac:dyDescent="0.3">
      <c r="B737" s="12">
        <v>0</v>
      </c>
      <c r="C737" s="12">
        <v>0</v>
      </c>
      <c r="D737" s="12">
        <v>0</v>
      </c>
      <c r="E737" s="12">
        <v>0</v>
      </c>
      <c r="F737" s="12">
        <v>0</v>
      </c>
      <c r="G737" s="12">
        <v>0</v>
      </c>
      <c r="J737" s="12">
        <v>0</v>
      </c>
      <c r="K737">
        <v>0</v>
      </c>
      <c r="L737">
        <v>0</v>
      </c>
      <c r="M737">
        <v>0</v>
      </c>
      <c r="N737" s="10">
        <v>0</v>
      </c>
    </row>
    <row r="738" spans="2:14" ht="33" customHeight="1" x14ac:dyDescent="0.3">
      <c r="B738" s="12">
        <v>0</v>
      </c>
      <c r="C738" s="12">
        <v>0</v>
      </c>
      <c r="D738" s="12">
        <v>0</v>
      </c>
      <c r="E738" s="12">
        <v>0</v>
      </c>
      <c r="F738" s="12">
        <v>0</v>
      </c>
      <c r="G738" s="12">
        <v>0</v>
      </c>
      <c r="J738" s="12">
        <v>0</v>
      </c>
      <c r="K738">
        <v>0</v>
      </c>
      <c r="L738">
        <v>0</v>
      </c>
      <c r="M738">
        <v>0</v>
      </c>
      <c r="N738" s="10">
        <v>0</v>
      </c>
    </row>
    <row r="739" spans="2:14" ht="33" customHeight="1" x14ac:dyDescent="0.3">
      <c r="B739" s="12">
        <v>0</v>
      </c>
      <c r="C739" s="12">
        <v>0</v>
      </c>
      <c r="D739" s="12">
        <v>0</v>
      </c>
      <c r="E739" s="12">
        <v>0</v>
      </c>
      <c r="F739" s="12">
        <v>0</v>
      </c>
      <c r="G739" s="12">
        <v>0</v>
      </c>
      <c r="J739" s="12">
        <v>0</v>
      </c>
      <c r="K739">
        <v>0</v>
      </c>
      <c r="L739">
        <v>0</v>
      </c>
      <c r="M739">
        <v>0</v>
      </c>
      <c r="N739" s="10">
        <v>0</v>
      </c>
    </row>
    <row r="740" spans="2:14" ht="33" customHeight="1" x14ac:dyDescent="0.3">
      <c r="B740" s="12">
        <v>0</v>
      </c>
      <c r="C740" s="12">
        <v>0</v>
      </c>
      <c r="D740" s="12">
        <v>0</v>
      </c>
      <c r="E740" s="12">
        <v>0</v>
      </c>
      <c r="F740" s="12">
        <v>0</v>
      </c>
      <c r="G740" s="12">
        <v>0</v>
      </c>
      <c r="J740" s="12">
        <v>0</v>
      </c>
      <c r="K740">
        <v>0</v>
      </c>
      <c r="L740">
        <v>0</v>
      </c>
      <c r="M740">
        <v>0</v>
      </c>
      <c r="N740" s="10">
        <v>0</v>
      </c>
    </row>
    <row r="741" spans="2:14" ht="33" customHeight="1" x14ac:dyDescent="0.3">
      <c r="B741" s="12">
        <v>0</v>
      </c>
      <c r="C741" s="12">
        <v>0</v>
      </c>
      <c r="D741" s="12">
        <v>0</v>
      </c>
      <c r="E741" s="12">
        <v>0</v>
      </c>
      <c r="F741" s="12">
        <v>0</v>
      </c>
      <c r="G741" s="12">
        <v>0</v>
      </c>
      <c r="J741" s="12">
        <v>0</v>
      </c>
      <c r="K741">
        <v>0</v>
      </c>
      <c r="L741">
        <v>0</v>
      </c>
      <c r="M741">
        <v>0</v>
      </c>
      <c r="N741" s="10">
        <v>0</v>
      </c>
    </row>
    <row r="742" spans="2:14" ht="33" customHeight="1" x14ac:dyDescent="0.3">
      <c r="B742" s="12">
        <v>0</v>
      </c>
      <c r="C742" s="12">
        <v>0</v>
      </c>
      <c r="D742" s="12">
        <v>0</v>
      </c>
      <c r="E742" s="12">
        <v>0</v>
      </c>
      <c r="F742" s="12">
        <v>0</v>
      </c>
      <c r="G742" s="12">
        <v>0</v>
      </c>
      <c r="J742" s="12">
        <v>0</v>
      </c>
      <c r="K742">
        <v>0</v>
      </c>
      <c r="L742">
        <v>0</v>
      </c>
      <c r="M742">
        <v>0</v>
      </c>
      <c r="N742" s="10">
        <v>0</v>
      </c>
    </row>
    <row r="743" spans="2:14" ht="33" customHeight="1" x14ac:dyDescent="0.3">
      <c r="B743" s="12">
        <v>0</v>
      </c>
      <c r="C743" s="12">
        <v>0</v>
      </c>
      <c r="D743" s="12">
        <v>0</v>
      </c>
      <c r="E743" s="12">
        <v>0</v>
      </c>
      <c r="F743" s="12">
        <v>0</v>
      </c>
      <c r="G743" s="12">
        <v>0</v>
      </c>
      <c r="J743" s="12">
        <v>0</v>
      </c>
      <c r="K743">
        <v>0</v>
      </c>
      <c r="L743">
        <v>0</v>
      </c>
      <c r="M743">
        <v>0</v>
      </c>
      <c r="N743" s="10">
        <v>0</v>
      </c>
    </row>
    <row r="744" spans="2:14" ht="33" customHeight="1" x14ac:dyDescent="0.3">
      <c r="B744" s="12">
        <v>0</v>
      </c>
      <c r="C744" s="12">
        <v>0</v>
      </c>
      <c r="D744" s="12">
        <v>0</v>
      </c>
      <c r="E744" s="12">
        <v>0</v>
      </c>
      <c r="F744" s="12">
        <v>0</v>
      </c>
      <c r="G744" s="12">
        <v>0</v>
      </c>
      <c r="J744" s="12">
        <v>0</v>
      </c>
      <c r="K744">
        <v>0</v>
      </c>
      <c r="L744">
        <v>0</v>
      </c>
      <c r="M744">
        <v>0</v>
      </c>
      <c r="N744" s="10">
        <v>0</v>
      </c>
    </row>
    <row r="745" spans="2:14" ht="33" customHeight="1" x14ac:dyDescent="0.3">
      <c r="B745" s="12">
        <v>0</v>
      </c>
      <c r="C745" s="12">
        <v>0</v>
      </c>
      <c r="D745" s="12">
        <v>0</v>
      </c>
      <c r="E745" s="12">
        <v>0</v>
      </c>
      <c r="F745" s="12">
        <v>0</v>
      </c>
      <c r="G745" s="12">
        <v>0</v>
      </c>
      <c r="J745" s="12">
        <v>0</v>
      </c>
      <c r="K745">
        <v>0</v>
      </c>
      <c r="L745">
        <v>0</v>
      </c>
      <c r="M745">
        <v>0</v>
      </c>
      <c r="N745" s="10">
        <v>0</v>
      </c>
    </row>
    <row r="746" spans="2:14" ht="33" customHeight="1" x14ac:dyDescent="0.3">
      <c r="B746" s="12">
        <v>0</v>
      </c>
      <c r="C746" s="12">
        <v>0</v>
      </c>
      <c r="D746" s="12">
        <v>0</v>
      </c>
      <c r="E746" s="12">
        <v>0</v>
      </c>
      <c r="F746" s="12">
        <v>0</v>
      </c>
      <c r="G746" s="12">
        <v>0</v>
      </c>
      <c r="J746" s="12">
        <v>0</v>
      </c>
      <c r="K746">
        <v>0</v>
      </c>
      <c r="L746">
        <v>0</v>
      </c>
      <c r="M746">
        <v>0</v>
      </c>
      <c r="N746" s="10">
        <v>0</v>
      </c>
    </row>
    <row r="747" spans="2:14" ht="33" customHeight="1" x14ac:dyDescent="0.3">
      <c r="B747" s="12">
        <v>0</v>
      </c>
      <c r="C747" s="12">
        <v>0</v>
      </c>
      <c r="D747" s="12">
        <v>0</v>
      </c>
      <c r="E747" s="12">
        <v>0</v>
      </c>
      <c r="F747" s="12">
        <v>0</v>
      </c>
      <c r="G747" s="12">
        <v>0</v>
      </c>
      <c r="J747" s="12">
        <v>0</v>
      </c>
      <c r="K747">
        <v>0</v>
      </c>
      <c r="L747">
        <v>0</v>
      </c>
      <c r="M747">
        <v>0</v>
      </c>
      <c r="N747" s="10">
        <v>0</v>
      </c>
    </row>
    <row r="748" spans="2:14" ht="33" customHeight="1" x14ac:dyDescent="0.3">
      <c r="B748" s="12">
        <v>0</v>
      </c>
      <c r="C748" s="12">
        <v>0</v>
      </c>
      <c r="D748" s="12">
        <v>0</v>
      </c>
      <c r="E748" s="12">
        <v>0</v>
      </c>
      <c r="F748" s="12">
        <v>0</v>
      </c>
      <c r="G748" s="12">
        <v>0</v>
      </c>
      <c r="J748" s="12">
        <v>0</v>
      </c>
      <c r="K748">
        <v>0</v>
      </c>
      <c r="L748">
        <v>0</v>
      </c>
      <c r="M748">
        <v>0</v>
      </c>
      <c r="N748" s="10">
        <v>0</v>
      </c>
    </row>
    <row r="749" spans="2:14" ht="33" customHeight="1" x14ac:dyDescent="0.3">
      <c r="B749" s="12">
        <v>0</v>
      </c>
      <c r="C749" s="12">
        <v>0</v>
      </c>
      <c r="D749" s="12">
        <v>0</v>
      </c>
      <c r="E749" s="12">
        <v>0</v>
      </c>
      <c r="F749" s="12">
        <v>0</v>
      </c>
      <c r="G749" s="12">
        <v>0</v>
      </c>
      <c r="J749" s="12">
        <v>0</v>
      </c>
      <c r="K749">
        <v>0</v>
      </c>
      <c r="L749">
        <v>0</v>
      </c>
      <c r="M749">
        <v>0</v>
      </c>
      <c r="N749" s="10">
        <v>0</v>
      </c>
    </row>
    <row r="750" spans="2:14" ht="33" customHeight="1" x14ac:dyDescent="0.3">
      <c r="B750" s="12">
        <v>0</v>
      </c>
      <c r="C750" s="12">
        <v>0</v>
      </c>
      <c r="D750" s="12">
        <v>0</v>
      </c>
      <c r="E750" s="12">
        <v>0</v>
      </c>
      <c r="F750" s="12">
        <v>0</v>
      </c>
      <c r="G750" s="12">
        <v>0</v>
      </c>
      <c r="J750" s="12">
        <v>0</v>
      </c>
      <c r="K750">
        <v>0</v>
      </c>
      <c r="L750">
        <v>0</v>
      </c>
      <c r="M750">
        <v>0</v>
      </c>
      <c r="N750" s="10">
        <v>0</v>
      </c>
    </row>
    <row r="751" spans="2:14" ht="33" customHeight="1" x14ac:dyDescent="0.3">
      <c r="B751" s="12">
        <v>0</v>
      </c>
      <c r="C751" s="12">
        <v>0</v>
      </c>
      <c r="D751" s="12">
        <v>0</v>
      </c>
      <c r="E751" s="12">
        <v>0</v>
      </c>
      <c r="F751" s="12">
        <v>0</v>
      </c>
      <c r="G751" s="12">
        <v>0</v>
      </c>
      <c r="J751" s="12">
        <v>0</v>
      </c>
      <c r="K751">
        <v>0</v>
      </c>
      <c r="L751">
        <v>0</v>
      </c>
      <c r="M751">
        <v>0</v>
      </c>
      <c r="N751" s="10">
        <v>0</v>
      </c>
    </row>
    <row r="752" spans="2:14" ht="33" customHeight="1" x14ac:dyDescent="0.3">
      <c r="B752" s="12">
        <v>0</v>
      </c>
      <c r="C752" s="12">
        <v>0</v>
      </c>
      <c r="D752" s="12">
        <v>0</v>
      </c>
      <c r="E752" s="12">
        <v>0</v>
      </c>
      <c r="F752" s="12">
        <v>0</v>
      </c>
      <c r="G752" s="12">
        <v>0</v>
      </c>
      <c r="J752" s="12">
        <v>0</v>
      </c>
      <c r="K752">
        <v>0</v>
      </c>
      <c r="L752">
        <v>0</v>
      </c>
      <c r="M752">
        <v>0</v>
      </c>
      <c r="N752" s="10">
        <v>0</v>
      </c>
    </row>
    <row r="753" spans="2:14" ht="33" customHeight="1" x14ac:dyDescent="0.3">
      <c r="B753" s="12">
        <v>0</v>
      </c>
      <c r="C753" s="12">
        <v>0</v>
      </c>
      <c r="D753" s="12">
        <v>0</v>
      </c>
      <c r="E753" s="12">
        <v>0</v>
      </c>
      <c r="F753" s="12">
        <v>0</v>
      </c>
      <c r="G753" s="12">
        <v>0</v>
      </c>
      <c r="J753" s="12">
        <v>0</v>
      </c>
      <c r="K753">
        <v>0</v>
      </c>
      <c r="L753">
        <v>0</v>
      </c>
      <c r="M753">
        <v>0</v>
      </c>
      <c r="N753" s="10">
        <v>0</v>
      </c>
    </row>
    <row r="754" spans="2:14" ht="33" customHeight="1" x14ac:dyDescent="0.3">
      <c r="B754" s="12">
        <v>0</v>
      </c>
      <c r="C754" s="12">
        <v>0</v>
      </c>
      <c r="D754" s="12">
        <v>0</v>
      </c>
      <c r="E754" s="12">
        <v>0</v>
      </c>
      <c r="F754" s="12">
        <v>0</v>
      </c>
      <c r="G754" s="12">
        <v>0</v>
      </c>
      <c r="J754" s="12">
        <v>0</v>
      </c>
      <c r="K754">
        <v>0</v>
      </c>
      <c r="L754">
        <v>0</v>
      </c>
      <c r="M754">
        <v>0</v>
      </c>
      <c r="N754" s="10">
        <v>0</v>
      </c>
    </row>
    <row r="755" spans="2:14" ht="33" customHeight="1" x14ac:dyDescent="0.3">
      <c r="B755" s="12">
        <v>0</v>
      </c>
      <c r="C755" s="12">
        <v>0</v>
      </c>
      <c r="D755" s="12">
        <v>0</v>
      </c>
      <c r="E755" s="12">
        <v>0</v>
      </c>
      <c r="F755" s="12">
        <v>0</v>
      </c>
      <c r="G755" s="12">
        <v>0</v>
      </c>
      <c r="J755" s="12">
        <v>0</v>
      </c>
      <c r="K755">
        <v>0</v>
      </c>
      <c r="L755">
        <v>0</v>
      </c>
      <c r="M755">
        <v>0</v>
      </c>
      <c r="N755" s="10">
        <v>0</v>
      </c>
    </row>
    <row r="756" spans="2:14" ht="33" customHeight="1" x14ac:dyDescent="0.3">
      <c r="B756" s="12">
        <v>0</v>
      </c>
      <c r="C756" s="12">
        <v>0</v>
      </c>
      <c r="D756" s="12">
        <v>0</v>
      </c>
      <c r="E756" s="12">
        <v>0</v>
      </c>
      <c r="F756" s="12">
        <v>0</v>
      </c>
      <c r="G756" s="12">
        <v>0</v>
      </c>
      <c r="J756" s="12">
        <v>0</v>
      </c>
      <c r="K756">
        <v>0</v>
      </c>
      <c r="L756">
        <v>0</v>
      </c>
      <c r="M756">
        <v>0</v>
      </c>
      <c r="N756" s="10">
        <v>0</v>
      </c>
    </row>
    <row r="757" spans="2:14" ht="33" customHeight="1" x14ac:dyDescent="0.3">
      <c r="B757" s="12">
        <v>0</v>
      </c>
      <c r="C757" s="12">
        <v>0</v>
      </c>
      <c r="D757" s="12">
        <v>0</v>
      </c>
      <c r="E757" s="12">
        <v>0</v>
      </c>
      <c r="F757" s="12">
        <v>0</v>
      </c>
      <c r="G757" s="12">
        <v>0</v>
      </c>
      <c r="J757" s="12">
        <v>0</v>
      </c>
      <c r="K757">
        <v>0</v>
      </c>
      <c r="L757">
        <v>0</v>
      </c>
      <c r="M757">
        <v>0</v>
      </c>
      <c r="N757" s="10">
        <v>0</v>
      </c>
    </row>
    <row r="758" spans="2:14" ht="33" customHeight="1" x14ac:dyDescent="0.3">
      <c r="B758" s="12">
        <v>0</v>
      </c>
      <c r="C758" s="12">
        <v>0</v>
      </c>
      <c r="D758" s="12">
        <v>0</v>
      </c>
      <c r="E758" s="12">
        <v>0</v>
      </c>
      <c r="F758" s="12">
        <v>0</v>
      </c>
      <c r="G758" s="12">
        <v>0</v>
      </c>
      <c r="J758" s="12">
        <v>0</v>
      </c>
      <c r="K758">
        <v>0</v>
      </c>
      <c r="L758">
        <v>0</v>
      </c>
      <c r="M758">
        <v>0</v>
      </c>
      <c r="N758" s="10">
        <v>0</v>
      </c>
    </row>
    <row r="759" spans="2:14" ht="33" customHeight="1" x14ac:dyDescent="0.3">
      <c r="B759" s="12">
        <v>0</v>
      </c>
      <c r="C759" s="12">
        <v>0</v>
      </c>
      <c r="D759" s="12">
        <v>0</v>
      </c>
      <c r="E759" s="12">
        <v>0</v>
      </c>
      <c r="F759" s="12">
        <v>0</v>
      </c>
      <c r="G759" s="12">
        <v>0</v>
      </c>
      <c r="J759" s="12">
        <v>0</v>
      </c>
      <c r="K759">
        <v>0</v>
      </c>
      <c r="L759">
        <v>0</v>
      </c>
      <c r="M759">
        <v>0</v>
      </c>
      <c r="N759" s="10">
        <v>0</v>
      </c>
    </row>
    <row r="760" spans="2:14" ht="33" customHeight="1" x14ac:dyDescent="0.3">
      <c r="B760" s="12">
        <v>0</v>
      </c>
      <c r="C760" s="12">
        <v>0</v>
      </c>
      <c r="D760" s="12">
        <v>0</v>
      </c>
      <c r="E760" s="12">
        <v>0</v>
      </c>
      <c r="F760" s="12">
        <v>0</v>
      </c>
      <c r="G760" s="12">
        <v>0</v>
      </c>
      <c r="J760" s="12">
        <v>0</v>
      </c>
      <c r="K760">
        <v>0</v>
      </c>
      <c r="L760">
        <v>0</v>
      </c>
      <c r="M760">
        <v>0</v>
      </c>
      <c r="N760" s="10">
        <v>0</v>
      </c>
    </row>
    <row r="761" spans="2:14" ht="33" customHeight="1" x14ac:dyDescent="0.3">
      <c r="B761" s="12">
        <v>0</v>
      </c>
      <c r="C761" s="12">
        <v>0</v>
      </c>
      <c r="D761" s="12">
        <v>0</v>
      </c>
      <c r="E761" s="12">
        <v>0</v>
      </c>
      <c r="F761" s="12">
        <v>0</v>
      </c>
      <c r="G761" s="12">
        <v>0</v>
      </c>
      <c r="J761" s="12">
        <v>0</v>
      </c>
      <c r="K761">
        <v>0</v>
      </c>
      <c r="L761">
        <v>0</v>
      </c>
      <c r="M761">
        <v>0</v>
      </c>
      <c r="N761" s="10">
        <v>0</v>
      </c>
    </row>
    <row r="762" spans="2:14" ht="33" customHeight="1" x14ac:dyDescent="0.3">
      <c r="B762" s="12">
        <v>0</v>
      </c>
      <c r="C762" s="12">
        <v>0</v>
      </c>
      <c r="D762" s="12">
        <v>0</v>
      </c>
      <c r="E762" s="12">
        <v>0</v>
      </c>
      <c r="F762" s="12">
        <v>0</v>
      </c>
      <c r="G762" s="12">
        <v>0</v>
      </c>
      <c r="J762" s="12">
        <v>0</v>
      </c>
      <c r="K762">
        <v>0</v>
      </c>
      <c r="L762">
        <v>0</v>
      </c>
      <c r="M762">
        <v>0</v>
      </c>
      <c r="N762" s="10">
        <v>0</v>
      </c>
    </row>
    <row r="763" spans="2:14" ht="33" customHeight="1" x14ac:dyDescent="0.3">
      <c r="B763" s="12">
        <v>0</v>
      </c>
      <c r="C763" s="12">
        <v>0</v>
      </c>
      <c r="D763" s="12">
        <v>0</v>
      </c>
      <c r="E763" s="12">
        <v>0</v>
      </c>
      <c r="F763" s="12">
        <v>0</v>
      </c>
      <c r="G763" s="12">
        <v>0</v>
      </c>
      <c r="J763" s="12">
        <v>0</v>
      </c>
      <c r="K763">
        <v>0</v>
      </c>
      <c r="L763">
        <v>0</v>
      </c>
      <c r="M763">
        <v>0</v>
      </c>
      <c r="N763" s="10">
        <v>0</v>
      </c>
    </row>
    <row r="764" spans="2:14" ht="33" customHeight="1" x14ac:dyDescent="0.3">
      <c r="B764" s="12">
        <v>0</v>
      </c>
      <c r="C764" s="12">
        <v>0</v>
      </c>
      <c r="D764" s="12">
        <v>0</v>
      </c>
      <c r="E764" s="12">
        <v>0</v>
      </c>
      <c r="F764" s="12">
        <v>0</v>
      </c>
      <c r="G764" s="12">
        <v>0</v>
      </c>
      <c r="J764" s="12">
        <v>0</v>
      </c>
      <c r="K764">
        <v>0</v>
      </c>
      <c r="L764">
        <v>0</v>
      </c>
      <c r="M764">
        <v>0</v>
      </c>
      <c r="N764" s="10">
        <v>0</v>
      </c>
    </row>
    <row r="765" spans="2:14" ht="33" customHeight="1" x14ac:dyDescent="0.3">
      <c r="B765" s="12">
        <v>0</v>
      </c>
      <c r="C765" s="12">
        <v>0</v>
      </c>
      <c r="D765" s="12">
        <v>0</v>
      </c>
      <c r="E765" s="12">
        <v>0</v>
      </c>
      <c r="F765" s="12">
        <v>0</v>
      </c>
      <c r="G765" s="12">
        <v>0</v>
      </c>
      <c r="J765" s="12">
        <v>0</v>
      </c>
      <c r="K765">
        <v>0</v>
      </c>
      <c r="L765">
        <v>0</v>
      </c>
      <c r="M765">
        <v>0</v>
      </c>
      <c r="N765" s="10">
        <v>0</v>
      </c>
    </row>
    <row r="766" spans="2:14" ht="33" customHeight="1" x14ac:dyDescent="0.3">
      <c r="B766" s="12">
        <v>0</v>
      </c>
      <c r="C766" s="12">
        <v>0</v>
      </c>
      <c r="D766" s="12">
        <v>0</v>
      </c>
      <c r="E766" s="12">
        <v>0</v>
      </c>
      <c r="F766" s="12">
        <v>0</v>
      </c>
      <c r="G766" s="12">
        <v>0</v>
      </c>
      <c r="J766" s="12">
        <v>0</v>
      </c>
      <c r="K766">
        <v>0</v>
      </c>
      <c r="L766">
        <v>0</v>
      </c>
      <c r="M766">
        <v>0</v>
      </c>
      <c r="N766" s="10">
        <v>0</v>
      </c>
    </row>
    <row r="767" spans="2:14" ht="33" customHeight="1" x14ac:dyDescent="0.3">
      <c r="B767" s="12">
        <v>0</v>
      </c>
      <c r="C767" s="12">
        <v>0</v>
      </c>
      <c r="D767" s="12">
        <v>0</v>
      </c>
      <c r="E767" s="12">
        <v>0</v>
      </c>
      <c r="F767" s="12">
        <v>0</v>
      </c>
      <c r="G767" s="12">
        <v>0</v>
      </c>
      <c r="J767" s="12">
        <v>0</v>
      </c>
      <c r="K767">
        <v>0</v>
      </c>
      <c r="L767">
        <v>0</v>
      </c>
      <c r="M767">
        <v>0</v>
      </c>
      <c r="N767" s="10">
        <v>0</v>
      </c>
    </row>
    <row r="768" spans="2:14" ht="33" customHeight="1" x14ac:dyDescent="0.3">
      <c r="B768" s="12">
        <v>0</v>
      </c>
      <c r="C768" s="12">
        <v>0</v>
      </c>
      <c r="D768" s="12">
        <v>0</v>
      </c>
      <c r="E768" s="12">
        <v>0</v>
      </c>
      <c r="F768" s="12">
        <v>0</v>
      </c>
      <c r="G768" s="12">
        <v>0</v>
      </c>
      <c r="J768" s="12">
        <v>0</v>
      </c>
      <c r="K768">
        <v>0</v>
      </c>
      <c r="L768">
        <v>0</v>
      </c>
      <c r="M768">
        <v>0</v>
      </c>
      <c r="N768" s="10">
        <v>0</v>
      </c>
    </row>
    <row r="769" spans="2:14" ht="33" customHeight="1" x14ac:dyDescent="0.3">
      <c r="B769" s="12">
        <v>0</v>
      </c>
      <c r="C769" s="12">
        <v>0</v>
      </c>
      <c r="D769" s="12">
        <v>0</v>
      </c>
      <c r="E769" s="12">
        <v>0</v>
      </c>
      <c r="F769" s="12">
        <v>0</v>
      </c>
      <c r="G769" s="12">
        <v>0</v>
      </c>
      <c r="J769" s="12">
        <v>0</v>
      </c>
      <c r="K769">
        <v>0</v>
      </c>
      <c r="L769">
        <v>0</v>
      </c>
      <c r="M769">
        <v>0</v>
      </c>
      <c r="N769" s="10">
        <v>0</v>
      </c>
    </row>
    <row r="770" spans="2:14" ht="33" customHeight="1" x14ac:dyDescent="0.3">
      <c r="B770" s="12">
        <v>0</v>
      </c>
      <c r="C770" s="12">
        <v>0</v>
      </c>
      <c r="D770" s="12">
        <v>0</v>
      </c>
      <c r="E770" s="12">
        <v>0</v>
      </c>
      <c r="F770" s="12">
        <v>0</v>
      </c>
      <c r="G770" s="12">
        <v>0</v>
      </c>
      <c r="J770" s="12">
        <v>0</v>
      </c>
      <c r="K770">
        <v>0</v>
      </c>
      <c r="L770">
        <v>0</v>
      </c>
      <c r="M770">
        <v>0</v>
      </c>
      <c r="N770" s="10">
        <v>0</v>
      </c>
    </row>
    <row r="771" spans="2:14" ht="33" customHeight="1" x14ac:dyDescent="0.3">
      <c r="B771" s="12">
        <v>0</v>
      </c>
      <c r="C771" s="12">
        <v>0</v>
      </c>
      <c r="D771" s="12">
        <v>0</v>
      </c>
      <c r="E771" s="12">
        <v>0</v>
      </c>
      <c r="F771" s="12">
        <v>0</v>
      </c>
      <c r="G771" s="12">
        <v>0</v>
      </c>
      <c r="J771" s="12">
        <v>0</v>
      </c>
      <c r="K771">
        <v>0</v>
      </c>
      <c r="L771">
        <v>0</v>
      </c>
      <c r="M771">
        <v>0</v>
      </c>
      <c r="N771" s="10">
        <v>0</v>
      </c>
    </row>
    <row r="772" spans="2:14" ht="33" customHeight="1" x14ac:dyDescent="0.3">
      <c r="B772" s="12">
        <v>0</v>
      </c>
      <c r="C772" s="12">
        <v>0</v>
      </c>
      <c r="D772" s="12">
        <v>0</v>
      </c>
      <c r="E772" s="12">
        <v>0</v>
      </c>
      <c r="F772" s="12">
        <v>0</v>
      </c>
      <c r="G772" s="12">
        <v>0</v>
      </c>
      <c r="J772" s="12">
        <v>0</v>
      </c>
      <c r="K772">
        <v>0</v>
      </c>
      <c r="L772">
        <v>0</v>
      </c>
      <c r="M772">
        <v>0</v>
      </c>
      <c r="N772" s="10">
        <v>0</v>
      </c>
    </row>
    <row r="773" spans="2:14" ht="33" customHeight="1" x14ac:dyDescent="0.3">
      <c r="B773" s="12">
        <v>0</v>
      </c>
      <c r="C773" s="12">
        <v>0</v>
      </c>
      <c r="D773" s="12">
        <v>0</v>
      </c>
      <c r="E773" s="12">
        <v>0</v>
      </c>
      <c r="F773" s="12">
        <v>0</v>
      </c>
      <c r="G773" s="12">
        <v>0</v>
      </c>
      <c r="J773" s="12">
        <v>0</v>
      </c>
      <c r="K773">
        <v>0</v>
      </c>
      <c r="L773">
        <v>0</v>
      </c>
      <c r="M773">
        <v>0</v>
      </c>
      <c r="N773" s="10">
        <v>0</v>
      </c>
    </row>
    <row r="774" spans="2:14" ht="33" customHeight="1" x14ac:dyDescent="0.3">
      <c r="B774" s="12">
        <v>0</v>
      </c>
      <c r="C774" s="12">
        <v>0</v>
      </c>
      <c r="D774" s="12">
        <v>0</v>
      </c>
      <c r="E774" s="12">
        <v>0</v>
      </c>
      <c r="F774" s="12">
        <v>0</v>
      </c>
      <c r="G774" s="12">
        <v>0</v>
      </c>
      <c r="J774" s="12">
        <v>0</v>
      </c>
      <c r="K774">
        <v>0</v>
      </c>
      <c r="L774">
        <v>0</v>
      </c>
      <c r="M774">
        <v>0</v>
      </c>
      <c r="N774" s="10">
        <v>0</v>
      </c>
    </row>
    <row r="775" spans="2:14" ht="33" customHeight="1" x14ac:dyDescent="0.3">
      <c r="B775" s="12">
        <v>0</v>
      </c>
      <c r="C775" s="12">
        <v>0</v>
      </c>
      <c r="D775" s="12">
        <v>0</v>
      </c>
      <c r="E775" s="12">
        <v>0</v>
      </c>
      <c r="F775" s="12">
        <v>0</v>
      </c>
      <c r="G775" s="12">
        <v>0</v>
      </c>
      <c r="J775" s="12">
        <v>0</v>
      </c>
      <c r="K775">
        <v>0</v>
      </c>
      <c r="L775">
        <v>0</v>
      </c>
      <c r="M775">
        <v>0</v>
      </c>
      <c r="N775" s="10">
        <v>0</v>
      </c>
    </row>
    <row r="776" spans="2:14" ht="33" customHeight="1" x14ac:dyDescent="0.3">
      <c r="B776" s="12">
        <v>0</v>
      </c>
      <c r="C776" s="12">
        <v>0</v>
      </c>
      <c r="D776" s="12">
        <v>0</v>
      </c>
      <c r="E776" s="12">
        <v>0</v>
      </c>
      <c r="F776" s="12">
        <v>0</v>
      </c>
      <c r="G776" s="12">
        <v>0</v>
      </c>
      <c r="J776" s="12">
        <v>0</v>
      </c>
      <c r="K776">
        <v>0</v>
      </c>
      <c r="L776">
        <v>0</v>
      </c>
      <c r="M776">
        <v>0</v>
      </c>
      <c r="N776" s="10">
        <v>0</v>
      </c>
    </row>
    <row r="777" spans="2:14" ht="33" customHeight="1" x14ac:dyDescent="0.3">
      <c r="B777" s="12">
        <v>0</v>
      </c>
      <c r="C777" s="12">
        <v>0</v>
      </c>
      <c r="D777" s="12">
        <v>0</v>
      </c>
      <c r="E777" s="12">
        <v>0</v>
      </c>
      <c r="F777" s="12">
        <v>0</v>
      </c>
      <c r="G777" s="12">
        <v>0</v>
      </c>
      <c r="J777" s="12">
        <v>0</v>
      </c>
      <c r="K777">
        <v>0</v>
      </c>
      <c r="L777">
        <v>0</v>
      </c>
      <c r="M777">
        <v>0</v>
      </c>
      <c r="N777" s="10">
        <v>0</v>
      </c>
    </row>
    <row r="778" spans="2:14" ht="33" customHeight="1" x14ac:dyDescent="0.3">
      <c r="B778" s="12">
        <v>0</v>
      </c>
      <c r="C778" s="12">
        <v>0</v>
      </c>
      <c r="D778" s="12">
        <v>0</v>
      </c>
      <c r="E778" s="12">
        <v>0</v>
      </c>
      <c r="F778" s="12">
        <v>0</v>
      </c>
      <c r="G778" s="12">
        <v>0</v>
      </c>
      <c r="J778" s="12">
        <v>0</v>
      </c>
      <c r="K778">
        <v>0</v>
      </c>
      <c r="L778">
        <v>0</v>
      </c>
      <c r="M778">
        <v>0</v>
      </c>
      <c r="N778" s="10">
        <v>0</v>
      </c>
    </row>
    <row r="779" spans="2:14" ht="33" customHeight="1" x14ac:dyDescent="0.3">
      <c r="B779" s="12">
        <v>0</v>
      </c>
      <c r="C779" s="12">
        <v>0</v>
      </c>
      <c r="D779" s="12">
        <v>0</v>
      </c>
      <c r="E779" s="12">
        <v>0</v>
      </c>
      <c r="F779" s="12">
        <v>0</v>
      </c>
      <c r="G779" s="12">
        <v>0</v>
      </c>
      <c r="J779" s="12">
        <v>0</v>
      </c>
      <c r="K779">
        <v>0</v>
      </c>
      <c r="L779">
        <v>0</v>
      </c>
      <c r="M779">
        <v>0</v>
      </c>
      <c r="N779" s="10">
        <v>0</v>
      </c>
    </row>
    <row r="780" spans="2:14" ht="33" customHeight="1" x14ac:dyDescent="0.3">
      <c r="B780" s="12">
        <v>0</v>
      </c>
      <c r="C780" s="12">
        <v>0</v>
      </c>
      <c r="D780" s="12">
        <v>0</v>
      </c>
      <c r="E780" s="12">
        <v>0</v>
      </c>
      <c r="F780" s="12">
        <v>0</v>
      </c>
      <c r="G780" s="12">
        <v>0</v>
      </c>
      <c r="J780" s="12">
        <v>0</v>
      </c>
      <c r="K780">
        <v>0</v>
      </c>
      <c r="L780">
        <v>0</v>
      </c>
      <c r="M780">
        <v>0</v>
      </c>
      <c r="N780" s="10">
        <v>0</v>
      </c>
    </row>
    <row r="781" spans="2:14" ht="33" customHeight="1" x14ac:dyDescent="0.3">
      <c r="B781" s="12">
        <v>0</v>
      </c>
      <c r="C781" s="12">
        <v>0</v>
      </c>
      <c r="D781" s="12">
        <v>0</v>
      </c>
      <c r="E781" s="12">
        <v>0</v>
      </c>
      <c r="F781" s="12">
        <v>0</v>
      </c>
      <c r="G781" s="12">
        <v>0</v>
      </c>
      <c r="J781" s="12">
        <v>0</v>
      </c>
      <c r="K781">
        <v>0</v>
      </c>
      <c r="L781">
        <v>0</v>
      </c>
      <c r="M781">
        <v>0</v>
      </c>
      <c r="N781" s="10">
        <v>0</v>
      </c>
    </row>
    <row r="782" spans="2:14" ht="33" customHeight="1" x14ac:dyDescent="0.3">
      <c r="B782" s="12">
        <v>0</v>
      </c>
      <c r="C782" s="12">
        <v>0</v>
      </c>
      <c r="D782" s="12">
        <v>0</v>
      </c>
      <c r="E782" s="12">
        <v>0</v>
      </c>
      <c r="F782" s="12">
        <v>0</v>
      </c>
      <c r="G782" s="12">
        <v>0</v>
      </c>
      <c r="J782" s="12">
        <v>0</v>
      </c>
      <c r="K782">
        <v>0</v>
      </c>
      <c r="L782">
        <v>0</v>
      </c>
      <c r="M782">
        <v>0</v>
      </c>
      <c r="N782" s="10">
        <v>0</v>
      </c>
    </row>
    <row r="783" spans="2:14" ht="33" customHeight="1" x14ac:dyDescent="0.3">
      <c r="B783" s="12">
        <v>0</v>
      </c>
      <c r="C783" s="12">
        <v>0</v>
      </c>
      <c r="D783" s="12">
        <v>0</v>
      </c>
      <c r="E783" s="12">
        <v>0</v>
      </c>
      <c r="F783" s="12">
        <v>0</v>
      </c>
      <c r="G783" s="12">
        <v>0</v>
      </c>
      <c r="J783" s="12">
        <v>0</v>
      </c>
      <c r="K783">
        <v>0</v>
      </c>
      <c r="L783">
        <v>0</v>
      </c>
      <c r="M783">
        <v>0</v>
      </c>
      <c r="N783" s="10">
        <v>0</v>
      </c>
    </row>
    <row r="784" spans="2:14" ht="33" customHeight="1" x14ac:dyDescent="0.3">
      <c r="B784" s="12">
        <v>0</v>
      </c>
      <c r="C784" s="12">
        <v>0</v>
      </c>
      <c r="D784" s="12">
        <v>0</v>
      </c>
      <c r="E784" s="12">
        <v>0</v>
      </c>
      <c r="F784" s="12">
        <v>0</v>
      </c>
      <c r="G784" s="12">
        <v>0</v>
      </c>
      <c r="J784" s="12">
        <v>0</v>
      </c>
      <c r="K784">
        <v>0</v>
      </c>
      <c r="L784">
        <v>0</v>
      </c>
      <c r="M784">
        <v>0</v>
      </c>
      <c r="N784" s="10">
        <v>0</v>
      </c>
    </row>
    <row r="785" spans="2:14" ht="33" customHeight="1" x14ac:dyDescent="0.3">
      <c r="B785" s="12">
        <v>0</v>
      </c>
      <c r="C785" s="12">
        <v>0</v>
      </c>
      <c r="D785" s="12">
        <v>0</v>
      </c>
      <c r="E785" s="12">
        <v>0</v>
      </c>
      <c r="F785" s="12">
        <v>0</v>
      </c>
      <c r="G785" s="12">
        <v>0</v>
      </c>
      <c r="J785" s="12">
        <v>0</v>
      </c>
      <c r="K785">
        <v>0</v>
      </c>
      <c r="L785">
        <v>0</v>
      </c>
      <c r="M785">
        <v>0</v>
      </c>
      <c r="N785" s="10">
        <v>0</v>
      </c>
    </row>
    <row r="786" spans="2:14" ht="33" customHeight="1" x14ac:dyDescent="0.3">
      <c r="B786" s="12">
        <v>0</v>
      </c>
      <c r="C786" s="12">
        <v>0</v>
      </c>
      <c r="D786" s="12">
        <v>0</v>
      </c>
      <c r="E786" s="12">
        <v>0</v>
      </c>
      <c r="F786" s="12">
        <v>0</v>
      </c>
      <c r="G786" s="12">
        <v>0</v>
      </c>
      <c r="J786" s="12">
        <v>0</v>
      </c>
      <c r="K786">
        <v>0</v>
      </c>
      <c r="L786">
        <v>0</v>
      </c>
      <c r="M786">
        <v>0</v>
      </c>
      <c r="N786" s="10">
        <v>0</v>
      </c>
    </row>
    <row r="787" spans="2:14" ht="33" customHeight="1" x14ac:dyDescent="0.3">
      <c r="B787" s="12">
        <v>0</v>
      </c>
      <c r="C787" s="12">
        <v>0</v>
      </c>
      <c r="D787" s="12">
        <v>0</v>
      </c>
      <c r="E787" s="12">
        <v>0</v>
      </c>
      <c r="F787" s="12">
        <v>0</v>
      </c>
      <c r="G787" s="12">
        <v>0</v>
      </c>
      <c r="J787" s="12">
        <v>0</v>
      </c>
      <c r="K787">
        <v>0</v>
      </c>
      <c r="L787">
        <v>0</v>
      </c>
      <c r="M787">
        <v>0</v>
      </c>
      <c r="N787" s="10">
        <v>0</v>
      </c>
    </row>
    <row r="788" spans="2:14" ht="33" customHeight="1" x14ac:dyDescent="0.3">
      <c r="B788" s="12">
        <v>0</v>
      </c>
      <c r="C788" s="12">
        <v>0</v>
      </c>
      <c r="D788" s="12">
        <v>0</v>
      </c>
      <c r="E788" s="12">
        <v>0</v>
      </c>
      <c r="F788" s="12">
        <v>0</v>
      </c>
      <c r="G788" s="12">
        <v>0</v>
      </c>
      <c r="J788" s="12">
        <v>0</v>
      </c>
      <c r="K788">
        <v>0</v>
      </c>
      <c r="L788">
        <v>0</v>
      </c>
      <c r="M788">
        <v>0</v>
      </c>
      <c r="N788" s="10">
        <v>0</v>
      </c>
    </row>
    <row r="789" spans="2:14" ht="33" customHeight="1" x14ac:dyDescent="0.3">
      <c r="B789" s="12">
        <v>0</v>
      </c>
      <c r="C789" s="12">
        <v>0</v>
      </c>
      <c r="D789" s="12">
        <v>0</v>
      </c>
      <c r="E789" s="12">
        <v>0</v>
      </c>
      <c r="F789" s="12">
        <v>0</v>
      </c>
      <c r="G789" s="12">
        <v>0</v>
      </c>
      <c r="J789" s="12">
        <v>0</v>
      </c>
      <c r="K789">
        <v>0</v>
      </c>
      <c r="L789">
        <v>0</v>
      </c>
      <c r="M789">
        <v>0</v>
      </c>
      <c r="N789" s="10">
        <v>0</v>
      </c>
    </row>
    <row r="790" spans="2:14" ht="33" customHeight="1" x14ac:dyDescent="0.3">
      <c r="B790" s="12">
        <v>0</v>
      </c>
      <c r="C790" s="12">
        <v>0</v>
      </c>
      <c r="D790" s="12">
        <v>0</v>
      </c>
      <c r="E790" s="12">
        <v>0</v>
      </c>
      <c r="F790" s="12">
        <v>0</v>
      </c>
      <c r="G790" s="12">
        <v>0</v>
      </c>
      <c r="J790" s="12">
        <v>0</v>
      </c>
      <c r="K790">
        <v>0</v>
      </c>
      <c r="L790">
        <v>0</v>
      </c>
      <c r="M790">
        <v>0</v>
      </c>
      <c r="N790" s="10">
        <v>0</v>
      </c>
    </row>
    <row r="791" spans="2:14" ht="33" customHeight="1" x14ac:dyDescent="0.3">
      <c r="B791" s="12">
        <v>0</v>
      </c>
      <c r="C791" s="12">
        <v>0</v>
      </c>
      <c r="D791" s="12">
        <v>0</v>
      </c>
      <c r="E791" s="12">
        <v>0</v>
      </c>
      <c r="F791" s="12">
        <v>0</v>
      </c>
      <c r="G791" s="12">
        <v>0</v>
      </c>
      <c r="J791" s="12">
        <v>0</v>
      </c>
      <c r="K791">
        <v>0</v>
      </c>
      <c r="L791">
        <v>0</v>
      </c>
      <c r="M791">
        <v>0</v>
      </c>
      <c r="N791" s="10">
        <v>0</v>
      </c>
    </row>
    <row r="792" spans="2:14" ht="33" customHeight="1" x14ac:dyDescent="0.3">
      <c r="B792" s="12">
        <v>0</v>
      </c>
      <c r="C792" s="12">
        <v>0</v>
      </c>
      <c r="D792" s="12">
        <v>0</v>
      </c>
      <c r="E792" s="12">
        <v>0</v>
      </c>
      <c r="F792" s="12">
        <v>0</v>
      </c>
      <c r="G792" s="12">
        <v>0</v>
      </c>
      <c r="J792" s="12">
        <v>0</v>
      </c>
      <c r="K792">
        <v>0</v>
      </c>
      <c r="L792">
        <v>0</v>
      </c>
      <c r="M792">
        <v>0</v>
      </c>
      <c r="N792" s="10">
        <v>0</v>
      </c>
    </row>
    <row r="793" spans="2:14" ht="33" customHeight="1" x14ac:dyDescent="0.3">
      <c r="B793" s="12">
        <v>0</v>
      </c>
      <c r="C793" s="12">
        <v>0</v>
      </c>
      <c r="D793" s="12">
        <v>0</v>
      </c>
      <c r="E793" s="12">
        <v>0</v>
      </c>
      <c r="F793" s="12">
        <v>0</v>
      </c>
      <c r="G793" s="12">
        <v>0</v>
      </c>
      <c r="J793" s="12">
        <v>0</v>
      </c>
      <c r="K793">
        <v>0</v>
      </c>
      <c r="L793">
        <v>0</v>
      </c>
      <c r="M793">
        <v>0</v>
      </c>
      <c r="N793" s="10">
        <v>0</v>
      </c>
    </row>
    <row r="794" spans="2:14" ht="33" customHeight="1" x14ac:dyDescent="0.3">
      <c r="B794" s="12">
        <v>0</v>
      </c>
      <c r="C794" s="12">
        <v>0</v>
      </c>
      <c r="D794" s="12">
        <v>0</v>
      </c>
      <c r="E794" s="12">
        <v>0</v>
      </c>
      <c r="F794" s="12">
        <v>0</v>
      </c>
      <c r="G794" s="12">
        <v>0</v>
      </c>
      <c r="J794" s="12">
        <v>0</v>
      </c>
      <c r="K794">
        <v>0</v>
      </c>
      <c r="L794">
        <v>0</v>
      </c>
      <c r="M794">
        <v>0</v>
      </c>
      <c r="N794" s="10">
        <v>0</v>
      </c>
    </row>
    <row r="795" spans="2:14" ht="33" customHeight="1" x14ac:dyDescent="0.3">
      <c r="B795" s="12">
        <v>0</v>
      </c>
      <c r="C795" s="12">
        <v>0</v>
      </c>
      <c r="D795" s="12">
        <v>0</v>
      </c>
      <c r="E795" s="12">
        <v>0</v>
      </c>
      <c r="F795" s="12">
        <v>0</v>
      </c>
      <c r="G795" s="12">
        <v>0</v>
      </c>
      <c r="J795" s="12">
        <v>0</v>
      </c>
      <c r="K795">
        <v>0</v>
      </c>
      <c r="L795">
        <v>0</v>
      </c>
      <c r="M795">
        <v>0</v>
      </c>
      <c r="N795" s="10">
        <v>0</v>
      </c>
    </row>
    <row r="796" spans="2:14" ht="33" customHeight="1" x14ac:dyDescent="0.3">
      <c r="B796" s="12">
        <v>0</v>
      </c>
      <c r="C796" s="12">
        <v>0</v>
      </c>
      <c r="D796" s="12">
        <v>0</v>
      </c>
      <c r="E796" s="12">
        <v>0</v>
      </c>
      <c r="F796" s="12">
        <v>0</v>
      </c>
      <c r="G796" s="12">
        <v>0</v>
      </c>
      <c r="J796" s="12">
        <v>0</v>
      </c>
      <c r="K796">
        <v>0</v>
      </c>
      <c r="L796">
        <v>0</v>
      </c>
      <c r="M796">
        <v>0</v>
      </c>
      <c r="N796" s="10">
        <v>0</v>
      </c>
    </row>
    <row r="797" spans="2:14" ht="33" customHeight="1" x14ac:dyDescent="0.3">
      <c r="B797" s="12">
        <v>0</v>
      </c>
      <c r="C797" s="12">
        <v>0</v>
      </c>
      <c r="D797" s="12">
        <v>0</v>
      </c>
      <c r="E797" s="12">
        <v>0</v>
      </c>
      <c r="F797" s="12">
        <v>0</v>
      </c>
      <c r="G797" s="12">
        <v>0</v>
      </c>
      <c r="J797" s="12">
        <v>0</v>
      </c>
      <c r="K797">
        <v>0</v>
      </c>
      <c r="L797">
        <v>0</v>
      </c>
      <c r="M797">
        <v>0</v>
      </c>
      <c r="N797" s="10">
        <v>0</v>
      </c>
    </row>
    <row r="798" spans="2:14" ht="33" customHeight="1" x14ac:dyDescent="0.3">
      <c r="B798" s="12">
        <v>0</v>
      </c>
      <c r="C798" s="12">
        <v>0</v>
      </c>
      <c r="D798" s="12">
        <v>0</v>
      </c>
      <c r="E798" s="12">
        <v>0</v>
      </c>
      <c r="F798" s="12">
        <v>0</v>
      </c>
      <c r="G798" s="12">
        <v>0</v>
      </c>
      <c r="J798" s="12">
        <v>0</v>
      </c>
      <c r="K798">
        <v>0</v>
      </c>
      <c r="L798">
        <v>0</v>
      </c>
      <c r="M798">
        <v>0</v>
      </c>
      <c r="N798" s="10">
        <v>0</v>
      </c>
    </row>
    <row r="799" spans="2:14" ht="33" customHeight="1" x14ac:dyDescent="0.3">
      <c r="B799" s="12">
        <v>0</v>
      </c>
      <c r="C799" s="12">
        <v>0</v>
      </c>
      <c r="D799" s="12">
        <v>0</v>
      </c>
      <c r="E799" s="12">
        <v>0</v>
      </c>
      <c r="F799" s="12">
        <v>0</v>
      </c>
      <c r="G799" s="12">
        <v>0</v>
      </c>
      <c r="J799" s="12">
        <v>0</v>
      </c>
      <c r="K799">
        <v>0</v>
      </c>
      <c r="L799">
        <v>0</v>
      </c>
      <c r="M799">
        <v>0</v>
      </c>
      <c r="N799" s="10">
        <v>0</v>
      </c>
    </row>
    <row r="800" spans="2:14" ht="33" customHeight="1" x14ac:dyDescent="0.3">
      <c r="B800" s="12">
        <v>0</v>
      </c>
      <c r="C800" s="12">
        <v>0</v>
      </c>
      <c r="D800" s="12">
        <v>0</v>
      </c>
      <c r="E800" s="12">
        <v>0</v>
      </c>
      <c r="F800" s="12">
        <v>0</v>
      </c>
      <c r="G800" s="12">
        <v>0</v>
      </c>
      <c r="J800" s="12">
        <v>0</v>
      </c>
      <c r="K800">
        <v>0</v>
      </c>
      <c r="L800">
        <v>0</v>
      </c>
      <c r="M800">
        <v>0</v>
      </c>
      <c r="N800" s="10">
        <v>0</v>
      </c>
    </row>
    <row r="801" spans="2:14" ht="33" customHeight="1" x14ac:dyDescent="0.3">
      <c r="B801" s="12">
        <v>0</v>
      </c>
      <c r="C801" s="12">
        <v>0</v>
      </c>
      <c r="D801" s="12">
        <v>0</v>
      </c>
      <c r="E801" s="12">
        <v>0</v>
      </c>
      <c r="F801" s="12">
        <v>0</v>
      </c>
      <c r="G801" s="12">
        <v>0</v>
      </c>
      <c r="J801" s="12">
        <v>0</v>
      </c>
      <c r="K801">
        <v>0</v>
      </c>
      <c r="L801">
        <v>0</v>
      </c>
      <c r="M801">
        <v>0</v>
      </c>
      <c r="N801" s="10">
        <v>0</v>
      </c>
    </row>
    <row r="802" spans="2:14" ht="33" customHeight="1" x14ac:dyDescent="0.3">
      <c r="B802" s="12">
        <v>0</v>
      </c>
      <c r="C802" s="12">
        <v>0</v>
      </c>
      <c r="D802" s="12">
        <v>0</v>
      </c>
      <c r="E802" s="12">
        <v>0</v>
      </c>
      <c r="F802" s="12">
        <v>0</v>
      </c>
      <c r="G802" s="12">
        <v>0</v>
      </c>
      <c r="J802" s="12">
        <v>0</v>
      </c>
      <c r="K802">
        <v>0</v>
      </c>
      <c r="L802">
        <v>0</v>
      </c>
      <c r="M802">
        <v>0</v>
      </c>
      <c r="N802" s="10">
        <v>0</v>
      </c>
    </row>
    <row r="803" spans="2:14" ht="33" customHeight="1" x14ac:dyDescent="0.3">
      <c r="B803" s="12">
        <v>0</v>
      </c>
      <c r="C803" s="12">
        <v>0</v>
      </c>
      <c r="D803" s="12">
        <v>0</v>
      </c>
      <c r="E803" s="12">
        <v>0</v>
      </c>
      <c r="F803" s="12">
        <v>0</v>
      </c>
      <c r="G803" s="12">
        <v>0</v>
      </c>
      <c r="J803" s="12">
        <v>0</v>
      </c>
      <c r="K803">
        <v>0</v>
      </c>
      <c r="L803">
        <v>0</v>
      </c>
      <c r="M803">
        <v>0</v>
      </c>
      <c r="N803" s="10">
        <v>0</v>
      </c>
    </row>
    <row r="804" spans="2:14" ht="33" customHeight="1" x14ac:dyDescent="0.3">
      <c r="B804" s="12">
        <v>0</v>
      </c>
      <c r="C804" s="12">
        <v>0</v>
      </c>
      <c r="D804" s="12">
        <v>0</v>
      </c>
      <c r="E804" s="12">
        <v>0</v>
      </c>
      <c r="F804" s="12">
        <v>0</v>
      </c>
      <c r="G804" s="12">
        <v>0</v>
      </c>
      <c r="J804" s="12">
        <v>0</v>
      </c>
      <c r="K804">
        <v>0</v>
      </c>
      <c r="L804">
        <v>0</v>
      </c>
      <c r="M804">
        <v>0</v>
      </c>
      <c r="N804" s="10">
        <v>0</v>
      </c>
    </row>
    <row r="805" spans="2:14" ht="33" customHeight="1" x14ac:dyDescent="0.3">
      <c r="B805" s="12">
        <v>0</v>
      </c>
      <c r="C805" s="12">
        <v>0</v>
      </c>
      <c r="D805" s="12">
        <v>0</v>
      </c>
      <c r="E805" s="12">
        <v>0</v>
      </c>
      <c r="F805" s="12">
        <v>0</v>
      </c>
      <c r="G805" s="12">
        <v>0</v>
      </c>
      <c r="J805" s="12">
        <v>0</v>
      </c>
      <c r="K805">
        <v>0</v>
      </c>
      <c r="L805">
        <v>0</v>
      </c>
      <c r="M805">
        <v>0</v>
      </c>
      <c r="N805" s="10">
        <v>0</v>
      </c>
    </row>
    <row r="806" spans="2:14" ht="33" customHeight="1" x14ac:dyDescent="0.3">
      <c r="B806" s="12">
        <v>0</v>
      </c>
      <c r="C806" s="12">
        <v>0</v>
      </c>
      <c r="D806" s="12">
        <v>0</v>
      </c>
      <c r="E806" s="12">
        <v>0</v>
      </c>
      <c r="F806" s="12">
        <v>0</v>
      </c>
      <c r="G806" s="12">
        <v>0</v>
      </c>
      <c r="J806" s="12">
        <v>0</v>
      </c>
      <c r="K806">
        <v>0</v>
      </c>
      <c r="L806">
        <v>0</v>
      </c>
      <c r="M806">
        <v>0</v>
      </c>
      <c r="N806" s="10">
        <v>0</v>
      </c>
    </row>
    <row r="807" spans="2:14" ht="33" customHeight="1" x14ac:dyDescent="0.3">
      <c r="B807" s="12">
        <v>0</v>
      </c>
      <c r="C807" s="12">
        <v>0</v>
      </c>
      <c r="D807" s="12">
        <v>0</v>
      </c>
      <c r="E807" s="12">
        <v>0</v>
      </c>
      <c r="F807" s="12">
        <v>0</v>
      </c>
      <c r="G807" s="12">
        <v>0</v>
      </c>
      <c r="J807" s="12">
        <v>0</v>
      </c>
      <c r="K807">
        <v>0</v>
      </c>
      <c r="L807">
        <v>0</v>
      </c>
      <c r="M807">
        <v>0</v>
      </c>
      <c r="N807" s="10">
        <v>0</v>
      </c>
    </row>
    <row r="808" spans="2:14" ht="33" customHeight="1" x14ac:dyDescent="0.3">
      <c r="B808" s="12">
        <v>0</v>
      </c>
      <c r="C808" s="12">
        <v>0</v>
      </c>
      <c r="D808" s="12">
        <v>0</v>
      </c>
      <c r="E808" s="12">
        <v>0</v>
      </c>
      <c r="F808" s="12">
        <v>0</v>
      </c>
      <c r="G808" s="12">
        <v>0</v>
      </c>
      <c r="J808" s="12">
        <v>0</v>
      </c>
      <c r="K808">
        <v>0</v>
      </c>
      <c r="L808">
        <v>0</v>
      </c>
      <c r="M808">
        <v>0</v>
      </c>
      <c r="N808" s="10">
        <v>0</v>
      </c>
    </row>
    <row r="809" spans="2:14" ht="33" customHeight="1" x14ac:dyDescent="0.3">
      <c r="B809" s="12">
        <v>0</v>
      </c>
      <c r="C809" s="12">
        <v>0</v>
      </c>
      <c r="D809" s="12">
        <v>0</v>
      </c>
      <c r="E809" s="12">
        <v>0</v>
      </c>
      <c r="F809" s="12">
        <v>0</v>
      </c>
      <c r="G809" s="12">
        <v>0</v>
      </c>
      <c r="J809" s="12">
        <v>0</v>
      </c>
      <c r="K809">
        <v>0</v>
      </c>
      <c r="L809">
        <v>0</v>
      </c>
      <c r="M809">
        <v>0</v>
      </c>
      <c r="N809" s="10">
        <v>0</v>
      </c>
    </row>
    <row r="810" spans="2:14" ht="33" customHeight="1" x14ac:dyDescent="0.3">
      <c r="B810" s="12">
        <v>0</v>
      </c>
      <c r="C810" s="12">
        <v>0</v>
      </c>
      <c r="D810" s="12">
        <v>0</v>
      </c>
      <c r="E810" s="12">
        <v>0</v>
      </c>
      <c r="F810" s="12">
        <v>0</v>
      </c>
      <c r="G810" s="12">
        <v>0</v>
      </c>
      <c r="J810" s="12">
        <v>0</v>
      </c>
      <c r="K810">
        <v>0</v>
      </c>
      <c r="L810">
        <v>0</v>
      </c>
      <c r="M810">
        <v>0</v>
      </c>
      <c r="N810" s="10">
        <v>0</v>
      </c>
    </row>
    <row r="811" spans="2:14" ht="33" customHeight="1" x14ac:dyDescent="0.3">
      <c r="B811" s="12">
        <v>0</v>
      </c>
      <c r="C811" s="12">
        <v>0</v>
      </c>
      <c r="D811" s="12">
        <v>0</v>
      </c>
      <c r="E811" s="12">
        <v>0</v>
      </c>
      <c r="F811" s="12">
        <v>0</v>
      </c>
      <c r="G811" s="12">
        <v>0</v>
      </c>
      <c r="J811" s="12">
        <v>0</v>
      </c>
      <c r="K811">
        <v>0</v>
      </c>
      <c r="L811">
        <v>0</v>
      </c>
      <c r="M811">
        <v>0</v>
      </c>
      <c r="N811" s="10">
        <v>0</v>
      </c>
    </row>
    <row r="812" spans="2:14" ht="33" customHeight="1" x14ac:dyDescent="0.3">
      <c r="B812" s="12">
        <v>0</v>
      </c>
      <c r="C812" s="12">
        <v>0</v>
      </c>
      <c r="D812" s="12">
        <v>0</v>
      </c>
      <c r="E812" s="12">
        <v>0</v>
      </c>
      <c r="F812" s="12">
        <v>0</v>
      </c>
      <c r="G812" s="12">
        <v>0</v>
      </c>
      <c r="J812" s="12">
        <v>0</v>
      </c>
      <c r="K812">
        <v>0</v>
      </c>
      <c r="L812">
        <v>0</v>
      </c>
      <c r="M812">
        <v>0</v>
      </c>
      <c r="N812" s="10">
        <v>0</v>
      </c>
    </row>
    <row r="813" spans="2:14" ht="33" customHeight="1" x14ac:dyDescent="0.3">
      <c r="B813" s="12">
        <v>0</v>
      </c>
      <c r="C813" s="12">
        <v>0</v>
      </c>
      <c r="D813" s="12">
        <v>0</v>
      </c>
      <c r="E813" s="12">
        <v>0</v>
      </c>
      <c r="F813" s="12">
        <v>0</v>
      </c>
      <c r="G813" s="12">
        <v>0</v>
      </c>
      <c r="J813" s="12">
        <v>0</v>
      </c>
      <c r="K813">
        <v>0</v>
      </c>
      <c r="L813">
        <v>0</v>
      </c>
      <c r="M813">
        <v>0</v>
      </c>
      <c r="N813" s="10">
        <v>0</v>
      </c>
    </row>
    <row r="814" spans="2:14" ht="33" customHeight="1" x14ac:dyDescent="0.3">
      <c r="B814" s="12">
        <v>0</v>
      </c>
      <c r="C814" s="12">
        <v>0</v>
      </c>
      <c r="D814" s="12">
        <v>0</v>
      </c>
      <c r="E814" s="12">
        <v>0</v>
      </c>
      <c r="F814" s="12">
        <v>0</v>
      </c>
      <c r="G814" s="12">
        <v>0</v>
      </c>
      <c r="J814" s="12">
        <v>0</v>
      </c>
      <c r="K814">
        <v>0</v>
      </c>
      <c r="L814">
        <v>0</v>
      </c>
      <c r="M814">
        <v>0</v>
      </c>
      <c r="N814" s="10">
        <v>0</v>
      </c>
    </row>
    <row r="815" spans="2:14" ht="33" customHeight="1" x14ac:dyDescent="0.3">
      <c r="B815" s="12">
        <v>0</v>
      </c>
      <c r="C815" s="12">
        <v>0</v>
      </c>
      <c r="D815" s="12">
        <v>0</v>
      </c>
      <c r="E815" s="12">
        <v>0</v>
      </c>
      <c r="F815" s="12">
        <v>0</v>
      </c>
      <c r="G815" s="12">
        <v>0</v>
      </c>
      <c r="J815" s="12">
        <v>0</v>
      </c>
      <c r="K815">
        <v>0</v>
      </c>
      <c r="L815">
        <v>0</v>
      </c>
      <c r="M815">
        <v>0</v>
      </c>
      <c r="N815" s="10">
        <v>0</v>
      </c>
    </row>
    <row r="816" spans="2:14" ht="33" customHeight="1" x14ac:dyDescent="0.3">
      <c r="B816" s="12">
        <v>0</v>
      </c>
      <c r="C816" s="12">
        <v>0</v>
      </c>
      <c r="D816" s="12">
        <v>0</v>
      </c>
      <c r="E816" s="12">
        <v>0</v>
      </c>
      <c r="F816" s="12">
        <v>0</v>
      </c>
      <c r="G816" s="12">
        <v>0</v>
      </c>
      <c r="J816" s="12">
        <v>0</v>
      </c>
      <c r="K816">
        <v>0</v>
      </c>
      <c r="L816">
        <v>0</v>
      </c>
      <c r="M816">
        <v>0</v>
      </c>
      <c r="N816" s="10">
        <v>0</v>
      </c>
    </row>
    <row r="817" spans="2:14" ht="33" customHeight="1" x14ac:dyDescent="0.3">
      <c r="B817" s="12">
        <v>0</v>
      </c>
      <c r="C817" s="12">
        <v>0</v>
      </c>
      <c r="D817" s="12">
        <v>0</v>
      </c>
      <c r="E817" s="12">
        <v>0</v>
      </c>
      <c r="F817" s="12">
        <v>0</v>
      </c>
      <c r="G817" s="12">
        <v>0</v>
      </c>
      <c r="J817" s="12">
        <v>0</v>
      </c>
      <c r="K817">
        <v>0</v>
      </c>
      <c r="L817">
        <v>0</v>
      </c>
      <c r="M817">
        <v>0</v>
      </c>
      <c r="N817" s="10">
        <v>0</v>
      </c>
    </row>
    <row r="818" spans="2:14" ht="33" customHeight="1" x14ac:dyDescent="0.3">
      <c r="B818" s="12">
        <v>0</v>
      </c>
      <c r="C818" s="12">
        <v>0</v>
      </c>
      <c r="D818" s="12">
        <v>0</v>
      </c>
      <c r="E818" s="12">
        <v>0</v>
      </c>
      <c r="F818" s="12">
        <v>0</v>
      </c>
      <c r="G818" s="12">
        <v>0</v>
      </c>
      <c r="J818" s="12">
        <v>0</v>
      </c>
      <c r="K818">
        <v>0</v>
      </c>
      <c r="L818">
        <v>0</v>
      </c>
      <c r="M818">
        <v>0</v>
      </c>
      <c r="N818" s="10">
        <v>0</v>
      </c>
    </row>
    <row r="819" spans="2:14" ht="33" customHeight="1" x14ac:dyDescent="0.3">
      <c r="B819" s="12">
        <v>0</v>
      </c>
      <c r="C819" s="12">
        <v>0</v>
      </c>
      <c r="D819" s="12">
        <v>0</v>
      </c>
      <c r="E819" s="12">
        <v>0</v>
      </c>
      <c r="F819" s="12">
        <v>0</v>
      </c>
      <c r="G819" s="12">
        <v>0</v>
      </c>
      <c r="J819" s="12">
        <v>0</v>
      </c>
      <c r="K819">
        <v>0</v>
      </c>
      <c r="L819">
        <v>0</v>
      </c>
      <c r="M819">
        <v>0</v>
      </c>
      <c r="N819" s="10">
        <v>0</v>
      </c>
    </row>
    <row r="820" spans="2:14" ht="33" customHeight="1" x14ac:dyDescent="0.3">
      <c r="B820" s="12">
        <v>0</v>
      </c>
      <c r="C820" s="12">
        <v>0</v>
      </c>
      <c r="D820" s="12">
        <v>0</v>
      </c>
      <c r="E820" s="12">
        <v>0</v>
      </c>
      <c r="F820" s="12">
        <v>0</v>
      </c>
      <c r="G820" s="12">
        <v>0</v>
      </c>
      <c r="J820" s="12">
        <v>0</v>
      </c>
      <c r="K820">
        <v>0</v>
      </c>
      <c r="L820">
        <v>0</v>
      </c>
      <c r="M820">
        <v>0</v>
      </c>
      <c r="N820" s="10">
        <v>0</v>
      </c>
    </row>
    <row r="821" spans="2:14" ht="33" customHeight="1" x14ac:dyDescent="0.3">
      <c r="B821" s="12">
        <v>0</v>
      </c>
      <c r="C821" s="12">
        <v>0</v>
      </c>
      <c r="D821" s="12">
        <v>0</v>
      </c>
      <c r="E821" s="12">
        <v>0</v>
      </c>
      <c r="F821" s="12">
        <v>0</v>
      </c>
      <c r="G821" s="12">
        <v>0</v>
      </c>
      <c r="J821" s="12">
        <v>0</v>
      </c>
      <c r="K821">
        <v>0</v>
      </c>
      <c r="L821">
        <v>0</v>
      </c>
      <c r="M821">
        <v>0</v>
      </c>
      <c r="N821" s="10">
        <v>0</v>
      </c>
    </row>
    <row r="822" spans="2:14" ht="33" customHeight="1" x14ac:dyDescent="0.3">
      <c r="B822" s="12">
        <v>0</v>
      </c>
      <c r="C822" s="12">
        <v>0</v>
      </c>
      <c r="D822" s="12">
        <v>0</v>
      </c>
      <c r="E822" s="12">
        <v>0</v>
      </c>
      <c r="F822" s="12">
        <v>0</v>
      </c>
      <c r="G822" s="12">
        <v>0</v>
      </c>
      <c r="J822" s="12">
        <v>0</v>
      </c>
      <c r="K822">
        <v>0</v>
      </c>
      <c r="L822">
        <v>0</v>
      </c>
      <c r="M822">
        <v>0</v>
      </c>
      <c r="N822" s="10">
        <v>0</v>
      </c>
    </row>
    <row r="823" spans="2:14" ht="33" customHeight="1" x14ac:dyDescent="0.3">
      <c r="B823" s="12">
        <v>0</v>
      </c>
      <c r="C823" s="12">
        <v>0</v>
      </c>
      <c r="D823" s="12">
        <v>0</v>
      </c>
      <c r="E823" s="12">
        <v>0</v>
      </c>
      <c r="F823" s="12">
        <v>0</v>
      </c>
      <c r="G823" s="12">
        <v>0</v>
      </c>
      <c r="J823" s="12">
        <v>0</v>
      </c>
      <c r="K823">
        <v>0</v>
      </c>
      <c r="L823">
        <v>0</v>
      </c>
      <c r="M823">
        <v>0</v>
      </c>
      <c r="N823" s="10">
        <v>0</v>
      </c>
    </row>
    <row r="824" spans="2:14" ht="33" customHeight="1" x14ac:dyDescent="0.3">
      <c r="B824" s="12">
        <v>0</v>
      </c>
      <c r="C824" s="12">
        <v>0</v>
      </c>
      <c r="D824" s="12">
        <v>0</v>
      </c>
      <c r="E824" s="12">
        <v>0</v>
      </c>
      <c r="F824" s="12">
        <v>0</v>
      </c>
      <c r="G824" s="12">
        <v>0</v>
      </c>
      <c r="J824" s="12">
        <v>0</v>
      </c>
      <c r="K824">
        <v>0</v>
      </c>
      <c r="L824">
        <v>0</v>
      </c>
      <c r="M824">
        <v>0</v>
      </c>
      <c r="N824" s="10">
        <v>0</v>
      </c>
    </row>
    <row r="825" spans="2:14" ht="33" customHeight="1" x14ac:dyDescent="0.3">
      <c r="B825" s="12">
        <v>0</v>
      </c>
      <c r="C825" s="12">
        <v>0</v>
      </c>
      <c r="D825" s="12">
        <v>0</v>
      </c>
      <c r="E825" s="12">
        <v>0</v>
      </c>
      <c r="F825" s="12">
        <v>0</v>
      </c>
      <c r="G825" s="12">
        <v>0</v>
      </c>
      <c r="J825" s="12">
        <v>0</v>
      </c>
      <c r="K825">
        <v>0</v>
      </c>
      <c r="L825">
        <v>0</v>
      </c>
      <c r="M825">
        <v>0</v>
      </c>
      <c r="N825" s="10">
        <v>0</v>
      </c>
    </row>
    <row r="826" spans="2:14" ht="33" customHeight="1" x14ac:dyDescent="0.3">
      <c r="B826" s="12">
        <v>0</v>
      </c>
      <c r="C826" s="12">
        <v>0</v>
      </c>
      <c r="D826" s="12">
        <v>0</v>
      </c>
      <c r="E826" s="12">
        <v>0</v>
      </c>
      <c r="F826" s="12">
        <v>0</v>
      </c>
      <c r="G826" s="12">
        <v>0</v>
      </c>
      <c r="J826" s="12">
        <v>0</v>
      </c>
      <c r="K826">
        <v>0</v>
      </c>
      <c r="L826">
        <v>0</v>
      </c>
      <c r="M826">
        <v>0</v>
      </c>
      <c r="N826" s="10">
        <v>0</v>
      </c>
    </row>
    <row r="827" spans="2:14" ht="33" customHeight="1" x14ac:dyDescent="0.3">
      <c r="B827" s="12">
        <v>0</v>
      </c>
      <c r="C827" s="12">
        <v>0</v>
      </c>
      <c r="D827" s="12">
        <v>0</v>
      </c>
      <c r="E827" s="12">
        <v>0</v>
      </c>
      <c r="F827" s="12">
        <v>0</v>
      </c>
      <c r="G827" s="12">
        <v>0</v>
      </c>
      <c r="J827" s="12">
        <v>0</v>
      </c>
      <c r="K827">
        <v>0</v>
      </c>
      <c r="L827">
        <v>0</v>
      </c>
      <c r="M827">
        <v>0</v>
      </c>
      <c r="N827" s="10">
        <v>0</v>
      </c>
    </row>
    <row r="828" spans="2:14" ht="33" customHeight="1" x14ac:dyDescent="0.3">
      <c r="B828" s="12">
        <v>0</v>
      </c>
      <c r="C828" s="12">
        <v>0</v>
      </c>
      <c r="D828" s="12">
        <v>0</v>
      </c>
      <c r="E828" s="12">
        <v>0</v>
      </c>
      <c r="F828" s="12">
        <v>0</v>
      </c>
      <c r="G828" s="12">
        <v>0</v>
      </c>
      <c r="J828" s="12">
        <v>0</v>
      </c>
      <c r="K828">
        <v>0</v>
      </c>
      <c r="L828">
        <v>0</v>
      </c>
      <c r="M828">
        <v>0</v>
      </c>
      <c r="N828" s="10">
        <v>0</v>
      </c>
    </row>
    <row r="829" spans="2:14" ht="33" customHeight="1" x14ac:dyDescent="0.3">
      <c r="B829" s="12">
        <v>0</v>
      </c>
      <c r="C829" s="12">
        <v>0</v>
      </c>
      <c r="D829" s="12">
        <v>0</v>
      </c>
      <c r="E829" s="12">
        <v>0</v>
      </c>
      <c r="F829" s="12">
        <v>0</v>
      </c>
      <c r="G829" s="12">
        <v>0</v>
      </c>
      <c r="J829" s="12">
        <v>0</v>
      </c>
      <c r="K829">
        <v>0</v>
      </c>
      <c r="L829">
        <v>0</v>
      </c>
      <c r="M829">
        <v>0</v>
      </c>
      <c r="N829" s="10">
        <v>0</v>
      </c>
    </row>
    <row r="830" spans="2:14" ht="33" customHeight="1" x14ac:dyDescent="0.3">
      <c r="B830" s="12">
        <v>0</v>
      </c>
      <c r="C830" s="12">
        <v>0</v>
      </c>
      <c r="D830" s="12">
        <v>0</v>
      </c>
      <c r="E830" s="12">
        <v>0</v>
      </c>
      <c r="F830" s="12">
        <v>0</v>
      </c>
      <c r="G830" s="12">
        <v>0</v>
      </c>
      <c r="J830" s="12">
        <v>0</v>
      </c>
      <c r="K830">
        <v>0</v>
      </c>
      <c r="L830">
        <v>0</v>
      </c>
      <c r="M830">
        <v>0</v>
      </c>
      <c r="N830" s="10">
        <v>0</v>
      </c>
    </row>
    <row r="831" spans="2:14" ht="33" customHeight="1" x14ac:dyDescent="0.3">
      <c r="B831" s="12">
        <v>0</v>
      </c>
      <c r="C831" s="12">
        <v>0</v>
      </c>
      <c r="D831" s="12">
        <v>0</v>
      </c>
      <c r="E831" s="12">
        <v>0</v>
      </c>
      <c r="F831" s="12">
        <v>0</v>
      </c>
      <c r="G831" s="12">
        <v>0</v>
      </c>
      <c r="J831" s="12">
        <v>0</v>
      </c>
      <c r="K831">
        <v>0</v>
      </c>
      <c r="L831">
        <v>0</v>
      </c>
      <c r="M831">
        <v>0</v>
      </c>
      <c r="N831" s="10">
        <v>0</v>
      </c>
    </row>
    <row r="832" spans="2:14" ht="33" customHeight="1" x14ac:dyDescent="0.3">
      <c r="B832" s="12">
        <v>0</v>
      </c>
      <c r="C832" s="12">
        <v>0</v>
      </c>
      <c r="D832" s="12">
        <v>0</v>
      </c>
      <c r="E832" s="12">
        <v>0</v>
      </c>
      <c r="F832" s="12">
        <v>0</v>
      </c>
      <c r="G832" s="12">
        <v>0</v>
      </c>
      <c r="J832" s="12">
        <v>0</v>
      </c>
      <c r="K832">
        <v>0</v>
      </c>
      <c r="L832">
        <v>0</v>
      </c>
      <c r="M832">
        <v>0</v>
      </c>
      <c r="N832" s="10">
        <v>0</v>
      </c>
    </row>
    <row r="833" spans="2:14" ht="33" customHeight="1" x14ac:dyDescent="0.3">
      <c r="B833" s="12">
        <v>0</v>
      </c>
      <c r="C833" s="12">
        <v>0</v>
      </c>
      <c r="D833" s="12">
        <v>0</v>
      </c>
      <c r="E833" s="12">
        <v>0</v>
      </c>
      <c r="F833" s="12">
        <v>0</v>
      </c>
      <c r="G833" s="12">
        <v>0</v>
      </c>
      <c r="J833" s="12">
        <v>0</v>
      </c>
      <c r="K833">
        <v>0</v>
      </c>
      <c r="L833">
        <v>0</v>
      </c>
      <c r="M833">
        <v>0</v>
      </c>
      <c r="N833" s="10">
        <v>0</v>
      </c>
    </row>
    <row r="834" spans="2:14" ht="33" customHeight="1" x14ac:dyDescent="0.3">
      <c r="B834" s="12">
        <v>0</v>
      </c>
      <c r="C834" s="12">
        <v>0</v>
      </c>
      <c r="D834" s="12">
        <v>0</v>
      </c>
      <c r="E834" s="12">
        <v>0</v>
      </c>
      <c r="F834" s="12">
        <v>0</v>
      </c>
      <c r="G834" s="12">
        <v>0</v>
      </c>
      <c r="J834" s="12">
        <v>0</v>
      </c>
      <c r="K834">
        <v>0</v>
      </c>
      <c r="L834">
        <v>0</v>
      </c>
      <c r="M834">
        <v>0</v>
      </c>
      <c r="N834" s="10">
        <v>0</v>
      </c>
    </row>
    <row r="835" spans="2:14" ht="33" customHeight="1" x14ac:dyDescent="0.3">
      <c r="B835" s="12">
        <v>0</v>
      </c>
      <c r="C835" s="12">
        <v>0</v>
      </c>
      <c r="D835" s="12">
        <v>0</v>
      </c>
      <c r="E835" s="12">
        <v>0</v>
      </c>
      <c r="F835" s="12">
        <v>0</v>
      </c>
      <c r="G835" s="12">
        <v>0</v>
      </c>
      <c r="J835" s="12">
        <v>0</v>
      </c>
      <c r="K835">
        <v>0</v>
      </c>
      <c r="L835">
        <v>0</v>
      </c>
      <c r="M835">
        <v>0</v>
      </c>
      <c r="N835" s="10">
        <v>0</v>
      </c>
    </row>
    <row r="836" spans="2:14" ht="33" customHeight="1" x14ac:dyDescent="0.3">
      <c r="B836" s="12">
        <v>0</v>
      </c>
      <c r="C836" s="12">
        <v>0</v>
      </c>
      <c r="D836" s="12">
        <v>0</v>
      </c>
      <c r="E836" s="12">
        <v>0</v>
      </c>
      <c r="F836" s="12">
        <v>0</v>
      </c>
      <c r="G836" s="12">
        <v>0</v>
      </c>
      <c r="J836" s="12">
        <v>0</v>
      </c>
      <c r="K836">
        <v>0</v>
      </c>
      <c r="L836">
        <v>0</v>
      </c>
      <c r="M836">
        <v>0</v>
      </c>
      <c r="N836" s="10">
        <v>0</v>
      </c>
    </row>
    <row r="837" spans="2:14" ht="33" customHeight="1" x14ac:dyDescent="0.3">
      <c r="B837" s="12">
        <v>0</v>
      </c>
      <c r="C837" s="12">
        <v>0</v>
      </c>
      <c r="D837" s="12">
        <v>0</v>
      </c>
      <c r="E837" s="12">
        <v>0</v>
      </c>
      <c r="F837" s="12">
        <v>0</v>
      </c>
      <c r="G837" s="12">
        <v>0</v>
      </c>
      <c r="J837" s="12">
        <v>0</v>
      </c>
      <c r="K837">
        <v>0</v>
      </c>
      <c r="L837">
        <v>0</v>
      </c>
      <c r="M837">
        <v>0</v>
      </c>
      <c r="N837" s="10">
        <v>0</v>
      </c>
    </row>
    <row r="838" spans="2:14" ht="33" customHeight="1" x14ac:dyDescent="0.3">
      <c r="B838" s="12">
        <v>0</v>
      </c>
      <c r="C838" s="12">
        <v>0</v>
      </c>
      <c r="D838" s="12">
        <v>0</v>
      </c>
      <c r="E838" s="12">
        <v>0</v>
      </c>
      <c r="F838" s="12">
        <v>0</v>
      </c>
      <c r="G838" s="12">
        <v>0</v>
      </c>
      <c r="J838" s="12">
        <v>0</v>
      </c>
      <c r="K838">
        <v>0</v>
      </c>
      <c r="L838">
        <v>0</v>
      </c>
      <c r="M838">
        <v>0</v>
      </c>
      <c r="N838" s="10">
        <v>0</v>
      </c>
    </row>
    <row r="839" spans="2:14" ht="33" customHeight="1" x14ac:dyDescent="0.3">
      <c r="B839" s="12">
        <v>0</v>
      </c>
      <c r="C839" s="12">
        <v>0</v>
      </c>
      <c r="D839" s="12">
        <v>0</v>
      </c>
      <c r="E839" s="12">
        <v>0</v>
      </c>
      <c r="F839" s="12">
        <v>0</v>
      </c>
      <c r="G839" s="12">
        <v>0</v>
      </c>
      <c r="J839" s="12">
        <v>0</v>
      </c>
      <c r="K839">
        <v>0</v>
      </c>
      <c r="L839">
        <v>0</v>
      </c>
      <c r="M839">
        <v>0</v>
      </c>
      <c r="N839" s="10">
        <v>0</v>
      </c>
    </row>
  </sheetData>
  <mergeCells count="2">
    <mergeCell ref="Q1:S1"/>
    <mergeCell ref="T1:W1"/>
  </mergeCells>
  <conditionalFormatting sqref="B1:J1">
    <cfRule type="containsText" dxfId="43" priority="1" operator="containsText" text="PO Drafted">
      <formula>NOT(ISERROR(SEARCH("PO Drafted",B1)))</formula>
    </cfRule>
    <cfRule type="containsText" dxfId="42" priority="2" operator="containsText" text="Production Complete">
      <formula>NOT(ISERROR(SEARCH("Production Complete",B1)))</formula>
    </cfRule>
    <cfRule type="containsText" dxfId="41" priority="3" operator="containsText" text="ON HOLD">
      <formula>NOT(ISERROR(SEARCH("ON HOLD",B1)))</formula>
    </cfRule>
    <cfRule type="containsText" dxfId="40" priority="4" operator="containsText" text="D/W Sent">
      <formula>NOT(ISERROR(SEARCH("D/W Sent",B1)))</formula>
    </cfRule>
    <cfRule type="containsText" dxfId="39" priority="5" operator="containsText" text="Picked">
      <formula>NOT(ISERROR(SEARCH("Picked",B1)))</formula>
    </cfRule>
    <cfRule type="containsText" dxfId="38" priority="6" operator="containsText" text="Rework">
      <formula>NOT(ISERROR(SEARCH("Rework",B1)))</formula>
    </cfRule>
    <cfRule type="containsText" dxfId="37" priority="7" operator="containsText" text="In Production">
      <formula>NOT(ISERROR(SEARCH("In Production",B1)))</formula>
    </cfRule>
    <cfRule type="containsText" dxfId="36" priority="8" operator="containsText" text="Out of stock">
      <formula>NOT(ISERROR(SEARCH("Out of stock",B1)))</formula>
    </cfRule>
    <cfRule type="containsText" dxfId="35" priority="9" operator="containsText" text="Not Meet MOQ">
      <formula>NOT(ISERROR(SEARCH("Not Meet MOQ",B1)))</formula>
    </cfRule>
    <cfRule type="containsText" dxfId="34" priority="10" operator="containsText" text="Available">
      <formula>NOT(ISERROR(SEARCH("Available",B1)))</formula>
    </cfRule>
    <cfRule type="containsText" dxfId="33" priority="11" operator="containsText" text="Pending Picking">
      <formula>NOT(ISERROR(SEARCH("Pending Picking",B1)))</formula>
    </cfRule>
    <cfRule type="containsText" dxfId="32" priority="12" operator="containsText" text="PO Submitted">
      <formula>NOT(ISERROR(SEARCH("PO Submitted",B1)))</formula>
    </cfRule>
    <cfRule type="containsText" dxfId="31" priority="13" operator="containsText" text="Transit to Warehouse">
      <formula>NOT(ISERROR(SEARCH("Transit to Warehouse",B1)))</formula>
    </cfRule>
    <cfRule type="containsText" dxfId="30" priority="14" operator="containsText" text="PO Drafted">
      <formula>NOT(ISERROR(SEARCH("PO Drafted",B1)))</formula>
    </cfRule>
    <cfRule type="containsText" dxfId="29" priority="15" operator="containsText" text="Production Complete">
      <formula>NOT(ISERROR(SEARCH("Production Complete",B1)))</formula>
    </cfRule>
    <cfRule type="containsText" dxfId="28" priority="16" operator="containsText" text="ON HOLD">
      <formula>NOT(ISERROR(SEARCH("ON HOLD",B1)))</formula>
    </cfRule>
    <cfRule type="containsText" dxfId="27" priority="17" operator="containsText" text="D/W Sent">
      <formula>NOT(ISERROR(SEARCH("D/W Sent",B1)))</formula>
    </cfRule>
    <cfRule type="containsText" dxfId="26" priority="18" operator="containsText" text="Picked">
      <formula>NOT(ISERROR(SEARCH("Picked",B1)))</formula>
    </cfRule>
    <cfRule type="containsText" dxfId="25" priority="19" operator="containsText" text="Rework">
      <formula>NOT(ISERROR(SEARCH("Rework",B1)))</formula>
    </cfRule>
    <cfRule type="containsText" dxfId="24" priority="20" operator="containsText" text="In Production">
      <formula>NOT(ISERROR(SEARCH("In Production",B1)))</formula>
    </cfRule>
    <cfRule type="containsText" dxfId="23" priority="21" operator="containsText" text="Out of stock">
      <formula>NOT(ISERROR(SEARCH("Out of stock",B1)))</formula>
    </cfRule>
    <cfRule type="containsText" dxfId="22" priority="22" operator="containsText" text="Not Meet MOQ">
      <formula>NOT(ISERROR(SEARCH("Not Meet MOQ",B1)))</formula>
    </cfRule>
    <cfRule type="containsText" dxfId="21" priority="23" operator="containsText" text="Available">
      <formula>NOT(ISERROR(SEARCH("Available",B1)))</formula>
    </cfRule>
    <cfRule type="containsText" dxfId="20" priority="24" operator="containsText" text="Pending Picking">
      <formula>NOT(ISERROR(SEARCH("Pending Picking",B1)))</formula>
    </cfRule>
    <cfRule type="containsText" dxfId="19" priority="25" operator="containsText" text="PO Submitted">
      <formula>NOT(ISERROR(SEARCH("PO Submitted",B1)))</formula>
    </cfRule>
    <cfRule type="containsText" dxfId="18" priority="26" operator="containsText" text="Transit to Warehouse">
      <formula>NOT(ISERROR(SEARCH("Transit to Warehouse",B1)))</formula>
    </cfRule>
  </conditionalFormatting>
  <conditionalFormatting sqref="B1:N1048576">
    <cfRule type="expression" dxfId="17" priority="30">
      <formula>AND(LEN(B1)&gt;0,NOT(ISERROR(B1)),B1&lt;&gt;0)</formula>
    </cfRule>
    <cfRule type="cellIs" dxfId="16" priority="33" operator="equal">
      <formula>0</formula>
    </cfRule>
  </conditionalFormatting>
  <conditionalFormatting sqref="D1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I1048576">
    <cfRule type="containsBlanks" dxfId="15" priority="32">
      <formula>LEN(TRIM(H1))=0</formula>
    </cfRule>
  </conditionalFormatting>
  <conditionalFormatting sqref="N1:N1048576">
    <cfRule type="containsText" dxfId="14" priority="27" operator="containsText" text="PO Drafted">
      <formula>NOT(ISERROR(SEARCH("PO Drafted",N1)))</formula>
    </cfRule>
    <cfRule type="containsText" dxfId="13" priority="28" operator="containsText" text="Production Complete">
      <formula>NOT(ISERROR(SEARCH("Production Complete",N1)))</formula>
    </cfRule>
    <cfRule type="containsText" dxfId="12" priority="29" operator="containsText" text="ON HOLD">
      <formula>NOT(ISERROR(SEARCH("ON HOLD",N1)))</formula>
    </cfRule>
    <cfRule type="containsText" dxfId="11" priority="31" operator="containsText" text="D/W Sent">
      <formula>NOT(ISERROR(SEARCH("D/W Sent",N1)))</formula>
    </cfRule>
    <cfRule type="containsText" dxfId="10" priority="34" operator="containsText" text="Picked">
      <formula>NOT(ISERROR(SEARCH("Picked",N1)))</formula>
    </cfRule>
    <cfRule type="containsText" dxfId="9" priority="35" operator="containsText" text="Rework">
      <formula>NOT(ISERROR(SEARCH("Rework",N1)))</formula>
    </cfRule>
    <cfRule type="containsText" dxfId="8" priority="37" operator="containsText" text="Out of stock">
      <formula>NOT(ISERROR(SEARCH("Out of stock",N1)))</formula>
    </cfRule>
    <cfRule type="containsText" dxfId="7" priority="38" operator="containsText" text="Not Meet MOQ">
      <formula>NOT(ISERROR(SEARCH("Not Meet MOQ",N1)))</formula>
    </cfRule>
    <cfRule type="containsText" dxfId="6" priority="39" operator="containsText" text="Available">
      <formula>NOT(ISERROR(SEARCH("Available",N1)))</formula>
    </cfRule>
    <cfRule type="containsText" dxfId="5" priority="40" operator="containsText" text="Pending Picking">
      <formula>NOT(ISERROR(SEARCH("Pending Picking",N1)))</formula>
    </cfRule>
    <cfRule type="containsText" dxfId="4" priority="41" operator="containsText" text="PO Submitted">
      <formula>NOT(ISERROR(SEARCH("PO Submitted",N1)))</formula>
    </cfRule>
    <cfRule type="containsText" dxfId="3" priority="36" operator="containsText" text="In Production">
      <formula>NOT(ISERROR(SEARCH("In Production",N1)))</formula>
    </cfRule>
    <cfRule type="containsText" dxfId="2" priority="42" operator="containsText" text="Transit to Warehouse">
      <formula>NOT(ISERROR(SEARCH("Transit to Warehouse",N1)))</formula>
    </cfRule>
  </conditionalFormatting>
  <dataValidations disablePrompts="1" count="1">
    <dataValidation allowBlank="1" showInputMessage="1" showErrorMessage="1" sqref="B1:M1" xr:uid="{642B7BFE-0869-4E11-90CB-8E114C7CC3DB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criptIds xmlns="http://schemas.microsoft.com/office/extensibility/maker/v1.0" id="script-ids-node-id">
  <scriptId id="ms-officescript%3A%2F%2Fonedrive_business_itemlink%2F01RBZDCYNP6UP4ABYXR5EJPC2ELFTVV7I6:ms-officescript%3A%2F%2Fonedrive_business_sharinglink%2Fu!aHR0cHM6Ly9hbWVyaWNhbWVkaWMtbXkuc2hhcmVwb2ludC5jb20vOnU6L3AvamFjb2JtL0lRQ3Y5Ul9BQnhlUFNKZUxSRmxuV3YwZUFlSlZMTHFaY0R3Znc4cndOX2dUdzNZ"/>
  <scriptId xmlns="" id="ms-officescript%3A%2F%2Fonedrive_business_itemlink%2F01RBZDCYIBW6BS3JHSDZG3FFAYKCN5Y4BY:ms-officescript%3A%2F%2Fonedrive_business_sharinglink%2Fu!aHR0cHM6Ly9hbWVyaWNhbWVkaWMtbXkuc2hhcmVwb2ludC5jb20vOnU6L3AvamFjb2JtL0lRQUJ0NE10cFBJZVRiS1VHRkNiM0hBNEFTLUVLNkxHU2pSSnpucU9UX1UyVlBr"/>
  <scriptId xmlns="" id="ms-officescript%3A%2F%2Fonedrive_business_itemlink%2F01RBZDCYKLXEVSQN4L3FALGJXCRI6PUDJ7:ms-officescript%3A%2F%2Fonedrive_business_sharinglink%2Fu!aHR0cHM6Ly9hbWVyaWNhbWVkaWMtbXkuc2hhcmVwb2ludC5jb20vOnU6L3AvamFjb2JtL0lRQkx1U3NvTjR2WlFMTW00b284LWcwX0FiTTQzZ0pvTkdmbnJ2ei1jNWx5MFZr"/>
  <scriptId xmlns="" id="ms-officescript%3A%2F%2Fonedrive_business_itemlink%2F01RBZDCYLZVMXSC35N5RFY6M5AFGWYS572:ms-officescript%3A%2F%2Fonedrive_business_sharinglink%2Fu!aHR0cHM6Ly9hbWVyaWNhbWVkaWMtbXkuc2hhcmVwb2ludC5jb20vOnU6L3AvamFjb2JtL0lRQjVxeThoYjYzc1M0OHpvQ210aVhmNkFldE9tRkFrV1BLVWM1djg5bWtzY0lZ"/>
  <scriptId xmlns="" id="ms-officescript%3A%2F%2Fonedrive_business_itemlink%2F01RBZDCYPTFFW7N3HDRNBJP52RRREH2ZK2:ms-officescript%3A%2F%2Fonedrive_business_sharinglink%2Fu!aHR0cHM6Ly9hbWVyaWNhbWVkaWMtbXkuc2hhcmVwb2ludC5jb20vOnU6L3AvamFjb2JtL0lRRHpLVzMyN09PTFFwZjNVWXhJZldWYUFlaXE4LVR5TEQzdzFsU1BZamdYWFVR"/>
  <scriptId xmlns="" id="ms-officescript%3A%2F%2Fonedrive_business_itemlink%2F01RBZDCYMJMSEUHW237RGZBRJO6VOY24FO:ms-officescript%3A%2F%2Fonedrive_business_sharinglink%2Fu!aHR0cHM6Ly9hbWVyaWNhbWVkaWMtbXkuc2hhcmVwb2ludC5jb20vOnU6L3AvamFjb2JtL0lRQ0paSWxEMjF2OFRaREZMdlZkalhDdUFSQ1dSWUxYMlNScmpmTGdGX3lfUnY4"/>
</scriptIds>
</file>

<file path=customXml/itemProps1.xml><?xml version="1.0" encoding="utf-8"?>
<ds:datastoreItem xmlns:ds="http://schemas.openxmlformats.org/officeDocument/2006/customXml" ds:itemID="{1174C121-E8A4-4CD0-A9E0-A4C8BC8A6FB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969E601-B198-48B8-82F8-43E73309DE9E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SKU'S</vt:lpstr>
      <vt:lpstr>Allocation Dashboard (Take)</vt:lpstr>
      <vt:lpstr>Allocation Dashboard (Give)</vt:lpstr>
      <vt:lpstr>2026 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Moriones</dc:creator>
  <cp:keywords/>
  <dc:description/>
  <cp:lastModifiedBy>Jacob  Moriones</cp:lastModifiedBy>
  <cp:revision/>
  <dcterms:created xsi:type="dcterms:W3CDTF">2026-05-12T17:02:48Z</dcterms:created>
  <dcterms:modified xsi:type="dcterms:W3CDTF">2026-07-31T20:26:05Z</dcterms:modified>
  <cp:category/>
  <cp:contentStatus/>
</cp:coreProperties>
</file>